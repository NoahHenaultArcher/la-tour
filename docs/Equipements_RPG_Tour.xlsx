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Catalogue" sheetId="2" state="visible" r:id="rId4"/>
    <sheet name="Calculateur" sheetId="3" state="visible" r:id="rId5"/>
    <sheet name="Progression" sheetId="4" state="visible" r:id="rId6"/>
    <sheet name="Set complet" sheetId="5" state="visible" r:id="rId7"/>
    <sheet name="Uniques" sheetId="6" state="visible" r:id="rId8"/>
    <sheet name="Amélioration" sheetId="7" state="visible" r:id="rId9"/>
    <sheet name="Profils" sheetId="8" state="visible" r:id="rId10"/>
    <sheet name="Matériaux" sheetId="9" state="visible" r:id="rId11"/>
    <sheet name="Paramètres" sheetId="10" state="visible" r:id="rId12"/>
  </sheets>
  <definedNames>
    <definedName function="false" hidden="true" localSheetId="1" name="_xlnm._FilterDatabase" vbProcedure="false">Catalogue!$A$5:$AJ$935</definedName>
    <definedName function="false" hidden="true" localSheetId="5" name="_xlnm._FilterDatabase" vbProcedure="false">Uniques!$A$4:$I$34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<sst xmlns="http://schemas.openxmlformats.org/spreadsheetml/2006/main" count="7476" uniqueCount="1407">
  <si>
    <t xml:space="preserve">RPG tour par tour : équipements</t>
  </si>
  <si>
    <t xml:space="preserve">Classeur de conception : tous les équipements, pour les 3 classes, les 10 slots, les 5 matériaux et les 7 raretés.</t>
  </si>
  <si>
    <t xml:space="preserve">OBJECTIF</t>
  </si>
  <si>
    <t xml:space="preserve">Contenu</t>
  </si>
  <si>
    <t xml:space="preserve">930 équipements : 3 classes × 10 slots × 5 matériaux × 6 raretés (Commun → Légendaire), plus 30 Uniques. Chaque objet a ses stats selon slot, classe, matériau, rareté et amélioration.</t>
  </si>
  <si>
    <t xml:space="preserve">Slots</t>
  </si>
  <si>
    <t xml:space="preserve">Chapeau, Armure, Pantalon, Botte, Collier, Anneau 1, Anneau 2, Ceinture, Arme 1, Arme 2. Arme 1 / Arme 2 dépendent de la classe.</t>
  </si>
  <si>
    <t xml:space="preserve">ONGLETS</t>
  </si>
  <si>
    <t xml:space="preserve">Catalogue</t>
  </si>
  <si>
    <t xml:space="preserve">Les 930 objets. Cellule jaune du haut : niveau d'amélioration affiché (0, un nombre ou « max »). Filtres sur chaque colonne.</t>
  </si>
  <si>
    <t xml:space="preserve">Calculateur</t>
  </si>
  <si>
    <t xml:space="preserve">Un seul objet : classe, slot, rareté, palier, amélioration → nom, stats, passif, ressource et coût du niveau suivant.</t>
  </si>
  <si>
    <t xml:space="preserve">Progression</t>
  </si>
  <si>
    <t xml:space="preserve">L'objet du Calculateur, de +0 au maximum de son palier : stats, coût de chaque niveau et coût cumulé.</t>
  </si>
  <si>
    <t xml:space="preserve">Set complet</t>
  </si>
  <si>
    <t xml:space="preserve">10 slots de même rareté pour une classe, un palier et une amélioration. Cases rouges = plafond conseillé dépassé.</t>
  </si>
  <si>
    <t xml:space="preserve">Uniques</t>
  </si>
  <si>
    <t xml:space="preserve">Les 30 Uniques : nom, élément, passif, biome de butin, boss qui les lâchent, niveau de base.</t>
  </si>
  <si>
    <t xml:space="preserve">Amélioration</t>
  </si>
  <si>
    <t xml:space="preserve">Ressource à dépenser pour chaque niveau d'amélioration (1 à 99), par rareté, et total cumulé.</t>
  </si>
  <si>
    <t xml:space="preserve">Profils</t>
  </si>
  <si>
    <t xml:space="preserve">Le cœur de l'équilibrage : poids de chaque stat pour chacun des 30 couples classe/slot.</t>
  </si>
  <si>
    <t xml:space="preserve">Matériaux</t>
  </si>
  <si>
    <t xml:space="preserve">Les 5 matériaux de chaque famille, les paliers (niveau de base, amélioration max) et où trouver chaque ressource.</t>
  </si>
  <si>
    <t xml:space="preserve">Paramètres</t>
  </si>
  <si>
    <t xml:space="preserve">Raretés (multiplicateur, lignes, coût d'amélioration), courbe de niveau, valeur de référence des stats, plafonds, courbe de coût.</t>
  </si>
  <si>
    <t xml:space="preserve">CLASSES</t>
  </si>
  <si>
    <t xml:space="preserve">Guerrier</t>
  </si>
  <si>
    <t xml:space="preserve">Épée + Bouclier. Armure lourde (cuir, fer, acier, mithril, adamantite). Stats : Vitalité, Force, Résistance, Armure. Initiative : bottes, chevalière, ceinturon.</t>
  </si>
  <si>
    <t xml:space="preserve">Mage</t>
  </si>
  <si>
    <t xml:space="preserve">Bâton + Orbe. Tissu (lin, laine, soie, velours enchanté, étoffe astrale). Stats : Magie, Vitalité, soins, résistances élémentaires. Initiative : bottines, sceau, amulette.</t>
  </si>
  <si>
    <t xml:space="preserve">Tireur</t>
  </si>
  <si>
    <t xml:space="preserve">Arc + Carquois. Cuir (toile, cuir, cuir clouté, écailles, peau de dragon). Stats : Agilité, Précision, critiques, Pénétration. Initiative : bottes, bague, capuche, carquois (le plus rapide).</t>
  </si>
  <si>
    <t xml:space="preserve">VARIANTES ET RARETÉS</t>
  </si>
  <si>
    <t xml:space="preserve">Matériau = variante</t>
  </si>
  <si>
    <t xml:space="preserve">Chaque type existe en 5 matériaux : Épée en bois, en fer, en acier, en mithril, en adamantite. Un matériau plus haut part d'un niveau plus élevé (1, 15, 30, 50, 70).</t>
  </si>
  <si>
    <t xml:space="preserve">Rareté</t>
  </si>
  <si>
    <t xml:space="preserve">Chaque variante existe en Commun, Rare, Super rare, Épique, Mythique et Légendaire : Épée en bois Commune … Épée en bois Légendaire, puis Épée en fer Commune … Légendaire, etc.</t>
  </si>
  <si>
    <t xml:space="preserve">Unique</t>
  </si>
  <si>
    <t xml:space="preserve">Stats (toutes les lignes, ×2,50) + passif, nom unique (ex. Épée de la Mort). Pas de matériau : il part du niveau de son biome et s'améliore jusqu'au niveau 100.</t>
  </si>
  <si>
    <t xml:space="preserve">AMÉLIORATION</t>
  </si>
  <si>
    <t xml:space="preserve">Principe</t>
  </si>
  <si>
    <t xml:space="preserve">Le niveau d'un objet = son amélioration (+0 quand il tombe). Améliorer coûte le matériau de l'objet : une Épée en bois demande un peu de bois au niveau 1, puis un peu plus à chaque niveau.</t>
  </si>
  <si>
    <t xml:space="preserve">Plafond</t>
  </si>
  <si>
    <t xml:space="preserve">Bois +19 (niv. 1→20), fer +20 (15→35), acier +25 (30→55), mithril +25 (50→75), adamantite +30 (70→100). Pour aller plus loin, il faut passer au matériau suivant.</t>
  </si>
  <si>
    <t xml:space="preserve">Coût</t>
  </si>
  <si>
    <t xml:space="preserve">Ressource pour le niveau L = arrondi(3 × L^1,25 × multiplicateur de rareté). Une Légendaire coûte 2,5 fois plus qu'une Commune. Pas de temps de fabrication.</t>
  </si>
  <si>
    <t xml:space="preserve">FORMULE</t>
  </si>
  <si>
    <t xml:space="preserve">Valeur d'une stat</t>
  </si>
  <si>
    <t xml:space="preserve">poids du slot × K × multiplicateur de rareté × facteur(niveau effectif), arrondi. Niveau effectif = niveau de base du matériau + amélioration. Facteur : 5 % au niveau 1, 100 % au niveau 100.</t>
  </si>
  <si>
    <t xml:space="preserve">Stats par rareté</t>
  </si>
  <si>
    <t xml:space="preserve">Une rareté ne débloque que les N stats les mieux classées du profil : 2 (Commun), 3, 4, 5, 6 (Mythique), 7 (Légendaire et Unique).</t>
  </si>
  <si>
    <t xml:space="preserve">HYPOTHÈSES À VALIDER</t>
  </si>
  <si>
    <t xml:space="preserve">Ressources</t>
  </si>
  <si>
    <t xml:space="preserve">Bois, fer, acier, mithril, adamantite, cuir, cuir clouté, écailles, peau de dragon, lin, laine, soie, velours, étoffe astrale viennent du diagramme. Les autres (chêne, quartz, cuivre…) ont une source proposée dans Matériaux.</t>
  </si>
  <si>
    <t xml:space="preserve">Butin</t>
  </si>
  <si>
    <t xml:space="preserve">Un objet tombe à +0, dans le matériau du palier de l'étage (bois étages 1–14, fer 15–29, acier 30–49, mithril 50–69, adamantite 70+).</t>
  </si>
  <si>
    <t xml:space="preserve">Armes</t>
  </si>
  <si>
    <t xml:space="preserve">Mage = Bâton + Orbe, Tireur = Arc + Carquois (tu n'avais donné que l'exemple du guerrier).</t>
  </si>
  <si>
    <t xml:space="preserve">Anneaux</t>
  </si>
  <si>
    <t xml:space="preserve">Anneau 1 (offensif) et Anneau 2 (défensif/utilitaire) sont deux objets distincts.</t>
  </si>
  <si>
    <t xml:space="preserve">Valeurs d'équilibrage</t>
  </si>
  <si>
    <t xml:space="preserve">Tous les chiffres (K, multiplicateurs, plafonds, coûts) sont des points de départ à ajuster après tests (production des bâtiments notamment).</t>
  </si>
  <si>
    <t xml:space="preserve">LÉGENDE</t>
  </si>
  <si>
    <t xml:space="preserve">Cellule jaune, texte bleu</t>
  </si>
  <si>
    <t xml:space="preserve">Valeur modifiable. Les cellules sans fond jaune sont des formules : ne pas écraser.</t>
  </si>
  <si>
    <t xml:space="preserve">MISE À JOUR</t>
  </si>
  <si>
    <t xml:space="preserve">Initiative</t>
  </si>
  <si>
    <t xml:space="preserve">Nouvelle stat (Paramètres, Profils, Catalogue, Calculateur, Progression, Set complet). Le mana est retiré : les 3 passifs Uniques qui l'utilisaient agissent désormais sur les recharges ou les PV.</t>
  </si>
  <si>
    <t xml:space="preserve">Catalogue des équipements</t>
  </si>
  <si>
    <t xml:space="preserve">930 objets = 3 classes × 10 slots × (5 matériaux × 6 raretés + 1 Unique). Filtres sur chaque colonne.</t>
  </si>
  <si>
    <t xml:space="preserve">Niveau d'amélioration affiché</t>
  </si>
  <si>
    <t xml:space="preserve">0 = objet tel qu'il tombe. Un nombre = même amélioration pour tous (plafonnée par palier). « max » = chaque objet au maximum de son palier.</t>
  </si>
  <si>
    <t xml:space="preserve">ID</t>
  </si>
  <si>
    <t xml:space="preserve">Classe</t>
  </si>
  <si>
    <t xml:space="preserve">Slot</t>
  </si>
  <si>
    <t xml:space="preserve">Palier</t>
  </si>
  <si>
    <t xml:space="preserve">Matériau</t>
  </si>
  <si>
    <t xml:space="preserve">Nom</t>
  </si>
  <si>
    <t xml:space="preserve">Niveau de base</t>
  </si>
  <si>
    <t xml:space="preserve">Niveau effectif</t>
  </si>
  <si>
    <t xml:space="preserve">Élément</t>
  </si>
  <si>
    <t xml:space="preserve">Vitalité</t>
  </si>
  <si>
    <t xml:space="preserve">Force</t>
  </si>
  <si>
    <t xml:space="preserve">Résistance</t>
  </si>
  <si>
    <t xml:space="preserve">Magie</t>
  </si>
  <si>
    <t xml:space="preserve">Agilité</t>
  </si>
  <si>
    <t xml:space="preserve">Précision</t>
  </si>
  <si>
    <t xml:space="preserve">Chance de critique</t>
  </si>
  <si>
    <t xml:space="preserve">Dégâts critiques</t>
  </si>
  <si>
    <t xml:space="preserve">Armure</t>
  </si>
  <si>
    <t xml:space="preserve">Pénétration</t>
  </si>
  <si>
    <t xml:space="preserve">Résistance élémentaire</t>
  </si>
  <si>
    <t xml:space="preserve">Bonus de soins</t>
  </si>
  <si>
    <t xml:space="preserve">Résistance aux altérations</t>
  </si>
  <si>
    <t xml:space="preserve">Puissance (pts)</t>
  </si>
  <si>
    <t xml:space="preserve">Passif</t>
  </si>
  <si>
    <t xml:space="preserve">Effet du passif</t>
  </si>
  <si>
    <t xml:space="preserve">Ressource d'amélioration</t>
  </si>
  <si>
    <t xml:space="preserve">Coût du niveau suivant</t>
  </si>
  <si>
    <t xml:space="preserve">(aide) N° profil</t>
  </si>
  <si>
    <t xml:space="preserve">(aide) N° rareté</t>
  </si>
  <si>
    <t xml:space="preserve">(aide) Multipl.</t>
  </si>
  <si>
    <t xml:space="preserve">(aide) Lignes</t>
  </si>
  <si>
    <t xml:space="preserve">(aide) Amélioration max</t>
  </si>
  <si>
    <t xml:space="preserve">(aide) Facteur</t>
  </si>
  <si>
    <t xml:space="preserve">GUE-CHA-P1-COM</t>
  </si>
  <si>
    <t xml:space="preserve">Chapeau</t>
  </si>
  <si>
    <t xml:space="preserve">Commun</t>
  </si>
  <si>
    <t xml:space="preserve">—</t>
  </si>
  <si>
    <t xml:space="preserve">GUE-CHA-P1-RAR</t>
  </si>
  <si>
    <t xml:space="preserve">Rare</t>
  </si>
  <si>
    <t xml:space="preserve">GUE-CHA-P1-SRA</t>
  </si>
  <si>
    <t xml:space="preserve">Super rare</t>
  </si>
  <si>
    <t xml:space="preserve">GUE-CHA-P1-EPI</t>
  </si>
  <si>
    <t xml:space="preserve">Épique</t>
  </si>
  <si>
    <t xml:space="preserve">GUE-CHA-P1-MYT</t>
  </si>
  <si>
    <t xml:space="preserve">Mythique</t>
  </si>
  <si>
    <t xml:space="preserve">GUE-CHA-P1-LEG</t>
  </si>
  <si>
    <t xml:space="preserve">Légendaire</t>
  </si>
  <si>
    <t xml:space="preserve">GUE-CHA-P2-COM</t>
  </si>
  <si>
    <t xml:space="preserve">GUE-CHA-P2-RAR</t>
  </si>
  <si>
    <t xml:space="preserve">GUE-CHA-P2-SRA</t>
  </si>
  <si>
    <t xml:space="preserve">GUE-CHA-P2-EPI</t>
  </si>
  <si>
    <t xml:space="preserve">GUE-CHA-P2-MYT</t>
  </si>
  <si>
    <t xml:space="preserve">GUE-CHA-P2-LEG</t>
  </si>
  <si>
    <t xml:space="preserve">GUE-CHA-P3-COM</t>
  </si>
  <si>
    <t xml:space="preserve">GUE-CHA-P3-RAR</t>
  </si>
  <si>
    <t xml:space="preserve">GUE-CHA-P3-SRA</t>
  </si>
  <si>
    <t xml:space="preserve">GUE-CHA-P3-EPI</t>
  </si>
  <si>
    <t xml:space="preserve">GUE-CHA-P3-MYT</t>
  </si>
  <si>
    <t xml:space="preserve">GUE-CHA-P3-LEG</t>
  </si>
  <si>
    <t xml:space="preserve">GUE-CHA-P4-COM</t>
  </si>
  <si>
    <t xml:space="preserve">GUE-CHA-P4-RAR</t>
  </si>
  <si>
    <t xml:space="preserve">GUE-CHA-P4-SRA</t>
  </si>
  <si>
    <t xml:space="preserve">GUE-CHA-P4-EPI</t>
  </si>
  <si>
    <t xml:space="preserve">GUE-CHA-P4-MYT</t>
  </si>
  <si>
    <t xml:space="preserve">GUE-CHA-P4-LEG</t>
  </si>
  <si>
    <t xml:space="preserve">GUE-CHA-P5-COM</t>
  </si>
  <si>
    <t xml:space="preserve">GUE-CHA-P5-RAR</t>
  </si>
  <si>
    <t xml:space="preserve">GUE-CHA-P5-SRA</t>
  </si>
  <si>
    <t xml:space="preserve">GUE-CHA-P5-EPI</t>
  </si>
  <si>
    <t xml:space="preserve">GUE-CHA-P5-MYT</t>
  </si>
  <si>
    <t xml:space="preserve">GUE-CHA-P5-LEG</t>
  </si>
  <si>
    <t xml:space="preserve">GUE-CHA-UNI</t>
  </si>
  <si>
    <t xml:space="preserve">GUE-ARM-P1-COM</t>
  </si>
  <si>
    <t xml:space="preserve">GUE-ARM-P1-RAR</t>
  </si>
  <si>
    <t xml:space="preserve">GUE-ARM-P1-SRA</t>
  </si>
  <si>
    <t xml:space="preserve">GUE-ARM-P1-EPI</t>
  </si>
  <si>
    <t xml:space="preserve">GUE-ARM-P1-MYT</t>
  </si>
  <si>
    <t xml:space="preserve">GUE-ARM-P1-LEG</t>
  </si>
  <si>
    <t xml:space="preserve">GUE-ARM-P2-COM</t>
  </si>
  <si>
    <t xml:space="preserve">GUE-ARM-P2-RAR</t>
  </si>
  <si>
    <t xml:space="preserve">GUE-ARM-P2-SRA</t>
  </si>
  <si>
    <t xml:space="preserve">GUE-ARM-P2-EPI</t>
  </si>
  <si>
    <t xml:space="preserve">GUE-ARM-P2-MYT</t>
  </si>
  <si>
    <t xml:space="preserve">GUE-ARM-P2-LEG</t>
  </si>
  <si>
    <t xml:space="preserve">GUE-ARM-P3-COM</t>
  </si>
  <si>
    <t xml:space="preserve">GUE-ARM-P3-RAR</t>
  </si>
  <si>
    <t xml:space="preserve">GUE-ARM-P3-SRA</t>
  </si>
  <si>
    <t xml:space="preserve">GUE-ARM-P3-EPI</t>
  </si>
  <si>
    <t xml:space="preserve">GUE-ARM-P3-MYT</t>
  </si>
  <si>
    <t xml:space="preserve">GUE-ARM-P3-LEG</t>
  </si>
  <si>
    <t xml:space="preserve">GUE-ARM-P4-COM</t>
  </si>
  <si>
    <t xml:space="preserve">GUE-ARM-P4-RAR</t>
  </si>
  <si>
    <t xml:space="preserve">GUE-ARM-P4-SRA</t>
  </si>
  <si>
    <t xml:space="preserve">GUE-ARM-P4-EPI</t>
  </si>
  <si>
    <t xml:space="preserve">GUE-ARM-P4-MYT</t>
  </si>
  <si>
    <t xml:space="preserve">GUE-ARM-P4-LEG</t>
  </si>
  <si>
    <t xml:space="preserve">GUE-ARM-P5-COM</t>
  </si>
  <si>
    <t xml:space="preserve">GUE-ARM-P5-RAR</t>
  </si>
  <si>
    <t xml:space="preserve">GUE-ARM-P5-SRA</t>
  </si>
  <si>
    <t xml:space="preserve">GUE-ARM-P5-EPI</t>
  </si>
  <si>
    <t xml:space="preserve">GUE-ARM-P5-MYT</t>
  </si>
  <si>
    <t xml:space="preserve">GUE-ARM-P5-LEG</t>
  </si>
  <si>
    <t xml:space="preserve">GUE-ARM-UNI</t>
  </si>
  <si>
    <t xml:space="preserve">GUE-PAN-P1-COM</t>
  </si>
  <si>
    <t xml:space="preserve">Pantalon</t>
  </si>
  <si>
    <t xml:space="preserve">GUE-PAN-P1-RAR</t>
  </si>
  <si>
    <t xml:space="preserve">GUE-PAN-P1-SRA</t>
  </si>
  <si>
    <t xml:space="preserve">GUE-PAN-P1-EPI</t>
  </si>
  <si>
    <t xml:space="preserve">GUE-PAN-P1-MYT</t>
  </si>
  <si>
    <t xml:space="preserve">GUE-PAN-P1-LEG</t>
  </si>
  <si>
    <t xml:space="preserve">GUE-PAN-P2-COM</t>
  </si>
  <si>
    <t xml:space="preserve">GUE-PAN-P2-RAR</t>
  </si>
  <si>
    <t xml:space="preserve">GUE-PAN-P2-SRA</t>
  </si>
  <si>
    <t xml:space="preserve">GUE-PAN-P2-EPI</t>
  </si>
  <si>
    <t xml:space="preserve">GUE-PAN-P2-MYT</t>
  </si>
  <si>
    <t xml:space="preserve">GUE-PAN-P2-LEG</t>
  </si>
  <si>
    <t xml:space="preserve">GUE-PAN-P3-COM</t>
  </si>
  <si>
    <t xml:space="preserve">GUE-PAN-P3-RAR</t>
  </si>
  <si>
    <t xml:space="preserve">GUE-PAN-P3-SRA</t>
  </si>
  <si>
    <t xml:space="preserve">GUE-PAN-P3-EPI</t>
  </si>
  <si>
    <t xml:space="preserve">GUE-PAN-P3-MYT</t>
  </si>
  <si>
    <t xml:space="preserve">GUE-PAN-P3-LEG</t>
  </si>
  <si>
    <t xml:space="preserve">GUE-PAN-P4-COM</t>
  </si>
  <si>
    <t xml:space="preserve">GUE-PAN-P4-RAR</t>
  </si>
  <si>
    <t xml:space="preserve">GUE-PAN-P4-SRA</t>
  </si>
  <si>
    <t xml:space="preserve">GUE-PAN-P4-EPI</t>
  </si>
  <si>
    <t xml:space="preserve">GUE-PAN-P4-MYT</t>
  </si>
  <si>
    <t xml:space="preserve">GUE-PAN-P4-LEG</t>
  </si>
  <si>
    <t xml:space="preserve">GUE-PAN-P5-COM</t>
  </si>
  <si>
    <t xml:space="preserve">GUE-PAN-P5-RAR</t>
  </si>
  <si>
    <t xml:space="preserve">GUE-PAN-P5-SRA</t>
  </si>
  <si>
    <t xml:space="preserve">GUE-PAN-P5-EPI</t>
  </si>
  <si>
    <t xml:space="preserve">GUE-PAN-P5-MYT</t>
  </si>
  <si>
    <t xml:space="preserve">GUE-PAN-P5-LEG</t>
  </si>
  <si>
    <t xml:space="preserve">GUE-PAN-UNI</t>
  </si>
  <si>
    <t xml:space="preserve">GUE-BOT-P1-COM</t>
  </si>
  <si>
    <t xml:space="preserve">Botte</t>
  </si>
  <si>
    <t xml:space="preserve">GUE-BOT-P1-RAR</t>
  </si>
  <si>
    <t xml:space="preserve">GUE-BOT-P1-SRA</t>
  </si>
  <si>
    <t xml:space="preserve">GUE-BOT-P1-EPI</t>
  </si>
  <si>
    <t xml:space="preserve">GUE-BOT-P1-MYT</t>
  </si>
  <si>
    <t xml:space="preserve">GUE-BOT-P1-LEG</t>
  </si>
  <si>
    <t xml:space="preserve">GUE-BOT-P2-COM</t>
  </si>
  <si>
    <t xml:space="preserve">GUE-BOT-P2-RAR</t>
  </si>
  <si>
    <t xml:space="preserve">GUE-BOT-P2-SRA</t>
  </si>
  <si>
    <t xml:space="preserve">GUE-BOT-P2-EPI</t>
  </si>
  <si>
    <t xml:space="preserve">GUE-BOT-P2-MYT</t>
  </si>
  <si>
    <t xml:space="preserve">GUE-BOT-P2-LEG</t>
  </si>
  <si>
    <t xml:space="preserve">GUE-BOT-P3-COM</t>
  </si>
  <si>
    <t xml:space="preserve">GUE-BOT-P3-RAR</t>
  </si>
  <si>
    <t xml:space="preserve">GUE-BOT-P3-SRA</t>
  </si>
  <si>
    <t xml:space="preserve">GUE-BOT-P3-EPI</t>
  </si>
  <si>
    <t xml:space="preserve">GUE-BOT-P3-MYT</t>
  </si>
  <si>
    <t xml:space="preserve">GUE-BOT-P3-LEG</t>
  </si>
  <si>
    <t xml:space="preserve">GUE-BOT-P4-COM</t>
  </si>
  <si>
    <t xml:space="preserve">GUE-BOT-P4-RAR</t>
  </si>
  <si>
    <t xml:space="preserve">GUE-BOT-P4-SRA</t>
  </si>
  <si>
    <t xml:space="preserve">GUE-BOT-P4-EPI</t>
  </si>
  <si>
    <t xml:space="preserve">GUE-BOT-P4-MYT</t>
  </si>
  <si>
    <t xml:space="preserve">GUE-BOT-P4-LEG</t>
  </si>
  <si>
    <t xml:space="preserve">GUE-BOT-P5-COM</t>
  </si>
  <si>
    <t xml:space="preserve">GUE-BOT-P5-RAR</t>
  </si>
  <si>
    <t xml:space="preserve">GUE-BOT-P5-SRA</t>
  </si>
  <si>
    <t xml:space="preserve">GUE-BOT-P5-EPI</t>
  </si>
  <si>
    <t xml:space="preserve">GUE-BOT-P5-MYT</t>
  </si>
  <si>
    <t xml:space="preserve">GUE-BOT-P5-LEG</t>
  </si>
  <si>
    <t xml:space="preserve">GUE-BOT-UNI</t>
  </si>
  <si>
    <t xml:space="preserve">GUE-COL-P1-COM</t>
  </si>
  <si>
    <t xml:space="preserve">Collier</t>
  </si>
  <si>
    <t xml:space="preserve">GUE-COL-P1-RAR</t>
  </si>
  <si>
    <t xml:space="preserve">GUE-COL-P1-SRA</t>
  </si>
  <si>
    <t xml:space="preserve">GUE-COL-P1-EPI</t>
  </si>
  <si>
    <t xml:space="preserve">GUE-COL-P1-MYT</t>
  </si>
  <si>
    <t xml:space="preserve">GUE-COL-P1-LEG</t>
  </si>
  <si>
    <t xml:space="preserve">GUE-COL-P2-COM</t>
  </si>
  <si>
    <t xml:space="preserve">GUE-COL-P2-RAR</t>
  </si>
  <si>
    <t xml:space="preserve">GUE-COL-P2-SRA</t>
  </si>
  <si>
    <t xml:space="preserve">GUE-COL-P2-EPI</t>
  </si>
  <si>
    <t xml:space="preserve">GUE-COL-P2-MYT</t>
  </si>
  <si>
    <t xml:space="preserve">GUE-COL-P2-LEG</t>
  </si>
  <si>
    <t xml:space="preserve">GUE-COL-P3-COM</t>
  </si>
  <si>
    <t xml:space="preserve">GUE-COL-P3-RAR</t>
  </si>
  <si>
    <t xml:space="preserve">GUE-COL-P3-SRA</t>
  </si>
  <si>
    <t xml:space="preserve">GUE-COL-P3-EPI</t>
  </si>
  <si>
    <t xml:space="preserve">GUE-COL-P3-MYT</t>
  </si>
  <si>
    <t xml:space="preserve">GUE-COL-P3-LEG</t>
  </si>
  <si>
    <t xml:space="preserve">GUE-COL-P4-COM</t>
  </si>
  <si>
    <t xml:space="preserve">GUE-COL-P4-RAR</t>
  </si>
  <si>
    <t xml:space="preserve">GUE-COL-P4-SRA</t>
  </si>
  <si>
    <t xml:space="preserve">GUE-COL-P4-EPI</t>
  </si>
  <si>
    <t xml:space="preserve">GUE-COL-P4-MYT</t>
  </si>
  <si>
    <t xml:space="preserve">GUE-COL-P4-LEG</t>
  </si>
  <si>
    <t xml:space="preserve">GUE-COL-P5-COM</t>
  </si>
  <si>
    <t xml:space="preserve">GUE-COL-P5-RAR</t>
  </si>
  <si>
    <t xml:space="preserve">GUE-COL-P5-SRA</t>
  </si>
  <si>
    <t xml:space="preserve">GUE-COL-P5-EPI</t>
  </si>
  <si>
    <t xml:space="preserve">GUE-COL-P5-MYT</t>
  </si>
  <si>
    <t xml:space="preserve">GUE-COL-P5-LEG</t>
  </si>
  <si>
    <t xml:space="preserve">GUE-COL-UNI</t>
  </si>
  <si>
    <t xml:space="preserve">GUE-AN1-P1-COM</t>
  </si>
  <si>
    <t xml:space="preserve">Anneau 1</t>
  </si>
  <si>
    <t xml:space="preserve">GUE-AN1-P1-RAR</t>
  </si>
  <si>
    <t xml:space="preserve">GUE-AN1-P1-SRA</t>
  </si>
  <si>
    <t xml:space="preserve">GUE-AN1-P1-EPI</t>
  </si>
  <si>
    <t xml:space="preserve">GUE-AN1-P1-MYT</t>
  </si>
  <si>
    <t xml:space="preserve">GUE-AN1-P1-LEG</t>
  </si>
  <si>
    <t xml:space="preserve">GUE-AN1-P2-COM</t>
  </si>
  <si>
    <t xml:space="preserve">GUE-AN1-P2-RAR</t>
  </si>
  <si>
    <t xml:space="preserve">GUE-AN1-P2-SRA</t>
  </si>
  <si>
    <t xml:space="preserve">GUE-AN1-P2-EPI</t>
  </si>
  <si>
    <t xml:space="preserve">GUE-AN1-P2-MYT</t>
  </si>
  <si>
    <t xml:space="preserve">GUE-AN1-P2-LEG</t>
  </si>
  <si>
    <t xml:space="preserve">GUE-AN1-P3-COM</t>
  </si>
  <si>
    <t xml:space="preserve">GUE-AN1-P3-RAR</t>
  </si>
  <si>
    <t xml:space="preserve">GUE-AN1-P3-SRA</t>
  </si>
  <si>
    <t xml:space="preserve">GUE-AN1-P3-EPI</t>
  </si>
  <si>
    <t xml:space="preserve">GUE-AN1-P3-MYT</t>
  </si>
  <si>
    <t xml:space="preserve">GUE-AN1-P3-LEG</t>
  </si>
  <si>
    <t xml:space="preserve">GUE-AN1-P4-COM</t>
  </si>
  <si>
    <t xml:space="preserve">GUE-AN1-P4-RAR</t>
  </si>
  <si>
    <t xml:space="preserve">GUE-AN1-P4-SRA</t>
  </si>
  <si>
    <t xml:space="preserve">GUE-AN1-P4-EPI</t>
  </si>
  <si>
    <t xml:space="preserve">GUE-AN1-P4-MYT</t>
  </si>
  <si>
    <t xml:space="preserve">GUE-AN1-P4-LEG</t>
  </si>
  <si>
    <t xml:space="preserve">GUE-AN1-P5-COM</t>
  </si>
  <si>
    <t xml:space="preserve">GUE-AN1-P5-RAR</t>
  </si>
  <si>
    <t xml:space="preserve">GUE-AN1-P5-SRA</t>
  </si>
  <si>
    <t xml:space="preserve">GUE-AN1-P5-EPI</t>
  </si>
  <si>
    <t xml:space="preserve">GUE-AN1-P5-MYT</t>
  </si>
  <si>
    <t xml:space="preserve">GUE-AN1-P5-LEG</t>
  </si>
  <si>
    <t xml:space="preserve">GUE-AN1-UNI</t>
  </si>
  <si>
    <t xml:space="preserve">GUE-AN2-P1-COM</t>
  </si>
  <si>
    <t xml:space="preserve">Anneau 2</t>
  </si>
  <si>
    <t xml:space="preserve">GUE-AN2-P1-RAR</t>
  </si>
  <si>
    <t xml:space="preserve">GUE-AN2-P1-SRA</t>
  </si>
  <si>
    <t xml:space="preserve">GUE-AN2-P1-EPI</t>
  </si>
  <si>
    <t xml:space="preserve">GUE-AN2-P1-MYT</t>
  </si>
  <si>
    <t xml:space="preserve">GUE-AN2-P1-LEG</t>
  </si>
  <si>
    <t xml:space="preserve">GUE-AN2-P2-COM</t>
  </si>
  <si>
    <t xml:space="preserve">GUE-AN2-P2-RAR</t>
  </si>
  <si>
    <t xml:space="preserve">GUE-AN2-P2-SRA</t>
  </si>
  <si>
    <t xml:space="preserve">GUE-AN2-P2-EPI</t>
  </si>
  <si>
    <t xml:space="preserve">GUE-AN2-P2-MYT</t>
  </si>
  <si>
    <t xml:space="preserve">GUE-AN2-P2-LEG</t>
  </si>
  <si>
    <t xml:space="preserve">GUE-AN2-P3-COM</t>
  </si>
  <si>
    <t xml:space="preserve">GUE-AN2-P3-RAR</t>
  </si>
  <si>
    <t xml:space="preserve">GUE-AN2-P3-SRA</t>
  </si>
  <si>
    <t xml:space="preserve">GUE-AN2-P3-EPI</t>
  </si>
  <si>
    <t xml:space="preserve">GUE-AN2-P3-MYT</t>
  </si>
  <si>
    <t xml:space="preserve">GUE-AN2-P3-LEG</t>
  </si>
  <si>
    <t xml:space="preserve">GUE-AN2-P4-COM</t>
  </si>
  <si>
    <t xml:space="preserve">GUE-AN2-P4-RAR</t>
  </si>
  <si>
    <t xml:space="preserve">GUE-AN2-P4-SRA</t>
  </si>
  <si>
    <t xml:space="preserve">GUE-AN2-P4-EPI</t>
  </si>
  <si>
    <t xml:space="preserve">GUE-AN2-P4-MYT</t>
  </si>
  <si>
    <t xml:space="preserve">GUE-AN2-P4-LEG</t>
  </si>
  <si>
    <t xml:space="preserve">GUE-AN2-P5-COM</t>
  </si>
  <si>
    <t xml:space="preserve">GUE-AN2-P5-RAR</t>
  </si>
  <si>
    <t xml:space="preserve">GUE-AN2-P5-SRA</t>
  </si>
  <si>
    <t xml:space="preserve">GUE-AN2-P5-EPI</t>
  </si>
  <si>
    <t xml:space="preserve">GUE-AN2-P5-MYT</t>
  </si>
  <si>
    <t xml:space="preserve">GUE-AN2-P5-LEG</t>
  </si>
  <si>
    <t xml:space="preserve">GUE-AN2-UNI</t>
  </si>
  <si>
    <t xml:space="preserve">GUE-CEI-P1-COM</t>
  </si>
  <si>
    <t xml:space="preserve">Ceinture</t>
  </si>
  <si>
    <t xml:space="preserve">GUE-CEI-P1-RAR</t>
  </si>
  <si>
    <t xml:space="preserve">GUE-CEI-P1-SRA</t>
  </si>
  <si>
    <t xml:space="preserve">GUE-CEI-P1-EPI</t>
  </si>
  <si>
    <t xml:space="preserve">GUE-CEI-P1-MYT</t>
  </si>
  <si>
    <t xml:space="preserve">GUE-CEI-P1-LEG</t>
  </si>
  <si>
    <t xml:space="preserve">GUE-CEI-P2-COM</t>
  </si>
  <si>
    <t xml:space="preserve">GUE-CEI-P2-RAR</t>
  </si>
  <si>
    <t xml:space="preserve">GUE-CEI-P2-SRA</t>
  </si>
  <si>
    <t xml:space="preserve">GUE-CEI-P2-EPI</t>
  </si>
  <si>
    <t xml:space="preserve">GUE-CEI-P2-MYT</t>
  </si>
  <si>
    <t xml:space="preserve">GUE-CEI-P2-LEG</t>
  </si>
  <si>
    <t xml:space="preserve">GUE-CEI-P3-COM</t>
  </si>
  <si>
    <t xml:space="preserve">GUE-CEI-P3-RAR</t>
  </si>
  <si>
    <t xml:space="preserve">GUE-CEI-P3-SRA</t>
  </si>
  <si>
    <t xml:space="preserve">GUE-CEI-P3-EPI</t>
  </si>
  <si>
    <t xml:space="preserve">GUE-CEI-P3-MYT</t>
  </si>
  <si>
    <t xml:space="preserve">GUE-CEI-P3-LEG</t>
  </si>
  <si>
    <t xml:space="preserve">GUE-CEI-P4-COM</t>
  </si>
  <si>
    <t xml:space="preserve">GUE-CEI-P4-RAR</t>
  </si>
  <si>
    <t xml:space="preserve">GUE-CEI-P4-SRA</t>
  </si>
  <si>
    <t xml:space="preserve">GUE-CEI-P4-EPI</t>
  </si>
  <si>
    <t xml:space="preserve">GUE-CEI-P4-MYT</t>
  </si>
  <si>
    <t xml:space="preserve">GUE-CEI-P4-LEG</t>
  </si>
  <si>
    <t xml:space="preserve">GUE-CEI-P5-COM</t>
  </si>
  <si>
    <t xml:space="preserve">GUE-CEI-P5-RAR</t>
  </si>
  <si>
    <t xml:space="preserve">GUE-CEI-P5-SRA</t>
  </si>
  <si>
    <t xml:space="preserve">GUE-CEI-P5-EPI</t>
  </si>
  <si>
    <t xml:space="preserve">GUE-CEI-P5-MYT</t>
  </si>
  <si>
    <t xml:space="preserve">GUE-CEI-P5-LEG</t>
  </si>
  <si>
    <t xml:space="preserve">GUE-CEI-UNI</t>
  </si>
  <si>
    <t xml:space="preserve">GUE-AR1-P1-COM</t>
  </si>
  <si>
    <t xml:space="preserve">Arme 1</t>
  </si>
  <si>
    <t xml:space="preserve">GUE-AR1-P1-RAR</t>
  </si>
  <si>
    <t xml:space="preserve">GUE-AR1-P1-SRA</t>
  </si>
  <si>
    <t xml:space="preserve">GUE-AR1-P1-EPI</t>
  </si>
  <si>
    <t xml:space="preserve">GUE-AR1-P1-MYT</t>
  </si>
  <si>
    <t xml:space="preserve">GUE-AR1-P1-LEG</t>
  </si>
  <si>
    <t xml:space="preserve">GUE-AR1-P2-COM</t>
  </si>
  <si>
    <t xml:space="preserve">GUE-AR1-P2-RAR</t>
  </si>
  <si>
    <t xml:space="preserve">GUE-AR1-P2-SRA</t>
  </si>
  <si>
    <t xml:space="preserve">GUE-AR1-P2-EPI</t>
  </si>
  <si>
    <t xml:space="preserve">GUE-AR1-P2-MYT</t>
  </si>
  <si>
    <t xml:space="preserve">GUE-AR1-P2-LEG</t>
  </si>
  <si>
    <t xml:space="preserve">GUE-AR1-P3-COM</t>
  </si>
  <si>
    <t xml:space="preserve">GUE-AR1-P3-RAR</t>
  </si>
  <si>
    <t xml:space="preserve">GUE-AR1-P3-SRA</t>
  </si>
  <si>
    <t xml:space="preserve">GUE-AR1-P3-EPI</t>
  </si>
  <si>
    <t xml:space="preserve">GUE-AR1-P3-MYT</t>
  </si>
  <si>
    <t xml:space="preserve">GUE-AR1-P3-LEG</t>
  </si>
  <si>
    <t xml:space="preserve">GUE-AR1-P4-COM</t>
  </si>
  <si>
    <t xml:space="preserve">GUE-AR1-P4-RAR</t>
  </si>
  <si>
    <t xml:space="preserve">GUE-AR1-P4-SRA</t>
  </si>
  <si>
    <t xml:space="preserve">GUE-AR1-P4-EPI</t>
  </si>
  <si>
    <t xml:space="preserve">GUE-AR1-P4-MYT</t>
  </si>
  <si>
    <t xml:space="preserve">GUE-AR1-P4-LEG</t>
  </si>
  <si>
    <t xml:space="preserve">GUE-AR1-P5-COM</t>
  </si>
  <si>
    <t xml:space="preserve">GUE-AR1-P5-RAR</t>
  </si>
  <si>
    <t xml:space="preserve">GUE-AR1-P5-SRA</t>
  </si>
  <si>
    <t xml:space="preserve">GUE-AR1-P5-EPI</t>
  </si>
  <si>
    <t xml:space="preserve">GUE-AR1-P5-MYT</t>
  </si>
  <si>
    <t xml:space="preserve">GUE-AR1-P5-LEG</t>
  </si>
  <si>
    <t xml:space="preserve">GUE-AR1-UNI</t>
  </si>
  <si>
    <t xml:space="preserve">GUE-AR2-P1-COM</t>
  </si>
  <si>
    <t xml:space="preserve">Arme 2</t>
  </si>
  <si>
    <t xml:space="preserve">GUE-AR2-P1-RAR</t>
  </si>
  <si>
    <t xml:space="preserve">GUE-AR2-P1-SRA</t>
  </si>
  <si>
    <t xml:space="preserve">GUE-AR2-P1-EPI</t>
  </si>
  <si>
    <t xml:space="preserve">GUE-AR2-P1-MYT</t>
  </si>
  <si>
    <t xml:space="preserve">GUE-AR2-P1-LEG</t>
  </si>
  <si>
    <t xml:space="preserve">GUE-AR2-P2-COM</t>
  </si>
  <si>
    <t xml:space="preserve">GUE-AR2-P2-RAR</t>
  </si>
  <si>
    <t xml:space="preserve">GUE-AR2-P2-SRA</t>
  </si>
  <si>
    <t xml:space="preserve">GUE-AR2-P2-EPI</t>
  </si>
  <si>
    <t xml:space="preserve">GUE-AR2-P2-MYT</t>
  </si>
  <si>
    <t xml:space="preserve">GUE-AR2-P2-LEG</t>
  </si>
  <si>
    <t xml:space="preserve">GUE-AR2-P3-COM</t>
  </si>
  <si>
    <t xml:space="preserve">GUE-AR2-P3-RAR</t>
  </si>
  <si>
    <t xml:space="preserve">GUE-AR2-P3-SRA</t>
  </si>
  <si>
    <t xml:space="preserve">GUE-AR2-P3-EPI</t>
  </si>
  <si>
    <t xml:space="preserve">GUE-AR2-P3-MYT</t>
  </si>
  <si>
    <t xml:space="preserve">GUE-AR2-P3-LEG</t>
  </si>
  <si>
    <t xml:space="preserve">GUE-AR2-P4-COM</t>
  </si>
  <si>
    <t xml:space="preserve">GUE-AR2-P4-RAR</t>
  </si>
  <si>
    <t xml:space="preserve">GUE-AR2-P4-SRA</t>
  </si>
  <si>
    <t xml:space="preserve">GUE-AR2-P4-EPI</t>
  </si>
  <si>
    <t xml:space="preserve">GUE-AR2-P4-MYT</t>
  </si>
  <si>
    <t xml:space="preserve">GUE-AR2-P4-LEG</t>
  </si>
  <si>
    <t xml:space="preserve">GUE-AR2-P5-COM</t>
  </si>
  <si>
    <t xml:space="preserve">GUE-AR2-P5-RAR</t>
  </si>
  <si>
    <t xml:space="preserve">GUE-AR2-P5-SRA</t>
  </si>
  <si>
    <t xml:space="preserve">GUE-AR2-P5-EPI</t>
  </si>
  <si>
    <t xml:space="preserve">GUE-AR2-P5-MYT</t>
  </si>
  <si>
    <t xml:space="preserve">GUE-AR2-P5-LEG</t>
  </si>
  <si>
    <t xml:space="preserve">GUE-AR2-UNI</t>
  </si>
  <si>
    <t xml:space="preserve">MAG-CHA-P1-COM</t>
  </si>
  <si>
    <t xml:space="preserve">MAG-CHA-P1-RAR</t>
  </si>
  <si>
    <t xml:space="preserve">MAG-CHA-P1-SRA</t>
  </si>
  <si>
    <t xml:space="preserve">MAG-CHA-P1-EPI</t>
  </si>
  <si>
    <t xml:space="preserve">MAG-CHA-P1-MYT</t>
  </si>
  <si>
    <t xml:space="preserve">MAG-CHA-P1-LEG</t>
  </si>
  <si>
    <t xml:space="preserve">MAG-CHA-P2-COM</t>
  </si>
  <si>
    <t xml:space="preserve">MAG-CHA-P2-RAR</t>
  </si>
  <si>
    <t xml:space="preserve">MAG-CHA-P2-SRA</t>
  </si>
  <si>
    <t xml:space="preserve">MAG-CHA-P2-EPI</t>
  </si>
  <si>
    <t xml:space="preserve">MAG-CHA-P2-MYT</t>
  </si>
  <si>
    <t xml:space="preserve">MAG-CHA-P2-LEG</t>
  </si>
  <si>
    <t xml:space="preserve">MAG-CHA-P3-COM</t>
  </si>
  <si>
    <t xml:space="preserve">MAG-CHA-P3-RAR</t>
  </si>
  <si>
    <t xml:space="preserve">MAG-CHA-P3-SRA</t>
  </si>
  <si>
    <t xml:space="preserve">MAG-CHA-P3-EPI</t>
  </si>
  <si>
    <t xml:space="preserve">MAG-CHA-P3-MYT</t>
  </si>
  <si>
    <t xml:space="preserve">MAG-CHA-P3-LEG</t>
  </si>
  <si>
    <t xml:space="preserve">MAG-CHA-P4-COM</t>
  </si>
  <si>
    <t xml:space="preserve">MAG-CHA-P4-RAR</t>
  </si>
  <si>
    <t xml:space="preserve">MAG-CHA-P4-SRA</t>
  </si>
  <si>
    <t xml:space="preserve">MAG-CHA-P4-EPI</t>
  </si>
  <si>
    <t xml:space="preserve">MAG-CHA-P4-MYT</t>
  </si>
  <si>
    <t xml:space="preserve">MAG-CHA-P4-LEG</t>
  </si>
  <si>
    <t xml:space="preserve">MAG-CHA-P5-COM</t>
  </si>
  <si>
    <t xml:space="preserve">MAG-CHA-P5-RAR</t>
  </si>
  <si>
    <t xml:space="preserve">MAG-CHA-P5-SRA</t>
  </si>
  <si>
    <t xml:space="preserve">MAG-CHA-P5-EPI</t>
  </si>
  <si>
    <t xml:space="preserve">MAG-CHA-P5-MYT</t>
  </si>
  <si>
    <t xml:space="preserve">MAG-CHA-P5-LEG</t>
  </si>
  <si>
    <t xml:space="preserve">MAG-CHA-UNI</t>
  </si>
  <si>
    <t xml:space="preserve">MAG-ARM-P1-COM</t>
  </si>
  <si>
    <t xml:space="preserve">MAG-ARM-P1-RAR</t>
  </si>
  <si>
    <t xml:space="preserve">MAG-ARM-P1-SRA</t>
  </si>
  <si>
    <t xml:space="preserve">MAG-ARM-P1-EPI</t>
  </si>
  <si>
    <t xml:space="preserve">MAG-ARM-P1-MYT</t>
  </si>
  <si>
    <t xml:space="preserve">MAG-ARM-P1-LEG</t>
  </si>
  <si>
    <t xml:space="preserve">MAG-ARM-P2-COM</t>
  </si>
  <si>
    <t xml:space="preserve">MAG-ARM-P2-RAR</t>
  </si>
  <si>
    <t xml:space="preserve">MAG-ARM-P2-SRA</t>
  </si>
  <si>
    <t xml:space="preserve">MAG-ARM-P2-EPI</t>
  </si>
  <si>
    <t xml:space="preserve">MAG-ARM-P2-MYT</t>
  </si>
  <si>
    <t xml:space="preserve">MAG-ARM-P2-LEG</t>
  </si>
  <si>
    <t xml:space="preserve">MAG-ARM-P3-COM</t>
  </si>
  <si>
    <t xml:space="preserve">MAG-ARM-P3-RAR</t>
  </si>
  <si>
    <t xml:space="preserve">MAG-ARM-P3-SRA</t>
  </si>
  <si>
    <t xml:space="preserve">MAG-ARM-P3-EPI</t>
  </si>
  <si>
    <t xml:space="preserve">MAG-ARM-P3-MYT</t>
  </si>
  <si>
    <t xml:space="preserve">MAG-ARM-P3-LEG</t>
  </si>
  <si>
    <t xml:space="preserve">MAG-ARM-P4-COM</t>
  </si>
  <si>
    <t xml:space="preserve">MAG-ARM-P4-RAR</t>
  </si>
  <si>
    <t xml:space="preserve">MAG-ARM-P4-SRA</t>
  </si>
  <si>
    <t xml:space="preserve">MAG-ARM-P4-EPI</t>
  </si>
  <si>
    <t xml:space="preserve">MAG-ARM-P4-MYT</t>
  </si>
  <si>
    <t xml:space="preserve">MAG-ARM-P4-LEG</t>
  </si>
  <si>
    <t xml:space="preserve">MAG-ARM-P5-COM</t>
  </si>
  <si>
    <t xml:space="preserve">MAG-ARM-P5-RAR</t>
  </si>
  <si>
    <t xml:space="preserve">MAG-ARM-P5-SRA</t>
  </si>
  <si>
    <t xml:space="preserve">MAG-ARM-P5-EPI</t>
  </si>
  <si>
    <t xml:space="preserve">MAG-ARM-P5-MYT</t>
  </si>
  <si>
    <t xml:space="preserve">MAG-ARM-P5-LEG</t>
  </si>
  <si>
    <t xml:space="preserve">MAG-ARM-UNI</t>
  </si>
  <si>
    <t xml:space="preserve">MAG-PAN-P1-COM</t>
  </si>
  <si>
    <t xml:space="preserve">MAG-PAN-P1-RAR</t>
  </si>
  <si>
    <t xml:space="preserve">MAG-PAN-P1-SRA</t>
  </si>
  <si>
    <t xml:space="preserve">MAG-PAN-P1-EPI</t>
  </si>
  <si>
    <t xml:space="preserve">MAG-PAN-P1-MYT</t>
  </si>
  <si>
    <t xml:space="preserve">MAG-PAN-P1-LEG</t>
  </si>
  <si>
    <t xml:space="preserve">MAG-PAN-P2-COM</t>
  </si>
  <si>
    <t xml:space="preserve">MAG-PAN-P2-RAR</t>
  </si>
  <si>
    <t xml:space="preserve">MAG-PAN-P2-SRA</t>
  </si>
  <si>
    <t xml:space="preserve">MAG-PAN-P2-EPI</t>
  </si>
  <si>
    <t xml:space="preserve">MAG-PAN-P2-MYT</t>
  </si>
  <si>
    <t xml:space="preserve">MAG-PAN-P2-LEG</t>
  </si>
  <si>
    <t xml:space="preserve">MAG-PAN-P3-COM</t>
  </si>
  <si>
    <t xml:space="preserve">MAG-PAN-P3-RAR</t>
  </si>
  <si>
    <t xml:space="preserve">MAG-PAN-P3-SRA</t>
  </si>
  <si>
    <t xml:space="preserve">MAG-PAN-P3-EPI</t>
  </si>
  <si>
    <t xml:space="preserve">MAG-PAN-P3-MYT</t>
  </si>
  <si>
    <t xml:space="preserve">MAG-PAN-P3-LEG</t>
  </si>
  <si>
    <t xml:space="preserve">MAG-PAN-P4-COM</t>
  </si>
  <si>
    <t xml:space="preserve">MAG-PAN-P4-RAR</t>
  </si>
  <si>
    <t xml:space="preserve">MAG-PAN-P4-SRA</t>
  </si>
  <si>
    <t xml:space="preserve">MAG-PAN-P4-EPI</t>
  </si>
  <si>
    <t xml:space="preserve">MAG-PAN-P4-MYT</t>
  </si>
  <si>
    <t xml:space="preserve">MAG-PAN-P4-LEG</t>
  </si>
  <si>
    <t xml:space="preserve">MAG-PAN-P5-COM</t>
  </si>
  <si>
    <t xml:space="preserve">MAG-PAN-P5-RAR</t>
  </si>
  <si>
    <t xml:space="preserve">MAG-PAN-P5-SRA</t>
  </si>
  <si>
    <t xml:space="preserve">MAG-PAN-P5-EPI</t>
  </si>
  <si>
    <t xml:space="preserve">MAG-PAN-P5-MYT</t>
  </si>
  <si>
    <t xml:space="preserve">MAG-PAN-P5-LEG</t>
  </si>
  <si>
    <t xml:space="preserve">MAG-PAN-UNI</t>
  </si>
  <si>
    <t xml:space="preserve">MAG-BOT-P1-COM</t>
  </si>
  <si>
    <t xml:space="preserve">MAG-BOT-P1-RAR</t>
  </si>
  <si>
    <t xml:space="preserve">MAG-BOT-P1-SRA</t>
  </si>
  <si>
    <t xml:space="preserve">MAG-BOT-P1-EPI</t>
  </si>
  <si>
    <t xml:space="preserve">MAG-BOT-P1-MYT</t>
  </si>
  <si>
    <t xml:space="preserve">MAG-BOT-P1-LEG</t>
  </si>
  <si>
    <t xml:space="preserve">MAG-BOT-P2-COM</t>
  </si>
  <si>
    <t xml:space="preserve">MAG-BOT-P2-RAR</t>
  </si>
  <si>
    <t xml:space="preserve">MAG-BOT-P2-SRA</t>
  </si>
  <si>
    <t xml:space="preserve">MAG-BOT-P2-EPI</t>
  </si>
  <si>
    <t xml:space="preserve">MAG-BOT-P2-MYT</t>
  </si>
  <si>
    <t xml:space="preserve">MAG-BOT-P2-LEG</t>
  </si>
  <si>
    <t xml:space="preserve">MAG-BOT-P3-COM</t>
  </si>
  <si>
    <t xml:space="preserve">MAG-BOT-P3-RAR</t>
  </si>
  <si>
    <t xml:space="preserve">MAG-BOT-P3-SRA</t>
  </si>
  <si>
    <t xml:space="preserve">MAG-BOT-P3-EPI</t>
  </si>
  <si>
    <t xml:space="preserve">MAG-BOT-P3-MYT</t>
  </si>
  <si>
    <t xml:space="preserve">MAG-BOT-P3-LEG</t>
  </si>
  <si>
    <t xml:space="preserve">MAG-BOT-P4-COM</t>
  </si>
  <si>
    <t xml:space="preserve">MAG-BOT-P4-RAR</t>
  </si>
  <si>
    <t xml:space="preserve">MAG-BOT-P4-SRA</t>
  </si>
  <si>
    <t xml:space="preserve">MAG-BOT-P4-EPI</t>
  </si>
  <si>
    <t xml:space="preserve">MAG-BOT-P4-MYT</t>
  </si>
  <si>
    <t xml:space="preserve">MAG-BOT-P4-LEG</t>
  </si>
  <si>
    <t xml:space="preserve">MAG-BOT-P5-COM</t>
  </si>
  <si>
    <t xml:space="preserve">MAG-BOT-P5-RAR</t>
  </si>
  <si>
    <t xml:space="preserve">MAG-BOT-P5-SRA</t>
  </si>
  <si>
    <t xml:space="preserve">MAG-BOT-P5-EPI</t>
  </si>
  <si>
    <t xml:space="preserve">MAG-BOT-P5-MYT</t>
  </si>
  <si>
    <t xml:space="preserve">MAG-BOT-P5-LEG</t>
  </si>
  <si>
    <t xml:space="preserve">MAG-BOT-UNI</t>
  </si>
  <si>
    <t xml:space="preserve">MAG-COL-P1-COM</t>
  </si>
  <si>
    <t xml:space="preserve">MAG-COL-P1-RAR</t>
  </si>
  <si>
    <t xml:space="preserve">MAG-COL-P1-SRA</t>
  </si>
  <si>
    <t xml:space="preserve">MAG-COL-P1-EPI</t>
  </si>
  <si>
    <t xml:space="preserve">MAG-COL-P1-MYT</t>
  </si>
  <si>
    <t xml:space="preserve">MAG-COL-P1-LEG</t>
  </si>
  <si>
    <t xml:space="preserve">MAG-COL-P2-COM</t>
  </si>
  <si>
    <t xml:space="preserve">MAG-COL-P2-RAR</t>
  </si>
  <si>
    <t xml:space="preserve">MAG-COL-P2-SRA</t>
  </si>
  <si>
    <t xml:space="preserve">MAG-COL-P2-EPI</t>
  </si>
  <si>
    <t xml:space="preserve">MAG-COL-P2-MYT</t>
  </si>
  <si>
    <t xml:space="preserve">MAG-COL-P2-LEG</t>
  </si>
  <si>
    <t xml:space="preserve">MAG-COL-P3-COM</t>
  </si>
  <si>
    <t xml:space="preserve">MAG-COL-P3-RAR</t>
  </si>
  <si>
    <t xml:space="preserve">MAG-COL-P3-SRA</t>
  </si>
  <si>
    <t xml:space="preserve">MAG-COL-P3-EPI</t>
  </si>
  <si>
    <t xml:space="preserve">MAG-COL-P3-MYT</t>
  </si>
  <si>
    <t xml:space="preserve">MAG-COL-P3-LEG</t>
  </si>
  <si>
    <t xml:space="preserve">MAG-COL-P4-COM</t>
  </si>
  <si>
    <t xml:space="preserve">MAG-COL-P4-RAR</t>
  </si>
  <si>
    <t xml:space="preserve">MAG-COL-P4-SRA</t>
  </si>
  <si>
    <t xml:space="preserve">MAG-COL-P4-EPI</t>
  </si>
  <si>
    <t xml:space="preserve">MAG-COL-P4-MYT</t>
  </si>
  <si>
    <t xml:space="preserve">MAG-COL-P4-LEG</t>
  </si>
  <si>
    <t xml:space="preserve">MAG-COL-P5-COM</t>
  </si>
  <si>
    <t xml:space="preserve">MAG-COL-P5-RAR</t>
  </si>
  <si>
    <t xml:space="preserve">MAG-COL-P5-SRA</t>
  </si>
  <si>
    <t xml:space="preserve">MAG-COL-P5-EPI</t>
  </si>
  <si>
    <t xml:space="preserve">MAG-COL-P5-MYT</t>
  </si>
  <si>
    <t xml:space="preserve">MAG-COL-P5-LEG</t>
  </si>
  <si>
    <t xml:space="preserve">MAG-COL-UNI</t>
  </si>
  <si>
    <t xml:space="preserve">MAG-AN1-P1-COM</t>
  </si>
  <si>
    <t xml:space="preserve">MAG-AN1-P1-RAR</t>
  </si>
  <si>
    <t xml:space="preserve">MAG-AN1-P1-SRA</t>
  </si>
  <si>
    <t xml:space="preserve">MAG-AN1-P1-EPI</t>
  </si>
  <si>
    <t xml:space="preserve">MAG-AN1-P1-MYT</t>
  </si>
  <si>
    <t xml:space="preserve">MAG-AN1-P1-LEG</t>
  </si>
  <si>
    <t xml:space="preserve">MAG-AN1-P2-COM</t>
  </si>
  <si>
    <t xml:space="preserve">MAG-AN1-P2-RAR</t>
  </si>
  <si>
    <t xml:space="preserve">MAG-AN1-P2-SRA</t>
  </si>
  <si>
    <t xml:space="preserve">MAG-AN1-P2-EPI</t>
  </si>
  <si>
    <t xml:space="preserve">MAG-AN1-P2-MYT</t>
  </si>
  <si>
    <t xml:space="preserve">MAG-AN1-P2-LEG</t>
  </si>
  <si>
    <t xml:space="preserve">MAG-AN1-P3-COM</t>
  </si>
  <si>
    <t xml:space="preserve">MAG-AN1-P3-RAR</t>
  </si>
  <si>
    <t xml:space="preserve">MAG-AN1-P3-SRA</t>
  </si>
  <si>
    <t xml:space="preserve">MAG-AN1-P3-EPI</t>
  </si>
  <si>
    <t xml:space="preserve">MAG-AN1-P3-MYT</t>
  </si>
  <si>
    <t xml:space="preserve">MAG-AN1-P3-LEG</t>
  </si>
  <si>
    <t xml:space="preserve">MAG-AN1-P4-COM</t>
  </si>
  <si>
    <t xml:space="preserve">MAG-AN1-P4-RAR</t>
  </si>
  <si>
    <t xml:space="preserve">MAG-AN1-P4-SRA</t>
  </si>
  <si>
    <t xml:space="preserve">MAG-AN1-P4-EPI</t>
  </si>
  <si>
    <t xml:space="preserve">MAG-AN1-P4-MYT</t>
  </si>
  <si>
    <t xml:space="preserve">MAG-AN1-P4-LEG</t>
  </si>
  <si>
    <t xml:space="preserve">MAG-AN1-P5-COM</t>
  </si>
  <si>
    <t xml:space="preserve">MAG-AN1-P5-RAR</t>
  </si>
  <si>
    <t xml:space="preserve">MAG-AN1-P5-SRA</t>
  </si>
  <si>
    <t xml:space="preserve">MAG-AN1-P5-EPI</t>
  </si>
  <si>
    <t xml:space="preserve">MAG-AN1-P5-MYT</t>
  </si>
  <si>
    <t xml:space="preserve">MAG-AN1-P5-LEG</t>
  </si>
  <si>
    <t xml:space="preserve">MAG-AN1-UNI</t>
  </si>
  <si>
    <t xml:space="preserve">MAG-AN2-P1-COM</t>
  </si>
  <si>
    <t xml:space="preserve">MAG-AN2-P1-RAR</t>
  </si>
  <si>
    <t xml:space="preserve">MAG-AN2-P1-SRA</t>
  </si>
  <si>
    <t xml:space="preserve">MAG-AN2-P1-EPI</t>
  </si>
  <si>
    <t xml:space="preserve">MAG-AN2-P1-MYT</t>
  </si>
  <si>
    <t xml:space="preserve">MAG-AN2-P1-LEG</t>
  </si>
  <si>
    <t xml:space="preserve">MAG-AN2-P2-COM</t>
  </si>
  <si>
    <t xml:space="preserve">MAG-AN2-P2-RAR</t>
  </si>
  <si>
    <t xml:space="preserve">MAG-AN2-P2-SRA</t>
  </si>
  <si>
    <t xml:space="preserve">MAG-AN2-P2-EPI</t>
  </si>
  <si>
    <t xml:space="preserve">MAG-AN2-P2-MYT</t>
  </si>
  <si>
    <t xml:space="preserve">MAG-AN2-P2-LEG</t>
  </si>
  <si>
    <t xml:space="preserve">MAG-AN2-P3-COM</t>
  </si>
  <si>
    <t xml:space="preserve">MAG-AN2-P3-RAR</t>
  </si>
  <si>
    <t xml:space="preserve">MAG-AN2-P3-SRA</t>
  </si>
  <si>
    <t xml:space="preserve">MAG-AN2-P3-EPI</t>
  </si>
  <si>
    <t xml:space="preserve">MAG-AN2-P3-MYT</t>
  </si>
  <si>
    <t xml:space="preserve">MAG-AN2-P3-LEG</t>
  </si>
  <si>
    <t xml:space="preserve">MAG-AN2-P4-COM</t>
  </si>
  <si>
    <t xml:space="preserve">MAG-AN2-P4-RAR</t>
  </si>
  <si>
    <t xml:space="preserve">MAG-AN2-P4-SRA</t>
  </si>
  <si>
    <t xml:space="preserve">MAG-AN2-P4-EPI</t>
  </si>
  <si>
    <t xml:space="preserve">MAG-AN2-P4-MYT</t>
  </si>
  <si>
    <t xml:space="preserve">MAG-AN2-P4-LEG</t>
  </si>
  <si>
    <t xml:space="preserve">MAG-AN2-P5-COM</t>
  </si>
  <si>
    <t xml:space="preserve">MAG-AN2-P5-RAR</t>
  </si>
  <si>
    <t xml:space="preserve">MAG-AN2-P5-SRA</t>
  </si>
  <si>
    <t xml:space="preserve">MAG-AN2-P5-EPI</t>
  </si>
  <si>
    <t xml:space="preserve">MAG-AN2-P5-MYT</t>
  </si>
  <si>
    <t xml:space="preserve">MAG-AN2-P5-LEG</t>
  </si>
  <si>
    <t xml:space="preserve">MAG-AN2-UNI</t>
  </si>
  <si>
    <t xml:space="preserve">MAG-CEI-P1-COM</t>
  </si>
  <si>
    <t xml:space="preserve">MAG-CEI-P1-RAR</t>
  </si>
  <si>
    <t xml:space="preserve">MAG-CEI-P1-SRA</t>
  </si>
  <si>
    <t xml:space="preserve">MAG-CEI-P1-EPI</t>
  </si>
  <si>
    <t xml:space="preserve">MAG-CEI-P1-MYT</t>
  </si>
  <si>
    <t xml:space="preserve">MAG-CEI-P1-LEG</t>
  </si>
  <si>
    <t xml:space="preserve">MAG-CEI-P2-COM</t>
  </si>
  <si>
    <t xml:space="preserve">MAG-CEI-P2-RAR</t>
  </si>
  <si>
    <t xml:space="preserve">MAG-CEI-P2-SRA</t>
  </si>
  <si>
    <t xml:space="preserve">MAG-CEI-P2-EPI</t>
  </si>
  <si>
    <t xml:space="preserve">MAG-CEI-P2-MYT</t>
  </si>
  <si>
    <t xml:space="preserve">MAG-CEI-P2-LEG</t>
  </si>
  <si>
    <t xml:space="preserve">MAG-CEI-P3-COM</t>
  </si>
  <si>
    <t xml:space="preserve">MAG-CEI-P3-RAR</t>
  </si>
  <si>
    <t xml:space="preserve">MAG-CEI-P3-SRA</t>
  </si>
  <si>
    <t xml:space="preserve">MAG-CEI-P3-EPI</t>
  </si>
  <si>
    <t xml:space="preserve">MAG-CEI-P3-MYT</t>
  </si>
  <si>
    <t xml:space="preserve">MAG-CEI-P3-LEG</t>
  </si>
  <si>
    <t xml:space="preserve">MAG-CEI-P4-COM</t>
  </si>
  <si>
    <t xml:space="preserve">MAG-CEI-P4-RAR</t>
  </si>
  <si>
    <t xml:space="preserve">MAG-CEI-P4-SRA</t>
  </si>
  <si>
    <t xml:space="preserve">MAG-CEI-P4-EPI</t>
  </si>
  <si>
    <t xml:space="preserve">MAG-CEI-P4-MYT</t>
  </si>
  <si>
    <t xml:space="preserve">MAG-CEI-P4-LEG</t>
  </si>
  <si>
    <t xml:space="preserve">MAG-CEI-P5-COM</t>
  </si>
  <si>
    <t xml:space="preserve">MAG-CEI-P5-RAR</t>
  </si>
  <si>
    <t xml:space="preserve">MAG-CEI-P5-SRA</t>
  </si>
  <si>
    <t xml:space="preserve">MAG-CEI-P5-EPI</t>
  </si>
  <si>
    <t xml:space="preserve">MAG-CEI-P5-MYT</t>
  </si>
  <si>
    <t xml:space="preserve">MAG-CEI-P5-LEG</t>
  </si>
  <si>
    <t xml:space="preserve">MAG-CEI-UNI</t>
  </si>
  <si>
    <t xml:space="preserve">MAG-AR1-P1-COM</t>
  </si>
  <si>
    <t xml:space="preserve">MAG-AR1-P1-RAR</t>
  </si>
  <si>
    <t xml:space="preserve">MAG-AR1-P1-SRA</t>
  </si>
  <si>
    <t xml:space="preserve">MAG-AR1-P1-EPI</t>
  </si>
  <si>
    <t xml:space="preserve">MAG-AR1-P1-MYT</t>
  </si>
  <si>
    <t xml:space="preserve">MAG-AR1-P1-LEG</t>
  </si>
  <si>
    <t xml:space="preserve">MAG-AR1-P2-COM</t>
  </si>
  <si>
    <t xml:space="preserve">MAG-AR1-P2-RAR</t>
  </si>
  <si>
    <t xml:space="preserve">MAG-AR1-P2-SRA</t>
  </si>
  <si>
    <t xml:space="preserve">MAG-AR1-P2-EPI</t>
  </si>
  <si>
    <t xml:space="preserve">MAG-AR1-P2-MYT</t>
  </si>
  <si>
    <t xml:space="preserve">MAG-AR1-P2-LEG</t>
  </si>
  <si>
    <t xml:space="preserve">MAG-AR1-P3-COM</t>
  </si>
  <si>
    <t xml:space="preserve">MAG-AR1-P3-RAR</t>
  </si>
  <si>
    <t xml:space="preserve">MAG-AR1-P3-SRA</t>
  </si>
  <si>
    <t xml:space="preserve">MAG-AR1-P3-EPI</t>
  </si>
  <si>
    <t xml:space="preserve">MAG-AR1-P3-MYT</t>
  </si>
  <si>
    <t xml:space="preserve">MAG-AR1-P3-LEG</t>
  </si>
  <si>
    <t xml:space="preserve">MAG-AR1-P4-COM</t>
  </si>
  <si>
    <t xml:space="preserve">MAG-AR1-P4-RAR</t>
  </si>
  <si>
    <t xml:space="preserve">MAG-AR1-P4-SRA</t>
  </si>
  <si>
    <t xml:space="preserve">MAG-AR1-P4-EPI</t>
  </si>
  <si>
    <t xml:space="preserve">MAG-AR1-P4-MYT</t>
  </si>
  <si>
    <t xml:space="preserve">MAG-AR1-P4-LEG</t>
  </si>
  <si>
    <t xml:space="preserve">MAG-AR1-P5-COM</t>
  </si>
  <si>
    <t xml:space="preserve">MAG-AR1-P5-RAR</t>
  </si>
  <si>
    <t xml:space="preserve">MAG-AR1-P5-SRA</t>
  </si>
  <si>
    <t xml:space="preserve">MAG-AR1-P5-EPI</t>
  </si>
  <si>
    <t xml:space="preserve">MAG-AR1-P5-MYT</t>
  </si>
  <si>
    <t xml:space="preserve">MAG-AR1-P5-LEG</t>
  </si>
  <si>
    <t xml:space="preserve">MAG-AR1-UNI</t>
  </si>
  <si>
    <t xml:space="preserve">MAG-AR2-P1-COM</t>
  </si>
  <si>
    <t xml:space="preserve">MAG-AR2-P1-RAR</t>
  </si>
  <si>
    <t xml:space="preserve">MAG-AR2-P1-SRA</t>
  </si>
  <si>
    <t xml:space="preserve">MAG-AR2-P1-EPI</t>
  </si>
  <si>
    <t xml:space="preserve">MAG-AR2-P1-MYT</t>
  </si>
  <si>
    <t xml:space="preserve">MAG-AR2-P1-LEG</t>
  </si>
  <si>
    <t xml:space="preserve">MAG-AR2-P2-COM</t>
  </si>
  <si>
    <t xml:space="preserve">MAG-AR2-P2-RAR</t>
  </si>
  <si>
    <t xml:space="preserve">MAG-AR2-P2-SRA</t>
  </si>
  <si>
    <t xml:space="preserve">MAG-AR2-P2-EPI</t>
  </si>
  <si>
    <t xml:space="preserve">MAG-AR2-P2-MYT</t>
  </si>
  <si>
    <t xml:space="preserve">MAG-AR2-P2-LEG</t>
  </si>
  <si>
    <t xml:space="preserve">MAG-AR2-P3-COM</t>
  </si>
  <si>
    <t xml:space="preserve">MAG-AR2-P3-RAR</t>
  </si>
  <si>
    <t xml:space="preserve">MAG-AR2-P3-SRA</t>
  </si>
  <si>
    <t xml:space="preserve">MAG-AR2-P3-EPI</t>
  </si>
  <si>
    <t xml:space="preserve">MAG-AR2-P3-MYT</t>
  </si>
  <si>
    <t xml:space="preserve">MAG-AR2-P3-LEG</t>
  </si>
  <si>
    <t xml:space="preserve">MAG-AR2-P4-COM</t>
  </si>
  <si>
    <t xml:space="preserve">MAG-AR2-P4-RAR</t>
  </si>
  <si>
    <t xml:space="preserve">MAG-AR2-P4-SRA</t>
  </si>
  <si>
    <t xml:space="preserve">MAG-AR2-P4-EPI</t>
  </si>
  <si>
    <t xml:space="preserve">MAG-AR2-P4-MYT</t>
  </si>
  <si>
    <t xml:space="preserve">MAG-AR2-P4-LEG</t>
  </si>
  <si>
    <t xml:space="preserve">MAG-AR2-P5-COM</t>
  </si>
  <si>
    <t xml:space="preserve">MAG-AR2-P5-RAR</t>
  </si>
  <si>
    <t xml:space="preserve">MAG-AR2-P5-SRA</t>
  </si>
  <si>
    <t xml:space="preserve">MAG-AR2-P5-EPI</t>
  </si>
  <si>
    <t xml:space="preserve">MAG-AR2-P5-MYT</t>
  </si>
  <si>
    <t xml:space="preserve">MAG-AR2-P5-LEG</t>
  </si>
  <si>
    <t xml:space="preserve">MAG-AR2-UNI</t>
  </si>
  <si>
    <t xml:space="preserve">TIR-CHA-P1-COM</t>
  </si>
  <si>
    <t xml:space="preserve">TIR-CHA-P1-RAR</t>
  </si>
  <si>
    <t xml:space="preserve">TIR-CHA-P1-SRA</t>
  </si>
  <si>
    <t xml:space="preserve">TIR-CHA-P1-EPI</t>
  </si>
  <si>
    <t xml:space="preserve">TIR-CHA-P1-MYT</t>
  </si>
  <si>
    <t xml:space="preserve">TIR-CHA-P1-LEG</t>
  </si>
  <si>
    <t xml:space="preserve">TIR-CHA-P2-COM</t>
  </si>
  <si>
    <t xml:space="preserve">TIR-CHA-P2-RAR</t>
  </si>
  <si>
    <t xml:space="preserve">TIR-CHA-P2-SRA</t>
  </si>
  <si>
    <t xml:space="preserve">TIR-CHA-P2-EPI</t>
  </si>
  <si>
    <t xml:space="preserve">TIR-CHA-P2-MYT</t>
  </si>
  <si>
    <t xml:space="preserve">TIR-CHA-P2-LEG</t>
  </si>
  <si>
    <t xml:space="preserve">TIR-CHA-P3-COM</t>
  </si>
  <si>
    <t xml:space="preserve">TIR-CHA-P3-RAR</t>
  </si>
  <si>
    <t xml:space="preserve">TIR-CHA-P3-SRA</t>
  </si>
  <si>
    <t xml:space="preserve">TIR-CHA-P3-EPI</t>
  </si>
  <si>
    <t xml:space="preserve">TIR-CHA-P3-MYT</t>
  </si>
  <si>
    <t xml:space="preserve">TIR-CHA-P3-LEG</t>
  </si>
  <si>
    <t xml:space="preserve">TIR-CHA-P4-COM</t>
  </si>
  <si>
    <t xml:space="preserve">TIR-CHA-P4-RAR</t>
  </si>
  <si>
    <t xml:space="preserve">TIR-CHA-P4-SRA</t>
  </si>
  <si>
    <t xml:space="preserve">TIR-CHA-P4-EPI</t>
  </si>
  <si>
    <t xml:space="preserve">TIR-CHA-P4-MYT</t>
  </si>
  <si>
    <t xml:space="preserve">TIR-CHA-P4-LEG</t>
  </si>
  <si>
    <t xml:space="preserve">TIR-CHA-P5-COM</t>
  </si>
  <si>
    <t xml:space="preserve">TIR-CHA-P5-RAR</t>
  </si>
  <si>
    <t xml:space="preserve">TIR-CHA-P5-SRA</t>
  </si>
  <si>
    <t xml:space="preserve">TIR-CHA-P5-EPI</t>
  </si>
  <si>
    <t xml:space="preserve">TIR-CHA-P5-MYT</t>
  </si>
  <si>
    <t xml:space="preserve">TIR-CHA-P5-LEG</t>
  </si>
  <si>
    <t xml:space="preserve">TIR-CHA-UNI</t>
  </si>
  <si>
    <t xml:space="preserve">TIR-ARM-P1-COM</t>
  </si>
  <si>
    <t xml:space="preserve">TIR-ARM-P1-RAR</t>
  </si>
  <si>
    <t xml:space="preserve">TIR-ARM-P1-SRA</t>
  </si>
  <si>
    <t xml:space="preserve">TIR-ARM-P1-EPI</t>
  </si>
  <si>
    <t xml:space="preserve">TIR-ARM-P1-MYT</t>
  </si>
  <si>
    <t xml:space="preserve">TIR-ARM-P1-LEG</t>
  </si>
  <si>
    <t xml:space="preserve">TIR-ARM-P2-COM</t>
  </si>
  <si>
    <t xml:space="preserve">TIR-ARM-P2-RAR</t>
  </si>
  <si>
    <t xml:space="preserve">TIR-ARM-P2-SRA</t>
  </si>
  <si>
    <t xml:space="preserve">TIR-ARM-P2-EPI</t>
  </si>
  <si>
    <t xml:space="preserve">TIR-ARM-P2-MYT</t>
  </si>
  <si>
    <t xml:space="preserve">TIR-ARM-P2-LEG</t>
  </si>
  <si>
    <t xml:space="preserve">TIR-ARM-P3-COM</t>
  </si>
  <si>
    <t xml:space="preserve">TIR-ARM-P3-RAR</t>
  </si>
  <si>
    <t xml:space="preserve">TIR-ARM-P3-SRA</t>
  </si>
  <si>
    <t xml:space="preserve">TIR-ARM-P3-EPI</t>
  </si>
  <si>
    <t xml:space="preserve">TIR-ARM-P3-MYT</t>
  </si>
  <si>
    <t xml:space="preserve">TIR-ARM-P3-LEG</t>
  </si>
  <si>
    <t xml:space="preserve">TIR-ARM-P4-COM</t>
  </si>
  <si>
    <t xml:space="preserve">TIR-ARM-P4-RAR</t>
  </si>
  <si>
    <t xml:space="preserve">TIR-ARM-P4-SRA</t>
  </si>
  <si>
    <t xml:space="preserve">TIR-ARM-P4-EPI</t>
  </si>
  <si>
    <t xml:space="preserve">TIR-ARM-P4-MYT</t>
  </si>
  <si>
    <t xml:space="preserve">TIR-ARM-P4-LEG</t>
  </si>
  <si>
    <t xml:space="preserve">TIR-ARM-P5-COM</t>
  </si>
  <si>
    <t xml:space="preserve">TIR-ARM-P5-RAR</t>
  </si>
  <si>
    <t xml:space="preserve">TIR-ARM-P5-SRA</t>
  </si>
  <si>
    <t xml:space="preserve">TIR-ARM-P5-EPI</t>
  </si>
  <si>
    <t xml:space="preserve">TIR-ARM-P5-MYT</t>
  </si>
  <si>
    <t xml:space="preserve">TIR-ARM-P5-LEG</t>
  </si>
  <si>
    <t xml:space="preserve">TIR-ARM-UNI</t>
  </si>
  <si>
    <t xml:space="preserve">TIR-PAN-P1-COM</t>
  </si>
  <si>
    <t xml:space="preserve">TIR-PAN-P1-RAR</t>
  </si>
  <si>
    <t xml:space="preserve">TIR-PAN-P1-SRA</t>
  </si>
  <si>
    <t xml:space="preserve">TIR-PAN-P1-EPI</t>
  </si>
  <si>
    <t xml:space="preserve">TIR-PAN-P1-MYT</t>
  </si>
  <si>
    <t xml:space="preserve">TIR-PAN-P1-LEG</t>
  </si>
  <si>
    <t xml:space="preserve">TIR-PAN-P2-COM</t>
  </si>
  <si>
    <t xml:space="preserve">TIR-PAN-P2-RAR</t>
  </si>
  <si>
    <t xml:space="preserve">TIR-PAN-P2-SRA</t>
  </si>
  <si>
    <t xml:space="preserve">TIR-PAN-P2-EPI</t>
  </si>
  <si>
    <t xml:space="preserve">TIR-PAN-P2-MYT</t>
  </si>
  <si>
    <t xml:space="preserve">TIR-PAN-P2-LEG</t>
  </si>
  <si>
    <t xml:space="preserve">TIR-PAN-P3-COM</t>
  </si>
  <si>
    <t xml:space="preserve">TIR-PAN-P3-RAR</t>
  </si>
  <si>
    <t xml:space="preserve">TIR-PAN-P3-SRA</t>
  </si>
  <si>
    <t xml:space="preserve">TIR-PAN-P3-EPI</t>
  </si>
  <si>
    <t xml:space="preserve">TIR-PAN-P3-MYT</t>
  </si>
  <si>
    <t xml:space="preserve">TIR-PAN-P3-LEG</t>
  </si>
  <si>
    <t xml:space="preserve">TIR-PAN-P4-COM</t>
  </si>
  <si>
    <t xml:space="preserve">TIR-PAN-P4-RAR</t>
  </si>
  <si>
    <t xml:space="preserve">TIR-PAN-P4-SRA</t>
  </si>
  <si>
    <t xml:space="preserve">TIR-PAN-P4-EPI</t>
  </si>
  <si>
    <t xml:space="preserve">TIR-PAN-P4-MYT</t>
  </si>
  <si>
    <t xml:space="preserve">TIR-PAN-P4-LEG</t>
  </si>
  <si>
    <t xml:space="preserve">TIR-PAN-P5-COM</t>
  </si>
  <si>
    <t xml:space="preserve">TIR-PAN-P5-RAR</t>
  </si>
  <si>
    <t xml:space="preserve">TIR-PAN-P5-SRA</t>
  </si>
  <si>
    <t xml:space="preserve">TIR-PAN-P5-EPI</t>
  </si>
  <si>
    <t xml:space="preserve">TIR-PAN-P5-MYT</t>
  </si>
  <si>
    <t xml:space="preserve">TIR-PAN-P5-LEG</t>
  </si>
  <si>
    <t xml:space="preserve">TIR-PAN-UNI</t>
  </si>
  <si>
    <t xml:space="preserve">TIR-BOT-P1-COM</t>
  </si>
  <si>
    <t xml:space="preserve">TIR-BOT-P1-RAR</t>
  </si>
  <si>
    <t xml:space="preserve">TIR-BOT-P1-SRA</t>
  </si>
  <si>
    <t xml:space="preserve">TIR-BOT-P1-EPI</t>
  </si>
  <si>
    <t xml:space="preserve">TIR-BOT-P1-MYT</t>
  </si>
  <si>
    <t xml:space="preserve">TIR-BOT-P1-LEG</t>
  </si>
  <si>
    <t xml:space="preserve">TIR-BOT-P2-COM</t>
  </si>
  <si>
    <t xml:space="preserve">TIR-BOT-P2-RAR</t>
  </si>
  <si>
    <t xml:space="preserve">TIR-BOT-P2-SRA</t>
  </si>
  <si>
    <t xml:space="preserve">TIR-BOT-P2-EPI</t>
  </si>
  <si>
    <t xml:space="preserve">TIR-BOT-P2-MYT</t>
  </si>
  <si>
    <t xml:space="preserve">TIR-BOT-P2-LEG</t>
  </si>
  <si>
    <t xml:space="preserve">TIR-BOT-P3-COM</t>
  </si>
  <si>
    <t xml:space="preserve">TIR-BOT-P3-RAR</t>
  </si>
  <si>
    <t xml:space="preserve">TIR-BOT-P3-SRA</t>
  </si>
  <si>
    <t xml:space="preserve">TIR-BOT-P3-EPI</t>
  </si>
  <si>
    <t xml:space="preserve">TIR-BOT-P3-MYT</t>
  </si>
  <si>
    <t xml:space="preserve">TIR-BOT-P3-LEG</t>
  </si>
  <si>
    <t xml:space="preserve">TIR-BOT-P4-COM</t>
  </si>
  <si>
    <t xml:space="preserve">TIR-BOT-P4-RAR</t>
  </si>
  <si>
    <t xml:space="preserve">TIR-BOT-P4-SRA</t>
  </si>
  <si>
    <t xml:space="preserve">TIR-BOT-P4-EPI</t>
  </si>
  <si>
    <t xml:space="preserve">TIR-BOT-P4-MYT</t>
  </si>
  <si>
    <t xml:space="preserve">TIR-BOT-P4-LEG</t>
  </si>
  <si>
    <t xml:space="preserve">TIR-BOT-P5-COM</t>
  </si>
  <si>
    <t xml:space="preserve">TIR-BOT-P5-RAR</t>
  </si>
  <si>
    <t xml:space="preserve">TIR-BOT-P5-SRA</t>
  </si>
  <si>
    <t xml:space="preserve">TIR-BOT-P5-EPI</t>
  </si>
  <si>
    <t xml:space="preserve">TIR-BOT-P5-MYT</t>
  </si>
  <si>
    <t xml:space="preserve">TIR-BOT-P5-LEG</t>
  </si>
  <si>
    <t xml:space="preserve">TIR-BOT-UNI</t>
  </si>
  <si>
    <t xml:space="preserve">TIR-COL-P1-COM</t>
  </si>
  <si>
    <t xml:space="preserve">TIR-COL-P1-RAR</t>
  </si>
  <si>
    <t xml:space="preserve">TIR-COL-P1-SRA</t>
  </si>
  <si>
    <t xml:space="preserve">TIR-COL-P1-EPI</t>
  </si>
  <si>
    <t xml:space="preserve">TIR-COL-P1-MYT</t>
  </si>
  <si>
    <t xml:space="preserve">TIR-COL-P1-LEG</t>
  </si>
  <si>
    <t xml:space="preserve">TIR-COL-P2-COM</t>
  </si>
  <si>
    <t xml:space="preserve">TIR-COL-P2-RAR</t>
  </si>
  <si>
    <t xml:space="preserve">TIR-COL-P2-SRA</t>
  </si>
  <si>
    <t xml:space="preserve">TIR-COL-P2-EPI</t>
  </si>
  <si>
    <t xml:space="preserve">TIR-COL-P2-MYT</t>
  </si>
  <si>
    <t xml:space="preserve">TIR-COL-P2-LEG</t>
  </si>
  <si>
    <t xml:space="preserve">TIR-COL-P3-COM</t>
  </si>
  <si>
    <t xml:space="preserve">TIR-COL-P3-RAR</t>
  </si>
  <si>
    <t xml:space="preserve">TIR-COL-P3-SRA</t>
  </si>
  <si>
    <t xml:space="preserve">TIR-COL-P3-EPI</t>
  </si>
  <si>
    <t xml:space="preserve">TIR-COL-P3-MYT</t>
  </si>
  <si>
    <t xml:space="preserve">TIR-COL-P3-LEG</t>
  </si>
  <si>
    <t xml:space="preserve">TIR-COL-P4-COM</t>
  </si>
  <si>
    <t xml:space="preserve">TIR-COL-P4-RAR</t>
  </si>
  <si>
    <t xml:space="preserve">TIR-COL-P4-SRA</t>
  </si>
  <si>
    <t xml:space="preserve">TIR-COL-P4-EPI</t>
  </si>
  <si>
    <t xml:space="preserve">TIR-COL-P4-MYT</t>
  </si>
  <si>
    <t xml:space="preserve">TIR-COL-P4-LEG</t>
  </si>
  <si>
    <t xml:space="preserve">TIR-COL-P5-COM</t>
  </si>
  <si>
    <t xml:space="preserve">TIR-COL-P5-RAR</t>
  </si>
  <si>
    <t xml:space="preserve">TIR-COL-P5-SRA</t>
  </si>
  <si>
    <t xml:space="preserve">TIR-COL-P5-EPI</t>
  </si>
  <si>
    <t xml:space="preserve">TIR-COL-P5-MYT</t>
  </si>
  <si>
    <t xml:space="preserve">TIR-COL-P5-LEG</t>
  </si>
  <si>
    <t xml:space="preserve">TIR-COL-UNI</t>
  </si>
  <si>
    <t xml:space="preserve">TIR-AN1-P1-COM</t>
  </si>
  <si>
    <t xml:space="preserve">TIR-AN1-P1-RAR</t>
  </si>
  <si>
    <t xml:space="preserve">TIR-AN1-P1-SRA</t>
  </si>
  <si>
    <t xml:space="preserve">TIR-AN1-P1-EPI</t>
  </si>
  <si>
    <t xml:space="preserve">TIR-AN1-P1-MYT</t>
  </si>
  <si>
    <t xml:space="preserve">TIR-AN1-P1-LEG</t>
  </si>
  <si>
    <t xml:space="preserve">TIR-AN1-P2-COM</t>
  </si>
  <si>
    <t xml:space="preserve">TIR-AN1-P2-RAR</t>
  </si>
  <si>
    <t xml:space="preserve">TIR-AN1-P2-SRA</t>
  </si>
  <si>
    <t xml:space="preserve">TIR-AN1-P2-EPI</t>
  </si>
  <si>
    <t xml:space="preserve">TIR-AN1-P2-MYT</t>
  </si>
  <si>
    <t xml:space="preserve">TIR-AN1-P2-LEG</t>
  </si>
  <si>
    <t xml:space="preserve">TIR-AN1-P3-COM</t>
  </si>
  <si>
    <t xml:space="preserve">TIR-AN1-P3-RAR</t>
  </si>
  <si>
    <t xml:space="preserve">TIR-AN1-P3-SRA</t>
  </si>
  <si>
    <t xml:space="preserve">TIR-AN1-P3-EPI</t>
  </si>
  <si>
    <t xml:space="preserve">TIR-AN1-P3-MYT</t>
  </si>
  <si>
    <t xml:space="preserve">TIR-AN1-P3-LEG</t>
  </si>
  <si>
    <t xml:space="preserve">TIR-AN1-P4-COM</t>
  </si>
  <si>
    <t xml:space="preserve">TIR-AN1-P4-RAR</t>
  </si>
  <si>
    <t xml:space="preserve">TIR-AN1-P4-SRA</t>
  </si>
  <si>
    <t xml:space="preserve">TIR-AN1-P4-EPI</t>
  </si>
  <si>
    <t xml:space="preserve">TIR-AN1-P4-MYT</t>
  </si>
  <si>
    <t xml:space="preserve">TIR-AN1-P4-LEG</t>
  </si>
  <si>
    <t xml:space="preserve">TIR-AN1-P5-COM</t>
  </si>
  <si>
    <t xml:space="preserve">TIR-AN1-P5-RAR</t>
  </si>
  <si>
    <t xml:space="preserve">TIR-AN1-P5-SRA</t>
  </si>
  <si>
    <t xml:space="preserve">TIR-AN1-P5-EPI</t>
  </si>
  <si>
    <t xml:space="preserve">TIR-AN1-P5-MYT</t>
  </si>
  <si>
    <t xml:space="preserve">TIR-AN1-P5-LEG</t>
  </si>
  <si>
    <t xml:space="preserve">TIR-AN1-UNI</t>
  </si>
  <si>
    <t xml:space="preserve">TIR-AN2-P1-COM</t>
  </si>
  <si>
    <t xml:space="preserve">TIR-AN2-P1-RAR</t>
  </si>
  <si>
    <t xml:space="preserve">TIR-AN2-P1-SRA</t>
  </si>
  <si>
    <t xml:space="preserve">TIR-AN2-P1-EPI</t>
  </si>
  <si>
    <t xml:space="preserve">TIR-AN2-P1-MYT</t>
  </si>
  <si>
    <t xml:space="preserve">TIR-AN2-P1-LEG</t>
  </si>
  <si>
    <t xml:space="preserve">TIR-AN2-P2-COM</t>
  </si>
  <si>
    <t xml:space="preserve">TIR-AN2-P2-RAR</t>
  </si>
  <si>
    <t xml:space="preserve">TIR-AN2-P2-SRA</t>
  </si>
  <si>
    <t xml:space="preserve">TIR-AN2-P2-EPI</t>
  </si>
  <si>
    <t xml:space="preserve">TIR-AN2-P2-MYT</t>
  </si>
  <si>
    <t xml:space="preserve">TIR-AN2-P2-LEG</t>
  </si>
  <si>
    <t xml:space="preserve">TIR-AN2-P3-COM</t>
  </si>
  <si>
    <t xml:space="preserve">TIR-AN2-P3-RAR</t>
  </si>
  <si>
    <t xml:space="preserve">TIR-AN2-P3-SRA</t>
  </si>
  <si>
    <t xml:space="preserve">TIR-AN2-P3-EPI</t>
  </si>
  <si>
    <t xml:space="preserve">TIR-AN2-P3-MYT</t>
  </si>
  <si>
    <t xml:space="preserve">TIR-AN2-P3-LEG</t>
  </si>
  <si>
    <t xml:space="preserve">TIR-AN2-P4-COM</t>
  </si>
  <si>
    <t xml:space="preserve">TIR-AN2-P4-RAR</t>
  </si>
  <si>
    <t xml:space="preserve">TIR-AN2-P4-SRA</t>
  </si>
  <si>
    <t xml:space="preserve">TIR-AN2-P4-EPI</t>
  </si>
  <si>
    <t xml:space="preserve">TIR-AN2-P4-MYT</t>
  </si>
  <si>
    <t xml:space="preserve">TIR-AN2-P4-LEG</t>
  </si>
  <si>
    <t xml:space="preserve">TIR-AN2-P5-COM</t>
  </si>
  <si>
    <t xml:space="preserve">TIR-AN2-P5-RAR</t>
  </si>
  <si>
    <t xml:space="preserve">TIR-AN2-P5-SRA</t>
  </si>
  <si>
    <t xml:space="preserve">TIR-AN2-P5-EPI</t>
  </si>
  <si>
    <t xml:space="preserve">TIR-AN2-P5-MYT</t>
  </si>
  <si>
    <t xml:space="preserve">TIR-AN2-P5-LEG</t>
  </si>
  <si>
    <t xml:space="preserve">TIR-AN2-UNI</t>
  </si>
  <si>
    <t xml:space="preserve">TIR-CEI-P1-COM</t>
  </si>
  <si>
    <t xml:space="preserve">TIR-CEI-P1-RAR</t>
  </si>
  <si>
    <t xml:space="preserve">TIR-CEI-P1-SRA</t>
  </si>
  <si>
    <t xml:space="preserve">TIR-CEI-P1-EPI</t>
  </si>
  <si>
    <t xml:space="preserve">TIR-CEI-P1-MYT</t>
  </si>
  <si>
    <t xml:space="preserve">TIR-CEI-P1-LEG</t>
  </si>
  <si>
    <t xml:space="preserve">TIR-CEI-P2-COM</t>
  </si>
  <si>
    <t xml:space="preserve">TIR-CEI-P2-RAR</t>
  </si>
  <si>
    <t xml:space="preserve">TIR-CEI-P2-SRA</t>
  </si>
  <si>
    <t xml:space="preserve">TIR-CEI-P2-EPI</t>
  </si>
  <si>
    <t xml:space="preserve">TIR-CEI-P2-MYT</t>
  </si>
  <si>
    <t xml:space="preserve">TIR-CEI-P2-LEG</t>
  </si>
  <si>
    <t xml:space="preserve">TIR-CEI-P3-COM</t>
  </si>
  <si>
    <t xml:space="preserve">TIR-CEI-P3-RAR</t>
  </si>
  <si>
    <t xml:space="preserve">TIR-CEI-P3-SRA</t>
  </si>
  <si>
    <t xml:space="preserve">TIR-CEI-P3-EPI</t>
  </si>
  <si>
    <t xml:space="preserve">TIR-CEI-P3-MYT</t>
  </si>
  <si>
    <t xml:space="preserve">TIR-CEI-P3-LEG</t>
  </si>
  <si>
    <t xml:space="preserve">TIR-CEI-P4-COM</t>
  </si>
  <si>
    <t xml:space="preserve">TIR-CEI-P4-RAR</t>
  </si>
  <si>
    <t xml:space="preserve">TIR-CEI-P4-SRA</t>
  </si>
  <si>
    <t xml:space="preserve">TIR-CEI-P4-EPI</t>
  </si>
  <si>
    <t xml:space="preserve">TIR-CEI-P4-MYT</t>
  </si>
  <si>
    <t xml:space="preserve">TIR-CEI-P4-LEG</t>
  </si>
  <si>
    <t xml:space="preserve">TIR-CEI-P5-COM</t>
  </si>
  <si>
    <t xml:space="preserve">TIR-CEI-P5-RAR</t>
  </si>
  <si>
    <t xml:space="preserve">TIR-CEI-P5-SRA</t>
  </si>
  <si>
    <t xml:space="preserve">TIR-CEI-P5-EPI</t>
  </si>
  <si>
    <t xml:space="preserve">TIR-CEI-P5-MYT</t>
  </si>
  <si>
    <t xml:space="preserve">TIR-CEI-P5-LEG</t>
  </si>
  <si>
    <t xml:space="preserve">TIR-CEI-UNI</t>
  </si>
  <si>
    <t xml:space="preserve">TIR-AR1-P1-COM</t>
  </si>
  <si>
    <t xml:space="preserve">TIR-AR1-P1-RAR</t>
  </si>
  <si>
    <t xml:space="preserve">TIR-AR1-P1-SRA</t>
  </si>
  <si>
    <t xml:space="preserve">TIR-AR1-P1-EPI</t>
  </si>
  <si>
    <t xml:space="preserve">TIR-AR1-P1-MYT</t>
  </si>
  <si>
    <t xml:space="preserve">TIR-AR1-P1-LEG</t>
  </si>
  <si>
    <t xml:space="preserve">TIR-AR1-P2-COM</t>
  </si>
  <si>
    <t xml:space="preserve">TIR-AR1-P2-RAR</t>
  </si>
  <si>
    <t xml:space="preserve">TIR-AR1-P2-SRA</t>
  </si>
  <si>
    <t xml:space="preserve">TIR-AR1-P2-EPI</t>
  </si>
  <si>
    <t xml:space="preserve">TIR-AR1-P2-MYT</t>
  </si>
  <si>
    <t xml:space="preserve">TIR-AR1-P2-LEG</t>
  </si>
  <si>
    <t xml:space="preserve">TIR-AR1-P3-COM</t>
  </si>
  <si>
    <t xml:space="preserve">TIR-AR1-P3-RAR</t>
  </si>
  <si>
    <t xml:space="preserve">TIR-AR1-P3-SRA</t>
  </si>
  <si>
    <t xml:space="preserve">TIR-AR1-P3-EPI</t>
  </si>
  <si>
    <t xml:space="preserve">TIR-AR1-P3-MYT</t>
  </si>
  <si>
    <t xml:space="preserve">TIR-AR1-P3-LEG</t>
  </si>
  <si>
    <t xml:space="preserve">TIR-AR1-P4-COM</t>
  </si>
  <si>
    <t xml:space="preserve">TIR-AR1-P4-RAR</t>
  </si>
  <si>
    <t xml:space="preserve">TIR-AR1-P4-SRA</t>
  </si>
  <si>
    <t xml:space="preserve">TIR-AR1-P4-EPI</t>
  </si>
  <si>
    <t xml:space="preserve">TIR-AR1-P4-MYT</t>
  </si>
  <si>
    <t xml:space="preserve">TIR-AR1-P4-LEG</t>
  </si>
  <si>
    <t xml:space="preserve">TIR-AR1-P5-COM</t>
  </si>
  <si>
    <t xml:space="preserve">TIR-AR1-P5-RAR</t>
  </si>
  <si>
    <t xml:space="preserve">TIR-AR1-P5-SRA</t>
  </si>
  <si>
    <t xml:space="preserve">TIR-AR1-P5-EPI</t>
  </si>
  <si>
    <t xml:space="preserve">TIR-AR1-P5-MYT</t>
  </si>
  <si>
    <t xml:space="preserve">TIR-AR1-P5-LEG</t>
  </si>
  <si>
    <t xml:space="preserve">TIR-AR1-UNI</t>
  </si>
  <si>
    <t xml:space="preserve">TIR-AR2-P1-COM</t>
  </si>
  <si>
    <t xml:space="preserve">TIR-AR2-P1-RAR</t>
  </si>
  <si>
    <t xml:space="preserve">TIR-AR2-P1-SRA</t>
  </si>
  <si>
    <t xml:space="preserve">TIR-AR2-P1-EPI</t>
  </si>
  <si>
    <t xml:space="preserve">TIR-AR2-P1-MYT</t>
  </si>
  <si>
    <t xml:space="preserve">TIR-AR2-P1-LEG</t>
  </si>
  <si>
    <t xml:space="preserve">TIR-AR2-P2-COM</t>
  </si>
  <si>
    <t xml:space="preserve">TIR-AR2-P2-RAR</t>
  </si>
  <si>
    <t xml:space="preserve">TIR-AR2-P2-SRA</t>
  </si>
  <si>
    <t xml:space="preserve">TIR-AR2-P2-EPI</t>
  </si>
  <si>
    <t xml:space="preserve">TIR-AR2-P2-MYT</t>
  </si>
  <si>
    <t xml:space="preserve">TIR-AR2-P2-LEG</t>
  </si>
  <si>
    <t xml:space="preserve">TIR-AR2-P3-COM</t>
  </si>
  <si>
    <t xml:space="preserve">TIR-AR2-P3-RAR</t>
  </si>
  <si>
    <t xml:space="preserve">TIR-AR2-P3-SRA</t>
  </si>
  <si>
    <t xml:space="preserve">TIR-AR2-P3-EPI</t>
  </si>
  <si>
    <t xml:space="preserve">TIR-AR2-P3-MYT</t>
  </si>
  <si>
    <t xml:space="preserve">TIR-AR2-P3-LEG</t>
  </si>
  <si>
    <t xml:space="preserve">TIR-AR2-P4-COM</t>
  </si>
  <si>
    <t xml:space="preserve">TIR-AR2-P4-RAR</t>
  </si>
  <si>
    <t xml:space="preserve">TIR-AR2-P4-SRA</t>
  </si>
  <si>
    <t xml:space="preserve">TIR-AR2-P4-EPI</t>
  </si>
  <si>
    <t xml:space="preserve">TIR-AR2-P4-MYT</t>
  </si>
  <si>
    <t xml:space="preserve">TIR-AR2-P4-LEG</t>
  </si>
  <si>
    <t xml:space="preserve">TIR-AR2-P5-COM</t>
  </si>
  <si>
    <t xml:space="preserve">TIR-AR2-P5-RAR</t>
  </si>
  <si>
    <t xml:space="preserve">TIR-AR2-P5-SRA</t>
  </si>
  <si>
    <t xml:space="preserve">TIR-AR2-P5-EPI</t>
  </si>
  <si>
    <t xml:space="preserve">TIR-AR2-P5-MYT</t>
  </si>
  <si>
    <t xml:space="preserve">TIR-AR2-P5-LEG</t>
  </si>
  <si>
    <t xml:space="preserve">TIR-AR2-UNI</t>
  </si>
  <si>
    <t xml:space="preserve">Calculateur d'un équipement</t>
  </si>
  <si>
    <t xml:space="preserve">Choisissez classe, slot, rareté, palier (matériau) et niveau d'amélioration (cellules jaunes). Pour un Unique, le palier est ignoré.</t>
  </si>
  <si>
    <t xml:space="preserve">Palier (1 = bois … 5 = adamantite)</t>
  </si>
  <si>
    <t xml:space="preserve">Niveau d'amélioration</t>
  </si>
  <si>
    <t xml:space="preserve">N° profil</t>
  </si>
  <si>
    <t xml:space="preserve">N° rareté</t>
  </si>
  <si>
    <t xml:space="preserve">Multiplicateur de rareté</t>
  </si>
  <si>
    <t xml:space="preserve">Lignes de stats débloquées</t>
  </si>
  <si>
    <t xml:space="preserve">Unique (passif) ?</t>
  </si>
  <si>
    <t xml:space="preserve">Amélioration max</t>
  </si>
  <si>
    <t xml:space="preserve">Amélioration retenue</t>
  </si>
  <si>
    <t xml:space="preserve">Facteur de niveau</t>
  </si>
  <si>
    <t xml:space="preserve">Type d'objet</t>
  </si>
  <si>
    <t xml:space="preserve">Limite / recharge</t>
  </si>
  <si>
    <t xml:space="preserve">Ressource dépensée depuis +0</t>
  </si>
  <si>
    <t xml:space="preserve">Statistique</t>
  </si>
  <si>
    <t xml:space="preserve">Valeur</t>
  </si>
  <si>
    <t xml:space="preserve">Poids du slot</t>
  </si>
  <si>
    <t xml:space="preserve">Rang</t>
  </si>
  <si>
    <t xml:space="preserve">Active ?</t>
  </si>
  <si>
    <t xml:space="preserve">Catégorie</t>
  </si>
  <si>
    <t xml:space="preserve">Progression de l'objet choisi, amélioration par amélioration</t>
  </si>
  <si>
    <t xml:space="preserve">Facteur</t>
  </si>
  <si>
    <t xml:space="preserve">Coût de ce niveau</t>
  </si>
  <si>
    <t xml:space="preserve">Coût cumulé</t>
  </si>
  <si>
    <t xml:space="preserve">Valeur de référence (facteur 1,00)</t>
  </si>
  <si>
    <t xml:space="preserve">Set complet : total des 10 slots</t>
  </si>
  <si>
    <t xml:space="preserve">Somme des stats des 10 slots, même rareté, pour la classe, le palier et l'amélioration choisis. Ligne Unique : calculée au même niveau effectif pour comparer. Rouge = dépasse le plafond conseillé.</t>
  </si>
  <si>
    <t xml:space="preserve">Palier (1 à 5)</t>
  </si>
  <si>
    <t xml:space="preserve">Niveau effectif / facteur</t>
  </si>
  <si>
    <t xml:space="preserve">Plafond conseillé</t>
  </si>
  <si>
    <t xml:space="preserve">Objets Uniques : noms uniques, passifs et provenance</t>
  </si>
  <si>
    <t xml:space="preserve">30 objets (3 classes × 10 slots), rareté Unique. Stats ET passif (valeurs fixes). Un Unique n'a pas de matériau : il part du niveau de son biome et s'améliore jusqu'au niveau 100 avec la ressource du palier atteint.</t>
  </si>
  <si>
    <t xml:space="preserve">Clé</t>
  </si>
  <si>
    <t xml:space="preserve">Nom unique</t>
  </si>
  <si>
    <t xml:space="preserve">Nom du passif</t>
  </si>
  <si>
    <t xml:space="preserve">Biome de butin</t>
  </si>
  <si>
    <t xml:space="preserve">Lâché par (boss et dragon du biome)</t>
  </si>
  <si>
    <t xml:space="preserve">Heaume du Roi Déchu</t>
  </si>
  <si>
    <t xml:space="preserve">Neutre</t>
  </si>
  <si>
    <t xml:space="preserve">Volonté inflexible</t>
  </si>
  <si>
    <t xml:space="preserve">Au début du combat, le porteur ignore le premier étourdissement subi et gagne +15 % de Résistance pendant 3 tours.</t>
  </si>
  <si>
    <t xml:space="preserve">1 fois par combat.</t>
  </si>
  <si>
    <t xml:space="preserve">Forêt</t>
  </si>
  <si>
    <t xml:space="preserve">Ours enragé (5), Dragon Neutre (9), Chef gobelin (10)</t>
  </si>
  <si>
    <t xml:space="preserve">Plastron du Titan de Pierre</t>
  </si>
  <si>
    <t xml:space="preserve">Terre</t>
  </si>
  <si>
    <t xml:space="preserve">Peau de granit</t>
  </si>
  <si>
    <t xml:space="preserve">Réduit de 12 % les dégâts physiques reçus ; après 3 attaques subies, le porteur gagne +20 % d'Armure pendant 2 tours.</t>
  </si>
  <si>
    <t xml:space="preserve">Bonus d'Armure non cumulable ; se redéclenche après 3 nouvelles attaques subies.</t>
  </si>
  <si>
    <t xml:space="preserve">Montagne</t>
  </si>
  <si>
    <t xml:space="preserve">Haut chaman gobelin (15), Dragon Terre (19), Chef orc (20)</t>
  </si>
  <si>
    <t xml:space="preserve">Jambières du Brasier Marchant</t>
  </si>
  <si>
    <t xml:space="preserve">Feu</t>
  </si>
  <si>
    <t xml:space="preserve">Sillage de braise</t>
  </si>
  <si>
    <t xml:space="preserve">Au début de chaque tour, 25 % de chance d'infliger Brûlure (Feu) à un ennemi aléatoire pendant 3 tours (8 % de la Force par tour).</t>
  </si>
  <si>
    <t xml:space="preserve">1 Brûlure par cible ; durée rafraîchie, jamais cumulée.</t>
  </si>
  <si>
    <t xml:space="preserve">Volcan</t>
  </si>
  <si>
    <t xml:space="preserve">Malphite (25), Dragon Feu (29), Ifrit (30)</t>
  </si>
  <si>
    <t xml:space="preserve">Bottes du Marcheur Glacé</t>
  </si>
  <si>
    <t xml:space="preserve">Glace</t>
  </si>
  <si>
    <t xml:space="preserve">Piétinement givré</t>
  </si>
  <si>
    <t xml:space="preserve">Au début de chaque tour, 30 % de chance d'appliquer Froid à un ennemi aléatoire (−8 % d'Agilité pendant 2 tours).</t>
  </si>
  <si>
    <t xml:space="preserve">Froid non cumulable ; gel uniquement après 3 applications sur la même cible.</t>
  </si>
  <si>
    <t xml:space="preserve">Iceberg</t>
  </si>
  <si>
    <t xml:space="preserve">Yéti (65), Dragon Glace (69), Roi elfique (70)</t>
  </si>
  <si>
    <t xml:space="preserve">Médaillon du Serment Brisé</t>
  </si>
  <si>
    <t xml:space="preserve">Serment de sang</t>
  </si>
  <si>
    <t xml:space="preserve">Convertit 5 % des dégâts infligés en soins ; 10 % si les PV du porteur sont sous 50 %.</t>
  </si>
  <si>
    <t xml:space="preserve">Soin limité à 10 % des PV max par tour.</t>
  </si>
  <si>
    <t xml:space="preserve">Désert</t>
  </si>
  <si>
    <t xml:space="preserve">Ver des sables (35), Dragon Vent (39), Anubis (40)</t>
  </si>
  <si>
    <t xml:space="preserve">Anneau du Briseur de Remparts</t>
  </si>
  <si>
    <t xml:space="preserve">Acide</t>
  </si>
  <si>
    <t xml:space="preserve">Morsure corrosive</t>
  </si>
  <si>
    <t xml:space="preserve">Les attaques du porteur appliquent Corrosion : −5 % d'Armure de la cible pendant 3 tours.</t>
  </si>
  <si>
    <t xml:space="preserve">4 piles max par cible (−20 % d'Armure) ; durée rafraîchie à chaque application.</t>
  </si>
  <si>
    <t xml:space="preserve">Marais</t>
  </si>
  <si>
    <t xml:space="preserve">Roi slime (45), Dragon Acide (49), Nurgol le zombie (50)</t>
  </si>
  <si>
    <t xml:space="preserve">Chevalière du Gardien des Marées</t>
  </si>
  <si>
    <t xml:space="preserve">Eau</t>
  </si>
  <si>
    <t xml:space="preserve">Marée apaisante</t>
  </si>
  <si>
    <t xml:space="preserve">Au début du combat puis tous les 4 tours, retire un effet négatif du porteur et le soigne de 3 % de ses PV max.</t>
  </si>
  <si>
    <t xml:space="preserve">Recharge : 4 tours.</t>
  </si>
  <si>
    <t xml:space="preserve">Océan / Île</t>
  </si>
  <si>
    <t xml:space="preserve">Kraken (55), Dragon Eau (59), Roi triton (60)</t>
  </si>
  <si>
    <t xml:space="preserve">Ceinturon du Tonnerre Rugissant</t>
  </si>
  <si>
    <t xml:space="preserve">Électricité</t>
  </si>
  <si>
    <t xml:space="preserve">Conduction</t>
  </si>
  <si>
    <t xml:space="preserve">Les compétences du porteur ont 15 % de chance de rebondir sur un second ennemi pour 50 % des dégâts.</t>
  </si>
  <si>
    <t xml:space="preserve">1 rebond maximum par compétence.</t>
  </si>
  <si>
    <t xml:space="preserve">Haute montagne</t>
  </si>
  <si>
    <t xml:space="preserve">Géant électrique (75), Dragon Électricité (79), Wyverne mutante (80)</t>
  </si>
  <si>
    <t xml:space="preserve">Épée de la Mort</t>
  </si>
  <si>
    <t xml:space="preserve">Ombre</t>
  </si>
  <si>
    <t xml:space="preserve">Moisson funeste</t>
  </si>
  <si>
    <t xml:space="preserve">Quand une attaque du porteur vainc un ennemi, il récupère 8 % de ses PV max et applique Corruption (Ombre) aux ennemis restants pendant 2 tours.</t>
  </si>
  <si>
    <t xml:space="preserve">1 fois par tour ; Corruption non cumulable (+10 % de dégâts subis, 1 pile max).</t>
  </si>
  <si>
    <t xml:space="preserve">Palais démoniaque</t>
  </si>
  <si>
    <t xml:space="preserve">Wyverne des ténèbres (95), Dragon Ombre (99), Roi démon (100)</t>
  </si>
  <si>
    <t xml:space="preserve">Rempart de l'Aube Éternelle</t>
  </si>
  <si>
    <t xml:space="preserve">Lumière</t>
  </si>
  <si>
    <t xml:space="preserve">Dernier rempart</t>
  </si>
  <si>
    <t xml:space="preserve">Quand les PV du porteur passent sous 30 %, il gagne un bouclier égal à 20 % de ses PV max pendant 3 tours et se purifie d'un effet négatif.</t>
  </si>
  <si>
    <t xml:space="preserve">Palais céleste</t>
  </si>
  <si>
    <t xml:space="preserve">Jésus (85), Dragon Lumière (89), Michel (90)</t>
  </si>
  <si>
    <t xml:space="preserve">Chapeau du Sage des Cieux</t>
  </si>
  <si>
    <t xml:space="preserve">Vent</t>
  </si>
  <si>
    <t xml:space="preserve">Pensée vive</t>
  </si>
  <si>
    <t xml:space="preserve">Après une compétence, 15 % de chance de réduire sa recharge de 1 manche.</t>
  </si>
  <si>
    <t xml:space="preserve">Recharge minimale 1 ; ultimes exclues.</t>
  </si>
  <si>
    <t xml:space="preserve">Robe du Givre Éternel</t>
  </si>
  <si>
    <t xml:space="preserve">Manteau de givre</t>
  </si>
  <si>
    <t xml:space="preserve">Quand le porteur subit une attaque physique, 20 % de chance d'appliquer Froid à l'attaquant (−8 % d'Agilité, 2 tours).</t>
  </si>
  <si>
    <t xml:space="preserve">Froid non cumulable ; gel après 3 applications.</t>
  </si>
  <si>
    <t xml:space="preserve">Pantalon du Tisseur de Tempêtes</t>
  </si>
  <si>
    <t xml:space="preserve">Tempête naissante</t>
  </si>
  <si>
    <t xml:space="preserve">Toutes les 3 compétences lancées, un éclair frappe un ennemi aléatoire pour 40 % de la Magie du porteur.</t>
  </si>
  <si>
    <t xml:space="preserve">1 fois par tour.</t>
  </si>
  <si>
    <t xml:space="preserve">Bottes du Voyageur des Eaux</t>
  </si>
  <si>
    <t xml:space="preserve">Marée montante</t>
  </si>
  <si>
    <t xml:space="preserve">Au début de chaque manche, 25 % de chance de réduire de 1 manche la recharge d'une compétence au hasard.</t>
  </si>
  <si>
    <t xml:space="preserve">1 fois par manche ; ultimes exclues.</t>
  </si>
  <si>
    <t xml:space="preserve">Amulette de l'Œil Maudit</t>
  </si>
  <si>
    <t xml:space="preserve">Regard maudit</t>
  </si>
  <si>
    <t xml:space="preserve">Les compétences ont 25 % de chance d'appliquer Corruption : la cible subit +10 % de dégâts pendant 2 tours.</t>
  </si>
  <si>
    <t xml:space="preserve">1 Corruption par cible ; non cumulable.</t>
  </si>
  <si>
    <t xml:space="preserve">Anneau de l'Alchimiste Fou</t>
  </si>
  <si>
    <t xml:space="preserve">Transmutation</t>
  </si>
  <si>
    <t xml:space="preserve">Convertit 10 % des dégâts magiques infligés en bouclier pour le porteur.</t>
  </si>
  <si>
    <t xml:space="preserve">Bouclier plafonné à 15 % des PV max.</t>
  </si>
  <si>
    <t xml:space="preserve">Sceau de la Terre Ancestrale</t>
  </si>
  <si>
    <t xml:space="preserve">Pierre de garde</t>
  </si>
  <si>
    <t xml:space="preserve">Réduit de 12 % tous les dégâts reçus tant que le porteur a plus de 50 % de ses PV.</t>
  </si>
  <si>
    <t xml:space="preserve">Plafond global de réduction de dégâts : 30 %.</t>
  </si>
  <si>
    <t xml:space="preserve">Ceinture du Feu Intérieur</t>
  </si>
  <si>
    <t xml:space="preserve">Flamme vive</t>
  </si>
  <si>
    <t xml:space="preserve">Les compétences de Feu appliquent Brûlure pendant 2 tours (10 % de la Magie par tour).</t>
  </si>
  <si>
    <t xml:space="preserve">Bâton de la Singularité</t>
  </si>
  <si>
    <t xml:space="preserve">Surcharge arcanique</t>
  </si>
  <si>
    <t xml:space="preserve">Chaque compétence lancée donne 1 charge ; à 5 charges, la compétence suivante inflige +60 % de dégâts et consomme les charges.</t>
  </si>
  <si>
    <t xml:space="preserve">5 charges max ; réinitialisées à la fin du combat.</t>
  </si>
  <si>
    <t xml:space="preserve">Orbe de l'Éclipse</t>
  </si>
  <si>
    <t xml:space="preserve">Alternance</t>
  </si>
  <si>
    <t xml:space="preserve">Chaque tour alterne entre phase de Lumière (+15 % de soins prodigués) et phase d'Ombre (+15 % de dégâts magiques).</t>
  </si>
  <si>
    <t xml:space="preserve">La phase de Lumière débute au tour 1 ; pas d'autre limite.</t>
  </si>
  <si>
    <t xml:space="preserve">Capuche de l'Œil du Faucon</t>
  </si>
  <si>
    <t xml:space="preserve">Regard perçant</t>
  </si>
  <si>
    <t xml:space="preserve">La première attaque de chaque tour ne peut pas être esquivée et révèle les cibles dissimulées.</t>
  </si>
  <si>
    <t xml:space="preserve">Veste du Brouillard Mouvant</t>
  </si>
  <si>
    <t xml:space="preserve">Brume protectrice</t>
  </si>
  <si>
    <t xml:space="preserve">Chaque attaque esquivée donne +5 % d'Esquive pendant 2 tours.</t>
  </si>
  <si>
    <t xml:space="preserve">3 piles max (+15 % d'Esquive).</t>
  </si>
  <si>
    <t xml:space="preserve">Pantalon du Pisteur Givré</t>
  </si>
  <si>
    <t xml:space="preserve">Traque givrée</t>
  </si>
  <si>
    <t xml:space="preserve">Les attaques de base appliquent Froid : −8 % d'Agilité de la cible pendant 2 tours.</t>
  </si>
  <si>
    <t xml:space="preserve">Bottes du Chasseur de Foudre</t>
  </si>
  <si>
    <t xml:space="preserve">Pas d'éclair</t>
  </si>
  <si>
    <t xml:space="preserve">La première attaque du combat inflige +30 % de dégâts d'Électricité et a 30 % de chance d'étourdir la cible 1 tour.</t>
  </si>
  <si>
    <t xml:space="preserve">1 fois par combat ; durée d'étourdissement réduite de moitié sur les boss.</t>
  </si>
  <si>
    <t xml:space="preserve">Pendentif de la Sentinelle de Pierre</t>
  </si>
  <si>
    <t xml:space="preserve">Racines protectrices</t>
  </si>
  <si>
    <t xml:space="preserve">10 % des dégâts subis par le porteur sont convertis en bouclier temporaire pendant 2 tours.</t>
  </si>
  <si>
    <t xml:space="preserve">Bouclier plafonné à 10 % des PV max.</t>
  </si>
  <si>
    <t xml:space="preserve">Anneau des Flèches Ardentes</t>
  </si>
  <si>
    <t xml:space="preserve">Pointes incendiaires</t>
  </si>
  <si>
    <t xml:space="preserve">Les coups critiques appliquent Brûlure (Feu) : 15 % des dégâts du coup par tour pendant 2 tours.</t>
  </si>
  <si>
    <t xml:space="preserve">Bague du Dernier Souffle</t>
  </si>
  <si>
    <t xml:space="preserve">Dernier souffle</t>
  </si>
  <si>
    <t xml:space="preserve">Un coup qui devrait vaincre le porteur le laisse à 1 PV et lui donne +20 % d'Esquive pendant 2 tours.</t>
  </si>
  <si>
    <t xml:space="preserve">Ceinture de l'Alchimiste Chasseur</t>
  </si>
  <si>
    <t xml:space="preserve">Fioles corrosives</t>
  </si>
  <si>
    <t xml:space="preserve">Les attaques à distance ont 25 % de chance d'appliquer Corrosion : −6 % d'Armure pendant 3 tours.</t>
  </si>
  <si>
    <t xml:space="preserve">3 piles max par cible (−18 % d'Armure).</t>
  </si>
  <si>
    <t xml:space="preserve">Arc des Mille Tempêtes</t>
  </si>
  <si>
    <t xml:space="preserve">Pluie de flèches</t>
  </si>
  <si>
    <t xml:space="preserve">Les attaques de base ont 20 % de chance de tirer 2 flèches supplémentaires sur des cibles différentes (30 % des dégâts chacune).</t>
  </si>
  <si>
    <t xml:space="preserve">Carquois du Chasseur de Spectres</t>
  </si>
  <si>
    <t xml:space="preserve">Flèches spectrales</t>
  </si>
  <si>
    <t xml:space="preserve">Les coups critiques traversent la cible et infligent 40 % de leurs dégâts à un second ennemi.</t>
  </si>
  <si>
    <t xml:space="preserve">Médaillon du Serment Brisé (Guerrier, Neutre) tombe dans le Désert : le Guerrier n'a pas d'Unique de Vent, il a ainsi exactement 1 Unique par biome, comme le Mage et le Tireur.</t>
  </si>
  <si>
    <t xml:space="preserve">Niveau de base = premier étage du biome où l'Unique tombe. Amélioration max = jusqu'au niveau 100.</t>
  </si>
  <si>
    <t xml:space="preserve">Coût d'amélioration</t>
  </si>
  <si>
    <t xml:space="preserve">Ressource nécessaire pour passer au niveau d'amélioration L (et total depuis 0). La ressource est le matériau de l'objet : une Épée en bois s'améliore avec du bois, une Épée en fer avec du fer.</t>
  </si>
  <si>
    <t xml:space="preserve">Quantité = ARRONDI(base × L ^ exposant × multiplicateur de rareté). Réglages : Paramètres §4 (base, exposant) et colonne « Coût d'amélioration × » des raretés.</t>
  </si>
  <si>
    <t xml:space="preserve">Niveau visé (L)</t>
  </si>
  <si>
    <t xml:space="preserve">Total Commun</t>
  </si>
  <si>
    <t xml:space="preserve">Total Rare</t>
  </si>
  <si>
    <t xml:space="preserve">Total Super rare</t>
  </si>
  <si>
    <t xml:space="preserve">Total Épique</t>
  </si>
  <si>
    <t xml:space="preserve">Total Mythique</t>
  </si>
  <si>
    <t xml:space="preserve">Total Légendaire</t>
  </si>
  <si>
    <t xml:space="preserve">Total Unique</t>
  </si>
  <si>
    <t xml:space="preserve">Lecture : améliorer une Épée en bois Commune de 0 à 19 (max du palier 1) coûte la valeur « Total Commun » de la ligne 19. Les Uniques montent jusqu'à +99 (Unique de la Forêt) avec la ressource du palier atteint.</t>
  </si>
  <si>
    <t xml:space="preserve">Profils de stats par classe et par slot</t>
  </si>
  <si>
    <t xml:space="preserve">Poids de chaque stat (0 = absente). Les rangs sont calculés : le rang 1 est la stat dominante de l'objet, débloquée dès le Commun.</t>
  </si>
  <si>
    <t xml:space="preserve">Poids de chaque statistique</t>
  </si>
  <si>
    <t xml:space="preserve">Rang dans l'objet (calculé)</t>
  </si>
  <si>
    <t xml:space="preserve">Famille de matériaux</t>
  </si>
  <si>
    <t xml:space="preserve">Casque</t>
  </si>
  <si>
    <t xml:space="preserve">Guerrier – armures</t>
  </si>
  <si>
    <t xml:space="preserve">Plastron</t>
  </si>
  <si>
    <t xml:space="preserve">Jambières</t>
  </si>
  <si>
    <t xml:space="preserve">Brodequins</t>
  </si>
  <si>
    <t xml:space="preserve">Médaillon</t>
  </si>
  <si>
    <t xml:space="preserve">Bijoux</t>
  </si>
  <si>
    <t xml:space="preserve">Anneau de guerre</t>
  </si>
  <si>
    <t xml:space="preserve">Chevalière</t>
  </si>
  <si>
    <t xml:space="preserve">Ceinturon</t>
  </si>
  <si>
    <t xml:space="preserve">Épée</t>
  </si>
  <si>
    <t xml:space="preserve">Guerrier – armes</t>
  </si>
  <si>
    <t xml:space="preserve">Bouclier</t>
  </si>
  <si>
    <t xml:space="preserve">Mage – tissus</t>
  </si>
  <si>
    <t xml:space="preserve">Robe</t>
  </si>
  <si>
    <t xml:space="preserve">Bottines</t>
  </si>
  <si>
    <t xml:space="preserve">Amulette</t>
  </si>
  <si>
    <t xml:space="preserve">Anneau runique</t>
  </si>
  <si>
    <t xml:space="preserve">Sceau</t>
  </si>
  <si>
    <t xml:space="preserve">Bâton</t>
  </si>
  <si>
    <t xml:space="preserve">Mage – bâtons</t>
  </si>
  <si>
    <t xml:space="preserve">Orbe</t>
  </si>
  <si>
    <t xml:space="preserve">Mage – orbes</t>
  </si>
  <si>
    <t xml:space="preserve">Capuche</t>
  </si>
  <si>
    <t xml:space="preserve">Tireur – cuirs</t>
  </si>
  <si>
    <t xml:space="preserve">Veste</t>
  </si>
  <si>
    <t xml:space="preserve">Bottes</t>
  </si>
  <si>
    <t xml:space="preserve">Pendentif</t>
  </si>
  <si>
    <t xml:space="preserve">Anneau de chasseur</t>
  </si>
  <si>
    <t xml:space="preserve">Bague</t>
  </si>
  <si>
    <t xml:space="preserve">Arc</t>
  </si>
  <si>
    <t xml:space="preserve">Tireur – arcs</t>
  </si>
  <si>
    <t xml:space="preserve">Carquois</t>
  </si>
  <si>
    <t xml:space="preserve">Matériaux, paliers et ressources</t>
  </si>
  <si>
    <t xml:space="preserve">Chaque type d'objet existe dans 5 matériaux (paliers). Chaque variante existe dans les 6 raretés, de Commun à Légendaire. Un palier plus haut part d'un niveau plus élevé : une Épée en fer est plus forte qu'une Épée en bois de même rareté.</t>
  </si>
  <si>
    <t xml:space="preserve">Famille</t>
  </si>
  <si>
    <t xml:space="preserve">Palier 1</t>
  </si>
  <si>
    <t xml:space="preserve">Palier 2</t>
  </si>
  <si>
    <t xml:space="preserve">Palier 3</t>
  </si>
  <si>
    <t xml:space="preserve">Palier 4</t>
  </si>
  <si>
    <t xml:space="preserve">Palier 5</t>
  </si>
  <si>
    <t xml:space="preserve">Utilisé pour</t>
  </si>
  <si>
    <t xml:space="preserve">bois</t>
  </si>
  <si>
    <t xml:space="preserve">fer</t>
  </si>
  <si>
    <t xml:space="preserve">acier</t>
  </si>
  <si>
    <t xml:space="preserve">mithril</t>
  </si>
  <si>
    <t xml:space="preserve">adamantite</t>
  </si>
  <si>
    <t xml:space="preserve">Épée, Bouclier</t>
  </si>
  <si>
    <t xml:space="preserve">cuir</t>
  </si>
  <si>
    <t xml:space="preserve">Casque, Plastron, Jambières, Brodequins, Ceinturon</t>
  </si>
  <si>
    <t xml:space="preserve">lin</t>
  </si>
  <si>
    <t xml:space="preserve">laine</t>
  </si>
  <si>
    <t xml:space="preserve">soie</t>
  </si>
  <si>
    <t xml:space="preserve">velours enchanté</t>
  </si>
  <si>
    <t xml:space="preserve">étoffe astrale</t>
  </si>
  <si>
    <t xml:space="preserve">Chapeau, Robe, Pantalon, Bottines, Ceinture</t>
  </si>
  <si>
    <t xml:space="preserve">chêne</t>
  </si>
  <si>
    <t xml:space="preserve">ébène</t>
  </si>
  <si>
    <t xml:space="preserve">cristal</t>
  </si>
  <si>
    <t xml:space="preserve">éther</t>
  </si>
  <si>
    <t xml:space="preserve">verre</t>
  </si>
  <si>
    <t xml:space="preserve">quartz</t>
  </si>
  <si>
    <t xml:space="preserve">améthyste</t>
  </si>
  <si>
    <t xml:space="preserve">saphir</t>
  </si>
  <si>
    <t xml:space="preserve">diamant</t>
  </si>
  <si>
    <t xml:space="preserve">frêne</t>
  </si>
  <si>
    <t xml:space="preserve">if</t>
  </si>
  <si>
    <t xml:space="preserve">os de dragon</t>
  </si>
  <si>
    <t xml:space="preserve">toile</t>
  </si>
  <si>
    <t xml:space="preserve">cuir clouté</t>
  </si>
  <si>
    <t xml:space="preserve">écailles</t>
  </si>
  <si>
    <t xml:space="preserve">peau de dragon</t>
  </si>
  <si>
    <t xml:space="preserve">Capuche, Veste, Pantalon, Bottes, Ceinture, Carquois</t>
  </si>
  <si>
    <t xml:space="preserve">cuivre</t>
  </si>
  <si>
    <t xml:space="preserve">argent</t>
  </si>
  <si>
    <t xml:space="preserve">or</t>
  </si>
  <si>
    <t xml:space="preserve">platine</t>
  </si>
  <si>
    <t xml:space="preserve">orichalque</t>
  </si>
  <si>
    <t xml:space="preserve">Collier, Anneaux (toutes classes)</t>
  </si>
  <si>
    <t xml:space="preserve">2. Paliers : niveau de base et amélioration</t>
  </si>
  <si>
    <t xml:space="preserve">Niveau de base (amélioration 0)</t>
  </si>
  <si>
    <t xml:space="preserve">Niveau effectif max</t>
  </si>
  <si>
    <t xml:space="preserve">Ressource débloquée à l'étage</t>
  </si>
  <si>
    <t xml:space="preserve">Exemple (Guerrier – armes)</t>
  </si>
  <si>
    <t xml:space="preserve">Niveau effectif = niveau de base du palier + niveau d'amélioration. C'est lui qui entre dans la courbe de niveau (facteur 5 % au niv. 1, 100 % au niv. 100). Les plages se chevauchent de 5 niveaux : une Épée en bois au max vaut à peu près une Épée en fer peu améliorée.</t>
  </si>
  <si>
    <t xml:space="preserve">3. Ressources d'amélioration (la ressource = le matériau de l'objet)</t>
  </si>
  <si>
    <t xml:space="preserve">Où l'obtenir</t>
  </si>
  <si>
    <t xml:space="preserve">Étage</t>
  </si>
  <si>
    <t xml:space="preserve">Dans le diagramme ?</t>
  </si>
  <si>
    <t xml:space="preserve">Scierie</t>
  </si>
  <si>
    <t xml:space="preserve">Village</t>
  </si>
  <si>
    <t xml:space="preserve">Oui</t>
  </si>
  <si>
    <t xml:space="preserve">Terrain de chasse</t>
  </si>
  <si>
    <t xml:space="preserve">Champs</t>
  </si>
  <si>
    <t xml:space="preserve">Taverne (marchand)</t>
  </si>
  <si>
    <t xml:space="preserve">Mine</t>
  </si>
  <si>
    <t xml:space="preserve">Tour d'alchimie</t>
  </si>
  <si>
    <t xml:space="preserve">« Proposé » : ressource absente du diagramme, source suggérée à valider (ébène sert au palier 3 des bâtons et au palier 4 des arcs).</t>
  </si>
  <si>
    <t xml:space="preserve">Paramètres d'équilibrage</t>
  </si>
  <si>
    <t xml:space="preserve">Cellules jaunes / texte bleu = modifiables. Tout le classeur se recalcule à partir de cet onglet et de « Profils ».</t>
  </si>
  <si>
    <t xml:space="preserve">1. Raretés</t>
  </si>
  <si>
    <t xml:space="preserve">N°</t>
  </si>
  <si>
    <t xml:space="preserve">Multiplicateur de stats</t>
  </si>
  <si>
    <t xml:space="preserve">Nom de l'objet</t>
  </si>
  <si>
    <t xml:space="preserve">Obtention (butin)</t>
  </si>
  <si>
    <t xml:space="preserve">Coût d'amélioration ×</t>
  </si>
  <si>
    <t xml:space="preserve">Classes</t>
  </si>
  <si>
    <t xml:space="preserve">Non</t>
  </si>
  <si>
    <t xml:space="preserve">Type + matériau</t>
  </si>
  <si>
    <t xml:space="preserve">Tous les monstres, dès l'étage 1</t>
  </si>
  <si>
    <t xml:space="preserve">Monstres dès l'étage 11 ; boss et dragons dès l'étage 5</t>
  </si>
  <si>
    <t xml:space="preserve">Monstres dès l'étage 21 ; boss et dragons dès l'étage 5</t>
  </si>
  <si>
    <t xml:space="preserve">Monstres dès l'étage 31 ; dragons dès 19, boss dès 25</t>
  </si>
  <si>
    <t xml:space="preserve">Monstres dès l'étage 51 ; dragons dès 29, boss dès 35</t>
  </si>
  <si>
    <t xml:space="preserve">Boss (1 → 7 %) et dragons (2 → 10 %) de son biome ; rarissime en chasse dès 41</t>
  </si>
  <si>
    <t xml:space="preserve">2. Courbe de niveau</t>
  </si>
  <si>
    <t xml:space="preserve">Niveau minimum</t>
  </si>
  <si>
    <t xml:space="preserve">Niveau maximum</t>
  </si>
  <si>
    <t xml:space="preserve">Part de la valeur au niveau 1 (a)</t>
  </si>
  <si>
    <t xml:space="preserve">Exposant de la courbe (p)</t>
  </si>
  <si>
    <t xml:space="preserve">Facteur(N) = a + (1 − a) × ((N − Nmin) / (Nmax − Nmin)) ^ p   → 1,00 au niveau 100. p &gt; 1 : progression lente au début, rapide à la fin.</t>
  </si>
  <si>
    <t xml:space="preserve">Lignes de stats : une rareté ne débloque que les N stats les mieux classées du profil (voir « Profils »). Le matériau (bois, fer…) et la rareté sont indépendants ; le niveau de l'objet = son amélioration.</t>
  </si>
  <si>
    <t xml:space="preserve">3. Statistiques</t>
  </si>
  <si>
    <t xml:space="preserve">Unité</t>
  </si>
  <si>
    <t xml:space="preserve">Valeur de référence K</t>
  </si>
  <si>
    <t xml:space="preserve">Décimales</t>
  </si>
  <si>
    <t xml:space="preserve">Plafond conseillé (total équipement)</t>
  </si>
  <si>
    <t xml:space="preserve">Rôle / notes</t>
  </si>
  <si>
    <t xml:space="preserve">Principale</t>
  </si>
  <si>
    <t xml:space="preserve">Niveau + équipement</t>
  </si>
  <si>
    <t xml:space="preserve">Points</t>
  </si>
  <si>
    <t xml:space="preserve">Augmente les PV max (statistique de survie).</t>
  </si>
  <si>
    <t xml:space="preserve">Dégâts physiques.</t>
  </si>
  <si>
    <t xml:space="preserve">Réduit les dégâts reçus / résistance aux effets.</t>
  </si>
  <si>
    <t xml:space="preserve">Dégâts magiques et soins.</t>
  </si>
  <si>
    <t xml:space="preserve">Esquive et ordre des tours. Peu d'effets par objet.</t>
  </si>
  <si>
    <t xml:space="preserve">Ordre des camps : l'initiative moyenne de chaque camp décide qui joue en premier dans la manche. Portée par les bottes, l'anneau 2, la ceinture (Guerrier), le collier (Mage), la capuche et le carquois (Tireur).</t>
  </si>
  <si>
    <t xml:space="preserve">Équipement</t>
  </si>
  <si>
    <t xml:space="preserve">Équipement uniquement</t>
  </si>
  <si>
    <t xml:space="preserve">%</t>
  </si>
  <si>
    <t xml:space="preserve">Réduit le risque de rater une attaque.</t>
  </si>
  <si>
    <t xml:space="preserve">Probabilité de coup critique.</t>
  </si>
  <si>
    <t xml:space="preserve">Bonus de dégâts des coups critiques.</t>
  </si>
  <si>
    <t xml:space="preserve">Réduit les dégâts physiques. Dépend du type d'armure (lourde &gt; cuir &gt; tissu).</t>
  </si>
  <si>
    <t xml:space="preserve">Ignore une partie de l'armure ennemie.</t>
  </si>
  <si>
    <t xml:space="preserve">Spécialisée</t>
  </si>
  <si>
    <t xml:space="preserve">Réduit les dégâts élémentaires (tous éléments sauf Neutre).</t>
  </si>
  <si>
    <t xml:space="preserve">Augmente les soins prodigués.</t>
  </si>
  <si>
    <t xml:space="preserve">Réduit chance/durée des effets négatifs.</t>
  </si>
  <si>
    <t xml:space="preserve">Valeur d'une stat sur un objet = poids (onglet Profils) × K × multiplicateur de rareté × facteur de niveau, arrondie. K = valeur d'un objet Commun de poids 1,0 au niveau 100.</t>
  </si>
  <si>
    <t xml:space="preserve">Les stats principales s'ajoutent à celles du niveau du joueur. PV max et Esquive sont calculés ailleurs et ne figurent pas sur les objets (cf. fichier de statistiques). Pas de mana dans le jeu. L'Initiative d'un objet s'ajoute à l'initiative de base de la classe (bestiaire, Paramètres §9).</t>
  </si>
  <si>
    <t xml:space="preserve">4. Amélioration des objets</t>
  </si>
  <si>
    <t xml:space="preserve">Quantité de ressource pour le niveau 1 (Commun)</t>
  </si>
  <si>
    <t xml:space="preserve">Exposant de la courbe de coût</t>
  </si>
  <si>
    <t xml:space="preserve">Ressource pour passer au niveau L = ARRONDI(quantité × L ^ exposant × coût d'amélioration de la rareté). La ressource est le matériau de l'objet (Épée en bois → bois). Pas de temps de fabrication (diagramme).</t>
  </si>
  <si>
    <t xml:space="preserve">Exemple : Épée en bois Commune → niv. 1 : 3 bois, niv. 10 : 53 bois, niv. 19 : 119 bois. Voir l'onglet Amélioration.</t>
  </si>
</sst>
</file>

<file path=xl/styles.xml><?xml version="1.0" encoding="utf-8"?>
<styleSheet xmlns="http://schemas.openxmlformats.org/spreadsheetml/2006/main">
  <numFmts count="12">
    <numFmt numFmtId="164" formatCode="General"/>
    <numFmt numFmtId="165" formatCode="0"/>
    <numFmt numFmtId="166" formatCode="#,##0;\-#,##0;\-"/>
    <numFmt numFmtId="167" formatCode="0.0%;\-0.0%;\-"/>
    <numFmt numFmtId="168" formatCode="0.0"/>
    <numFmt numFmtId="169" formatCode="0.00"/>
    <numFmt numFmtId="170" formatCode="0.000"/>
    <numFmt numFmtId="171" formatCode="General"/>
    <numFmt numFmtId="172" formatCode="0.0;\-0.0;\-"/>
    <numFmt numFmtId="173" formatCode="0;\-0;\-"/>
    <numFmt numFmtId="174" formatCode="0%"/>
    <numFmt numFmtId="175" formatCode="0.0%"/>
  </numFmts>
  <fonts count="18">
    <font>
      <sz val="11"/>
      <color theme="1"/>
      <name val="Calibri"/>
      <family val="0"/>
      <charset val="1"/>
    </font>
    <font>
      <sz val="10"/>
      <name val="Arial"/>
      <family val="0"/>
    </font>
    <font>
      <sz val="10"/>
      <name val="Arial"/>
      <family val="0"/>
    </font>
    <font>
      <sz val="10"/>
      <name val="Arial"/>
      <family val="0"/>
    </font>
    <font>
      <b val="true"/>
      <sz val="16"/>
      <color rgb="FF1F2937"/>
      <name val="Arial"/>
      <family val="0"/>
      <charset val="1"/>
    </font>
    <font>
      <i val="true"/>
      <sz val="10"/>
      <color rgb="FF6B7280"/>
      <name val="Arial"/>
      <family val="0"/>
      <charset val="1"/>
    </font>
    <font>
      <b val="true"/>
      <sz val="10"/>
      <color rgb="FFFFFFFF"/>
      <name val="Arial"/>
      <family val="0"/>
      <charset val="1"/>
    </font>
    <font>
      <sz val="10"/>
      <color rgb="FF1F2937"/>
      <name val="Arial"/>
      <family val="0"/>
      <charset val="1"/>
    </font>
    <font>
      <b val="true"/>
      <sz val="10"/>
      <color rgb="FF1F2937"/>
      <name val="Arial"/>
      <family val="0"/>
      <charset val="1"/>
    </font>
    <font>
      <b val="true"/>
      <sz val="14"/>
      <color rgb="FF1F2937"/>
      <name val="Arial"/>
      <family val="0"/>
      <charset val="1"/>
    </font>
    <font>
      <sz val="10"/>
      <color rgb="FF6B7280"/>
      <name val="Arial"/>
      <family val="0"/>
      <charset val="1"/>
    </font>
    <font>
      <sz val="10"/>
      <color rgb="FF0000FF"/>
      <name val="Arial"/>
      <family val="0"/>
      <charset val="1"/>
    </font>
    <font>
      <i val="true"/>
      <sz val="9"/>
      <color rgb="FF6B7280"/>
      <name val="Arial"/>
      <family val="0"/>
      <charset val="1"/>
    </font>
    <font>
      <sz val="9"/>
      <color rgb="FF6B7280"/>
      <name val="Arial"/>
      <family val="0"/>
      <charset val="1"/>
    </font>
    <font>
      <sz val="9"/>
      <color rgb="FF9CA3AF"/>
      <name val="Arial"/>
      <family val="0"/>
      <charset val="1"/>
    </font>
    <font>
      <b val="true"/>
      <sz val="10"/>
      <color rgb="FF10739E"/>
      <name val="Arial"/>
      <family val="0"/>
      <charset val="1"/>
    </font>
    <font>
      <i val="true"/>
      <sz val="10"/>
      <color rgb="FF1F2937"/>
      <name val="Arial"/>
      <family val="0"/>
      <charset val="1"/>
    </font>
    <font>
      <b val="true"/>
      <sz val="11"/>
      <color rgb="FF1F2937"/>
      <name val="Arial"/>
      <family val="0"/>
      <charset val="1"/>
    </font>
  </fonts>
  <fills count="12">
    <fill>
      <patternFill patternType="none"/>
    </fill>
    <fill>
      <patternFill patternType="gray125"/>
    </fill>
    <fill>
      <patternFill patternType="solid">
        <fgColor rgb="FF1F2937"/>
        <bgColor rgb="FF333300"/>
      </patternFill>
    </fill>
    <fill>
      <patternFill patternType="solid">
        <fgColor rgb="FFFFF2CC"/>
        <bgColor rgb="FFE5E7EB"/>
      </patternFill>
    </fill>
    <fill>
      <patternFill patternType="solid">
        <fgColor rgb="FFFFFFFF"/>
        <bgColor rgb="FFFFF2CC"/>
      </patternFill>
    </fill>
    <fill>
      <patternFill patternType="solid">
        <fgColor rgb="FF4E8A0B"/>
        <bgColor rgb="FF339966"/>
      </patternFill>
    </fill>
    <fill>
      <patternFill patternType="solid">
        <fgColor rgb="FF1E90D0"/>
        <bgColor rgb="FF10739E"/>
      </patternFill>
    </fill>
    <fill>
      <patternFill patternType="solid">
        <fgColor rgb="FFFFA3FF"/>
        <bgColor rgb="FFF8B4B4"/>
      </patternFill>
    </fill>
    <fill>
      <patternFill patternType="solid">
        <fgColor rgb="FFFF9183"/>
        <bgColor rgb="FFF8B4B4"/>
      </patternFill>
    </fill>
    <fill>
      <patternFill patternType="solid">
        <fgColor rgb="FFF0A30A"/>
        <bgColor rgb="FFFFCC00"/>
      </patternFill>
    </fill>
    <fill>
      <patternFill patternType="solid">
        <fgColor rgb="FFB1DDF0"/>
        <bgColor rgb="FFD1D5DB"/>
      </patternFill>
    </fill>
    <fill>
      <patternFill patternType="solid">
        <fgColor rgb="FFE5E7EB"/>
        <bgColor rgb="FFD1D5DB"/>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9" fontId="14" fillId="0" borderId="1" xfId="0" applyFont="true" applyBorder="true" applyAlignment="true" applyProtection="false">
      <alignment horizontal="center" vertical="center" textRotation="0" wrapText="true" indent="0" shrinkToFit="false"/>
      <protection locked="true" hidden="false"/>
    </xf>
    <xf numFmtId="170" fontId="14"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9" fontId="10" fillId="0" borderId="1" xfId="0" applyFont="true" applyBorder="true" applyAlignment="true" applyProtection="false">
      <alignment horizontal="center" vertical="center" textRotation="0" wrapText="true" indent="0" shrinkToFit="false"/>
      <protection locked="true" hidden="false"/>
    </xf>
    <xf numFmtId="171" fontId="10" fillId="0" borderId="1" xfId="0" applyFont="true" applyBorder="true" applyAlignment="true" applyProtection="false">
      <alignment horizontal="center" vertical="center" textRotation="0" wrapText="true" indent="0" shrinkToFit="false"/>
      <protection locked="true" hidden="false"/>
    </xf>
    <xf numFmtId="170" fontId="10" fillId="0" borderId="1" xfId="0" applyFont="true" applyBorder="true" applyAlignment="true" applyProtection="false">
      <alignment horizontal="center" vertical="center" textRotation="0" wrapText="true" indent="0" shrinkToFit="false"/>
      <protection locked="true" hidden="false"/>
    </xf>
    <xf numFmtId="171" fontId="8" fillId="0" borderId="1" xfId="0" applyFont="true" applyBorder="true" applyAlignment="true" applyProtection="false">
      <alignment horizontal="left" vertical="center" textRotation="0" wrapText="false" indent="0" shrinkToFit="false"/>
      <protection locked="true" hidden="false"/>
    </xf>
    <xf numFmtId="171" fontId="7" fillId="0" borderId="1" xfId="0" applyFont="true" applyBorder="true" applyAlignment="true" applyProtection="false">
      <alignment horizontal="left" vertical="center" textRotation="0" wrapText="false" indent="0" shrinkToFit="false"/>
      <protection locked="true" hidden="false"/>
    </xf>
    <xf numFmtId="171" fontId="7" fillId="0" borderId="1" xfId="0" applyFont="true" applyBorder="true" applyAlignment="true" applyProtection="false">
      <alignment horizontal="left" vertical="center" textRotation="0" wrapText="true" indent="0" shrinkToFit="false"/>
      <protection locked="true" hidden="false"/>
    </xf>
    <xf numFmtId="166" fontId="7"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72" fontId="7" fillId="0" borderId="1" xfId="0" applyFont="true" applyBorder="true" applyAlignment="true" applyProtection="false">
      <alignment horizontal="center" vertical="center" textRotation="0" wrapText="true" indent="0" shrinkToFit="false"/>
      <protection locked="true" hidden="false"/>
    </xf>
    <xf numFmtId="173" fontId="7"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false" indent="0" shrinkToFit="false"/>
      <protection locked="true" hidden="false"/>
    </xf>
    <xf numFmtId="168" fontId="8" fillId="11" borderId="1" xfId="0" applyFont="true" applyBorder="true" applyAlignment="true" applyProtection="false">
      <alignment horizontal="center" vertical="center" textRotation="0" wrapText="true" indent="0" shrinkToFit="false"/>
      <protection locked="true" hidden="false"/>
    </xf>
    <xf numFmtId="172" fontId="10"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5" fontId="11"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center" vertical="center" textRotation="0" wrapText="false" indent="0" shrinkToFit="false"/>
      <protection locked="true" hidden="false"/>
    </xf>
    <xf numFmtId="164" fontId="16" fillId="11" borderId="1" xfId="0" applyFont="true" applyBorder="true" applyAlignment="true" applyProtection="false">
      <alignment horizontal="general" vertical="center" textRotation="0" wrapText="false" indent="0" shrinkToFit="false"/>
      <protection locked="true" hidden="false"/>
    </xf>
    <xf numFmtId="174" fontId="16" fillId="11"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11"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72" fontId="11" fillId="3" borderId="1" xfId="0" applyFont="true" applyBorder="true" applyAlignment="true" applyProtection="false">
      <alignment horizontal="center" vertical="center" textRotation="0" wrapText="false" indent="0" shrinkToFit="false"/>
      <protection locked="true" hidden="false"/>
    </xf>
    <xf numFmtId="173" fontId="10" fillId="0"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9" fontId="11" fillId="3" borderId="1" xfId="0" applyFont="true" applyBorder="true" applyAlignment="true" applyProtection="false">
      <alignment horizontal="center" vertical="center" textRotation="0" wrapText="false" indent="0" shrinkToFit="false"/>
      <protection locked="true" hidden="false"/>
    </xf>
    <xf numFmtId="169" fontId="11"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74" fontId="11" fillId="3"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75" fontId="11"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2937"/>
          <bgColor rgb="FF000000"/>
        </patternFill>
      </fill>
    </dxf>
    <dxf>
      <fill>
        <patternFill patternType="solid">
          <bgColor rgb="FF000000"/>
        </patternFill>
      </fill>
    </dxf>
    <dxf>
      <fill>
        <patternFill patternType="solid">
          <fgColor rgb="FF6B7280"/>
          <bgColor rgb="FF000000"/>
        </patternFill>
      </fill>
    </dxf>
    <dxf>
      <fill>
        <patternFill patternType="solid">
          <fgColor rgb="FFFFFFFF"/>
          <bgColor rgb="FF000000"/>
        </patternFill>
      </fill>
    </dxf>
    <dxf>
      <fill>
        <patternFill patternType="solid">
          <fgColor rgb="FF1E90D0"/>
          <bgColor rgb="FF000000"/>
        </patternFill>
      </fill>
    </dxf>
    <dxf>
      <fill>
        <patternFill patternType="solid">
          <fgColor rgb="FF4E8A0B"/>
          <bgColor rgb="FF000000"/>
        </patternFill>
      </fill>
    </dxf>
    <dxf>
      <fill>
        <patternFill patternType="solid">
          <fgColor rgb="FFB1DDF0"/>
          <bgColor rgb="FF000000"/>
        </patternFill>
      </fill>
    </dxf>
    <dxf>
      <fill>
        <patternFill patternType="solid">
          <fgColor rgb="FFF0A30A"/>
          <bgColor rgb="FF000000"/>
        </patternFill>
      </fill>
    </dxf>
    <dxf>
      <fill>
        <patternFill patternType="solid">
          <fgColor rgb="FFFF9183"/>
          <bgColor rgb="FF000000"/>
        </patternFill>
      </fill>
    </dxf>
    <dxf>
      <fill>
        <patternFill patternType="solid">
          <fgColor rgb="FFFFA3FF"/>
          <bgColor rgb="FF000000"/>
        </patternFill>
      </fill>
    </dxf>
    <dxf>
      <fill>
        <patternFill patternType="solid">
          <fgColor rgb="FF10739E"/>
          <bgColor rgb="FF000000"/>
        </patternFill>
      </fill>
    </dxf>
    <dxf>
      <fill>
        <patternFill patternType="solid">
          <fgColor rgb="FF9CA3AF"/>
          <bgColor rgb="FF000000"/>
        </patternFill>
      </fill>
    </dxf>
    <dxf>
      <font>
        <color rgb="FF9CA3AF"/>
      </font>
    </dxf>
    <dxf>
      <font>
        <name val="Arial"/>
        <charset val="1"/>
        <family val="0"/>
        <b val="1"/>
        <color rgb="FF9B1C1C"/>
      </font>
      <fill>
        <patternFill>
          <bgColor rgb="FFF8B4B4"/>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4E8A0B"/>
      <rgbColor rgb="FF800080"/>
      <rgbColor rgb="FF10739E"/>
      <rgbColor rgb="FFC0C0C0"/>
      <rgbColor rgb="FF808080"/>
      <rgbColor rgb="FF9999FF"/>
      <rgbColor rgb="FF993366"/>
      <rgbColor rgb="FFFFF2CC"/>
      <rgbColor rgb="FFE5E7EB"/>
      <rgbColor rgb="FF660066"/>
      <rgbColor rgb="FFFF9183"/>
      <rgbColor rgb="FF0066CC"/>
      <rgbColor rgb="FFD1D5DB"/>
      <rgbColor rgb="FF000080"/>
      <rgbColor rgb="FFFF00FF"/>
      <rgbColor rgb="FFFFFF00"/>
      <rgbColor rgb="FF00FFFF"/>
      <rgbColor rgb="FF800080"/>
      <rgbColor rgb="FF800000"/>
      <rgbColor rgb="FF1E90D0"/>
      <rgbColor rgb="FF0000FF"/>
      <rgbColor rgb="FF00CCFF"/>
      <rgbColor rgb="FFCCFFFF"/>
      <rgbColor rgb="FFCCFFCC"/>
      <rgbColor rgb="FFFFFF99"/>
      <rgbColor rgb="FFB1DDF0"/>
      <rgbColor rgb="FFFFA3FF"/>
      <rgbColor rgb="FFCC99FF"/>
      <rgbColor rgb="FFF8B4B4"/>
      <rgbColor rgb="FF3366FF"/>
      <rgbColor rgb="FF33CCCC"/>
      <rgbColor rgb="FF99CC00"/>
      <rgbColor rgb="FFFFCC00"/>
      <rgbColor rgb="FFF0A30A"/>
      <rgbColor rgb="FFFF6600"/>
      <rgbColor rgb="FF6B7280"/>
      <rgbColor rgb="FF9CA3AF"/>
      <rgbColor rgb="FF003366"/>
      <rgbColor rgb="FF339966"/>
      <rgbColor rgb="FF003300"/>
      <rgbColor rgb="FF333300"/>
      <rgbColor rgb="FF9B1C1C"/>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30"/>
    <col collapsed="false" customWidth="true" hidden="false" outlineLevel="0" max="2" min="2" style="1" width="118"/>
    <col collapsed="false" customWidth="true" hidden="false" outlineLevel="0" max="6" min="3" style="1" width="8.71"/>
  </cols>
  <sheetData>
    <row r="1" customFormat="false" ht="19.5" hidden="false" customHeight="true" outlineLevel="0" collapsed="false">
      <c r="A1" s="2" t="s">
        <v>0</v>
      </c>
      <c r="G1" s="1"/>
      <c r="H1" s="1"/>
      <c r="I1" s="1"/>
      <c r="J1" s="1"/>
      <c r="K1" s="1"/>
      <c r="L1" s="1"/>
      <c r="M1" s="1"/>
      <c r="N1" s="1"/>
      <c r="O1" s="1"/>
      <c r="P1" s="1"/>
      <c r="Q1" s="1"/>
      <c r="R1" s="1"/>
      <c r="S1" s="1"/>
      <c r="T1" s="1"/>
      <c r="U1" s="1"/>
      <c r="V1" s="1"/>
      <c r="W1" s="1"/>
      <c r="X1" s="1"/>
      <c r="Y1" s="1"/>
      <c r="Z1" s="1"/>
    </row>
    <row r="2" customFormat="false" ht="15" hidden="false" customHeight="true" outlineLevel="0" collapsed="false">
      <c r="A2" s="3" t="s">
        <v>1</v>
      </c>
      <c r="G2" s="1"/>
      <c r="H2" s="1"/>
      <c r="I2" s="1"/>
      <c r="J2" s="1"/>
      <c r="K2" s="1"/>
      <c r="L2" s="1"/>
      <c r="M2" s="1"/>
      <c r="N2" s="1"/>
      <c r="O2" s="1"/>
      <c r="P2" s="1"/>
      <c r="Q2" s="1"/>
      <c r="R2" s="1"/>
      <c r="S2" s="1"/>
      <c r="T2" s="1"/>
      <c r="U2" s="1"/>
      <c r="V2" s="1"/>
      <c r="W2" s="1"/>
      <c r="X2" s="1"/>
      <c r="Y2" s="1"/>
      <c r="Z2" s="1"/>
    </row>
    <row r="3" customFormat="false" ht="15" hidden="false" customHeight="true" outlineLevel="0" collapsed="false">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4" t="s">
        <v>2</v>
      </c>
      <c r="B4" s="5"/>
      <c r="G4" s="1"/>
      <c r="H4" s="1"/>
      <c r="I4" s="1"/>
      <c r="J4" s="1"/>
      <c r="K4" s="1"/>
      <c r="L4" s="1"/>
      <c r="M4" s="1"/>
      <c r="N4" s="1"/>
      <c r="O4" s="1"/>
      <c r="P4" s="1"/>
      <c r="Q4" s="1"/>
      <c r="R4" s="1"/>
      <c r="S4" s="1"/>
      <c r="T4" s="1"/>
      <c r="U4" s="1"/>
      <c r="V4" s="1"/>
      <c r="W4" s="1"/>
      <c r="X4" s="1"/>
      <c r="Y4" s="1"/>
      <c r="Z4" s="1"/>
    </row>
    <row r="5" customFormat="false" ht="30.75" hidden="false" customHeight="true" outlineLevel="0" collapsed="false">
      <c r="A5" s="6" t="s">
        <v>3</v>
      </c>
      <c r="B5" s="7" t="s">
        <v>4</v>
      </c>
      <c r="G5" s="1"/>
      <c r="H5" s="1"/>
      <c r="I5" s="1"/>
      <c r="J5" s="1"/>
      <c r="K5" s="1"/>
      <c r="L5" s="1"/>
      <c r="M5" s="1"/>
      <c r="N5" s="1"/>
      <c r="O5" s="1"/>
      <c r="P5" s="1"/>
      <c r="Q5" s="1"/>
      <c r="R5" s="1"/>
      <c r="S5" s="1"/>
      <c r="T5" s="1"/>
      <c r="U5" s="1"/>
      <c r="V5" s="1"/>
      <c r="W5" s="1"/>
      <c r="X5" s="1"/>
      <c r="Y5" s="1"/>
      <c r="Z5" s="1"/>
    </row>
    <row r="6" customFormat="false" ht="30.75" hidden="false" customHeight="true" outlineLevel="0" collapsed="false">
      <c r="A6" s="6" t="s">
        <v>5</v>
      </c>
      <c r="B6" s="7" t="s">
        <v>6</v>
      </c>
      <c r="G6" s="1"/>
      <c r="H6" s="1"/>
      <c r="I6" s="1"/>
      <c r="J6" s="1"/>
      <c r="K6" s="1"/>
      <c r="L6" s="1"/>
      <c r="M6" s="1"/>
      <c r="N6" s="1"/>
      <c r="O6" s="1"/>
      <c r="P6" s="1"/>
      <c r="Q6" s="1"/>
      <c r="R6" s="1"/>
      <c r="S6" s="1"/>
      <c r="T6" s="1"/>
      <c r="U6" s="1"/>
      <c r="V6" s="1"/>
      <c r="W6" s="1"/>
      <c r="X6" s="1"/>
      <c r="Y6" s="1"/>
      <c r="Z6" s="1"/>
    </row>
    <row r="7" customFormat="false" ht="15" hidden="false" customHeight="true" outlineLevel="0" collapsed="false">
      <c r="A7" s="4" t="s">
        <v>7</v>
      </c>
      <c r="B7" s="5"/>
      <c r="G7" s="1"/>
      <c r="H7" s="1"/>
      <c r="I7" s="1"/>
      <c r="J7" s="1"/>
      <c r="K7" s="1"/>
      <c r="L7" s="1"/>
      <c r="M7" s="1"/>
      <c r="N7" s="1"/>
      <c r="O7" s="1"/>
      <c r="P7" s="1"/>
      <c r="Q7" s="1"/>
      <c r="R7" s="1"/>
      <c r="S7" s="1"/>
      <c r="T7" s="1"/>
      <c r="U7" s="1"/>
      <c r="V7" s="1"/>
      <c r="W7" s="1"/>
      <c r="X7" s="1"/>
      <c r="Y7" s="1"/>
      <c r="Z7" s="1"/>
    </row>
    <row r="8" customFormat="false" ht="30.75" hidden="false" customHeight="true" outlineLevel="0" collapsed="false">
      <c r="A8" s="6" t="s">
        <v>8</v>
      </c>
      <c r="B8" s="7" t="s">
        <v>9</v>
      </c>
      <c r="G8" s="1"/>
      <c r="H8" s="1"/>
      <c r="I8" s="1"/>
      <c r="J8" s="1"/>
      <c r="K8" s="1"/>
      <c r="L8" s="1"/>
      <c r="M8" s="1"/>
      <c r="N8" s="1"/>
      <c r="O8" s="1"/>
      <c r="P8" s="1"/>
      <c r="Q8" s="1"/>
      <c r="R8" s="1"/>
      <c r="S8" s="1"/>
      <c r="T8" s="1"/>
      <c r="U8" s="1"/>
      <c r="V8" s="1"/>
      <c r="W8" s="1"/>
      <c r="X8" s="1"/>
      <c r="Y8" s="1"/>
      <c r="Z8" s="1"/>
    </row>
    <row r="9" customFormat="false" ht="30.75" hidden="false" customHeight="true" outlineLevel="0" collapsed="false">
      <c r="A9" s="6" t="s">
        <v>10</v>
      </c>
      <c r="B9" s="7" t="s">
        <v>11</v>
      </c>
      <c r="G9" s="1"/>
      <c r="H9" s="1"/>
      <c r="I9" s="1"/>
      <c r="J9" s="1"/>
      <c r="K9" s="1"/>
      <c r="L9" s="1"/>
      <c r="M9" s="1"/>
      <c r="N9" s="1"/>
      <c r="O9" s="1"/>
      <c r="P9" s="1"/>
      <c r="Q9" s="1"/>
      <c r="R9" s="1"/>
      <c r="S9" s="1"/>
      <c r="T9" s="1"/>
      <c r="U9" s="1"/>
      <c r="V9" s="1"/>
      <c r="W9" s="1"/>
      <c r="X9" s="1"/>
      <c r="Y9" s="1"/>
      <c r="Z9" s="1"/>
    </row>
    <row r="10" customFormat="false" ht="16.5" hidden="false" customHeight="true" outlineLevel="0" collapsed="false">
      <c r="A10" s="6" t="s">
        <v>12</v>
      </c>
      <c r="B10" s="7" t="s">
        <v>13</v>
      </c>
      <c r="G10" s="1"/>
      <c r="H10" s="1"/>
      <c r="I10" s="1"/>
      <c r="J10" s="1"/>
      <c r="K10" s="1"/>
      <c r="L10" s="1"/>
      <c r="M10" s="1"/>
      <c r="N10" s="1"/>
      <c r="O10" s="1"/>
      <c r="P10" s="1"/>
      <c r="Q10" s="1"/>
      <c r="R10" s="1"/>
      <c r="S10" s="1"/>
      <c r="T10" s="1"/>
      <c r="U10" s="1"/>
      <c r="V10" s="1"/>
      <c r="W10" s="1"/>
      <c r="X10" s="1"/>
      <c r="Y10" s="1"/>
      <c r="Z10" s="1"/>
    </row>
    <row r="11" customFormat="false" ht="16.5" hidden="false" customHeight="true" outlineLevel="0" collapsed="false">
      <c r="A11" s="6" t="s">
        <v>14</v>
      </c>
      <c r="B11" s="7" t="s">
        <v>15</v>
      </c>
      <c r="G11" s="1"/>
      <c r="H11" s="1"/>
      <c r="I11" s="1"/>
      <c r="J11" s="1"/>
      <c r="K11" s="1"/>
      <c r="L11" s="1"/>
      <c r="M11" s="1"/>
      <c r="N11" s="1"/>
      <c r="O11" s="1"/>
      <c r="P11" s="1"/>
      <c r="Q11" s="1"/>
      <c r="R11" s="1"/>
      <c r="S11" s="1"/>
      <c r="T11" s="1"/>
      <c r="U11" s="1"/>
      <c r="V11" s="1"/>
      <c r="W11" s="1"/>
      <c r="X11" s="1"/>
      <c r="Y11" s="1"/>
      <c r="Z11" s="1"/>
    </row>
    <row r="12" customFormat="false" ht="16.5" hidden="false" customHeight="true" outlineLevel="0" collapsed="false">
      <c r="A12" s="6" t="s">
        <v>16</v>
      </c>
      <c r="B12" s="7" t="s">
        <v>17</v>
      </c>
      <c r="G12" s="1"/>
      <c r="H12" s="1"/>
      <c r="I12" s="1"/>
      <c r="J12" s="1"/>
      <c r="K12" s="1"/>
      <c r="L12" s="1"/>
      <c r="M12" s="1"/>
      <c r="N12" s="1"/>
      <c r="O12" s="1"/>
      <c r="P12" s="1"/>
      <c r="Q12" s="1"/>
      <c r="R12" s="1"/>
      <c r="S12" s="1"/>
      <c r="T12" s="1"/>
      <c r="U12" s="1"/>
      <c r="V12" s="1"/>
      <c r="W12" s="1"/>
      <c r="X12" s="1"/>
      <c r="Y12" s="1"/>
      <c r="Z12" s="1"/>
    </row>
    <row r="13" customFormat="false" ht="16.5" hidden="false" customHeight="true" outlineLevel="0" collapsed="false">
      <c r="A13" s="6" t="s">
        <v>18</v>
      </c>
      <c r="B13" s="7" t="s">
        <v>19</v>
      </c>
      <c r="G13" s="1"/>
      <c r="H13" s="1"/>
      <c r="I13" s="1"/>
      <c r="J13" s="1"/>
      <c r="K13" s="1"/>
      <c r="L13" s="1"/>
      <c r="M13" s="1"/>
      <c r="N13" s="1"/>
      <c r="O13" s="1"/>
      <c r="P13" s="1"/>
      <c r="Q13" s="1"/>
      <c r="R13" s="1"/>
      <c r="S13" s="1"/>
      <c r="T13" s="1"/>
      <c r="U13" s="1"/>
      <c r="V13" s="1"/>
      <c r="W13" s="1"/>
      <c r="X13" s="1"/>
      <c r="Y13" s="1"/>
      <c r="Z13" s="1"/>
    </row>
    <row r="14" customFormat="false" ht="16.5" hidden="false" customHeight="true" outlineLevel="0" collapsed="false">
      <c r="A14" s="6" t="s">
        <v>20</v>
      </c>
      <c r="B14" s="7" t="s">
        <v>21</v>
      </c>
      <c r="G14" s="1"/>
      <c r="H14" s="1"/>
      <c r="I14" s="1"/>
      <c r="J14" s="1"/>
      <c r="K14" s="1"/>
      <c r="L14" s="1"/>
      <c r="M14" s="1"/>
      <c r="N14" s="1"/>
      <c r="O14" s="1"/>
      <c r="P14" s="1"/>
      <c r="Q14" s="1"/>
      <c r="R14" s="1"/>
      <c r="S14" s="1"/>
      <c r="T14" s="1"/>
      <c r="U14" s="1"/>
      <c r="V14" s="1"/>
      <c r="W14" s="1"/>
      <c r="X14" s="1"/>
      <c r="Y14" s="1"/>
      <c r="Z14" s="1"/>
    </row>
    <row r="15" customFormat="false" ht="16.5" hidden="false" customHeight="true" outlineLevel="0" collapsed="false">
      <c r="A15" s="6" t="s">
        <v>22</v>
      </c>
      <c r="B15" s="7" t="s">
        <v>23</v>
      </c>
      <c r="G15" s="1"/>
      <c r="H15" s="1"/>
      <c r="I15" s="1"/>
      <c r="J15" s="1"/>
      <c r="K15" s="1"/>
      <c r="L15" s="1"/>
      <c r="M15" s="1"/>
      <c r="N15" s="1"/>
      <c r="O15" s="1"/>
      <c r="P15" s="1"/>
      <c r="Q15" s="1"/>
      <c r="R15" s="1"/>
      <c r="S15" s="1"/>
      <c r="T15" s="1"/>
      <c r="U15" s="1"/>
      <c r="V15" s="1"/>
      <c r="W15" s="1"/>
      <c r="X15" s="1"/>
      <c r="Y15" s="1"/>
      <c r="Z15" s="1"/>
    </row>
    <row r="16" customFormat="false" ht="30.75" hidden="false" customHeight="true" outlineLevel="0" collapsed="false">
      <c r="A16" s="6" t="s">
        <v>24</v>
      </c>
      <c r="B16" s="7" t="s">
        <v>25</v>
      </c>
      <c r="G16" s="1"/>
      <c r="H16" s="1"/>
      <c r="I16" s="1"/>
      <c r="J16" s="1"/>
      <c r="K16" s="1"/>
      <c r="L16" s="1"/>
      <c r="M16" s="1"/>
      <c r="N16" s="1"/>
      <c r="O16" s="1"/>
      <c r="P16" s="1"/>
      <c r="Q16" s="1"/>
      <c r="R16" s="1"/>
      <c r="S16" s="1"/>
      <c r="T16" s="1"/>
      <c r="U16" s="1"/>
      <c r="V16" s="1"/>
      <c r="W16" s="1"/>
      <c r="X16" s="1"/>
      <c r="Y16" s="1"/>
      <c r="Z16" s="1"/>
    </row>
    <row r="17" customFormat="false" ht="15" hidden="false" customHeight="true" outlineLevel="0" collapsed="false">
      <c r="A17" s="4" t="s">
        <v>26</v>
      </c>
      <c r="B17" s="5"/>
      <c r="G17" s="1"/>
      <c r="H17" s="1"/>
      <c r="I17" s="1"/>
      <c r="J17" s="1"/>
      <c r="K17" s="1"/>
      <c r="L17" s="1"/>
      <c r="M17" s="1"/>
      <c r="N17" s="1"/>
      <c r="O17" s="1"/>
      <c r="P17" s="1"/>
      <c r="Q17" s="1"/>
      <c r="R17" s="1"/>
      <c r="S17" s="1"/>
      <c r="T17" s="1"/>
      <c r="U17" s="1"/>
      <c r="V17" s="1"/>
      <c r="W17" s="1"/>
      <c r="X17" s="1"/>
      <c r="Y17" s="1"/>
      <c r="Z17" s="1"/>
    </row>
    <row r="18" customFormat="false" ht="30.75" hidden="false" customHeight="true" outlineLevel="0" collapsed="false">
      <c r="A18" s="6" t="s">
        <v>27</v>
      </c>
      <c r="B18" s="7" t="s">
        <v>28</v>
      </c>
      <c r="G18" s="1"/>
      <c r="H18" s="1"/>
      <c r="I18" s="1"/>
      <c r="J18" s="1"/>
      <c r="K18" s="1"/>
      <c r="L18" s="1"/>
      <c r="M18" s="1"/>
      <c r="N18" s="1"/>
      <c r="O18" s="1"/>
      <c r="P18" s="1"/>
      <c r="Q18" s="1"/>
      <c r="R18" s="1"/>
      <c r="S18" s="1"/>
      <c r="T18" s="1"/>
      <c r="U18" s="1"/>
      <c r="V18" s="1"/>
      <c r="W18" s="1"/>
      <c r="X18" s="1"/>
      <c r="Y18" s="1"/>
      <c r="Z18" s="1"/>
    </row>
    <row r="19" customFormat="false" ht="30.75" hidden="false" customHeight="true" outlineLevel="0" collapsed="false">
      <c r="A19" s="6" t="s">
        <v>29</v>
      </c>
      <c r="B19" s="7" t="s">
        <v>30</v>
      </c>
      <c r="G19" s="1"/>
      <c r="H19" s="1"/>
      <c r="I19" s="1"/>
      <c r="J19" s="1"/>
      <c r="K19" s="1"/>
      <c r="L19" s="1"/>
      <c r="M19" s="1"/>
      <c r="N19" s="1"/>
      <c r="O19" s="1"/>
      <c r="P19" s="1"/>
      <c r="Q19" s="1"/>
      <c r="R19" s="1"/>
      <c r="S19" s="1"/>
      <c r="T19" s="1"/>
      <c r="U19" s="1"/>
      <c r="V19" s="1"/>
      <c r="W19" s="1"/>
      <c r="X19" s="1"/>
      <c r="Y19" s="1"/>
      <c r="Z19" s="1"/>
    </row>
    <row r="20" customFormat="false" ht="30.75" hidden="false" customHeight="true" outlineLevel="0" collapsed="false">
      <c r="A20" s="6" t="s">
        <v>31</v>
      </c>
      <c r="B20" s="7" t="s">
        <v>32</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4" t="s">
        <v>33</v>
      </c>
      <c r="B21" s="5"/>
      <c r="G21" s="1"/>
      <c r="H21" s="1"/>
      <c r="I21" s="1"/>
      <c r="J21" s="1"/>
      <c r="K21" s="1"/>
      <c r="L21" s="1"/>
      <c r="M21" s="1"/>
      <c r="N21" s="1"/>
      <c r="O21" s="1"/>
      <c r="P21" s="1"/>
      <c r="Q21" s="1"/>
      <c r="R21" s="1"/>
      <c r="S21" s="1"/>
      <c r="T21" s="1"/>
      <c r="U21" s="1"/>
      <c r="V21" s="1"/>
      <c r="W21" s="1"/>
      <c r="X21" s="1"/>
      <c r="Y21" s="1"/>
      <c r="Z21" s="1"/>
    </row>
    <row r="22" customFormat="false" ht="30.75" hidden="false" customHeight="true" outlineLevel="0" collapsed="false">
      <c r="A22" s="6" t="s">
        <v>34</v>
      </c>
      <c r="B22" s="7" t="s">
        <v>35</v>
      </c>
      <c r="G22" s="1"/>
      <c r="H22" s="1"/>
      <c r="I22" s="1"/>
      <c r="J22" s="1"/>
      <c r="K22" s="1"/>
      <c r="L22" s="1"/>
      <c r="M22" s="1"/>
      <c r="N22" s="1"/>
      <c r="O22" s="1"/>
      <c r="P22" s="1"/>
      <c r="Q22" s="1"/>
      <c r="R22" s="1"/>
      <c r="S22" s="1"/>
      <c r="T22" s="1"/>
      <c r="U22" s="1"/>
      <c r="V22" s="1"/>
      <c r="W22" s="1"/>
      <c r="X22" s="1"/>
      <c r="Y22" s="1"/>
      <c r="Z22" s="1"/>
    </row>
    <row r="23" customFormat="false" ht="30.75" hidden="false" customHeight="true" outlineLevel="0" collapsed="false">
      <c r="A23" s="6" t="s">
        <v>36</v>
      </c>
      <c r="B23" s="7" t="s">
        <v>37</v>
      </c>
      <c r="G23" s="1"/>
      <c r="H23" s="1"/>
      <c r="I23" s="1"/>
      <c r="J23" s="1"/>
      <c r="K23" s="1"/>
      <c r="L23" s="1"/>
      <c r="M23" s="1"/>
      <c r="N23" s="1"/>
      <c r="O23" s="1"/>
      <c r="P23" s="1"/>
      <c r="Q23" s="1"/>
      <c r="R23" s="1"/>
      <c r="S23" s="1"/>
      <c r="T23" s="1"/>
      <c r="U23" s="1"/>
      <c r="V23" s="1"/>
      <c r="W23" s="1"/>
      <c r="X23" s="1"/>
      <c r="Y23" s="1"/>
      <c r="Z23" s="1"/>
    </row>
    <row r="24" customFormat="false" ht="30.75" hidden="false" customHeight="true" outlineLevel="0" collapsed="false">
      <c r="A24" s="6" t="s">
        <v>38</v>
      </c>
      <c r="B24" s="7" t="s">
        <v>39</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4" t="s">
        <v>40</v>
      </c>
      <c r="B25" s="5"/>
      <c r="G25" s="1"/>
      <c r="H25" s="1"/>
      <c r="I25" s="1"/>
      <c r="J25" s="1"/>
      <c r="K25" s="1"/>
      <c r="L25" s="1"/>
      <c r="M25" s="1"/>
      <c r="N25" s="1"/>
      <c r="O25" s="1"/>
      <c r="P25" s="1"/>
      <c r="Q25" s="1"/>
      <c r="R25" s="1"/>
      <c r="S25" s="1"/>
      <c r="T25" s="1"/>
      <c r="U25" s="1"/>
      <c r="V25" s="1"/>
      <c r="W25" s="1"/>
      <c r="X25" s="1"/>
      <c r="Y25" s="1"/>
      <c r="Z25" s="1"/>
    </row>
    <row r="26" customFormat="false" ht="30.75" hidden="false" customHeight="true" outlineLevel="0" collapsed="false">
      <c r="A26" s="6" t="s">
        <v>41</v>
      </c>
      <c r="B26" s="7" t="s">
        <v>42</v>
      </c>
      <c r="G26" s="1"/>
      <c r="H26" s="1"/>
      <c r="I26" s="1"/>
      <c r="J26" s="1"/>
      <c r="K26" s="1"/>
      <c r="L26" s="1"/>
      <c r="M26" s="1"/>
      <c r="N26" s="1"/>
      <c r="O26" s="1"/>
      <c r="P26" s="1"/>
      <c r="Q26" s="1"/>
      <c r="R26" s="1"/>
      <c r="S26" s="1"/>
      <c r="T26" s="1"/>
      <c r="U26" s="1"/>
      <c r="V26" s="1"/>
      <c r="W26" s="1"/>
      <c r="X26" s="1"/>
      <c r="Y26" s="1"/>
      <c r="Z26" s="1"/>
    </row>
    <row r="27" customFormat="false" ht="30.75" hidden="false" customHeight="true" outlineLevel="0" collapsed="false">
      <c r="A27" s="6" t="s">
        <v>43</v>
      </c>
      <c r="B27" s="7" t="s">
        <v>44</v>
      </c>
      <c r="G27" s="1"/>
      <c r="H27" s="1"/>
      <c r="I27" s="1"/>
      <c r="J27" s="1"/>
      <c r="K27" s="1"/>
      <c r="L27" s="1"/>
      <c r="M27" s="1"/>
      <c r="N27" s="1"/>
      <c r="O27" s="1"/>
      <c r="P27" s="1"/>
      <c r="Q27" s="1"/>
      <c r="R27" s="1"/>
      <c r="S27" s="1"/>
      <c r="T27" s="1"/>
      <c r="U27" s="1"/>
      <c r="V27" s="1"/>
      <c r="W27" s="1"/>
      <c r="X27" s="1"/>
      <c r="Y27" s="1"/>
      <c r="Z27" s="1"/>
    </row>
    <row r="28" customFormat="false" ht="30.75" hidden="false" customHeight="true" outlineLevel="0" collapsed="false">
      <c r="A28" s="6" t="s">
        <v>45</v>
      </c>
      <c r="B28" s="7" t="s">
        <v>46</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4" t="s">
        <v>47</v>
      </c>
      <c r="B29" s="5"/>
      <c r="G29" s="1"/>
      <c r="H29" s="1"/>
      <c r="I29" s="1"/>
      <c r="J29" s="1"/>
      <c r="K29" s="1"/>
      <c r="L29" s="1"/>
      <c r="M29" s="1"/>
      <c r="N29" s="1"/>
      <c r="O29" s="1"/>
      <c r="P29" s="1"/>
      <c r="Q29" s="1"/>
      <c r="R29" s="1"/>
      <c r="S29" s="1"/>
      <c r="T29" s="1"/>
      <c r="U29" s="1"/>
      <c r="V29" s="1"/>
      <c r="W29" s="1"/>
      <c r="X29" s="1"/>
      <c r="Y29" s="1"/>
      <c r="Z29" s="1"/>
    </row>
    <row r="30" customFormat="false" ht="30.75" hidden="false" customHeight="true" outlineLevel="0" collapsed="false">
      <c r="A30" s="6" t="s">
        <v>48</v>
      </c>
      <c r="B30" s="7" t="s">
        <v>49</v>
      </c>
      <c r="G30" s="1"/>
      <c r="H30" s="1"/>
      <c r="I30" s="1"/>
      <c r="J30" s="1"/>
      <c r="K30" s="1"/>
      <c r="L30" s="1"/>
      <c r="M30" s="1"/>
      <c r="N30" s="1"/>
      <c r="O30" s="1"/>
      <c r="P30" s="1"/>
      <c r="Q30" s="1"/>
      <c r="R30" s="1"/>
      <c r="S30" s="1"/>
      <c r="T30" s="1"/>
      <c r="U30" s="1"/>
      <c r="V30" s="1"/>
      <c r="W30" s="1"/>
      <c r="X30" s="1"/>
      <c r="Y30" s="1"/>
      <c r="Z30" s="1"/>
    </row>
    <row r="31" customFormat="false" ht="30.75" hidden="false" customHeight="true" outlineLevel="0" collapsed="false">
      <c r="A31" s="6" t="s">
        <v>50</v>
      </c>
      <c r="B31" s="7" t="s">
        <v>51</v>
      </c>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4" t="s">
        <v>52</v>
      </c>
      <c r="B32" s="5"/>
      <c r="G32" s="1"/>
      <c r="H32" s="1"/>
      <c r="I32" s="1"/>
      <c r="J32" s="1"/>
      <c r="K32" s="1"/>
      <c r="L32" s="1"/>
      <c r="M32" s="1"/>
      <c r="N32" s="1"/>
      <c r="O32" s="1"/>
      <c r="P32" s="1"/>
      <c r="Q32" s="1"/>
      <c r="R32" s="1"/>
      <c r="S32" s="1"/>
      <c r="T32" s="1"/>
      <c r="U32" s="1"/>
      <c r="V32" s="1"/>
      <c r="W32" s="1"/>
      <c r="X32" s="1"/>
      <c r="Y32" s="1"/>
      <c r="Z32" s="1"/>
    </row>
    <row r="33" customFormat="false" ht="30.75" hidden="false" customHeight="true" outlineLevel="0" collapsed="false">
      <c r="A33" s="6" t="s">
        <v>53</v>
      </c>
      <c r="B33" s="7" t="s">
        <v>54</v>
      </c>
      <c r="G33" s="1"/>
      <c r="H33" s="1"/>
      <c r="I33" s="1"/>
      <c r="J33" s="1"/>
      <c r="K33" s="1"/>
      <c r="L33" s="1"/>
      <c r="M33" s="1"/>
      <c r="N33" s="1"/>
      <c r="O33" s="1"/>
      <c r="P33" s="1"/>
      <c r="Q33" s="1"/>
      <c r="R33" s="1"/>
      <c r="S33" s="1"/>
      <c r="T33" s="1"/>
      <c r="U33" s="1"/>
      <c r="V33" s="1"/>
      <c r="W33" s="1"/>
      <c r="X33" s="1"/>
      <c r="Y33" s="1"/>
      <c r="Z33" s="1"/>
    </row>
    <row r="34" customFormat="false" ht="30.75" hidden="false" customHeight="true" outlineLevel="0" collapsed="false">
      <c r="A34" s="6" t="s">
        <v>55</v>
      </c>
      <c r="B34" s="7" t="s">
        <v>56</v>
      </c>
      <c r="G34" s="1"/>
      <c r="H34" s="1"/>
      <c r="I34" s="1"/>
      <c r="J34" s="1"/>
      <c r="K34" s="1"/>
      <c r="L34" s="1"/>
      <c r="M34" s="1"/>
      <c r="N34" s="1"/>
      <c r="O34" s="1"/>
      <c r="P34" s="1"/>
      <c r="Q34" s="1"/>
      <c r="R34" s="1"/>
      <c r="S34" s="1"/>
      <c r="T34" s="1"/>
      <c r="U34" s="1"/>
      <c r="V34" s="1"/>
      <c r="W34" s="1"/>
      <c r="X34" s="1"/>
      <c r="Y34" s="1"/>
      <c r="Z34" s="1"/>
    </row>
    <row r="35" customFormat="false" ht="16.5" hidden="false" customHeight="true" outlineLevel="0" collapsed="false">
      <c r="A35" s="6" t="s">
        <v>57</v>
      </c>
      <c r="B35" s="7" t="s">
        <v>58</v>
      </c>
      <c r="G35" s="1"/>
      <c r="H35" s="1"/>
      <c r="I35" s="1"/>
      <c r="J35" s="1"/>
      <c r="K35" s="1"/>
      <c r="L35" s="1"/>
      <c r="M35" s="1"/>
      <c r="N35" s="1"/>
      <c r="O35" s="1"/>
      <c r="P35" s="1"/>
      <c r="Q35" s="1"/>
      <c r="R35" s="1"/>
      <c r="S35" s="1"/>
      <c r="T35" s="1"/>
      <c r="U35" s="1"/>
      <c r="V35" s="1"/>
      <c r="W35" s="1"/>
      <c r="X35" s="1"/>
      <c r="Y35" s="1"/>
      <c r="Z35" s="1"/>
    </row>
    <row r="36" customFormat="false" ht="16.5" hidden="false" customHeight="true" outlineLevel="0" collapsed="false">
      <c r="A36" s="6" t="s">
        <v>59</v>
      </c>
      <c r="B36" s="7" t="s">
        <v>60</v>
      </c>
      <c r="G36" s="1"/>
      <c r="H36" s="1"/>
      <c r="I36" s="1"/>
      <c r="J36" s="1"/>
      <c r="K36" s="1"/>
      <c r="L36" s="1"/>
      <c r="M36" s="1"/>
      <c r="N36" s="1"/>
      <c r="O36" s="1"/>
      <c r="P36" s="1"/>
      <c r="Q36" s="1"/>
      <c r="R36" s="1"/>
      <c r="S36" s="1"/>
      <c r="T36" s="1"/>
      <c r="U36" s="1"/>
      <c r="V36" s="1"/>
      <c r="W36" s="1"/>
      <c r="X36" s="1"/>
      <c r="Y36" s="1"/>
      <c r="Z36" s="1"/>
    </row>
    <row r="37" customFormat="false" ht="30.75" hidden="false" customHeight="true" outlineLevel="0" collapsed="false">
      <c r="A37" s="6" t="s">
        <v>61</v>
      </c>
      <c r="B37" s="7" t="s">
        <v>62</v>
      </c>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4" t="s">
        <v>63</v>
      </c>
      <c r="B38" s="5"/>
      <c r="G38" s="1"/>
      <c r="H38" s="1"/>
      <c r="I38" s="1"/>
      <c r="J38" s="1"/>
      <c r="K38" s="1"/>
      <c r="L38" s="1"/>
      <c r="M38" s="1"/>
      <c r="N38" s="1"/>
      <c r="O38" s="1"/>
      <c r="P38" s="1"/>
      <c r="Q38" s="1"/>
      <c r="R38" s="1"/>
      <c r="S38" s="1"/>
      <c r="T38" s="1"/>
      <c r="U38" s="1"/>
      <c r="V38" s="1"/>
      <c r="W38" s="1"/>
      <c r="X38" s="1"/>
      <c r="Y38" s="1"/>
      <c r="Z38" s="1"/>
    </row>
    <row r="39" customFormat="false" ht="16.5" hidden="false" customHeight="true" outlineLevel="0" collapsed="false">
      <c r="A39" s="6" t="s">
        <v>64</v>
      </c>
      <c r="B39" s="7" t="s">
        <v>65</v>
      </c>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4" t="s">
        <v>66</v>
      </c>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6" t="s">
        <v>67</v>
      </c>
      <c r="B42" s="7" t="s">
        <v>68</v>
      </c>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9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5" topLeftCell="H6" activePane="bottomRight" state="frozen"/>
      <selection pane="topLeft" activeCell="A1" activeCellId="0" sqref="A1"/>
      <selection pane="topRight" activeCell="H1" activeCellId="0" sqref="H1"/>
      <selection pane="bottomLeft" activeCell="A6" activeCellId="0" sqref="A6"/>
      <selection pane="bottomRight" activeCell="H6" activeCellId="0" sqref="H6"/>
    </sheetView>
  </sheetViews>
  <sheetFormatPr defaultColWidth="14.43359375" defaultRowHeight="15" zeroHeight="false" outlineLevelRow="0" outlineLevelCol="0"/>
  <cols>
    <col collapsed="false" customWidth="true" hidden="false" outlineLevel="0" max="1" min="1" style="1" width="17"/>
    <col collapsed="false" customWidth="true" hidden="false" outlineLevel="0" max="3" min="2" style="1" width="10"/>
    <col collapsed="false" customWidth="true" hidden="false" outlineLevel="0" max="4" min="4" style="1" width="7"/>
    <col collapsed="false" customWidth="true" hidden="false" outlineLevel="0" max="5" min="5" style="1" width="15"/>
    <col collapsed="false" customWidth="true" hidden="false" outlineLevel="0" max="6" min="6" style="1" width="11"/>
    <col collapsed="false" customWidth="true" hidden="false" outlineLevel="0" max="7" min="7" style="1" width="34"/>
    <col collapsed="false" customWidth="true" hidden="false" outlineLevel="0" max="8" min="8" style="1" width="9"/>
    <col collapsed="false" customWidth="true" hidden="false" outlineLevel="0" max="9" min="9" style="1" width="11"/>
    <col collapsed="false" customWidth="true" hidden="false" outlineLevel="0" max="10" min="10" style="1" width="9"/>
    <col collapsed="false" customWidth="true" hidden="false" outlineLevel="0" max="11" min="11" style="1" width="11"/>
    <col collapsed="false" customWidth="true" hidden="false" outlineLevel="0" max="26" min="12" style="1" width="10"/>
    <col collapsed="false" customWidth="true" hidden="false" outlineLevel="0" max="27" min="27" style="1" width="22"/>
    <col collapsed="false" customWidth="true" hidden="false" outlineLevel="0" max="28" min="28" style="1" width="80"/>
    <col collapsed="false" customWidth="true" hidden="false" outlineLevel="0" max="29" min="29" style="1" width="14.57"/>
    <col collapsed="false" customWidth="true" hidden="false" outlineLevel="0" max="30" min="30" style="1" width="10.71"/>
    <col collapsed="false" customWidth="true" hidden="false" outlineLevel="0" max="36" min="31" style="1" width="9"/>
  </cols>
  <sheetData>
    <row r="1" customFormat="false" ht="17.25" hidden="false" customHeight="true" outlineLevel="0" collapsed="false">
      <c r="A1" s="8" t="s">
        <v>69</v>
      </c>
    </row>
    <row r="2" customFormat="false" ht="15" hidden="false" customHeight="true" outlineLevel="0" collapsed="false">
      <c r="A2" s="9" t="s">
        <v>70</v>
      </c>
    </row>
    <row r="3" customFormat="false" ht="19.5" hidden="false" customHeight="true" outlineLevel="0" collapsed="false">
      <c r="A3" s="10" t="s">
        <v>71</v>
      </c>
      <c r="C3" s="11" t="n">
        <v>0</v>
      </c>
      <c r="D3" s="12" t="s">
        <v>72</v>
      </c>
    </row>
    <row r="5" customFormat="false" ht="43.5" hidden="false" customHeight="true" outlineLevel="0" collapsed="false">
      <c r="A5" s="13" t="s">
        <v>73</v>
      </c>
      <c r="B5" s="13" t="s">
        <v>74</v>
      </c>
      <c r="C5" s="13" t="s">
        <v>75</v>
      </c>
      <c r="D5" s="13" t="s">
        <v>76</v>
      </c>
      <c r="E5" s="13" t="s">
        <v>77</v>
      </c>
      <c r="F5" s="13" t="s">
        <v>36</v>
      </c>
      <c r="G5" s="13" t="s">
        <v>78</v>
      </c>
      <c r="H5" s="13" t="s">
        <v>79</v>
      </c>
      <c r="I5" s="13" t="s">
        <v>18</v>
      </c>
      <c r="J5" s="13" t="s">
        <v>80</v>
      </c>
      <c r="K5" s="13" t="s">
        <v>81</v>
      </c>
      <c r="L5" s="13" t="s">
        <v>82</v>
      </c>
      <c r="M5" s="13" t="s">
        <v>83</v>
      </c>
      <c r="N5" s="13" t="s">
        <v>84</v>
      </c>
      <c r="O5" s="13" t="s">
        <v>85</v>
      </c>
      <c r="P5" s="13" t="s">
        <v>86</v>
      </c>
      <c r="Q5" s="13" t="s">
        <v>67</v>
      </c>
      <c r="R5" s="13" t="s">
        <v>87</v>
      </c>
      <c r="S5" s="13" t="s">
        <v>88</v>
      </c>
      <c r="T5" s="13" t="s">
        <v>89</v>
      </c>
      <c r="U5" s="13" t="s">
        <v>90</v>
      </c>
      <c r="V5" s="13" t="s">
        <v>91</v>
      </c>
      <c r="W5" s="13" t="s">
        <v>92</v>
      </c>
      <c r="X5" s="13" t="s">
        <v>93</v>
      </c>
      <c r="Y5" s="13" t="s">
        <v>94</v>
      </c>
      <c r="Z5" s="13" t="s">
        <v>95</v>
      </c>
      <c r="AA5" s="13" t="s">
        <v>96</v>
      </c>
      <c r="AB5" s="13" t="s">
        <v>97</v>
      </c>
      <c r="AC5" s="13" t="s">
        <v>98</v>
      </c>
      <c r="AD5" s="13" t="s">
        <v>99</v>
      </c>
      <c r="AE5" s="13" t="s">
        <v>100</v>
      </c>
      <c r="AF5" s="13" t="s">
        <v>101</v>
      </c>
      <c r="AG5" s="13" t="s">
        <v>102</v>
      </c>
      <c r="AH5" s="13" t="s">
        <v>103</v>
      </c>
      <c r="AI5" s="13" t="s">
        <v>104</v>
      </c>
      <c r="AJ5" s="13" t="s">
        <v>105</v>
      </c>
    </row>
    <row r="6" customFormat="false" ht="15" hidden="false" customHeight="true" outlineLevel="0" collapsed="false">
      <c r="A6" s="14" t="s">
        <v>106</v>
      </c>
      <c r="B6" s="15" t="s">
        <v>27</v>
      </c>
      <c r="C6" s="15" t="s">
        <v>107</v>
      </c>
      <c r="D6" s="16" t="n">
        <v>1</v>
      </c>
      <c r="E6" s="15" t="str">
        <f aca="false" t="array" ref="E6:E6">INDEX(Matériaux!$B$5:$F$12,MATCH(INDEX(Profils!$E$5:$E$34,$AE6),Matériaux!$A$5:$A$12,0),$D6)</f>
        <v>cuir</v>
      </c>
      <c r="F6" s="17" t="s">
        <v>108</v>
      </c>
      <c r="G6" s="10" t="str">
        <f aca="false" t="array" ref="G6:G6">INDEX(Profils!$D$5:$D$34,$AE6)&amp;" en "&amp;$E6</f>
        <v>Casque en cuir</v>
      </c>
      <c r="H6" s="16" t="n">
        <f aca="false" t="array" ref="H6:H6">INDEX(Matériaux!$B$16:$B$20,$D6)</f>
        <v>1</v>
      </c>
      <c r="I6" s="16" t="n">
        <f aca="false">IF(ISNUMBER($C$3),MIN(MAX(0,ROUND($C$3,0)),$AI6),$AI6)</f>
        <v>0</v>
      </c>
      <c r="J6" s="18" t="n">
        <f aca="false">$H6+$I6</f>
        <v>1</v>
      </c>
      <c r="K6" s="15" t="s">
        <v>109</v>
      </c>
      <c r="L6" s="19" t="n">
        <f aca="false" t="array" ref="L6:L6">IF(AND(INDEX(Profils!$F$5:$F$34,$AE6)&gt;0,INDEX(Profils!$U$5:$U$34,$AE6)&lt;=$AH6),ROUND(INDEX(Profils!$F$5:$F$34,$AE6)*Paramètres!$E$22*$AG6*$AJ6,Paramètres!$F$22),0)</f>
        <v>2</v>
      </c>
      <c r="M6" s="19" t="n">
        <f aca="false" t="array" ref="M6:M6">IF(AND(INDEX(Profils!$G$5:$G$34,$AE6)&gt;0,INDEX(Profils!$V$5:$V$34,$AE6)&lt;=$AH6),ROUND(INDEX(Profils!$G$5:$G$34,$AE6)*Paramètres!$E$23*$AG6*$AJ6,Paramètres!$F$23),0)</f>
        <v>0</v>
      </c>
      <c r="N6" s="19" t="n">
        <f aca="false" t="array" ref="N6:N6">IF(AND(INDEX(Profils!$H$5:$H$34,$AE6)&gt;0,INDEX(Profils!$W$5:$W$34,$AE6)&lt;=$AH6),ROUND(INDEX(Profils!$H$5:$H$34,$AE6)*Paramètres!$E$24*$AG6*$AJ6,Paramètres!$F$24),0)</f>
        <v>1</v>
      </c>
      <c r="O6" s="19" t="n">
        <f aca="false" t="array" ref="O6:O6">IF(AND(INDEX(Profils!$I$5:$I$34,$AE6)&gt;0,INDEX(Profils!$X$5:$X$34,$AE6)&lt;=$AH6),ROUND(INDEX(Profils!$I$5:$I$34,$AE6)*Paramètres!$E$25*$AG6*$AJ6,Paramètres!$F$25),0)</f>
        <v>0</v>
      </c>
      <c r="P6" s="19" t="n">
        <f aca="false" t="array" ref="P6:P6">IF(AND(INDEX(Profils!$J$5:$J$34,$AE6)&gt;0,INDEX(Profils!$Y$5:$Y$34,$AE6)&lt;=$AH6),ROUND(INDEX(Profils!$J$5:$J$34,$AE6)*Paramètres!$E$26*$AG6*$AJ6,Paramètres!$F$26),0)</f>
        <v>0</v>
      </c>
      <c r="Q6" s="19" t="n">
        <f aca="false" t="array" ref="Q6:Q6">IF(AND(INDEX(Profils!$K$5:$K$34,$AE6)&gt;0,INDEX(Profils!$Z$5:$Z$34,$AE6)&lt;=$AH6),ROUND(INDEX(Profils!$K$5:$K$34,$AE6)*Paramètres!$E$27*$AG6*$AJ6,Paramètres!$F$27),0)</f>
        <v>0</v>
      </c>
      <c r="R6" s="20" t="n">
        <f aca="false" t="array" ref="R6:R6">IF(AND(INDEX(Profils!$L$5:$L$34,$AE6)&gt;0,INDEX(Profils!$AA$5:$AA$34,$AE6)&lt;=$AH6),ROUND(INDEX(Profils!$L$5:$L$34,$AE6)*Paramètres!$E$28*$AG6*$AJ6,Paramètres!$F$28),0)</f>
        <v>0</v>
      </c>
      <c r="S6" s="20" t="n">
        <f aca="false" t="array" ref="S6:S6">IF(AND(INDEX(Profils!$M$5:$M$34,$AE6)&gt;0,INDEX(Profils!$AB$5:$AB$34,$AE6)&lt;=$AH6),ROUND(INDEX(Profils!$M$5:$M$34,$AE6)*Paramètres!$E$29*$AG6*$AJ6,Paramètres!$F$29),0)</f>
        <v>0</v>
      </c>
      <c r="T6" s="20" t="n">
        <f aca="false" t="array" ref="T6:T6">IF(AND(INDEX(Profils!$N$5:$N$34,$AE6)&gt;0,INDEX(Profils!$AC$5:$AC$34,$AE6)&lt;=$AH6),ROUND(INDEX(Profils!$N$5:$N$34,$AE6)*Paramètres!$E$30*$AG6*$AJ6,Paramètres!$F$30),0)</f>
        <v>0</v>
      </c>
      <c r="U6" s="19" t="n">
        <f aca="false" t="array" ref="U6:U6">IF(AND(INDEX(Profils!$O$5:$O$34,$AE6)&gt;0,INDEX(Profils!$AD$5:$AD$34,$AE6)&lt;=$AH6),ROUND(INDEX(Profils!$O$5:$O$34,$AE6)*Paramètres!$E$31*$AG6*$AJ6,Paramètres!$F$31),0)</f>
        <v>0</v>
      </c>
      <c r="V6" s="20" t="n">
        <f aca="false" t="array" ref="V6:V6">IF(AND(INDEX(Profils!$P$5:$P$34,$AE6)&gt;0,INDEX(Profils!$AE$5:$AE$34,$AE6)&lt;=$AH6),ROUND(INDEX(Profils!$P$5:$P$34,$AE6)*Paramètres!$E$32*$AG6*$AJ6,Paramètres!$F$32),0)</f>
        <v>0</v>
      </c>
      <c r="W6" s="20" t="n">
        <f aca="false" t="array" ref="W6:W6">IF(AND(INDEX(Profils!$Q$5:$Q$34,$AE6)&gt;0,INDEX(Profils!$AF$5:$AF$34,$AE6)&lt;=$AH6),ROUND(INDEX(Profils!$Q$5:$Q$34,$AE6)*Paramètres!$E$33*$AG6*$AJ6,Paramètres!$F$33),0)</f>
        <v>0</v>
      </c>
      <c r="X6" s="20" t="n">
        <f aca="false" t="array" ref="X6:X6">IF(AND(INDEX(Profils!$R$5:$R$34,$AE6)&gt;0,INDEX(Profils!$AG$5:$AG$34,$AE6)&lt;=$AH6),ROUND(INDEX(Profils!$R$5:$R$34,$AE6)*Paramètres!$E$34*$AG6*$AJ6,Paramètres!$F$34),0)</f>
        <v>0</v>
      </c>
      <c r="Y6" s="20" t="n">
        <f aca="false" t="array" ref="Y6:Y6">IF(AND(INDEX(Profils!$S$5:$S$34,$AE6)&gt;0,INDEX(Profils!$AH$5:$AH$34,$AE6)&lt;=$AH6),ROUND(INDEX(Profils!$S$5:$S$34,$AE6)*Paramètres!$E$35*$AG6*$AJ6,Paramètres!$F$35),0)</f>
        <v>0</v>
      </c>
      <c r="Z6" s="21" t="n">
        <f aca="false">ROUND(L6/Paramètres!$E$22+M6/Paramètres!$E$23+N6/Paramètres!$E$24+O6/Paramètres!$E$25+P6/Paramètres!$E$26+Q6/Paramètres!$E$27+R6/Paramètres!$E$28+S6/Paramètres!$E$29+T6/Paramètres!$E$30+U6/Paramètres!$E$31+V6/Paramètres!$E$32+W6/Paramètres!$E$33+X6/Paramètres!$E$34+Y6/Paramètres!$E$35,1)</f>
        <v>0.1</v>
      </c>
      <c r="AA6" s="22" t="s">
        <v>109</v>
      </c>
      <c r="AB6" s="22" t="s">
        <v>109</v>
      </c>
      <c r="AC6" s="15" t="str">
        <f aca="false">$E6</f>
        <v>cuir</v>
      </c>
      <c r="AD6" s="16" t="n">
        <f aca="false" t="array" ref="AD6:AD6">IF($I6&gt;=$AI6,"Max",ROUND(Paramètres!$B$40*($I6+1)^Paramètres!$B$41*INDEX(Paramètres!$H$6:$H$12,$AF6),0))</f>
        <v>3</v>
      </c>
      <c r="AE6" s="23" t="n">
        <f aca="false">MATCH($B6&amp;"|"&amp;$C6,Profils!$A$5:$A$34,0)</f>
        <v>1</v>
      </c>
      <c r="AF6" s="23" t="n">
        <v>1</v>
      </c>
      <c r="AG6" s="24" t="n">
        <f aca="false" t="array" ref="AG6:AG6">INDEX(Paramètres!$C$6:$C$12,$AF6)</f>
        <v>1</v>
      </c>
      <c r="AH6" s="23" t="n">
        <f aca="false" t="array" ref="AH6:AH6">INDEX(Paramètres!$D$6:$D$12,$AF6)</f>
        <v>2</v>
      </c>
      <c r="AI6" s="23" t="n">
        <f aca="false" t="array" ref="AI6:AI6">INDEX(Matériaux!$C$16:$C$20,$D6)</f>
        <v>19</v>
      </c>
      <c r="AJ6" s="25" t="n">
        <f aca="false">Paramètres!$B$16+(1-Paramètres!$B$16)*(($J6-Paramètres!$B$14)/(Paramètres!$B$15-Paramètres!$B$14))^Paramètres!$B$17</f>
        <v>0.05</v>
      </c>
    </row>
    <row r="7" customFormat="false" ht="15" hidden="false" customHeight="true" outlineLevel="0" collapsed="false">
      <c r="A7" s="14" t="s">
        <v>110</v>
      </c>
      <c r="B7" s="15" t="s">
        <v>27</v>
      </c>
      <c r="C7" s="15" t="s">
        <v>107</v>
      </c>
      <c r="D7" s="16" t="n">
        <v>1</v>
      </c>
      <c r="E7" s="15" t="str">
        <f aca="false" t="array" ref="E7:E7">INDEX(Matériaux!$B$5:$F$12,MATCH(INDEX(Profils!$E$5:$E$34,$AE7),Matériaux!$A$5:$A$12,0),$D7)</f>
        <v>cuir</v>
      </c>
      <c r="F7" s="26" t="s">
        <v>111</v>
      </c>
      <c r="G7" s="10" t="str">
        <f aca="false" t="array" ref="G7:G7">INDEX(Profils!$D$5:$D$34,$AE7)&amp;" en "&amp;$E7</f>
        <v>Casque en cuir</v>
      </c>
      <c r="H7" s="16" t="n">
        <f aca="false" t="array" ref="H7:H7">INDEX(Matériaux!$B$16:$B$20,$D7)</f>
        <v>1</v>
      </c>
      <c r="I7" s="16" t="n">
        <f aca="false">IF(ISNUMBER($C$3),MIN(MAX(0,ROUND($C$3,0)),$AI7),$AI7)</f>
        <v>0</v>
      </c>
      <c r="J7" s="18" t="n">
        <f aca="false">$H7+$I7</f>
        <v>1</v>
      </c>
      <c r="K7" s="15" t="s">
        <v>109</v>
      </c>
      <c r="L7" s="19" t="n">
        <f aca="false" t="array" ref="L7:L7">IF(AND(INDEX(Profils!$F$5:$F$34,$AE7)&gt;0,INDEX(Profils!$U$5:$U$34,$AE7)&lt;=$AH7),ROUND(INDEX(Profils!$F$5:$F$34,$AE7)*Paramètres!$E$22*$AG7*$AJ7,Paramètres!$F$22),0)</f>
        <v>2</v>
      </c>
      <c r="M7" s="19" t="n">
        <f aca="false" t="array" ref="M7:M7">IF(AND(INDEX(Profils!$G$5:$G$34,$AE7)&gt;0,INDEX(Profils!$V$5:$V$34,$AE7)&lt;=$AH7),ROUND(INDEX(Profils!$G$5:$G$34,$AE7)*Paramètres!$E$23*$AG7*$AJ7,Paramètres!$F$23),0)</f>
        <v>0</v>
      </c>
      <c r="N7" s="19" t="n">
        <f aca="false" t="array" ref="N7:N7">IF(AND(INDEX(Profils!$H$5:$H$34,$AE7)&gt;0,INDEX(Profils!$W$5:$W$34,$AE7)&lt;=$AH7),ROUND(INDEX(Profils!$H$5:$H$34,$AE7)*Paramètres!$E$24*$AG7*$AJ7,Paramètres!$F$24),0)</f>
        <v>1</v>
      </c>
      <c r="O7" s="19" t="n">
        <f aca="false" t="array" ref="O7:O7">IF(AND(INDEX(Profils!$I$5:$I$34,$AE7)&gt;0,INDEX(Profils!$X$5:$X$34,$AE7)&lt;=$AH7),ROUND(INDEX(Profils!$I$5:$I$34,$AE7)*Paramètres!$E$25*$AG7*$AJ7,Paramètres!$F$25),0)</f>
        <v>0</v>
      </c>
      <c r="P7" s="19" t="n">
        <f aca="false" t="array" ref="P7:P7">IF(AND(INDEX(Profils!$J$5:$J$34,$AE7)&gt;0,INDEX(Profils!$Y$5:$Y$34,$AE7)&lt;=$AH7),ROUND(INDEX(Profils!$J$5:$J$34,$AE7)*Paramètres!$E$26*$AG7*$AJ7,Paramètres!$F$26),0)</f>
        <v>0</v>
      </c>
      <c r="Q7" s="19" t="n">
        <f aca="false" t="array" ref="Q7:Q7">IF(AND(INDEX(Profils!$K$5:$K$34,$AE7)&gt;0,INDEX(Profils!$Z$5:$Z$34,$AE7)&lt;=$AH7),ROUND(INDEX(Profils!$K$5:$K$34,$AE7)*Paramètres!$E$27*$AG7*$AJ7,Paramètres!$F$27),0)</f>
        <v>0</v>
      </c>
      <c r="R7" s="20" t="n">
        <f aca="false" t="array" ref="R7:R7">IF(AND(INDEX(Profils!$L$5:$L$34,$AE7)&gt;0,INDEX(Profils!$AA$5:$AA$34,$AE7)&lt;=$AH7),ROUND(INDEX(Profils!$L$5:$L$34,$AE7)*Paramètres!$E$28*$AG7*$AJ7,Paramètres!$F$28),0)</f>
        <v>0</v>
      </c>
      <c r="S7" s="20" t="n">
        <f aca="false" t="array" ref="S7:S7">IF(AND(INDEX(Profils!$M$5:$M$34,$AE7)&gt;0,INDEX(Profils!$AB$5:$AB$34,$AE7)&lt;=$AH7),ROUND(INDEX(Profils!$M$5:$M$34,$AE7)*Paramètres!$E$29*$AG7*$AJ7,Paramètres!$F$29),0)</f>
        <v>0</v>
      </c>
      <c r="T7" s="20" t="n">
        <f aca="false" t="array" ref="T7:T7">IF(AND(INDEX(Profils!$N$5:$N$34,$AE7)&gt;0,INDEX(Profils!$AC$5:$AC$34,$AE7)&lt;=$AH7),ROUND(INDEX(Profils!$N$5:$N$34,$AE7)*Paramètres!$E$30*$AG7*$AJ7,Paramètres!$F$30),0)</f>
        <v>0</v>
      </c>
      <c r="U7" s="19" t="n">
        <f aca="false" t="array" ref="U7:U7">IF(AND(INDEX(Profils!$O$5:$O$34,$AE7)&gt;0,INDEX(Profils!$AD$5:$AD$34,$AE7)&lt;=$AH7),ROUND(INDEX(Profils!$O$5:$O$34,$AE7)*Paramètres!$E$31*$AG7*$AJ7,Paramètres!$F$31),0)</f>
        <v>1</v>
      </c>
      <c r="V7" s="20" t="n">
        <f aca="false" t="array" ref="V7:V7">IF(AND(INDEX(Profils!$P$5:$P$34,$AE7)&gt;0,INDEX(Profils!$AE$5:$AE$34,$AE7)&lt;=$AH7),ROUND(INDEX(Profils!$P$5:$P$34,$AE7)*Paramètres!$E$32*$AG7*$AJ7,Paramètres!$F$32),0)</f>
        <v>0</v>
      </c>
      <c r="W7" s="20" t="n">
        <f aca="false" t="array" ref="W7:W7">IF(AND(INDEX(Profils!$Q$5:$Q$34,$AE7)&gt;0,INDEX(Profils!$AF$5:$AF$34,$AE7)&lt;=$AH7),ROUND(INDEX(Profils!$Q$5:$Q$34,$AE7)*Paramètres!$E$33*$AG7*$AJ7,Paramètres!$F$33),0)</f>
        <v>0</v>
      </c>
      <c r="X7" s="20" t="n">
        <f aca="false" t="array" ref="X7:X7">IF(AND(INDEX(Profils!$R$5:$R$34,$AE7)&gt;0,INDEX(Profils!$AG$5:$AG$34,$AE7)&lt;=$AH7),ROUND(INDEX(Profils!$R$5:$R$34,$AE7)*Paramètres!$E$34*$AG7*$AJ7,Paramètres!$F$34),0)</f>
        <v>0</v>
      </c>
      <c r="Y7" s="20" t="n">
        <f aca="false" t="array" ref="Y7:Y7">IF(AND(INDEX(Profils!$S$5:$S$34,$AE7)&gt;0,INDEX(Profils!$AH$5:$AH$34,$AE7)&lt;=$AH7),ROUND(INDEX(Profils!$S$5:$S$34,$AE7)*Paramètres!$E$35*$AG7*$AJ7,Paramètres!$F$35),0)</f>
        <v>0</v>
      </c>
      <c r="Z7" s="21" t="n">
        <f aca="false">ROUND(L7/Paramètres!$E$22+M7/Paramètres!$E$23+N7/Paramètres!$E$24+O7/Paramètres!$E$25+P7/Paramètres!$E$26+Q7/Paramètres!$E$27+R7/Paramètres!$E$28+S7/Paramètres!$E$29+T7/Paramètres!$E$30+U7/Paramètres!$E$31+V7/Paramètres!$E$32+W7/Paramètres!$E$33+X7/Paramètres!$E$34+Y7/Paramètres!$E$35,1)</f>
        <v>0.2</v>
      </c>
      <c r="AA7" s="22" t="s">
        <v>109</v>
      </c>
      <c r="AB7" s="22" t="s">
        <v>109</v>
      </c>
      <c r="AC7" s="15" t="str">
        <f aca="false">$E7</f>
        <v>cuir</v>
      </c>
      <c r="AD7" s="16" t="n">
        <f aca="false" t="array" ref="AD7:AD7">IF($I7&gt;=$AI7,"Max",ROUND(Paramètres!$B$40*($I7+1)^Paramètres!$B$41*INDEX(Paramètres!$H$6:$H$12,$AF7),0))</f>
        <v>4</v>
      </c>
      <c r="AE7" s="23" t="n">
        <f aca="false">MATCH($B7&amp;"|"&amp;$C7,Profils!$A$5:$A$34,0)</f>
        <v>1</v>
      </c>
      <c r="AF7" s="23" t="n">
        <v>2</v>
      </c>
      <c r="AG7" s="24" t="n">
        <f aca="false" t="array" ref="AG7:AG7">INDEX(Paramètres!$C$6:$C$12,$AF7)</f>
        <v>1.2</v>
      </c>
      <c r="AH7" s="23" t="n">
        <f aca="false" t="array" ref="AH7:AH7">INDEX(Paramètres!$D$6:$D$12,$AF7)</f>
        <v>3</v>
      </c>
      <c r="AI7" s="23" t="n">
        <f aca="false" t="array" ref="AI7:AI7">INDEX(Matériaux!$C$16:$C$20,$D7)</f>
        <v>19</v>
      </c>
      <c r="AJ7" s="25" t="n">
        <f aca="false">Paramètres!$B$16+(1-Paramètres!$B$16)*(($J7-Paramètres!$B$14)/(Paramètres!$B$15-Paramètres!$B$14))^Paramètres!$B$17</f>
        <v>0.05</v>
      </c>
    </row>
    <row r="8" customFormat="false" ht="15" hidden="false" customHeight="true" outlineLevel="0" collapsed="false">
      <c r="A8" s="14" t="s">
        <v>112</v>
      </c>
      <c r="B8" s="15" t="s">
        <v>27</v>
      </c>
      <c r="C8" s="15" t="s">
        <v>107</v>
      </c>
      <c r="D8" s="16" t="n">
        <v>1</v>
      </c>
      <c r="E8" s="15" t="str">
        <f aca="false" t="array" ref="E8:E8">INDEX(Matériaux!$B$5:$F$12,MATCH(INDEX(Profils!$E$5:$E$34,$AE8),Matériaux!$A$5:$A$12,0),$D8)</f>
        <v>cuir</v>
      </c>
      <c r="F8" s="27" t="s">
        <v>113</v>
      </c>
      <c r="G8" s="10" t="str">
        <f aca="false" t="array" ref="G8:G8">INDEX(Profils!$D$5:$D$34,$AE8)&amp;" en "&amp;$E8</f>
        <v>Casque en cuir</v>
      </c>
      <c r="H8" s="16" t="n">
        <f aca="false" t="array" ref="H8:H8">INDEX(Matériaux!$B$16:$B$20,$D8)</f>
        <v>1</v>
      </c>
      <c r="I8" s="16" t="n">
        <f aca="false">IF(ISNUMBER($C$3),MIN(MAX(0,ROUND($C$3,0)),$AI8),$AI8)</f>
        <v>0</v>
      </c>
      <c r="J8" s="18" t="n">
        <f aca="false">$H8+$I8</f>
        <v>1</v>
      </c>
      <c r="K8" s="15" t="s">
        <v>109</v>
      </c>
      <c r="L8" s="19" t="n">
        <f aca="false" t="array" ref="L8:L8">IF(AND(INDEX(Profils!$F$5:$F$34,$AE8)&gt;0,INDEX(Profils!$U$5:$U$34,$AE8)&lt;=$AH8),ROUND(INDEX(Profils!$F$5:$F$34,$AE8)*Paramètres!$E$22*$AG8*$AJ8,Paramètres!$F$22),0)</f>
        <v>3</v>
      </c>
      <c r="M8" s="19" t="n">
        <f aca="false" t="array" ref="M8:M8">IF(AND(INDEX(Profils!$G$5:$G$34,$AE8)&gt;0,INDEX(Profils!$V$5:$V$34,$AE8)&lt;=$AH8),ROUND(INDEX(Profils!$G$5:$G$34,$AE8)*Paramètres!$E$23*$AG8*$AJ8,Paramètres!$F$23),0)</f>
        <v>0</v>
      </c>
      <c r="N8" s="19" t="n">
        <f aca="false" t="array" ref="N8:N8">IF(AND(INDEX(Profils!$H$5:$H$34,$AE8)&gt;0,INDEX(Profils!$W$5:$W$34,$AE8)&lt;=$AH8),ROUND(INDEX(Profils!$H$5:$H$34,$AE8)*Paramètres!$E$24*$AG8*$AJ8,Paramètres!$F$24),0)</f>
        <v>1</v>
      </c>
      <c r="O8" s="19" t="n">
        <f aca="false" t="array" ref="O8:O8">IF(AND(INDEX(Profils!$I$5:$I$34,$AE8)&gt;0,INDEX(Profils!$X$5:$X$34,$AE8)&lt;=$AH8),ROUND(INDEX(Profils!$I$5:$I$34,$AE8)*Paramètres!$E$25*$AG8*$AJ8,Paramètres!$F$25),0)</f>
        <v>0</v>
      </c>
      <c r="P8" s="19" t="n">
        <f aca="false" t="array" ref="P8:P8">IF(AND(INDEX(Profils!$J$5:$J$34,$AE8)&gt;0,INDEX(Profils!$Y$5:$Y$34,$AE8)&lt;=$AH8),ROUND(INDEX(Profils!$J$5:$J$34,$AE8)*Paramètres!$E$26*$AG8*$AJ8,Paramètres!$F$26),0)</f>
        <v>0</v>
      </c>
      <c r="Q8" s="19" t="n">
        <f aca="false" t="array" ref="Q8:Q8">IF(AND(INDEX(Profils!$K$5:$K$34,$AE8)&gt;0,INDEX(Profils!$Z$5:$Z$34,$AE8)&lt;=$AH8),ROUND(INDEX(Profils!$K$5:$K$34,$AE8)*Paramètres!$E$27*$AG8*$AJ8,Paramètres!$F$27),0)</f>
        <v>0</v>
      </c>
      <c r="R8" s="20" t="n">
        <f aca="false" t="array" ref="R8:R8">IF(AND(INDEX(Profils!$L$5:$L$34,$AE8)&gt;0,INDEX(Profils!$AA$5:$AA$34,$AE8)&lt;=$AH8),ROUND(INDEX(Profils!$L$5:$L$34,$AE8)*Paramètres!$E$28*$AG8*$AJ8,Paramètres!$F$28),0)</f>
        <v>0</v>
      </c>
      <c r="S8" s="20" t="n">
        <f aca="false" t="array" ref="S8:S8">IF(AND(INDEX(Profils!$M$5:$M$34,$AE8)&gt;0,INDEX(Profils!$AB$5:$AB$34,$AE8)&lt;=$AH8),ROUND(INDEX(Profils!$M$5:$M$34,$AE8)*Paramètres!$E$29*$AG8*$AJ8,Paramètres!$F$29),0)</f>
        <v>0</v>
      </c>
      <c r="T8" s="20" t="n">
        <f aca="false" t="array" ref="T8:T8">IF(AND(INDEX(Profils!$N$5:$N$34,$AE8)&gt;0,INDEX(Profils!$AC$5:$AC$34,$AE8)&lt;=$AH8),ROUND(INDEX(Profils!$N$5:$N$34,$AE8)*Paramètres!$E$30*$AG8*$AJ8,Paramètres!$F$30),0)</f>
        <v>0</v>
      </c>
      <c r="U8" s="19" t="n">
        <f aca="false" t="array" ref="U8:U8">IF(AND(INDEX(Profils!$O$5:$O$34,$AE8)&gt;0,INDEX(Profils!$AD$5:$AD$34,$AE8)&lt;=$AH8),ROUND(INDEX(Profils!$O$5:$O$34,$AE8)*Paramètres!$E$31*$AG8*$AJ8,Paramètres!$F$31),0)</f>
        <v>2</v>
      </c>
      <c r="V8" s="20" t="n">
        <f aca="false" t="array" ref="V8:V8">IF(AND(INDEX(Profils!$P$5:$P$34,$AE8)&gt;0,INDEX(Profils!$AE$5:$AE$34,$AE8)&lt;=$AH8),ROUND(INDEX(Profils!$P$5:$P$34,$AE8)*Paramètres!$E$32*$AG8*$AJ8,Paramètres!$F$32),0)</f>
        <v>0</v>
      </c>
      <c r="W8" s="20" t="n">
        <f aca="false" t="array" ref="W8:W8">IF(AND(INDEX(Profils!$Q$5:$Q$34,$AE8)&gt;0,INDEX(Profils!$AF$5:$AF$34,$AE8)&lt;=$AH8),ROUND(INDEX(Profils!$Q$5:$Q$34,$AE8)*Paramètres!$E$33*$AG8*$AJ8,Paramètres!$F$33),0)</f>
        <v>0</v>
      </c>
      <c r="X8" s="20" t="n">
        <f aca="false" t="array" ref="X8:X8">IF(AND(INDEX(Profils!$R$5:$R$34,$AE8)&gt;0,INDEX(Profils!$AG$5:$AG$34,$AE8)&lt;=$AH8),ROUND(INDEX(Profils!$R$5:$R$34,$AE8)*Paramètres!$E$34*$AG8*$AJ8,Paramètres!$F$34),0)</f>
        <v>0</v>
      </c>
      <c r="Y8" s="20" t="n">
        <f aca="false" t="array" ref="Y8:Y8">IF(AND(INDEX(Profils!$S$5:$S$34,$AE8)&gt;0,INDEX(Profils!$AH$5:$AH$34,$AE8)&lt;=$AH8),ROUND(INDEX(Profils!$S$5:$S$34,$AE8)*Paramètres!$E$35*$AG8*$AJ8,Paramètres!$F$35),0)</f>
        <v>0.001</v>
      </c>
      <c r="Z8" s="21" t="n">
        <f aca="false">ROUND(L8/Paramètres!$E$22+M8/Paramètres!$E$23+N8/Paramètres!$E$24+O8/Paramètres!$E$25+P8/Paramètres!$E$26+Q8/Paramètres!$E$27+R8/Paramètres!$E$28+S8/Paramètres!$E$29+T8/Paramètres!$E$30+U8/Paramètres!$E$31+V8/Paramètres!$E$32+W8/Paramètres!$E$33+X8/Paramètres!$E$34+Y8/Paramètres!$E$35,1)</f>
        <v>0.4</v>
      </c>
      <c r="AA8" s="22" t="s">
        <v>109</v>
      </c>
      <c r="AB8" s="22" t="s">
        <v>109</v>
      </c>
      <c r="AC8" s="15" t="str">
        <f aca="false">$E8</f>
        <v>cuir</v>
      </c>
      <c r="AD8" s="16" t="n">
        <f aca="false" t="array" ref="AD8:AD8">IF($I8&gt;=$AI8,"Max",ROUND(Paramètres!$B$40*($I8+1)^Paramètres!$B$41*INDEX(Paramètres!$H$6:$H$12,$AF8),0))</f>
        <v>4</v>
      </c>
      <c r="AE8" s="23" t="n">
        <f aca="false">MATCH($B8&amp;"|"&amp;$C8,Profils!$A$5:$A$34,0)</f>
        <v>1</v>
      </c>
      <c r="AF8" s="23" t="n">
        <v>3</v>
      </c>
      <c r="AG8" s="24" t="n">
        <f aca="false" t="array" ref="AG8:AG8">INDEX(Paramètres!$C$6:$C$12,$AF8)</f>
        <v>1.45</v>
      </c>
      <c r="AH8" s="23" t="n">
        <f aca="false" t="array" ref="AH8:AH8">INDEX(Paramètres!$D$6:$D$12,$AF8)</f>
        <v>4</v>
      </c>
      <c r="AI8" s="23" t="n">
        <f aca="false" t="array" ref="AI8:AI8">INDEX(Matériaux!$C$16:$C$20,$D8)</f>
        <v>19</v>
      </c>
      <c r="AJ8" s="25" t="n">
        <f aca="false">Paramètres!$B$16+(1-Paramètres!$B$16)*(($J8-Paramètres!$B$14)/(Paramètres!$B$15-Paramètres!$B$14))^Paramètres!$B$17</f>
        <v>0.05</v>
      </c>
    </row>
    <row r="9" customFormat="false" ht="15" hidden="false" customHeight="true" outlineLevel="0" collapsed="false">
      <c r="A9" s="14" t="s">
        <v>114</v>
      </c>
      <c r="B9" s="15" t="s">
        <v>27</v>
      </c>
      <c r="C9" s="15" t="s">
        <v>107</v>
      </c>
      <c r="D9" s="16" t="n">
        <v>1</v>
      </c>
      <c r="E9" s="15" t="str">
        <f aca="false" t="array" ref="E9:E9">INDEX(Matériaux!$B$5:$F$12,MATCH(INDEX(Profils!$E$5:$E$34,$AE9),Matériaux!$A$5:$A$12,0),$D9)</f>
        <v>cuir</v>
      </c>
      <c r="F9" s="28" t="s">
        <v>115</v>
      </c>
      <c r="G9" s="10" t="str">
        <f aca="false" t="array" ref="G9:G9">INDEX(Profils!$D$5:$D$34,$AE9)&amp;" en "&amp;$E9</f>
        <v>Casque en cuir</v>
      </c>
      <c r="H9" s="16" t="n">
        <f aca="false" t="array" ref="H9:H9">INDEX(Matériaux!$B$16:$B$20,$D9)</f>
        <v>1</v>
      </c>
      <c r="I9" s="16" t="n">
        <f aca="false">IF(ISNUMBER($C$3),MIN(MAX(0,ROUND($C$3,0)),$AI9),$AI9)</f>
        <v>0</v>
      </c>
      <c r="J9" s="18" t="n">
        <f aca="false">$H9+$I9</f>
        <v>1</v>
      </c>
      <c r="K9" s="15" t="s">
        <v>109</v>
      </c>
      <c r="L9" s="19" t="n">
        <f aca="false" t="array" ref="L9:L9">IF(AND(INDEX(Profils!$F$5:$F$34,$AE9)&gt;0,INDEX(Profils!$U$5:$U$34,$AE9)&lt;=$AH9),ROUND(INDEX(Profils!$F$5:$F$34,$AE9)*Paramètres!$E$22*$AG9*$AJ9,Paramètres!$F$22),0)</f>
        <v>4</v>
      </c>
      <c r="M9" s="19" t="n">
        <f aca="false" t="array" ref="M9:M9">IF(AND(INDEX(Profils!$G$5:$G$34,$AE9)&gt;0,INDEX(Profils!$V$5:$V$34,$AE9)&lt;=$AH9),ROUND(INDEX(Profils!$G$5:$G$34,$AE9)*Paramètres!$E$23*$AG9*$AJ9,Paramètres!$F$23),0)</f>
        <v>0</v>
      </c>
      <c r="N9" s="19" t="n">
        <f aca="false" t="array" ref="N9:N9">IF(AND(INDEX(Profils!$H$5:$H$34,$AE9)&gt;0,INDEX(Profils!$W$5:$W$34,$AE9)&lt;=$AH9),ROUND(INDEX(Profils!$H$5:$H$34,$AE9)*Paramètres!$E$24*$AG9*$AJ9,Paramètres!$F$24),0)</f>
        <v>2</v>
      </c>
      <c r="O9" s="19" t="n">
        <f aca="false" t="array" ref="O9:O9">IF(AND(INDEX(Profils!$I$5:$I$34,$AE9)&gt;0,INDEX(Profils!$X$5:$X$34,$AE9)&lt;=$AH9),ROUND(INDEX(Profils!$I$5:$I$34,$AE9)*Paramètres!$E$25*$AG9*$AJ9,Paramètres!$F$25),0)</f>
        <v>0</v>
      </c>
      <c r="P9" s="19" t="n">
        <f aca="false" t="array" ref="P9:P9">IF(AND(INDEX(Profils!$J$5:$J$34,$AE9)&gt;0,INDEX(Profils!$Y$5:$Y$34,$AE9)&lt;=$AH9),ROUND(INDEX(Profils!$J$5:$J$34,$AE9)*Paramètres!$E$26*$AG9*$AJ9,Paramètres!$F$26),0)</f>
        <v>0</v>
      </c>
      <c r="Q9" s="19" t="n">
        <f aca="false" t="array" ref="Q9:Q9">IF(AND(INDEX(Profils!$K$5:$K$34,$AE9)&gt;0,INDEX(Profils!$Z$5:$Z$34,$AE9)&lt;=$AH9),ROUND(INDEX(Profils!$K$5:$K$34,$AE9)*Paramètres!$E$27*$AG9*$AJ9,Paramètres!$F$27),0)</f>
        <v>0</v>
      </c>
      <c r="R9" s="20" t="n">
        <f aca="false" t="array" ref="R9:R9">IF(AND(INDEX(Profils!$L$5:$L$34,$AE9)&gt;0,INDEX(Profils!$AA$5:$AA$34,$AE9)&lt;=$AH9),ROUND(INDEX(Profils!$L$5:$L$34,$AE9)*Paramètres!$E$28*$AG9*$AJ9,Paramètres!$F$28),0)</f>
        <v>0</v>
      </c>
      <c r="S9" s="20" t="n">
        <f aca="false" t="array" ref="S9:S9">IF(AND(INDEX(Profils!$M$5:$M$34,$AE9)&gt;0,INDEX(Profils!$AB$5:$AB$34,$AE9)&lt;=$AH9),ROUND(INDEX(Profils!$M$5:$M$34,$AE9)*Paramètres!$E$29*$AG9*$AJ9,Paramètres!$F$29),0)</f>
        <v>0</v>
      </c>
      <c r="T9" s="20" t="n">
        <f aca="false" t="array" ref="T9:T9">IF(AND(INDEX(Profils!$N$5:$N$34,$AE9)&gt;0,INDEX(Profils!$AC$5:$AC$34,$AE9)&lt;=$AH9),ROUND(INDEX(Profils!$N$5:$N$34,$AE9)*Paramètres!$E$30*$AG9*$AJ9,Paramètres!$F$30),0)</f>
        <v>0</v>
      </c>
      <c r="U9" s="19" t="n">
        <f aca="false" t="array" ref="U9:U9">IF(AND(INDEX(Profils!$O$5:$O$34,$AE9)&gt;0,INDEX(Profils!$AD$5:$AD$34,$AE9)&lt;=$AH9),ROUND(INDEX(Profils!$O$5:$O$34,$AE9)*Paramètres!$E$31*$AG9*$AJ9,Paramètres!$F$31),0)</f>
        <v>2</v>
      </c>
      <c r="V9" s="20" t="n">
        <f aca="false" t="array" ref="V9:V9">IF(AND(INDEX(Profils!$P$5:$P$34,$AE9)&gt;0,INDEX(Profils!$AE$5:$AE$34,$AE9)&lt;=$AH9),ROUND(INDEX(Profils!$P$5:$P$34,$AE9)*Paramètres!$E$32*$AG9*$AJ9,Paramètres!$F$32),0)</f>
        <v>0</v>
      </c>
      <c r="W9" s="20" t="n">
        <f aca="false" t="array" ref="W9:W9">IF(AND(INDEX(Profils!$Q$5:$Q$34,$AE9)&gt;0,INDEX(Profils!$AF$5:$AF$34,$AE9)&lt;=$AH9),ROUND(INDEX(Profils!$Q$5:$Q$34,$AE9)*Paramètres!$E$33*$AG9*$AJ9,Paramètres!$F$33),0)</f>
        <v>0.001</v>
      </c>
      <c r="X9" s="20" t="n">
        <f aca="false" t="array" ref="X9:X9">IF(AND(INDEX(Profils!$R$5:$R$34,$AE9)&gt;0,INDEX(Profils!$AG$5:$AG$34,$AE9)&lt;=$AH9),ROUND(INDEX(Profils!$R$5:$R$34,$AE9)*Paramètres!$E$34*$AG9*$AJ9,Paramètres!$F$34),0)</f>
        <v>0</v>
      </c>
      <c r="Y9" s="20" t="n">
        <f aca="false" t="array" ref="Y9:Y9">IF(AND(INDEX(Profils!$S$5:$S$34,$AE9)&gt;0,INDEX(Profils!$AH$5:$AH$34,$AE9)&lt;=$AH9),ROUND(INDEX(Profils!$S$5:$S$34,$AE9)*Paramètres!$E$35*$AG9*$AJ9,Paramètres!$F$35),0)</f>
        <v>0.001</v>
      </c>
      <c r="Z9" s="21" t="n">
        <f aca="false">ROUND(L9/Paramètres!$E$22+M9/Paramètres!$E$23+N9/Paramètres!$E$24+O9/Paramètres!$E$25+P9/Paramètres!$E$26+Q9/Paramètres!$E$27+R9/Paramètres!$E$28+S9/Paramètres!$E$29+T9/Paramètres!$E$30+U9/Paramètres!$E$31+V9/Paramètres!$E$32+W9/Paramètres!$E$33+X9/Paramètres!$E$34+Y9/Paramètres!$E$35,1)</f>
        <v>0.5</v>
      </c>
      <c r="AA9" s="22" t="s">
        <v>109</v>
      </c>
      <c r="AB9" s="22" t="s">
        <v>109</v>
      </c>
      <c r="AC9" s="15" t="str">
        <f aca="false">$E9</f>
        <v>cuir</v>
      </c>
      <c r="AD9" s="16" t="n">
        <f aca="false" t="array" ref="AD9:AD9">IF($I9&gt;=$AI9,"Max",ROUND(Paramètres!$B$40*($I9+1)^Paramètres!$B$41*INDEX(Paramètres!$H$6:$H$12,$AF9),0))</f>
        <v>5</v>
      </c>
      <c r="AE9" s="23" t="n">
        <f aca="false">MATCH($B9&amp;"|"&amp;$C9,Profils!$A$5:$A$34,0)</f>
        <v>1</v>
      </c>
      <c r="AF9" s="23" t="n">
        <v>4</v>
      </c>
      <c r="AG9" s="24" t="n">
        <f aca="false" t="array" ref="AG9:AG9">INDEX(Paramètres!$C$6:$C$12,$AF9)</f>
        <v>1.75</v>
      </c>
      <c r="AH9" s="23" t="n">
        <f aca="false" t="array" ref="AH9:AH9">INDEX(Paramètres!$D$6:$D$12,$AF9)</f>
        <v>5</v>
      </c>
      <c r="AI9" s="23" t="n">
        <f aca="false" t="array" ref="AI9:AI9">INDEX(Matériaux!$C$16:$C$20,$D9)</f>
        <v>19</v>
      </c>
      <c r="AJ9" s="25" t="n">
        <f aca="false">Paramètres!$B$16+(1-Paramètres!$B$16)*(($J9-Paramètres!$B$14)/(Paramètres!$B$15-Paramètres!$B$14))^Paramètres!$B$17</f>
        <v>0.05</v>
      </c>
    </row>
    <row r="10" customFormat="false" ht="15" hidden="false" customHeight="true" outlineLevel="0" collapsed="false">
      <c r="A10" s="14" t="s">
        <v>116</v>
      </c>
      <c r="B10" s="15" t="s">
        <v>27</v>
      </c>
      <c r="C10" s="15" t="s">
        <v>107</v>
      </c>
      <c r="D10" s="16" t="n">
        <v>1</v>
      </c>
      <c r="E10" s="15" t="str">
        <f aca="false" t="array" ref="E10:E10">INDEX(Matériaux!$B$5:$F$12,MATCH(INDEX(Profils!$E$5:$E$34,$AE10),Matériaux!$A$5:$A$12,0),$D10)</f>
        <v>cuir</v>
      </c>
      <c r="F10" s="29" t="s">
        <v>117</v>
      </c>
      <c r="G10" s="10" t="str">
        <f aca="false" t="array" ref="G10:G10">INDEX(Profils!$D$5:$D$34,$AE10)&amp;" en "&amp;$E10</f>
        <v>Casque en cuir</v>
      </c>
      <c r="H10" s="16" t="n">
        <f aca="false" t="array" ref="H10:H10">INDEX(Matériaux!$B$16:$B$20,$D10)</f>
        <v>1</v>
      </c>
      <c r="I10" s="16" t="n">
        <f aca="false">IF(ISNUMBER($C$3),MIN(MAX(0,ROUND($C$3,0)),$AI10),$AI10)</f>
        <v>0</v>
      </c>
      <c r="J10" s="18" t="n">
        <f aca="false">$H10+$I10</f>
        <v>1</v>
      </c>
      <c r="K10" s="15" t="s">
        <v>109</v>
      </c>
      <c r="L10" s="19" t="n">
        <f aca="false" t="array" ref="L10:L10">IF(AND(INDEX(Profils!$F$5:$F$34,$AE10)&gt;0,INDEX(Profils!$U$5:$U$34,$AE10)&lt;=$AH10),ROUND(INDEX(Profils!$F$5:$F$34,$AE10)*Paramètres!$E$22*$AG10*$AJ10,Paramètres!$F$22),0)</f>
        <v>4</v>
      </c>
      <c r="M10" s="19" t="n">
        <f aca="false" t="array" ref="M10:M10">IF(AND(INDEX(Profils!$G$5:$G$34,$AE10)&gt;0,INDEX(Profils!$V$5:$V$34,$AE10)&lt;=$AH10),ROUND(INDEX(Profils!$G$5:$G$34,$AE10)*Paramètres!$E$23*$AG10*$AJ10,Paramètres!$F$23),0)</f>
        <v>1</v>
      </c>
      <c r="N10" s="19" t="n">
        <f aca="false" t="array" ref="N10:N10">IF(AND(INDEX(Profils!$H$5:$H$34,$AE10)&gt;0,INDEX(Profils!$W$5:$W$34,$AE10)&lt;=$AH10),ROUND(INDEX(Profils!$H$5:$H$34,$AE10)*Paramètres!$E$24*$AG10*$AJ10,Paramètres!$F$24),0)</f>
        <v>2</v>
      </c>
      <c r="O10" s="19" t="n">
        <f aca="false" t="array" ref="O10:O10">IF(AND(INDEX(Profils!$I$5:$I$34,$AE10)&gt;0,INDEX(Profils!$X$5:$X$34,$AE10)&lt;=$AH10),ROUND(INDEX(Profils!$I$5:$I$34,$AE10)*Paramètres!$E$25*$AG10*$AJ10,Paramètres!$F$25),0)</f>
        <v>0</v>
      </c>
      <c r="P10" s="19" t="n">
        <f aca="false" t="array" ref="P10:P10">IF(AND(INDEX(Profils!$J$5:$J$34,$AE10)&gt;0,INDEX(Profils!$Y$5:$Y$34,$AE10)&lt;=$AH10),ROUND(INDEX(Profils!$J$5:$J$34,$AE10)*Paramètres!$E$26*$AG10*$AJ10,Paramètres!$F$26),0)</f>
        <v>0</v>
      </c>
      <c r="Q10" s="19" t="n">
        <f aca="false" t="array" ref="Q10:Q10">IF(AND(INDEX(Profils!$K$5:$K$34,$AE10)&gt;0,INDEX(Profils!$Z$5:$Z$34,$AE10)&lt;=$AH10),ROUND(INDEX(Profils!$K$5:$K$34,$AE10)*Paramètres!$E$27*$AG10*$AJ10,Paramètres!$F$27),0)</f>
        <v>0</v>
      </c>
      <c r="R10" s="20" t="n">
        <f aca="false" t="array" ref="R10:R10">IF(AND(INDEX(Profils!$L$5:$L$34,$AE10)&gt;0,INDEX(Profils!$AA$5:$AA$34,$AE10)&lt;=$AH10),ROUND(INDEX(Profils!$L$5:$L$34,$AE10)*Paramètres!$E$28*$AG10*$AJ10,Paramètres!$F$28),0)</f>
        <v>0</v>
      </c>
      <c r="S10" s="20" t="n">
        <f aca="false" t="array" ref="S10:S10">IF(AND(INDEX(Profils!$M$5:$M$34,$AE10)&gt;0,INDEX(Profils!$AB$5:$AB$34,$AE10)&lt;=$AH10),ROUND(INDEX(Profils!$M$5:$M$34,$AE10)*Paramètres!$E$29*$AG10*$AJ10,Paramètres!$F$29),0)</f>
        <v>0</v>
      </c>
      <c r="T10" s="20" t="n">
        <f aca="false" t="array" ref="T10:T10">IF(AND(INDEX(Profils!$N$5:$N$34,$AE10)&gt;0,INDEX(Profils!$AC$5:$AC$34,$AE10)&lt;=$AH10),ROUND(INDEX(Profils!$N$5:$N$34,$AE10)*Paramètres!$E$30*$AG10*$AJ10,Paramètres!$F$30),0)</f>
        <v>0</v>
      </c>
      <c r="U10" s="19" t="n">
        <f aca="false" t="array" ref="U10:U10">IF(AND(INDEX(Profils!$O$5:$O$34,$AE10)&gt;0,INDEX(Profils!$AD$5:$AD$34,$AE10)&lt;=$AH10),ROUND(INDEX(Profils!$O$5:$O$34,$AE10)*Paramètres!$E$31*$AG10*$AJ10,Paramètres!$F$31),0)</f>
        <v>3</v>
      </c>
      <c r="V10" s="20" t="n">
        <f aca="false" t="array" ref="V10:V10">IF(AND(INDEX(Profils!$P$5:$P$34,$AE10)&gt;0,INDEX(Profils!$AE$5:$AE$34,$AE10)&lt;=$AH10),ROUND(INDEX(Profils!$P$5:$P$34,$AE10)*Paramètres!$E$32*$AG10*$AJ10,Paramètres!$F$32),0)</f>
        <v>0</v>
      </c>
      <c r="W10" s="20" t="n">
        <f aca="false" t="array" ref="W10:W10">IF(AND(INDEX(Profils!$Q$5:$Q$34,$AE10)&gt;0,INDEX(Profils!$AF$5:$AF$34,$AE10)&lt;=$AH10),ROUND(INDEX(Profils!$Q$5:$Q$34,$AE10)*Paramètres!$E$33*$AG10*$AJ10,Paramètres!$F$33),0)</f>
        <v>0.001</v>
      </c>
      <c r="X10" s="20" t="n">
        <f aca="false" t="array" ref="X10:X10">IF(AND(INDEX(Profils!$R$5:$R$34,$AE10)&gt;0,INDEX(Profils!$AG$5:$AG$34,$AE10)&lt;=$AH10),ROUND(INDEX(Profils!$R$5:$R$34,$AE10)*Paramètres!$E$34*$AG10*$AJ10,Paramètres!$F$34),0)</f>
        <v>0</v>
      </c>
      <c r="Y10" s="20" t="n">
        <f aca="false" t="array" ref="Y10:Y10">IF(AND(INDEX(Profils!$S$5:$S$34,$AE10)&gt;0,INDEX(Profils!$AH$5:$AH$34,$AE10)&lt;=$AH10),ROUND(INDEX(Profils!$S$5:$S$34,$AE10)*Paramètres!$E$35*$AG10*$AJ10,Paramètres!$F$35),0)</f>
        <v>0.002</v>
      </c>
      <c r="Z10" s="21" t="n">
        <f aca="false">ROUND(L10/Paramètres!$E$22+M10/Paramètres!$E$23+N10/Paramètres!$E$24+O10/Paramètres!$E$25+P10/Paramètres!$E$26+Q10/Paramètres!$E$27+R10/Paramètres!$E$28+S10/Paramètres!$E$29+T10/Paramètres!$E$30+U10/Paramètres!$E$31+V10/Paramètres!$E$32+W10/Paramètres!$E$33+X10/Paramètres!$E$34+Y10/Paramètres!$E$35,1)</f>
        <v>0.7</v>
      </c>
      <c r="AA10" s="22" t="s">
        <v>109</v>
      </c>
      <c r="AB10" s="22" t="s">
        <v>109</v>
      </c>
      <c r="AC10" s="15" t="str">
        <f aca="false">$E10</f>
        <v>cuir</v>
      </c>
      <c r="AD10" s="16" t="n">
        <f aca="false" t="array" ref="AD10:AD10">IF($I10&gt;=$AI10,"Max",ROUND(Paramètres!$B$40*($I10+1)^Paramètres!$B$41*INDEX(Paramètres!$H$6:$H$12,$AF10),0))</f>
        <v>6</v>
      </c>
      <c r="AE10" s="23" t="n">
        <f aca="false">MATCH($B10&amp;"|"&amp;$C10,Profils!$A$5:$A$34,0)</f>
        <v>1</v>
      </c>
      <c r="AF10" s="23" t="n">
        <v>5</v>
      </c>
      <c r="AG10" s="24" t="n">
        <f aca="false" t="array" ref="AG10:AG10">INDEX(Paramètres!$C$6:$C$12,$AF10)</f>
        <v>2.1</v>
      </c>
      <c r="AH10" s="23" t="n">
        <f aca="false" t="array" ref="AH10:AH10">INDEX(Paramètres!$D$6:$D$12,$AF10)</f>
        <v>6</v>
      </c>
      <c r="AI10" s="23" t="n">
        <f aca="false" t="array" ref="AI10:AI10">INDEX(Matériaux!$C$16:$C$20,$D10)</f>
        <v>19</v>
      </c>
      <c r="AJ10" s="25" t="n">
        <f aca="false">Paramètres!$B$16+(1-Paramètres!$B$16)*(($J10-Paramètres!$B$14)/(Paramètres!$B$15-Paramètres!$B$14))^Paramètres!$B$17</f>
        <v>0.05</v>
      </c>
    </row>
    <row r="11" customFormat="false" ht="15" hidden="false" customHeight="true" outlineLevel="0" collapsed="false">
      <c r="A11" s="14" t="s">
        <v>118</v>
      </c>
      <c r="B11" s="15" t="s">
        <v>27</v>
      </c>
      <c r="C11" s="15" t="s">
        <v>107</v>
      </c>
      <c r="D11" s="16" t="n">
        <v>1</v>
      </c>
      <c r="E11" s="15" t="str">
        <f aca="false" t="array" ref="E11:E11">INDEX(Matériaux!$B$5:$F$12,MATCH(INDEX(Profils!$E$5:$E$34,$AE11),Matériaux!$A$5:$A$12,0),$D11)</f>
        <v>cuir</v>
      </c>
      <c r="F11" s="30" t="s">
        <v>119</v>
      </c>
      <c r="G11" s="10" t="str">
        <f aca="false" t="array" ref="G11:G11">INDEX(Profils!$D$5:$D$34,$AE11)&amp;" en "&amp;$E11</f>
        <v>Casque en cuir</v>
      </c>
      <c r="H11" s="16" t="n">
        <f aca="false" t="array" ref="H11:H11">INDEX(Matériaux!$B$16:$B$20,$D11)</f>
        <v>1</v>
      </c>
      <c r="I11" s="16" t="n">
        <f aca="false">IF(ISNUMBER($C$3),MIN(MAX(0,ROUND($C$3,0)),$AI11),$AI11)</f>
        <v>0</v>
      </c>
      <c r="J11" s="18" t="n">
        <f aca="false">$H11+$I11</f>
        <v>1</v>
      </c>
      <c r="K11" s="15" t="s">
        <v>109</v>
      </c>
      <c r="L11" s="19" t="n">
        <f aca="false" t="array" ref="L11:L11">IF(AND(INDEX(Profils!$F$5:$F$34,$AE11)&gt;0,INDEX(Profils!$U$5:$U$34,$AE11)&lt;=$AH11),ROUND(INDEX(Profils!$F$5:$F$34,$AE11)*Paramètres!$E$22*$AG11*$AJ11,Paramètres!$F$22),0)</f>
        <v>5</v>
      </c>
      <c r="M11" s="19" t="n">
        <f aca="false" t="array" ref="M11:M11">IF(AND(INDEX(Profils!$G$5:$G$34,$AE11)&gt;0,INDEX(Profils!$V$5:$V$34,$AE11)&lt;=$AH11),ROUND(INDEX(Profils!$G$5:$G$34,$AE11)*Paramètres!$E$23*$AG11*$AJ11,Paramètres!$F$23),0)</f>
        <v>1</v>
      </c>
      <c r="N11" s="19" t="n">
        <f aca="false" t="array" ref="N11:N11">IF(AND(INDEX(Profils!$H$5:$H$34,$AE11)&gt;0,INDEX(Profils!$W$5:$W$34,$AE11)&lt;=$AH11),ROUND(INDEX(Profils!$H$5:$H$34,$AE11)*Paramètres!$E$24*$AG11*$AJ11,Paramètres!$F$24),0)</f>
        <v>2</v>
      </c>
      <c r="O11" s="19" t="n">
        <f aca="false" t="array" ref="O11:O11">IF(AND(INDEX(Profils!$I$5:$I$34,$AE11)&gt;0,INDEX(Profils!$X$5:$X$34,$AE11)&lt;=$AH11),ROUND(INDEX(Profils!$I$5:$I$34,$AE11)*Paramètres!$E$25*$AG11*$AJ11,Paramètres!$F$25),0)</f>
        <v>0</v>
      </c>
      <c r="P11" s="19" t="n">
        <f aca="false" t="array" ref="P11:P11">IF(AND(INDEX(Profils!$J$5:$J$34,$AE11)&gt;0,INDEX(Profils!$Y$5:$Y$34,$AE11)&lt;=$AH11),ROUND(INDEX(Profils!$J$5:$J$34,$AE11)*Paramètres!$E$26*$AG11*$AJ11,Paramètres!$F$26),0)</f>
        <v>0</v>
      </c>
      <c r="Q11" s="19" t="n">
        <f aca="false" t="array" ref="Q11:Q11">IF(AND(INDEX(Profils!$K$5:$K$34,$AE11)&gt;0,INDEX(Profils!$Z$5:$Z$34,$AE11)&lt;=$AH11),ROUND(INDEX(Profils!$K$5:$K$34,$AE11)*Paramètres!$E$27*$AG11*$AJ11,Paramètres!$F$27),0)</f>
        <v>0</v>
      </c>
      <c r="R11" s="20" t="n">
        <f aca="false" t="array" ref="R11:R11">IF(AND(INDEX(Profils!$L$5:$L$34,$AE11)&gt;0,INDEX(Profils!$AA$5:$AA$34,$AE11)&lt;=$AH11),ROUND(INDEX(Profils!$L$5:$L$34,$AE11)*Paramètres!$E$28*$AG11*$AJ11,Paramètres!$F$28),0)</f>
        <v>0.001</v>
      </c>
      <c r="S11" s="20" t="n">
        <f aca="false" t="array" ref="S11:S11">IF(AND(INDEX(Profils!$M$5:$M$34,$AE11)&gt;0,INDEX(Profils!$AB$5:$AB$34,$AE11)&lt;=$AH11),ROUND(INDEX(Profils!$M$5:$M$34,$AE11)*Paramètres!$E$29*$AG11*$AJ11,Paramètres!$F$29),0)</f>
        <v>0</v>
      </c>
      <c r="T11" s="20" t="n">
        <f aca="false" t="array" ref="T11:T11">IF(AND(INDEX(Profils!$N$5:$N$34,$AE11)&gt;0,INDEX(Profils!$AC$5:$AC$34,$AE11)&lt;=$AH11),ROUND(INDEX(Profils!$N$5:$N$34,$AE11)*Paramètres!$E$30*$AG11*$AJ11,Paramètres!$F$30),0)</f>
        <v>0</v>
      </c>
      <c r="U11" s="19" t="n">
        <f aca="false" t="array" ref="U11:U11">IF(AND(INDEX(Profils!$O$5:$O$34,$AE11)&gt;0,INDEX(Profils!$AD$5:$AD$34,$AE11)&lt;=$AH11),ROUND(INDEX(Profils!$O$5:$O$34,$AE11)*Paramètres!$E$31*$AG11*$AJ11,Paramètres!$F$31),0)</f>
        <v>3</v>
      </c>
      <c r="V11" s="20" t="n">
        <f aca="false" t="array" ref="V11:V11">IF(AND(INDEX(Profils!$P$5:$P$34,$AE11)&gt;0,INDEX(Profils!$AE$5:$AE$34,$AE11)&lt;=$AH11),ROUND(INDEX(Profils!$P$5:$P$34,$AE11)*Paramètres!$E$32*$AG11*$AJ11,Paramètres!$F$32),0)</f>
        <v>0</v>
      </c>
      <c r="W11" s="20" t="n">
        <f aca="false" t="array" ref="W11:W11">IF(AND(INDEX(Profils!$Q$5:$Q$34,$AE11)&gt;0,INDEX(Profils!$AF$5:$AF$34,$AE11)&lt;=$AH11),ROUND(INDEX(Profils!$Q$5:$Q$34,$AE11)*Paramètres!$E$33*$AG11*$AJ11,Paramètres!$F$33),0)</f>
        <v>0.001</v>
      </c>
      <c r="X11" s="20" t="n">
        <f aca="false" t="array" ref="X11:X11">IF(AND(INDEX(Profils!$R$5:$R$34,$AE11)&gt;0,INDEX(Profils!$AG$5:$AG$34,$AE11)&lt;=$AH11),ROUND(INDEX(Profils!$R$5:$R$34,$AE11)*Paramètres!$E$34*$AG11*$AJ11,Paramètres!$F$34),0)</f>
        <v>0</v>
      </c>
      <c r="Y11" s="20" t="n">
        <f aca="false" t="array" ref="Y11:Y11">IF(AND(INDEX(Profils!$S$5:$S$34,$AE11)&gt;0,INDEX(Profils!$AH$5:$AH$34,$AE11)&lt;=$AH11),ROUND(INDEX(Profils!$S$5:$S$34,$AE11)*Paramètres!$E$35*$AG11*$AJ11,Paramètres!$F$35),0)</f>
        <v>0.002</v>
      </c>
      <c r="Z11" s="21" t="n">
        <f aca="false">ROUND(L11/Paramètres!$E$22+M11/Paramètres!$E$23+N11/Paramètres!$E$24+O11/Paramètres!$E$25+P11/Paramètres!$E$26+Q11/Paramètres!$E$27+R11/Paramètres!$E$28+S11/Paramètres!$E$29+T11/Paramètres!$E$30+U11/Paramètres!$E$31+V11/Paramètres!$E$32+W11/Paramètres!$E$33+X11/Paramètres!$E$34+Y11/Paramètres!$E$35,1)</f>
        <v>0.8</v>
      </c>
      <c r="AA11" s="22" t="s">
        <v>109</v>
      </c>
      <c r="AB11" s="22" t="s">
        <v>109</v>
      </c>
      <c r="AC11" s="15" t="str">
        <f aca="false">$E11</f>
        <v>cuir</v>
      </c>
      <c r="AD11" s="16" t="n">
        <f aca="false" t="array" ref="AD11:AD11">IF($I11&gt;=$AI11,"Max",ROUND(Paramètres!$B$40*($I11+1)^Paramètres!$B$41*INDEX(Paramètres!$H$6:$H$12,$AF11),0))</f>
        <v>8</v>
      </c>
      <c r="AE11" s="23" t="n">
        <f aca="false">MATCH($B11&amp;"|"&amp;$C11,Profils!$A$5:$A$34,0)</f>
        <v>1</v>
      </c>
      <c r="AF11" s="23" t="n">
        <v>6</v>
      </c>
      <c r="AG11" s="24" t="n">
        <f aca="false" t="array" ref="AG11:AG11">INDEX(Paramètres!$C$6:$C$12,$AF11)</f>
        <v>2.4</v>
      </c>
      <c r="AH11" s="23" t="n">
        <f aca="false" t="array" ref="AH11:AH11">INDEX(Paramètres!$D$6:$D$12,$AF11)</f>
        <v>7</v>
      </c>
      <c r="AI11" s="23" t="n">
        <f aca="false" t="array" ref="AI11:AI11">INDEX(Matériaux!$C$16:$C$20,$D11)</f>
        <v>19</v>
      </c>
      <c r="AJ11" s="25" t="n">
        <f aca="false">Paramètres!$B$16+(1-Paramètres!$B$16)*(($J11-Paramètres!$B$14)/(Paramètres!$B$15-Paramètres!$B$14))^Paramètres!$B$17</f>
        <v>0.05</v>
      </c>
    </row>
    <row r="12" customFormat="false" ht="15" hidden="false" customHeight="true" outlineLevel="0" collapsed="false">
      <c r="A12" s="14" t="s">
        <v>120</v>
      </c>
      <c r="B12" s="15" t="s">
        <v>27</v>
      </c>
      <c r="C12" s="15" t="s">
        <v>107</v>
      </c>
      <c r="D12" s="16" t="n">
        <v>2</v>
      </c>
      <c r="E12" s="15" t="str">
        <f aca="false" t="array" ref="E12:E12">INDEX(Matériaux!$B$5:$F$12,MATCH(INDEX(Profils!$E$5:$E$34,$AE12),Matériaux!$A$5:$A$12,0),$D12)</f>
        <v>fer</v>
      </c>
      <c r="F12" s="17" t="s">
        <v>108</v>
      </c>
      <c r="G12" s="10" t="str">
        <f aca="false" t="array" ref="G12:G12">INDEX(Profils!$D$5:$D$34,$AE12)&amp;" en "&amp;$E12</f>
        <v>Casque en fer</v>
      </c>
      <c r="H12" s="16" t="n">
        <f aca="false" t="array" ref="H12:H12">INDEX(Matériaux!$B$16:$B$20,$D12)</f>
        <v>15</v>
      </c>
      <c r="I12" s="16" t="n">
        <f aca="false">IF(ISNUMBER($C$3),MIN(MAX(0,ROUND($C$3,0)),$AI12),$AI12)</f>
        <v>0</v>
      </c>
      <c r="J12" s="18" t="n">
        <f aca="false">$H12+$I12</f>
        <v>15</v>
      </c>
      <c r="K12" s="15" t="s">
        <v>109</v>
      </c>
      <c r="L12" s="19" t="n">
        <f aca="false" t="array" ref="L12:L12">IF(AND(INDEX(Profils!$F$5:$F$34,$AE12)&gt;0,INDEX(Profils!$U$5:$U$34,$AE12)&lt;=$AH12),ROUND(INDEX(Profils!$F$5:$F$34,$AE12)*Paramètres!$E$22*$AG12*$AJ12,Paramètres!$F$22),0)</f>
        <v>6</v>
      </c>
      <c r="M12" s="19" t="n">
        <f aca="false" t="array" ref="M12:M12">IF(AND(INDEX(Profils!$G$5:$G$34,$AE12)&gt;0,INDEX(Profils!$V$5:$V$34,$AE12)&lt;=$AH12),ROUND(INDEX(Profils!$G$5:$G$34,$AE12)*Paramètres!$E$23*$AG12*$AJ12,Paramètres!$F$23),0)</f>
        <v>0</v>
      </c>
      <c r="N12" s="19" t="n">
        <f aca="false" t="array" ref="N12:N12">IF(AND(INDEX(Profils!$H$5:$H$34,$AE12)&gt;0,INDEX(Profils!$W$5:$W$34,$AE12)&lt;=$AH12),ROUND(INDEX(Profils!$H$5:$H$34,$AE12)*Paramètres!$E$24*$AG12*$AJ12,Paramètres!$F$24),0)</f>
        <v>3</v>
      </c>
      <c r="O12" s="19" t="n">
        <f aca="false" t="array" ref="O12:O12">IF(AND(INDEX(Profils!$I$5:$I$34,$AE12)&gt;0,INDEX(Profils!$X$5:$X$34,$AE12)&lt;=$AH12),ROUND(INDEX(Profils!$I$5:$I$34,$AE12)*Paramètres!$E$25*$AG12*$AJ12,Paramètres!$F$25),0)</f>
        <v>0</v>
      </c>
      <c r="P12" s="19" t="n">
        <f aca="false" t="array" ref="P12:P12">IF(AND(INDEX(Profils!$J$5:$J$34,$AE12)&gt;0,INDEX(Profils!$Y$5:$Y$34,$AE12)&lt;=$AH12),ROUND(INDEX(Profils!$J$5:$J$34,$AE12)*Paramètres!$E$26*$AG12*$AJ12,Paramètres!$F$26),0)</f>
        <v>0</v>
      </c>
      <c r="Q12" s="19" t="n">
        <f aca="false" t="array" ref="Q12:Q12">IF(AND(INDEX(Profils!$K$5:$K$34,$AE12)&gt;0,INDEX(Profils!$Z$5:$Z$34,$AE12)&lt;=$AH12),ROUND(INDEX(Profils!$K$5:$K$34,$AE12)*Paramètres!$E$27*$AG12*$AJ12,Paramètres!$F$27),0)</f>
        <v>0</v>
      </c>
      <c r="R12" s="20" t="n">
        <f aca="false" t="array" ref="R12:R12">IF(AND(INDEX(Profils!$L$5:$L$34,$AE12)&gt;0,INDEX(Profils!$AA$5:$AA$34,$AE12)&lt;=$AH12),ROUND(INDEX(Profils!$L$5:$L$34,$AE12)*Paramètres!$E$28*$AG12*$AJ12,Paramètres!$F$28),0)</f>
        <v>0</v>
      </c>
      <c r="S12" s="20" t="n">
        <f aca="false" t="array" ref="S12:S12">IF(AND(INDEX(Profils!$M$5:$M$34,$AE12)&gt;0,INDEX(Profils!$AB$5:$AB$34,$AE12)&lt;=$AH12),ROUND(INDEX(Profils!$M$5:$M$34,$AE12)*Paramètres!$E$29*$AG12*$AJ12,Paramètres!$F$29),0)</f>
        <v>0</v>
      </c>
      <c r="T12" s="20" t="n">
        <f aca="false" t="array" ref="T12:T12">IF(AND(INDEX(Profils!$N$5:$N$34,$AE12)&gt;0,INDEX(Profils!$AC$5:$AC$34,$AE12)&lt;=$AH12),ROUND(INDEX(Profils!$N$5:$N$34,$AE12)*Paramètres!$E$30*$AG12*$AJ12,Paramètres!$F$30),0)</f>
        <v>0</v>
      </c>
      <c r="U12" s="19" t="n">
        <f aca="false" t="array" ref="U12:U12">IF(AND(INDEX(Profils!$O$5:$O$34,$AE12)&gt;0,INDEX(Profils!$AD$5:$AD$34,$AE12)&lt;=$AH12),ROUND(INDEX(Profils!$O$5:$O$34,$AE12)*Paramètres!$E$31*$AG12*$AJ12,Paramètres!$F$31),0)</f>
        <v>0</v>
      </c>
      <c r="V12" s="20" t="n">
        <f aca="false" t="array" ref="V12:V12">IF(AND(INDEX(Profils!$P$5:$P$34,$AE12)&gt;0,INDEX(Profils!$AE$5:$AE$34,$AE12)&lt;=$AH12),ROUND(INDEX(Profils!$P$5:$P$34,$AE12)*Paramètres!$E$32*$AG12*$AJ12,Paramètres!$F$32),0)</f>
        <v>0</v>
      </c>
      <c r="W12" s="20" t="n">
        <f aca="false" t="array" ref="W12:W12">IF(AND(INDEX(Profils!$Q$5:$Q$34,$AE12)&gt;0,INDEX(Profils!$AF$5:$AF$34,$AE12)&lt;=$AH12),ROUND(INDEX(Profils!$Q$5:$Q$34,$AE12)*Paramètres!$E$33*$AG12*$AJ12,Paramètres!$F$33),0)</f>
        <v>0</v>
      </c>
      <c r="X12" s="20" t="n">
        <f aca="false" t="array" ref="X12:X12">IF(AND(INDEX(Profils!$R$5:$R$34,$AE12)&gt;0,INDEX(Profils!$AG$5:$AG$34,$AE12)&lt;=$AH12),ROUND(INDEX(Profils!$R$5:$R$34,$AE12)*Paramètres!$E$34*$AG12*$AJ12,Paramètres!$F$34),0)</f>
        <v>0</v>
      </c>
      <c r="Y12" s="20" t="n">
        <f aca="false" t="array" ref="Y12:Y12">IF(AND(INDEX(Profils!$S$5:$S$34,$AE12)&gt;0,INDEX(Profils!$AH$5:$AH$34,$AE12)&lt;=$AH12),ROUND(INDEX(Profils!$S$5:$S$34,$AE12)*Paramètres!$E$35*$AG12*$AJ12,Paramètres!$F$35),0)</f>
        <v>0</v>
      </c>
      <c r="Z12" s="21" t="n">
        <f aca="false">ROUND(L12/Paramètres!$E$22+M12/Paramètres!$E$23+N12/Paramètres!$E$24+O12/Paramètres!$E$25+P12/Paramètres!$E$26+Q12/Paramètres!$E$27+R12/Paramètres!$E$28+S12/Paramètres!$E$29+T12/Paramètres!$E$30+U12/Paramètres!$E$31+V12/Paramètres!$E$32+W12/Paramètres!$E$33+X12/Paramètres!$E$34+Y12/Paramètres!$E$35,1)</f>
        <v>0.4</v>
      </c>
      <c r="AA12" s="22" t="s">
        <v>109</v>
      </c>
      <c r="AB12" s="22" t="s">
        <v>109</v>
      </c>
      <c r="AC12" s="15" t="str">
        <f aca="false">$E12</f>
        <v>fer</v>
      </c>
      <c r="AD12" s="16" t="n">
        <f aca="false" t="array" ref="AD12:AD12">IF($I12&gt;=$AI12,"Max",ROUND(Paramètres!$B$40*($I12+1)^Paramètres!$B$41*INDEX(Paramètres!$H$6:$H$12,$AF12),0))</f>
        <v>3</v>
      </c>
      <c r="AE12" s="23" t="n">
        <f aca="false">MATCH($B12&amp;"|"&amp;$C12,Profils!$A$5:$A$34,0)</f>
        <v>1</v>
      </c>
      <c r="AF12" s="23" t="n">
        <v>1</v>
      </c>
      <c r="AG12" s="24" t="n">
        <f aca="false" t="array" ref="AG12:AG12">INDEX(Paramètres!$C$6:$C$12,$AF12)</f>
        <v>1</v>
      </c>
      <c r="AH12" s="23" t="n">
        <f aca="false" t="array" ref="AH12:AH12">INDEX(Paramètres!$D$6:$D$12,$AF12)</f>
        <v>2</v>
      </c>
      <c r="AI12" s="23" t="n">
        <f aca="false" t="array" ref="AI12:AI12">INDEX(Matériaux!$C$16:$C$20,$D12)</f>
        <v>20</v>
      </c>
      <c r="AJ12" s="25" t="n">
        <f aca="false">Paramètres!$B$16+(1-Paramètres!$B$16)*(($J12-Paramètres!$B$14)/(Paramètres!$B$15-Paramètres!$B$14))^Paramètres!$B$17</f>
        <v>0.140847925475674</v>
      </c>
    </row>
    <row r="13" customFormat="false" ht="15" hidden="false" customHeight="true" outlineLevel="0" collapsed="false">
      <c r="A13" s="14" t="s">
        <v>121</v>
      </c>
      <c r="B13" s="15" t="s">
        <v>27</v>
      </c>
      <c r="C13" s="15" t="s">
        <v>107</v>
      </c>
      <c r="D13" s="16" t="n">
        <v>2</v>
      </c>
      <c r="E13" s="15" t="str">
        <f aca="false" t="array" ref="E13:E13">INDEX(Matériaux!$B$5:$F$12,MATCH(INDEX(Profils!$E$5:$E$34,$AE13),Matériaux!$A$5:$A$12,0),$D13)</f>
        <v>fer</v>
      </c>
      <c r="F13" s="26" t="s">
        <v>111</v>
      </c>
      <c r="G13" s="10" t="str">
        <f aca="false" t="array" ref="G13:G13">INDEX(Profils!$D$5:$D$34,$AE13)&amp;" en "&amp;$E13</f>
        <v>Casque en fer</v>
      </c>
      <c r="H13" s="16" t="n">
        <f aca="false" t="array" ref="H13:H13">INDEX(Matériaux!$B$16:$B$20,$D13)</f>
        <v>15</v>
      </c>
      <c r="I13" s="16" t="n">
        <f aca="false">IF(ISNUMBER($C$3),MIN(MAX(0,ROUND($C$3,0)),$AI13),$AI13)</f>
        <v>0</v>
      </c>
      <c r="J13" s="18" t="n">
        <f aca="false">$H13+$I13</f>
        <v>15</v>
      </c>
      <c r="K13" s="15" t="s">
        <v>109</v>
      </c>
      <c r="L13" s="19" t="n">
        <f aca="false" t="array" ref="L13:L13">IF(AND(INDEX(Profils!$F$5:$F$34,$AE13)&gt;0,INDEX(Profils!$U$5:$U$34,$AE13)&lt;=$AH13),ROUND(INDEX(Profils!$F$5:$F$34,$AE13)*Paramètres!$E$22*$AG13*$AJ13,Paramètres!$F$22),0)</f>
        <v>7</v>
      </c>
      <c r="M13" s="19" t="n">
        <f aca="false" t="array" ref="M13:M13">IF(AND(INDEX(Profils!$G$5:$G$34,$AE13)&gt;0,INDEX(Profils!$V$5:$V$34,$AE13)&lt;=$AH13),ROUND(INDEX(Profils!$G$5:$G$34,$AE13)*Paramètres!$E$23*$AG13*$AJ13,Paramètres!$F$23),0)</f>
        <v>0</v>
      </c>
      <c r="N13" s="19" t="n">
        <f aca="false" t="array" ref="N13:N13">IF(AND(INDEX(Profils!$H$5:$H$34,$AE13)&gt;0,INDEX(Profils!$W$5:$W$34,$AE13)&lt;=$AH13),ROUND(INDEX(Profils!$H$5:$H$34,$AE13)*Paramètres!$E$24*$AG13*$AJ13,Paramètres!$F$24),0)</f>
        <v>3</v>
      </c>
      <c r="O13" s="19" t="n">
        <f aca="false" t="array" ref="O13:O13">IF(AND(INDEX(Profils!$I$5:$I$34,$AE13)&gt;0,INDEX(Profils!$X$5:$X$34,$AE13)&lt;=$AH13),ROUND(INDEX(Profils!$I$5:$I$34,$AE13)*Paramètres!$E$25*$AG13*$AJ13,Paramètres!$F$25),0)</f>
        <v>0</v>
      </c>
      <c r="P13" s="19" t="n">
        <f aca="false" t="array" ref="P13:P13">IF(AND(INDEX(Profils!$J$5:$J$34,$AE13)&gt;0,INDEX(Profils!$Y$5:$Y$34,$AE13)&lt;=$AH13),ROUND(INDEX(Profils!$J$5:$J$34,$AE13)*Paramètres!$E$26*$AG13*$AJ13,Paramètres!$F$26),0)</f>
        <v>0</v>
      </c>
      <c r="Q13" s="19" t="n">
        <f aca="false" t="array" ref="Q13:Q13">IF(AND(INDEX(Profils!$K$5:$K$34,$AE13)&gt;0,INDEX(Profils!$Z$5:$Z$34,$AE13)&lt;=$AH13),ROUND(INDEX(Profils!$K$5:$K$34,$AE13)*Paramètres!$E$27*$AG13*$AJ13,Paramètres!$F$27),0)</f>
        <v>0</v>
      </c>
      <c r="R13" s="20" t="n">
        <f aca="false" t="array" ref="R13:R13">IF(AND(INDEX(Profils!$L$5:$L$34,$AE13)&gt;0,INDEX(Profils!$AA$5:$AA$34,$AE13)&lt;=$AH13),ROUND(INDEX(Profils!$L$5:$L$34,$AE13)*Paramètres!$E$28*$AG13*$AJ13,Paramètres!$F$28),0)</f>
        <v>0</v>
      </c>
      <c r="S13" s="20" t="n">
        <f aca="false" t="array" ref="S13:S13">IF(AND(INDEX(Profils!$M$5:$M$34,$AE13)&gt;0,INDEX(Profils!$AB$5:$AB$34,$AE13)&lt;=$AH13),ROUND(INDEX(Profils!$M$5:$M$34,$AE13)*Paramètres!$E$29*$AG13*$AJ13,Paramètres!$F$29),0)</f>
        <v>0</v>
      </c>
      <c r="T13" s="20" t="n">
        <f aca="false" t="array" ref="T13:T13">IF(AND(INDEX(Profils!$N$5:$N$34,$AE13)&gt;0,INDEX(Profils!$AC$5:$AC$34,$AE13)&lt;=$AH13),ROUND(INDEX(Profils!$N$5:$N$34,$AE13)*Paramètres!$E$30*$AG13*$AJ13,Paramètres!$F$30),0)</f>
        <v>0</v>
      </c>
      <c r="U13" s="19" t="n">
        <f aca="false" t="array" ref="U13:U13">IF(AND(INDEX(Profils!$O$5:$O$34,$AE13)&gt;0,INDEX(Profils!$AD$5:$AD$34,$AE13)&lt;=$AH13),ROUND(INDEX(Profils!$O$5:$O$34,$AE13)*Paramètres!$E$31*$AG13*$AJ13,Paramètres!$F$31),0)</f>
        <v>4</v>
      </c>
      <c r="V13" s="20" t="n">
        <f aca="false" t="array" ref="V13:V13">IF(AND(INDEX(Profils!$P$5:$P$34,$AE13)&gt;0,INDEX(Profils!$AE$5:$AE$34,$AE13)&lt;=$AH13),ROUND(INDEX(Profils!$P$5:$P$34,$AE13)*Paramètres!$E$32*$AG13*$AJ13,Paramètres!$F$32),0)</f>
        <v>0</v>
      </c>
      <c r="W13" s="20" t="n">
        <f aca="false" t="array" ref="W13:W13">IF(AND(INDEX(Profils!$Q$5:$Q$34,$AE13)&gt;0,INDEX(Profils!$AF$5:$AF$34,$AE13)&lt;=$AH13),ROUND(INDEX(Profils!$Q$5:$Q$34,$AE13)*Paramètres!$E$33*$AG13*$AJ13,Paramètres!$F$33),0)</f>
        <v>0</v>
      </c>
      <c r="X13" s="20" t="n">
        <f aca="false" t="array" ref="X13:X13">IF(AND(INDEX(Profils!$R$5:$R$34,$AE13)&gt;0,INDEX(Profils!$AG$5:$AG$34,$AE13)&lt;=$AH13),ROUND(INDEX(Profils!$R$5:$R$34,$AE13)*Paramètres!$E$34*$AG13*$AJ13,Paramètres!$F$34),0)</f>
        <v>0</v>
      </c>
      <c r="Y13" s="20" t="n">
        <f aca="false" t="array" ref="Y13:Y13">IF(AND(INDEX(Profils!$S$5:$S$34,$AE13)&gt;0,INDEX(Profils!$AH$5:$AH$34,$AE13)&lt;=$AH13),ROUND(INDEX(Profils!$S$5:$S$34,$AE13)*Paramètres!$E$35*$AG13*$AJ13,Paramètres!$F$35),0)</f>
        <v>0</v>
      </c>
      <c r="Z13" s="21" t="n">
        <f aca="false">ROUND(L13/Paramètres!$E$22+M13/Paramètres!$E$23+N13/Paramètres!$E$24+O13/Paramètres!$E$25+P13/Paramètres!$E$26+Q13/Paramètres!$E$27+R13/Paramètres!$E$28+S13/Paramètres!$E$29+T13/Paramètres!$E$30+U13/Paramètres!$E$31+V13/Paramètres!$E$32+W13/Paramètres!$E$33+X13/Paramètres!$E$34+Y13/Paramètres!$E$35,1)</f>
        <v>0.7</v>
      </c>
      <c r="AA13" s="22" t="s">
        <v>109</v>
      </c>
      <c r="AB13" s="22" t="s">
        <v>109</v>
      </c>
      <c r="AC13" s="15" t="str">
        <f aca="false">$E13</f>
        <v>fer</v>
      </c>
      <c r="AD13" s="16" t="n">
        <f aca="false" t="array" ref="AD13:AD13">IF($I13&gt;=$AI13,"Max",ROUND(Paramètres!$B$40*($I13+1)^Paramètres!$B$41*INDEX(Paramètres!$H$6:$H$12,$AF13),0))</f>
        <v>4</v>
      </c>
      <c r="AE13" s="23" t="n">
        <f aca="false">MATCH($B13&amp;"|"&amp;$C13,Profils!$A$5:$A$34,0)</f>
        <v>1</v>
      </c>
      <c r="AF13" s="23" t="n">
        <v>2</v>
      </c>
      <c r="AG13" s="24" t="n">
        <f aca="false" t="array" ref="AG13:AG13">INDEX(Paramètres!$C$6:$C$12,$AF13)</f>
        <v>1.2</v>
      </c>
      <c r="AH13" s="23" t="n">
        <f aca="false" t="array" ref="AH13:AH13">INDEX(Paramètres!$D$6:$D$12,$AF13)</f>
        <v>3</v>
      </c>
      <c r="AI13" s="23" t="n">
        <f aca="false" t="array" ref="AI13:AI13">INDEX(Matériaux!$C$16:$C$20,$D13)</f>
        <v>20</v>
      </c>
      <c r="AJ13" s="25" t="n">
        <f aca="false">Paramètres!$B$16+(1-Paramètres!$B$16)*(($J13-Paramètres!$B$14)/(Paramètres!$B$15-Paramètres!$B$14))^Paramètres!$B$17</f>
        <v>0.140847925475674</v>
      </c>
    </row>
    <row r="14" customFormat="false" ht="15" hidden="false" customHeight="true" outlineLevel="0" collapsed="false">
      <c r="A14" s="14" t="s">
        <v>122</v>
      </c>
      <c r="B14" s="15" t="s">
        <v>27</v>
      </c>
      <c r="C14" s="15" t="s">
        <v>107</v>
      </c>
      <c r="D14" s="16" t="n">
        <v>2</v>
      </c>
      <c r="E14" s="15" t="str">
        <f aca="false" t="array" ref="E14:E14">INDEX(Matériaux!$B$5:$F$12,MATCH(INDEX(Profils!$E$5:$E$34,$AE14),Matériaux!$A$5:$A$12,0),$D14)</f>
        <v>fer</v>
      </c>
      <c r="F14" s="27" t="s">
        <v>113</v>
      </c>
      <c r="G14" s="10" t="str">
        <f aca="false" t="array" ref="G14:G14">INDEX(Profils!$D$5:$D$34,$AE14)&amp;" en "&amp;$E14</f>
        <v>Casque en fer</v>
      </c>
      <c r="H14" s="16" t="n">
        <f aca="false" t="array" ref="H14:H14">INDEX(Matériaux!$B$16:$B$20,$D14)</f>
        <v>15</v>
      </c>
      <c r="I14" s="16" t="n">
        <f aca="false">IF(ISNUMBER($C$3),MIN(MAX(0,ROUND($C$3,0)),$AI14),$AI14)</f>
        <v>0</v>
      </c>
      <c r="J14" s="18" t="n">
        <f aca="false">$H14+$I14</f>
        <v>15</v>
      </c>
      <c r="K14" s="15" t="s">
        <v>109</v>
      </c>
      <c r="L14" s="19" t="n">
        <f aca="false" t="array" ref="L14:L14">IF(AND(INDEX(Profils!$F$5:$F$34,$AE14)&gt;0,INDEX(Profils!$U$5:$U$34,$AE14)&lt;=$AH14),ROUND(INDEX(Profils!$F$5:$F$34,$AE14)*Paramètres!$E$22*$AG14*$AJ14,Paramètres!$F$22),0)</f>
        <v>8</v>
      </c>
      <c r="M14" s="19" t="n">
        <f aca="false" t="array" ref="M14:M14">IF(AND(INDEX(Profils!$G$5:$G$34,$AE14)&gt;0,INDEX(Profils!$V$5:$V$34,$AE14)&lt;=$AH14),ROUND(INDEX(Profils!$G$5:$G$34,$AE14)*Paramètres!$E$23*$AG14*$AJ14,Paramètres!$F$23),0)</f>
        <v>0</v>
      </c>
      <c r="N14" s="19" t="n">
        <f aca="false" t="array" ref="N14:N14">IF(AND(INDEX(Profils!$H$5:$H$34,$AE14)&gt;0,INDEX(Profils!$W$5:$W$34,$AE14)&lt;=$AH14),ROUND(INDEX(Profils!$H$5:$H$34,$AE14)*Paramètres!$E$24*$AG14*$AJ14,Paramètres!$F$24),0)</f>
        <v>4</v>
      </c>
      <c r="O14" s="19" t="n">
        <f aca="false" t="array" ref="O14:O14">IF(AND(INDEX(Profils!$I$5:$I$34,$AE14)&gt;0,INDEX(Profils!$X$5:$X$34,$AE14)&lt;=$AH14),ROUND(INDEX(Profils!$I$5:$I$34,$AE14)*Paramètres!$E$25*$AG14*$AJ14,Paramètres!$F$25),0)</f>
        <v>0</v>
      </c>
      <c r="P14" s="19" t="n">
        <f aca="false" t="array" ref="P14:P14">IF(AND(INDEX(Profils!$J$5:$J$34,$AE14)&gt;0,INDEX(Profils!$Y$5:$Y$34,$AE14)&lt;=$AH14),ROUND(INDEX(Profils!$J$5:$J$34,$AE14)*Paramètres!$E$26*$AG14*$AJ14,Paramètres!$F$26),0)</f>
        <v>0</v>
      </c>
      <c r="Q14" s="19" t="n">
        <f aca="false" t="array" ref="Q14:Q14">IF(AND(INDEX(Profils!$K$5:$K$34,$AE14)&gt;0,INDEX(Profils!$Z$5:$Z$34,$AE14)&lt;=$AH14),ROUND(INDEX(Profils!$K$5:$K$34,$AE14)*Paramètres!$E$27*$AG14*$AJ14,Paramètres!$F$27),0)</f>
        <v>0</v>
      </c>
      <c r="R14" s="20" t="n">
        <f aca="false" t="array" ref="R14:R14">IF(AND(INDEX(Profils!$L$5:$L$34,$AE14)&gt;0,INDEX(Profils!$AA$5:$AA$34,$AE14)&lt;=$AH14),ROUND(INDEX(Profils!$L$5:$L$34,$AE14)*Paramètres!$E$28*$AG14*$AJ14,Paramètres!$F$28),0)</f>
        <v>0</v>
      </c>
      <c r="S14" s="20" t="n">
        <f aca="false" t="array" ref="S14:S14">IF(AND(INDEX(Profils!$M$5:$M$34,$AE14)&gt;0,INDEX(Profils!$AB$5:$AB$34,$AE14)&lt;=$AH14),ROUND(INDEX(Profils!$M$5:$M$34,$AE14)*Paramètres!$E$29*$AG14*$AJ14,Paramètres!$F$29),0)</f>
        <v>0</v>
      </c>
      <c r="T14" s="20" t="n">
        <f aca="false" t="array" ref="T14:T14">IF(AND(INDEX(Profils!$N$5:$N$34,$AE14)&gt;0,INDEX(Profils!$AC$5:$AC$34,$AE14)&lt;=$AH14),ROUND(INDEX(Profils!$N$5:$N$34,$AE14)*Paramètres!$E$30*$AG14*$AJ14,Paramètres!$F$30),0)</f>
        <v>0</v>
      </c>
      <c r="U14" s="19" t="n">
        <f aca="false" t="array" ref="U14:U14">IF(AND(INDEX(Profils!$O$5:$O$34,$AE14)&gt;0,INDEX(Profils!$AD$5:$AD$34,$AE14)&lt;=$AH14),ROUND(INDEX(Profils!$O$5:$O$34,$AE14)*Paramètres!$E$31*$AG14*$AJ14,Paramètres!$F$31),0)</f>
        <v>5</v>
      </c>
      <c r="V14" s="20" t="n">
        <f aca="false" t="array" ref="V14:V14">IF(AND(INDEX(Profils!$P$5:$P$34,$AE14)&gt;0,INDEX(Profils!$AE$5:$AE$34,$AE14)&lt;=$AH14),ROUND(INDEX(Profils!$P$5:$P$34,$AE14)*Paramètres!$E$32*$AG14*$AJ14,Paramètres!$F$32),0)</f>
        <v>0</v>
      </c>
      <c r="W14" s="20" t="n">
        <f aca="false" t="array" ref="W14:W14">IF(AND(INDEX(Profils!$Q$5:$Q$34,$AE14)&gt;0,INDEX(Profils!$AF$5:$AF$34,$AE14)&lt;=$AH14),ROUND(INDEX(Profils!$Q$5:$Q$34,$AE14)*Paramètres!$E$33*$AG14*$AJ14,Paramètres!$F$33),0)</f>
        <v>0</v>
      </c>
      <c r="X14" s="20" t="n">
        <f aca="false" t="array" ref="X14:X14">IF(AND(INDEX(Profils!$R$5:$R$34,$AE14)&gt;0,INDEX(Profils!$AG$5:$AG$34,$AE14)&lt;=$AH14),ROUND(INDEX(Profils!$R$5:$R$34,$AE14)*Paramètres!$E$34*$AG14*$AJ14,Paramètres!$F$34),0)</f>
        <v>0</v>
      </c>
      <c r="Y14" s="20" t="n">
        <f aca="false" t="array" ref="Y14:Y14">IF(AND(INDEX(Profils!$S$5:$S$34,$AE14)&gt;0,INDEX(Profils!$AH$5:$AH$34,$AE14)&lt;=$AH14),ROUND(INDEX(Profils!$S$5:$S$34,$AE14)*Paramètres!$E$35*$AG14*$AJ14,Paramètres!$F$35),0)</f>
        <v>0.003</v>
      </c>
      <c r="Z14" s="21" t="n">
        <f aca="false">ROUND(L14/Paramètres!$E$22+M14/Paramètres!$E$23+N14/Paramètres!$E$24+O14/Paramètres!$E$25+P14/Paramètres!$E$26+Q14/Paramètres!$E$27+R14/Paramètres!$E$28+S14/Paramètres!$E$29+T14/Paramètres!$E$30+U14/Paramètres!$E$31+V14/Paramètres!$E$32+W14/Paramètres!$E$33+X14/Paramètres!$E$34+Y14/Paramètres!$E$35,1)</f>
        <v>1</v>
      </c>
      <c r="AA14" s="22" t="s">
        <v>109</v>
      </c>
      <c r="AB14" s="22" t="s">
        <v>109</v>
      </c>
      <c r="AC14" s="15" t="str">
        <f aca="false">$E14</f>
        <v>fer</v>
      </c>
      <c r="AD14" s="16" t="n">
        <f aca="false" t="array" ref="AD14:AD14">IF($I14&gt;=$AI14,"Max",ROUND(Paramètres!$B$40*($I14+1)^Paramètres!$B$41*INDEX(Paramètres!$H$6:$H$12,$AF14),0))</f>
        <v>4</v>
      </c>
      <c r="AE14" s="23" t="n">
        <f aca="false">MATCH($B14&amp;"|"&amp;$C14,Profils!$A$5:$A$34,0)</f>
        <v>1</v>
      </c>
      <c r="AF14" s="23" t="n">
        <v>3</v>
      </c>
      <c r="AG14" s="24" t="n">
        <f aca="false" t="array" ref="AG14:AG14">INDEX(Paramètres!$C$6:$C$12,$AF14)</f>
        <v>1.45</v>
      </c>
      <c r="AH14" s="23" t="n">
        <f aca="false" t="array" ref="AH14:AH14">INDEX(Paramètres!$D$6:$D$12,$AF14)</f>
        <v>4</v>
      </c>
      <c r="AI14" s="23" t="n">
        <f aca="false" t="array" ref="AI14:AI14">INDEX(Matériaux!$C$16:$C$20,$D14)</f>
        <v>20</v>
      </c>
      <c r="AJ14" s="25" t="n">
        <f aca="false">Paramètres!$B$16+(1-Paramètres!$B$16)*(($J14-Paramètres!$B$14)/(Paramètres!$B$15-Paramètres!$B$14))^Paramètres!$B$17</f>
        <v>0.140847925475674</v>
      </c>
    </row>
    <row r="15" customFormat="false" ht="15" hidden="false" customHeight="true" outlineLevel="0" collapsed="false">
      <c r="A15" s="14" t="s">
        <v>123</v>
      </c>
      <c r="B15" s="15" t="s">
        <v>27</v>
      </c>
      <c r="C15" s="15" t="s">
        <v>107</v>
      </c>
      <c r="D15" s="16" t="n">
        <v>2</v>
      </c>
      <c r="E15" s="15" t="str">
        <f aca="false" t="array" ref="E15:E15">INDEX(Matériaux!$B$5:$F$12,MATCH(INDEX(Profils!$E$5:$E$34,$AE15),Matériaux!$A$5:$A$12,0),$D15)</f>
        <v>fer</v>
      </c>
      <c r="F15" s="28" t="s">
        <v>115</v>
      </c>
      <c r="G15" s="10" t="str">
        <f aca="false" t="array" ref="G15:G15">INDEX(Profils!$D$5:$D$34,$AE15)&amp;" en "&amp;$E15</f>
        <v>Casque en fer</v>
      </c>
      <c r="H15" s="16" t="n">
        <f aca="false" t="array" ref="H15:H15">INDEX(Matériaux!$B$16:$B$20,$D15)</f>
        <v>15</v>
      </c>
      <c r="I15" s="16" t="n">
        <f aca="false">IF(ISNUMBER($C$3),MIN(MAX(0,ROUND($C$3,0)),$AI15),$AI15)</f>
        <v>0</v>
      </c>
      <c r="J15" s="18" t="n">
        <f aca="false">$H15+$I15</f>
        <v>15</v>
      </c>
      <c r="K15" s="15" t="s">
        <v>109</v>
      </c>
      <c r="L15" s="19" t="n">
        <f aca="false" t="array" ref="L15:L15">IF(AND(INDEX(Profils!$F$5:$F$34,$AE15)&gt;0,INDEX(Profils!$U$5:$U$34,$AE15)&lt;=$AH15),ROUND(INDEX(Profils!$F$5:$F$34,$AE15)*Paramètres!$E$22*$AG15*$AJ15,Paramètres!$F$22),0)</f>
        <v>10</v>
      </c>
      <c r="M15" s="19" t="n">
        <f aca="false" t="array" ref="M15:M15">IF(AND(INDEX(Profils!$G$5:$G$34,$AE15)&gt;0,INDEX(Profils!$V$5:$V$34,$AE15)&lt;=$AH15),ROUND(INDEX(Profils!$G$5:$G$34,$AE15)*Paramètres!$E$23*$AG15*$AJ15,Paramètres!$F$23),0)</f>
        <v>0</v>
      </c>
      <c r="N15" s="19" t="n">
        <f aca="false" t="array" ref="N15:N15">IF(AND(INDEX(Profils!$H$5:$H$34,$AE15)&gt;0,INDEX(Profils!$W$5:$W$34,$AE15)&lt;=$AH15),ROUND(INDEX(Profils!$H$5:$H$34,$AE15)*Paramètres!$E$24*$AG15*$AJ15,Paramètres!$F$24),0)</f>
        <v>4</v>
      </c>
      <c r="O15" s="19" t="n">
        <f aca="false" t="array" ref="O15:O15">IF(AND(INDEX(Profils!$I$5:$I$34,$AE15)&gt;0,INDEX(Profils!$X$5:$X$34,$AE15)&lt;=$AH15),ROUND(INDEX(Profils!$I$5:$I$34,$AE15)*Paramètres!$E$25*$AG15*$AJ15,Paramètres!$F$25),0)</f>
        <v>0</v>
      </c>
      <c r="P15" s="19" t="n">
        <f aca="false" t="array" ref="P15:P15">IF(AND(INDEX(Profils!$J$5:$J$34,$AE15)&gt;0,INDEX(Profils!$Y$5:$Y$34,$AE15)&lt;=$AH15),ROUND(INDEX(Profils!$J$5:$J$34,$AE15)*Paramètres!$E$26*$AG15*$AJ15,Paramètres!$F$26),0)</f>
        <v>0</v>
      </c>
      <c r="Q15" s="19" t="n">
        <f aca="false" t="array" ref="Q15:Q15">IF(AND(INDEX(Profils!$K$5:$K$34,$AE15)&gt;0,INDEX(Profils!$Z$5:$Z$34,$AE15)&lt;=$AH15),ROUND(INDEX(Profils!$K$5:$K$34,$AE15)*Paramètres!$E$27*$AG15*$AJ15,Paramètres!$F$27),0)</f>
        <v>0</v>
      </c>
      <c r="R15" s="20" t="n">
        <f aca="false" t="array" ref="R15:R15">IF(AND(INDEX(Profils!$L$5:$L$34,$AE15)&gt;0,INDEX(Profils!$AA$5:$AA$34,$AE15)&lt;=$AH15),ROUND(INDEX(Profils!$L$5:$L$34,$AE15)*Paramètres!$E$28*$AG15*$AJ15,Paramètres!$F$28),0)</f>
        <v>0</v>
      </c>
      <c r="S15" s="20" t="n">
        <f aca="false" t="array" ref="S15:S15">IF(AND(INDEX(Profils!$M$5:$M$34,$AE15)&gt;0,INDEX(Profils!$AB$5:$AB$34,$AE15)&lt;=$AH15),ROUND(INDEX(Profils!$M$5:$M$34,$AE15)*Paramètres!$E$29*$AG15*$AJ15,Paramètres!$F$29),0)</f>
        <v>0</v>
      </c>
      <c r="T15" s="20" t="n">
        <f aca="false" t="array" ref="T15:T15">IF(AND(INDEX(Profils!$N$5:$N$34,$AE15)&gt;0,INDEX(Profils!$AC$5:$AC$34,$AE15)&lt;=$AH15),ROUND(INDEX(Profils!$N$5:$N$34,$AE15)*Paramètres!$E$30*$AG15*$AJ15,Paramètres!$F$30),0)</f>
        <v>0</v>
      </c>
      <c r="U15" s="19" t="n">
        <f aca="false" t="array" ref="U15:U15">IF(AND(INDEX(Profils!$O$5:$O$34,$AE15)&gt;0,INDEX(Profils!$AD$5:$AD$34,$AE15)&lt;=$AH15),ROUND(INDEX(Profils!$O$5:$O$34,$AE15)*Paramètres!$E$31*$AG15*$AJ15,Paramètres!$F$31),0)</f>
        <v>6</v>
      </c>
      <c r="V15" s="20" t="n">
        <f aca="false" t="array" ref="V15:V15">IF(AND(INDEX(Profils!$P$5:$P$34,$AE15)&gt;0,INDEX(Profils!$AE$5:$AE$34,$AE15)&lt;=$AH15),ROUND(INDEX(Profils!$P$5:$P$34,$AE15)*Paramètres!$E$32*$AG15*$AJ15,Paramètres!$F$32),0)</f>
        <v>0</v>
      </c>
      <c r="W15" s="20" t="n">
        <f aca="false" t="array" ref="W15:W15">IF(AND(INDEX(Profils!$Q$5:$Q$34,$AE15)&gt;0,INDEX(Profils!$AF$5:$AF$34,$AE15)&lt;=$AH15),ROUND(INDEX(Profils!$Q$5:$Q$34,$AE15)*Paramètres!$E$33*$AG15*$AJ15,Paramètres!$F$33),0)</f>
        <v>0.002</v>
      </c>
      <c r="X15" s="20" t="n">
        <f aca="false" t="array" ref="X15:X15">IF(AND(INDEX(Profils!$R$5:$R$34,$AE15)&gt;0,INDEX(Profils!$AG$5:$AG$34,$AE15)&lt;=$AH15),ROUND(INDEX(Profils!$R$5:$R$34,$AE15)*Paramètres!$E$34*$AG15*$AJ15,Paramètres!$F$34),0)</f>
        <v>0</v>
      </c>
      <c r="Y15" s="20" t="n">
        <f aca="false" t="array" ref="Y15:Y15">IF(AND(INDEX(Profils!$S$5:$S$34,$AE15)&gt;0,INDEX(Profils!$AH$5:$AH$34,$AE15)&lt;=$AH15),ROUND(INDEX(Profils!$S$5:$S$34,$AE15)*Paramètres!$E$35*$AG15*$AJ15,Paramètres!$F$35),0)</f>
        <v>0.004</v>
      </c>
      <c r="Z15" s="21" t="n">
        <f aca="false">ROUND(L15/Paramètres!$E$22+M15/Paramètres!$E$23+N15/Paramètres!$E$24+O15/Paramètres!$E$25+P15/Paramètres!$E$26+Q15/Paramètres!$E$27+R15/Paramètres!$E$28+S15/Paramètres!$E$29+T15/Paramètres!$E$30+U15/Paramètres!$E$31+V15/Paramètres!$E$32+W15/Paramètres!$E$33+X15/Paramètres!$E$34+Y15/Paramètres!$E$35,1)</f>
        <v>1.4</v>
      </c>
      <c r="AA15" s="22" t="s">
        <v>109</v>
      </c>
      <c r="AB15" s="22" t="s">
        <v>109</v>
      </c>
      <c r="AC15" s="15" t="str">
        <f aca="false">$E15</f>
        <v>fer</v>
      </c>
      <c r="AD15" s="16" t="n">
        <f aca="false" t="array" ref="AD15:AD15">IF($I15&gt;=$AI15,"Max",ROUND(Paramètres!$B$40*($I15+1)^Paramètres!$B$41*INDEX(Paramètres!$H$6:$H$12,$AF15),0))</f>
        <v>5</v>
      </c>
      <c r="AE15" s="23" t="n">
        <f aca="false">MATCH($B15&amp;"|"&amp;$C15,Profils!$A$5:$A$34,0)</f>
        <v>1</v>
      </c>
      <c r="AF15" s="23" t="n">
        <v>4</v>
      </c>
      <c r="AG15" s="24" t="n">
        <f aca="false" t="array" ref="AG15:AG15">INDEX(Paramètres!$C$6:$C$12,$AF15)</f>
        <v>1.75</v>
      </c>
      <c r="AH15" s="23" t="n">
        <f aca="false" t="array" ref="AH15:AH15">INDEX(Paramètres!$D$6:$D$12,$AF15)</f>
        <v>5</v>
      </c>
      <c r="AI15" s="23" t="n">
        <f aca="false" t="array" ref="AI15:AI15">INDEX(Matériaux!$C$16:$C$20,$D15)</f>
        <v>20</v>
      </c>
      <c r="AJ15" s="25" t="n">
        <f aca="false">Paramètres!$B$16+(1-Paramètres!$B$16)*(($J15-Paramètres!$B$14)/(Paramètres!$B$15-Paramètres!$B$14))^Paramètres!$B$17</f>
        <v>0.140847925475674</v>
      </c>
    </row>
    <row r="16" customFormat="false" ht="15" hidden="false" customHeight="true" outlineLevel="0" collapsed="false">
      <c r="A16" s="14" t="s">
        <v>124</v>
      </c>
      <c r="B16" s="15" t="s">
        <v>27</v>
      </c>
      <c r="C16" s="15" t="s">
        <v>107</v>
      </c>
      <c r="D16" s="16" t="n">
        <v>2</v>
      </c>
      <c r="E16" s="15" t="str">
        <f aca="false" t="array" ref="E16:E16">INDEX(Matériaux!$B$5:$F$12,MATCH(INDEX(Profils!$E$5:$E$34,$AE16),Matériaux!$A$5:$A$12,0),$D16)</f>
        <v>fer</v>
      </c>
      <c r="F16" s="29" t="s">
        <v>117</v>
      </c>
      <c r="G16" s="10" t="str">
        <f aca="false" t="array" ref="G16:G16">INDEX(Profils!$D$5:$D$34,$AE16)&amp;" en "&amp;$E16</f>
        <v>Casque en fer</v>
      </c>
      <c r="H16" s="16" t="n">
        <f aca="false" t="array" ref="H16:H16">INDEX(Matériaux!$B$16:$B$20,$D16)</f>
        <v>15</v>
      </c>
      <c r="I16" s="16" t="n">
        <f aca="false">IF(ISNUMBER($C$3),MIN(MAX(0,ROUND($C$3,0)),$AI16),$AI16)</f>
        <v>0</v>
      </c>
      <c r="J16" s="18" t="n">
        <f aca="false">$H16+$I16</f>
        <v>15</v>
      </c>
      <c r="K16" s="15" t="s">
        <v>109</v>
      </c>
      <c r="L16" s="19" t="n">
        <f aca="false" t="array" ref="L16:L16">IF(AND(INDEX(Profils!$F$5:$F$34,$AE16)&gt;0,INDEX(Profils!$U$5:$U$34,$AE16)&lt;=$AH16),ROUND(INDEX(Profils!$F$5:$F$34,$AE16)*Paramètres!$E$22*$AG16*$AJ16,Paramètres!$F$22),0)</f>
        <v>12</v>
      </c>
      <c r="M16" s="19" t="n">
        <f aca="false" t="array" ref="M16:M16">IF(AND(INDEX(Profils!$G$5:$G$34,$AE16)&gt;0,INDEX(Profils!$V$5:$V$34,$AE16)&lt;=$AH16),ROUND(INDEX(Profils!$G$5:$G$34,$AE16)*Paramètres!$E$23*$AG16*$AJ16,Paramètres!$F$23),0)</f>
        <v>2</v>
      </c>
      <c r="N16" s="19" t="n">
        <f aca="false" t="array" ref="N16:N16">IF(AND(INDEX(Profils!$H$5:$H$34,$AE16)&gt;0,INDEX(Profils!$W$5:$W$34,$AE16)&lt;=$AH16),ROUND(INDEX(Profils!$H$5:$H$34,$AE16)*Paramètres!$E$24*$AG16*$AJ16,Paramètres!$F$24),0)</f>
        <v>5</v>
      </c>
      <c r="O16" s="19" t="n">
        <f aca="false" t="array" ref="O16:O16">IF(AND(INDEX(Profils!$I$5:$I$34,$AE16)&gt;0,INDEX(Profils!$X$5:$X$34,$AE16)&lt;=$AH16),ROUND(INDEX(Profils!$I$5:$I$34,$AE16)*Paramètres!$E$25*$AG16*$AJ16,Paramètres!$F$25),0)</f>
        <v>0</v>
      </c>
      <c r="P16" s="19" t="n">
        <f aca="false" t="array" ref="P16:P16">IF(AND(INDEX(Profils!$J$5:$J$34,$AE16)&gt;0,INDEX(Profils!$Y$5:$Y$34,$AE16)&lt;=$AH16),ROUND(INDEX(Profils!$J$5:$J$34,$AE16)*Paramètres!$E$26*$AG16*$AJ16,Paramètres!$F$26),0)</f>
        <v>0</v>
      </c>
      <c r="Q16" s="19" t="n">
        <f aca="false" t="array" ref="Q16:Q16">IF(AND(INDEX(Profils!$K$5:$K$34,$AE16)&gt;0,INDEX(Profils!$Z$5:$Z$34,$AE16)&lt;=$AH16),ROUND(INDEX(Profils!$K$5:$K$34,$AE16)*Paramètres!$E$27*$AG16*$AJ16,Paramètres!$F$27),0)</f>
        <v>0</v>
      </c>
      <c r="R16" s="20" t="n">
        <f aca="false" t="array" ref="R16:R16">IF(AND(INDEX(Profils!$L$5:$L$34,$AE16)&gt;0,INDEX(Profils!$AA$5:$AA$34,$AE16)&lt;=$AH16),ROUND(INDEX(Profils!$L$5:$L$34,$AE16)*Paramètres!$E$28*$AG16*$AJ16,Paramètres!$F$28),0)</f>
        <v>0</v>
      </c>
      <c r="S16" s="20" t="n">
        <f aca="false" t="array" ref="S16:S16">IF(AND(INDEX(Profils!$M$5:$M$34,$AE16)&gt;0,INDEX(Profils!$AB$5:$AB$34,$AE16)&lt;=$AH16),ROUND(INDEX(Profils!$M$5:$M$34,$AE16)*Paramètres!$E$29*$AG16*$AJ16,Paramètres!$F$29),0)</f>
        <v>0</v>
      </c>
      <c r="T16" s="20" t="n">
        <f aca="false" t="array" ref="T16:T16">IF(AND(INDEX(Profils!$N$5:$N$34,$AE16)&gt;0,INDEX(Profils!$AC$5:$AC$34,$AE16)&lt;=$AH16),ROUND(INDEX(Profils!$N$5:$N$34,$AE16)*Paramètres!$E$30*$AG16*$AJ16,Paramètres!$F$30),0)</f>
        <v>0</v>
      </c>
      <c r="U16" s="19" t="n">
        <f aca="false" t="array" ref="U16:U16">IF(AND(INDEX(Profils!$O$5:$O$34,$AE16)&gt;0,INDEX(Profils!$AD$5:$AD$34,$AE16)&lt;=$AH16),ROUND(INDEX(Profils!$O$5:$O$34,$AE16)*Paramètres!$E$31*$AG16*$AJ16,Paramètres!$F$31),0)</f>
        <v>7</v>
      </c>
      <c r="V16" s="20" t="n">
        <f aca="false" t="array" ref="V16:V16">IF(AND(INDEX(Profils!$P$5:$P$34,$AE16)&gt;0,INDEX(Profils!$AE$5:$AE$34,$AE16)&lt;=$AH16),ROUND(INDEX(Profils!$P$5:$P$34,$AE16)*Paramètres!$E$32*$AG16*$AJ16,Paramètres!$F$32),0)</f>
        <v>0</v>
      </c>
      <c r="W16" s="20" t="n">
        <f aca="false" t="array" ref="W16:W16">IF(AND(INDEX(Profils!$Q$5:$Q$34,$AE16)&gt;0,INDEX(Profils!$AF$5:$AF$34,$AE16)&lt;=$AH16),ROUND(INDEX(Profils!$Q$5:$Q$34,$AE16)*Paramètres!$E$33*$AG16*$AJ16,Paramètres!$F$33),0)</f>
        <v>0.003</v>
      </c>
      <c r="X16" s="20" t="n">
        <f aca="false" t="array" ref="X16:X16">IF(AND(INDEX(Profils!$R$5:$R$34,$AE16)&gt;0,INDEX(Profils!$AG$5:$AG$34,$AE16)&lt;=$AH16),ROUND(INDEX(Profils!$R$5:$R$34,$AE16)*Paramètres!$E$34*$AG16*$AJ16,Paramètres!$F$34),0)</f>
        <v>0</v>
      </c>
      <c r="Y16" s="20" t="n">
        <f aca="false" t="array" ref="Y16:Y16">IF(AND(INDEX(Profils!$S$5:$S$34,$AE16)&gt;0,INDEX(Profils!$AH$5:$AH$34,$AE16)&lt;=$AH16),ROUND(INDEX(Profils!$S$5:$S$34,$AE16)*Paramètres!$E$35*$AG16*$AJ16,Paramètres!$F$35),0)</f>
        <v>0.004</v>
      </c>
      <c r="Z16" s="21" t="n">
        <f aca="false">ROUND(L16/Paramètres!$E$22+M16/Paramètres!$E$23+N16/Paramètres!$E$24+O16/Paramètres!$E$25+P16/Paramètres!$E$26+Q16/Paramètres!$E$27+R16/Paramètres!$E$28+S16/Paramètres!$E$29+T16/Paramètres!$E$30+U16/Paramètres!$E$31+V16/Paramètres!$E$32+W16/Paramètres!$E$33+X16/Paramètres!$E$34+Y16/Paramètres!$E$35,1)</f>
        <v>1.8</v>
      </c>
      <c r="AA16" s="22" t="s">
        <v>109</v>
      </c>
      <c r="AB16" s="22" t="s">
        <v>109</v>
      </c>
      <c r="AC16" s="15" t="str">
        <f aca="false">$E16</f>
        <v>fer</v>
      </c>
      <c r="AD16" s="16" t="n">
        <f aca="false" t="array" ref="AD16:AD16">IF($I16&gt;=$AI16,"Max",ROUND(Paramètres!$B$40*($I16+1)^Paramètres!$B$41*INDEX(Paramètres!$H$6:$H$12,$AF16),0))</f>
        <v>6</v>
      </c>
      <c r="AE16" s="23" t="n">
        <f aca="false">MATCH($B16&amp;"|"&amp;$C16,Profils!$A$5:$A$34,0)</f>
        <v>1</v>
      </c>
      <c r="AF16" s="23" t="n">
        <v>5</v>
      </c>
      <c r="AG16" s="24" t="n">
        <f aca="false" t="array" ref="AG16:AG16">INDEX(Paramètres!$C$6:$C$12,$AF16)</f>
        <v>2.1</v>
      </c>
      <c r="AH16" s="23" t="n">
        <f aca="false" t="array" ref="AH16:AH16">INDEX(Paramètres!$D$6:$D$12,$AF16)</f>
        <v>6</v>
      </c>
      <c r="AI16" s="23" t="n">
        <f aca="false" t="array" ref="AI16:AI16">INDEX(Matériaux!$C$16:$C$20,$D16)</f>
        <v>20</v>
      </c>
      <c r="AJ16" s="25" t="n">
        <f aca="false">Paramètres!$B$16+(1-Paramètres!$B$16)*(($J16-Paramètres!$B$14)/(Paramètres!$B$15-Paramètres!$B$14))^Paramètres!$B$17</f>
        <v>0.140847925475674</v>
      </c>
    </row>
    <row r="17" customFormat="false" ht="15" hidden="false" customHeight="true" outlineLevel="0" collapsed="false">
      <c r="A17" s="14" t="s">
        <v>125</v>
      </c>
      <c r="B17" s="15" t="s">
        <v>27</v>
      </c>
      <c r="C17" s="15" t="s">
        <v>107</v>
      </c>
      <c r="D17" s="16" t="n">
        <v>2</v>
      </c>
      <c r="E17" s="15" t="str">
        <f aca="false" t="array" ref="E17:E17">INDEX(Matériaux!$B$5:$F$12,MATCH(INDEX(Profils!$E$5:$E$34,$AE17),Matériaux!$A$5:$A$12,0),$D17)</f>
        <v>fer</v>
      </c>
      <c r="F17" s="30" t="s">
        <v>119</v>
      </c>
      <c r="G17" s="10" t="str">
        <f aca="false" t="array" ref="G17:G17">INDEX(Profils!$D$5:$D$34,$AE17)&amp;" en "&amp;$E17</f>
        <v>Casque en fer</v>
      </c>
      <c r="H17" s="16" t="n">
        <f aca="false" t="array" ref="H17:H17">INDEX(Matériaux!$B$16:$B$20,$D17)</f>
        <v>15</v>
      </c>
      <c r="I17" s="16" t="n">
        <f aca="false">IF(ISNUMBER($C$3),MIN(MAX(0,ROUND($C$3,0)),$AI17),$AI17)</f>
        <v>0</v>
      </c>
      <c r="J17" s="18" t="n">
        <f aca="false">$H17+$I17</f>
        <v>15</v>
      </c>
      <c r="K17" s="15" t="s">
        <v>109</v>
      </c>
      <c r="L17" s="19" t="n">
        <f aca="false" t="array" ref="L17:L17">IF(AND(INDEX(Profils!$F$5:$F$34,$AE17)&gt;0,INDEX(Profils!$U$5:$U$34,$AE17)&lt;=$AH17),ROUND(INDEX(Profils!$F$5:$F$34,$AE17)*Paramètres!$E$22*$AG17*$AJ17,Paramètres!$F$22),0)</f>
        <v>14</v>
      </c>
      <c r="M17" s="19" t="n">
        <f aca="false" t="array" ref="M17:M17">IF(AND(INDEX(Profils!$G$5:$G$34,$AE17)&gt;0,INDEX(Profils!$V$5:$V$34,$AE17)&lt;=$AH17),ROUND(INDEX(Profils!$G$5:$G$34,$AE17)*Paramètres!$E$23*$AG17*$AJ17,Paramètres!$F$23),0)</f>
        <v>3</v>
      </c>
      <c r="N17" s="19" t="n">
        <f aca="false" t="array" ref="N17:N17">IF(AND(INDEX(Profils!$H$5:$H$34,$AE17)&gt;0,INDEX(Profils!$W$5:$W$34,$AE17)&lt;=$AH17),ROUND(INDEX(Profils!$H$5:$H$34,$AE17)*Paramètres!$E$24*$AG17*$AJ17,Paramètres!$F$24),0)</f>
        <v>6</v>
      </c>
      <c r="O17" s="19" t="n">
        <f aca="false" t="array" ref="O17:O17">IF(AND(INDEX(Profils!$I$5:$I$34,$AE17)&gt;0,INDEX(Profils!$X$5:$X$34,$AE17)&lt;=$AH17),ROUND(INDEX(Profils!$I$5:$I$34,$AE17)*Paramètres!$E$25*$AG17*$AJ17,Paramètres!$F$25),0)</f>
        <v>0</v>
      </c>
      <c r="P17" s="19" t="n">
        <f aca="false" t="array" ref="P17:P17">IF(AND(INDEX(Profils!$J$5:$J$34,$AE17)&gt;0,INDEX(Profils!$Y$5:$Y$34,$AE17)&lt;=$AH17),ROUND(INDEX(Profils!$J$5:$J$34,$AE17)*Paramètres!$E$26*$AG17*$AJ17,Paramètres!$F$26),0)</f>
        <v>0</v>
      </c>
      <c r="Q17" s="19" t="n">
        <f aca="false" t="array" ref="Q17:Q17">IF(AND(INDEX(Profils!$K$5:$K$34,$AE17)&gt;0,INDEX(Profils!$Z$5:$Z$34,$AE17)&lt;=$AH17),ROUND(INDEX(Profils!$K$5:$K$34,$AE17)*Paramètres!$E$27*$AG17*$AJ17,Paramètres!$F$27),0)</f>
        <v>0</v>
      </c>
      <c r="R17" s="20" t="n">
        <f aca="false" t="array" ref="R17:R17">IF(AND(INDEX(Profils!$L$5:$L$34,$AE17)&gt;0,INDEX(Profils!$AA$5:$AA$34,$AE17)&lt;=$AH17),ROUND(INDEX(Profils!$L$5:$L$34,$AE17)*Paramètres!$E$28*$AG17*$AJ17,Paramètres!$F$28),0)</f>
        <v>0.002</v>
      </c>
      <c r="S17" s="20" t="n">
        <f aca="false" t="array" ref="S17:S17">IF(AND(INDEX(Profils!$M$5:$M$34,$AE17)&gt;0,INDEX(Profils!$AB$5:$AB$34,$AE17)&lt;=$AH17),ROUND(INDEX(Profils!$M$5:$M$34,$AE17)*Paramètres!$E$29*$AG17*$AJ17,Paramètres!$F$29),0)</f>
        <v>0</v>
      </c>
      <c r="T17" s="20" t="n">
        <f aca="false" t="array" ref="T17:T17">IF(AND(INDEX(Profils!$N$5:$N$34,$AE17)&gt;0,INDEX(Profils!$AC$5:$AC$34,$AE17)&lt;=$AH17),ROUND(INDEX(Profils!$N$5:$N$34,$AE17)*Paramètres!$E$30*$AG17*$AJ17,Paramètres!$F$30),0)</f>
        <v>0</v>
      </c>
      <c r="U17" s="19" t="n">
        <f aca="false" t="array" ref="U17:U17">IF(AND(INDEX(Profils!$O$5:$O$34,$AE17)&gt;0,INDEX(Profils!$AD$5:$AD$34,$AE17)&lt;=$AH17),ROUND(INDEX(Profils!$O$5:$O$34,$AE17)*Paramètres!$E$31*$AG17*$AJ17,Paramètres!$F$31),0)</f>
        <v>8</v>
      </c>
      <c r="V17" s="20" t="n">
        <f aca="false" t="array" ref="V17:V17">IF(AND(INDEX(Profils!$P$5:$P$34,$AE17)&gt;0,INDEX(Profils!$AE$5:$AE$34,$AE17)&lt;=$AH17),ROUND(INDEX(Profils!$P$5:$P$34,$AE17)*Paramètres!$E$32*$AG17*$AJ17,Paramètres!$F$32),0)</f>
        <v>0</v>
      </c>
      <c r="W17" s="20" t="n">
        <f aca="false" t="array" ref="W17:W17">IF(AND(INDEX(Profils!$Q$5:$Q$34,$AE17)&gt;0,INDEX(Profils!$AF$5:$AF$34,$AE17)&lt;=$AH17),ROUND(INDEX(Profils!$Q$5:$Q$34,$AE17)*Paramètres!$E$33*$AG17*$AJ17,Paramètres!$F$33),0)</f>
        <v>0.003</v>
      </c>
      <c r="X17" s="20" t="n">
        <f aca="false" t="array" ref="X17:X17">IF(AND(INDEX(Profils!$R$5:$R$34,$AE17)&gt;0,INDEX(Profils!$AG$5:$AG$34,$AE17)&lt;=$AH17),ROUND(INDEX(Profils!$R$5:$R$34,$AE17)*Paramètres!$E$34*$AG17*$AJ17,Paramètres!$F$34),0)</f>
        <v>0</v>
      </c>
      <c r="Y17" s="20" t="n">
        <f aca="false" t="array" ref="Y17:Y17">IF(AND(INDEX(Profils!$S$5:$S$34,$AE17)&gt;0,INDEX(Profils!$AH$5:$AH$34,$AE17)&lt;=$AH17),ROUND(INDEX(Profils!$S$5:$S$34,$AE17)*Paramètres!$E$35*$AG17*$AJ17,Paramètres!$F$35),0)</f>
        <v>0.005</v>
      </c>
      <c r="Z17" s="21" t="n">
        <f aca="false">ROUND(L17/Paramètres!$E$22+M17/Paramètres!$E$23+N17/Paramètres!$E$24+O17/Paramètres!$E$25+P17/Paramètres!$E$26+Q17/Paramètres!$E$27+R17/Paramètres!$E$28+S17/Paramètres!$E$29+T17/Paramètres!$E$30+U17/Paramètres!$E$31+V17/Paramètres!$E$32+W17/Paramètres!$E$33+X17/Paramètres!$E$34+Y17/Paramètres!$E$35,1)</f>
        <v>2.2</v>
      </c>
      <c r="AA17" s="22" t="s">
        <v>109</v>
      </c>
      <c r="AB17" s="22" t="s">
        <v>109</v>
      </c>
      <c r="AC17" s="15" t="str">
        <f aca="false">$E17</f>
        <v>fer</v>
      </c>
      <c r="AD17" s="16" t="n">
        <f aca="false" t="array" ref="AD17:AD17">IF($I17&gt;=$AI17,"Max",ROUND(Paramètres!$B$40*($I17+1)^Paramètres!$B$41*INDEX(Paramètres!$H$6:$H$12,$AF17),0))</f>
        <v>8</v>
      </c>
      <c r="AE17" s="23" t="n">
        <f aca="false">MATCH($B17&amp;"|"&amp;$C17,Profils!$A$5:$A$34,0)</f>
        <v>1</v>
      </c>
      <c r="AF17" s="23" t="n">
        <v>6</v>
      </c>
      <c r="AG17" s="24" t="n">
        <f aca="false" t="array" ref="AG17:AG17">INDEX(Paramètres!$C$6:$C$12,$AF17)</f>
        <v>2.4</v>
      </c>
      <c r="AH17" s="23" t="n">
        <f aca="false" t="array" ref="AH17:AH17">INDEX(Paramètres!$D$6:$D$12,$AF17)</f>
        <v>7</v>
      </c>
      <c r="AI17" s="23" t="n">
        <f aca="false" t="array" ref="AI17:AI17">INDEX(Matériaux!$C$16:$C$20,$D17)</f>
        <v>20</v>
      </c>
      <c r="AJ17" s="25" t="n">
        <f aca="false">Paramètres!$B$16+(1-Paramètres!$B$16)*(($J17-Paramètres!$B$14)/(Paramètres!$B$15-Paramètres!$B$14))^Paramètres!$B$17</f>
        <v>0.140847925475674</v>
      </c>
    </row>
    <row r="18" customFormat="false" ht="15" hidden="false" customHeight="true" outlineLevel="0" collapsed="false">
      <c r="A18" s="14" t="s">
        <v>126</v>
      </c>
      <c r="B18" s="15" t="s">
        <v>27</v>
      </c>
      <c r="C18" s="15" t="s">
        <v>107</v>
      </c>
      <c r="D18" s="16" t="n">
        <v>3</v>
      </c>
      <c r="E18" s="15" t="str">
        <f aca="false" t="array" ref="E18:E18">INDEX(Matériaux!$B$5:$F$12,MATCH(INDEX(Profils!$E$5:$E$34,$AE18),Matériaux!$A$5:$A$12,0),$D18)</f>
        <v>acier</v>
      </c>
      <c r="F18" s="17" t="s">
        <v>108</v>
      </c>
      <c r="G18" s="10" t="str">
        <f aca="false" t="array" ref="G18:G18">INDEX(Profils!$D$5:$D$34,$AE18)&amp;" en "&amp;$E18</f>
        <v>Casque en acier</v>
      </c>
      <c r="H18" s="16" t="n">
        <f aca="false" t="array" ref="H18:H18">INDEX(Matériaux!$B$16:$B$20,$D18)</f>
        <v>30</v>
      </c>
      <c r="I18" s="16" t="n">
        <f aca="false">IF(ISNUMBER($C$3),MIN(MAX(0,ROUND($C$3,0)),$AI18),$AI18)</f>
        <v>0</v>
      </c>
      <c r="J18" s="18" t="n">
        <f aca="false">$H18+$I18</f>
        <v>30</v>
      </c>
      <c r="K18" s="15" t="s">
        <v>109</v>
      </c>
      <c r="L18" s="19" t="n">
        <f aca="false" t="array" ref="L18:L18">IF(AND(INDEX(Profils!$F$5:$F$34,$AE18)&gt;0,INDEX(Profils!$U$5:$U$34,$AE18)&lt;=$AH18),ROUND(INDEX(Profils!$F$5:$F$34,$AE18)*Paramètres!$E$22*$AG18*$AJ18,Paramètres!$F$22),0)</f>
        <v>11</v>
      </c>
      <c r="M18" s="19" t="n">
        <f aca="false" t="array" ref="M18:M18">IF(AND(INDEX(Profils!$G$5:$G$34,$AE18)&gt;0,INDEX(Profils!$V$5:$V$34,$AE18)&lt;=$AH18),ROUND(INDEX(Profils!$G$5:$G$34,$AE18)*Paramètres!$E$23*$AG18*$AJ18,Paramètres!$F$23),0)</f>
        <v>0</v>
      </c>
      <c r="N18" s="19" t="n">
        <f aca="false" t="array" ref="N18:N18">IF(AND(INDEX(Profils!$H$5:$H$34,$AE18)&gt;0,INDEX(Profils!$W$5:$W$34,$AE18)&lt;=$AH18),ROUND(INDEX(Profils!$H$5:$H$34,$AE18)*Paramètres!$E$24*$AG18*$AJ18,Paramètres!$F$24),0)</f>
        <v>5</v>
      </c>
      <c r="O18" s="19" t="n">
        <f aca="false" t="array" ref="O18:O18">IF(AND(INDEX(Profils!$I$5:$I$34,$AE18)&gt;0,INDEX(Profils!$X$5:$X$34,$AE18)&lt;=$AH18),ROUND(INDEX(Profils!$I$5:$I$34,$AE18)*Paramètres!$E$25*$AG18*$AJ18,Paramètres!$F$25),0)</f>
        <v>0</v>
      </c>
      <c r="P18" s="19" t="n">
        <f aca="false" t="array" ref="P18:P18">IF(AND(INDEX(Profils!$J$5:$J$34,$AE18)&gt;0,INDEX(Profils!$Y$5:$Y$34,$AE18)&lt;=$AH18),ROUND(INDEX(Profils!$J$5:$J$34,$AE18)*Paramètres!$E$26*$AG18*$AJ18,Paramètres!$F$26),0)</f>
        <v>0</v>
      </c>
      <c r="Q18" s="19" t="n">
        <f aca="false" t="array" ref="Q18:Q18">IF(AND(INDEX(Profils!$K$5:$K$34,$AE18)&gt;0,INDEX(Profils!$Z$5:$Z$34,$AE18)&lt;=$AH18),ROUND(INDEX(Profils!$K$5:$K$34,$AE18)*Paramètres!$E$27*$AG18*$AJ18,Paramètres!$F$27),0)</f>
        <v>0</v>
      </c>
      <c r="R18" s="20" t="n">
        <f aca="false" t="array" ref="R18:R18">IF(AND(INDEX(Profils!$L$5:$L$34,$AE18)&gt;0,INDEX(Profils!$AA$5:$AA$34,$AE18)&lt;=$AH18),ROUND(INDEX(Profils!$L$5:$L$34,$AE18)*Paramètres!$E$28*$AG18*$AJ18,Paramètres!$F$28),0)</f>
        <v>0</v>
      </c>
      <c r="S18" s="20" t="n">
        <f aca="false" t="array" ref="S18:S18">IF(AND(INDEX(Profils!$M$5:$M$34,$AE18)&gt;0,INDEX(Profils!$AB$5:$AB$34,$AE18)&lt;=$AH18),ROUND(INDEX(Profils!$M$5:$M$34,$AE18)*Paramètres!$E$29*$AG18*$AJ18,Paramètres!$F$29),0)</f>
        <v>0</v>
      </c>
      <c r="T18" s="20" t="n">
        <f aca="false" t="array" ref="T18:T18">IF(AND(INDEX(Profils!$N$5:$N$34,$AE18)&gt;0,INDEX(Profils!$AC$5:$AC$34,$AE18)&lt;=$AH18),ROUND(INDEX(Profils!$N$5:$N$34,$AE18)*Paramètres!$E$30*$AG18*$AJ18,Paramètres!$F$30),0)</f>
        <v>0</v>
      </c>
      <c r="U18" s="19" t="n">
        <f aca="false" t="array" ref="U18:U18">IF(AND(INDEX(Profils!$O$5:$O$34,$AE18)&gt;0,INDEX(Profils!$AD$5:$AD$34,$AE18)&lt;=$AH18),ROUND(INDEX(Profils!$O$5:$O$34,$AE18)*Paramètres!$E$31*$AG18*$AJ18,Paramètres!$F$31),0)</f>
        <v>0</v>
      </c>
      <c r="V18" s="20" t="n">
        <f aca="false" t="array" ref="V18:V18">IF(AND(INDEX(Profils!$P$5:$P$34,$AE18)&gt;0,INDEX(Profils!$AE$5:$AE$34,$AE18)&lt;=$AH18),ROUND(INDEX(Profils!$P$5:$P$34,$AE18)*Paramètres!$E$32*$AG18*$AJ18,Paramètres!$F$32),0)</f>
        <v>0</v>
      </c>
      <c r="W18" s="20" t="n">
        <f aca="false" t="array" ref="W18:W18">IF(AND(INDEX(Profils!$Q$5:$Q$34,$AE18)&gt;0,INDEX(Profils!$AF$5:$AF$34,$AE18)&lt;=$AH18),ROUND(INDEX(Profils!$Q$5:$Q$34,$AE18)*Paramètres!$E$33*$AG18*$AJ18,Paramètres!$F$33),0)</f>
        <v>0</v>
      </c>
      <c r="X18" s="20" t="n">
        <f aca="false" t="array" ref="X18:X18">IF(AND(INDEX(Profils!$R$5:$R$34,$AE18)&gt;0,INDEX(Profils!$AG$5:$AG$34,$AE18)&lt;=$AH18),ROUND(INDEX(Profils!$R$5:$R$34,$AE18)*Paramètres!$E$34*$AG18*$AJ18,Paramètres!$F$34),0)</f>
        <v>0</v>
      </c>
      <c r="Y18" s="20" t="n">
        <f aca="false" t="array" ref="Y18:Y18">IF(AND(INDEX(Profils!$S$5:$S$34,$AE18)&gt;0,INDEX(Profils!$AH$5:$AH$34,$AE18)&lt;=$AH18),ROUND(INDEX(Profils!$S$5:$S$34,$AE18)*Paramètres!$E$35*$AG18*$AJ18,Paramètres!$F$35),0)</f>
        <v>0</v>
      </c>
      <c r="Z18" s="21" t="n">
        <f aca="false">ROUND(L18/Paramètres!$E$22+M18/Paramètres!$E$23+N18/Paramètres!$E$24+O18/Paramètres!$E$25+P18/Paramètres!$E$26+Q18/Paramètres!$E$27+R18/Paramètres!$E$28+S18/Paramètres!$E$29+T18/Paramètres!$E$30+U18/Paramètres!$E$31+V18/Paramètres!$E$32+W18/Paramètres!$E$33+X18/Paramètres!$E$34+Y18/Paramètres!$E$35,1)</f>
        <v>0.8</v>
      </c>
      <c r="AA18" s="22" t="s">
        <v>109</v>
      </c>
      <c r="AB18" s="22" t="s">
        <v>109</v>
      </c>
      <c r="AC18" s="15" t="str">
        <f aca="false">$E18</f>
        <v>acier</v>
      </c>
      <c r="AD18" s="16" t="n">
        <f aca="false" t="array" ref="AD18:AD18">IF($I18&gt;=$AI18,"Max",ROUND(Paramètres!$B$40*($I18+1)^Paramètres!$B$41*INDEX(Paramètres!$H$6:$H$12,$AF18),0))</f>
        <v>3</v>
      </c>
      <c r="AE18" s="23" t="n">
        <f aca="false">MATCH($B18&amp;"|"&amp;$C18,Profils!$A$5:$A$34,0)</f>
        <v>1</v>
      </c>
      <c r="AF18" s="23" t="n">
        <v>1</v>
      </c>
      <c r="AG18" s="24" t="n">
        <f aca="false" t="array" ref="AG18:AG18">INDEX(Paramètres!$C$6:$C$12,$AF18)</f>
        <v>1</v>
      </c>
      <c r="AH18" s="23" t="n">
        <f aca="false" t="array" ref="AH18:AH18">INDEX(Paramètres!$D$6:$D$12,$AF18)</f>
        <v>2</v>
      </c>
      <c r="AI18" s="23" t="n">
        <f aca="false" t="array" ref="AI18:AI18">INDEX(Matériaux!$C$16:$C$20,$D18)</f>
        <v>25</v>
      </c>
      <c r="AJ18" s="25" t="n">
        <f aca="false">Paramètres!$B$16+(1-Paramètres!$B$16)*(($J18-Paramètres!$B$14)/(Paramètres!$B$15-Paramètres!$B$14))^Paramètres!$B$17</f>
        <v>0.26769024555533</v>
      </c>
    </row>
    <row r="19" customFormat="false" ht="15" hidden="false" customHeight="true" outlineLevel="0" collapsed="false">
      <c r="A19" s="14" t="s">
        <v>127</v>
      </c>
      <c r="B19" s="15" t="s">
        <v>27</v>
      </c>
      <c r="C19" s="15" t="s">
        <v>107</v>
      </c>
      <c r="D19" s="16" t="n">
        <v>3</v>
      </c>
      <c r="E19" s="15" t="str">
        <f aca="false" t="array" ref="E19:E19">INDEX(Matériaux!$B$5:$F$12,MATCH(INDEX(Profils!$E$5:$E$34,$AE19),Matériaux!$A$5:$A$12,0),$D19)</f>
        <v>acier</v>
      </c>
      <c r="F19" s="26" t="s">
        <v>111</v>
      </c>
      <c r="G19" s="10" t="str">
        <f aca="false" t="array" ref="G19:G19">INDEX(Profils!$D$5:$D$34,$AE19)&amp;" en "&amp;$E19</f>
        <v>Casque en acier</v>
      </c>
      <c r="H19" s="16" t="n">
        <f aca="false" t="array" ref="H19:H19">INDEX(Matériaux!$B$16:$B$20,$D19)</f>
        <v>30</v>
      </c>
      <c r="I19" s="16" t="n">
        <f aca="false">IF(ISNUMBER($C$3),MIN(MAX(0,ROUND($C$3,0)),$AI19),$AI19)</f>
        <v>0</v>
      </c>
      <c r="J19" s="18" t="n">
        <f aca="false">$H19+$I19</f>
        <v>30</v>
      </c>
      <c r="K19" s="15" t="s">
        <v>109</v>
      </c>
      <c r="L19" s="19" t="n">
        <f aca="false" t="array" ref="L19:L19">IF(AND(INDEX(Profils!$F$5:$F$34,$AE19)&gt;0,INDEX(Profils!$U$5:$U$34,$AE19)&lt;=$AH19),ROUND(INDEX(Profils!$F$5:$F$34,$AE19)*Paramètres!$E$22*$AG19*$AJ19,Paramètres!$F$22),0)</f>
        <v>13</v>
      </c>
      <c r="M19" s="19" t="n">
        <f aca="false" t="array" ref="M19:M19">IF(AND(INDEX(Profils!$G$5:$G$34,$AE19)&gt;0,INDEX(Profils!$V$5:$V$34,$AE19)&lt;=$AH19),ROUND(INDEX(Profils!$G$5:$G$34,$AE19)*Paramètres!$E$23*$AG19*$AJ19,Paramètres!$F$23),0)</f>
        <v>0</v>
      </c>
      <c r="N19" s="19" t="n">
        <f aca="false" t="array" ref="N19:N19">IF(AND(INDEX(Profils!$H$5:$H$34,$AE19)&gt;0,INDEX(Profils!$W$5:$W$34,$AE19)&lt;=$AH19),ROUND(INDEX(Profils!$H$5:$H$34,$AE19)*Paramètres!$E$24*$AG19*$AJ19,Paramètres!$F$24),0)</f>
        <v>6</v>
      </c>
      <c r="O19" s="19" t="n">
        <f aca="false" t="array" ref="O19:O19">IF(AND(INDEX(Profils!$I$5:$I$34,$AE19)&gt;0,INDEX(Profils!$X$5:$X$34,$AE19)&lt;=$AH19),ROUND(INDEX(Profils!$I$5:$I$34,$AE19)*Paramètres!$E$25*$AG19*$AJ19,Paramètres!$F$25),0)</f>
        <v>0</v>
      </c>
      <c r="P19" s="19" t="n">
        <f aca="false" t="array" ref="P19:P19">IF(AND(INDEX(Profils!$J$5:$J$34,$AE19)&gt;0,INDEX(Profils!$Y$5:$Y$34,$AE19)&lt;=$AH19),ROUND(INDEX(Profils!$J$5:$J$34,$AE19)*Paramètres!$E$26*$AG19*$AJ19,Paramètres!$F$26),0)</f>
        <v>0</v>
      </c>
      <c r="Q19" s="19" t="n">
        <f aca="false" t="array" ref="Q19:Q19">IF(AND(INDEX(Profils!$K$5:$K$34,$AE19)&gt;0,INDEX(Profils!$Z$5:$Z$34,$AE19)&lt;=$AH19),ROUND(INDEX(Profils!$K$5:$K$34,$AE19)*Paramètres!$E$27*$AG19*$AJ19,Paramètres!$F$27),0)</f>
        <v>0</v>
      </c>
      <c r="R19" s="20" t="n">
        <f aca="false" t="array" ref="R19:R19">IF(AND(INDEX(Profils!$L$5:$L$34,$AE19)&gt;0,INDEX(Profils!$AA$5:$AA$34,$AE19)&lt;=$AH19),ROUND(INDEX(Profils!$L$5:$L$34,$AE19)*Paramètres!$E$28*$AG19*$AJ19,Paramètres!$F$28),0)</f>
        <v>0</v>
      </c>
      <c r="S19" s="20" t="n">
        <f aca="false" t="array" ref="S19:S19">IF(AND(INDEX(Profils!$M$5:$M$34,$AE19)&gt;0,INDEX(Profils!$AB$5:$AB$34,$AE19)&lt;=$AH19),ROUND(INDEX(Profils!$M$5:$M$34,$AE19)*Paramètres!$E$29*$AG19*$AJ19,Paramètres!$F$29),0)</f>
        <v>0</v>
      </c>
      <c r="T19" s="20" t="n">
        <f aca="false" t="array" ref="T19:T19">IF(AND(INDEX(Profils!$N$5:$N$34,$AE19)&gt;0,INDEX(Profils!$AC$5:$AC$34,$AE19)&lt;=$AH19),ROUND(INDEX(Profils!$N$5:$N$34,$AE19)*Paramètres!$E$30*$AG19*$AJ19,Paramètres!$F$30),0)</f>
        <v>0</v>
      </c>
      <c r="U19" s="19" t="n">
        <f aca="false" t="array" ref="U19:U19">IF(AND(INDEX(Profils!$O$5:$O$34,$AE19)&gt;0,INDEX(Profils!$AD$5:$AD$34,$AE19)&lt;=$AH19),ROUND(INDEX(Profils!$O$5:$O$34,$AE19)*Paramètres!$E$31*$AG19*$AJ19,Paramètres!$F$31),0)</f>
        <v>8</v>
      </c>
      <c r="V19" s="20" t="n">
        <f aca="false" t="array" ref="V19:V19">IF(AND(INDEX(Profils!$P$5:$P$34,$AE19)&gt;0,INDEX(Profils!$AE$5:$AE$34,$AE19)&lt;=$AH19),ROUND(INDEX(Profils!$P$5:$P$34,$AE19)*Paramètres!$E$32*$AG19*$AJ19,Paramètres!$F$32),0)</f>
        <v>0</v>
      </c>
      <c r="W19" s="20" t="n">
        <f aca="false" t="array" ref="W19:W19">IF(AND(INDEX(Profils!$Q$5:$Q$34,$AE19)&gt;0,INDEX(Profils!$AF$5:$AF$34,$AE19)&lt;=$AH19),ROUND(INDEX(Profils!$Q$5:$Q$34,$AE19)*Paramètres!$E$33*$AG19*$AJ19,Paramètres!$F$33),0)</f>
        <v>0</v>
      </c>
      <c r="X19" s="20" t="n">
        <f aca="false" t="array" ref="X19:X19">IF(AND(INDEX(Profils!$R$5:$R$34,$AE19)&gt;0,INDEX(Profils!$AG$5:$AG$34,$AE19)&lt;=$AH19),ROUND(INDEX(Profils!$R$5:$R$34,$AE19)*Paramètres!$E$34*$AG19*$AJ19,Paramètres!$F$34),0)</f>
        <v>0</v>
      </c>
      <c r="Y19" s="20" t="n">
        <f aca="false" t="array" ref="Y19:Y19">IF(AND(INDEX(Profils!$S$5:$S$34,$AE19)&gt;0,INDEX(Profils!$AH$5:$AH$34,$AE19)&lt;=$AH19),ROUND(INDEX(Profils!$S$5:$S$34,$AE19)*Paramètres!$E$35*$AG19*$AJ19,Paramètres!$F$35),0)</f>
        <v>0</v>
      </c>
      <c r="Z19" s="21" t="n">
        <f aca="false">ROUND(L19/Paramètres!$E$22+M19/Paramètres!$E$23+N19/Paramètres!$E$24+O19/Paramètres!$E$25+P19/Paramètres!$E$26+Q19/Paramètres!$E$27+R19/Paramètres!$E$28+S19/Paramètres!$E$29+T19/Paramètres!$E$30+U19/Paramètres!$E$31+V19/Paramètres!$E$32+W19/Paramètres!$E$33+X19/Paramètres!$E$34+Y19/Paramètres!$E$35,1)</f>
        <v>1.3</v>
      </c>
      <c r="AA19" s="22" t="s">
        <v>109</v>
      </c>
      <c r="AB19" s="22" t="s">
        <v>109</v>
      </c>
      <c r="AC19" s="15" t="str">
        <f aca="false">$E19</f>
        <v>acier</v>
      </c>
      <c r="AD19" s="16" t="n">
        <f aca="false" t="array" ref="AD19:AD19">IF($I19&gt;=$AI19,"Max",ROUND(Paramètres!$B$40*($I19+1)^Paramètres!$B$41*INDEX(Paramètres!$H$6:$H$12,$AF19),0))</f>
        <v>4</v>
      </c>
      <c r="AE19" s="23" t="n">
        <f aca="false">MATCH($B19&amp;"|"&amp;$C19,Profils!$A$5:$A$34,0)</f>
        <v>1</v>
      </c>
      <c r="AF19" s="23" t="n">
        <v>2</v>
      </c>
      <c r="AG19" s="24" t="n">
        <f aca="false" t="array" ref="AG19:AG19">INDEX(Paramètres!$C$6:$C$12,$AF19)</f>
        <v>1.2</v>
      </c>
      <c r="AH19" s="23" t="n">
        <f aca="false" t="array" ref="AH19:AH19">INDEX(Paramètres!$D$6:$D$12,$AF19)</f>
        <v>3</v>
      </c>
      <c r="AI19" s="23" t="n">
        <f aca="false" t="array" ref="AI19:AI19">INDEX(Matériaux!$C$16:$C$20,$D19)</f>
        <v>25</v>
      </c>
      <c r="AJ19" s="25" t="n">
        <f aca="false">Paramètres!$B$16+(1-Paramètres!$B$16)*(($J19-Paramètres!$B$14)/(Paramètres!$B$15-Paramètres!$B$14))^Paramètres!$B$17</f>
        <v>0.26769024555533</v>
      </c>
    </row>
    <row r="20" customFormat="false" ht="15" hidden="false" customHeight="true" outlineLevel="0" collapsed="false">
      <c r="A20" s="14" t="s">
        <v>128</v>
      </c>
      <c r="B20" s="15" t="s">
        <v>27</v>
      </c>
      <c r="C20" s="15" t="s">
        <v>107</v>
      </c>
      <c r="D20" s="16" t="n">
        <v>3</v>
      </c>
      <c r="E20" s="15" t="str">
        <f aca="false" t="array" ref="E20:E20">INDEX(Matériaux!$B$5:$F$12,MATCH(INDEX(Profils!$E$5:$E$34,$AE20),Matériaux!$A$5:$A$12,0),$D20)</f>
        <v>acier</v>
      </c>
      <c r="F20" s="27" t="s">
        <v>113</v>
      </c>
      <c r="G20" s="10" t="str">
        <f aca="false" t="array" ref="G20:G20">INDEX(Profils!$D$5:$D$34,$AE20)&amp;" en "&amp;$E20</f>
        <v>Casque en acier</v>
      </c>
      <c r="H20" s="16" t="n">
        <f aca="false" t="array" ref="H20:H20">INDEX(Matériaux!$B$16:$B$20,$D20)</f>
        <v>30</v>
      </c>
      <c r="I20" s="16" t="n">
        <f aca="false">IF(ISNUMBER($C$3),MIN(MAX(0,ROUND($C$3,0)),$AI20),$AI20)</f>
        <v>0</v>
      </c>
      <c r="J20" s="18" t="n">
        <f aca="false">$H20+$I20</f>
        <v>30</v>
      </c>
      <c r="K20" s="15" t="s">
        <v>109</v>
      </c>
      <c r="L20" s="19" t="n">
        <f aca="false" t="array" ref="L20:L20">IF(AND(INDEX(Profils!$F$5:$F$34,$AE20)&gt;0,INDEX(Profils!$U$5:$U$34,$AE20)&lt;=$AH20),ROUND(INDEX(Profils!$F$5:$F$34,$AE20)*Paramètres!$E$22*$AG20*$AJ20,Paramètres!$F$22),0)</f>
        <v>16</v>
      </c>
      <c r="M20" s="19" t="n">
        <f aca="false" t="array" ref="M20:M20">IF(AND(INDEX(Profils!$G$5:$G$34,$AE20)&gt;0,INDEX(Profils!$V$5:$V$34,$AE20)&lt;=$AH20),ROUND(INDEX(Profils!$G$5:$G$34,$AE20)*Paramètres!$E$23*$AG20*$AJ20,Paramètres!$F$23),0)</f>
        <v>0</v>
      </c>
      <c r="N20" s="19" t="n">
        <f aca="false" t="array" ref="N20:N20">IF(AND(INDEX(Profils!$H$5:$H$34,$AE20)&gt;0,INDEX(Profils!$W$5:$W$34,$AE20)&lt;=$AH20),ROUND(INDEX(Profils!$H$5:$H$34,$AE20)*Paramètres!$E$24*$AG20*$AJ20,Paramètres!$F$24),0)</f>
        <v>7</v>
      </c>
      <c r="O20" s="19" t="n">
        <f aca="false" t="array" ref="O20:O20">IF(AND(INDEX(Profils!$I$5:$I$34,$AE20)&gt;0,INDEX(Profils!$X$5:$X$34,$AE20)&lt;=$AH20),ROUND(INDEX(Profils!$I$5:$I$34,$AE20)*Paramètres!$E$25*$AG20*$AJ20,Paramètres!$F$25),0)</f>
        <v>0</v>
      </c>
      <c r="P20" s="19" t="n">
        <f aca="false" t="array" ref="P20:P20">IF(AND(INDEX(Profils!$J$5:$J$34,$AE20)&gt;0,INDEX(Profils!$Y$5:$Y$34,$AE20)&lt;=$AH20),ROUND(INDEX(Profils!$J$5:$J$34,$AE20)*Paramètres!$E$26*$AG20*$AJ20,Paramètres!$F$26),0)</f>
        <v>0</v>
      </c>
      <c r="Q20" s="19" t="n">
        <f aca="false" t="array" ref="Q20:Q20">IF(AND(INDEX(Profils!$K$5:$K$34,$AE20)&gt;0,INDEX(Profils!$Z$5:$Z$34,$AE20)&lt;=$AH20),ROUND(INDEX(Profils!$K$5:$K$34,$AE20)*Paramètres!$E$27*$AG20*$AJ20,Paramètres!$F$27),0)</f>
        <v>0</v>
      </c>
      <c r="R20" s="20" t="n">
        <f aca="false" t="array" ref="R20:R20">IF(AND(INDEX(Profils!$L$5:$L$34,$AE20)&gt;0,INDEX(Profils!$AA$5:$AA$34,$AE20)&lt;=$AH20),ROUND(INDEX(Profils!$L$5:$L$34,$AE20)*Paramètres!$E$28*$AG20*$AJ20,Paramètres!$F$28),0)</f>
        <v>0</v>
      </c>
      <c r="S20" s="20" t="n">
        <f aca="false" t="array" ref="S20:S20">IF(AND(INDEX(Profils!$M$5:$M$34,$AE20)&gt;0,INDEX(Profils!$AB$5:$AB$34,$AE20)&lt;=$AH20),ROUND(INDEX(Profils!$M$5:$M$34,$AE20)*Paramètres!$E$29*$AG20*$AJ20,Paramètres!$F$29),0)</f>
        <v>0</v>
      </c>
      <c r="T20" s="20" t="n">
        <f aca="false" t="array" ref="T20:T20">IF(AND(INDEX(Profils!$N$5:$N$34,$AE20)&gt;0,INDEX(Profils!$AC$5:$AC$34,$AE20)&lt;=$AH20),ROUND(INDEX(Profils!$N$5:$N$34,$AE20)*Paramètres!$E$30*$AG20*$AJ20,Paramètres!$F$30),0)</f>
        <v>0</v>
      </c>
      <c r="U20" s="19" t="n">
        <f aca="false" t="array" ref="U20:U20">IF(AND(INDEX(Profils!$O$5:$O$34,$AE20)&gt;0,INDEX(Profils!$AD$5:$AD$34,$AE20)&lt;=$AH20),ROUND(INDEX(Profils!$O$5:$O$34,$AE20)*Paramètres!$E$31*$AG20*$AJ20,Paramètres!$F$31),0)</f>
        <v>9</v>
      </c>
      <c r="V20" s="20" t="n">
        <f aca="false" t="array" ref="V20:V20">IF(AND(INDEX(Profils!$P$5:$P$34,$AE20)&gt;0,INDEX(Profils!$AE$5:$AE$34,$AE20)&lt;=$AH20),ROUND(INDEX(Profils!$P$5:$P$34,$AE20)*Paramètres!$E$32*$AG20*$AJ20,Paramètres!$F$32),0)</f>
        <v>0</v>
      </c>
      <c r="W20" s="20" t="n">
        <f aca="false" t="array" ref="W20:W20">IF(AND(INDEX(Profils!$Q$5:$Q$34,$AE20)&gt;0,INDEX(Profils!$AF$5:$AF$34,$AE20)&lt;=$AH20),ROUND(INDEX(Profils!$Q$5:$Q$34,$AE20)*Paramètres!$E$33*$AG20*$AJ20,Paramètres!$F$33),0)</f>
        <v>0</v>
      </c>
      <c r="X20" s="20" t="n">
        <f aca="false" t="array" ref="X20:X20">IF(AND(INDEX(Profils!$R$5:$R$34,$AE20)&gt;0,INDEX(Profils!$AG$5:$AG$34,$AE20)&lt;=$AH20),ROUND(INDEX(Profils!$R$5:$R$34,$AE20)*Paramètres!$E$34*$AG20*$AJ20,Paramètres!$F$34),0)</f>
        <v>0</v>
      </c>
      <c r="Y20" s="20" t="n">
        <f aca="false" t="array" ref="Y20:Y20">IF(AND(INDEX(Profils!$S$5:$S$34,$AE20)&gt;0,INDEX(Profils!$AH$5:$AH$34,$AE20)&lt;=$AH20),ROUND(INDEX(Profils!$S$5:$S$34,$AE20)*Paramètres!$E$35*$AG20*$AJ20,Paramètres!$F$35),0)</f>
        <v>0.006</v>
      </c>
      <c r="Z20" s="21" t="n">
        <f aca="false">ROUND(L20/Paramètres!$E$22+M20/Paramètres!$E$23+N20/Paramètres!$E$24+O20/Paramètres!$E$25+P20/Paramètres!$E$26+Q20/Paramètres!$E$27+R20/Paramètres!$E$28+S20/Paramètres!$E$29+T20/Paramètres!$E$30+U20/Paramètres!$E$31+V20/Paramètres!$E$32+W20/Paramètres!$E$33+X20/Paramètres!$E$34+Y20/Paramètres!$E$35,1)</f>
        <v>2</v>
      </c>
      <c r="AA20" s="22" t="s">
        <v>109</v>
      </c>
      <c r="AB20" s="22" t="s">
        <v>109</v>
      </c>
      <c r="AC20" s="15" t="str">
        <f aca="false">$E20</f>
        <v>acier</v>
      </c>
      <c r="AD20" s="16" t="n">
        <f aca="false" t="array" ref="AD20:AD20">IF($I20&gt;=$AI20,"Max",ROUND(Paramètres!$B$40*($I20+1)^Paramètres!$B$41*INDEX(Paramètres!$H$6:$H$12,$AF20),0))</f>
        <v>4</v>
      </c>
      <c r="AE20" s="23" t="n">
        <f aca="false">MATCH($B20&amp;"|"&amp;$C20,Profils!$A$5:$A$34,0)</f>
        <v>1</v>
      </c>
      <c r="AF20" s="23" t="n">
        <v>3</v>
      </c>
      <c r="AG20" s="24" t="n">
        <f aca="false" t="array" ref="AG20:AG20">INDEX(Paramètres!$C$6:$C$12,$AF20)</f>
        <v>1.45</v>
      </c>
      <c r="AH20" s="23" t="n">
        <f aca="false" t="array" ref="AH20:AH20">INDEX(Paramètres!$D$6:$D$12,$AF20)</f>
        <v>4</v>
      </c>
      <c r="AI20" s="23" t="n">
        <f aca="false" t="array" ref="AI20:AI20">INDEX(Matériaux!$C$16:$C$20,$D20)</f>
        <v>25</v>
      </c>
      <c r="AJ20" s="25" t="n">
        <f aca="false">Paramètres!$B$16+(1-Paramètres!$B$16)*(($J20-Paramètres!$B$14)/(Paramètres!$B$15-Paramètres!$B$14))^Paramètres!$B$17</f>
        <v>0.26769024555533</v>
      </c>
    </row>
    <row r="21" customFormat="false" ht="15.75" hidden="false" customHeight="true" outlineLevel="0" collapsed="false">
      <c r="A21" s="14" t="s">
        <v>129</v>
      </c>
      <c r="B21" s="15" t="s">
        <v>27</v>
      </c>
      <c r="C21" s="15" t="s">
        <v>107</v>
      </c>
      <c r="D21" s="16" t="n">
        <v>3</v>
      </c>
      <c r="E21" s="15" t="str">
        <f aca="false" t="array" ref="E21:E21">INDEX(Matériaux!$B$5:$F$12,MATCH(INDEX(Profils!$E$5:$E$34,$AE21),Matériaux!$A$5:$A$12,0),$D21)</f>
        <v>acier</v>
      </c>
      <c r="F21" s="28" t="s">
        <v>115</v>
      </c>
      <c r="G21" s="10" t="str">
        <f aca="false" t="array" ref="G21:G21">INDEX(Profils!$D$5:$D$34,$AE21)&amp;" en "&amp;$E21</f>
        <v>Casque en acier</v>
      </c>
      <c r="H21" s="16" t="n">
        <f aca="false" t="array" ref="H21:H21">INDEX(Matériaux!$B$16:$B$20,$D21)</f>
        <v>30</v>
      </c>
      <c r="I21" s="16" t="n">
        <f aca="false">IF(ISNUMBER($C$3),MIN(MAX(0,ROUND($C$3,0)),$AI21),$AI21)</f>
        <v>0</v>
      </c>
      <c r="J21" s="18" t="n">
        <f aca="false">$H21+$I21</f>
        <v>30</v>
      </c>
      <c r="K21" s="15" t="s">
        <v>109</v>
      </c>
      <c r="L21" s="19" t="n">
        <f aca="false" t="array" ref="L21:L21">IF(AND(INDEX(Profils!$F$5:$F$34,$AE21)&gt;0,INDEX(Profils!$U$5:$U$34,$AE21)&lt;=$AH21),ROUND(INDEX(Profils!$F$5:$F$34,$AE21)*Paramètres!$E$22*$AG21*$AJ21,Paramètres!$F$22),0)</f>
        <v>19</v>
      </c>
      <c r="M21" s="19" t="n">
        <f aca="false" t="array" ref="M21:M21">IF(AND(INDEX(Profils!$G$5:$G$34,$AE21)&gt;0,INDEX(Profils!$V$5:$V$34,$AE21)&lt;=$AH21),ROUND(INDEX(Profils!$G$5:$G$34,$AE21)*Paramètres!$E$23*$AG21*$AJ21,Paramètres!$F$23),0)</f>
        <v>0</v>
      </c>
      <c r="N21" s="19" t="n">
        <f aca="false" t="array" ref="N21:N21">IF(AND(INDEX(Profils!$H$5:$H$34,$AE21)&gt;0,INDEX(Profils!$W$5:$W$34,$AE21)&lt;=$AH21),ROUND(INDEX(Profils!$H$5:$H$34,$AE21)*Paramètres!$E$24*$AG21*$AJ21,Paramètres!$F$24),0)</f>
        <v>8</v>
      </c>
      <c r="O21" s="19" t="n">
        <f aca="false" t="array" ref="O21:O21">IF(AND(INDEX(Profils!$I$5:$I$34,$AE21)&gt;0,INDEX(Profils!$X$5:$X$34,$AE21)&lt;=$AH21),ROUND(INDEX(Profils!$I$5:$I$34,$AE21)*Paramètres!$E$25*$AG21*$AJ21,Paramètres!$F$25),0)</f>
        <v>0</v>
      </c>
      <c r="P21" s="19" t="n">
        <f aca="false" t="array" ref="P21:P21">IF(AND(INDEX(Profils!$J$5:$J$34,$AE21)&gt;0,INDEX(Profils!$Y$5:$Y$34,$AE21)&lt;=$AH21),ROUND(INDEX(Profils!$J$5:$J$34,$AE21)*Paramètres!$E$26*$AG21*$AJ21,Paramètres!$F$26),0)</f>
        <v>0</v>
      </c>
      <c r="Q21" s="19" t="n">
        <f aca="false" t="array" ref="Q21:Q21">IF(AND(INDEX(Profils!$K$5:$K$34,$AE21)&gt;0,INDEX(Profils!$Z$5:$Z$34,$AE21)&lt;=$AH21),ROUND(INDEX(Profils!$K$5:$K$34,$AE21)*Paramètres!$E$27*$AG21*$AJ21,Paramètres!$F$27),0)</f>
        <v>0</v>
      </c>
      <c r="R21" s="20" t="n">
        <f aca="false" t="array" ref="R21:R21">IF(AND(INDEX(Profils!$L$5:$L$34,$AE21)&gt;0,INDEX(Profils!$AA$5:$AA$34,$AE21)&lt;=$AH21),ROUND(INDEX(Profils!$L$5:$L$34,$AE21)*Paramètres!$E$28*$AG21*$AJ21,Paramètres!$F$28),0)</f>
        <v>0</v>
      </c>
      <c r="S21" s="20" t="n">
        <f aca="false" t="array" ref="S21:S21">IF(AND(INDEX(Profils!$M$5:$M$34,$AE21)&gt;0,INDEX(Profils!$AB$5:$AB$34,$AE21)&lt;=$AH21),ROUND(INDEX(Profils!$M$5:$M$34,$AE21)*Paramètres!$E$29*$AG21*$AJ21,Paramètres!$F$29),0)</f>
        <v>0</v>
      </c>
      <c r="T21" s="20" t="n">
        <f aca="false" t="array" ref="T21:T21">IF(AND(INDEX(Profils!$N$5:$N$34,$AE21)&gt;0,INDEX(Profils!$AC$5:$AC$34,$AE21)&lt;=$AH21),ROUND(INDEX(Profils!$N$5:$N$34,$AE21)*Paramètres!$E$30*$AG21*$AJ21,Paramètres!$F$30),0)</f>
        <v>0</v>
      </c>
      <c r="U21" s="19" t="n">
        <f aca="false" t="array" ref="U21:U21">IF(AND(INDEX(Profils!$O$5:$O$34,$AE21)&gt;0,INDEX(Profils!$AD$5:$AD$34,$AE21)&lt;=$AH21),ROUND(INDEX(Profils!$O$5:$O$34,$AE21)*Paramètres!$E$31*$AG21*$AJ21,Paramètres!$F$31),0)</f>
        <v>11</v>
      </c>
      <c r="V21" s="20" t="n">
        <f aca="false" t="array" ref="V21:V21">IF(AND(INDEX(Profils!$P$5:$P$34,$AE21)&gt;0,INDEX(Profils!$AE$5:$AE$34,$AE21)&lt;=$AH21),ROUND(INDEX(Profils!$P$5:$P$34,$AE21)*Paramètres!$E$32*$AG21*$AJ21,Paramètres!$F$32),0)</f>
        <v>0</v>
      </c>
      <c r="W21" s="20" t="n">
        <f aca="false" t="array" ref="W21:W21">IF(AND(INDEX(Profils!$Q$5:$Q$34,$AE21)&gt;0,INDEX(Profils!$AF$5:$AF$34,$AE21)&lt;=$AH21),ROUND(INDEX(Profils!$Q$5:$Q$34,$AE21)*Paramètres!$E$33*$AG21*$AJ21,Paramètres!$F$33),0)</f>
        <v>0.004</v>
      </c>
      <c r="X21" s="20" t="n">
        <f aca="false" t="array" ref="X21:X21">IF(AND(INDEX(Profils!$R$5:$R$34,$AE21)&gt;0,INDEX(Profils!$AG$5:$AG$34,$AE21)&lt;=$AH21),ROUND(INDEX(Profils!$R$5:$R$34,$AE21)*Paramètres!$E$34*$AG21*$AJ21,Paramètres!$F$34),0)</f>
        <v>0</v>
      </c>
      <c r="Y21" s="20" t="n">
        <f aca="false" t="array" ref="Y21:Y21">IF(AND(INDEX(Profils!$S$5:$S$34,$AE21)&gt;0,INDEX(Profils!$AH$5:$AH$34,$AE21)&lt;=$AH21),ROUND(INDEX(Profils!$S$5:$S$34,$AE21)*Paramètres!$E$35*$AG21*$AJ21,Paramètres!$F$35),0)</f>
        <v>0.007</v>
      </c>
      <c r="Z21" s="21" t="n">
        <f aca="false">ROUND(L21/Paramètres!$E$22+M21/Paramètres!$E$23+N21/Paramètres!$E$24+O21/Paramètres!$E$25+P21/Paramètres!$E$26+Q21/Paramètres!$E$27+R21/Paramètres!$E$28+S21/Paramètres!$E$29+T21/Paramètres!$E$30+U21/Paramètres!$E$31+V21/Paramètres!$E$32+W21/Paramètres!$E$33+X21/Paramètres!$E$34+Y21/Paramètres!$E$35,1)</f>
        <v>2.6</v>
      </c>
      <c r="AA21" s="22" t="s">
        <v>109</v>
      </c>
      <c r="AB21" s="22" t="s">
        <v>109</v>
      </c>
      <c r="AC21" s="15" t="str">
        <f aca="false">$E21</f>
        <v>acier</v>
      </c>
      <c r="AD21" s="16" t="n">
        <f aca="false" t="array" ref="AD21:AD21">IF($I21&gt;=$AI21,"Max",ROUND(Paramètres!$B$40*($I21+1)^Paramètres!$B$41*INDEX(Paramètres!$H$6:$H$12,$AF21),0))</f>
        <v>5</v>
      </c>
      <c r="AE21" s="23" t="n">
        <f aca="false">MATCH($B21&amp;"|"&amp;$C21,Profils!$A$5:$A$34,0)</f>
        <v>1</v>
      </c>
      <c r="AF21" s="23" t="n">
        <v>4</v>
      </c>
      <c r="AG21" s="24" t="n">
        <f aca="false" t="array" ref="AG21:AG21">INDEX(Paramètres!$C$6:$C$12,$AF21)</f>
        <v>1.75</v>
      </c>
      <c r="AH21" s="23" t="n">
        <f aca="false" t="array" ref="AH21:AH21">INDEX(Paramètres!$D$6:$D$12,$AF21)</f>
        <v>5</v>
      </c>
      <c r="AI21" s="23" t="n">
        <f aca="false" t="array" ref="AI21:AI21">INDEX(Matériaux!$C$16:$C$20,$D21)</f>
        <v>25</v>
      </c>
      <c r="AJ21" s="25" t="n">
        <f aca="false">Paramètres!$B$16+(1-Paramètres!$B$16)*(($J21-Paramètres!$B$14)/(Paramètres!$B$15-Paramètres!$B$14))^Paramètres!$B$17</f>
        <v>0.26769024555533</v>
      </c>
    </row>
    <row r="22" customFormat="false" ht="15.75" hidden="false" customHeight="true" outlineLevel="0" collapsed="false">
      <c r="A22" s="14" t="s">
        <v>130</v>
      </c>
      <c r="B22" s="15" t="s">
        <v>27</v>
      </c>
      <c r="C22" s="15" t="s">
        <v>107</v>
      </c>
      <c r="D22" s="16" t="n">
        <v>3</v>
      </c>
      <c r="E22" s="15" t="str">
        <f aca="false" t="array" ref="E22:E22">INDEX(Matériaux!$B$5:$F$12,MATCH(INDEX(Profils!$E$5:$E$34,$AE22),Matériaux!$A$5:$A$12,0),$D22)</f>
        <v>acier</v>
      </c>
      <c r="F22" s="29" t="s">
        <v>117</v>
      </c>
      <c r="G22" s="10" t="str">
        <f aca="false" t="array" ref="G22:G22">INDEX(Profils!$D$5:$D$34,$AE22)&amp;" en "&amp;$E22</f>
        <v>Casque en acier</v>
      </c>
      <c r="H22" s="16" t="n">
        <f aca="false" t="array" ref="H22:H22">INDEX(Matériaux!$B$16:$B$20,$D22)</f>
        <v>30</v>
      </c>
      <c r="I22" s="16" t="n">
        <f aca="false">IF(ISNUMBER($C$3),MIN(MAX(0,ROUND($C$3,0)),$AI22),$AI22)</f>
        <v>0</v>
      </c>
      <c r="J22" s="18" t="n">
        <f aca="false">$H22+$I22</f>
        <v>30</v>
      </c>
      <c r="K22" s="15" t="s">
        <v>109</v>
      </c>
      <c r="L22" s="19" t="n">
        <f aca="false" t="array" ref="L22:L22">IF(AND(INDEX(Profils!$F$5:$F$34,$AE22)&gt;0,INDEX(Profils!$U$5:$U$34,$AE22)&lt;=$AH22),ROUND(INDEX(Profils!$F$5:$F$34,$AE22)*Paramètres!$E$22*$AG22*$AJ22,Paramètres!$F$22),0)</f>
        <v>22</v>
      </c>
      <c r="M22" s="19" t="n">
        <f aca="false" t="array" ref="M22:M22">IF(AND(INDEX(Profils!$G$5:$G$34,$AE22)&gt;0,INDEX(Profils!$V$5:$V$34,$AE22)&lt;=$AH22),ROUND(INDEX(Profils!$G$5:$G$34,$AE22)*Paramètres!$E$23*$AG22*$AJ22,Paramètres!$F$23),0)</f>
        <v>4</v>
      </c>
      <c r="N22" s="19" t="n">
        <f aca="false" t="array" ref="N22:N22">IF(AND(INDEX(Profils!$H$5:$H$34,$AE22)&gt;0,INDEX(Profils!$W$5:$W$34,$AE22)&lt;=$AH22),ROUND(INDEX(Profils!$H$5:$H$34,$AE22)*Paramètres!$E$24*$AG22*$AJ22,Paramètres!$F$24),0)</f>
        <v>10</v>
      </c>
      <c r="O22" s="19" t="n">
        <f aca="false" t="array" ref="O22:O22">IF(AND(INDEX(Profils!$I$5:$I$34,$AE22)&gt;0,INDEX(Profils!$X$5:$X$34,$AE22)&lt;=$AH22),ROUND(INDEX(Profils!$I$5:$I$34,$AE22)*Paramètres!$E$25*$AG22*$AJ22,Paramètres!$F$25),0)</f>
        <v>0</v>
      </c>
      <c r="P22" s="19" t="n">
        <f aca="false" t="array" ref="P22:P22">IF(AND(INDEX(Profils!$J$5:$J$34,$AE22)&gt;0,INDEX(Profils!$Y$5:$Y$34,$AE22)&lt;=$AH22),ROUND(INDEX(Profils!$J$5:$J$34,$AE22)*Paramètres!$E$26*$AG22*$AJ22,Paramètres!$F$26),0)</f>
        <v>0</v>
      </c>
      <c r="Q22" s="19" t="n">
        <f aca="false" t="array" ref="Q22:Q22">IF(AND(INDEX(Profils!$K$5:$K$34,$AE22)&gt;0,INDEX(Profils!$Z$5:$Z$34,$AE22)&lt;=$AH22),ROUND(INDEX(Profils!$K$5:$K$34,$AE22)*Paramètres!$E$27*$AG22*$AJ22,Paramètres!$F$27),0)</f>
        <v>0</v>
      </c>
      <c r="R22" s="20" t="n">
        <f aca="false" t="array" ref="R22:R22">IF(AND(INDEX(Profils!$L$5:$L$34,$AE22)&gt;0,INDEX(Profils!$AA$5:$AA$34,$AE22)&lt;=$AH22),ROUND(INDEX(Profils!$L$5:$L$34,$AE22)*Paramètres!$E$28*$AG22*$AJ22,Paramètres!$F$28),0)</f>
        <v>0</v>
      </c>
      <c r="S22" s="20" t="n">
        <f aca="false" t="array" ref="S22:S22">IF(AND(INDEX(Profils!$M$5:$M$34,$AE22)&gt;0,INDEX(Profils!$AB$5:$AB$34,$AE22)&lt;=$AH22),ROUND(INDEX(Profils!$M$5:$M$34,$AE22)*Paramètres!$E$29*$AG22*$AJ22,Paramètres!$F$29),0)</f>
        <v>0</v>
      </c>
      <c r="T22" s="20" t="n">
        <f aca="false" t="array" ref="T22:T22">IF(AND(INDEX(Profils!$N$5:$N$34,$AE22)&gt;0,INDEX(Profils!$AC$5:$AC$34,$AE22)&lt;=$AH22),ROUND(INDEX(Profils!$N$5:$N$34,$AE22)*Paramètres!$E$30*$AG22*$AJ22,Paramètres!$F$30),0)</f>
        <v>0</v>
      </c>
      <c r="U22" s="19" t="n">
        <f aca="false" t="array" ref="U22:U22">IF(AND(INDEX(Profils!$O$5:$O$34,$AE22)&gt;0,INDEX(Profils!$AD$5:$AD$34,$AE22)&lt;=$AH22),ROUND(INDEX(Profils!$O$5:$O$34,$AE22)*Paramètres!$E$31*$AG22*$AJ22,Paramètres!$F$31),0)</f>
        <v>13</v>
      </c>
      <c r="V22" s="20" t="n">
        <f aca="false" t="array" ref="V22:V22">IF(AND(INDEX(Profils!$P$5:$P$34,$AE22)&gt;0,INDEX(Profils!$AE$5:$AE$34,$AE22)&lt;=$AH22),ROUND(INDEX(Profils!$P$5:$P$34,$AE22)*Paramètres!$E$32*$AG22*$AJ22,Paramètres!$F$32),0)</f>
        <v>0</v>
      </c>
      <c r="W22" s="20" t="n">
        <f aca="false" t="array" ref="W22:W22">IF(AND(INDEX(Profils!$Q$5:$Q$34,$AE22)&gt;0,INDEX(Profils!$AF$5:$AF$34,$AE22)&lt;=$AH22),ROUND(INDEX(Profils!$Q$5:$Q$34,$AE22)*Paramètres!$E$33*$AG22*$AJ22,Paramètres!$F$33),0)</f>
        <v>0.005</v>
      </c>
      <c r="X22" s="20" t="n">
        <f aca="false" t="array" ref="X22:X22">IF(AND(INDEX(Profils!$R$5:$R$34,$AE22)&gt;0,INDEX(Profils!$AG$5:$AG$34,$AE22)&lt;=$AH22),ROUND(INDEX(Profils!$R$5:$R$34,$AE22)*Paramètres!$E$34*$AG22*$AJ22,Paramètres!$F$34),0)</f>
        <v>0</v>
      </c>
      <c r="Y22" s="20" t="n">
        <f aca="false" t="array" ref="Y22:Y22">IF(AND(INDEX(Profils!$S$5:$S$34,$AE22)&gt;0,INDEX(Profils!$AH$5:$AH$34,$AE22)&lt;=$AH22),ROUND(INDEX(Profils!$S$5:$S$34,$AE22)*Paramètres!$E$35*$AG22*$AJ22,Paramètres!$F$35),0)</f>
        <v>0.008</v>
      </c>
      <c r="Z22" s="21" t="n">
        <f aca="false">ROUND(L22/Paramètres!$E$22+M22/Paramètres!$E$23+N22/Paramètres!$E$24+O22/Paramètres!$E$25+P22/Paramètres!$E$26+Q22/Paramètres!$E$27+R22/Paramètres!$E$28+S22/Paramètres!$E$29+T22/Paramètres!$E$30+U22/Paramètres!$E$31+V22/Paramètres!$E$32+W22/Paramètres!$E$33+X22/Paramètres!$E$34+Y22/Paramètres!$E$35,1)</f>
        <v>3.3</v>
      </c>
      <c r="AA22" s="22" t="s">
        <v>109</v>
      </c>
      <c r="AB22" s="22" t="s">
        <v>109</v>
      </c>
      <c r="AC22" s="15" t="str">
        <f aca="false">$E22</f>
        <v>acier</v>
      </c>
      <c r="AD22" s="16" t="n">
        <f aca="false" t="array" ref="AD22:AD22">IF($I22&gt;=$AI22,"Max",ROUND(Paramètres!$B$40*($I22+1)^Paramètres!$B$41*INDEX(Paramètres!$H$6:$H$12,$AF22),0))</f>
        <v>6</v>
      </c>
      <c r="AE22" s="23" t="n">
        <f aca="false">MATCH($B22&amp;"|"&amp;$C22,Profils!$A$5:$A$34,0)</f>
        <v>1</v>
      </c>
      <c r="AF22" s="23" t="n">
        <v>5</v>
      </c>
      <c r="AG22" s="24" t="n">
        <f aca="false" t="array" ref="AG22:AG22">INDEX(Paramètres!$C$6:$C$12,$AF22)</f>
        <v>2.1</v>
      </c>
      <c r="AH22" s="23" t="n">
        <f aca="false" t="array" ref="AH22:AH22">INDEX(Paramètres!$D$6:$D$12,$AF22)</f>
        <v>6</v>
      </c>
      <c r="AI22" s="23" t="n">
        <f aca="false" t="array" ref="AI22:AI22">INDEX(Matériaux!$C$16:$C$20,$D22)</f>
        <v>25</v>
      </c>
      <c r="AJ22" s="25" t="n">
        <f aca="false">Paramètres!$B$16+(1-Paramètres!$B$16)*(($J22-Paramètres!$B$14)/(Paramètres!$B$15-Paramètres!$B$14))^Paramètres!$B$17</f>
        <v>0.26769024555533</v>
      </c>
    </row>
    <row r="23" customFormat="false" ht="15.75" hidden="false" customHeight="true" outlineLevel="0" collapsed="false">
      <c r="A23" s="14" t="s">
        <v>131</v>
      </c>
      <c r="B23" s="15" t="s">
        <v>27</v>
      </c>
      <c r="C23" s="15" t="s">
        <v>107</v>
      </c>
      <c r="D23" s="16" t="n">
        <v>3</v>
      </c>
      <c r="E23" s="15" t="str">
        <f aca="false" t="array" ref="E23:E23">INDEX(Matériaux!$B$5:$F$12,MATCH(INDEX(Profils!$E$5:$E$34,$AE23),Matériaux!$A$5:$A$12,0),$D23)</f>
        <v>acier</v>
      </c>
      <c r="F23" s="30" t="s">
        <v>119</v>
      </c>
      <c r="G23" s="10" t="str">
        <f aca="false" t="array" ref="G23:G23">INDEX(Profils!$D$5:$D$34,$AE23)&amp;" en "&amp;$E23</f>
        <v>Casque en acier</v>
      </c>
      <c r="H23" s="16" t="n">
        <f aca="false" t="array" ref="H23:H23">INDEX(Matériaux!$B$16:$B$20,$D23)</f>
        <v>30</v>
      </c>
      <c r="I23" s="16" t="n">
        <f aca="false">IF(ISNUMBER($C$3),MIN(MAX(0,ROUND($C$3,0)),$AI23),$AI23)</f>
        <v>0</v>
      </c>
      <c r="J23" s="18" t="n">
        <f aca="false">$H23+$I23</f>
        <v>30</v>
      </c>
      <c r="K23" s="15" t="s">
        <v>109</v>
      </c>
      <c r="L23" s="19" t="n">
        <f aca="false" t="array" ref="L23:L23">IF(AND(INDEX(Profils!$F$5:$F$34,$AE23)&gt;0,INDEX(Profils!$U$5:$U$34,$AE23)&lt;=$AH23),ROUND(INDEX(Profils!$F$5:$F$34,$AE23)*Paramètres!$E$22*$AG23*$AJ23,Paramètres!$F$22),0)</f>
        <v>26</v>
      </c>
      <c r="M23" s="19" t="n">
        <f aca="false" t="array" ref="M23:M23">IF(AND(INDEX(Profils!$G$5:$G$34,$AE23)&gt;0,INDEX(Profils!$V$5:$V$34,$AE23)&lt;=$AH23),ROUND(INDEX(Profils!$G$5:$G$34,$AE23)*Paramètres!$E$23*$AG23*$AJ23,Paramètres!$F$23),0)</f>
        <v>5</v>
      </c>
      <c r="N23" s="19" t="n">
        <f aca="false" t="array" ref="N23:N23">IF(AND(INDEX(Profils!$H$5:$H$34,$AE23)&gt;0,INDEX(Profils!$W$5:$W$34,$AE23)&lt;=$AH23),ROUND(INDEX(Profils!$H$5:$H$34,$AE23)*Paramètres!$E$24*$AG23*$AJ23,Paramètres!$F$24),0)</f>
        <v>12</v>
      </c>
      <c r="O23" s="19" t="n">
        <f aca="false" t="array" ref="O23:O23">IF(AND(INDEX(Profils!$I$5:$I$34,$AE23)&gt;0,INDEX(Profils!$X$5:$X$34,$AE23)&lt;=$AH23),ROUND(INDEX(Profils!$I$5:$I$34,$AE23)*Paramètres!$E$25*$AG23*$AJ23,Paramètres!$F$25),0)</f>
        <v>0</v>
      </c>
      <c r="P23" s="19" t="n">
        <f aca="false" t="array" ref="P23:P23">IF(AND(INDEX(Profils!$J$5:$J$34,$AE23)&gt;0,INDEX(Profils!$Y$5:$Y$34,$AE23)&lt;=$AH23),ROUND(INDEX(Profils!$J$5:$J$34,$AE23)*Paramètres!$E$26*$AG23*$AJ23,Paramètres!$F$26),0)</f>
        <v>0</v>
      </c>
      <c r="Q23" s="19" t="n">
        <f aca="false" t="array" ref="Q23:Q23">IF(AND(INDEX(Profils!$K$5:$K$34,$AE23)&gt;0,INDEX(Profils!$Z$5:$Z$34,$AE23)&lt;=$AH23),ROUND(INDEX(Profils!$K$5:$K$34,$AE23)*Paramètres!$E$27*$AG23*$AJ23,Paramètres!$F$27),0)</f>
        <v>0</v>
      </c>
      <c r="R23" s="20" t="n">
        <f aca="false" t="array" ref="R23:R23">IF(AND(INDEX(Profils!$L$5:$L$34,$AE23)&gt;0,INDEX(Profils!$AA$5:$AA$34,$AE23)&lt;=$AH23),ROUND(INDEX(Profils!$L$5:$L$34,$AE23)*Paramètres!$E$28*$AG23*$AJ23,Paramètres!$F$28),0)</f>
        <v>0.004</v>
      </c>
      <c r="S23" s="20" t="n">
        <f aca="false" t="array" ref="S23:S23">IF(AND(INDEX(Profils!$M$5:$M$34,$AE23)&gt;0,INDEX(Profils!$AB$5:$AB$34,$AE23)&lt;=$AH23),ROUND(INDEX(Profils!$M$5:$M$34,$AE23)*Paramètres!$E$29*$AG23*$AJ23,Paramètres!$F$29),0)</f>
        <v>0</v>
      </c>
      <c r="T23" s="20" t="n">
        <f aca="false" t="array" ref="T23:T23">IF(AND(INDEX(Profils!$N$5:$N$34,$AE23)&gt;0,INDEX(Profils!$AC$5:$AC$34,$AE23)&lt;=$AH23),ROUND(INDEX(Profils!$N$5:$N$34,$AE23)*Paramètres!$E$30*$AG23*$AJ23,Paramètres!$F$30),0)</f>
        <v>0</v>
      </c>
      <c r="U23" s="19" t="n">
        <f aca="false" t="array" ref="U23:U23">IF(AND(INDEX(Profils!$O$5:$O$34,$AE23)&gt;0,INDEX(Profils!$AD$5:$AD$34,$AE23)&lt;=$AH23),ROUND(INDEX(Profils!$O$5:$O$34,$AE23)*Paramètres!$E$31*$AG23*$AJ23,Paramètres!$F$31),0)</f>
        <v>15</v>
      </c>
      <c r="V23" s="20" t="n">
        <f aca="false" t="array" ref="V23:V23">IF(AND(INDEX(Profils!$P$5:$P$34,$AE23)&gt;0,INDEX(Profils!$AE$5:$AE$34,$AE23)&lt;=$AH23),ROUND(INDEX(Profils!$P$5:$P$34,$AE23)*Paramètres!$E$32*$AG23*$AJ23,Paramètres!$F$32),0)</f>
        <v>0</v>
      </c>
      <c r="W23" s="20" t="n">
        <f aca="false" t="array" ref="W23:W23">IF(AND(INDEX(Profils!$Q$5:$Q$34,$AE23)&gt;0,INDEX(Profils!$AF$5:$AF$34,$AE23)&lt;=$AH23),ROUND(INDEX(Profils!$Q$5:$Q$34,$AE23)*Paramètres!$E$33*$AG23*$AJ23,Paramètres!$F$33),0)</f>
        <v>0.006</v>
      </c>
      <c r="X23" s="20" t="n">
        <f aca="false" t="array" ref="X23:X23">IF(AND(INDEX(Profils!$R$5:$R$34,$AE23)&gt;0,INDEX(Profils!$AG$5:$AG$34,$AE23)&lt;=$AH23),ROUND(INDEX(Profils!$R$5:$R$34,$AE23)*Paramètres!$E$34*$AG23*$AJ23,Paramètres!$F$34),0)</f>
        <v>0</v>
      </c>
      <c r="Y23" s="20" t="n">
        <f aca="false" t="array" ref="Y23:Y23">IF(AND(INDEX(Profils!$S$5:$S$34,$AE23)&gt;0,INDEX(Profils!$AH$5:$AH$34,$AE23)&lt;=$AH23),ROUND(INDEX(Profils!$S$5:$S$34,$AE23)*Paramètres!$E$35*$AG23*$AJ23,Paramètres!$F$35),0)</f>
        <v>0.01</v>
      </c>
      <c r="Z23" s="21" t="n">
        <f aca="false">ROUND(L23/Paramètres!$E$22+M23/Paramètres!$E$23+N23/Paramètres!$E$24+O23/Paramètres!$E$25+P23/Paramètres!$E$26+Q23/Paramètres!$E$27+R23/Paramètres!$E$28+S23/Paramètres!$E$29+T23/Paramètres!$E$30+U23/Paramètres!$E$31+V23/Paramètres!$E$32+W23/Paramètres!$E$33+X23/Paramètres!$E$34+Y23/Paramètres!$E$35,1)</f>
        <v>4.3</v>
      </c>
      <c r="AA23" s="22" t="s">
        <v>109</v>
      </c>
      <c r="AB23" s="22" t="s">
        <v>109</v>
      </c>
      <c r="AC23" s="15" t="str">
        <f aca="false">$E23</f>
        <v>acier</v>
      </c>
      <c r="AD23" s="16" t="n">
        <f aca="false" t="array" ref="AD23:AD23">IF($I23&gt;=$AI23,"Max",ROUND(Paramètres!$B$40*($I23+1)^Paramètres!$B$41*INDEX(Paramètres!$H$6:$H$12,$AF23),0))</f>
        <v>8</v>
      </c>
      <c r="AE23" s="23" t="n">
        <f aca="false">MATCH($B23&amp;"|"&amp;$C23,Profils!$A$5:$A$34,0)</f>
        <v>1</v>
      </c>
      <c r="AF23" s="23" t="n">
        <v>6</v>
      </c>
      <c r="AG23" s="24" t="n">
        <f aca="false" t="array" ref="AG23:AG23">INDEX(Paramètres!$C$6:$C$12,$AF23)</f>
        <v>2.4</v>
      </c>
      <c r="AH23" s="23" t="n">
        <f aca="false" t="array" ref="AH23:AH23">INDEX(Paramètres!$D$6:$D$12,$AF23)</f>
        <v>7</v>
      </c>
      <c r="AI23" s="23" t="n">
        <f aca="false" t="array" ref="AI23:AI23">INDEX(Matériaux!$C$16:$C$20,$D23)</f>
        <v>25</v>
      </c>
      <c r="AJ23" s="25" t="n">
        <f aca="false">Paramètres!$B$16+(1-Paramètres!$B$16)*(($J23-Paramètres!$B$14)/(Paramètres!$B$15-Paramètres!$B$14))^Paramètres!$B$17</f>
        <v>0.26769024555533</v>
      </c>
    </row>
    <row r="24" customFormat="false" ht="15.75" hidden="false" customHeight="true" outlineLevel="0" collapsed="false">
      <c r="A24" s="14" t="s">
        <v>132</v>
      </c>
      <c r="B24" s="15" t="s">
        <v>27</v>
      </c>
      <c r="C24" s="15" t="s">
        <v>107</v>
      </c>
      <c r="D24" s="16" t="n">
        <v>4</v>
      </c>
      <c r="E24" s="15" t="str">
        <f aca="false" t="array" ref="E24:E24">INDEX(Matériaux!$B$5:$F$12,MATCH(INDEX(Profils!$E$5:$E$34,$AE24),Matériaux!$A$5:$A$12,0),$D24)</f>
        <v>mithril</v>
      </c>
      <c r="F24" s="17" t="s">
        <v>108</v>
      </c>
      <c r="G24" s="10" t="str">
        <f aca="false" t="array" ref="G24:G24">INDEX(Profils!$D$5:$D$34,$AE24)&amp;" en "&amp;$E24</f>
        <v>Casque en mithril</v>
      </c>
      <c r="H24" s="16" t="n">
        <f aca="false" t="array" ref="H24:H24">INDEX(Matériaux!$B$16:$B$20,$D24)</f>
        <v>50</v>
      </c>
      <c r="I24" s="16" t="n">
        <f aca="false">IF(ISNUMBER($C$3),MIN(MAX(0,ROUND($C$3,0)),$AI24),$AI24)</f>
        <v>0</v>
      </c>
      <c r="J24" s="18" t="n">
        <f aca="false">$H24+$I24</f>
        <v>50</v>
      </c>
      <c r="K24" s="15" t="s">
        <v>109</v>
      </c>
      <c r="L24" s="19" t="n">
        <f aca="false" t="array" ref="L24:L24">IF(AND(INDEX(Profils!$F$5:$F$34,$AE24)&gt;0,INDEX(Profils!$U$5:$U$34,$AE24)&lt;=$AH24),ROUND(INDEX(Profils!$F$5:$F$34,$AE24)*Paramètres!$E$22*$AG24*$AJ24,Paramètres!$F$22),0)</f>
        <v>18</v>
      </c>
      <c r="M24" s="19" t="n">
        <f aca="false" t="array" ref="M24:M24">IF(AND(INDEX(Profils!$G$5:$G$34,$AE24)&gt;0,INDEX(Profils!$V$5:$V$34,$AE24)&lt;=$AH24),ROUND(INDEX(Profils!$G$5:$G$34,$AE24)*Paramètres!$E$23*$AG24*$AJ24,Paramètres!$F$23),0)</f>
        <v>0</v>
      </c>
      <c r="N24" s="19" t="n">
        <f aca="false" t="array" ref="N24:N24">IF(AND(INDEX(Profils!$H$5:$H$34,$AE24)&gt;0,INDEX(Profils!$W$5:$W$34,$AE24)&lt;=$AH24),ROUND(INDEX(Profils!$H$5:$H$34,$AE24)*Paramètres!$E$24*$AG24*$AJ24,Paramètres!$F$24),0)</f>
        <v>8</v>
      </c>
      <c r="O24" s="19" t="n">
        <f aca="false" t="array" ref="O24:O24">IF(AND(INDEX(Profils!$I$5:$I$34,$AE24)&gt;0,INDEX(Profils!$X$5:$X$34,$AE24)&lt;=$AH24),ROUND(INDEX(Profils!$I$5:$I$34,$AE24)*Paramètres!$E$25*$AG24*$AJ24,Paramètres!$F$25),0)</f>
        <v>0</v>
      </c>
      <c r="P24" s="19" t="n">
        <f aca="false" t="array" ref="P24:P24">IF(AND(INDEX(Profils!$J$5:$J$34,$AE24)&gt;0,INDEX(Profils!$Y$5:$Y$34,$AE24)&lt;=$AH24),ROUND(INDEX(Profils!$J$5:$J$34,$AE24)*Paramètres!$E$26*$AG24*$AJ24,Paramètres!$F$26),0)</f>
        <v>0</v>
      </c>
      <c r="Q24" s="19" t="n">
        <f aca="false" t="array" ref="Q24:Q24">IF(AND(INDEX(Profils!$K$5:$K$34,$AE24)&gt;0,INDEX(Profils!$Z$5:$Z$34,$AE24)&lt;=$AH24),ROUND(INDEX(Profils!$K$5:$K$34,$AE24)*Paramètres!$E$27*$AG24*$AJ24,Paramètres!$F$27),0)</f>
        <v>0</v>
      </c>
      <c r="R24" s="20" t="n">
        <f aca="false" t="array" ref="R24:R24">IF(AND(INDEX(Profils!$L$5:$L$34,$AE24)&gt;0,INDEX(Profils!$AA$5:$AA$34,$AE24)&lt;=$AH24),ROUND(INDEX(Profils!$L$5:$L$34,$AE24)*Paramètres!$E$28*$AG24*$AJ24,Paramètres!$F$28),0)</f>
        <v>0</v>
      </c>
      <c r="S24" s="20" t="n">
        <f aca="false" t="array" ref="S24:S24">IF(AND(INDEX(Profils!$M$5:$M$34,$AE24)&gt;0,INDEX(Profils!$AB$5:$AB$34,$AE24)&lt;=$AH24),ROUND(INDEX(Profils!$M$5:$M$34,$AE24)*Paramètres!$E$29*$AG24*$AJ24,Paramètres!$F$29),0)</f>
        <v>0</v>
      </c>
      <c r="T24" s="20" t="n">
        <f aca="false" t="array" ref="T24:T24">IF(AND(INDEX(Profils!$N$5:$N$34,$AE24)&gt;0,INDEX(Profils!$AC$5:$AC$34,$AE24)&lt;=$AH24),ROUND(INDEX(Profils!$N$5:$N$34,$AE24)*Paramètres!$E$30*$AG24*$AJ24,Paramètres!$F$30),0)</f>
        <v>0</v>
      </c>
      <c r="U24" s="19" t="n">
        <f aca="false" t="array" ref="U24:U24">IF(AND(INDEX(Profils!$O$5:$O$34,$AE24)&gt;0,INDEX(Profils!$AD$5:$AD$34,$AE24)&lt;=$AH24),ROUND(INDEX(Profils!$O$5:$O$34,$AE24)*Paramètres!$E$31*$AG24*$AJ24,Paramètres!$F$31),0)</f>
        <v>0</v>
      </c>
      <c r="V24" s="20" t="n">
        <f aca="false" t="array" ref="V24:V24">IF(AND(INDEX(Profils!$P$5:$P$34,$AE24)&gt;0,INDEX(Profils!$AE$5:$AE$34,$AE24)&lt;=$AH24),ROUND(INDEX(Profils!$P$5:$P$34,$AE24)*Paramètres!$E$32*$AG24*$AJ24,Paramètres!$F$32),0)</f>
        <v>0</v>
      </c>
      <c r="W24" s="20" t="n">
        <f aca="false" t="array" ref="W24:W24">IF(AND(INDEX(Profils!$Q$5:$Q$34,$AE24)&gt;0,INDEX(Profils!$AF$5:$AF$34,$AE24)&lt;=$AH24),ROUND(INDEX(Profils!$Q$5:$Q$34,$AE24)*Paramètres!$E$33*$AG24*$AJ24,Paramètres!$F$33),0)</f>
        <v>0</v>
      </c>
      <c r="X24" s="20" t="n">
        <f aca="false" t="array" ref="X24:X24">IF(AND(INDEX(Profils!$R$5:$R$34,$AE24)&gt;0,INDEX(Profils!$AG$5:$AG$34,$AE24)&lt;=$AH24),ROUND(INDEX(Profils!$R$5:$R$34,$AE24)*Paramètres!$E$34*$AG24*$AJ24,Paramètres!$F$34),0)</f>
        <v>0</v>
      </c>
      <c r="Y24" s="20" t="n">
        <f aca="false" t="array" ref="Y24:Y24">IF(AND(INDEX(Profils!$S$5:$S$34,$AE24)&gt;0,INDEX(Profils!$AH$5:$AH$34,$AE24)&lt;=$AH24),ROUND(INDEX(Profils!$S$5:$S$34,$AE24)*Paramètres!$E$35*$AG24*$AJ24,Paramètres!$F$35),0)</f>
        <v>0</v>
      </c>
      <c r="Z24" s="21" t="n">
        <f aca="false">ROUND(L24/Paramètres!$E$22+M24/Paramètres!$E$23+N24/Paramètres!$E$24+O24/Paramètres!$E$25+P24/Paramètres!$E$26+Q24/Paramètres!$E$27+R24/Paramètres!$E$28+S24/Paramètres!$E$29+T24/Paramètres!$E$30+U24/Paramètres!$E$31+V24/Paramètres!$E$32+W24/Paramètres!$E$33+X24/Paramètres!$E$34+Y24/Paramètres!$E$35,1)</f>
        <v>1.3</v>
      </c>
      <c r="AA24" s="22" t="s">
        <v>109</v>
      </c>
      <c r="AB24" s="22" t="s">
        <v>109</v>
      </c>
      <c r="AC24" s="15" t="str">
        <f aca="false">$E24</f>
        <v>mithril</v>
      </c>
      <c r="AD24" s="16" t="n">
        <f aca="false" t="array" ref="AD24:AD24">IF($I24&gt;=$AI24,"Max",ROUND(Paramètres!$B$40*($I24+1)^Paramètres!$B$41*INDEX(Paramètres!$H$6:$H$12,$AF24),0))</f>
        <v>3</v>
      </c>
      <c r="AE24" s="23" t="n">
        <f aca="false">MATCH($B24&amp;"|"&amp;$C24,Profils!$A$5:$A$34,0)</f>
        <v>1</v>
      </c>
      <c r="AF24" s="23" t="n">
        <v>1</v>
      </c>
      <c r="AG24" s="24" t="n">
        <f aca="false" t="array" ref="AG24:AG24">INDEX(Paramètres!$C$6:$C$12,$AF24)</f>
        <v>1</v>
      </c>
      <c r="AH24" s="23" t="n">
        <f aca="false" t="array" ref="AH24:AH24">INDEX(Paramètres!$D$6:$D$12,$AF24)</f>
        <v>2</v>
      </c>
      <c r="AI24" s="23" t="n">
        <f aca="false" t="array" ref="AI24:AI24">INDEX(Matériaux!$C$16:$C$20,$D24)</f>
        <v>25</v>
      </c>
      <c r="AJ24" s="25" t="n">
        <f aca="false">Paramètres!$B$16+(1-Paramètres!$B$16)*(($J24-Paramètres!$B$14)/(Paramètres!$B$15-Paramètres!$B$14))^Paramètres!$B$17</f>
        <v>0.458504333336152</v>
      </c>
    </row>
    <row r="25" customFormat="false" ht="15.75" hidden="false" customHeight="true" outlineLevel="0" collapsed="false">
      <c r="A25" s="14" t="s">
        <v>133</v>
      </c>
      <c r="B25" s="15" t="s">
        <v>27</v>
      </c>
      <c r="C25" s="15" t="s">
        <v>107</v>
      </c>
      <c r="D25" s="16" t="n">
        <v>4</v>
      </c>
      <c r="E25" s="15" t="str">
        <f aca="false" t="array" ref="E25:E25">INDEX(Matériaux!$B$5:$F$12,MATCH(INDEX(Profils!$E$5:$E$34,$AE25),Matériaux!$A$5:$A$12,0),$D25)</f>
        <v>mithril</v>
      </c>
      <c r="F25" s="26" t="s">
        <v>111</v>
      </c>
      <c r="G25" s="10" t="str">
        <f aca="false" t="array" ref="G25:G25">INDEX(Profils!$D$5:$D$34,$AE25)&amp;" en "&amp;$E25</f>
        <v>Casque en mithril</v>
      </c>
      <c r="H25" s="16" t="n">
        <f aca="false" t="array" ref="H25:H25">INDEX(Matériaux!$B$16:$B$20,$D25)</f>
        <v>50</v>
      </c>
      <c r="I25" s="16" t="n">
        <f aca="false">IF(ISNUMBER($C$3),MIN(MAX(0,ROUND($C$3,0)),$AI25),$AI25)</f>
        <v>0</v>
      </c>
      <c r="J25" s="18" t="n">
        <f aca="false">$H25+$I25</f>
        <v>50</v>
      </c>
      <c r="K25" s="15" t="s">
        <v>109</v>
      </c>
      <c r="L25" s="19" t="n">
        <f aca="false" t="array" ref="L25:L25">IF(AND(INDEX(Profils!$F$5:$F$34,$AE25)&gt;0,INDEX(Profils!$U$5:$U$34,$AE25)&lt;=$AH25),ROUND(INDEX(Profils!$F$5:$F$34,$AE25)*Paramètres!$E$22*$AG25*$AJ25,Paramètres!$F$22),0)</f>
        <v>22</v>
      </c>
      <c r="M25" s="19" t="n">
        <f aca="false" t="array" ref="M25:M25">IF(AND(INDEX(Profils!$G$5:$G$34,$AE25)&gt;0,INDEX(Profils!$V$5:$V$34,$AE25)&lt;=$AH25),ROUND(INDEX(Profils!$G$5:$G$34,$AE25)*Paramètres!$E$23*$AG25*$AJ25,Paramètres!$F$23),0)</f>
        <v>0</v>
      </c>
      <c r="N25" s="19" t="n">
        <f aca="false" t="array" ref="N25:N25">IF(AND(INDEX(Profils!$H$5:$H$34,$AE25)&gt;0,INDEX(Profils!$W$5:$W$34,$AE25)&lt;=$AH25),ROUND(INDEX(Profils!$H$5:$H$34,$AE25)*Paramètres!$E$24*$AG25*$AJ25,Paramètres!$F$24),0)</f>
        <v>10</v>
      </c>
      <c r="O25" s="19" t="n">
        <f aca="false" t="array" ref="O25:O25">IF(AND(INDEX(Profils!$I$5:$I$34,$AE25)&gt;0,INDEX(Profils!$X$5:$X$34,$AE25)&lt;=$AH25),ROUND(INDEX(Profils!$I$5:$I$34,$AE25)*Paramètres!$E$25*$AG25*$AJ25,Paramètres!$F$25),0)</f>
        <v>0</v>
      </c>
      <c r="P25" s="19" t="n">
        <f aca="false" t="array" ref="P25:P25">IF(AND(INDEX(Profils!$J$5:$J$34,$AE25)&gt;0,INDEX(Profils!$Y$5:$Y$34,$AE25)&lt;=$AH25),ROUND(INDEX(Profils!$J$5:$J$34,$AE25)*Paramètres!$E$26*$AG25*$AJ25,Paramètres!$F$26),0)</f>
        <v>0</v>
      </c>
      <c r="Q25" s="19" t="n">
        <f aca="false" t="array" ref="Q25:Q25">IF(AND(INDEX(Profils!$K$5:$K$34,$AE25)&gt;0,INDEX(Profils!$Z$5:$Z$34,$AE25)&lt;=$AH25),ROUND(INDEX(Profils!$K$5:$K$34,$AE25)*Paramètres!$E$27*$AG25*$AJ25,Paramètres!$F$27),0)</f>
        <v>0</v>
      </c>
      <c r="R25" s="20" t="n">
        <f aca="false" t="array" ref="R25:R25">IF(AND(INDEX(Profils!$L$5:$L$34,$AE25)&gt;0,INDEX(Profils!$AA$5:$AA$34,$AE25)&lt;=$AH25),ROUND(INDEX(Profils!$L$5:$L$34,$AE25)*Paramètres!$E$28*$AG25*$AJ25,Paramètres!$F$28),0)</f>
        <v>0</v>
      </c>
      <c r="S25" s="20" t="n">
        <f aca="false" t="array" ref="S25:S25">IF(AND(INDEX(Profils!$M$5:$M$34,$AE25)&gt;0,INDEX(Profils!$AB$5:$AB$34,$AE25)&lt;=$AH25),ROUND(INDEX(Profils!$M$5:$M$34,$AE25)*Paramètres!$E$29*$AG25*$AJ25,Paramètres!$F$29),0)</f>
        <v>0</v>
      </c>
      <c r="T25" s="20" t="n">
        <f aca="false" t="array" ref="T25:T25">IF(AND(INDEX(Profils!$N$5:$N$34,$AE25)&gt;0,INDEX(Profils!$AC$5:$AC$34,$AE25)&lt;=$AH25),ROUND(INDEX(Profils!$N$5:$N$34,$AE25)*Paramètres!$E$30*$AG25*$AJ25,Paramètres!$F$30),0)</f>
        <v>0</v>
      </c>
      <c r="U25" s="19" t="n">
        <f aca="false" t="array" ref="U25:U25">IF(AND(INDEX(Profils!$O$5:$O$34,$AE25)&gt;0,INDEX(Profils!$AD$5:$AD$34,$AE25)&lt;=$AH25),ROUND(INDEX(Profils!$O$5:$O$34,$AE25)*Paramètres!$E$31*$AG25*$AJ25,Paramètres!$F$31),0)</f>
        <v>13</v>
      </c>
      <c r="V25" s="20" t="n">
        <f aca="false" t="array" ref="V25:V25">IF(AND(INDEX(Profils!$P$5:$P$34,$AE25)&gt;0,INDEX(Profils!$AE$5:$AE$34,$AE25)&lt;=$AH25),ROUND(INDEX(Profils!$P$5:$P$34,$AE25)*Paramètres!$E$32*$AG25*$AJ25,Paramètres!$F$32),0)</f>
        <v>0</v>
      </c>
      <c r="W25" s="20" t="n">
        <f aca="false" t="array" ref="W25:W25">IF(AND(INDEX(Profils!$Q$5:$Q$34,$AE25)&gt;0,INDEX(Profils!$AF$5:$AF$34,$AE25)&lt;=$AH25),ROUND(INDEX(Profils!$Q$5:$Q$34,$AE25)*Paramètres!$E$33*$AG25*$AJ25,Paramètres!$F$33),0)</f>
        <v>0</v>
      </c>
      <c r="X25" s="20" t="n">
        <f aca="false" t="array" ref="X25:X25">IF(AND(INDEX(Profils!$R$5:$R$34,$AE25)&gt;0,INDEX(Profils!$AG$5:$AG$34,$AE25)&lt;=$AH25),ROUND(INDEX(Profils!$R$5:$R$34,$AE25)*Paramètres!$E$34*$AG25*$AJ25,Paramètres!$F$34),0)</f>
        <v>0</v>
      </c>
      <c r="Y25" s="20" t="n">
        <f aca="false" t="array" ref="Y25:Y25">IF(AND(INDEX(Profils!$S$5:$S$34,$AE25)&gt;0,INDEX(Profils!$AH$5:$AH$34,$AE25)&lt;=$AH25),ROUND(INDEX(Profils!$S$5:$S$34,$AE25)*Paramètres!$E$35*$AG25*$AJ25,Paramètres!$F$35),0)</f>
        <v>0</v>
      </c>
      <c r="Z25" s="21" t="n">
        <f aca="false">ROUND(L25/Paramètres!$E$22+M25/Paramètres!$E$23+N25/Paramètres!$E$24+O25/Paramètres!$E$25+P25/Paramètres!$E$26+Q25/Paramètres!$E$27+R25/Paramètres!$E$28+S25/Paramètres!$E$29+T25/Paramètres!$E$30+U25/Paramètres!$E$31+V25/Paramètres!$E$32+W25/Paramètres!$E$33+X25/Paramètres!$E$34+Y25/Paramètres!$E$35,1)</f>
        <v>2.2</v>
      </c>
      <c r="AA25" s="22" t="s">
        <v>109</v>
      </c>
      <c r="AB25" s="22" t="s">
        <v>109</v>
      </c>
      <c r="AC25" s="15" t="str">
        <f aca="false">$E25</f>
        <v>mithril</v>
      </c>
      <c r="AD25" s="16" t="n">
        <f aca="false" t="array" ref="AD25:AD25">IF($I25&gt;=$AI25,"Max",ROUND(Paramètres!$B$40*($I25+1)^Paramètres!$B$41*INDEX(Paramètres!$H$6:$H$12,$AF25),0))</f>
        <v>4</v>
      </c>
      <c r="AE25" s="23" t="n">
        <f aca="false">MATCH($B25&amp;"|"&amp;$C25,Profils!$A$5:$A$34,0)</f>
        <v>1</v>
      </c>
      <c r="AF25" s="23" t="n">
        <v>2</v>
      </c>
      <c r="AG25" s="24" t="n">
        <f aca="false" t="array" ref="AG25:AG25">INDEX(Paramètres!$C$6:$C$12,$AF25)</f>
        <v>1.2</v>
      </c>
      <c r="AH25" s="23" t="n">
        <f aca="false" t="array" ref="AH25:AH25">INDEX(Paramètres!$D$6:$D$12,$AF25)</f>
        <v>3</v>
      </c>
      <c r="AI25" s="23" t="n">
        <f aca="false" t="array" ref="AI25:AI25">INDEX(Matériaux!$C$16:$C$20,$D25)</f>
        <v>25</v>
      </c>
      <c r="AJ25" s="25" t="n">
        <f aca="false">Paramètres!$B$16+(1-Paramètres!$B$16)*(($J25-Paramètres!$B$14)/(Paramètres!$B$15-Paramètres!$B$14))^Paramètres!$B$17</f>
        <v>0.458504333336152</v>
      </c>
    </row>
    <row r="26" customFormat="false" ht="15.75" hidden="false" customHeight="true" outlineLevel="0" collapsed="false">
      <c r="A26" s="14" t="s">
        <v>134</v>
      </c>
      <c r="B26" s="15" t="s">
        <v>27</v>
      </c>
      <c r="C26" s="15" t="s">
        <v>107</v>
      </c>
      <c r="D26" s="16" t="n">
        <v>4</v>
      </c>
      <c r="E26" s="15" t="str">
        <f aca="false" t="array" ref="E26:E26">INDEX(Matériaux!$B$5:$F$12,MATCH(INDEX(Profils!$E$5:$E$34,$AE26),Matériaux!$A$5:$A$12,0),$D26)</f>
        <v>mithril</v>
      </c>
      <c r="F26" s="27" t="s">
        <v>113</v>
      </c>
      <c r="G26" s="10" t="str">
        <f aca="false" t="array" ref="G26:G26">INDEX(Profils!$D$5:$D$34,$AE26)&amp;" en "&amp;$E26</f>
        <v>Casque en mithril</v>
      </c>
      <c r="H26" s="16" t="n">
        <f aca="false" t="array" ref="H26:H26">INDEX(Matériaux!$B$16:$B$20,$D26)</f>
        <v>50</v>
      </c>
      <c r="I26" s="16" t="n">
        <f aca="false">IF(ISNUMBER($C$3),MIN(MAX(0,ROUND($C$3,0)),$AI26),$AI26)</f>
        <v>0</v>
      </c>
      <c r="J26" s="18" t="n">
        <f aca="false">$H26+$I26</f>
        <v>50</v>
      </c>
      <c r="K26" s="15" t="s">
        <v>109</v>
      </c>
      <c r="L26" s="19" t="n">
        <f aca="false" t="array" ref="L26:L26">IF(AND(INDEX(Profils!$F$5:$F$34,$AE26)&gt;0,INDEX(Profils!$U$5:$U$34,$AE26)&lt;=$AH26),ROUND(INDEX(Profils!$F$5:$F$34,$AE26)*Paramètres!$E$22*$AG26*$AJ26,Paramètres!$F$22),0)</f>
        <v>27</v>
      </c>
      <c r="M26" s="19" t="n">
        <f aca="false" t="array" ref="M26:M26">IF(AND(INDEX(Profils!$G$5:$G$34,$AE26)&gt;0,INDEX(Profils!$V$5:$V$34,$AE26)&lt;=$AH26),ROUND(INDEX(Profils!$G$5:$G$34,$AE26)*Paramètres!$E$23*$AG26*$AJ26,Paramètres!$F$23),0)</f>
        <v>0</v>
      </c>
      <c r="N26" s="19" t="n">
        <f aca="false" t="array" ref="N26:N26">IF(AND(INDEX(Profils!$H$5:$H$34,$AE26)&gt;0,INDEX(Profils!$W$5:$W$34,$AE26)&lt;=$AH26),ROUND(INDEX(Profils!$H$5:$H$34,$AE26)*Paramètres!$E$24*$AG26*$AJ26,Paramètres!$F$24),0)</f>
        <v>12</v>
      </c>
      <c r="O26" s="19" t="n">
        <f aca="false" t="array" ref="O26:O26">IF(AND(INDEX(Profils!$I$5:$I$34,$AE26)&gt;0,INDEX(Profils!$X$5:$X$34,$AE26)&lt;=$AH26),ROUND(INDEX(Profils!$I$5:$I$34,$AE26)*Paramètres!$E$25*$AG26*$AJ26,Paramètres!$F$25),0)</f>
        <v>0</v>
      </c>
      <c r="P26" s="19" t="n">
        <f aca="false" t="array" ref="P26:P26">IF(AND(INDEX(Profils!$J$5:$J$34,$AE26)&gt;0,INDEX(Profils!$Y$5:$Y$34,$AE26)&lt;=$AH26),ROUND(INDEX(Profils!$J$5:$J$34,$AE26)*Paramètres!$E$26*$AG26*$AJ26,Paramètres!$F$26),0)</f>
        <v>0</v>
      </c>
      <c r="Q26" s="19" t="n">
        <f aca="false" t="array" ref="Q26:Q26">IF(AND(INDEX(Profils!$K$5:$K$34,$AE26)&gt;0,INDEX(Profils!$Z$5:$Z$34,$AE26)&lt;=$AH26),ROUND(INDEX(Profils!$K$5:$K$34,$AE26)*Paramètres!$E$27*$AG26*$AJ26,Paramètres!$F$27),0)</f>
        <v>0</v>
      </c>
      <c r="R26" s="20" t="n">
        <f aca="false" t="array" ref="R26:R26">IF(AND(INDEX(Profils!$L$5:$L$34,$AE26)&gt;0,INDEX(Profils!$AA$5:$AA$34,$AE26)&lt;=$AH26),ROUND(INDEX(Profils!$L$5:$L$34,$AE26)*Paramètres!$E$28*$AG26*$AJ26,Paramètres!$F$28),0)</f>
        <v>0</v>
      </c>
      <c r="S26" s="20" t="n">
        <f aca="false" t="array" ref="S26:S26">IF(AND(INDEX(Profils!$M$5:$M$34,$AE26)&gt;0,INDEX(Profils!$AB$5:$AB$34,$AE26)&lt;=$AH26),ROUND(INDEX(Profils!$M$5:$M$34,$AE26)*Paramètres!$E$29*$AG26*$AJ26,Paramètres!$F$29),0)</f>
        <v>0</v>
      </c>
      <c r="T26" s="20" t="n">
        <f aca="false" t="array" ref="T26:T26">IF(AND(INDEX(Profils!$N$5:$N$34,$AE26)&gt;0,INDEX(Profils!$AC$5:$AC$34,$AE26)&lt;=$AH26),ROUND(INDEX(Profils!$N$5:$N$34,$AE26)*Paramètres!$E$30*$AG26*$AJ26,Paramètres!$F$30),0)</f>
        <v>0</v>
      </c>
      <c r="U26" s="19" t="n">
        <f aca="false" t="array" ref="U26:U26">IF(AND(INDEX(Profils!$O$5:$O$34,$AE26)&gt;0,INDEX(Profils!$AD$5:$AD$34,$AE26)&lt;=$AH26),ROUND(INDEX(Profils!$O$5:$O$34,$AE26)*Paramètres!$E$31*$AG26*$AJ26,Paramètres!$F$31),0)</f>
        <v>16</v>
      </c>
      <c r="V26" s="20" t="n">
        <f aca="false" t="array" ref="V26:V26">IF(AND(INDEX(Profils!$P$5:$P$34,$AE26)&gt;0,INDEX(Profils!$AE$5:$AE$34,$AE26)&lt;=$AH26),ROUND(INDEX(Profils!$P$5:$P$34,$AE26)*Paramètres!$E$32*$AG26*$AJ26,Paramètres!$F$32),0)</f>
        <v>0</v>
      </c>
      <c r="W26" s="20" t="n">
        <f aca="false" t="array" ref="W26:W26">IF(AND(INDEX(Profils!$Q$5:$Q$34,$AE26)&gt;0,INDEX(Profils!$AF$5:$AF$34,$AE26)&lt;=$AH26),ROUND(INDEX(Profils!$Q$5:$Q$34,$AE26)*Paramètres!$E$33*$AG26*$AJ26,Paramètres!$F$33),0)</f>
        <v>0</v>
      </c>
      <c r="X26" s="20" t="n">
        <f aca="false" t="array" ref="X26:X26">IF(AND(INDEX(Profils!$R$5:$R$34,$AE26)&gt;0,INDEX(Profils!$AG$5:$AG$34,$AE26)&lt;=$AH26),ROUND(INDEX(Profils!$R$5:$R$34,$AE26)*Paramètres!$E$34*$AG26*$AJ26,Paramètres!$F$34),0)</f>
        <v>0</v>
      </c>
      <c r="Y26" s="20" t="n">
        <f aca="false" t="array" ref="Y26:Y26">IF(AND(INDEX(Profils!$S$5:$S$34,$AE26)&gt;0,INDEX(Profils!$AH$5:$AH$34,$AE26)&lt;=$AH26),ROUND(INDEX(Profils!$S$5:$S$34,$AE26)*Paramètres!$E$35*$AG26*$AJ26,Paramètres!$F$35),0)</f>
        <v>0.01</v>
      </c>
      <c r="Z26" s="21" t="n">
        <f aca="false">ROUND(L26/Paramètres!$E$22+M26/Paramètres!$E$23+N26/Paramètres!$E$24+O26/Paramètres!$E$25+P26/Paramètres!$E$26+Q26/Paramètres!$E$27+R26/Paramètres!$E$28+S26/Paramètres!$E$29+T26/Paramètres!$E$30+U26/Paramètres!$E$31+V26/Paramètres!$E$32+W26/Paramètres!$E$33+X26/Paramètres!$E$34+Y26/Paramètres!$E$35,1)</f>
        <v>3.3</v>
      </c>
      <c r="AA26" s="22" t="s">
        <v>109</v>
      </c>
      <c r="AB26" s="22" t="s">
        <v>109</v>
      </c>
      <c r="AC26" s="15" t="str">
        <f aca="false">$E26</f>
        <v>mithril</v>
      </c>
      <c r="AD26" s="16" t="n">
        <f aca="false" t="array" ref="AD26:AD26">IF($I26&gt;=$AI26,"Max",ROUND(Paramètres!$B$40*($I26+1)^Paramètres!$B$41*INDEX(Paramètres!$H$6:$H$12,$AF26),0))</f>
        <v>4</v>
      </c>
      <c r="AE26" s="23" t="n">
        <f aca="false">MATCH($B26&amp;"|"&amp;$C26,Profils!$A$5:$A$34,0)</f>
        <v>1</v>
      </c>
      <c r="AF26" s="23" t="n">
        <v>3</v>
      </c>
      <c r="AG26" s="24" t="n">
        <f aca="false" t="array" ref="AG26:AG26">INDEX(Paramètres!$C$6:$C$12,$AF26)</f>
        <v>1.45</v>
      </c>
      <c r="AH26" s="23" t="n">
        <f aca="false" t="array" ref="AH26:AH26">INDEX(Paramètres!$D$6:$D$12,$AF26)</f>
        <v>4</v>
      </c>
      <c r="AI26" s="23" t="n">
        <f aca="false" t="array" ref="AI26:AI26">INDEX(Matériaux!$C$16:$C$20,$D26)</f>
        <v>25</v>
      </c>
      <c r="AJ26" s="25" t="n">
        <f aca="false">Paramètres!$B$16+(1-Paramètres!$B$16)*(($J26-Paramètres!$B$14)/(Paramètres!$B$15-Paramètres!$B$14))^Paramètres!$B$17</f>
        <v>0.458504333336152</v>
      </c>
    </row>
    <row r="27" customFormat="false" ht="15.75" hidden="false" customHeight="true" outlineLevel="0" collapsed="false">
      <c r="A27" s="14" t="s">
        <v>135</v>
      </c>
      <c r="B27" s="15" t="s">
        <v>27</v>
      </c>
      <c r="C27" s="15" t="s">
        <v>107</v>
      </c>
      <c r="D27" s="16" t="n">
        <v>4</v>
      </c>
      <c r="E27" s="15" t="str">
        <f aca="false" t="array" ref="E27:E27">INDEX(Matériaux!$B$5:$F$12,MATCH(INDEX(Profils!$E$5:$E$34,$AE27),Matériaux!$A$5:$A$12,0),$D27)</f>
        <v>mithril</v>
      </c>
      <c r="F27" s="28" t="s">
        <v>115</v>
      </c>
      <c r="G27" s="10" t="str">
        <f aca="false" t="array" ref="G27:G27">INDEX(Profils!$D$5:$D$34,$AE27)&amp;" en "&amp;$E27</f>
        <v>Casque en mithril</v>
      </c>
      <c r="H27" s="16" t="n">
        <f aca="false" t="array" ref="H27:H27">INDEX(Matériaux!$B$16:$B$20,$D27)</f>
        <v>50</v>
      </c>
      <c r="I27" s="16" t="n">
        <f aca="false">IF(ISNUMBER($C$3),MIN(MAX(0,ROUND($C$3,0)),$AI27),$AI27)</f>
        <v>0</v>
      </c>
      <c r="J27" s="18" t="n">
        <f aca="false">$H27+$I27</f>
        <v>50</v>
      </c>
      <c r="K27" s="15" t="s">
        <v>109</v>
      </c>
      <c r="L27" s="19" t="n">
        <f aca="false" t="array" ref="L27:L27">IF(AND(INDEX(Profils!$F$5:$F$34,$AE27)&gt;0,INDEX(Profils!$U$5:$U$34,$AE27)&lt;=$AH27),ROUND(INDEX(Profils!$F$5:$F$34,$AE27)*Paramètres!$E$22*$AG27*$AJ27,Paramètres!$F$22),0)</f>
        <v>32</v>
      </c>
      <c r="M27" s="19" t="n">
        <f aca="false" t="array" ref="M27:M27">IF(AND(INDEX(Profils!$G$5:$G$34,$AE27)&gt;0,INDEX(Profils!$V$5:$V$34,$AE27)&lt;=$AH27),ROUND(INDEX(Profils!$G$5:$G$34,$AE27)*Paramètres!$E$23*$AG27*$AJ27,Paramètres!$F$23),0)</f>
        <v>0</v>
      </c>
      <c r="N27" s="19" t="n">
        <f aca="false" t="array" ref="N27:N27">IF(AND(INDEX(Profils!$H$5:$H$34,$AE27)&gt;0,INDEX(Profils!$W$5:$W$34,$AE27)&lt;=$AH27),ROUND(INDEX(Profils!$H$5:$H$34,$AE27)*Paramètres!$E$24*$AG27*$AJ27,Paramètres!$F$24),0)</f>
        <v>14</v>
      </c>
      <c r="O27" s="19" t="n">
        <f aca="false" t="array" ref="O27:O27">IF(AND(INDEX(Profils!$I$5:$I$34,$AE27)&gt;0,INDEX(Profils!$X$5:$X$34,$AE27)&lt;=$AH27),ROUND(INDEX(Profils!$I$5:$I$34,$AE27)*Paramètres!$E$25*$AG27*$AJ27,Paramètres!$F$25),0)</f>
        <v>0</v>
      </c>
      <c r="P27" s="19" t="n">
        <f aca="false" t="array" ref="P27:P27">IF(AND(INDEX(Profils!$J$5:$J$34,$AE27)&gt;0,INDEX(Profils!$Y$5:$Y$34,$AE27)&lt;=$AH27),ROUND(INDEX(Profils!$J$5:$J$34,$AE27)*Paramètres!$E$26*$AG27*$AJ27,Paramètres!$F$26),0)</f>
        <v>0</v>
      </c>
      <c r="Q27" s="19" t="n">
        <f aca="false" t="array" ref="Q27:Q27">IF(AND(INDEX(Profils!$K$5:$K$34,$AE27)&gt;0,INDEX(Profils!$Z$5:$Z$34,$AE27)&lt;=$AH27),ROUND(INDEX(Profils!$K$5:$K$34,$AE27)*Paramètres!$E$27*$AG27*$AJ27,Paramètres!$F$27),0)</f>
        <v>0</v>
      </c>
      <c r="R27" s="20" t="n">
        <f aca="false" t="array" ref="R27:R27">IF(AND(INDEX(Profils!$L$5:$L$34,$AE27)&gt;0,INDEX(Profils!$AA$5:$AA$34,$AE27)&lt;=$AH27),ROUND(INDEX(Profils!$L$5:$L$34,$AE27)*Paramètres!$E$28*$AG27*$AJ27,Paramètres!$F$28),0)</f>
        <v>0</v>
      </c>
      <c r="S27" s="20" t="n">
        <f aca="false" t="array" ref="S27:S27">IF(AND(INDEX(Profils!$M$5:$M$34,$AE27)&gt;0,INDEX(Profils!$AB$5:$AB$34,$AE27)&lt;=$AH27),ROUND(INDEX(Profils!$M$5:$M$34,$AE27)*Paramètres!$E$29*$AG27*$AJ27,Paramètres!$F$29),0)</f>
        <v>0</v>
      </c>
      <c r="T27" s="20" t="n">
        <f aca="false" t="array" ref="T27:T27">IF(AND(INDEX(Profils!$N$5:$N$34,$AE27)&gt;0,INDEX(Profils!$AC$5:$AC$34,$AE27)&lt;=$AH27),ROUND(INDEX(Profils!$N$5:$N$34,$AE27)*Paramètres!$E$30*$AG27*$AJ27,Paramètres!$F$30),0)</f>
        <v>0</v>
      </c>
      <c r="U27" s="19" t="n">
        <f aca="false" t="array" ref="U27:U27">IF(AND(INDEX(Profils!$O$5:$O$34,$AE27)&gt;0,INDEX(Profils!$AD$5:$AD$34,$AE27)&lt;=$AH27),ROUND(INDEX(Profils!$O$5:$O$34,$AE27)*Paramètres!$E$31*$AG27*$AJ27,Paramètres!$F$31),0)</f>
        <v>19</v>
      </c>
      <c r="V27" s="20" t="n">
        <f aca="false" t="array" ref="V27:V27">IF(AND(INDEX(Profils!$P$5:$P$34,$AE27)&gt;0,INDEX(Profils!$AE$5:$AE$34,$AE27)&lt;=$AH27),ROUND(INDEX(Profils!$P$5:$P$34,$AE27)*Paramètres!$E$32*$AG27*$AJ27,Paramètres!$F$32),0)</f>
        <v>0</v>
      </c>
      <c r="W27" s="20" t="n">
        <f aca="false" t="array" ref="W27:W27">IF(AND(INDEX(Profils!$Q$5:$Q$34,$AE27)&gt;0,INDEX(Profils!$AF$5:$AF$34,$AE27)&lt;=$AH27),ROUND(INDEX(Profils!$Q$5:$Q$34,$AE27)*Paramètres!$E$33*$AG27*$AJ27,Paramètres!$F$33),0)</f>
        <v>0.007</v>
      </c>
      <c r="X27" s="20" t="n">
        <f aca="false" t="array" ref="X27:X27">IF(AND(INDEX(Profils!$R$5:$R$34,$AE27)&gt;0,INDEX(Profils!$AG$5:$AG$34,$AE27)&lt;=$AH27),ROUND(INDEX(Profils!$R$5:$R$34,$AE27)*Paramètres!$E$34*$AG27*$AJ27,Paramètres!$F$34),0)</f>
        <v>0</v>
      </c>
      <c r="Y27" s="20" t="n">
        <f aca="false" t="array" ref="Y27:Y27">IF(AND(INDEX(Profils!$S$5:$S$34,$AE27)&gt;0,INDEX(Profils!$AH$5:$AH$34,$AE27)&lt;=$AH27),ROUND(INDEX(Profils!$S$5:$S$34,$AE27)*Paramètres!$E$35*$AG27*$AJ27,Paramètres!$F$35),0)</f>
        <v>0.012</v>
      </c>
      <c r="Z27" s="21" t="n">
        <f aca="false">ROUND(L27/Paramètres!$E$22+M27/Paramètres!$E$23+N27/Paramètres!$E$24+O27/Paramètres!$E$25+P27/Paramètres!$E$26+Q27/Paramètres!$E$27+R27/Paramètres!$E$28+S27/Paramètres!$E$29+T27/Paramètres!$E$30+U27/Paramètres!$E$31+V27/Paramètres!$E$32+W27/Paramètres!$E$33+X27/Paramètres!$E$34+Y27/Paramètres!$E$35,1)</f>
        <v>4.4</v>
      </c>
      <c r="AA27" s="22" t="s">
        <v>109</v>
      </c>
      <c r="AB27" s="22" t="s">
        <v>109</v>
      </c>
      <c r="AC27" s="15" t="str">
        <f aca="false">$E27</f>
        <v>mithril</v>
      </c>
      <c r="AD27" s="16" t="n">
        <f aca="false" t="array" ref="AD27:AD27">IF($I27&gt;=$AI27,"Max",ROUND(Paramètres!$B$40*($I27+1)^Paramètres!$B$41*INDEX(Paramètres!$H$6:$H$12,$AF27),0))</f>
        <v>5</v>
      </c>
      <c r="AE27" s="23" t="n">
        <f aca="false">MATCH($B27&amp;"|"&amp;$C27,Profils!$A$5:$A$34,0)</f>
        <v>1</v>
      </c>
      <c r="AF27" s="23" t="n">
        <v>4</v>
      </c>
      <c r="AG27" s="24" t="n">
        <f aca="false" t="array" ref="AG27:AG27">INDEX(Paramètres!$C$6:$C$12,$AF27)</f>
        <v>1.75</v>
      </c>
      <c r="AH27" s="23" t="n">
        <f aca="false" t="array" ref="AH27:AH27">INDEX(Paramètres!$D$6:$D$12,$AF27)</f>
        <v>5</v>
      </c>
      <c r="AI27" s="23" t="n">
        <f aca="false" t="array" ref="AI27:AI27">INDEX(Matériaux!$C$16:$C$20,$D27)</f>
        <v>25</v>
      </c>
      <c r="AJ27" s="25" t="n">
        <f aca="false">Paramètres!$B$16+(1-Paramètres!$B$16)*(($J27-Paramètres!$B$14)/(Paramètres!$B$15-Paramètres!$B$14))^Paramètres!$B$17</f>
        <v>0.458504333336152</v>
      </c>
    </row>
    <row r="28" customFormat="false" ht="15.75" hidden="false" customHeight="true" outlineLevel="0" collapsed="false">
      <c r="A28" s="14" t="s">
        <v>136</v>
      </c>
      <c r="B28" s="15" t="s">
        <v>27</v>
      </c>
      <c r="C28" s="15" t="s">
        <v>107</v>
      </c>
      <c r="D28" s="16" t="n">
        <v>4</v>
      </c>
      <c r="E28" s="15" t="str">
        <f aca="false" t="array" ref="E28:E28">INDEX(Matériaux!$B$5:$F$12,MATCH(INDEX(Profils!$E$5:$E$34,$AE28),Matériaux!$A$5:$A$12,0),$D28)</f>
        <v>mithril</v>
      </c>
      <c r="F28" s="29" t="s">
        <v>117</v>
      </c>
      <c r="G28" s="10" t="str">
        <f aca="false" t="array" ref="G28:G28">INDEX(Profils!$D$5:$D$34,$AE28)&amp;" en "&amp;$E28</f>
        <v>Casque en mithril</v>
      </c>
      <c r="H28" s="16" t="n">
        <f aca="false" t="array" ref="H28:H28">INDEX(Matériaux!$B$16:$B$20,$D28)</f>
        <v>50</v>
      </c>
      <c r="I28" s="16" t="n">
        <f aca="false">IF(ISNUMBER($C$3),MIN(MAX(0,ROUND($C$3,0)),$AI28),$AI28)</f>
        <v>0</v>
      </c>
      <c r="J28" s="18" t="n">
        <f aca="false">$H28+$I28</f>
        <v>50</v>
      </c>
      <c r="K28" s="15" t="s">
        <v>109</v>
      </c>
      <c r="L28" s="19" t="n">
        <f aca="false" t="array" ref="L28:L28">IF(AND(INDEX(Profils!$F$5:$F$34,$AE28)&gt;0,INDEX(Profils!$U$5:$U$34,$AE28)&lt;=$AH28),ROUND(INDEX(Profils!$F$5:$F$34,$AE28)*Paramètres!$E$22*$AG28*$AJ28,Paramètres!$F$22),0)</f>
        <v>39</v>
      </c>
      <c r="M28" s="19" t="n">
        <f aca="false" t="array" ref="M28:M28">IF(AND(INDEX(Profils!$G$5:$G$34,$AE28)&gt;0,INDEX(Profils!$V$5:$V$34,$AE28)&lt;=$AH28),ROUND(INDEX(Profils!$G$5:$G$34,$AE28)*Paramètres!$E$23*$AG28*$AJ28,Paramètres!$F$23),0)</f>
        <v>7</v>
      </c>
      <c r="N28" s="19" t="n">
        <f aca="false" t="array" ref="N28:N28">IF(AND(INDEX(Profils!$H$5:$H$34,$AE28)&gt;0,INDEX(Profils!$W$5:$W$34,$AE28)&lt;=$AH28),ROUND(INDEX(Profils!$H$5:$H$34,$AE28)*Paramètres!$E$24*$AG28*$AJ28,Paramètres!$F$24),0)</f>
        <v>17</v>
      </c>
      <c r="O28" s="19" t="n">
        <f aca="false" t="array" ref="O28:O28">IF(AND(INDEX(Profils!$I$5:$I$34,$AE28)&gt;0,INDEX(Profils!$X$5:$X$34,$AE28)&lt;=$AH28),ROUND(INDEX(Profils!$I$5:$I$34,$AE28)*Paramètres!$E$25*$AG28*$AJ28,Paramètres!$F$25),0)</f>
        <v>0</v>
      </c>
      <c r="P28" s="19" t="n">
        <f aca="false" t="array" ref="P28:P28">IF(AND(INDEX(Profils!$J$5:$J$34,$AE28)&gt;0,INDEX(Profils!$Y$5:$Y$34,$AE28)&lt;=$AH28),ROUND(INDEX(Profils!$J$5:$J$34,$AE28)*Paramètres!$E$26*$AG28*$AJ28,Paramètres!$F$26),0)</f>
        <v>0</v>
      </c>
      <c r="Q28" s="19" t="n">
        <f aca="false" t="array" ref="Q28:Q28">IF(AND(INDEX(Profils!$K$5:$K$34,$AE28)&gt;0,INDEX(Profils!$Z$5:$Z$34,$AE28)&lt;=$AH28),ROUND(INDEX(Profils!$K$5:$K$34,$AE28)*Paramètres!$E$27*$AG28*$AJ28,Paramètres!$F$27),0)</f>
        <v>0</v>
      </c>
      <c r="R28" s="20" t="n">
        <f aca="false" t="array" ref="R28:R28">IF(AND(INDEX(Profils!$L$5:$L$34,$AE28)&gt;0,INDEX(Profils!$AA$5:$AA$34,$AE28)&lt;=$AH28),ROUND(INDEX(Profils!$L$5:$L$34,$AE28)*Paramètres!$E$28*$AG28*$AJ28,Paramètres!$F$28),0)</f>
        <v>0</v>
      </c>
      <c r="S28" s="20" t="n">
        <f aca="false" t="array" ref="S28:S28">IF(AND(INDEX(Profils!$M$5:$M$34,$AE28)&gt;0,INDEX(Profils!$AB$5:$AB$34,$AE28)&lt;=$AH28),ROUND(INDEX(Profils!$M$5:$M$34,$AE28)*Paramètres!$E$29*$AG28*$AJ28,Paramètres!$F$29),0)</f>
        <v>0</v>
      </c>
      <c r="T28" s="20" t="n">
        <f aca="false" t="array" ref="T28:T28">IF(AND(INDEX(Profils!$N$5:$N$34,$AE28)&gt;0,INDEX(Profils!$AC$5:$AC$34,$AE28)&lt;=$AH28),ROUND(INDEX(Profils!$N$5:$N$34,$AE28)*Paramètres!$E$30*$AG28*$AJ28,Paramètres!$F$30),0)</f>
        <v>0</v>
      </c>
      <c r="U28" s="19" t="n">
        <f aca="false" t="array" ref="U28:U28">IF(AND(INDEX(Profils!$O$5:$O$34,$AE28)&gt;0,INDEX(Profils!$AD$5:$AD$34,$AE28)&lt;=$AH28),ROUND(INDEX(Profils!$O$5:$O$34,$AE28)*Paramètres!$E$31*$AG28*$AJ28,Paramètres!$F$31),0)</f>
        <v>23</v>
      </c>
      <c r="V28" s="20" t="n">
        <f aca="false" t="array" ref="V28:V28">IF(AND(INDEX(Profils!$P$5:$P$34,$AE28)&gt;0,INDEX(Profils!$AE$5:$AE$34,$AE28)&lt;=$AH28),ROUND(INDEX(Profils!$P$5:$P$34,$AE28)*Paramètres!$E$32*$AG28*$AJ28,Paramètres!$F$32),0)</f>
        <v>0</v>
      </c>
      <c r="W28" s="20" t="n">
        <f aca="false" t="array" ref="W28:W28">IF(AND(INDEX(Profils!$Q$5:$Q$34,$AE28)&gt;0,INDEX(Profils!$AF$5:$AF$34,$AE28)&lt;=$AH28),ROUND(INDEX(Profils!$Q$5:$Q$34,$AE28)*Paramètres!$E$33*$AG28*$AJ28,Paramètres!$F$33),0)</f>
        <v>0.009</v>
      </c>
      <c r="X28" s="20" t="n">
        <f aca="false" t="array" ref="X28:X28">IF(AND(INDEX(Profils!$R$5:$R$34,$AE28)&gt;0,INDEX(Profils!$AG$5:$AG$34,$AE28)&lt;=$AH28),ROUND(INDEX(Profils!$R$5:$R$34,$AE28)*Paramètres!$E$34*$AG28*$AJ28,Paramètres!$F$34),0)</f>
        <v>0</v>
      </c>
      <c r="Y28" s="20" t="n">
        <f aca="false" t="array" ref="Y28:Y28">IF(AND(INDEX(Profils!$S$5:$S$34,$AE28)&gt;0,INDEX(Profils!$AH$5:$AH$34,$AE28)&lt;=$AH28),ROUND(INDEX(Profils!$S$5:$S$34,$AE28)*Paramètres!$E$35*$AG28*$AJ28,Paramètres!$F$35),0)</f>
        <v>0.014</v>
      </c>
      <c r="Z28" s="21" t="n">
        <f aca="false">ROUND(L28/Paramètres!$E$22+M28/Paramètres!$E$23+N28/Paramètres!$E$24+O28/Paramètres!$E$25+P28/Paramètres!$E$26+Q28/Paramètres!$E$27+R28/Paramètres!$E$28+S28/Paramètres!$E$29+T28/Paramètres!$E$30+U28/Paramètres!$E$31+V28/Paramètres!$E$32+W28/Paramètres!$E$33+X28/Paramètres!$E$34+Y28/Paramètres!$E$35,1)</f>
        <v>5.8</v>
      </c>
      <c r="AA28" s="22" t="s">
        <v>109</v>
      </c>
      <c r="AB28" s="22" t="s">
        <v>109</v>
      </c>
      <c r="AC28" s="15" t="str">
        <f aca="false">$E28</f>
        <v>mithril</v>
      </c>
      <c r="AD28" s="16" t="n">
        <f aca="false" t="array" ref="AD28:AD28">IF($I28&gt;=$AI28,"Max",ROUND(Paramètres!$B$40*($I28+1)^Paramètres!$B$41*INDEX(Paramètres!$H$6:$H$12,$AF28),0))</f>
        <v>6</v>
      </c>
      <c r="AE28" s="23" t="n">
        <f aca="false">MATCH($B28&amp;"|"&amp;$C28,Profils!$A$5:$A$34,0)</f>
        <v>1</v>
      </c>
      <c r="AF28" s="23" t="n">
        <v>5</v>
      </c>
      <c r="AG28" s="24" t="n">
        <f aca="false" t="array" ref="AG28:AG28">INDEX(Paramètres!$C$6:$C$12,$AF28)</f>
        <v>2.1</v>
      </c>
      <c r="AH28" s="23" t="n">
        <f aca="false" t="array" ref="AH28:AH28">INDEX(Paramètres!$D$6:$D$12,$AF28)</f>
        <v>6</v>
      </c>
      <c r="AI28" s="23" t="n">
        <f aca="false" t="array" ref="AI28:AI28">INDEX(Matériaux!$C$16:$C$20,$D28)</f>
        <v>25</v>
      </c>
      <c r="AJ28" s="25" t="n">
        <f aca="false">Paramètres!$B$16+(1-Paramètres!$B$16)*(($J28-Paramètres!$B$14)/(Paramètres!$B$15-Paramètres!$B$14))^Paramètres!$B$17</f>
        <v>0.458504333336152</v>
      </c>
    </row>
    <row r="29" customFormat="false" ht="15.75" hidden="false" customHeight="true" outlineLevel="0" collapsed="false">
      <c r="A29" s="14" t="s">
        <v>137</v>
      </c>
      <c r="B29" s="15" t="s">
        <v>27</v>
      </c>
      <c r="C29" s="15" t="s">
        <v>107</v>
      </c>
      <c r="D29" s="16" t="n">
        <v>4</v>
      </c>
      <c r="E29" s="15" t="str">
        <f aca="false" t="array" ref="E29:E29">INDEX(Matériaux!$B$5:$F$12,MATCH(INDEX(Profils!$E$5:$E$34,$AE29),Matériaux!$A$5:$A$12,0),$D29)</f>
        <v>mithril</v>
      </c>
      <c r="F29" s="30" t="s">
        <v>119</v>
      </c>
      <c r="G29" s="10" t="str">
        <f aca="false" t="array" ref="G29:G29">INDEX(Profils!$D$5:$D$34,$AE29)&amp;" en "&amp;$E29</f>
        <v>Casque en mithril</v>
      </c>
      <c r="H29" s="16" t="n">
        <f aca="false" t="array" ref="H29:H29">INDEX(Matériaux!$B$16:$B$20,$D29)</f>
        <v>50</v>
      </c>
      <c r="I29" s="16" t="n">
        <f aca="false">IF(ISNUMBER($C$3),MIN(MAX(0,ROUND($C$3,0)),$AI29),$AI29)</f>
        <v>0</v>
      </c>
      <c r="J29" s="18" t="n">
        <f aca="false">$H29+$I29</f>
        <v>50</v>
      </c>
      <c r="K29" s="15" t="s">
        <v>109</v>
      </c>
      <c r="L29" s="19" t="n">
        <f aca="false" t="array" ref="L29:L29">IF(AND(INDEX(Profils!$F$5:$F$34,$AE29)&gt;0,INDEX(Profils!$U$5:$U$34,$AE29)&lt;=$AH29),ROUND(INDEX(Profils!$F$5:$F$34,$AE29)*Paramètres!$E$22*$AG29*$AJ29,Paramètres!$F$22),0)</f>
        <v>44</v>
      </c>
      <c r="M29" s="19" t="n">
        <f aca="false" t="array" ref="M29:M29">IF(AND(INDEX(Profils!$G$5:$G$34,$AE29)&gt;0,INDEX(Profils!$V$5:$V$34,$AE29)&lt;=$AH29),ROUND(INDEX(Profils!$G$5:$G$34,$AE29)*Paramètres!$E$23*$AG29*$AJ29,Paramètres!$F$23),0)</f>
        <v>8</v>
      </c>
      <c r="N29" s="19" t="n">
        <f aca="false" t="array" ref="N29:N29">IF(AND(INDEX(Profils!$H$5:$H$34,$AE29)&gt;0,INDEX(Profils!$W$5:$W$34,$AE29)&lt;=$AH29),ROUND(INDEX(Profils!$H$5:$H$34,$AE29)*Paramètres!$E$24*$AG29*$AJ29,Paramètres!$F$24),0)</f>
        <v>20</v>
      </c>
      <c r="O29" s="19" t="n">
        <f aca="false" t="array" ref="O29:O29">IF(AND(INDEX(Profils!$I$5:$I$34,$AE29)&gt;0,INDEX(Profils!$X$5:$X$34,$AE29)&lt;=$AH29),ROUND(INDEX(Profils!$I$5:$I$34,$AE29)*Paramètres!$E$25*$AG29*$AJ29,Paramètres!$F$25),0)</f>
        <v>0</v>
      </c>
      <c r="P29" s="19" t="n">
        <f aca="false" t="array" ref="P29:P29">IF(AND(INDEX(Profils!$J$5:$J$34,$AE29)&gt;0,INDEX(Profils!$Y$5:$Y$34,$AE29)&lt;=$AH29),ROUND(INDEX(Profils!$J$5:$J$34,$AE29)*Paramètres!$E$26*$AG29*$AJ29,Paramètres!$F$26),0)</f>
        <v>0</v>
      </c>
      <c r="Q29" s="19" t="n">
        <f aca="false" t="array" ref="Q29:Q29">IF(AND(INDEX(Profils!$K$5:$K$34,$AE29)&gt;0,INDEX(Profils!$Z$5:$Z$34,$AE29)&lt;=$AH29),ROUND(INDEX(Profils!$K$5:$K$34,$AE29)*Paramètres!$E$27*$AG29*$AJ29,Paramètres!$F$27),0)</f>
        <v>0</v>
      </c>
      <c r="R29" s="20" t="n">
        <f aca="false" t="array" ref="R29:R29">IF(AND(INDEX(Profils!$L$5:$L$34,$AE29)&gt;0,INDEX(Profils!$AA$5:$AA$34,$AE29)&lt;=$AH29),ROUND(INDEX(Profils!$L$5:$L$34,$AE29)*Paramètres!$E$28*$AG29*$AJ29,Paramètres!$F$28),0)</f>
        <v>0.007</v>
      </c>
      <c r="S29" s="20" t="n">
        <f aca="false" t="array" ref="S29:S29">IF(AND(INDEX(Profils!$M$5:$M$34,$AE29)&gt;0,INDEX(Profils!$AB$5:$AB$34,$AE29)&lt;=$AH29),ROUND(INDEX(Profils!$M$5:$M$34,$AE29)*Paramètres!$E$29*$AG29*$AJ29,Paramètres!$F$29),0)</f>
        <v>0</v>
      </c>
      <c r="T29" s="20" t="n">
        <f aca="false" t="array" ref="T29:T29">IF(AND(INDEX(Profils!$N$5:$N$34,$AE29)&gt;0,INDEX(Profils!$AC$5:$AC$34,$AE29)&lt;=$AH29),ROUND(INDEX(Profils!$N$5:$N$34,$AE29)*Paramètres!$E$30*$AG29*$AJ29,Paramètres!$F$30),0)</f>
        <v>0</v>
      </c>
      <c r="U29" s="19" t="n">
        <f aca="false" t="array" ref="U29:U29">IF(AND(INDEX(Profils!$O$5:$O$34,$AE29)&gt;0,INDEX(Profils!$AD$5:$AD$34,$AE29)&lt;=$AH29),ROUND(INDEX(Profils!$O$5:$O$34,$AE29)*Paramètres!$E$31*$AG29*$AJ29,Paramètres!$F$31),0)</f>
        <v>26</v>
      </c>
      <c r="V29" s="20" t="n">
        <f aca="false" t="array" ref="V29:V29">IF(AND(INDEX(Profils!$P$5:$P$34,$AE29)&gt;0,INDEX(Profils!$AE$5:$AE$34,$AE29)&lt;=$AH29),ROUND(INDEX(Profils!$P$5:$P$34,$AE29)*Paramètres!$E$32*$AG29*$AJ29,Paramètres!$F$32),0)</f>
        <v>0</v>
      </c>
      <c r="W29" s="20" t="n">
        <f aca="false" t="array" ref="W29:W29">IF(AND(INDEX(Profils!$Q$5:$Q$34,$AE29)&gt;0,INDEX(Profils!$AF$5:$AF$34,$AE29)&lt;=$AH29),ROUND(INDEX(Profils!$Q$5:$Q$34,$AE29)*Paramètres!$E$33*$AG29*$AJ29,Paramètres!$F$33),0)</f>
        <v>0.01</v>
      </c>
      <c r="X29" s="20" t="n">
        <f aca="false" t="array" ref="X29:X29">IF(AND(INDEX(Profils!$R$5:$R$34,$AE29)&gt;0,INDEX(Profils!$AG$5:$AG$34,$AE29)&lt;=$AH29),ROUND(INDEX(Profils!$R$5:$R$34,$AE29)*Paramètres!$E$34*$AG29*$AJ29,Paramètres!$F$34),0)</f>
        <v>0</v>
      </c>
      <c r="Y29" s="20" t="n">
        <f aca="false" t="array" ref="Y29:Y29">IF(AND(INDEX(Profils!$S$5:$S$34,$AE29)&gt;0,INDEX(Profils!$AH$5:$AH$34,$AE29)&lt;=$AH29),ROUND(INDEX(Profils!$S$5:$S$34,$AE29)*Paramètres!$E$35*$AG29*$AJ29,Paramètres!$F$35),0)</f>
        <v>0.017</v>
      </c>
      <c r="Z29" s="21" t="n">
        <f aca="false">ROUND(L29/Paramètres!$E$22+M29/Paramètres!$E$23+N29/Paramètres!$E$24+O29/Paramètres!$E$25+P29/Paramètres!$E$26+Q29/Paramètres!$E$27+R29/Paramètres!$E$28+S29/Paramètres!$E$29+T29/Paramètres!$E$30+U29/Paramètres!$E$31+V29/Paramètres!$E$32+W29/Paramètres!$E$33+X29/Paramètres!$E$34+Y29/Paramètres!$E$35,1)</f>
        <v>7.2</v>
      </c>
      <c r="AA29" s="22" t="s">
        <v>109</v>
      </c>
      <c r="AB29" s="22" t="s">
        <v>109</v>
      </c>
      <c r="AC29" s="15" t="str">
        <f aca="false">$E29</f>
        <v>mithril</v>
      </c>
      <c r="AD29" s="16" t="n">
        <f aca="false" t="array" ref="AD29:AD29">IF($I29&gt;=$AI29,"Max",ROUND(Paramètres!$B$40*($I29+1)^Paramètres!$B$41*INDEX(Paramètres!$H$6:$H$12,$AF29),0))</f>
        <v>8</v>
      </c>
      <c r="AE29" s="23" t="n">
        <f aca="false">MATCH($B29&amp;"|"&amp;$C29,Profils!$A$5:$A$34,0)</f>
        <v>1</v>
      </c>
      <c r="AF29" s="23" t="n">
        <v>6</v>
      </c>
      <c r="AG29" s="24" t="n">
        <f aca="false" t="array" ref="AG29:AG29">INDEX(Paramètres!$C$6:$C$12,$AF29)</f>
        <v>2.4</v>
      </c>
      <c r="AH29" s="23" t="n">
        <f aca="false" t="array" ref="AH29:AH29">INDEX(Paramètres!$D$6:$D$12,$AF29)</f>
        <v>7</v>
      </c>
      <c r="AI29" s="23" t="n">
        <f aca="false" t="array" ref="AI29:AI29">INDEX(Matériaux!$C$16:$C$20,$D29)</f>
        <v>25</v>
      </c>
      <c r="AJ29" s="25" t="n">
        <f aca="false">Paramètres!$B$16+(1-Paramètres!$B$16)*(($J29-Paramètres!$B$14)/(Paramètres!$B$15-Paramètres!$B$14))^Paramètres!$B$17</f>
        <v>0.458504333336152</v>
      </c>
    </row>
    <row r="30" customFormat="false" ht="15.75" hidden="false" customHeight="true" outlineLevel="0" collapsed="false">
      <c r="A30" s="14" t="s">
        <v>138</v>
      </c>
      <c r="B30" s="15" t="s">
        <v>27</v>
      </c>
      <c r="C30" s="15" t="s">
        <v>107</v>
      </c>
      <c r="D30" s="16" t="n">
        <v>5</v>
      </c>
      <c r="E30" s="15" t="str">
        <f aca="false" t="array" ref="E30:E30">INDEX(Matériaux!$B$5:$F$12,MATCH(INDEX(Profils!$E$5:$E$34,$AE30),Matériaux!$A$5:$A$12,0),$D30)</f>
        <v>adamantite</v>
      </c>
      <c r="F30" s="17" t="s">
        <v>108</v>
      </c>
      <c r="G30" s="10" t="str">
        <f aca="false" t="array" ref="G30:G30">INDEX(Profils!$D$5:$D$34,$AE30)&amp;" en "&amp;$E30</f>
        <v>Casque en adamantite</v>
      </c>
      <c r="H30" s="16" t="n">
        <f aca="false" t="array" ref="H30:H30">INDEX(Matériaux!$B$16:$B$20,$D30)</f>
        <v>70</v>
      </c>
      <c r="I30" s="16" t="n">
        <f aca="false">IF(ISNUMBER($C$3),MIN(MAX(0,ROUND($C$3,0)),$AI30),$AI30)</f>
        <v>0</v>
      </c>
      <c r="J30" s="18" t="n">
        <f aca="false">$H30+$I30</f>
        <v>70</v>
      </c>
      <c r="K30" s="15" t="s">
        <v>109</v>
      </c>
      <c r="L30" s="19" t="n">
        <f aca="false" t="array" ref="L30:L30">IF(AND(INDEX(Profils!$F$5:$F$34,$AE30)&gt;0,INDEX(Profils!$U$5:$U$34,$AE30)&lt;=$AH30),ROUND(INDEX(Profils!$F$5:$F$34,$AE30)*Paramètres!$E$22*$AG30*$AJ30,Paramètres!$F$22),0)</f>
        <v>27</v>
      </c>
      <c r="M30" s="19" t="n">
        <f aca="false" t="array" ref="M30:M30">IF(AND(INDEX(Profils!$G$5:$G$34,$AE30)&gt;0,INDEX(Profils!$V$5:$V$34,$AE30)&lt;=$AH30),ROUND(INDEX(Profils!$G$5:$G$34,$AE30)*Paramètres!$E$23*$AG30*$AJ30,Paramètres!$F$23),0)</f>
        <v>0</v>
      </c>
      <c r="N30" s="19" t="n">
        <f aca="false" t="array" ref="N30:N30">IF(AND(INDEX(Profils!$H$5:$H$34,$AE30)&gt;0,INDEX(Profils!$W$5:$W$34,$AE30)&lt;=$AH30),ROUND(INDEX(Profils!$H$5:$H$34,$AE30)*Paramètres!$E$24*$AG30*$AJ30,Paramètres!$F$24),0)</f>
        <v>12</v>
      </c>
      <c r="O30" s="19" t="n">
        <f aca="false" t="array" ref="O30:O30">IF(AND(INDEX(Profils!$I$5:$I$34,$AE30)&gt;0,INDEX(Profils!$X$5:$X$34,$AE30)&lt;=$AH30),ROUND(INDEX(Profils!$I$5:$I$34,$AE30)*Paramètres!$E$25*$AG30*$AJ30,Paramètres!$F$25),0)</f>
        <v>0</v>
      </c>
      <c r="P30" s="19" t="n">
        <f aca="false" t="array" ref="P30:P30">IF(AND(INDEX(Profils!$J$5:$J$34,$AE30)&gt;0,INDEX(Profils!$Y$5:$Y$34,$AE30)&lt;=$AH30),ROUND(INDEX(Profils!$J$5:$J$34,$AE30)*Paramètres!$E$26*$AG30*$AJ30,Paramètres!$F$26),0)</f>
        <v>0</v>
      </c>
      <c r="Q30" s="19" t="n">
        <f aca="false" t="array" ref="Q30:Q30">IF(AND(INDEX(Profils!$K$5:$K$34,$AE30)&gt;0,INDEX(Profils!$Z$5:$Z$34,$AE30)&lt;=$AH30),ROUND(INDEX(Profils!$K$5:$K$34,$AE30)*Paramètres!$E$27*$AG30*$AJ30,Paramètres!$F$27),0)</f>
        <v>0</v>
      </c>
      <c r="R30" s="20" t="n">
        <f aca="false" t="array" ref="R30:R30">IF(AND(INDEX(Profils!$L$5:$L$34,$AE30)&gt;0,INDEX(Profils!$AA$5:$AA$34,$AE30)&lt;=$AH30),ROUND(INDEX(Profils!$L$5:$L$34,$AE30)*Paramètres!$E$28*$AG30*$AJ30,Paramètres!$F$28),0)</f>
        <v>0</v>
      </c>
      <c r="S30" s="20" t="n">
        <f aca="false" t="array" ref="S30:S30">IF(AND(INDEX(Profils!$M$5:$M$34,$AE30)&gt;0,INDEX(Profils!$AB$5:$AB$34,$AE30)&lt;=$AH30),ROUND(INDEX(Profils!$M$5:$M$34,$AE30)*Paramètres!$E$29*$AG30*$AJ30,Paramètres!$F$29),0)</f>
        <v>0</v>
      </c>
      <c r="T30" s="20" t="n">
        <f aca="false" t="array" ref="T30:T30">IF(AND(INDEX(Profils!$N$5:$N$34,$AE30)&gt;0,INDEX(Profils!$AC$5:$AC$34,$AE30)&lt;=$AH30),ROUND(INDEX(Profils!$N$5:$N$34,$AE30)*Paramètres!$E$30*$AG30*$AJ30,Paramètres!$F$30),0)</f>
        <v>0</v>
      </c>
      <c r="U30" s="19" t="n">
        <f aca="false" t="array" ref="U30:U30">IF(AND(INDEX(Profils!$O$5:$O$34,$AE30)&gt;0,INDEX(Profils!$AD$5:$AD$34,$AE30)&lt;=$AH30),ROUND(INDEX(Profils!$O$5:$O$34,$AE30)*Paramètres!$E$31*$AG30*$AJ30,Paramètres!$F$31),0)</f>
        <v>0</v>
      </c>
      <c r="V30" s="20" t="n">
        <f aca="false" t="array" ref="V30:V30">IF(AND(INDEX(Profils!$P$5:$P$34,$AE30)&gt;0,INDEX(Profils!$AE$5:$AE$34,$AE30)&lt;=$AH30),ROUND(INDEX(Profils!$P$5:$P$34,$AE30)*Paramètres!$E$32*$AG30*$AJ30,Paramètres!$F$32),0)</f>
        <v>0</v>
      </c>
      <c r="W30" s="20" t="n">
        <f aca="false" t="array" ref="W30:W30">IF(AND(INDEX(Profils!$Q$5:$Q$34,$AE30)&gt;0,INDEX(Profils!$AF$5:$AF$34,$AE30)&lt;=$AH30),ROUND(INDEX(Profils!$Q$5:$Q$34,$AE30)*Paramètres!$E$33*$AG30*$AJ30,Paramètres!$F$33),0)</f>
        <v>0</v>
      </c>
      <c r="X30" s="20" t="n">
        <f aca="false" t="array" ref="X30:X30">IF(AND(INDEX(Profils!$R$5:$R$34,$AE30)&gt;0,INDEX(Profils!$AG$5:$AG$34,$AE30)&lt;=$AH30),ROUND(INDEX(Profils!$R$5:$R$34,$AE30)*Paramètres!$E$34*$AG30*$AJ30,Paramètres!$F$34),0)</f>
        <v>0</v>
      </c>
      <c r="Y30" s="20" t="n">
        <f aca="false" t="array" ref="Y30:Y30">IF(AND(INDEX(Profils!$S$5:$S$34,$AE30)&gt;0,INDEX(Profils!$AH$5:$AH$34,$AE30)&lt;=$AH30),ROUND(INDEX(Profils!$S$5:$S$34,$AE30)*Paramètres!$E$35*$AG30*$AJ30,Paramètres!$F$35),0)</f>
        <v>0</v>
      </c>
      <c r="Z30" s="21" t="n">
        <f aca="false">ROUND(L30/Paramètres!$E$22+M30/Paramètres!$E$23+N30/Paramètres!$E$24+O30/Paramètres!$E$25+P30/Paramètres!$E$26+Q30/Paramètres!$E$27+R30/Paramètres!$E$28+S30/Paramètres!$E$29+T30/Paramètres!$E$30+U30/Paramètres!$E$31+V30/Paramètres!$E$32+W30/Paramètres!$E$33+X30/Paramètres!$E$34+Y30/Paramètres!$E$35,1)</f>
        <v>1.9</v>
      </c>
      <c r="AA30" s="22" t="s">
        <v>109</v>
      </c>
      <c r="AB30" s="22" t="s">
        <v>109</v>
      </c>
      <c r="AC30" s="15" t="str">
        <f aca="false">$E30</f>
        <v>adamantite</v>
      </c>
      <c r="AD30" s="16" t="n">
        <f aca="false" t="array" ref="AD30:AD30">IF($I30&gt;=$AI30,"Max",ROUND(Paramètres!$B$40*($I30+1)^Paramètres!$B$41*INDEX(Paramètres!$H$6:$H$12,$AF30),0))</f>
        <v>3</v>
      </c>
      <c r="AE30" s="23" t="n">
        <f aca="false">MATCH($B30&amp;"|"&amp;$C30,Profils!$A$5:$A$34,0)</f>
        <v>1</v>
      </c>
      <c r="AF30" s="23" t="n">
        <v>1</v>
      </c>
      <c r="AG30" s="24" t="n">
        <f aca="false" t="array" ref="AG30:AG30">INDEX(Paramètres!$C$6:$C$12,$AF30)</f>
        <v>1</v>
      </c>
      <c r="AH30" s="23" t="n">
        <f aca="false" t="array" ref="AH30:AH30">INDEX(Paramètres!$D$6:$D$12,$AF30)</f>
        <v>2</v>
      </c>
      <c r="AI30" s="23" t="n">
        <f aca="false" t="array" ref="AI30:AI30">INDEX(Matériaux!$C$16:$C$20,$D30)</f>
        <v>30</v>
      </c>
      <c r="AJ30" s="25" t="n">
        <f aca="false">Paramètres!$B$16+(1-Paramètres!$B$16)*(($J30-Paramètres!$B$14)/(Paramètres!$B$15-Paramètres!$B$14))^Paramètres!$B$17</f>
        <v>0.665999387952727</v>
      </c>
    </row>
    <row r="31" customFormat="false" ht="15.75" hidden="false" customHeight="true" outlineLevel="0" collapsed="false">
      <c r="A31" s="14" t="s">
        <v>139</v>
      </c>
      <c r="B31" s="15" t="s">
        <v>27</v>
      </c>
      <c r="C31" s="15" t="s">
        <v>107</v>
      </c>
      <c r="D31" s="16" t="n">
        <v>5</v>
      </c>
      <c r="E31" s="15" t="str">
        <f aca="false" t="array" ref="E31:E31">INDEX(Matériaux!$B$5:$F$12,MATCH(INDEX(Profils!$E$5:$E$34,$AE31),Matériaux!$A$5:$A$12,0),$D31)</f>
        <v>adamantite</v>
      </c>
      <c r="F31" s="26" t="s">
        <v>111</v>
      </c>
      <c r="G31" s="10" t="str">
        <f aca="false" t="array" ref="G31:G31">INDEX(Profils!$D$5:$D$34,$AE31)&amp;" en "&amp;$E31</f>
        <v>Casque en adamantite</v>
      </c>
      <c r="H31" s="16" t="n">
        <f aca="false" t="array" ref="H31:H31">INDEX(Matériaux!$B$16:$B$20,$D31)</f>
        <v>70</v>
      </c>
      <c r="I31" s="16" t="n">
        <f aca="false">IF(ISNUMBER($C$3),MIN(MAX(0,ROUND($C$3,0)),$AI31),$AI31)</f>
        <v>0</v>
      </c>
      <c r="J31" s="18" t="n">
        <f aca="false">$H31+$I31</f>
        <v>70</v>
      </c>
      <c r="K31" s="15" t="s">
        <v>109</v>
      </c>
      <c r="L31" s="19" t="n">
        <f aca="false" t="array" ref="L31:L31">IF(AND(INDEX(Profils!$F$5:$F$34,$AE31)&gt;0,INDEX(Profils!$U$5:$U$34,$AE31)&lt;=$AH31),ROUND(INDEX(Profils!$F$5:$F$34,$AE31)*Paramètres!$E$22*$AG31*$AJ31,Paramètres!$F$22),0)</f>
        <v>32</v>
      </c>
      <c r="M31" s="19" t="n">
        <f aca="false" t="array" ref="M31:M31">IF(AND(INDEX(Profils!$G$5:$G$34,$AE31)&gt;0,INDEX(Profils!$V$5:$V$34,$AE31)&lt;=$AH31),ROUND(INDEX(Profils!$G$5:$G$34,$AE31)*Paramètres!$E$23*$AG31*$AJ31,Paramètres!$F$23),0)</f>
        <v>0</v>
      </c>
      <c r="N31" s="19" t="n">
        <f aca="false" t="array" ref="N31:N31">IF(AND(INDEX(Profils!$H$5:$H$34,$AE31)&gt;0,INDEX(Profils!$W$5:$W$34,$AE31)&lt;=$AH31),ROUND(INDEX(Profils!$H$5:$H$34,$AE31)*Paramètres!$E$24*$AG31*$AJ31,Paramètres!$F$24),0)</f>
        <v>14</v>
      </c>
      <c r="O31" s="19" t="n">
        <f aca="false" t="array" ref="O31:O31">IF(AND(INDEX(Profils!$I$5:$I$34,$AE31)&gt;0,INDEX(Profils!$X$5:$X$34,$AE31)&lt;=$AH31),ROUND(INDEX(Profils!$I$5:$I$34,$AE31)*Paramètres!$E$25*$AG31*$AJ31,Paramètres!$F$25),0)</f>
        <v>0</v>
      </c>
      <c r="P31" s="19" t="n">
        <f aca="false" t="array" ref="P31:P31">IF(AND(INDEX(Profils!$J$5:$J$34,$AE31)&gt;0,INDEX(Profils!$Y$5:$Y$34,$AE31)&lt;=$AH31),ROUND(INDEX(Profils!$J$5:$J$34,$AE31)*Paramètres!$E$26*$AG31*$AJ31,Paramètres!$F$26),0)</f>
        <v>0</v>
      </c>
      <c r="Q31" s="19" t="n">
        <f aca="false" t="array" ref="Q31:Q31">IF(AND(INDEX(Profils!$K$5:$K$34,$AE31)&gt;0,INDEX(Profils!$Z$5:$Z$34,$AE31)&lt;=$AH31),ROUND(INDEX(Profils!$K$5:$K$34,$AE31)*Paramètres!$E$27*$AG31*$AJ31,Paramètres!$F$27),0)</f>
        <v>0</v>
      </c>
      <c r="R31" s="20" t="n">
        <f aca="false" t="array" ref="R31:R31">IF(AND(INDEX(Profils!$L$5:$L$34,$AE31)&gt;0,INDEX(Profils!$AA$5:$AA$34,$AE31)&lt;=$AH31),ROUND(INDEX(Profils!$L$5:$L$34,$AE31)*Paramètres!$E$28*$AG31*$AJ31,Paramètres!$F$28),0)</f>
        <v>0</v>
      </c>
      <c r="S31" s="20" t="n">
        <f aca="false" t="array" ref="S31:S31">IF(AND(INDEX(Profils!$M$5:$M$34,$AE31)&gt;0,INDEX(Profils!$AB$5:$AB$34,$AE31)&lt;=$AH31),ROUND(INDEX(Profils!$M$5:$M$34,$AE31)*Paramètres!$E$29*$AG31*$AJ31,Paramètres!$F$29),0)</f>
        <v>0</v>
      </c>
      <c r="T31" s="20" t="n">
        <f aca="false" t="array" ref="T31:T31">IF(AND(INDEX(Profils!$N$5:$N$34,$AE31)&gt;0,INDEX(Profils!$AC$5:$AC$34,$AE31)&lt;=$AH31),ROUND(INDEX(Profils!$N$5:$N$34,$AE31)*Paramètres!$E$30*$AG31*$AJ31,Paramètres!$F$30),0)</f>
        <v>0</v>
      </c>
      <c r="U31" s="19" t="n">
        <f aca="false" t="array" ref="U31:U31">IF(AND(INDEX(Profils!$O$5:$O$34,$AE31)&gt;0,INDEX(Profils!$AD$5:$AD$34,$AE31)&lt;=$AH31),ROUND(INDEX(Profils!$O$5:$O$34,$AE31)*Paramètres!$E$31*$AG31*$AJ31,Paramètres!$F$31),0)</f>
        <v>19</v>
      </c>
      <c r="V31" s="20" t="n">
        <f aca="false" t="array" ref="V31:V31">IF(AND(INDEX(Profils!$P$5:$P$34,$AE31)&gt;0,INDEX(Profils!$AE$5:$AE$34,$AE31)&lt;=$AH31),ROUND(INDEX(Profils!$P$5:$P$34,$AE31)*Paramètres!$E$32*$AG31*$AJ31,Paramètres!$F$32),0)</f>
        <v>0</v>
      </c>
      <c r="W31" s="20" t="n">
        <f aca="false" t="array" ref="W31:W31">IF(AND(INDEX(Profils!$Q$5:$Q$34,$AE31)&gt;0,INDEX(Profils!$AF$5:$AF$34,$AE31)&lt;=$AH31),ROUND(INDEX(Profils!$Q$5:$Q$34,$AE31)*Paramètres!$E$33*$AG31*$AJ31,Paramètres!$F$33),0)</f>
        <v>0</v>
      </c>
      <c r="X31" s="20" t="n">
        <f aca="false" t="array" ref="X31:X31">IF(AND(INDEX(Profils!$R$5:$R$34,$AE31)&gt;0,INDEX(Profils!$AG$5:$AG$34,$AE31)&lt;=$AH31),ROUND(INDEX(Profils!$R$5:$R$34,$AE31)*Paramètres!$E$34*$AG31*$AJ31,Paramètres!$F$34),0)</f>
        <v>0</v>
      </c>
      <c r="Y31" s="20" t="n">
        <f aca="false" t="array" ref="Y31:Y31">IF(AND(INDEX(Profils!$S$5:$S$34,$AE31)&gt;0,INDEX(Profils!$AH$5:$AH$34,$AE31)&lt;=$AH31),ROUND(INDEX(Profils!$S$5:$S$34,$AE31)*Paramètres!$E$35*$AG31*$AJ31,Paramètres!$F$35),0)</f>
        <v>0</v>
      </c>
      <c r="Z31" s="21" t="n">
        <f aca="false">ROUND(L31/Paramètres!$E$22+M31/Paramètres!$E$23+N31/Paramètres!$E$24+O31/Paramètres!$E$25+P31/Paramètres!$E$26+Q31/Paramètres!$E$27+R31/Paramètres!$E$28+S31/Paramètres!$E$29+T31/Paramètres!$E$30+U31/Paramètres!$E$31+V31/Paramètres!$E$32+W31/Paramètres!$E$33+X31/Paramètres!$E$34+Y31/Paramètres!$E$35,1)</f>
        <v>3.2</v>
      </c>
      <c r="AA31" s="22" t="s">
        <v>109</v>
      </c>
      <c r="AB31" s="22" t="s">
        <v>109</v>
      </c>
      <c r="AC31" s="15" t="str">
        <f aca="false">$E31</f>
        <v>adamantite</v>
      </c>
      <c r="AD31" s="16" t="n">
        <f aca="false" t="array" ref="AD31:AD31">IF($I31&gt;=$AI31,"Max",ROUND(Paramètres!$B$40*($I31+1)^Paramètres!$B$41*INDEX(Paramètres!$H$6:$H$12,$AF31),0))</f>
        <v>4</v>
      </c>
      <c r="AE31" s="23" t="n">
        <f aca="false">MATCH($B31&amp;"|"&amp;$C31,Profils!$A$5:$A$34,0)</f>
        <v>1</v>
      </c>
      <c r="AF31" s="23" t="n">
        <v>2</v>
      </c>
      <c r="AG31" s="24" t="n">
        <f aca="false" t="array" ref="AG31:AG31">INDEX(Paramètres!$C$6:$C$12,$AF31)</f>
        <v>1.2</v>
      </c>
      <c r="AH31" s="23" t="n">
        <f aca="false" t="array" ref="AH31:AH31">INDEX(Paramètres!$D$6:$D$12,$AF31)</f>
        <v>3</v>
      </c>
      <c r="AI31" s="23" t="n">
        <f aca="false" t="array" ref="AI31:AI31">INDEX(Matériaux!$C$16:$C$20,$D31)</f>
        <v>30</v>
      </c>
      <c r="AJ31" s="25" t="n">
        <f aca="false">Paramètres!$B$16+(1-Paramètres!$B$16)*(($J31-Paramètres!$B$14)/(Paramètres!$B$15-Paramètres!$B$14))^Paramètres!$B$17</f>
        <v>0.665999387952727</v>
      </c>
    </row>
    <row r="32" customFormat="false" ht="15.75" hidden="false" customHeight="true" outlineLevel="0" collapsed="false">
      <c r="A32" s="14" t="s">
        <v>140</v>
      </c>
      <c r="B32" s="15" t="s">
        <v>27</v>
      </c>
      <c r="C32" s="15" t="s">
        <v>107</v>
      </c>
      <c r="D32" s="16" t="n">
        <v>5</v>
      </c>
      <c r="E32" s="15" t="str">
        <f aca="false" t="array" ref="E32:E32">INDEX(Matériaux!$B$5:$F$12,MATCH(INDEX(Profils!$E$5:$E$34,$AE32),Matériaux!$A$5:$A$12,0),$D32)</f>
        <v>adamantite</v>
      </c>
      <c r="F32" s="27" t="s">
        <v>113</v>
      </c>
      <c r="G32" s="10" t="str">
        <f aca="false" t="array" ref="G32:G32">INDEX(Profils!$D$5:$D$34,$AE32)&amp;" en "&amp;$E32</f>
        <v>Casque en adamantite</v>
      </c>
      <c r="H32" s="16" t="n">
        <f aca="false" t="array" ref="H32:H32">INDEX(Matériaux!$B$16:$B$20,$D32)</f>
        <v>70</v>
      </c>
      <c r="I32" s="16" t="n">
        <f aca="false">IF(ISNUMBER($C$3),MIN(MAX(0,ROUND($C$3,0)),$AI32),$AI32)</f>
        <v>0</v>
      </c>
      <c r="J32" s="18" t="n">
        <f aca="false">$H32+$I32</f>
        <v>70</v>
      </c>
      <c r="K32" s="15" t="s">
        <v>109</v>
      </c>
      <c r="L32" s="19" t="n">
        <f aca="false" t="array" ref="L32:L32">IF(AND(INDEX(Profils!$F$5:$F$34,$AE32)&gt;0,INDEX(Profils!$U$5:$U$34,$AE32)&lt;=$AH32),ROUND(INDEX(Profils!$F$5:$F$34,$AE32)*Paramètres!$E$22*$AG32*$AJ32,Paramètres!$F$22),0)</f>
        <v>39</v>
      </c>
      <c r="M32" s="19" t="n">
        <f aca="false" t="array" ref="M32:M32">IF(AND(INDEX(Profils!$G$5:$G$34,$AE32)&gt;0,INDEX(Profils!$V$5:$V$34,$AE32)&lt;=$AH32),ROUND(INDEX(Profils!$G$5:$G$34,$AE32)*Paramètres!$E$23*$AG32*$AJ32,Paramètres!$F$23),0)</f>
        <v>0</v>
      </c>
      <c r="N32" s="19" t="n">
        <f aca="false" t="array" ref="N32:N32">IF(AND(INDEX(Profils!$H$5:$H$34,$AE32)&gt;0,INDEX(Profils!$W$5:$W$34,$AE32)&lt;=$AH32),ROUND(INDEX(Profils!$H$5:$H$34,$AE32)*Paramètres!$E$24*$AG32*$AJ32,Paramètres!$F$24),0)</f>
        <v>17</v>
      </c>
      <c r="O32" s="19" t="n">
        <f aca="false" t="array" ref="O32:O32">IF(AND(INDEX(Profils!$I$5:$I$34,$AE32)&gt;0,INDEX(Profils!$X$5:$X$34,$AE32)&lt;=$AH32),ROUND(INDEX(Profils!$I$5:$I$34,$AE32)*Paramètres!$E$25*$AG32*$AJ32,Paramètres!$F$25),0)</f>
        <v>0</v>
      </c>
      <c r="P32" s="19" t="n">
        <f aca="false" t="array" ref="P32:P32">IF(AND(INDEX(Profils!$J$5:$J$34,$AE32)&gt;0,INDEX(Profils!$Y$5:$Y$34,$AE32)&lt;=$AH32),ROUND(INDEX(Profils!$J$5:$J$34,$AE32)*Paramètres!$E$26*$AG32*$AJ32,Paramètres!$F$26),0)</f>
        <v>0</v>
      </c>
      <c r="Q32" s="19" t="n">
        <f aca="false" t="array" ref="Q32:Q32">IF(AND(INDEX(Profils!$K$5:$K$34,$AE32)&gt;0,INDEX(Profils!$Z$5:$Z$34,$AE32)&lt;=$AH32),ROUND(INDEX(Profils!$K$5:$K$34,$AE32)*Paramètres!$E$27*$AG32*$AJ32,Paramètres!$F$27),0)</f>
        <v>0</v>
      </c>
      <c r="R32" s="20" t="n">
        <f aca="false" t="array" ref="R32:R32">IF(AND(INDEX(Profils!$L$5:$L$34,$AE32)&gt;0,INDEX(Profils!$AA$5:$AA$34,$AE32)&lt;=$AH32),ROUND(INDEX(Profils!$L$5:$L$34,$AE32)*Paramètres!$E$28*$AG32*$AJ32,Paramètres!$F$28),0)</f>
        <v>0</v>
      </c>
      <c r="S32" s="20" t="n">
        <f aca="false" t="array" ref="S32:S32">IF(AND(INDEX(Profils!$M$5:$M$34,$AE32)&gt;0,INDEX(Profils!$AB$5:$AB$34,$AE32)&lt;=$AH32),ROUND(INDEX(Profils!$M$5:$M$34,$AE32)*Paramètres!$E$29*$AG32*$AJ32,Paramètres!$F$29),0)</f>
        <v>0</v>
      </c>
      <c r="T32" s="20" t="n">
        <f aca="false" t="array" ref="T32:T32">IF(AND(INDEX(Profils!$N$5:$N$34,$AE32)&gt;0,INDEX(Profils!$AC$5:$AC$34,$AE32)&lt;=$AH32),ROUND(INDEX(Profils!$N$5:$N$34,$AE32)*Paramètres!$E$30*$AG32*$AJ32,Paramètres!$F$30),0)</f>
        <v>0</v>
      </c>
      <c r="U32" s="19" t="n">
        <f aca="false" t="array" ref="U32:U32">IF(AND(INDEX(Profils!$O$5:$O$34,$AE32)&gt;0,INDEX(Profils!$AD$5:$AD$34,$AE32)&lt;=$AH32),ROUND(INDEX(Profils!$O$5:$O$34,$AE32)*Paramètres!$E$31*$AG32*$AJ32,Paramètres!$F$31),0)</f>
        <v>23</v>
      </c>
      <c r="V32" s="20" t="n">
        <f aca="false" t="array" ref="V32:V32">IF(AND(INDEX(Profils!$P$5:$P$34,$AE32)&gt;0,INDEX(Profils!$AE$5:$AE$34,$AE32)&lt;=$AH32),ROUND(INDEX(Profils!$P$5:$P$34,$AE32)*Paramètres!$E$32*$AG32*$AJ32,Paramètres!$F$32),0)</f>
        <v>0</v>
      </c>
      <c r="W32" s="20" t="n">
        <f aca="false" t="array" ref="W32:W32">IF(AND(INDEX(Profils!$Q$5:$Q$34,$AE32)&gt;0,INDEX(Profils!$AF$5:$AF$34,$AE32)&lt;=$AH32),ROUND(INDEX(Profils!$Q$5:$Q$34,$AE32)*Paramètres!$E$33*$AG32*$AJ32,Paramètres!$F$33),0)</f>
        <v>0</v>
      </c>
      <c r="X32" s="20" t="n">
        <f aca="false" t="array" ref="X32:X32">IF(AND(INDEX(Profils!$R$5:$R$34,$AE32)&gt;0,INDEX(Profils!$AG$5:$AG$34,$AE32)&lt;=$AH32),ROUND(INDEX(Profils!$R$5:$R$34,$AE32)*Paramètres!$E$34*$AG32*$AJ32,Paramètres!$F$34),0)</f>
        <v>0</v>
      </c>
      <c r="Y32" s="20" t="n">
        <f aca="false" t="array" ref="Y32:Y32">IF(AND(INDEX(Profils!$S$5:$S$34,$AE32)&gt;0,INDEX(Profils!$AH$5:$AH$34,$AE32)&lt;=$AH32),ROUND(INDEX(Profils!$S$5:$S$34,$AE32)*Paramètres!$E$35*$AG32*$AJ32,Paramètres!$F$35),0)</f>
        <v>0.014</v>
      </c>
      <c r="Z32" s="21" t="n">
        <f aca="false">ROUND(L32/Paramètres!$E$22+M32/Paramètres!$E$23+N32/Paramètres!$E$24+O32/Paramètres!$E$25+P32/Paramètres!$E$26+Q32/Paramètres!$E$27+R32/Paramètres!$E$28+S32/Paramètres!$E$29+T32/Paramètres!$E$30+U32/Paramètres!$E$31+V32/Paramètres!$E$32+W32/Paramètres!$E$33+X32/Paramètres!$E$34+Y32/Paramètres!$E$35,1)</f>
        <v>4.8</v>
      </c>
      <c r="AA32" s="22" t="s">
        <v>109</v>
      </c>
      <c r="AB32" s="22" t="s">
        <v>109</v>
      </c>
      <c r="AC32" s="15" t="str">
        <f aca="false">$E32</f>
        <v>adamantite</v>
      </c>
      <c r="AD32" s="16" t="n">
        <f aca="false" t="array" ref="AD32:AD32">IF($I32&gt;=$AI32,"Max",ROUND(Paramètres!$B$40*($I32+1)^Paramètres!$B$41*INDEX(Paramètres!$H$6:$H$12,$AF32),0))</f>
        <v>4</v>
      </c>
      <c r="AE32" s="23" t="n">
        <f aca="false">MATCH($B32&amp;"|"&amp;$C32,Profils!$A$5:$A$34,0)</f>
        <v>1</v>
      </c>
      <c r="AF32" s="23" t="n">
        <v>3</v>
      </c>
      <c r="AG32" s="24" t="n">
        <f aca="false" t="array" ref="AG32:AG32">INDEX(Paramètres!$C$6:$C$12,$AF32)</f>
        <v>1.45</v>
      </c>
      <c r="AH32" s="23" t="n">
        <f aca="false" t="array" ref="AH32:AH32">INDEX(Paramètres!$D$6:$D$12,$AF32)</f>
        <v>4</v>
      </c>
      <c r="AI32" s="23" t="n">
        <f aca="false" t="array" ref="AI32:AI32">INDEX(Matériaux!$C$16:$C$20,$D32)</f>
        <v>30</v>
      </c>
      <c r="AJ32" s="25" t="n">
        <f aca="false">Paramètres!$B$16+(1-Paramètres!$B$16)*(($J32-Paramètres!$B$14)/(Paramètres!$B$15-Paramètres!$B$14))^Paramètres!$B$17</f>
        <v>0.665999387952727</v>
      </c>
    </row>
    <row r="33" customFormat="false" ht="15.75" hidden="false" customHeight="true" outlineLevel="0" collapsed="false">
      <c r="A33" s="14" t="s">
        <v>141</v>
      </c>
      <c r="B33" s="15" t="s">
        <v>27</v>
      </c>
      <c r="C33" s="15" t="s">
        <v>107</v>
      </c>
      <c r="D33" s="16" t="n">
        <v>5</v>
      </c>
      <c r="E33" s="15" t="str">
        <f aca="false" t="array" ref="E33:E33">INDEX(Matériaux!$B$5:$F$12,MATCH(INDEX(Profils!$E$5:$E$34,$AE33),Matériaux!$A$5:$A$12,0),$D33)</f>
        <v>adamantite</v>
      </c>
      <c r="F33" s="28" t="s">
        <v>115</v>
      </c>
      <c r="G33" s="10" t="str">
        <f aca="false" t="array" ref="G33:G33">INDEX(Profils!$D$5:$D$34,$AE33)&amp;" en "&amp;$E33</f>
        <v>Casque en adamantite</v>
      </c>
      <c r="H33" s="16" t="n">
        <f aca="false" t="array" ref="H33:H33">INDEX(Matériaux!$B$16:$B$20,$D33)</f>
        <v>70</v>
      </c>
      <c r="I33" s="16" t="n">
        <f aca="false">IF(ISNUMBER($C$3),MIN(MAX(0,ROUND($C$3,0)),$AI33),$AI33)</f>
        <v>0</v>
      </c>
      <c r="J33" s="18" t="n">
        <f aca="false">$H33+$I33</f>
        <v>70</v>
      </c>
      <c r="K33" s="15" t="s">
        <v>109</v>
      </c>
      <c r="L33" s="19" t="n">
        <f aca="false" t="array" ref="L33:L33">IF(AND(INDEX(Profils!$F$5:$F$34,$AE33)&gt;0,INDEX(Profils!$U$5:$U$34,$AE33)&lt;=$AH33),ROUND(INDEX(Profils!$F$5:$F$34,$AE33)*Paramètres!$E$22*$AG33*$AJ33,Paramètres!$F$22),0)</f>
        <v>47</v>
      </c>
      <c r="M33" s="19" t="n">
        <f aca="false" t="array" ref="M33:M33">IF(AND(INDEX(Profils!$G$5:$G$34,$AE33)&gt;0,INDEX(Profils!$V$5:$V$34,$AE33)&lt;=$AH33),ROUND(INDEX(Profils!$G$5:$G$34,$AE33)*Paramètres!$E$23*$AG33*$AJ33,Paramètres!$F$23),0)</f>
        <v>0</v>
      </c>
      <c r="N33" s="19" t="n">
        <f aca="false" t="array" ref="N33:N33">IF(AND(INDEX(Profils!$H$5:$H$34,$AE33)&gt;0,INDEX(Profils!$W$5:$W$34,$AE33)&lt;=$AH33),ROUND(INDEX(Profils!$H$5:$H$34,$AE33)*Paramètres!$E$24*$AG33*$AJ33,Paramètres!$F$24),0)</f>
        <v>21</v>
      </c>
      <c r="O33" s="19" t="n">
        <f aca="false" t="array" ref="O33:O33">IF(AND(INDEX(Profils!$I$5:$I$34,$AE33)&gt;0,INDEX(Profils!$X$5:$X$34,$AE33)&lt;=$AH33),ROUND(INDEX(Profils!$I$5:$I$34,$AE33)*Paramètres!$E$25*$AG33*$AJ33,Paramètres!$F$25),0)</f>
        <v>0</v>
      </c>
      <c r="P33" s="19" t="n">
        <f aca="false" t="array" ref="P33:P33">IF(AND(INDEX(Profils!$J$5:$J$34,$AE33)&gt;0,INDEX(Profils!$Y$5:$Y$34,$AE33)&lt;=$AH33),ROUND(INDEX(Profils!$J$5:$J$34,$AE33)*Paramètres!$E$26*$AG33*$AJ33,Paramètres!$F$26),0)</f>
        <v>0</v>
      </c>
      <c r="Q33" s="19" t="n">
        <f aca="false" t="array" ref="Q33:Q33">IF(AND(INDEX(Profils!$K$5:$K$34,$AE33)&gt;0,INDEX(Profils!$Z$5:$Z$34,$AE33)&lt;=$AH33),ROUND(INDEX(Profils!$K$5:$K$34,$AE33)*Paramètres!$E$27*$AG33*$AJ33,Paramètres!$F$27),0)</f>
        <v>0</v>
      </c>
      <c r="R33" s="20" t="n">
        <f aca="false" t="array" ref="R33:R33">IF(AND(INDEX(Profils!$L$5:$L$34,$AE33)&gt;0,INDEX(Profils!$AA$5:$AA$34,$AE33)&lt;=$AH33),ROUND(INDEX(Profils!$L$5:$L$34,$AE33)*Paramètres!$E$28*$AG33*$AJ33,Paramètres!$F$28),0)</f>
        <v>0</v>
      </c>
      <c r="S33" s="20" t="n">
        <f aca="false" t="array" ref="S33:S33">IF(AND(INDEX(Profils!$M$5:$M$34,$AE33)&gt;0,INDEX(Profils!$AB$5:$AB$34,$AE33)&lt;=$AH33),ROUND(INDEX(Profils!$M$5:$M$34,$AE33)*Paramètres!$E$29*$AG33*$AJ33,Paramètres!$F$29),0)</f>
        <v>0</v>
      </c>
      <c r="T33" s="20" t="n">
        <f aca="false" t="array" ref="T33:T33">IF(AND(INDEX(Profils!$N$5:$N$34,$AE33)&gt;0,INDEX(Profils!$AC$5:$AC$34,$AE33)&lt;=$AH33),ROUND(INDEX(Profils!$N$5:$N$34,$AE33)*Paramètres!$E$30*$AG33*$AJ33,Paramètres!$F$30),0)</f>
        <v>0</v>
      </c>
      <c r="U33" s="19" t="n">
        <f aca="false" t="array" ref="U33:U33">IF(AND(INDEX(Profils!$O$5:$O$34,$AE33)&gt;0,INDEX(Profils!$AD$5:$AD$34,$AE33)&lt;=$AH33),ROUND(INDEX(Profils!$O$5:$O$34,$AE33)*Paramètres!$E$31*$AG33*$AJ33,Paramètres!$F$31),0)</f>
        <v>28</v>
      </c>
      <c r="V33" s="20" t="n">
        <f aca="false" t="array" ref="V33:V33">IF(AND(INDEX(Profils!$P$5:$P$34,$AE33)&gt;0,INDEX(Profils!$AE$5:$AE$34,$AE33)&lt;=$AH33),ROUND(INDEX(Profils!$P$5:$P$34,$AE33)*Paramètres!$E$32*$AG33*$AJ33,Paramètres!$F$32),0)</f>
        <v>0</v>
      </c>
      <c r="W33" s="20" t="n">
        <f aca="false" t="array" ref="W33:W33">IF(AND(INDEX(Profils!$Q$5:$Q$34,$AE33)&gt;0,INDEX(Profils!$AF$5:$AF$34,$AE33)&lt;=$AH33),ROUND(INDEX(Profils!$Q$5:$Q$34,$AE33)*Paramètres!$E$33*$AG33*$AJ33,Paramètres!$F$33),0)</f>
        <v>0.01</v>
      </c>
      <c r="X33" s="20" t="n">
        <f aca="false" t="array" ref="X33:X33">IF(AND(INDEX(Profils!$R$5:$R$34,$AE33)&gt;0,INDEX(Profils!$AG$5:$AG$34,$AE33)&lt;=$AH33),ROUND(INDEX(Profils!$R$5:$R$34,$AE33)*Paramètres!$E$34*$AG33*$AJ33,Paramètres!$F$34),0)</f>
        <v>0</v>
      </c>
      <c r="Y33" s="20" t="n">
        <f aca="false" t="array" ref="Y33:Y33">IF(AND(INDEX(Profils!$S$5:$S$34,$AE33)&gt;0,INDEX(Profils!$AH$5:$AH$34,$AE33)&lt;=$AH33),ROUND(INDEX(Profils!$S$5:$S$34,$AE33)*Paramètres!$E$35*$AG33*$AJ33,Paramètres!$F$35),0)</f>
        <v>0.017</v>
      </c>
      <c r="Z33" s="21" t="n">
        <f aca="false">ROUND(L33/Paramètres!$E$22+M33/Paramètres!$E$23+N33/Paramètres!$E$24+O33/Paramètres!$E$25+P33/Paramètres!$E$26+Q33/Paramètres!$E$27+R33/Paramètres!$E$28+S33/Paramètres!$E$29+T33/Paramètres!$E$30+U33/Paramètres!$E$31+V33/Paramètres!$E$32+W33/Paramètres!$E$33+X33/Paramètres!$E$34+Y33/Paramètres!$E$35,1)</f>
        <v>6.5</v>
      </c>
      <c r="AA33" s="22" t="s">
        <v>109</v>
      </c>
      <c r="AB33" s="22" t="s">
        <v>109</v>
      </c>
      <c r="AC33" s="15" t="str">
        <f aca="false">$E33</f>
        <v>adamantite</v>
      </c>
      <c r="AD33" s="16" t="n">
        <f aca="false" t="array" ref="AD33:AD33">IF($I33&gt;=$AI33,"Max",ROUND(Paramètres!$B$40*($I33+1)^Paramètres!$B$41*INDEX(Paramètres!$H$6:$H$12,$AF33),0))</f>
        <v>5</v>
      </c>
      <c r="AE33" s="23" t="n">
        <f aca="false">MATCH($B33&amp;"|"&amp;$C33,Profils!$A$5:$A$34,0)</f>
        <v>1</v>
      </c>
      <c r="AF33" s="23" t="n">
        <v>4</v>
      </c>
      <c r="AG33" s="24" t="n">
        <f aca="false" t="array" ref="AG33:AG33">INDEX(Paramètres!$C$6:$C$12,$AF33)</f>
        <v>1.75</v>
      </c>
      <c r="AH33" s="23" t="n">
        <f aca="false" t="array" ref="AH33:AH33">INDEX(Paramètres!$D$6:$D$12,$AF33)</f>
        <v>5</v>
      </c>
      <c r="AI33" s="23" t="n">
        <f aca="false" t="array" ref="AI33:AI33">INDEX(Matériaux!$C$16:$C$20,$D33)</f>
        <v>30</v>
      </c>
      <c r="AJ33" s="25" t="n">
        <f aca="false">Paramètres!$B$16+(1-Paramètres!$B$16)*(($J33-Paramètres!$B$14)/(Paramètres!$B$15-Paramètres!$B$14))^Paramètres!$B$17</f>
        <v>0.665999387952727</v>
      </c>
    </row>
    <row r="34" customFormat="false" ht="15.75" hidden="false" customHeight="true" outlineLevel="0" collapsed="false">
      <c r="A34" s="14" t="s">
        <v>142</v>
      </c>
      <c r="B34" s="15" t="s">
        <v>27</v>
      </c>
      <c r="C34" s="15" t="s">
        <v>107</v>
      </c>
      <c r="D34" s="16" t="n">
        <v>5</v>
      </c>
      <c r="E34" s="15" t="str">
        <f aca="false" t="array" ref="E34:E34">INDEX(Matériaux!$B$5:$F$12,MATCH(INDEX(Profils!$E$5:$E$34,$AE34),Matériaux!$A$5:$A$12,0),$D34)</f>
        <v>adamantite</v>
      </c>
      <c r="F34" s="29" t="s">
        <v>117</v>
      </c>
      <c r="G34" s="10" t="str">
        <f aca="false" t="array" ref="G34:G34">INDEX(Profils!$D$5:$D$34,$AE34)&amp;" en "&amp;$E34</f>
        <v>Casque en adamantite</v>
      </c>
      <c r="H34" s="16" t="n">
        <f aca="false" t="array" ref="H34:H34">INDEX(Matériaux!$B$16:$B$20,$D34)</f>
        <v>70</v>
      </c>
      <c r="I34" s="16" t="n">
        <f aca="false">IF(ISNUMBER($C$3),MIN(MAX(0,ROUND($C$3,0)),$AI34),$AI34)</f>
        <v>0</v>
      </c>
      <c r="J34" s="18" t="n">
        <f aca="false">$H34+$I34</f>
        <v>70</v>
      </c>
      <c r="K34" s="15" t="s">
        <v>109</v>
      </c>
      <c r="L34" s="19" t="n">
        <f aca="false" t="array" ref="L34:L34">IF(AND(INDEX(Profils!$F$5:$F$34,$AE34)&gt;0,INDEX(Profils!$U$5:$U$34,$AE34)&lt;=$AH34),ROUND(INDEX(Profils!$F$5:$F$34,$AE34)*Paramètres!$E$22*$AG34*$AJ34,Paramètres!$F$22),0)</f>
        <v>56</v>
      </c>
      <c r="M34" s="19" t="n">
        <f aca="false" t="array" ref="M34:M34">IF(AND(INDEX(Profils!$G$5:$G$34,$AE34)&gt;0,INDEX(Profils!$V$5:$V$34,$AE34)&lt;=$AH34),ROUND(INDEX(Profils!$G$5:$G$34,$AE34)*Paramètres!$E$23*$AG34*$AJ34,Paramètres!$F$23),0)</f>
        <v>10</v>
      </c>
      <c r="N34" s="19" t="n">
        <f aca="false" t="array" ref="N34:N34">IF(AND(INDEX(Profils!$H$5:$H$34,$AE34)&gt;0,INDEX(Profils!$W$5:$W$34,$AE34)&lt;=$AH34),ROUND(INDEX(Profils!$H$5:$H$34,$AE34)*Paramètres!$E$24*$AG34*$AJ34,Paramètres!$F$24),0)</f>
        <v>25</v>
      </c>
      <c r="O34" s="19" t="n">
        <f aca="false" t="array" ref="O34:O34">IF(AND(INDEX(Profils!$I$5:$I$34,$AE34)&gt;0,INDEX(Profils!$X$5:$X$34,$AE34)&lt;=$AH34),ROUND(INDEX(Profils!$I$5:$I$34,$AE34)*Paramètres!$E$25*$AG34*$AJ34,Paramètres!$F$25),0)</f>
        <v>0</v>
      </c>
      <c r="P34" s="19" t="n">
        <f aca="false" t="array" ref="P34:P34">IF(AND(INDEX(Profils!$J$5:$J$34,$AE34)&gt;0,INDEX(Profils!$Y$5:$Y$34,$AE34)&lt;=$AH34),ROUND(INDEX(Profils!$J$5:$J$34,$AE34)*Paramètres!$E$26*$AG34*$AJ34,Paramètres!$F$26),0)</f>
        <v>0</v>
      </c>
      <c r="Q34" s="19" t="n">
        <f aca="false" t="array" ref="Q34:Q34">IF(AND(INDEX(Profils!$K$5:$K$34,$AE34)&gt;0,INDEX(Profils!$Z$5:$Z$34,$AE34)&lt;=$AH34),ROUND(INDEX(Profils!$K$5:$K$34,$AE34)*Paramètres!$E$27*$AG34*$AJ34,Paramètres!$F$27),0)</f>
        <v>0</v>
      </c>
      <c r="R34" s="20" t="n">
        <f aca="false" t="array" ref="R34:R34">IF(AND(INDEX(Profils!$L$5:$L$34,$AE34)&gt;0,INDEX(Profils!$AA$5:$AA$34,$AE34)&lt;=$AH34),ROUND(INDEX(Profils!$L$5:$L$34,$AE34)*Paramètres!$E$28*$AG34*$AJ34,Paramètres!$F$28),0)</f>
        <v>0</v>
      </c>
      <c r="S34" s="20" t="n">
        <f aca="false" t="array" ref="S34:S34">IF(AND(INDEX(Profils!$M$5:$M$34,$AE34)&gt;0,INDEX(Profils!$AB$5:$AB$34,$AE34)&lt;=$AH34),ROUND(INDEX(Profils!$M$5:$M$34,$AE34)*Paramètres!$E$29*$AG34*$AJ34,Paramètres!$F$29),0)</f>
        <v>0</v>
      </c>
      <c r="T34" s="20" t="n">
        <f aca="false" t="array" ref="T34:T34">IF(AND(INDEX(Profils!$N$5:$N$34,$AE34)&gt;0,INDEX(Profils!$AC$5:$AC$34,$AE34)&lt;=$AH34),ROUND(INDEX(Profils!$N$5:$N$34,$AE34)*Paramètres!$E$30*$AG34*$AJ34,Paramètres!$F$30),0)</f>
        <v>0</v>
      </c>
      <c r="U34" s="19" t="n">
        <f aca="false" t="array" ref="U34:U34">IF(AND(INDEX(Profils!$O$5:$O$34,$AE34)&gt;0,INDEX(Profils!$AD$5:$AD$34,$AE34)&lt;=$AH34),ROUND(INDEX(Profils!$O$5:$O$34,$AE34)*Paramètres!$E$31*$AG34*$AJ34,Paramètres!$F$31),0)</f>
        <v>34</v>
      </c>
      <c r="V34" s="20" t="n">
        <f aca="false" t="array" ref="V34:V34">IF(AND(INDEX(Profils!$P$5:$P$34,$AE34)&gt;0,INDEX(Profils!$AE$5:$AE$34,$AE34)&lt;=$AH34),ROUND(INDEX(Profils!$P$5:$P$34,$AE34)*Paramètres!$E$32*$AG34*$AJ34,Paramètres!$F$32),0)</f>
        <v>0</v>
      </c>
      <c r="W34" s="20" t="n">
        <f aca="false" t="array" ref="W34:W34">IF(AND(INDEX(Profils!$Q$5:$Q$34,$AE34)&gt;0,INDEX(Profils!$AF$5:$AF$34,$AE34)&lt;=$AH34),ROUND(INDEX(Profils!$Q$5:$Q$34,$AE34)*Paramètres!$E$33*$AG34*$AJ34,Paramètres!$F$33),0)</f>
        <v>0.013</v>
      </c>
      <c r="X34" s="20" t="n">
        <f aca="false" t="array" ref="X34:X34">IF(AND(INDEX(Profils!$R$5:$R$34,$AE34)&gt;0,INDEX(Profils!$AG$5:$AG$34,$AE34)&lt;=$AH34),ROUND(INDEX(Profils!$R$5:$R$34,$AE34)*Paramètres!$E$34*$AG34*$AJ34,Paramètres!$F$34),0)</f>
        <v>0</v>
      </c>
      <c r="Y34" s="20" t="n">
        <f aca="false" t="array" ref="Y34:Y34">IF(AND(INDEX(Profils!$S$5:$S$34,$AE34)&gt;0,INDEX(Profils!$AH$5:$AH$34,$AE34)&lt;=$AH34),ROUND(INDEX(Profils!$S$5:$S$34,$AE34)*Paramètres!$E$35*$AG34*$AJ34,Paramètres!$F$35),0)</f>
        <v>0.021</v>
      </c>
      <c r="Z34" s="21" t="n">
        <f aca="false">ROUND(L34/Paramètres!$E$22+M34/Paramètres!$E$23+N34/Paramètres!$E$24+O34/Paramètres!$E$25+P34/Paramètres!$E$26+Q34/Paramètres!$E$27+R34/Paramètres!$E$28+S34/Paramètres!$E$29+T34/Paramètres!$E$30+U34/Paramètres!$E$31+V34/Paramètres!$E$32+W34/Paramètres!$E$33+X34/Paramètres!$E$34+Y34/Paramètres!$E$35,1)</f>
        <v>8.5</v>
      </c>
      <c r="AA34" s="22" t="s">
        <v>109</v>
      </c>
      <c r="AB34" s="22" t="s">
        <v>109</v>
      </c>
      <c r="AC34" s="15" t="str">
        <f aca="false">$E34</f>
        <v>adamantite</v>
      </c>
      <c r="AD34" s="16" t="n">
        <f aca="false" t="array" ref="AD34:AD34">IF($I34&gt;=$AI34,"Max",ROUND(Paramètres!$B$40*($I34+1)^Paramètres!$B$41*INDEX(Paramètres!$H$6:$H$12,$AF34),0))</f>
        <v>6</v>
      </c>
      <c r="AE34" s="23" t="n">
        <f aca="false">MATCH($B34&amp;"|"&amp;$C34,Profils!$A$5:$A$34,0)</f>
        <v>1</v>
      </c>
      <c r="AF34" s="23" t="n">
        <v>5</v>
      </c>
      <c r="AG34" s="24" t="n">
        <f aca="false" t="array" ref="AG34:AG34">INDEX(Paramètres!$C$6:$C$12,$AF34)</f>
        <v>2.1</v>
      </c>
      <c r="AH34" s="23" t="n">
        <f aca="false" t="array" ref="AH34:AH34">INDEX(Paramètres!$D$6:$D$12,$AF34)</f>
        <v>6</v>
      </c>
      <c r="AI34" s="23" t="n">
        <f aca="false" t="array" ref="AI34:AI34">INDEX(Matériaux!$C$16:$C$20,$D34)</f>
        <v>30</v>
      </c>
      <c r="AJ34" s="25" t="n">
        <f aca="false">Paramètres!$B$16+(1-Paramètres!$B$16)*(($J34-Paramètres!$B$14)/(Paramètres!$B$15-Paramètres!$B$14))^Paramètres!$B$17</f>
        <v>0.665999387952727</v>
      </c>
    </row>
    <row r="35" customFormat="false" ht="15.75" hidden="false" customHeight="true" outlineLevel="0" collapsed="false">
      <c r="A35" s="14" t="s">
        <v>143</v>
      </c>
      <c r="B35" s="15" t="s">
        <v>27</v>
      </c>
      <c r="C35" s="15" t="s">
        <v>107</v>
      </c>
      <c r="D35" s="16" t="n">
        <v>5</v>
      </c>
      <c r="E35" s="15" t="str">
        <f aca="false" t="array" ref="E35:E35">INDEX(Matériaux!$B$5:$F$12,MATCH(INDEX(Profils!$E$5:$E$34,$AE35),Matériaux!$A$5:$A$12,0),$D35)</f>
        <v>adamantite</v>
      </c>
      <c r="F35" s="30" t="s">
        <v>119</v>
      </c>
      <c r="G35" s="10" t="str">
        <f aca="false" t="array" ref="G35:G35">INDEX(Profils!$D$5:$D$34,$AE35)&amp;" en "&amp;$E35</f>
        <v>Casque en adamantite</v>
      </c>
      <c r="H35" s="16" t="n">
        <f aca="false" t="array" ref="H35:H35">INDEX(Matériaux!$B$16:$B$20,$D35)</f>
        <v>70</v>
      </c>
      <c r="I35" s="16" t="n">
        <f aca="false">IF(ISNUMBER($C$3),MIN(MAX(0,ROUND($C$3,0)),$AI35),$AI35)</f>
        <v>0</v>
      </c>
      <c r="J35" s="18" t="n">
        <f aca="false">$H35+$I35</f>
        <v>70</v>
      </c>
      <c r="K35" s="15" t="s">
        <v>109</v>
      </c>
      <c r="L35" s="19" t="n">
        <f aca="false" t="array" ref="L35:L35">IF(AND(INDEX(Profils!$F$5:$F$34,$AE35)&gt;0,INDEX(Profils!$U$5:$U$34,$AE35)&lt;=$AH35),ROUND(INDEX(Profils!$F$5:$F$34,$AE35)*Paramètres!$E$22*$AG35*$AJ35,Paramètres!$F$22),0)</f>
        <v>64</v>
      </c>
      <c r="M35" s="19" t="n">
        <f aca="false" t="array" ref="M35:M35">IF(AND(INDEX(Profils!$G$5:$G$34,$AE35)&gt;0,INDEX(Profils!$V$5:$V$34,$AE35)&lt;=$AH35),ROUND(INDEX(Profils!$G$5:$G$34,$AE35)*Paramètres!$E$23*$AG35*$AJ35,Paramètres!$F$23),0)</f>
        <v>12</v>
      </c>
      <c r="N35" s="19" t="n">
        <f aca="false" t="array" ref="N35:N35">IF(AND(INDEX(Profils!$H$5:$H$34,$AE35)&gt;0,INDEX(Profils!$W$5:$W$34,$AE35)&lt;=$AH35),ROUND(INDEX(Profils!$H$5:$H$34,$AE35)*Paramètres!$E$24*$AG35*$AJ35,Paramètres!$F$24),0)</f>
        <v>29</v>
      </c>
      <c r="O35" s="19" t="n">
        <f aca="false" t="array" ref="O35:O35">IF(AND(INDEX(Profils!$I$5:$I$34,$AE35)&gt;0,INDEX(Profils!$X$5:$X$34,$AE35)&lt;=$AH35),ROUND(INDEX(Profils!$I$5:$I$34,$AE35)*Paramètres!$E$25*$AG35*$AJ35,Paramètres!$F$25),0)</f>
        <v>0</v>
      </c>
      <c r="P35" s="19" t="n">
        <f aca="false" t="array" ref="P35:P35">IF(AND(INDEX(Profils!$J$5:$J$34,$AE35)&gt;0,INDEX(Profils!$Y$5:$Y$34,$AE35)&lt;=$AH35),ROUND(INDEX(Profils!$J$5:$J$34,$AE35)*Paramètres!$E$26*$AG35*$AJ35,Paramètres!$F$26),0)</f>
        <v>0</v>
      </c>
      <c r="Q35" s="19" t="n">
        <f aca="false" t="array" ref="Q35:Q35">IF(AND(INDEX(Profils!$K$5:$K$34,$AE35)&gt;0,INDEX(Profils!$Z$5:$Z$34,$AE35)&lt;=$AH35),ROUND(INDEX(Profils!$K$5:$K$34,$AE35)*Paramètres!$E$27*$AG35*$AJ35,Paramètres!$F$27),0)</f>
        <v>0</v>
      </c>
      <c r="R35" s="20" t="n">
        <f aca="false" t="array" ref="R35:R35">IF(AND(INDEX(Profils!$L$5:$L$34,$AE35)&gt;0,INDEX(Profils!$AA$5:$AA$34,$AE35)&lt;=$AH35),ROUND(INDEX(Profils!$L$5:$L$34,$AE35)*Paramètres!$E$28*$AG35*$AJ35,Paramètres!$F$28),0)</f>
        <v>0.01</v>
      </c>
      <c r="S35" s="20" t="n">
        <f aca="false" t="array" ref="S35:S35">IF(AND(INDEX(Profils!$M$5:$M$34,$AE35)&gt;0,INDEX(Profils!$AB$5:$AB$34,$AE35)&lt;=$AH35),ROUND(INDEX(Profils!$M$5:$M$34,$AE35)*Paramètres!$E$29*$AG35*$AJ35,Paramètres!$F$29),0)</f>
        <v>0</v>
      </c>
      <c r="T35" s="20" t="n">
        <f aca="false" t="array" ref="T35:T35">IF(AND(INDEX(Profils!$N$5:$N$34,$AE35)&gt;0,INDEX(Profils!$AC$5:$AC$34,$AE35)&lt;=$AH35),ROUND(INDEX(Profils!$N$5:$N$34,$AE35)*Paramètres!$E$30*$AG35*$AJ35,Paramètres!$F$30),0)</f>
        <v>0</v>
      </c>
      <c r="U35" s="19" t="n">
        <f aca="false" t="array" ref="U35:U35">IF(AND(INDEX(Profils!$O$5:$O$34,$AE35)&gt;0,INDEX(Profils!$AD$5:$AD$34,$AE35)&lt;=$AH35),ROUND(INDEX(Profils!$O$5:$O$34,$AE35)*Paramètres!$E$31*$AG35*$AJ35,Paramètres!$F$31),0)</f>
        <v>38</v>
      </c>
      <c r="V35" s="20" t="n">
        <f aca="false" t="array" ref="V35:V35">IF(AND(INDEX(Profils!$P$5:$P$34,$AE35)&gt;0,INDEX(Profils!$AE$5:$AE$34,$AE35)&lt;=$AH35),ROUND(INDEX(Profils!$P$5:$P$34,$AE35)*Paramètres!$E$32*$AG35*$AJ35,Paramètres!$F$32),0)</f>
        <v>0</v>
      </c>
      <c r="W35" s="20" t="n">
        <f aca="false" t="array" ref="W35:W35">IF(AND(INDEX(Profils!$Q$5:$Q$34,$AE35)&gt;0,INDEX(Profils!$AF$5:$AF$34,$AE35)&lt;=$AH35),ROUND(INDEX(Profils!$Q$5:$Q$34,$AE35)*Paramètres!$E$33*$AG35*$AJ35,Paramètres!$F$33),0)</f>
        <v>0.014</v>
      </c>
      <c r="X35" s="20" t="n">
        <f aca="false" t="array" ref="X35:X35">IF(AND(INDEX(Profils!$R$5:$R$34,$AE35)&gt;0,INDEX(Profils!$AG$5:$AG$34,$AE35)&lt;=$AH35),ROUND(INDEX(Profils!$R$5:$R$34,$AE35)*Paramètres!$E$34*$AG35*$AJ35,Paramètres!$F$34),0)</f>
        <v>0</v>
      </c>
      <c r="Y35" s="20" t="n">
        <f aca="false" t="array" ref="Y35:Y35">IF(AND(INDEX(Profils!$S$5:$S$34,$AE35)&gt;0,INDEX(Profils!$AH$5:$AH$34,$AE35)&lt;=$AH35),ROUND(INDEX(Profils!$S$5:$S$34,$AE35)*Paramètres!$E$35*$AG35*$AJ35,Paramètres!$F$35),0)</f>
        <v>0.024</v>
      </c>
      <c r="Z35" s="21" t="n">
        <f aca="false">ROUND(L35/Paramètres!$E$22+M35/Paramètres!$E$23+N35/Paramètres!$E$24+O35/Paramètres!$E$25+P35/Paramètres!$E$26+Q35/Paramètres!$E$27+R35/Paramètres!$E$28+S35/Paramètres!$E$29+T35/Paramètres!$E$30+U35/Paramètres!$E$31+V35/Paramètres!$E$32+W35/Paramètres!$E$33+X35/Paramètres!$E$34+Y35/Paramètres!$E$35,1)</f>
        <v>10.4</v>
      </c>
      <c r="AA35" s="22" t="s">
        <v>109</v>
      </c>
      <c r="AB35" s="22" t="s">
        <v>109</v>
      </c>
      <c r="AC35" s="15" t="str">
        <f aca="false">$E35</f>
        <v>adamantite</v>
      </c>
      <c r="AD35" s="16" t="n">
        <f aca="false" t="array" ref="AD35:AD35">IF($I35&gt;=$AI35,"Max",ROUND(Paramètres!$B$40*($I35+1)^Paramètres!$B$41*INDEX(Paramètres!$H$6:$H$12,$AF35),0))</f>
        <v>8</v>
      </c>
      <c r="AE35" s="23" t="n">
        <f aca="false">MATCH($B35&amp;"|"&amp;$C35,Profils!$A$5:$A$34,0)</f>
        <v>1</v>
      </c>
      <c r="AF35" s="23" t="n">
        <v>6</v>
      </c>
      <c r="AG35" s="24" t="n">
        <f aca="false" t="array" ref="AG35:AG35">INDEX(Paramètres!$C$6:$C$12,$AF35)</f>
        <v>2.4</v>
      </c>
      <c r="AH35" s="23" t="n">
        <f aca="false" t="array" ref="AH35:AH35">INDEX(Paramètres!$D$6:$D$12,$AF35)</f>
        <v>7</v>
      </c>
      <c r="AI35" s="23" t="n">
        <f aca="false" t="array" ref="AI35:AI35">INDEX(Matériaux!$C$16:$C$20,$D35)</f>
        <v>30</v>
      </c>
      <c r="AJ35" s="25" t="n">
        <f aca="false">Paramètres!$B$16+(1-Paramètres!$B$16)*(($J35-Paramètres!$B$14)/(Paramètres!$B$15-Paramètres!$B$14))^Paramètres!$B$17</f>
        <v>0.665999387952727</v>
      </c>
    </row>
    <row r="36" customFormat="false" ht="15.75" hidden="false" customHeight="true" outlineLevel="0" collapsed="false">
      <c r="A36" s="14" t="s">
        <v>144</v>
      </c>
      <c r="B36" s="15" t="s">
        <v>27</v>
      </c>
      <c r="C36" s="15" t="s">
        <v>107</v>
      </c>
      <c r="D36" s="16" t="s">
        <v>109</v>
      </c>
      <c r="E36" s="15" t="s">
        <v>109</v>
      </c>
      <c r="F36" s="31" t="s">
        <v>38</v>
      </c>
      <c r="G36" s="10" t="str">
        <f aca="false" t="array" ref="G36:G36">INDEX(Uniques!$E$5:$E$34,MATCH($B36&amp;"|"&amp;$C36,Uniques!$A$5:$A$34,0))</f>
        <v>Heaume du Roi Déchu</v>
      </c>
      <c r="H36" s="16" t="n">
        <f aca="false" t="array" ref="H36:H36">INDEX(Uniques!$L$5:$L$34,MATCH($B36&amp;"|"&amp;$C36,Uniques!$A$5:$A$34,0))</f>
        <v>1</v>
      </c>
      <c r="I36" s="16" t="n">
        <f aca="false">IF(ISNUMBER($C$3),MIN(MAX(0,ROUND($C$3,0)),$AI36),$AI36)</f>
        <v>0</v>
      </c>
      <c r="J36" s="18" t="n">
        <f aca="false">$H36+$I36</f>
        <v>1</v>
      </c>
      <c r="K36" s="15" t="str">
        <f aca="false" t="array" ref="K36:K36">INDEX(Uniques!$F$5:$F$34,MATCH($B36&amp;"|"&amp;$C36,Uniques!$A$5:$A$34,0))</f>
        <v>Neutre</v>
      </c>
      <c r="L36" s="19" t="n">
        <f aca="false" t="array" ref="L36:L36">IF(AND(INDEX(Profils!$F$5:$F$34,$AE36)&gt;0,INDEX(Profils!$U$5:$U$34,$AE36)&lt;=$AH36),ROUND(INDEX(Profils!$F$5:$F$34,$AE36)*Paramètres!$E$22*$AG36*$AJ36,Paramètres!$F$22),0)</f>
        <v>5</v>
      </c>
      <c r="M36" s="19" t="n">
        <f aca="false" t="array" ref="M36:M36">IF(AND(INDEX(Profils!$G$5:$G$34,$AE36)&gt;0,INDEX(Profils!$V$5:$V$34,$AE36)&lt;=$AH36),ROUND(INDEX(Profils!$G$5:$G$34,$AE36)*Paramètres!$E$23*$AG36*$AJ36,Paramètres!$F$23),0)</f>
        <v>1</v>
      </c>
      <c r="N36" s="19" t="n">
        <f aca="false" t="array" ref="N36:N36">IF(AND(INDEX(Profils!$H$5:$H$34,$AE36)&gt;0,INDEX(Profils!$W$5:$W$34,$AE36)&lt;=$AH36),ROUND(INDEX(Profils!$H$5:$H$34,$AE36)*Paramètres!$E$24*$AG36*$AJ36,Paramètres!$F$24),0)</f>
        <v>2</v>
      </c>
      <c r="O36" s="19" t="n">
        <f aca="false" t="array" ref="O36:O36">IF(AND(INDEX(Profils!$I$5:$I$34,$AE36)&gt;0,INDEX(Profils!$X$5:$X$34,$AE36)&lt;=$AH36),ROUND(INDEX(Profils!$I$5:$I$34,$AE36)*Paramètres!$E$25*$AG36*$AJ36,Paramètres!$F$25),0)</f>
        <v>0</v>
      </c>
      <c r="P36" s="19" t="n">
        <f aca="false" t="array" ref="P36:P36">IF(AND(INDEX(Profils!$J$5:$J$34,$AE36)&gt;0,INDEX(Profils!$Y$5:$Y$34,$AE36)&lt;=$AH36),ROUND(INDEX(Profils!$J$5:$J$34,$AE36)*Paramètres!$E$26*$AG36*$AJ36,Paramètres!$F$26),0)</f>
        <v>0</v>
      </c>
      <c r="Q36" s="19" t="n">
        <f aca="false" t="array" ref="Q36:Q36">IF(AND(INDEX(Profils!$K$5:$K$34,$AE36)&gt;0,INDEX(Profils!$Z$5:$Z$34,$AE36)&lt;=$AH36),ROUND(INDEX(Profils!$K$5:$K$34,$AE36)*Paramètres!$E$27*$AG36*$AJ36,Paramètres!$F$27),0)</f>
        <v>0</v>
      </c>
      <c r="R36" s="20" t="n">
        <f aca="false" t="array" ref="R36:R36">IF(AND(INDEX(Profils!$L$5:$L$34,$AE36)&gt;0,INDEX(Profils!$AA$5:$AA$34,$AE36)&lt;=$AH36),ROUND(INDEX(Profils!$L$5:$L$34,$AE36)*Paramètres!$E$28*$AG36*$AJ36,Paramètres!$F$28),0)</f>
        <v>0.001</v>
      </c>
      <c r="S36" s="20" t="n">
        <f aca="false" t="array" ref="S36:S36">IF(AND(INDEX(Profils!$M$5:$M$34,$AE36)&gt;0,INDEX(Profils!$AB$5:$AB$34,$AE36)&lt;=$AH36),ROUND(INDEX(Profils!$M$5:$M$34,$AE36)*Paramètres!$E$29*$AG36*$AJ36,Paramètres!$F$29),0)</f>
        <v>0</v>
      </c>
      <c r="T36" s="20" t="n">
        <f aca="false" t="array" ref="T36:T36">IF(AND(INDEX(Profils!$N$5:$N$34,$AE36)&gt;0,INDEX(Profils!$AC$5:$AC$34,$AE36)&lt;=$AH36),ROUND(INDEX(Profils!$N$5:$N$34,$AE36)*Paramètres!$E$30*$AG36*$AJ36,Paramètres!$F$30),0)</f>
        <v>0</v>
      </c>
      <c r="U36" s="19" t="n">
        <f aca="false" t="array" ref="U36:U36">IF(AND(INDEX(Profils!$O$5:$O$34,$AE36)&gt;0,INDEX(Profils!$AD$5:$AD$34,$AE36)&lt;=$AH36),ROUND(INDEX(Profils!$O$5:$O$34,$AE36)*Paramètres!$E$31*$AG36*$AJ36,Paramètres!$F$31),0)</f>
        <v>3</v>
      </c>
      <c r="V36" s="20" t="n">
        <f aca="false" t="array" ref="V36:V36">IF(AND(INDEX(Profils!$P$5:$P$34,$AE36)&gt;0,INDEX(Profils!$AE$5:$AE$34,$AE36)&lt;=$AH36),ROUND(INDEX(Profils!$P$5:$P$34,$AE36)*Paramètres!$E$32*$AG36*$AJ36,Paramètres!$F$32),0)</f>
        <v>0</v>
      </c>
      <c r="W36" s="20" t="n">
        <f aca="false" t="array" ref="W36:W36">IF(AND(INDEX(Profils!$Q$5:$Q$34,$AE36)&gt;0,INDEX(Profils!$AF$5:$AF$34,$AE36)&lt;=$AH36),ROUND(INDEX(Profils!$Q$5:$Q$34,$AE36)*Paramètres!$E$33*$AG36*$AJ36,Paramètres!$F$33),0)</f>
        <v>0.001</v>
      </c>
      <c r="X36" s="20" t="n">
        <f aca="false" t="array" ref="X36:X36">IF(AND(INDEX(Profils!$R$5:$R$34,$AE36)&gt;0,INDEX(Profils!$AG$5:$AG$34,$AE36)&lt;=$AH36),ROUND(INDEX(Profils!$R$5:$R$34,$AE36)*Paramètres!$E$34*$AG36*$AJ36,Paramètres!$F$34),0)</f>
        <v>0</v>
      </c>
      <c r="Y36" s="20" t="n">
        <f aca="false" t="array" ref="Y36:Y36">IF(AND(INDEX(Profils!$S$5:$S$34,$AE36)&gt;0,INDEX(Profils!$AH$5:$AH$34,$AE36)&lt;=$AH36),ROUND(INDEX(Profils!$S$5:$S$34,$AE36)*Paramètres!$E$35*$AG36*$AJ36,Paramètres!$F$35),0)</f>
        <v>0.002</v>
      </c>
      <c r="Z36" s="21" t="n">
        <f aca="false">ROUND(L36/Paramètres!$E$22+M36/Paramètres!$E$23+N36/Paramètres!$E$24+O36/Paramètres!$E$25+P36/Paramètres!$E$26+Q36/Paramètres!$E$27+R36/Paramètres!$E$28+S36/Paramètres!$E$29+T36/Paramètres!$E$30+U36/Paramètres!$E$31+V36/Paramètres!$E$32+W36/Paramètres!$E$33+X36/Paramètres!$E$34+Y36/Paramètres!$E$35,1)</f>
        <v>0.8</v>
      </c>
      <c r="AA36" s="22" t="str">
        <f aca="false" t="array" ref="AA36:AA36">INDEX(Uniques!$G$5:$G$34,MATCH($B36&amp;"|"&amp;$C36,Uniques!$A$5:$A$34,0))</f>
        <v>Volonté inflexible</v>
      </c>
      <c r="AB36" s="22" t="str">
        <f aca="false" t="array" ref="AB36:AB36">INDEX(Uniques!$H$5:$H$34,MATCH($B36&amp;"|"&amp;$C36,Uniques!$A$5:$A$34,0))&amp;" ["&amp;INDEX(Uniques!$I$5:$I$34,MATCH($B36&amp;"|"&amp;$C36,Uniques!$A$5:$A$34,0))&amp;"]"</f>
        <v>Au début du combat, le porteur ignore le premier étourdissement subi et gagne +15 % de Résistance pendant 3 tours. [1 fois par combat.]</v>
      </c>
      <c r="AC36" s="15" t="str">
        <f aca="false" t="array" ref="AC36:AC36">INDEX(Matériaux!$B$5:$F$12,MATCH(INDEX(Profils!$E$5:$E$34,$AE36),Matériaux!$A$5:$A$12,0),MATCH(MIN($J36+1,100),Matériaux!$B$16:$B$20,1))</f>
        <v>cuir</v>
      </c>
      <c r="AD36" s="16" t="n">
        <f aca="false" t="array" ref="AD36:AD36">IF($I36&gt;=$AI36,"Max",ROUND(Paramètres!$B$40*($I36+1)^Paramètres!$B$41*INDEX(Paramètres!$H$6:$H$12,$AF36),0))</f>
        <v>9</v>
      </c>
      <c r="AE36" s="23" t="n">
        <f aca="false">MATCH($B36&amp;"|"&amp;$C36,Profils!$A$5:$A$34,0)</f>
        <v>1</v>
      </c>
      <c r="AF36" s="23" t="n">
        <v>7</v>
      </c>
      <c r="AG36" s="24" t="n">
        <f aca="false" t="array" ref="AG36:AG36">INDEX(Paramètres!$C$6:$C$12,$AF36)</f>
        <v>2.5</v>
      </c>
      <c r="AH36" s="23" t="n">
        <f aca="false" t="array" ref="AH36:AH36">INDEX(Paramètres!$D$6:$D$12,$AF36)</f>
        <v>7</v>
      </c>
      <c r="AI36" s="23" t="n">
        <f aca="false" t="array" ref="AI36:AI36">INDEX(Uniques!$M$5:$M$34,MATCH($B36&amp;"|"&amp;$C36,Uniques!$A$5:$A$34,0))</f>
        <v>99</v>
      </c>
      <c r="AJ36" s="25" t="n">
        <f aca="false">Paramètres!$B$16+(1-Paramètres!$B$16)*(($J36-Paramètres!$B$14)/(Paramètres!$B$15-Paramètres!$B$14))^Paramètres!$B$17</f>
        <v>0.05</v>
      </c>
    </row>
    <row r="37" customFormat="false" ht="15.75" hidden="false" customHeight="true" outlineLevel="0" collapsed="false">
      <c r="A37" s="14" t="s">
        <v>145</v>
      </c>
      <c r="B37" s="15" t="s">
        <v>27</v>
      </c>
      <c r="C37" s="15" t="s">
        <v>90</v>
      </c>
      <c r="D37" s="16" t="n">
        <v>1</v>
      </c>
      <c r="E37" s="15" t="str">
        <f aca="false" t="array" ref="E37:E37">INDEX(Matériaux!$B$5:$F$12,MATCH(INDEX(Profils!$E$5:$E$34,$AE37),Matériaux!$A$5:$A$12,0),$D37)</f>
        <v>cuir</v>
      </c>
      <c r="F37" s="17" t="s">
        <v>108</v>
      </c>
      <c r="G37" s="10" t="str">
        <f aca="false" t="array" ref="G37:G37">INDEX(Profils!$D$5:$D$34,$AE37)&amp;" en "&amp;$E37</f>
        <v>Plastron en cuir</v>
      </c>
      <c r="H37" s="16" t="n">
        <f aca="false" t="array" ref="H37:H37">INDEX(Matériaux!$B$16:$B$20,$D37)</f>
        <v>1</v>
      </c>
      <c r="I37" s="16" t="n">
        <f aca="false">IF(ISNUMBER($C$3),MIN(MAX(0,ROUND($C$3,0)),$AI37),$AI37)</f>
        <v>0</v>
      </c>
      <c r="J37" s="18" t="n">
        <f aca="false">$H37+$I37</f>
        <v>1</v>
      </c>
      <c r="K37" s="15" t="s">
        <v>109</v>
      </c>
      <c r="L37" s="19" t="n">
        <f aca="false" t="array" ref="L37:L37">IF(AND(INDEX(Profils!$F$5:$F$34,$AE37)&gt;0,INDEX(Profils!$U$5:$U$34,$AE37)&lt;=$AH37),ROUND(INDEX(Profils!$F$5:$F$34,$AE37)*Paramètres!$E$22*$AG37*$AJ37,Paramètres!$F$22),0)</f>
        <v>3</v>
      </c>
      <c r="M37" s="19" t="n">
        <f aca="false" t="array" ref="M37:M37">IF(AND(INDEX(Profils!$G$5:$G$34,$AE37)&gt;0,INDEX(Profils!$V$5:$V$34,$AE37)&lt;=$AH37),ROUND(INDEX(Profils!$G$5:$G$34,$AE37)*Paramètres!$E$23*$AG37*$AJ37,Paramètres!$F$23),0)</f>
        <v>0</v>
      </c>
      <c r="N37" s="19" t="n">
        <f aca="false" t="array" ref="N37:N37">IF(AND(INDEX(Profils!$H$5:$H$34,$AE37)&gt;0,INDEX(Profils!$W$5:$W$34,$AE37)&lt;=$AH37),ROUND(INDEX(Profils!$H$5:$H$34,$AE37)*Paramètres!$E$24*$AG37*$AJ37,Paramètres!$F$24),0)</f>
        <v>0</v>
      </c>
      <c r="O37" s="19" t="n">
        <f aca="false" t="array" ref="O37:O37">IF(AND(INDEX(Profils!$I$5:$I$34,$AE37)&gt;0,INDEX(Profils!$X$5:$X$34,$AE37)&lt;=$AH37),ROUND(INDEX(Profils!$I$5:$I$34,$AE37)*Paramètres!$E$25*$AG37*$AJ37,Paramètres!$F$25),0)</f>
        <v>0</v>
      </c>
      <c r="P37" s="19" t="n">
        <f aca="false" t="array" ref="P37:P37">IF(AND(INDEX(Profils!$J$5:$J$34,$AE37)&gt;0,INDEX(Profils!$Y$5:$Y$34,$AE37)&lt;=$AH37),ROUND(INDEX(Profils!$J$5:$J$34,$AE37)*Paramètres!$E$26*$AG37*$AJ37,Paramètres!$F$26),0)</f>
        <v>0</v>
      </c>
      <c r="Q37" s="19" t="n">
        <f aca="false" t="array" ref="Q37:Q37">IF(AND(INDEX(Profils!$K$5:$K$34,$AE37)&gt;0,INDEX(Profils!$Z$5:$Z$34,$AE37)&lt;=$AH37),ROUND(INDEX(Profils!$K$5:$K$34,$AE37)*Paramètres!$E$27*$AG37*$AJ37,Paramètres!$F$27),0)</f>
        <v>0</v>
      </c>
      <c r="R37" s="20" t="n">
        <f aca="false" t="array" ref="R37:R37">IF(AND(INDEX(Profils!$L$5:$L$34,$AE37)&gt;0,INDEX(Profils!$AA$5:$AA$34,$AE37)&lt;=$AH37),ROUND(INDEX(Profils!$L$5:$L$34,$AE37)*Paramètres!$E$28*$AG37*$AJ37,Paramètres!$F$28),0)</f>
        <v>0</v>
      </c>
      <c r="S37" s="20" t="n">
        <f aca="false" t="array" ref="S37:S37">IF(AND(INDEX(Profils!$M$5:$M$34,$AE37)&gt;0,INDEX(Profils!$AB$5:$AB$34,$AE37)&lt;=$AH37),ROUND(INDEX(Profils!$M$5:$M$34,$AE37)*Paramètres!$E$29*$AG37*$AJ37,Paramètres!$F$29),0)</f>
        <v>0</v>
      </c>
      <c r="T37" s="20" t="n">
        <f aca="false" t="array" ref="T37:T37">IF(AND(INDEX(Profils!$N$5:$N$34,$AE37)&gt;0,INDEX(Profils!$AC$5:$AC$34,$AE37)&lt;=$AH37),ROUND(INDEX(Profils!$N$5:$N$34,$AE37)*Paramètres!$E$30*$AG37*$AJ37,Paramètres!$F$30),0)</f>
        <v>0</v>
      </c>
      <c r="U37" s="19" t="n">
        <f aca="false" t="array" ref="U37:U37">IF(AND(INDEX(Profils!$O$5:$O$34,$AE37)&gt;0,INDEX(Profils!$AD$5:$AD$34,$AE37)&lt;=$AH37),ROUND(INDEX(Profils!$O$5:$O$34,$AE37)*Paramètres!$E$31*$AG37*$AJ37,Paramètres!$F$31),0)</f>
        <v>2</v>
      </c>
      <c r="V37" s="20" t="n">
        <f aca="false" t="array" ref="V37:V37">IF(AND(INDEX(Profils!$P$5:$P$34,$AE37)&gt;0,INDEX(Profils!$AE$5:$AE$34,$AE37)&lt;=$AH37),ROUND(INDEX(Profils!$P$5:$P$34,$AE37)*Paramètres!$E$32*$AG37*$AJ37,Paramètres!$F$32),0)</f>
        <v>0</v>
      </c>
      <c r="W37" s="20" t="n">
        <f aca="false" t="array" ref="W37:W37">IF(AND(INDEX(Profils!$Q$5:$Q$34,$AE37)&gt;0,INDEX(Profils!$AF$5:$AF$34,$AE37)&lt;=$AH37),ROUND(INDEX(Profils!$Q$5:$Q$34,$AE37)*Paramètres!$E$33*$AG37*$AJ37,Paramètres!$F$33),0)</f>
        <v>0</v>
      </c>
      <c r="X37" s="20" t="n">
        <f aca="false" t="array" ref="X37:X37">IF(AND(INDEX(Profils!$R$5:$R$34,$AE37)&gt;0,INDEX(Profils!$AG$5:$AG$34,$AE37)&lt;=$AH37),ROUND(INDEX(Profils!$R$5:$R$34,$AE37)*Paramètres!$E$34*$AG37*$AJ37,Paramètres!$F$34),0)</f>
        <v>0</v>
      </c>
      <c r="Y37" s="20" t="n">
        <f aca="false" t="array" ref="Y37:Y37">IF(AND(INDEX(Profils!$S$5:$S$34,$AE37)&gt;0,INDEX(Profils!$AH$5:$AH$34,$AE37)&lt;=$AH37),ROUND(INDEX(Profils!$S$5:$S$34,$AE37)*Paramètres!$E$35*$AG37*$AJ37,Paramètres!$F$35),0)</f>
        <v>0</v>
      </c>
      <c r="Z37" s="21" t="n">
        <f aca="false">ROUND(L37/Paramètres!$E$22+M37/Paramètres!$E$23+N37/Paramètres!$E$24+O37/Paramètres!$E$25+P37/Paramètres!$E$26+Q37/Paramètres!$E$27+R37/Paramètres!$E$28+S37/Paramètres!$E$29+T37/Paramètres!$E$30+U37/Paramètres!$E$31+V37/Paramètres!$E$32+W37/Paramètres!$E$33+X37/Paramètres!$E$34+Y37/Paramètres!$E$35,1)</f>
        <v>0.2</v>
      </c>
      <c r="AA37" s="22" t="s">
        <v>109</v>
      </c>
      <c r="AB37" s="22" t="s">
        <v>109</v>
      </c>
      <c r="AC37" s="15" t="str">
        <f aca="false">$E37</f>
        <v>cuir</v>
      </c>
      <c r="AD37" s="16" t="n">
        <f aca="false" t="array" ref="AD37:AD37">IF($I37&gt;=$AI37,"Max",ROUND(Paramètres!$B$40*($I37+1)^Paramètres!$B$41*INDEX(Paramètres!$H$6:$H$12,$AF37),0))</f>
        <v>3</v>
      </c>
      <c r="AE37" s="23" t="n">
        <f aca="false">MATCH($B37&amp;"|"&amp;$C37,Profils!$A$5:$A$34,0)</f>
        <v>2</v>
      </c>
      <c r="AF37" s="23" t="n">
        <v>1</v>
      </c>
      <c r="AG37" s="24" t="n">
        <f aca="false" t="array" ref="AG37:AG37">INDEX(Paramètres!$C$6:$C$12,$AF37)</f>
        <v>1</v>
      </c>
      <c r="AH37" s="23" t="n">
        <f aca="false" t="array" ref="AH37:AH37">INDEX(Paramètres!$D$6:$D$12,$AF37)</f>
        <v>2</v>
      </c>
      <c r="AI37" s="23" t="n">
        <f aca="false" t="array" ref="AI37:AI37">INDEX(Matériaux!$C$16:$C$20,$D37)</f>
        <v>19</v>
      </c>
      <c r="AJ37" s="25" t="n">
        <f aca="false">Paramètres!$B$16+(1-Paramètres!$B$16)*(($J37-Paramètres!$B$14)/(Paramètres!$B$15-Paramètres!$B$14))^Paramètres!$B$17</f>
        <v>0.05</v>
      </c>
    </row>
    <row r="38" customFormat="false" ht="15.75" hidden="false" customHeight="true" outlineLevel="0" collapsed="false">
      <c r="A38" s="14" t="s">
        <v>146</v>
      </c>
      <c r="B38" s="15" t="s">
        <v>27</v>
      </c>
      <c r="C38" s="15" t="s">
        <v>90</v>
      </c>
      <c r="D38" s="16" t="n">
        <v>1</v>
      </c>
      <c r="E38" s="15" t="str">
        <f aca="false" t="array" ref="E38:E38">INDEX(Matériaux!$B$5:$F$12,MATCH(INDEX(Profils!$E$5:$E$34,$AE38),Matériaux!$A$5:$A$12,0),$D38)</f>
        <v>cuir</v>
      </c>
      <c r="F38" s="26" t="s">
        <v>111</v>
      </c>
      <c r="G38" s="10" t="str">
        <f aca="false" t="array" ref="G38:G38">INDEX(Profils!$D$5:$D$34,$AE38)&amp;" en "&amp;$E38</f>
        <v>Plastron en cuir</v>
      </c>
      <c r="H38" s="16" t="n">
        <f aca="false" t="array" ref="H38:H38">INDEX(Matériaux!$B$16:$B$20,$D38)</f>
        <v>1</v>
      </c>
      <c r="I38" s="16" t="n">
        <f aca="false">IF(ISNUMBER($C$3),MIN(MAX(0,ROUND($C$3,0)),$AI38),$AI38)</f>
        <v>0</v>
      </c>
      <c r="J38" s="18" t="n">
        <f aca="false">$H38+$I38</f>
        <v>1</v>
      </c>
      <c r="K38" s="15" t="s">
        <v>109</v>
      </c>
      <c r="L38" s="19" t="n">
        <f aca="false" t="array" ref="L38:L38">IF(AND(INDEX(Profils!$F$5:$F$34,$AE38)&gt;0,INDEX(Profils!$U$5:$U$34,$AE38)&lt;=$AH38),ROUND(INDEX(Profils!$F$5:$F$34,$AE38)*Paramètres!$E$22*$AG38*$AJ38,Paramètres!$F$22),0)</f>
        <v>4</v>
      </c>
      <c r="M38" s="19" t="n">
        <f aca="false" t="array" ref="M38:M38">IF(AND(INDEX(Profils!$G$5:$G$34,$AE38)&gt;0,INDEX(Profils!$V$5:$V$34,$AE38)&lt;=$AH38),ROUND(INDEX(Profils!$G$5:$G$34,$AE38)*Paramètres!$E$23*$AG38*$AJ38,Paramètres!$F$23),0)</f>
        <v>0</v>
      </c>
      <c r="N38" s="19" t="n">
        <f aca="false" t="array" ref="N38:N38">IF(AND(INDEX(Profils!$H$5:$H$34,$AE38)&gt;0,INDEX(Profils!$W$5:$W$34,$AE38)&lt;=$AH38),ROUND(INDEX(Profils!$H$5:$H$34,$AE38)*Paramètres!$E$24*$AG38*$AJ38,Paramètres!$F$24),0)</f>
        <v>2</v>
      </c>
      <c r="O38" s="19" t="n">
        <f aca="false" t="array" ref="O38:O38">IF(AND(INDEX(Profils!$I$5:$I$34,$AE38)&gt;0,INDEX(Profils!$X$5:$X$34,$AE38)&lt;=$AH38),ROUND(INDEX(Profils!$I$5:$I$34,$AE38)*Paramètres!$E$25*$AG38*$AJ38,Paramètres!$F$25),0)</f>
        <v>0</v>
      </c>
      <c r="P38" s="19" t="n">
        <f aca="false" t="array" ref="P38:P38">IF(AND(INDEX(Profils!$J$5:$J$34,$AE38)&gt;0,INDEX(Profils!$Y$5:$Y$34,$AE38)&lt;=$AH38),ROUND(INDEX(Profils!$J$5:$J$34,$AE38)*Paramètres!$E$26*$AG38*$AJ38,Paramètres!$F$26),0)</f>
        <v>0</v>
      </c>
      <c r="Q38" s="19" t="n">
        <f aca="false" t="array" ref="Q38:Q38">IF(AND(INDEX(Profils!$K$5:$K$34,$AE38)&gt;0,INDEX(Profils!$Z$5:$Z$34,$AE38)&lt;=$AH38),ROUND(INDEX(Profils!$K$5:$K$34,$AE38)*Paramètres!$E$27*$AG38*$AJ38,Paramètres!$F$27),0)</f>
        <v>0</v>
      </c>
      <c r="R38" s="20" t="n">
        <f aca="false" t="array" ref="R38:R38">IF(AND(INDEX(Profils!$L$5:$L$34,$AE38)&gt;0,INDEX(Profils!$AA$5:$AA$34,$AE38)&lt;=$AH38),ROUND(INDEX(Profils!$L$5:$L$34,$AE38)*Paramètres!$E$28*$AG38*$AJ38,Paramètres!$F$28),0)</f>
        <v>0</v>
      </c>
      <c r="S38" s="20" t="n">
        <f aca="false" t="array" ref="S38:S38">IF(AND(INDEX(Profils!$M$5:$M$34,$AE38)&gt;0,INDEX(Profils!$AB$5:$AB$34,$AE38)&lt;=$AH38),ROUND(INDEX(Profils!$M$5:$M$34,$AE38)*Paramètres!$E$29*$AG38*$AJ38,Paramètres!$F$29),0)</f>
        <v>0</v>
      </c>
      <c r="T38" s="20" t="n">
        <f aca="false" t="array" ref="T38:T38">IF(AND(INDEX(Profils!$N$5:$N$34,$AE38)&gt;0,INDEX(Profils!$AC$5:$AC$34,$AE38)&lt;=$AH38),ROUND(INDEX(Profils!$N$5:$N$34,$AE38)*Paramètres!$E$30*$AG38*$AJ38,Paramètres!$F$30),0)</f>
        <v>0</v>
      </c>
      <c r="U38" s="19" t="n">
        <f aca="false" t="array" ref="U38:U38">IF(AND(INDEX(Profils!$O$5:$O$34,$AE38)&gt;0,INDEX(Profils!$AD$5:$AD$34,$AE38)&lt;=$AH38),ROUND(INDEX(Profils!$O$5:$O$34,$AE38)*Paramètres!$E$31*$AG38*$AJ38,Paramètres!$F$31),0)</f>
        <v>3</v>
      </c>
      <c r="V38" s="20" t="n">
        <f aca="false" t="array" ref="V38:V38">IF(AND(INDEX(Profils!$P$5:$P$34,$AE38)&gt;0,INDEX(Profils!$AE$5:$AE$34,$AE38)&lt;=$AH38),ROUND(INDEX(Profils!$P$5:$P$34,$AE38)*Paramètres!$E$32*$AG38*$AJ38,Paramètres!$F$32),0)</f>
        <v>0</v>
      </c>
      <c r="W38" s="20" t="n">
        <f aca="false" t="array" ref="W38:W38">IF(AND(INDEX(Profils!$Q$5:$Q$34,$AE38)&gt;0,INDEX(Profils!$AF$5:$AF$34,$AE38)&lt;=$AH38),ROUND(INDEX(Profils!$Q$5:$Q$34,$AE38)*Paramètres!$E$33*$AG38*$AJ38,Paramètres!$F$33),0)</f>
        <v>0</v>
      </c>
      <c r="X38" s="20" t="n">
        <f aca="false" t="array" ref="X38:X38">IF(AND(INDEX(Profils!$R$5:$R$34,$AE38)&gt;0,INDEX(Profils!$AG$5:$AG$34,$AE38)&lt;=$AH38),ROUND(INDEX(Profils!$R$5:$R$34,$AE38)*Paramètres!$E$34*$AG38*$AJ38,Paramètres!$F$34),0)</f>
        <v>0</v>
      </c>
      <c r="Y38" s="20" t="n">
        <f aca="false" t="array" ref="Y38:Y38">IF(AND(INDEX(Profils!$S$5:$S$34,$AE38)&gt;0,INDEX(Profils!$AH$5:$AH$34,$AE38)&lt;=$AH38),ROUND(INDEX(Profils!$S$5:$S$34,$AE38)*Paramètres!$E$35*$AG38*$AJ38,Paramètres!$F$35),0)</f>
        <v>0</v>
      </c>
      <c r="Z38" s="21" t="n">
        <f aca="false">ROUND(L38/Paramètres!$E$22+M38/Paramètres!$E$23+N38/Paramètres!$E$24+O38/Paramètres!$E$25+P38/Paramètres!$E$26+Q38/Paramètres!$E$27+R38/Paramètres!$E$28+S38/Paramètres!$E$29+T38/Paramètres!$E$30+U38/Paramètres!$E$31+V38/Paramètres!$E$32+W38/Paramètres!$E$33+X38/Paramètres!$E$34+Y38/Paramètres!$E$35,1)</f>
        <v>0.4</v>
      </c>
      <c r="AA38" s="22" t="s">
        <v>109</v>
      </c>
      <c r="AB38" s="22" t="s">
        <v>109</v>
      </c>
      <c r="AC38" s="15" t="str">
        <f aca="false">$E38</f>
        <v>cuir</v>
      </c>
      <c r="AD38" s="16" t="n">
        <f aca="false" t="array" ref="AD38:AD38">IF($I38&gt;=$AI38,"Max",ROUND(Paramètres!$B$40*($I38+1)^Paramètres!$B$41*INDEX(Paramètres!$H$6:$H$12,$AF38),0))</f>
        <v>4</v>
      </c>
      <c r="AE38" s="23" t="n">
        <f aca="false">MATCH($B38&amp;"|"&amp;$C38,Profils!$A$5:$A$34,0)</f>
        <v>2</v>
      </c>
      <c r="AF38" s="23" t="n">
        <v>2</v>
      </c>
      <c r="AG38" s="24" t="n">
        <f aca="false" t="array" ref="AG38:AG38">INDEX(Paramètres!$C$6:$C$12,$AF38)</f>
        <v>1.2</v>
      </c>
      <c r="AH38" s="23" t="n">
        <f aca="false" t="array" ref="AH38:AH38">INDEX(Paramètres!$D$6:$D$12,$AF38)</f>
        <v>3</v>
      </c>
      <c r="AI38" s="23" t="n">
        <f aca="false" t="array" ref="AI38:AI38">INDEX(Matériaux!$C$16:$C$20,$D38)</f>
        <v>19</v>
      </c>
      <c r="AJ38" s="25" t="n">
        <f aca="false">Paramètres!$B$16+(1-Paramètres!$B$16)*(($J38-Paramètres!$B$14)/(Paramètres!$B$15-Paramètres!$B$14))^Paramètres!$B$17</f>
        <v>0.05</v>
      </c>
    </row>
    <row r="39" customFormat="false" ht="15.75" hidden="false" customHeight="true" outlineLevel="0" collapsed="false">
      <c r="A39" s="14" t="s">
        <v>147</v>
      </c>
      <c r="B39" s="15" t="s">
        <v>27</v>
      </c>
      <c r="C39" s="15" t="s">
        <v>90</v>
      </c>
      <c r="D39" s="16" t="n">
        <v>1</v>
      </c>
      <c r="E39" s="15" t="str">
        <f aca="false" t="array" ref="E39:E39">INDEX(Matériaux!$B$5:$F$12,MATCH(INDEX(Profils!$E$5:$E$34,$AE39),Matériaux!$A$5:$A$12,0),$D39)</f>
        <v>cuir</v>
      </c>
      <c r="F39" s="27" t="s">
        <v>113</v>
      </c>
      <c r="G39" s="10" t="str">
        <f aca="false" t="array" ref="G39:G39">INDEX(Profils!$D$5:$D$34,$AE39)&amp;" en "&amp;$E39</f>
        <v>Plastron en cuir</v>
      </c>
      <c r="H39" s="16" t="n">
        <f aca="false" t="array" ref="H39:H39">INDEX(Matériaux!$B$16:$B$20,$D39)</f>
        <v>1</v>
      </c>
      <c r="I39" s="16" t="n">
        <f aca="false">IF(ISNUMBER($C$3),MIN(MAX(0,ROUND($C$3,0)),$AI39),$AI39)</f>
        <v>0</v>
      </c>
      <c r="J39" s="18" t="n">
        <f aca="false">$H39+$I39</f>
        <v>1</v>
      </c>
      <c r="K39" s="15" t="s">
        <v>109</v>
      </c>
      <c r="L39" s="19" t="n">
        <f aca="false" t="array" ref="L39:L39">IF(AND(INDEX(Profils!$F$5:$F$34,$AE39)&gt;0,INDEX(Profils!$U$5:$U$34,$AE39)&lt;=$AH39),ROUND(INDEX(Profils!$F$5:$F$34,$AE39)*Paramètres!$E$22*$AG39*$AJ39,Paramètres!$F$22),0)</f>
        <v>4</v>
      </c>
      <c r="M39" s="19" t="n">
        <f aca="false" t="array" ref="M39:M39">IF(AND(INDEX(Profils!$G$5:$G$34,$AE39)&gt;0,INDEX(Profils!$V$5:$V$34,$AE39)&lt;=$AH39),ROUND(INDEX(Profils!$G$5:$G$34,$AE39)*Paramètres!$E$23*$AG39*$AJ39,Paramètres!$F$23),0)</f>
        <v>1</v>
      </c>
      <c r="N39" s="19" t="n">
        <f aca="false" t="array" ref="N39:N39">IF(AND(INDEX(Profils!$H$5:$H$34,$AE39)&gt;0,INDEX(Profils!$W$5:$W$34,$AE39)&lt;=$AH39),ROUND(INDEX(Profils!$H$5:$H$34,$AE39)*Paramètres!$E$24*$AG39*$AJ39,Paramètres!$F$24),0)</f>
        <v>2</v>
      </c>
      <c r="O39" s="19" t="n">
        <f aca="false" t="array" ref="O39:O39">IF(AND(INDEX(Profils!$I$5:$I$34,$AE39)&gt;0,INDEX(Profils!$X$5:$X$34,$AE39)&lt;=$AH39),ROUND(INDEX(Profils!$I$5:$I$34,$AE39)*Paramètres!$E$25*$AG39*$AJ39,Paramètres!$F$25),0)</f>
        <v>0</v>
      </c>
      <c r="P39" s="19" t="n">
        <f aca="false" t="array" ref="P39:P39">IF(AND(INDEX(Profils!$J$5:$J$34,$AE39)&gt;0,INDEX(Profils!$Y$5:$Y$34,$AE39)&lt;=$AH39),ROUND(INDEX(Profils!$J$5:$J$34,$AE39)*Paramètres!$E$26*$AG39*$AJ39,Paramètres!$F$26),0)</f>
        <v>0</v>
      </c>
      <c r="Q39" s="19" t="n">
        <f aca="false" t="array" ref="Q39:Q39">IF(AND(INDEX(Profils!$K$5:$K$34,$AE39)&gt;0,INDEX(Profils!$Z$5:$Z$34,$AE39)&lt;=$AH39),ROUND(INDEX(Profils!$K$5:$K$34,$AE39)*Paramètres!$E$27*$AG39*$AJ39,Paramètres!$F$27),0)</f>
        <v>0</v>
      </c>
      <c r="R39" s="20" t="n">
        <f aca="false" t="array" ref="R39:R39">IF(AND(INDEX(Profils!$L$5:$L$34,$AE39)&gt;0,INDEX(Profils!$AA$5:$AA$34,$AE39)&lt;=$AH39),ROUND(INDEX(Profils!$L$5:$L$34,$AE39)*Paramètres!$E$28*$AG39*$AJ39,Paramètres!$F$28),0)</f>
        <v>0</v>
      </c>
      <c r="S39" s="20" t="n">
        <f aca="false" t="array" ref="S39:S39">IF(AND(INDEX(Profils!$M$5:$M$34,$AE39)&gt;0,INDEX(Profils!$AB$5:$AB$34,$AE39)&lt;=$AH39),ROUND(INDEX(Profils!$M$5:$M$34,$AE39)*Paramètres!$E$29*$AG39*$AJ39,Paramètres!$F$29),0)</f>
        <v>0</v>
      </c>
      <c r="T39" s="20" t="n">
        <f aca="false" t="array" ref="T39:T39">IF(AND(INDEX(Profils!$N$5:$N$34,$AE39)&gt;0,INDEX(Profils!$AC$5:$AC$34,$AE39)&lt;=$AH39),ROUND(INDEX(Profils!$N$5:$N$34,$AE39)*Paramètres!$E$30*$AG39*$AJ39,Paramètres!$F$30),0)</f>
        <v>0</v>
      </c>
      <c r="U39" s="19" t="n">
        <f aca="false" t="array" ref="U39:U39">IF(AND(INDEX(Profils!$O$5:$O$34,$AE39)&gt;0,INDEX(Profils!$AD$5:$AD$34,$AE39)&lt;=$AH39),ROUND(INDEX(Profils!$O$5:$O$34,$AE39)*Paramètres!$E$31*$AG39*$AJ39,Paramètres!$F$31),0)</f>
        <v>3</v>
      </c>
      <c r="V39" s="20" t="n">
        <f aca="false" t="array" ref="V39:V39">IF(AND(INDEX(Profils!$P$5:$P$34,$AE39)&gt;0,INDEX(Profils!$AE$5:$AE$34,$AE39)&lt;=$AH39),ROUND(INDEX(Profils!$P$5:$P$34,$AE39)*Paramètres!$E$32*$AG39*$AJ39,Paramètres!$F$32),0)</f>
        <v>0</v>
      </c>
      <c r="W39" s="20" t="n">
        <f aca="false" t="array" ref="W39:W39">IF(AND(INDEX(Profils!$Q$5:$Q$34,$AE39)&gt;0,INDEX(Profils!$AF$5:$AF$34,$AE39)&lt;=$AH39),ROUND(INDEX(Profils!$Q$5:$Q$34,$AE39)*Paramètres!$E$33*$AG39*$AJ39,Paramètres!$F$33),0)</f>
        <v>0</v>
      </c>
      <c r="X39" s="20" t="n">
        <f aca="false" t="array" ref="X39:X39">IF(AND(INDEX(Profils!$R$5:$R$34,$AE39)&gt;0,INDEX(Profils!$AG$5:$AG$34,$AE39)&lt;=$AH39),ROUND(INDEX(Profils!$R$5:$R$34,$AE39)*Paramètres!$E$34*$AG39*$AJ39,Paramètres!$F$34),0)</f>
        <v>0</v>
      </c>
      <c r="Y39" s="20" t="n">
        <f aca="false" t="array" ref="Y39:Y39">IF(AND(INDEX(Profils!$S$5:$S$34,$AE39)&gt;0,INDEX(Profils!$AH$5:$AH$34,$AE39)&lt;=$AH39),ROUND(INDEX(Profils!$S$5:$S$34,$AE39)*Paramètres!$E$35*$AG39*$AJ39,Paramètres!$F$35),0)</f>
        <v>0</v>
      </c>
      <c r="Z39" s="21" t="n">
        <f aca="false">ROUND(L39/Paramètres!$E$22+M39/Paramètres!$E$23+N39/Paramètres!$E$24+O39/Paramètres!$E$25+P39/Paramètres!$E$26+Q39/Paramètres!$E$27+R39/Paramètres!$E$28+S39/Paramètres!$E$29+T39/Paramètres!$E$30+U39/Paramètres!$E$31+V39/Paramètres!$E$32+W39/Paramètres!$E$33+X39/Paramètres!$E$34+Y39/Paramètres!$E$35,1)</f>
        <v>0.5</v>
      </c>
      <c r="AA39" s="22" t="s">
        <v>109</v>
      </c>
      <c r="AB39" s="22" t="s">
        <v>109</v>
      </c>
      <c r="AC39" s="15" t="str">
        <f aca="false">$E39</f>
        <v>cuir</v>
      </c>
      <c r="AD39" s="16" t="n">
        <f aca="false" t="array" ref="AD39:AD39">IF($I39&gt;=$AI39,"Max",ROUND(Paramètres!$B$40*($I39+1)^Paramètres!$B$41*INDEX(Paramètres!$H$6:$H$12,$AF39),0))</f>
        <v>4</v>
      </c>
      <c r="AE39" s="23" t="n">
        <f aca="false">MATCH($B39&amp;"|"&amp;$C39,Profils!$A$5:$A$34,0)</f>
        <v>2</v>
      </c>
      <c r="AF39" s="23" t="n">
        <v>3</v>
      </c>
      <c r="AG39" s="24" t="n">
        <f aca="false" t="array" ref="AG39:AG39">INDEX(Paramètres!$C$6:$C$12,$AF39)</f>
        <v>1.45</v>
      </c>
      <c r="AH39" s="23" t="n">
        <f aca="false" t="array" ref="AH39:AH39">INDEX(Paramètres!$D$6:$D$12,$AF39)</f>
        <v>4</v>
      </c>
      <c r="AI39" s="23" t="n">
        <f aca="false" t="array" ref="AI39:AI39">INDEX(Matériaux!$C$16:$C$20,$D39)</f>
        <v>19</v>
      </c>
      <c r="AJ39" s="25" t="n">
        <f aca="false">Paramètres!$B$16+(1-Paramètres!$B$16)*(($J39-Paramètres!$B$14)/(Paramètres!$B$15-Paramètres!$B$14))^Paramètres!$B$17</f>
        <v>0.05</v>
      </c>
    </row>
    <row r="40" customFormat="false" ht="15.75" hidden="false" customHeight="true" outlineLevel="0" collapsed="false">
      <c r="A40" s="14" t="s">
        <v>148</v>
      </c>
      <c r="B40" s="15" t="s">
        <v>27</v>
      </c>
      <c r="C40" s="15" t="s">
        <v>90</v>
      </c>
      <c r="D40" s="16" t="n">
        <v>1</v>
      </c>
      <c r="E40" s="15" t="str">
        <f aca="false" t="array" ref="E40:E40">INDEX(Matériaux!$B$5:$F$12,MATCH(INDEX(Profils!$E$5:$E$34,$AE40),Matériaux!$A$5:$A$12,0),$D40)</f>
        <v>cuir</v>
      </c>
      <c r="F40" s="28" t="s">
        <v>115</v>
      </c>
      <c r="G40" s="10" t="str">
        <f aca="false" t="array" ref="G40:G40">INDEX(Profils!$D$5:$D$34,$AE40)&amp;" en "&amp;$E40</f>
        <v>Plastron en cuir</v>
      </c>
      <c r="H40" s="16" t="n">
        <f aca="false" t="array" ref="H40:H40">INDEX(Matériaux!$B$16:$B$20,$D40)</f>
        <v>1</v>
      </c>
      <c r="I40" s="16" t="n">
        <f aca="false">IF(ISNUMBER($C$3),MIN(MAX(0,ROUND($C$3,0)),$AI40),$AI40)</f>
        <v>0</v>
      </c>
      <c r="J40" s="18" t="n">
        <f aca="false">$H40+$I40</f>
        <v>1</v>
      </c>
      <c r="K40" s="15" t="s">
        <v>109</v>
      </c>
      <c r="L40" s="19" t="n">
        <f aca="false" t="array" ref="L40:L40">IF(AND(INDEX(Profils!$F$5:$F$34,$AE40)&gt;0,INDEX(Profils!$U$5:$U$34,$AE40)&lt;=$AH40),ROUND(INDEX(Profils!$F$5:$F$34,$AE40)*Paramètres!$E$22*$AG40*$AJ40,Paramètres!$F$22),0)</f>
        <v>5</v>
      </c>
      <c r="M40" s="19" t="n">
        <f aca="false" t="array" ref="M40:M40">IF(AND(INDEX(Profils!$G$5:$G$34,$AE40)&gt;0,INDEX(Profils!$V$5:$V$34,$AE40)&lt;=$AH40),ROUND(INDEX(Profils!$G$5:$G$34,$AE40)*Paramètres!$E$23*$AG40*$AJ40,Paramètres!$F$23),0)</f>
        <v>1</v>
      </c>
      <c r="N40" s="19" t="n">
        <f aca="false" t="array" ref="N40:N40">IF(AND(INDEX(Profils!$H$5:$H$34,$AE40)&gt;0,INDEX(Profils!$W$5:$W$34,$AE40)&lt;=$AH40),ROUND(INDEX(Profils!$H$5:$H$34,$AE40)*Paramètres!$E$24*$AG40*$AJ40,Paramètres!$F$24),0)</f>
        <v>2</v>
      </c>
      <c r="O40" s="19" t="n">
        <f aca="false" t="array" ref="O40:O40">IF(AND(INDEX(Profils!$I$5:$I$34,$AE40)&gt;0,INDEX(Profils!$X$5:$X$34,$AE40)&lt;=$AH40),ROUND(INDEX(Profils!$I$5:$I$34,$AE40)*Paramètres!$E$25*$AG40*$AJ40,Paramètres!$F$25),0)</f>
        <v>0</v>
      </c>
      <c r="P40" s="19" t="n">
        <f aca="false" t="array" ref="P40:P40">IF(AND(INDEX(Profils!$J$5:$J$34,$AE40)&gt;0,INDEX(Profils!$Y$5:$Y$34,$AE40)&lt;=$AH40),ROUND(INDEX(Profils!$J$5:$J$34,$AE40)*Paramètres!$E$26*$AG40*$AJ40,Paramètres!$F$26),0)</f>
        <v>0</v>
      </c>
      <c r="Q40" s="19" t="n">
        <f aca="false" t="array" ref="Q40:Q40">IF(AND(INDEX(Profils!$K$5:$K$34,$AE40)&gt;0,INDEX(Profils!$Z$5:$Z$34,$AE40)&lt;=$AH40),ROUND(INDEX(Profils!$K$5:$K$34,$AE40)*Paramètres!$E$27*$AG40*$AJ40,Paramètres!$F$27),0)</f>
        <v>0</v>
      </c>
      <c r="R40" s="20" t="n">
        <f aca="false" t="array" ref="R40:R40">IF(AND(INDEX(Profils!$L$5:$L$34,$AE40)&gt;0,INDEX(Profils!$AA$5:$AA$34,$AE40)&lt;=$AH40),ROUND(INDEX(Profils!$L$5:$L$34,$AE40)*Paramètres!$E$28*$AG40*$AJ40,Paramètres!$F$28),0)</f>
        <v>0</v>
      </c>
      <c r="S40" s="20" t="n">
        <f aca="false" t="array" ref="S40:S40">IF(AND(INDEX(Profils!$M$5:$M$34,$AE40)&gt;0,INDEX(Profils!$AB$5:$AB$34,$AE40)&lt;=$AH40),ROUND(INDEX(Profils!$M$5:$M$34,$AE40)*Paramètres!$E$29*$AG40*$AJ40,Paramètres!$F$29),0)</f>
        <v>0</v>
      </c>
      <c r="T40" s="20" t="n">
        <f aca="false" t="array" ref="T40:T40">IF(AND(INDEX(Profils!$N$5:$N$34,$AE40)&gt;0,INDEX(Profils!$AC$5:$AC$34,$AE40)&lt;=$AH40),ROUND(INDEX(Profils!$N$5:$N$34,$AE40)*Paramètres!$E$30*$AG40*$AJ40,Paramètres!$F$30),0)</f>
        <v>0</v>
      </c>
      <c r="U40" s="19" t="n">
        <f aca="false" t="array" ref="U40:U40">IF(AND(INDEX(Profils!$O$5:$O$34,$AE40)&gt;0,INDEX(Profils!$AD$5:$AD$34,$AE40)&lt;=$AH40),ROUND(INDEX(Profils!$O$5:$O$34,$AE40)*Paramètres!$E$31*$AG40*$AJ40,Paramètres!$F$31),0)</f>
        <v>4</v>
      </c>
      <c r="V40" s="20" t="n">
        <f aca="false" t="array" ref="V40:V40">IF(AND(INDEX(Profils!$P$5:$P$34,$AE40)&gt;0,INDEX(Profils!$AE$5:$AE$34,$AE40)&lt;=$AH40),ROUND(INDEX(Profils!$P$5:$P$34,$AE40)*Paramètres!$E$32*$AG40*$AJ40,Paramètres!$F$32),0)</f>
        <v>0</v>
      </c>
      <c r="W40" s="20" t="n">
        <f aca="false" t="array" ref="W40:W40">IF(AND(INDEX(Profils!$Q$5:$Q$34,$AE40)&gt;0,INDEX(Profils!$AF$5:$AF$34,$AE40)&lt;=$AH40),ROUND(INDEX(Profils!$Q$5:$Q$34,$AE40)*Paramètres!$E$33*$AG40*$AJ40,Paramètres!$F$33),0)</f>
        <v>0.001</v>
      </c>
      <c r="X40" s="20" t="n">
        <f aca="false" t="array" ref="X40:X40">IF(AND(INDEX(Profils!$R$5:$R$34,$AE40)&gt;0,INDEX(Profils!$AG$5:$AG$34,$AE40)&lt;=$AH40),ROUND(INDEX(Profils!$R$5:$R$34,$AE40)*Paramètres!$E$34*$AG40*$AJ40,Paramètres!$F$34),0)</f>
        <v>0</v>
      </c>
      <c r="Y40" s="20" t="n">
        <f aca="false" t="array" ref="Y40:Y40">IF(AND(INDEX(Profils!$S$5:$S$34,$AE40)&gt;0,INDEX(Profils!$AH$5:$AH$34,$AE40)&lt;=$AH40),ROUND(INDEX(Profils!$S$5:$S$34,$AE40)*Paramètres!$E$35*$AG40*$AJ40,Paramètres!$F$35),0)</f>
        <v>0</v>
      </c>
      <c r="Z40" s="21" t="n">
        <f aca="false">ROUND(L40/Paramètres!$E$22+M40/Paramètres!$E$23+N40/Paramètres!$E$24+O40/Paramètres!$E$25+P40/Paramètres!$E$26+Q40/Paramètres!$E$27+R40/Paramètres!$E$28+S40/Paramètres!$E$29+T40/Paramètres!$E$30+U40/Paramètres!$E$31+V40/Paramètres!$E$32+W40/Paramètres!$E$33+X40/Paramètres!$E$34+Y40/Paramètres!$E$35,1)</f>
        <v>0.7</v>
      </c>
      <c r="AA40" s="22" t="s">
        <v>109</v>
      </c>
      <c r="AB40" s="22" t="s">
        <v>109</v>
      </c>
      <c r="AC40" s="15" t="str">
        <f aca="false">$E40</f>
        <v>cuir</v>
      </c>
      <c r="AD40" s="16" t="n">
        <f aca="false" t="array" ref="AD40:AD40">IF($I40&gt;=$AI40,"Max",ROUND(Paramètres!$B$40*($I40+1)^Paramètres!$B$41*INDEX(Paramètres!$H$6:$H$12,$AF40),0))</f>
        <v>5</v>
      </c>
      <c r="AE40" s="23" t="n">
        <f aca="false">MATCH($B40&amp;"|"&amp;$C40,Profils!$A$5:$A$34,0)</f>
        <v>2</v>
      </c>
      <c r="AF40" s="23" t="n">
        <v>4</v>
      </c>
      <c r="AG40" s="24" t="n">
        <f aca="false" t="array" ref="AG40:AG40">INDEX(Paramètres!$C$6:$C$12,$AF40)</f>
        <v>1.75</v>
      </c>
      <c r="AH40" s="23" t="n">
        <f aca="false" t="array" ref="AH40:AH40">INDEX(Paramètres!$D$6:$D$12,$AF40)</f>
        <v>5</v>
      </c>
      <c r="AI40" s="23" t="n">
        <f aca="false" t="array" ref="AI40:AI40">INDEX(Matériaux!$C$16:$C$20,$D40)</f>
        <v>19</v>
      </c>
      <c r="AJ40" s="25" t="n">
        <f aca="false">Paramètres!$B$16+(1-Paramètres!$B$16)*(($J40-Paramètres!$B$14)/(Paramètres!$B$15-Paramètres!$B$14))^Paramètres!$B$17</f>
        <v>0.05</v>
      </c>
    </row>
    <row r="41" customFormat="false" ht="15.75" hidden="false" customHeight="true" outlineLevel="0" collapsed="false">
      <c r="A41" s="14" t="s">
        <v>149</v>
      </c>
      <c r="B41" s="15" t="s">
        <v>27</v>
      </c>
      <c r="C41" s="15" t="s">
        <v>90</v>
      </c>
      <c r="D41" s="16" t="n">
        <v>1</v>
      </c>
      <c r="E41" s="15" t="str">
        <f aca="false" t="array" ref="E41:E41">INDEX(Matériaux!$B$5:$F$12,MATCH(INDEX(Profils!$E$5:$E$34,$AE41),Matériaux!$A$5:$A$12,0),$D41)</f>
        <v>cuir</v>
      </c>
      <c r="F41" s="29" t="s">
        <v>117</v>
      </c>
      <c r="G41" s="10" t="str">
        <f aca="false" t="array" ref="G41:G41">INDEX(Profils!$D$5:$D$34,$AE41)&amp;" en "&amp;$E41</f>
        <v>Plastron en cuir</v>
      </c>
      <c r="H41" s="16" t="n">
        <f aca="false" t="array" ref="H41:H41">INDEX(Matériaux!$B$16:$B$20,$D41)</f>
        <v>1</v>
      </c>
      <c r="I41" s="16" t="n">
        <f aca="false">IF(ISNUMBER($C$3),MIN(MAX(0,ROUND($C$3,0)),$AI41),$AI41)</f>
        <v>0</v>
      </c>
      <c r="J41" s="18" t="n">
        <f aca="false">$H41+$I41</f>
        <v>1</v>
      </c>
      <c r="K41" s="15" t="s">
        <v>109</v>
      </c>
      <c r="L41" s="19" t="n">
        <f aca="false" t="array" ref="L41:L41">IF(AND(INDEX(Profils!$F$5:$F$34,$AE41)&gt;0,INDEX(Profils!$U$5:$U$34,$AE41)&lt;=$AH41),ROUND(INDEX(Profils!$F$5:$F$34,$AE41)*Paramètres!$E$22*$AG41*$AJ41,Paramètres!$F$22),0)</f>
        <v>6</v>
      </c>
      <c r="M41" s="19" t="n">
        <f aca="false" t="array" ref="M41:M41">IF(AND(INDEX(Profils!$G$5:$G$34,$AE41)&gt;0,INDEX(Profils!$V$5:$V$34,$AE41)&lt;=$AH41),ROUND(INDEX(Profils!$G$5:$G$34,$AE41)*Paramètres!$E$23*$AG41*$AJ41,Paramètres!$F$23),0)</f>
        <v>1</v>
      </c>
      <c r="N41" s="19" t="n">
        <f aca="false" t="array" ref="N41:N41">IF(AND(INDEX(Profils!$H$5:$H$34,$AE41)&gt;0,INDEX(Profils!$W$5:$W$34,$AE41)&lt;=$AH41),ROUND(INDEX(Profils!$H$5:$H$34,$AE41)*Paramètres!$E$24*$AG41*$AJ41,Paramètres!$F$24),0)</f>
        <v>3</v>
      </c>
      <c r="O41" s="19" t="n">
        <f aca="false" t="array" ref="O41:O41">IF(AND(INDEX(Profils!$I$5:$I$34,$AE41)&gt;0,INDEX(Profils!$X$5:$X$34,$AE41)&lt;=$AH41),ROUND(INDEX(Profils!$I$5:$I$34,$AE41)*Paramètres!$E$25*$AG41*$AJ41,Paramètres!$F$25),0)</f>
        <v>0</v>
      </c>
      <c r="P41" s="19" t="n">
        <f aca="false" t="array" ref="P41:P41">IF(AND(INDEX(Profils!$J$5:$J$34,$AE41)&gt;0,INDEX(Profils!$Y$5:$Y$34,$AE41)&lt;=$AH41),ROUND(INDEX(Profils!$J$5:$J$34,$AE41)*Paramètres!$E$26*$AG41*$AJ41,Paramètres!$F$26),0)</f>
        <v>0</v>
      </c>
      <c r="Q41" s="19" t="n">
        <f aca="false" t="array" ref="Q41:Q41">IF(AND(INDEX(Profils!$K$5:$K$34,$AE41)&gt;0,INDEX(Profils!$Z$5:$Z$34,$AE41)&lt;=$AH41),ROUND(INDEX(Profils!$K$5:$K$34,$AE41)*Paramètres!$E$27*$AG41*$AJ41,Paramètres!$F$27),0)</f>
        <v>0</v>
      </c>
      <c r="R41" s="20" t="n">
        <f aca="false" t="array" ref="R41:R41">IF(AND(INDEX(Profils!$L$5:$L$34,$AE41)&gt;0,INDEX(Profils!$AA$5:$AA$34,$AE41)&lt;=$AH41),ROUND(INDEX(Profils!$L$5:$L$34,$AE41)*Paramètres!$E$28*$AG41*$AJ41,Paramètres!$F$28),0)</f>
        <v>0</v>
      </c>
      <c r="S41" s="20" t="n">
        <f aca="false" t="array" ref="S41:S41">IF(AND(INDEX(Profils!$M$5:$M$34,$AE41)&gt;0,INDEX(Profils!$AB$5:$AB$34,$AE41)&lt;=$AH41),ROUND(INDEX(Profils!$M$5:$M$34,$AE41)*Paramètres!$E$29*$AG41*$AJ41,Paramètres!$F$29),0)</f>
        <v>0</v>
      </c>
      <c r="T41" s="20" t="n">
        <f aca="false" t="array" ref="T41:T41">IF(AND(INDEX(Profils!$N$5:$N$34,$AE41)&gt;0,INDEX(Profils!$AC$5:$AC$34,$AE41)&lt;=$AH41),ROUND(INDEX(Profils!$N$5:$N$34,$AE41)*Paramètres!$E$30*$AG41*$AJ41,Paramètres!$F$30),0)</f>
        <v>0</v>
      </c>
      <c r="U41" s="19" t="n">
        <f aca="false" t="array" ref="U41:U41">IF(AND(INDEX(Profils!$O$5:$O$34,$AE41)&gt;0,INDEX(Profils!$AD$5:$AD$34,$AE41)&lt;=$AH41),ROUND(INDEX(Profils!$O$5:$O$34,$AE41)*Paramètres!$E$31*$AG41*$AJ41,Paramètres!$F$31),0)</f>
        <v>5</v>
      </c>
      <c r="V41" s="20" t="n">
        <f aca="false" t="array" ref="V41:V41">IF(AND(INDEX(Profils!$P$5:$P$34,$AE41)&gt;0,INDEX(Profils!$AE$5:$AE$34,$AE41)&lt;=$AH41),ROUND(INDEX(Profils!$P$5:$P$34,$AE41)*Paramètres!$E$32*$AG41*$AJ41,Paramètres!$F$32),0)</f>
        <v>0</v>
      </c>
      <c r="W41" s="20" t="n">
        <f aca="false" t="array" ref="W41:W41">IF(AND(INDEX(Profils!$Q$5:$Q$34,$AE41)&gt;0,INDEX(Profils!$AF$5:$AF$34,$AE41)&lt;=$AH41),ROUND(INDEX(Profils!$Q$5:$Q$34,$AE41)*Paramètres!$E$33*$AG41*$AJ41,Paramètres!$F$33),0)</f>
        <v>0.001</v>
      </c>
      <c r="X41" s="20" t="n">
        <f aca="false" t="array" ref="X41:X41">IF(AND(INDEX(Profils!$R$5:$R$34,$AE41)&gt;0,INDEX(Profils!$AG$5:$AG$34,$AE41)&lt;=$AH41),ROUND(INDEX(Profils!$R$5:$R$34,$AE41)*Paramètres!$E$34*$AG41*$AJ41,Paramètres!$F$34),0)</f>
        <v>0</v>
      </c>
      <c r="Y41" s="20" t="n">
        <f aca="false" t="array" ref="Y41:Y41">IF(AND(INDEX(Profils!$S$5:$S$34,$AE41)&gt;0,INDEX(Profils!$AH$5:$AH$34,$AE41)&lt;=$AH41),ROUND(INDEX(Profils!$S$5:$S$34,$AE41)*Paramètres!$E$35*$AG41*$AJ41,Paramètres!$F$35),0)</f>
        <v>0.001</v>
      </c>
      <c r="Z41" s="21" t="n">
        <f aca="false">ROUND(L41/Paramètres!$E$22+M41/Paramètres!$E$23+N41/Paramètres!$E$24+O41/Paramètres!$E$25+P41/Paramètres!$E$26+Q41/Paramètres!$E$27+R41/Paramètres!$E$28+S41/Paramètres!$E$29+T41/Paramètres!$E$30+U41/Paramètres!$E$31+V41/Paramètres!$E$32+W41/Paramètres!$E$33+X41/Paramètres!$E$34+Y41/Paramètres!$E$35,1)</f>
        <v>0.9</v>
      </c>
      <c r="AA41" s="22" t="s">
        <v>109</v>
      </c>
      <c r="AB41" s="22" t="s">
        <v>109</v>
      </c>
      <c r="AC41" s="15" t="str">
        <f aca="false">$E41</f>
        <v>cuir</v>
      </c>
      <c r="AD41" s="16" t="n">
        <f aca="false" t="array" ref="AD41:AD41">IF($I41&gt;=$AI41,"Max",ROUND(Paramètres!$B$40*($I41+1)^Paramètres!$B$41*INDEX(Paramètres!$H$6:$H$12,$AF41),0))</f>
        <v>6</v>
      </c>
      <c r="AE41" s="23" t="n">
        <f aca="false">MATCH($B41&amp;"|"&amp;$C41,Profils!$A$5:$A$34,0)</f>
        <v>2</v>
      </c>
      <c r="AF41" s="23" t="n">
        <v>5</v>
      </c>
      <c r="AG41" s="24" t="n">
        <f aca="false" t="array" ref="AG41:AG41">INDEX(Paramètres!$C$6:$C$12,$AF41)</f>
        <v>2.1</v>
      </c>
      <c r="AH41" s="23" t="n">
        <f aca="false" t="array" ref="AH41:AH41">INDEX(Paramètres!$D$6:$D$12,$AF41)</f>
        <v>6</v>
      </c>
      <c r="AI41" s="23" t="n">
        <f aca="false" t="array" ref="AI41:AI41">INDEX(Matériaux!$C$16:$C$20,$D41)</f>
        <v>19</v>
      </c>
      <c r="AJ41" s="25" t="n">
        <f aca="false">Paramètres!$B$16+(1-Paramètres!$B$16)*(($J41-Paramètres!$B$14)/(Paramètres!$B$15-Paramètres!$B$14))^Paramètres!$B$17</f>
        <v>0.05</v>
      </c>
    </row>
    <row r="42" customFormat="false" ht="15.75" hidden="false" customHeight="true" outlineLevel="0" collapsed="false">
      <c r="A42" s="14" t="s">
        <v>150</v>
      </c>
      <c r="B42" s="15" t="s">
        <v>27</v>
      </c>
      <c r="C42" s="15" t="s">
        <v>90</v>
      </c>
      <c r="D42" s="16" t="n">
        <v>1</v>
      </c>
      <c r="E42" s="15" t="str">
        <f aca="false" t="array" ref="E42:E42">INDEX(Matériaux!$B$5:$F$12,MATCH(INDEX(Profils!$E$5:$E$34,$AE42),Matériaux!$A$5:$A$12,0),$D42)</f>
        <v>cuir</v>
      </c>
      <c r="F42" s="30" t="s">
        <v>119</v>
      </c>
      <c r="G42" s="10" t="str">
        <f aca="false" t="array" ref="G42:G42">INDEX(Profils!$D$5:$D$34,$AE42)&amp;" en "&amp;$E42</f>
        <v>Plastron en cuir</v>
      </c>
      <c r="H42" s="16" t="n">
        <f aca="false" t="array" ref="H42:H42">INDEX(Matériaux!$B$16:$B$20,$D42)</f>
        <v>1</v>
      </c>
      <c r="I42" s="16" t="n">
        <f aca="false">IF(ISNUMBER($C$3),MIN(MAX(0,ROUND($C$3,0)),$AI42),$AI42)</f>
        <v>0</v>
      </c>
      <c r="J42" s="18" t="n">
        <f aca="false">$H42+$I42</f>
        <v>1</v>
      </c>
      <c r="K42" s="15" t="s">
        <v>109</v>
      </c>
      <c r="L42" s="19" t="n">
        <f aca="false" t="array" ref="L42:L42">IF(AND(INDEX(Profils!$F$5:$F$34,$AE42)&gt;0,INDEX(Profils!$U$5:$U$34,$AE42)&lt;=$AH42),ROUND(INDEX(Profils!$F$5:$F$34,$AE42)*Paramètres!$E$22*$AG42*$AJ42,Paramètres!$F$22),0)</f>
        <v>7</v>
      </c>
      <c r="M42" s="19" t="n">
        <f aca="false" t="array" ref="M42:M42">IF(AND(INDEX(Profils!$G$5:$G$34,$AE42)&gt;0,INDEX(Profils!$V$5:$V$34,$AE42)&lt;=$AH42),ROUND(INDEX(Profils!$G$5:$G$34,$AE42)*Paramètres!$E$23*$AG42*$AJ42,Paramètres!$F$23),0)</f>
        <v>1</v>
      </c>
      <c r="N42" s="19" t="n">
        <f aca="false" t="array" ref="N42:N42">IF(AND(INDEX(Profils!$H$5:$H$34,$AE42)&gt;0,INDEX(Profils!$W$5:$W$34,$AE42)&lt;=$AH42),ROUND(INDEX(Profils!$H$5:$H$34,$AE42)*Paramètres!$E$24*$AG42*$AJ42,Paramètres!$F$24),0)</f>
        <v>3</v>
      </c>
      <c r="O42" s="19" t="n">
        <f aca="false" t="array" ref="O42:O42">IF(AND(INDEX(Profils!$I$5:$I$34,$AE42)&gt;0,INDEX(Profils!$X$5:$X$34,$AE42)&lt;=$AH42),ROUND(INDEX(Profils!$I$5:$I$34,$AE42)*Paramètres!$E$25*$AG42*$AJ42,Paramètres!$F$25),0)</f>
        <v>0</v>
      </c>
      <c r="P42" s="19" t="n">
        <f aca="false" t="array" ref="P42:P42">IF(AND(INDEX(Profils!$J$5:$J$34,$AE42)&gt;0,INDEX(Profils!$Y$5:$Y$34,$AE42)&lt;=$AH42),ROUND(INDEX(Profils!$J$5:$J$34,$AE42)*Paramètres!$E$26*$AG42*$AJ42,Paramètres!$F$26),0)</f>
        <v>0</v>
      </c>
      <c r="Q42" s="19" t="n">
        <f aca="false" t="array" ref="Q42:Q42">IF(AND(INDEX(Profils!$K$5:$K$34,$AE42)&gt;0,INDEX(Profils!$Z$5:$Z$34,$AE42)&lt;=$AH42),ROUND(INDEX(Profils!$K$5:$K$34,$AE42)*Paramètres!$E$27*$AG42*$AJ42,Paramètres!$F$27),0)</f>
        <v>0</v>
      </c>
      <c r="R42" s="20" t="n">
        <f aca="false" t="array" ref="R42:R42">IF(AND(INDEX(Profils!$L$5:$L$34,$AE42)&gt;0,INDEX(Profils!$AA$5:$AA$34,$AE42)&lt;=$AH42),ROUND(INDEX(Profils!$L$5:$L$34,$AE42)*Paramètres!$E$28*$AG42*$AJ42,Paramètres!$F$28),0)</f>
        <v>0</v>
      </c>
      <c r="S42" s="20" t="n">
        <f aca="false" t="array" ref="S42:S42">IF(AND(INDEX(Profils!$M$5:$M$34,$AE42)&gt;0,INDEX(Profils!$AB$5:$AB$34,$AE42)&lt;=$AH42),ROUND(INDEX(Profils!$M$5:$M$34,$AE42)*Paramètres!$E$29*$AG42*$AJ42,Paramètres!$F$29),0)</f>
        <v>0</v>
      </c>
      <c r="T42" s="20" t="n">
        <f aca="false" t="array" ref="T42:T42">IF(AND(INDEX(Profils!$N$5:$N$34,$AE42)&gt;0,INDEX(Profils!$AC$5:$AC$34,$AE42)&lt;=$AH42),ROUND(INDEX(Profils!$N$5:$N$34,$AE42)*Paramètres!$E$30*$AG42*$AJ42,Paramètres!$F$30),0)</f>
        <v>0</v>
      </c>
      <c r="U42" s="19" t="n">
        <f aca="false" t="array" ref="U42:U42">IF(AND(INDEX(Profils!$O$5:$O$34,$AE42)&gt;0,INDEX(Profils!$AD$5:$AD$34,$AE42)&lt;=$AH42),ROUND(INDEX(Profils!$O$5:$O$34,$AE42)*Paramètres!$E$31*$AG42*$AJ42,Paramètres!$F$31),0)</f>
        <v>5</v>
      </c>
      <c r="V42" s="20" t="n">
        <f aca="false" t="array" ref="V42:V42">IF(AND(INDEX(Profils!$P$5:$P$34,$AE42)&gt;0,INDEX(Profils!$AE$5:$AE$34,$AE42)&lt;=$AH42),ROUND(INDEX(Profils!$P$5:$P$34,$AE42)*Paramètres!$E$32*$AG42*$AJ42,Paramètres!$F$32),0)</f>
        <v>0</v>
      </c>
      <c r="W42" s="20" t="n">
        <f aca="false" t="array" ref="W42:W42">IF(AND(INDEX(Profils!$Q$5:$Q$34,$AE42)&gt;0,INDEX(Profils!$AF$5:$AF$34,$AE42)&lt;=$AH42),ROUND(INDEX(Profils!$Q$5:$Q$34,$AE42)*Paramètres!$E$33*$AG42*$AJ42,Paramètres!$F$33),0)</f>
        <v>0.001</v>
      </c>
      <c r="X42" s="20" t="n">
        <f aca="false" t="array" ref="X42:X42">IF(AND(INDEX(Profils!$R$5:$R$34,$AE42)&gt;0,INDEX(Profils!$AG$5:$AG$34,$AE42)&lt;=$AH42),ROUND(INDEX(Profils!$R$5:$R$34,$AE42)*Paramètres!$E$34*$AG42*$AJ42,Paramètres!$F$34),0)</f>
        <v>0</v>
      </c>
      <c r="Y42" s="20" t="n">
        <f aca="false" t="array" ref="Y42:Y42">IF(AND(INDEX(Profils!$S$5:$S$34,$AE42)&gt;0,INDEX(Profils!$AH$5:$AH$34,$AE42)&lt;=$AH42),ROUND(INDEX(Profils!$S$5:$S$34,$AE42)*Paramètres!$E$35*$AG42*$AJ42,Paramètres!$F$35),0)</f>
        <v>0.001</v>
      </c>
      <c r="Z42" s="21" t="n">
        <f aca="false">ROUND(L42/Paramètres!$E$22+M42/Paramètres!$E$23+N42/Paramètres!$E$24+O42/Paramètres!$E$25+P42/Paramètres!$E$26+Q42/Paramètres!$E$27+R42/Paramètres!$E$28+S42/Paramètres!$E$29+T42/Paramètres!$E$30+U42/Paramètres!$E$31+V42/Paramètres!$E$32+W42/Paramètres!$E$33+X42/Paramètres!$E$34+Y42/Paramètres!$E$35,1)</f>
        <v>0.9</v>
      </c>
      <c r="AA42" s="22" t="s">
        <v>109</v>
      </c>
      <c r="AB42" s="22" t="s">
        <v>109</v>
      </c>
      <c r="AC42" s="15" t="str">
        <f aca="false">$E42</f>
        <v>cuir</v>
      </c>
      <c r="AD42" s="16" t="n">
        <f aca="false" t="array" ref="AD42:AD42">IF($I42&gt;=$AI42,"Max",ROUND(Paramètres!$B$40*($I42+1)^Paramètres!$B$41*INDEX(Paramètres!$H$6:$H$12,$AF42),0))</f>
        <v>8</v>
      </c>
      <c r="AE42" s="23" t="n">
        <f aca="false">MATCH($B42&amp;"|"&amp;$C42,Profils!$A$5:$A$34,0)</f>
        <v>2</v>
      </c>
      <c r="AF42" s="23" t="n">
        <v>6</v>
      </c>
      <c r="AG42" s="24" t="n">
        <f aca="false" t="array" ref="AG42:AG42">INDEX(Paramètres!$C$6:$C$12,$AF42)</f>
        <v>2.4</v>
      </c>
      <c r="AH42" s="23" t="n">
        <f aca="false" t="array" ref="AH42:AH42">INDEX(Paramètres!$D$6:$D$12,$AF42)</f>
        <v>7</v>
      </c>
      <c r="AI42" s="23" t="n">
        <f aca="false" t="array" ref="AI42:AI42">INDEX(Matériaux!$C$16:$C$20,$D42)</f>
        <v>19</v>
      </c>
      <c r="AJ42" s="25" t="n">
        <f aca="false">Paramètres!$B$16+(1-Paramètres!$B$16)*(($J42-Paramètres!$B$14)/(Paramètres!$B$15-Paramètres!$B$14))^Paramètres!$B$17</f>
        <v>0.05</v>
      </c>
    </row>
    <row r="43" customFormat="false" ht="15.75" hidden="false" customHeight="true" outlineLevel="0" collapsed="false">
      <c r="A43" s="14" t="s">
        <v>151</v>
      </c>
      <c r="B43" s="15" t="s">
        <v>27</v>
      </c>
      <c r="C43" s="15" t="s">
        <v>90</v>
      </c>
      <c r="D43" s="16" t="n">
        <v>2</v>
      </c>
      <c r="E43" s="15" t="str">
        <f aca="false" t="array" ref="E43:E43">INDEX(Matériaux!$B$5:$F$12,MATCH(INDEX(Profils!$E$5:$E$34,$AE43),Matériaux!$A$5:$A$12,0),$D43)</f>
        <v>fer</v>
      </c>
      <c r="F43" s="17" t="s">
        <v>108</v>
      </c>
      <c r="G43" s="10" t="str">
        <f aca="false" t="array" ref="G43:G43">INDEX(Profils!$D$5:$D$34,$AE43)&amp;" en "&amp;$E43</f>
        <v>Plastron en fer</v>
      </c>
      <c r="H43" s="16" t="n">
        <f aca="false" t="array" ref="H43:H43">INDEX(Matériaux!$B$16:$B$20,$D43)</f>
        <v>15</v>
      </c>
      <c r="I43" s="16" t="n">
        <f aca="false">IF(ISNUMBER($C$3),MIN(MAX(0,ROUND($C$3,0)),$AI43),$AI43)</f>
        <v>0</v>
      </c>
      <c r="J43" s="18" t="n">
        <f aca="false">$H43+$I43</f>
        <v>15</v>
      </c>
      <c r="K43" s="15" t="s">
        <v>109</v>
      </c>
      <c r="L43" s="19" t="n">
        <f aca="false" t="array" ref="L43:L43">IF(AND(INDEX(Profils!$F$5:$F$34,$AE43)&gt;0,INDEX(Profils!$U$5:$U$34,$AE43)&lt;=$AH43),ROUND(INDEX(Profils!$F$5:$F$34,$AE43)*Paramètres!$E$22*$AG43*$AJ43,Paramètres!$F$22),0)</f>
        <v>8</v>
      </c>
      <c r="M43" s="19" t="n">
        <f aca="false" t="array" ref="M43:M43">IF(AND(INDEX(Profils!$G$5:$G$34,$AE43)&gt;0,INDEX(Profils!$V$5:$V$34,$AE43)&lt;=$AH43),ROUND(INDEX(Profils!$G$5:$G$34,$AE43)*Paramètres!$E$23*$AG43*$AJ43,Paramètres!$F$23),0)</f>
        <v>0</v>
      </c>
      <c r="N43" s="19" t="n">
        <f aca="false" t="array" ref="N43:N43">IF(AND(INDEX(Profils!$H$5:$H$34,$AE43)&gt;0,INDEX(Profils!$W$5:$W$34,$AE43)&lt;=$AH43),ROUND(INDEX(Profils!$H$5:$H$34,$AE43)*Paramètres!$E$24*$AG43*$AJ43,Paramètres!$F$24),0)</f>
        <v>0</v>
      </c>
      <c r="O43" s="19" t="n">
        <f aca="false" t="array" ref="O43:O43">IF(AND(INDEX(Profils!$I$5:$I$34,$AE43)&gt;0,INDEX(Profils!$X$5:$X$34,$AE43)&lt;=$AH43),ROUND(INDEX(Profils!$I$5:$I$34,$AE43)*Paramètres!$E$25*$AG43*$AJ43,Paramètres!$F$25),0)</f>
        <v>0</v>
      </c>
      <c r="P43" s="19" t="n">
        <f aca="false" t="array" ref="P43:P43">IF(AND(INDEX(Profils!$J$5:$J$34,$AE43)&gt;0,INDEX(Profils!$Y$5:$Y$34,$AE43)&lt;=$AH43),ROUND(INDEX(Profils!$J$5:$J$34,$AE43)*Paramètres!$E$26*$AG43*$AJ43,Paramètres!$F$26),0)</f>
        <v>0</v>
      </c>
      <c r="Q43" s="19" t="n">
        <f aca="false" t="array" ref="Q43:Q43">IF(AND(INDEX(Profils!$K$5:$K$34,$AE43)&gt;0,INDEX(Profils!$Z$5:$Z$34,$AE43)&lt;=$AH43),ROUND(INDEX(Profils!$K$5:$K$34,$AE43)*Paramètres!$E$27*$AG43*$AJ43,Paramètres!$F$27),0)</f>
        <v>0</v>
      </c>
      <c r="R43" s="20" t="n">
        <f aca="false" t="array" ref="R43:R43">IF(AND(INDEX(Profils!$L$5:$L$34,$AE43)&gt;0,INDEX(Profils!$AA$5:$AA$34,$AE43)&lt;=$AH43),ROUND(INDEX(Profils!$L$5:$L$34,$AE43)*Paramètres!$E$28*$AG43*$AJ43,Paramètres!$F$28),0)</f>
        <v>0</v>
      </c>
      <c r="S43" s="20" t="n">
        <f aca="false" t="array" ref="S43:S43">IF(AND(INDEX(Profils!$M$5:$M$34,$AE43)&gt;0,INDEX(Profils!$AB$5:$AB$34,$AE43)&lt;=$AH43),ROUND(INDEX(Profils!$M$5:$M$34,$AE43)*Paramètres!$E$29*$AG43*$AJ43,Paramètres!$F$29),0)</f>
        <v>0</v>
      </c>
      <c r="T43" s="20" t="n">
        <f aca="false" t="array" ref="T43:T43">IF(AND(INDEX(Profils!$N$5:$N$34,$AE43)&gt;0,INDEX(Profils!$AC$5:$AC$34,$AE43)&lt;=$AH43),ROUND(INDEX(Profils!$N$5:$N$34,$AE43)*Paramètres!$E$30*$AG43*$AJ43,Paramètres!$F$30),0)</f>
        <v>0</v>
      </c>
      <c r="U43" s="19" t="n">
        <f aca="false" t="array" ref="U43:U43">IF(AND(INDEX(Profils!$O$5:$O$34,$AE43)&gt;0,INDEX(Profils!$AD$5:$AD$34,$AE43)&lt;=$AH43),ROUND(INDEX(Profils!$O$5:$O$34,$AE43)*Paramètres!$E$31*$AG43*$AJ43,Paramètres!$F$31),0)</f>
        <v>6</v>
      </c>
      <c r="V43" s="20" t="n">
        <f aca="false" t="array" ref="V43:V43">IF(AND(INDEX(Profils!$P$5:$P$34,$AE43)&gt;0,INDEX(Profils!$AE$5:$AE$34,$AE43)&lt;=$AH43),ROUND(INDEX(Profils!$P$5:$P$34,$AE43)*Paramètres!$E$32*$AG43*$AJ43,Paramètres!$F$32),0)</f>
        <v>0</v>
      </c>
      <c r="W43" s="20" t="n">
        <f aca="false" t="array" ref="W43:W43">IF(AND(INDEX(Profils!$Q$5:$Q$34,$AE43)&gt;0,INDEX(Profils!$AF$5:$AF$34,$AE43)&lt;=$AH43),ROUND(INDEX(Profils!$Q$5:$Q$34,$AE43)*Paramètres!$E$33*$AG43*$AJ43,Paramètres!$F$33),0)</f>
        <v>0</v>
      </c>
      <c r="X43" s="20" t="n">
        <f aca="false" t="array" ref="X43:X43">IF(AND(INDEX(Profils!$R$5:$R$34,$AE43)&gt;0,INDEX(Profils!$AG$5:$AG$34,$AE43)&lt;=$AH43),ROUND(INDEX(Profils!$R$5:$R$34,$AE43)*Paramètres!$E$34*$AG43*$AJ43,Paramètres!$F$34),0)</f>
        <v>0</v>
      </c>
      <c r="Y43" s="20" t="n">
        <f aca="false" t="array" ref="Y43:Y43">IF(AND(INDEX(Profils!$S$5:$S$34,$AE43)&gt;0,INDEX(Profils!$AH$5:$AH$34,$AE43)&lt;=$AH43),ROUND(INDEX(Profils!$S$5:$S$34,$AE43)*Paramètres!$E$35*$AG43*$AJ43,Paramètres!$F$35),0)</f>
        <v>0</v>
      </c>
      <c r="Z43" s="21" t="n">
        <f aca="false">ROUND(L43/Paramètres!$E$22+M43/Paramètres!$E$23+N43/Paramètres!$E$24+O43/Paramètres!$E$25+P43/Paramètres!$E$26+Q43/Paramètres!$E$27+R43/Paramètres!$E$28+S43/Paramètres!$E$29+T43/Paramètres!$E$30+U43/Paramètres!$E$31+V43/Paramètres!$E$32+W43/Paramètres!$E$33+X43/Paramètres!$E$34+Y43/Paramètres!$E$35,1)</f>
        <v>0.6</v>
      </c>
      <c r="AA43" s="22" t="s">
        <v>109</v>
      </c>
      <c r="AB43" s="22" t="s">
        <v>109</v>
      </c>
      <c r="AC43" s="15" t="str">
        <f aca="false">$E43</f>
        <v>fer</v>
      </c>
      <c r="AD43" s="16" t="n">
        <f aca="false" t="array" ref="AD43:AD43">IF($I43&gt;=$AI43,"Max",ROUND(Paramètres!$B$40*($I43+1)^Paramètres!$B$41*INDEX(Paramètres!$H$6:$H$12,$AF43),0))</f>
        <v>3</v>
      </c>
      <c r="AE43" s="23" t="n">
        <f aca="false">MATCH($B43&amp;"|"&amp;$C43,Profils!$A$5:$A$34,0)</f>
        <v>2</v>
      </c>
      <c r="AF43" s="23" t="n">
        <v>1</v>
      </c>
      <c r="AG43" s="24" t="n">
        <f aca="false" t="array" ref="AG43:AG43">INDEX(Paramètres!$C$6:$C$12,$AF43)</f>
        <v>1</v>
      </c>
      <c r="AH43" s="23" t="n">
        <f aca="false" t="array" ref="AH43:AH43">INDEX(Paramètres!$D$6:$D$12,$AF43)</f>
        <v>2</v>
      </c>
      <c r="AI43" s="23" t="n">
        <f aca="false" t="array" ref="AI43:AI43">INDEX(Matériaux!$C$16:$C$20,$D43)</f>
        <v>20</v>
      </c>
      <c r="AJ43" s="25" t="n">
        <f aca="false">Paramètres!$B$16+(1-Paramètres!$B$16)*(($J43-Paramètres!$B$14)/(Paramètres!$B$15-Paramètres!$B$14))^Paramètres!$B$17</f>
        <v>0.140847925475674</v>
      </c>
    </row>
    <row r="44" customFormat="false" ht="15.75" hidden="false" customHeight="true" outlineLevel="0" collapsed="false">
      <c r="A44" s="14" t="s">
        <v>152</v>
      </c>
      <c r="B44" s="15" t="s">
        <v>27</v>
      </c>
      <c r="C44" s="15" t="s">
        <v>90</v>
      </c>
      <c r="D44" s="16" t="n">
        <v>2</v>
      </c>
      <c r="E44" s="15" t="str">
        <f aca="false" t="array" ref="E44:E44">INDEX(Matériaux!$B$5:$F$12,MATCH(INDEX(Profils!$E$5:$E$34,$AE44),Matériaux!$A$5:$A$12,0),$D44)</f>
        <v>fer</v>
      </c>
      <c r="F44" s="26" t="s">
        <v>111</v>
      </c>
      <c r="G44" s="10" t="str">
        <f aca="false" t="array" ref="G44:G44">INDEX(Profils!$D$5:$D$34,$AE44)&amp;" en "&amp;$E44</f>
        <v>Plastron en fer</v>
      </c>
      <c r="H44" s="16" t="n">
        <f aca="false" t="array" ref="H44:H44">INDEX(Matériaux!$B$16:$B$20,$D44)</f>
        <v>15</v>
      </c>
      <c r="I44" s="16" t="n">
        <f aca="false">IF(ISNUMBER($C$3),MIN(MAX(0,ROUND($C$3,0)),$AI44),$AI44)</f>
        <v>0</v>
      </c>
      <c r="J44" s="18" t="n">
        <f aca="false">$H44+$I44</f>
        <v>15</v>
      </c>
      <c r="K44" s="15" t="s">
        <v>109</v>
      </c>
      <c r="L44" s="19" t="n">
        <f aca="false" t="array" ref="L44:L44">IF(AND(INDEX(Profils!$F$5:$F$34,$AE44)&gt;0,INDEX(Profils!$U$5:$U$34,$AE44)&lt;=$AH44),ROUND(INDEX(Profils!$F$5:$F$34,$AE44)*Paramètres!$E$22*$AG44*$AJ44,Paramètres!$F$22),0)</f>
        <v>10</v>
      </c>
      <c r="M44" s="19" t="n">
        <f aca="false" t="array" ref="M44:M44">IF(AND(INDEX(Profils!$G$5:$G$34,$AE44)&gt;0,INDEX(Profils!$V$5:$V$34,$AE44)&lt;=$AH44),ROUND(INDEX(Profils!$G$5:$G$34,$AE44)*Paramètres!$E$23*$AG44*$AJ44,Paramètres!$F$23),0)</f>
        <v>0</v>
      </c>
      <c r="N44" s="19" t="n">
        <f aca="false" t="array" ref="N44:N44">IF(AND(INDEX(Profils!$H$5:$H$34,$AE44)&gt;0,INDEX(Profils!$W$5:$W$34,$AE44)&lt;=$AH44),ROUND(INDEX(Profils!$H$5:$H$34,$AE44)*Paramètres!$E$24*$AG44*$AJ44,Paramètres!$F$24),0)</f>
        <v>5</v>
      </c>
      <c r="O44" s="19" t="n">
        <f aca="false" t="array" ref="O44:O44">IF(AND(INDEX(Profils!$I$5:$I$34,$AE44)&gt;0,INDEX(Profils!$X$5:$X$34,$AE44)&lt;=$AH44),ROUND(INDEX(Profils!$I$5:$I$34,$AE44)*Paramètres!$E$25*$AG44*$AJ44,Paramètres!$F$25),0)</f>
        <v>0</v>
      </c>
      <c r="P44" s="19" t="n">
        <f aca="false" t="array" ref="P44:P44">IF(AND(INDEX(Profils!$J$5:$J$34,$AE44)&gt;0,INDEX(Profils!$Y$5:$Y$34,$AE44)&lt;=$AH44),ROUND(INDEX(Profils!$J$5:$J$34,$AE44)*Paramètres!$E$26*$AG44*$AJ44,Paramètres!$F$26),0)</f>
        <v>0</v>
      </c>
      <c r="Q44" s="19" t="n">
        <f aca="false" t="array" ref="Q44:Q44">IF(AND(INDEX(Profils!$K$5:$K$34,$AE44)&gt;0,INDEX(Profils!$Z$5:$Z$34,$AE44)&lt;=$AH44),ROUND(INDEX(Profils!$K$5:$K$34,$AE44)*Paramètres!$E$27*$AG44*$AJ44,Paramètres!$F$27),0)</f>
        <v>0</v>
      </c>
      <c r="R44" s="20" t="n">
        <f aca="false" t="array" ref="R44:R44">IF(AND(INDEX(Profils!$L$5:$L$34,$AE44)&gt;0,INDEX(Profils!$AA$5:$AA$34,$AE44)&lt;=$AH44),ROUND(INDEX(Profils!$L$5:$L$34,$AE44)*Paramètres!$E$28*$AG44*$AJ44,Paramètres!$F$28),0)</f>
        <v>0</v>
      </c>
      <c r="S44" s="20" t="n">
        <f aca="false" t="array" ref="S44:S44">IF(AND(INDEX(Profils!$M$5:$M$34,$AE44)&gt;0,INDEX(Profils!$AB$5:$AB$34,$AE44)&lt;=$AH44),ROUND(INDEX(Profils!$M$5:$M$34,$AE44)*Paramètres!$E$29*$AG44*$AJ44,Paramètres!$F$29),0)</f>
        <v>0</v>
      </c>
      <c r="T44" s="20" t="n">
        <f aca="false" t="array" ref="T44:T44">IF(AND(INDEX(Profils!$N$5:$N$34,$AE44)&gt;0,INDEX(Profils!$AC$5:$AC$34,$AE44)&lt;=$AH44),ROUND(INDEX(Profils!$N$5:$N$34,$AE44)*Paramètres!$E$30*$AG44*$AJ44,Paramètres!$F$30),0)</f>
        <v>0</v>
      </c>
      <c r="U44" s="19" t="n">
        <f aca="false" t="array" ref="U44:U44">IF(AND(INDEX(Profils!$O$5:$O$34,$AE44)&gt;0,INDEX(Profils!$AD$5:$AD$34,$AE44)&lt;=$AH44),ROUND(INDEX(Profils!$O$5:$O$34,$AE44)*Paramètres!$E$31*$AG44*$AJ44,Paramètres!$F$31),0)</f>
        <v>7</v>
      </c>
      <c r="V44" s="20" t="n">
        <f aca="false" t="array" ref="V44:V44">IF(AND(INDEX(Profils!$P$5:$P$34,$AE44)&gt;0,INDEX(Profils!$AE$5:$AE$34,$AE44)&lt;=$AH44),ROUND(INDEX(Profils!$P$5:$P$34,$AE44)*Paramètres!$E$32*$AG44*$AJ44,Paramètres!$F$32),0)</f>
        <v>0</v>
      </c>
      <c r="W44" s="20" t="n">
        <f aca="false" t="array" ref="W44:W44">IF(AND(INDEX(Profils!$Q$5:$Q$34,$AE44)&gt;0,INDEX(Profils!$AF$5:$AF$34,$AE44)&lt;=$AH44),ROUND(INDEX(Profils!$Q$5:$Q$34,$AE44)*Paramètres!$E$33*$AG44*$AJ44,Paramètres!$F$33),0)</f>
        <v>0</v>
      </c>
      <c r="X44" s="20" t="n">
        <f aca="false" t="array" ref="X44:X44">IF(AND(INDEX(Profils!$R$5:$R$34,$AE44)&gt;0,INDEX(Profils!$AG$5:$AG$34,$AE44)&lt;=$AH44),ROUND(INDEX(Profils!$R$5:$R$34,$AE44)*Paramètres!$E$34*$AG44*$AJ44,Paramètres!$F$34),0)</f>
        <v>0</v>
      </c>
      <c r="Y44" s="20" t="n">
        <f aca="false" t="array" ref="Y44:Y44">IF(AND(INDEX(Profils!$S$5:$S$34,$AE44)&gt;0,INDEX(Profils!$AH$5:$AH$34,$AE44)&lt;=$AH44),ROUND(INDEX(Profils!$S$5:$S$34,$AE44)*Paramètres!$E$35*$AG44*$AJ44,Paramètres!$F$35),0)</f>
        <v>0</v>
      </c>
      <c r="Z44" s="21" t="n">
        <f aca="false">ROUND(L44/Paramètres!$E$22+M44/Paramètres!$E$23+N44/Paramètres!$E$24+O44/Paramètres!$E$25+P44/Paramètres!$E$26+Q44/Paramètres!$E$27+R44/Paramètres!$E$28+S44/Paramètres!$E$29+T44/Paramètres!$E$30+U44/Paramètres!$E$31+V44/Paramètres!$E$32+W44/Paramètres!$E$33+X44/Paramètres!$E$34+Y44/Paramètres!$E$35,1)</f>
        <v>1.1</v>
      </c>
      <c r="AA44" s="22" t="s">
        <v>109</v>
      </c>
      <c r="AB44" s="22" t="s">
        <v>109</v>
      </c>
      <c r="AC44" s="15" t="str">
        <f aca="false">$E44</f>
        <v>fer</v>
      </c>
      <c r="AD44" s="16" t="n">
        <f aca="false" t="array" ref="AD44:AD44">IF($I44&gt;=$AI44,"Max",ROUND(Paramètres!$B$40*($I44+1)^Paramètres!$B$41*INDEX(Paramètres!$H$6:$H$12,$AF44),0))</f>
        <v>4</v>
      </c>
      <c r="AE44" s="23" t="n">
        <f aca="false">MATCH($B44&amp;"|"&amp;$C44,Profils!$A$5:$A$34,0)</f>
        <v>2</v>
      </c>
      <c r="AF44" s="23" t="n">
        <v>2</v>
      </c>
      <c r="AG44" s="24" t="n">
        <f aca="false" t="array" ref="AG44:AG44">INDEX(Paramètres!$C$6:$C$12,$AF44)</f>
        <v>1.2</v>
      </c>
      <c r="AH44" s="23" t="n">
        <f aca="false" t="array" ref="AH44:AH44">INDEX(Paramètres!$D$6:$D$12,$AF44)</f>
        <v>3</v>
      </c>
      <c r="AI44" s="23" t="n">
        <f aca="false" t="array" ref="AI44:AI44">INDEX(Matériaux!$C$16:$C$20,$D44)</f>
        <v>20</v>
      </c>
      <c r="AJ44" s="25" t="n">
        <f aca="false">Paramètres!$B$16+(1-Paramètres!$B$16)*(($J44-Paramètres!$B$14)/(Paramètres!$B$15-Paramètres!$B$14))^Paramètres!$B$17</f>
        <v>0.140847925475674</v>
      </c>
    </row>
    <row r="45" customFormat="false" ht="15.75" hidden="false" customHeight="true" outlineLevel="0" collapsed="false">
      <c r="A45" s="14" t="s">
        <v>153</v>
      </c>
      <c r="B45" s="15" t="s">
        <v>27</v>
      </c>
      <c r="C45" s="15" t="s">
        <v>90</v>
      </c>
      <c r="D45" s="16" t="n">
        <v>2</v>
      </c>
      <c r="E45" s="15" t="str">
        <f aca="false" t="array" ref="E45:E45">INDEX(Matériaux!$B$5:$F$12,MATCH(INDEX(Profils!$E$5:$E$34,$AE45),Matériaux!$A$5:$A$12,0),$D45)</f>
        <v>fer</v>
      </c>
      <c r="F45" s="27" t="s">
        <v>113</v>
      </c>
      <c r="G45" s="10" t="str">
        <f aca="false" t="array" ref="G45:G45">INDEX(Profils!$D$5:$D$34,$AE45)&amp;" en "&amp;$E45</f>
        <v>Plastron en fer</v>
      </c>
      <c r="H45" s="16" t="n">
        <f aca="false" t="array" ref="H45:H45">INDEX(Matériaux!$B$16:$B$20,$D45)</f>
        <v>15</v>
      </c>
      <c r="I45" s="16" t="n">
        <f aca="false">IF(ISNUMBER($C$3),MIN(MAX(0,ROUND($C$3,0)),$AI45),$AI45)</f>
        <v>0</v>
      </c>
      <c r="J45" s="18" t="n">
        <f aca="false">$H45+$I45</f>
        <v>15</v>
      </c>
      <c r="K45" s="15" t="s">
        <v>109</v>
      </c>
      <c r="L45" s="19" t="n">
        <f aca="false" t="array" ref="L45:L45">IF(AND(INDEX(Profils!$F$5:$F$34,$AE45)&gt;0,INDEX(Profils!$U$5:$U$34,$AE45)&lt;=$AH45),ROUND(INDEX(Profils!$F$5:$F$34,$AE45)*Paramètres!$E$22*$AG45*$AJ45,Paramètres!$F$22),0)</f>
        <v>12</v>
      </c>
      <c r="M45" s="19" t="n">
        <f aca="false" t="array" ref="M45:M45">IF(AND(INDEX(Profils!$G$5:$G$34,$AE45)&gt;0,INDEX(Profils!$V$5:$V$34,$AE45)&lt;=$AH45),ROUND(INDEX(Profils!$G$5:$G$34,$AE45)*Paramètres!$E$23*$AG45*$AJ45,Paramètres!$F$23),0)</f>
        <v>2</v>
      </c>
      <c r="N45" s="19" t="n">
        <f aca="false" t="array" ref="N45:N45">IF(AND(INDEX(Profils!$H$5:$H$34,$AE45)&gt;0,INDEX(Profils!$W$5:$W$34,$AE45)&lt;=$AH45),ROUND(INDEX(Profils!$H$5:$H$34,$AE45)*Paramètres!$E$24*$AG45*$AJ45,Paramètres!$F$24),0)</f>
        <v>6</v>
      </c>
      <c r="O45" s="19" t="n">
        <f aca="false" t="array" ref="O45:O45">IF(AND(INDEX(Profils!$I$5:$I$34,$AE45)&gt;0,INDEX(Profils!$X$5:$X$34,$AE45)&lt;=$AH45),ROUND(INDEX(Profils!$I$5:$I$34,$AE45)*Paramètres!$E$25*$AG45*$AJ45,Paramètres!$F$25),0)</f>
        <v>0</v>
      </c>
      <c r="P45" s="19" t="n">
        <f aca="false" t="array" ref="P45:P45">IF(AND(INDEX(Profils!$J$5:$J$34,$AE45)&gt;0,INDEX(Profils!$Y$5:$Y$34,$AE45)&lt;=$AH45),ROUND(INDEX(Profils!$J$5:$J$34,$AE45)*Paramètres!$E$26*$AG45*$AJ45,Paramètres!$F$26),0)</f>
        <v>0</v>
      </c>
      <c r="Q45" s="19" t="n">
        <f aca="false" t="array" ref="Q45:Q45">IF(AND(INDEX(Profils!$K$5:$K$34,$AE45)&gt;0,INDEX(Profils!$Z$5:$Z$34,$AE45)&lt;=$AH45),ROUND(INDEX(Profils!$K$5:$K$34,$AE45)*Paramètres!$E$27*$AG45*$AJ45,Paramètres!$F$27),0)</f>
        <v>0</v>
      </c>
      <c r="R45" s="20" t="n">
        <f aca="false" t="array" ref="R45:R45">IF(AND(INDEX(Profils!$L$5:$L$34,$AE45)&gt;0,INDEX(Profils!$AA$5:$AA$34,$AE45)&lt;=$AH45),ROUND(INDEX(Profils!$L$5:$L$34,$AE45)*Paramètres!$E$28*$AG45*$AJ45,Paramètres!$F$28),0)</f>
        <v>0</v>
      </c>
      <c r="S45" s="20" t="n">
        <f aca="false" t="array" ref="S45:S45">IF(AND(INDEX(Profils!$M$5:$M$34,$AE45)&gt;0,INDEX(Profils!$AB$5:$AB$34,$AE45)&lt;=$AH45),ROUND(INDEX(Profils!$M$5:$M$34,$AE45)*Paramètres!$E$29*$AG45*$AJ45,Paramètres!$F$29),0)</f>
        <v>0</v>
      </c>
      <c r="T45" s="20" t="n">
        <f aca="false" t="array" ref="T45:T45">IF(AND(INDEX(Profils!$N$5:$N$34,$AE45)&gt;0,INDEX(Profils!$AC$5:$AC$34,$AE45)&lt;=$AH45),ROUND(INDEX(Profils!$N$5:$N$34,$AE45)*Paramètres!$E$30*$AG45*$AJ45,Paramètres!$F$30),0)</f>
        <v>0</v>
      </c>
      <c r="U45" s="19" t="n">
        <f aca="false" t="array" ref="U45:U45">IF(AND(INDEX(Profils!$O$5:$O$34,$AE45)&gt;0,INDEX(Profils!$AD$5:$AD$34,$AE45)&lt;=$AH45),ROUND(INDEX(Profils!$O$5:$O$34,$AE45)*Paramètres!$E$31*$AG45*$AJ45,Paramètres!$F$31),0)</f>
        <v>9</v>
      </c>
      <c r="V45" s="20" t="n">
        <f aca="false" t="array" ref="V45:V45">IF(AND(INDEX(Profils!$P$5:$P$34,$AE45)&gt;0,INDEX(Profils!$AE$5:$AE$34,$AE45)&lt;=$AH45),ROUND(INDEX(Profils!$P$5:$P$34,$AE45)*Paramètres!$E$32*$AG45*$AJ45,Paramètres!$F$32),0)</f>
        <v>0</v>
      </c>
      <c r="W45" s="20" t="n">
        <f aca="false" t="array" ref="W45:W45">IF(AND(INDEX(Profils!$Q$5:$Q$34,$AE45)&gt;0,INDEX(Profils!$AF$5:$AF$34,$AE45)&lt;=$AH45),ROUND(INDEX(Profils!$Q$5:$Q$34,$AE45)*Paramètres!$E$33*$AG45*$AJ45,Paramètres!$F$33),0)</f>
        <v>0</v>
      </c>
      <c r="X45" s="20" t="n">
        <f aca="false" t="array" ref="X45:X45">IF(AND(INDEX(Profils!$R$5:$R$34,$AE45)&gt;0,INDEX(Profils!$AG$5:$AG$34,$AE45)&lt;=$AH45),ROUND(INDEX(Profils!$R$5:$R$34,$AE45)*Paramètres!$E$34*$AG45*$AJ45,Paramètres!$F$34),0)</f>
        <v>0</v>
      </c>
      <c r="Y45" s="20" t="n">
        <f aca="false" t="array" ref="Y45:Y45">IF(AND(INDEX(Profils!$S$5:$S$34,$AE45)&gt;0,INDEX(Profils!$AH$5:$AH$34,$AE45)&lt;=$AH45),ROUND(INDEX(Profils!$S$5:$S$34,$AE45)*Paramètres!$E$35*$AG45*$AJ45,Paramètres!$F$35),0)</f>
        <v>0</v>
      </c>
      <c r="Z45" s="21" t="n">
        <f aca="false">ROUND(L45/Paramètres!$E$22+M45/Paramètres!$E$23+N45/Paramètres!$E$24+O45/Paramètres!$E$25+P45/Paramètres!$E$26+Q45/Paramètres!$E$27+R45/Paramètres!$E$28+S45/Paramètres!$E$29+T45/Paramètres!$E$30+U45/Paramètres!$E$31+V45/Paramètres!$E$32+W45/Paramètres!$E$33+X45/Paramètres!$E$34+Y45/Paramètres!$E$35,1)</f>
        <v>1.5</v>
      </c>
      <c r="AA45" s="22" t="s">
        <v>109</v>
      </c>
      <c r="AB45" s="22" t="s">
        <v>109</v>
      </c>
      <c r="AC45" s="15" t="str">
        <f aca="false">$E45</f>
        <v>fer</v>
      </c>
      <c r="AD45" s="16" t="n">
        <f aca="false" t="array" ref="AD45:AD45">IF($I45&gt;=$AI45,"Max",ROUND(Paramètres!$B$40*($I45+1)^Paramètres!$B$41*INDEX(Paramètres!$H$6:$H$12,$AF45),0))</f>
        <v>4</v>
      </c>
      <c r="AE45" s="23" t="n">
        <f aca="false">MATCH($B45&amp;"|"&amp;$C45,Profils!$A$5:$A$34,0)</f>
        <v>2</v>
      </c>
      <c r="AF45" s="23" t="n">
        <v>3</v>
      </c>
      <c r="AG45" s="24" t="n">
        <f aca="false" t="array" ref="AG45:AG45">INDEX(Paramètres!$C$6:$C$12,$AF45)</f>
        <v>1.45</v>
      </c>
      <c r="AH45" s="23" t="n">
        <f aca="false" t="array" ref="AH45:AH45">INDEX(Paramètres!$D$6:$D$12,$AF45)</f>
        <v>4</v>
      </c>
      <c r="AI45" s="23" t="n">
        <f aca="false" t="array" ref="AI45:AI45">INDEX(Matériaux!$C$16:$C$20,$D45)</f>
        <v>20</v>
      </c>
      <c r="AJ45" s="25" t="n">
        <f aca="false">Paramètres!$B$16+(1-Paramètres!$B$16)*(($J45-Paramètres!$B$14)/(Paramètres!$B$15-Paramètres!$B$14))^Paramètres!$B$17</f>
        <v>0.140847925475674</v>
      </c>
    </row>
    <row r="46" customFormat="false" ht="15.75" hidden="false" customHeight="true" outlineLevel="0" collapsed="false">
      <c r="A46" s="14" t="s">
        <v>154</v>
      </c>
      <c r="B46" s="15" t="s">
        <v>27</v>
      </c>
      <c r="C46" s="15" t="s">
        <v>90</v>
      </c>
      <c r="D46" s="16" t="n">
        <v>2</v>
      </c>
      <c r="E46" s="15" t="str">
        <f aca="false" t="array" ref="E46:E46">INDEX(Matériaux!$B$5:$F$12,MATCH(INDEX(Profils!$E$5:$E$34,$AE46),Matériaux!$A$5:$A$12,0),$D46)</f>
        <v>fer</v>
      </c>
      <c r="F46" s="28" t="s">
        <v>115</v>
      </c>
      <c r="G46" s="10" t="str">
        <f aca="false" t="array" ref="G46:G46">INDEX(Profils!$D$5:$D$34,$AE46)&amp;" en "&amp;$E46</f>
        <v>Plastron en fer</v>
      </c>
      <c r="H46" s="16" t="n">
        <f aca="false" t="array" ref="H46:H46">INDEX(Matériaux!$B$16:$B$20,$D46)</f>
        <v>15</v>
      </c>
      <c r="I46" s="16" t="n">
        <f aca="false">IF(ISNUMBER($C$3),MIN(MAX(0,ROUND($C$3,0)),$AI46),$AI46)</f>
        <v>0</v>
      </c>
      <c r="J46" s="18" t="n">
        <f aca="false">$H46+$I46</f>
        <v>15</v>
      </c>
      <c r="K46" s="15" t="s">
        <v>109</v>
      </c>
      <c r="L46" s="19" t="n">
        <f aca="false" t="array" ref="L46:L46">IF(AND(INDEX(Profils!$F$5:$F$34,$AE46)&gt;0,INDEX(Profils!$U$5:$U$34,$AE46)&lt;=$AH46),ROUND(INDEX(Profils!$F$5:$F$34,$AE46)*Paramètres!$E$22*$AG46*$AJ46,Paramètres!$F$22),0)</f>
        <v>15</v>
      </c>
      <c r="M46" s="19" t="n">
        <f aca="false" t="array" ref="M46:M46">IF(AND(INDEX(Profils!$G$5:$G$34,$AE46)&gt;0,INDEX(Profils!$V$5:$V$34,$AE46)&lt;=$AH46),ROUND(INDEX(Profils!$G$5:$G$34,$AE46)*Paramètres!$E$23*$AG46*$AJ46,Paramètres!$F$23),0)</f>
        <v>3</v>
      </c>
      <c r="N46" s="19" t="n">
        <f aca="false" t="array" ref="N46:N46">IF(AND(INDEX(Profils!$H$5:$H$34,$AE46)&gt;0,INDEX(Profils!$W$5:$W$34,$AE46)&lt;=$AH46),ROUND(INDEX(Profils!$H$5:$H$34,$AE46)*Paramètres!$E$24*$AG46*$AJ46,Paramètres!$F$24),0)</f>
        <v>7</v>
      </c>
      <c r="O46" s="19" t="n">
        <f aca="false" t="array" ref="O46:O46">IF(AND(INDEX(Profils!$I$5:$I$34,$AE46)&gt;0,INDEX(Profils!$X$5:$X$34,$AE46)&lt;=$AH46),ROUND(INDEX(Profils!$I$5:$I$34,$AE46)*Paramètres!$E$25*$AG46*$AJ46,Paramètres!$F$25),0)</f>
        <v>0</v>
      </c>
      <c r="P46" s="19" t="n">
        <f aca="false" t="array" ref="P46:P46">IF(AND(INDEX(Profils!$J$5:$J$34,$AE46)&gt;0,INDEX(Profils!$Y$5:$Y$34,$AE46)&lt;=$AH46),ROUND(INDEX(Profils!$J$5:$J$34,$AE46)*Paramètres!$E$26*$AG46*$AJ46,Paramètres!$F$26),0)</f>
        <v>0</v>
      </c>
      <c r="Q46" s="19" t="n">
        <f aca="false" t="array" ref="Q46:Q46">IF(AND(INDEX(Profils!$K$5:$K$34,$AE46)&gt;0,INDEX(Profils!$Z$5:$Z$34,$AE46)&lt;=$AH46),ROUND(INDEX(Profils!$K$5:$K$34,$AE46)*Paramètres!$E$27*$AG46*$AJ46,Paramètres!$F$27),0)</f>
        <v>0</v>
      </c>
      <c r="R46" s="20" t="n">
        <f aca="false" t="array" ref="R46:R46">IF(AND(INDEX(Profils!$L$5:$L$34,$AE46)&gt;0,INDEX(Profils!$AA$5:$AA$34,$AE46)&lt;=$AH46),ROUND(INDEX(Profils!$L$5:$L$34,$AE46)*Paramètres!$E$28*$AG46*$AJ46,Paramètres!$F$28),0)</f>
        <v>0</v>
      </c>
      <c r="S46" s="20" t="n">
        <f aca="false" t="array" ref="S46:S46">IF(AND(INDEX(Profils!$M$5:$M$34,$AE46)&gt;0,INDEX(Profils!$AB$5:$AB$34,$AE46)&lt;=$AH46),ROUND(INDEX(Profils!$M$5:$M$34,$AE46)*Paramètres!$E$29*$AG46*$AJ46,Paramètres!$F$29),0)</f>
        <v>0</v>
      </c>
      <c r="T46" s="20" t="n">
        <f aca="false" t="array" ref="T46:T46">IF(AND(INDEX(Profils!$N$5:$N$34,$AE46)&gt;0,INDEX(Profils!$AC$5:$AC$34,$AE46)&lt;=$AH46),ROUND(INDEX(Profils!$N$5:$N$34,$AE46)*Paramètres!$E$30*$AG46*$AJ46,Paramètres!$F$30),0)</f>
        <v>0</v>
      </c>
      <c r="U46" s="19" t="n">
        <f aca="false" t="array" ref="U46:U46">IF(AND(INDEX(Profils!$O$5:$O$34,$AE46)&gt;0,INDEX(Profils!$AD$5:$AD$34,$AE46)&lt;=$AH46),ROUND(INDEX(Profils!$O$5:$O$34,$AE46)*Paramètres!$E$31*$AG46*$AJ46,Paramètres!$F$31),0)</f>
        <v>11</v>
      </c>
      <c r="V46" s="20" t="n">
        <f aca="false" t="array" ref="V46:V46">IF(AND(INDEX(Profils!$P$5:$P$34,$AE46)&gt;0,INDEX(Profils!$AE$5:$AE$34,$AE46)&lt;=$AH46),ROUND(INDEX(Profils!$P$5:$P$34,$AE46)*Paramètres!$E$32*$AG46*$AJ46,Paramètres!$F$32),0)</f>
        <v>0</v>
      </c>
      <c r="W46" s="20" t="n">
        <f aca="false" t="array" ref="W46:W46">IF(AND(INDEX(Profils!$Q$5:$Q$34,$AE46)&gt;0,INDEX(Profils!$AF$5:$AF$34,$AE46)&lt;=$AH46),ROUND(INDEX(Profils!$Q$5:$Q$34,$AE46)*Paramètres!$E$33*$AG46*$AJ46,Paramètres!$F$33),0)</f>
        <v>0.003</v>
      </c>
      <c r="X46" s="20" t="n">
        <f aca="false" t="array" ref="X46:X46">IF(AND(INDEX(Profils!$R$5:$R$34,$AE46)&gt;0,INDEX(Profils!$AG$5:$AG$34,$AE46)&lt;=$AH46),ROUND(INDEX(Profils!$R$5:$R$34,$AE46)*Paramètres!$E$34*$AG46*$AJ46,Paramètres!$F$34),0)</f>
        <v>0</v>
      </c>
      <c r="Y46" s="20" t="n">
        <f aca="false" t="array" ref="Y46:Y46">IF(AND(INDEX(Profils!$S$5:$S$34,$AE46)&gt;0,INDEX(Profils!$AH$5:$AH$34,$AE46)&lt;=$AH46),ROUND(INDEX(Profils!$S$5:$S$34,$AE46)*Paramètres!$E$35*$AG46*$AJ46,Paramètres!$F$35),0)</f>
        <v>0</v>
      </c>
      <c r="Z46" s="21" t="n">
        <f aca="false">ROUND(L46/Paramètres!$E$22+M46/Paramètres!$E$23+N46/Paramètres!$E$24+O46/Paramètres!$E$25+P46/Paramètres!$E$26+Q46/Paramètres!$E$27+R46/Paramètres!$E$28+S46/Paramètres!$E$29+T46/Paramètres!$E$30+U46/Paramètres!$E$31+V46/Paramètres!$E$32+W46/Paramètres!$E$33+X46/Paramètres!$E$34+Y46/Paramètres!$E$35,1)</f>
        <v>2</v>
      </c>
      <c r="AA46" s="22" t="s">
        <v>109</v>
      </c>
      <c r="AB46" s="22" t="s">
        <v>109</v>
      </c>
      <c r="AC46" s="15" t="str">
        <f aca="false">$E46</f>
        <v>fer</v>
      </c>
      <c r="AD46" s="16" t="n">
        <f aca="false" t="array" ref="AD46:AD46">IF($I46&gt;=$AI46,"Max",ROUND(Paramètres!$B$40*($I46+1)^Paramètres!$B$41*INDEX(Paramètres!$H$6:$H$12,$AF46),0))</f>
        <v>5</v>
      </c>
      <c r="AE46" s="23" t="n">
        <f aca="false">MATCH($B46&amp;"|"&amp;$C46,Profils!$A$5:$A$34,0)</f>
        <v>2</v>
      </c>
      <c r="AF46" s="23" t="n">
        <v>4</v>
      </c>
      <c r="AG46" s="24" t="n">
        <f aca="false" t="array" ref="AG46:AG46">INDEX(Paramètres!$C$6:$C$12,$AF46)</f>
        <v>1.75</v>
      </c>
      <c r="AH46" s="23" t="n">
        <f aca="false" t="array" ref="AH46:AH46">INDEX(Paramètres!$D$6:$D$12,$AF46)</f>
        <v>5</v>
      </c>
      <c r="AI46" s="23" t="n">
        <f aca="false" t="array" ref="AI46:AI46">INDEX(Matériaux!$C$16:$C$20,$D46)</f>
        <v>20</v>
      </c>
      <c r="AJ46" s="25" t="n">
        <f aca="false">Paramètres!$B$16+(1-Paramètres!$B$16)*(($J46-Paramètres!$B$14)/(Paramètres!$B$15-Paramètres!$B$14))^Paramètres!$B$17</f>
        <v>0.140847925475674</v>
      </c>
    </row>
    <row r="47" customFormat="false" ht="15.75" hidden="false" customHeight="true" outlineLevel="0" collapsed="false">
      <c r="A47" s="14" t="s">
        <v>155</v>
      </c>
      <c r="B47" s="15" t="s">
        <v>27</v>
      </c>
      <c r="C47" s="15" t="s">
        <v>90</v>
      </c>
      <c r="D47" s="16" t="n">
        <v>2</v>
      </c>
      <c r="E47" s="15" t="str">
        <f aca="false" t="array" ref="E47:E47">INDEX(Matériaux!$B$5:$F$12,MATCH(INDEX(Profils!$E$5:$E$34,$AE47),Matériaux!$A$5:$A$12,0),$D47)</f>
        <v>fer</v>
      </c>
      <c r="F47" s="29" t="s">
        <v>117</v>
      </c>
      <c r="G47" s="10" t="str">
        <f aca="false" t="array" ref="G47:G47">INDEX(Profils!$D$5:$D$34,$AE47)&amp;" en "&amp;$E47</f>
        <v>Plastron en fer</v>
      </c>
      <c r="H47" s="16" t="n">
        <f aca="false" t="array" ref="H47:H47">INDEX(Matériaux!$B$16:$B$20,$D47)</f>
        <v>15</v>
      </c>
      <c r="I47" s="16" t="n">
        <f aca="false">IF(ISNUMBER($C$3),MIN(MAX(0,ROUND($C$3,0)),$AI47),$AI47)</f>
        <v>0</v>
      </c>
      <c r="J47" s="18" t="n">
        <f aca="false">$H47+$I47</f>
        <v>15</v>
      </c>
      <c r="K47" s="15" t="s">
        <v>109</v>
      </c>
      <c r="L47" s="19" t="n">
        <f aca="false" t="array" ref="L47:L47">IF(AND(INDEX(Profils!$F$5:$F$34,$AE47)&gt;0,INDEX(Profils!$U$5:$U$34,$AE47)&lt;=$AH47),ROUND(INDEX(Profils!$F$5:$F$34,$AE47)*Paramètres!$E$22*$AG47*$AJ47,Paramètres!$F$22),0)</f>
        <v>18</v>
      </c>
      <c r="M47" s="19" t="n">
        <f aca="false" t="array" ref="M47:M47">IF(AND(INDEX(Profils!$G$5:$G$34,$AE47)&gt;0,INDEX(Profils!$V$5:$V$34,$AE47)&lt;=$AH47),ROUND(INDEX(Profils!$G$5:$G$34,$AE47)*Paramètres!$E$23*$AG47*$AJ47,Paramètres!$F$23),0)</f>
        <v>4</v>
      </c>
      <c r="N47" s="19" t="n">
        <f aca="false" t="array" ref="N47:N47">IF(AND(INDEX(Profils!$H$5:$H$34,$AE47)&gt;0,INDEX(Profils!$W$5:$W$34,$AE47)&lt;=$AH47),ROUND(INDEX(Profils!$H$5:$H$34,$AE47)*Paramètres!$E$24*$AG47*$AJ47,Paramètres!$F$24),0)</f>
        <v>8</v>
      </c>
      <c r="O47" s="19" t="n">
        <f aca="false" t="array" ref="O47:O47">IF(AND(INDEX(Profils!$I$5:$I$34,$AE47)&gt;0,INDEX(Profils!$X$5:$X$34,$AE47)&lt;=$AH47),ROUND(INDEX(Profils!$I$5:$I$34,$AE47)*Paramètres!$E$25*$AG47*$AJ47,Paramètres!$F$25),0)</f>
        <v>0</v>
      </c>
      <c r="P47" s="19" t="n">
        <f aca="false" t="array" ref="P47:P47">IF(AND(INDEX(Profils!$J$5:$J$34,$AE47)&gt;0,INDEX(Profils!$Y$5:$Y$34,$AE47)&lt;=$AH47),ROUND(INDEX(Profils!$J$5:$J$34,$AE47)*Paramètres!$E$26*$AG47*$AJ47,Paramètres!$F$26),0)</f>
        <v>0</v>
      </c>
      <c r="Q47" s="19" t="n">
        <f aca="false" t="array" ref="Q47:Q47">IF(AND(INDEX(Profils!$K$5:$K$34,$AE47)&gt;0,INDEX(Profils!$Z$5:$Z$34,$AE47)&lt;=$AH47),ROUND(INDEX(Profils!$K$5:$K$34,$AE47)*Paramètres!$E$27*$AG47*$AJ47,Paramètres!$F$27),0)</f>
        <v>0</v>
      </c>
      <c r="R47" s="20" t="n">
        <f aca="false" t="array" ref="R47:R47">IF(AND(INDEX(Profils!$L$5:$L$34,$AE47)&gt;0,INDEX(Profils!$AA$5:$AA$34,$AE47)&lt;=$AH47),ROUND(INDEX(Profils!$L$5:$L$34,$AE47)*Paramètres!$E$28*$AG47*$AJ47,Paramètres!$F$28),0)</f>
        <v>0</v>
      </c>
      <c r="S47" s="20" t="n">
        <f aca="false" t="array" ref="S47:S47">IF(AND(INDEX(Profils!$M$5:$M$34,$AE47)&gt;0,INDEX(Profils!$AB$5:$AB$34,$AE47)&lt;=$AH47),ROUND(INDEX(Profils!$M$5:$M$34,$AE47)*Paramètres!$E$29*$AG47*$AJ47,Paramètres!$F$29),0)</f>
        <v>0</v>
      </c>
      <c r="T47" s="20" t="n">
        <f aca="false" t="array" ref="T47:T47">IF(AND(INDEX(Profils!$N$5:$N$34,$AE47)&gt;0,INDEX(Profils!$AC$5:$AC$34,$AE47)&lt;=$AH47),ROUND(INDEX(Profils!$N$5:$N$34,$AE47)*Paramètres!$E$30*$AG47*$AJ47,Paramètres!$F$30),0)</f>
        <v>0</v>
      </c>
      <c r="U47" s="19" t="n">
        <f aca="false" t="array" ref="U47:U47">IF(AND(INDEX(Profils!$O$5:$O$34,$AE47)&gt;0,INDEX(Profils!$AD$5:$AD$34,$AE47)&lt;=$AH47),ROUND(INDEX(Profils!$O$5:$O$34,$AE47)*Paramètres!$E$31*$AG47*$AJ47,Paramètres!$F$31),0)</f>
        <v>13</v>
      </c>
      <c r="V47" s="20" t="n">
        <f aca="false" t="array" ref="V47:V47">IF(AND(INDEX(Profils!$P$5:$P$34,$AE47)&gt;0,INDEX(Profils!$AE$5:$AE$34,$AE47)&lt;=$AH47),ROUND(INDEX(Profils!$P$5:$P$34,$AE47)*Paramètres!$E$32*$AG47*$AJ47,Paramètres!$F$32),0)</f>
        <v>0</v>
      </c>
      <c r="W47" s="20" t="n">
        <f aca="false" t="array" ref="W47:W47">IF(AND(INDEX(Profils!$Q$5:$Q$34,$AE47)&gt;0,INDEX(Profils!$AF$5:$AF$34,$AE47)&lt;=$AH47),ROUND(INDEX(Profils!$Q$5:$Q$34,$AE47)*Paramètres!$E$33*$AG47*$AJ47,Paramètres!$F$33),0)</f>
        <v>0.004</v>
      </c>
      <c r="X47" s="20" t="n">
        <f aca="false" t="array" ref="X47:X47">IF(AND(INDEX(Profils!$R$5:$R$34,$AE47)&gt;0,INDEX(Profils!$AG$5:$AG$34,$AE47)&lt;=$AH47),ROUND(INDEX(Profils!$R$5:$R$34,$AE47)*Paramètres!$E$34*$AG47*$AJ47,Paramètres!$F$34),0)</f>
        <v>0</v>
      </c>
      <c r="Y47" s="20" t="n">
        <f aca="false" t="array" ref="Y47:Y47">IF(AND(INDEX(Profils!$S$5:$S$34,$AE47)&gt;0,INDEX(Profils!$AH$5:$AH$34,$AE47)&lt;=$AH47),ROUND(INDEX(Profils!$S$5:$S$34,$AE47)*Paramètres!$E$35*$AG47*$AJ47,Paramètres!$F$35),0)</f>
        <v>0.003</v>
      </c>
      <c r="Z47" s="21" t="n">
        <f aca="false">ROUND(L47/Paramètres!$E$22+M47/Paramètres!$E$23+N47/Paramètres!$E$24+O47/Paramètres!$E$25+P47/Paramètres!$E$26+Q47/Paramètres!$E$27+R47/Paramètres!$E$28+S47/Paramètres!$E$29+T47/Paramètres!$E$30+U47/Paramètres!$E$31+V47/Paramètres!$E$32+W47/Paramètres!$E$33+X47/Paramètres!$E$34+Y47/Paramètres!$E$35,1)</f>
        <v>2.6</v>
      </c>
      <c r="AA47" s="22" t="s">
        <v>109</v>
      </c>
      <c r="AB47" s="22" t="s">
        <v>109</v>
      </c>
      <c r="AC47" s="15" t="str">
        <f aca="false">$E47</f>
        <v>fer</v>
      </c>
      <c r="AD47" s="16" t="n">
        <f aca="false" t="array" ref="AD47:AD47">IF($I47&gt;=$AI47,"Max",ROUND(Paramètres!$B$40*($I47+1)^Paramètres!$B$41*INDEX(Paramètres!$H$6:$H$12,$AF47),0))</f>
        <v>6</v>
      </c>
      <c r="AE47" s="23" t="n">
        <f aca="false">MATCH($B47&amp;"|"&amp;$C47,Profils!$A$5:$A$34,0)</f>
        <v>2</v>
      </c>
      <c r="AF47" s="23" t="n">
        <v>5</v>
      </c>
      <c r="AG47" s="24" t="n">
        <f aca="false" t="array" ref="AG47:AG47">INDEX(Paramètres!$C$6:$C$12,$AF47)</f>
        <v>2.1</v>
      </c>
      <c r="AH47" s="23" t="n">
        <f aca="false" t="array" ref="AH47:AH47">INDEX(Paramètres!$D$6:$D$12,$AF47)</f>
        <v>6</v>
      </c>
      <c r="AI47" s="23" t="n">
        <f aca="false" t="array" ref="AI47:AI47">INDEX(Matériaux!$C$16:$C$20,$D47)</f>
        <v>20</v>
      </c>
      <c r="AJ47" s="25" t="n">
        <f aca="false">Paramètres!$B$16+(1-Paramètres!$B$16)*(($J47-Paramètres!$B$14)/(Paramètres!$B$15-Paramètres!$B$14))^Paramètres!$B$17</f>
        <v>0.140847925475674</v>
      </c>
    </row>
    <row r="48" customFormat="false" ht="15.75" hidden="false" customHeight="true" outlineLevel="0" collapsed="false">
      <c r="A48" s="14" t="s">
        <v>156</v>
      </c>
      <c r="B48" s="15" t="s">
        <v>27</v>
      </c>
      <c r="C48" s="15" t="s">
        <v>90</v>
      </c>
      <c r="D48" s="16" t="n">
        <v>2</v>
      </c>
      <c r="E48" s="15" t="str">
        <f aca="false" t="array" ref="E48:E48">INDEX(Matériaux!$B$5:$F$12,MATCH(INDEX(Profils!$E$5:$E$34,$AE48),Matériaux!$A$5:$A$12,0),$D48)</f>
        <v>fer</v>
      </c>
      <c r="F48" s="30" t="s">
        <v>119</v>
      </c>
      <c r="G48" s="10" t="str">
        <f aca="false" t="array" ref="G48:G48">INDEX(Profils!$D$5:$D$34,$AE48)&amp;" en "&amp;$E48</f>
        <v>Plastron en fer</v>
      </c>
      <c r="H48" s="16" t="n">
        <f aca="false" t="array" ref="H48:H48">INDEX(Matériaux!$B$16:$B$20,$D48)</f>
        <v>15</v>
      </c>
      <c r="I48" s="16" t="n">
        <f aca="false">IF(ISNUMBER($C$3),MIN(MAX(0,ROUND($C$3,0)),$AI48),$AI48)</f>
        <v>0</v>
      </c>
      <c r="J48" s="18" t="n">
        <f aca="false">$H48+$I48</f>
        <v>15</v>
      </c>
      <c r="K48" s="15" t="s">
        <v>109</v>
      </c>
      <c r="L48" s="19" t="n">
        <f aca="false" t="array" ref="L48:L48">IF(AND(INDEX(Profils!$F$5:$F$34,$AE48)&gt;0,INDEX(Profils!$U$5:$U$34,$AE48)&lt;=$AH48),ROUND(INDEX(Profils!$F$5:$F$34,$AE48)*Paramètres!$E$22*$AG48*$AJ48,Paramètres!$F$22),0)</f>
        <v>20</v>
      </c>
      <c r="M48" s="19" t="n">
        <f aca="false" t="array" ref="M48:M48">IF(AND(INDEX(Profils!$G$5:$G$34,$AE48)&gt;0,INDEX(Profils!$V$5:$V$34,$AE48)&lt;=$AH48),ROUND(INDEX(Profils!$G$5:$G$34,$AE48)*Paramètres!$E$23*$AG48*$AJ48,Paramètres!$F$23),0)</f>
        <v>4</v>
      </c>
      <c r="N48" s="19" t="n">
        <f aca="false" t="array" ref="N48:N48">IF(AND(INDEX(Profils!$H$5:$H$34,$AE48)&gt;0,INDEX(Profils!$W$5:$W$34,$AE48)&lt;=$AH48),ROUND(INDEX(Profils!$H$5:$H$34,$AE48)*Paramètres!$E$24*$AG48*$AJ48,Paramètres!$F$24),0)</f>
        <v>9</v>
      </c>
      <c r="O48" s="19" t="n">
        <f aca="false" t="array" ref="O48:O48">IF(AND(INDEX(Profils!$I$5:$I$34,$AE48)&gt;0,INDEX(Profils!$X$5:$X$34,$AE48)&lt;=$AH48),ROUND(INDEX(Profils!$I$5:$I$34,$AE48)*Paramètres!$E$25*$AG48*$AJ48,Paramètres!$F$25),0)</f>
        <v>0</v>
      </c>
      <c r="P48" s="19" t="n">
        <f aca="false" t="array" ref="P48:P48">IF(AND(INDEX(Profils!$J$5:$J$34,$AE48)&gt;0,INDEX(Profils!$Y$5:$Y$34,$AE48)&lt;=$AH48),ROUND(INDEX(Profils!$J$5:$J$34,$AE48)*Paramètres!$E$26*$AG48*$AJ48,Paramètres!$F$26),0)</f>
        <v>1</v>
      </c>
      <c r="Q48" s="19" t="n">
        <f aca="false" t="array" ref="Q48:Q48">IF(AND(INDEX(Profils!$K$5:$K$34,$AE48)&gt;0,INDEX(Profils!$Z$5:$Z$34,$AE48)&lt;=$AH48),ROUND(INDEX(Profils!$K$5:$K$34,$AE48)*Paramètres!$E$27*$AG48*$AJ48,Paramètres!$F$27),0)</f>
        <v>0</v>
      </c>
      <c r="R48" s="20" t="n">
        <f aca="false" t="array" ref="R48:R48">IF(AND(INDEX(Profils!$L$5:$L$34,$AE48)&gt;0,INDEX(Profils!$AA$5:$AA$34,$AE48)&lt;=$AH48),ROUND(INDEX(Profils!$L$5:$L$34,$AE48)*Paramètres!$E$28*$AG48*$AJ48,Paramètres!$F$28),0)</f>
        <v>0</v>
      </c>
      <c r="S48" s="20" t="n">
        <f aca="false" t="array" ref="S48:S48">IF(AND(INDEX(Profils!$M$5:$M$34,$AE48)&gt;0,INDEX(Profils!$AB$5:$AB$34,$AE48)&lt;=$AH48),ROUND(INDEX(Profils!$M$5:$M$34,$AE48)*Paramètres!$E$29*$AG48*$AJ48,Paramètres!$F$29),0)</f>
        <v>0</v>
      </c>
      <c r="T48" s="20" t="n">
        <f aca="false" t="array" ref="T48:T48">IF(AND(INDEX(Profils!$N$5:$N$34,$AE48)&gt;0,INDEX(Profils!$AC$5:$AC$34,$AE48)&lt;=$AH48),ROUND(INDEX(Profils!$N$5:$N$34,$AE48)*Paramètres!$E$30*$AG48*$AJ48,Paramètres!$F$30),0)</f>
        <v>0</v>
      </c>
      <c r="U48" s="19" t="n">
        <f aca="false" t="array" ref="U48:U48">IF(AND(INDEX(Profils!$O$5:$O$34,$AE48)&gt;0,INDEX(Profils!$AD$5:$AD$34,$AE48)&lt;=$AH48),ROUND(INDEX(Profils!$O$5:$O$34,$AE48)*Paramètres!$E$31*$AG48*$AJ48,Paramètres!$F$31),0)</f>
        <v>15</v>
      </c>
      <c r="V48" s="20" t="n">
        <f aca="false" t="array" ref="V48:V48">IF(AND(INDEX(Profils!$P$5:$P$34,$AE48)&gt;0,INDEX(Profils!$AE$5:$AE$34,$AE48)&lt;=$AH48),ROUND(INDEX(Profils!$P$5:$P$34,$AE48)*Paramètres!$E$32*$AG48*$AJ48,Paramètres!$F$32),0)</f>
        <v>0</v>
      </c>
      <c r="W48" s="20" t="n">
        <f aca="false" t="array" ref="W48:W48">IF(AND(INDEX(Profils!$Q$5:$Q$34,$AE48)&gt;0,INDEX(Profils!$AF$5:$AF$34,$AE48)&lt;=$AH48),ROUND(INDEX(Profils!$Q$5:$Q$34,$AE48)*Paramètres!$E$33*$AG48*$AJ48,Paramètres!$F$33),0)</f>
        <v>0.004</v>
      </c>
      <c r="X48" s="20" t="n">
        <f aca="false" t="array" ref="X48:X48">IF(AND(INDEX(Profils!$R$5:$R$34,$AE48)&gt;0,INDEX(Profils!$AG$5:$AG$34,$AE48)&lt;=$AH48),ROUND(INDEX(Profils!$R$5:$R$34,$AE48)*Paramètres!$E$34*$AG48*$AJ48,Paramètres!$F$34),0)</f>
        <v>0</v>
      </c>
      <c r="Y48" s="20" t="n">
        <f aca="false" t="array" ref="Y48:Y48">IF(AND(INDEX(Profils!$S$5:$S$34,$AE48)&gt;0,INDEX(Profils!$AH$5:$AH$34,$AE48)&lt;=$AH48),ROUND(INDEX(Profils!$S$5:$S$34,$AE48)*Paramètres!$E$35*$AG48*$AJ48,Paramètres!$F$35),0)</f>
        <v>0.003</v>
      </c>
      <c r="Z48" s="21" t="n">
        <f aca="false">ROUND(L48/Paramètres!$E$22+M48/Paramètres!$E$23+N48/Paramètres!$E$24+O48/Paramètres!$E$25+P48/Paramètres!$E$26+Q48/Paramètres!$E$27+R48/Paramètres!$E$28+S48/Paramètres!$E$29+T48/Paramètres!$E$30+U48/Paramètres!$E$31+V48/Paramètres!$E$32+W48/Paramètres!$E$33+X48/Paramètres!$E$34+Y48/Paramètres!$E$35,1)</f>
        <v>3</v>
      </c>
      <c r="AA48" s="22" t="s">
        <v>109</v>
      </c>
      <c r="AB48" s="22" t="s">
        <v>109</v>
      </c>
      <c r="AC48" s="15" t="str">
        <f aca="false">$E48</f>
        <v>fer</v>
      </c>
      <c r="AD48" s="16" t="n">
        <f aca="false" t="array" ref="AD48:AD48">IF($I48&gt;=$AI48,"Max",ROUND(Paramètres!$B$40*($I48+1)^Paramètres!$B$41*INDEX(Paramètres!$H$6:$H$12,$AF48),0))</f>
        <v>8</v>
      </c>
      <c r="AE48" s="23" t="n">
        <f aca="false">MATCH($B48&amp;"|"&amp;$C48,Profils!$A$5:$A$34,0)</f>
        <v>2</v>
      </c>
      <c r="AF48" s="23" t="n">
        <v>6</v>
      </c>
      <c r="AG48" s="24" t="n">
        <f aca="false" t="array" ref="AG48:AG48">INDEX(Paramètres!$C$6:$C$12,$AF48)</f>
        <v>2.4</v>
      </c>
      <c r="AH48" s="23" t="n">
        <f aca="false" t="array" ref="AH48:AH48">INDEX(Paramètres!$D$6:$D$12,$AF48)</f>
        <v>7</v>
      </c>
      <c r="AI48" s="23" t="n">
        <f aca="false" t="array" ref="AI48:AI48">INDEX(Matériaux!$C$16:$C$20,$D48)</f>
        <v>20</v>
      </c>
      <c r="AJ48" s="25" t="n">
        <f aca="false">Paramètres!$B$16+(1-Paramètres!$B$16)*(($J48-Paramètres!$B$14)/(Paramètres!$B$15-Paramètres!$B$14))^Paramètres!$B$17</f>
        <v>0.140847925475674</v>
      </c>
    </row>
    <row r="49" customFormat="false" ht="15.75" hidden="false" customHeight="true" outlineLevel="0" collapsed="false">
      <c r="A49" s="14" t="s">
        <v>157</v>
      </c>
      <c r="B49" s="15" t="s">
        <v>27</v>
      </c>
      <c r="C49" s="15" t="s">
        <v>90</v>
      </c>
      <c r="D49" s="16" t="n">
        <v>3</v>
      </c>
      <c r="E49" s="15" t="str">
        <f aca="false" t="array" ref="E49:E49">INDEX(Matériaux!$B$5:$F$12,MATCH(INDEX(Profils!$E$5:$E$34,$AE49),Matériaux!$A$5:$A$12,0),$D49)</f>
        <v>acier</v>
      </c>
      <c r="F49" s="17" t="s">
        <v>108</v>
      </c>
      <c r="G49" s="10" t="str">
        <f aca="false" t="array" ref="G49:G49">INDEX(Profils!$D$5:$D$34,$AE49)&amp;" en "&amp;$E49</f>
        <v>Plastron en acier</v>
      </c>
      <c r="H49" s="16" t="n">
        <f aca="false" t="array" ref="H49:H49">INDEX(Matériaux!$B$16:$B$20,$D49)</f>
        <v>30</v>
      </c>
      <c r="I49" s="16" t="n">
        <f aca="false">IF(ISNUMBER($C$3),MIN(MAX(0,ROUND($C$3,0)),$AI49),$AI49)</f>
        <v>0</v>
      </c>
      <c r="J49" s="18" t="n">
        <f aca="false">$H49+$I49</f>
        <v>30</v>
      </c>
      <c r="K49" s="15" t="s">
        <v>109</v>
      </c>
      <c r="L49" s="19" t="n">
        <f aca="false" t="array" ref="L49:L49">IF(AND(INDEX(Profils!$F$5:$F$34,$AE49)&gt;0,INDEX(Profils!$U$5:$U$34,$AE49)&lt;=$AH49),ROUND(INDEX(Profils!$F$5:$F$34,$AE49)*Paramètres!$E$22*$AG49*$AJ49,Paramètres!$F$22),0)</f>
        <v>16</v>
      </c>
      <c r="M49" s="19" t="n">
        <f aca="false" t="array" ref="M49:M49">IF(AND(INDEX(Profils!$G$5:$G$34,$AE49)&gt;0,INDEX(Profils!$V$5:$V$34,$AE49)&lt;=$AH49),ROUND(INDEX(Profils!$G$5:$G$34,$AE49)*Paramètres!$E$23*$AG49*$AJ49,Paramètres!$F$23),0)</f>
        <v>0</v>
      </c>
      <c r="N49" s="19" t="n">
        <f aca="false" t="array" ref="N49:N49">IF(AND(INDEX(Profils!$H$5:$H$34,$AE49)&gt;0,INDEX(Profils!$W$5:$W$34,$AE49)&lt;=$AH49),ROUND(INDEX(Profils!$H$5:$H$34,$AE49)*Paramètres!$E$24*$AG49*$AJ49,Paramètres!$F$24),0)</f>
        <v>0</v>
      </c>
      <c r="O49" s="19" t="n">
        <f aca="false" t="array" ref="O49:O49">IF(AND(INDEX(Profils!$I$5:$I$34,$AE49)&gt;0,INDEX(Profils!$X$5:$X$34,$AE49)&lt;=$AH49),ROUND(INDEX(Profils!$I$5:$I$34,$AE49)*Paramètres!$E$25*$AG49*$AJ49,Paramètres!$F$25),0)</f>
        <v>0</v>
      </c>
      <c r="P49" s="19" t="n">
        <f aca="false" t="array" ref="P49:P49">IF(AND(INDEX(Profils!$J$5:$J$34,$AE49)&gt;0,INDEX(Profils!$Y$5:$Y$34,$AE49)&lt;=$AH49),ROUND(INDEX(Profils!$J$5:$J$34,$AE49)*Paramètres!$E$26*$AG49*$AJ49,Paramètres!$F$26),0)</f>
        <v>0</v>
      </c>
      <c r="Q49" s="19" t="n">
        <f aca="false" t="array" ref="Q49:Q49">IF(AND(INDEX(Profils!$K$5:$K$34,$AE49)&gt;0,INDEX(Profils!$Z$5:$Z$34,$AE49)&lt;=$AH49),ROUND(INDEX(Profils!$K$5:$K$34,$AE49)*Paramètres!$E$27*$AG49*$AJ49,Paramètres!$F$27),0)</f>
        <v>0</v>
      </c>
      <c r="R49" s="20" t="n">
        <f aca="false" t="array" ref="R49:R49">IF(AND(INDEX(Profils!$L$5:$L$34,$AE49)&gt;0,INDEX(Profils!$AA$5:$AA$34,$AE49)&lt;=$AH49),ROUND(INDEX(Profils!$L$5:$L$34,$AE49)*Paramètres!$E$28*$AG49*$AJ49,Paramètres!$F$28),0)</f>
        <v>0</v>
      </c>
      <c r="S49" s="20" t="n">
        <f aca="false" t="array" ref="S49:S49">IF(AND(INDEX(Profils!$M$5:$M$34,$AE49)&gt;0,INDEX(Profils!$AB$5:$AB$34,$AE49)&lt;=$AH49),ROUND(INDEX(Profils!$M$5:$M$34,$AE49)*Paramètres!$E$29*$AG49*$AJ49,Paramètres!$F$29),0)</f>
        <v>0</v>
      </c>
      <c r="T49" s="20" t="n">
        <f aca="false" t="array" ref="T49:T49">IF(AND(INDEX(Profils!$N$5:$N$34,$AE49)&gt;0,INDEX(Profils!$AC$5:$AC$34,$AE49)&lt;=$AH49),ROUND(INDEX(Profils!$N$5:$N$34,$AE49)*Paramètres!$E$30*$AG49*$AJ49,Paramètres!$F$30),0)</f>
        <v>0</v>
      </c>
      <c r="U49" s="19" t="n">
        <f aca="false" t="array" ref="U49:U49">IF(AND(INDEX(Profils!$O$5:$O$34,$AE49)&gt;0,INDEX(Profils!$AD$5:$AD$34,$AE49)&lt;=$AH49),ROUND(INDEX(Profils!$O$5:$O$34,$AE49)*Paramètres!$E$31*$AG49*$AJ49,Paramètres!$F$31),0)</f>
        <v>12</v>
      </c>
      <c r="V49" s="20" t="n">
        <f aca="false" t="array" ref="V49:V49">IF(AND(INDEX(Profils!$P$5:$P$34,$AE49)&gt;0,INDEX(Profils!$AE$5:$AE$34,$AE49)&lt;=$AH49),ROUND(INDEX(Profils!$P$5:$P$34,$AE49)*Paramètres!$E$32*$AG49*$AJ49,Paramètres!$F$32),0)</f>
        <v>0</v>
      </c>
      <c r="W49" s="20" t="n">
        <f aca="false" t="array" ref="W49:W49">IF(AND(INDEX(Profils!$Q$5:$Q$34,$AE49)&gt;0,INDEX(Profils!$AF$5:$AF$34,$AE49)&lt;=$AH49),ROUND(INDEX(Profils!$Q$5:$Q$34,$AE49)*Paramètres!$E$33*$AG49*$AJ49,Paramètres!$F$33),0)</f>
        <v>0</v>
      </c>
      <c r="X49" s="20" t="n">
        <f aca="false" t="array" ref="X49:X49">IF(AND(INDEX(Profils!$R$5:$R$34,$AE49)&gt;0,INDEX(Profils!$AG$5:$AG$34,$AE49)&lt;=$AH49),ROUND(INDEX(Profils!$R$5:$R$34,$AE49)*Paramètres!$E$34*$AG49*$AJ49,Paramètres!$F$34),0)</f>
        <v>0</v>
      </c>
      <c r="Y49" s="20" t="n">
        <f aca="false" t="array" ref="Y49:Y49">IF(AND(INDEX(Profils!$S$5:$S$34,$AE49)&gt;0,INDEX(Profils!$AH$5:$AH$34,$AE49)&lt;=$AH49),ROUND(INDEX(Profils!$S$5:$S$34,$AE49)*Paramètres!$E$35*$AG49*$AJ49,Paramètres!$F$35),0)</f>
        <v>0</v>
      </c>
      <c r="Z49" s="21" t="n">
        <f aca="false">ROUND(L49/Paramètres!$E$22+M49/Paramètres!$E$23+N49/Paramètres!$E$24+O49/Paramètres!$E$25+P49/Paramètres!$E$26+Q49/Paramètres!$E$27+R49/Paramètres!$E$28+S49/Paramètres!$E$29+T49/Paramètres!$E$30+U49/Paramètres!$E$31+V49/Paramètres!$E$32+W49/Paramètres!$E$33+X49/Paramètres!$E$34+Y49/Paramètres!$E$35,1)</f>
        <v>1.2</v>
      </c>
      <c r="AA49" s="22" t="s">
        <v>109</v>
      </c>
      <c r="AB49" s="22" t="s">
        <v>109</v>
      </c>
      <c r="AC49" s="15" t="str">
        <f aca="false">$E49</f>
        <v>acier</v>
      </c>
      <c r="AD49" s="16" t="n">
        <f aca="false" t="array" ref="AD49:AD49">IF($I49&gt;=$AI49,"Max",ROUND(Paramètres!$B$40*($I49+1)^Paramètres!$B$41*INDEX(Paramètres!$H$6:$H$12,$AF49),0))</f>
        <v>3</v>
      </c>
      <c r="AE49" s="23" t="n">
        <f aca="false">MATCH($B49&amp;"|"&amp;$C49,Profils!$A$5:$A$34,0)</f>
        <v>2</v>
      </c>
      <c r="AF49" s="23" t="n">
        <v>1</v>
      </c>
      <c r="AG49" s="24" t="n">
        <f aca="false" t="array" ref="AG49:AG49">INDEX(Paramètres!$C$6:$C$12,$AF49)</f>
        <v>1</v>
      </c>
      <c r="AH49" s="23" t="n">
        <f aca="false" t="array" ref="AH49:AH49">INDEX(Paramètres!$D$6:$D$12,$AF49)</f>
        <v>2</v>
      </c>
      <c r="AI49" s="23" t="n">
        <f aca="false" t="array" ref="AI49:AI49">INDEX(Matériaux!$C$16:$C$20,$D49)</f>
        <v>25</v>
      </c>
      <c r="AJ49" s="25" t="n">
        <f aca="false">Paramètres!$B$16+(1-Paramètres!$B$16)*(($J49-Paramètres!$B$14)/(Paramètres!$B$15-Paramètres!$B$14))^Paramètres!$B$17</f>
        <v>0.26769024555533</v>
      </c>
    </row>
    <row r="50" customFormat="false" ht="15.75" hidden="false" customHeight="true" outlineLevel="0" collapsed="false">
      <c r="A50" s="14" t="s">
        <v>158</v>
      </c>
      <c r="B50" s="15" t="s">
        <v>27</v>
      </c>
      <c r="C50" s="15" t="s">
        <v>90</v>
      </c>
      <c r="D50" s="16" t="n">
        <v>3</v>
      </c>
      <c r="E50" s="15" t="str">
        <f aca="false" t="array" ref="E50:E50">INDEX(Matériaux!$B$5:$F$12,MATCH(INDEX(Profils!$E$5:$E$34,$AE50),Matériaux!$A$5:$A$12,0),$D50)</f>
        <v>acier</v>
      </c>
      <c r="F50" s="26" t="s">
        <v>111</v>
      </c>
      <c r="G50" s="10" t="str">
        <f aca="false" t="array" ref="G50:G50">INDEX(Profils!$D$5:$D$34,$AE50)&amp;" en "&amp;$E50</f>
        <v>Plastron en acier</v>
      </c>
      <c r="H50" s="16" t="n">
        <f aca="false" t="array" ref="H50:H50">INDEX(Matériaux!$B$16:$B$20,$D50)</f>
        <v>30</v>
      </c>
      <c r="I50" s="16" t="n">
        <f aca="false">IF(ISNUMBER($C$3),MIN(MAX(0,ROUND($C$3,0)),$AI50),$AI50)</f>
        <v>0</v>
      </c>
      <c r="J50" s="18" t="n">
        <f aca="false">$H50+$I50</f>
        <v>30</v>
      </c>
      <c r="K50" s="15" t="s">
        <v>109</v>
      </c>
      <c r="L50" s="19" t="n">
        <f aca="false" t="array" ref="L50:L50">IF(AND(INDEX(Profils!$F$5:$F$34,$AE50)&gt;0,INDEX(Profils!$U$5:$U$34,$AE50)&lt;=$AH50),ROUND(INDEX(Profils!$F$5:$F$34,$AE50)*Paramètres!$E$22*$AG50*$AJ50,Paramètres!$F$22),0)</f>
        <v>19</v>
      </c>
      <c r="M50" s="19" t="n">
        <f aca="false" t="array" ref="M50:M50">IF(AND(INDEX(Profils!$G$5:$G$34,$AE50)&gt;0,INDEX(Profils!$V$5:$V$34,$AE50)&lt;=$AH50),ROUND(INDEX(Profils!$G$5:$G$34,$AE50)*Paramètres!$E$23*$AG50*$AJ50,Paramètres!$F$23),0)</f>
        <v>0</v>
      </c>
      <c r="N50" s="19" t="n">
        <f aca="false" t="array" ref="N50:N50">IF(AND(INDEX(Profils!$H$5:$H$34,$AE50)&gt;0,INDEX(Profils!$W$5:$W$34,$AE50)&lt;=$AH50),ROUND(INDEX(Profils!$H$5:$H$34,$AE50)*Paramètres!$E$24*$AG50*$AJ50,Paramètres!$F$24),0)</f>
        <v>9</v>
      </c>
      <c r="O50" s="19" t="n">
        <f aca="false" t="array" ref="O50:O50">IF(AND(INDEX(Profils!$I$5:$I$34,$AE50)&gt;0,INDEX(Profils!$X$5:$X$34,$AE50)&lt;=$AH50),ROUND(INDEX(Profils!$I$5:$I$34,$AE50)*Paramètres!$E$25*$AG50*$AJ50,Paramètres!$F$25),0)</f>
        <v>0</v>
      </c>
      <c r="P50" s="19" t="n">
        <f aca="false" t="array" ref="P50:P50">IF(AND(INDEX(Profils!$J$5:$J$34,$AE50)&gt;0,INDEX(Profils!$Y$5:$Y$34,$AE50)&lt;=$AH50),ROUND(INDEX(Profils!$J$5:$J$34,$AE50)*Paramètres!$E$26*$AG50*$AJ50,Paramètres!$F$26),0)</f>
        <v>0</v>
      </c>
      <c r="Q50" s="19" t="n">
        <f aca="false" t="array" ref="Q50:Q50">IF(AND(INDEX(Profils!$K$5:$K$34,$AE50)&gt;0,INDEX(Profils!$Z$5:$Z$34,$AE50)&lt;=$AH50),ROUND(INDEX(Profils!$K$5:$K$34,$AE50)*Paramètres!$E$27*$AG50*$AJ50,Paramètres!$F$27),0)</f>
        <v>0</v>
      </c>
      <c r="R50" s="20" t="n">
        <f aca="false" t="array" ref="R50:R50">IF(AND(INDEX(Profils!$L$5:$L$34,$AE50)&gt;0,INDEX(Profils!$AA$5:$AA$34,$AE50)&lt;=$AH50),ROUND(INDEX(Profils!$L$5:$L$34,$AE50)*Paramètres!$E$28*$AG50*$AJ50,Paramètres!$F$28),0)</f>
        <v>0</v>
      </c>
      <c r="S50" s="20" t="n">
        <f aca="false" t="array" ref="S50:S50">IF(AND(INDEX(Profils!$M$5:$M$34,$AE50)&gt;0,INDEX(Profils!$AB$5:$AB$34,$AE50)&lt;=$AH50),ROUND(INDEX(Profils!$M$5:$M$34,$AE50)*Paramètres!$E$29*$AG50*$AJ50,Paramètres!$F$29),0)</f>
        <v>0</v>
      </c>
      <c r="T50" s="20" t="n">
        <f aca="false" t="array" ref="T50:T50">IF(AND(INDEX(Profils!$N$5:$N$34,$AE50)&gt;0,INDEX(Profils!$AC$5:$AC$34,$AE50)&lt;=$AH50),ROUND(INDEX(Profils!$N$5:$N$34,$AE50)*Paramètres!$E$30*$AG50*$AJ50,Paramètres!$F$30),0)</f>
        <v>0</v>
      </c>
      <c r="U50" s="19" t="n">
        <f aca="false" t="array" ref="U50:U50">IF(AND(INDEX(Profils!$O$5:$O$34,$AE50)&gt;0,INDEX(Profils!$AD$5:$AD$34,$AE50)&lt;=$AH50),ROUND(INDEX(Profils!$O$5:$O$34,$AE50)*Paramètres!$E$31*$AG50*$AJ50,Paramètres!$F$31),0)</f>
        <v>14</v>
      </c>
      <c r="V50" s="20" t="n">
        <f aca="false" t="array" ref="V50:V50">IF(AND(INDEX(Profils!$P$5:$P$34,$AE50)&gt;0,INDEX(Profils!$AE$5:$AE$34,$AE50)&lt;=$AH50),ROUND(INDEX(Profils!$P$5:$P$34,$AE50)*Paramètres!$E$32*$AG50*$AJ50,Paramètres!$F$32),0)</f>
        <v>0</v>
      </c>
      <c r="W50" s="20" t="n">
        <f aca="false" t="array" ref="W50:W50">IF(AND(INDEX(Profils!$Q$5:$Q$34,$AE50)&gt;0,INDEX(Profils!$AF$5:$AF$34,$AE50)&lt;=$AH50),ROUND(INDEX(Profils!$Q$5:$Q$34,$AE50)*Paramètres!$E$33*$AG50*$AJ50,Paramètres!$F$33),0)</f>
        <v>0</v>
      </c>
      <c r="X50" s="20" t="n">
        <f aca="false" t="array" ref="X50:X50">IF(AND(INDEX(Profils!$R$5:$R$34,$AE50)&gt;0,INDEX(Profils!$AG$5:$AG$34,$AE50)&lt;=$AH50),ROUND(INDEX(Profils!$R$5:$R$34,$AE50)*Paramètres!$E$34*$AG50*$AJ50,Paramètres!$F$34),0)</f>
        <v>0</v>
      </c>
      <c r="Y50" s="20" t="n">
        <f aca="false" t="array" ref="Y50:Y50">IF(AND(INDEX(Profils!$S$5:$S$34,$AE50)&gt;0,INDEX(Profils!$AH$5:$AH$34,$AE50)&lt;=$AH50),ROUND(INDEX(Profils!$S$5:$S$34,$AE50)*Paramètres!$E$35*$AG50*$AJ50,Paramètres!$F$35),0)</f>
        <v>0</v>
      </c>
      <c r="Z50" s="21" t="n">
        <f aca="false">ROUND(L50/Paramètres!$E$22+M50/Paramètres!$E$23+N50/Paramètres!$E$24+O50/Paramètres!$E$25+P50/Paramètres!$E$26+Q50/Paramètres!$E$27+R50/Paramètres!$E$28+S50/Paramètres!$E$29+T50/Paramètres!$E$30+U50/Paramètres!$E$31+V50/Paramètres!$E$32+W50/Paramètres!$E$33+X50/Paramètres!$E$34+Y50/Paramètres!$E$35,1)</f>
        <v>2.1</v>
      </c>
      <c r="AA50" s="22" t="s">
        <v>109</v>
      </c>
      <c r="AB50" s="22" t="s">
        <v>109</v>
      </c>
      <c r="AC50" s="15" t="str">
        <f aca="false">$E50</f>
        <v>acier</v>
      </c>
      <c r="AD50" s="16" t="n">
        <f aca="false" t="array" ref="AD50:AD50">IF($I50&gt;=$AI50,"Max",ROUND(Paramètres!$B$40*($I50+1)^Paramètres!$B$41*INDEX(Paramètres!$H$6:$H$12,$AF50),0))</f>
        <v>4</v>
      </c>
      <c r="AE50" s="23" t="n">
        <f aca="false">MATCH($B50&amp;"|"&amp;$C50,Profils!$A$5:$A$34,0)</f>
        <v>2</v>
      </c>
      <c r="AF50" s="23" t="n">
        <v>2</v>
      </c>
      <c r="AG50" s="24" t="n">
        <f aca="false" t="array" ref="AG50:AG50">INDEX(Paramètres!$C$6:$C$12,$AF50)</f>
        <v>1.2</v>
      </c>
      <c r="AH50" s="23" t="n">
        <f aca="false" t="array" ref="AH50:AH50">INDEX(Paramètres!$D$6:$D$12,$AF50)</f>
        <v>3</v>
      </c>
      <c r="AI50" s="23" t="n">
        <f aca="false" t="array" ref="AI50:AI50">INDEX(Matériaux!$C$16:$C$20,$D50)</f>
        <v>25</v>
      </c>
      <c r="AJ50" s="25" t="n">
        <f aca="false">Paramètres!$B$16+(1-Paramètres!$B$16)*(($J50-Paramètres!$B$14)/(Paramètres!$B$15-Paramètres!$B$14))^Paramètres!$B$17</f>
        <v>0.26769024555533</v>
      </c>
    </row>
    <row r="51" customFormat="false" ht="15.75" hidden="false" customHeight="true" outlineLevel="0" collapsed="false">
      <c r="A51" s="14" t="s">
        <v>159</v>
      </c>
      <c r="B51" s="15" t="s">
        <v>27</v>
      </c>
      <c r="C51" s="15" t="s">
        <v>90</v>
      </c>
      <c r="D51" s="16" t="n">
        <v>3</v>
      </c>
      <c r="E51" s="15" t="str">
        <f aca="false" t="array" ref="E51:E51">INDEX(Matériaux!$B$5:$F$12,MATCH(INDEX(Profils!$E$5:$E$34,$AE51),Matériaux!$A$5:$A$12,0),$D51)</f>
        <v>acier</v>
      </c>
      <c r="F51" s="27" t="s">
        <v>113</v>
      </c>
      <c r="G51" s="10" t="str">
        <f aca="false" t="array" ref="G51:G51">INDEX(Profils!$D$5:$D$34,$AE51)&amp;" en "&amp;$E51</f>
        <v>Plastron en acier</v>
      </c>
      <c r="H51" s="16" t="n">
        <f aca="false" t="array" ref="H51:H51">INDEX(Matériaux!$B$16:$B$20,$D51)</f>
        <v>30</v>
      </c>
      <c r="I51" s="16" t="n">
        <f aca="false">IF(ISNUMBER($C$3),MIN(MAX(0,ROUND($C$3,0)),$AI51),$AI51)</f>
        <v>0</v>
      </c>
      <c r="J51" s="18" t="n">
        <f aca="false">$H51+$I51</f>
        <v>30</v>
      </c>
      <c r="K51" s="15" t="s">
        <v>109</v>
      </c>
      <c r="L51" s="19" t="n">
        <f aca="false" t="array" ref="L51:L51">IF(AND(INDEX(Profils!$F$5:$F$34,$AE51)&gt;0,INDEX(Profils!$U$5:$U$34,$AE51)&lt;=$AH51),ROUND(INDEX(Profils!$F$5:$F$34,$AE51)*Paramètres!$E$22*$AG51*$AJ51,Paramètres!$F$22),0)</f>
        <v>23</v>
      </c>
      <c r="M51" s="19" t="n">
        <f aca="false" t="array" ref="M51:M51">IF(AND(INDEX(Profils!$G$5:$G$34,$AE51)&gt;0,INDEX(Profils!$V$5:$V$34,$AE51)&lt;=$AH51),ROUND(INDEX(Profils!$G$5:$G$34,$AE51)*Paramètres!$E$23*$AG51*$AJ51,Paramètres!$F$23),0)</f>
        <v>5</v>
      </c>
      <c r="N51" s="19" t="n">
        <f aca="false" t="array" ref="N51:N51">IF(AND(INDEX(Profils!$H$5:$H$34,$AE51)&gt;0,INDEX(Profils!$W$5:$W$34,$AE51)&lt;=$AH51),ROUND(INDEX(Profils!$H$5:$H$34,$AE51)*Paramètres!$E$24*$AG51*$AJ51,Paramètres!$F$24),0)</f>
        <v>10</v>
      </c>
      <c r="O51" s="19" t="n">
        <f aca="false" t="array" ref="O51:O51">IF(AND(INDEX(Profils!$I$5:$I$34,$AE51)&gt;0,INDEX(Profils!$X$5:$X$34,$AE51)&lt;=$AH51),ROUND(INDEX(Profils!$I$5:$I$34,$AE51)*Paramètres!$E$25*$AG51*$AJ51,Paramètres!$F$25),0)</f>
        <v>0</v>
      </c>
      <c r="P51" s="19" t="n">
        <f aca="false" t="array" ref="P51:P51">IF(AND(INDEX(Profils!$J$5:$J$34,$AE51)&gt;0,INDEX(Profils!$Y$5:$Y$34,$AE51)&lt;=$AH51),ROUND(INDEX(Profils!$J$5:$J$34,$AE51)*Paramètres!$E$26*$AG51*$AJ51,Paramètres!$F$26),0)</f>
        <v>0</v>
      </c>
      <c r="Q51" s="19" t="n">
        <f aca="false" t="array" ref="Q51:Q51">IF(AND(INDEX(Profils!$K$5:$K$34,$AE51)&gt;0,INDEX(Profils!$Z$5:$Z$34,$AE51)&lt;=$AH51),ROUND(INDEX(Profils!$K$5:$K$34,$AE51)*Paramètres!$E$27*$AG51*$AJ51,Paramètres!$F$27),0)</f>
        <v>0</v>
      </c>
      <c r="R51" s="20" t="n">
        <f aca="false" t="array" ref="R51:R51">IF(AND(INDEX(Profils!$L$5:$L$34,$AE51)&gt;0,INDEX(Profils!$AA$5:$AA$34,$AE51)&lt;=$AH51),ROUND(INDEX(Profils!$L$5:$L$34,$AE51)*Paramètres!$E$28*$AG51*$AJ51,Paramètres!$F$28),0)</f>
        <v>0</v>
      </c>
      <c r="S51" s="20" t="n">
        <f aca="false" t="array" ref="S51:S51">IF(AND(INDEX(Profils!$M$5:$M$34,$AE51)&gt;0,INDEX(Profils!$AB$5:$AB$34,$AE51)&lt;=$AH51),ROUND(INDEX(Profils!$M$5:$M$34,$AE51)*Paramètres!$E$29*$AG51*$AJ51,Paramètres!$F$29),0)</f>
        <v>0</v>
      </c>
      <c r="T51" s="20" t="n">
        <f aca="false" t="array" ref="T51:T51">IF(AND(INDEX(Profils!$N$5:$N$34,$AE51)&gt;0,INDEX(Profils!$AC$5:$AC$34,$AE51)&lt;=$AH51),ROUND(INDEX(Profils!$N$5:$N$34,$AE51)*Paramètres!$E$30*$AG51*$AJ51,Paramètres!$F$30),0)</f>
        <v>0</v>
      </c>
      <c r="U51" s="19" t="n">
        <f aca="false" t="array" ref="U51:U51">IF(AND(INDEX(Profils!$O$5:$O$34,$AE51)&gt;0,INDEX(Profils!$AD$5:$AD$34,$AE51)&lt;=$AH51),ROUND(INDEX(Profils!$O$5:$O$34,$AE51)*Paramètres!$E$31*$AG51*$AJ51,Paramètres!$F$31),0)</f>
        <v>17</v>
      </c>
      <c r="V51" s="20" t="n">
        <f aca="false" t="array" ref="V51:V51">IF(AND(INDEX(Profils!$P$5:$P$34,$AE51)&gt;0,INDEX(Profils!$AE$5:$AE$34,$AE51)&lt;=$AH51),ROUND(INDEX(Profils!$P$5:$P$34,$AE51)*Paramètres!$E$32*$AG51*$AJ51,Paramètres!$F$32),0)</f>
        <v>0</v>
      </c>
      <c r="W51" s="20" t="n">
        <f aca="false" t="array" ref="W51:W51">IF(AND(INDEX(Profils!$Q$5:$Q$34,$AE51)&gt;0,INDEX(Profils!$AF$5:$AF$34,$AE51)&lt;=$AH51),ROUND(INDEX(Profils!$Q$5:$Q$34,$AE51)*Paramètres!$E$33*$AG51*$AJ51,Paramètres!$F$33),0)</f>
        <v>0</v>
      </c>
      <c r="X51" s="20" t="n">
        <f aca="false" t="array" ref="X51:X51">IF(AND(INDEX(Profils!$R$5:$R$34,$AE51)&gt;0,INDEX(Profils!$AG$5:$AG$34,$AE51)&lt;=$AH51),ROUND(INDEX(Profils!$R$5:$R$34,$AE51)*Paramètres!$E$34*$AG51*$AJ51,Paramètres!$F$34),0)</f>
        <v>0</v>
      </c>
      <c r="Y51" s="20" t="n">
        <f aca="false" t="array" ref="Y51:Y51">IF(AND(INDEX(Profils!$S$5:$S$34,$AE51)&gt;0,INDEX(Profils!$AH$5:$AH$34,$AE51)&lt;=$AH51),ROUND(INDEX(Profils!$S$5:$S$34,$AE51)*Paramètres!$E$35*$AG51*$AJ51,Paramètres!$F$35),0)</f>
        <v>0</v>
      </c>
      <c r="Z51" s="21" t="n">
        <f aca="false">ROUND(L51/Paramètres!$E$22+M51/Paramètres!$E$23+N51/Paramètres!$E$24+O51/Paramètres!$E$25+P51/Paramètres!$E$26+Q51/Paramètres!$E$27+R51/Paramètres!$E$28+S51/Paramètres!$E$29+T51/Paramètres!$E$30+U51/Paramètres!$E$31+V51/Paramètres!$E$32+W51/Paramètres!$E$33+X51/Paramètres!$E$34+Y51/Paramètres!$E$35,1)</f>
        <v>2.8</v>
      </c>
      <c r="AA51" s="22" t="s">
        <v>109</v>
      </c>
      <c r="AB51" s="22" t="s">
        <v>109</v>
      </c>
      <c r="AC51" s="15" t="str">
        <f aca="false">$E51</f>
        <v>acier</v>
      </c>
      <c r="AD51" s="16" t="n">
        <f aca="false" t="array" ref="AD51:AD51">IF($I51&gt;=$AI51,"Max",ROUND(Paramètres!$B$40*($I51+1)^Paramètres!$B$41*INDEX(Paramètres!$H$6:$H$12,$AF51),0))</f>
        <v>4</v>
      </c>
      <c r="AE51" s="23" t="n">
        <f aca="false">MATCH($B51&amp;"|"&amp;$C51,Profils!$A$5:$A$34,0)</f>
        <v>2</v>
      </c>
      <c r="AF51" s="23" t="n">
        <v>3</v>
      </c>
      <c r="AG51" s="24" t="n">
        <f aca="false" t="array" ref="AG51:AG51">INDEX(Paramètres!$C$6:$C$12,$AF51)</f>
        <v>1.45</v>
      </c>
      <c r="AH51" s="23" t="n">
        <f aca="false" t="array" ref="AH51:AH51">INDEX(Paramètres!$D$6:$D$12,$AF51)</f>
        <v>4</v>
      </c>
      <c r="AI51" s="23" t="n">
        <f aca="false" t="array" ref="AI51:AI51">INDEX(Matériaux!$C$16:$C$20,$D51)</f>
        <v>25</v>
      </c>
      <c r="AJ51" s="25" t="n">
        <f aca="false">Paramètres!$B$16+(1-Paramètres!$B$16)*(($J51-Paramètres!$B$14)/(Paramètres!$B$15-Paramètres!$B$14))^Paramètres!$B$17</f>
        <v>0.26769024555533</v>
      </c>
    </row>
    <row r="52" customFormat="false" ht="15.75" hidden="false" customHeight="true" outlineLevel="0" collapsed="false">
      <c r="A52" s="14" t="s">
        <v>160</v>
      </c>
      <c r="B52" s="15" t="s">
        <v>27</v>
      </c>
      <c r="C52" s="15" t="s">
        <v>90</v>
      </c>
      <c r="D52" s="16" t="n">
        <v>3</v>
      </c>
      <c r="E52" s="15" t="str">
        <f aca="false" t="array" ref="E52:E52">INDEX(Matériaux!$B$5:$F$12,MATCH(INDEX(Profils!$E$5:$E$34,$AE52),Matériaux!$A$5:$A$12,0),$D52)</f>
        <v>acier</v>
      </c>
      <c r="F52" s="28" t="s">
        <v>115</v>
      </c>
      <c r="G52" s="10" t="str">
        <f aca="false" t="array" ref="G52:G52">INDEX(Profils!$D$5:$D$34,$AE52)&amp;" en "&amp;$E52</f>
        <v>Plastron en acier</v>
      </c>
      <c r="H52" s="16" t="n">
        <f aca="false" t="array" ref="H52:H52">INDEX(Matériaux!$B$16:$B$20,$D52)</f>
        <v>30</v>
      </c>
      <c r="I52" s="16" t="n">
        <f aca="false">IF(ISNUMBER($C$3),MIN(MAX(0,ROUND($C$3,0)),$AI52),$AI52)</f>
        <v>0</v>
      </c>
      <c r="J52" s="18" t="n">
        <f aca="false">$H52+$I52</f>
        <v>30</v>
      </c>
      <c r="K52" s="15" t="s">
        <v>109</v>
      </c>
      <c r="L52" s="19" t="n">
        <f aca="false" t="array" ref="L52:L52">IF(AND(INDEX(Profils!$F$5:$F$34,$AE52)&gt;0,INDEX(Profils!$U$5:$U$34,$AE52)&lt;=$AH52),ROUND(INDEX(Profils!$F$5:$F$34,$AE52)*Paramètres!$E$22*$AG52*$AJ52,Paramètres!$F$22),0)</f>
        <v>28</v>
      </c>
      <c r="M52" s="19" t="n">
        <f aca="false" t="array" ref="M52:M52">IF(AND(INDEX(Profils!$G$5:$G$34,$AE52)&gt;0,INDEX(Profils!$V$5:$V$34,$AE52)&lt;=$AH52),ROUND(INDEX(Profils!$G$5:$G$34,$AE52)*Paramètres!$E$23*$AG52*$AJ52,Paramètres!$F$23),0)</f>
        <v>6</v>
      </c>
      <c r="N52" s="19" t="n">
        <f aca="false" t="array" ref="N52:N52">IF(AND(INDEX(Profils!$H$5:$H$34,$AE52)&gt;0,INDEX(Profils!$W$5:$W$34,$AE52)&lt;=$AH52),ROUND(INDEX(Profils!$H$5:$H$34,$AE52)*Paramètres!$E$24*$AG52*$AJ52,Paramètres!$F$24),0)</f>
        <v>13</v>
      </c>
      <c r="O52" s="19" t="n">
        <f aca="false" t="array" ref="O52:O52">IF(AND(INDEX(Profils!$I$5:$I$34,$AE52)&gt;0,INDEX(Profils!$X$5:$X$34,$AE52)&lt;=$AH52),ROUND(INDEX(Profils!$I$5:$I$34,$AE52)*Paramètres!$E$25*$AG52*$AJ52,Paramètres!$F$25),0)</f>
        <v>0</v>
      </c>
      <c r="P52" s="19" t="n">
        <f aca="false" t="array" ref="P52:P52">IF(AND(INDEX(Profils!$J$5:$J$34,$AE52)&gt;0,INDEX(Profils!$Y$5:$Y$34,$AE52)&lt;=$AH52),ROUND(INDEX(Profils!$J$5:$J$34,$AE52)*Paramètres!$E$26*$AG52*$AJ52,Paramètres!$F$26),0)</f>
        <v>0</v>
      </c>
      <c r="Q52" s="19" t="n">
        <f aca="false" t="array" ref="Q52:Q52">IF(AND(INDEX(Profils!$K$5:$K$34,$AE52)&gt;0,INDEX(Profils!$Z$5:$Z$34,$AE52)&lt;=$AH52),ROUND(INDEX(Profils!$K$5:$K$34,$AE52)*Paramètres!$E$27*$AG52*$AJ52,Paramètres!$F$27),0)</f>
        <v>0</v>
      </c>
      <c r="R52" s="20" t="n">
        <f aca="false" t="array" ref="R52:R52">IF(AND(INDEX(Profils!$L$5:$L$34,$AE52)&gt;0,INDEX(Profils!$AA$5:$AA$34,$AE52)&lt;=$AH52),ROUND(INDEX(Profils!$L$5:$L$34,$AE52)*Paramètres!$E$28*$AG52*$AJ52,Paramètres!$F$28),0)</f>
        <v>0</v>
      </c>
      <c r="S52" s="20" t="n">
        <f aca="false" t="array" ref="S52:S52">IF(AND(INDEX(Profils!$M$5:$M$34,$AE52)&gt;0,INDEX(Profils!$AB$5:$AB$34,$AE52)&lt;=$AH52),ROUND(INDEX(Profils!$M$5:$M$34,$AE52)*Paramètres!$E$29*$AG52*$AJ52,Paramètres!$F$29),0)</f>
        <v>0</v>
      </c>
      <c r="T52" s="20" t="n">
        <f aca="false" t="array" ref="T52:T52">IF(AND(INDEX(Profils!$N$5:$N$34,$AE52)&gt;0,INDEX(Profils!$AC$5:$AC$34,$AE52)&lt;=$AH52),ROUND(INDEX(Profils!$N$5:$N$34,$AE52)*Paramètres!$E$30*$AG52*$AJ52,Paramètres!$F$30),0)</f>
        <v>0</v>
      </c>
      <c r="U52" s="19" t="n">
        <f aca="false" t="array" ref="U52:U52">IF(AND(INDEX(Profils!$O$5:$O$34,$AE52)&gt;0,INDEX(Profils!$AD$5:$AD$34,$AE52)&lt;=$AH52),ROUND(INDEX(Profils!$O$5:$O$34,$AE52)*Paramètres!$E$31*$AG52*$AJ52,Paramètres!$F$31),0)</f>
        <v>21</v>
      </c>
      <c r="V52" s="20" t="n">
        <f aca="false" t="array" ref="V52:V52">IF(AND(INDEX(Profils!$P$5:$P$34,$AE52)&gt;0,INDEX(Profils!$AE$5:$AE$34,$AE52)&lt;=$AH52),ROUND(INDEX(Profils!$P$5:$P$34,$AE52)*Paramètres!$E$32*$AG52*$AJ52,Paramètres!$F$32),0)</f>
        <v>0</v>
      </c>
      <c r="W52" s="20" t="n">
        <f aca="false" t="array" ref="W52:W52">IF(AND(INDEX(Profils!$Q$5:$Q$34,$AE52)&gt;0,INDEX(Profils!$AF$5:$AF$34,$AE52)&lt;=$AH52),ROUND(INDEX(Profils!$Q$5:$Q$34,$AE52)*Paramètres!$E$33*$AG52*$AJ52,Paramètres!$F$33),0)</f>
        <v>0.006</v>
      </c>
      <c r="X52" s="20" t="n">
        <f aca="false" t="array" ref="X52:X52">IF(AND(INDEX(Profils!$R$5:$R$34,$AE52)&gt;0,INDEX(Profils!$AG$5:$AG$34,$AE52)&lt;=$AH52),ROUND(INDEX(Profils!$R$5:$R$34,$AE52)*Paramètres!$E$34*$AG52*$AJ52,Paramètres!$F$34),0)</f>
        <v>0</v>
      </c>
      <c r="Y52" s="20" t="n">
        <f aca="false" t="array" ref="Y52:Y52">IF(AND(INDEX(Profils!$S$5:$S$34,$AE52)&gt;0,INDEX(Profils!$AH$5:$AH$34,$AE52)&lt;=$AH52),ROUND(INDEX(Profils!$S$5:$S$34,$AE52)*Paramètres!$E$35*$AG52*$AJ52,Paramètres!$F$35),0)</f>
        <v>0</v>
      </c>
      <c r="Z52" s="21" t="n">
        <f aca="false">ROUND(L52/Paramètres!$E$22+M52/Paramètres!$E$23+N52/Paramètres!$E$24+O52/Paramètres!$E$25+P52/Paramètres!$E$26+Q52/Paramètres!$E$27+R52/Paramètres!$E$28+S52/Paramètres!$E$29+T52/Paramètres!$E$30+U52/Paramètres!$E$31+V52/Paramètres!$E$32+W52/Paramètres!$E$33+X52/Paramètres!$E$34+Y52/Paramètres!$E$35,1)</f>
        <v>3.8</v>
      </c>
      <c r="AA52" s="22" t="s">
        <v>109</v>
      </c>
      <c r="AB52" s="22" t="s">
        <v>109</v>
      </c>
      <c r="AC52" s="15" t="str">
        <f aca="false">$E52</f>
        <v>acier</v>
      </c>
      <c r="AD52" s="16" t="n">
        <f aca="false" t="array" ref="AD52:AD52">IF($I52&gt;=$AI52,"Max",ROUND(Paramètres!$B$40*($I52+1)^Paramètres!$B$41*INDEX(Paramètres!$H$6:$H$12,$AF52),0))</f>
        <v>5</v>
      </c>
      <c r="AE52" s="23" t="n">
        <f aca="false">MATCH($B52&amp;"|"&amp;$C52,Profils!$A$5:$A$34,0)</f>
        <v>2</v>
      </c>
      <c r="AF52" s="23" t="n">
        <v>4</v>
      </c>
      <c r="AG52" s="24" t="n">
        <f aca="false" t="array" ref="AG52:AG52">INDEX(Paramètres!$C$6:$C$12,$AF52)</f>
        <v>1.75</v>
      </c>
      <c r="AH52" s="23" t="n">
        <f aca="false" t="array" ref="AH52:AH52">INDEX(Paramètres!$D$6:$D$12,$AF52)</f>
        <v>5</v>
      </c>
      <c r="AI52" s="23" t="n">
        <f aca="false" t="array" ref="AI52:AI52">INDEX(Matériaux!$C$16:$C$20,$D52)</f>
        <v>25</v>
      </c>
      <c r="AJ52" s="25" t="n">
        <f aca="false">Paramètres!$B$16+(1-Paramètres!$B$16)*(($J52-Paramètres!$B$14)/(Paramètres!$B$15-Paramètres!$B$14))^Paramètres!$B$17</f>
        <v>0.26769024555533</v>
      </c>
    </row>
    <row r="53" customFormat="false" ht="15.75" hidden="false" customHeight="true" outlineLevel="0" collapsed="false">
      <c r="A53" s="14" t="s">
        <v>161</v>
      </c>
      <c r="B53" s="15" t="s">
        <v>27</v>
      </c>
      <c r="C53" s="15" t="s">
        <v>90</v>
      </c>
      <c r="D53" s="16" t="n">
        <v>3</v>
      </c>
      <c r="E53" s="15" t="str">
        <f aca="false" t="array" ref="E53:E53">INDEX(Matériaux!$B$5:$F$12,MATCH(INDEX(Profils!$E$5:$E$34,$AE53),Matériaux!$A$5:$A$12,0),$D53)</f>
        <v>acier</v>
      </c>
      <c r="F53" s="29" t="s">
        <v>117</v>
      </c>
      <c r="G53" s="10" t="str">
        <f aca="false" t="array" ref="G53:G53">INDEX(Profils!$D$5:$D$34,$AE53)&amp;" en "&amp;$E53</f>
        <v>Plastron en acier</v>
      </c>
      <c r="H53" s="16" t="n">
        <f aca="false" t="array" ref="H53:H53">INDEX(Matériaux!$B$16:$B$20,$D53)</f>
        <v>30</v>
      </c>
      <c r="I53" s="16" t="n">
        <f aca="false">IF(ISNUMBER($C$3),MIN(MAX(0,ROUND($C$3,0)),$AI53),$AI53)</f>
        <v>0</v>
      </c>
      <c r="J53" s="18" t="n">
        <f aca="false">$H53+$I53</f>
        <v>30</v>
      </c>
      <c r="K53" s="15" t="s">
        <v>109</v>
      </c>
      <c r="L53" s="19" t="n">
        <f aca="false" t="array" ref="L53:L53">IF(AND(INDEX(Profils!$F$5:$F$34,$AE53)&gt;0,INDEX(Profils!$U$5:$U$34,$AE53)&lt;=$AH53),ROUND(INDEX(Profils!$F$5:$F$34,$AE53)*Paramètres!$E$22*$AG53*$AJ53,Paramètres!$F$22),0)</f>
        <v>34</v>
      </c>
      <c r="M53" s="19" t="n">
        <f aca="false" t="array" ref="M53:M53">IF(AND(INDEX(Profils!$G$5:$G$34,$AE53)&gt;0,INDEX(Profils!$V$5:$V$34,$AE53)&lt;=$AH53),ROUND(INDEX(Profils!$G$5:$G$34,$AE53)*Paramètres!$E$23*$AG53*$AJ53,Paramètres!$F$23),0)</f>
        <v>7</v>
      </c>
      <c r="N53" s="19" t="n">
        <f aca="false" t="array" ref="N53:N53">IF(AND(INDEX(Profils!$H$5:$H$34,$AE53)&gt;0,INDEX(Profils!$W$5:$W$34,$AE53)&lt;=$AH53),ROUND(INDEX(Profils!$H$5:$H$34,$AE53)*Paramètres!$E$24*$AG53*$AJ53,Paramètres!$F$24),0)</f>
        <v>15</v>
      </c>
      <c r="O53" s="19" t="n">
        <f aca="false" t="array" ref="O53:O53">IF(AND(INDEX(Profils!$I$5:$I$34,$AE53)&gt;0,INDEX(Profils!$X$5:$X$34,$AE53)&lt;=$AH53),ROUND(INDEX(Profils!$I$5:$I$34,$AE53)*Paramètres!$E$25*$AG53*$AJ53,Paramètres!$F$25),0)</f>
        <v>0</v>
      </c>
      <c r="P53" s="19" t="n">
        <f aca="false" t="array" ref="P53:P53">IF(AND(INDEX(Profils!$J$5:$J$34,$AE53)&gt;0,INDEX(Profils!$Y$5:$Y$34,$AE53)&lt;=$AH53),ROUND(INDEX(Profils!$J$5:$J$34,$AE53)*Paramètres!$E$26*$AG53*$AJ53,Paramètres!$F$26),0)</f>
        <v>0</v>
      </c>
      <c r="Q53" s="19" t="n">
        <f aca="false" t="array" ref="Q53:Q53">IF(AND(INDEX(Profils!$K$5:$K$34,$AE53)&gt;0,INDEX(Profils!$Z$5:$Z$34,$AE53)&lt;=$AH53),ROUND(INDEX(Profils!$K$5:$K$34,$AE53)*Paramètres!$E$27*$AG53*$AJ53,Paramètres!$F$27),0)</f>
        <v>0</v>
      </c>
      <c r="R53" s="20" t="n">
        <f aca="false" t="array" ref="R53:R53">IF(AND(INDEX(Profils!$L$5:$L$34,$AE53)&gt;0,INDEX(Profils!$AA$5:$AA$34,$AE53)&lt;=$AH53),ROUND(INDEX(Profils!$L$5:$L$34,$AE53)*Paramètres!$E$28*$AG53*$AJ53,Paramètres!$F$28),0)</f>
        <v>0</v>
      </c>
      <c r="S53" s="20" t="n">
        <f aca="false" t="array" ref="S53:S53">IF(AND(INDEX(Profils!$M$5:$M$34,$AE53)&gt;0,INDEX(Profils!$AB$5:$AB$34,$AE53)&lt;=$AH53),ROUND(INDEX(Profils!$M$5:$M$34,$AE53)*Paramètres!$E$29*$AG53*$AJ53,Paramètres!$F$29),0)</f>
        <v>0</v>
      </c>
      <c r="T53" s="20" t="n">
        <f aca="false" t="array" ref="T53:T53">IF(AND(INDEX(Profils!$N$5:$N$34,$AE53)&gt;0,INDEX(Profils!$AC$5:$AC$34,$AE53)&lt;=$AH53),ROUND(INDEX(Profils!$N$5:$N$34,$AE53)*Paramètres!$E$30*$AG53*$AJ53,Paramètres!$F$30),0)</f>
        <v>0</v>
      </c>
      <c r="U53" s="19" t="n">
        <f aca="false" t="array" ref="U53:U53">IF(AND(INDEX(Profils!$O$5:$O$34,$AE53)&gt;0,INDEX(Profils!$AD$5:$AD$34,$AE53)&lt;=$AH53),ROUND(INDEX(Profils!$O$5:$O$34,$AE53)*Paramètres!$E$31*$AG53*$AJ53,Paramètres!$F$31),0)</f>
        <v>25</v>
      </c>
      <c r="V53" s="20" t="n">
        <f aca="false" t="array" ref="V53:V53">IF(AND(INDEX(Profils!$P$5:$P$34,$AE53)&gt;0,INDEX(Profils!$AE$5:$AE$34,$AE53)&lt;=$AH53),ROUND(INDEX(Profils!$P$5:$P$34,$AE53)*Paramètres!$E$32*$AG53*$AJ53,Paramètres!$F$32),0)</f>
        <v>0</v>
      </c>
      <c r="W53" s="20" t="n">
        <f aca="false" t="array" ref="W53:W53">IF(AND(INDEX(Profils!$Q$5:$Q$34,$AE53)&gt;0,INDEX(Profils!$AF$5:$AF$34,$AE53)&lt;=$AH53),ROUND(INDEX(Profils!$Q$5:$Q$34,$AE53)*Paramètres!$E$33*$AG53*$AJ53,Paramètres!$F$33),0)</f>
        <v>0.007</v>
      </c>
      <c r="X53" s="20" t="n">
        <f aca="false" t="array" ref="X53:X53">IF(AND(INDEX(Profils!$R$5:$R$34,$AE53)&gt;0,INDEX(Profils!$AG$5:$AG$34,$AE53)&lt;=$AH53),ROUND(INDEX(Profils!$R$5:$R$34,$AE53)*Paramètres!$E$34*$AG53*$AJ53,Paramètres!$F$34),0)</f>
        <v>0</v>
      </c>
      <c r="Y53" s="20" t="n">
        <f aca="false" t="array" ref="Y53:Y53">IF(AND(INDEX(Profils!$S$5:$S$34,$AE53)&gt;0,INDEX(Profils!$AH$5:$AH$34,$AE53)&lt;=$AH53),ROUND(INDEX(Profils!$S$5:$S$34,$AE53)*Paramètres!$E$35*$AG53*$AJ53,Paramètres!$F$35),0)</f>
        <v>0.005</v>
      </c>
      <c r="Z53" s="21" t="n">
        <f aca="false">ROUND(L53/Paramètres!$E$22+M53/Paramètres!$E$23+N53/Paramètres!$E$24+O53/Paramètres!$E$25+P53/Paramètres!$E$26+Q53/Paramètres!$E$27+R53/Paramètres!$E$28+S53/Paramètres!$E$29+T53/Paramètres!$E$30+U53/Paramètres!$E$31+V53/Paramètres!$E$32+W53/Paramètres!$E$33+X53/Paramètres!$E$34+Y53/Paramètres!$E$35,1)</f>
        <v>4.9</v>
      </c>
      <c r="AA53" s="22" t="s">
        <v>109</v>
      </c>
      <c r="AB53" s="22" t="s">
        <v>109</v>
      </c>
      <c r="AC53" s="15" t="str">
        <f aca="false">$E53</f>
        <v>acier</v>
      </c>
      <c r="AD53" s="16" t="n">
        <f aca="false" t="array" ref="AD53:AD53">IF($I53&gt;=$AI53,"Max",ROUND(Paramètres!$B$40*($I53+1)^Paramètres!$B$41*INDEX(Paramètres!$H$6:$H$12,$AF53),0))</f>
        <v>6</v>
      </c>
      <c r="AE53" s="23" t="n">
        <f aca="false">MATCH($B53&amp;"|"&amp;$C53,Profils!$A$5:$A$34,0)</f>
        <v>2</v>
      </c>
      <c r="AF53" s="23" t="n">
        <v>5</v>
      </c>
      <c r="AG53" s="24" t="n">
        <f aca="false" t="array" ref="AG53:AG53">INDEX(Paramètres!$C$6:$C$12,$AF53)</f>
        <v>2.1</v>
      </c>
      <c r="AH53" s="23" t="n">
        <f aca="false" t="array" ref="AH53:AH53">INDEX(Paramètres!$D$6:$D$12,$AF53)</f>
        <v>6</v>
      </c>
      <c r="AI53" s="23" t="n">
        <f aca="false" t="array" ref="AI53:AI53">INDEX(Matériaux!$C$16:$C$20,$D53)</f>
        <v>25</v>
      </c>
      <c r="AJ53" s="25" t="n">
        <f aca="false">Paramètres!$B$16+(1-Paramètres!$B$16)*(($J53-Paramètres!$B$14)/(Paramètres!$B$15-Paramètres!$B$14))^Paramètres!$B$17</f>
        <v>0.26769024555533</v>
      </c>
    </row>
    <row r="54" customFormat="false" ht="15.75" hidden="false" customHeight="true" outlineLevel="0" collapsed="false">
      <c r="A54" s="14" t="s">
        <v>162</v>
      </c>
      <c r="B54" s="15" t="s">
        <v>27</v>
      </c>
      <c r="C54" s="15" t="s">
        <v>90</v>
      </c>
      <c r="D54" s="16" t="n">
        <v>3</v>
      </c>
      <c r="E54" s="15" t="str">
        <f aca="false" t="array" ref="E54:E54">INDEX(Matériaux!$B$5:$F$12,MATCH(INDEX(Profils!$E$5:$E$34,$AE54),Matériaux!$A$5:$A$12,0),$D54)</f>
        <v>acier</v>
      </c>
      <c r="F54" s="30" t="s">
        <v>119</v>
      </c>
      <c r="G54" s="10" t="str">
        <f aca="false" t="array" ref="G54:G54">INDEX(Profils!$D$5:$D$34,$AE54)&amp;" en "&amp;$E54</f>
        <v>Plastron en acier</v>
      </c>
      <c r="H54" s="16" t="n">
        <f aca="false" t="array" ref="H54:H54">INDEX(Matériaux!$B$16:$B$20,$D54)</f>
        <v>30</v>
      </c>
      <c r="I54" s="16" t="n">
        <f aca="false">IF(ISNUMBER($C$3),MIN(MAX(0,ROUND($C$3,0)),$AI54),$AI54)</f>
        <v>0</v>
      </c>
      <c r="J54" s="18" t="n">
        <f aca="false">$H54+$I54</f>
        <v>30</v>
      </c>
      <c r="K54" s="15" t="s">
        <v>109</v>
      </c>
      <c r="L54" s="19" t="n">
        <f aca="false" t="array" ref="L54:L54">IF(AND(INDEX(Profils!$F$5:$F$34,$AE54)&gt;0,INDEX(Profils!$U$5:$U$34,$AE54)&lt;=$AH54),ROUND(INDEX(Profils!$F$5:$F$34,$AE54)*Paramètres!$E$22*$AG54*$AJ54,Paramètres!$F$22),0)</f>
        <v>39</v>
      </c>
      <c r="M54" s="19" t="n">
        <f aca="false" t="array" ref="M54:M54">IF(AND(INDEX(Profils!$G$5:$G$34,$AE54)&gt;0,INDEX(Profils!$V$5:$V$34,$AE54)&lt;=$AH54),ROUND(INDEX(Profils!$G$5:$G$34,$AE54)*Paramètres!$E$23*$AG54*$AJ54,Paramètres!$F$23),0)</f>
        <v>8</v>
      </c>
      <c r="N54" s="19" t="n">
        <f aca="false" t="array" ref="N54:N54">IF(AND(INDEX(Profils!$H$5:$H$34,$AE54)&gt;0,INDEX(Profils!$W$5:$W$34,$AE54)&lt;=$AH54),ROUND(INDEX(Profils!$H$5:$H$34,$AE54)*Paramètres!$E$24*$AG54*$AJ54,Paramètres!$F$24),0)</f>
        <v>17</v>
      </c>
      <c r="O54" s="19" t="n">
        <f aca="false" t="array" ref="O54:O54">IF(AND(INDEX(Profils!$I$5:$I$34,$AE54)&gt;0,INDEX(Profils!$X$5:$X$34,$AE54)&lt;=$AH54),ROUND(INDEX(Profils!$I$5:$I$34,$AE54)*Paramètres!$E$25*$AG54*$AJ54,Paramètres!$F$25),0)</f>
        <v>0</v>
      </c>
      <c r="P54" s="19" t="n">
        <f aca="false" t="array" ref="P54:P54">IF(AND(INDEX(Profils!$J$5:$J$34,$AE54)&gt;0,INDEX(Profils!$Y$5:$Y$34,$AE54)&lt;=$AH54),ROUND(INDEX(Profils!$J$5:$J$34,$AE54)*Paramètres!$E$26*$AG54*$AJ54,Paramètres!$F$26),0)</f>
        <v>2</v>
      </c>
      <c r="Q54" s="19" t="n">
        <f aca="false" t="array" ref="Q54:Q54">IF(AND(INDEX(Profils!$K$5:$K$34,$AE54)&gt;0,INDEX(Profils!$Z$5:$Z$34,$AE54)&lt;=$AH54),ROUND(INDEX(Profils!$K$5:$K$34,$AE54)*Paramètres!$E$27*$AG54*$AJ54,Paramètres!$F$27),0)</f>
        <v>0</v>
      </c>
      <c r="R54" s="20" t="n">
        <f aca="false" t="array" ref="R54:R54">IF(AND(INDEX(Profils!$L$5:$L$34,$AE54)&gt;0,INDEX(Profils!$AA$5:$AA$34,$AE54)&lt;=$AH54),ROUND(INDEX(Profils!$L$5:$L$34,$AE54)*Paramètres!$E$28*$AG54*$AJ54,Paramètres!$F$28),0)</f>
        <v>0</v>
      </c>
      <c r="S54" s="20" t="n">
        <f aca="false" t="array" ref="S54:S54">IF(AND(INDEX(Profils!$M$5:$M$34,$AE54)&gt;0,INDEX(Profils!$AB$5:$AB$34,$AE54)&lt;=$AH54),ROUND(INDEX(Profils!$M$5:$M$34,$AE54)*Paramètres!$E$29*$AG54*$AJ54,Paramètres!$F$29),0)</f>
        <v>0</v>
      </c>
      <c r="T54" s="20" t="n">
        <f aca="false" t="array" ref="T54:T54">IF(AND(INDEX(Profils!$N$5:$N$34,$AE54)&gt;0,INDEX(Profils!$AC$5:$AC$34,$AE54)&lt;=$AH54),ROUND(INDEX(Profils!$N$5:$N$34,$AE54)*Paramètres!$E$30*$AG54*$AJ54,Paramètres!$F$30),0)</f>
        <v>0</v>
      </c>
      <c r="U54" s="19" t="n">
        <f aca="false" t="array" ref="U54:U54">IF(AND(INDEX(Profils!$O$5:$O$34,$AE54)&gt;0,INDEX(Profils!$AD$5:$AD$34,$AE54)&lt;=$AH54),ROUND(INDEX(Profils!$O$5:$O$34,$AE54)*Paramètres!$E$31*$AG54*$AJ54,Paramètres!$F$31),0)</f>
        <v>28</v>
      </c>
      <c r="V54" s="20" t="n">
        <f aca="false" t="array" ref="V54:V54">IF(AND(INDEX(Profils!$P$5:$P$34,$AE54)&gt;0,INDEX(Profils!$AE$5:$AE$34,$AE54)&lt;=$AH54),ROUND(INDEX(Profils!$P$5:$P$34,$AE54)*Paramètres!$E$32*$AG54*$AJ54,Paramètres!$F$32),0)</f>
        <v>0</v>
      </c>
      <c r="W54" s="20" t="n">
        <f aca="false" t="array" ref="W54:W54">IF(AND(INDEX(Profils!$Q$5:$Q$34,$AE54)&gt;0,INDEX(Profils!$AF$5:$AF$34,$AE54)&lt;=$AH54),ROUND(INDEX(Profils!$Q$5:$Q$34,$AE54)*Paramètres!$E$33*$AG54*$AJ54,Paramètres!$F$33),0)</f>
        <v>0.008</v>
      </c>
      <c r="X54" s="20" t="n">
        <f aca="false" t="array" ref="X54:X54">IF(AND(INDEX(Profils!$R$5:$R$34,$AE54)&gt;0,INDEX(Profils!$AG$5:$AG$34,$AE54)&lt;=$AH54),ROUND(INDEX(Profils!$R$5:$R$34,$AE54)*Paramètres!$E$34*$AG54*$AJ54,Paramètres!$F$34),0)</f>
        <v>0</v>
      </c>
      <c r="Y54" s="20" t="n">
        <f aca="false" t="array" ref="Y54:Y54">IF(AND(INDEX(Profils!$S$5:$S$34,$AE54)&gt;0,INDEX(Profils!$AH$5:$AH$34,$AE54)&lt;=$AH54),ROUND(INDEX(Profils!$S$5:$S$34,$AE54)*Paramètres!$E$35*$AG54*$AJ54,Paramètres!$F$35),0)</f>
        <v>0.006</v>
      </c>
      <c r="Z54" s="21" t="n">
        <f aca="false">ROUND(L54/Paramètres!$E$22+M54/Paramètres!$E$23+N54/Paramètres!$E$24+O54/Paramètres!$E$25+P54/Paramètres!$E$26+Q54/Paramètres!$E$27+R54/Paramètres!$E$28+S54/Paramètres!$E$29+T54/Paramètres!$E$30+U54/Paramètres!$E$31+V54/Paramètres!$E$32+W54/Paramètres!$E$33+X54/Paramètres!$E$34+Y54/Paramètres!$E$35,1)</f>
        <v>5.7</v>
      </c>
      <c r="AA54" s="22" t="s">
        <v>109</v>
      </c>
      <c r="AB54" s="22" t="s">
        <v>109</v>
      </c>
      <c r="AC54" s="15" t="str">
        <f aca="false">$E54</f>
        <v>acier</v>
      </c>
      <c r="AD54" s="16" t="n">
        <f aca="false" t="array" ref="AD54:AD54">IF($I54&gt;=$AI54,"Max",ROUND(Paramètres!$B$40*($I54+1)^Paramètres!$B$41*INDEX(Paramètres!$H$6:$H$12,$AF54),0))</f>
        <v>8</v>
      </c>
      <c r="AE54" s="23" t="n">
        <f aca="false">MATCH($B54&amp;"|"&amp;$C54,Profils!$A$5:$A$34,0)</f>
        <v>2</v>
      </c>
      <c r="AF54" s="23" t="n">
        <v>6</v>
      </c>
      <c r="AG54" s="24" t="n">
        <f aca="false" t="array" ref="AG54:AG54">INDEX(Paramètres!$C$6:$C$12,$AF54)</f>
        <v>2.4</v>
      </c>
      <c r="AH54" s="23" t="n">
        <f aca="false" t="array" ref="AH54:AH54">INDEX(Paramètres!$D$6:$D$12,$AF54)</f>
        <v>7</v>
      </c>
      <c r="AI54" s="23" t="n">
        <f aca="false" t="array" ref="AI54:AI54">INDEX(Matériaux!$C$16:$C$20,$D54)</f>
        <v>25</v>
      </c>
      <c r="AJ54" s="25" t="n">
        <f aca="false">Paramètres!$B$16+(1-Paramètres!$B$16)*(($J54-Paramètres!$B$14)/(Paramètres!$B$15-Paramètres!$B$14))^Paramètres!$B$17</f>
        <v>0.26769024555533</v>
      </c>
    </row>
    <row r="55" customFormat="false" ht="15.75" hidden="false" customHeight="true" outlineLevel="0" collapsed="false">
      <c r="A55" s="14" t="s">
        <v>163</v>
      </c>
      <c r="B55" s="15" t="s">
        <v>27</v>
      </c>
      <c r="C55" s="15" t="s">
        <v>90</v>
      </c>
      <c r="D55" s="16" t="n">
        <v>4</v>
      </c>
      <c r="E55" s="15" t="str">
        <f aca="false" t="array" ref="E55:E55">INDEX(Matériaux!$B$5:$F$12,MATCH(INDEX(Profils!$E$5:$E$34,$AE55),Matériaux!$A$5:$A$12,0),$D55)</f>
        <v>mithril</v>
      </c>
      <c r="F55" s="17" t="s">
        <v>108</v>
      </c>
      <c r="G55" s="10" t="str">
        <f aca="false" t="array" ref="G55:G55">INDEX(Profils!$D$5:$D$34,$AE55)&amp;" en "&amp;$E55</f>
        <v>Plastron en mithril</v>
      </c>
      <c r="H55" s="16" t="n">
        <f aca="false" t="array" ref="H55:H55">INDEX(Matériaux!$B$16:$B$20,$D55)</f>
        <v>50</v>
      </c>
      <c r="I55" s="16" t="n">
        <f aca="false">IF(ISNUMBER($C$3),MIN(MAX(0,ROUND($C$3,0)),$AI55),$AI55)</f>
        <v>0</v>
      </c>
      <c r="J55" s="18" t="n">
        <f aca="false">$H55+$I55</f>
        <v>50</v>
      </c>
      <c r="K55" s="15" t="s">
        <v>109</v>
      </c>
      <c r="L55" s="19" t="n">
        <f aca="false" t="array" ref="L55:L55">IF(AND(INDEX(Profils!$F$5:$F$34,$AE55)&gt;0,INDEX(Profils!$U$5:$U$34,$AE55)&lt;=$AH55),ROUND(INDEX(Profils!$F$5:$F$34,$AE55)*Paramètres!$E$22*$AG55*$AJ55,Paramètres!$F$22),0)</f>
        <v>28</v>
      </c>
      <c r="M55" s="19" t="n">
        <f aca="false" t="array" ref="M55:M55">IF(AND(INDEX(Profils!$G$5:$G$34,$AE55)&gt;0,INDEX(Profils!$V$5:$V$34,$AE55)&lt;=$AH55),ROUND(INDEX(Profils!$G$5:$G$34,$AE55)*Paramètres!$E$23*$AG55*$AJ55,Paramètres!$F$23),0)</f>
        <v>0</v>
      </c>
      <c r="N55" s="19" t="n">
        <f aca="false" t="array" ref="N55:N55">IF(AND(INDEX(Profils!$H$5:$H$34,$AE55)&gt;0,INDEX(Profils!$W$5:$W$34,$AE55)&lt;=$AH55),ROUND(INDEX(Profils!$H$5:$H$34,$AE55)*Paramètres!$E$24*$AG55*$AJ55,Paramètres!$F$24),0)</f>
        <v>0</v>
      </c>
      <c r="O55" s="19" t="n">
        <f aca="false" t="array" ref="O55:O55">IF(AND(INDEX(Profils!$I$5:$I$34,$AE55)&gt;0,INDEX(Profils!$X$5:$X$34,$AE55)&lt;=$AH55),ROUND(INDEX(Profils!$I$5:$I$34,$AE55)*Paramètres!$E$25*$AG55*$AJ55,Paramètres!$F$25),0)</f>
        <v>0</v>
      </c>
      <c r="P55" s="19" t="n">
        <f aca="false" t="array" ref="P55:P55">IF(AND(INDEX(Profils!$J$5:$J$34,$AE55)&gt;0,INDEX(Profils!$Y$5:$Y$34,$AE55)&lt;=$AH55),ROUND(INDEX(Profils!$J$5:$J$34,$AE55)*Paramètres!$E$26*$AG55*$AJ55,Paramètres!$F$26),0)</f>
        <v>0</v>
      </c>
      <c r="Q55" s="19" t="n">
        <f aca="false" t="array" ref="Q55:Q55">IF(AND(INDEX(Profils!$K$5:$K$34,$AE55)&gt;0,INDEX(Profils!$Z$5:$Z$34,$AE55)&lt;=$AH55),ROUND(INDEX(Profils!$K$5:$K$34,$AE55)*Paramètres!$E$27*$AG55*$AJ55,Paramètres!$F$27),0)</f>
        <v>0</v>
      </c>
      <c r="R55" s="20" t="n">
        <f aca="false" t="array" ref="R55:R55">IF(AND(INDEX(Profils!$L$5:$L$34,$AE55)&gt;0,INDEX(Profils!$AA$5:$AA$34,$AE55)&lt;=$AH55),ROUND(INDEX(Profils!$L$5:$L$34,$AE55)*Paramètres!$E$28*$AG55*$AJ55,Paramètres!$F$28),0)</f>
        <v>0</v>
      </c>
      <c r="S55" s="20" t="n">
        <f aca="false" t="array" ref="S55:S55">IF(AND(INDEX(Profils!$M$5:$M$34,$AE55)&gt;0,INDEX(Profils!$AB$5:$AB$34,$AE55)&lt;=$AH55),ROUND(INDEX(Profils!$M$5:$M$34,$AE55)*Paramètres!$E$29*$AG55*$AJ55,Paramètres!$F$29),0)</f>
        <v>0</v>
      </c>
      <c r="T55" s="20" t="n">
        <f aca="false" t="array" ref="T55:T55">IF(AND(INDEX(Profils!$N$5:$N$34,$AE55)&gt;0,INDEX(Profils!$AC$5:$AC$34,$AE55)&lt;=$AH55),ROUND(INDEX(Profils!$N$5:$N$34,$AE55)*Paramètres!$E$30*$AG55*$AJ55,Paramètres!$F$30),0)</f>
        <v>0</v>
      </c>
      <c r="U55" s="19" t="n">
        <f aca="false" t="array" ref="U55:U55">IF(AND(INDEX(Profils!$O$5:$O$34,$AE55)&gt;0,INDEX(Profils!$AD$5:$AD$34,$AE55)&lt;=$AH55),ROUND(INDEX(Profils!$O$5:$O$34,$AE55)*Paramètres!$E$31*$AG55*$AJ55,Paramètres!$F$31),0)</f>
        <v>20</v>
      </c>
      <c r="V55" s="20" t="n">
        <f aca="false" t="array" ref="V55:V55">IF(AND(INDEX(Profils!$P$5:$P$34,$AE55)&gt;0,INDEX(Profils!$AE$5:$AE$34,$AE55)&lt;=$AH55),ROUND(INDEX(Profils!$P$5:$P$34,$AE55)*Paramètres!$E$32*$AG55*$AJ55,Paramètres!$F$32),0)</f>
        <v>0</v>
      </c>
      <c r="W55" s="20" t="n">
        <f aca="false" t="array" ref="W55:W55">IF(AND(INDEX(Profils!$Q$5:$Q$34,$AE55)&gt;0,INDEX(Profils!$AF$5:$AF$34,$AE55)&lt;=$AH55),ROUND(INDEX(Profils!$Q$5:$Q$34,$AE55)*Paramètres!$E$33*$AG55*$AJ55,Paramètres!$F$33),0)</f>
        <v>0</v>
      </c>
      <c r="X55" s="20" t="n">
        <f aca="false" t="array" ref="X55:X55">IF(AND(INDEX(Profils!$R$5:$R$34,$AE55)&gt;0,INDEX(Profils!$AG$5:$AG$34,$AE55)&lt;=$AH55),ROUND(INDEX(Profils!$R$5:$R$34,$AE55)*Paramètres!$E$34*$AG55*$AJ55,Paramètres!$F$34),0)</f>
        <v>0</v>
      </c>
      <c r="Y55" s="20" t="n">
        <f aca="false" t="array" ref="Y55:Y55">IF(AND(INDEX(Profils!$S$5:$S$34,$AE55)&gt;0,INDEX(Profils!$AH$5:$AH$34,$AE55)&lt;=$AH55),ROUND(INDEX(Profils!$S$5:$S$34,$AE55)*Paramètres!$E$35*$AG55*$AJ55,Paramètres!$F$35),0)</f>
        <v>0</v>
      </c>
      <c r="Z55" s="21" t="n">
        <f aca="false">ROUND(L55/Paramètres!$E$22+M55/Paramètres!$E$23+N55/Paramètres!$E$24+O55/Paramètres!$E$25+P55/Paramètres!$E$26+Q55/Paramètres!$E$27+R55/Paramètres!$E$28+S55/Paramètres!$E$29+T55/Paramètres!$E$30+U55/Paramètres!$E$31+V55/Paramètres!$E$32+W55/Paramètres!$E$33+X55/Paramètres!$E$34+Y55/Paramètres!$E$35,1)</f>
        <v>2.1</v>
      </c>
      <c r="AA55" s="22" t="s">
        <v>109</v>
      </c>
      <c r="AB55" s="22" t="s">
        <v>109</v>
      </c>
      <c r="AC55" s="15" t="str">
        <f aca="false">$E55</f>
        <v>mithril</v>
      </c>
      <c r="AD55" s="16" t="n">
        <f aca="false" t="array" ref="AD55:AD55">IF($I55&gt;=$AI55,"Max",ROUND(Paramètres!$B$40*($I55+1)^Paramètres!$B$41*INDEX(Paramètres!$H$6:$H$12,$AF55),0))</f>
        <v>3</v>
      </c>
      <c r="AE55" s="23" t="n">
        <f aca="false">MATCH($B55&amp;"|"&amp;$C55,Profils!$A$5:$A$34,0)</f>
        <v>2</v>
      </c>
      <c r="AF55" s="23" t="n">
        <v>1</v>
      </c>
      <c r="AG55" s="24" t="n">
        <f aca="false" t="array" ref="AG55:AG55">INDEX(Paramètres!$C$6:$C$12,$AF55)</f>
        <v>1</v>
      </c>
      <c r="AH55" s="23" t="n">
        <f aca="false" t="array" ref="AH55:AH55">INDEX(Paramètres!$D$6:$D$12,$AF55)</f>
        <v>2</v>
      </c>
      <c r="AI55" s="23" t="n">
        <f aca="false" t="array" ref="AI55:AI55">INDEX(Matériaux!$C$16:$C$20,$D55)</f>
        <v>25</v>
      </c>
      <c r="AJ55" s="25" t="n">
        <f aca="false">Paramètres!$B$16+(1-Paramètres!$B$16)*(($J55-Paramètres!$B$14)/(Paramètres!$B$15-Paramètres!$B$14))^Paramètres!$B$17</f>
        <v>0.458504333336152</v>
      </c>
    </row>
    <row r="56" customFormat="false" ht="15.75" hidden="false" customHeight="true" outlineLevel="0" collapsed="false">
      <c r="A56" s="14" t="s">
        <v>164</v>
      </c>
      <c r="B56" s="15" t="s">
        <v>27</v>
      </c>
      <c r="C56" s="15" t="s">
        <v>90</v>
      </c>
      <c r="D56" s="16" t="n">
        <v>4</v>
      </c>
      <c r="E56" s="15" t="str">
        <f aca="false" t="array" ref="E56:E56">INDEX(Matériaux!$B$5:$F$12,MATCH(INDEX(Profils!$E$5:$E$34,$AE56),Matériaux!$A$5:$A$12,0),$D56)</f>
        <v>mithril</v>
      </c>
      <c r="F56" s="26" t="s">
        <v>111</v>
      </c>
      <c r="G56" s="10" t="str">
        <f aca="false" t="array" ref="G56:G56">INDEX(Profils!$D$5:$D$34,$AE56)&amp;" en "&amp;$E56</f>
        <v>Plastron en mithril</v>
      </c>
      <c r="H56" s="16" t="n">
        <f aca="false" t="array" ref="H56:H56">INDEX(Matériaux!$B$16:$B$20,$D56)</f>
        <v>50</v>
      </c>
      <c r="I56" s="16" t="n">
        <f aca="false">IF(ISNUMBER($C$3),MIN(MAX(0,ROUND($C$3,0)),$AI56),$AI56)</f>
        <v>0</v>
      </c>
      <c r="J56" s="18" t="n">
        <f aca="false">$H56+$I56</f>
        <v>50</v>
      </c>
      <c r="K56" s="15" t="s">
        <v>109</v>
      </c>
      <c r="L56" s="19" t="n">
        <f aca="false" t="array" ref="L56:L56">IF(AND(INDEX(Profils!$F$5:$F$34,$AE56)&gt;0,INDEX(Profils!$U$5:$U$34,$AE56)&lt;=$AH56),ROUND(INDEX(Profils!$F$5:$F$34,$AE56)*Paramètres!$E$22*$AG56*$AJ56,Paramètres!$F$22),0)</f>
        <v>33</v>
      </c>
      <c r="M56" s="19" t="n">
        <f aca="false" t="array" ref="M56:M56">IF(AND(INDEX(Profils!$G$5:$G$34,$AE56)&gt;0,INDEX(Profils!$V$5:$V$34,$AE56)&lt;=$AH56),ROUND(INDEX(Profils!$G$5:$G$34,$AE56)*Paramètres!$E$23*$AG56*$AJ56,Paramètres!$F$23),0)</f>
        <v>0</v>
      </c>
      <c r="N56" s="19" t="n">
        <f aca="false" t="array" ref="N56:N56">IF(AND(INDEX(Profils!$H$5:$H$34,$AE56)&gt;0,INDEX(Profils!$W$5:$W$34,$AE56)&lt;=$AH56),ROUND(INDEX(Profils!$H$5:$H$34,$AE56)*Paramètres!$E$24*$AG56*$AJ56,Paramètres!$F$24),0)</f>
        <v>15</v>
      </c>
      <c r="O56" s="19" t="n">
        <f aca="false" t="array" ref="O56:O56">IF(AND(INDEX(Profils!$I$5:$I$34,$AE56)&gt;0,INDEX(Profils!$X$5:$X$34,$AE56)&lt;=$AH56),ROUND(INDEX(Profils!$I$5:$I$34,$AE56)*Paramètres!$E$25*$AG56*$AJ56,Paramètres!$F$25),0)</f>
        <v>0</v>
      </c>
      <c r="P56" s="19" t="n">
        <f aca="false" t="array" ref="P56:P56">IF(AND(INDEX(Profils!$J$5:$J$34,$AE56)&gt;0,INDEX(Profils!$Y$5:$Y$34,$AE56)&lt;=$AH56),ROUND(INDEX(Profils!$J$5:$J$34,$AE56)*Paramètres!$E$26*$AG56*$AJ56,Paramètres!$F$26),0)</f>
        <v>0</v>
      </c>
      <c r="Q56" s="19" t="n">
        <f aca="false" t="array" ref="Q56:Q56">IF(AND(INDEX(Profils!$K$5:$K$34,$AE56)&gt;0,INDEX(Profils!$Z$5:$Z$34,$AE56)&lt;=$AH56),ROUND(INDEX(Profils!$K$5:$K$34,$AE56)*Paramètres!$E$27*$AG56*$AJ56,Paramètres!$F$27),0)</f>
        <v>0</v>
      </c>
      <c r="R56" s="20" t="n">
        <f aca="false" t="array" ref="R56:R56">IF(AND(INDEX(Profils!$L$5:$L$34,$AE56)&gt;0,INDEX(Profils!$AA$5:$AA$34,$AE56)&lt;=$AH56),ROUND(INDEX(Profils!$L$5:$L$34,$AE56)*Paramètres!$E$28*$AG56*$AJ56,Paramètres!$F$28),0)</f>
        <v>0</v>
      </c>
      <c r="S56" s="20" t="n">
        <f aca="false" t="array" ref="S56:S56">IF(AND(INDEX(Profils!$M$5:$M$34,$AE56)&gt;0,INDEX(Profils!$AB$5:$AB$34,$AE56)&lt;=$AH56),ROUND(INDEX(Profils!$M$5:$M$34,$AE56)*Paramètres!$E$29*$AG56*$AJ56,Paramètres!$F$29),0)</f>
        <v>0</v>
      </c>
      <c r="T56" s="20" t="n">
        <f aca="false" t="array" ref="T56:T56">IF(AND(INDEX(Profils!$N$5:$N$34,$AE56)&gt;0,INDEX(Profils!$AC$5:$AC$34,$AE56)&lt;=$AH56),ROUND(INDEX(Profils!$N$5:$N$34,$AE56)*Paramètres!$E$30*$AG56*$AJ56,Paramètres!$F$30),0)</f>
        <v>0</v>
      </c>
      <c r="U56" s="19" t="n">
        <f aca="false" t="array" ref="U56:U56">IF(AND(INDEX(Profils!$O$5:$O$34,$AE56)&gt;0,INDEX(Profils!$AD$5:$AD$34,$AE56)&lt;=$AH56),ROUND(INDEX(Profils!$O$5:$O$34,$AE56)*Paramètres!$E$31*$AG56*$AJ56,Paramètres!$F$31),0)</f>
        <v>24</v>
      </c>
      <c r="V56" s="20" t="n">
        <f aca="false" t="array" ref="V56:V56">IF(AND(INDEX(Profils!$P$5:$P$34,$AE56)&gt;0,INDEX(Profils!$AE$5:$AE$34,$AE56)&lt;=$AH56),ROUND(INDEX(Profils!$P$5:$P$34,$AE56)*Paramètres!$E$32*$AG56*$AJ56,Paramètres!$F$32),0)</f>
        <v>0</v>
      </c>
      <c r="W56" s="20" t="n">
        <f aca="false" t="array" ref="W56:W56">IF(AND(INDEX(Profils!$Q$5:$Q$34,$AE56)&gt;0,INDEX(Profils!$AF$5:$AF$34,$AE56)&lt;=$AH56),ROUND(INDEX(Profils!$Q$5:$Q$34,$AE56)*Paramètres!$E$33*$AG56*$AJ56,Paramètres!$F$33),0)</f>
        <v>0</v>
      </c>
      <c r="X56" s="20" t="n">
        <f aca="false" t="array" ref="X56:X56">IF(AND(INDEX(Profils!$R$5:$R$34,$AE56)&gt;0,INDEX(Profils!$AG$5:$AG$34,$AE56)&lt;=$AH56),ROUND(INDEX(Profils!$R$5:$R$34,$AE56)*Paramètres!$E$34*$AG56*$AJ56,Paramètres!$F$34),0)</f>
        <v>0</v>
      </c>
      <c r="Y56" s="20" t="n">
        <f aca="false" t="array" ref="Y56:Y56">IF(AND(INDEX(Profils!$S$5:$S$34,$AE56)&gt;0,INDEX(Profils!$AH$5:$AH$34,$AE56)&lt;=$AH56),ROUND(INDEX(Profils!$S$5:$S$34,$AE56)*Paramètres!$E$35*$AG56*$AJ56,Paramètres!$F$35),0)</f>
        <v>0</v>
      </c>
      <c r="Z56" s="21" t="n">
        <f aca="false">ROUND(L56/Paramètres!$E$22+M56/Paramètres!$E$23+N56/Paramètres!$E$24+O56/Paramètres!$E$25+P56/Paramètres!$E$26+Q56/Paramètres!$E$27+R56/Paramètres!$E$28+S56/Paramètres!$E$29+T56/Paramètres!$E$30+U56/Paramètres!$E$31+V56/Paramètres!$E$32+W56/Paramètres!$E$33+X56/Paramètres!$E$34+Y56/Paramètres!$E$35,1)</f>
        <v>3.5</v>
      </c>
      <c r="AA56" s="22" t="s">
        <v>109</v>
      </c>
      <c r="AB56" s="22" t="s">
        <v>109</v>
      </c>
      <c r="AC56" s="15" t="str">
        <f aca="false">$E56</f>
        <v>mithril</v>
      </c>
      <c r="AD56" s="16" t="n">
        <f aca="false" t="array" ref="AD56:AD56">IF($I56&gt;=$AI56,"Max",ROUND(Paramètres!$B$40*($I56+1)^Paramètres!$B$41*INDEX(Paramètres!$H$6:$H$12,$AF56),0))</f>
        <v>4</v>
      </c>
      <c r="AE56" s="23" t="n">
        <f aca="false">MATCH($B56&amp;"|"&amp;$C56,Profils!$A$5:$A$34,0)</f>
        <v>2</v>
      </c>
      <c r="AF56" s="23" t="n">
        <v>2</v>
      </c>
      <c r="AG56" s="24" t="n">
        <f aca="false" t="array" ref="AG56:AG56">INDEX(Paramètres!$C$6:$C$12,$AF56)</f>
        <v>1.2</v>
      </c>
      <c r="AH56" s="23" t="n">
        <f aca="false" t="array" ref="AH56:AH56">INDEX(Paramètres!$D$6:$D$12,$AF56)</f>
        <v>3</v>
      </c>
      <c r="AI56" s="23" t="n">
        <f aca="false" t="array" ref="AI56:AI56">INDEX(Matériaux!$C$16:$C$20,$D56)</f>
        <v>25</v>
      </c>
      <c r="AJ56" s="25" t="n">
        <f aca="false">Paramètres!$B$16+(1-Paramètres!$B$16)*(($J56-Paramètres!$B$14)/(Paramètres!$B$15-Paramètres!$B$14))^Paramètres!$B$17</f>
        <v>0.458504333336152</v>
      </c>
    </row>
    <row r="57" customFormat="false" ht="15.75" hidden="false" customHeight="true" outlineLevel="0" collapsed="false">
      <c r="A57" s="14" t="s">
        <v>165</v>
      </c>
      <c r="B57" s="15" t="s">
        <v>27</v>
      </c>
      <c r="C57" s="15" t="s">
        <v>90</v>
      </c>
      <c r="D57" s="16" t="n">
        <v>4</v>
      </c>
      <c r="E57" s="15" t="str">
        <f aca="false" t="array" ref="E57:E57">INDEX(Matériaux!$B$5:$F$12,MATCH(INDEX(Profils!$E$5:$E$34,$AE57),Matériaux!$A$5:$A$12,0),$D57)</f>
        <v>mithril</v>
      </c>
      <c r="F57" s="27" t="s">
        <v>113</v>
      </c>
      <c r="G57" s="10" t="str">
        <f aca="false" t="array" ref="G57:G57">INDEX(Profils!$D$5:$D$34,$AE57)&amp;" en "&amp;$E57</f>
        <v>Plastron en mithril</v>
      </c>
      <c r="H57" s="16" t="n">
        <f aca="false" t="array" ref="H57:H57">INDEX(Matériaux!$B$16:$B$20,$D57)</f>
        <v>50</v>
      </c>
      <c r="I57" s="16" t="n">
        <f aca="false">IF(ISNUMBER($C$3),MIN(MAX(0,ROUND($C$3,0)),$AI57),$AI57)</f>
        <v>0</v>
      </c>
      <c r="J57" s="18" t="n">
        <f aca="false">$H57+$I57</f>
        <v>50</v>
      </c>
      <c r="K57" s="15" t="s">
        <v>109</v>
      </c>
      <c r="L57" s="19" t="n">
        <f aca="false" t="array" ref="L57:L57">IF(AND(INDEX(Profils!$F$5:$F$34,$AE57)&gt;0,INDEX(Profils!$U$5:$U$34,$AE57)&lt;=$AH57),ROUND(INDEX(Profils!$F$5:$F$34,$AE57)*Paramètres!$E$22*$AG57*$AJ57,Paramètres!$F$22),0)</f>
        <v>40</v>
      </c>
      <c r="M57" s="19" t="n">
        <f aca="false" t="array" ref="M57:M57">IF(AND(INDEX(Profils!$G$5:$G$34,$AE57)&gt;0,INDEX(Profils!$V$5:$V$34,$AE57)&lt;=$AH57),ROUND(INDEX(Profils!$G$5:$G$34,$AE57)*Paramètres!$E$23*$AG57*$AJ57,Paramètres!$F$23),0)</f>
        <v>8</v>
      </c>
      <c r="N57" s="19" t="n">
        <f aca="false" t="array" ref="N57:N57">IF(AND(INDEX(Profils!$H$5:$H$34,$AE57)&gt;0,INDEX(Profils!$W$5:$W$34,$AE57)&lt;=$AH57),ROUND(INDEX(Profils!$H$5:$H$34,$AE57)*Paramètres!$E$24*$AG57*$AJ57,Paramètres!$F$24),0)</f>
        <v>18</v>
      </c>
      <c r="O57" s="19" t="n">
        <f aca="false" t="array" ref="O57:O57">IF(AND(INDEX(Profils!$I$5:$I$34,$AE57)&gt;0,INDEX(Profils!$X$5:$X$34,$AE57)&lt;=$AH57),ROUND(INDEX(Profils!$I$5:$I$34,$AE57)*Paramètres!$E$25*$AG57*$AJ57,Paramètres!$F$25),0)</f>
        <v>0</v>
      </c>
      <c r="P57" s="19" t="n">
        <f aca="false" t="array" ref="P57:P57">IF(AND(INDEX(Profils!$J$5:$J$34,$AE57)&gt;0,INDEX(Profils!$Y$5:$Y$34,$AE57)&lt;=$AH57),ROUND(INDEX(Profils!$J$5:$J$34,$AE57)*Paramètres!$E$26*$AG57*$AJ57,Paramètres!$F$26),0)</f>
        <v>0</v>
      </c>
      <c r="Q57" s="19" t="n">
        <f aca="false" t="array" ref="Q57:Q57">IF(AND(INDEX(Profils!$K$5:$K$34,$AE57)&gt;0,INDEX(Profils!$Z$5:$Z$34,$AE57)&lt;=$AH57),ROUND(INDEX(Profils!$K$5:$K$34,$AE57)*Paramètres!$E$27*$AG57*$AJ57,Paramètres!$F$27),0)</f>
        <v>0</v>
      </c>
      <c r="R57" s="20" t="n">
        <f aca="false" t="array" ref="R57:R57">IF(AND(INDEX(Profils!$L$5:$L$34,$AE57)&gt;0,INDEX(Profils!$AA$5:$AA$34,$AE57)&lt;=$AH57),ROUND(INDEX(Profils!$L$5:$L$34,$AE57)*Paramètres!$E$28*$AG57*$AJ57,Paramètres!$F$28),0)</f>
        <v>0</v>
      </c>
      <c r="S57" s="20" t="n">
        <f aca="false" t="array" ref="S57:S57">IF(AND(INDEX(Profils!$M$5:$M$34,$AE57)&gt;0,INDEX(Profils!$AB$5:$AB$34,$AE57)&lt;=$AH57),ROUND(INDEX(Profils!$M$5:$M$34,$AE57)*Paramètres!$E$29*$AG57*$AJ57,Paramètres!$F$29),0)</f>
        <v>0</v>
      </c>
      <c r="T57" s="20" t="n">
        <f aca="false" t="array" ref="T57:T57">IF(AND(INDEX(Profils!$N$5:$N$34,$AE57)&gt;0,INDEX(Profils!$AC$5:$AC$34,$AE57)&lt;=$AH57),ROUND(INDEX(Profils!$N$5:$N$34,$AE57)*Paramètres!$E$30*$AG57*$AJ57,Paramètres!$F$30),0)</f>
        <v>0</v>
      </c>
      <c r="U57" s="19" t="n">
        <f aca="false" t="array" ref="U57:U57">IF(AND(INDEX(Profils!$O$5:$O$34,$AE57)&gt;0,INDEX(Profils!$AD$5:$AD$34,$AE57)&lt;=$AH57),ROUND(INDEX(Profils!$O$5:$O$34,$AE57)*Paramètres!$E$31*$AG57*$AJ57,Paramètres!$F$31),0)</f>
        <v>29</v>
      </c>
      <c r="V57" s="20" t="n">
        <f aca="false" t="array" ref="V57:V57">IF(AND(INDEX(Profils!$P$5:$P$34,$AE57)&gt;0,INDEX(Profils!$AE$5:$AE$34,$AE57)&lt;=$AH57),ROUND(INDEX(Profils!$P$5:$P$34,$AE57)*Paramètres!$E$32*$AG57*$AJ57,Paramètres!$F$32),0)</f>
        <v>0</v>
      </c>
      <c r="W57" s="20" t="n">
        <f aca="false" t="array" ref="W57:W57">IF(AND(INDEX(Profils!$Q$5:$Q$34,$AE57)&gt;0,INDEX(Profils!$AF$5:$AF$34,$AE57)&lt;=$AH57),ROUND(INDEX(Profils!$Q$5:$Q$34,$AE57)*Paramètres!$E$33*$AG57*$AJ57,Paramètres!$F$33),0)</f>
        <v>0</v>
      </c>
      <c r="X57" s="20" t="n">
        <f aca="false" t="array" ref="X57:X57">IF(AND(INDEX(Profils!$R$5:$R$34,$AE57)&gt;0,INDEX(Profils!$AG$5:$AG$34,$AE57)&lt;=$AH57),ROUND(INDEX(Profils!$R$5:$R$34,$AE57)*Paramètres!$E$34*$AG57*$AJ57,Paramètres!$F$34),0)</f>
        <v>0</v>
      </c>
      <c r="Y57" s="20" t="n">
        <f aca="false" t="array" ref="Y57:Y57">IF(AND(INDEX(Profils!$S$5:$S$34,$AE57)&gt;0,INDEX(Profils!$AH$5:$AH$34,$AE57)&lt;=$AH57),ROUND(INDEX(Profils!$S$5:$S$34,$AE57)*Paramètres!$E$35*$AG57*$AJ57,Paramètres!$F$35),0)</f>
        <v>0</v>
      </c>
      <c r="Z57" s="21" t="n">
        <f aca="false">ROUND(L57/Paramètres!$E$22+M57/Paramètres!$E$23+N57/Paramètres!$E$24+O57/Paramètres!$E$25+P57/Paramètres!$E$26+Q57/Paramètres!$E$27+R57/Paramètres!$E$28+S57/Paramètres!$E$29+T57/Paramètres!$E$30+U57/Paramètres!$E$31+V57/Paramètres!$E$32+W57/Paramètres!$E$33+X57/Paramètres!$E$34+Y57/Paramètres!$E$35,1)</f>
        <v>4.8</v>
      </c>
      <c r="AA57" s="22" t="s">
        <v>109</v>
      </c>
      <c r="AB57" s="22" t="s">
        <v>109</v>
      </c>
      <c r="AC57" s="15" t="str">
        <f aca="false">$E57</f>
        <v>mithril</v>
      </c>
      <c r="AD57" s="16" t="n">
        <f aca="false" t="array" ref="AD57:AD57">IF($I57&gt;=$AI57,"Max",ROUND(Paramètres!$B$40*($I57+1)^Paramètres!$B$41*INDEX(Paramètres!$H$6:$H$12,$AF57),0))</f>
        <v>4</v>
      </c>
      <c r="AE57" s="23" t="n">
        <f aca="false">MATCH($B57&amp;"|"&amp;$C57,Profils!$A$5:$A$34,0)</f>
        <v>2</v>
      </c>
      <c r="AF57" s="23" t="n">
        <v>3</v>
      </c>
      <c r="AG57" s="24" t="n">
        <f aca="false" t="array" ref="AG57:AG57">INDEX(Paramètres!$C$6:$C$12,$AF57)</f>
        <v>1.45</v>
      </c>
      <c r="AH57" s="23" t="n">
        <f aca="false" t="array" ref="AH57:AH57">INDEX(Paramètres!$D$6:$D$12,$AF57)</f>
        <v>4</v>
      </c>
      <c r="AI57" s="23" t="n">
        <f aca="false" t="array" ref="AI57:AI57">INDEX(Matériaux!$C$16:$C$20,$D57)</f>
        <v>25</v>
      </c>
      <c r="AJ57" s="25" t="n">
        <f aca="false">Paramètres!$B$16+(1-Paramètres!$B$16)*(($J57-Paramètres!$B$14)/(Paramètres!$B$15-Paramètres!$B$14))^Paramètres!$B$17</f>
        <v>0.458504333336152</v>
      </c>
    </row>
    <row r="58" customFormat="false" ht="15.75" hidden="false" customHeight="true" outlineLevel="0" collapsed="false">
      <c r="A58" s="14" t="s">
        <v>166</v>
      </c>
      <c r="B58" s="15" t="s">
        <v>27</v>
      </c>
      <c r="C58" s="15" t="s">
        <v>90</v>
      </c>
      <c r="D58" s="16" t="n">
        <v>4</v>
      </c>
      <c r="E58" s="15" t="str">
        <f aca="false" t="array" ref="E58:E58">INDEX(Matériaux!$B$5:$F$12,MATCH(INDEX(Profils!$E$5:$E$34,$AE58),Matériaux!$A$5:$A$12,0),$D58)</f>
        <v>mithril</v>
      </c>
      <c r="F58" s="28" t="s">
        <v>115</v>
      </c>
      <c r="G58" s="10" t="str">
        <f aca="false" t="array" ref="G58:G58">INDEX(Profils!$D$5:$D$34,$AE58)&amp;" en "&amp;$E58</f>
        <v>Plastron en mithril</v>
      </c>
      <c r="H58" s="16" t="n">
        <f aca="false" t="array" ref="H58:H58">INDEX(Matériaux!$B$16:$B$20,$D58)</f>
        <v>50</v>
      </c>
      <c r="I58" s="16" t="n">
        <f aca="false">IF(ISNUMBER($C$3),MIN(MAX(0,ROUND($C$3,0)),$AI58),$AI58)</f>
        <v>0</v>
      </c>
      <c r="J58" s="18" t="n">
        <f aca="false">$H58+$I58</f>
        <v>50</v>
      </c>
      <c r="K58" s="15" t="s">
        <v>109</v>
      </c>
      <c r="L58" s="19" t="n">
        <f aca="false" t="array" ref="L58:L58">IF(AND(INDEX(Profils!$F$5:$F$34,$AE58)&gt;0,INDEX(Profils!$U$5:$U$34,$AE58)&lt;=$AH58),ROUND(INDEX(Profils!$F$5:$F$34,$AE58)*Paramètres!$E$22*$AG58*$AJ58,Paramètres!$F$22),0)</f>
        <v>48</v>
      </c>
      <c r="M58" s="19" t="n">
        <f aca="false" t="array" ref="M58:M58">IF(AND(INDEX(Profils!$G$5:$G$34,$AE58)&gt;0,INDEX(Profils!$V$5:$V$34,$AE58)&lt;=$AH58),ROUND(INDEX(Profils!$G$5:$G$34,$AE58)*Paramètres!$E$23*$AG58*$AJ58,Paramètres!$F$23),0)</f>
        <v>10</v>
      </c>
      <c r="N58" s="19" t="n">
        <f aca="false" t="array" ref="N58:N58">IF(AND(INDEX(Profils!$H$5:$H$34,$AE58)&gt;0,INDEX(Profils!$W$5:$W$34,$AE58)&lt;=$AH58),ROUND(INDEX(Profils!$H$5:$H$34,$AE58)*Paramètres!$E$24*$AG58*$AJ58,Paramètres!$F$24),0)</f>
        <v>22</v>
      </c>
      <c r="O58" s="19" t="n">
        <f aca="false" t="array" ref="O58:O58">IF(AND(INDEX(Profils!$I$5:$I$34,$AE58)&gt;0,INDEX(Profils!$X$5:$X$34,$AE58)&lt;=$AH58),ROUND(INDEX(Profils!$I$5:$I$34,$AE58)*Paramètres!$E$25*$AG58*$AJ58,Paramètres!$F$25),0)</f>
        <v>0</v>
      </c>
      <c r="P58" s="19" t="n">
        <f aca="false" t="array" ref="P58:P58">IF(AND(INDEX(Profils!$J$5:$J$34,$AE58)&gt;0,INDEX(Profils!$Y$5:$Y$34,$AE58)&lt;=$AH58),ROUND(INDEX(Profils!$J$5:$J$34,$AE58)*Paramètres!$E$26*$AG58*$AJ58,Paramètres!$F$26),0)</f>
        <v>0</v>
      </c>
      <c r="Q58" s="19" t="n">
        <f aca="false" t="array" ref="Q58:Q58">IF(AND(INDEX(Profils!$K$5:$K$34,$AE58)&gt;0,INDEX(Profils!$Z$5:$Z$34,$AE58)&lt;=$AH58),ROUND(INDEX(Profils!$K$5:$K$34,$AE58)*Paramètres!$E$27*$AG58*$AJ58,Paramètres!$F$27),0)</f>
        <v>0</v>
      </c>
      <c r="R58" s="20" t="n">
        <f aca="false" t="array" ref="R58:R58">IF(AND(INDEX(Profils!$L$5:$L$34,$AE58)&gt;0,INDEX(Profils!$AA$5:$AA$34,$AE58)&lt;=$AH58),ROUND(INDEX(Profils!$L$5:$L$34,$AE58)*Paramètres!$E$28*$AG58*$AJ58,Paramètres!$F$28),0)</f>
        <v>0</v>
      </c>
      <c r="S58" s="20" t="n">
        <f aca="false" t="array" ref="S58:S58">IF(AND(INDEX(Profils!$M$5:$M$34,$AE58)&gt;0,INDEX(Profils!$AB$5:$AB$34,$AE58)&lt;=$AH58),ROUND(INDEX(Profils!$M$5:$M$34,$AE58)*Paramètres!$E$29*$AG58*$AJ58,Paramètres!$F$29),0)</f>
        <v>0</v>
      </c>
      <c r="T58" s="20" t="n">
        <f aca="false" t="array" ref="T58:T58">IF(AND(INDEX(Profils!$N$5:$N$34,$AE58)&gt;0,INDEX(Profils!$AC$5:$AC$34,$AE58)&lt;=$AH58),ROUND(INDEX(Profils!$N$5:$N$34,$AE58)*Paramètres!$E$30*$AG58*$AJ58,Paramètres!$F$30),0)</f>
        <v>0</v>
      </c>
      <c r="U58" s="19" t="n">
        <f aca="false" t="array" ref="U58:U58">IF(AND(INDEX(Profils!$O$5:$O$34,$AE58)&gt;0,INDEX(Profils!$AD$5:$AD$34,$AE58)&lt;=$AH58),ROUND(INDEX(Profils!$O$5:$O$34,$AE58)*Paramètres!$E$31*$AG58*$AJ58,Paramètres!$F$31),0)</f>
        <v>35</v>
      </c>
      <c r="V58" s="20" t="n">
        <f aca="false" t="array" ref="V58:V58">IF(AND(INDEX(Profils!$P$5:$P$34,$AE58)&gt;0,INDEX(Profils!$AE$5:$AE$34,$AE58)&lt;=$AH58),ROUND(INDEX(Profils!$P$5:$P$34,$AE58)*Paramètres!$E$32*$AG58*$AJ58,Paramètres!$F$32),0)</f>
        <v>0</v>
      </c>
      <c r="W58" s="20" t="n">
        <f aca="false" t="array" ref="W58:W58">IF(AND(INDEX(Profils!$Q$5:$Q$34,$AE58)&gt;0,INDEX(Profils!$AF$5:$AF$34,$AE58)&lt;=$AH58),ROUND(INDEX(Profils!$Q$5:$Q$34,$AE58)*Paramètres!$E$33*$AG58*$AJ58,Paramètres!$F$33),0)</f>
        <v>0.01</v>
      </c>
      <c r="X58" s="20" t="n">
        <f aca="false" t="array" ref="X58:X58">IF(AND(INDEX(Profils!$R$5:$R$34,$AE58)&gt;0,INDEX(Profils!$AG$5:$AG$34,$AE58)&lt;=$AH58),ROUND(INDEX(Profils!$R$5:$R$34,$AE58)*Paramètres!$E$34*$AG58*$AJ58,Paramètres!$F$34),0)</f>
        <v>0</v>
      </c>
      <c r="Y58" s="20" t="n">
        <f aca="false" t="array" ref="Y58:Y58">IF(AND(INDEX(Profils!$S$5:$S$34,$AE58)&gt;0,INDEX(Profils!$AH$5:$AH$34,$AE58)&lt;=$AH58),ROUND(INDEX(Profils!$S$5:$S$34,$AE58)*Paramètres!$E$35*$AG58*$AJ58,Paramètres!$F$35),0)</f>
        <v>0</v>
      </c>
      <c r="Z58" s="21" t="n">
        <f aca="false">ROUND(L58/Paramètres!$E$22+M58/Paramètres!$E$23+N58/Paramètres!$E$24+O58/Paramètres!$E$25+P58/Paramètres!$E$26+Q58/Paramètres!$E$27+R58/Paramètres!$E$28+S58/Paramètres!$E$29+T58/Paramètres!$E$30+U58/Paramètres!$E$31+V58/Paramètres!$E$32+W58/Paramètres!$E$33+X58/Paramètres!$E$34+Y58/Paramètres!$E$35,1)</f>
        <v>6.5</v>
      </c>
      <c r="AA58" s="22" t="s">
        <v>109</v>
      </c>
      <c r="AB58" s="22" t="s">
        <v>109</v>
      </c>
      <c r="AC58" s="15" t="str">
        <f aca="false">$E58</f>
        <v>mithril</v>
      </c>
      <c r="AD58" s="16" t="n">
        <f aca="false" t="array" ref="AD58:AD58">IF($I58&gt;=$AI58,"Max",ROUND(Paramètres!$B$40*($I58+1)^Paramètres!$B$41*INDEX(Paramètres!$H$6:$H$12,$AF58),0))</f>
        <v>5</v>
      </c>
      <c r="AE58" s="23" t="n">
        <f aca="false">MATCH($B58&amp;"|"&amp;$C58,Profils!$A$5:$A$34,0)</f>
        <v>2</v>
      </c>
      <c r="AF58" s="23" t="n">
        <v>4</v>
      </c>
      <c r="AG58" s="24" t="n">
        <f aca="false" t="array" ref="AG58:AG58">INDEX(Paramètres!$C$6:$C$12,$AF58)</f>
        <v>1.75</v>
      </c>
      <c r="AH58" s="23" t="n">
        <f aca="false" t="array" ref="AH58:AH58">INDEX(Paramètres!$D$6:$D$12,$AF58)</f>
        <v>5</v>
      </c>
      <c r="AI58" s="23" t="n">
        <f aca="false" t="array" ref="AI58:AI58">INDEX(Matériaux!$C$16:$C$20,$D58)</f>
        <v>25</v>
      </c>
      <c r="AJ58" s="25" t="n">
        <f aca="false">Paramètres!$B$16+(1-Paramètres!$B$16)*(($J58-Paramètres!$B$14)/(Paramètres!$B$15-Paramètres!$B$14))^Paramètres!$B$17</f>
        <v>0.458504333336152</v>
      </c>
    </row>
    <row r="59" customFormat="false" ht="15.75" hidden="false" customHeight="true" outlineLevel="0" collapsed="false">
      <c r="A59" s="14" t="s">
        <v>167</v>
      </c>
      <c r="B59" s="15" t="s">
        <v>27</v>
      </c>
      <c r="C59" s="15" t="s">
        <v>90</v>
      </c>
      <c r="D59" s="16" t="n">
        <v>4</v>
      </c>
      <c r="E59" s="15" t="str">
        <f aca="false" t="array" ref="E59:E59">INDEX(Matériaux!$B$5:$F$12,MATCH(INDEX(Profils!$E$5:$E$34,$AE59),Matériaux!$A$5:$A$12,0),$D59)</f>
        <v>mithril</v>
      </c>
      <c r="F59" s="29" t="s">
        <v>117</v>
      </c>
      <c r="G59" s="10" t="str">
        <f aca="false" t="array" ref="G59:G59">INDEX(Profils!$D$5:$D$34,$AE59)&amp;" en "&amp;$E59</f>
        <v>Plastron en mithril</v>
      </c>
      <c r="H59" s="16" t="n">
        <f aca="false" t="array" ref="H59:H59">INDEX(Matériaux!$B$16:$B$20,$D59)</f>
        <v>50</v>
      </c>
      <c r="I59" s="16" t="n">
        <f aca="false">IF(ISNUMBER($C$3),MIN(MAX(0,ROUND($C$3,0)),$AI59),$AI59)</f>
        <v>0</v>
      </c>
      <c r="J59" s="18" t="n">
        <f aca="false">$H59+$I59</f>
        <v>50</v>
      </c>
      <c r="K59" s="15" t="s">
        <v>109</v>
      </c>
      <c r="L59" s="19" t="n">
        <f aca="false" t="array" ref="L59:L59">IF(AND(INDEX(Profils!$F$5:$F$34,$AE59)&gt;0,INDEX(Profils!$U$5:$U$34,$AE59)&lt;=$AH59),ROUND(INDEX(Profils!$F$5:$F$34,$AE59)*Paramètres!$E$22*$AG59*$AJ59,Paramètres!$F$22),0)</f>
        <v>58</v>
      </c>
      <c r="M59" s="19" t="n">
        <f aca="false" t="array" ref="M59:M59">IF(AND(INDEX(Profils!$G$5:$G$34,$AE59)&gt;0,INDEX(Profils!$V$5:$V$34,$AE59)&lt;=$AH59),ROUND(INDEX(Profils!$G$5:$G$34,$AE59)*Paramètres!$E$23*$AG59*$AJ59,Paramètres!$F$23),0)</f>
        <v>12</v>
      </c>
      <c r="N59" s="19" t="n">
        <f aca="false" t="array" ref="N59:N59">IF(AND(INDEX(Profils!$H$5:$H$34,$AE59)&gt;0,INDEX(Profils!$W$5:$W$34,$AE59)&lt;=$AH59),ROUND(INDEX(Profils!$H$5:$H$34,$AE59)*Paramètres!$E$24*$AG59*$AJ59,Paramètres!$F$24),0)</f>
        <v>26</v>
      </c>
      <c r="O59" s="19" t="n">
        <f aca="false" t="array" ref="O59:O59">IF(AND(INDEX(Profils!$I$5:$I$34,$AE59)&gt;0,INDEX(Profils!$X$5:$X$34,$AE59)&lt;=$AH59),ROUND(INDEX(Profils!$I$5:$I$34,$AE59)*Paramètres!$E$25*$AG59*$AJ59,Paramètres!$F$25),0)</f>
        <v>0</v>
      </c>
      <c r="P59" s="19" t="n">
        <f aca="false" t="array" ref="P59:P59">IF(AND(INDEX(Profils!$J$5:$J$34,$AE59)&gt;0,INDEX(Profils!$Y$5:$Y$34,$AE59)&lt;=$AH59),ROUND(INDEX(Profils!$J$5:$J$34,$AE59)*Paramètres!$E$26*$AG59*$AJ59,Paramètres!$F$26),0)</f>
        <v>0</v>
      </c>
      <c r="Q59" s="19" t="n">
        <f aca="false" t="array" ref="Q59:Q59">IF(AND(INDEX(Profils!$K$5:$K$34,$AE59)&gt;0,INDEX(Profils!$Z$5:$Z$34,$AE59)&lt;=$AH59),ROUND(INDEX(Profils!$K$5:$K$34,$AE59)*Paramètres!$E$27*$AG59*$AJ59,Paramètres!$F$27),0)</f>
        <v>0</v>
      </c>
      <c r="R59" s="20" t="n">
        <f aca="false" t="array" ref="R59:R59">IF(AND(INDEX(Profils!$L$5:$L$34,$AE59)&gt;0,INDEX(Profils!$AA$5:$AA$34,$AE59)&lt;=$AH59),ROUND(INDEX(Profils!$L$5:$L$34,$AE59)*Paramètres!$E$28*$AG59*$AJ59,Paramètres!$F$28),0)</f>
        <v>0</v>
      </c>
      <c r="S59" s="20" t="n">
        <f aca="false" t="array" ref="S59:S59">IF(AND(INDEX(Profils!$M$5:$M$34,$AE59)&gt;0,INDEX(Profils!$AB$5:$AB$34,$AE59)&lt;=$AH59),ROUND(INDEX(Profils!$M$5:$M$34,$AE59)*Paramètres!$E$29*$AG59*$AJ59,Paramètres!$F$29),0)</f>
        <v>0</v>
      </c>
      <c r="T59" s="20" t="n">
        <f aca="false" t="array" ref="T59:T59">IF(AND(INDEX(Profils!$N$5:$N$34,$AE59)&gt;0,INDEX(Profils!$AC$5:$AC$34,$AE59)&lt;=$AH59),ROUND(INDEX(Profils!$N$5:$N$34,$AE59)*Paramètres!$E$30*$AG59*$AJ59,Paramètres!$F$30),0)</f>
        <v>0</v>
      </c>
      <c r="U59" s="19" t="n">
        <f aca="false" t="array" ref="U59:U59">IF(AND(INDEX(Profils!$O$5:$O$34,$AE59)&gt;0,INDEX(Profils!$AD$5:$AD$34,$AE59)&lt;=$AH59),ROUND(INDEX(Profils!$O$5:$O$34,$AE59)*Paramètres!$E$31*$AG59*$AJ59,Paramètres!$F$31),0)</f>
        <v>42</v>
      </c>
      <c r="V59" s="20" t="n">
        <f aca="false" t="array" ref="V59:V59">IF(AND(INDEX(Profils!$P$5:$P$34,$AE59)&gt;0,INDEX(Profils!$AE$5:$AE$34,$AE59)&lt;=$AH59),ROUND(INDEX(Profils!$P$5:$P$34,$AE59)*Paramètres!$E$32*$AG59*$AJ59,Paramètres!$F$32),0)</f>
        <v>0</v>
      </c>
      <c r="W59" s="20" t="n">
        <f aca="false" t="array" ref="W59:W59">IF(AND(INDEX(Profils!$Q$5:$Q$34,$AE59)&gt;0,INDEX(Profils!$AF$5:$AF$34,$AE59)&lt;=$AH59),ROUND(INDEX(Profils!$Q$5:$Q$34,$AE59)*Paramètres!$E$33*$AG59*$AJ59,Paramètres!$F$33),0)</f>
        <v>0.012</v>
      </c>
      <c r="X59" s="20" t="n">
        <f aca="false" t="array" ref="X59:X59">IF(AND(INDEX(Profils!$R$5:$R$34,$AE59)&gt;0,INDEX(Profils!$AG$5:$AG$34,$AE59)&lt;=$AH59),ROUND(INDEX(Profils!$R$5:$R$34,$AE59)*Paramètres!$E$34*$AG59*$AJ59,Paramètres!$F$34),0)</f>
        <v>0</v>
      </c>
      <c r="Y59" s="20" t="n">
        <f aca="false" t="array" ref="Y59:Y59">IF(AND(INDEX(Profils!$S$5:$S$34,$AE59)&gt;0,INDEX(Profils!$AH$5:$AH$34,$AE59)&lt;=$AH59),ROUND(INDEX(Profils!$S$5:$S$34,$AE59)*Paramètres!$E$35*$AG59*$AJ59,Paramètres!$F$35),0)</f>
        <v>0.009</v>
      </c>
      <c r="Z59" s="21" t="n">
        <f aca="false">ROUND(L59/Paramètres!$E$22+M59/Paramètres!$E$23+N59/Paramètres!$E$24+O59/Paramètres!$E$25+P59/Paramètres!$E$26+Q59/Paramètres!$E$27+R59/Paramètres!$E$28+S59/Paramètres!$E$29+T59/Paramètres!$E$30+U59/Paramètres!$E$31+V59/Paramètres!$E$32+W59/Paramètres!$E$33+X59/Paramètres!$E$34+Y59/Paramètres!$E$35,1)</f>
        <v>8.4</v>
      </c>
      <c r="AA59" s="22" t="s">
        <v>109</v>
      </c>
      <c r="AB59" s="22" t="s">
        <v>109</v>
      </c>
      <c r="AC59" s="15" t="str">
        <f aca="false">$E59</f>
        <v>mithril</v>
      </c>
      <c r="AD59" s="16" t="n">
        <f aca="false" t="array" ref="AD59:AD59">IF($I59&gt;=$AI59,"Max",ROUND(Paramètres!$B$40*($I59+1)^Paramètres!$B$41*INDEX(Paramètres!$H$6:$H$12,$AF59),0))</f>
        <v>6</v>
      </c>
      <c r="AE59" s="23" t="n">
        <f aca="false">MATCH($B59&amp;"|"&amp;$C59,Profils!$A$5:$A$34,0)</f>
        <v>2</v>
      </c>
      <c r="AF59" s="23" t="n">
        <v>5</v>
      </c>
      <c r="AG59" s="24" t="n">
        <f aca="false" t="array" ref="AG59:AG59">INDEX(Paramètres!$C$6:$C$12,$AF59)</f>
        <v>2.1</v>
      </c>
      <c r="AH59" s="23" t="n">
        <f aca="false" t="array" ref="AH59:AH59">INDEX(Paramètres!$D$6:$D$12,$AF59)</f>
        <v>6</v>
      </c>
      <c r="AI59" s="23" t="n">
        <f aca="false" t="array" ref="AI59:AI59">INDEX(Matériaux!$C$16:$C$20,$D59)</f>
        <v>25</v>
      </c>
      <c r="AJ59" s="25" t="n">
        <f aca="false">Paramètres!$B$16+(1-Paramètres!$B$16)*(($J59-Paramètres!$B$14)/(Paramètres!$B$15-Paramètres!$B$14))^Paramètres!$B$17</f>
        <v>0.458504333336152</v>
      </c>
    </row>
    <row r="60" customFormat="false" ht="15.75" hidden="false" customHeight="true" outlineLevel="0" collapsed="false">
      <c r="A60" s="14" t="s">
        <v>168</v>
      </c>
      <c r="B60" s="15" t="s">
        <v>27</v>
      </c>
      <c r="C60" s="15" t="s">
        <v>90</v>
      </c>
      <c r="D60" s="16" t="n">
        <v>4</v>
      </c>
      <c r="E60" s="15" t="str">
        <f aca="false" t="array" ref="E60:E60">INDEX(Matériaux!$B$5:$F$12,MATCH(INDEX(Profils!$E$5:$E$34,$AE60),Matériaux!$A$5:$A$12,0),$D60)</f>
        <v>mithril</v>
      </c>
      <c r="F60" s="30" t="s">
        <v>119</v>
      </c>
      <c r="G60" s="10" t="str">
        <f aca="false" t="array" ref="G60:G60">INDEX(Profils!$D$5:$D$34,$AE60)&amp;" en "&amp;$E60</f>
        <v>Plastron en mithril</v>
      </c>
      <c r="H60" s="16" t="n">
        <f aca="false" t="array" ref="H60:H60">INDEX(Matériaux!$B$16:$B$20,$D60)</f>
        <v>50</v>
      </c>
      <c r="I60" s="16" t="n">
        <f aca="false">IF(ISNUMBER($C$3),MIN(MAX(0,ROUND($C$3,0)),$AI60),$AI60)</f>
        <v>0</v>
      </c>
      <c r="J60" s="18" t="n">
        <f aca="false">$H60+$I60</f>
        <v>50</v>
      </c>
      <c r="K60" s="15" t="s">
        <v>109</v>
      </c>
      <c r="L60" s="19" t="n">
        <f aca="false" t="array" ref="L60:L60">IF(AND(INDEX(Profils!$F$5:$F$34,$AE60)&gt;0,INDEX(Profils!$U$5:$U$34,$AE60)&lt;=$AH60),ROUND(INDEX(Profils!$F$5:$F$34,$AE60)*Paramètres!$E$22*$AG60*$AJ60,Paramètres!$F$22),0)</f>
        <v>66</v>
      </c>
      <c r="M60" s="19" t="n">
        <f aca="false" t="array" ref="M60:M60">IF(AND(INDEX(Profils!$G$5:$G$34,$AE60)&gt;0,INDEX(Profils!$V$5:$V$34,$AE60)&lt;=$AH60),ROUND(INDEX(Profils!$G$5:$G$34,$AE60)*Paramètres!$E$23*$AG60*$AJ60,Paramètres!$F$23),0)</f>
        <v>13</v>
      </c>
      <c r="N60" s="19" t="n">
        <f aca="false" t="array" ref="N60:N60">IF(AND(INDEX(Profils!$H$5:$H$34,$AE60)&gt;0,INDEX(Profils!$W$5:$W$34,$AE60)&lt;=$AH60),ROUND(INDEX(Profils!$H$5:$H$34,$AE60)*Paramètres!$E$24*$AG60*$AJ60,Paramètres!$F$24),0)</f>
        <v>30</v>
      </c>
      <c r="O60" s="19" t="n">
        <f aca="false" t="array" ref="O60:O60">IF(AND(INDEX(Profils!$I$5:$I$34,$AE60)&gt;0,INDEX(Profils!$X$5:$X$34,$AE60)&lt;=$AH60),ROUND(INDEX(Profils!$I$5:$I$34,$AE60)*Paramètres!$E$25*$AG60*$AJ60,Paramètres!$F$25),0)</f>
        <v>0</v>
      </c>
      <c r="P60" s="19" t="n">
        <f aca="false" t="array" ref="P60:P60">IF(AND(INDEX(Profils!$J$5:$J$34,$AE60)&gt;0,INDEX(Profils!$Y$5:$Y$34,$AE60)&lt;=$AH60),ROUND(INDEX(Profils!$J$5:$J$34,$AE60)*Paramètres!$E$26*$AG60*$AJ60,Paramètres!$F$26),0)</f>
        <v>4</v>
      </c>
      <c r="Q60" s="19" t="n">
        <f aca="false" t="array" ref="Q60:Q60">IF(AND(INDEX(Profils!$K$5:$K$34,$AE60)&gt;0,INDEX(Profils!$Z$5:$Z$34,$AE60)&lt;=$AH60),ROUND(INDEX(Profils!$K$5:$K$34,$AE60)*Paramètres!$E$27*$AG60*$AJ60,Paramètres!$F$27),0)</f>
        <v>0</v>
      </c>
      <c r="R60" s="20" t="n">
        <f aca="false" t="array" ref="R60:R60">IF(AND(INDEX(Profils!$L$5:$L$34,$AE60)&gt;0,INDEX(Profils!$AA$5:$AA$34,$AE60)&lt;=$AH60),ROUND(INDEX(Profils!$L$5:$L$34,$AE60)*Paramètres!$E$28*$AG60*$AJ60,Paramètres!$F$28),0)</f>
        <v>0</v>
      </c>
      <c r="S60" s="20" t="n">
        <f aca="false" t="array" ref="S60:S60">IF(AND(INDEX(Profils!$M$5:$M$34,$AE60)&gt;0,INDEX(Profils!$AB$5:$AB$34,$AE60)&lt;=$AH60),ROUND(INDEX(Profils!$M$5:$M$34,$AE60)*Paramètres!$E$29*$AG60*$AJ60,Paramètres!$F$29),0)</f>
        <v>0</v>
      </c>
      <c r="T60" s="20" t="n">
        <f aca="false" t="array" ref="T60:T60">IF(AND(INDEX(Profils!$N$5:$N$34,$AE60)&gt;0,INDEX(Profils!$AC$5:$AC$34,$AE60)&lt;=$AH60),ROUND(INDEX(Profils!$N$5:$N$34,$AE60)*Paramètres!$E$30*$AG60*$AJ60,Paramètres!$F$30),0)</f>
        <v>0</v>
      </c>
      <c r="U60" s="19" t="n">
        <f aca="false" t="array" ref="U60:U60">IF(AND(INDEX(Profils!$O$5:$O$34,$AE60)&gt;0,INDEX(Profils!$AD$5:$AD$34,$AE60)&lt;=$AH60),ROUND(INDEX(Profils!$O$5:$O$34,$AE60)*Paramètres!$E$31*$AG60*$AJ60,Paramètres!$F$31),0)</f>
        <v>48</v>
      </c>
      <c r="V60" s="20" t="n">
        <f aca="false" t="array" ref="V60:V60">IF(AND(INDEX(Profils!$P$5:$P$34,$AE60)&gt;0,INDEX(Profils!$AE$5:$AE$34,$AE60)&lt;=$AH60),ROUND(INDEX(Profils!$P$5:$P$34,$AE60)*Paramètres!$E$32*$AG60*$AJ60,Paramètres!$F$32),0)</f>
        <v>0</v>
      </c>
      <c r="W60" s="20" t="n">
        <f aca="false" t="array" ref="W60:W60">IF(AND(INDEX(Profils!$Q$5:$Q$34,$AE60)&gt;0,INDEX(Profils!$AF$5:$AF$34,$AE60)&lt;=$AH60),ROUND(INDEX(Profils!$Q$5:$Q$34,$AE60)*Paramètres!$E$33*$AG60*$AJ60,Paramètres!$F$33),0)</f>
        <v>0.013</v>
      </c>
      <c r="X60" s="20" t="n">
        <f aca="false" t="array" ref="X60:X60">IF(AND(INDEX(Profils!$R$5:$R$34,$AE60)&gt;0,INDEX(Profils!$AG$5:$AG$34,$AE60)&lt;=$AH60),ROUND(INDEX(Profils!$R$5:$R$34,$AE60)*Paramètres!$E$34*$AG60*$AJ60,Paramètres!$F$34),0)</f>
        <v>0</v>
      </c>
      <c r="Y60" s="20" t="n">
        <f aca="false" t="array" ref="Y60:Y60">IF(AND(INDEX(Profils!$S$5:$S$34,$AE60)&gt;0,INDEX(Profils!$AH$5:$AH$34,$AE60)&lt;=$AH60),ROUND(INDEX(Profils!$S$5:$S$34,$AE60)*Paramètres!$E$35*$AG60*$AJ60,Paramètres!$F$35),0)</f>
        <v>0.01</v>
      </c>
      <c r="Z60" s="21" t="n">
        <f aca="false">ROUND(L60/Paramètres!$E$22+M60/Paramètres!$E$23+N60/Paramètres!$E$24+O60/Paramètres!$E$25+P60/Paramètres!$E$26+Q60/Paramètres!$E$27+R60/Paramètres!$E$28+S60/Paramètres!$E$29+T60/Paramètres!$E$30+U60/Paramètres!$E$31+V60/Paramètres!$E$32+W60/Paramètres!$E$33+X60/Paramètres!$E$34+Y60/Paramètres!$E$35,1)</f>
        <v>9.8</v>
      </c>
      <c r="AA60" s="22" t="s">
        <v>109</v>
      </c>
      <c r="AB60" s="22" t="s">
        <v>109</v>
      </c>
      <c r="AC60" s="15" t="str">
        <f aca="false">$E60</f>
        <v>mithril</v>
      </c>
      <c r="AD60" s="16" t="n">
        <f aca="false" t="array" ref="AD60:AD60">IF($I60&gt;=$AI60,"Max",ROUND(Paramètres!$B$40*($I60+1)^Paramètres!$B$41*INDEX(Paramètres!$H$6:$H$12,$AF60),0))</f>
        <v>8</v>
      </c>
      <c r="AE60" s="23" t="n">
        <f aca="false">MATCH($B60&amp;"|"&amp;$C60,Profils!$A$5:$A$34,0)</f>
        <v>2</v>
      </c>
      <c r="AF60" s="23" t="n">
        <v>6</v>
      </c>
      <c r="AG60" s="24" t="n">
        <f aca="false" t="array" ref="AG60:AG60">INDEX(Paramètres!$C$6:$C$12,$AF60)</f>
        <v>2.4</v>
      </c>
      <c r="AH60" s="23" t="n">
        <f aca="false" t="array" ref="AH60:AH60">INDEX(Paramètres!$D$6:$D$12,$AF60)</f>
        <v>7</v>
      </c>
      <c r="AI60" s="23" t="n">
        <f aca="false" t="array" ref="AI60:AI60">INDEX(Matériaux!$C$16:$C$20,$D60)</f>
        <v>25</v>
      </c>
      <c r="AJ60" s="25" t="n">
        <f aca="false">Paramètres!$B$16+(1-Paramètres!$B$16)*(($J60-Paramètres!$B$14)/(Paramètres!$B$15-Paramètres!$B$14))^Paramètres!$B$17</f>
        <v>0.458504333336152</v>
      </c>
    </row>
    <row r="61" customFormat="false" ht="15.75" hidden="false" customHeight="true" outlineLevel="0" collapsed="false">
      <c r="A61" s="14" t="s">
        <v>169</v>
      </c>
      <c r="B61" s="15" t="s">
        <v>27</v>
      </c>
      <c r="C61" s="15" t="s">
        <v>90</v>
      </c>
      <c r="D61" s="16" t="n">
        <v>5</v>
      </c>
      <c r="E61" s="15" t="str">
        <f aca="false" t="array" ref="E61:E61">INDEX(Matériaux!$B$5:$F$12,MATCH(INDEX(Profils!$E$5:$E$34,$AE61),Matériaux!$A$5:$A$12,0),$D61)</f>
        <v>adamantite</v>
      </c>
      <c r="F61" s="17" t="s">
        <v>108</v>
      </c>
      <c r="G61" s="10" t="str">
        <f aca="false" t="array" ref="G61:G61">INDEX(Profils!$D$5:$D$34,$AE61)&amp;" en "&amp;$E61</f>
        <v>Plastron en adamantite</v>
      </c>
      <c r="H61" s="16" t="n">
        <f aca="false" t="array" ref="H61:H61">INDEX(Matériaux!$B$16:$B$20,$D61)</f>
        <v>70</v>
      </c>
      <c r="I61" s="16" t="n">
        <f aca="false">IF(ISNUMBER($C$3),MIN(MAX(0,ROUND($C$3,0)),$AI61),$AI61)</f>
        <v>0</v>
      </c>
      <c r="J61" s="18" t="n">
        <f aca="false">$H61+$I61</f>
        <v>70</v>
      </c>
      <c r="K61" s="15" t="s">
        <v>109</v>
      </c>
      <c r="L61" s="19" t="n">
        <f aca="false" t="array" ref="L61:L61">IF(AND(INDEX(Profils!$F$5:$F$34,$AE61)&gt;0,INDEX(Profils!$U$5:$U$34,$AE61)&lt;=$AH61),ROUND(INDEX(Profils!$F$5:$F$34,$AE61)*Paramètres!$E$22*$AG61*$AJ61,Paramètres!$F$22),0)</f>
        <v>40</v>
      </c>
      <c r="M61" s="19" t="n">
        <f aca="false" t="array" ref="M61:M61">IF(AND(INDEX(Profils!$G$5:$G$34,$AE61)&gt;0,INDEX(Profils!$V$5:$V$34,$AE61)&lt;=$AH61),ROUND(INDEX(Profils!$G$5:$G$34,$AE61)*Paramètres!$E$23*$AG61*$AJ61,Paramètres!$F$23),0)</f>
        <v>0</v>
      </c>
      <c r="N61" s="19" t="n">
        <f aca="false" t="array" ref="N61:N61">IF(AND(INDEX(Profils!$H$5:$H$34,$AE61)&gt;0,INDEX(Profils!$W$5:$W$34,$AE61)&lt;=$AH61),ROUND(INDEX(Profils!$H$5:$H$34,$AE61)*Paramètres!$E$24*$AG61*$AJ61,Paramètres!$F$24),0)</f>
        <v>0</v>
      </c>
      <c r="O61" s="19" t="n">
        <f aca="false" t="array" ref="O61:O61">IF(AND(INDEX(Profils!$I$5:$I$34,$AE61)&gt;0,INDEX(Profils!$X$5:$X$34,$AE61)&lt;=$AH61),ROUND(INDEX(Profils!$I$5:$I$34,$AE61)*Paramètres!$E$25*$AG61*$AJ61,Paramètres!$F$25),0)</f>
        <v>0</v>
      </c>
      <c r="P61" s="19" t="n">
        <f aca="false" t="array" ref="P61:P61">IF(AND(INDEX(Profils!$J$5:$J$34,$AE61)&gt;0,INDEX(Profils!$Y$5:$Y$34,$AE61)&lt;=$AH61),ROUND(INDEX(Profils!$J$5:$J$34,$AE61)*Paramètres!$E$26*$AG61*$AJ61,Paramètres!$F$26),0)</f>
        <v>0</v>
      </c>
      <c r="Q61" s="19" t="n">
        <f aca="false" t="array" ref="Q61:Q61">IF(AND(INDEX(Profils!$K$5:$K$34,$AE61)&gt;0,INDEX(Profils!$Z$5:$Z$34,$AE61)&lt;=$AH61),ROUND(INDEX(Profils!$K$5:$K$34,$AE61)*Paramètres!$E$27*$AG61*$AJ61,Paramètres!$F$27),0)</f>
        <v>0</v>
      </c>
      <c r="R61" s="20" t="n">
        <f aca="false" t="array" ref="R61:R61">IF(AND(INDEX(Profils!$L$5:$L$34,$AE61)&gt;0,INDEX(Profils!$AA$5:$AA$34,$AE61)&lt;=$AH61),ROUND(INDEX(Profils!$L$5:$L$34,$AE61)*Paramètres!$E$28*$AG61*$AJ61,Paramètres!$F$28),0)</f>
        <v>0</v>
      </c>
      <c r="S61" s="20" t="n">
        <f aca="false" t="array" ref="S61:S61">IF(AND(INDEX(Profils!$M$5:$M$34,$AE61)&gt;0,INDEX(Profils!$AB$5:$AB$34,$AE61)&lt;=$AH61),ROUND(INDEX(Profils!$M$5:$M$34,$AE61)*Paramètres!$E$29*$AG61*$AJ61,Paramètres!$F$29),0)</f>
        <v>0</v>
      </c>
      <c r="T61" s="20" t="n">
        <f aca="false" t="array" ref="T61:T61">IF(AND(INDEX(Profils!$N$5:$N$34,$AE61)&gt;0,INDEX(Profils!$AC$5:$AC$34,$AE61)&lt;=$AH61),ROUND(INDEX(Profils!$N$5:$N$34,$AE61)*Paramètres!$E$30*$AG61*$AJ61,Paramètres!$F$30),0)</f>
        <v>0</v>
      </c>
      <c r="U61" s="19" t="n">
        <f aca="false" t="array" ref="U61:U61">IF(AND(INDEX(Profils!$O$5:$O$34,$AE61)&gt;0,INDEX(Profils!$AD$5:$AD$34,$AE61)&lt;=$AH61),ROUND(INDEX(Profils!$O$5:$O$34,$AE61)*Paramètres!$E$31*$AG61*$AJ61,Paramètres!$F$31),0)</f>
        <v>29</v>
      </c>
      <c r="V61" s="20" t="n">
        <f aca="false" t="array" ref="V61:V61">IF(AND(INDEX(Profils!$P$5:$P$34,$AE61)&gt;0,INDEX(Profils!$AE$5:$AE$34,$AE61)&lt;=$AH61),ROUND(INDEX(Profils!$P$5:$P$34,$AE61)*Paramètres!$E$32*$AG61*$AJ61,Paramètres!$F$32),0)</f>
        <v>0</v>
      </c>
      <c r="W61" s="20" t="n">
        <f aca="false" t="array" ref="W61:W61">IF(AND(INDEX(Profils!$Q$5:$Q$34,$AE61)&gt;0,INDEX(Profils!$AF$5:$AF$34,$AE61)&lt;=$AH61),ROUND(INDEX(Profils!$Q$5:$Q$34,$AE61)*Paramètres!$E$33*$AG61*$AJ61,Paramètres!$F$33),0)</f>
        <v>0</v>
      </c>
      <c r="X61" s="20" t="n">
        <f aca="false" t="array" ref="X61:X61">IF(AND(INDEX(Profils!$R$5:$R$34,$AE61)&gt;0,INDEX(Profils!$AG$5:$AG$34,$AE61)&lt;=$AH61),ROUND(INDEX(Profils!$R$5:$R$34,$AE61)*Paramètres!$E$34*$AG61*$AJ61,Paramètres!$F$34),0)</f>
        <v>0</v>
      </c>
      <c r="Y61" s="20" t="n">
        <f aca="false" t="array" ref="Y61:Y61">IF(AND(INDEX(Profils!$S$5:$S$34,$AE61)&gt;0,INDEX(Profils!$AH$5:$AH$34,$AE61)&lt;=$AH61),ROUND(INDEX(Profils!$S$5:$S$34,$AE61)*Paramètres!$E$35*$AG61*$AJ61,Paramètres!$F$35),0)</f>
        <v>0</v>
      </c>
      <c r="Z61" s="21" t="n">
        <f aca="false">ROUND(L61/Paramètres!$E$22+M61/Paramètres!$E$23+N61/Paramètres!$E$24+O61/Paramètres!$E$25+P61/Paramètres!$E$26+Q61/Paramètres!$E$27+R61/Paramètres!$E$28+S61/Paramètres!$E$29+T61/Paramètres!$E$30+U61/Paramètres!$E$31+V61/Paramètres!$E$32+W61/Paramètres!$E$33+X61/Paramètres!$E$34+Y61/Paramètres!$E$35,1)</f>
        <v>3.1</v>
      </c>
      <c r="AA61" s="22" t="s">
        <v>109</v>
      </c>
      <c r="AB61" s="22" t="s">
        <v>109</v>
      </c>
      <c r="AC61" s="15" t="str">
        <f aca="false">$E61</f>
        <v>adamantite</v>
      </c>
      <c r="AD61" s="16" t="n">
        <f aca="false" t="array" ref="AD61:AD61">IF($I61&gt;=$AI61,"Max",ROUND(Paramètres!$B$40*($I61+1)^Paramètres!$B$41*INDEX(Paramètres!$H$6:$H$12,$AF61),0))</f>
        <v>3</v>
      </c>
      <c r="AE61" s="23" t="n">
        <f aca="false">MATCH($B61&amp;"|"&amp;$C61,Profils!$A$5:$A$34,0)</f>
        <v>2</v>
      </c>
      <c r="AF61" s="23" t="n">
        <v>1</v>
      </c>
      <c r="AG61" s="24" t="n">
        <f aca="false" t="array" ref="AG61:AG61">INDEX(Paramètres!$C$6:$C$12,$AF61)</f>
        <v>1</v>
      </c>
      <c r="AH61" s="23" t="n">
        <f aca="false" t="array" ref="AH61:AH61">INDEX(Paramètres!$D$6:$D$12,$AF61)</f>
        <v>2</v>
      </c>
      <c r="AI61" s="23" t="n">
        <f aca="false" t="array" ref="AI61:AI61">INDEX(Matériaux!$C$16:$C$20,$D61)</f>
        <v>30</v>
      </c>
      <c r="AJ61" s="25" t="n">
        <f aca="false">Paramètres!$B$16+(1-Paramètres!$B$16)*(($J61-Paramètres!$B$14)/(Paramètres!$B$15-Paramètres!$B$14))^Paramètres!$B$17</f>
        <v>0.665999387952727</v>
      </c>
    </row>
    <row r="62" customFormat="false" ht="15.75" hidden="false" customHeight="true" outlineLevel="0" collapsed="false">
      <c r="A62" s="14" t="s">
        <v>170</v>
      </c>
      <c r="B62" s="15" t="s">
        <v>27</v>
      </c>
      <c r="C62" s="15" t="s">
        <v>90</v>
      </c>
      <c r="D62" s="16" t="n">
        <v>5</v>
      </c>
      <c r="E62" s="15" t="str">
        <f aca="false" t="array" ref="E62:E62">INDEX(Matériaux!$B$5:$F$12,MATCH(INDEX(Profils!$E$5:$E$34,$AE62),Matériaux!$A$5:$A$12,0),$D62)</f>
        <v>adamantite</v>
      </c>
      <c r="F62" s="26" t="s">
        <v>111</v>
      </c>
      <c r="G62" s="10" t="str">
        <f aca="false" t="array" ref="G62:G62">INDEX(Profils!$D$5:$D$34,$AE62)&amp;" en "&amp;$E62</f>
        <v>Plastron en adamantite</v>
      </c>
      <c r="H62" s="16" t="n">
        <f aca="false" t="array" ref="H62:H62">INDEX(Matériaux!$B$16:$B$20,$D62)</f>
        <v>70</v>
      </c>
      <c r="I62" s="16" t="n">
        <f aca="false">IF(ISNUMBER($C$3),MIN(MAX(0,ROUND($C$3,0)),$AI62),$AI62)</f>
        <v>0</v>
      </c>
      <c r="J62" s="18" t="n">
        <f aca="false">$H62+$I62</f>
        <v>70</v>
      </c>
      <c r="K62" s="15" t="s">
        <v>109</v>
      </c>
      <c r="L62" s="19" t="n">
        <f aca="false" t="array" ref="L62:L62">IF(AND(INDEX(Profils!$F$5:$F$34,$AE62)&gt;0,INDEX(Profils!$U$5:$U$34,$AE62)&lt;=$AH62),ROUND(INDEX(Profils!$F$5:$F$34,$AE62)*Paramètres!$E$22*$AG62*$AJ62,Paramètres!$F$22),0)</f>
        <v>48</v>
      </c>
      <c r="M62" s="19" t="n">
        <f aca="false" t="array" ref="M62:M62">IF(AND(INDEX(Profils!$G$5:$G$34,$AE62)&gt;0,INDEX(Profils!$V$5:$V$34,$AE62)&lt;=$AH62),ROUND(INDEX(Profils!$G$5:$G$34,$AE62)*Paramètres!$E$23*$AG62*$AJ62,Paramètres!$F$23),0)</f>
        <v>0</v>
      </c>
      <c r="N62" s="19" t="n">
        <f aca="false" t="array" ref="N62:N62">IF(AND(INDEX(Profils!$H$5:$H$34,$AE62)&gt;0,INDEX(Profils!$W$5:$W$34,$AE62)&lt;=$AH62),ROUND(INDEX(Profils!$H$5:$H$34,$AE62)*Paramètres!$E$24*$AG62*$AJ62,Paramètres!$F$24),0)</f>
        <v>22</v>
      </c>
      <c r="O62" s="19" t="n">
        <f aca="false" t="array" ref="O62:O62">IF(AND(INDEX(Profils!$I$5:$I$34,$AE62)&gt;0,INDEX(Profils!$X$5:$X$34,$AE62)&lt;=$AH62),ROUND(INDEX(Profils!$I$5:$I$34,$AE62)*Paramètres!$E$25*$AG62*$AJ62,Paramètres!$F$25),0)</f>
        <v>0</v>
      </c>
      <c r="P62" s="19" t="n">
        <f aca="false" t="array" ref="P62:P62">IF(AND(INDEX(Profils!$J$5:$J$34,$AE62)&gt;0,INDEX(Profils!$Y$5:$Y$34,$AE62)&lt;=$AH62),ROUND(INDEX(Profils!$J$5:$J$34,$AE62)*Paramètres!$E$26*$AG62*$AJ62,Paramètres!$F$26),0)</f>
        <v>0</v>
      </c>
      <c r="Q62" s="19" t="n">
        <f aca="false" t="array" ref="Q62:Q62">IF(AND(INDEX(Profils!$K$5:$K$34,$AE62)&gt;0,INDEX(Profils!$Z$5:$Z$34,$AE62)&lt;=$AH62),ROUND(INDEX(Profils!$K$5:$K$34,$AE62)*Paramètres!$E$27*$AG62*$AJ62,Paramètres!$F$27),0)</f>
        <v>0</v>
      </c>
      <c r="R62" s="20" t="n">
        <f aca="false" t="array" ref="R62:R62">IF(AND(INDEX(Profils!$L$5:$L$34,$AE62)&gt;0,INDEX(Profils!$AA$5:$AA$34,$AE62)&lt;=$AH62),ROUND(INDEX(Profils!$L$5:$L$34,$AE62)*Paramètres!$E$28*$AG62*$AJ62,Paramètres!$F$28),0)</f>
        <v>0</v>
      </c>
      <c r="S62" s="20" t="n">
        <f aca="false" t="array" ref="S62:S62">IF(AND(INDEX(Profils!$M$5:$M$34,$AE62)&gt;0,INDEX(Profils!$AB$5:$AB$34,$AE62)&lt;=$AH62),ROUND(INDEX(Profils!$M$5:$M$34,$AE62)*Paramètres!$E$29*$AG62*$AJ62,Paramètres!$F$29),0)</f>
        <v>0</v>
      </c>
      <c r="T62" s="20" t="n">
        <f aca="false" t="array" ref="T62:T62">IF(AND(INDEX(Profils!$N$5:$N$34,$AE62)&gt;0,INDEX(Profils!$AC$5:$AC$34,$AE62)&lt;=$AH62),ROUND(INDEX(Profils!$N$5:$N$34,$AE62)*Paramètres!$E$30*$AG62*$AJ62,Paramètres!$F$30),0)</f>
        <v>0</v>
      </c>
      <c r="U62" s="19" t="n">
        <f aca="false" t="array" ref="U62:U62">IF(AND(INDEX(Profils!$O$5:$O$34,$AE62)&gt;0,INDEX(Profils!$AD$5:$AD$34,$AE62)&lt;=$AH62),ROUND(INDEX(Profils!$O$5:$O$34,$AE62)*Paramètres!$E$31*$AG62*$AJ62,Paramètres!$F$31),0)</f>
        <v>35</v>
      </c>
      <c r="V62" s="20" t="n">
        <f aca="false" t="array" ref="V62:V62">IF(AND(INDEX(Profils!$P$5:$P$34,$AE62)&gt;0,INDEX(Profils!$AE$5:$AE$34,$AE62)&lt;=$AH62),ROUND(INDEX(Profils!$P$5:$P$34,$AE62)*Paramètres!$E$32*$AG62*$AJ62,Paramètres!$F$32),0)</f>
        <v>0</v>
      </c>
      <c r="W62" s="20" t="n">
        <f aca="false" t="array" ref="W62:W62">IF(AND(INDEX(Profils!$Q$5:$Q$34,$AE62)&gt;0,INDEX(Profils!$AF$5:$AF$34,$AE62)&lt;=$AH62),ROUND(INDEX(Profils!$Q$5:$Q$34,$AE62)*Paramètres!$E$33*$AG62*$AJ62,Paramètres!$F$33),0)</f>
        <v>0</v>
      </c>
      <c r="X62" s="20" t="n">
        <f aca="false" t="array" ref="X62:X62">IF(AND(INDEX(Profils!$R$5:$R$34,$AE62)&gt;0,INDEX(Profils!$AG$5:$AG$34,$AE62)&lt;=$AH62),ROUND(INDEX(Profils!$R$5:$R$34,$AE62)*Paramètres!$E$34*$AG62*$AJ62,Paramètres!$F$34),0)</f>
        <v>0</v>
      </c>
      <c r="Y62" s="20" t="n">
        <f aca="false" t="array" ref="Y62:Y62">IF(AND(INDEX(Profils!$S$5:$S$34,$AE62)&gt;0,INDEX(Profils!$AH$5:$AH$34,$AE62)&lt;=$AH62),ROUND(INDEX(Profils!$S$5:$S$34,$AE62)*Paramètres!$E$35*$AG62*$AJ62,Paramètres!$F$35),0)</f>
        <v>0</v>
      </c>
      <c r="Z62" s="21" t="n">
        <f aca="false">ROUND(L62/Paramètres!$E$22+M62/Paramètres!$E$23+N62/Paramètres!$E$24+O62/Paramètres!$E$25+P62/Paramètres!$E$26+Q62/Paramètres!$E$27+R62/Paramètres!$E$28+S62/Paramètres!$E$29+T62/Paramètres!$E$30+U62/Paramètres!$E$31+V62/Paramètres!$E$32+W62/Paramètres!$E$33+X62/Paramètres!$E$34+Y62/Paramètres!$E$35,1)</f>
        <v>5.1</v>
      </c>
      <c r="AA62" s="22" t="s">
        <v>109</v>
      </c>
      <c r="AB62" s="22" t="s">
        <v>109</v>
      </c>
      <c r="AC62" s="15" t="str">
        <f aca="false">$E62</f>
        <v>adamantite</v>
      </c>
      <c r="AD62" s="16" t="n">
        <f aca="false" t="array" ref="AD62:AD62">IF($I62&gt;=$AI62,"Max",ROUND(Paramètres!$B$40*($I62+1)^Paramètres!$B$41*INDEX(Paramètres!$H$6:$H$12,$AF62),0))</f>
        <v>4</v>
      </c>
      <c r="AE62" s="23" t="n">
        <f aca="false">MATCH($B62&amp;"|"&amp;$C62,Profils!$A$5:$A$34,0)</f>
        <v>2</v>
      </c>
      <c r="AF62" s="23" t="n">
        <v>2</v>
      </c>
      <c r="AG62" s="24" t="n">
        <f aca="false" t="array" ref="AG62:AG62">INDEX(Paramètres!$C$6:$C$12,$AF62)</f>
        <v>1.2</v>
      </c>
      <c r="AH62" s="23" t="n">
        <f aca="false" t="array" ref="AH62:AH62">INDEX(Paramètres!$D$6:$D$12,$AF62)</f>
        <v>3</v>
      </c>
      <c r="AI62" s="23" t="n">
        <f aca="false" t="array" ref="AI62:AI62">INDEX(Matériaux!$C$16:$C$20,$D62)</f>
        <v>30</v>
      </c>
      <c r="AJ62" s="25" t="n">
        <f aca="false">Paramètres!$B$16+(1-Paramètres!$B$16)*(($J62-Paramètres!$B$14)/(Paramètres!$B$15-Paramètres!$B$14))^Paramètres!$B$17</f>
        <v>0.665999387952727</v>
      </c>
    </row>
    <row r="63" customFormat="false" ht="15.75" hidden="false" customHeight="true" outlineLevel="0" collapsed="false">
      <c r="A63" s="14" t="s">
        <v>171</v>
      </c>
      <c r="B63" s="15" t="s">
        <v>27</v>
      </c>
      <c r="C63" s="15" t="s">
        <v>90</v>
      </c>
      <c r="D63" s="16" t="n">
        <v>5</v>
      </c>
      <c r="E63" s="15" t="str">
        <f aca="false" t="array" ref="E63:E63">INDEX(Matériaux!$B$5:$F$12,MATCH(INDEX(Profils!$E$5:$E$34,$AE63),Matériaux!$A$5:$A$12,0),$D63)</f>
        <v>adamantite</v>
      </c>
      <c r="F63" s="27" t="s">
        <v>113</v>
      </c>
      <c r="G63" s="10" t="str">
        <f aca="false" t="array" ref="G63:G63">INDEX(Profils!$D$5:$D$34,$AE63)&amp;" en "&amp;$E63</f>
        <v>Plastron en adamantite</v>
      </c>
      <c r="H63" s="16" t="n">
        <f aca="false" t="array" ref="H63:H63">INDEX(Matériaux!$B$16:$B$20,$D63)</f>
        <v>70</v>
      </c>
      <c r="I63" s="16" t="n">
        <f aca="false">IF(ISNUMBER($C$3),MIN(MAX(0,ROUND($C$3,0)),$AI63),$AI63)</f>
        <v>0</v>
      </c>
      <c r="J63" s="18" t="n">
        <f aca="false">$H63+$I63</f>
        <v>70</v>
      </c>
      <c r="K63" s="15" t="s">
        <v>109</v>
      </c>
      <c r="L63" s="19" t="n">
        <f aca="false" t="array" ref="L63:L63">IF(AND(INDEX(Profils!$F$5:$F$34,$AE63)&gt;0,INDEX(Profils!$U$5:$U$34,$AE63)&lt;=$AH63),ROUND(INDEX(Profils!$F$5:$F$34,$AE63)*Paramètres!$E$22*$AG63*$AJ63,Paramètres!$F$22),0)</f>
        <v>58</v>
      </c>
      <c r="M63" s="19" t="n">
        <f aca="false" t="array" ref="M63:M63">IF(AND(INDEX(Profils!$G$5:$G$34,$AE63)&gt;0,INDEX(Profils!$V$5:$V$34,$AE63)&lt;=$AH63),ROUND(INDEX(Profils!$G$5:$G$34,$AE63)*Paramètres!$E$23*$AG63*$AJ63,Paramètres!$F$23),0)</f>
        <v>12</v>
      </c>
      <c r="N63" s="19" t="n">
        <f aca="false" t="array" ref="N63:N63">IF(AND(INDEX(Profils!$H$5:$H$34,$AE63)&gt;0,INDEX(Profils!$W$5:$W$34,$AE63)&lt;=$AH63),ROUND(INDEX(Profils!$H$5:$H$34,$AE63)*Paramètres!$E$24*$AG63*$AJ63,Paramètres!$F$24),0)</f>
        <v>26</v>
      </c>
      <c r="O63" s="19" t="n">
        <f aca="false" t="array" ref="O63:O63">IF(AND(INDEX(Profils!$I$5:$I$34,$AE63)&gt;0,INDEX(Profils!$X$5:$X$34,$AE63)&lt;=$AH63),ROUND(INDEX(Profils!$I$5:$I$34,$AE63)*Paramètres!$E$25*$AG63*$AJ63,Paramètres!$F$25),0)</f>
        <v>0</v>
      </c>
      <c r="P63" s="19" t="n">
        <f aca="false" t="array" ref="P63:P63">IF(AND(INDEX(Profils!$J$5:$J$34,$AE63)&gt;0,INDEX(Profils!$Y$5:$Y$34,$AE63)&lt;=$AH63),ROUND(INDEX(Profils!$J$5:$J$34,$AE63)*Paramètres!$E$26*$AG63*$AJ63,Paramètres!$F$26),0)</f>
        <v>0</v>
      </c>
      <c r="Q63" s="19" t="n">
        <f aca="false" t="array" ref="Q63:Q63">IF(AND(INDEX(Profils!$K$5:$K$34,$AE63)&gt;0,INDEX(Profils!$Z$5:$Z$34,$AE63)&lt;=$AH63),ROUND(INDEX(Profils!$K$5:$K$34,$AE63)*Paramètres!$E$27*$AG63*$AJ63,Paramètres!$F$27),0)</f>
        <v>0</v>
      </c>
      <c r="R63" s="20" t="n">
        <f aca="false" t="array" ref="R63:R63">IF(AND(INDEX(Profils!$L$5:$L$34,$AE63)&gt;0,INDEX(Profils!$AA$5:$AA$34,$AE63)&lt;=$AH63),ROUND(INDEX(Profils!$L$5:$L$34,$AE63)*Paramètres!$E$28*$AG63*$AJ63,Paramètres!$F$28),0)</f>
        <v>0</v>
      </c>
      <c r="S63" s="20" t="n">
        <f aca="false" t="array" ref="S63:S63">IF(AND(INDEX(Profils!$M$5:$M$34,$AE63)&gt;0,INDEX(Profils!$AB$5:$AB$34,$AE63)&lt;=$AH63),ROUND(INDEX(Profils!$M$5:$M$34,$AE63)*Paramètres!$E$29*$AG63*$AJ63,Paramètres!$F$29),0)</f>
        <v>0</v>
      </c>
      <c r="T63" s="20" t="n">
        <f aca="false" t="array" ref="T63:T63">IF(AND(INDEX(Profils!$N$5:$N$34,$AE63)&gt;0,INDEX(Profils!$AC$5:$AC$34,$AE63)&lt;=$AH63),ROUND(INDEX(Profils!$N$5:$N$34,$AE63)*Paramètres!$E$30*$AG63*$AJ63,Paramètres!$F$30),0)</f>
        <v>0</v>
      </c>
      <c r="U63" s="19" t="n">
        <f aca="false" t="array" ref="U63:U63">IF(AND(INDEX(Profils!$O$5:$O$34,$AE63)&gt;0,INDEX(Profils!$AD$5:$AD$34,$AE63)&lt;=$AH63),ROUND(INDEX(Profils!$O$5:$O$34,$AE63)*Paramètres!$E$31*$AG63*$AJ63,Paramètres!$F$31),0)</f>
        <v>42</v>
      </c>
      <c r="V63" s="20" t="n">
        <f aca="false" t="array" ref="V63:V63">IF(AND(INDEX(Profils!$P$5:$P$34,$AE63)&gt;0,INDEX(Profils!$AE$5:$AE$34,$AE63)&lt;=$AH63),ROUND(INDEX(Profils!$P$5:$P$34,$AE63)*Paramètres!$E$32*$AG63*$AJ63,Paramètres!$F$32),0)</f>
        <v>0</v>
      </c>
      <c r="W63" s="20" t="n">
        <f aca="false" t="array" ref="W63:W63">IF(AND(INDEX(Profils!$Q$5:$Q$34,$AE63)&gt;0,INDEX(Profils!$AF$5:$AF$34,$AE63)&lt;=$AH63),ROUND(INDEX(Profils!$Q$5:$Q$34,$AE63)*Paramètres!$E$33*$AG63*$AJ63,Paramètres!$F$33),0)</f>
        <v>0</v>
      </c>
      <c r="X63" s="20" t="n">
        <f aca="false" t="array" ref="X63:X63">IF(AND(INDEX(Profils!$R$5:$R$34,$AE63)&gt;0,INDEX(Profils!$AG$5:$AG$34,$AE63)&lt;=$AH63),ROUND(INDEX(Profils!$R$5:$R$34,$AE63)*Paramètres!$E$34*$AG63*$AJ63,Paramètres!$F$34),0)</f>
        <v>0</v>
      </c>
      <c r="Y63" s="20" t="n">
        <f aca="false" t="array" ref="Y63:Y63">IF(AND(INDEX(Profils!$S$5:$S$34,$AE63)&gt;0,INDEX(Profils!$AH$5:$AH$34,$AE63)&lt;=$AH63),ROUND(INDEX(Profils!$S$5:$S$34,$AE63)*Paramètres!$E$35*$AG63*$AJ63,Paramètres!$F$35),0)</f>
        <v>0</v>
      </c>
      <c r="Z63" s="21" t="n">
        <f aca="false">ROUND(L63/Paramètres!$E$22+M63/Paramètres!$E$23+N63/Paramètres!$E$24+O63/Paramètres!$E$25+P63/Paramètres!$E$26+Q63/Paramètres!$E$27+R63/Paramètres!$E$28+S63/Paramètres!$E$29+T63/Paramètres!$E$30+U63/Paramètres!$E$31+V63/Paramètres!$E$32+W63/Paramètres!$E$33+X63/Paramètres!$E$34+Y63/Paramètres!$E$35,1)</f>
        <v>7</v>
      </c>
      <c r="AA63" s="22" t="s">
        <v>109</v>
      </c>
      <c r="AB63" s="22" t="s">
        <v>109</v>
      </c>
      <c r="AC63" s="15" t="str">
        <f aca="false">$E63</f>
        <v>adamantite</v>
      </c>
      <c r="AD63" s="16" t="n">
        <f aca="false" t="array" ref="AD63:AD63">IF($I63&gt;=$AI63,"Max",ROUND(Paramètres!$B$40*($I63+1)^Paramètres!$B$41*INDEX(Paramètres!$H$6:$H$12,$AF63),0))</f>
        <v>4</v>
      </c>
      <c r="AE63" s="23" t="n">
        <f aca="false">MATCH($B63&amp;"|"&amp;$C63,Profils!$A$5:$A$34,0)</f>
        <v>2</v>
      </c>
      <c r="AF63" s="23" t="n">
        <v>3</v>
      </c>
      <c r="AG63" s="24" t="n">
        <f aca="false" t="array" ref="AG63:AG63">INDEX(Paramètres!$C$6:$C$12,$AF63)</f>
        <v>1.45</v>
      </c>
      <c r="AH63" s="23" t="n">
        <f aca="false" t="array" ref="AH63:AH63">INDEX(Paramètres!$D$6:$D$12,$AF63)</f>
        <v>4</v>
      </c>
      <c r="AI63" s="23" t="n">
        <f aca="false" t="array" ref="AI63:AI63">INDEX(Matériaux!$C$16:$C$20,$D63)</f>
        <v>30</v>
      </c>
      <c r="AJ63" s="25" t="n">
        <f aca="false">Paramètres!$B$16+(1-Paramètres!$B$16)*(($J63-Paramètres!$B$14)/(Paramètres!$B$15-Paramètres!$B$14))^Paramètres!$B$17</f>
        <v>0.665999387952727</v>
      </c>
    </row>
    <row r="64" customFormat="false" ht="15.75" hidden="false" customHeight="true" outlineLevel="0" collapsed="false">
      <c r="A64" s="14" t="s">
        <v>172</v>
      </c>
      <c r="B64" s="15" t="s">
        <v>27</v>
      </c>
      <c r="C64" s="15" t="s">
        <v>90</v>
      </c>
      <c r="D64" s="16" t="n">
        <v>5</v>
      </c>
      <c r="E64" s="15" t="str">
        <f aca="false" t="array" ref="E64:E64">INDEX(Matériaux!$B$5:$F$12,MATCH(INDEX(Profils!$E$5:$E$34,$AE64),Matériaux!$A$5:$A$12,0),$D64)</f>
        <v>adamantite</v>
      </c>
      <c r="F64" s="28" t="s">
        <v>115</v>
      </c>
      <c r="G64" s="10" t="str">
        <f aca="false" t="array" ref="G64:G64">INDEX(Profils!$D$5:$D$34,$AE64)&amp;" en "&amp;$E64</f>
        <v>Plastron en adamantite</v>
      </c>
      <c r="H64" s="16" t="n">
        <f aca="false" t="array" ref="H64:H64">INDEX(Matériaux!$B$16:$B$20,$D64)</f>
        <v>70</v>
      </c>
      <c r="I64" s="16" t="n">
        <f aca="false">IF(ISNUMBER($C$3),MIN(MAX(0,ROUND($C$3,0)),$AI64),$AI64)</f>
        <v>0</v>
      </c>
      <c r="J64" s="18" t="n">
        <f aca="false">$H64+$I64</f>
        <v>70</v>
      </c>
      <c r="K64" s="15" t="s">
        <v>109</v>
      </c>
      <c r="L64" s="19" t="n">
        <f aca="false" t="array" ref="L64:L64">IF(AND(INDEX(Profils!$F$5:$F$34,$AE64)&gt;0,INDEX(Profils!$U$5:$U$34,$AE64)&lt;=$AH64),ROUND(INDEX(Profils!$F$5:$F$34,$AE64)*Paramètres!$E$22*$AG64*$AJ64,Paramètres!$F$22),0)</f>
        <v>70</v>
      </c>
      <c r="M64" s="19" t="n">
        <f aca="false" t="array" ref="M64:M64">IF(AND(INDEX(Profils!$G$5:$G$34,$AE64)&gt;0,INDEX(Profils!$V$5:$V$34,$AE64)&lt;=$AH64),ROUND(INDEX(Profils!$G$5:$G$34,$AE64)*Paramètres!$E$23*$AG64*$AJ64,Paramètres!$F$23),0)</f>
        <v>14</v>
      </c>
      <c r="N64" s="19" t="n">
        <f aca="false" t="array" ref="N64:N64">IF(AND(INDEX(Profils!$H$5:$H$34,$AE64)&gt;0,INDEX(Profils!$W$5:$W$34,$AE64)&lt;=$AH64),ROUND(INDEX(Profils!$H$5:$H$34,$AE64)*Paramètres!$E$24*$AG64*$AJ64,Paramètres!$F$24),0)</f>
        <v>31</v>
      </c>
      <c r="O64" s="19" t="n">
        <f aca="false" t="array" ref="O64:O64">IF(AND(INDEX(Profils!$I$5:$I$34,$AE64)&gt;0,INDEX(Profils!$X$5:$X$34,$AE64)&lt;=$AH64),ROUND(INDEX(Profils!$I$5:$I$34,$AE64)*Paramètres!$E$25*$AG64*$AJ64,Paramètres!$F$25),0)</f>
        <v>0</v>
      </c>
      <c r="P64" s="19" t="n">
        <f aca="false" t="array" ref="P64:P64">IF(AND(INDEX(Profils!$J$5:$J$34,$AE64)&gt;0,INDEX(Profils!$Y$5:$Y$34,$AE64)&lt;=$AH64),ROUND(INDEX(Profils!$J$5:$J$34,$AE64)*Paramètres!$E$26*$AG64*$AJ64,Paramètres!$F$26),0)</f>
        <v>0</v>
      </c>
      <c r="Q64" s="19" t="n">
        <f aca="false" t="array" ref="Q64:Q64">IF(AND(INDEX(Profils!$K$5:$K$34,$AE64)&gt;0,INDEX(Profils!$Z$5:$Z$34,$AE64)&lt;=$AH64),ROUND(INDEX(Profils!$K$5:$K$34,$AE64)*Paramètres!$E$27*$AG64*$AJ64,Paramètres!$F$27),0)</f>
        <v>0</v>
      </c>
      <c r="R64" s="20" t="n">
        <f aca="false" t="array" ref="R64:R64">IF(AND(INDEX(Profils!$L$5:$L$34,$AE64)&gt;0,INDEX(Profils!$AA$5:$AA$34,$AE64)&lt;=$AH64),ROUND(INDEX(Profils!$L$5:$L$34,$AE64)*Paramètres!$E$28*$AG64*$AJ64,Paramètres!$F$28),0)</f>
        <v>0</v>
      </c>
      <c r="S64" s="20" t="n">
        <f aca="false" t="array" ref="S64:S64">IF(AND(INDEX(Profils!$M$5:$M$34,$AE64)&gt;0,INDEX(Profils!$AB$5:$AB$34,$AE64)&lt;=$AH64),ROUND(INDEX(Profils!$M$5:$M$34,$AE64)*Paramètres!$E$29*$AG64*$AJ64,Paramètres!$F$29),0)</f>
        <v>0</v>
      </c>
      <c r="T64" s="20" t="n">
        <f aca="false" t="array" ref="T64:T64">IF(AND(INDEX(Profils!$N$5:$N$34,$AE64)&gt;0,INDEX(Profils!$AC$5:$AC$34,$AE64)&lt;=$AH64),ROUND(INDEX(Profils!$N$5:$N$34,$AE64)*Paramètres!$E$30*$AG64*$AJ64,Paramètres!$F$30),0)</f>
        <v>0</v>
      </c>
      <c r="U64" s="19" t="n">
        <f aca="false" t="array" ref="U64:U64">IF(AND(INDEX(Profils!$O$5:$O$34,$AE64)&gt;0,INDEX(Profils!$AD$5:$AD$34,$AE64)&lt;=$AH64),ROUND(INDEX(Profils!$O$5:$O$34,$AE64)*Paramètres!$E$31*$AG64*$AJ64,Paramètres!$F$31),0)</f>
        <v>51</v>
      </c>
      <c r="V64" s="20" t="n">
        <f aca="false" t="array" ref="V64:V64">IF(AND(INDEX(Profils!$P$5:$P$34,$AE64)&gt;0,INDEX(Profils!$AE$5:$AE$34,$AE64)&lt;=$AH64),ROUND(INDEX(Profils!$P$5:$P$34,$AE64)*Paramètres!$E$32*$AG64*$AJ64,Paramètres!$F$32),0)</f>
        <v>0</v>
      </c>
      <c r="W64" s="20" t="n">
        <f aca="false" t="array" ref="W64:W64">IF(AND(INDEX(Profils!$Q$5:$Q$34,$AE64)&gt;0,INDEX(Profils!$AF$5:$AF$34,$AE64)&lt;=$AH64),ROUND(INDEX(Profils!$Q$5:$Q$34,$AE64)*Paramètres!$E$33*$AG64*$AJ64,Paramètres!$F$33),0)</f>
        <v>0.014</v>
      </c>
      <c r="X64" s="20" t="n">
        <f aca="false" t="array" ref="X64:X64">IF(AND(INDEX(Profils!$R$5:$R$34,$AE64)&gt;0,INDEX(Profils!$AG$5:$AG$34,$AE64)&lt;=$AH64),ROUND(INDEX(Profils!$R$5:$R$34,$AE64)*Paramètres!$E$34*$AG64*$AJ64,Paramètres!$F$34),0)</f>
        <v>0</v>
      </c>
      <c r="Y64" s="20" t="n">
        <f aca="false" t="array" ref="Y64:Y64">IF(AND(INDEX(Profils!$S$5:$S$34,$AE64)&gt;0,INDEX(Profils!$AH$5:$AH$34,$AE64)&lt;=$AH64),ROUND(INDEX(Profils!$S$5:$S$34,$AE64)*Paramètres!$E$35*$AG64*$AJ64,Paramètres!$F$35),0)</f>
        <v>0</v>
      </c>
      <c r="Z64" s="21" t="n">
        <f aca="false">ROUND(L64/Paramètres!$E$22+M64/Paramètres!$E$23+N64/Paramètres!$E$24+O64/Paramètres!$E$25+P64/Paramètres!$E$26+Q64/Paramètres!$E$27+R64/Paramètres!$E$28+S64/Paramètres!$E$29+T64/Paramètres!$E$30+U64/Paramètres!$E$31+V64/Paramètres!$E$32+W64/Paramètres!$E$33+X64/Paramètres!$E$34+Y64/Paramètres!$E$35,1)</f>
        <v>9.3</v>
      </c>
      <c r="AA64" s="22" t="s">
        <v>109</v>
      </c>
      <c r="AB64" s="22" t="s">
        <v>109</v>
      </c>
      <c r="AC64" s="15" t="str">
        <f aca="false">$E64</f>
        <v>adamantite</v>
      </c>
      <c r="AD64" s="16" t="n">
        <f aca="false" t="array" ref="AD64:AD64">IF($I64&gt;=$AI64,"Max",ROUND(Paramètres!$B$40*($I64+1)^Paramètres!$B$41*INDEX(Paramètres!$H$6:$H$12,$AF64),0))</f>
        <v>5</v>
      </c>
      <c r="AE64" s="23" t="n">
        <f aca="false">MATCH($B64&amp;"|"&amp;$C64,Profils!$A$5:$A$34,0)</f>
        <v>2</v>
      </c>
      <c r="AF64" s="23" t="n">
        <v>4</v>
      </c>
      <c r="AG64" s="24" t="n">
        <f aca="false" t="array" ref="AG64:AG64">INDEX(Paramètres!$C$6:$C$12,$AF64)</f>
        <v>1.75</v>
      </c>
      <c r="AH64" s="23" t="n">
        <f aca="false" t="array" ref="AH64:AH64">INDEX(Paramètres!$D$6:$D$12,$AF64)</f>
        <v>5</v>
      </c>
      <c r="AI64" s="23" t="n">
        <f aca="false" t="array" ref="AI64:AI64">INDEX(Matériaux!$C$16:$C$20,$D64)</f>
        <v>30</v>
      </c>
      <c r="AJ64" s="25" t="n">
        <f aca="false">Paramètres!$B$16+(1-Paramètres!$B$16)*(($J64-Paramètres!$B$14)/(Paramètres!$B$15-Paramètres!$B$14))^Paramètres!$B$17</f>
        <v>0.665999387952727</v>
      </c>
    </row>
    <row r="65" customFormat="false" ht="15.75" hidden="false" customHeight="true" outlineLevel="0" collapsed="false">
      <c r="A65" s="14" t="s">
        <v>173</v>
      </c>
      <c r="B65" s="15" t="s">
        <v>27</v>
      </c>
      <c r="C65" s="15" t="s">
        <v>90</v>
      </c>
      <c r="D65" s="16" t="n">
        <v>5</v>
      </c>
      <c r="E65" s="15" t="str">
        <f aca="false" t="array" ref="E65:E65">INDEX(Matériaux!$B$5:$F$12,MATCH(INDEX(Profils!$E$5:$E$34,$AE65),Matériaux!$A$5:$A$12,0),$D65)</f>
        <v>adamantite</v>
      </c>
      <c r="F65" s="29" t="s">
        <v>117</v>
      </c>
      <c r="G65" s="10" t="str">
        <f aca="false" t="array" ref="G65:G65">INDEX(Profils!$D$5:$D$34,$AE65)&amp;" en "&amp;$E65</f>
        <v>Plastron en adamantite</v>
      </c>
      <c r="H65" s="16" t="n">
        <f aca="false" t="array" ref="H65:H65">INDEX(Matériaux!$B$16:$B$20,$D65)</f>
        <v>70</v>
      </c>
      <c r="I65" s="16" t="n">
        <f aca="false">IF(ISNUMBER($C$3),MIN(MAX(0,ROUND($C$3,0)),$AI65),$AI65)</f>
        <v>0</v>
      </c>
      <c r="J65" s="18" t="n">
        <f aca="false">$H65+$I65</f>
        <v>70</v>
      </c>
      <c r="K65" s="15" t="s">
        <v>109</v>
      </c>
      <c r="L65" s="19" t="n">
        <f aca="false" t="array" ref="L65:L65">IF(AND(INDEX(Profils!$F$5:$F$34,$AE65)&gt;0,INDEX(Profils!$U$5:$U$34,$AE65)&lt;=$AH65),ROUND(INDEX(Profils!$F$5:$F$34,$AE65)*Paramètres!$E$22*$AG65*$AJ65,Paramètres!$F$22),0)</f>
        <v>84</v>
      </c>
      <c r="M65" s="19" t="n">
        <f aca="false" t="array" ref="M65:M65">IF(AND(INDEX(Profils!$G$5:$G$34,$AE65)&gt;0,INDEX(Profils!$V$5:$V$34,$AE65)&lt;=$AH65),ROUND(INDEX(Profils!$G$5:$G$34,$AE65)*Paramètres!$E$23*$AG65*$AJ65,Paramètres!$F$23),0)</f>
        <v>17</v>
      </c>
      <c r="N65" s="19" t="n">
        <f aca="false" t="array" ref="N65:N65">IF(AND(INDEX(Profils!$H$5:$H$34,$AE65)&gt;0,INDEX(Profils!$W$5:$W$34,$AE65)&lt;=$AH65),ROUND(INDEX(Profils!$H$5:$H$34,$AE65)*Paramètres!$E$24*$AG65*$AJ65,Paramètres!$F$24),0)</f>
        <v>38</v>
      </c>
      <c r="O65" s="19" t="n">
        <f aca="false" t="array" ref="O65:O65">IF(AND(INDEX(Profils!$I$5:$I$34,$AE65)&gt;0,INDEX(Profils!$X$5:$X$34,$AE65)&lt;=$AH65),ROUND(INDEX(Profils!$I$5:$I$34,$AE65)*Paramètres!$E$25*$AG65*$AJ65,Paramètres!$F$25),0)</f>
        <v>0</v>
      </c>
      <c r="P65" s="19" t="n">
        <f aca="false" t="array" ref="P65:P65">IF(AND(INDEX(Profils!$J$5:$J$34,$AE65)&gt;0,INDEX(Profils!$Y$5:$Y$34,$AE65)&lt;=$AH65),ROUND(INDEX(Profils!$J$5:$J$34,$AE65)*Paramètres!$E$26*$AG65*$AJ65,Paramètres!$F$26),0)</f>
        <v>0</v>
      </c>
      <c r="Q65" s="19" t="n">
        <f aca="false" t="array" ref="Q65:Q65">IF(AND(INDEX(Profils!$K$5:$K$34,$AE65)&gt;0,INDEX(Profils!$Z$5:$Z$34,$AE65)&lt;=$AH65),ROUND(INDEX(Profils!$K$5:$K$34,$AE65)*Paramètres!$E$27*$AG65*$AJ65,Paramètres!$F$27),0)</f>
        <v>0</v>
      </c>
      <c r="R65" s="20" t="n">
        <f aca="false" t="array" ref="R65:R65">IF(AND(INDEX(Profils!$L$5:$L$34,$AE65)&gt;0,INDEX(Profils!$AA$5:$AA$34,$AE65)&lt;=$AH65),ROUND(INDEX(Profils!$L$5:$L$34,$AE65)*Paramètres!$E$28*$AG65*$AJ65,Paramètres!$F$28),0)</f>
        <v>0</v>
      </c>
      <c r="S65" s="20" t="n">
        <f aca="false" t="array" ref="S65:S65">IF(AND(INDEX(Profils!$M$5:$M$34,$AE65)&gt;0,INDEX(Profils!$AB$5:$AB$34,$AE65)&lt;=$AH65),ROUND(INDEX(Profils!$M$5:$M$34,$AE65)*Paramètres!$E$29*$AG65*$AJ65,Paramètres!$F$29),0)</f>
        <v>0</v>
      </c>
      <c r="T65" s="20" t="n">
        <f aca="false" t="array" ref="T65:T65">IF(AND(INDEX(Profils!$N$5:$N$34,$AE65)&gt;0,INDEX(Profils!$AC$5:$AC$34,$AE65)&lt;=$AH65),ROUND(INDEX(Profils!$N$5:$N$34,$AE65)*Paramètres!$E$30*$AG65*$AJ65,Paramètres!$F$30),0)</f>
        <v>0</v>
      </c>
      <c r="U65" s="19" t="n">
        <f aca="false" t="array" ref="U65:U65">IF(AND(INDEX(Profils!$O$5:$O$34,$AE65)&gt;0,INDEX(Profils!$AD$5:$AD$34,$AE65)&lt;=$AH65),ROUND(INDEX(Profils!$O$5:$O$34,$AE65)*Paramètres!$E$31*$AG65*$AJ65,Paramètres!$F$31),0)</f>
        <v>62</v>
      </c>
      <c r="V65" s="20" t="n">
        <f aca="false" t="array" ref="V65:V65">IF(AND(INDEX(Profils!$P$5:$P$34,$AE65)&gt;0,INDEX(Profils!$AE$5:$AE$34,$AE65)&lt;=$AH65),ROUND(INDEX(Profils!$P$5:$P$34,$AE65)*Paramètres!$E$32*$AG65*$AJ65,Paramètres!$F$32),0)</f>
        <v>0</v>
      </c>
      <c r="W65" s="20" t="n">
        <f aca="false" t="array" ref="W65:W65">IF(AND(INDEX(Profils!$Q$5:$Q$34,$AE65)&gt;0,INDEX(Profils!$AF$5:$AF$34,$AE65)&lt;=$AH65),ROUND(INDEX(Profils!$Q$5:$Q$34,$AE65)*Paramètres!$E$33*$AG65*$AJ65,Paramètres!$F$33),0)</f>
        <v>0.017</v>
      </c>
      <c r="X65" s="20" t="n">
        <f aca="false" t="array" ref="X65:X65">IF(AND(INDEX(Profils!$R$5:$R$34,$AE65)&gt;0,INDEX(Profils!$AG$5:$AG$34,$AE65)&lt;=$AH65),ROUND(INDEX(Profils!$R$5:$R$34,$AE65)*Paramètres!$E$34*$AG65*$AJ65,Paramètres!$F$34),0)</f>
        <v>0</v>
      </c>
      <c r="Y65" s="20" t="n">
        <f aca="false" t="array" ref="Y65:Y65">IF(AND(INDEX(Profils!$S$5:$S$34,$AE65)&gt;0,INDEX(Profils!$AH$5:$AH$34,$AE65)&lt;=$AH65),ROUND(INDEX(Profils!$S$5:$S$34,$AE65)*Paramètres!$E$35*$AG65*$AJ65,Paramètres!$F$35),0)</f>
        <v>0.013</v>
      </c>
      <c r="Z65" s="21" t="n">
        <f aca="false">ROUND(L65/Paramètres!$E$22+M65/Paramètres!$E$23+N65/Paramètres!$E$24+O65/Paramètres!$E$25+P65/Paramètres!$E$26+Q65/Paramètres!$E$27+R65/Paramètres!$E$28+S65/Paramètres!$E$29+T65/Paramètres!$E$30+U65/Paramètres!$E$31+V65/Paramètres!$E$32+W65/Paramètres!$E$33+X65/Paramètres!$E$34+Y65/Paramètres!$E$35,1)</f>
        <v>12.1</v>
      </c>
      <c r="AA65" s="22" t="s">
        <v>109</v>
      </c>
      <c r="AB65" s="22" t="s">
        <v>109</v>
      </c>
      <c r="AC65" s="15" t="str">
        <f aca="false">$E65</f>
        <v>adamantite</v>
      </c>
      <c r="AD65" s="16" t="n">
        <f aca="false" t="array" ref="AD65:AD65">IF($I65&gt;=$AI65,"Max",ROUND(Paramètres!$B$40*($I65+1)^Paramètres!$B$41*INDEX(Paramètres!$H$6:$H$12,$AF65),0))</f>
        <v>6</v>
      </c>
      <c r="AE65" s="23" t="n">
        <f aca="false">MATCH($B65&amp;"|"&amp;$C65,Profils!$A$5:$A$34,0)</f>
        <v>2</v>
      </c>
      <c r="AF65" s="23" t="n">
        <v>5</v>
      </c>
      <c r="AG65" s="24" t="n">
        <f aca="false" t="array" ref="AG65:AG65">INDEX(Paramètres!$C$6:$C$12,$AF65)</f>
        <v>2.1</v>
      </c>
      <c r="AH65" s="23" t="n">
        <f aca="false" t="array" ref="AH65:AH65">INDEX(Paramètres!$D$6:$D$12,$AF65)</f>
        <v>6</v>
      </c>
      <c r="AI65" s="23" t="n">
        <f aca="false" t="array" ref="AI65:AI65">INDEX(Matériaux!$C$16:$C$20,$D65)</f>
        <v>30</v>
      </c>
      <c r="AJ65" s="25" t="n">
        <f aca="false">Paramètres!$B$16+(1-Paramètres!$B$16)*(($J65-Paramètres!$B$14)/(Paramètres!$B$15-Paramètres!$B$14))^Paramètres!$B$17</f>
        <v>0.665999387952727</v>
      </c>
    </row>
    <row r="66" customFormat="false" ht="15.75" hidden="false" customHeight="true" outlineLevel="0" collapsed="false">
      <c r="A66" s="14" t="s">
        <v>174</v>
      </c>
      <c r="B66" s="15" t="s">
        <v>27</v>
      </c>
      <c r="C66" s="15" t="s">
        <v>90</v>
      </c>
      <c r="D66" s="16" t="n">
        <v>5</v>
      </c>
      <c r="E66" s="15" t="str">
        <f aca="false" t="array" ref="E66:E66">INDEX(Matériaux!$B$5:$F$12,MATCH(INDEX(Profils!$E$5:$E$34,$AE66),Matériaux!$A$5:$A$12,0),$D66)</f>
        <v>adamantite</v>
      </c>
      <c r="F66" s="30" t="s">
        <v>119</v>
      </c>
      <c r="G66" s="10" t="str">
        <f aca="false" t="array" ref="G66:G66">INDEX(Profils!$D$5:$D$34,$AE66)&amp;" en "&amp;$E66</f>
        <v>Plastron en adamantite</v>
      </c>
      <c r="H66" s="16" t="n">
        <f aca="false" t="array" ref="H66:H66">INDEX(Matériaux!$B$16:$B$20,$D66)</f>
        <v>70</v>
      </c>
      <c r="I66" s="16" t="n">
        <f aca="false">IF(ISNUMBER($C$3),MIN(MAX(0,ROUND($C$3,0)),$AI66),$AI66)</f>
        <v>0</v>
      </c>
      <c r="J66" s="18" t="n">
        <f aca="false">$H66+$I66</f>
        <v>70</v>
      </c>
      <c r="K66" s="15" t="s">
        <v>109</v>
      </c>
      <c r="L66" s="19" t="n">
        <f aca="false" t="array" ref="L66:L66">IF(AND(INDEX(Profils!$F$5:$F$34,$AE66)&gt;0,INDEX(Profils!$U$5:$U$34,$AE66)&lt;=$AH66),ROUND(INDEX(Profils!$F$5:$F$34,$AE66)*Paramètres!$E$22*$AG66*$AJ66,Paramètres!$F$22),0)</f>
        <v>96</v>
      </c>
      <c r="M66" s="19" t="n">
        <f aca="false" t="array" ref="M66:M66">IF(AND(INDEX(Profils!$G$5:$G$34,$AE66)&gt;0,INDEX(Profils!$V$5:$V$34,$AE66)&lt;=$AH66),ROUND(INDEX(Profils!$G$5:$G$34,$AE66)*Paramètres!$E$23*$AG66*$AJ66,Paramètres!$F$23),0)</f>
        <v>19</v>
      </c>
      <c r="N66" s="19" t="n">
        <f aca="false" t="array" ref="N66:N66">IF(AND(INDEX(Profils!$H$5:$H$34,$AE66)&gt;0,INDEX(Profils!$W$5:$W$34,$AE66)&lt;=$AH66),ROUND(INDEX(Profils!$H$5:$H$34,$AE66)*Paramètres!$E$24*$AG66*$AJ66,Paramètres!$F$24),0)</f>
        <v>43</v>
      </c>
      <c r="O66" s="19" t="n">
        <f aca="false" t="array" ref="O66:O66">IF(AND(INDEX(Profils!$I$5:$I$34,$AE66)&gt;0,INDEX(Profils!$X$5:$X$34,$AE66)&lt;=$AH66),ROUND(INDEX(Profils!$I$5:$I$34,$AE66)*Paramètres!$E$25*$AG66*$AJ66,Paramètres!$F$25),0)</f>
        <v>0</v>
      </c>
      <c r="P66" s="19" t="n">
        <f aca="false" t="array" ref="P66:P66">IF(AND(INDEX(Profils!$J$5:$J$34,$AE66)&gt;0,INDEX(Profils!$Y$5:$Y$34,$AE66)&lt;=$AH66),ROUND(INDEX(Profils!$J$5:$J$34,$AE66)*Paramètres!$E$26*$AG66*$AJ66,Paramètres!$F$26),0)</f>
        <v>6</v>
      </c>
      <c r="Q66" s="19" t="n">
        <f aca="false" t="array" ref="Q66:Q66">IF(AND(INDEX(Profils!$K$5:$K$34,$AE66)&gt;0,INDEX(Profils!$Z$5:$Z$34,$AE66)&lt;=$AH66),ROUND(INDEX(Profils!$K$5:$K$34,$AE66)*Paramètres!$E$27*$AG66*$AJ66,Paramètres!$F$27),0)</f>
        <v>0</v>
      </c>
      <c r="R66" s="20" t="n">
        <f aca="false" t="array" ref="R66:R66">IF(AND(INDEX(Profils!$L$5:$L$34,$AE66)&gt;0,INDEX(Profils!$AA$5:$AA$34,$AE66)&lt;=$AH66),ROUND(INDEX(Profils!$L$5:$L$34,$AE66)*Paramètres!$E$28*$AG66*$AJ66,Paramètres!$F$28),0)</f>
        <v>0</v>
      </c>
      <c r="S66" s="20" t="n">
        <f aca="false" t="array" ref="S66:S66">IF(AND(INDEX(Profils!$M$5:$M$34,$AE66)&gt;0,INDEX(Profils!$AB$5:$AB$34,$AE66)&lt;=$AH66),ROUND(INDEX(Profils!$M$5:$M$34,$AE66)*Paramètres!$E$29*$AG66*$AJ66,Paramètres!$F$29),0)</f>
        <v>0</v>
      </c>
      <c r="T66" s="20" t="n">
        <f aca="false" t="array" ref="T66:T66">IF(AND(INDEX(Profils!$N$5:$N$34,$AE66)&gt;0,INDEX(Profils!$AC$5:$AC$34,$AE66)&lt;=$AH66),ROUND(INDEX(Profils!$N$5:$N$34,$AE66)*Paramètres!$E$30*$AG66*$AJ66,Paramètres!$F$30),0)</f>
        <v>0</v>
      </c>
      <c r="U66" s="19" t="n">
        <f aca="false" t="array" ref="U66:U66">IF(AND(INDEX(Profils!$O$5:$O$34,$AE66)&gt;0,INDEX(Profils!$AD$5:$AD$34,$AE66)&lt;=$AH66),ROUND(INDEX(Profils!$O$5:$O$34,$AE66)*Paramètres!$E$31*$AG66*$AJ66,Paramètres!$F$31),0)</f>
        <v>70</v>
      </c>
      <c r="V66" s="20" t="n">
        <f aca="false" t="array" ref="V66:V66">IF(AND(INDEX(Profils!$P$5:$P$34,$AE66)&gt;0,INDEX(Profils!$AE$5:$AE$34,$AE66)&lt;=$AH66),ROUND(INDEX(Profils!$P$5:$P$34,$AE66)*Paramètres!$E$32*$AG66*$AJ66,Paramètres!$F$32),0)</f>
        <v>0</v>
      </c>
      <c r="W66" s="20" t="n">
        <f aca="false" t="array" ref="W66:W66">IF(AND(INDEX(Profils!$Q$5:$Q$34,$AE66)&gt;0,INDEX(Profils!$AF$5:$AF$34,$AE66)&lt;=$AH66),ROUND(INDEX(Profils!$Q$5:$Q$34,$AE66)*Paramètres!$E$33*$AG66*$AJ66,Paramètres!$F$33),0)</f>
        <v>0.019</v>
      </c>
      <c r="X66" s="20" t="n">
        <f aca="false" t="array" ref="X66:X66">IF(AND(INDEX(Profils!$R$5:$R$34,$AE66)&gt;0,INDEX(Profils!$AG$5:$AG$34,$AE66)&lt;=$AH66),ROUND(INDEX(Profils!$R$5:$R$34,$AE66)*Paramètres!$E$34*$AG66*$AJ66,Paramètres!$F$34),0)</f>
        <v>0</v>
      </c>
      <c r="Y66" s="20" t="n">
        <f aca="false" t="array" ref="Y66:Y66">IF(AND(INDEX(Profils!$S$5:$S$34,$AE66)&gt;0,INDEX(Profils!$AH$5:$AH$34,$AE66)&lt;=$AH66),ROUND(INDEX(Profils!$S$5:$S$34,$AE66)*Paramètres!$E$35*$AG66*$AJ66,Paramètres!$F$35),0)</f>
        <v>0.014</v>
      </c>
      <c r="Z66" s="21" t="n">
        <f aca="false">ROUND(L66/Paramètres!$E$22+M66/Paramètres!$E$23+N66/Paramètres!$E$24+O66/Paramètres!$E$25+P66/Paramètres!$E$26+Q66/Paramètres!$E$27+R66/Paramètres!$E$28+S66/Paramètres!$E$29+T66/Paramètres!$E$30+U66/Paramètres!$E$31+V66/Paramètres!$E$32+W66/Paramètres!$E$33+X66/Paramètres!$E$34+Y66/Paramètres!$E$35,1)</f>
        <v>14.2</v>
      </c>
      <c r="AA66" s="22" t="s">
        <v>109</v>
      </c>
      <c r="AB66" s="22" t="s">
        <v>109</v>
      </c>
      <c r="AC66" s="15" t="str">
        <f aca="false">$E66</f>
        <v>adamantite</v>
      </c>
      <c r="AD66" s="16" t="n">
        <f aca="false" t="array" ref="AD66:AD66">IF($I66&gt;=$AI66,"Max",ROUND(Paramètres!$B$40*($I66+1)^Paramètres!$B$41*INDEX(Paramètres!$H$6:$H$12,$AF66),0))</f>
        <v>8</v>
      </c>
      <c r="AE66" s="23" t="n">
        <f aca="false">MATCH($B66&amp;"|"&amp;$C66,Profils!$A$5:$A$34,0)</f>
        <v>2</v>
      </c>
      <c r="AF66" s="23" t="n">
        <v>6</v>
      </c>
      <c r="AG66" s="24" t="n">
        <f aca="false" t="array" ref="AG66:AG66">INDEX(Paramètres!$C$6:$C$12,$AF66)</f>
        <v>2.4</v>
      </c>
      <c r="AH66" s="23" t="n">
        <f aca="false" t="array" ref="AH66:AH66">INDEX(Paramètres!$D$6:$D$12,$AF66)</f>
        <v>7</v>
      </c>
      <c r="AI66" s="23" t="n">
        <f aca="false" t="array" ref="AI66:AI66">INDEX(Matériaux!$C$16:$C$20,$D66)</f>
        <v>30</v>
      </c>
      <c r="AJ66" s="25" t="n">
        <f aca="false">Paramètres!$B$16+(1-Paramètres!$B$16)*(($J66-Paramètres!$B$14)/(Paramètres!$B$15-Paramètres!$B$14))^Paramètres!$B$17</f>
        <v>0.665999387952727</v>
      </c>
    </row>
    <row r="67" customFormat="false" ht="15.75" hidden="false" customHeight="true" outlineLevel="0" collapsed="false">
      <c r="A67" s="14" t="s">
        <v>175</v>
      </c>
      <c r="B67" s="15" t="s">
        <v>27</v>
      </c>
      <c r="C67" s="15" t="s">
        <v>90</v>
      </c>
      <c r="D67" s="16" t="s">
        <v>109</v>
      </c>
      <c r="E67" s="15" t="s">
        <v>109</v>
      </c>
      <c r="F67" s="31" t="s">
        <v>38</v>
      </c>
      <c r="G67" s="10" t="str">
        <f aca="false" t="array" ref="G67:G67">INDEX(Uniques!$E$5:$E$34,MATCH($B67&amp;"|"&amp;$C67,Uniques!$A$5:$A$34,0))</f>
        <v>Plastron du Titan de Pierre</v>
      </c>
      <c r="H67" s="16" t="n">
        <f aca="false" t="array" ref="H67:H67">INDEX(Uniques!$L$5:$L$34,MATCH($B67&amp;"|"&amp;$C67,Uniques!$A$5:$A$34,0))</f>
        <v>11</v>
      </c>
      <c r="I67" s="16" t="n">
        <f aca="false">IF(ISNUMBER($C$3),MIN(MAX(0,ROUND($C$3,0)),$AI67),$AI67)</f>
        <v>0</v>
      </c>
      <c r="J67" s="18" t="n">
        <f aca="false">$H67+$I67</f>
        <v>11</v>
      </c>
      <c r="K67" s="15" t="str">
        <f aca="false" t="array" ref="K67:K67">INDEX(Uniques!$F$5:$F$34,MATCH($B67&amp;"|"&amp;$C67,Uniques!$A$5:$A$34,0))</f>
        <v>Terre</v>
      </c>
      <c r="L67" s="19" t="n">
        <f aca="false" t="array" ref="L67:L67">IF(AND(INDEX(Profils!$F$5:$F$34,$AE67)&gt;0,INDEX(Profils!$U$5:$U$34,$AE67)&lt;=$AH67),ROUND(INDEX(Profils!$F$5:$F$34,$AE67)*Paramètres!$E$22*$AG67*$AJ67,Paramètres!$F$22),0)</f>
        <v>17</v>
      </c>
      <c r="M67" s="19" t="n">
        <f aca="false" t="array" ref="M67:M67">IF(AND(INDEX(Profils!$G$5:$G$34,$AE67)&gt;0,INDEX(Profils!$V$5:$V$34,$AE67)&lt;=$AH67),ROUND(INDEX(Profils!$G$5:$G$34,$AE67)*Paramètres!$E$23*$AG67*$AJ67,Paramètres!$F$23),0)</f>
        <v>3</v>
      </c>
      <c r="N67" s="19" t="n">
        <f aca="false" t="array" ref="N67:N67">IF(AND(INDEX(Profils!$H$5:$H$34,$AE67)&gt;0,INDEX(Profils!$W$5:$W$34,$AE67)&lt;=$AH67),ROUND(INDEX(Profils!$H$5:$H$34,$AE67)*Paramètres!$E$24*$AG67*$AJ67,Paramètres!$F$24),0)</f>
        <v>7</v>
      </c>
      <c r="O67" s="19" t="n">
        <f aca="false" t="array" ref="O67:O67">IF(AND(INDEX(Profils!$I$5:$I$34,$AE67)&gt;0,INDEX(Profils!$X$5:$X$34,$AE67)&lt;=$AH67),ROUND(INDEX(Profils!$I$5:$I$34,$AE67)*Paramètres!$E$25*$AG67*$AJ67,Paramètres!$F$25),0)</f>
        <v>0</v>
      </c>
      <c r="P67" s="19" t="n">
        <f aca="false" t="array" ref="P67:P67">IF(AND(INDEX(Profils!$J$5:$J$34,$AE67)&gt;0,INDEX(Profils!$Y$5:$Y$34,$AE67)&lt;=$AH67),ROUND(INDEX(Profils!$J$5:$J$34,$AE67)*Paramètres!$E$26*$AG67*$AJ67,Paramètres!$F$26),0)</f>
        <v>1</v>
      </c>
      <c r="Q67" s="19" t="n">
        <f aca="false" t="array" ref="Q67:Q67">IF(AND(INDEX(Profils!$K$5:$K$34,$AE67)&gt;0,INDEX(Profils!$Z$5:$Z$34,$AE67)&lt;=$AH67),ROUND(INDEX(Profils!$K$5:$K$34,$AE67)*Paramètres!$E$27*$AG67*$AJ67,Paramètres!$F$27),0)</f>
        <v>0</v>
      </c>
      <c r="R67" s="20" t="n">
        <f aca="false" t="array" ref="R67:R67">IF(AND(INDEX(Profils!$L$5:$L$34,$AE67)&gt;0,INDEX(Profils!$AA$5:$AA$34,$AE67)&lt;=$AH67),ROUND(INDEX(Profils!$L$5:$L$34,$AE67)*Paramètres!$E$28*$AG67*$AJ67,Paramètres!$F$28),0)</f>
        <v>0</v>
      </c>
      <c r="S67" s="20" t="n">
        <f aca="false" t="array" ref="S67:S67">IF(AND(INDEX(Profils!$M$5:$M$34,$AE67)&gt;0,INDEX(Profils!$AB$5:$AB$34,$AE67)&lt;=$AH67),ROUND(INDEX(Profils!$M$5:$M$34,$AE67)*Paramètres!$E$29*$AG67*$AJ67,Paramètres!$F$29),0)</f>
        <v>0</v>
      </c>
      <c r="T67" s="20" t="n">
        <f aca="false" t="array" ref="T67:T67">IF(AND(INDEX(Profils!$N$5:$N$34,$AE67)&gt;0,INDEX(Profils!$AC$5:$AC$34,$AE67)&lt;=$AH67),ROUND(INDEX(Profils!$N$5:$N$34,$AE67)*Paramètres!$E$30*$AG67*$AJ67,Paramètres!$F$30),0)</f>
        <v>0</v>
      </c>
      <c r="U67" s="19" t="n">
        <f aca="false" t="array" ref="U67:U67">IF(AND(INDEX(Profils!$O$5:$O$34,$AE67)&gt;0,INDEX(Profils!$AD$5:$AD$34,$AE67)&lt;=$AH67),ROUND(INDEX(Profils!$O$5:$O$34,$AE67)*Paramètres!$E$31*$AG67*$AJ67,Paramètres!$F$31),0)</f>
        <v>12</v>
      </c>
      <c r="V67" s="20" t="n">
        <f aca="false" t="array" ref="V67:V67">IF(AND(INDEX(Profils!$P$5:$P$34,$AE67)&gt;0,INDEX(Profils!$AE$5:$AE$34,$AE67)&lt;=$AH67),ROUND(INDEX(Profils!$P$5:$P$34,$AE67)*Paramètres!$E$32*$AG67*$AJ67,Paramètres!$F$32),0)</f>
        <v>0</v>
      </c>
      <c r="W67" s="20" t="n">
        <f aca="false" t="array" ref="W67:W67">IF(AND(INDEX(Profils!$Q$5:$Q$34,$AE67)&gt;0,INDEX(Profils!$AF$5:$AF$34,$AE67)&lt;=$AH67),ROUND(INDEX(Profils!$Q$5:$Q$34,$AE67)*Paramètres!$E$33*$AG67*$AJ67,Paramètres!$F$33),0)</f>
        <v>0.003</v>
      </c>
      <c r="X67" s="20" t="n">
        <f aca="false" t="array" ref="X67:X67">IF(AND(INDEX(Profils!$R$5:$R$34,$AE67)&gt;0,INDEX(Profils!$AG$5:$AG$34,$AE67)&lt;=$AH67),ROUND(INDEX(Profils!$R$5:$R$34,$AE67)*Paramètres!$E$34*$AG67*$AJ67,Paramètres!$F$34),0)</f>
        <v>0</v>
      </c>
      <c r="Y67" s="20" t="n">
        <f aca="false" t="array" ref="Y67:Y67">IF(AND(INDEX(Profils!$S$5:$S$34,$AE67)&gt;0,INDEX(Profils!$AH$5:$AH$34,$AE67)&lt;=$AH67),ROUND(INDEX(Profils!$S$5:$S$34,$AE67)*Paramètres!$E$35*$AG67*$AJ67,Paramètres!$F$35),0)</f>
        <v>0.002</v>
      </c>
      <c r="Z67" s="21" t="n">
        <f aca="false">ROUND(L67/Paramètres!$E$22+M67/Paramètres!$E$23+N67/Paramètres!$E$24+O67/Paramètres!$E$25+P67/Paramètres!$E$26+Q67/Paramètres!$E$27+R67/Paramètres!$E$28+S67/Paramètres!$E$29+T67/Paramètres!$E$30+U67/Paramètres!$E$31+V67/Paramètres!$E$32+W67/Paramètres!$E$33+X67/Paramètres!$E$34+Y67/Paramètres!$E$35,1)</f>
        <v>2.4</v>
      </c>
      <c r="AA67" s="22" t="str">
        <f aca="false" t="array" ref="AA67:AA67">INDEX(Uniques!$G$5:$G$34,MATCH($B67&amp;"|"&amp;$C67,Uniques!$A$5:$A$34,0))</f>
        <v>Peau de granit</v>
      </c>
      <c r="AB67" s="22" t="str">
        <f aca="false" t="array" ref="AB67:AB67">INDEX(Uniques!$H$5:$H$34,MATCH($B67&amp;"|"&amp;$C67,Uniques!$A$5:$A$34,0))&amp;" ["&amp;INDEX(Uniques!$I$5:$I$34,MATCH($B67&amp;"|"&amp;$C67,Uniques!$A$5:$A$34,0))&amp;"]"</f>
        <v>Réduit de 12 % les dégâts physiques reçus ; après 3 attaques subies, le porteur gagne +20 % d'Armure pendant 2 tours. [Bonus d'Armure non cumulable ; se redéclenche après 3 nouvelles attaques subies.]</v>
      </c>
      <c r="AC67" s="15" t="str">
        <f aca="false" t="array" ref="AC67:AC67">INDEX(Matériaux!$B$5:$F$12,MATCH(INDEX(Profils!$E$5:$E$34,$AE67),Matériaux!$A$5:$A$12,0),MATCH(MIN($J67+1,100),Matériaux!$B$16:$B$20,1))</f>
        <v>cuir</v>
      </c>
      <c r="AD67" s="16" t="n">
        <f aca="false" t="array" ref="AD67:AD67">IF($I67&gt;=$AI67,"Max",ROUND(Paramètres!$B$40*($I67+1)^Paramètres!$B$41*INDEX(Paramètres!$H$6:$H$12,$AF67),0))</f>
        <v>9</v>
      </c>
      <c r="AE67" s="23" t="n">
        <f aca="false">MATCH($B67&amp;"|"&amp;$C67,Profils!$A$5:$A$34,0)</f>
        <v>2</v>
      </c>
      <c r="AF67" s="23" t="n">
        <v>7</v>
      </c>
      <c r="AG67" s="24" t="n">
        <f aca="false" t="array" ref="AG67:AG67">INDEX(Paramètres!$C$6:$C$12,$AF67)</f>
        <v>2.5</v>
      </c>
      <c r="AH67" s="23" t="n">
        <f aca="false" t="array" ref="AH67:AH67">INDEX(Paramètres!$D$6:$D$12,$AF67)</f>
        <v>7</v>
      </c>
      <c r="AI67" s="23" t="n">
        <f aca="false" t="array" ref="AI67:AI67">INDEX(Uniques!$M$5:$M$34,MATCH($B67&amp;"|"&amp;$C67,Uniques!$A$5:$A$34,0))</f>
        <v>89</v>
      </c>
      <c r="AJ67" s="25" t="n">
        <f aca="false">Paramètres!$B$16+(1-Paramètres!$B$16)*(($J67-Paramètres!$B$14)/(Paramètres!$B$15-Paramètres!$B$14))^Paramètres!$B$17</f>
        <v>0.110668236595759</v>
      </c>
    </row>
    <row r="68" customFormat="false" ht="15.75" hidden="false" customHeight="true" outlineLevel="0" collapsed="false">
      <c r="A68" s="14" t="s">
        <v>176</v>
      </c>
      <c r="B68" s="15" t="s">
        <v>27</v>
      </c>
      <c r="C68" s="15" t="s">
        <v>177</v>
      </c>
      <c r="D68" s="16" t="n">
        <v>1</v>
      </c>
      <c r="E68" s="15" t="str">
        <f aca="false" t="array" ref="E68:E68">INDEX(Matériaux!$B$5:$F$12,MATCH(INDEX(Profils!$E$5:$E$34,$AE68),Matériaux!$A$5:$A$12,0),$D68)</f>
        <v>cuir</v>
      </c>
      <c r="F68" s="17" t="s">
        <v>108</v>
      </c>
      <c r="G68" s="10" t="str">
        <f aca="false" t="array" ref="G68:G68">INDEX(Profils!$D$5:$D$34,$AE68)&amp;" en "&amp;$E68</f>
        <v>Jambières en cuir</v>
      </c>
      <c r="H68" s="16" t="n">
        <f aca="false" t="array" ref="H68:H68">INDEX(Matériaux!$B$16:$B$20,$D68)</f>
        <v>1</v>
      </c>
      <c r="I68" s="16" t="n">
        <f aca="false">IF(ISNUMBER($C$3),MIN(MAX(0,ROUND($C$3,0)),$AI68),$AI68)</f>
        <v>0</v>
      </c>
      <c r="J68" s="18" t="n">
        <f aca="false">$H68+$I68</f>
        <v>1</v>
      </c>
      <c r="K68" s="15" t="s">
        <v>109</v>
      </c>
      <c r="L68" s="19" t="n">
        <f aca="false" t="array" ref="L68:L68">IF(AND(INDEX(Profils!$F$5:$F$34,$AE68)&gt;0,INDEX(Profils!$U$5:$U$34,$AE68)&lt;=$AH68),ROUND(INDEX(Profils!$F$5:$F$34,$AE68)*Paramètres!$E$22*$AG68*$AJ68,Paramètres!$F$22),0)</f>
        <v>3</v>
      </c>
      <c r="M68" s="19" t="n">
        <f aca="false" t="array" ref="M68:M68">IF(AND(INDEX(Profils!$G$5:$G$34,$AE68)&gt;0,INDEX(Profils!$V$5:$V$34,$AE68)&lt;=$AH68),ROUND(INDEX(Profils!$G$5:$G$34,$AE68)*Paramètres!$E$23*$AG68*$AJ68,Paramètres!$F$23),0)</f>
        <v>0</v>
      </c>
      <c r="N68" s="19" t="n">
        <f aca="false" t="array" ref="N68:N68">IF(AND(INDEX(Profils!$H$5:$H$34,$AE68)&gt;0,INDEX(Profils!$W$5:$W$34,$AE68)&lt;=$AH68),ROUND(INDEX(Profils!$H$5:$H$34,$AE68)*Paramètres!$E$24*$AG68*$AJ68,Paramètres!$F$24),0)</f>
        <v>0</v>
      </c>
      <c r="O68" s="19" t="n">
        <f aca="false" t="array" ref="O68:O68">IF(AND(INDEX(Profils!$I$5:$I$34,$AE68)&gt;0,INDEX(Profils!$X$5:$X$34,$AE68)&lt;=$AH68),ROUND(INDEX(Profils!$I$5:$I$34,$AE68)*Paramètres!$E$25*$AG68*$AJ68,Paramètres!$F$25),0)</f>
        <v>0</v>
      </c>
      <c r="P68" s="19" t="n">
        <f aca="false" t="array" ref="P68:P68">IF(AND(INDEX(Profils!$J$5:$J$34,$AE68)&gt;0,INDEX(Profils!$Y$5:$Y$34,$AE68)&lt;=$AH68),ROUND(INDEX(Profils!$J$5:$J$34,$AE68)*Paramètres!$E$26*$AG68*$AJ68,Paramètres!$F$26),0)</f>
        <v>0</v>
      </c>
      <c r="Q68" s="19" t="n">
        <f aca="false" t="array" ref="Q68:Q68">IF(AND(INDEX(Profils!$K$5:$K$34,$AE68)&gt;0,INDEX(Profils!$Z$5:$Z$34,$AE68)&lt;=$AH68),ROUND(INDEX(Profils!$K$5:$K$34,$AE68)*Paramètres!$E$27*$AG68*$AJ68,Paramètres!$F$27),0)</f>
        <v>0</v>
      </c>
      <c r="R68" s="20" t="n">
        <f aca="false" t="array" ref="R68:R68">IF(AND(INDEX(Profils!$L$5:$L$34,$AE68)&gt;0,INDEX(Profils!$AA$5:$AA$34,$AE68)&lt;=$AH68),ROUND(INDEX(Profils!$L$5:$L$34,$AE68)*Paramètres!$E$28*$AG68*$AJ68,Paramètres!$F$28),0)</f>
        <v>0</v>
      </c>
      <c r="S68" s="20" t="n">
        <f aca="false" t="array" ref="S68:S68">IF(AND(INDEX(Profils!$M$5:$M$34,$AE68)&gt;0,INDEX(Profils!$AB$5:$AB$34,$AE68)&lt;=$AH68),ROUND(INDEX(Profils!$M$5:$M$34,$AE68)*Paramètres!$E$29*$AG68*$AJ68,Paramètres!$F$29),0)</f>
        <v>0</v>
      </c>
      <c r="T68" s="20" t="n">
        <f aca="false" t="array" ref="T68:T68">IF(AND(INDEX(Profils!$N$5:$N$34,$AE68)&gt;0,INDEX(Profils!$AC$5:$AC$34,$AE68)&lt;=$AH68),ROUND(INDEX(Profils!$N$5:$N$34,$AE68)*Paramètres!$E$30*$AG68*$AJ68,Paramètres!$F$30),0)</f>
        <v>0</v>
      </c>
      <c r="U68" s="19" t="n">
        <f aca="false" t="array" ref="U68:U68">IF(AND(INDEX(Profils!$O$5:$O$34,$AE68)&gt;0,INDEX(Profils!$AD$5:$AD$34,$AE68)&lt;=$AH68),ROUND(INDEX(Profils!$O$5:$O$34,$AE68)*Paramètres!$E$31*$AG68*$AJ68,Paramètres!$F$31),0)</f>
        <v>2</v>
      </c>
      <c r="V68" s="20" t="n">
        <f aca="false" t="array" ref="V68:V68">IF(AND(INDEX(Profils!$P$5:$P$34,$AE68)&gt;0,INDEX(Profils!$AE$5:$AE$34,$AE68)&lt;=$AH68),ROUND(INDEX(Profils!$P$5:$P$34,$AE68)*Paramètres!$E$32*$AG68*$AJ68,Paramètres!$F$32),0)</f>
        <v>0</v>
      </c>
      <c r="W68" s="20" t="n">
        <f aca="false" t="array" ref="W68:W68">IF(AND(INDEX(Profils!$Q$5:$Q$34,$AE68)&gt;0,INDEX(Profils!$AF$5:$AF$34,$AE68)&lt;=$AH68),ROUND(INDEX(Profils!$Q$5:$Q$34,$AE68)*Paramètres!$E$33*$AG68*$AJ68,Paramètres!$F$33),0)</f>
        <v>0</v>
      </c>
      <c r="X68" s="20" t="n">
        <f aca="false" t="array" ref="X68:X68">IF(AND(INDEX(Profils!$R$5:$R$34,$AE68)&gt;0,INDEX(Profils!$AG$5:$AG$34,$AE68)&lt;=$AH68),ROUND(INDEX(Profils!$R$5:$R$34,$AE68)*Paramètres!$E$34*$AG68*$AJ68,Paramètres!$F$34),0)</f>
        <v>0</v>
      </c>
      <c r="Y68" s="20" t="n">
        <f aca="false" t="array" ref="Y68:Y68">IF(AND(INDEX(Profils!$S$5:$S$34,$AE68)&gt;0,INDEX(Profils!$AH$5:$AH$34,$AE68)&lt;=$AH68),ROUND(INDEX(Profils!$S$5:$S$34,$AE68)*Paramètres!$E$35*$AG68*$AJ68,Paramètres!$F$35),0)</f>
        <v>0</v>
      </c>
      <c r="Z68" s="21" t="n">
        <f aca="false">ROUND(L68/Paramètres!$E$22+M68/Paramètres!$E$23+N68/Paramètres!$E$24+O68/Paramètres!$E$25+P68/Paramètres!$E$26+Q68/Paramètres!$E$27+R68/Paramètres!$E$28+S68/Paramètres!$E$29+T68/Paramètres!$E$30+U68/Paramètres!$E$31+V68/Paramètres!$E$32+W68/Paramètres!$E$33+X68/Paramètres!$E$34+Y68/Paramètres!$E$35,1)</f>
        <v>0.2</v>
      </c>
      <c r="AA68" s="22" t="s">
        <v>109</v>
      </c>
      <c r="AB68" s="22" t="s">
        <v>109</v>
      </c>
      <c r="AC68" s="15" t="str">
        <f aca="false">$E68</f>
        <v>cuir</v>
      </c>
      <c r="AD68" s="16" t="n">
        <f aca="false" t="array" ref="AD68:AD68">IF($I68&gt;=$AI68,"Max",ROUND(Paramètres!$B$40*($I68+1)^Paramètres!$B$41*INDEX(Paramètres!$H$6:$H$12,$AF68),0))</f>
        <v>3</v>
      </c>
      <c r="AE68" s="23" t="n">
        <f aca="false">MATCH($B68&amp;"|"&amp;$C68,Profils!$A$5:$A$34,0)</f>
        <v>3</v>
      </c>
      <c r="AF68" s="23" t="n">
        <v>1</v>
      </c>
      <c r="AG68" s="24" t="n">
        <f aca="false" t="array" ref="AG68:AG68">INDEX(Paramètres!$C$6:$C$12,$AF68)</f>
        <v>1</v>
      </c>
      <c r="AH68" s="23" t="n">
        <f aca="false" t="array" ref="AH68:AH68">INDEX(Paramètres!$D$6:$D$12,$AF68)</f>
        <v>2</v>
      </c>
      <c r="AI68" s="23" t="n">
        <f aca="false" t="array" ref="AI68:AI68">INDEX(Matériaux!$C$16:$C$20,$D68)</f>
        <v>19</v>
      </c>
      <c r="AJ68" s="25" t="n">
        <f aca="false">Paramètres!$B$16+(1-Paramètres!$B$16)*(($J68-Paramètres!$B$14)/(Paramètres!$B$15-Paramètres!$B$14))^Paramètres!$B$17</f>
        <v>0.05</v>
      </c>
    </row>
    <row r="69" customFormat="false" ht="15.75" hidden="false" customHeight="true" outlineLevel="0" collapsed="false">
      <c r="A69" s="14" t="s">
        <v>178</v>
      </c>
      <c r="B69" s="15" t="s">
        <v>27</v>
      </c>
      <c r="C69" s="15" t="s">
        <v>177</v>
      </c>
      <c r="D69" s="16" t="n">
        <v>1</v>
      </c>
      <c r="E69" s="15" t="str">
        <f aca="false" t="array" ref="E69:E69">INDEX(Matériaux!$B$5:$F$12,MATCH(INDEX(Profils!$E$5:$E$34,$AE69),Matériaux!$A$5:$A$12,0),$D69)</f>
        <v>cuir</v>
      </c>
      <c r="F69" s="26" t="s">
        <v>111</v>
      </c>
      <c r="G69" s="10" t="str">
        <f aca="false" t="array" ref="G69:G69">INDEX(Profils!$D$5:$D$34,$AE69)&amp;" en "&amp;$E69</f>
        <v>Jambières en cuir</v>
      </c>
      <c r="H69" s="16" t="n">
        <f aca="false" t="array" ref="H69:H69">INDEX(Matériaux!$B$16:$B$20,$D69)</f>
        <v>1</v>
      </c>
      <c r="I69" s="16" t="n">
        <f aca="false">IF(ISNUMBER($C$3),MIN(MAX(0,ROUND($C$3,0)),$AI69),$AI69)</f>
        <v>0</v>
      </c>
      <c r="J69" s="18" t="n">
        <f aca="false">$H69+$I69</f>
        <v>1</v>
      </c>
      <c r="K69" s="15" t="s">
        <v>109</v>
      </c>
      <c r="L69" s="19" t="n">
        <f aca="false" t="array" ref="L69:L69">IF(AND(INDEX(Profils!$F$5:$F$34,$AE69)&gt;0,INDEX(Profils!$U$5:$U$34,$AE69)&lt;=$AH69),ROUND(INDEX(Profils!$F$5:$F$34,$AE69)*Paramètres!$E$22*$AG69*$AJ69,Paramètres!$F$22),0)</f>
        <v>3</v>
      </c>
      <c r="M69" s="19" t="n">
        <f aca="false" t="array" ref="M69:M69">IF(AND(INDEX(Profils!$G$5:$G$34,$AE69)&gt;0,INDEX(Profils!$V$5:$V$34,$AE69)&lt;=$AH69),ROUND(INDEX(Profils!$G$5:$G$34,$AE69)*Paramètres!$E$23*$AG69*$AJ69,Paramètres!$F$23),0)</f>
        <v>0</v>
      </c>
      <c r="N69" s="19" t="n">
        <f aca="false" t="array" ref="N69:N69">IF(AND(INDEX(Profils!$H$5:$H$34,$AE69)&gt;0,INDEX(Profils!$W$5:$W$34,$AE69)&lt;=$AH69),ROUND(INDEX(Profils!$H$5:$H$34,$AE69)*Paramètres!$E$24*$AG69*$AJ69,Paramètres!$F$24),0)</f>
        <v>1</v>
      </c>
      <c r="O69" s="19" t="n">
        <f aca="false" t="array" ref="O69:O69">IF(AND(INDEX(Profils!$I$5:$I$34,$AE69)&gt;0,INDEX(Profils!$X$5:$X$34,$AE69)&lt;=$AH69),ROUND(INDEX(Profils!$I$5:$I$34,$AE69)*Paramètres!$E$25*$AG69*$AJ69,Paramètres!$F$25),0)</f>
        <v>0</v>
      </c>
      <c r="P69" s="19" t="n">
        <f aca="false" t="array" ref="P69:P69">IF(AND(INDEX(Profils!$J$5:$J$34,$AE69)&gt;0,INDEX(Profils!$Y$5:$Y$34,$AE69)&lt;=$AH69),ROUND(INDEX(Profils!$J$5:$J$34,$AE69)*Paramètres!$E$26*$AG69*$AJ69,Paramètres!$F$26),0)</f>
        <v>0</v>
      </c>
      <c r="Q69" s="19" t="n">
        <f aca="false" t="array" ref="Q69:Q69">IF(AND(INDEX(Profils!$K$5:$K$34,$AE69)&gt;0,INDEX(Profils!$Z$5:$Z$34,$AE69)&lt;=$AH69),ROUND(INDEX(Profils!$K$5:$K$34,$AE69)*Paramètres!$E$27*$AG69*$AJ69,Paramètres!$F$27),0)</f>
        <v>0</v>
      </c>
      <c r="R69" s="20" t="n">
        <f aca="false" t="array" ref="R69:R69">IF(AND(INDEX(Profils!$L$5:$L$34,$AE69)&gt;0,INDEX(Profils!$AA$5:$AA$34,$AE69)&lt;=$AH69),ROUND(INDEX(Profils!$L$5:$L$34,$AE69)*Paramètres!$E$28*$AG69*$AJ69,Paramètres!$F$28),0)</f>
        <v>0</v>
      </c>
      <c r="S69" s="20" t="n">
        <f aca="false" t="array" ref="S69:S69">IF(AND(INDEX(Profils!$M$5:$M$34,$AE69)&gt;0,INDEX(Profils!$AB$5:$AB$34,$AE69)&lt;=$AH69),ROUND(INDEX(Profils!$M$5:$M$34,$AE69)*Paramètres!$E$29*$AG69*$AJ69,Paramètres!$F$29),0)</f>
        <v>0</v>
      </c>
      <c r="T69" s="20" t="n">
        <f aca="false" t="array" ref="T69:T69">IF(AND(INDEX(Profils!$N$5:$N$34,$AE69)&gt;0,INDEX(Profils!$AC$5:$AC$34,$AE69)&lt;=$AH69),ROUND(INDEX(Profils!$N$5:$N$34,$AE69)*Paramètres!$E$30*$AG69*$AJ69,Paramètres!$F$30),0)</f>
        <v>0</v>
      </c>
      <c r="U69" s="19" t="n">
        <f aca="false" t="array" ref="U69:U69">IF(AND(INDEX(Profils!$O$5:$O$34,$AE69)&gt;0,INDEX(Profils!$AD$5:$AD$34,$AE69)&lt;=$AH69),ROUND(INDEX(Profils!$O$5:$O$34,$AE69)*Paramètres!$E$31*$AG69*$AJ69,Paramètres!$F$31),0)</f>
        <v>2</v>
      </c>
      <c r="V69" s="20" t="n">
        <f aca="false" t="array" ref="V69:V69">IF(AND(INDEX(Profils!$P$5:$P$34,$AE69)&gt;0,INDEX(Profils!$AE$5:$AE$34,$AE69)&lt;=$AH69),ROUND(INDEX(Profils!$P$5:$P$34,$AE69)*Paramètres!$E$32*$AG69*$AJ69,Paramètres!$F$32),0)</f>
        <v>0</v>
      </c>
      <c r="W69" s="20" t="n">
        <f aca="false" t="array" ref="W69:W69">IF(AND(INDEX(Profils!$Q$5:$Q$34,$AE69)&gt;0,INDEX(Profils!$AF$5:$AF$34,$AE69)&lt;=$AH69),ROUND(INDEX(Profils!$Q$5:$Q$34,$AE69)*Paramètres!$E$33*$AG69*$AJ69,Paramètres!$F$33),0)</f>
        <v>0</v>
      </c>
      <c r="X69" s="20" t="n">
        <f aca="false" t="array" ref="X69:X69">IF(AND(INDEX(Profils!$R$5:$R$34,$AE69)&gt;0,INDEX(Profils!$AG$5:$AG$34,$AE69)&lt;=$AH69),ROUND(INDEX(Profils!$R$5:$R$34,$AE69)*Paramètres!$E$34*$AG69*$AJ69,Paramètres!$F$34),0)</f>
        <v>0</v>
      </c>
      <c r="Y69" s="20" t="n">
        <f aca="false" t="array" ref="Y69:Y69">IF(AND(INDEX(Profils!$S$5:$S$34,$AE69)&gt;0,INDEX(Profils!$AH$5:$AH$34,$AE69)&lt;=$AH69),ROUND(INDEX(Profils!$S$5:$S$34,$AE69)*Paramètres!$E$35*$AG69*$AJ69,Paramètres!$F$35),0)</f>
        <v>0</v>
      </c>
      <c r="Z69" s="21" t="n">
        <f aca="false">ROUND(L69/Paramètres!$E$22+M69/Paramètres!$E$23+N69/Paramètres!$E$24+O69/Paramètres!$E$25+P69/Paramètres!$E$26+Q69/Paramètres!$E$27+R69/Paramètres!$E$28+S69/Paramètres!$E$29+T69/Paramètres!$E$30+U69/Paramètres!$E$31+V69/Paramètres!$E$32+W69/Paramètres!$E$33+X69/Paramètres!$E$34+Y69/Paramètres!$E$35,1)</f>
        <v>0.3</v>
      </c>
      <c r="AA69" s="22" t="s">
        <v>109</v>
      </c>
      <c r="AB69" s="22" t="s">
        <v>109</v>
      </c>
      <c r="AC69" s="15" t="str">
        <f aca="false">$E69</f>
        <v>cuir</v>
      </c>
      <c r="AD69" s="16" t="n">
        <f aca="false" t="array" ref="AD69:AD69">IF($I69&gt;=$AI69,"Max",ROUND(Paramètres!$B$40*($I69+1)^Paramètres!$B$41*INDEX(Paramètres!$H$6:$H$12,$AF69),0))</f>
        <v>4</v>
      </c>
      <c r="AE69" s="23" t="n">
        <f aca="false">MATCH($B69&amp;"|"&amp;$C69,Profils!$A$5:$A$34,0)</f>
        <v>3</v>
      </c>
      <c r="AF69" s="23" t="n">
        <v>2</v>
      </c>
      <c r="AG69" s="24" t="n">
        <f aca="false" t="array" ref="AG69:AG69">INDEX(Paramètres!$C$6:$C$12,$AF69)</f>
        <v>1.2</v>
      </c>
      <c r="AH69" s="23" t="n">
        <f aca="false" t="array" ref="AH69:AH69">INDEX(Paramètres!$D$6:$D$12,$AF69)</f>
        <v>3</v>
      </c>
      <c r="AI69" s="23" t="n">
        <f aca="false" t="array" ref="AI69:AI69">INDEX(Matériaux!$C$16:$C$20,$D69)</f>
        <v>19</v>
      </c>
      <c r="AJ69" s="25" t="n">
        <f aca="false">Paramètres!$B$16+(1-Paramètres!$B$16)*(($J69-Paramètres!$B$14)/(Paramètres!$B$15-Paramètres!$B$14))^Paramètres!$B$17</f>
        <v>0.05</v>
      </c>
    </row>
    <row r="70" customFormat="false" ht="15.75" hidden="false" customHeight="true" outlineLevel="0" collapsed="false">
      <c r="A70" s="14" t="s">
        <v>179</v>
      </c>
      <c r="B70" s="15" t="s">
        <v>27</v>
      </c>
      <c r="C70" s="15" t="s">
        <v>177</v>
      </c>
      <c r="D70" s="16" t="n">
        <v>1</v>
      </c>
      <c r="E70" s="15" t="str">
        <f aca="false" t="array" ref="E70:E70">INDEX(Matériaux!$B$5:$F$12,MATCH(INDEX(Profils!$E$5:$E$34,$AE70),Matériaux!$A$5:$A$12,0),$D70)</f>
        <v>cuir</v>
      </c>
      <c r="F70" s="27" t="s">
        <v>113</v>
      </c>
      <c r="G70" s="10" t="str">
        <f aca="false" t="array" ref="G70:G70">INDEX(Profils!$D$5:$D$34,$AE70)&amp;" en "&amp;$E70</f>
        <v>Jambières en cuir</v>
      </c>
      <c r="H70" s="16" t="n">
        <f aca="false" t="array" ref="H70:H70">INDEX(Matériaux!$B$16:$B$20,$D70)</f>
        <v>1</v>
      </c>
      <c r="I70" s="16" t="n">
        <f aca="false">IF(ISNUMBER($C$3),MIN(MAX(0,ROUND($C$3,0)),$AI70),$AI70)</f>
        <v>0</v>
      </c>
      <c r="J70" s="18" t="n">
        <f aca="false">$H70+$I70</f>
        <v>1</v>
      </c>
      <c r="K70" s="15" t="s">
        <v>109</v>
      </c>
      <c r="L70" s="19" t="n">
        <f aca="false" t="array" ref="L70:L70">IF(AND(INDEX(Profils!$F$5:$F$34,$AE70)&gt;0,INDEX(Profils!$U$5:$U$34,$AE70)&lt;=$AH70),ROUND(INDEX(Profils!$F$5:$F$34,$AE70)*Paramètres!$E$22*$AG70*$AJ70,Paramètres!$F$22),0)</f>
        <v>4</v>
      </c>
      <c r="M70" s="19" t="n">
        <f aca="false" t="array" ref="M70:M70">IF(AND(INDEX(Profils!$G$5:$G$34,$AE70)&gt;0,INDEX(Profils!$V$5:$V$34,$AE70)&lt;=$AH70),ROUND(INDEX(Profils!$G$5:$G$34,$AE70)*Paramètres!$E$23*$AG70*$AJ70,Paramètres!$F$23),0)</f>
        <v>1</v>
      </c>
      <c r="N70" s="19" t="n">
        <f aca="false" t="array" ref="N70:N70">IF(AND(INDEX(Profils!$H$5:$H$34,$AE70)&gt;0,INDEX(Profils!$W$5:$W$34,$AE70)&lt;=$AH70),ROUND(INDEX(Profils!$H$5:$H$34,$AE70)*Paramètres!$E$24*$AG70*$AJ70,Paramètres!$F$24),0)</f>
        <v>2</v>
      </c>
      <c r="O70" s="19" t="n">
        <f aca="false" t="array" ref="O70:O70">IF(AND(INDEX(Profils!$I$5:$I$34,$AE70)&gt;0,INDEX(Profils!$X$5:$X$34,$AE70)&lt;=$AH70),ROUND(INDEX(Profils!$I$5:$I$34,$AE70)*Paramètres!$E$25*$AG70*$AJ70,Paramètres!$F$25),0)</f>
        <v>0</v>
      </c>
      <c r="P70" s="19" t="n">
        <f aca="false" t="array" ref="P70:P70">IF(AND(INDEX(Profils!$J$5:$J$34,$AE70)&gt;0,INDEX(Profils!$Y$5:$Y$34,$AE70)&lt;=$AH70),ROUND(INDEX(Profils!$J$5:$J$34,$AE70)*Paramètres!$E$26*$AG70*$AJ70,Paramètres!$F$26),0)</f>
        <v>0</v>
      </c>
      <c r="Q70" s="19" t="n">
        <f aca="false" t="array" ref="Q70:Q70">IF(AND(INDEX(Profils!$K$5:$K$34,$AE70)&gt;0,INDEX(Profils!$Z$5:$Z$34,$AE70)&lt;=$AH70),ROUND(INDEX(Profils!$K$5:$K$34,$AE70)*Paramètres!$E$27*$AG70*$AJ70,Paramètres!$F$27),0)</f>
        <v>0</v>
      </c>
      <c r="R70" s="20" t="n">
        <f aca="false" t="array" ref="R70:R70">IF(AND(INDEX(Profils!$L$5:$L$34,$AE70)&gt;0,INDEX(Profils!$AA$5:$AA$34,$AE70)&lt;=$AH70),ROUND(INDEX(Profils!$L$5:$L$34,$AE70)*Paramètres!$E$28*$AG70*$AJ70,Paramètres!$F$28),0)</f>
        <v>0</v>
      </c>
      <c r="S70" s="20" t="n">
        <f aca="false" t="array" ref="S70:S70">IF(AND(INDEX(Profils!$M$5:$M$34,$AE70)&gt;0,INDEX(Profils!$AB$5:$AB$34,$AE70)&lt;=$AH70),ROUND(INDEX(Profils!$M$5:$M$34,$AE70)*Paramètres!$E$29*$AG70*$AJ70,Paramètres!$F$29),0)</f>
        <v>0</v>
      </c>
      <c r="T70" s="20" t="n">
        <f aca="false" t="array" ref="T70:T70">IF(AND(INDEX(Profils!$N$5:$N$34,$AE70)&gt;0,INDEX(Profils!$AC$5:$AC$34,$AE70)&lt;=$AH70),ROUND(INDEX(Profils!$N$5:$N$34,$AE70)*Paramètres!$E$30*$AG70*$AJ70,Paramètres!$F$30),0)</f>
        <v>0</v>
      </c>
      <c r="U70" s="19" t="n">
        <f aca="false" t="array" ref="U70:U70">IF(AND(INDEX(Profils!$O$5:$O$34,$AE70)&gt;0,INDEX(Profils!$AD$5:$AD$34,$AE70)&lt;=$AH70),ROUND(INDEX(Profils!$O$5:$O$34,$AE70)*Paramètres!$E$31*$AG70*$AJ70,Paramètres!$F$31),0)</f>
        <v>2</v>
      </c>
      <c r="V70" s="20" t="n">
        <f aca="false" t="array" ref="V70:V70">IF(AND(INDEX(Profils!$P$5:$P$34,$AE70)&gt;0,INDEX(Profils!$AE$5:$AE$34,$AE70)&lt;=$AH70),ROUND(INDEX(Profils!$P$5:$P$34,$AE70)*Paramètres!$E$32*$AG70*$AJ70,Paramètres!$F$32),0)</f>
        <v>0</v>
      </c>
      <c r="W70" s="20" t="n">
        <f aca="false" t="array" ref="W70:W70">IF(AND(INDEX(Profils!$Q$5:$Q$34,$AE70)&gt;0,INDEX(Profils!$AF$5:$AF$34,$AE70)&lt;=$AH70),ROUND(INDEX(Profils!$Q$5:$Q$34,$AE70)*Paramètres!$E$33*$AG70*$AJ70,Paramètres!$F$33),0)</f>
        <v>0</v>
      </c>
      <c r="X70" s="20" t="n">
        <f aca="false" t="array" ref="X70:X70">IF(AND(INDEX(Profils!$R$5:$R$34,$AE70)&gt;0,INDEX(Profils!$AG$5:$AG$34,$AE70)&lt;=$AH70),ROUND(INDEX(Profils!$R$5:$R$34,$AE70)*Paramètres!$E$34*$AG70*$AJ70,Paramètres!$F$34),0)</f>
        <v>0</v>
      </c>
      <c r="Y70" s="20" t="n">
        <f aca="false" t="array" ref="Y70:Y70">IF(AND(INDEX(Profils!$S$5:$S$34,$AE70)&gt;0,INDEX(Profils!$AH$5:$AH$34,$AE70)&lt;=$AH70),ROUND(INDEX(Profils!$S$5:$S$34,$AE70)*Paramètres!$E$35*$AG70*$AJ70,Paramètres!$F$35),0)</f>
        <v>0</v>
      </c>
      <c r="Z70" s="21" t="n">
        <f aca="false">ROUND(L70/Paramètres!$E$22+M70/Paramètres!$E$23+N70/Paramètres!$E$24+O70/Paramètres!$E$25+P70/Paramètres!$E$26+Q70/Paramètres!$E$27+R70/Paramètres!$E$28+S70/Paramètres!$E$29+T70/Paramètres!$E$30+U70/Paramètres!$E$31+V70/Paramètres!$E$32+W70/Paramètres!$E$33+X70/Paramètres!$E$34+Y70/Paramètres!$E$35,1)</f>
        <v>0.5</v>
      </c>
      <c r="AA70" s="22" t="s">
        <v>109</v>
      </c>
      <c r="AB70" s="22" t="s">
        <v>109</v>
      </c>
      <c r="AC70" s="15" t="str">
        <f aca="false">$E70</f>
        <v>cuir</v>
      </c>
      <c r="AD70" s="16" t="n">
        <f aca="false" t="array" ref="AD70:AD70">IF($I70&gt;=$AI70,"Max",ROUND(Paramètres!$B$40*($I70+1)^Paramètres!$B$41*INDEX(Paramètres!$H$6:$H$12,$AF70),0))</f>
        <v>4</v>
      </c>
      <c r="AE70" s="23" t="n">
        <f aca="false">MATCH($B70&amp;"|"&amp;$C70,Profils!$A$5:$A$34,0)</f>
        <v>3</v>
      </c>
      <c r="AF70" s="23" t="n">
        <v>3</v>
      </c>
      <c r="AG70" s="24" t="n">
        <f aca="false" t="array" ref="AG70:AG70">INDEX(Paramètres!$C$6:$C$12,$AF70)</f>
        <v>1.45</v>
      </c>
      <c r="AH70" s="23" t="n">
        <f aca="false" t="array" ref="AH70:AH70">INDEX(Paramètres!$D$6:$D$12,$AF70)</f>
        <v>4</v>
      </c>
      <c r="AI70" s="23" t="n">
        <f aca="false" t="array" ref="AI70:AI70">INDEX(Matériaux!$C$16:$C$20,$D70)</f>
        <v>19</v>
      </c>
      <c r="AJ70" s="25" t="n">
        <f aca="false">Paramètres!$B$16+(1-Paramètres!$B$16)*(($J70-Paramètres!$B$14)/(Paramètres!$B$15-Paramètres!$B$14))^Paramètres!$B$17</f>
        <v>0.05</v>
      </c>
    </row>
    <row r="71" customFormat="false" ht="15.75" hidden="false" customHeight="true" outlineLevel="0" collapsed="false">
      <c r="A71" s="14" t="s">
        <v>180</v>
      </c>
      <c r="B71" s="15" t="s">
        <v>27</v>
      </c>
      <c r="C71" s="15" t="s">
        <v>177</v>
      </c>
      <c r="D71" s="16" t="n">
        <v>1</v>
      </c>
      <c r="E71" s="15" t="str">
        <f aca="false" t="array" ref="E71:E71">INDEX(Matériaux!$B$5:$F$12,MATCH(INDEX(Profils!$E$5:$E$34,$AE71),Matériaux!$A$5:$A$12,0),$D71)</f>
        <v>cuir</v>
      </c>
      <c r="F71" s="28" t="s">
        <v>115</v>
      </c>
      <c r="G71" s="10" t="str">
        <f aca="false" t="array" ref="G71:G71">INDEX(Profils!$D$5:$D$34,$AE71)&amp;" en "&amp;$E71</f>
        <v>Jambières en cuir</v>
      </c>
      <c r="H71" s="16" t="n">
        <f aca="false" t="array" ref="H71:H71">INDEX(Matériaux!$B$16:$B$20,$D71)</f>
        <v>1</v>
      </c>
      <c r="I71" s="16" t="n">
        <f aca="false">IF(ISNUMBER($C$3),MIN(MAX(0,ROUND($C$3,0)),$AI71),$AI71)</f>
        <v>0</v>
      </c>
      <c r="J71" s="18" t="n">
        <f aca="false">$H71+$I71</f>
        <v>1</v>
      </c>
      <c r="K71" s="15" t="s">
        <v>109</v>
      </c>
      <c r="L71" s="19" t="n">
        <f aca="false" t="array" ref="L71:L71">IF(AND(INDEX(Profils!$F$5:$F$34,$AE71)&gt;0,INDEX(Profils!$U$5:$U$34,$AE71)&lt;=$AH71),ROUND(INDEX(Profils!$F$5:$F$34,$AE71)*Paramètres!$E$22*$AG71*$AJ71,Paramètres!$F$22),0)</f>
        <v>4</v>
      </c>
      <c r="M71" s="19" t="n">
        <f aca="false" t="array" ref="M71:M71">IF(AND(INDEX(Profils!$G$5:$G$34,$AE71)&gt;0,INDEX(Profils!$V$5:$V$34,$AE71)&lt;=$AH71),ROUND(INDEX(Profils!$G$5:$G$34,$AE71)*Paramètres!$E$23*$AG71*$AJ71,Paramètres!$F$23),0)</f>
        <v>1</v>
      </c>
      <c r="N71" s="19" t="n">
        <f aca="false" t="array" ref="N71:N71">IF(AND(INDEX(Profils!$H$5:$H$34,$AE71)&gt;0,INDEX(Profils!$W$5:$W$34,$AE71)&lt;=$AH71),ROUND(INDEX(Profils!$H$5:$H$34,$AE71)*Paramètres!$E$24*$AG71*$AJ71,Paramètres!$F$24),0)</f>
        <v>2</v>
      </c>
      <c r="O71" s="19" t="n">
        <f aca="false" t="array" ref="O71:O71">IF(AND(INDEX(Profils!$I$5:$I$34,$AE71)&gt;0,INDEX(Profils!$X$5:$X$34,$AE71)&lt;=$AH71),ROUND(INDEX(Profils!$I$5:$I$34,$AE71)*Paramètres!$E$25*$AG71*$AJ71,Paramètres!$F$25),0)</f>
        <v>0</v>
      </c>
      <c r="P71" s="19" t="n">
        <f aca="false" t="array" ref="P71:P71">IF(AND(INDEX(Profils!$J$5:$J$34,$AE71)&gt;0,INDEX(Profils!$Y$5:$Y$34,$AE71)&lt;=$AH71),ROUND(INDEX(Profils!$J$5:$J$34,$AE71)*Paramètres!$E$26*$AG71*$AJ71,Paramètres!$F$26),0)</f>
        <v>1</v>
      </c>
      <c r="Q71" s="19" t="n">
        <f aca="false" t="array" ref="Q71:Q71">IF(AND(INDEX(Profils!$K$5:$K$34,$AE71)&gt;0,INDEX(Profils!$Z$5:$Z$34,$AE71)&lt;=$AH71),ROUND(INDEX(Profils!$K$5:$K$34,$AE71)*Paramètres!$E$27*$AG71*$AJ71,Paramètres!$F$27),0)</f>
        <v>0</v>
      </c>
      <c r="R71" s="20" t="n">
        <f aca="false" t="array" ref="R71:R71">IF(AND(INDEX(Profils!$L$5:$L$34,$AE71)&gt;0,INDEX(Profils!$AA$5:$AA$34,$AE71)&lt;=$AH71),ROUND(INDEX(Profils!$L$5:$L$34,$AE71)*Paramètres!$E$28*$AG71*$AJ71,Paramètres!$F$28),0)</f>
        <v>0</v>
      </c>
      <c r="S71" s="20" t="n">
        <f aca="false" t="array" ref="S71:S71">IF(AND(INDEX(Profils!$M$5:$M$34,$AE71)&gt;0,INDEX(Profils!$AB$5:$AB$34,$AE71)&lt;=$AH71),ROUND(INDEX(Profils!$M$5:$M$34,$AE71)*Paramètres!$E$29*$AG71*$AJ71,Paramètres!$F$29),0)</f>
        <v>0</v>
      </c>
      <c r="T71" s="20" t="n">
        <f aca="false" t="array" ref="T71:T71">IF(AND(INDEX(Profils!$N$5:$N$34,$AE71)&gt;0,INDEX(Profils!$AC$5:$AC$34,$AE71)&lt;=$AH71),ROUND(INDEX(Profils!$N$5:$N$34,$AE71)*Paramètres!$E$30*$AG71*$AJ71,Paramètres!$F$30),0)</f>
        <v>0</v>
      </c>
      <c r="U71" s="19" t="n">
        <f aca="false" t="array" ref="U71:U71">IF(AND(INDEX(Profils!$O$5:$O$34,$AE71)&gt;0,INDEX(Profils!$AD$5:$AD$34,$AE71)&lt;=$AH71),ROUND(INDEX(Profils!$O$5:$O$34,$AE71)*Paramètres!$E$31*$AG71*$AJ71,Paramètres!$F$31),0)</f>
        <v>3</v>
      </c>
      <c r="V71" s="20" t="n">
        <f aca="false" t="array" ref="V71:V71">IF(AND(INDEX(Profils!$P$5:$P$34,$AE71)&gt;0,INDEX(Profils!$AE$5:$AE$34,$AE71)&lt;=$AH71),ROUND(INDEX(Profils!$P$5:$P$34,$AE71)*Paramètres!$E$32*$AG71*$AJ71,Paramètres!$F$32),0)</f>
        <v>0</v>
      </c>
      <c r="W71" s="20" t="n">
        <f aca="false" t="array" ref="W71:W71">IF(AND(INDEX(Profils!$Q$5:$Q$34,$AE71)&gt;0,INDEX(Profils!$AF$5:$AF$34,$AE71)&lt;=$AH71),ROUND(INDEX(Profils!$Q$5:$Q$34,$AE71)*Paramètres!$E$33*$AG71*$AJ71,Paramètres!$F$33),0)</f>
        <v>0</v>
      </c>
      <c r="X71" s="20" t="n">
        <f aca="false" t="array" ref="X71:X71">IF(AND(INDEX(Profils!$R$5:$R$34,$AE71)&gt;0,INDEX(Profils!$AG$5:$AG$34,$AE71)&lt;=$AH71),ROUND(INDEX(Profils!$R$5:$R$34,$AE71)*Paramètres!$E$34*$AG71*$AJ71,Paramètres!$F$34),0)</f>
        <v>0</v>
      </c>
      <c r="Y71" s="20" t="n">
        <f aca="false" t="array" ref="Y71:Y71">IF(AND(INDEX(Profils!$S$5:$S$34,$AE71)&gt;0,INDEX(Profils!$AH$5:$AH$34,$AE71)&lt;=$AH71),ROUND(INDEX(Profils!$S$5:$S$34,$AE71)*Paramètres!$E$35*$AG71*$AJ71,Paramètres!$F$35),0)</f>
        <v>0</v>
      </c>
      <c r="Z71" s="21" t="n">
        <f aca="false">ROUND(L71/Paramètres!$E$22+M71/Paramètres!$E$23+N71/Paramètres!$E$24+O71/Paramètres!$E$25+P71/Paramètres!$E$26+Q71/Paramètres!$E$27+R71/Paramètres!$E$28+S71/Paramètres!$E$29+T71/Paramètres!$E$30+U71/Paramètres!$E$31+V71/Paramètres!$E$32+W71/Paramètres!$E$33+X71/Paramètres!$E$34+Y71/Paramètres!$E$35,1)</f>
        <v>0.6</v>
      </c>
      <c r="AA71" s="22" t="s">
        <v>109</v>
      </c>
      <c r="AB71" s="22" t="s">
        <v>109</v>
      </c>
      <c r="AC71" s="15" t="str">
        <f aca="false">$E71</f>
        <v>cuir</v>
      </c>
      <c r="AD71" s="16" t="n">
        <f aca="false" t="array" ref="AD71:AD71">IF($I71&gt;=$AI71,"Max",ROUND(Paramètres!$B$40*($I71+1)^Paramètres!$B$41*INDEX(Paramètres!$H$6:$H$12,$AF71),0))</f>
        <v>5</v>
      </c>
      <c r="AE71" s="23" t="n">
        <f aca="false">MATCH($B71&amp;"|"&amp;$C71,Profils!$A$5:$A$34,0)</f>
        <v>3</v>
      </c>
      <c r="AF71" s="23" t="n">
        <v>4</v>
      </c>
      <c r="AG71" s="24" t="n">
        <f aca="false" t="array" ref="AG71:AG71">INDEX(Paramètres!$C$6:$C$12,$AF71)</f>
        <v>1.75</v>
      </c>
      <c r="AH71" s="23" t="n">
        <f aca="false" t="array" ref="AH71:AH71">INDEX(Paramètres!$D$6:$D$12,$AF71)</f>
        <v>5</v>
      </c>
      <c r="AI71" s="23" t="n">
        <f aca="false" t="array" ref="AI71:AI71">INDEX(Matériaux!$C$16:$C$20,$D71)</f>
        <v>19</v>
      </c>
      <c r="AJ71" s="25" t="n">
        <f aca="false">Paramètres!$B$16+(1-Paramètres!$B$16)*(($J71-Paramètres!$B$14)/(Paramètres!$B$15-Paramètres!$B$14))^Paramètres!$B$17</f>
        <v>0.05</v>
      </c>
    </row>
    <row r="72" customFormat="false" ht="15.75" hidden="false" customHeight="true" outlineLevel="0" collapsed="false">
      <c r="A72" s="14" t="s">
        <v>181</v>
      </c>
      <c r="B72" s="15" t="s">
        <v>27</v>
      </c>
      <c r="C72" s="15" t="s">
        <v>177</v>
      </c>
      <c r="D72" s="16" t="n">
        <v>1</v>
      </c>
      <c r="E72" s="15" t="str">
        <f aca="false" t="array" ref="E72:E72">INDEX(Matériaux!$B$5:$F$12,MATCH(INDEX(Profils!$E$5:$E$34,$AE72),Matériaux!$A$5:$A$12,0),$D72)</f>
        <v>cuir</v>
      </c>
      <c r="F72" s="29" t="s">
        <v>117</v>
      </c>
      <c r="G72" s="10" t="str">
        <f aca="false" t="array" ref="G72:G72">INDEX(Profils!$D$5:$D$34,$AE72)&amp;" en "&amp;$E72</f>
        <v>Jambières en cuir</v>
      </c>
      <c r="H72" s="16" t="n">
        <f aca="false" t="array" ref="H72:H72">INDEX(Matériaux!$B$16:$B$20,$D72)</f>
        <v>1</v>
      </c>
      <c r="I72" s="16" t="n">
        <f aca="false">IF(ISNUMBER($C$3),MIN(MAX(0,ROUND($C$3,0)),$AI72),$AI72)</f>
        <v>0</v>
      </c>
      <c r="J72" s="18" t="n">
        <f aca="false">$H72+$I72</f>
        <v>1</v>
      </c>
      <c r="K72" s="15" t="s">
        <v>109</v>
      </c>
      <c r="L72" s="19" t="n">
        <f aca="false" t="array" ref="L72:L72">IF(AND(INDEX(Profils!$F$5:$F$34,$AE72)&gt;0,INDEX(Profils!$U$5:$U$34,$AE72)&lt;=$AH72),ROUND(INDEX(Profils!$F$5:$F$34,$AE72)*Paramètres!$E$22*$AG72*$AJ72,Paramètres!$F$22),0)</f>
        <v>5</v>
      </c>
      <c r="M72" s="19" t="n">
        <f aca="false" t="array" ref="M72:M72">IF(AND(INDEX(Profils!$G$5:$G$34,$AE72)&gt;0,INDEX(Profils!$V$5:$V$34,$AE72)&lt;=$AH72),ROUND(INDEX(Profils!$G$5:$G$34,$AE72)*Paramètres!$E$23*$AG72*$AJ72,Paramètres!$F$23),0)</f>
        <v>1</v>
      </c>
      <c r="N72" s="19" t="n">
        <f aca="false" t="array" ref="N72:N72">IF(AND(INDEX(Profils!$H$5:$H$34,$AE72)&gt;0,INDEX(Profils!$W$5:$W$34,$AE72)&lt;=$AH72),ROUND(INDEX(Profils!$H$5:$H$34,$AE72)*Paramètres!$E$24*$AG72*$AJ72,Paramètres!$F$24),0)</f>
        <v>2</v>
      </c>
      <c r="O72" s="19" t="n">
        <f aca="false" t="array" ref="O72:O72">IF(AND(INDEX(Profils!$I$5:$I$34,$AE72)&gt;0,INDEX(Profils!$X$5:$X$34,$AE72)&lt;=$AH72),ROUND(INDEX(Profils!$I$5:$I$34,$AE72)*Paramètres!$E$25*$AG72*$AJ72,Paramètres!$F$25),0)</f>
        <v>0</v>
      </c>
      <c r="P72" s="19" t="n">
        <f aca="false" t="array" ref="P72:P72">IF(AND(INDEX(Profils!$J$5:$J$34,$AE72)&gt;0,INDEX(Profils!$Y$5:$Y$34,$AE72)&lt;=$AH72),ROUND(INDEX(Profils!$J$5:$J$34,$AE72)*Paramètres!$E$26*$AG72*$AJ72,Paramètres!$F$26),0)</f>
        <v>1</v>
      </c>
      <c r="Q72" s="19" t="n">
        <f aca="false" t="array" ref="Q72:Q72">IF(AND(INDEX(Profils!$K$5:$K$34,$AE72)&gt;0,INDEX(Profils!$Z$5:$Z$34,$AE72)&lt;=$AH72),ROUND(INDEX(Profils!$K$5:$K$34,$AE72)*Paramètres!$E$27*$AG72*$AJ72,Paramètres!$F$27),0)</f>
        <v>0</v>
      </c>
      <c r="R72" s="20" t="n">
        <f aca="false" t="array" ref="R72:R72">IF(AND(INDEX(Profils!$L$5:$L$34,$AE72)&gt;0,INDEX(Profils!$AA$5:$AA$34,$AE72)&lt;=$AH72),ROUND(INDEX(Profils!$L$5:$L$34,$AE72)*Paramètres!$E$28*$AG72*$AJ72,Paramètres!$F$28),0)</f>
        <v>0</v>
      </c>
      <c r="S72" s="20" t="n">
        <f aca="false" t="array" ref="S72:S72">IF(AND(INDEX(Profils!$M$5:$M$34,$AE72)&gt;0,INDEX(Profils!$AB$5:$AB$34,$AE72)&lt;=$AH72),ROUND(INDEX(Profils!$M$5:$M$34,$AE72)*Paramètres!$E$29*$AG72*$AJ72,Paramètres!$F$29),0)</f>
        <v>0</v>
      </c>
      <c r="T72" s="20" t="n">
        <f aca="false" t="array" ref="T72:T72">IF(AND(INDEX(Profils!$N$5:$N$34,$AE72)&gt;0,INDEX(Profils!$AC$5:$AC$34,$AE72)&lt;=$AH72),ROUND(INDEX(Profils!$N$5:$N$34,$AE72)*Paramètres!$E$30*$AG72*$AJ72,Paramètres!$F$30),0)</f>
        <v>0</v>
      </c>
      <c r="U72" s="19" t="n">
        <f aca="false" t="array" ref="U72:U72">IF(AND(INDEX(Profils!$O$5:$O$34,$AE72)&gt;0,INDEX(Profils!$AD$5:$AD$34,$AE72)&lt;=$AH72),ROUND(INDEX(Profils!$O$5:$O$34,$AE72)*Paramètres!$E$31*$AG72*$AJ72,Paramètres!$F$31),0)</f>
        <v>3</v>
      </c>
      <c r="V72" s="20" t="n">
        <f aca="false" t="array" ref="V72:V72">IF(AND(INDEX(Profils!$P$5:$P$34,$AE72)&gt;0,INDEX(Profils!$AE$5:$AE$34,$AE72)&lt;=$AH72),ROUND(INDEX(Profils!$P$5:$P$34,$AE72)*Paramètres!$E$32*$AG72*$AJ72,Paramètres!$F$32),0)</f>
        <v>0</v>
      </c>
      <c r="W72" s="20" t="n">
        <f aca="false" t="array" ref="W72:W72">IF(AND(INDEX(Profils!$Q$5:$Q$34,$AE72)&gt;0,INDEX(Profils!$AF$5:$AF$34,$AE72)&lt;=$AH72),ROUND(INDEX(Profils!$Q$5:$Q$34,$AE72)*Paramètres!$E$33*$AG72*$AJ72,Paramètres!$F$33),0)</f>
        <v>0.001</v>
      </c>
      <c r="X72" s="20" t="n">
        <f aca="false" t="array" ref="X72:X72">IF(AND(INDEX(Profils!$R$5:$R$34,$AE72)&gt;0,INDEX(Profils!$AG$5:$AG$34,$AE72)&lt;=$AH72),ROUND(INDEX(Profils!$R$5:$R$34,$AE72)*Paramètres!$E$34*$AG72*$AJ72,Paramètres!$F$34),0)</f>
        <v>0</v>
      </c>
      <c r="Y72" s="20" t="n">
        <f aca="false" t="array" ref="Y72:Y72">IF(AND(INDEX(Profils!$S$5:$S$34,$AE72)&gt;0,INDEX(Profils!$AH$5:$AH$34,$AE72)&lt;=$AH72),ROUND(INDEX(Profils!$S$5:$S$34,$AE72)*Paramètres!$E$35*$AG72*$AJ72,Paramètres!$F$35),0)</f>
        <v>0</v>
      </c>
      <c r="Z72" s="21" t="n">
        <f aca="false">ROUND(L72/Paramètres!$E$22+M72/Paramètres!$E$23+N72/Paramètres!$E$24+O72/Paramètres!$E$25+P72/Paramètres!$E$26+Q72/Paramètres!$E$27+R72/Paramètres!$E$28+S72/Paramètres!$E$29+T72/Paramètres!$E$30+U72/Paramètres!$E$31+V72/Paramètres!$E$32+W72/Paramètres!$E$33+X72/Paramètres!$E$34+Y72/Paramètres!$E$35,1)</f>
        <v>0.7</v>
      </c>
      <c r="AA72" s="22" t="s">
        <v>109</v>
      </c>
      <c r="AB72" s="22" t="s">
        <v>109</v>
      </c>
      <c r="AC72" s="15" t="str">
        <f aca="false">$E72</f>
        <v>cuir</v>
      </c>
      <c r="AD72" s="16" t="n">
        <f aca="false" t="array" ref="AD72:AD72">IF($I72&gt;=$AI72,"Max",ROUND(Paramètres!$B$40*($I72+1)^Paramètres!$B$41*INDEX(Paramètres!$H$6:$H$12,$AF72),0))</f>
        <v>6</v>
      </c>
      <c r="AE72" s="23" t="n">
        <f aca="false">MATCH($B72&amp;"|"&amp;$C72,Profils!$A$5:$A$34,0)</f>
        <v>3</v>
      </c>
      <c r="AF72" s="23" t="n">
        <v>5</v>
      </c>
      <c r="AG72" s="24" t="n">
        <f aca="false" t="array" ref="AG72:AG72">INDEX(Paramètres!$C$6:$C$12,$AF72)</f>
        <v>2.1</v>
      </c>
      <c r="AH72" s="23" t="n">
        <f aca="false" t="array" ref="AH72:AH72">INDEX(Paramètres!$D$6:$D$12,$AF72)</f>
        <v>6</v>
      </c>
      <c r="AI72" s="23" t="n">
        <f aca="false" t="array" ref="AI72:AI72">INDEX(Matériaux!$C$16:$C$20,$D72)</f>
        <v>19</v>
      </c>
      <c r="AJ72" s="25" t="n">
        <f aca="false">Paramètres!$B$16+(1-Paramètres!$B$16)*(($J72-Paramètres!$B$14)/(Paramètres!$B$15-Paramètres!$B$14))^Paramètres!$B$17</f>
        <v>0.05</v>
      </c>
    </row>
    <row r="73" customFormat="false" ht="15.75" hidden="false" customHeight="true" outlineLevel="0" collapsed="false">
      <c r="A73" s="14" t="s">
        <v>182</v>
      </c>
      <c r="B73" s="15" t="s">
        <v>27</v>
      </c>
      <c r="C73" s="15" t="s">
        <v>177</v>
      </c>
      <c r="D73" s="16" t="n">
        <v>1</v>
      </c>
      <c r="E73" s="15" t="str">
        <f aca="false" t="array" ref="E73:E73">INDEX(Matériaux!$B$5:$F$12,MATCH(INDEX(Profils!$E$5:$E$34,$AE73),Matériaux!$A$5:$A$12,0),$D73)</f>
        <v>cuir</v>
      </c>
      <c r="F73" s="30" t="s">
        <v>119</v>
      </c>
      <c r="G73" s="10" t="str">
        <f aca="false" t="array" ref="G73:G73">INDEX(Profils!$D$5:$D$34,$AE73)&amp;" en "&amp;$E73</f>
        <v>Jambières en cuir</v>
      </c>
      <c r="H73" s="16" t="n">
        <f aca="false" t="array" ref="H73:H73">INDEX(Matériaux!$B$16:$B$20,$D73)</f>
        <v>1</v>
      </c>
      <c r="I73" s="16" t="n">
        <f aca="false">IF(ISNUMBER($C$3),MIN(MAX(0,ROUND($C$3,0)),$AI73),$AI73)</f>
        <v>0</v>
      </c>
      <c r="J73" s="18" t="n">
        <f aca="false">$H73+$I73</f>
        <v>1</v>
      </c>
      <c r="K73" s="15" t="s">
        <v>109</v>
      </c>
      <c r="L73" s="19" t="n">
        <f aca="false" t="array" ref="L73:L73">IF(AND(INDEX(Profils!$F$5:$F$34,$AE73)&gt;0,INDEX(Profils!$U$5:$U$34,$AE73)&lt;=$AH73),ROUND(INDEX(Profils!$F$5:$F$34,$AE73)*Paramètres!$E$22*$AG73*$AJ73,Paramètres!$F$22),0)</f>
        <v>6</v>
      </c>
      <c r="M73" s="19" t="n">
        <f aca="false" t="array" ref="M73:M73">IF(AND(INDEX(Profils!$G$5:$G$34,$AE73)&gt;0,INDEX(Profils!$V$5:$V$34,$AE73)&lt;=$AH73),ROUND(INDEX(Profils!$G$5:$G$34,$AE73)*Paramètres!$E$23*$AG73*$AJ73,Paramètres!$F$23),0)</f>
        <v>1</v>
      </c>
      <c r="N73" s="19" t="n">
        <f aca="false" t="array" ref="N73:N73">IF(AND(INDEX(Profils!$H$5:$H$34,$AE73)&gt;0,INDEX(Profils!$W$5:$W$34,$AE73)&lt;=$AH73),ROUND(INDEX(Profils!$H$5:$H$34,$AE73)*Paramètres!$E$24*$AG73*$AJ73,Paramètres!$F$24),0)</f>
        <v>3</v>
      </c>
      <c r="O73" s="19" t="n">
        <f aca="false" t="array" ref="O73:O73">IF(AND(INDEX(Profils!$I$5:$I$34,$AE73)&gt;0,INDEX(Profils!$X$5:$X$34,$AE73)&lt;=$AH73),ROUND(INDEX(Profils!$I$5:$I$34,$AE73)*Paramètres!$E$25*$AG73*$AJ73,Paramètres!$F$25),0)</f>
        <v>0</v>
      </c>
      <c r="P73" s="19" t="n">
        <f aca="false" t="array" ref="P73:P73">IF(AND(INDEX(Profils!$J$5:$J$34,$AE73)&gt;0,INDEX(Profils!$Y$5:$Y$34,$AE73)&lt;=$AH73),ROUND(INDEX(Profils!$J$5:$J$34,$AE73)*Paramètres!$E$26*$AG73*$AJ73,Paramètres!$F$26),0)</f>
        <v>1</v>
      </c>
      <c r="Q73" s="19" t="n">
        <f aca="false" t="array" ref="Q73:Q73">IF(AND(INDEX(Profils!$K$5:$K$34,$AE73)&gt;0,INDEX(Profils!$Z$5:$Z$34,$AE73)&lt;=$AH73),ROUND(INDEX(Profils!$K$5:$K$34,$AE73)*Paramètres!$E$27*$AG73*$AJ73,Paramètres!$F$27),0)</f>
        <v>0</v>
      </c>
      <c r="R73" s="20" t="n">
        <f aca="false" t="array" ref="R73:R73">IF(AND(INDEX(Profils!$L$5:$L$34,$AE73)&gt;0,INDEX(Profils!$AA$5:$AA$34,$AE73)&lt;=$AH73),ROUND(INDEX(Profils!$L$5:$L$34,$AE73)*Paramètres!$E$28*$AG73*$AJ73,Paramètres!$F$28),0)</f>
        <v>0</v>
      </c>
      <c r="S73" s="20" t="n">
        <f aca="false" t="array" ref="S73:S73">IF(AND(INDEX(Profils!$M$5:$M$34,$AE73)&gt;0,INDEX(Profils!$AB$5:$AB$34,$AE73)&lt;=$AH73),ROUND(INDEX(Profils!$M$5:$M$34,$AE73)*Paramètres!$E$29*$AG73*$AJ73,Paramètres!$F$29),0)</f>
        <v>0</v>
      </c>
      <c r="T73" s="20" t="n">
        <f aca="false" t="array" ref="T73:T73">IF(AND(INDEX(Profils!$N$5:$N$34,$AE73)&gt;0,INDEX(Profils!$AC$5:$AC$34,$AE73)&lt;=$AH73),ROUND(INDEX(Profils!$N$5:$N$34,$AE73)*Paramètres!$E$30*$AG73*$AJ73,Paramètres!$F$30),0)</f>
        <v>0</v>
      </c>
      <c r="U73" s="19" t="n">
        <f aca="false" t="array" ref="U73:U73">IF(AND(INDEX(Profils!$O$5:$O$34,$AE73)&gt;0,INDEX(Profils!$AD$5:$AD$34,$AE73)&lt;=$AH73),ROUND(INDEX(Profils!$O$5:$O$34,$AE73)*Paramètres!$E$31*$AG73*$AJ73,Paramètres!$F$31),0)</f>
        <v>4</v>
      </c>
      <c r="V73" s="20" t="n">
        <f aca="false" t="array" ref="V73:V73">IF(AND(INDEX(Profils!$P$5:$P$34,$AE73)&gt;0,INDEX(Profils!$AE$5:$AE$34,$AE73)&lt;=$AH73),ROUND(INDEX(Profils!$P$5:$P$34,$AE73)*Paramètres!$E$32*$AG73*$AJ73,Paramètres!$F$32),0)</f>
        <v>0</v>
      </c>
      <c r="W73" s="20" t="n">
        <f aca="false" t="array" ref="W73:W73">IF(AND(INDEX(Profils!$Q$5:$Q$34,$AE73)&gt;0,INDEX(Profils!$AF$5:$AF$34,$AE73)&lt;=$AH73),ROUND(INDEX(Profils!$Q$5:$Q$34,$AE73)*Paramètres!$E$33*$AG73*$AJ73,Paramètres!$F$33),0)</f>
        <v>0.001</v>
      </c>
      <c r="X73" s="20" t="n">
        <f aca="false" t="array" ref="X73:X73">IF(AND(INDEX(Profils!$R$5:$R$34,$AE73)&gt;0,INDEX(Profils!$AG$5:$AG$34,$AE73)&lt;=$AH73),ROUND(INDEX(Profils!$R$5:$R$34,$AE73)*Paramètres!$E$34*$AG73*$AJ73,Paramètres!$F$34),0)</f>
        <v>0</v>
      </c>
      <c r="Y73" s="20" t="n">
        <f aca="false" t="array" ref="Y73:Y73">IF(AND(INDEX(Profils!$S$5:$S$34,$AE73)&gt;0,INDEX(Profils!$AH$5:$AH$34,$AE73)&lt;=$AH73),ROUND(INDEX(Profils!$S$5:$S$34,$AE73)*Paramètres!$E$35*$AG73*$AJ73,Paramètres!$F$35),0)</f>
        <v>0.001</v>
      </c>
      <c r="Z73" s="21" t="n">
        <f aca="false">ROUND(L73/Paramètres!$E$22+M73/Paramètres!$E$23+N73/Paramètres!$E$24+O73/Paramètres!$E$25+P73/Paramètres!$E$26+Q73/Paramètres!$E$27+R73/Paramètres!$E$28+S73/Paramètres!$E$29+T73/Paramètres!$E$30+U73/Paramètres!$E$31+V73/Paramètres!$E$32+W73/Paramètres!$E$33+X73/Paramètres!$E$34+Y73/Paramètres!$E$35,1)</f>
        <v>0.9</v>
      </c>
      <c r="AA73" s="22" t="s">
        <v>109</v>
      </c>
      <c r="AB73" s="22" t="s">
        <v>109</v>
      </c>
      <c r="AC73" s="15" t="str">
        <f aca="false">$E73</f>
        <v>cuir</v>
      </c>
      <c r="AD73" s="16" t="n">
        <f aca="false" t="array" ref="AD73:AD73">IF($I73&gt;=$AI73,"Max",ROUND(Paramètres!$B$40*($I73+1)^Paramètres!$B$41*INDEX(Paramètres!$H$6:$H$12,$AF73),0))</f>
        <v>8</v>
      </c>
      <c r="AE73" s="23" t="n">
        <f aca="false">MATCH($B73&amp;"|"&amp;$C73,Profils!$A$5:$A$34,0)</f>
        <v>3</v>
      </c>
      <c r="AF73" s="23" t="n">
        <v>6</v>
      </c>
      <c r="AG73" s="24" t="n">
        <f aca="false" t="array" ref="AG73:AG73">INDEX(Paramètres!$C$6:$C$12,$AF73)</f>
        <v>2.4</v>
      </c>
      <c r="AH73" s="23" t="n">
        <f aca="false" t="array" ref="AH73:AH73">INDEX(Paramètres!$D$6:$D$12,$AF73)</f>
        <v>7</v>
      </c>
      <c r="AI73" s="23" t="n">
        <f aca="false" t="array" ref="AI73:AI73">INDEX(Matériaux!$C$16:$C$20,$D73)</f>
        <v>19</v>
      </c>
      <c r="AJ73" s="25" t="n">
        <f aca="false">Paramètres!$B$16+(1-Paramètres!$B$16)*(($J73-Paramètres!$B$14)/(Paramètres!$B$15-Paramètres!$B$14))^Paramètres!$B$17</f>
        <v>0.05</v>
      </c>
    </row>
    <row r="74" customFormat="false" ht="15.75" hidden="false" customHeight="true" outlineLevel="0" collapsed="false">
      <c r="A74" s="14" t="s">
        <v>183</v>
      </c>
      <c r="B74" s="15" t="s">
        <v>27</v>
      </c>
      <c r="C74" s="15" t="s">
        <v>177</v>
      </c>
      <c r="D74" s="16" t="n">
        <v>2</v>
      </c>
      <c r="E74" s="15" t="str">
        <f aca="false" t="array" ref="E74:E74">INDEX(Matériaux!$B$5:$F$12,MATCH(INDEX(Profils!$E$5:$E$34,$AE74),Matériaux!$A$5:$A$12,0),$D74)</f>
        <v>fer</v>
      </c>
      <c r="F74" s="17" t="s">
        <v>108</v>
      </c>
      <c r="G74" s="10" t="str">
        <f aca="false" t="array" ref="G74:G74">INDEX(Profils!$D$5:$D$34,$AE74)&amp;" en "&amp;$E74</f>
        <v>Jambières en fer</v>
      </c>
      <c r="H74" s="16" t="n">
        <f aca="false" t="array" ref="H74:H74">INDEX(Matériaux!$B$16:$B$20,$D74)</f>
        <v>15</v>
      </c>
      <c r="I74" s="16" t="n">
        <f aca="false">IF(ISNUMBER($C$3),MIN(MAX(0,ROUND($C$3,0)),$AI74),$AI74)</f>
        <v>0</v>
      </c>
      <c r="J74" s="18" t="n">
        <f aca="false">$H74+$I74</f>
        <v>15</v>
      </c>
      <c r="K74" s="15" t="s">
        <v>109</v>
      </c>
      <c r="L74" s="19" t="n">
        <f aca="false" t="array" ref="L74:L74">IF(AND(INDEX(Profils!$F$5:$F$34,$AE74)&gt;0,INDEX(Profils!$U$5:$U$34,$AE74)&lt;=$AH74),ROUND(INDEX(Profils!$F$5:$F$34,$AE74)*Paramètres!$E$22*$AG74*$AJ74,Paramètres!$F$22),0)</f>
        <v>7</v>
      </c>
      <c r="M74" s="19" t="n">
        <f aca="false" t="array" ref="M74:M74">IF(AND(INDEX(Profils!$G$5:$G$34,$AE74)&gt;0,INDEX(Profils!$V$5:$V$34,$AE74)&lt;=$AH74),ROUND(INDEX(Profils!$G$5:$G$34,$AE74)*Paramètres!$E$23*$AG74*$AJ74,Paramètres!$F$23),0)</f>
        <v>0</v>
      </c>
      <c r="N74" s="19" t="n">
        <f aca="false" t="array" ref="N74:N74">IF(AND(INDEX(Profils!$H$5:$H$34,$AE74)&gt;0,INDEX(Profils!$W$5:$W$34,$AE74)&lt;=$AH74),ROUND(INDEX(Profils!$H$5:$H$34,$AE74)*Paramètres!$E$24*$AG74*$AJ74,Paramètres!$F$24),0)</f>
        <v>0</v>
      </c>
      <c r="O74" s="19" t="n">
        <f aca="false" t="array" ref="O74:O74">IF(AND(INDEX(Profils!$I$5:$I$34,$AE74)&gt;0,INDEX(Profils!$X$5:$X$34,$AE74)&lt;=$AH74),ROUND(INDEX(Profils!$I$5:$I$34,$AE74)*Paramètres!$E$25*$AG74*$AJ74,Paramètres!$F$25),0)</f>
        <v>0</v>
      </c>
      <c r="P74" s="19" t="n">
        <f aca="false" t="array" ref="P74:P74">IF(AND(INDEX(Profils!$J$5:$J$34,$AE74)&gt;0,INDEX(Profils!$Y$5:$Y$34,$AE74)&lt;=$AH74),ROUND(INDEX(Profils!$J$5:$J$34,$AE74)*Paramètres!$E$26*$AG74*$AJ74,Paramètres!$F$26),0)</f>
        <v>0</v>
      </c>
      <c r="Q74" s="19" t="n">
        <f aca="false" t="array" ref="Q74:Q74">IF(AND(INDEX(Profils!$K$5:$K$34,$AE74)&gt;0,INDEX(Profils!$Z$5:$Z$34,$AE74)&lt;=$AH74),ROUND(INDEX(Profils!$K$5:$K$34,$AE74)*Paramètres!$E$27*$AG74*$AJ74,Paramètres!$F$27),0)</f>
        <v>0</v>
      </c>
      <c r="R74" s="20" t="n">
        <f aca="false" t="array" ref="R74:R74">IF(AND(INDEX(Profils!$L$5:$L$34,$AE74)&gt;0,INDEX(Profils!$AA$5:$AA$34,$AE74)&lt;=$AH74),ROUND(INDEX(Profils!$L$5:$L$34,$AE74)*Paramètres!$E$28*$AG74*$AJ74,Paramètres!$F$28),0)</f>
        <v>0</v>
      </c>
      <c r="S74" s="20" t="n">
        <f aca="false" t="array" ref="S74:S74">IF(AND(INDEX(Profils!$M$5:$M$34,$AE74)&gt;0,INDEX(Profils!$AB$5:$AB$34,$AE74)&lt;=$AH74),ROUND(INDEX(Profils!$M$5:$M$34,$AE74)*Paramètres!$E$29*$AG74*$AJ74,Paramètres!$F$29),0)</f>
        <v>0</v>
      </c>
      <c r="T74" s="20" t="n">
        <f aca="false" t="array" ref="T74:T74">IF(AND(INDEX(Profils!$N$5:$N$34,$AE74)&gt;0,INDEX(Profils!$AC$5:$AC$34,$AE74)&lt;=$AH74),ROUND(INDEX(Profils!$N$5:$N$34,$AE74)*Paramètres!$E$30*$AG74*$AJ74,Paramètres!$F$30),0)</f>
        <v>0</v>
      </c>
      <c r="U74" s="19" t="n">
        <f aca="false" t="array" ref="U74:U74">IF(AND(INDEX(Profils!$O$5:$O$34,$AE74)&gt;0,INDEX(Profils!$AD$5:$AD$34,$AE74)&lt;=$AH74),ROUND(INDEX(Profils!$O$5:$O$34,$AE74)*Paramètres!$E$31*$AG74*$AJ74,Paramètres!$F$31),0)</f>
        <v>5</v>
      </c>
      <c r="V74" s="20" t="n">
        <f aca="false" t="array" ref="V74:V74">IF(AND(INDEX(Profils!$P$5:$P$34,$AE74)&gt;0,INDEX(Profils!$AE$5:$AE$34,$AE74)&lt;=$AH74),ROUND(INDEX(Profils!$P$5:$P$34,$AE74)*Paramètres!$E$32*$AG74*$AJ74,Paramètres!$F$32),0)</f>
        <v>0</v>
      </c>
      <c r="W74" s="20" t="n">
        <f aca="false" t="array" ref="W74:W74">IF(AND(INDEX(Profils!$Q$5:$Q$34,$AE74)&gt;0,INDEX(Profils!$AF$5:$AF$34,$AE74)&lt;=$AH74),ROUND(INDEX(Profils!$Q$5:$Q$34,$AE74)*Paramètres!$E$33*$AG74*$AJ74,Paramètres!$F$33),0)</f>
        <v>0</v>
      </c>
      <c r="X74" s="20" t="n">
        <f aca="false" t="array" ref="X74:X74">IF(AND(INDEX(Profils!$R$5:$R$34,$AE74)&gt;0,INDEX(Profils!$AG$5:$AG$34,$AE74)&lt;=$AH74),ROUND(INDEX(Profils!$R$5:$R$34,$AE74)*Paramètres!$E$34*$AG74*$AJ74,Paramètres!$F$34),0)</f>
        <v>0</v>
      </c>
      <c r="Y74" s="20" t="n">
        <f aca="false" t="array" ref="Y74:Y74">IF(AND(INDEX(Profils!$S$5:$S$34,$AE74)&gt;0,INDEX(Profils!$AH$5:$AH$34,$AE74)&lt;=$AH74),ROUND(INDEX(Profils!$S$5:$S$34,$AE74)*Paramètres!$E$35*$AG74*$AJ74,Paramètres!$F$35),0)</f>
        <v>0</v>
      </c>
      <c r="Z74" s="21" t="n">
        <f aca="false">ROUND(L74/Paramètres!$E$22+M74/Paramètres!$E$23+N74/Paramètres!$E$24+O74/Paramètres!$E$25+P74/Paramètres!$E$26+Q74/Paramètres!$E$27+R74/Paramètres!$E$28+S74/Paramètres!$E$29+T74/Paramètres!$E$30+U74/Paramètres!$E$31+V74/Paramètres!$E$32+W74/Paramètres!$E$33+X74/Paramètres!$E$34+Y74/Paramètres!$E$35,1)</f>
        <v>0.5</v>
      </c>
      <c r="AA74" s="22" t="s">
        <v>109</v>
      </c>
      <c r="AB74" s="22" t="s">
        <v>109</v>
      </c>
      <c r="AC74" s="15" t="str">
        <f aca="false">$E74</f>
        <v>fer</v>
      </c>
      <c r="AD74" s="16" t="n">
        <f aca="false" t="array" ref="AD74:AD74">IF($I74&gt;=$AI74,"Max",ROUND(Paramètres!$B$40*($I74+1)^Paramètres!$B$41*INDEX(Paramètres!$H$6:$H$12,$AF74),0))</f>
        <v>3</v>
      </c>
      <c r="AE74" s="23" t="n">
        <f aca="false">MATCH($B74&amp;"|"&amp;$C74,Profils!$A$5:$A$34,0)</f>
        <v>3</v>
      </c>
      <c r="AF74" s="23" t="n">
        <v>1</v>
      </c>
      <c r="AG74" s="24" t="n">
        <f aca="false" t="array" ref="AG74:AG74">INDEX(Paramètres!$C$6:$C$12,$AF74)</f>
        <v>1</v>
      </c>
      <c r="AH74" s="23" t="n">
        <f aca="false" t="array" ref="AH74:AH74">INDEX(Paramètres!$D$6:$D$12,$AF74)</f>
        <v>2</v>
      </c>
      <c r="AI74" s="23" t="n">
        <f aca="false" t="array" ref="AI74:AI74">INDEX(Matériaux!$C$16:$C$20,$D74)</f>
        <v>20</v>
      </c>
      <c r="AJ74" s="25" t="n">
        <f aca="false">Paramètres!$B$16+(1-Paramètres!$B$16)*(($J74-Paramètres!$B$14)/(Paramètres!$B$15-Paramètres!$B$14))^Paramètres!$B$17</f>
        <v>0.140847925475674</v>
      </c>
    </row>
    <row r="75" customFormat="false" ht="15.75" hidden="false" customHeight="true" outlineLevel="0" collapsed="false">
      <c r="A75" s="14" t="s">
        <v>184</v>
      </c>
      <c r="B75" s="15" t="s">
        <v>27</v>
      </c>
      <c r="C75" s="15" t="s">
        <v>177</v>
      </c>
      <c r="D75" s="16" t="n">
        <v>2</v>
      </c>
      <c r="E75" s="15" t="str">
        <f aca="false" t="array" ref="E75:E75">INDEX(Matériaux!$B$5:$F$12,MATCH(INDEX(Profils!$E$5:$E$34,$AE75),Matériaux!$A$5:$A$12,0),$D75)</f>
        <v>fer</v>
      </c>
      <c r="F75" s="26" t="s">
        <v>111</v>
      </c>
      <c r="G75" s="10" t="str">
        <f aca="false" t="array" ref="G75:G75">INDEX(Profils!$D$5:$D$34,$AE75)&amp;" en "&amp;$E75</f>
        <v>Jambières en fer</v>
      </c>
      <c r="H75" s="16" t="n">
        <f aca="false" t="array" ref="H75:H75">INDEX(Matériaux!$B$16:$B$20,$D75)</f>
        <v>15</v>
      </c>
      <c r="I75" s="16" t="n">
        <f aca="false">IF(ISNUMBER($C$3),MIN(MAX(0,ROUND($C$3,0)),$AI75),$AI75)</f>
        <v>0</v>
      </c>
      <c r="J75" s="18" t="n">
        <f aca="false">$H75+$I75</f>
        <v>15</v>
      </c>
      <c r="K75" s="15" t="s">
        <v>109</v>
      </c>
      <c r="L75" s="19" t="n">
        <f aca="false" t="array" ref="L75:L75">IF(AND(INDEX(Profils!$F$5:$F$34,$AE75)&gt;0,INDEX(Profils!$U$5:$U$34,$AE75)&lt;=$AH75),ROUND(INDEX(Profils!$F$5:$F$34,$AE75)*Paramètres!$E$22*$AG75*$AJ75,Paramètres!$F$22),0)</f>
        <v>8</v>
      </c>
      <c r="M75" s="19" t="n">
        <f aca="false" t="array" ref="M75:M75">IF(AND(INDEX(Profils!$G$5:$G$34,$AE75)&gt;0,INDEX(Profils!$V$5:$V$34,$AE75)&lt;=$AH75),ROUND(INDEX(Profils!$G$5:$G$34,$AE75)*Paramètres!$E$23*$AG75*$AJ75,Paramètres!$F$23),0)</f>
        <v>0</v>
      </c>
      <c r="N75" s="19" t="n">
        <f aca="false" t="array" ref="N75:N75">IF(AND(INDEX(Profils!$H$5:$H$34,$AE75)&gt;0,INDEX(Profils!$W$5:$W$34,$AE75)&lt;=$AH75),ROUND(INDEX(Profils!$H$5:$H$34,$AE75)*Paramètres!$E$24*$AG75*$AJ75,Paramètres!$F$24),0)</f>
        <v>4</v>
      </c>
      <c r="O75" s="19" t="n">
        <f aca="false" t="array" ref="O75:O75">IF(AND(INDEX(Profils!$I$5:$I$34,$AE75)&gt;0,INDEX(Profils!$X$5:$X$34,$AE75)&lt;=$AH75),ROUND(INDEX(Profils!$I$5:$I$34,$AE75)*Paramètres!$E$25*$AG75*$AJ75,Paramètres!$F$25),0)</f>
        <v>0</v>
      </c>
      <c r="P75" s="19" t="n">
        <f aca="false" t="array" ref="P75:P75">IF(AND(INDEX(Profils!$J$5:$J$34,$AE75)&gt;0,INDEX(Profils!$Y$5:$Y$34,$AE75)&lt;=$AH75),ROUND(INDEX(Profils!$J$5:$J$34,$AE75)*Paramètres!$E$26*$AG75*$AJ75,Paramètres!$F$26),0)</f>
        <v>0</v>
      </c>
      <c r="Q75" s="19" t="n">
        <f aca="false" t="array" ref="Q75:Q75">IF(AND(INDEX(Profils!$K$5:$K$34,$AE75)&gt;0,INDEX(Profils!$Z$5:$Z$34,$AE75)&lt;=$AH75),ROUND(INDEX(Profils!$K$5:$K$34,$AE75)*Paramètres!$E$27*$AG75*$AJ75,Paramètres!$F$27),0)</f>
        <v>0</v>
      </c>
      <c r="R75" s="20" t="n">
        <f aca="false" t="array" ref="R75:R75">IF(AND(INDEX(Profils!$L$5:$L$34,$AE75)&gt;0,INDEX(Profils!$AA$5:$AA$34,$AE75)&lt;=$AH75),ROUND(INDEX(Profils!$L$5:$L$34,$AE75)*Paramètres!$E$28*$AG75*$AJ75,Paramètres!$F$28),0)</f>
        <v>0</v>
      </c>
      <c r="S75" s="20" t="n">
        <f aca="false" t="array" ref="S75:S75">IF(AND(INDEX(Profils!$M$5:$M$34,$AE75)&gt;0,INDEX(Profils!$AB$5:$AB$34,$AE75)&lt;=$AH75),ROUND(INDEX(Profils!$M$5:$M$34,$AE75)*Paramètres!$E$29*$AG75*$AJ75,Paramètres!$F$29),0)</f>
        <v>0</v>
      </c>
      <c r="T75" s="20" t="n">
        <f aca="false" t="array" ref="T75:T75">IF(AND(INDEX(Profils!$N$5:$N$34,$AE75)&gt;0,INDEX(Profils!$AC$5:$AC$34,$AE75)&lt;=$AH75),ROUND(INDEX(Profils!$N$5:$N$34,$AE75)*Paramètres!$E$30*$AG75*$AJ75,Paramètres!$F$30),0)</f>
        <v>0</v>
      </c>
      <c r="U75" s="19" t="n">
        <f aca="false" t="array" ref="U75:U75">IF(AND(INDEX(Profils!$O$5:$O$34,$AE75)&gt;0,INDEX(Profils!$AD$5:$AD$34,$AE75)&lt;=$AH75),ROUND(INDEX(Profils!$O$5:$O$34,$AE75)*Paramètres!$E$31*$AG75*$AJ75,Paramètres!$F$31),0)</f>
        <v>5</v>
      </c>
      <c r="V75" s="20" t="n">
        <f aca="false" t="array" ref="V75:V75">IF(AND(INDEX(Profils!$P$5:$P$34,$AE75)&gt;0,INDEX(Profils!$AE$5:$AE$34,$AE75)&lt;=$AH75),ROUND(INDEX(Profils!$P$5:$P$34,$AE75)*Paramètres!$E$32*$AG75*$AJ75,Paramètres!$F$32),0)</f>
        <v>0</v>
      </c>
      <c r="W75" s="20" t="n">
        <f aca="false" t="array" ref="W75:W75">IF(AND(INDEX(Profils!$Q$5:$Q$34,$AE75)&gt;0,INDEX(Profils!$AF$5:$AF$34,$AE75)&lt;=$AH75),ROUND(INDEX(Profils!$Q$5:$Q$34,$AE75)*Paramètres!$E$33*$AG75*$AJ75,Paramètres!$F$33),0)</f>
        <v>0</v>
      </c>
      <c r="X75" s="20" t="n">
        <f aca="false" t="array" ref="X75:X75">IF(AND(INDEX(Profils!$R$5:$R$34,$AE75)&gt;0,INDEX(Profils!$AG$5:$AG$34,$AE75)&lt;=$AH75),ROUND(INDEX(Profils!$R$5:$R$34,$AE75)*Paramètres!$E$34*$AG75*$AJ75,Paramètres!$F$34),0)</f>
        <v>0</v>
      </c>
      <c r="Y75" s="20" t="n">
        <f aca="false" t="array" ref="Y75:Y75">IF(AND(INDEX(Profils!$S$5:$S$34,$AE75)&gt;0,INDEX(Profils!$AH$5:$AH$34,$AE75)&lt;=$AH75),ROUND(INDEX(Profils!$S$5:$S$34,$AE75)*Paramètres!$E$35*$AG75*$AJ75,Paramètres!$F$35),0)</f>
        <v>0</v>
      </c>
      <c r="Z75" s="21" t="n">
        <f aca="false">ROUND(L75/Paramètres!$E$22+M75/Paramètres!$E$23+N75/Paramètres!$E$24+O75/Paramètres!$E$25+P75/Paramètres!$E$26+Q75/Paramètres!$E$27+R75/Paramètres!$E$28+S75/Paramètres!$E$29+T75/Paramètres!$E$30+U75/Paramètres!$E$31+V75/Paramètres!$E$32+W75/Paramètres!$E$33+X75/Paramètres!$E$34+Y75/Paramètres!$E$35,1)</f>
        <v>0.8</v>
      </c>
      <c r="AA75" s="22" t="s">
        <v>109</v>
      </c>
      <c r="AB75" s="22" t="s">
        <v>109</v>
      </c>
      <c r="AC75" s="15" t="str">
        <f aca="false">$E75</f>
        <v>fer</v>
      </c>
      <c r="AD75" s="16" t="n">
        <f aca="false" t="array" ref="AD75:AD75">IF($I75&gt;=$AI75,"Max",ROUND(Paramètres!$B$40*($I75+1)^Paramètres!$B$41*INDEX(Paramètres!$H$6:$H$12,$AF75),0))</f>
        <v>4</v>
      </c>
      <c r="AE75" s="23" t="n">
        <f aca="false">MATCH($B75&amp;"|"&amp;$C75,Profils!$A$5:$A$34,0)</f>
        <v>3</v>
      </c>
      <c r="AF75" s="23" t="n">
        <v>2</v>
      </c>
      <c r="AG75" s="24" t="n">
        <f aca="false" t="array" ref="AG75:AG75">INDEX(Paramètres!$C$6:$C$12,$AF75)</f>
        <v>1.2</v>
      </c>
      <c r="AH75" s="23" t="n">
        <f aca="false" t="array" ref="AH75:AH75">INDEX(Paramètres!$D$6:$D$12,$AF75)</f>
        <v>3</v>
      </c>
      <c r="AI75" s="23" t="n">
        <f aca="false" t="array" ref="AI75:AI75">INDEX(Matériaux!$C$16:$C$20,$D75)</f>
        <v>20</v>
      </c>
      <c r="AJ75" s="25" t="n">
        <f aca="false">Paramètres!$B$16+(1-Paramètres!$B$16)*(($J75-Paramètres!$B$14)/(Paramètres!$B$15-Paramètres!$B$14))^Paramètres!$B$17</f>
        <v>0.140847925475674</v>
      </c>
    </row>
    <row r="76" customFormat="false" ht="15.75" hidden="false" customHeight="true" outlineLevel="0" collapsed="false">
      <c r="A76" s="14" t="s">
        <v>185</v>
      </c>
      <c r="B76" s="15" t="s">
        <v>27</v>
      </c>
      <c r="C76" s="15" t="s">
        <v>177</v>
      </c>
      <c r="D76" s="16" t="n">
        <v>2</v>
      </c>
      <c r="E76" s="15" t="str">
        <f aca="false" t="array" ref="E76:E76">INDEX(Matériaux!$B$5:$F$12,MATCH(INDEX(Profils!$E$5:$E$34,$AE76),Matériaux!$A$5:$A$12,0),$D76)</f>
        <v>fer</v>
      </c>
      <c r="F76" s="27" t="s">
        <v>113</v>
      </c>
      <c r="G76" s="10" t="str">
        <f aca="false" t="array" ref="G76:G76">INDEX(Profils!$D$5:$D$34,$AE76)&amp;" en "&amp;$E76</f>
        <v>Jambières en fer</v>
      </c>
      <c r="H76" s="16" t="n">
        <f aca="false" t="array" ref="H76:H76">INDEX(Matériaux!$B$16:$B$20,$D76)</f>
        <v>15</v>
      </c>
      <c r="I76" s="16" t="n">
        <f aca="false">IF(ISNUMBER($C$3),MIN(MAX(0,ROUND($C$3,0)),$AI76),$AI76)</f>
        <v>0</v>
      </c>
      <c r="J76" s="18" t="n">
        <f aca="false">$H76+$I76</f>
        <v>15</v>
      </c>
      <c r="K76" s="15" t="s">
        <v>109</v>
      </c>
      <c r="L76" s="19" t="n">
        <f aca="false" t="array" ref="L76:L76">IF(AND(INDEX(Profils!$F$5:$F$34,$AE76)&gt;0,INDEX(Profils!$U$5:$U$34,$AE76)&lt;=$AH76),ROUND(INDEX(Profils!$F$5:$F$34,$AE76)*Paramètres!$E$22*$AG76*$AJ76,Paramètres!$F$22),0)</f>
        <v>10</v>
      </c>
      <c r="M76" s="19" t="n">
        <f aca="false" t="array" ref="M76:M76">IF(AND(INDEX(Profils!$G$5:$G$34,$AE76)&gt;0,INDEX(Profils!$V$5:$V$34,$AE76)&lt;=$AH76),ROUND(INDEX(Profils!$G$5:$G$34,$AE76)*Paramètres!$E$23*$AG76*$AJ76,Paramètres!$F$23),0)</f>
        <v>2</v>
      </c>
      <c r="N76" s="19" t="n">
        <f aca="false" t="array" ref="N76:N76">IF(AND(INDEX(Profils!$H$5:$H$34,$AE76)&gt;0,INDEX(Profils!$W$5:$W$34,$AE76)&lt;=$AH76),ROUND(INDEX(Profils!$H$5:$H$34,$AE76)*Paramètres!$E$24*$AG76*$AJ76,Paramètres!$F$24),0)</f>
        <v>4</v>
      </c>
      <c r="O76" s="19" t="n">
        <f aca="false" t="array" ref="O76:O76">IF(AND(INDEX(Profils!$I$5:$I$34,$AE76)&gt;0,INDEX(Profils!$X$5:$X$34,$AE76)&lt;=$AH76),ROUND(INDEX(Profils!$I$5:$I$34,$AE76)*Paramètres!$E$25*$AG76*$AJ76,Paramètres!$F$25),0)</f>
        <v>0</v>
      </c>
      <c r="P76" s="19" t="n">
        <f aca="false" t="array" ref="P76:P76">IF(AND(INDEX(Profils!$J$5:$J$34,$AE76)&gt;0,INDEX(Profils!$Y$5:$Y$34,$AE76)&lt;=$AH76),ROUND(INDEX(Profils!$J$5:$J$34,$AE76)*Paramètres!$E$26*$AG76*$AJ76,Paramètres!$F$26),0)</f>
        <v>0</v>
      </c>
      <c r="Q76" s="19" t="n">
        <f aca="false" t="array" ref="Q76:Q76">IF(AND(INDEX(Profils!$K$5:$K$34,$AE76)&gt;0,INDEX(Profils!$Z$5:$Z$34,$AE76)&lt;=$AH76),ROUND(INDEX(Profils!$K$5:$K$34,$AE76)*Paramètres!$E$27*$AG76*$AJ76,Paramètres!$F$27),0)</f>
        <v>0</v>
      </c>
      <c r="R76" s="20" t="n">
        <f aca="false" t="array" ref="R76:R76">IF(AND(INDEX(Profils!$L$5:$L$34,$AE76)&gt;0,INDEX(Profils!$AA$5:$AA$34,$AE76)&lt;=$AH76),ROUND(INDEX(Profils!$L$5:$L$34,$AE76)*Paramètres!$E$28*$AG76*$AJ76,Paramètres!$F$28),0)</f>
        <v>0</v>
      </c>
      <c r="S76" s="20" t="n">
        <f aca="false" t="array" ref="S76:S76">IF(AND(INDEX(Profils!$M$5:$M$34,$AE76)&gt;0,INDEX(Profils!$AB$5:$AB$34,$AE76)&lt;=$AH76),ROUND(INDEX(Profils!$M$5:$M$34,$AE76)*Paramètres!$E$29*$AG76*$AJ76,Paramètres!$F$29),0)</f>
        <v>0</v>
      </c>
      <c r="T76" s="20" t="n">
        <f aca="false" t="array" ref="T76:T76">IF(AND(INDEX(Profils!$N$5:$N$34,$AE76)&gt;0,INDEX(Profils!$AC$5:$AC$34,$AE76)&lt;=$AH76),ROUND(INDEX(Profils!$N$5:$N$34,$AE76)*Paramètres!$E$30*$AG76*$AJ76,Paramètres!$F$30),0)</f>
        <v>0</v>
      </c>
      <c r="U76" s="19" t="n">
        <f aca="false" t="array" ref="U76:U76">IF(AND(INDEX(Profils!$O$5:$O$34,$AE76)&gt;0,INDEX(Profils!$AD$5:$AD$34,$AE76)&lt;=$AH76),ROUND(INDEX(Profils!$O$5:$O$34,$AE76)*Paramètres!$E$31*$AG76*$AJ76,Paramètres!$F$31),0)</f>
        <v>7</v>
      </c>
      <c r="V76" s="20" t="n">
        <f aca="false" t="array" ref="V76:V76">IF(AND(INDEX(Profils!$P$5:$P$34,$AE76)&gt;0,INDEX(Profils!$AE$5:$AE$34,$AE76)&lt;=$AH76),ROUND(INDEX(Profils!$P$5:$P$34,$AE76)*Paramètres!$E$32*$AG76*$AJ76,Paramètres!$F$32),0)</f>
        <v>0</v>
      </c>
      <c r="W76" s="20" t="n">
        <f aca="false" t="array" ref="W76:W76">IF(AND(INDEX(Profils!$Q$5:$Q$34,$AE76)&gt;0,INDEX(Profils!$AF$5:$AF$34,$AE76)&lt;=$AH76),ROUND(INDEX(Profils!$Q$5:$Q$34,$AE76)*Paramètres!$E$33*$AG76*$AJ76,Paramètres!$F$33),0)</f>
        <v>0</v>
      </c>
      <c r="X76" s="20" t="n">
        <f aca="false" t="array" ref="X76:X76">IF(AND(INDEX(Profils!$R$5:$R$34,$AE76)&gt;0,INDEX(Profils!$AG$5:$AG$34,$AE76)&lt;=$AH76),ROUND(INDEX(Profils!$R$5:$R$34,$AE76)*Paramètres!$E$34*$AG76*$AJ76,Paramètres!$F$34),0)</f>
        <v>0</v>
      </c>
      <c r="Y76" s="20" t="n">
        <f aca="false" t="array" ref="Y76:Y76">IF(AND(INDEX(Profils!$S$5:$S$34,$AE76)&gt;0,INDEX(Profils!$AH$5:$AH$34,$AE76)&lt;=$AH76),ROUND(INDEX(Profils!$S$5:$S$34,$AE76)*Paramètres!$E$35*$AG76*$AJ76,Paramètres!$F$35),0)</f>
        <v>0</v>
      </c>
      <c r="Z76" s="21" t="n">
        <f aca="false">ROUND(L76/Paramètres!$E$22+M76/Paramètres!$E$23+N76/Paramètres!$E$24+O76/Paramètres!$E$25+P76/Paramètres!$E$26+Q76/Paramètres!$E$27+R76/Paramètres!$E$28+S76/Paramètres!$E$29+T76/Paramètres!$E$30+U76/Paramètres!$E$31+V76/Paramètres!$E$32+W76/Paramètres!$E$33+X76/Paramètres!$E$34+Y76/Paramètres!$E$35,1)</f>
        <v>1.2</v>
      </c>
      <c r="AA76" s="22" t="s">
        <v>109</v>
      </c>
      <c r="AB76" s="22" t="s">
        <v>109</v>
      </c>
      <c r="AC76" s="15" t="str">
        <f aca="false">$E76</f>
        <v>fer</v>
      </c>
      <c r="AD76" s="16" t="n">
        <f aca="false" t="array" ref="AD76:AD76">IF($I76&gt;=$AI76,"Max",ROUND(Paramètres!$B$40*($I76+1)^Paramètres!$B$41*INDEX(Paramètres!$H$6:$H$12,$AF76),0))</f>
        <v>4</v>
      </c>
      <c r="AE76" s="23" t="n">
        <f aca="false">MATCH($B76&amp;"|"&amp;$C76,Profils!$A$5:$A$34,0)</f>
        <v>3</v>
      </c>
      <c r="AF76" s="23" t="n">
        <v>3</v>
      </c>
      <c r="AG76" s="24" t="n">
        <f aca="false" t="array" ref="AG76:AG76">INDEX(Paramètres!$C$6:$C$12,$AF76)</f>
        <v>1.45</v>
      </c>
      <c r="AH76" s="23" t="n">
        <f aca="false" t="array" ref="AH76:AH76">INDEX(Paramètres!$D$6:$D$12,$AF76)</f>
        <v>4</v>
      </c>
      <c r="AI76" s="23" t="n">
        <f aca="false" t="array" ref="AI76:AI76">INDEX(Matériaux!$C$16:$C$20,$D76)</f>
        <v>20</v>
      </c>
      <c r="AJ76" s="25" t="n">
        <f aca="false">Paramètres!$B$16+(1-Paramètres!$B$16)*(($J76-Paramètres!$B$14)/(Paramètres!$B$15-Paramètres!$B$14))^Paramètres!$B$17</f>
        <v>0.140847925475674</v>
      </c>
    </row>
    <row r="77" customFormat="false" ht="15.75" hidden="false" customHeight="true" outlineLevel="0" collapsed="false">
      <c r="A77" s="14" t="s">
        <v>186</v>
      </c>
      <c r="B77" s="15" t="s">
        <v>27</v>
      </c>
      <c r="C77" s="15" t="s">
        <v>177</v>
      </c>
      <c r="D77" s="16" t="n">
        <v>2</v>
      </c>
      <c r="E77" s="15" t="str">
        <f aca="false" t="array" ref="E77:E77">INDEX(Matériaux!$B$5:$F$12,MATCH(INDEX(Profils!$E$5:$E$34,$AE77),Matériaux!$A$5:$A$12,0),$D77)</f>
        <v>fer</v>
      </c>
      <c r="F77" s="28" t="s">
        <v>115</v>
      </c>
      <c r="G77" s="10" t="str">
        <f aca="false" t="array" ref="G77:G77">INDEX(Profils!$D$5:$D$34,$AE77)&amp;" en "&amp;$E77</f>
        <v>Jambières en fer</v>
      </c>
      <c r="H77" s="16" t="n">
        <f aca="false" t="array" ref="H77:H77">INDEX(Matériaux!$B$16:$B$20,$D77)</f>
        <v>15</v>
      </c>
      <c r="I77" s="16" t="n">
        <f aca="false">IF(ISNUMBER($C$3),MIN(MAX(0,ROUND($C$3,0)),$AI77),$AI77)</f>
        <v>0</v>
      </c>
      <c r="J77" s="18" t="n">
        <f aca="false">$H77+$I77</f>
        <v>15</v>
      </c>
      <c r="K77" s="15" t="s">
        <v>109</v>
      </c>
      <c r="L77" s="19" t="n">
        <f aca="false" t="array" ref="L77:L77">IF(AND(INDEX(Profils!$F$5:$F$34,$AE77)&gt;0,INDEX(Profils!$U$5:$U$34,$AE77)&lt;=$AH77),ROUND(INDEX(Profils!$F$5:$F$34,$AE77)*Paramètres!$E$22*$AG77*$AJ77,Paramètres!$F$22),0)</f>
        <v>12</v>
      </c>
      <c r="M77" s="19" t="n">
        <f aca="false" t="array" ref="M77:M77">IF(AND(INDEX(Profils!$G$5:$G$34,$AE77)&gt;0,INDEX(Profils!$V$5:$V$34,$AE77)&lt;=$AH77),ROUND(INDEX(Profils!$G$5:$G$34,$AE77)*Paramètres!$E$23*$AG77*$AJ77,Paramètres!$F$23),0)</f>
        <v>3</v>
      </c>
      <c r="N77" s="19" t="n">
        <f aca="false" t="array" ref="N77:N77">IF(AND(INDEX(Profils!$H$5:$H$34,$AE77)&gt;0,INDEX(Profils!$W$5:$W$34,$AE77)&lt;=$AH77),ROUND(INDEX(Profils!$H$5:$H$34,$AE77)*Paramètres!$E$24*$AG77*$AJ77,Paramètres!$F$24),0)</f>
        <v>5</v>
      </c>
      <c r="O77" s="19" t="n">
        <f aca="false" t="array" ref="O77:O77">IF(AND(INDEX(Profils!$I$5:$I$34,$AE77)&gt;0,INDEX(Profils!$X$5:$X$34,$AE77)&lt;=$AH77),ROUND(INDEX(Profils!$I$5:$I$34,$AE77)*Paramètres!$E$25*$AG77*$AJ77,Paramètres!$F$25),0)</f>
        <v>0</v>
      </c>
      <c r="P77" s="19" t="n">
        <f aca="false" t="array" ref="P77:P77">IF(AND(INDEX(Profils!$J$5:$J$34,$AE77)&gt;0,INDEX(Profils!$Y$5:$Y$34,$AE77)&lt;=$AH77),ROUND(INDEX(Profils!$J$5:$J$34,$AE77)*Paramètres!$E$26*$AG77*$AJ77,Paramètres!$F$26),0)</f>
        <v>2</v>
      </c>
      <c r="Q77" s="19" t="n">
        <f aca="false" t="array" ref="Q77:Q77">IF(AND(INDEX(Profils!$K$5:$K$34,$AE77)&gt;0,INDEX(Profils!$Z$5:$Z$34,$AE77)&lt;=$AH77),ROUND(INDEX(Profils!$K$5:$K$34,$AE77)*Paramètres!$E$27*$AG77*$AJ77,Paramètres!$F$27),0)</f>
        <v>0</v>
      </c>
      <c r="R77" s="20" t="n">
        <f aca="false" t="array" ref="R77:R77">IF(AND(INDEX(Profils!$L$5:$L$34,$AE77)&gt;0,INDEX(Profils!$AA$5:$AA$34,$AE77)&lt;=$AH77),ROUND(INDEX(Profils!$L$5:$L$34,$AE77)*Paramètres!$E$28*$AG77*$AJ77,Paramètres!$F$28),0)</f>
        <v>0</v>
      </c>
      <c r="S77" s="20" t="n">
        <f aca="false" t="array" ref="S77:S77">IF(AND(INDEX(Profils!$M$5:$M$34,$AE77)&gt;0,INDEX(Profils!$AB$5:$AB$34,$AE77)&lt;=$AH77),ROUND(INDEX(Profils!$M$5:$M$34,$AE77)*Paramètres!$E$29*$AG77*$AJ77,Paramètres!$F$29),0)</f>
        <v>0</v>
      </c>
      <c r="T77" s="20" t="n">
        <f aca="false" t="array" ref="T77:T77">IF(AND(INDEX(Profils!$N$5:$N$34,$AE77)&gt;0,INDEX(Profils!$AC$5:$AC$34,$AE77)&lt;=$AH77),ROUND(INDEX(Profils!$N$5:$N$34,$AE77)*Paramètres!$E$30*$AG77*$AJ77,Paramètres!$F$30),0)</f>
        <v>0</v>
      </c>
      <c r="U77" s="19" t="n">
        <f aca="false" t="array" ref="U77:U77">IF(AND(INDEX(Profils!$O$5:$O$34,$AE77)&gt;0,INDEX(Profils!$AD$5:$AD$34,$AE77)&lt;=$AH77),ROUND(INDEX(Profils!$O$5:$O$34,$AE77)*Paramètres!$E$31*$AG77*$AJ77,Paramètres!$F$31),0)</f>
        <v>8</v>
      </c>
      <c r="V77" s="20" t="n">
        <f aca="false" t="array" ref="V77:V77">IF(AND(INDEX(Profils!$P$5:$P$34,$AE77)&gt;0,INDEX(Profils!$AE$5:$AE$34,$AE77)&lt;=$AH77),ROUND(INDEX(Profils!$P$5:$P$34,$AE77)*Paramètres!$E$32*$AG77*$AJ77,Paramètres!$F$32),0)</f>
        <v>0</v>
      </c>
      <c r="W77" s="20" t="n">
        <f aca="false" t="array" ref="W77:W77">IF(AND(INDEX(Profils!$Q$5:$Q$34,$AE77)&gt;0,INDEX(Profils!$AF$5:$AF$34,$AE77)&lt;=$AH77),ROUND(INDEX(Profils!$Q$5:$Q$34,$AE77)*Paramètres!$E$33*$AG77*$AJ77,Paramètres!$F$33),0)</f>
        <v>0</v>
      </c>
      <c r="X77" s="20" t="n">
        <f aca="false" t="array" ref="X77:X77">IF(AND(INDEX(Profils!$R$5:$R$34,$AE77)&gt;0,INDEX(Profils!$AG$5:$AG$34,$AE77)&lt;=$AH77),ROUND(INDEX(Profils!$R$5:$R$34,$AE77)*Paramètres!$E$34*$AG77*$AJ77,Paramètres!$F$34),0)</f>
        <v>0</v>
      </c>
      <c r="Y77" s="20" t="n">
        <f aca="false" t="array" ref="Y77:Y77">IF(AND(INDEX(Profils!$S$5:$S$34,$AE77)&gt;0,INDEX(Profils!$AH$5:$AH$34,$AE77)&lt;=$AH77),ROUND(INDEX(Profils!$S$5:$S$34,$AE77)*Paramètres!$E$35*$AG77*$AJ77,Paramètres!$F$35),0)</f>
        <v>0</v>
      </c>
      <c r="Z77" s="21" t="n">
        <f aca="false">ROUND(L77/Paramètres!$E$22+M77/Paramètres!$E$23+N77/Paramètres!$E$24+O77/Paramètres!$E$25+P77/Paramètres!$E$26+Q77/Paramètres!$E$27+R77/Paramètres!$E$28+S77/Paramètres!$E$29+T77/Paramètres!$E$30+U77/Paramètres!$E$31+V77/Paramètres!$E$32+W77/Paramètres!$E$33+X77/Paramètres!$E$34+Y77/Paramètres!$E$35,1)</f>
        <v>1.6</v>
      </c>
      <c r="AA77" s="22" t="s">
        <v>109</v>
      </c>
      <c r="AB77" s="22" t="s">
        <v>109</v>
      </c>
      <c r="AC77" s="15" t="str">
        <f aca="false">$E77</f>
        <v>fer</v>
      </c>
      <c r="AD77" s="16" t="n">
        <f aca="false" t="array" ref="AD77:AD77">IF($I77&gt;=$AI77,"Max",ROUND(Paramètres!$B$40*($I77+1)^Paramètres!$B$41*INDEX(Paramètres!$H$6:$H$12,$AF77),0))</f>
        <v>5</v>
      </c>
      <c r="AE77" s="23" t="n">
        <f aca="false">MATCH($B77&amp;"|"&amp;$C77,Profils!$A$5:$A$34,0)</f>
        <v>3</v>
      </c>
      <c r="AF77" s="23" t="n">
        <v>4</v>
      </c>
      <c r="AG77" s="24" t="n">
        <f aca="false" t="array" ref="AG77:AG77">INDEX(Paramètres!$C$6:$C$12,$AF77)</f>
        <v>1.75</v>
      </c>
      <c r="AH77" s="23" t="n">
        <f aca="false" t="array" ref="AH77:AH77">INDEX(Paramètres!$D$6:$D$12,$AF77)</f>
        <v>5</v>
      </c>
      <c r="AI77" s="23" t="n">
        <f aca="false" t="array" ref="AI77:AI77">INDEX(Matériaux!$C$16:$C$20,$D77)</f>
        <v>20</v>
      </c>
      <c r="AJ77" s="25" t="n">
        <f aca="false">Paramètres!$B$16+(1-Paramètres!$B$16)*(($J77-Paramètres!$B$14)/(Paramètres!$B$15-Paramètres!$B$14))^Paramètres!$B$17</f>
        <v>0.140847925475674</v>
      </c>
    </row>
    <row r="78" customFormat="false" ht="15.75" hidden="false" customHeight="true" outlineLevel="0" collapsed="false">
      <c r="A78" s="14" t="s">
        <v>187</v>
      </c>
      <c r="B78" s="15" t="s">
        <v>27</v>
      </c>
      <c r="C78" s="15" t="s">
        <v>177</v>
      </c>
      <c r="D78" s="16" t="n">
        <v>2</v>
      </c>
      <c r="E78" s="15" t="str">
        <f aca="false" t="array" ref="E78:E78">INDEX(Matériaux!$B$5:$F$12,MATCH(INDEX(Profils!$E$5:$E$34,$AE78),Matériaux!$A$5:$A$12,0),$D78)</f>
        <v>fer</v>
      </c>
      <c r="F78" s="29" t="s">
        <v>117</v>
      </c>
      <c r="G78" s="10" t="str">
        <f aca="false" t="array" ref="G78:G78">INDEX(Profils!$D$5:$D$34,$AE78)&amp;" en "&amp;$E78</f>
        <v>Jambières en fer</v>
      </c>
      <c r="H78" s="16" t="n">
        <f aca="false" t="array" ref="H78:H78">INDEX(Matériaux!$B$16:$B$20,$D78)</f>
        <v>15</v>
      </c>
      <c r="I78" s="16" t="n">
        <f aca="false">IF(ISNUMBER($C$3),MIN(MAX(0,ROUND($C$3,0)),$AI78),$AI78)</f>
        <v>0</v>
      </c>
      <c r="J78" s="18" t="n">
        <f aca="false">$H78+$I78</f>
        <v>15</v>
      </c>
      <c r="K78" s="15" t="s">
        <v>109</v>
      </c>
      <c r="L78" s="19" t="n">
        <f aca="false" t="array" ref="L78:L78">IF(AND(INDEX(Profils!$F$5:$F$34,$AE78)&gt;0,INDEX(Profils!$U$5:$U$34,$AE78)&lt;=$AH78),ROUND(INDEX(Profils!$F$5:$F$34,$AE78)*Paramètres!$E$22*$AG78*$AJ78,Paramètres!$F$22),0)</f>
        <v>15</v>
      </c>
      <c r="M78" s="19" t="n">
        <f aca="false" t="array" ref="M78:M78">IF(AND(INDEX(Profils!$G$5:$G$34,$AE78)&gt;0,INDEX(Profils!$V$5:$V$34,$AE78)&lt;=$AH78),ROUND(INDEX(Profils!$G$5:$G$34,$AE78)*Paramètres!$E$23*$AG78*$AJ78,Paramètres!$F$23),0)</f>
        <v>3</v>
      </c>
      <c r="N78" s="19" t="n">
        <f aca="false" t="array" ref="N78:N78">IF(AND(INDEX(Profils!$H$5:$H$34,$AE78)&gt;0,INDEX(Profils!$W$5:$W$34,$AE78)&lt;=$AH78),ROUND(INDEX(Profils!$H$5:$H$34,$AE78)*Paramètres!$E$24*$AG78*$AJ78,Paramètres!$F$24),0)</f>
        <v>6</v>
      </c>
      <c r="O78" s="19" t="n">
        <f aca="false" t="array" ref="O78:O78">IF(AND(INDEX(Profils!$I$5:$I$34,$AE78)&gt;0,INDEX(Profils!$X$5:$X$34,$AE78)&lt;=$AH78),ROUND(INDEX(Profils!$I$5:$I$34,$AE78)*Paramètres!$E$25*$AG78*$AJ78,Paramètres!$F$25),0)</f>
        <v>0</v>
      </c>
      <c r="P78" s="19" t="n">
        <f aca="false" t="array" ref="P78:P78">IF(AND(INDEX(Profils!$J$5:$J$34,$AE78)&gt;0,INDEX(Profils!$Y$5:$Y$34,$AE78)&lt;=$AH78),ROUND(INDEX(Profils!$J$5:$J$34,$AE78)*Paramètres!$E$26*$AG78*$AJ78,Paramètres!$F$26),0)</f>
        <v>2</v>
      </c>
      <c r="Q78" s="19" t="n">
        <f aca="false" t="array" ref="Q78:Q78">IF(AND(INDEX(Profils!$K$5:$K$34,$AE78)&gt;0,INDEX(Profils!$Z$5:$Z$34,$AE78)&lt;=$AH78),ROUND(INDEX(Profils!$K$5:$K$34,$AE78)*Paramètres!$E$27*$AG78*$AJ78,Paramètres!$F$27),0)</f>
        <v>0</v>
      </c>
      <c r="R78" s="20" t="n">
        <f aca="false" t="array" ref="R78:R78">IF(AND(INDEX(Profils!$L$5:$L$34,$AE78)&gt;0,INDEX(Profils!$AA$5:$AA$34,$AE78)&lt;=$AH78),ROUND(INDEX(Profils!$L$5:$L$34,$AE78)*Paramètres!$E$28*$AG78*$AJ78,Paramètres!$F$28),0)</f>
        <v>0</v>
      </c>
      <c r="S78" s="20" t="n">
        <f aca="false" t="array" ref="S78:S78">IF(AND(INDEX(Profils!$M$5:$M$34,$AE78)&gt;0,INDEX(Profils!$AB$5:$AB$34,$AE78)&lt;=$AH78),ROUND(INDEX(Profils!$M$5:$M$34,$AE78)*Paramètres!$E$29*$AG78*$AJ78,Paramètres!$F$29),0)</f>
        <v>0</v>
      </c>
      <c r="T78" s="20" t="n">
        <f aca="false" t="array" ref="T78:T78">IF(AND(INDEX(Profils!$N$5:$N$34,$AE78)&gt;0,INDEX(Profils!$AC$5:$AC$34,$AE78)&lt;=$AH78),ROUND(INDEX(Profils!$N$5:$N$34,$AE78)*Paramètres!$E$30*$AG78*$AJ78,Paramètres!$F$30),0)</f>
        <v>0</v>
      </c>
      <c r="U78" s="19" t="n">
        <f aca="false" t="array" ref="U78:U78">IF(AND(INDEX(Profils!$O$5:$O$34,$AE78)&gt;0,INDEX(Profils!$AD$5:$AD$34,$AE78)&lt;=$AH78),ROUND(INDEX(Profils!$O$5:$O$34,$AE78)*Paramètres!$E$31*$AG78*$AJ78,Paramètres!$F$31),0)</f>
        <v>9</v>
      </c>
      <c r="V78" s="20" t="n">
        <f aca="false" t="array" ref="V78:V78">IF(AND(INDEX(Profils!$P$5:$P$34,$AE78)&gt;0,INDEX(Profils!$AE$5:$AE$34,$AE78)&lt;=$AH78),ROUND(INDEX(Profils!$P$5:$P$34,$AE78)*Paramètres!$E$32*$AG78*$AJ78,Paramètres!$F$32),0)</f>
        <v>0</v>
      </c>
      <c r="W78" s="20" t="n">
        <f aca="false" t="array" ref="W78:W78">IF(AND(INDEX(Profils!$Q$5:$Q$34,$AE78)&gt;0,INDEX(Profils!$AF$5:$AF$34,$AE78)&lt;=$AH78),ROUND(INDEX(Profils!$Q$5:$Q$34,$AE78)*Paramètres!$E$33*$AG78*$AJ78,Paramètres!$F$33),0)</f>
        <v>0.003</v>
      </c>
      <c r="X78" s="20" t="n">
        <f aca="false" t="array" ref="X78:X78">IF(AND(INDEX(Profils!$R$5:$R$34,$AE78)&gt;0,INDEX(Profils!$AG$5:$AG$34,$AE78)&lt;=$AH78),ROUND(INDEX(Profils!$R$5:$R$34,$AE78)*Paramètres!$E$34*$AG78*$AJ78,Paramètres!$F$34),0)</f>
        <v>0</v>
      </c>
      <c r="Y78" s="20" t="n">
        <f aca="false" t="array" ref="Y78:Y78">IF(AND(INDEX(Profils!$S$5:$S$34,$AE78)&gt;0,INDEX(Profils!$AH$5:$AH$34,$AE78)&lt;=$AH78),ROUND(INDEX(Profils!$S$5:$S$34,$AE78)*Paramètres!$E$35*$AG78*$AJ78,Paramètres!$F$35),0)</f>
        <v>0</v>
      </c>
      <c r="Z78" s="21" t="n">
        <f aca="false">ROUND(L78/Paramètres!$E$22+M78/Paramètres!$E$23+N78/Paramètres!$E$24+O78/Paramètres!$E$25+P78/Paramètres!$E$26+Q78/Paramètres!$E$27+R78/Paramètres!$E$28+S78/Paramètres!$E$29+T78/Paramètres!$E$30+U78/Paramètres!$E$31+V78/Paramètres!$E$32+W78/Paramètres!$E$33+X78/Paramètres!$E$34+Y78/Paramètres!$E$35,1)</f>
        <v>2</v>
      </c>
      <c r="AA78" s="22" t="s">
        <v>109</v>
      </c>
      <c r="AB78" s="22" t="s">
        <v>109</v>
      </c>
      <c r="AC78" s="15" t="str">
        <f aca="false">$E78</f>
        <v>fer</v>
      </c>
      <c r="AD78" s="16" t="n">
        <f aca="false" t="array" ref="AD78:AD78">IF($I78&gt;=$AI78,"Max",ROUND(Paramètres!$B$40*($I78+1)^Paramètres!$B$41*INDEX(Paramètres!$H$6:$H$12,$AF78),0))</f>
        <v>6</v>
      </c>
      <c r="AE78" s="23" t="n">
        <f aca="false">MATCH($B78&amp;"|"&amp;$C78,Profils!$A$5:$A$34,0)</f>
        <v>3</v>
      </c>
      <c r="AF78" s="23" t="n">
        <v>5</v>
      </c>
      <c r="AG78" s="24" t="n">
        <f aca="false" t="array" ref="AG78:AG78">INDEX(Paramètres!$C$6:$C$12,$AF78)</f>
        <v>2.1</v>
      </c>
      <c r="AH78" s="23" t="n">
        <f aca="false" t="array" ref="AH78:AH78">INDEX(Paramètres!$D$6:$D$12,$AF78)</f>
        <v>6</v>
      </c>
      <c r="AI78" s="23" t="n">
        <f aca="false" t="array" ref="AI78:AI78">INDEX(Matériaux!$C$16:$C$20,$D78)</f>
        <v>20</v>
      </c>
      <c r="AJ78" s="25" t="n">
        <f aca="false">Paramètres!$B$16+(1-Paramètres!$B$16)*(($J78-Paramètres!$B$14)/(Paramètres!$B$15-Paramètres!$B$14))^Paramètres!$B$17</f>
        <v>0.140847925475674</v>
      </c>
    </row>
    <row r="79" customFormat="false" ht="15.75" hidden="false" customHeight="true" outlineLevel="0" collapsed="false">
      <c r="A79" s="14" t="s">
        <v>188</v>
      </c>
      <c r="B79" s="15" t="s">
        <v>27</v>
      </c>
      <c r="C79" s="15" t="s">
        <v>177</v>
      </c>
      <c r="D79" s="16" t="n">
        <v>2</v>
      </c>
      <c r="E79" s="15" t="str">
        <f aca="false" t="array" ref="E79:E79">INDEX(Matériaux!$B$5:$F$12,MATCH(INDEX(Profils!$E$5:$E$34,$AE79),Matériaux!$A$5:$A$12,0),$D79)</f>
        <v>fer</v>
      </c>
      <c r="F79" s="30" t="s">
        <v>119</v>
      </c>
      <c r="G79" s="10" t="str">
        <f aca="false" t="array" ref="G79:G79">INDEX(Profils!$D$5:$D$34,$AE79)&amp;" en "&amp;$E79</f>
        <v>Jambières en fer</v>
      </c>
      <c r="H79" s="16" t="n">
        <f aca="false" t="array" ref="H79:H79">INDEX(Matériaux!$B$16:$B$20,$D79)</f>
        <v>15</v>
      </c>
      <c r="I79" s="16" t="n">
        <f aca="false">IF(ISNUMBER($C$3),MIN(MAX(0,ROUND($C$3,0)),$AI79),$AI79)</f>
        <v>0</v>
      </c>
      <c r="J79" s="18" t="n">
        <f aca="false">$H79+$I79</f>
        <v>15</v>
      </c>
      <c r="K79" s="15" t="s">
        <v>109</v>
      </c>
      <c r="L79" s="19" t="n">
        <f aca="false" t="array" ref="L79:L79">IF(AND(INDEX(Profils!$F$5:$F$34,$AE79)&gt;0,INDEX(Profils!$U$5:$U$34,$AE79)&lt;=$AH79),ROUND(INDEX(Profils!$F$5:$F$34,$AE79)*Paramètres!$E$22*$AG79*$AJ79,Paramètres!$F$22),0)</f>
        <v>17</v>
      </c>
      <c r="M79" s="19" t="n">
        <f aca="false" t="array" ref="M79:M79">IF(AND(INDEX(Profils!$G$5:$G$34,$AE79)&gt;0,INDEX(Profils!$V$5:$V$34,$AE79)&lt;=$AH79),ROUND(INDEX(Profils!$G$5:$G$34,$AE79)*Paramètres!$E$23*$AG79*$AJ79,Paramètres!$F$23),0)</f>
        <v>4</v>
      </c>
      <c r="N79" s="19" t="n">
        <f aca="false" t="array" ref="N79:N79">IF(AND(INDEX(Profils!$H$5:$H$34,$AE79)&gt;0,INDEX(Profils!$W$5:$W$34,$AE79)&lt;=$AH79),ROUND(INDEX(Profils!$H$5:$H$34,$AE79)*Paramètres!$E$24*$AG79*$AJ79,Paramètres!$F$24),0)</f>
        <v>7</v>
      </c>
      <c r="O79" s="19" t="n">
        <f aca="false" t="array" ref="O79:O79">IF(AND(INDEX(Profils!$I$5:$I$34,$AE79)&gt;0,INDEX(Profils!$X$5:$X$34,$AE79)&lt;=$AH79),ROUND(INDEX(Profils!$I$5:$I$34,$AE79)*Paramètres!$E$25*$AG79*$AJ79,Paramètres!$F$25),0)</f>
        <v>0</v>
      </c>
      <c r="P79" s="19" t="n">
        <f aca="false" t="array" ref="P79:P79">IF(AND(INDEX(Profils!$J$5:$J$34,$AE79)&gt;0,INDEX(Profils!$Y$5:$Y$34,$AE79)&lt;=$AH79),ROUND(INDEX(Profils!$J$5:$J$34,$AE79)*Paramètres!$E$26*$AG79*$AJ79,Paramètres!$F$26),0)</f>
        <v>2</v>
      </c>
      <c r="Q79" s="19" t="n">
        <f aca="false" t="array" ref="Q79:Q79">IF(AND(INDEX(Profils!$K$5:$K$34,$AE79)&gt;0,INDEX(Profils!$Z$5:$Z$34,$AE79)&lt;=$AH79),ROUND(INDEX(Profils!$K$5:$K$34,$AE79)*Paramètres!$E$27*$AG79*$AJ79,Paramètres!$F$27),0)</f>
        <v>0</v>
      </c>
      <c r="R79" s="20" t="n">
        <f aca="false" t="array" ref="R79:R79">IF(AND(INDEX(Profils!$L$5:$L$34,$AE79)&gt;0,INDEX(Profils!$AA$5:$AA$34,$AE79)&lt;=$AH79),ROUND(INDEX(Profils!$L$5:$L$34,$AE79)*Paramètres!$E$28*$AG79*$AJ79,Paramètres!$F$28),0)</f>
        <v>0</v>
      </c>
      <c r="S79" s="20" t="n">
        <f aca="false" t="array" ref="S79:S79">IF(AND(INDEX(Profils!$M$5:$M$34,$AE79)&gt;0,INDEX(Profils!$AB$5:$AB$34,$AE79)&lt;=$AH79),ROUND(INDEX(Profils!$M$5:$M$34,$AE79)*Paramètres!$E$29*$AG79*$AJ79,Paramètres!$F$29),0)</f>
        <v>0</v>
      </c>
      <c r="T79" s="20" t="n">
        <f aca="false" t="array" ref="T79:T79">IF(AND(INDEX(Profils!$N$5:$N$34,$AE79)&gt;0,INDEX(Profils!$AC$5:$AC$34,$AE79)&lt;=$AH79),ROUND(INDEX(Profils!$N$5:$N$34,$AE79)*Paramètres!$E$30*$AG79*$AJ79,Paramètres!$F$30),0)</f>
        <v>0</v>
      </c>
      <c r="U79" s="19" t="n">
        <f aca="false" t="array" ref="U79:U79">IF(AND(INDEX(Profils!$O$5:$O$34,$AE79)&gt;0,INDEX(Profils!$AD$5:$AD$34,$AE79)&lt;=$AH79),ROUND(INDEX(Profils!$O$5:$O$34,$AE79)*Paramètres!$E$31*$AG79*$AJ79,Paramètres!$F$31),0)</f>
        <v>11</v>
      </c>
      <c r="V79" s="20" t="n">
        <f aca="false" t="array" ref="V79:V79">IF(AND(INDEX(Profils!$P$5:$P$34,$AE79)&gt;0,INDEX(Profils!$AE$5:$AE$34,$AE79)&lt;=$AH79),ROUND(INDEX(Profils!$P$5:$P$34,$AE79)*Paramètres!$E$32*$AG79*$AJ79,Paramètres!$F$32),0)</f>
        <v>0</v>
      </c>
      <c r="W79" s="20" t="n">
        <f aca="false" t="array" ref="W79:W79">IF(AND(INDEX(Profils!$Q$5:$Q$34,$AE79)&gt;0,INDEX(Profils!$AF$5:$AF$34,$AE79)&lt;=$AH79),ROUND(INDEX(Profils!$Q$5:$Q$34,$AE79)*Paramètres!$E$33*$AG79*$AJ79,Paramètres!$F$33),0)</f>
        <v>0.003</v>
      </c>
      <c r="X79" s="20" t="n">
        <f aca="false" t="array" ref="X79:X79">IF(AND(INDEX(Profils!$R$5:$R$34,$AE79)&gt;0,INDEX(Profils!$AG$5:$AG$34,$AE79)&lt;=$AH79),ROUND(INDEX(Profils!$R$5:$R$34,$AE79)*Paramètres!$E$34*$AG79*$AJ79,Paramètres!$F$34),0)</f>
        <v>0</v>
      </c>
      <c r="Y79" s="20" t="n">
        <f aca="false" t="array" ref="Y79:Y79">IF(AND(INDEX(Profils!$S$5:$S$34,$AE79)&gt;0,INDEX(Profils!$AH$5:$AH$34,$AE79)&lt;=$AH79),ROUND(INDEX(Profils!$S$5:$S$34,$AE79)*Paramètres!$E$35*$AG79*$AJ79,Paramètres!$F$35),0)</f>
        <v>0.003</v>
      </c>
      <c r="Z79" s="21" t="n">
        <f aca="false">ROUND(L79/Paramètres!$E$22+M79/Paramètres!$E$23+N79/Paramètres!$E$24+O79/Paramètres!$E$25+P79/Paramètres!$E$26+Q79/Paramètres!$E$27+R79/Paramètres!$E$28+S79/Paramètres!$E$29+T79/Paramètres!$E$30+U79/Paramètres!$E$31+V79/Paramètres!$E$32+W79/Paramètres!$E$33+X79/Paramètres!$E$34+Y79/Paramètres!$E$35,1)</f>
        <v>2.5</v>
      </c>
      <c r="AA79" s="22" t="s">
        <v>109</v>
      </c>
      <c r="AB79" s="22" t="s">
        <v>109</v>
      </c>
      <c r="AC79" s="15" t="str">
        <f aca="false">$E79</f>
        <v>fer</v>
      </c>
      <c r="AD79" s="16" t="n">
        <f aca="false" t="array" ref="AD79:AD79">IF($I79&gt;=$AI79,"Max",ROUND(Paramètres!$B$40*($I79+1)^Paramètres!$B$41*INDEX(Paramètres!$H$6:$H$12,$AF79),0))</f>
        <v>8</v>
      </c>
      <c r="AE79" s="23" t="n">
        <f aca="false">MATCH($B79&amp;"|"&amp;$C79,Profils!$A$5:$A$34,0)</f>
        <v>3</v>
      </c>
      <c r="AF79" s="23" t="n">
        <v>6</v>
      </c>
      <c r="AG79" s="24" t="n">
        <f aca="false" t="array" ref="AG79:AG79">INDEX(Paramètres!$C$6:$C$12,$AF79)</f>
        <v>2.4</v>
      </c>
      <c r="AH79" s="23" t="n">
        <f aca="false" t="array" ref="AH79:AH79">INDEX(Paramètres!$D$6:$D$12,$AF79)</f>
        <v>7</v>
      </c>
      <c r="AI79" s="23" t="n">
        <f aca="false" t="array" ref="AI79:AI79">INDEX(Matériaux!$C$16:$C$20,$D79)</f>
        <v>20</v>
      </c>
      <c r="AJ79" s="25" t="n">
        <f aca="false">Paramètres!$B$16+(1-Paramètres!$B$16)*(($J79-Paramètres!$B$14)/(Paramètres!$B$15-Paramètres!$B$14))^Paramètres!$B$17</f>
        <v>0.140847925475674</v>
      </c>
    </row>
    <row r="80" customFormat="false" ht="15.75" hidden="false" customHeight="true" outlineLevel="0" collapsed="false">
      <c r="A80" s="14" t="s">
        <v>189</v>
      </c>
      <c r="B80" s="15" t="s">
        <v>27</v>
      </c>
      <c r="C80" s="15" t="s">
        <v>177</v>
      </c>
      <c r="D80" s="16" t="n">
        <v>3</v>
      </c>
      <c r="E80" s="15" t="str">
        <f aca="false" t="array" ref="E80:E80">INDEX(Matériaux!$B$5:$F$12,MATCH(INDEX(Profils!$E$5:$E$34,$AE80),Matériaux!$A$5:$A$12,0),$D80)</f>
        <v>acier</v>
      </c>
      <c r="F80" s="17" t="s">
        <v>108</v>
      </c>
      <c r="G80" s="10" t="str">
        <f aca="false" t="array" ref="G80:G80">INDEX(Profils!$D$5:$D$34,$AE80)&amp;" en "&amp;$E80</f>
        <v>Jambières en acier</v>
      </c>
      <c r="H80" s="16" t="n">
        <f aca="false" t="array" ref="H80:H80">INDEX(Matériaux!$B$16:$B$20,$D80)</f>
        <v>30</v>
      </c>
      <c r="I80" s="16" t="n">
        <f aca="false">IF(ISNUMBER($C$3),MIN(MAX(0,ROUND($C$3,0)),$AI80),$AI80)</f>
        <v>0</v>
      </c>
      <c r="J80" s="18" t="n">
        <f aca="false">$H80+$I80</f>
        <v>30</v>
      </c>
      <c r="K80" s="15" t="s">
        <v>109</v>
      </c>
      <c r="L80" s="19" t="n">
        <f aca="false" t="array" ref="L80:L80">IF(AND(INDEX(Profils!$F$5:$F$34,$AE80)&gt;0,INDEX(Profils!$U$5:$U$34,$AE80)&lt;=$AH80),ROUND(INDEX(Profils!$F$5:$F$34,$AE80)*Paramètres!$E$22*$AG80*$AJ80,Paramètres!$F$22),0)</f>
        <v>13</v>
      </c>
      <c r="M80" s="19" t="n">
        <f aca="false" t="array" ref="M80:M80">IF(AND(INDEX(Profils!$G$5:$G$34,$AE80)&gt;0,INDEX(Profils!$V$5:$V$34,$AE80)&lt;=$AH80),ROUND(INDEX(Profils!$G$5:$G$34,$AE80)*Paramètres!$E$23*$AG80*$AJ80,Paramètres!$F$23),0)</f>
        <v>0</v>
      </c>
      <c r="N80" s="19" t="n">
        <f aca="false" t="array" ref="N80:N80">IF(AND(INDEX(Profils!$H$5:$H$34,$AE80)&gt;0,INDEX(Profils!$W$5:$W$34,$AE80)&lt;=$AH80),ROUND(INDEX(Profils!$H$5:$H$34,$AE80)*Paramètres!$E$24*$AG80*$AJ80,Paramètres!$F$24),0)</f>
        <v>0</v>
      </c>
      <c r="O80" s="19" t="n">
        <f aca="false" t="array" ref="O80:O80">IF(AND(INDEX(Profils!$I$5:$I$34,$AE80)&gt;0,INDEX(Profils!$X$5:$X$34,$AE80)&lt;=$AH80),ROUND(INDEX(Profils!$I$5:$I$34,$AE80)*Paramètres!$E$25*$AG80*$AJ80,Paramètres!$F$25),0)</f>
        <v>0</v>
      </c>
      <c r="P80" s="19" t="n">
        <f aca="false" t="array" ref="P80:P80">IF(AND(INDEX(Profils!$J$5:$J$34,$AE80)&gt;0,INDEX(Profils!$Y$5:$Y$34,$AE80)&lt;=$AH80),ROUND(INDEX(Profils!$J$5:$J$34,$AE80)*Paramètres!$E$26*$AG80*$AJ80,Paramètres!$F$26),0)</f>
        <v>0</v>
      </c>
      <c r="Q80" s="19" t="n">
        <f aca="false" t="array" ref="Q80:Q80">IF(AND(INDEX(Profils!$K$5:$K$34,$AE80)&gt;0,INDEX(Profils!$Z$5:$Z$34,$AE80)&lt;=$AH80),ROUND(INDEX(Profils!$K$5:$K$34,$AE80)*Paramètres!$E$27*$AG80*$AJ80,Paramètres!$F$27),0)</f>
        <v>0</v>
      </c>
      <c r="R80" s="20" t="n">
        <f aca="false" t="array" ref="R80:R80">IF(AND(INDEX(Profils!$L$5:$L$34,$AE80)&gt;0,INDEX(Profils!$AA$5:$AA$34,$AE80)&lt;=$AH80),ROUND(INDEX(Profils!$L$5:$L$34,$AE80)*Paramètres!$E$28*$AG80*$AJ80,Paramètres!$F$28),0)</f>
        <v>0</v>
      </c>
      <c r="S80" s="20" t="n">
        <f aca="false" t="array" ref="S80:S80">IF(AND(INDEX(Profils!$M$5:$M$34,$AE80)&gt;0,INDEX(Profils!$AB$5:$AB$34,$AE80)&lt;=$AH80),ROUND(INDEX(Profils!$M$5:$M$34,$AE80)*Paramètres!$E$29*$AG80*$AJ80,Paramètres!$F$29),0)</f>
        <v>0</v>
      </c>
      <c r="T80" s="20" t="n">
        <f aca="false" t="array" ref="T80:T80">IF(AND(INDEX(Profils!$N$5:$N$34,$AE80)&gt;0,INDEX(Profils!$AC$5:$AC$34,$AE80)&lt;=$AH80),ROUND(INDEX(Profils!$N$5:$N$34,$AE80)*Paramètres!$E$30*$AG80*$AJ80,Paramètres!$F$30),0)</f>
        <v>0</v>
      </c>
      <c r="U80" s="19" t="n">
        <f aca="false" t="array" ref="U80:U80">IF(AND(INDEX(Profils!$O$5:$O$34,$AE80)&gt;0,INDEX(Profils!$AD$5:$AD$34,$AE80)&lt;=$AH80),ROUND(INDEX(Profils!$O$5:$O$34,$AE80)*Paramètres!$E$31*$AG80*$AJ80,Paramètres!$F$31),0)</f>
        <v>9</v>
      </c>
      <c r="V80" s="20" t="n">
        <f aca="false" t="array" ref="V80:V80">IF(AND(INDEX(Profils!$P$5:$P$34,$AE80)&gt;0,INDEX(Profils!$AE$5:$AE$34,$AE80)&lt;=$AH80),ROUND(INDEX(Profils!$P$5:$P$34,$AE80)*Paramètres!$E$32*$AG80*$AJ80,Paramètres!$F$32),0)</f>
        <v>0</v>
      </c>
      <c r="W80" s="20" t="n">
        <f aca="false" t="array" ref="W80:W80">IF(AND(INDEX(Profils!$Q$5:$Q$34,$AE80)&gt;0,INDEX(Profils!$AF$5:$AF$34,$AE80)&lt;=$AH80),ROUND(INDEX(Profils!$Q$5:$Q$34,$AE80)*Paramètres!$E$33*$AG80*$AJ80,Paramètres!$F$33),0)</f>
        <v>0</v>
      </c>
      <c r="X80" s="20" t="n">
        <f aca="false" t="array" ref="X80:X80">IF(AND(INDEX(Profils!$R$5:$R$34,$AE80)&gt;0,INDEX(Profils!$AG$5:$AG$34,$AE80)&lt;=$AH80),ROUND(INDEX(Profils!$R$5:$R$34,$AE80)*Paramètres!$E$34*$AG80*$AJ80,Paramètres!$F$34),0)</f>
        <v>0</v>
      </c>
      <c r="Y80" s="20" t="n">
        <f aca="false" t="array" ref="Y80:Y80">IF(AND(INDEX(Profils!$S$5:$S$34,$AE80)&gt;0,INDEX(Profils!$AH$5:$AH$34,$AE80)&lt;=$AH80),ROUND(INDEX(Profils!$S$5:$S$34,$AE80)*Paramètres!$E$35*$AG80*$AJ80,Paramètres!$F$35),0)</f>
        <v>0</v>
      </c>
      <c r="Z80" s="21" t="n">
        <f aca="false">ROUND(L80/Paramètres!$E$22+M80/Paramètres!$E$23+N80/Paramètres!$E$24+O80/Paramètres!$E$25+P80/Paramètres!$E$26+Q80/Paramètres!$E$27+R80/Paramètres!$E$28+S80/Paramètres!$E$29+T80/Paramètres!$E$30+U80/Paramètres!$E$31+V80/Paramètres!$E$32+W80/Paramètres!$E$33+X80/Paramètres!$E$34+Y80/Paramètres!$E$35,1)</f>
        <v>1</v>
      </c>
      <c r="AA80" s="22" t="s">
        <v>109</v>
      </c>
      <c r="AB80" s="22" t="s">
        <v>109</v>
      </c>
      <c r="AC80" s="15" t="str">
        <f aca="false">$E80</f>
        <v>acier</v>
      </c>
      <c r="AD80" s="16" t="n">
        <f aca="false" t="array" ref="AD80:AD80">IF($I80&gt;=$AI80,"Max",ROUND(Paramètres!$B$40*($I80+1)^Paramètres!$B$41*INDEX(Paramètres!$H$6:$H$12,$AF80),0))</f>
        <v>3</v>
      </c>
      <c r="AE80" s="23" t="n">
        <f aca="false">MATCH($B80&amp;"|"&amp;$C80,Profils!$A$5:$A$34,0)</f>
        <v>3</v>
      </c>
      <c r="AF80" s="23" t="n">
        <v>1</v>
      </c>
      <c r="AG80" s="24" t="n">
        <f aca="false" t="array" ref="AG80:AG80">INDEX(Paramètres!$C$6:$C$12,$AF80)</f>
        <v>1</v>
      </c>
      <c r="AH80" s="23" t="n">
        <f aca="false" t="array" ref="AH80:AH80">INDEX(Paramètres!$D$6:$D$12,$AF80)</f>
        <v>2</v>
      </c>
      <c r="AI80" s="23" t="n">
        <f aca="false" t="array" ref="AI80:AI80">INDEX(Matériaux!$C$16:$C$20,$D80)</f>
        <v>25</v>
      </c>
      <c r="AJ80" s="25" t="n">
        <f aca="false">Paramètres!$B$16+(1-Paramètres!$B$16)*(($J80-Paramètres!$B$14)/(Paramètres!$B$15-Paramètres!$B$14))^Paramètres!$B$17</f>
        <v>0.26769024555533</v>
      </c>
    </row>
    <row r="81" customFormat="false" ht="15.75" hidden="false" customHeight="true" outlineLevel="0" collapsed="false">
      <c r="A81" s="14" t="s">
        <v>190</v>
      </c>
      <c r="B81" s="15" t="s">
        <v>27</v>
      </c>
      <c r="C81" s="15" t="s">
        <v>177</v>
      </c>
      <c r="D81" s="16" t="n">
        <v>3</v>
      </c>
      <c r="E81" s="15" t="str">
        <f aca="false" t="array" ref="E81:E81">INDEX(Matériaux!$B$5:$F$12,MATCH(INDEX(Profils!$E$5:$E$34,$AE81),Matériaux!$A$5:$A$12,0),$D81)</f>
        <v>acier</v>
      </c>
      <c r="F81" s="26" t="s">
        <v>111</v>
      </c>
      <c r="G81" s="10" t="str">
        <f aca="false" t="array" ref="G81:G81">INDEX(Profils!$D$5:$D$34,$AE81)&amp;" en "&amp;$E81</f>
        <v>Jambières en acier</v>
      </c>
      <c r="H81" s="16" t="n">
        <f aca="false" t="array" ref="H81:H81">INDEX(Matériaux!$B$16:$B$20,$D81)</f>
        <v>30</v>
      </c>
      <c r="I81" s="16" t="n">
        <f aca="false">IF(ISNUMBER($C$3),MIN(MAX(0,ROUND($C$3,0)),$AI81),$AI81)</f>
        <v>0</v>
      </c>
      <c r="J81" s="18" t="n">
        <f aca="false">$H81+$I81</f>
        <v>30</v>
      </c>
      <c r="K81" s="15" t="s">
        <v>109</v>
      </c>
      <c r="L81" s="19" t="n">
        <f aca="false" t="array" ref="L81:L81">IF(AND(INDEX(Profils!$F$5:$F$34,$AE81)&gt;0,INDEX(Profils!$U$5:$U$34,$AE81)&lt;=$AH81),ROUND(INDEX(Profils!$F$5:$F$34,$AE81)*Paramètres!$E$22*$AG81*$AJ81,Paramètres!$F$22),0)</f>
        <v>16</v>
      </c>
      <c r="M81" s="19" t="n">
        <f aca="false" t="array" ref="M81:M81">IF(AND(INDEX(Profils!$G$5:$G$34,$AE81)&gt;0,INDEX(Profils!$V$5:$V$34,$AE81)&lt;=$AH81),ROUND(INDEX(Profils!$G$5:$G$34,$AE81)*Paramètres!$E$23*$AG81*$AJ81,Paramètres!$F$23),0)</f>
        <v>0</v>
      </c>
      <c r="N81" s="19" t="n">
        <f aca="false" t="array" ref="N81:N81">IF(AND(INDEX(Profils!$H$5:$H$34,$AE81)&gt;0,INDEX(Profils!$W$5:$W$34,$AE81)&lt;=$AH81),ROUND(INDEX(Profils!$H$5:$H$34,$AE81)*Paramètres!$E$24*$AG81*$AJ81,Paramètres!$F$24),0)</f>
        <v>7</v>
      </c>
      <c r="O81" s="19" t="n">
        <f aca="false" t="array" ref="O81:O81">IF(AND(INDEX(Profils!$I$5:$I$34,$AE81)&gt;0,INDEX(Profils!$X$5:$X$34,$AE81)&lt;=$AH81),ROUND(INDEX(Profils!$I$5:$I$34,$AE81)*Paramètres!$E$25*$AG81*$AJ81,Paramètres!$F$25),0)</f>
        <v>0</v>
      </c>
      <c r="P81" s="19" t="n">
        <f aca="false" t="array" ref="P81:P81">IF(AND(INDEX(Profils!$J$5:$J$34,$AE81)&gt;0,INDEX(Profils!$Y$5:$Y$34,$AE81)&lt;=$AH81),ROUND(INDEX(Profils!$J$5:$J$34,$AE81)*Paramètres!$E$26*$AG81*$AJ81,Paramètres!$F$26),0)</f>
        <v>0</v>
      </c>
      <c r="Q81" s="19" t="n">
        <f aca="false" t="array" ref="Q81:Q81">IF(AND(INDEX(Profils!$K$5:$K$34,$AE81)&gt;0,INDEX(Profils!$Z$5:$Z$34,$AE81)&lt;=$AH81),ROUND(INDEX(Profils!$K$5:$K$34,$AE81)*Paramètres!$E$27*$AG81*$AJ81,Paramètres!$F$27),0)</f>
        <v>0</v>
      </c>
      <c r="R81" s="20" t="n">
        <f aca="false" t="array" ref="R81:R81">IF(AND(INDEX(Profils!$L$5:$L$34,$AE81)&gt;0,INDEX(Profils!$AA$5:$AA$34,$AE81)&lt;=$AH81),ROUND(INDEX(Profils!$L$5:$L$34,$AE81)*Paramètres!$E$28*$AG81*$AJ81,Paramètres!$F$28),0)</f>
        <v>0</v>
      </c>
      <c r="S81" s="20" t="n">
        <f aca="false" t="array" ref="S81:S81">IF(AND(INDEX(Profils!$M$5:$M$34,$AE81)&gt;0,INDEX(Profils!$AB$5:$AB$34,$AE81)&lt;=$AH81),ROUND(INDEX(Profils!$M$5:$M$34,$AE81)*Paramètres!$E$29*$AG81*$AJ81,Paramètres!$F$29),0)</f>
        <v>0</v>
      </c>
      <c r="T81" s="20" t="n">
        <f aca="false" t="array" ref="T81:T81">IF(AND(INDEX(Profils!$N$5:$N$34,$AE81)&gt;0,INDEX(Profils!$AC$5:$AC$34,$AE81)&lt;=$AH81),ROUND(INDEX(Profils!$N$5:$N$34,$AE81)*Paramètres!$E$30*$AG81*$AJ81,Paramètres!$F$30),0)</f>
        <v>0</v>
      </c>
      <c r="U81" s="19" t="n">
        <f aca="false" t="array" ref="U81:U81">IF(AND(INDEX(Profils!$O$5:$O$34,$AE81)&gt;0,INDEX(Profils!$AD$5:$AD$34,$AE81)&lt;=$AH81),ROUND(INDEX(Profils!$O$5:$O$34,$AE81)*Paramètres!$E$31*$AG81*$AJ81,Paramètres!$F$31),0)</f>
        <v>10</v>
      </c>
      <c r="V81" s="20" t="n">
        <f aca="false" t="array" ref="V81:V81">IF(AND(INDEX(Profils!$P$5:$P$34,$AE81)&gt;0,INDEX(Profils!$AE$5:$AE$34,$AE81)&lt;=$AH81),ROUND(INDEX(Profils!$P$5:$P$34,$AE81)*Paramètres!$E$32*$AG81*$AJ81,Paramètres!$F$32),0)</f>
        <v>0</v>
      </c>
      <c r="W81" s="20" t="n">
        <f aca="false" t="array" ref="W81:W81">IF(AND(INDEX(Profils!$Q$5:$Q$34,$AE81)&gt;0,INDEX(Profils!$AF$5:$AF$34,$AE81)&lt;=$AH81),ROUND(INDEX(Profils!$Q$5:$Q$34,$AE81)*Paramètres!$E$33*$AG81*$AJ81,Paramètres!$F$33),0)</f>
        <v>0</v>
      </c>
      <c r="X81" s="20" t="n">
        <f aca="false" t="array" ref="X81:X81">IF(AND(INDEX(Profils!$R$5:$R$34,$AE81)&gt;0,INDEX(Profils!$AG$5:$AG$34,$AE81)&lt;=$AH81),ROUND(INDEX(Profils!$R$5:$R$34,$AE81)*Paramètres!$E$34*$AG81*$AJ81,Paramètres!$F$34),0)</f>
        <v>0</v>
      </c>
      <c r="Y81" s="20" t="n">
        <f aca="false" t="array" ref="Y81:Y81">IF(AND(INDEX(Profils!$S$5:$S$34,$AE81)&gt;0,INDEX(Profils!$AH$5:$AH$34,$AE81)&lt;=$AH81),ROUND(INDEX(Profils!$S$5:$S$34,$AE81)*Paramètres!$E$35*$AG81*$AJ81,Paramètres!$F$35),0)</f>
        <v>0</v>
      </c>
      <c r="Z81" s="21" t="n">
        <f aca="false">ROUND(L81/Paramètres!$E$22+M81/Paramètres!$E$23+N81/Paramètres!$E$24+O81/Paramètres!$E$25+P81/Paramètres!$E$26+Q81/Paramètres!$E$27+R81/Paramètres!$E$28+S81/Paramètres!$E$29+T81/Paramètres!$E$30+U81/Paramètres!$E$31+V81/Paramètres!$E$32+W81/Paramètres!$E$33+X81/Paramètres!$E$34+Y81/Paramètres!$E$35,1)</f>
        <v>1.6</v>
      </c>
      <c r="AA81" s="22" t="s">
        <v>109</v>
      </c>
      <c r="AB81" s="22" t="s">
        <v>109</v>
      </c>
      <c r="AC81" s="15" t="str">
        <f aca="false">$E81</f>
        <v>acier</v>
      </c>
      <c r="AD81" s="16" t="n">
        <f aca="false" t="array" ref="AD81:AD81">IF($I81&gt;=$AI81,"Max",ROUND(Paramètres!$B$40*($I81+1)^Paramètres!$B$41*INDEX(Paramètres!$H$6:$H$12,$AF81),0))</f>
        <v>4</v>
      </c>
      <c r="AE81" s="23" t="n">
        <f aca="false">MATCH($B81&amp;"|"&amp;$C81,Profils!$A$5:$A$34,0)</f>
        <v>3</v>
      </c>
      <c r="AF81" s="23" t="n">
        <v>2</v>
      </c>
      <c r="AG81" s="24" t="n">
        <f aca="false" t="array" ref="AG81:AG81">INDEX(Paramètres!$C$6:$C$12,$AF81)</f>
        <v>1.2</v>
      </c>
      <c r="AH81" s="23" t="n">
        <f aca="false" t="array" ref="AH81:AH81">INDEX(Paramètres!$D$6:$D$12,$AF81)</f>
        <v>3</v>
      </c>
      <c r="AI81" s="23" t="n">
        <f aca="false" t="array" ref="AI81:AI81">INDEX(Matériaux!$C$16:$C$20,$D81)</f>
        <v>25</v>
      </c>
      <c r="AJ81" s="25" t="n">
        <f aca="false">Paramètres!$B$16+(1-Paramètres!$B$16)*(($J81-Paramètres!$B$14)/(Paramètres!$B$15-Paramètres!$B$14))^Paramètres!$B$17</f>
        <v>0.26769024555533</v>
      </c>
    </row>
    <row r="82" customFormat="false" ht="15.75" hidden="false" customHeight="true" outlineLevel="0" collapsed="false">
      <c r="A82" s="14" t="s">
        <v>191</v>
      </c>
      <c r="B82" s="15" t="s">
        <v>27</v>
      </c>
      <c r="C82" s="15" t="s">
        <v>177</v>
      </c>
      <c r="D82" s="16" t="n">
        <v>3</v>
      </c>
      <c r="E82" s="15" t="str">
        <f aca="false" t="array" ref="E82:E82">INDEX(Matériaux!$B$5:$F$12,MATCH(INDEX(Profils!$E$5:$E$34,$AE82),Matériaux!$A$5:$A$12,0),$D82)</f>
        <v>acier</v>
      </c>
      <c r="F82" s="27" t="s">
        <v>113</v>
      </c>
      <c r="G82" s="10" t="str">
        <f aca="false" t="array" ref="G82:G82">INDEX(Profils!$D$5:$D$34,$AE82)&amp;" en "&amp;$E82</f>
        <v>Jambières en acier</v>
      </c>
      <c r="H82" s="16" t="n">
        <f aca="false" t="array" ref="H82:H82">INDEX(Matériaux!$B$16:$B$20,$D82)</f>
        <v>30</v>
      </c>
      <c r="I82" s="16" t="n">
        <f aca="false">IF(ISNUMBER($C$3),MIN(MAX(0,ROUND($C$3,0)),$AI82),$AI82)</f>
        <v>0</v>
      </c>
      <c r="J82" s="18" t="n">
        <f aca="false">$H82+$I82</f>
        <v>30</v>
      </c>
      <c r="K82" s="15" t="s">
        <v>109</v>
      </c>
      <c r="L82" s="19" t="n">
        <f aca="false" t="array" ref="L82:L82">IF(AND(INDEX(Profils!$F$5:$F$34,$AE82)&gt;0,INDEX(Profils!$U$5:$U$34,$AE82)&lt;=$AH82),ROUND(INDEX(Profils!$F$5:$F$34,$AE82)*Paramètres!$E$22*$AG82*$AJ82,Paramètres!$F$22),0)</f>
        <v>19</v>
      </c>
      <c r="M82" s="19" t="n">
        <f aca="false" t="array" ref="M82:M82">IF(AND(INDEX(Profils!$G$5:$G$34,$AE82)&gt;0,INDEX(Profils!$V$5:$V$34,$AE82)&lt;=$AH82),ROUND(INDEX(Profils!$G$5:$G$34,$AE82)*Paramètres!$E$23*$AG82*$AJ82,Paramètres!$F$23),0)</f>
        <v>4</v>
      </c>
      <c r="N82" s="19" t="n">
        <f aca="false" t="array" ref="N82:N82">IF(AND(INDEX(Profils!$H$5:$H$34,$AE82)&gt;0,INDEX(Profils!$W$5:$W$34,$AE82)&lt;=$AH82),ROUND(INDEX(Profils!$H$5:$H$34,$AE82)*Paramètres!$E$24*$AG82*$AJ82,Paramètres!$F$24),0)</f>
        <v>8</v>
      </c>
      <c r="O82" s="19" t="n">
        <f aca="false" t="array" ref="O82:O82">IF(AND(INDEX(Profils!$I$5:$I$34,$AE82)&gt;0,INDEX(Profils!$X$5:$X$34,$AE82)&lt;=$AH82),ROUND(INDEX(Profils!$I$5:$I$34,$AE82)*Paramètres!$E$25*$AG82*$AJ82,Paramètres!$F$25),0)</f>
        <v>0</v>
      </c>
      <c r="P82" s="19" t="n">
        <f aca="false" t="array" ref="P82:P82">IF(AND(INDEX(Profils!$J$5:$J$34,$AE82)&gt;0,INDEX(Profils!$Y$5:$Y$34,$AE82)&lt;=$AH82),ROUND(INDEX(Profils!$J$5:$J$34,$AE82)*Paramètres!$E$26*$AG82*$AJ82,Paramètres!$F$26),0)</f>
        <v>0</v>
      </c>
      <c r="Q82" s="19" t="n">
        <f aca="false" t="array" ref="Q82:Q82">IF(AND(INDEX(Profils!$K$5:$K$34,$AE82)&gt;0,INDEX(Profils!$Z$5:$Z$34,$AE82)&lt;=$AH82),ROUND(INDEX(Profils!$K$5:$K$34,$AE82)*Paramètres!$E$27*$AG82*$AJ82,Paramètres!$F$27),0)</f>
        <v>0</v>
      </c>
      <c r="R82" s="20" t="n">
        <f aca="false" t="array" ref="R82:R82">IF(AND(INDEX(Profils!$L$5:$L$34,$AE82)&gt;0,INDEX(Profils!$AA$5:$AA$34,$AE82)&lt;=$AH82),ROUND(INDEX(Profils!$L$5:$L$34,$AE82)*Paramètres!$E$28*$AG82*$AJ82,Paramètres!$F$28),0)</f>
        <v>0</v>
      </c>
      <c r="S82" s="20" t="n">
        <f aca="false" t="array" ref="S82:S82">IF(AND(INDEX(Profils!$M$5:$M$34,$AE82)&gt;0,INDEX(Profils!$AB$5:$AB$34,$AE82)&lt;=$AH82),ROUND(INDEX(Profils!$M$5:$M$34,$AE82)*Paramètres!$E$29*$AG82*$AJ82,Paramètres!$F$29),0)</f>
        <v>0</v>
      </c>
      <c r="T82" s="20" t="n">
        <f aca="false" t="array" ref="T82:T82">IF(AND(INDEX(Profils!$N$5:$N$34,$AE82)&gt;0,INDEX(Profils!$AC$5:$AC$34,$AE82)&lt;=$AH82),ROUND(INDEX(Profils!$N$5:$N$34,$AE82)*Paramètres!$E$30*$AG82*$AJ82,Paramètres!$F$30),0)</f>
        <v>0</v>
      </c>
      <c r="U82" s="19" t="n">
        <f aca="false" t="array" ref="U82:U82">IF(AND(INDEX(Profils!$O$5:$O$34,$AE82)&gt;0,INDEX(Profils!$AD$5:$AD$34,$AE82)&lt;=$AH82),ROUND(INDEX(Profils!$O$5:$O$34,$AE82)*Paramètres!$E$31*$AG82*$AJ82,Paramètres!$F$31),0)</f>
        <v>12</v>
      </c>
      <c r="V82" s="20" t="n">
        <f aca="false" t="array" ref="V82:V82">IF(AND(INDEX(Profils!$P$5:$P$34,$AE82)&gt;0,INDEX(Profils!$AE$5:$AE$34,$AE82)&lt;=$AH82),ROUND(INDEX(Profils!$P$5:$P$34,$AE82)*Paramètres!$E$32*$AG82*$AJ82,Paramètres!$F$32),0)</f>
        <v>0</v>
      </c>
      <c r="W82" s="20" t="n">
        <f aca="false" t="array" ref="W82:W82">IF(AND(INDEX(Profils!$Q$5:$Q$34,$AE82)&gt;0,INDEX(Profils!$AF$5:$AF$34,$AE82)&lt;=$AH82),ROUND(INDEX(Profils!$Q$5:$Q$34,$AE82)*Paramètres!$E$33*$AG82*$AJ82,Paramètres!$F$33),0)</f>
        <v>0</v>
      </c>
      <c r="X82" s="20" t="n">
        <f aca="false" t="array" ref="X82:X82">IF(AND(INDEX(Profils!$R$5:$R$34,$AE82)&gt;0,INDEX(Profils!$AG$5:$AG$34,$AE82)&lt;=$AH82),ROUND(INDEX(Profils!$R$5:$R$34,$AE82)*Paramètres!$E$34*$AG82*$AJ82,Paramètres!$F$34),0)</f>
        <v>0</v>
      </c>
      <c r="Y82" s="20" t="n">
        <f aca="false" t="array" ref="Y82:Y82">IF(AND(INDEX(Profils!$S$5:$S$34,$AE82)&gt;0,INDEX(Profils!$AH$5:$AH$34,$AE82)&lt;=$AH82),ROUND(INDEX(Profils!$S$5:$S$34,$AE82)*Paramètres!$E$35*$AG82*$AJ82,Paramètres!$F$35),0)</f>
        <v>0</v>
      </c>
      <c r="Z82" s="21" t="n">
        <f aca="false">ROUND(L82/Paramètres!$E$22+M82/Paramètres!$E$23+N82/Paramètres!$E$24+O82/Paramètres!$E$25+P82/Paramètres!$E$26+Q82/Paramètres!$E$27+R82/Paramètres!$E$28+S82/Paramètres!$E$29+T82/Paramètres!$E$30+U82/Paramètres!$E$31+V82/Paramètres!$E$32+W82/Paramètres!$E$33+X82/Paramètres!$E$34+Y82/Paramètres!$E$35,1)</f>
        <v>2.2</v>
      </c>
      <c r="AA82" s="22" t="s">
        <v>109</v>
      </c>
      <c r="AB82" s="22" t="s">
        <v>109</v>
      </c>
      <c r="AC82" s="15" t="str">
        <f aca="false">$E82</f>
        <v>acier</v>
      </c>
      <c r="AD82" s="16" t="n">
        <f aca="false" t="array" ref="AD82:AD82">IF($I82&gt;=$AI82,"Max",ROUND(Paramètres!$B$40*($I82+1)^Paramètres!$B$41*INDEX(Paramètres!$H$6:$H$12,$AF82),0))</f>
        <v>4</v>
      </c>
      <c r="AE82" s="23" t="n">
        <f aca="false">MATCH($B82&amp;"|"&amp;$C82,Profils!$A$5:$A$34,0)</f>
        <v>3</v>
      </c>
      <c r="AF82" s="23" t="n">
        <v>3</v>
      </c>
      <c r="AG82" s="24" t="n">
        <f aca="false" t="array" ref="AG82:AG82">INDEX(Paramètres!$C$6:$C$12,$AF82)</f>
        <v>1.45</v>
      </c>
      <c r="AH82" s="23" t="n">
        <f aca="false" t="array" ref="AH82:AH82">INDEX(Paramètres!$D$6:$D$12,$AF82)</f>
        <v>4</v>
      </c>
      <c r="AI82" s="23" t="n">
        <f aca="false" t="array" ref="AI82:AI82">INDEX(Matériaux!$C$16:$C$20,$D82)</f>
        <v>25</v>
      </c>
      <c r="AJ82" s="25" t="n">
        <f aca="false">Paramètres!$B$16+(1-Paramètres!$B$16)*(($J82-Paramètres!$B$14)/(Paramètres!$B$15-Paramètres!$B$14))^Paramètres!$B$17</f>
        <v>0.26769024555533</v>
      </c>
    </row>
    <row r="83" customFormat="false" ht="15.75" hidden="false" customHeight="true" outlineLevel="0" collapsed="false">
      <c r="A83" s="14" t="s">
        <v>192</v>
      </c>
      <c r="B83" s="15" t="s">
        <v>27</v>
      </c>
      <c r="C83" s="15" t="s">
        <v>177</v>
      </c>
      <c r="D83" s="16" t="n">
        <v>3</v>
      </c>
      <c r="E83" s="15" t="str">
        <f aca="false" t="array" ref="E83:E83">INDEX(Matériaux!$B$5:$F$12,MATCH(INDEX(Profils!$E$5:$E$34,$AE83),Matériaux!$A$5:$A$12,0),$D83)</f>
        <v>acier</v>
      </c>
      <c r="F83" s="28" t="s">
        <v>115</v>
      </c>
      <c r="G83" s="10" t="str">
        <f aca="false" t="array" ref="G83:G83">INDEX(Profils!$D$5:$D$34,$AE83)&amp;" en "&amp;$E83</f>
        <v>Jambières en acier</v>
      </c>
      <c r="H83" s="16" t="n">
        <f aca="false" t="array" ref="H83:H83">INDEX(Matériaux!$B$16:$B$20,$D83)</f>
        <v>30</v>
      </c>
      <c r="I83" s="16" t="n">
        <f aca="false">IF(ISNUMBER($C$3),MIN(MAX(0,ROUND($C$3,0)),$AI83),$AI83)</f>
        <v>0</v>
      </c>
      <c r="J83" s="18" t="n">
        <f aca="false">$H83+$I83</f>
        <v>30</v>
      </c>
      <c r="K83" s="15" t="s">
        <v>109</v>
      </c>
      <c r="L83" s="19" t="n">
        <f aca="false" t="array" ref="L83:L83">IF(AND(INDEX(Profils!$F$5:$F$34,$AE83)&gt;0,INDEX(Profils!$U$5:$U$34,$AE83)&lt;=$AH83),ROUND(INDEX(Profils!$F$5:$F$34,$AE83)*Paramètres!$E$22*$AG83*$AJ83,Paramètres!$F$22),0)</f>
        <v>23</v>
      </c>
      <c r="M83" s="19" t="n">
        <f aca="false" t="array" ref="M83:M83">IF(AND(INDEX(Profils!$G$5:$G$34,$AE83)&gt;0,INDEX(Profils!$V$5:$V$34,$AE83)&lt;=$AH83),ROUND(INDEX(Profils!$G$5:$G$34,$AE83)*Paramètres!$E$23*$AG83*$AJ83,Paramètres!$F$23),0)</f>
        <v>5</v>
      </c>
      <c r="N83" s="19" t="n">
        <f aca="false" t="array" ref="N83:N83">IF(AND(INDEX(Profils!$H$5:$H$34,$AE83)&gt;0,INDEX(Profils!$W$5:$W$34,$AE83)&lt;=$AH83),ROUND(INDEX(Profils!$H$5:$H$34,$AE83)*Paramètres!$E$24*$AG83*$AJ83,Paramètres!$F$24),0)</f>
        <v>10</v>
      </c>
      <c r="O83" s="19" t="n">
        <f aca="false" t="array" ref="O83:O83">IF(AND(INDEX(Profils!$I$5:$I$34,$AE83)&gt;0,INDEX(Profils!$X$5:$X$34,$AE83)&lt;=$AH83),ROUND(INDEX(Profils!$I$5:$I$34,$AE83)*Paramètres!$E$25*$AG83*$AJ83,Paramètres!$F$25),0)</f>
        <v>0</v>
      </c>
      <c r="P83" s="19" t="n">
        <f aca="false" t="array" ref="P83:P83">IF(AND(INDEX(Profils!$J$5:$J$34,$AE83)&gt;0,INDEX(Profils!$Y$5:$Y$34,$AE83)&lt;=$AH83),ROUND(INDEX(Profils!$J$5:$J$34,$AE83)*Paramètres!$E$26*$AG83*$AJ83,Paramètres!$F$26),0)</f>
        <v>3</v>
      </c>
      <c r="Q83" s="19" t="n">
        <f aca="false" t="array" ref="Q83:Q83">IF(AND(INDEX(Profils!$K$5:$K$34,$AE83)&gt;0,INDEX(Profils!$Z$5:$Z$34,$AE83)&lt;=$AH83),ROUND(INDEX(Profils!$K$5:$K$34,$AE83)*Paramètres!$E$27*$AG83*$AJ83,Paramètres!$F$27),0)</f>
        <v>0</v>
      </c>
      <c r="R83" s="20" t="n">
        <f aca="false" t="array" ref="R83:R83">IF(AND(INDEX(Profils!$L$5:$L$34,$AE83)&gt;0,INDEX(Profils!$AA$5:$AA$34,$AE83)&lt;=$AH83),ROUND(INDEX(Profils!$L$5:$L$34,$AE83)*Paramètres!$E$28*$AG83*$AJ83,Paramètres!$F$28),0)</f>
        <v>0</v>
      </c>
      <c r="S83" s="20" t="n">
        <f aca="false" t="array" ref="S83:S83">IF(AND(INDEX(Profils!$M$5:$M$34,$AE83)&gt;0,INDEX(Profils!$AB$5:$AB$34,$AE83)&lt;=$AH83),ROUND(INDEX(Profils!$M$5:$M$34,$AE83)*Paramètres!$E$29*$AG83*$AJ83,Paramètres!$F$29),0)</f>
        <v>0</v>
      </c>
      <c r="T83" s="20" t="n">
        <f aca="false" t="array" ref="T83:T83">IF(AND(INDEX(Profils!$N$5:$N$34,$AE83)&gt;0,INDEX(Profils!$AC$5:$AC$34,$AE83)&lt;=$AH83),ROUND(INDEX(Profils!$N$5:$N$34,$AE83)*Paramètres!$E$30*$AG83*$AJ83,Paramètres!$F$30),0)</f>
        <v>0</v>
      </c>
      <c r="U83" s="19" t="n">
        <f aca="false" t="array" ref="U83:U83">IF(AND(INDEX(Profils!$O$5:$O$34,$AE83)&gt;0,INDEX(Profils!$AD$5:$AD$34,$AE83)&lt;=$AH83),ROUND(INDEX(Profils!$O$5:$O$34,$AE83)*Paramètres!$E$31*$AG83*$AJ83,Paramètres!$F$31),0)</f>
        <v>15</v>
      </c>
      <c r="V83" s="20" t="n">
        <f aca="false" t="array" ref="V83:V83">IF(AND(INDEX(Profils!$P$5:$P$34,$AE83)&gt;0,INDEX(Profils!$AE$5:$AE$34,$AE83)&lt;=$AH83),ROUND(INDEX(Profils!$P$5:$P$34,$AE83)*Paramètres!$E$32*$AG83*$AJ83,Paramètres!$F$32),0)</f>
        <v>0</v>
      </c>
      <c r="W83" s="20" t="n">
        <f aca="false" t="array" ref="W83:W83">IF(AND(INDEX(Profils!$Q$5:$Q$34,$AE83)&gt;0,INDEX(Profils!$AF$5:$AF$34,$AE83)&lt;=$AH83),ROUND(INDEX(Profils!$Q$5:$Q$34,$AE83)*Paramètres!$E$33*$AG83*$AJ83,Paramètres!$F$33),0)</f>
        <v>0</v>
      </c>
      <c r="X83" s="20" t="n">
        <f aca="false" t="array" ref="X83:X83">IF(AND(INDEX(Profils!$R$5:$R$34,$AE83)&gt;0,INDEX(Profils!$AG$5:$AG$34,$AE83)&lt;=$AH83),ROUND(INDEX(Profils!$R$5:$R$34,$AE83)*Paramètres!$E$34*$AG83*$AJ83,Paramètres!$F$34),0)</f>
        <v>0</v>
      </c>
      <c r="Y83" s="20" t="n">
        <f aca="false" t="array" ref="Y83:Y83">IF(AND(INDEX(Profils!$S$5:$S$34,$AE83)&gt;0,INDEX(Profils!$AH$5:$AH$34,$AE83)&lt;=$AH83),ROUND(INDEX(Profils!$S$5:$S$34,$AE83)*Paramètres!$E$35*$AG83*$AJ83,Paramètres!$F$35),0)</f>
        <v>0</v>
      </c>
      <c r="Z83" s="21" t="n">
        <f aca="false">ROUND(L83/Paramètres!$E$22+M83/Paramètres!$E$23+N83/Paramètres!$E$24+O83/Paramètres!$E$25+P83/Paramètres!$E$26+Q83/Paramètres!$E$27+R83/Paramètres!$E$28+S83/Paramètres!$E$29+T83/Paramètres!$E$30+U83/Paramètres!$E$31+V83/Paramètres!$E$32+W83/Paramètres!$E$33+X83/Paramètres!$E$34+Y83/Paramètres!$E$35,1)</f>
        <v>2.9</v>
      </c>
      <c r="AA83" s="22" t="s">
        <v>109</v>
      </c>
      <c r="AB83" s="22" t="s">
        <v>109</v>
      </c>
      <c r="AC83" s="15" t="str">
        <f aca="false">$E83</f>
        <v>acier</v>
      </c>
      <c r="AD83" s="16" t="n">
        <f aca="false" t="array" ref="AD83:AD83">IF($I83&gt;=$AI83,"Max",ROUND(Paramètres!$B$40*($I83+1)^Paramètres!$B$41*INDEX(Paramètres!$H$6:$H$12,$AF83),0))</f>
        <v>5</v>
      </c>
      <c r="AE83" s="23" t="n">
        <f aca="false">MATCH($B83&amp;"|"&amp;$C83,Profils!$A$5:$A$34,0)</f>
        <v>3</v>
      </c>
      <c r="AF83" s="23" t="n">
        <v>4</v>
      </c>
      <c r="AG83" s="24" t="n">
        <f aca="false" t="array" ref="AG83:AG83">INDEX(Paramètres!$C$6:$C$12,$AF83)</f>
        <v>1.75</v>
      </c>
      <c r="AH83" s="23" t="n">
        <f aca="false" t="array" ref="AH83:AH83">INDEX(Paramètres!$D$6:$D$12,$AF83)</f>
        <v>5</v>
      </c>
      <c r="AI83" s="23" t="n">
        <f aca="false" t="array" ref="AI83:AI83">INDEX(Matériaux!$C$16:$C$20,$D83)</f>
        <v>25</v>
      </c>
      <c r="AJ83" s="25" t="n">
        <f aca="false">Paramètres!$B$16+(1-Paramètres!$B$16)*(($J83-Paramètres!$B$14)/(Paramètres!$B$15-Paramètres!$B$14))^Paramètres!$B$17</f>
        <v>0.26769024555533</v>
      </c>
    </row>
    <row r="84" customFormat="false" ht="15.75" hidden="false" customHeight="true" outlineLevel="0" collapsed="false">
      <c r="A84" s="14" t="s">
        <v>193</v>
      </c>
      <c r="B84" s="15" t="s">
        <v>27</v>
      </c>
      <c r="C84" s="15" t="s">
        <v>177</v>
      </c>
      <c r="D84" s="16" t="n">
        <v>3</v>
      </c>
      <c r="E84" s="15" t="str">
        <f aca="false" t="array" ref="E84:E84">INDEX(Matériaux!$B$5:$F$12,MATCH(INDEX(Profils!$E$5:$E$34,$AE84),Matériaux!$A$5:$A$12,0),$D84)</f>
        <v>acier</v>
      </c>
      <c r="F84" s="29" t="s">
        <v>117</v>
      </c>
      <c r="G84" s="10" t="str">
        <f aca="false" t="array" ref="G84:G84">INDEX(Profils!$D$5:$D$34,$AE84)&amp;" en "&amp;$E84</f>
        <v>Jambières en acier</v>
      </c>
      <c r="H84" s="16" t="n">
        <f aca="false" t="array" ref="H84:H84">INDEX(Matériaux!$B$16:$B$20,$D84)</f>
        <v>30</v>
      </c>
      <c r="I84" s="16" t="n">
        <f aca="false">IF(ISNUMBER($C$3),MIN(MAX(0,ROUND($C$3,0)),$AI84),$AI84)</f>
        <v>0</v>
      </c>
      <c r="J84" s="18" t="n">
        <f aca="false">$H84+$I84</f>
        <v>30</v>
      </c>
      <c r="K84" s="15" t="s">
        <v>109</v>
      </c>
      <c r="L84" s="19" t="n">
        <f aca="false" t="array" ref="L84:L84">IF(AND(INDEX(Profils!$F$5:$F$34,$AE84)&gt;0,INDEX(Profils!$U$5:$U$34,$AE84)&lt;=$AH84),ROUND(INDEX(Profils!$F$5:$F$34,$AE84)*Paramètres!$E$22*$AG84*$AJ84,Paramètres!$F$22),0)</f>
        <v>28</v>
      </c>
      <c r="M84" s="19" t="n">
        <f aca="false" t="array" ref="M84:M84">IF(AND(INDEX(Profils!$G$5:$G$34,$AE84)&gt;0,INDEX(Profils!$V$5:$V$34,$AE84)&lt;=$AH84),ROUND(INDEX(Profils!$G$5:$G$34,$AE84)*Paramètres!$E$23*$AG84*$AJ84,Paramètres!$F$23),0)</f>
        <v>6</v>
      </c>
      <c r="N84" s="19" t="n">
        <f aca="false" t="array" ref="N84:N84">IF(AND(INDEX(Profils!$H$5:$H$34,$AE84)&gt;0,INDEX(Profils!$W$5:$W$34,$AE84)&lt;=$AH84),ROUND(INDEX(Profils!$H$5:$H$34,$AE84)*Paramètres!$E$24*$AG84*$AJ84,Paramètres!$F$24),0)</f>
        <v>12</v>
      </c>
      <c r="O84" s="19" t="n">
        <f aca="false" t="array" ref="O84:O84">IF(AND(INDEX(Profils!$I$5:$I$34,$AE84)&gt;0,INDEX(Profils!$X$5:$X$34,$AE84)&lt;=$AH84),ROUND(INDEX(Profils!$I$5:$I$34,$AE84)*Paramètres!$E$25*$AG84*$AJ84,Paramètres!$F$25),0)</f>
        <v>0</v>
      </c>
      <c r="P84" s="19" t="n">
        <f aca="false" t="array" ref="P84:P84">IF(AND(INDEX(Profils!$J$5:$J$34,$AE84)&gt;0,INDEX(Profils!$Y$5:$Y$34,$AE84)&lt;=$AH84),ROUND(INDEX(Profils!$J$5:$J$34,$AE84)*Paramètres!$E$26*$AG84*$AJ84,Paramètres!$F$26),0)</f>
        <v>4</v>
      </c>
      <c r="Q84" s="19" t="n">
        <f aca="false" t="array" ref="Q84:Q84">IF(AND(INDEX(Profils!$K$5:$K$34,$AE84)&gt;0,INDEX(Profils!$Z$5:$Z$34,$AE84)&lt;=$AH84),ROUND(INDEX(Profils!$K$5:$K$34,$AE84)*Paramètres!$E$27*$AG84*$AJ84,Paramètres!$F$27),0)</f>
        <v>0</v>
      </c>
      <c r="R84" s="20" t="n">
        <f aca="false" t="array" ref="R84:R84">IF(AND(INDEX(Profils!$L$5:$L$34,$AE84)&gt;0,INDEX(Profils!$AA$5:$AA$34,$AE84)&lt;=$AH84),ROUND(INDEX(Profils!$L$5:$L$34,$AE84)*Paramètres!$E$28*$AG84*$AJ84,Paramètres!$F$28),0)</f>
        <v>0</v>
      </c>
      <c r="S84" s="20" t="n">
        <f aca="false" t="array" ref="S84:S84">IF(AND(INDEX(Profils!$M$5:$M$34,$AE84)&gt;0,INDEX(Profils!$AB$5:$AB$34,$AE84)&lt;=$AH84),ROUND(INDEX(Profils!$M$5:$M$34,$AE84)*Paramètres!$E$29*$AG84*$AJ84,Paramètres!$F$29),0)</f>
        <v>0</v>
      </c>
      <c r="T84" s="20" t="n">
        <f aca="false" t="array" ref="T84:T84">IF(AND(INDEX(Profils!$N$5:$N$34,$AE84)&gt;0,INDEX(Profils!$AC$5:$AC$34,$AE84)&lt;=$AH84),ROUND(INDEX(Profils!$N$5:$N$34,$AE84)*Paramètres!$E$30*$AG84*$AJ84,Paramètres!$F$30),0)</f>
        <v>0</v>
      </c>
      <c r="U84" s="19" t="n">
        <f aca="false" t="array" ref="U84:U84">IF(AND(INDEX(Profils!$O$5:$O$34,$AE84)&gt;0,INDEX(Profils!$AD$5:$AD$34,$AE84)&lt;=$AH84),ROUND(INDEX(Profils!$O$5:$O$34,$AE84)*Paramètres!$E$31*$AG84*$AJ84,Paramètres!$F$31),0)</f>
        <v>18</v>
      </c>
      <c r="V84" s="20" t="n">
        <f aca="false" t="array" ref="V84:V84">IF(AND(INDEX(Profils!$P$5:$P$34,$AE84)&gt;0,INDEX(Profils!$AE$5:$AE$34,$AE84)&lt;=$AH84),ROUND(INDEX(Profils!$P$5:$P$34,$AE84)*Paramètres!$E$32*$AG84*$AJ84,Paramètres!$F$32),0)</f>
        <v>0</v>
      </c>
      <c r="W84" s="20" t="n">
        <f aca="false" t="array" ref="W84:W84">IF(AND(INDEX(Profils!$Q$5:$Q$34,$AE84)&gt;0,INDEX(Profils!$AF$5:$AF$34,$AE84)&lt;=$AH84),ROUND(INDEX(Profils!$Q$5:$Q$34,$AE84)*Paramètres!$E$33*$AG84*$AJ84,Paramètres!$F$33),0)</f>
        <v>0.005</v>
      </c>
      <c r="X84" s="20" t="n">
        <f aca="false" t="array" ref="X84:X84">IF(AND(INDEX(Profils!$R$5:$R$34,$AE84)&gt;0,INDEX(Profils!$AG$5:$AG$34,$AE84)&lt;=$AH84),ROUND(INDEX(Profils!$R$5:$R$34,$AE84)*Paramètres!$E$34*$AG84*$AJ84,Paramètres!$F$34),0)</f>
        <v>0</v>
      </c>
      <c r="Y84" s="20" t="n">
        <f aca="false" t="array" ref="Y84:Y84">IF(AND(INDEX(Profils!$S$5:$S$34,$AE84)&gt;0,INDEX(Profils!$AH$5:$AH$34,$AE84)&lt;=$AH84),ROUND(INDEX(Profils!$S$5:$S$34,$AE84)*Paramètres!$E$35*$AG84*$AJ84,Paramètres!$F$35),0)</f>
        <v>0</v>
      </c>
      <c r="Z84" s="21" t="n">
        <f aca="false">ROUND(L84/Paramètres!$E$22+M84/Paramètres!$E$23+N84/Paramètres!$E$24+O84/Paramètres!$E$25+P84/Paramètres!$E$26+Q84/Paramètres!$E$27+R84/Paramètres!$E$28+S84/Paramètres!$E$29+T84/Paramètres!$E$30+U84/Paramètres!$E$31+V84/Paramètres!$E$32+W84/Paramètres!$E$33+X84/Paramètres!$E$34+Y84/Paramètres!$E$35,1)</f>
        <v>3.9</v>
      </c>
      <c r="AA84" s="22" t="s">
        <v>109</v>
      </c>
      <c r="AB84" s="22" t="s">
        <v>109</v>
      </c>
      <c r="AC84" s="15" t="str">
        <f aca="false">$E84</f>
        <v>acier</v>
      </c>
      <c r="AD84" s="16" t="n">
        <f aca="false" t="array" ref="AD84:AD84">IF($I84&gt;=$AI84,"Max",ROUND(Paramètres!$B$40*($I84+1)^Paramètres!$B$41*INDEX(Paramètres!$H$6:$H$12,$AF84),0))</f>
        <v>6</v>
      </c>
      <c r="AE84" s="23" t="n">
        <f aca="false">MATCH($B84&amp;"|"&amp;$C84,Profils!$A$5:$A$34,0)</f>
        <v>3</v>
      </c>
      <c r="AF84" s="23" t="n">
        <v>5</v>
      </c>
      <c r="AG84" s="24" t="n">
        <f aca="false" t="array" ref="AG84:AG84">INDEX(Paramètres!$C$6:$C$12,$AF84)</f>
        <v>2.1</v>
      </c>
      <c r="AH84" s="23" t="n">
        <f aca="false" t="array" ref="AH84:AH84">INDEX(Paramètres!$D$6:$D$12,$AF84)</f>
        <v>6</v>
      </c>
      <c r="AI84" s="23" t="n">
        <f aca="false" t="array" ref="AI84:AI84">INDEX(Matériaux!$C$16:$C$20,$D84)</f>
        <v>25</v>
      </c>
      <c r="AJ84" s="25" t="n">
        <f aca="false">Paramètres!$B$16+(1-Paramètres!$B$16)*(($J84-Paramètres!$B$14)/(Paramètres!$B$15-Paramètres!$B$14))^Paramètres!$B$17</f>
        <v>0.26769024555533</v>
      </c>
    </row>
    <row r="85" customFormat="false" ht="15.75" hidden="false" customHeight="true" outlineLevel="0" collapsed="false">
      <c r="A85" s="14" t="s">
        <v>194</v>
      </c>
      <c r="B85" s="15" t="s">
        <v>27</v>
      </c>
      <c r="C85" s="15" t="s">
        <v>177</v>
      </c>
      <c r="D85" s="16" t="n">
        <v>3</v>
      </c>
      <c r="E85" s="15" t="str">
        <f aca="false" t="array" ref="E85:E85">INDEX(Matériaux!$B$5:$F$12,MATCH(INDEX(Profils!$E$5:$E$34,$AE85),Matériaux!$A$5:$A$12,0),$D85)</f>
        <v>acier</v>
      </c>
      <c r="F85" s="30" t="s">
        <v>119</v>
      </c>
      <c r="G85" s="10" t="str">
        <f aca="false" t="array" ref="G85:G85">INDEX(Profils!$D$5:$D$34,$AE85)&amp;" en "&amp;$E85</f>
        <v>Jambières en acier</v>
      </c>
      <c r="H85" s="16" t="n">
        <f aca="false" t="array" ref="H85:H85">INDEX(Matériaux!$B$16:$B$20,$D85)</f>
        <v>30</v>
      </c>
      <c r="I85" s="16" t="n">
        <f aca="false">IF(ISNUMBER($C$3),MIN(MAX(0,ROUND($C$3,0)),$AI85),$AI85)</f>
        <v>0</v>
      </c>
      <c r="J85" s="18" t="n">
        <f aca="false">$H85+$I85</f>
        <v>30</v>
      </c>
      <c r="K85" s="15" t="s">
        <v>109</v>
      </c>
      <c r="L85" s="19" t="n">
        <f aca="false" t="array" ref="L85:L85">IF(AND(INDEX(Profils!$F$5:$F$34,$AE85)&gt;0,INDEX(Profils!$U$5:$U$34,$AE85)&lt;=$AH85),ROUND(INDEX(Profils!$F$5:$F$34,$AE85)*Paramètres!$E$22*$AG85*$AJ85,Paramètres!$F$22),0)</f>
        <v>32</v>
      </c>
      <c r="M85" s="19" t="n">
        <f aca="false" t="array" ref="M85:M85">IF(AND(INDEX(Profils!$G$5:$G$34,$AE85)&gt;0,INDEX(Profils!$V$5:$V$34,$AE85)&lt;=$AH85),ROUND(INDEX(Profils!$G$5:$G$34,$AE85)*Paramètres!$E$23*$AG85*$AJ85,Paramètres!$F$23),0)</f>
        <v>7</v>
      </c>
      <c r="N85" s="19" t="n">
        <f aca="false" t="array" ref="N85:N85">IF(AND(INDEX(Profils!$H$5:$H$34,$AE85)&gt;0,INDEX(Profils!$W$5:$W$34,$AE85)&lt;=$AH85),ROUND(INDEX(Profils!$H$5:$H$34,$AE85)*Paramètres!$E$24*$AG85*$AJ85,Paramètres!$F$24),0)</f>
        <v>13</v>
      </c>
      <c r="O85" s="19" t="n">
        <f aca="false" t="array" ref="O85:O85">IF(AND(INDEX(Profils!$I$5:$I$34,$AE85)&gt;0,INDEX(Profils!$X$5:$X$34,$AE85)&lt;=$AH85),ROUND(INDEX(Profils!$I$5:$I$34,$AE85)*Paramètres!$E$25*$AG85*$AJ85,Paramètres!$F$25),0)</f>
        <v>0</v>
      </c>
      <c r="P85" s="19" t="n">
        <f aca="false" t="array" ref="P85:P85">IF(AND(INDEX(Profils!$J$5:$J$34,$AE85)&gt;0,INDEX(Profils!$Y$5:$Y$34,$AE85)&lt;=$AH85),ROUND(INDEX(Profils!$J$5:$J$34,$AE85)*Paramètres!$E$26*$AG85*$AJ85,Paramètres!$F$26),0)</f>
        <v>5</v>
      </c>
      <c r="Q85" s="19" t="n">
        <f aca="false" t="array" ref="Q85:Q85">IF(AND(INDEX(Profils!$K$5:$K$34,$AE85)&gt;0,INDEX(Profils!$Z$5:$Z$34,$AE85)&lt;=$AH85),ROUND(INDEX(Profils!$K$5:$K$34,$AE85)*Paramètres!$E$27*$AG85*$AJ85,Paramètres!$F$27),0)</f>
        <v>0</v>
      </c>
      <c r="R85" s="20" t="n">
        <f aca="false" t="array" ref="R85:R85">IF(AND(INDEX(Profils!$L$5:$L$34,$AE85)&gt;0,INDEX(Profils!$AA$5:$AA$34,$AE85)&lt;=$AH85),ROUND(INDEX(Profils!$L$5:$L$34,$AE85)*Paramètres!$E$28*$AG85*$AJ85,Paramètres!$F$28),0)</f>
        <v>0</v>
      </c>
      <c r="S85" s="20" t="n">
        <f aca="false" t="array" ref="S85:S85">IF(AND(INDEX(Profils!$M$5:$M$34,$AE85)&gt;0,INDEX(Profils!$AB$5:$AB$34,$AE85)&lt;=$AH85),ROUND(INDEX(Profils!$M$5:$M$34,$AE85)*Paramètres!$E$29*$AG85*$AJ85,Paramètres!$F$29),0)</f>
        <v>0</v>
      </c>
      <c r="T85" s="20" t="n">
        <f aca="false" t="array" ref="T85:T85">IF(AND(INDEX(Profils!$N$5:$N$34,$AE85)&gt;0,INDEX(Profils!$AC$5:$AC$34,$AE85)&lt;=$AH85),ROUND(INDEX(Profils!$N$5:$N$34,$AE85)*Paramètres!$E$30*$AG85*$AJ85,Paramètres!$F$30),0)</f>
        <v>0</v>
      </c>
      <c r="U85" s="19" t="n">
        <f aca="false" t="array" ref="U85:U85">IF(AND(INDEX(Profils!$O$5:$O$34,$AE85)&gt;0,INDEX(Profils!$AD$5:$AD$34,$AE85)&lt;=$AH85),ROUND(INDEX(Profils!$O$5:$O$34,$AE85)*Paramètres!$E$31*$AG85*$AJ85,Paramètres!$F$31),0)</f>
        <v>21</v>
      </c>
      <c r="V85" s="20" t="n">
        <f aca="false" t="array" ref="V85:V85">IF(AND(INDEX(Profils!$P$5:$P$34,$AE85)&gt;0,INDEX(Profils!$AE$5:$AE$34,$AE85)&lt;=$AH85),ROUND(INDEX(Profils!$P$5:$P$34,$AE85)*Paramètres!$E$32*$AG85*$AJ85,Paramètres!$F$32),0)</f>
        <v>0</v>
      </c>
      <c r="W85" s="20" t="n">
        <f aca="false" t="array" ref="W85:W85">IF(AND(INDEX(Profils!$Q$5:$Q$34,$AE85)&gt;0,INDEX(Profils!$AF$5:$AF$34,$AE85)&lt;=$AH85),ROUND(INDEX(Profils!$Q$5:$Q$34,$AE85)*Paramètres!$E$33*$AG85*$AJ85,Paramètres!$F$33),0)</f>
        <v>0.006</v>
      </c>
      <c r="X85" s="20" t="n">
        <f aca="false" t="array" ref="X85:X85">IF(AND(INDEX(Profils!$R$5:$R$34,$AE85)&gt;0,INDEX(Profils!$AG$5:$AG$34,$AE85)&lt;=$AH85),ROUND(INDEX(Profils!$R$5:$R$34,$AE85)*Paramètres!$E$34*$AG85*$AJ85,Paramètres!$F$34),0)</f>
        <v>0</v>
      </c>
      <c r="Y85" s="20" t="n">
        <f aca="false" t="array" ref="Y85:Y85">IF(AND(INDEX(Profils!$S$5:$S$34,$AE85)&gt;0,INDEX(Profils!$AH$5:$AH$34,$AE85)&lt;=$AH85),ROUND(INDEX(Profils!$S$5:$S$34,$AE85)*Paramètres!$E$35*$AG85*$AJ85,Paramètres!$F$35),0)</f>
        <v>0.005</v>
      </c>
      <c r="Z85" s="21" t="n">
        <f aca="false">ROUND(L85/Paramètres!$E$22+M85/Paramètres!$E$23+N85/Paramètres!$E$24+O85/Paramètres!$E$25+P85/Paramètres!$E$26+Q85/Paramètres!$E$27+R85/Paramètres!$E$28+S85/Paramètres!$E$29+T85/Paramètres!$E$30+U85/Paramètres!$E$31+V85/Paramètres!$E$32+W85/Paramètres!$E$33+X85/Paramètres!$E$34+Y85/Paramètres!$E$35,1)</f>
        <v>4.8</v>
      </c>
      <c r="AA85" s="22" t="s">
        <v>109</v>
      </c>
      <c r="AB85" s="22" t="s">
        <v>109</v>
      </c>
      <c r="AC85" s="15" t="str">
        <f aca="false">$E85</f>
        <v>acier</v>
      </c>
      <c r="AD85" s="16" t="n">
        <f aca="false" t="array" ref="AD85:AD85">IF($I85&gt;=$AI85,"Max",ROUND(Paramètres!$B$40*($I85+1)^Paramètres!$B$41*INDEX(Paramètres!$H$6:$H$12,$AF85),0))</f>
        <v>8</v>
      </c>
      <c r="AE85" s="23" t="n">
        <f aca="false">MATCH($B85&amp;"|"&amp;$C85,Profils!$A$5:$A$34,0)</f>
        <v>3</v>
      </c>
      <c r="AF85" s="23" t="n">
        <v>6</v>
      </c>
      <c r="AG85" s="24" t="n">
        <f aca="false" t="array" ref="AG85:AG85">INDEX(Paramètres!$C$6:$C$12,$AF85)</f>
        <v>2.4</v>
      </c>
      <c r="AH85" s="23" t="n">
        <f aca="false" t="array" ref="AH85:AH85">INDEX(Paramètres!$D$6:$D$12,$AF85)</f>
        <v>7</v>
      </c>
      <c r="AI85" s="23" t="n">
        <f aca="false" t="array" ref="AI85:AI85">INDEX(Matériaux!$C$16:$C$20,$D85)</f>
        <v>25</v>
      </c>
      <c r="AJ85" s="25" t="n">
        <f aca="false">Paramètres!$B$16+(1-Paramètres!$B$16)*(($J85-Paramètres!$B$14)/(Paramètres!$B$15-Paramètres!$B$14))^Paramètres!$B$17</f>
        <v>0.26769024555533</v>
      </c>
    </row>
    <row r="86" customFormat="false" ht="15.75" hidden="false" customHeight="true" outlineLevel="0" collapsed="false">
      <c r="A86" s="14" t="s">
        <v>195</v>
      </c>
      <c r="B86" s="15" t="s">
        <v>27</v>
      </c>
      <c r="C86" s="15" t="s">
        <v>177</v>
      </c>
      <c r="D86" s="16" t="n">
        <v>4</v>
      </c>
      <c r="E86" s="15" t="str">
        <f aca="false" t="array" ref="E86:E86">INDEX(Matériaux!$B$5:$F$12,MATCH(INDEX(Profils!$E$5:$E$34,$AE86),Matériaux!$A$5:$A$12,0),$D86)</f>
        <v>mithril</v>
      </c>
      <c r="F86" s="17" t="s">
        <v>108</v>
      </c>
      <c r="G86" s="10" t="str">
        <f aca="false" t="array" ref="G86:G86">INDEX(Profils!$D$5:$D$34,$AE86)&amp;" en "&amp;$E86</f>
        <v>Jambières en mithril</v>
      </c>
      <c r="H86" s="16" t="n">
        <f aca="false" t="array" ref="H86:H86">INDEX(Matériaux!$B$16:$B$20,$D86)</f>
        <v>50</v>
      </c>
      <c r="I86" s="16" t="n">
        <f aca="false">IF(ISNUMBER($C$3),MIN(MAX(0,ROUND($C$3,0)),$AI86),$AI86)</f>
        <v>0</v>
      </c>
      <c r="J86" s="18" t="n">
        <f aca="false">$H86+$I86</f>
        <v>50</v>
      </c>
      <c r="K86" s="15" t="s">
        <v>109</v>
      </c>
      <c r="L86" s="19" t="n">
        <f aca="false" t="array" ref="L86:L86">IF(AND(INDEX(Profils!$F$5:$F$34,$AE86)&gt;0,INDEX(Profils!$U$5:$U$34,$AE86)&lt;=$AH86),ROUND(INDEX(Profils!$F$5:$F$34,$AE86)*Paramètres!$E$22*$AG86*$AJ86,Paramètres!$F$22),0)</f>
        <v>23</v>
      </c>
      <c r="M86" s="19" t="n">
        <f aca="false" t="array" ref="M86:M86">IF(AND(INDEX(Profils!$G$5:$G$34,$AE86)&gt;0,INDEX(Profils!$V$5:$V$34,$AE86)&lt;=$AH86),ROUND(INDEX(Profils!$G$5:$G$34,$AE86)*Paramètres!$E$23*$AG86*$AJ86,Paramètres!$F$23),0)</f>
        <v>0</v>
      </c>
      <c r="N86" s="19" t="n">
        <f aca="false" t="array" ref="N86:N86">IF(AND(INDEX(Profils!$H$5:$H$34,$AE86)&gt;0,INDEX(Profils!$W$5:$W$34,$AE86)&lt;=$AH86),ROUND(INDEX(Profils!$H$5:$H$34,$AE86)*Paramètres!$E$24*$AG86*$AJ86,Paramètres!$F$24),0)</f>
        <v>0</v>
      </c>
      <c r="O86" s="19" t="n">
        <f aca="false" t="array" ref="O86:O86">IF(AND(INDEX(Profils!$I$5:$I$34,$AE86)&gt;0,INDEX(Profils!$X$5:$X$34,$AE86)&lt;=$AH86),ROUND(INDEX(Profils!$I$5:$I$34,$AE86)*Paramètres!$E$25*$AG86*$AJ86,Paramètres!$F$25),0)</f>
        <v>0</v>
      </c>
      <c r="P86" s="19" t="n">
        <f aca="false" t="array" ref="P86:P86">IF(AND(INDEX(Profils!$J$5:$J$34,$AE86)&gt;0,INDEX(Profils!$Y$5:$Y$34,$AE86)&lt;=$AH86),ROUND(INDEX(Profils!$J$5:$J$34,$AE86)*Paramètres!$E$26*$AG86*$AJ86,Paramètres!$F$26),0)</f>
        <v>0</v>
      </c>
      <c r="Q86" s="19" t="n">
        <f aca="false" t="array" ref="Q86:Q86">IF(AND(INDEX(Profils!$K$5:$K$34,$AE86)&gt;0,INDEX(Profils!$Z$5:$Z$34,$AE86)&lt;=$AH86),ROUND(INDEX(Profils!$K$5:$K$34,$AE86)*Paramètres!$E$27*$AG86*$AJ86,Paramètres!$F$27),0)</f>
        <v>0</v>
      </c>
      <c r="R86" s="20" t="n">
        <f aca="false" t="array" ref="R86:R86">IF(AND(INDEX(Profils!$L$5:$L$34,$AE86)&gt;0,INDEX(Profils!$AA$5:$AA$34,$AE86)&lt;=$AH86),ROUND(INDEX(Profils!$L$5:$L$34,$AE86)*Paramètres!$E$28*$AG86*$AJ86,Paramètres!$F$28),0)</f>
        <v>0</v>
      </c>
      <c r="S86" s="20" t="n">
        <f aca="false" t="array" ref="S86:S86">IF(AND(INDEX(Profils!$M$5:$M$34,$AE86)&gt;0,INDEX(Profils!$AB$5:$AB$34,$AE86)&lt;=$AH86),ROUND(INDEX(Profils!$M$5:$M$34,$AE86)*Paramètres!$E$29*$AG86*$AJ86,Paramètres!$F$29),0)</f>
        <v>0</v>
      </c>
      <c r="T86" s="20" t="n">
        <f aca="false" t="array" ref="T86:T86">IF(AND(INDEX(Profils!$N$5:$N$34,$AE86)&gt;0,INDEX(Profils!$AC$5:$AC$34,$AE86)&lt;=$AH86),ROUND(INDEX(Profils!$N$5:$N$34,$AE86)*Paramètres!$E$30*$AG86*$AJ86,Paramètres!$F$30),0)</f>
        <v>0</v>
      </c>
      <c r="U86" s="19" t="n">
        <f aca="false" t="array" ref="U86:U86">IF(AND(INDEX(Profils!$O$5:$O$34,$AE86)&gt;0,INDEX(Profils!$AD$5:$AD$34,$AE86)&lt;=$AH86),ROUND(INDEX(Profils!$O$5:$O$34,$AE86)*Paramètres!$E$31*$AG86*$AJ86,Paramètres!$F$31),0)</f>
        <v>15</v>
      </c>
      <c r="V86" s="20" t="n">
        <f aca="false" t="array" ref="V86:V86">IF(AND(INDEX(Profils!$P$5:$P$34,$AE86)&gt;0,INDEX(Profils!$AE$5:$AE$34,$AE86)&lt;=$AH86),ROUND(INDEX(Profils!$P$5:$P$34,$AE86)*Paramètres!$E$32*$AG86*$AJ86,Paramètres!$F$32),0)</f>
        <v>0</v>
      </c>
      <c r="W86" s="20" t="n">
        <f aca="false" t="array" ref="W86:W86">IF(AND(INDEX(Profils!$Q$5:$Q$34,$AE86)&gt;0,INDEX(Profils!$AF$5:$AF$34,$AE86)&lt;=$AH86),ROUND(INDEX(Profils!$Q$5:$Q$34,$AE86)*Paramètres!$E$33*$AG86*$AJ86,Paramètres!$F$33),0)</f>
        <v>0</v>
      </c>
      <c r="X86" s="20" t="n">
        <f aca="false" t="array" ref="X86:X86">IF(AND(INDEX(Profils!$R$5:$R$34,$AE86)&gt;0,INDEX(Profils!$AG$5:$AG$34,$AE86)&lt;=$AH86),ROUND(INDEX(Profils!$R$5:$R$34,$AE86)*Paramètres!$E$34*$AG86*$AJ86,Paramètres!$F$34),0)</f>
        <v>0</v>
      </c>
      <c r="Y86" s="20" t="n">
        <f aca="false" t="array" ref="Y86:Y86">IF(AND(INDEX(Profils!$S$5:$S$34,$AE86)&gt;0,INDEX(Profils!$AH$5:$AH$34,$AE86)&lt;=$AH86),ROUND(INDEX(Profils!$S$5:$S$34,$AE86)*Paramètres!$E$35*$AG86*$AJ86,Paramètres!$F$35),0)</f>
        <v>0</v>
      </c>
      <c r="Z86" s="21" t="n">
        <f aca="false">ROUND(L86/Paramètres!$E$22+M86/Paramètres!$E$23+N86/Paramètres!$E$24+O86/Paramètres!$E$25+P86/Paramètres!$E$26+Q86/Paramètres!$E$27+R86/Paramètres!$E$28+S86/Paramètres!$E$29+T86/Paramètres!$E$30+U86/Paramètres!$E$31+V86/Paramètres!$E$32+W86/Paramètres!$E$33+X86/Paramètres!$E$34+Y86/Paramètres!$E$35,1)</f>
        <v>1.7</v>
      </c>
      <c r="AA86" s="22" t="s">
        <v>109</v>
      </c>
      <c r="AB86" s="22" t="s">
        <v>109</v>
      </c>
      <c r="AC86" s="15" t="str">
        <f aca="false">$E86</f>
        <v>mithril</v>
      </c>
      <c r="AD86" s="16" t="n">
        <f aca="false" t="array" ref="AD86:AD86">IF($I86&gt;=$AI86,"Max",ROUND(Paramètres!$B$40*($I86+1)^Paramètres!$B$41*INDEX(Paramètres!$H$6:$H$12,$AF86),0))</f>
        <v>3</v>
      </c>
      <c r="AE86" s="23" t="n">
        <f aca="false">MATCH($B86&amp;"|"&amp;$C86,Profils!$A$5:$A$34,0)</f>
        <v>3</v>
      </c>
      <c r="AF86" s="23" t="n">
        <v>1</v>
      </c>
      <c r="AG86" s="24" t="n">
        <f aca="false" t="array" ref="AG86:AG86">INDEX(Paramètres!$C$6:$C$12,$AF86)</f>
        <v>1</v>
      </c>
      <c r="AH86" s="23" t="n">
        <f aca="false" t="array" ref="AH86:AH86">INDEX(Paramètres!$D$6:$D$12,$AF86)</f>
        <v>2</v>
      </c>
      <c r="AI86" s="23" t="n">
        <f aca="false" t="array" ref="AI86:AI86">INDEX(Matériaux!$C$16:$C$20,$D86)</f>
        <v>25</v>
      </c>
      <c r="AJ86" s="25" t="n">
        <f aca="false">Paramètres!$B$16+(1-Paramètres!$B$16)*(($J86-Paramètres!$B$14)/(Paramètres!$B$15-Paramètres!$B$14))^Paramètres!$B$17</f>
        <v>0.458504333336152</v>
      </c>
    </row>
    <row r="87" customFormat="false" ht="15.75" hidden="false" customHeight="true" outlineLevel="0" collapsed="false">
      <c r="A87" s="14" t="s">
        <v>196</v>
      </c>
      <c r="B87" s="15" t="s">
        <v>27</v>
      </c>
      <c r="C87" s="15" t="s">
        <v>177</v>
      </c>
      <c r="D87" s="16" t="n">
        <v>4</v>
      </c>
      <c r="E87" s="15" t="str">
        <f aca="false" t="array" ref="E87:E87">INDEX(Matériaux!$B$5:$F$12,MATCH(INDEX(Profils!$E$5:$E$34,$AE87),Matériaux!$A$5:$A$12,0),$D87)</f>
        <v>mithril</v>
      </c>
      <c r="F87" s="26" t="s">
        <v>111</v>
      </c>
      <c r="G87" s="10" t="str">
        <f aca="false" t="array" ref="G87:G87">INDEX(Profils!$D$5:$D$34,$AE87)&amp;" en "&amp;$E87</f>
        <v>Jambières en mithril</v>
      </c>
      <c r="H87" s="16" t="n">
        <f aca="false" t="array" ref="H87:H87">INDEX(Matériaux!$B$16:$B$20,$D87)</f>
        <v>50</v>
      </c>
      <c r="I87" s="16" t="n">
        <f aca="false">IF(ISNUMBER($C$3),MIN(MAX(0,ROUND($C$3,0)),$AI87),$AI87)</f>
        <v>0</v>
      </c>
      <c r="J87" s="18" t="n">
        <f aca="false">$H87+$I87</f>
        <v>50</v>
      </c>
      <c r="K87" s="15" t="s">
        <v>109</v>
      </c>
      <c r="L87" s="19" t="n">
        <f aca="false" t="array" ref="L87:L87">IF(AND(INDEX(Profils!$F$5:$F$34,$AE87)&gt;0,INDEX(Profils!$U$5:$U$34,$AE87)&lt;=$AH87),ROUND(INDEX(Profils!$F$5:$F$34,$AE87)*Paramètres!$E$22*$AG87*$AJ87,Paramètres!$F$22),0)</f>
        <v>28</v>
      </c>
      <c r="M87" s="19" t="n">
        <f aca="false" t="array" ref="M87:M87">IF(AND(INDEX(Profils!$G$5:$G$34,$AE87)&gt;0,INDEX(Profils!$V$5:$V$34,$AE87)&lt;=$AH87),ROUND(INDEX(Profils!$G$5:$G$34,$AE87)*Paramètres!$E$23*$AG87*$AJ87,Paramètres!$F$23),0)</f>
        <v>0</v>
      </c>
      <c r="N87" s="19" t="n">
        <f aca="false" t="array" ref="N87:N87">IF(AND(INDEX(Profils!$H$5:$H$34,$AE87)&gt;0,INDEX(Profils!$W$5:$W$34,$AE87)&lt;=$AH87),ROUND(INDEX(Profils!$H$5:$H$34,$AE87)*Paramètres!$E$24*$AG87*$AJ87,Paramètres!$F$24),0)</f>
        <v>12</v>
      </c>
      <c r="O87" s="19" t="n">
        <f aca="false" t="array" ref="O87:O87">IF(AND(INDEX(Profils!$I$5:$I$34,$AE87)&gt;0,INDEX(Profils!$X$5:$X$34,$AE87)&lt;=$AH87),ROUND(INDEX(Profils!$I$5:$I$34,$AE87)*Paramètres!$E$25*$AG87*$AJ87,Paramètres!$F$25),0)</f>
        <v>0</v>
      </c>
      <c r="P87" s="19" t="n">
        <f aca="false" t="array" ref="P87:P87">IF(AND(INDEX(Profils!$J$5:$J$34,$AE87)&gt;0,INDEX(Profils!$Y$5:$Y$34,$AE87)&lt;=$AH87),ROUND(INDEX(Profils!$J$5:$J$34,$AE87)*Paramètres!$E$26*$AG87*$AJ87,Paramètres!$F$26),0)</f>
        <v>0</v>
      </c>
      <c r="Q87" s="19" t="n">
        <f aca="false" t="array" ref="Q87:Q87">IF(AND(INDEX(Profils!$K$5:$K$34,$AE87)&gt;0,INDEX(Profils!$Z$5:$Z$34,$AE87)&lt;=$AH87),ROUND(INDEX(Profils!$K$5:$K$34,$AE87)*Paramètres!$E$27*$AG87*$AJ87,Paramètres!$F$27),0)</f>
        <v>0</v>
      </c>
      <c r="R87" s="20" t="n">
        <f aca="false" t="array" ref="R87:R87">IF(AND(INDEX(Profils!$L$5:$L$34,$AE87)&gt;0,INDEX(Profils!$AA$5:$AA$34,$AE87)&lt;=$AH87),ROUND(INDEX(Profils!$L$5:$L$34,$AE87)*Paramètres!$E$28*$AG87*$AJ87,Paramètres!$F$28),0)</f>
        <v>0</v>
      </c>
      <c r="S87" s="20" t="n">
        <f aca="false" t="array" ref="S87:S87">IF(AND(INDEX(Profils!$M$5:$M$34,$AE87)&gt;0,INDEX(Profils!$AB$5:$AB$34,$AE87)&lt;=$AH87),ROUND(INDEX(Profils!$M$5:$M$34,$AE87)*Paramètres!$E$29*$AG87*$AJ87,Paramètres!$F$29),0)</f>
        <v>0</v>
      </c>
      <c r="T87" s="20" t="n">
        <f aca="false" t="array" ref="T87:T87">IF(AND(INDEX(Profils!$N$5:$N$34,$AE87)&gt;0,INDEX(Profils!$AC$5:$AC$34,$AE87)&lt;=$AH87),ROUND(INDEX(Profils!$N$5:$N$34,$AE87)*Paramètres!$E$30*$AG87*$AJ87,Paramètres!$F$30),0)</f>
        <v>0</v>
      </c>
      <c r="U87" s="19" t="n">
        <f aca="false" t="array" ref="U87:U87">IF(AND(INDEX(Profils!$O$5:$O$34,$AE87)&gt;0,INDEX(Profils!$AD$5:$AD$34,$AE87)&lt;=$AH87),ROUND(INDEX(Profils!$O$5:$O$34,$AE87)*Paramètres!$E$31*$AG87*$AJ87,Paramètres!$F$31),0)</f>
        <v>18</v>
      </c>
      <c r="V87" s="20" t="n">
        <f aca="false" t="array" ref="V87:V87">IF(AND(INDEX(Profils!$P$5:$P$34,$AE87)&gt;0,INDEX(Profils!$AE$5:$AE$34,$AE87)&lt;=$AH87),ROUND(INDEX(Profils!$P$5:$P$34,$AE87)*Paramètres!$E$32*$AG87*$AJ87,Paramètres!$F$32),0)</f>
        <v>0</v>
      </c>
      <c r="W87" s="20" t="n">
        <f aca="false" t="array" ref="W87:W87">IF(AND(INDEX(Profils!$Q$5:$Q$34,$AE87)&gt;0,INDEX(Profils!$AF$5:$AF$34,$AE87)&lt;=$AH87),ROUND(INDEX(Profils!$Q$5:$Q$34,$AE87)*Paramètres!$E$33*$AG87*$AJ87,Paramètres!$F$33),0)</f>
        <v>0</v>
      </c>
      <c r="X87" s="20" t="n">
        <f aca="false" t="array" ref="X87:X87">IF(AND(INDEX(Profils!$R$5:$R$34,$AE87)&gt;0,INDEX(Profils!$AG$5:$AG$34,$AE87)&lt;=$AH87),ROUND(INDEX(Profils!$R$5:$R$34,$AE87)*Paramètres!$E$34*$AG87*$AJ87,Paramètres!$F$34),0)</f>
        <v>0</v>
      </c>
      <c r="Y87" s="20" t="n">
        <f aca="false" t="array" ref="Y87:Y87">IF(AND(INDEX(Profils!$S$5:$S$34,$AE87)&gt;0,INDEX(Profils!$AH$5:$AH$34,$AE87)&lt;=$AH87),ROUND(INDEX(Profils!$S$5:$S$34,$AE87)*Paramètres!$E$35*$AG87*$AJ87,Paramètres!$F$35),0)</f>
        <v>0</v>
      </c>
      <c r="Z87" s="21" t="n">
        <f aca="false">ROUND(L87/Paramètres!$E$22+M87/Paramètres!$E$23+N87/Paramètres!$E$24+O87/Paramètres!$E$25+P87/Paramètres!$E$26+Q87/Paramètres!$E$27+R87/Paramètres!$E$28+S87/Paramètres!$E$29+T87/Paramètres!$E$30+U87/Paramètres!$E$31+V87/Paramètres!$E$32+W87/Paramètres!$E$33+X87/Paramètres!$E$34+Y87/Paramètres!$E$35,1)</f>
        <v>2.8</v>
      </c>
      <c r="AA87" s="22" t="s">
        <v>109</v>
      </c>
      <c r="AB87" s="22" t="s">
        <v>109</v>
      </c>
      <c r="AC87" s="15" t="str">
        <f aca="false">$E87</f>
        <v>mithril</v>
      </c>
      <c r="AD87" s="16" t="n">
        <f aca="false" t="array" ref="AD87:AD87">IF($I87&gt;=$AI87,"Max",ROUND(Paramètres!$B$40*($I87+1)^Paramètres!$B$41*INDEX(Paramètres!$H$6:$H$12,$AF87),0))</f>
        <v>4</v>
      </c>
      <c r="AE87" s="23" t="n">
        <f aca="false">MATCH($B87&amp;"|"&amp;$C87,Profils!$A$5:$A$34,0)</f>
        <v>3</v>
      </c>
      <c r="AF87" s="23" t="n">
        <v>2</v>
      </c>
      <c r="AG87" s="24" t="n">
        <f aca="false" t="array" ref="AG87:AG87">INDEX(Paramètres!$C$6:$C$12,$AF87)</f>
        <v>1.2</v>
      </c>
      <c r="AH87" s="23" t="n">
        <f aca="false" t="array" ref="AH87:AH87">INDEX(Paramètres!$D$6:$D$12,$AF87)</f>
        <v>3</v>
      </c>
      <c r="AI87" s="23" t="n">
        <f aca="false" t="array" ref="AI87:AI87">INDEX(Matériaux!$C$16:$C$20,$D87)</f>
        <v>25</v>
      </c>
      <c r="AJ87" s="25" t="n">
        <f aca="false">Paramètres!$B$16+(1-Paramètres!$B$16)*(($J87-Paramètres!$B$14)/(Paramètres!$B$15-Paramètres!$B$14))^Paramètres!$B$17</f>
        <v>0.458504333336152</v>
      </c>
    </row>
    <row r="88" customFormat="false" ht="15.75" hidden="false" customHeight="true" outlineLevel="0" collapsed="false">
      <c r="A88" s="14" t="s">
        <v>197</v>
      </c>
      <c r="B88" s="15" t="s">
        <v>27</v>
      </c>
      <c r="C88" s="15" t="s">
        <v>177</v>
      </c>
      <c r="D88" s="16" t="n">
        <v>4</v>
      </c>
      <c r="E88" s="15" t="str">
        <f aca="false" t="array" ref="E88:E88">INDEX(Matériaux!$B$5:$F$12,MATCH(INDEX(Profils!$E$5:$E$34,$AE88),Matériaux!$A$5:$A$12,0),$D88)</f>
        <v>mithril</v>
      </c>
      <c r="F88" s="27" t="s">
        <v>113</v>
      </c>
      <c r="G88" s="10" t="str">
        <f aca="false" t="array" ref="G88:G88">INDEX(Profils!$D$5:$D$34,$AE88)&amp;" en "&amp;$E88</f>
        <v>Jambières en mithril</v>
      </c>
      <c r="H88" s="16" t="n">
        <f aca="false" t="array" ref="H88:H88">INDEX(Matériaux!$B$16:$B$20,$D88)</f>
        <v>50</v>
      </c>
      <c r="I88" s="16" t="n">
        <f aca="false">IF(ISNUMBER($C$3),MIN(MAX(0,ROUND($C$3,0)),$AI88),$AI88)</f>
        <v>0</v>
      </c>
      <c r="J88" s="18" t="n">
        <f aca="false">$H88+$I88</f>
        <v>50</v>
      </c>
      <c r="K88" s="15" t="s">
        <v>109</v>
      </c>
      <c r="L88" s="19" t="n">
        <f aca="false" t="array" ref="L88:L88">IF(AND(INDEX(Profils!$F$5:$F$34,$AE88)&gt;0,INDEX(Profils!$U$5:$U$34,$AE88)&lt;=$AH88),ROUND(INDEX(Profils!$F$5:$F$34,$AE88)*Paramètres!$E$22*$AG88*$AJ88,Paramètres!$F$22),0)</f>
        <v>33</v>
      </c>
      <c r="M88" s="19" t="n">
        <f aca="false" t="array" ref="M88:M88">IF(AND(INDEX(Profils!$G$5:$G$34,$AE88)&gt;0,INDEX(Profils!$V$5:$V$34,$AE88)&lt;=$AH88),ROUND(INDEX(Profils!$G$5:$G$34,$AE88)*Paramètres!$E$23*$AG88*$AJ88,Paramètres!$F$23),0)</f>
        <v>7</v>
      </c>
      <c r="N88" s="19" t="n">
        <f aca="false" t="array" ref="N88:N88">IF(AND(INDEX(Profils!$H$5:$H$34,$AE88)&gt;0,INDEX(Profils!$W$5:$W$34,$AE88)&lt;=$AH88),ROUND(INDEX(Profils!$H$5:$H$34,$AE88)*Paramètres!$E$24*$AG88*$AJ88,Paramètres!$F$24),0)</f>
        <v>14</v>
      </c>
      <c r="O88" s="19" t="n">
        <f aca="false" t="array" ref="O88:O88">IF(AND(INDEX(Profils!$I$5:$I$34,$AE88)&gt;0,INDEX(Profils!$X$5:$X$34,$AE88)&lt;=$AH88),ROUND(INDEX(Profils!$I$5:$I$34,$AE88)*Paramètres!$E$25*$AG88*$AJ88,Paramètres!$F$25),0)</f>
        <v>0</v>
      </c>
      <c r="P88" s="19" t="n">
        <f aca="false" t="array" ref="P88:P88">IF(AND(INDEX(Profils!$J$5:$J$34,$AE88)&gt;0,INDEX(Profils!$Y$5:$Y$34,$AE88)&lt;=$AH88),ROUND(INDEX(Profils!$J$5:$J$34,$AE88)*Paramètres!$E$26*$AG88*$AJ88,Paramètres!$F$26),0)</f>
        <v>0</v>
      </c>
      <c r="Q88" s="19" t="n">
        <f aca="false" t="array" ref="Q88:Q88">IF(AND(INDEX(Profils!$K$5:$K$34,$AE88)&gt;0,INDEX(Profils!$Z$5:$Z$34,$AE88)&lt;=$AH88),ROUND(INDEX(Profils!$K$5:$K$34,$AE88)*Paramètres!$E$27*$AG88*$AJ88,Paramètres!$F$27),0)</f>
        <v>0</v>
      </c>
      <c r="R88" s="20" t="n">
        <f aca="false" t="array" ref="R88:R88">IF(AND(INDEX(Profils!$L$5:$L$34,$AE88)&gt;0,INDEX(Profils!$AA$5:$AA$34,$AE88)&lt;=$AH88),ROUND(INDEX(Profils!$L$5:$L$34,$AE88)*Paramètres!$E$28*$AG88*$AJ88,Paramètres!$F$28),0)</f>
        <v>0</v>
      </c>
      <c r="S88" s="20" t="n">
        <f aca="false" t="array" ref="S88:S88">IF(AND(INDEX(Profils!$M$5:$M$34,$AE88)&gt;0,INDEX(Profils!$AB$5:$AB$34,$AE88)&lt;=$AH88),ROUND(INDEX(Profils!$M$5:$M$34,$AE88)*Paramètres!$E$29*$AG88*$AJ88,Paramètres!$F$29),0)</f>
        <v>0</v>
      </c>
      <c r="T88" s="20" t="n">
        <f aca="false" t="array" ref="T88:T88">IF(AND(INDEX(Profils!$N$5:$N$34,$AE88)&gt;0,INDEX(Profils!$AC$5:$AC$34,$AE88)&lt;=$AH88),ROUND(INDEX(Profils!$N$5:$N$34,$AE88)*Paramètres!$E$30*$AG88*$AJ88,Paramètres!$F$30),0)</f>
        <v>0</v>
      </c>
      <c r="U88" s="19" t="n">
        <f aca="false" t="array" ref="U88:U88">IF(AND(INDEX(Profils!$O$5:$O$34,$AE88)&gt;0,INDEX(Profils!$AD$5:$AD$34,$AE88)&lt;=$AH88),ROUND(INDEX(Profils!$O$5:$O$34,$AE88)*Paramètres!$E$31*$AG88*$AJ88,Paramètres!$F$31),0)</f>
        <v>21</v>
      </c>
      <c r="V88" s="20" t="n">
        <f aca="false" t="array" ref="V88:V88">IF(AND(INDEX(Profils!$P$5:$P$34,$AE88)&gt;0,INDEX(Profils!$AE$5:$AE$34,$AE88)&lt;=$AH88),ROUND(INDEX(Profils!$P$5:$P$34,$AE88)*Paramètres!$E$32*$AG88*$AJ88,Paramètres!$F$32),0)</f>
        <v>0</v>
      </c>
      <c r="W88" s="20" t="n">
        <f aca="false" t="array" ref="W88:W88">IF(AND(INDEX(Profils!$Q$5:$Q$34,$AE88)&gt;0,INDEX(Profils!$AF$5:$AF$34,$AE88)&lt;=$AH88),ROUND(INDEX(Profils!$Q$5:$Q$34,$AE88)*Paramètres!$E$33*$AG88*$AJ88,Paramètres!$F$33),0)</f>
        <v>0</v>
      </c>
      <c r="X88" s="20" t="n">
        <f aca="false" t="array" ref="X88:X88">IF(AND(INDEX(Profils!$R$5:$R$34,$AE88)&gt;0,INDEX(Profils!$AG$5:$AG$34,$AE88)&lt;=$AH88),ROUND(INDEX(Profils!$R$5:$R$34,$AE88)*Paramètres!$E$34*$AG88*$AJ88,Paramètres!$F$34),0)</f>
        <v>0</v>
      </c>
      <c r="Y88" s="20" t="n">
        <f aca="false" t="array" ref="Y88:Y88">IF(AND(INDEX(Profils!$S$5:$S$34,$AE88)&gt;0,INDEX(Profils!$AH$5:$AH$34,$AE88)&lt;=$AH88),ROUND(INDEX(Profils!$S$5:$S$34,$AE88)*Paramètres!$E$35*$AG88*$AJ88,Paramètres!$F$35),0)</f>
        <v>0</v>
      </c>
      <c r="Z88" s="21" t="n">
        <f aca="false">ROUND(L88/Paramètres!$E$22+M88/Paramètres!$E$23+N88/Paramètres!$E$24+O88/Paramètres!$E$25+P88/Paramètres!$E$26+Q88/Paramètres!$E$27+R88/Paramètres!$E$28+S88/Paramètres!$E$29+T88/Paramètres!$E$30+U88/Paramètres!$E$31+V88/Paramètres!$E$32+W88/Paramètres!$E$33+X88/Paramètres!$E$34+Y88/Paramètres!$E$35,1)</f>
        <v>3.8</v>
      </c>
      <c r="AA88" s="22" t="s">
        <v>109</v>
      </c>
      <c r="AB88" s="22" t="s">
        <v>109</v>
      </c>
      <c r="AC88" s="15" t="str">
        <f aca="false">$E88</f>
        <v>mithril</v>
      </c>
      <c r="AD88" s="16" t="n">
        <f aca="false" t="array" ref="AD88:AD88">IF($I88&gt;=$AI88,"Max",ROUND(Paramètres!$B$40*($I88+1)^Paramètres!$B$41*INDEX(Paramètres!$H$6:$H$12,$AF88),0))</f>
        <v>4</v>
      </c>
      <c r="AE88" s="23" t="n">
        <f aca="false">MATCH($B88&amp;"|"&amp;$C88,Profils!$A$5:$A$34,0)</f>
        <v>3</v>
      </c>
      <c r="AF88" s="23" t="n">
        <v>3</v>
      </c>
      <c r="AG88" s="24" t="n">
        <f aca="false" t="array" ref="AG88:AG88">INDEX(Paramètres!$C$6:$C$12,$AF88)</f>
        <v>1.45</v>
      </c>
      <c r="AH88" s="23" t="n">
        <f aca="false" t="array" ref="AH88:AH88">INDEX(Paramètres!$D$6:$D$12,$AF88)</f>
        <v>4</v>
      </c>
      <c r="AI88" s="23" t="n">
        <f aca="false" t="array" ref="AI88:AI88">INDEX(Matériaux!$C$16:$C$20,$D88)</f>
        <v>25</v>
      </c>
      <c r="AJ88" s="25" t="n">
        <f aca="false">Paramètres!$B$16+(1-Paramètres!$B$16)*(($J88-Paramètres!$B$14)/(Paramètres!$B$15-Paramètres!$B$14))^Paramètres!$B$17</f>
        <v>0.458504333336152</v>
      </c>
    </row>
    <row r="89" customFormat="false" ht="15.75" hidden="false" customHeight="true" outlineLevel="0" collapsed="false">
      <c r="A89" s="14" t="s">
        <v>198</v>
      </c>
      <c r="B89" s="15" t="s">
        <v>27</v>
      </c>
      <c r="C89" s="15" t="s">
        <v>177</v>
      </c>
      <c r="D89" s="16" t="n">
        <v>4</v>
      </c>
      <c r="E89" s="15" t="str">
        <f aca="false" t="array" ref="E89:E89">INDEX(Matériaux!$B$5:$F$12,MATCH(INDEX(Profils!$E$5:$E$34,$AE89),Matériaux!$A$5:$A$12,0),$D89)</f>
        <v>mithril</v>
      </c>
      <c r="F89" s="28" t="s">
        <v>115</v>
      </c>
      <c r="G89" s="10" t="str">
        <f aca="false" t="array" ref="G89:G89">INDEX(Profils!$D$5:$D$34,$AE89)&amp;" en "&amp;$E89</f>
        <v>Jambières en mithril</v>
      </c>
      <c r="H89" s="16" t="n">
        <f aca="false" t="array" ref="H89:H89">INDEX(Matériaux!$B$16:$B$20,$D89)</f>
        <v>50</v>
      </c>
      <c r="I89" s="16" t="n">
        <f aca="false">IF(ISNUMBER($C$3),MIN(MAX(0,ROUND($C$3,0)),$AI89),$AI89)</f>
        <v>0</v>
      </c>
      <c r="J89" s="18" t="n">
        <f aca="false">$H89+$I89</f>
        <v>50</v>
      </c>
      <c r="K89" s="15" t="s">
        <v>109</v>
      </c>
      <c r="L89" s="19" t="n">
        <f aca="false" t="array" ref="L89:L89">IF(AND(INDEX(Profils!$F$5:$F$34,$AE89)&gt;0,INDEX(Profils!$U$5:$U$34,$AE89)&lt;=$AH89),ROUND(INDEX(Profils!$F$5:$F$34,$AE89)*Paramètres!$E$22*$AG89*$AJ89,Paramètres!$F$22),0)</f>
        <v>40</v>
      </c>
      <c r="M89" s="19" t="n">
        <f aca="false" t="array" ref="M89:M89">IF(AND(INDEX(Profils!$G$5:$G$34,$AE89)&gt;0,INDEX(Profils!$V$5:$V$34,$AE89)&lt;=$AH89),ROUND(INDEX(Profils!$G$5:$G$34,$AE89)*Paramètres!$E$23*$AG89*$AJ89,Paramètres!$F$23),0)</f>
        <v>8</v>
      </c>
      <c r="N89" s="19" t="n">
        <f aca="false" t="array" ref="N89:N89">IF(AND(INDEX(Profils!$H$5:$H$34,$AE89)&gt;0,INDEX(Profils!$W$5:$W$34,$AE89)&lt;=$AH89),ROUND(INDEX(Profils!$H$5:$H$34,$AE89)*Paramètres!$E$24*$AG89*$AJ89,Paramètres!$F$24),0)</f>
        <v>17</v>
      </c>
      <c r="O89" s="19" t="n">
        <f aca="false" t="array" ref="O89:O89">IF(AND(INDEX(Profils!$I$5:$I$34,$AE89)&gt;0,INDEX(Profils!$X$5:$X$34,$AE89)&lt;=$AH89),ROUND(INDEX(Profils!$I$5:$I$34,$AE89)*Paramètres!$E$25*$AG89*$AJ89,Paramètres!$F$25),0)</f>
        <v>0</v>
      </c>
      <c r="P89" s="19" t="n">
        <f aca="false" t="array" ref="P89:P89">IF(AND(INDEX(Profils!$J$5:$J$34,$AE89)&gt;0,INDEX(Profils!$Y$5:$Y$34,$AE89)&lt;=$AH89),ROUND(INDEX(Profils!$J$5:$J$34,$AE89)*Paramètres!$E$26*$AG89*$AJ89,Paramètres!$F$26),0)</f>
        <v>6</v>
      </c>
      <c r="Q89" s="19" t="n">
        <f aca="false" t="array" ref="Q89:Q89">IF(AND(INDEX(Profils!$K$5:$K$34,$AE89)&gt;0,INDEX(Profils!$Z$5:$Z$34,$AE89)&lt;=$AH89),ROUND(INDEX(Profils!$K$5:$K$34,$AE89)*Paramètres!$E$27*$AG89*$AJ89,Paramètres!$F$27),0)</f>
        <v>0</v>
      </c>
      <c r="R89" s="20" t="n">
        <f aca="false" t="array" ref="R89:R89">IF(AND(INDEX(Profils!$L$5:$L$34,$AE89)&gt;0,INDEX(Profils!$AA$5:$AA$34,$AE89)&lt;=$AH89),ROUND(INDEX(Profils!$L$5:$L$34,$AE89)*Paramètres!$E$28*$AG89*$AJ89,Paramètres!$F$28),0)</f>
        <v>0</v>
      </c>
      <c r="S89" s="20" t="n">
        <f aca="false" t="array" ref="S89:S89">IF(AND(INDEX(Profils!$M$5:$M$34,$AE89)&gt;0,INDEX(Profils!$AB$5:$AB$34,$AE89)&lt;=$AH89),ROUND(INDEX(Profils!$M$5:$M$34,$AE89)*Paramètres!$E$29*$AG89*$AJ89,Paramètres!$F$29),0)</f>
        <v>0</v>
      </c>
      <c r="T89" s="20" t="n">
        <f aca="false" t="array" ref="T89:T89">IF(AND(INDEX(Profils!$N$5:$N$34,$AE89)&gt;0,INDEX(Profils!$AC$5:$AC$34,$AE89)&lt;=$AH89),ROUND(INDEX(Profils!$N$5:$N$34,$AE89)*Paramètres!$E$30*$AG89*$AJ89,Paramètres!$F$30),0)</f>
        <v>0</v>
      </c>
      <c r="U89" s="19" t="n">
        <f aca="false" t="array" ref="U89:U89">IF(AND(INDEX(Profils!$O$5:$O$34,$AE89)&gt;0,INDEX(Profils!$AD$5:$AD$34,$AE89)&lt;=$AH89),ROUND(INDEX(Profils!$O$5:$O$34,$AE89)*Paramètres!$E$31*$AG89*$AJ89,Paramètres!$F$31),0)</f>
        <v>26</v>
      </c>
      <c r="V89" s="20" t="n">
        <f aca="false" t="array" ref="V89:V89">IF(AND(INDEX(Profils!$P$5:$P$34,$AE89)&gt;0,INDEX(Profils!$AE$5:$AE$34,$AE89)&lt;=$AH89),ROUND(INDEX(Profils!$P$5:$P$34,$AE89)*Paramètres!$E$32*$AG89*$AJ89,Paramètres!$F$32),0)</f>
        <v>0</v>
      </c>
      <c r="W89" s="20" t="n">
        <f aca="false" t="array" ref="W89:W89">IF(AND(INDEX(Profils!$Q$5:$Q$34,$AE89)&gt;0,INDEX(Profils!$AF$5:$AF$34,$AE89)&lt;=$AH89),ROUND(INDEX(Profils!$Q$5:$Q$34,$AE89)*Paramètres!$E$33*$AG89*$AJ89,Paramètres!$F$33),0)</f>
        <v>0</v>
      </c>
      <c r="X89" s="20" t="n">
        <f aca="false" t="array" ref="X89:X89">IF(AND(INDEX(Profils!$R$5:$R$34,$AE89)&gt;0,INDEX(Profils!$AG$5:$AG$34,$AE89)&lt;=$AH89),ROUND(INDEX(Profils!$R$5:$R$34,$AE89)*Paramètres!$E$34*$AG89*$AJ89,Paramètres!$F$34),0)</f>
        <v>0</v>
      </c>
      <c r="Y89" s="20" t="n">
        <f aca="false" t="array" ref="Y89:Y89">IF(AND(INDEX(Profils!$S$5:$S$34,$AE89)&gt;0,INDEX(Profils!$AH$5:$AH$34,$AE89)&lt;=$AH89),ROUND(INDEX(Profils!$S$5:$S$34,$AE89)*Paramètres!$E$35*$AG89*$AJ89,Paramètres!$F$35),0)</f>
        <v>0</v>
      </c>
      <c r="Z89" s="21" t="n">
        <f aca="false">ROUND(L89/Paramètres!$E$22+M89/Paramètres!$E$23+N89/Paramètres!$E$24+O89/Paramètres!$E$25+P89/Paramètres!$E$26+Q89/Paramètres!$E$27+R89/Paramètres!$E$28+S89/Paramètres!$E$29+T89/Paramètres!$E$30+U89/Paramètres!$E$31+V89/Paramètres!$E$32+W89/Paramètres!$E$33+X89/Paramètres!$E$34+Y89/Paramètres!$E$35,1)</f>
        <v>5.1</v>
      </c>
      <c r="AA89" s="22" t="s">
        <v>109</v>
      </c>
      <c r="AB89" s="22" t="s">
        <v>109</v>
      </c>
      <c r="AC89" s="15" t="str">
        <f aca="false">$E89</f>
        <v>mithril</v>
      </c>
      <c r="AD89" s="16" t="n">
        <f aca="false" t="array" ref="AD89:AD89">IF($I89&gt;=$AI89,"Max",ROUND(Paramètres!$B$40*($I89+1)^Paramètres!$B$41*INDEX(Paramètres!$H$6:$H$12,$AF89),0))</f>
        <v>5</v>
      </c>
      <c r="AE89" s="23" t="n">
        <f aca="false">MATCH($B89&amp;"|"&amp;$C89,Profils!$A$5:$A$34,0)</f>
        <v>3</v>
      </c>
      <c r="AF89" s="23" t="n">
        <v>4</v>
      </c>
      <c r="AG89" s="24" t="n">
        <f aca="false" t="array" ref="AG89:AG89">INDEX(Paramètres!$C$6:$C$12,$AF89)</f>
        <v>1.75</v>
      </c>
      <c r="AH89" s="23" t="n">
        <f aca="false" t="array" ref="AH89:AH89">INDEX(Paramètres!$D$6:$D$12,$AF89)</f>
        <v>5</v>
      </c>
      <c r="AI89" s="23" t="n">
        <f aca="false" t="array" ref="AI89:AI89">INDEX(Matériaux!$C$16:$C$20,$D89)</f>
        <v>25</v>
      </c>
      <c r="AJ89" s="25" t="n">
        <f aca="false">Paramètres!$B$16+(1-Paramètres!$B$16)*(($J89-Paramètres!$B$14)/(Paramètres!$B$15-Paramètres!$B$14))^Paramètres!$B$17</f>
        <v>0.458504333336152</v>
      </c>
    </row>
    <row r="90" customFormat="false" ht="15.75" hidden="false" customHeight="true" outlineLevel="0" collapsed="false">
      <c r="A90" s="14" t="s">
        <v>199</v>
      </c>
      <c r="B90" s="15" t="s">
        <v>27</v>
      </c>
      <c r="C90" s="15" t="s">
        <v>177</v>
      </c>
      <c r="D90" s="16" t="n">
        <v>4</v>
      </c>
      <c r="E90" s="15" t="str">
        <f aca="false" t="array" ref="E90:E90">INDEX(Matériaux!$B$5:$F$12,MATCH(INDEX(Profils!$E$5:$E$34,$AE90),Matériaux!$A$5:$A$12,0),$D90)</f>
        <v>mithril</v>
      </c>
      <c r="F90" s="29" t="s">
        <v>117</v>
      </c>
      <c r="G90" s="10" t="str">
        <f aca="false" t="array" ref="G90:G90">INDEX(Profils!$D$5:$D$34,$AE90)&amp;" en "&amp;$E90</f>
        <v>Jambières en mithril</v>
      </c>
      <c r="H90" s="16" t="n">
        <f aca="false" t="array" ref="H90:H90">INDEX(Matériaux!$B$16:$B$20,$D90)</f>
        <v>50</v>
      </c>
      <c r="I90" s="16" t="n">
        <f aca="false">IF(ISNUMBER($C$3),MIN(MAX(0,ROUND($C$3,0)),$AI90),$AI90)</f>
        <v>0</v>
      </c>
      <c r="J90" s="18" t="n">
        <f aca="false">$H90+$I90</f>
        <v>50</v>
      </c>
      <c r="K90" s="15" t="s">
        <v>109</v>
      </c>
      <c r="L90" s="19" t="n">
        <f aca="false" t="array" ref="L90:L90">IF(AND(INDEX(Profils!$F$5:$F$34,$AE90)&gt;0,INDEX(Profils!$U$5:$U$34,$AE90)&lt;=$AH90),ROUND(INDEX(Profils!$F$5:$F$34,$AE90)*Paramètres!$E$22*$AG90*$AJ90,Paramètres!$F$22),0)</f>
        <v>48</v>
      </c>
      <c r="M90" s="19" t="n">
        <f aca="false" t="array" ref="M90:M90">IF(AND(INDEX(Profils!$G$5:$G$34,$AE90)&gt;0,INDEX(Profils!$V$5:$V$34,$AE90)&lt;=$AH90),ROUND(INDEX(Profils!$G$5:$G$34,$AE90)*Paramètres!$E$23*$AG90*$AJ90,Paramètres!$F$23),0)</f>
        <v>10</v>
      </c>
      <c r="N90" s="19" t="n">
        <f aca="false" t="array" ref="N90:N90">IF(AND(INDEX(Profils!$H$5:$H$34,$AE90)&gt;0,INDEX(Profils!$W$5:$W$34,$AE90)&lt;=$AH90),ROUND(INDEX(Profils!$H$5:$H$34,$AE90)*Paramètres!$E$24*$AG90*$AJ90,Paramètres!$F$24),0)</f>
        <v>20</v>
      </c>
      <c r="O90" s="19" t="n">
        <f aca="false" t="array" ref="O90:O90">IF(AND(INDEX(Profils!$I$5:$I$34,$AE90)&gt;0,INDEX(Profils!$X$5:$X$34,$AE90)&lt;=$AH90),ROUND(INDEX(Profils!$I$5:$I$34,$AE90)*Paramètres!$E$25*$AG90*$AJ90,Paramètres!$F$25),0)</f>
        <v>0</v>
      </c>
      <c r="P90" s="19" t="n">
        <f aca="false" t="array" ref="P90:P90">IF(AND(INDEX(Profils!$J$5:$J$34,$AE90)&gt;0,INDEX(Profils!$Y$5:$Y$34,$AE90)&lt;=$AH90),ROUND(INDEX(Profils!$J$5:$J$34,$AE90)*Paramètres!$E$26*$AG90*$AJ90,Paramètres!$F$26),0)</f>
        <v>7</v>
      </c>
      <c r="Q90" s="19" t="n">
        <f aca="false" t="array" ref="Q90:Q90">IF(AND(INDEX(Profils!$K$5:$K$34,$AE90)&gt;0,INDEX(Profils!$Z$5:$Z$34,$AE90)&lt;=$AH90),ROUND(INDEX(Profils!$K$5:$K$34,$AE90)*Paramètres!$E$27*$AG90*$AJ90,Paramètres!$F$27),0)</f>
        <v>0</v>
      </c>
      <c r="R90" s="20" t="n">
        <f aca="false" t="array" ref="R90:R90">IF(AND(INDEX(Profils!$L$5:$L$34,$AE90)&gt;0,INDEX(Profils!$AA$5:$AA$34,$AE90)&lt;=$AH90),ROUND(INDEX(Profils!$L$5:$L$34,$AE90)*Paramètres!$E$28*$AG90*$AJ90,Paramètres!$F$28),0)</f>
        <v>0</v>
      </c>
      <c r="S90" s="20" t="n">
        <f aca="false" t="array" ref="S90:S90">IF(AND(INDEX(Profils!$M$5:$M$34,$AE90)&gt;0,INDEX(Profils!$AB$5:$AB$34,$AE90)&lt;=$AH90),ROUND(INDEX(Profils!$M$5:$M$34,$AE90)*Paramètres!$E$29*$AG90*$AJ90,Paramètres!$F$29),0)</f>
        <v>0</v>
      </c>
      <c r="T90" s="20" t="n">
        <f aca="false" t="array" ref="T90:T90">IF(AND(INDEX(Profils!$N$5:$N$34,$AE90)&gt;0,INDEX(Profils!$AC$5:$AC$34,$AE90)&lt;=$AH90),ROUND(INDEX(Profils!$N$5:$N$34,$AE90)*Paramètres!$E$30*$AG90*$AJ90,Paramètres!$F$30),0)</f>
        <v>0</v>
      </c>
      <c r="U90" s="19" t="n">
        <f aca="false" t="array" ref="U90:U90">IF(AND(INDEX(Profils!$O$5:$O$34,$AE90)&gt;0,INDEX(Profils!$AD$5:$AD$34,$AE90)&lt;=$AH90),ROUND(INDEX(Profils!$O$5:$O$34,$AE90)*Paramètres!$E$31*$AG90*$AJ90,Paramètres!$F$31),0)</f>
        <v>31</v>
      </c>
      <c r="V90" s="20" t="n">
        <f aca="false" t="array" ref="V90:V90">IF(AND(INDEX(Profils!$P$5:$P$34,$AE90)&gt;0,INDEX(Profils!$AE$5:$AE$34,$AE90)&lt;=$AH90),ROUND(INDEX(Profils!$P$5:$P$34,$AE90)*Paramètres!$E$32*$AG90*$AJ90,Paramètres!$F$32),0)</f>
        <v>0</v>
      </c>
      <c r="W90" s="20" t="n">
        <f aca="false" t="array" ref="W90:W90">IF(AND(INDEX(Profils!$Q$5:$Q$34,$AE90)&gt;0,INDEX(Profils!$AF$5:$AF$34,$AE90)&lt;=$AH90),ROUND(INDEX(Profils!$Q$5:$Q$34,$AE90)*Paramètres!$E$33*$AG90*$AJ90,Paramètres!$F$33),0)</f>
        <v>0.009</v>
      </c>
      <c r="X90" s="20" t="n">
        <f aca="false" t="array" ref="X90:X90">IF(AND(INDEX(Profils!$R$5:$R$34,$AE90)&gt;0,INDEX(Profils!$AG$5:$AG$34,$AE90)&lt;=$AH90),ROUND(INDEX(Profils!$R$5:$R$34,$AE90)*Paramètres!$E$34*$AG90*$AJ90,Paramètres!$F$34),0)</f>
        <v>0</v>
      </c>
      <c r="Y90" s="20" t="n">
        <f aca="false" t="array" ref="Y90:Y90">IF(AND(INDEX(Profils!$S$5:$S$34,$AE90)&gt;0,INDEX(Profils!$AH$5:$AH$34,$AE90)&lt;=$AH90),ROUND(INDEX(Profils!$S$5:$S$34,$AE90)*Paramètres!$E$35*$AG90*$AJ90,Paramètres!$F$35),0)</f>
        <v>0</v>
      </c>
      <c r="Z90" s="21" t="n">
        <f aca="false">ROUND(L90/Paramètres!$E$22+M90/Paramètres!$E$23+N90/Paramètres!$E$24+O90/Paramètres!$E$25+P90/Paramètres!$E$26+Q90/Paramètres!$E$27+R90/Paramètres!$E$28+S90/Paramètres!$E$29+T90/Paramètres!$E$30+U90/Paramètres!$E$31+V90/Paramètres!$E$32+W90/Paramètres!$E$33+X90/Paramètres!$E$34+Y90/Paramètres!$E$35,1)</f>
        <v>6.7</v>
      </c>
      <c r="AA90" s="22" t="s">
        <v>109</v>
      </c>
      <c r="AB90" s="22" t="s">
        <v>109</v>
      </c>
      <c r="AC90" s="15" t="str">
        <f aca="false">$E90</f>
        <v>mithril</v>
      </c>
      <c r="AD90" s="16" t="n">
        <f aca="false" t="array" ref="AD90:AD90">IF($I90&gt;=$AI90,"Max",ROUND(Paramètres!$B$40*($I90+1)^Paramètres!$B$41*INDEX(Paramètres!$H$6:$H$12,$AF90),0))</f>
        <v>6</v>
      </c>
      <c r="AE90" s="23" t="n">
        <f aca="false">MATCH($B90&amp;"|"&amp;$C90,Profils!$A$5:$A$34,0)</f>
        <v>3</v>
      </c>
      <c r="AF90" s="23" t="n">
        <v>5</v>
      </c>
      <c r="AG90" s="24" t="n">
        <f aca="false" t="array" ref="AG90:AG90">INDEX(Paramètres!$C$6:$C$12,$AF90)</f>
        <v>2.1</v>
      </c>
      <c r="AH90" s="23" t="n">
        <f aca="false" t="array" ref="AH90:AH90">INDEX(Paramètres!$D$6:$D$12,$AF90)</f>
        <v>6</v>
      </c>
      <c r="AI90" s="23" t="n">
        <f aca="false" t="array" ref="AI90:AI90">INDEX(Matériaux!$C$16:$C$20,$D90)</f>
        <v>25</v>
      </c>
      <c r="AJ90" s="25" t="n">
        <f aca="false">Paramètres!$B$16+(1-Paramètres!$B$16)*(($J90-Paramètres!$B$14)/(Paramètres!$B$15-Paramètres!$B$14))^Paramètres!$B$17</f>
        <v>0.458504333336152</v>
      </c>
    </row>
    <row r="91" customFormat="false" ht="15.75" hidden="false" customHeight="true" outlineLevel="0" collapsed="false">
      <c r="A91" s="14" t="s">
        <v>200</v>
      </c>
      <c r="B91" s="15" t="s">
        <v>27</v>
      </c>
      <c r="C91" s="15" t="s">
        <v>177</v>
      </c>
      <c r="D91" s="16" t="n">
        <v>4</v>
      </c>
      <c r="E91" s="15" t="str">
        <f aca="false" t="array" ref="E91:E91">INDEX(Matériaux!$B$5:$F$12,MATCH(INDEX(Profils!$E$5:$E$34,$AE91),Matériaux!$A$5:$A$12,0),$D91)</f>
        <v>mithril</v>
      </c>
      <c r="F91" s="30" t="s">
        <v>119</v>
      </c>
      <c r="G91" s="10" t="str">
        <f aca="false" t="array" ref="G91:G91">INDEX(Profils!$D$5:$D$34,$AE91)&amp;" en "&amp;$E91</f>
        <v>Jambières en mithril</v>
      </c>
      <c r="H91" s="16" t="n">
        <f aca="false" t="array" ref="H91:H91">INDEX(Matériaux!$B$16:$B$20,$D91)</f>
        <v>50</v>
      </c>
      <c r="I91" s="16" t="n">
        <f aca="false">IF(ISNUMBER($C$3),MIN(MAX(0,ROUND($C$3,0)),$AI91),$AI91)</f>
        <v>0</v>
      </c>
      <c r="J91" s="18" t="n">
        <f aca="false">$H91+$I91</f>
        <v>50</v>
      </c>
      <c r="K91" s="15" t="s">
        <v>109</v>
      </c>
      <c r="L91" s="19" t="n">
        <f aca="false" t="array" ref="L91:L91">IF(AND(INDEX(Profils!$F$5:$F$34,$AE91)&gt;0,INDEX(Profils!$U$5:$U$34,$AE91)&lt;=$AH91),ROUND(INDEX(Profils!$F$5:$F$34,$AE91)*Paramètres!$E$22*$AG91*$AJ91,Paramètres!$F$22),0)</f>
        <v>55</v>
      </c>
      <c r="M91" s="19" t="n">
        <f aca="false" t="array" ref="M91:M91">IF(AND(INDEX(Profils!$G$5:$G$34,$AE91)&gt;0,INDEX(Profils!$V$5:$V$34,$AE91)&lt;=$AH91),ROUND(INDEX(Profils!$G$5:$G$34,$AE91)*Paramètres!$E$23*$AG91*$AJ91,Paramètres!$F$23),0)</f>
        <v>12</v>
      </c>
      <c r="N91" s="19" t="n">
        <f aca="false" t="array" ref="N91:N91">IF(AND(INDEX(Profils!$H$5:$H$34,$AE91)&gt;0,INDEX(Profils!$W$5:$W$34,$AE91)&lt;=$AH91),ROUND(INDEX(Profils!$H$5:$H$34,$AE91)*Paramètres!$E$24*$AG91*$AJ91,Paramètres!$F$24),0)</f>
        <v>23</v>
      </c>
      <c r="O91" s="19" t="n">
        <f aca="false" t="array" ref="O91:O91">IF(AND(INDEX(Profils!$I$5:$I$34,$AE91)&gt;0,INDEX(Profils!$X$5:$X$34,$AE91)&lt;=$AH91),ROUND(INDEX(Profils!$I$5:$I$34,$AE91)*Paramètres!$E$25*$AG91*$AJ91,Paramètres!$F$25),0)</f>
        <v>0</v>
      </c>
      <c r="P91" s="19" t="n">
        <f aca="false" t="array" ref="P91:P91">IF(AND(INDEX(Profils!$J$5:$J$34,$AE91)&gt;0,INDEX(Profils!$Y$5:$Y$34,$AE91)&lt;=$AH91),ROUND(INDEX(Profils!$J$5:$J$34,$AE91)*Paramètres!$E$26*$AG91*$AJ91,Paramètres!$F$26),0)</f>
        <v>8</v>
      </c>
      <c r="Q91" s="19" t="n">
        <f aca="false" t="array" ref="Q91:Q91">IF(AND(INDEX(Profils!$K$5:$K$34,$AE91)&gt;0,INDEX(Profils!$Z$5:$Z$34,$AE91)&lt;=$AH91),ROUND(INDEX(Profils!$K$5:$K$34,$AE91)*Paramètres!$E$27*$AG91*$AJ91,Paramètres!$F$27),0)</f>
        <v>0</v>
      </c>
      <c r="R91" s="20" t="n">
        <f aca="false" t="array" ref="R91:R91">IF(AND(INDEX(Profils!$L$5:$L$34,$AE91)&gt;0,INDEX(Profils!$AA$5:$AA$34,$AE91)&lt;=$AH91),ROUND(INDEX(Profils!$L$5:$L$34,$AE91)*Paramètres!$E$28*$AG91*$AJ91,Paramètres!$F$28),0)</f>
        <v>0</v>
      </c>
      <c r="S91" s="20" t="n">
        <f aca="false" t="array" ref="S91:S91">IF(AND(INDEX(Profils!$M$5:$M$34,$AE91)&gt;0,INDEX(Profils!$AB$5:$AB$34,$AE91)&lt;=$AH91),ROUND(INDEX(Profils!$M$5:$M$34,$AE91)*Paramètres!$E$29*$AG91*$AJ91,Paramètres!$F$29),0)</f>
        <v>0</v>
      </c>
      <c r="T91" s="20" t="n">
        <f aca="false" t="array" ref="T91:T91">IF(AND(INDEX(Profils!$N$5:$N$34,$AE91)&gt;0,INDEX(Profils!$AC$5:$AC$34,$AE91)&lt;=$AH91),ROUND(INDEX(Profils!$N$5:$N$34,$AE91)*Paramètres!$E$30*$AG91*$AJ91,Paramètres!$F$30),0)</f>
        <v>0</v>
      </c>
      <c r="U91" s="19" t="n">
        <f aca="false" t="array" ref="U91:U91">IF(AND(INDEX(Profils!$O$5:$O$34,$AE91)&gt;0,INDEX(Profils!$AD$5:$AD$34,$AE91)&lt;=$AH91),ROUND(INDEX(Profils!$O$5:$O$34,$AE91)*Paramètres!$E$31*$AG91*$AJ91,Paramètres!$F$31),0)</f>
        <v>35</v>
      </c>
      <c r="V91" s="20" t="n">
        <f aca="false" t="array" ref="V91:V91">IF(AND(INDEX(Profils!$P$5:$P$34,$AE91)&gt;0,INDEX(Profils!$AE$5:$AE$34,$AE91)&lt;=$AH91),ROUND(INDEX(Profils!$P$5:$P$34,$AE91)*Paramètres!$E$32*$AG91*$AJ91,Paramètres!$F$32),0)</f>
        <v>0</v>
      </c>
      <c r="W91" s="20" t="n">
        <f aca="false" t="array" ref="W91:W91">IF(AND(INDEX(Profils!$Q$5:$Q$34,$AE91)&gt;0,INDEX(Profils!$AF$5:$AF$34,$AE91)&lt;=$AH91),ROUND(INDEX(Profils!$Q$5:$Q$34,$AE91)*Paramètres!$E$33*$AG91*$AJ91,Paramètres!$F$33),0)</f>
        <v>0.01</v>
      </c>
      <c r="X91" s="20" t="n">
        <f aca="false" t="array" ref="X91:X91">IF(AND(INDEX(Profils!$R$5:$R$34,$AE91)&gt;0,INDEX(Profils!$AG$5:$AG$34,$AE91)&lt;=$AH91),ROUND(INDEX(Profils!$R$5:$R$34,$AE91)*Paramètres!$E$34*$AG91*$AJ91,Paramètres!$F$34),0)</f>
        <v>0</v>
      </c>
      <c r="Y91" s="20" t="n">
        <f aca="false" t="array" ref="Y91:Y91">IF(AND(INDEX(Profils!$S$5:$S$34,$AE91)&gt;0,INDEX(Profils!$AH$5:$AH$34,$AE91)&lt;=$AH91),ROUND(INDEX(Profils!$S$5:$S$34,$AE91)*Paramètres!$E$35*$AG91*$AJ91,Paramètres!$F$35),0)</f>
        <v>0.008</v>
      </c>
      <c r="Z91" s="21" t="n">
        <f aca="false">ROUND(L91/Paramètres!$E$22+M91/Paramètres!$E$23+N91/Paramètres!$E$24+O91/Paramètres!$E$25+P91/Paramètres!$E$26+Q91/Paramètres!$E$27+R91/Paramètres!$E$28+S91/Paramètres!$E$29+T91/Paramètres!$E$30+U91/Paramètres!$E$31+V91/Paramètres!$E$32+W91/Paramètres!$E$33+X91/Paramètres!$E$34+Y91/Paramètres!$E$35,1)</f>
        <v>8.2</v>
      </c>
      <c r="AA91" s="22" t="s">
        <v>109</v>
      </c>
      <c r="AB91" s="22" t="s">
        <v>109</v>
      </c>
      <c r="AC91" s="15" t="str">
        <f aca="false">$E91</f>
        <v>mithril</v>
      </c>
      <c r="AD91" s="16" t="n">
        <f aca="false" t="array" ref="AD91:AD91">IF($I91&gt;=$AI91,"Max",ROUND(Paramètres!$B$40*($I91+1)^Paramètres!$B$41*INDEX(Paramètres!$H$6:$H$12,$AF91),0))</f>
        <v>8</v>
      </c>
      <c r="AE91" s="23" t="n">
        <f aca="false">MATCH($B91&amp;"|"&amp;$C91,Profils!$A$5:$A$34,0)</f>
        <v>3</v>
      </c>
      <c r="AF91" s="23" t="n">
        <v>6</v>
      </c>
      <c r="AG91" s="24" t="n">
        <f aca="false" t="array" ref="AG91:AG91">INDEX(Paramètres!$C$6:$C$12,$AF91)</f>
        <v>2.4</v>
      </c>
      <c r="AH91" s="23" t="n">
        <f aca="false" t="array" ref="AH91:AH91">INDEX(Paramètres!$D$6:$D$12,$AF91)</f>
        <v>7</v>
      </c>
      <c r="AI91" s="23" t="n">
        <f aca="false" t="array" ref="AI91:AI91">INDEX(Matériaux!$C$16:$C$20,$D91)</f>
        <v>25</v>
      </c>
      <c r="AJ91" s="25" t="n">
        <f aca="false">Paramètres!$B$16+(1-Paramètres!$B$16)*(($J91-Paramètres!$B$14)/(Paramètres!$B$15-Paramètres!$B$14))^Paramètres!$B$17</f>
        <v>0.458504333336152</v>
      </c>
    </row>
    <row r="92" customFormat="false" ht="15.75" hidden="false" customHeight="true" outlineLevel="0" collapsed="false">
      <c r="A92" s="14" t="s">
        <v>201</v>
      </c>
      <c r="B92" s="15" t="s">
        <v>27</v>
      </c>
      <c r="C92" s="15" t="s">
        <v>177</v>
      </c>
      <c r="D92" s="16" t="n">
        <v>5</v>
      </c>
      <c r="E92" s="15" t="str">
        <f aca="false" t="array" ref="E92:E92">INDEX(Matériaux!$B$5:$F$12,MATCH(INDEX(Profils!$E$5:$E$34,$AE92),Matériaux!$A$5:$A$12,0),$D92)</f>
        <v>adamantite</v>
      </c>
      <c r="F92" s="17" t="s">
        <v>108</v>
      </c>
      <c r="G92" s="10" t="str">
        <f aca="false" t="array" ref="G92:G92">INDEX(Profils!$D$5:$D$34,$AE92)&amp;" en "&amp;$E92</f>
        <v>Jambières en adamantite</v>
      </c>
      <c r="H92" s="16" t="n">
        <f aca="false" t="array" ref="H92:H92">INDEX(Matériaux!$B$16:$B$20,$D92)</f>
        <v>70</v>
      </c>
      <c r="I92" s="16" t="n">
        <f aca="false">IF(ISNUMBER($C$3),MIN(MAX(0,ROUND($C$3,0)),$AI92),$AI92)</f>
        <v>0</v>
      </c>
      <c r="J92" s="18" t="n">
        <f aca="false">$H92+$I92</f>
        <v>70</v>
      </c>
      <c r="K92" s="15" t="s">
        <v>109</v>
      </c>
      <c r="L92" s="19" t="n">
        <f aca="false" t="array" ref="L92:L92">IF(AND(INDEX(Profils!$F$5:$F$34,$AE92)&gt;0,INDEX(Profils!$U$5:$U$34,$AE92)&lt;=$AH92),ROUND(INDEX(Profils!$F$5:$F$34,$AE92)*Paramètres!$E$22*$AG92*$AJ92,Paramètres!$F$22),0)</f>
        <v>33</v>
      </c>
      <c r="M92" s="19" t="n">
        <f aca="false" t="array" ref="M92:M92">IF(AND(INDEX(Profils!$G$5:$G$34,$AE92)&gt;0,INDEX(Profils!$V$5:$V$34,$AE92)&lt;=$AH92),ROUND(INDEX(Profils!$G$5:$G$34,$AE92)*Paramètres!$E$23*$AG92*$AJ92,Paramètres!$F$23),0)</f>
        <v>0</v>
      </c>
      <c r="N92" s="19" t="n">
        <f aca="false" t="array" ref="N92:N92">IF(AND(INDEX(Profils!$H$5:$H$34,$AE92)&gt;0,INDEX(Profils!$W$5:$W$34,$AE92)&lt;=$AH92),ROUND(INDEX(Profils!$H$5:$H$34,$AE92)*Paramètres!$E$24*$AG92*$AJ92,Paramètres!$F$24),0)</f>
        <v>0</v>
      </c>
      <c r="O92" s="19" t="n">
        <f aca="false" t="array" ref="O92:O92">IF(AND(INDEX(Profils!$I$5:$I$34,$AE92)&gt;0,INDEX(Profils!$X$5:$X$34,$AE92)&lt;=$AH92),ROUND(INDEX(Profils!$I$5:$I$34,$AE92)*Paramètres!$E$25*$AG92*$AJ92,Paramètres!$F$25),0)</f>
        <v>0</v>
      </c>
      <c r="P92" s="19" t="n">
        <f aca="false" t="array" ref="P92:P92">IF(AND(INDEX(Profils!$J$5:$J$34,$AE92)&gt;0,INDEX(Profils!$Y$5:$Y$34,$AE92)&lt;=$AH92),ROUND(INDEX(Profils!$J$5:$J$34,$AE92)*Paramètres!$E$26*$AG92*$AJ92,Paramètres!$F$26),0)</f>
        <v>0</v>
      </c>
      <c r="Q92" s="19" t="n">
        <f aca="false" t="array" ref="Q92:Q92">IF(AND(INDEX(Profils!$K$5:$K$34,$AE92)&gt;0,INDEX(Profils!$Z$5:$Z$34,$AE92)&lt;=$AH92),ROUND(INDEX(Profils!$K$5:$K$34,$AE92)*Paramètres!$E$27*$AG92*$AJ92,Paramètres!$F$27),0)</f>
        <v>0</v>
      </c>
      <c r="R92" s="20" t="n">
        <f aca="false" t="array" ref="R92:R92">IF(AND(INDEX(Profils!$L$5:$L$34,$AE92)&gt;0,INDEX(Profils!$AA$5:$AA$34,$AE92)&lt;=$AH92),ROUND(INDEX(Profils!$L$5:$L$34,$AE92)*Paramètres!$E$28*$AG92*$AJ92,Paramètres!$F$28),0)</f>
        <v>0</v>
      </c>
      <c r="S92" s="20" t="n">
        <f aca="false" t="array" ref="S92:S92">IF(AND(INDEX(Profils!$M$5:$M$34,$AE92)&gt;0,INDEX(Profils!$AB$5:$AB$34,$AE92)&lt;=$AH92),ROUND(INDEX(Profils!$M$5:$M$34,$AE92)*Paramètres!$E$29*$AG92*$AJ92,Paramètres!$F$29),0)</f>
        <v>0</v>
      </c>
      <c r="T92" s="20" t="n">
        <f aca="false" t="array" ref="T92:T92">IF(AND(INDEX(Profils!$N$5:$N$34,$AE92)&gt;0,INDEX(Profils!$AC$5:$AC$34,$AE92)&lt;=$AH92),ROUND(INDEX(Profils!$N$5:$N$34,$AE92)*Paramètres!$E$30*$AG92*$AJ92,Paramètres!$F$30),0)</f>
        <v>0</v>
      </c>
      <c r="U92" s="19" t="n">
        <f aca="false" t="array" ref="U92:U92">IF(AND(INDEX(Profils!$O$5:$O$34,$AE92)&gt;0,INDEX(Profils!$AD$5:$AD$34,$AE92)&lt;=$AH92),ROUND(INDEX(Profils!$O$5:$O$34,$AE92)*Paramètres!$E$31*$AG92*$AJ92,Paramètres!$F$31),0)</f>
        <v>21</v>
      </c>
      <c r="V92" s="20" t="n">
        <f aca="false" t="array" ref="V92:V92">IF(AND(INDEX(Profils!$P$5:$P$34,$AE92)&gt;0,INDEX(Profils!$AE$5:$AE$34,$AE92)&lt;=$AH92),ROUND(INDEX(Profils!$P$5:$P$34,$AE92)*Paramètres!$E$32*$AG92*$AJ92,Paramètres!$F$32),0)</f>
        <v>0</v>
      </c>
      <c r="W92" s="20" t="n">
        <f aca="false" t="array" ref="W92:W92">IF(AND(INDEX(Profils!$Q$5:$Q$34,$AE92)&gt;0,INDEX(Profils!$AF$5:$AF$34,$AE92)&lt;=$AH92),ROUND(INDEX(Profils!$Q$5:$Q$34,$AE92)*Paramètres!$E$33*$AG92*$AJ92,Paramètres!$F$33),0)</f>
        <v>0</v>
      </c>
      <c r="X92" s="20" t="n">
        <f aca="false" t="array" ref="X92:X92">IF(AND(INDEX(Profils!$R$5:$R$34,$AE92)&gt;0,INDEX(Profils!$AG$5:$AG$34,$AE92)&lt;=$AH92),ROUND(INDEX(Profils!$R$5:$R$34,$AE92)*Paramètres!$E$34*$AG92*$AJ92,Paramètres!$F$34),0)</f>
        <v>0</v>
      </c>
      <c r="Y92" s="20" t="n">
        <f aca="false" t="array" ref="Y92:Y92">IF(AND(INDEX(Profils!$S$5:$S$34,$AE92)&gt;0,INDEX(Profils!$AH$5:$AH$34,$AE92)&lt;=$AH92),ROUND(INDEX(Profils!$S$5:$S$34,$AE92)*Paramètres!$E$35*$AG92*$AJ92,Paramètres!$F$35),0)</f>
        <v>0</v>
      </c>
      <c r="Z92" s="21" t="n">
        <f aca="false">ROUND(L92/Paramètres!$E$22+M92/Paramètres!$E$23+N92/Paramètres!$E$24+O92/Paramètres!$E$25+P92/Paramètres!$E$26+Q92/Paramètres!$E$27+R92/Paramètres!$E$28+S92/Paramètres!$E$29+T92/Paramètres!$E$30+U92/Paramètres!$E$31+V92/Paramètres!$E$32+W92/Paramètres!$E$33+X92/Paramètres!$E$34+Y92/Paramètres!$E$35,1)</f>
        <v>2.4</v>
      </c>
      <c r="AA92" s="22" t="s">
        <v>109</v>
      </c>
      <c r="AB92" s="22" t="s">
        <v>109</v>
      </c>
      <c r="AC92" s="15" t="str">
        <f aca="false">$E92</f>
        <v>adamantite</v>
      </c>
      <c r="AD92" s="16" t="n">
        <f aca="false" t="array" ref="AD92:AD92">IF($I92&gt;=$AI92,"Max",ROUND(Paramètres!$B$40*($I92+1)^Paramètres!$B$41*INDEX(Paramètres!$H$6:$H$12,$AF92),0))</f>
        <v>3</v>
      </c>
      <c r="AE92" s="23" t="n">
        <f aca="false">MATCH($B92&amp;"|"&amp;$C92,Profils!$A$5:$A$34,0)</f>
        <v>3</v>
      </c>
      <c r="AF92" s="23" t="n">
        <v>1</v>
      </c>
      <c r="AG92" s="24" t="n">
        <f aca="false" t="array" ref="AG92:AG92">INDEX(Paramètres!$C$6:$C$12,$AF92)</f>
        <v>1</v>
      </c>
      <c r="AH92" s="23" t="n">
        <f aca="false" t="array" ref="AH92:AH92">INDEX(Paramètres!$D$6:$D$12,$AF92)</f>
        <v>2</v>
      </c>
      <c r="AI92" s="23" t="n">
        <f aca="false" t="array" ref="AI92:AI92">INDEX(Matériaux!$C$16:$C$20,$D92)</f>
        <v>30</v>
      </c>
      <c r="AJ92" s="25" t="n">
        <f aca="false">Paramètres!$B$16+(1-Paramètres!$B$16)*(($J92-Paramètres!$B$14)/(Paramètres!$B$15-Paramètres!$B$14))^Paramètres!$B$17</f>
        <v>0.665999387952727</v>
      </c>
    </row>
    <row r="93" customFormat="false" ht="15.75" hidden="false" customHeight="true" outlineLevel="0" collapsed="false">
      <c r="A93" s="14" t="s">
        <v>202</v>
      </c>
      <c r="B93" s="15" t="s">
        <v>27</v>
      </c>
      <c r="C93" s="15" t="s">
        <v>177</v>
      </c>
      <c r="D93" s="16" t="n">
        <v>5</v>
      </c>
      <c r="E93" s="15" t="str">
        <f aca="false" t="array" ref="E93:E93">INDEX(Matériaux!$B$5:$F$12,MATCH(INDEX(Profils!$E$5:$E$34,$AE93),Matériaux!$A$5:$A$12,0),$D93)</f>
        <v>adamantite</v>
      </c>
      <c r="F93" s="26" t="s">
        <v>111</v>
      </c>
      <c r="G93" s="10" t="str">
        <f aca="false" t="array" ref="G93:G93">INDEX(Profils!$D$5:$D$34,$AE93)&amp;" en "&amp;$E93</f>
        <v>Jambières en adamantite</v>
      </c>
      <c r="H93" s="16" t="n">
        <f aca="false" t="array" ref="H93:H93">INDEX(Matériaux!$B$16:$B$20,$D93)</f>
        <v>70</v>
      </c>
      <c r="I93" s="16" t="n">
        <f aca="false">IF(ISNUMBER($C$3),MIN(MAX(0,ROUND($C$3,0)),$AI93),$AI93)</f>
        <v>0</v>
      </c>
      <c r="J93" s="18" t="n">
        <f aca="false">$H93+$I93</f>
        <v>70</v>
      </c>
      <c r="K93" s="15" t="s">
        <v>109</v>
      </c>
      <c r="L93" s="19" t="n">
        <f aca="false" t="array" ref="L93:L93">IF(AND(INDEX(Profils!$F$5:$F$34,$AE93)&gt;0,INDEX(Profils!$U$5:$U$34,$AE93)&lt;=$AH93),ROUND(INDEX(Profils!$F$5:$F$34,$AE93)*Paramètres!$E$22*$AG93*$AJ93,Paramètres!$F$22),0)</f>
        <v>40</v>
      </c>
      <c r="M93" s="19" t="n">
        <f aca="false" t="array" ref="M93:M93">IF(AND(INDEX(Profils!$G$5:$G$34,$AE93)&gt;0,INDEX(Profils!$V$5:$V$34,$AE93)&lt;=$AH93),ROUND(INDEX(Profils!$G$5:$G$34,$AE93)*Paramètres!$E$23*$AG93*$AJ93,Paramètres!$F$23),0)</f>
        <v>0</v>
      </c>
      <c r="N93" s="19" t="n">
        <f aca="false" t="array" ref="N93:N93">IF(AND(INDEX(Profils!$H$5:$H$34,$AE93)&gt;0,INDEX(Profils!$W$5:$W$34,$AE93)&lt;=$AH93),ROUND(INDEX(Profils!$H$5:$H$34,$AE93)*Paramètres!$E$24*$AG93*$AJ93,Paramètres!$F$24),0)</f>
        <v>17</v>
      </c>
      <c r="O93" s="19" t="n">
        <f aca="false" t="array" ref="O93:O93">IF(AND(INDEX(Profils!$I$5:$I$34,$AE93)&gt;0,INDEX(Profils!$X$5:$X$34,$AE93)&lt;=$AH93),ROUND(INDEX(Profils!$I$5:$I$34,$AE93)*Paramètres!$E$25*$AG93*$AJ93,Paramètres!$F$25),0)</f>
        <v>0</v>
      </c>
      <c r="P93" s="19" t="n">
        <f aca="false" t="array" ref="P93:P93">IF(AND(INDEX(Profils!$J$5:$J$34,$AE93)&gt;0,INDEX(Profils!$Y$5:$Y$34,$AE93)&lt;=$AH93),ROUND(INDEX(Profils!$J$5:$J$34,$AE93)*Paramètres!$E$26*$AG93*$AJ93,Paramètres!$F$26),0)</f>
        <v>0</v>
      </c>
      <c r="Q93" s="19" t="n">
        <f aca="false" t="array" ref="Q93:Q93">IF(AND(INDEX(Profils!$K$5:$K$34,$AE93)&gt;0,INDEX(Profils!$Z$5:$Z$34,$AE93)&lt;=$AH93),ROUND(INDEX(Profils!$K$5:$K$34,$AE93)*Paramètres!$E$27*$AG93*$AJ93,Paramètres!$F$27),0)</f>
        <v>0</v>
      </c>
      <c r="R93" s="20" t="n">
        <f aca="false" t="array" ref="R93:R93">IF(AND(INDEX(Profils!$L$5:$L$34,$AE93)&gt;0,INDEX(Profils!$AA$5:$AA$34,$AE93)&lt;=$AH93),ROUND(INDEX(Profils!$L$5:$L$34,$AE93)*Paramètres!$E$28*$AG93*$AJ93,Paramètres!$F$28),0)</f>
        <v>0</v>
      </c>
      <c r="S93" s="20" t="n">
        <f aca="false" t="array" ref="S93:S93">IF(AND(INDEX(Profils!$M$5:$M$34,$AE93)&gt;0,INDEX(Profils!$AB$5:$AB$34,$AE93)&lt;=$AH93),ROUND(INDEX(Profils!$M$5:$M$34,$AE93)*Paramètres!$E$29*$AG93*$AJ93,Paramètres!$F$29),0)</f>
        <v>0</v>
      </c>
      <c r="T93" s="20" t="n">
        <f aca="false" t="array" ref="T93:T93">IF(AND(INDEX(Profils!$N$5:$N$34,$AE93)&gt;0,INDEX(Profils!$AC$5:$AC$34,$AE93)&lt;=$AH93),ROUND(INDEX(Profils!$N$5:$N$34,$AE93)*Paramètres!$E$30*$AG93*$AJ93,Paramètres!$F$30),0)</f>
        <v>0</v>
      </c>
      <c r="U93" s="19" t="n">
        <f aca="false" t="array" ref="U93:U93">IF(AND(INDEX(Profils!$O$5:$O$34,$AE93)&gt;0,INDEX(Profils!$AD$5:$AD$34,$AE93)&lt;=$AH93),ROUND(INDEX(Profils!$O$5:$O$34,$AE93)*Paramètres!$E$31*$AG93*$AJ93,Paramètres!$F$31),0)</f>
        <v>26</v>
      </c>
      <c r="V93" s="20" t="n">
        <f aca="false" t="array" ref="V93:V93">IF(AND(INDEX(Profils!$P$5:$P$34,$AE93)&gt;0,INDEX(Profils!$AE$5:$AE$34,$AE93)&lt;=$AH93),ROUND(INDEX(Profils!$P$5:$P$34,$AE93)*Paramètres!$E$32*$AG93*$AJ93,Paramètres!$F$32),0)</f>
        <v>0</v>
      </c>
      <c r="W93" s="20" t="n">
        <f aca="false" t="array" ref="W93:W93">IF(AND(INDEX(Profils!$Q$5:$Q$34,$AE93)&gt;0,INDEX(Profils!$AF$5:$AF$34,$AE93)&lt;=$AH93),ROUND(INDEX(Profils!$Q$5:$Q$34,$AE93)*Paramètres!$E$33*$AG93*$AJ93,Paramètres!$F$33),0)</f>
        <v>0</v>
      </c>
      <c r="X93" s="20" t="n">
        <f aca="false" t="array" ref="X93:X93">IF(AND(INDEX(Profils!$R$5:$R$34,$AE93)&gt;0,INDEX(Profils!$AG$5:$AG$34,$AE93)&lt;=$AH93),ROUND(INDEX(Profils!$R$5:$R$34,$AE93)*Paramètres!$E$34*$AG93*$AJ93,Paramètres!$F$34),0)</f>
        <v>0</v>
      </c>
      <c r="Y93" s="20" t="n">
        <f aca="false" t="array" ref="Y93:Y93">IF(AND(INDEX(Profils!$S$5:$S$34,$AE93)&gt;0,INDEX(Profils!$AH$5:$AH$34,$AE93)&lt;=$AH93),ROUND(INDEX(Profils!$S$5:$S$34,$AE93)*Paramètres!$E$35*$AG93*$AJ93,Paramètres!$F$35),0)</f>
        <v>0</v>
      </c>
      <c r="Z93" s="21" t="n">
        <f aca="false">ROUND(L93/Paramètres!$E$22+M93/Paramètres!$E$23+N93/Paramètres!$E$24+O93/Paramètres!$E$25+P93/Paramètres!$E$26+Q93/Paramètres!$E$27+R93/Paramètres!$E$28+S93/Paramètres!$E$29+T93/Paramètres!$E$30+U93/Paramètres!$E$31+V93/Paramètres!$E$32+W93/Paramètres!$E$33+X93/Paramètres!$E$34+Y93/Paramètres!$E$35,1)</f>
        <v>4</v>
      </c>
      <c r="AA93" s="22" t="s">
        <v>109</v>
      </c>
      <c r="AB93" s="22" t="s">
        <v>109</v>
      </c>
      <c r="AC93" s="15" t="str">
        <f aca="false">$E93</f>
        <v>adamantite</v>
      </c>
      <c r="AD93" s="16" t="n">
        <f aca="false" t="array" ref="AD93:AD93">IF($I93&gt;=$AI93,"Max",ROUND(Paramètres!$B$40*($I93+1)^Paramètres!$B$41*INDEX(Paramètres!$H$6:$H$12,$AF93),0))</f>
        <v>4</v>
      </c>
      <c r="AE93" s="23" t="n">
        <f aca="false">MATCH($B93&amp;"|"&amp;$C93,Profils!$A$5:$A$34,0)</f>
        <v>3</v>
      </c>
      <c r="AF93" s="23" t="n">
        <v>2</v>
      </c>
      <c r="AG93" s="24" t="n">
        <f aca="false" t="array" ref="AG93:AG93">INDEX(Paramètres!$C$6:$C$12,$AF93)</f>
        <v>1.2</v>
      </c>
      <c r="AH93" s="23" t="n">
        <f aca="false" t="array" ref="AH93:AH93">INDEX(Paramètres!$D$6:$D$12,$AF93)</f>
        <v>3</v>
      </c>
      <c r="AI93" s="23" t="n">
        <f aca="false" t="array" ref="AI93:AI93">INDEX(Matériaux!$C$16:$C$20,$D93)</f>
        <v>30</v>
      </c>
      <c r="AJ93" s="25" t="n">
        <f aca="false">Paramètres!$B$16+(1-Paramètres!$B$16)*(($J93-Paramètres!$B$14)/(Paramètres!$B$15-Paramètres!$B$14))^Paramètres!$B$17</f>
        <v>0.665999387952727</v>
      </c>
    </row>
    <row r="94" customFormat="false" ht="15.75" hidden="false" customHeight="true" outlineLevel="0" collapsed="false">
      <c r="A94" s="14" t="s">
        <v>203</v>
      </c>
      <c r="B94" s="15" t="s">
        <v>27</v>
      </c>
      <c r="C94" s="15" t="s">
        <v>177</v>
      </c>
      <c r="D94" s="16" t="n">
        <v>5</v>
      </c>
      <c r="E94" s="15" t="str">
        <f aca="false" t="array" ref="E94:E94">INDEX(Matériaux!$B$5:$F$12,MATCH(INDEX(Profils!$E$5:$E$34,$AE94),Matériaux!$A$5:$A$12,0),$D94)</f>
        <v>adamantite</v>
      </c>
      <c r="F94" s="27" t="s">
        <v>113</v>
      </c>
      <c r="G94" s="10" t="str">
        <f aca="false" t="array" ref="G94:G94">INDEX(Profils!$D$5:$D$34,$AE94)&amp;" en "&amp;$E94</f>
        <v>Jambières en adamantite</v>
      </c>
      <c r="H94" s="16" t="n">
        <f aca="false" t="array" ref="H94:H94">INDEX(Matériaux!$B$16:$B$20,$D94)</f>
        <v>70</v>
      </c>
      <c r="I94" s="16" t="n">
        <f aca="false">IF(ISNUMBER($C$3),MIN(MAX(0,ROUND($C$3,0)),$AI94),$AI94)</f>
        <v>0</v>
      </c>
      <c r="J94" s="18" t="n">
        <f aca="false">$H94+$I94</f>
        <v>70</v>
      </c>
      <c r="K94" s="15" t="s">
        <v>109</v>
      </c>
      <c r="L94" s="19" t="n">
        <f aca="false" t="array" ref="L94:L94">IF(AND(INDEX(Profils!$F$5:$F$34,$AE94)&gt;0,INDEX(Profils!$U$5:$U$34,$AE94)&lt;=$AH94),ROUND(INDEX(Profils!$F$5:$F$34,$AE94)*Paramètres!$E$22*$AG94*$AJ94,Paramètres!$F$22),0)</f>
        <v>48</v>
      </c>
      <c r="M94" s="19" t="n">
        <f aca="false" t="array" ref="M94:M94">IF(AND(INDEX(Profils!$G$5:$G$34,$AE94)&gt;0,INDEX(Profils!$V$5:$V$34,$AE94)&lt;=$AH94),ROUND(INDEX(Profils!$G$5:$G$34,$AE94)*Paramètres!$E$23*$AG94*$AJ94,Paramètres!$F$23),0)</f>
        <v>10</v>
      </c>
      <c r="N94" s="19" t="n">
        <f aca="false" t="array" ref="N94:N94">IF(AND(INDEX(Profils!$H$5:$H$34,$AE94)&gt;0,INDEX(Profils!$W$5:$W$34,$AE94)&lt;=$AH94),ROUND(INDEX(Profils!$H$5:$H$34,$AE94)*Paramètres!$E$24*$AG94*$AJ94,Paramètres!$F$24),0)</f>
        <v>20</v>
      </c>
      <c r="O94" s="19" t="n">
        <f aca="false" t="array" ref="O94:O94">IF(AND(INDEX(Profils!$I$5:$I$34,$AE94)&gt;0,INDEX(Profils!$X$5:$X$34,$AE94)&lt;=$AH94),ROUND(INDEX(Profils!$I$5:$I$34,$AE94)*Paramètres!$E$25*$AG94*$AJ94,Paramètres!$F$25),0)</f>
        <v>0</v>
      </c>
      <c r="P94" s="19" t="n">
        <f aca="false" t="array" ref="P94:P94">IF(AND(INDEX(Profils!$J$5:$J$34,$AE94)&gt;0,INDEX(Profils!$Y$5:$Y$34,$AE94)&lt;=$AH94),ROUND(INDEX(Profils!$J$5:$J$34,$AE94)*Paramètres!$E$26*$AG94*$AJ94,Paramètres!$F$26),0)</f>
        <v>0</v>
      </c>
      <c r="Q94" s="19" t="n">
        <f aca="false" t="array" ref="Q94:Q94">IF(AND(INDEX(Profils!$K$5:$K$34,$AE94)&gt;0,INDEX(Profils!$Z$5:$Z$34,$AE94)&lt;=$AH94),ROUND(INDEX(Profils!$K$5:$K$34,$AE94)*Paramètres!$E$27*$AG94*$AJ94,Paramètres!$F$27),0)</f>
        <v>0</v>
      </c>
      <c r="R94" s="20" t="n">
        <f aca="false" t="array" ref="R94:R94">IF(AND(INDEX(Profils!$L$5:$L$34,$AE94)&gt;0,INDEX(Profils!$AA$5:$AA$34,$AE94)&lt;=$AH94),ROUND(INDEX(Profils!$L$5:$L$34,$AE94)*Paramètres!$E$28*$AG94*$AJ94,Paramètres!$F$28),0)</f>
        <v>0</v>
      </c>
      <c r="S94" s="20" t="n">
        <f aca="false" t="array" ref="S94:S94">IF(AND(INDEX(Profils!$M$5:$M$34,$AE94)&gt;0,INDEX(Profils!$AB$5:$AB$34,$AE94)&lt;=$AH94),ROUND(INDEX(Profils!$M$5:$M$34,$AE94)*Paramètres!$E$29*$AG94*$AJ94,Paramètres!$F$29),0)</f>
        <v>0</v>
      </c>
      <c r="T94" s="20" t="n">
        <f aca="false" t="array" ref="T94:T94">IF(AND(INDEX(Profils!$N$5:$N$34,$AE94)&gt;0,INDEX(Profils!$AC$5:$AC$34,$AE94)&lt;=$AH94),ROUND(INDEX(Profils!$N$5:$N$34,$AE94)*Paramètres!$E$30*$AG94*$AJ94,Paramètres!$F$30),0)</f>
        <v>0</v>
      </c>
      <c r="U94" s="19" t="n">
        <f aca="false" t="array" ref="U94:U94">IF(AND(INDEX(Profils!$O$5:$O$34,$AE94)&gt;0,INDEX(Profils!$AD$5:$AD$34,$AE94)&lt;=$AH94),ROUND(INDEX(Profils!$O$5:$O$34,$AE94)*Paramètres!$E$31*$AG94*$AJ94,Paramètres!$F$31),0)</f>
        <v>31</v>
      </c>
      <c r="V94" s="20" t="n">
        <f aca="false" t="array" ref="V94:V94">IF(AND(INDEX(Profils!$P$5:$P$34,$AE94)&gt;0,INDEX(Profils!$AE$5:$AE$34,$AE94)&lt;=$AH94),ROUND(INDEX(Profils!$P$5:$P$34,$AE94)*Paramètres!$E$32*$AG94*$AJ94,Paramètres!$F$32),0)</f>
        <v>0</v>
      </c>
      <c r="W94" s="20" t="n">
        <f aca="false" t="array" ref="W94:W94">IF(AND(INDEX(Profils!$Q$5:$Q$34,$AE94)&gt;0,INDEX(Profils!$AF$5:$AF$34,$AE94)&lt;=$AH94),ROUND(INDEX(Profils!$Q$5:$Q$34,$AE94)*Paramètres!$E$33*$AG94*$AJ94,Paramètres!$F$33),0)</f>
        <v>0</v>
      </c>
      <c r="X94" s="20" t="n">
        <f aca="false" t="array" ref="X94:X94">IF(AND(INDEX(Profils!$R$5:$R$34,$AE94)&gt;0,INDEX(Profils!$AG$5:$AG$34,$AE94)&lt;=$AH94),ROUND(INDEX(Profils!$R$5:$R$34,$AE94)*Paramètres!$E$34*$AG94*$AJ94,Paramètres!$F$34),0)</f>
        <v>0</v>
      </c>
      <c r="Y94" s="20" t="n">
        <f aca="false" t="array" ref="Y94:Y94">IF(AND(INDEX(Profils!$S$5:$S$34,$AE94)&gt;0,INDEX(Profils!$AH$5:$AH$34,$AE94)&lt;=$AH94),ROUND(INDEX(Profils!$S$5:$S$34,$AE94)*Paramètres!$E$35*$AG94*$AJ94,Paramètres!$F$35),0)</f>
        <v>0</v>
      </c>
      <c r="Z94" s="21" t="n">
        <f aca="false">ROUND(L94/Paramètres!$E$22+M94/Paramètres!$E$23+N94/Paramètres!$E$24+O94/Paramètres!$E$25+P94/Paramètres!$E$26+Q94/Paramètres!$E$27+R94/Paramètres!$E$28+S94/Paramètres!$E$29+T94/Paramètres!$E$30+U94/Paramètres!$E$31+V94/Paramètres!$E$32+W94/Paramètres!$E$33+X94/Paramètres!$E$34+Y94/Paramètres!$E$35,1)</f>
        <v>5.5</v>
      </c>
      <c r="AA94" s="22" t="s">
        <v>109</v>
      </c>
      <c r="AB94" s="22" t="s">
        <v>109</v>
      </c>
      <c r="AC94" s="15" t="str">
        <f aca="false">$E94</f>
        <v>adamantite</v>
      </c>
      <c r="AD94" s="16" t="n">
        <f aca="false" t="array" ref="AD94:AD94">IF($I94&gt;=$AI94,"Max",ROUND(Paramètres!$B$40*($I94+1)^Paramètres!$B$41*INDEX(Paramètres!$H$6:$H$12,$AF94),0))</f>
        <v>4</v>
      </c>
      <c r="AE94" s="23" t="n">
        <f aca="false">MATCH($B94&amp;"|"&amp;$C94,Profils!$A$5:$A$34,0)</f>
        <v>3</v>
      </c>
      <c r="AF94" s="23" t="n">
        <v>3</v>
      </c>
      <c r="AG94" s="24" t="n">
        <f aca="false" t="array" ref="AG94:AG94">INDEX(Paramètres!$C$6:$C$12,$AF94)</f>
        <v>1.45</v>
      </c>
      <c r="AH94" s="23" t="n">
        <f aca="false" t="array" ref="AH94:AH94">INDEX(Paramètres!$D$6:$D$12,$AF94)</f>
        <v>4</v>
      </c>
      <c r="AI94" s="23" t="n">
        <f aca="false" t="array" ref="AI94:AI94">INDEX(Matériaux!$C$16:$C$20,$D94)</f>
        <v>30</v>
      </c>
      <c r="AJ94" s="25" t="n">
        <f aca="false">Paramètres!$B$16+(1-Paramètres!$B$16)*(($J94-Paramètres!$B$14)/(Paramètres!$B$15-Paramètres!$B$14))^Paramètres!$B$17</f>
        <v>0.665999387952727</v>
      </c>
    </row>
    <row r="95" customFormat="false" ht="15.75" hidden="false" customHeight="true" outlineLevel="0" collapsed="false">
      <c r="A95" s="14" t="s">
        <v>204</v>
      </c>
      <c r="B95" s="15" t="s">
        <v>27</v>
      </c>
      <c r="C95" s="15" t="s">
        <v>177</v>
      </c>
      <c r="D95" s="16" t="n">
        <v>5</v>
      </c>
      <c r="E95" s="15" t="str">
        <f aca="false" t="array" ref="E95:E95">INDEX(Matériaux!$B$5:$F$12,MATCH(INDEX(Profils!$E$5:$E$34,$AE95),Matériaux!$A$5:$A$12,0),$D95)</f>
        <v>adamantite</v>
      </c>
      <c r="F95" s="28" t="s">
        <v>115</v>
      </c>
      <c r="G95" s="10" t="str">
        <f aca="false" t="array" ref="G95:G95">INDEX(Profils!$D$5:$D$34,$AE95)&amp;" en "&amp;$E95</f>
        <v>Jambières en adamantite</v>
      </c>
      <c r="H95" s="16" t="n">
        <f aca="false" t="array" ref="H95:H95">INDEX(Matériaux!$B$16:$B$20,$D95)</f>
        <v>70</v>
      </c>
      <c r="I95" s="16" t="n">
        <f aca="false">IF(ISNUMBER($C$3),MIN(MAX(0,ROUND($C$3,0)),$AI95),$AI95)</f>
        <v>0</v>
      </c>
      <c r="J95" s="18" t="n">
        <f aca="false">$H95+$I95</f>
        <v>70</v>
      </c>
      <c r="K95" s="15" t="s">
        <v>109</v>
      </c>
      <c r="L95" s="19" t="n">
        <f aca="false" t="array" ref="L95:L95">IF(AND(INDEX(Profils!$F$5:$F$34,$AE95)&gt;0,INDEX(Profils!$U$5:$U$34,$AE95)&lt;=$AH95),ROUND(INDEX(Profils!$F$5:$F$34,$AE95)*Paramètres!$E$22*$AG95*$AJ95,Paramètres!$F$22),0)</f>
        <v>58</v>
      </c>
      <c r="M95" s="19" t="n">
        <f aca="false" t="array" ref="M95:M95">IF(AND(INDEX(Profils!$G$5:$G$34,$AE95)&gt;0,INDEX(Profils!$V$5:$V$34,$AE95)&lt;=$AH95),ROUND(INDEX(Profils!$G$5:$G$34,$AE95)*Paramètres!$E$23*$AG95*$AJ95,Paramètres!$F$23),0)</f>
        <v>12</v>
      </c>
      <c r="N95" s="19" t="n">
        <f aca="false" t="array" ref="N95:N95">IF(AND(INDEX(Profils!$H$5:$H$34,$AE95)&gt;0,INDEX(Profils!$W$5:$W$34,$AE95)&lt;=$AH95),ROUND(INDEX(Profils!$H$5:$H$34,$AE95)*Paramètres!$E$24*$AG95*$AJ95,Paramètres!$F$24),0)</f>
        <v>24</v>
      </c>
      <c r="O95" s="19" t="n">
        <f aca="false" t="array" ref="O95:O95">IF(AND(INDEX(Profils!$I$5:$I$34,$AE95)&gt;0,INDEX(Profils!$X$5:$X$34,$AE95)&lt;=$AH95),ROUND(INDEX(Profils!$I$5:$I$34,$AE95)*Paramètres!$E$25*$AG95*$AJ95,Paramètres!$F$25),0)</f>
        <v>0</v>
      </c>
      <c r="P95" s="19" t="n">
        <f aca="false" t="array" ref="P95:P95">IF(AND(INDEX(Profils!$J$5:$J$34,$AE95)&gt;0,INDEX(Profils!$Y$5:$Y$34,$AE95)&lt;=$AH95),ROUND(INDEX(Profils!$J$5:$J$34,$AE95)*Paramètres!$E$26*$AG95*$AJ95,Paramètres!$F$26),0)</f>
        <v>8</v>
      </c>
      <c r="Q95" s="19" t="n">
        <f aca="false" t="array" ref="Q95:Q95">IF(AND(INDEX(Profils!$K$5:$K$34,$AE95)&gt;0,INDEX(Profils!$Z$5:$Z$34,$AE95)&lt;=$AH95),ROUND(INDEX(Profils!$K$5:$K$34,$AE95)*Paramètres!$E$27*$AG95*$AJ95,Paramètres!$F$27),0)</f>
        <v>0</v>
      </c>
      <c r="R95" s="20" t="n">
        <f aca="false" t="array" ref="R95:R95">IF(AND(INDEX(Profils!$L$5:$L$34,$AE95)&gt;0,INDEX(Profils!$AA$5:$AA$34,$AE95)&lt;=$AH95),ROUND(INDEX(Profils!$L$5:$L$34,$AE95)*Paramètres!$E$28*$AG95*$AJ95,Paramètres!$F$28),0)</f>
        <v>0</v>
      </c>
      <c r="S95" s="20" t="n">
        <f aca="false" t="array" ref="S95:S95">IF(AND(INDEX(Profils!$M$5:$M$34,$AE95)&gt;0,INDEX(Profils!$AB$5:$AB$34,$AE95)&lt;=$AH95),ROUND(INDEX(Profils!$M$5:$M$34,$AE95)*Paramètres!$E$29*$AG95*$AJ95,Paramètres!$F$29),0)</f>
        <v>0</v>
      </c>
      <c r="T95" s="20" t="n">
        <f aca="false" t="array" ref="T95:T95">IF(AND(INDEX(Profils!$N$5:$N$34,$AE95)&gt;0,INDEX(Profils!$AC$5:$AC$34,$AE95)&lt;=$AH95),ROUND(INDEX(Profils!$N$5:$N$34,$AE95)*Paramètres!$E$30*$AG95*$AJ95,Paramètres!$F$30),0)</f>
        <v>0</v>
      </c>
      <c r="U95" s="19" t="n">
        <f aca="false" t="array" ref="U95:U95">IF(AND(INDEX(Profils!$O$5:$O$34,$AE95)&gt;0,INDEX(Profils!$AD$5:$AD$34,$AE95)&lt;=$AH95),ROUND(INDEX(Profils!$O$5:$O$34,$AE95)*Paramètres!$E$31*$AG95*$AJ95,Paramètres!$F$31),0)</f>
        <v>37</v>
      </c>
      <c r="V95" s="20" t="n">
        <f aca="false" t="array" ref="V95:V95">IF(AND(INDEX(Profils!$P$5:$P$34,$AE95)&gt;0,INDEX(Profils!$AE$5:$AE$34,$AE95)&lt;=$AH95),ROUND(INDEX(Profils!$P$5:$P$34,$AE95)*Paramètres!$E$32*$AG95*$AJ95,Paramètres!$F$32),0)</f>
        <v>0</v>
      </c>
      <c r="W95" s="20" t="n">
        <f aca="false" t="array" ref="W95:W95">IF(AND(INDEX(Profils!$Q$5:$Q$34,$AE95)&gt;0,INDEX(Profils!$AF$5:$AF$34,$AE95)&lt;=$AH95),ROUND(INDEX(Profils!$Q$5:$Q$34,$AE95)*Paramètres!$E$33*$AG95*$AJ95,Paramètres!$F$33),0)</f>
        <v>0</v>
      </c>
      <c r="X95" s="20" t="n">
        <f aca="false" t="array" ref="X95:X95">IF(AND(INDEX(Profils!$R$5:$R$34,$AE95)&gt;0,INDEX(Profils!$AG$5:$AG$34,$AE95)&lt;=$AH95),ROUND(INDEX(Profils!$R$5:$R$34,$AE95)*Paramètres!$E$34*$AG95*$AJ95,Paramètres!$F$34),0)</f>
        <v>0</v>
      </c>
      <c r="Y95" s="20" t="n">
        <f aca="false" t="array" ref="Y95:Y95">IF(AND(INDEX(Profils!$S$5:$S$34,$AE95)&gt;0,INDEX(Profils!$AH$5:$AH$34,$AE95)&lt;=$AH95),ROUND(INDEX(Profils!$S$5:$S$34,$AE95)*Paramètres!$E$35*$AG95*$AJ95,Paramètres!$F$35),0)</f>
        <v>0</v>
      </c>
      <c r="Z95" s="21" t="n">
        <f aca="false">ROUND(L95/Paramètres!$E$22+M95/Paramètres!$E$23+N95/Paramètres!$E$24+O95/Paramètres!$E$25+P95/Paramètres!$E$26+Q95/Paramètres!$E$27+R95/Paramètres!$E$28+S95/Paramètres!$E$29+T95/Paramètres!$E$30+U95/Paramètres!$E$31+V95/Paramètres!$E$32+W95/Paramètres!$E$33+X95/Paramètres!$E$34+Y95/Paramètres!$E$35,1)</f>
        <v>7.2</v>
      </c>
      <c r="AA95" s="22" t="s">
        <v>109</v>
      </c>
      <c r="AB95" s="22" t="s">
        <v>109</v>
      </c>
      <c r="AC95" s="15" t="str">
        <f aca="false">$E95</f>
        <v>adamantite</v>
      </c>
      <c r="AD95" s="16" t="n">
        <f aca="false" t="array" ref="AD95:AD95">IF($I95&gt;=$AI95,"Max",ROUND(Paramètres!$B$40*($I95+1)^Paramètres!$B$41*INDEX(Paramètres!$H$6:$H$12,$AF95),0))</f>
        <v>5</v>
      </c>
      <c r="AE95" s="23" t="n">
        <f aca="false">MATCH($B95&amp;"|"&amp;$C95,Profils!$A$5:$A$34,0)</f>
        <v>3</v>
      </c>
      <c r="AF95" s="23" t="n">
        <v>4</v>
      </c>
      <c r="AG95" s="24" t="n">
        <f aca="false" t="array" ref="AG95:AG95">INDEX(Paramètres!$C$6:$C$12,$AF95)</f>
        <v>1.75</v>
      </c>
      <c r="AH95" s="23" t="n">
        <f aca="false" t="array" ref="AH95:AH95">INDEX(Paramètres!$D$6:$D$12,$AF95)</f>
        <v>5</v>
      </c>
      <c r="AI95" s="23" t="n">
        <f aca="false" t="array" ref="AI95:AI95">INDEX(Matériaux!$C$16:$C$20,$D95)</f>
        <v>30</v>
      </c>
      <c r="AJ95" s="25" t="n">
        <f aca="false">Paramètres!$B$16+(1-Paramètres!$B$16)*(($J95-Paramètres!$B$14)/(Paramètres!$B$15-Paramètres!$B$14))^Paramètres!$B$17</f>
        <v>0.665999387952727</v>
      </c>
    </row>
    <row r="96" customFormat="false" ht="15.75" hidden="false" customHeight="true" outlineLevel="0" collapsed="false">
      <c r="A96" s="14" t="s">
        <v>205</v>
      </c>
      <c r="B96" s="15" t="s">
        <v>27</v>
      </c>
      <c r="C96" s="15" t="s">
        <v>177</v>
      </c>
      <c r="D96" s="16" t="n">
        <v>5</v>
      </c>
      <c r="E96" s="15" t="str">
        <f aca="false" t="array" ref="E96:E96">INDEX(Matériaux!$B$5:$F$12,MATCH(INDEX(Profils!$E$5:$E$34,$AE96),Matériaux!$A$5:$A$12,0),$D96)</f>
        <v>adamantite</v>
      </c>
      <c r="F96" s="29" t="s">
        <v>117</v>
      </c>
      <c r="G96" s="10" t="str">
        <f aca="false" t="array" ref="G96:G96">INDEX(Profils!$D$5:$D$34,$AE96)&amp;" en "&amp;$E96</f>
        <v>Jambières en adamantite</v>
      </c>
      <c r="H96" s="16" t="n">
        <f aca="false" t="array" ref="H96:H96">INDEX(Matériaux!$B$16:$B$20,$D96)</f>
        <v>70</v>
      </c>
      <c r="I96" s="16" t="n">
        <f aca="false">IF(ISNUMBER($C$3),MIN(MAX(0,ROUND($C$3,0)),$AI96),$AI96)</f>
        <v>0</v>
      </c>
      <c r="J96" s="18" t="n">
        <f aca="false">$H96+$I96</f>
        <v>70</v>
      </c>
      <c r="K96" s="15" t="s">
        <v>109</v>
      </c>
      <c r="L96" s="19" t="n">
        <f aca="false" t="array" ref="L96:L96">IF(AND(INDEX(Profils!$F$5:$F$34,$AE96)&gt;0,INDEX(Profils!$U$5:$U$34,$AE96)&lt;=$AH96),ROUND(INDEX(Profils!$F$5:$F$34,$AE96)*Paramètres!$E$22*$AG96*$AJ96,Paramètres!$F$22),0)</f>
        <v>70</v>
      </c>
      <c r="M96" s="19" t="n">
        <f aca="false" t="array" ref="M96:M96">IF(AND(INDEX(Profils!$G$5:$G$34,$AE96)&gt;0,INDEX(Profils!$V$5:$V$34,$AE96)&lt;=$AH96),ROUND(INDEX(Profils!$G$5:$G$34,$AE96)*Paramètres!$E$23*$AG96*$AJ96,Paramètres!$F$23),0)</f>
        <v>15</v>
      </c>
      <c r="N96" s="19" t="n">
        <f aca="false" t="array" ref="N96:N96">IF(AND(INDEX(Profils!$H$5:$H$34,$AE96)&gt;0,INDEX(Profils!$W$5:$W$34,$AE96)&lt;=$AH96),ROUND(INDEX(Profils!$H$5:$H$34,$AE96)*Paramètres!$E$24*$AG96*$AJ96,Paramètres!$F$24),0)</f>
        <v>29</v>
      </c>
      <c r="O96" s="19" t="n">
        <f aca="false" t="array" ref="O96:O96">IF(AND(INDEX(Profils!$I$5:$I$34,$AE96)&gt;0,INDEX(Profils!$X$5:$X$34,$AE96)&lt;=$AH96),ROUND(INDEX(Profils!$I$5:$I$34,$AE96)*Paramètres!$E$25*$AG96*$AJ96,Paramètres!$F$25),0)</f>
        <v>0</v>
      </c>
      <c r="P96" s="19" t="n">
        <f aca="false" t="array" ref="P96:P96">IF(AND(INDEX(Profils!$J$5:$J$34,$AE96)&gt;0,INDEX(Profils!$Y$5:$Y$34,$AE96)&lt;=$AH96),ROUND(INDEX(Profils!$J$5:$J$34,$AE96)*Paramètres!$E$26*$AG96*$AJ96,Paramètres!$F$26),0)</f>
        <v>10</v>
      </c>
      <c r="Q96" s="19" t="n">
        <f aca="false" t="array" ref="Q96:Q96">IF(AND(INDEX(Profils!$K$5:$K$34,$AE96)&gt;0,INDEX(Profils!$Z$5:$Z$34,$AE96)&lt;=$AH96),ROUND(INDEX(Profils!$K$5:$K$34,$AE96)*Paramètres!$E$27*$AG96*$AJ96,Paramètres!$F$27),0)</f>
        <v>0</v>
      </c>
      <c r="R96" s="20" t="n">
        <f aca="false" t="array" ref="R96:R96">IF(AND(INDEX(Profils!$L$5:$L$34,$AE96)&gt;0,INDEX(Profils!$AA$5:$AA$34,$AE96)&lt;=$AH96),ROUND(INDEX(Profils!$L$5:$L$34,$AE96)*Paramètres!$E$28*$AG96*$AJ96,Paramètres!$F$28),0)</f>
        <v>0</v>
      </c>
      <c r="S96" s="20" t="n">
        <f aca="false" t="array" ref="S96:S96">IF(AND(INDEX(Profils!$M$5:$M$34,$AE96)&gt;0,INDEX(Profils!$AB$5:$AB$34,$AE96)&lt;=$AH96),ROUND(INDEX(Profils!$M$5:$M$34,$AE96)*Paramètres!$E$29*$AG96*$AJ96,Paramètres!$F$29),0)</f>
        <v>0</v>
      </c>
      <c r="T96" s="20" t="n">
        <f aca="false" t="array" ref="T96:T96">IF(AND(INDEX(Profils!$N$5:$N$34,$AE96)&gt;0,INDEX(Profils!$AC$5:$AC$34,$AE96)&lt;=$AH96),ROUND(INDEX(Profils!$N$5:$N$34,$AE96)*Paramètres!$E$30*$AG96*$AJ96,Paramètres!$F$30),0)</f>
        <v>0</v>
      </c>
      <c r="U96" s="19" t="n">
        <f aca="false" t="array" ref="U96:U96">IF(AND(INDEX(Profils!$O$5:$O$34,$AE96)&gt;0,INDEX(Profils!$AD$5:$AD$34,$AE96)&lt;=$AH96),ROUND(INDEX(Profils!$O$5:$O$34,$AE96)*Paramètres!$E$31*$AG96*$AJ96,Paramètres!$F$31),0)</f>
        <v>45</v>
      </c>
      <c r="V96" s="20" t="n">
        <f aca="false" t="array" ref="V96:V96">IF(AND(INDEX(Profils!$P$5:$P$34,$AE96)&gt;0,INDEX(Profils!$AE$5:$AE$34,$AE96)&lt;=$AH96),ROUND(INDEX(Profils!$P$5:$P$34,$AE96)*Paramètres!$E$32*$AG96*$AJ96,Paramètres!$F$32),0)</f>
        <v>0</v>
      </c>
      <c r="W96" s="20" t="n">
        <f aca="false" t="array" ref="W96:W96">IF(AND(INDEX(Profils!$Q$5:$Q$34,$AE96)&gt;0,INDEX(Profils!$AF$5:$AF$34,$AE96)&lt;=$AH96),ROUND(INDEX(Profils!$Q$5:$Q$34,$AE96)*Paramètres!$E$33*$AG96*$AJ96,Paramètres!$F$33),0)</f>
        <v>0.013</v>
      </c>
      <c r="X96" s="20" t="n">
        <f aca="false" t="array" ref="X96:X96">IF(AND(INDEX(Profils!$R$5:$R$34,$AE96)&gt;0,INDEX(Profils!$AG$5:$AG$34,$AE96)&lt;=$AH96),ROUND(INDEX(Profils!$R$5:$R$34,$AE96)*Paramètres!$E$34*$AG96*$AJ96,Paramètres!$F$34),0)</f>
        <v>0</v>
      </c>
      <c r="Y96" s="20" t="n">
        <f aca="false" t="array" ref="Y96:Y96">IF(AND(INDEX(Profils!$S$5:$S$34,$AE96)&gt;0,INDEX(Profils!$AH$5:$AH$34,$AE96)&lt;=$AH96),ROUND(INDEX(Profils!$S$5:$S$34,$AE96)*Paramètres!$E$35*$AG96*$AJ96,Paramètres!$F$35),0)</f>
        <v>0</v>
      </c>
      <c r="Z96" s="21" t="n">
        <f aca="false">ROUND(L96/Paramètres!$E$22+M96/Paramètres!$E$23+N96/Paramètres!$E$24+O96/Paramètres!$E$25+P96/Paramètres!$E$26+Q96/Paramètres!$E$27+R96/Paramètres!$E$28+S96/Paramètres!$E$29+T96/Paramètres!$E$30+U96/Paramètres!$E$31+V96/Paramètres!$E$32+W96/Paramètres!$E$33+X96/Paramètres!$E$34+Y96/Paramètres!$E$35,1)</f>
        <v>9.7</v>
      </c>
      <c r="AA96" s="22" t="s">
        <v>109</v>
      </c>
      <c r="AB96" s="22" t="s">
        <v>109</v>
      </c>
      <c r="AC96" s="15" t="str">
        <f aca="false">$E96</f>
        <v>adamantite</v>
      </c>
      <c r="AD96" s="16" t="n">
        <f aca="false" t="array" ref="AD96:AD96">IF($I96&gt;=$AI96,"Max",ROUND(Paramètres!$B$40*($I96+1)^Paramètres!$B$41*INDEX(Paramètres!$H$6:$H$12,$AF96),0))</f>
        <v>6</v>
      </c>
      <c r="AE96" s="23" t="n">
        <f aca="false">MATCH($B96&amp;"|"&amp;$C96,Profils!$A$5:$A$34,0)</f>
        <v>3</v>
      </c>
      <c r="AF96" s="23" t="n">
        <v>5</v>
      </c>
      <c r="AG96" s="24" t="n">
        <f aca="false" t="array" ref="AG96:AG96">INDEX(Paramètres!$C$6:$C$12,$AF96)</f>
        <v>2.1</v>
      </c>
      <c r="AH96" s="23" t="n">
        <f aca="false" t="array" ref="AH96:AH96">INDEX(Paramètres!$D$6:$D$12,$AF96)</f>
        <v>6</v>
      </c>
      <c r="AI96" s="23" t="n">
        <f aca="false" t="array" ref="AI96:AI96">INDEX(Matériaux!$C$16:$C$20,$D96)</f>
        <v>30</v>
      </c>
      <c r="AJ96" s="25" t="n">
        <f aca="false">Paramètres!$B$16+(1-Paramètres!$B$16)*(($J96-Paramètres!$B$14)/(Paramètres!$B$15-Paramètres!$B$14))^Paramètres!$B$17</f>
        <v>0.665999387952727</v>
      </c>
    </row>
    <row r="97" customFormat="false" ht="15.75" hidden="false" customHeight="true" outlineLevel="0" collapsed="false">
      <c r="A97" s="14" t="s">
        <v>206</v>
      </c>
      <c r="B97" s="15" t="s">
        <v>27</v>
      </c>
      <c r="C97" s="15" t="s">
        <v>177</v>
      </c>
      <c r="D97" s="16" t="n">
        <v>5</v>
      </c>
      <c r="E97" s="15" t="str">
        <f aca="false" t="array" ref="E97:E97">INDEX(Matériaux!$B$5:$F$12,MATCH(INDEX(Profils!$E$5:$E$34,$AE97),Matériaux!$A$5:$A$12,0),$D97)</f>
        <v>adamantite</v>
      </c>
      <c r="F97" s="30" t="s">
        <v>119</v>
      </c>
      <c r="G97" s="10" t="str">
        <f aca="false" t="array" ref="G97:G97">INDEX(Profils!$D$5:$D$34,$AE97)&amp;" en "&amp;$E97</f>
        <v>Jambières en adamantite</v>
      </c>
      <c r="H97" s="16" t="n">
        <f aca="false" t="array" ref="H97:H97">INDEX(Matériaux!$B$16:$B$20,$D97)</f>
        <v>70</v>
      </c>
      <c r="I97" s="16" t="n">
        <f aca="false">IF(ISNUMBER($C$3),MIN(MAX(0,ROUND($C$3,0)),$AI97),$AI97)</f>
        <v>0</v>
      </c>
      <c r="J97" s="18" t="n">
        <f aca="false">$H97+$I97</f>
        <v>70</v>
      </c>
      <c r="K97" s="15" t="s">
        <v>109</v>
      </c>
      <c r="L97" s="19" t="n">
        <f aca="false" t="array" ref="L97:L97">IF(AND(INDEX(Profils!$F$5:$F$34,$AE97)&gt;0,INDEX(Profils!$U$5:$U$34,$AE97)&lt;=$AH97),ROUND(INDEX(Profils!$F$5:$F$34,$AE97)*Paramètres!$E$22*$AG97*$AJ97,Paramètres!$F$22),0)</f>
        <v>80</v>
      </c>
      <c r="M97" s="19" t="n">
        <f aca="false" t="array" ref="M97:M97">IF(AND(INDEX(Profils!$G$5:$G$34,$AE97)&gt;0,INDEX(Profils!$V$5:$V$34,$AE97)&lt;=$AH97),ROUND(INDEX(Profils!$G$5:$G$34,$AE97)*Paramètres!$E$23*$AG97*$AJ97,Paramètres!$F$23),0)</f>
        <v>17</v>
      </c>
      <c r="N97" s="19" t="n">
        <f aca="false" t="array" ref="N97:N97">IF(AND(INDEX(Profils!$H$5:$H$34,$AE97)&gt;0,INDEX(Profils!$W$5:$W$34,$AE97)&lt;=$AH97),ROUND(INDEX(Profils!$H$5:$H$34,$AE97)*Paramètres!$E$24*$AG97*$AJ97,Paramètres!$F$24),0)</f>
        <v>34</v>
      </c>
      <c r="O97" s="19" t="n">
        <f aca="false" t="array" ref="O97:O97">IF(AND(INDEX(Profils!$I$5:$I$34,$AE97)&gt;0,INDEX(Profils!$X$5:$X$34,$AE97)&lt;=$AH97),ROUND(INDEX(Profils!$I$5:$I$34,$AE97)*Paramètres!$E$25*$AG97*$AJ97,Paramètres!$F$25),0)</f>
        <v>0</v>
      </c>
      <c r="P97" s="19" t="n">
        <f aca="false" t="array" ref="P97:P97">IF(AND(INDEX(Profils!$J$5:$J$34,$AE97)&gt;0,INDEX(Profils!$Y$5:$Y$34,$AE97)&lt;=$AH97),ROUND(INDEX(Profils!$J$5:$J$34,$AE97)*Paramètres!$E$26*$AG97*$AJ97,Paramètres!$F$26),0)</f>
        <v>12</v>
      </c>
      <c r="Q97" s="19" t="n">
        <f aca="false" t="array" ref="Q97:Q97">IF(AND(INDEX(Profils!$K$5:$K$34,$AE97)&gt;0,INDEX(Profils!$Z$5:$Z$34,$AE97)&lt;=$AH97),ROUND(INDEX(Profils!$K$5:$K$34,$AE97)*Paramètres!$E$27*$AG97*$AJ97,Paramètres!$F$27),0)</f>
        <v>0</v>
      </c>
      <c r="R97" s="20" t="n">
        <f aca="false" t="array" ref="R97:R97">IF(AND(INDEX(Profils!$L$5:$L$34,$AE97)&gt;0,INDEX(Profils!$AA$5:$AA$34,$AE97)&lt;=$AH97),ROUND(INDEX(Profils!$L$5:$L$34,$AE97)*Paramètres!$E$28*$AG97*$AJ97,Paramètres!$F$28),0)</f>
        <v>0</v>
      </c>
      <c r="S97" s="20" t="n">
        <f aca="false" t="array" ref="S97:S97">IF(AND(INDEX(Profils!$M$5:$M$34,$AE97)&gt;0,INDEX(Profils!$AB$5:$AB$34,$AE97)&lt;=$AH97),ROUND(INDEX(Profils!$M$5:$M$34,$AE97)*Paramètres!$E$29*$AG97*$AJ97,Paramètres!$F$29),0)</f>
        <v>0</v>
      </c>
      <c r="T97" s="20" t="n">
        <f aca="false" t="array" ref="T97:T97">IF(AND(INDEX(Profils!$N$5:$N$34,$AE97)&gt;0,INDEX(Profils!$AC$5:$AC$34,$AE97)&lt;=$AH97),ROUND(INDEX(Profils!$N$5:$N$34,$AE97)*Paramètres!$E$30*$AG97*$AJ97,Paramètres!$F$30),0)</f>
        <v>0</v>
      </c>
      <c r="U97" s="19" t="n">
        <f aca="false" t="array" ref="U97:U97">IF(AND(INDEX(Profils!$O$5:$O$34,$AE97)&gt;0,INDEX(Profils!$AD$5:$AD$34,$AE97)&lt;=$AH97),ROUND(INDEX(Profils!$O$5:$O$34,$AE97)*Paramètres!$E$31*$AG97*$AJ97,Paramètres!$F$31),0)</f>
        <v>51</v>
      </c>
      <c r="V97" s="20" t="n">
        <f aca="false" t="array" ref="V97:V97">IF(AND(INDEX(Profils!$P$5:$P$34,$AE97)&gt;0,INDEX(Profils!$AE$5:$AE$34,$AE97)&lt;=$AH97),ROUND(INDEX(Profils!$P$5:$P$34,$AE97)*Paramètres!$E$32*$AG97*$AJ97,Paramètres!$F$32),0)</f>
        <v>0</v>
      </c>
      <c r="W97" s="20" t="n">
        <f aca="false" t="array" ref="W97:W97">IF(AND(INDEX(Profils!$Q$5:$Q$34,$AE97)&gt;0,INDEX(Profils!$AF$5:$AF$34,$AE97)&lt;=$AH97),ROUND(INDEX(Profils!$Q$5:$Q$34,$AE97)*Paramètres!$E$33*$AG97*$AJ97,Paramètres!$F$33),0)</f>
        <v>0.014</v>
      </c>
      <c r="X97" s="20" t="n">
        <f aca="false" t="array" ref="X97:X97">IF(AND(INDEX(Profils!$R$5:$R$34,$AE97)&gt;0,INDEX(Profils!$AG$5:$AG$34,$AE97)&lt;=$AH97),ROUND(INDEX(Profils!$R$5:$R$34,$AE97)*Paramètres!$E$34*$AG97*$AJ97,Paramètres!$F$34),0)</f>
        <v>0</v>
      </c>
      <c r="Y97" s="20" t="n">
        <f aca="false" t="array" ref="Y97:Y97">IF(AND(INDEX(Profils!$S$5:$S$34,$AE97)&gt;0,INDEX(Profils!$AH$5:$AH$34,$AE97)&lt;=$AH97),ROUND(INDEX(Profils!$S$5:$S$34,$AE97)*Paramètres!$E$35*$AG97*$AJ97,Paramètres!$F$35),0)</f>
        <v>0.012</v>
      </c>
      <c r="Z97" s="21" t="n">
        <f aca="false">ROUND(L97/Paramètres!$E$22+M97/Paramètres!$E$23+N97/Paramètres!$E$24+O97/Paramètres!$E$25+P97/Paramètres!$E$26+Q97/Paramètres!$E$27+R97/Paramètres!$E$28+S97/Paramètres!$E$29+T97/Paramètres!$E$30+U97/Paramètres!$E$31+V97/Paramètres!$E$32+W97/Paramètres!$E$33+X97/Paramètres!$E$34+Y97/Paramètres!$E$35,1)</f>
        <v>11.9</v>
      </c>
      <c r="AA97" s="22" t="s">
        <v>109</v>
      </c>
      <c r="AB97" s="22" t="s">
        <v>109</v>
      </c>
      <c r="AC97" s="15" t="str">
        <f aca="false">$E97</f>
        <v>adamantite</v>
      </c>
      <c r="AD97" s="16" t="n">
        <f aca="false" t="array" ref="AD97:AD97">IF($I97&gt;=$AI97,"Max",ROUND(Paramètres!$B$40*($I97+1)^Paramètres!$B$41*INDEX(Paramètres!$H$6:$H$12,$AF97),0))</f>
        <v>8</v>
      </c>
      <c r="AE97" s="23" t="n">
        <f aca="false">MATCH($B97&amp;"|"&amp;$C97,Profils!$A$5:$A$34,0)</f>
        <v>3</v>
      </c>
      <c r="AF97" s="23" t="n">
        <v>6</v>
      </c>
      <c r="AG97" s="24" t="n">
        <f aca="false" t="array" ref="AG97:AG97">INDEX(Paramètres!$C$6:$C$12,$AF97)</f>
        <v>2.4</v>
      </c>
      <c r="AH97" s="23" t="n">
        <f aca="false" t="array" ref="AH97:AH97">INDEX(Paramètres!$D$6:$D$12,$AF97)</f>
        <v>7</v>
      </c>
      <c r="AI97" s="23" t="n">
        <f aca="false" t="array" ref="AI97:AI97">INDEX(Matériaux!$C$16:$C$20,$D97)</f>
        <v>30</v>
      </c>
      <c r="AJ97" s="25" t="n">
        <f aca="false">Paramètres!$B$16+(1-Paramètres!$B$16)*(($J97-Paramètres!$B$14)/(Paramètres!$B$15-Paramètres!$B$14))^Paramètres!$B$17</f>
        <v>0.665999387952727</v>
      </c>
    </row>
    <row r="98" customFormat="false" ht="15.75" hidden="false" customHeight="true" outlineLevel="0" collapsed="false">
      <c r="A98" s="14" t="s">
        <v>207</v>
      </c>
      <c r="B98" s="15" t="s">
        <v>27</v>
      </c>
      <c r="C98" s="15" t="s">
        <v>177</v>
      </c>
      <c r="D98" s="16" t="s">
        <v>109</v>
      </c>
      <c r="E98" s="15" t="s">
        <v>109</v>
      </c>
      <c r="F98" s="31" t="s">
        <v>38</v>
      </c>
      <c r="G98" s="10" t="str">
        <f aca="false" t="array" ref="G98:G98">INDEX(Uniques!$E$5:$E$34,MATCH($B98&amp;"|"&amp;$C98,Uniques!$A$5:$A$34,0))</f>
        <v>Jambières du Brasier Marchant</v>
      </c>
      <c r="H98" s="16" t="n">
        <f aca="false" t="array" ref="H98:H98">INDEX(Uniques!$L$5:$L$34,MATCH($B98&amp;"|"&amp;$C98,Uniques!$A$5:$A$34,0))</f>
        <v>21</v>
      </c>
      <c r="I98" s="16" t="n">
        <f aca="false">IF(ISNUMBER($C$3),MIN(MAX(0,ROUND($C$3,0)),$AI98),$AI98)</f>
        <v>0</v>
      </c>
      <c r="J98" s="18" t="n">
        <f aca="false">$H98+$I98</f>
        <v>21</v>
      </c>
      <c r="K98" s="15" t="str">
        <f aca="false" t="array" ref="K98:K98">INDEX(Uniques!$F$5:$F$34,MATCH($B98&amp;"|"&amp;$C98,Uniques!$A$5:$A$34,0))</f>
        <v>Feu</v>
      </c>
      <c r="L98" s="19" t="n">
        <f aca="false" t="array" ref="L98:L98">IF(AND(INDEX(Profils!$F$5:$F$34,$AE98)&gt;0,INDEX(Profils!$U$5:$U$34,$AE98)&lt;=$AH98),ROUND(INDEX(Profils!$F$5:$F$34,$AE98)*Paramètres!$E$22*$AG98*$AJ98,Paramètres!$F$22),0)</f>
        <v>24</v>
      </c>
      <c r="M98" s="19" t="n">
        <f aca="false" t="array" ref="M98:M98">IF(AND(INDEX(Profils!$G$5:$G$34,$AE98)&gt;0,INDEX(Profils!$V$5:$V$34,$AE98)&lt;=$AH98),ROUND(INDEX(Profils!$G$5:$G$34,$AE98)*Paramètres!$E$23*$AG98*$AJ98,Paramètres!$F$23),0)</f>
        <v>5</v>
      </c>
      <c r="N98" s="19" t="n">
        <f aca="false" t="array" ref="N98:N98">IF(AND(INDEX(Profils!$H$5:$H$34,$AE98)&gt;0,INDEX(Profils!$W$5:$W$34,$AE98)&lt;=$AH98),ROUND(INDEX(Profils!$H$5:$H$34,$AE98)*Paramètres!$E$24*$AG98*$AJ98,Paramètres!$F$24),0)</f>
        <v>10</v>
      </c>
      <c r="O98" s="19" t="n">
        <f aca="false" t="array" ref="O98:O98">IF(AND(INDEX(Profils!$I$5:$I$34,$AE98)&gt;0,INDEX(Profils!$X$5:$X$34,$AE98)&lt;=$AH98),ROUND(INDEX(Profils!$I$5:$I$34,$AE98)*Paramètres!$E$25*$AG98*$AJ98,Paramètres!$F$25),0)</f>
        <v>0</v>
      </c>
      <c r="P98" s="19" t="n">
        <f aca="false" t="array" ref="P98:P98">IF(AND(INDEX(Profils!$J$5:$J$34,$AE98)&gt;0,INDEX(Profils!$Y$5:$Y$34,$AE98)&lt;=$AH98),ROUND(INDEX(Profils!$J$5:$J$34,$AE98)*Paramètres!$E$26*$AG98*$AJ98,Paramètres!$F$26),0)</f>
        <v>3</v>
      </c>
      <c r="Q98" s="19" t="n">
        <f aca="false" t="array" ref="Q98:Q98">IF(AND(INDEX(Profils!$K$5:$K$34,$AE98)&gt;0,INDEX(Profils!$Z$5:$Z$34,$AE98)&lt;=$AH98),ROUND(INDEX(Profils!$K$5:$K$34,$AE98)*Paramètres!$E$27*$AG98*$AJ98,Paramètres!$F$27),0)</f>
        <v>0</v>
      </c>
      <c r="R98" s="20" t="n">
        <f aca="false" t="array" ref="R98:R98">IF(AND(INDEX(Profils!$L$5:$L$34,$AE98)&gt;0,INDEX(Profils!$AA$5:$AA$34,$AE98)&lt;=$AH98),ROUND(INDEX(Profils!$L$5:$L$34,$AE98)*Paramètres!$E$28*$AG98*$AJ98,Paramètres!$F$28),0)</f>
        <v>0</v>
      </c>
      <c r="S98" s="20" t="n">
        <f aca="false" t="array" ref="S98:S98">IF(AND(INDEX(Profils!$M$5:$M$34,$AE98)&gt;0,INDEX(Profils!$AB$5:$AB$34,$AE98)&lt;=$AH98),ROUND(INDEX(Profils!$M$5:$M$34,$AE98)*Paramètres!$E$29*$AG98*$AJ98,Paramètres!$F$29),0)</f>
        <v>0</v>
      </c>
      <c r="T98" s="20" t="n">
        <f aca="false" t="array" ref="T98:T98">IF(AND(INDEX(Profils!$N$5:$N$34,$AE98)&gt;0,INDEX(Profils!$AC$5:$AC$34,$AE98)&lt;=$AH98),ROUND(INDEX(Profils!$N$5:$N$34,$AE98)*Paramètres!$E$30*$AG98*$AJ98,Paramètres!$F$30),0)</f>
        <v>0</v>
      </c>
      <c r="U98" s="19" t="n">
        <f aca="false" t="array" ref="U98:U98">IF(AND(INDEX(Profils!$O$5:$O$34,$AE98)&gt;0,INDEX(Profils!$AD$5:$AD$34,$AE98)&lt;=$AH98),ROUND(INDEX(Profils!$O$5:$O$34,$AE98)*Paramètres!$E$31*$AG98*$AJ98,Paramètres!$F$31),0)</f>
        <v>15</v>
      </c>
      <c r="V98" s="20" t="n">
        <f aca="false" t="array" ref="V98:V98">IF(AND(INDEX(Profils!$P$5:$P$34,$AE98)&gt;0,INDEX(Profils!$AE$5:$AE$34,$AE98)&lt;=$AH98),ROUND(INDEX(Profils!$P$5:$P$34,$AE98)*Paramètres!$E$32*$AG98*$AJ98,Paramètres!$F$32),0)</f>
        <v>0</v>
      </c>
      <c r="W98" s="20" t="n">
        <f aca="false" t="array" ref="W98:W98">IF(AND(INDEX(Profils!$Q$5:$Q$34,$AE98)&gt;0,INDEX(Profils!$AF$5:$AF$34,$AE98)&lt;=$AH98),ROUND(INDEX(Profils!$Q$5:$Q$34,$AE98)*Paramètres!$E$33*$AG98*$AJ98,Paramètres!$F$33),0)</f>
        <v>0.004</v>
      </c>
      <c r="X98" s="20" t="n">
        <f aca="false" t="array" ref="X98:X98">IF(AND(INDEX(Profils!$R$5:$R$34,$AE98)&gt;0,INDEX(Profils!$AG$5:$AG$34,$AE98)&lt;=$AH98),ROUND(INDEX(Profils!$R$5:$R$34,$AE98)*Paramètres!$E$34*$AG98*$AJ98,Paramètres!$F$34),0)</f>
        <v>0</v>
      </c>
      <c r="Y98" s="20" t="n">
        <f aca="false" t="array" ref="Y98:Y98">IF(AND(INDEX(Profils!$S$5:$S$34,$AE98)&gt;0,INDEX(Profils!$AH$5:$AH$34,$AE98)&lt;=$AH98),ROUND(INDEX(Profils!$S$5:$S$34,$AE98)*Paramètres!$E$35*$AG98*$AJ98,Paramètres!$F$35),0)</f>
        <v>0.004</v>
      </c>
      <c r="Z98" s="21" t="n">
        <f aca="false">ROUND(L98/Paramètres!$E$22+M98/Paramètres!$E$23+N98/Paramètres!$E$24+O98/Paramètres!$E$25+P98/Paramètres!$E$26+Q98/Paramètres!$E$27+R98/Paramètres!$E$28+S98/Paramètres!$E$29+T98/Paramètres!$E$30+U98/Paramètres!$E$31+V98/Paramètres!$E$32+W98/Paramètres!$E$33+X98/Paramètres!$E$34+Y98/Paramètres!$E$35,1)</f>
        <v>3.5</v>
      </c>
      <c r="AA98" s="22" t="str">
        <f aca="false" t="array" ref="AA98:AA98">INDEX(Uniques!$G$5:$G$34,MATCH($B98&amp;"|"&amp;$C98,Uniques!$A$5:$A$34,0))</f>
        <v>Sillage de braise</v>
      </c>
      <c r="AB98" s="22" t="str">
        <f aca="false" t="array" ref="AB98:AB98">INDEX(Uniques!$H$5:$H$34,MATCH($B98&amp;"|"&amp;$C98,Uniques!$A$5:$A$34,0))&amp;" ["&amp;INDEX(Uniques!$I$5:$I$34,MATCH($B98&amp;"|"&amp;$C98,Uniques!$A$5:$A$34,0))&amp;"]"</f>
        <v>Au début de chaque tour, 25 % de chance d'infliger Brûlure (Feu) à un ennemi aléatoire pendant 3 tours (8 % de la Force par tour). [1 Brûlure par cible ; durée rafraîchie, jamais cumulée.]</v>
      </c>
      <c r="AC98" s="15" t="str">
        <f aca="false" t="array" ref="AC98:AC98">INDEX(Matériaux!$B$5:$F$12,MATCH(INDEX(Profils!$E$5:$E$34,$AE98),Matériaux!$A$5:$A$12,0),MATCH(MIN($J98+1,100),Matériaux!$B$16:$B$20,1))</f>
        <v>fer</v>
      </c>
      <c r="AD98" s="16" t="n">
        <f aca="false" t="array" ref="AD98:AD98">IF($I98&gt;=$AI98,"Max",ROUND(Paramètres!$B$40*($I98+1)^Paramètres!$B$41*INDEX(Paramètres!$H$6:$H$12,$AF98),0))</f>
        <v>9</v>
      </c>
      <c r="AE98" s="23" t="n">
        <f aca="false">MATCH($B98&amp;"|"&amp;$C98,Profils!$A$5:$A$34,0)</f>
        <v>3</v>
      </c>
      <c r="AF98" s="23" t="n">
        <v>7</v>
      </c>
      <c r="AG98" s="24" t="n">
        <f aca="false" t="array" ref="AG98:AG98">INDEX(Paramètres!$C$6:$C$12,$AF98)</f>
        <v>2.5</v>
      </c>
      <c r="AH98" s="23" t="n">
        <f aca="false" t="array" ref="AH98:AH98">INDEX(Paramètres!$D$6:$D$12,$AF98)</f>
        <v>7</v>
      </c>
      <c r="AI98" s="23" t="n">
        <f aca="false" t="array" ref="AI98:AI98">INDEX(Uniques!$M$5:$M$34,MATCH($B98&amp;"|"&amp;$C98,Uniques!$A$5:$A$34,0))</f>
        <v>79</v>
      </c>
      <c r="AJ98" s="25" t="n">
        <f aca="false">Paramètres!$B$16+(1-Paramètres!$B$16)*(($J98-Paramètres!$B$14)/(Paramètres!$B$15-Paramètres!$B$14))^Paramètres!$B$17</f>
        <v>0.189379007156239</v>
      </c>
    </row>
    <row r="99" customFormat="false" ht="15.75" hidden="false" customHeight="true" outlineLevel="0" collapsed="false">
      <c r="A99" s="14" t="s">
        <v>208</v>
      </c>
      <c r="B99" s="15" t="s">
        <v>27</v>
      </c>
      <c r="C99" s="15" t="s">
        <v>209</v>
      </c>
      <c r="D99" s="16" t="n">
        <v>1</v>
      </c>
      <c r="E99" s="15" t="str">
        <f aca="false" t="array" ref="E99:E99">INDEX(Matériaux!$B$5:$F$12,MATCH(INDEX(Profils!$E$5:$E$34,$AE99),Matériaux!$A$5:$A$12,0),$D99)</f>
        <v>cuir</v>
      </c>
      <c r="F99" s="17" t="s">
        <v>108</v>
      </c>
      <c r="G99" s="10" t="str">
        <f aca="false" t="array" ref="G99:G99">INDEX(Profils!$D$5:$D$34,$AE99)&amp;" en "&amp;$E99</f>
        <v>Brodequins en cuir</v>
      </c>
      <c r="H99" s="16" t="n">
        <f aca="false" t="array" ref="H99:H99">INDEX(Matériaux!$B$16:$B$20,$D99)</f>
        <v>1</v>
      </c>
      <c r="I99" s="16" t="n">
        <f aca="false">IF(ISNUMBER($C$3),MIN(MAX(0,ROUND($C$3,0)),$AI99),$AI99)</f>
        <v>0</v>
      </c>
      <c r="J99" s="18" t="n">
        <f aca="false">$H99+$I99</f>
        <v>1</v>
      </c>
      <c r="K99" s="15" t="s">
        <v>109</v>
      </c>
      <c r="L99" s="19" t="n">
        <f aca="false" t="array" ref="L99:L99">IF(AND(INDEX(Profils!$F$5:$F$34,$AE99)&gt;0,INDEX(Profils!$U$5:$U$34,$AE99)&lt;=$AH99),ROUND(INDEX(Profils!$F$5:$F$34,$AE99)*Paramètres!$E$22*$AG99*$AJ99,Paramètres!$F$22),0)</f>
        <v>2</v>
      </c>
      <c r="M99" s="19" t="n">
        <f aca="false" t="array" ref="M99:M99">IF(AND(INDEX(Profils!$G$5:$G$34,$AE99)&gt;0,INDEX(Profils!$V$5:$V$34,$AE99)&lt;=$AH99),ROUND(INDEX(Profils!$G$5:$G$34,$AE99)*Paramètres!$E$23*$AG99*$AJ99,Paramètres!$F$23),0)</f>
        <v>0</v>
      </c>
      <c r="N99" s="19" t="n">
        <f aca="false" t="array" ref="N99:N99">IF(AND(INDEX(Profils!$H$5:$H$34,$AE99)&gt;0,INDEX(Profils!$W$5:$W$34,$AE99)&lt;=$AH99),ROUND(INDEX(Profils!$H$5:$H$34,$AE99)*Paramètres!$E$24*$AG99*$AJ99,Paramètres!$F$24),0)</f>
        <v>0</v>
      </c>
      <c r="O99" s="19" t="n">
        <f aca="false" t="array" ref="O99:O99">IF(AND(INDEX(Profils!$I$5:$I$34,$AE99)&gt;0,INDEX(Profils!$X$5:$X$34,$AE99)&lt;=$AH99),ROUND(INDEX(Profils!$I$5:$I$34,$AE99)*Paramètres!$E$25*$AG99*$AJ99,Paramètres!$F$25),0)</f>
        <v>0</v>
      </c>
      <c r="P99" s="19" t="n">
        <f aca="false" t="array" ref="P99:P99">IF(AND(INDEX(Profils!$J$5:$J$34,$AE99)&gt;0,INDEX(Profils!$Y$5:$Y$34,$AE99)&lt;=$AH99),ROUND(INDEX(Profils!$J$5:$J$34,$AE99)*Paramètres!$E$26*$AG99*$AJ99,Paramètres!$F$26),0)</f>
        <v>1</v>
      </c>
      <c r="Q99" s="19" t="n">
        <f aca="false" t="array" ref="Q99:Q99">IF(AND(INDEX(Profils!$K$5:$K$34,$AE99)&gt;0,INDEX(Profils!$Z$5:$Z$34,$AE99)&lt;=$AH99),ROUND(INDEX(Profils!$K$5:$K$34,$AE99)*Paramètres!$E$27*$AG99*$AJ99,Paramètres!$F$27),0)</f>
        <v>0</v>
      </c>
      <c r="R99" s="20" t="n">
        <f aca="false" t="array" ref="R99:R99">IF(AND(INDEX(Profils!$L$5:$L$34,$AE99)&gt;0,INDEX(Profils!$AA$5:$AA$34,$AE99)&lt;=$AH99),ROUND(INDEX(Profils!$L$5:$L$34,$AE99)*Paramètres!$E$28*$AG99*$AJ99,Paramètres!$F$28),0)</f>
        <v>0</v>
      </c>
      <c r="S99" s="20" t="n">
        <f aca="false" t="array" ref="S99:S99">IF(AND(INDEX(Profils!$M$5:$M$34,$AE99)&gt;0,INDEX(Profils!$AB$5:$AB$34,$AE99)&lt;=$AH99),ROUND(INDEX(Profils!$M$5:$M$34,$AE99)*Paramètres!$E$29*$AG99*$AJ99,Paramètres!$F$29),0)</f>
        <v>0</v>
      </c>
      <c r="T99" s="20" t="n">
        <f aca="false" t="array" ref="T99:T99">IF(AND(INDEX(Profils!$N$5:$N$34,$AE99)&gt;0,INDEX(Profils!$AC$5:$AC$34,$AE99)&lt;=$AH99),ROUND(INDEX(Profils!$N$5:$N$34,$AE99)*Paramètres!$E$30*$AG99*$AJ99,Paramètres!$F$30),0)</f>
        <v>0</v>
      </c>
      <c r="U99" s="19" t="n">
        <f aca="false" t="array" ref="U99:U99">IF(AND(INDEX(Profils!$O$5:$O$34,$AE99)&gt;0,INDEX(Profils!$AD$5:$AD$34,$AE99)&lt;=$AH99),ROUND(INDEX(Profils!$O$5:$O$34,$AE99)*Paramètres!$E$31*$AG99*$AJ99,Paramètres!$F$31),0)</f>
        <v>0</v>
      </c>
      <c r="V99" s="20" t="n">
        <f aca="false" t="array" ref="V99:V99">IF(AND(INDEX(Profils!$P$5:$P$34,$AE99)&gt;0,INDEX(Profils!$AE$5:$AE$34,$AE99)&lt;=$AH99),ROUND(INDEX(Profils!$P$5:$P$34,$AE99)*Paramètres!$E$32*$AG99*$AJ99,Paramètres!$F$32),0)</f>
        <v>0</v>
      </c>
      <c r="W99" s="20" t="n">
        <f aca="false" t="array" ref="W99:W99">IF(AND(INDEX(Profils!$Q$5:$Q$34,$AE99)&gt;0,INDEX(Profils!$AF$5:$AF$34,$AE99)&lt;=$AH99),ROUND(INDEX(Profils!$Q$5:$Q$34,$AE99)*Paramètres!$E$33*$AG99*$AJ99,Paramètres!$F$33),0)</f>
        <v>0</v>
      </c>
      <c r="X99" s="20" t="n">
        <f aca="false" t="array" ref="X99:X99">IF(AND(INDEX(Profils!$R$5:$R$34,$AE99)&gt;0,INDEX(Profils!$AG$5:$AG$34,$AE99)&lt;=$AH99),ROUND(INDEX(Profils!$R$5:$R$34,$AE99)*Paramètres!$E$34*$AG99*$AJ99,Paramètres!$F$34),0)</f>
        <v>0</v>
      </c>
      <c r="Y99" s="20" t="n">
        <f aca="false" t="array" ref="Y99:Y99">IF(AND(INDEX(Profils!$S$5:$S$34,$AE99)&gt;0,INDEX(Profils!$AH$5:$AH$34,$AE99)&lt;=$AH99),ROUND(INDEX(Profils!$S$5:$S$34,$AE99)*Paramètres!$E$35*$AG99*$AJ99,Paramètres!$F$35),0)</f>
        <v>0</v>
      </c>
      <c r="Z99" s="21" t="n">
        <f aca="false">ROUND(L99/Paramètres!$E$22+M99/Paramètres!$E$23+N99/Paramètres!$E$24+O99/Paramètres!$E$25+P99/Paramètres!$E$26+Q99/Paramètres!$E$27+R99/Paramètres!$E$28+S99/Paramètres!$E$29+T99/Paramètres!$E$30+U99/Paramètres!$E$31+V99/Paramètres!$E$32+W99/Paramètres!$E$33+X99/Paramètres!$E$34+Y99/Paramètres!$E$35,1)</f>
        <v>0.2</v>
      </c>
      <c r="AA99" s="22" t="s">
        <v>109</v>
      </c>
      <c r="AB99" s="22" t="s">
        <v>109</v>
      </c>
      <c r="AC99" s="15" t="str">
        <f aca="false">$E99</f>
        <v>cuir</v>
      </c>
      <c r="AD99" s="16" t="n">
        <f aca="false" t="array" ref="AD99:AD99">IF($I99&gt;=$AI99,"Max",ROUND(Paramètres!$B$40*($I99+1)^Paramètres!$B$41*INDEX(Paramètres!$H$6:$H$12,$AF99),0))</f>
        <v>3</v>
      </c>
      <c r="AE99" s="23" t="n">
        <f aca="false">MATCH($B99&amp;"|"&amp;$C99,Profils!$A$5:$A$34,0)</f>
        <v>4</v>
      </c>
      <c r="AF99" s="23" t="n">
        <v>1</v>
      </c>
      <c r="AG99" s="24" t="n">
        <f aca="false" t="array" ref="AG99:AG99">INDEX(Paramètres!$C$6:$C$12,$AF99)</f>
        <v>1</v>
      </c>
      <c r="AH99" s="23" t="n">
        <f aca="false" t="array" ref="AH99:AH99">INDEX(Paramètres!$D$6:$D$12,$AF99)</f>
        <v>2</v>
      </c>
      <c r="AI99" s="23" t="n">
        <f aca="false" t="array" ref="AI99:AI99">INDEX(Matériaux!$C$16:$C$20,$D99)</f>
        <v>19</v>
      </c>
      <c r="AJ99" s="25" t="n">
        <f aca="false">Paramètres!$B$16+(1-Paramètres!$B$16)*(($J99-Paramètres!$B$14)/(Paramètres!$B$15-Paramètres!$B$14))^Paramètres!$B$17</f>
        <v>0.05</v>
      </c>
    </row>
    <row r="100" customFormat="false" ht="15.75" hidden="false" customHeight="true" outlineLevel="0" collapsed="false">
      <c r="A100" s="14" t="s">
        <v>210</v>
      </c>
      <c r="B100" s="15" t="s">
        <v>27</v>
      </c>
      <c r="C100" s="15" t="s">
        <v>209</v>
      </c>
      <c r="D100" s="16" t="n">
        <v>1</v>
      </c>
      <c r="E100" s="15" t="str">
        <f aca="false" t="array" ref="E100:E100">INDEX(Matériaux!$B$5:$F$12,MATCH(INDEX(Profils!$E$5:$E$34,$AE100),Matériaux!$A$5:$A$12,0),$D100)</f>
        <v>cuir</v>
      </c>
      <c r="F100" s="26" t="s">
        <v>111</v>
      </c>
      <c r="G100" s="10" t="str">
        <f aca="false" t="array" ref="G100:G100">INDEX(Profils!$D$5:$D$34,$AE100)&amp;" en "&amp;$E100</f>
        <v>Brodequins en cuir</v>
      </c>
      <c r="H100" s="16" t="n">
        <f aca="false" t="array" ref="H100:H100">INDEX(Matériaux!$B$16:$B$20,$D100)</f>
        <v>1</v>
      </c>
      <c r="I100" s="16" t="n">
        <f aca="false">IF(ISNUMBER($C$3),MIN(MAX(0,ROUND($C$3,0)),$AI100),$AI100)</f>
        <v>0</v>
      </c>
      <c r="J100" s="18" t="n">
        <f aca="false">$H100+$I100</f>
        <v>1</v>
      </c>
      <c r="K100" s="15" t="s">
        <v>109</v>
      </c>
      <c r="L100" s="19" t="n">
        <f aca="false" t="array" ref="L100:L100">IF(AND(INDEX(Profils!$F$5:$F$34,$AE100)&gt;0,INDEX(Profils!$U$5:$U$34,$AE100)&lt;=$AH100),ROUND(INDEX(Profils!$F$5:$F$34,$AE100)*Paramètres!$E$22*$AG100*$AJ100,Paramètres!$F$22),0)</f>
        <v>2</v>
      </c>
      <c r="M100" s="19" t="n">
        <f aca="false" t="array" ref="M100:M100">IF(AND(INDEX(Profils!$G$5:$G$34,$AE100)&gt;0,INDEX(Profils!$V$5:$V$34,$AE100)&lt;=$AH100),ROUND(INDEX(Profils!$G$5:$G$34,$AE100)*Paramètres!$E$23*$AG100*$AJ100,Paramètres!$F$23),0)</f>
        <v>0</v>
      </c>
      <c r="N100" s="19" t="n">
        <f aca="false" t="array" ref="N100:N100">IF(AND(INDEX(Profils!$H$5:$H$34,$AE100)&gt;0,INDEX(Profils!$W$5:$W$34,$AE100)&lt;=$AH100),ROUND(INDEX(Profils!$H$5:$H$34,$AE100)*Paramètres!$E$24*$AG100*$AJ100,Paramètres!$F$24),0)</f>
        <v>0</v>
      </c>
      <c r="O100" s="19" t="n">
        <f aca="false" t="array" ref="O100:O100">IF(AND(INDEX(Profils!$I$5:$I$34,$AE100)&gt;0,INDEX(Profils!$X$5:$X$34,$AE100)&lt;=$AH100),ROUND(INDEX(Profils!$I$5:$I$34,$AE100)*Paramètres!$E$25*$AG100*$AJ100,Paramètres!$F$25),0)</f>
        <v>0</v>
      </c>
      <c r="P100" s="19" t="n">
        <f aca="false" t="array" ref="P100:P100">IF(AND(INDEX(Profils!$J$5:$J$34,$AE100)&gt;0,INDEX(Profils!$Y$5:$Y$34,$AE100)&lt;=$AH100),ROUND(INDEX(Profils!$J$5:$J$34,$AE100)*Paramètres!$E$26*$AG100*$AJ100,Paramètres!$F$26),0)</f>
        <v>1</v>
      </c>
      <c r="Q100" s="19" t="n">
        <f aca="false" t="array" ref="Q100:Q100">IF(AND(INDEX(Profils!$K$5:$K$34,$AE100)&gt;0,INDEX(Profils!$Z$5:$Z$34,$AE100)&lt;=$AH100),ROUND(INDEX(Profils!$K$5:$K$34,$AE100)*Paramètres!$E$27*$AG100*$AJ100,Paramètres!$F$27),0)</f>
        <v>1</v>
      </c>
      <c r="R100" s="20" t="n">
        <f aca="false" t="array" ref="R100:R100">IF(AND(INDEX(Profils!$L$5:$L$34,$AE100)&gt;0,INDEX(Profils!$AA$5:$AA$34,$AE100)&lt;=$AH100),ROUND(INDEX(Profils!$L$5:$L$34,$AE100)*Paramètres!$E$28*$AG100*$AJ100,Paramètres!$F$28),0)</f>
        <v>0</v>
      </c>
      <c r="S100" s="20" t="n">
        <f aca="false" t="array" ref="S100:S100">IF(AND(INDEX(Profils!$M$5:$M$34,$AE100)&gt;0,INDEX(Profils!$AB$5:$AB$34,$AE100)&lt;=$AH100),ROUND(INDEX(Profils!$M$5:$M$34,$AE100)*Paramètres!$E$29*$AG100*$AJ100,Paramètres!$F$29),0)</f>
        <v>0</v>
      </c>
      <c r="T100" s="20" t="n">
        <f aca="false" t="array" ref="T100:T100">IF(AND(INDEX(Profils!$N$5:$N$34,$AE100)&gt;0,INDEX(Profils!$AC$5:$AC$34,$AE100)&lt;=$AH100),ROUND(INDEX(Profils!$N$5:$N$34,$AE100)*Paramètres!$E$30*$AG100*$AJ100,Paramètres!$F$30),0)</f>
        <v>0</v>
      </c>
      <c r="U100" s="19" t="n">
        <f aca="false" t="array" ref="U100:U100">IF(AND(INDEX(Profils!$O$5:$O$34,$AE100)&gt;0,INDEX(Profils!$AD$5:$AD$34,$AE100)&lt;=$AH100),ROUND(INDEX(Profils!$O$5:$O$34,$AE100)*Paramètres!$E$31*$AG100*$AJ100,Paramètres!$F$31),0)</f>
        <v>0</v>
      </c>
      <c r="V100" s="20" t="n">
        <f aca="false" t="array" ref="V100:V100">IF(AND(INDEX(Profils!$P$5:$P$34,$AE100)&gt;0,INDEX(Profils!$AE$5:$AE$34,$AE100)&lt;=$AH100),ROUND(INDEX(Profils!$P$5:$P$34,$AE100)*Paramètres!$E$32*$AG100*$AJ100,Paramètres!$F$32),0)</f>
        <v>0</v>
      </c>
      <c r="W100" s="20" t="n">
        <f aca="false" t="array" ref="W100:W100">IF(AND(INDEX(Profils!$Q$5:$Q$34,$AE100)&gt;0,INDEX(Profils!$AF$5:$AF$34,$AE100)&lt;=$AH100),ROUND(INDEX(Profils!$Q$5:$Q$34,$AE100)*Paramètres!$E$33*$AG100*$AJ100,Paramètres!$F$33),0)</f>
        <v>0</v>
      </c>
      <c r="X100" s="20" t="n">
        <f aca="false" t="array" ref="X100:X100">IF(AND(INDEX(Profils!$R$5:$R$34,$AE100)&gt;0,INDEX(Profils!$AG$5:$AG$34,$AE100)&lt;=$AH100),ROUND(INDEX(Profils!$R$5:$R$34,$AE100)*Paramètres!$E$34*$AG100*$AJ100,Paramètres!$F$34),0)</f>
        <v>0</v>
      </c>
      <c r="Y100" s="20" t="n">
        <f aca="false" t="array" ref="Y100:Y100">IF(AND(INDEX(Profils!$S$5:$S$34,$AE100)&gt;0,INDEX(Profils!$AH$5:$AH$34,$AE100)&lt;=$AH100),ROUND(INDEX(Profils!$S$5:$S$34,$AE100)*Paramètres!$E$35*$AG100*$AJ100,Paramètres!$F$35),0)</f>
        <v>0</v>
      </c>
      <c r="Z100" s="21" t="n">
        <f aca="false">ROUND(L100/Paramètres!$E$22+M100/Paramètres!$E$23+N100/Paramètres!$E$24+O100/Paramètres!$E$25+P100/Paramètres!$E$26+Q100/Paramètres!$E$27+R100/Paramètres!$E$28+S100/Paramètres!$E$29+T100/Paramètres!$E$30+U100/Paramètres!$E$31+V100/Paramètres!$E$32+W100/Paramètres!$E$33+X100/Paramètres!$E$34+Y100/Paramètres!$E$35,1)</f>
        <v>0.3</v>
      </c>
      <c r="AA100" s="22" t="s">
        <v>109</v>
      </c>
      <c r="AB100" s="22" t="s">
        <v>109</v>
      </c>
      <c r="AC100" s="15" t="str">
        <f aca="false">$E100</f>
        <v>cuir</v>
      </c>
      <c r="AD100" s="16" t="n">
        <f aca="false" t="array" ref="AD100:AD100">IF($I100&gt;=$AI100,"Max",ROUND(Paramètres!$B$40*($I100+1)^Paramètres!$B$41*INDEX(Paramètres!$H$6:$H$12,$AF100),0))</f>
        <v>4</v>
      </c>
      <c r="AE100" s="23" t="n">
        <f aca="false">MATCH($B100&amp;"|"&amp;$C100,Profils!$A$5:$A$34,0)</f>
        <v>4</v>
      </c>
      <c r="AF100" s="23" t="n">
        <v>2</v>
      </c>
      <c r="AG100" s="24" t="n">
        <f aca="false" t="array" ref="AG100:AG100">INDEX(Paramètres!$C$6:$C$12,$AF100)</f>
        <v>1.2</v>
      </c>
      <c r="AH100" s="23" t="n">
        <f aca="false" t="array" ref="AH100:AH100">INDEX(Paramètres!$D$6:$D$12,$AF100)</f>
        <v>3</v>
      </c>
      <c r="AI100" s="23" t="n">
        <f aca="false" t="array" ref="AI100:AI100">INDEX(Matériaux!$C$16:$C$20,$D100)</f>
        <v>19</v>
      </c>
      <c r="AJ100" s="25" t="n">
        <f aca="false">Paramètres!$B$16+(1-Paramètres!$B$16)*(($J100-Paramètres!$B$14)/(Paramètres!$B$15-Paramètres!$B$14))^Paramètres!$B$17</f>
        <v>0.05</v>
      </c>
    </row>
    <row r="101" customFormat="false" ht="15.75" hidden="false" customHeight="true" outlineLevel="0" collapsed="false">
      <c r="A101" s="14" t="s">
        <v>211</v>
      </c>
      <c r="B101" s="15" t="s">
        <v>27</v>
      </c>
      <c r="C101" s="15" t="s">
        <v>209</v>
      </c>
      <c r="D101" s="16" t="n">
        <v>1</v>
      </c>
      <c r="E101" s="15" t="str">
        <f aca="false" t="array" ref="E101:E101">INDEX(Matériaux!$B$5:$F$12,MATCH(INDEX(Profils!$E$5:$E$34,$AE101),Matériaux!$A$5:$A$12,0),$D101)</f>
        <v>cuir</v>
      </c>
      <c r="F101" s="27" t="s">
        <v>113</v>
      </c>
      <c r="G101" s="10" t="str">
        <f aca="false" t="array" ref="G101:G101">INDEX(Profils!$D$5:$D$34,$AE101)&amp;" en "&amp;$E101</f>
        <v>Brodequins en cuir</v>
      </c>
      <c r="H101" s="16" t="n">
        <f aca="false" t="array" ref="H101:H101">INDEX(Matériaux!$B$16:$B$20,$D101)</f>
        <v>1</v>
      </c>
      <c r="I101" s="16" t="n">
        <f aca="false">IF(ISNUMBER($C$3),MIN(MAX(0,ROUND($C$3,0)),$AI101),$AI101)</f>
        <v>0</v>
      </c>
      <c r="J101" s="18" t="n">
        <f aca="false">$H101+$I101</f>
        <v>1</v>
      </c>
      <c r="K101" s="15" t="s">
        <v>109</v>
      </c>
      <c r="L101" s="19" t="n">
        <f aca="false" t="array" ref="L101:L101">IF(AND(INDEX(Profils!$F$5:$F$34,$AE101)&gt;0,INDEX(Profils!$U$5:$U$34,$AE101)&lt;=$AH101),ROUND(INDEX(Profils!$F$5:$F$34,$AE101)*Paramètres!$E$22*$AG101*$AJ101,Paramètres!$F$22),0)</f>
        <v>3</v>
      </c>
      <c r="M101" s="19" t="n">
        <f aca="false" t="array" ref="M101:M101">IF(AND(INDEX(Profils!$G$5:$G$34,$AE101)&gt;0,INDEX(Profils!$V$5:$V$34,$AE101)&lt;=$AH101),ROUND(INDEX(Profils!$G$5:$G$34,$AE101)*Paramètres!$E$23*$AG101*$AJ101,Paramètres!$F$23),0)</f>
        <v>0</v>
      </c>
      <c r="N101" s="19" t="n">
        <f aca="false" t="array" ref="N101:N101">IF(AND(INDEX(Profils!$H$5:$H$34,$AE101)&gt;0,INDEX(Profils!$W$5:$W$34,$AE101)&lt;=$AH101),ROUND(INDEX(Profils!$H$5:$H$34,$AE101)*Paramètres!$E$24*$AG101*$AJ101,Paramètres!$F$24),0)</f>
        <v>1</v>
      </c>
      <c r="O101" s="19" t="n">
        <f aca="false" t="array" ref="O101:O101">IF(AND(INDEX(Profils!$I$5:$I$34,$AE101)&gt;0,INDEX(Profils!$X$5:$X$34,$AE101)&lt;=$AH101),ROUND(INDEX(Profils!$I$5:$I$34,$AE101)*Paramètres!$E$25*$AG101*$AJ101,Paramètres!$F$25),0)</f>
        <v>0</v>
      </c>
      <c r="P101" s="19" t="n">
        <f aca="false" t="array" ref="P101:P101">IF(AND(INDEX(Profils!$J$5:$J$34,$AE101)&gt;0,INDEX(Profils!$Y$5:$Y$34,$AE101)&lt;=$AH101),ROUND(INDEX(Profils!$J$5:$J$34,$AE101)*Paramètres!$E$26*$AG101*$AJ101,Paramètres!$F$26),0)</f>
        <v>1</v>
      </c>
      <c r="Q101" s="19" t="n">
        <f aca="false" t="array" ref="Q101:Q101">IF(AND(INDEX(Profils!$K$5:$K$34,$AE101)&gt;0,INDEX(Profils!$Z$5:$Z$34,$AE101)&lt;=$AH101),ROUND(INDEX(Profils!$K$5:$K$34,$AE101)*Paramètres!$E$27*$AG101*$AJ101,Paramètres!$F$27),0)</f>
        <v>1</v>
      </c>
      <c r="R101" s="20" t="n">
        <f aca="false" t="array" ref="R101:R101">IF(AND(INDEX(Profils!$L$5:$L$34,$AE101)&gt;0,INDEX(Profils!$AA$5:$AA$34,$AE101)&lt;=$AH101),ROUND(INDEX(Profils!$L$5:$L$34,$AE101)*Paramètres!$E$28*$AG101*$AJ101,Paramètres!$F$28),0)</f>
        <v>0</v>
      </c>
      <c r="S101" s="20" t="n">
        <f aca="false" t="array" ref="S101:S101">IF(AND(INDEX(Profils!$M$5:$M$34,$AE101)&gt;0,INDEX(Profils!$AB$5:$AB$34,$AE101)&lt;=$AH101),ROUND(INDEX(Profils!$M$5:$M$34,$AE101)*Paramètres!$E$29*$AG101*$AJ101,Paramètres!$F$29),0)</f>
        <v>0</v>
      </c>
      <c r="T101" s="20" t="n">
        <f aca="false" t="array" ref="T101:T101">IF(AND(INDEX(Profils!$N$5:$N$34,$AE101)&gt;0,INDEX(Profils!$AC$5:$AC$34,$AE101)&lt;=$AH101),ROUND(INDEX(Profils!$N$5:$N$34,$AE101)*Paramètres!$E$30*$AG101*$AJ101,Paramètres!$F$30),0)</f>
        <v>0</v>
      </c>
      <c r="U101" s="19" t="n">
        <f aca="false" t="array" ref="U101:U101">IF(AND(INDEX(Profils!$O$5:$O$34,$AE101)&gt;0,INDEX(Profils!$AD$5:$AD$34,$AE101)&lt;=$AH101),ROUND(INDEX(Profils!$O$5:$O$34,$AE101)*Paramètres!$E$31*$AG101*$AJ101,Paramètres!$F$31),0)</f>
        <v>0</v>
      </c>
      <c r="V101" s="20" t="n">
        <f aca="false" t="array" ref="V101:V101">IF(AND(INDEX(Profils!$P$5:$P$34,$AE101)&gt;0,INDEX(Profils!$AE$5:$AE$34,$AE101)&lt;=$AH101),ROUND(INDEX(Profils!$P$5:$P$34,$AE101)*Paramètres!$E$32*$AG101*$AJ101,Paramètres!$F$32),0)</f>
        <v>0</v>
      </c>
      <c r="W101" s="20" t="n">
        <f aca="false" t="array" ref="W101:W101">IF(AND(INDEX(Profils!$Q$5:$Q$34,$AE101)&gt;0,INDEX(Profils!$AF$5:$AF$34,$AE101)&lt;=$AH101),ROUND(INDEX(Profils!$Q$5:$Q$34,$AE101)*Paramètres!$E$33*$AG101*$AJ101,Paramètres!$F$33),0)</f>
        <v>0</v>
      </c>
      <c r="X101" s="20" t="n">
        <f aca="false" t="array" ref="X101:X101">IF(AND(INDEX(Profils!$R$5:$R$34,$AE101)&gt;0,INDEX(Profils!$AG$5:$AG$34,$AE101)&lt;=$AH101),ROUND(INDEX(Profils!$R$5:$R$34,$AE101)*Paramètres!$E$34*$AG101*$AJ101,Paramètres!$F$34),0)</f>
        <v>0</v>
      </c>
      <c r="Y101" s="20" t="n">
        <f aca="false" t="array" ref="Y101:Y101">IF(AND(INDEX(Profils!$S$5:$S$34,$AE101)&gt;0,INDEX(Profils!$AH$5:$AH$34,$AE101)&lt;=$AH101),ROUND(INDEX(Profils!$S$5:$S$34,$AE101)*Paramètres!$E$35*$AG101*$AJ101,Paramètres!$F$35),0)</f>
        <v>0</v>
      </c>
      <c r="Z101" s="21" t="n">
        <f aca="false">ROUND(L101/Paramètres!$E$22+M101/Paramètres!$E$23+N101/Paramètres!$E$24+O101/Paramètres!$E$25+P101/Paramètres!$E$26+Q101/Paramètres!$E$27+R101/Paramètres!$E$28+S101/Paramètres!$E$29+T101/Paramètres!$E$30+U101/Paramètres!$E$31+V101/Paramètres!$E$32+W101/Paramètres!$E$33+X101/Paramètres!$E$34+Y101/Paramètres!$E$35,1)</f>
        <v>0.4</v>
      </c>
      <c r="AA101" s="22" t="s">
        <v>109</v>
      </c>
      <c r="AB101" s="22" t="s">
        <v>109</v>
      </c>
      <c r="AC101" s="15" t="str">
        <f aca="false">$E101</f>
        <v>cuir</v>
      </c>
      <c r="AD101" s="16" t="n">
        <f aca="false" t="array" ref="AD101:AD101">IF($I101&gt;=$AI101,"Max",ROUND(Paramètres!$B$40*($I101+1)^Paramètres!$B$41*INDEX(Paramètres!$H$6:$H$12,$AF101),0))</f>
        <v>4</v>
      </c>
      <c r="AE101" s="23" t="n">
        <f aca="false">MATCH($B101&amp;"|"&amp;$C101,Profils!$A$5:$A$34,0)</f>
        <v>4</v>
      </c>
      <c r="AF101" s="23" t="n">
        <v>3</v>
      </c>
      <c r="AG101" s="24" t="n">
        <f aca="false" t="array" ref="AG101:AG101">INDEX(Paramètres!$C$6:$C$12,$AF101)</f>
        <v>1.45</v>
      </c>
      <c r="AH101" s="23" t="n">
        <f aca="false" t="array" ref="AH101:AH101">INDEX(Paramètres!$D$6:$D$12,$AF101)</f>
        <v>4</v>
      </c>
      <c r="AI101" s="23" t="n">
        <f aca="false" t="array" ref="AI101:AI101">INDEX(Matériaux!$C$16:$C$20,$D101)</f>
        <v>19</v>
      </c>
      <c r="AJ101" s="25" t="n">
        <f aca="false">Paramètres!$B$16+(1-Paramètres!$B$16)*(($J101-Paramètres!$B$14)/(Paramètres!$B$15-Paramètres!$B$14))^Paramètres!$B$17</f>
        <v>0.05</v>
      </c>
    </row>
    <row r="102" customFormat="false" ht="15.75" hidden="false" customHeight="true" outlineLevel="0" collapsed="false">
      <c r="A102" s="14" t="s">
        <v>212</v>
      </c>
      <c r="B102" s="15" t="s">
        <v>27</v>
      </c>
      <c r="C102" s="15" t="s">
        <v>209</v>
      </c>
      <c r="D102" s="16" t="n">
        <v>1</v>
      </c>
      <c r="E102" s="15" t="str">
        <f aca="false" t="array" ref="E102:E102">INDEX(Matériaux!$B$5:$F$12,MATCH(INDEX(Profils!$E$5:$E$34,$AE102),Matériaux!$A$5:$A$12,0),$D102)</f>
        <v>cuir</v>
      </c>
      <c r="F102" s="28" t="s">
        <v>115</v>
      </c>
      <c r="G102" s="10" t="str">
        <f aca="false" t="array" ref="G102:G102">INDEX(Profils!$D$5:$D$34,$AE102)&amp;" en "&amp;$E102</f>
        <v>Brodequins en cuir</v>
      </c>
      <c r="H102" s="16" t="n">
        <f aca="false" t="array" ref="H102:H102">INDEX(Matériaux!$B$16:$B$20,$D102)</f>
        <v>1</v>
      </c>
      <c r="I102" s="16" t="n">
        <f aca="false">IF(ISNUMBER($C$3),MIN(MAX(0,ROUND($C$3,0)),$AI102),$AI102)</f>
        <v>0</v>
      </c>
      <c r="J102" s="18" t="n">
        <f aca="false">$H102+$I102</f>
        <v>1</v>
      </c>
      <c r="K102" s="15" t="s">
        <v>109</v>
      </c>
      <c r="L102" s="19" t="n">
        <f aca="false" t="array" ref="L102:L102">IF(AND(INDEX(Profils!$F$5:$F$34,$AE102)&gt;0,INDEX(Profils!$U$5:$U$34,$AE102)&lt;=$AH102),ROUND(INDEX(Profils!$F$5:$F$34,$AE102)*Paramètres!$E$22*$AG102*$AJ102,Paramètres!$F$22),0)</f>
        <v>3</v>
      </c>
      <c r="M102" s="19" t="n">
        <f aca="false" t="array" ref="M102:M102">IF(AND(INDEX(Profils!$G$5:$G$34,$AE102)&gt;0,INDEX(Profils!$V$5:$V$34,$AE102)&lt;=$AH102),ROUND(INDEX(Profils!$G$5:$G$34,$AE102)*Paramètres!$E$23*$AG102*$AJ102,Paramètres!$F$23),0)</f>
        <v>0</v>
      </c>
      <c r="N102" s="19" t="n">
        <f aca="false" t="array" ref="N102:N102">IF(AND(INDEX(Profils!$H$5:$H$34,$AE102)&gt;0,INDEX(Profils!$W$5:$W$34,$AE102)&lt;=$AH102),ROUND(INDEX(Profils!$H$5:$H$34,$AE102)*Paramètres!$E$24*$AG102*$AJ102,Paramètres!$F$24),0)</f>
        <v>1</v>
      </c>
      <c r="O102" s="19" t="n">
        <f aca="false" t="array" ref="O102:O102">IF(AND(INDEX(Profils!$I$5:$I$34,$AE102)&gt;0,INDEX(Profils!$X$5:$X$34,$AE102)&lt;=$AH102),ROUND(INDEX(Profils!$I$5:$I$34,$AE102)*Paramètres!$E$25*$AG102*$AJ102,Paramètres!$F$25),0)</f>
        <v>0</v>
      </c>
      <c r="P102" s="19" t="n">
        <f aca="false" t="array" ref="P102:P102">IF(AND(INDEX(Profils!$J$5:$J$34,$AE102)&gt;0,INDEX(Profils!$Y$5:$Y$34,$AE102)&lt;=$AH102),ROUND(INDEX(Profils!$J$5:$J$34,$AE102)*Paramètres!$E$26*$AG102*$AJ102,Paramètres!$F$26),0)</f>
        <v>1</v>
      </c>
      <c r="Q102" s="19" t="n">
        <f aca="false" t="array" ref="Q102:Q102">IF(AND(INDEX(Profils!$K$5:$K$34,$AE102)&gt;0,INDEX(Profils!$Z$5:$Z$34,$AE102)&lt;=$AH102),ROUND(INDEX(Profils!$K$5:$K$34,$AE102)*Paramètres!$E$27*$AG102*$AJ102,Paramètres!$F$27),0)</f>
        <v>1</v>
      </c>
      <c r="R102" s="20" t="n">
        <f aca="false" t="array" ref="R102:R102">IF(AND(INDEX(Profils!$L$5:$L$34,$AE102)&gt;0,INDEX(Profils!$AA$5:$AA$34,$AE102)&lt;=$AH102),ROUND(INDEX(Profils!$L$5:$L$34,$AE102)*Paramètres!$E$28*$AG102*$AJ102,Paramètres!$F$28),0)</f>
        <v>0</v>
      </c>
      <c r="S102" s="20" t="n">
        <f aca="false" t="array" ref="S102:S102">IF(AND(INDEX(Profils!$M$5:$M$34,$AE102)&gt;0,INDEX(Profils!$AB$5:$AB$34,$AE102)&lt;=$AH102),ROUND(INDEX(Profils!$M$5:$M$34,$AE102)*Paramètres!$E$29*$AG102*$AJ102,Paramètres!$F$29),0)</f>
        <v>0</v>
      </c>
      <c r="T102" s="20" t="n">
        <f aca="false" t="array" ref="T102:T102">IF(AND(INDEX(Profils!$N$5:$N$34,$AE102)&gt;0,INDEX(Profils!$AC$5:$AC$34,$AE102)&lt;=$AH102),ROUND(INDEX(Profils!$N$5:$N$34,$AE102)*Paramètres!$E$30*$AG102*$AJ102,Paramètres!$F$30),0)</f>
        <v>0</v>
      </c>
      <c r="U102" s="19" t="n">
        <f aca="false" t="array" ref="U102:U102">IF(AND(INDEX(Profils!$O$5:$O$34,$AE102)&gt;0,INDEX(Profils!$AD$5:$AD$34,$AE102)&lt;=$AH102),ROUND(INDEX(Profils!$O$5:$O$34,$AE102)*Paramètres!$E$31*$AG102*$AJ102,Paramètres!$F$31),0)</f>
        <v>2</v>
      </c>
      <c r="V102" s="20" t="n">
        <f aca="false" t="array" ref="V102:V102">IF(AND(INDEX(Profils!$P$5:$P$34,$AE102)&gt;0,INDEX(Profils!$AE$5:$AE$34,$AE102)&lt;=$AH102),ROUND(INDEX(Profils!$P$5:$P$34,$AE102)*Paramètres!$E$32*$AG102*$AJ102,Paramètres!$F$32),0)</f>
        <v>0</v>
      </c>
      <c r="W102" s="20" t="n">
        <f aca="false" t="array" ref="W102:W102">IF(AND(INDEX(Profils!$Q$5:$Q$34,$AE102)&gt;0,INDEX(Profils!$AF$5:$AF$34,$AE102)&lt;=$AH102),ROUND(INDEX(Profils!$Q$5:$Q$34,$AE102)*Paramètres!$E$33*$AG102*$AJ102,Paramètres!$F$33),0)</f>
        <v>0</v>
      </c>
      <c r="X102" s="20" t="n">
        <f aca="false" t="array" ref="X102:X102">IF(AND(INDEX(Profils!$R$5:$R$34,$AE102)&gt;0,INDEX(Profils!$AG$5:$AG$34,$AE102)&lt;=$AH102),ROUND(INDEX(Profils!$R$5:$R$34,$AE102)*Paramètres!$E$34*$AG102*$AJ102,Paramètres!$F$34),0)</f>
        <v>0</v>
      </c>
      <c r="Y102" s="20" t="n">
        <f aca="false" t="array" ref="Y102:Y102">IF(AND(INDEX(Profils!$S$5:$S$34,$AE102)&gt;0,INDEX(Profils!$AH$5:$AH$34,$AE102)&lt;=$AH102),ROUND(INDEX(Profils!$S$5:$S$34,$AE102)*Paramètres!$E$35*$AG102*$AJ102,Paramètres!$F$35),0)</f>
        <v>0</v>
      </c>
      <c r="Z102" s="21" t="n">
        <f aca="false">ROUND(L102/Paramètres!$E$22+M102/Paramètres!$E$23+N102/Paramètres!$E$24+O102/Paramètres!$E$25+P102/Paramètres!$E$26+Q102/Paramètres!$E$27+R102/Paramètres!$E$28+S102/Paramètres!$E$29+T102/Paramètres!$E$30+U102/Paramètres!$E$31+V102/Paramètres!$E$32+W102/Paramètres!$E$33+X102/Paramètres!$E$34+Y102/Paramètres!$E$35,1)</f>
        <v>0.5</v>
      </c>
      <c r="AA102" s="22" t="s">
        <v>109</v>
      </c>
      <c r="AB102" s="22" t="s">
        <v>109</v>
      </c>
      <c r="AC102" s="15" t="str">
        <f aca="false">$E102</f>
        <v>cuir</v>
      </c>
      <c r="AD102" s="16" t="n">
        <f aca="false" t="array" ref="AD102:AD102">IF($I102&gt;=$AI102,"Max",ROUND(Paramètres!$B$40*($I102+1)^Paramètres!$B$41*INDEX(Paramètres!$H$6:$H$12,$AF102),0))</f>
        <v>5</v>
      </c>
      <c r="AE102" s="23" t="n">
        <f aca="false">MATCH($B102&amp;"|"&amp;$C102,Profils!$A$5:$A$34,0)</f>
        <v>4</v>
      </c>
      <c r="AF102" s="23" t="n">
        <v>4</v>
      </c>
      <c r="AG102" s="24" t="n">
        <f aca="false" t="array" ref="AG102:AG102">INDEX(Paramètres!$C$6:$C$12,$AF102)</f>
        <v>1.75</v>
      </c>
      <c r="AH102" s="23" t="n">
        <f aca="false" t="array" ref="AH102:AH102">INDEX(Paramètres!$D$6:$D$12,$AF102)</f>
        <v>5</v>
      </c>
      <c r="AI102" s="23" t="n">
        <f aca="false" t="array" ref="AI102:AI102">INDEX(Matériaux!$C$16:$C$20,$D102)</f>
        <v>19</v>
      </c>
      <c r="AJ102" s="25" t="n">
        <f aca="false">Paramètres!$B$16+(1-Paramètres!$B$16)*(($J102-Paramètres!$B$14)/(Paramètres!$B$15-Paramètres!$B$14))^Paramètres!$B$17</f>
        <v>0.05</v>
      </c>
    </row>
    <row r="103" customFormat="false" ht="15.75" hidden="false" customHeight="true" outlineLevel="0" collapsed="false">
      <c r="A103" s="14" t="s">
        <v>213</v>
      </c>
      <c r="B103" s="15" t="s">
        <v>27</v>
      </c>
      <c r="C103" s="15" t="s">
        <v>209</v>
      </c>
      <c r="D103" s="16" t="n">
        <v>1</v>
      </c>
      <c r="E103" s="15" t="str">
        <f aca="false" t="array" ref="E103:E103">INDEX(Matériaux!$B$5:$F$12,MATCH(INDEX(Profils!$E$5:$E$34,$AE103),Matériaux!$A$5:$A$12,0),$D103)</f>
        <v>cuir</v>
      </c>
      <c r="F103" s="29" t="s">
        <v>117</v>
      </c>
      <c r="G103" s="10" t="str">
        <f aca="false" t="array" ref="G103:G103">INDEX(Profils!$D$5:$D$34,$AE103)&amp;" en "&amp;$E103</f>
        <v>Brodequins en cuir</v>
      </c>
      <c r="H103" s="16" t="n">
        <f aca="false" t="array" ref="H103:H103">INDEX(Matériaux!$B$16:$B$20,$D103)</f>
        <v>1</v>
      </c>
      <c r="I103" s="16" t="n">
        <f aca="false">IF(ISNUMBER($C$3),MIN(MAX(0,ROUND($C$3,0)),$AI103),$AI103)</f>
        <v>0</v>
      </c>
      <c r="J103" s="18" t="n">
        <f aca="false">$H103+$I103</f>
        <v>1</v>
      </c>
      <c r="K103" s="15" t="s">
        <v>109</v>
      </c>
      <c r="L103" s="19" t="n">
        <f aca="false" t="array" ref="L103:L103">IF(AND(INDEX(Profils!$F$5:$F$34,$AE103)&gt;0,INDEX(Profils!$U$5:$U$34,$AE103)&lt;=$AH103),ROUND(INDEX(Profils!$F$5:$F$34,$AE103)*Paramètres!$E$22*$AG103*$AJ103,Paramètres!$F$22),0)</f>
        <v>4</v>
      </c>
      <c r="M103" s="19" t="n">
        <f aca="false" t="array" ref="M103:M103">IF(AND(INDEX(Profils!$G$5:$G$34,$AE103)&gt;0,INDEX(Profils!$V$5:$V$34,$AE103)&lt;=$AH103),ROUND(INDEX(Profils!$G$5:$G$34,$AE103)*Paramètres!$E$23*$AG103*$AJ103,Paramètres!$F$23),0)</f>
        <v>1</v>
      </c>
      <c r="N103" s="19" t="n">
        <f aca="false" t="array" ref="N103:N103">IF(AND(INDEX(Profils!$H$5:$H$34,$AE103)&gt;0,INDEX(Profils!$W$5:$W$34,$AE103)&lt;=$AH103),ROUND(INDEX(Profils!$H$5:$H$34,$AE103)*Paramètres!$E$24*$AG103*$AJ103,Paramètres!$F$24),0)</f>
        <v>2</v>
      </c>
      <c r="O103" s="19" t="n">
        <f aca="false" t="array" ref="O103:O103">IF(AND(INDEX(Profils!$I$5:$I$34,$AE103)&gt;0,INDEX(Profils!$X$5:$X$34,$AE103)&lt;=$AH103),ROUND(INDEX(Profils!$I$5:$I$34,$AE103)*Paramètres!$E$25*$AG103*$AJ103,Paramètres!$F$25),0)</f>
        <v>0</v>
      </c>
      <c r="P103" s="19" t="n">
        <f aca="false" t="array" ref="P103:P103">IF(AND(INDEX(Profils!$J$5:$J$34,$AE103)&gt;0,INDEX(Profils!$Y$5:$Y$34,$AE103)&lt;=$AH103),ROUND(INDEX(Profils!$J$5:$J$34,$AE103)*Paramètres!$E$26*$AG103*$AJ103,Paramètres!$F$26),0)</f>
        <v>2</v>
      </c>
      <c r="Q103" s="19" t="n">
        <f aca="false" t="array" ref="Q103:Q103">IF(AND(INDEX(Profils!$K$5:$K$34,$AE103)&gt;0,INDEX(Profils!$Z$5:$Z$34,$AE103)&lt;=$AH103),ROUND(INDEX(Profils!$K$5:$K$34,$AE103)*Paramètres!$E$27*$AG103*$AJ103,Paramètres!$F$27),0)</f>
        <v>1</v>
      </c>
      <c r="R103" s="20" t="n">
        <f aca="false" t="array" ref="R103:R103">IF(AND(INDEX(Profils!$L$5:$L$34,$AE103)&gt;0,INDEX(Profils!$AA$5:$AA$34,$AE103)&lt;=$AH103),ROUND(INDEX(Profils!$L$5:$L$34,$AE103)*Paramètres!$E$28*$AG103*$AJ103,Paramètres!$F$28),0)</f>
        <v>0</v>
      </c>
      <c r="S103" s="20" t="n">
        <f aca="false" t="array" ref="S103:S103">IF(AND(INDEX(Profils!$M$5:$M$34,$AE103)&gt;0,INDEX(Profils!$AB$5:$AB$34,$AE103)&lt;=$AH103),ROUND(INDEX(Profils!$M$5:$M$34,$AE103)*Paramètres!$E$29*$AG103*$AJ103,Paramètres!$F$29),0)</f>
        <v>0</v>
      </c>
      <c r="T103" s="20" t="n">
        <f aca="false" t="array" ref="T103:T103">IF(AND(INDEX(Profils!$N$5:$N$34,$AE103)&gt;0,INDEX(Profils!$AC$5:$AC$34,$AE103)&lt;=$AH103),ROUND(INDEX(Profils!$N$5:$N$34,$AE103)*Paramètres!$E$30*$AG103*$AJ103,Paramètres!$F$30),0)</f>
        <v>0</v>
      </c>
      <c r="U103" s="19" t="n">
        <f aca="false" t="array" ref="U103:U103">IF(AND(INDEX(Profils!$O$5:$O$34,$AE103)&gt;0,INDEX(Profils!$AD$5:$AD$34,$AE103)&lt;=$AH103),ROUND(INDEX(Profils!$O$5:$O$34,$AE103)*Paramètres!$E$31*$AG103*$AJ103,Paramètres!$F$31),0)</f>
        <v>2</v>
      </c>
      <c r="V103" s="20" t="n">
        <f aca="false" t="array" ref="V103:V103">IF(AND(INDEX(Profils!$P$5:$P$34,$AE103)&gt;0,INDEX(Profils!$AE$5:$AE$34,$AE103)&lt;=$AH103),ROUND(INDEX(Profils!$P$5:$P$34,$AE103)*Paramètres!$E$32*$AG103*$AJ103,Paramètres!$F$32),0)</f>
        <v>0</v>
      </c>
      <c r="W103" s="20" t="n">
        <f aca="false" t="array" ref="W103:W103">IF(AND(INDEX(Profils!$Q$5:$Q$34,$AE103)&gt;0,INDEX(Profils!$AF$5:$AF$34,$AE103)&lt;=$AH103),ROUND(INDEX(Profils!$Q$5:$Q$34,$AE103)*Paramètres!$E$33*$AG103*$AJ103,Paramètres!$F$33),0)</f>
        <v>0</v>
      </c>
      <c r="X103" s="20" t="n">
        <f aca="false" t="array" ref="X103:X103">IF(AND(INDEX(Profils!$R$5:$R$34,$AE103)&gt;0,INDEX(Profils!$AG$5:$AG$34,$AE103)&lt;=$AH103),ROUND(INDEX(Profils!$R$5:$R$34,$AE103)*Paramètres!$E$34*$AG103*$AJ103,Paramètres!$F$34),0)</f>
        <v>0</v>
      </c>
      <c r="Y103" s="20" t="n">
        <f aca="false" t="array" ref="Y103:Y103">IF(AND(INDEX(Profils!$S$5:$S$34,$AE103)&gt;0,INDEX(Profils!$AH$5:$AH$34,$AE103)&lt;=$AH103),ROUND(INDEX(Profils!$S$5:$S$34,$AE103)*Paramètres!$E$35*$AG103*$AJ103,Paramètres!$F$35),0)</f>
        <v>0</v>
      </c>
      <c r="Z103" s="21" t="n">
        <f aca="false">ROUND(L103/Paramètres!$E$22+M103/Paramètres!$E$23+N103/Paramètres!$E$24+O103/Paramètres!$E$25+P103/Paramètres!$E$26+Q103/Paramètres!$E$27+R103/Paramètres!$E$28+S103/Paramètres!$E$29+T103/Paramètres!$E$30+U103/Paramètres!$E$31+V103/Paramètres!$E$32+W103/Paramètres!$E$33+X103/Paramètres!$E$34+Y103/Paramètres!$E$35,1)</f>
        <v>0.7</v>
      </c>
      <c r="AA103" s="22" t="s">
        <v>109</v>
      </c>
      <c r="AB103" s="22" t="s">
        <v>109</v>
      </c>
      <c r="AC103" s="15" t="str">
        <f aca="false">$E103</f>
        <v>cuir</v>
      </c>
      <c r="AD103" s="16" t="n">
        <f aca="false" t="array" ref="AD103:AD103">IF($I103&gt;=$AI103,"Max",ROUND(Paramètres!$B$40*($I103+1)^Paramètres!$B$41*INDEX(Paramètres!$H$6:$H$12,$AF103),0))</f>
        <v>6</v>
      </c>
      <c r="AE103" s="23" t="n">
        <f aca="false">MATCH($B103&amp;"|"&amp;$C103,Profils!$A$5:$A$34,0)</f>
        <v>4</v>
      </c>
      <c r="AF103" s="23" t="n">
        <v>5</v>
      </c>
      <c r="AG103" s="24" t="n">
        <f aca="false" t="array" ref="AG103:AG103">INDEX(Paramètres!$C$6:$C$12,$AF103)</f>
        <v>2.1</v>
      </c>
      <c r="AH103" s="23" t="n">
        <f aca="false" t="array" ref="AH103:AH103">INDEX(Paramètres!$D$6:$D$12,$AF103)</f>
        <v>6</v>
      </c>
      <c r="AI103" s="23" t="n">
        <f aca="false" t="array" ref="AI103:AI103">INDEX(Matériaux!$C$16:$C$20,$D103)</f>
        <v>19</v>
      </c>
      <c r="AJ103" s="25" t="n">
        <f aca="false">Paramètres!$B$16+(1-Paramètres!$B$16)*(($J103-Paramètres!$B$14)/(Paramètres!$B$15-Paramètres!$B$14))^Paramètres!$B$17</f>
        <v>0.05</v>
      </c>
    </row>
    <row r="104" customFormat="false" ht="15.75" hidden="false" customHeight="true" outlineLevel="0" collapsed="false">
      <c r="A104" s="14" t="s">
        <v>214</v>
      </c>
      <c r="B104" s="15" t="s">
        <v>27</v>
      </c>
      <c r="C104" s="15" t="s">
        <v>209</v>
      </c>
      <c r="D104" s="16" t="n">
        <v>1</v>
      </c>
      <c r="E104" s="15" t="str">
        <f aca="false" t="array" ref="E104:E104">INDEX(Matériaux!$B$5:$F$12,MATCH(INDEX(Profils!$E$5:$E$34,$AE104),Matériaux!$A$5:$A$12,0),$D104)</f>
        <v>cuir</v>
      </c>
      <c r="F104" s="30" t="s">
        <v>119</v>
      </c>
      <c r="G104" s="10" t="str">
        <f aca="false" t="array" ref="G104:G104">INDEX(Profils!$D$5:$D$34,$AE104)&amp;" en "&amp;$E104</f>
        <v>Brodequins en cuir</v>
      </c>
      <c r="H104" s="16" t="n">
        <f aca="false" t="array" ref="H104:H104">INDEX(Matériaux!$B$16:$B$20,$D104)</f>
        <v>1</v>
      </c>
      <c r="I104" s="16" t="n">
        <f aca="false">IF(ISNUMBER($C$3),MIN(MAX(0,ROUND($C$3,0)),$AI104),$AI104)</f>
        <v>0</v>
      </c>
      <c r="J104" s="18" t="n">
        <f aca="false">$H104+$I104</f>
        <v>1</v>
      </c>
      <c r="K104" s="15" t="s">
        <v>109</v>
      </c>
      <c r="L104" s="19" t="n">
        <f aca="false" t="array" ref="L104:L104">IF(AND(INDEX(Profils!$F$5:$F$34,$AE104)&gt;0,INDEX(Profils!$U$5:$U$34,$AE104)&lt;=$AH104),ROUND(INDEX(Profils!$F$5:$F$34,$AE104)*Paramètres!$E$22*$AG104*$AJ104,Paramètres!$F$22),0)</f>
        <v>4</v>
      </c>
      <c r="M104" s="19" t="n">
        <f aca="false" t="array" ref="M104:M104">IF(AND(INDEX(Profils!$G$5:$G$34,$AE104)&gt;0,INDEX(Profils!$V$5:$V$34,$AE104)&lt;=$AH104),ROUND(INDEX(Profils!$G$5:$G$34,$AE104)*Paramètres!$E$23*$AG104*$AJ104,Paramètres!$F$23),0)</f>
        <v>1</v>
      </c>
      <c r="N104" s="19" t="n">
        <f aca="false" t="array" ref="N104:N104">IF(AND(INDEX(Profils!$H$5:$H$34,$AE104)&gt;0,INDEX(Profils!$W$5:$W$34,$AE104)&lt;=$AH104),ROUND(INDEX(Profils!$H$5:$H$34,$AE104)*Paramètres!$E$24*$AG104*$AJ104,Paramètres!$F$24),0)</f>
        <v>2</v>
      </c>
      <c r="O104" s="19" t="n">
        <f aca="false" t="array" ref="O104:O104">IF(AND(INDEX(Profils!$I$5:$I$34,$AE104)&gt;0,INDEX(Profils!$X$5:$X$34,$AE104)&lt;=$AH104),ROUND(INDEX(Profils!$I$5:$I$34,$AE104)*Paramètres!$E$25*$AG104*$AJ104,Paramètres!$F$25),0)</f>
        <v>0</v>
      </c>
      <c r="P104" s="19" t="n">
        <f aca="false" t="array" ref="P104:P104">IF(AND(INDEX(Profils!$J$5:$J$34,$AE104)&gt;0,INDEX(Profils!$Y$5:$Y$34,$AE104)&lt;=$AH104),ROUND(INDEX(Profils!$J$5:$J$34,$AE104)*Paramètres!$E$26*$AG104*$AJ104,Paramètres!$F$26),0)</f>
        <v>2</v>
      </c>
      <c r="Q104" s="19" t="n">
        <f aca="false" t="array" ref="Q104:Q104">IF(AND(INDEX(Profils!$K$5:$K$34,$AE104)&gt;0,INDEX(Profils!$Z$5:$Z$34,$AE104)&lt;=$AH104),ROUND(INDEX(Profils!$K$5:$K$34,$AE104)*Paramètres!$E$27*$AG104*$AJ104,Paramètres!$F$27),0)</f>
        <v>1</v>
      </c>
      <c r="R104" s="20" t="n">
        <f aca="false" t="array" ref="R104:R104">IF(AND(INDEX(Profils!$L$5:$L$34,$AE104)&gt;0,INDEX(Profils!$AA$5:$AA$34,$AE104)&lt;=$AH104),ROUND(INDEX(Profils!$L$5:$L$34,$AE104)*Paramètres!$E$28*$AG104*$AJ104,Paramètres!$F$28),0)</f>
        <v>0</v>
      </c>
      <c r="S104" s="20" t="n">
        <f aca="false" t="array" ref="S104:S104">IF(AND(INDEX(Profils!$M$5:$M$34,$AE104)&gt;0,INDEX(Profils!$AB$5:$AB$34,$AE104)&lt;=$AH104),ROUND(INDEX(Profils!$M$5:$M$34,$AE104)*Paramètres!$E$29*$AG104*$AJ104,Paramètres!$F$29),0)</f>
        <v>0</v>
      </c>
      <c r="T104" s="20" t="n">
        <f aca="false" t="array" ref="T104:T104">IF(AND(INDEX(Profils!$N$5:$N$34,$AE104)&gt;0,INDEX(Profils!$AC$5:$AC$34,$AE104)&lt;=$AH104),ROUND(INDEX(Profils!$N$5:$N$34,$AE104)*Paramètres!$E$30*$AG104*$AJ104,Paramètres!$F$30),0)</f>
        <v>0</v>
      </c>
      <c r="U104" s="19" t="n">
        <f aca="false" t="array" ref="U104:U104">IF(AND(INDEX(Profils!$O$5:$O$34,$AE104)&gt;0,INDEX(Profils!$AD$5:$AD$34,$AE104)&lt;=$AH104),ROUND(INDEX(Profils!$O$5:$O$34,$AE104)*Paramètres!$E$31*$AG104*$AJ104,Paramètres!$F$31),0)</f>
        <v>2</v>
      </c>
      <c r="V104" s="20" t="n">
        <f aca="false" t="array" ref="V104:V104">IF(AND(INDEX(Profils!$P$5:$P$34,$AE104)&gt;0,INDEX(Profils!$AE$5:$AE$34,$AE104)&lt;=$AH104),ROUND(INDEX(Profils!$P$5:$P$34,$AE104)*Paramètres!$E$32*$AG104*$AJ104,Paramètres!$F$32),0)</f>
        <v>0</v>
      </c>
      <c r="W104" s="20" t="n">
        <f aca="false" t="array" ref="W104:W104">IF(AND(INDEX(Profils!$Q$5:$Q$34,$AE104)&gt;0,INDEX(Profils!$AF$5:$AF$34,$AE104)&lt;=$AH104),ROUND(INDEX(Profils!$Q$5:$Q$34,$AE104)*Paramètres!$E$33*$AG104*$AJ104,Paramètres!$F$33),0)</f>
        <v>0.001</v>
      </c>
      <c r="X104" s="20" t="n">
        <f aca="false" t="array" ref="X104:X104">IF(AND(INDEX(Profils!$R$5:$R$34,$AE104)&gt;0,INDEX(Profils!$AG$5:$AG$34,$AE104)&lt;=$AH104),ROUND(INDEX(Profils!$R$5:$R$34,$AE104)*Paramètres!$E$34*$AG104*$AJ104,Paramètres!$F$34),0)</f>
        <v>0</v>
      </c>
      <c r="Y104" s="20" t="n">
        <f aca="false" t="array" ref="Y104:Y104">IF(AND(INDEX(Profils!$S$5:$S$34,$AE104)&gt;0,INDEX(Profils!$AH$5:$AH$34,$AE104)&lt;=$AH104),ROUND(INDEX(Profils!$S$5:$S$34,$AE104)*Paramètres!$E$35*$AG104*$AJ104,Paramètres!$F$35),0)</f>
        <v>0</v>
      </c>
      <c r="Z104" s="21" t="n">
        <f aca="false">ROUND(L104/Paramètres!$E$22+M104/Paramètres!$E$23+N104/Paramètres!$E$24+O104/Paramètres!$E$25+P104/Paramètres!$E$26+Q104/Paramètres!$E$27+R104/Paramètres!$E$28+S104/Paramètres!$E$29+T104/Paramètres!$E$30+U104/Paramètres!$E$31+V104/Paramètres!$E$32+W104/Paramètres!$E$33+X104/Paramètres!$E$34+Y104/Paramètres!$E$35,1)</f>
        <v>0.8</v>
      </c>
      <c r="AA104" s="22" t="s">
        <v>109</v>
      </c>
      <c r="AB104" s="22" t="s">
        <v>109</v>
      </c>
      <c r="AC104" s="15" t="str">
        <f aca="false">$E104</f>
        <v>cuir</v>
      </c>
      <c r="AD104" s="16" t="n">
        <f aca="false" t="array" ref="AD104:AD104">IF($I104&gt;=$AI104,"Max",ROUND(Paramètres!$B$40*($I104+1)^Paramètres!$B$41*INDEX(Paramètres!$H$6:$H$12,$AF104),0))</f>
        <v>8</v>
      </c>
      <c r="AE104" s="23" t="n">
        <f aca="false">MATCH($B104&amp;"|"&amp;$C104,Profils!$A$5:$A$34,0)</f>
        <v>4</v>
      </c>
      <c r="AF104" s="23" t="n">
        <v>6</v>
      </c>
      <c r="AG104" s="24" t="n">
        <f aca="false" t="array" ref="AG104:AG104">INDEX(Paramètres!$C$6:$C$12,$AF104)</f>
        <v>2.4</v>
      </c>
      <c r="AH104" s="23" t="n">
        <f aca="false" t="array" ref="AH104:AH104">INDEX(Paramètres!$D$6:$D$12,$AF104)</f>
        <v>7</v>
      </c>
      <c r="AI104" s="23" t="n">
        <f aca="false" t="array" ref="AI104:AI104">INDEX(Matériaux!$C$16:$C$20,$D104)</f>
        <v>19</v>
      </c>
      <c r="AJ104" s="25" t="n">
        <f aca="false">Paramètres!$B$16+(1-Paramètres!$B$16)*(($J104-Paramètres!$B$14)/(Paramètres!$B$15-Paramètres!$B$14))^Paramètres!$B$17</f>
        <v>0.05</v>
      </c>
    </row>
    <row r="105" customFormat="false" ht="15.75" hidden="false" customHeight="true" outlineLevel="0" collapsed="false">
      <c r="A105" s="14" t="s">
        <v>215</v>
      </c>
      <c r="B105" s="15" t="s">
        <v>27</v>
      </c>
      <c r="C105" s="15" t="s">
        <v>209</v>
      </c>
      <c r="D105" s="16" t="n">
        <v>2</v>
      </c>
      <c r="E105" s="15" t="str">
        <f aca="false" t="array" ref="E105:E105">INDEX(Matériaux!$B$5:$F$12,MATCH(INDEX(Profils!$E$5:$E$34,$AE105),Matériaux!$A$5:$A$12,0),$D105)</f>
        <v>fer</v>
      </c>
      <c r="F105" s="17" t="s">
        <v>108</v>
      </c>
      <c r="G105" s="10" t="str">
        <f aca="false" t="array" ref="G105:G105">INDEX(Profils!$D$5:$D$34,$AE105)&amp;" en "&amp;$E105</f>
        <v>Brodequins en fer</v>
      </c>
      <c r="H105" s="16" t="n">
        <f aca="false" t="array" ref="H105:H105">INDEX(Matériaux!$B$16:$B$20,$D105)</f>
        <v>15</v>
      </c>
      <c r="I105" s="16" t="n">
        <f aca="false">IF(ISNUMBER($C$3),MIN(MAX(0,ROUND($C$3,0)),$AI105),$AI105)</f>
        <v>0</v>
      </c>
      <c r="J105" s="18" t="n">
        <f aca="false">$H105+$I105</f>
        <v>15</v>
      </c>
      <c r="K105" s="15" t="s">
        <v>109</v>
      </c>
      <c r="L105" s="19" t="n">
        <f aca="false" t="array" ref="L105:L105">IF(AND(INDEX(Profils!$F$5:$F$34,$AE105)&gt;0,INDEX(Profils!$U$5:$U$34,$AE105)&lt;=$AH105),ROUND(INDEX(Profils!$F$5:$F$34,$AE105)*Paramètres!$E$22*$AG105*$AJ105,Paramètres!$F$22),0)</f>
        <v>5</v>
      </c>
      <c r="M105" s="19" t="n">
        <f aca="false" t="array" ref="M105:M105">IF(AND(INDEX(Profils!$G$5:$G$34,$AE105)&gt;0,INDEX(Profils!$V$5:$V$34,$AE105)&lt;=$AH105),ROUND(INDEX(Profils!$G$5:$G$34,$AE105)*Paramètres!$E$23*$AG105*$AJ105,Paramètres!$F$23),0)</f>
        <v>0</v>
      </c>
      <c r="N105" s="19" t="n">
        <f aca="false" t="array" ref="N105:N105">IF(AND(INDEX(Profils!$H$5:$H$34,$AE105)&gt;0,INDEX(Profils!$W$5:$W$34,$AE105)&lt;=$AH105),ROUND(INDEX(Profils!$H$5:$H$34,$AE105)*Paramètres!$E$24*$AG105*$AJ105,Paramètres!$F$24),0)</f>
        <v>0</v>
      </c>
      <c r="O105" s="19" t="n">
        <f aca="false" t="array" ref="O105:O105">IF(AND(INDEX(Profils!$I$5:$I$34,$AE105)&gt;0,INDEX(Profils!$X$5:$X$34,$AE105)&lt;=$AH105),ROUND(INDEX(Profils!$I$5:$I$34,$AE105)*Paramètres!$E$25*$AG105*$AJ105,Paramètres!$F$25),0)</f>
        <v>0</v>
      </c>
      <c r="P105" s="19" t="n">
        <f aca="false" t="array" ref="P105:P105">IF(AND(INDEX(Profils!$J$5:$J$34,$AE105)&gt;0,INDEX(Profils!$Y$5:$Y$34,$AE105)&lt;=$AH105),ROUND(INDEX(Profils!$J$5:$J$34,$AE105)*Paramètres!$E$26*$AG105*$AJ105,Paramètres!$F$26),0)</f>
        <v>2</v>
      </c>
      <c r="Q105" s="19" t="n">
        <f aca="false" t="array" ref="Q105:Q105">IF(AND(INDEX(Profils!$K$5:$K$34,$AE105)&gt;0,INDEX(Profils!$Z$5:$Z$34,$AE105)&lt;=$AH105),ROUND(INDEX(Profils!$K$5:$K$34,$AE105)*Paramètres!$E$27*$AG105*$AJ105,Paramètres!$F$27),0)</f>
        <v>0</v>
      </c>
      <c r="R105" s="20" t="n">
        <f aca="false" t="array" ref="R105:R105">IF(AND(INDEX(Profils!$L$5:$L$34,$AE105)&gt;0,INDEX(Profils!$AA$5:$AA$34,$AE105)&lt;=$AH105),ROUND(INDEX(Profils!$L$5:$L$34,$AE105)*Paramètres!$E$28*$AG105*$AJ105,Paramètres!$F$28),0)</f>
        <v>0</v>
      </c>
      <c r="S105" s="20" t="n">
        <f aca="false" t="array" ref="S105:S105">IF(AND(INDEX(Profils!$M$5:$M$34,$AE105)&gt;0,INDEX(Profils!$AB$5:$AB$34,$AE105)&lt;=$AH105),ROUND(INDEX(Profils!$M$5:$M$34,$AE105)*Paramètres!$E$29*$AG105*$AJ105,Paramètres!$F$29),0)</f>
        <v>0</v>
      </c>
      <c r="T105" s="20" t="n">
        <f aca="false" t="array" ref="T105:T105">IF(AND(INDEX(Profils!$N$5:$N$34,$AE105)&gt;0,INDEX(Profils!$AC$5:$AC$34,$AE105)&lt;=$AH105),ROUND(INDEX(Profils!$N$5:$N$34,$AE105)*Paramètres!$E$30*$AG105*$AJ105,Paramètres!$F$30),0)</f>
        <v>0</v>
      </c>
      <c r="U105" s="19" t="n">
        <f aca="false" t="array" ref="U105:U105">IF(AND(INDEX(Profils!$O$5:$O$34,$AE105)&gt;0,INDEX(Profils!$AD$5:$AD$34,$AE105)&lt;=$AH105),ROUND(INDEX(Profils!$O$5:$O$34,$AE105)*Paramètres!$E$31*$AG105*$AJ105,Paramètres!$F$31),0)</f>
        <v>0</v>
      </c>
      <c r="V105" s="20" t="n">
        <f aca="false" t="array" ref="V105:V105">IF(AND(INDEX(Profils!$P$5:$P$34,$AE105)&gt;0,INDEX(Profils!$AE$5:$AE$34,$AE105)&lt;=$AH105),ROUND(INDEX(Profils!$P$5:$P$34,$AE105)*Paramètres!$E$32*$AG105*$AJ105,Paramètres!$F$32),0)</f>
        <v>0</v>
      </c>
      <c r="W105" s="20" t="n">
        <f aca="false" t="array" ref="W105:W105">IF(AND(INDEX(Profils!$Q$5:$Q$34,$AE105)&gt;0,INDEX(Profils!$AF$5:$AF$34,$AE105)&lt;=$AH105),ROUND(INDEX(Profils!$Q$5:$Q$34,$AE105)*Paramètres!$E$33*$AG105*$AJ105,Paramètres!$F$33),0)</f>
        <v>0</v>
      </c>
      <c r="X105" s="20" t="n">
        <f aca="false" t="array" ref="X105:X105">IF(AND(INDEX(Profils!$R$5:$R$34,$AE105)&gt;0,INDEX(Profils!$AG$5:$AG$34,$AE105)&lt;=$AH105),ROUND(INDEX(Profils!$R$5:$R$34,$AE105)*Paramètres!$E$34*$AG105*$AJ105,Paramètres!$F$34),0)</f>
        <v>0</v>
      </c>
      <c r="Y105" s="20" t="n">
        <f aca="false" t="array" ref="Y105:Y105">IF(AND(INDEX(Profils!$S$5:$S$34,$AE105)&gt;0,INDEX(Profils!$AH$5:$AH$34,$AE105)&lt;=$AH105),ROUND(INDEX(Profils!$S$5:$S$34,$AE105)*Paramètres!$E$35*$AG105*$AJ105,Paramètres!$F$35),0)</f>
        <v>0</v>
      </c>
      <c r="Z105" s="21" t="n">
        <f aca="false">ROUND(L105/Paramètres!$E$22+M105/Paramètres!$E$23+N105/Paramètres!$E$24+O105/Paramètres!$E$25+P105/Paramètres!$E$26+Q105/Paramètres!$E$27+R105/Paramètres!$E$28+S105/Paramètres!$E$29+T105/Paramètres!$E$30+U105/Paramètres!$E$31+V105/Paramètres!$E$32+W105/Paramètres!$E$33+X105/Paramètres!$E$34+Y105/Paramètres!$E$35,1)</f>
        <v>0.4</v>
      </c>
      <c r="AA105" s="22" t="s">
        <v>109</v>
      </c>
      <c r="AB105" s="22" t="s">
        <v>109</v>
      </c>
      <c r="AC105" s="15" t="str">
        <f aca="false">$E105</f>
        <v>fer</v>
      </c>
      <c r="AD105" s="16" t="n">
        <f aca="false" t="array" ref="AD105:AD105">IF($I105&gt;=$AI105,"Max",ROUND(Paramètres!$B$40*($I105+1)^Paramètres!$B$41*INDEX(Paramètres!$H$6:$H$12,$AF105),0))</f>
        <v>3</v>
      </c>
      <c r="AE105" s="23" t="n">
        <f aca="false">MATCH($B105&amp;"|"&amp;$C105,Profils!$A$5:$A$34,0)</f>
        <v>4</v>
      </c>
      <c r="AF105" s="23" t="n">
        <v>1</v>
      </c>
      <c r="AG105" s="24" t="n">
        <f aca="false" t="array" ref="AG105:AG105">INDEX(Paramètres!$C$6:$C$12,$AF105)</f>
        <v>1</v>
      </c>
      <c r="AH105" s="23" t="n">
        <f aca="false" t="array" ref="AH105:AH105">INDEX(Paramètres!$D$6:$D$12,$AF105)</f>
        <v>2</v>
      </c>
      <c r="AI105" s="23" t="n">
        <f aca="false" t="array" ref="AI105:AI105">INDEX(Matériaux!$C$16:$C$20,$D105)</f>
        <v>20</v>
      </c>
      <c r="AJ105" s="25" t="n">
        <f aca="false">Paramètres!$B$16+(1-Paramètres!$B$16)*(($J105-Paramètres!$B$14)/(Paramètres!$B$15-Paramètres!$B$14))^Paramètres!$B$17</f>
        <v>0.140847925475674</v>
      </c>
    </row>
    <row r="106" customFormat="false" ht="15.75" hidden="false" customHeight="true" outlineLevel="0" collapsed="false">
      <c r="A106" s="14" t="s">
        <v>216</v>
      </c>
      <c r="B106" s="15" t="s">
        <v>27</v>
      </c>
      <c r="C106" s="15" t="s">
        <v>209</v>
      </c>
      <c r="D106" s="16" t="n">
        <v>2</v>
      </c>
      <c r="E106" s="15" t="str">
        <f aca="false" t="array" ref="E106:E106">INDEX(Matériaux!$B$5:$F$12,MATCH(INDEX(Profils!$E$5:$E$34,$AE106),Matériaux!$A$5:$A$12,0),$D106)</f>
        <v>fer</v>
      </c>
      <c r="F106" s="26" t="s">
        <v>111</v>
      </c>
      <c r="G106" s="10" t="str">
        <f aca="false" t="array" ref="G106:G106">INDEX(Profils!$D$5:$D$34,$AE106)&amp;" en "&amp;$E106</f>
        <v>Brodequins en fer</v>
      </c>
      <c r="H106" s="16" t="n">
        <f aca="false" t="array" ref="H106:H106">INDEX(Matériaux!$B$16:$B$20,$D106)</f>
        <v>15</v>
      </c>
      <c r="I106" s="16" t="n">
        <f aca="false">IF(ISNUMBER($C$3),MIN(MAX(0,ROUND($C$3,0)),$AI106),$AI106)</f>
        <v>0</v>
      </c>
      <c r="J106" s="18" t="n">
        <f aca="false">$H106+$I106</f>
        <v>15</v>
      </c>
      <c r="K106" s="15" t="s">
        <v>109</v>
      </c>
      <c r="L106" s="19" t="n">
        <f aca="false" t="array" ref="L106:L106">IF(AND(INDEX(Profils!$F$5:$F$34,$AE106)&gt;0,INDEX(Profils!$U$5:$U$34,$AE106)&lt;=$AH106),ROUND(INDEX(Profils!$F$5:$F$34,$AE106)*Paramètres!$E$22*$AG106*$AJ106,Paramètres!$F$22),0)</f>
        <v>6</v>
      </c>
      <c r="M106" s="19" t="n">
        <f aca="false" t="array" ref="M106:M106">IF(AND(INDEX(Profils!$G$5:$G$34,$AE106)&gt;0,INDEX(Profils!$V$5:$V$34,$AE106)&lt;=$AH106),ROUND(INDEX(Profils!$G$5:$G$34,$AE106)*Paramètres!$E$23*$AG106*$AJ106,Paramètres!$F$23),0)</f>
        <v>0</v>
      </c>
      <c r="N106" s="19" t="n">
        <f aca="false" t="array" ref="N106:N106">IF(AND(INDEX(Profils!$H$5:$H$34,$AE106)&gt;0,INDEX(Profils!$W$5:$W$34,$AE106)&lt;=$AH106),ROUND(INDEX(Profils!$H$5:$H$34,$AE106)*Paramètres!$E$24*$AG106*$AJ106,Paramètres!$F$24),0)</f>
        <v>0</v>
      </c>
      <c r="O106" s="19" t="n">
        <f aca="false" t="array" ref="O106:O106">IF(AND(INDEX(Profils!$I$5:$I$34,$AE106)&gt;0,INDEX(Profils!$X$5:$X$34,$AE106)&lt;=$AH106),ROUND(INDEX(Profils!$I$5:$I$34,$AE106)*Paramètres!$E$25*$AG106*$AJ106,Paramètres!$F$25),0)</f>
        <v>0</v>
      </c>
      <c r="P106" s="19" t="n">
        <f aca="false" t="array" ref="P106:P106">IF(AND(INDEX(Profils!$J$5:$J$34,$AE106)&gt;0,INDEX(Profils!$Y$5:$Y$34,$AE106)&lt;=$AH106),ROUND(INDEX(Profils!$J$5:$J$34,$AE106)*Paramètres!$E$26*$AG106*$AJ106,Paramètres!$F$26),0)</f>
        <v>2</v>
      </c>
      <c r="Q106" s="19" t="n">
        <f aca="false" t="array" ref="Q106:Q106">IF(AND(INDEX(Profils!$K$5:$K$34,$AE106)&gt;0,INDEX(Profils!$Z$5:$Z$34,$AE106)&lt;=$AH106),ROUND(INDEX(Profils!$K$5:$K$34,$AE106)*Paramètres!$E$27*$AG106*$AJ106,Paramètres!$F$27),0)</f>
        <v>2</v>
      </c>
      <c r="R106" s="20" t="n">
        <f aca="false" t="array" ref="R106:R106">IF(AND(INDEX(Profils!$L$5:$L$34,$AE106)&gt;0,INDEX(Profils!$AA$5:$AA$34,$AE106)&lt;=$AH106),ROUND(INDEX(Profils!$L$5:$L$34,$AE106)*Paramètres!$E$28*$AG106*$AJ106,Paramètres!$F$28),0)</f>
        <v>0</v>
      </c>
      <c r="S106" s="20" t="n">
        <f aca="false" t="array" ref="S106:S106">IF(AND(INDEX(Profils!$M$5:$M$34,$AE106)&gt;0,INDEX(Profils!$AB$5:$AB$34,$AE106)&lt;=$AH106),ROUND(INDEX(Profils!$M$5:$M$34,$AE106)*Paramètres!$E$29*$AG106*$AJ106,Paramètres!$F$29),0)</f>
        <v>0</v>
      </c>
      <c r="T106" s="20" t="n">
        <f aca="false" t="array" ref="T106:T106">IF(AND(INDEX(Profils!$N$5:$N$34,$AE106)&gt;0,INDEX(Profils!$AC$5:$AC$34,$AE106)&lt;=$AH106),ROUND(INDEX(Profils!$N$5:$N$34,$AE106)*Paramètres!$E$30*$AG106*$AJ106,Paramètres!$F$30),0)</f>
        <v>0</v>
      </c>
      <c r="U106" s="19" t="n">
        <f aca="false" t="array" ref="U106:U106">IF(AND(INDEX(Profils!$O$5:$O$34,$AE106)&gt;0,INDEX(Profils!$AD$5:$AD$34,$AE106)&lt;=$AH106),ROUND(INDEX(Profils!$O$5:$O$34,$AE106)*Paramètres!$E$31*$AG106*$AJ106,Paramètres!$F$31),0)</f>
        <v>0</v>
      </c>
      <c r="V106" s="20" t="n">
        <f aca="false" t="array" ref="V106:V106">IF(AND(INDEX(Profils!$P$5:$P$34,$AE106)&gt;0,INDEX(Profils!$AE$5:$AE$34,$AE106)&lt;=$AH106),ROUND(INDEX(Profils!$P$5:$P$34,$AE106)*Paramètres!$E$32*$AG106*$AJ106,Paramètres!$F$32),0)</f>
        <v>0</v>
      </c>
      <c r="W106" s="20" t="n">
        <f aca="false" t="array" ref="W106:W106">IF(AND(INDEX(Profils!$Q$5:$Q$34,$AE106)&gt;0,INDEX(Profils!$AF$5:$AF$34,$AE106)&lt;=$AH106),ROUND(INDEX(Profils!$Q$5:$Q$34,$AE106)*Paramètres!$E$33*$AG106*$AJ106,Paramètres!$F$33),0)</f>
        <v>0</v>
      </c>
      <c r="X106" s="20" t="n">
        <f aca="false" t="array" ref="X106:X106">IF(AND(INDEX(Profils!$R$5:$R$34,$AE106)&gt;0,INDEX(Profils!$AG$5:$AG$34,$AE106)&lt;=$AH106),ROUND(INDEX(Profils!$R$5:$R$34,$AE106)*Paramètres!$E$34*$AG106*$AJ106,Paramètres!$F$34),0)</f>
        <v>0</v>
      </c>
      <c r="Y106" s="20" t="n">
        <f aca="false" t="array" ref="Y106:Y106">IF(AND(INDEX(Profils!$S$5:$S$34,$AE106)&gt;0,INDEX(Profils!$AH$5:$AH$34,$AE106)&lt;=$AH106),ROUND(INDEX(Profils!$S$5:$S$34,$AE106)*Paramètres!$E$35*$AG106*$AJ106,Paramètres!$F$35),0)</f>
        <v>0</v>
      </c>
      <c r="Z106" s="21" t="n">
        <f aca="false">ROUND(L106/Paramètres!$E$22+M106/Paramètres!$E$23+N106/Paramètres!$E$24+O106/Paramètres!$E$25+P106/Paramètres!$E$26+Q106/Paramètres!$E$27+R106/Paramètres!$E$28+S106/Paramètres!$E$29+T106/Paramètres!$E$30+U106/Paramètres!$E$31+V106/Paramètres!$E$32+W106/Paramètres!$E$33+X106/Paramètres!$E$34+Y106/Paramètres!$E$35,1)</f>
        <v>0.6</v>
      </c>
      <c r="AA106" s="22" t="s">
        <v>109</v>
      </c>
      <c r="AB106" s="22" t="s">
        <v>109</v>
      </c>
      <c r="AC106" s="15" t="str">
        <f aca="false">$E106</f>
        <v>fer</v>
      </c>
      <c r="AD106" s="16" t="n">
        <f aca="false" t="array" ref="AD106:AD106">IF($I106&gt;=$AI106,"Max",ROUND(Paramètres!$B$40*($I106+1)^Paramètres!$B$41*INDEX(Paramètres!$H$6:$H$12,$AF106),0))</f>
        <v>4</v>
      </c>
      <c r="AE106" s="23" t="n">
        <f aca="false">MATCH($B106&amp;"|"&amp;$C106,Profils!$A$5:$A$34,0)</f>
        <v>4</v>
      </c>
      <c r="AF106" s="23" t="n">
        <v>2</v>
      </c>
      <c r="AG106" s="24" t="n">
        <f aca="false" t="array" ref="AG106:AG106">INDEX(Paramètres!$C$6:$C$12,$AF106)</f>
        <v>1.2</v>
      </c>
      <c r="AH106" s="23" t="n">
        <f aca="false" t="array" ref="AH106:AH106">INDEX(Paramètres!$D$6:$D$12,$AF106)</f>
        <v>3</v>
      </c>
      <c r="AI106" s="23" t="n">
        <f aca="false" t="array" ref="AI106:AI106">INDEX(Matériaux!$C$16:$C$20,$D106)</f>
        <v>20</v>
      </c>
      <c r="AJ106" s="25" t="n">
        <f aca="false">Paramètres!$B$16+(1-Paramètres!$B$16)*(($J106-Paramètres!$B$14)/(Paramètres!$B$15-Paramètres!$B$14))^Paramètres!$B$17</f>
        <v>0.140847925475674</v>
      </c>
    </row>
    <row r="107" customFormat="false" ht="15.75" hidden="false" customHeight="true" outlineLevel="0" collapsed="false">
      <c r="A107" s="14" t="s">
        <v>217</v>
      </c>
      <c r="B107" s="15" t="s">
        <v>27</v>
      </c>
      <c r="C107" s="15" t="s">
        <v>209</v>
      </c>
      <c r="D107" s="16" t="n">
        <v>2</v>
      </c>
      <c r="E107" s="15" t="str">
        <f aca="false" t="array" ref="E107:E107">INDEX(Matériaux!$B$5:$F$12,MATCH(INDEX(Profils!$E$5:$E$34,$AE107),Matériaux!$A$5:$A$12,0),$D107)</f>
        <v>fer</v>
      </c>
      <c r="F107" s="27" t="s">
        <v>113</v>
      </c>
      <c r="G107" s="10" t="str">
        <f aca="false" t="array" ref="G107:G107">INDEX(Profils!$D$5:$D$34,$AE107)&amp;" en "&amp;$E107</f>
        <v>Brodequins en fer</v>
      </c>
      <c r="H107" s="16" t="n">
        <f aca="false" t="array" ref="H107:H107">INDEX(Matériaux!$B$16:$B$20,$D107)</f>
        <v>15</v>
      </c>
      <c r="I107" s="16" t="n">
        <f aca="false">IF(ISNUMBER($C$3),MIN(MAX(0,ROUND($C$3,0)),$AI107),$AI107)</f>
        <v>0</v>
      </c>
      <c r="J107" s="18" t="n">
        <f aca="false">$H107+$I107</f>
        <v>15</v>
      </c>
      <c r="K107" s="15" t="s">
        <v>109</v>
      </c>
      <c r="L107" s="19" t="n">
        <f aca="false" t="array" ref="L107:L107">IF(AND(INDEX(Profils!$F$5:$F$34,$AE107)&gt;0,INDEX(Profils!$U$5:$U$34,$AE107)&lt;=$AH107),ROUND(INDEX(Profils!$F$5:$F$34,$AE107)*Paramètres!$E$22*$AG107*$AJ107,Paramètres!$F$22),0)</f>
        <v>7</v>
      </c>
      <c r="M107" s="19" t="n">
        <f aca="false" t="array" ref="M107:M107">IF(AND(INDEX(Profils!$G$5:$G$34,$AE107)&gt;0,INDEX(Profils!$V$5:$V$34,$AE107)&lt;=$AH107),ROUND(INDEX(Profils!$G$5:$G$34,$AE107)*Paramètres!$E$23*$AG107*$AJ107,Paramètres!$F$23),0)</f>
        <v>0</v>
      </c>
      <c r="N107" s="19" t="n">
        <f aca="false" t="array" ref="N107:N107">IF(AND(INDEX(Profils!$H$5:$H$34,$AE107)&gt;0,INDEX(Profils!$W$5:$W$34,$AE107)&lt;=$AH107),ROUND(INDEX(Profils!$H$5:$H$34,$AE107)*Paramètres!$E$24*$AG107*$AJ107,Paramètres!$F$24),0)</f>
        <v>3</v>
      </c>
      <c r="O107" s="19" t="n">
        <f aca="false" t="array" ref="O107:O107">IF(AND(INDEX(Profils!$I$5:$I$34,$AE107)&gt;0,INDEX(Profils!$X$5:$X$34,$AE107)&lt;=$AH107),ROUND(INDEX(Profils!$I$5:$I$34,$AE107)*Paramètres!$E$25*$AG107*$AJ107,Paramètres!$F$25),0)</f>
        <v>0</v>
      </c>
      <c r="P107" s="19" t="n">
        <f aca="false" t="array" ref="P107:P107">IF(AND(INDEX(Profils!$J$5:$J$34,$AE107)&gt;0,INDEX(Profils!$Y$5:$Y$34,$AE107)&lt;=$AH107),ROUND(INDEX(Profils!$J$5:$J$34,$AE107)*Paramètres!$E$26*$AG107*$AJ107,Paramètres!$F$26),0)</f>
        <v>3</v>
      </c>
      <c r="Q107" s="19" t="n">
        <f aca="false" t="array" ref="Q107:Q107">IF(AND(INDEX(Profils!$K$5:$K$34,$AE107)&gt;0,INDEX(Profils!$Z$5:$Z$34,$AE107)&lt;=$AH107),ROUND(INDEX(Profils!$K$5:$K$34,$AE107)*Paramètres!$E$27*$AG107*$AJ107,Paramètres!$F$27),0)</f>
        <v>2</v>
      </c>
      <c r="R107" s="20" t="n">
        <f aca="false" t="array" ref="R107:R107">IF(AND(INDEX(Profils!$L$5:$L$34,$AE107)&gt;0,INDEX(Profils!$AA$5:$AA$34,$AE107)&lt;=$AH107),ROUND(INDEX(Profils!$L$5:$L$34,$AE107)*Paramètres!$E$28*$AG107*$AJ107,Paramètres!$F$28),0)</f>
        <v>0</v>
      </c>
      <c r="S107" s="20" t="n">
        <f aca="false" t="array" ref="S107:S107">IF(AND(INDEX(Profils!$M$5:$M$34,$AE107)&gt;0,INDEX(Profils!$AB$5:$AB$34,$AE107)&lt;=$AH107),ROUND(INDEX(Profils!$M$5:$M$34,$AE107)*Paramètres!$E$29*$AG107*$AJ107,Paramètres!$F$29),0)</f>
        <v>0</v>
      </c>
      <c r="T107" s="20" t="n">
        <f aca="false" t="array" ref="T107:T107">IF(AND(INDEX(Profils!$N$5:$N$34,$AE107)&gt;0,INDEX(Profils!$AC$5:$AC$34,$AE107)&lt;=$AH107),ROUND(INDEX(Profils!$N$5:$N$34,$AE107)*Paramètres!$E$30*$AG107*$AJ107,Paramètres!$F$30),0)</f>
        <v>0</v>
      </c>
      <c r="U107" s="19" t="n">
        <f aca="false" t="array" ref="U107:U107">IF(AND(INDEX(Profils!$O$5:$O$34,$AE107)&gt;0,INDEX(Profils!$AD$5:$AD$34,$AE107)&lt;=$AH107),ROUND(INDEX(Profils!$O$5:$O$34,$AE107)*Paramètres!$E$31*$AG107*$AJ107,Paramètres!$F$31),0)</f>
        <v>0</v>
      </c>
      <c r="V107" s="20" t="n">
        <f aca="false" t="array" ref="V107:V107">IF(AND(INDEX(Profils!$P$5:$P$34,$AE107)&gt;0,INDEX(Profils!$AE$5:$AE$34,$AE107)&lt;=$AH107),ROUND(INDEX(Profils!$P$5:$P$34,$AE107)*Paramètres!$E$32*$AG107*$AJ107,Paramètres!$F$32),0)</f>
        <v>0</v>
      </c>
      <c r="W107" s="20" t="n">
        <f aca="false" t="array" ref="W107:W107">IF(AND(INDEX(Profils!$Q$5:$Q$34,$AE107)&gt;0,INDEX(Profils!$AF$5:$AF$34,$AE107)&lt;=$AH107),ROUND(INDEX(Profils!$Q$5:$Q$34,$AE107)*Paramètres!$E$33*$AG107*$AJ107,Paramètres!$F$33),0)</f>
        <v>0</v>
      </c>
      <c r="X107" s="20" t="n">
        <f aca="false" t="array" ref="X107:X107">IF(AND(INDEX(Profils!$R$5:$R$34,$AE107)&gt;0,INDEX(Profils!$AG$5:$AG$34,$AE107)&lt;=$AH107),ROUND(INDEX(Profils!$R$5:$R$34,$AE107)*Paramètres!$E$34*$AG107*$AJ107,Paramètres!$F$34),0)</f>
        <v>0</v>
      </c>
      <c r="Y107" s="20" t="n">
        <f aca="false" t="array" ref="Y107:Y107">IF(AND(INDEX(Profils!$S$5:$S$34,$AE107)&gt;0,INDEX(Profils!$AH$5:$AH$34,$AE107)&lt;=$AH107),ROUND(INDEX(Profils!$S$5:$S$34,$AE107)*Paramètres!$E$35*$AG107*$AJ107,Paramètres!$F$35),0)</f>
        <v>0</v>
      </c>
      <c r="Z107" s="21" t="n">
        <f aca="false">ROUND(L107/Paramètres!$E$22+M107/Paramètres!$E$23+N107/Paramètres!$E$24+O107/Paramètres!$E$25+P107/Paramètres!$E$26+Q107/Paramètres!$E$27+R107/Paramètres!$E$28+S107/Paramètres!$E$29+T107/Paramètres!$E$30+U107/Paramètres!$E$31+V107/Paramètres!$E$32+W107/Paramètres!$E$33+X107/Paramètres!$E$34+Y107/Paramètres!$E$35,1)</f>
        <v>0.9</v>
      </c>
      <c r="AA107" s="22" t="s">
        <v>109</v>
      </c>
      <c r="AB107" s="22" t="s">
        <v>109</v>
      </c>
      <c r="AC107" s="15" t="str">
        <f aca="false">$E107</f>
        <v>fer</v>
      </c>
      <c r="AD107" s="16" t="n">
        <f aca="false" t="array" ref="AD107:AD107">IF($I107&gt;=$AI107,"Max",ROUND(Paramètres!$B$40*($I107+1)^Paramètres!$B$41*INDEX(Paramètres!$H$6:$H$12,$AF107),0))</f>
        <v>4</v>
      </c>
      <c r="AE107" s="23" t="n">
        <f aca="false">MATCH($B107&amp;"|"&amp;$C107,Profils!$A$5:$A$34,0)</f>
        <v>4</v>
      </c>
      <c r="AF107" s="23" t="n">
        <v>3</v>
      </c>
      <c r="AG107" s="24" t="n">
        <f aca="false" t="array" ref="AG107:AG107">INDEX(Paramètres!$C$6:$C$12,$AF107)</f>
        <v>1.45</v>
      </c>
      <c r="AH107" s="23" t="n">
        <f aca="false" t="array" ref="AH107:AH107">INDEX(Paramètres!$D$6:$D$12,$AF107)</f>
        <v>4</v>
      </c>
      <c r="AI107" s="23" t="n">
        <f aca="false" t="array" ref="AI107:AI107">INDEX(Matériaux!$C$16:$C$20,$D107)</f>
        <v>20</v>
      </c>
      <c r="AJ107" s="25" t="n">
        <f aca="false">Paramètres!$B$16+(1-Paramètres!$B$16)*(($J107-Paramètres!$B$14)/(Paramètres!$B$15-Paramètres!$B$14))^Paramètres!$B$17</f>
        <v>0.140847925475674</v>
      </c>
    </row>
    <row r="108" customFormat="false" ht="15.75" hidden="false" customHeight="true" outlineLevel="0" collapsed="false">
      <c r="A108" s="14" t="s">
        <v>218</v>
      </c>
      <c r="B108" s="15" t="s">
        <v>27</v>
      </c>
      <c r="C108" s="15" t="s">
        <v>209</v>
      </c>
      <c r="D108" s="16" t="n">
        <v>2</v>
      </c>
      <c r="E108" s="15" t="str">
        <f aca="false" t="array" ref="E108:E108">INDEX(Matériaux!$B$5:$F$12,MATCH(INDEX(Profils!$E$5:$E$34,$AE108),Matériaux!$A$5:$A$12,0),$D108)</f>
        <v>fer</v>
      </c>
      <c r="F108" s="28" t="s">
        <v>115</v>
      </c>
      <c r="G108" s="10" t="str">
        <f aca="false" t="array" ref="G108:G108">INDEX(Profils!$D$5:$D$34,$AE108)&amp;" en "&amp;$E108</f>
        <v>Brodequins en fer</v>
      </c>
      <c r="H108" s="16" t="n">
        <f aca="false" t="array" ref="H108:H108">INDEX(Matériaux!$B$16:$B$20,$D108)</f>
        <v>15</v>
      </c>
      <c r="I108" s="16" t="n">
        <f aca="false">IF(ISNUMBER($C$3),MIN(MAX(0,ROUND($C$3,0)),$AI108),$AI108)</f>
        <v>0</v>
      </c>
      <c r="J108" s="18" t="n">
        <f aca="false">$H108+$I108</f>
        <v>15</v>
      </c>
      <c r="K108" s="15" t="s">
        <v>109</v>
      </c>
      <c r="L108" s="19" t="n">
        <f aca="false" t="array" ref="L108:L108">IF(AND(INDEX(Profils!$F$5:$F$34,$AE108)&gt;0,INDEX(Profils!$U$5:$U$34,$AE108)&lt;=$AH108),ROUND(INDEX(Profils!$F$5:$F$34,$AE108)*Paramètres!$E$22*$AG108*$AJ108,Paramètres!$F$22),0)</f>
        <v>9</v>
      </c>
      <c r="M108" s="19" t="n">
        <f aca="false" t="array" ref="M108:M108">IF(AND(INDEX(Profils!$G$5:$G$34,$AE108)&gt;0,INDEX(Profils!$V$5:$V$34,$AE108)&lt;=$AH108),ROUND(INDEX(Profils!$G$5:$G$34,$AE108)*Paramètres!$E$23*$AG108*$AJ108,Paramètres!$F$23),0)</f>
        <v>0</v>
      </c>
      <c r="N108" s="19" t="n">
        <f aca="false" t="array" ref="N108:N108">IF(AND(INDEX(Profils!$H$5:$H$34,$AE108)&gt;0,INDEX(Profils!$W$5:$W$34,$AE108)&lt;=$AH108),ROUND(INDEX(Profils!$H$5:$H$34,$AE108)*Paramètres!$E$24*$AG108*$AJ108,Paramètres!$F$24),0)</f>
        <v>4</v>
      </c>
      <c r="O108" s="19" t="n">
        <f aca="false" t="array" ref="O108:O108">IF(AND(INDEX(Profils!$I$5:$I$34,$AE108)&gt;0,INDEX(Profils!$X$5:$X$34,$AE108)&lt;=$AH108),ROUND(INDEX(Profils!$I$5:$I$34,$AE108)*Paramètres!$E$25*$AG108*$AJ108,Paramètres!$F$25),0)</f>
        <v>0</v>
      </c>
      <c r="P108" s="19" t="n">
        <f aca="false" t="array" ref="P108:P108">IF(AND(INDEX(Profils!$J$5:$J$34,$AE108)&gt;0,INDEX(Profils!$Y$5:$Y$34,$AE108)&lt;=$AH108),ROUND(INDEX(Profils!$J$5:$J$34,$AE108)*Paramètres!$E$26*$AG108*$AJ108,Paramètres!$F$26),0)</f>
        <v>4</v>
      </c>
      <c r="Q108" s="19" t="n">
        <f aca="false" t="array" ref="Q108:Q108">IF(AND(INDEX(Profils!$K$5:$K$34,$AE108)&gt;0,INDEX(Profils!$Z$5:$Z$34,$AE108)&lt;=$AH108),ROUND(INDEX(Profils!$K$5:$K$34,$AE108)*Paramètres!$E$27*$AG108*$AJ108,Paramètres!$F$27),0)</f>
        <v>3</v>
      </c>
      <c r="R108" s="20" t="n">
        <f aca="false" t="array" ref="R108:R108">IF(AND(INDEX(Profils!$L$5:$L$34,$AE108)&gt;0,INDEX(Profils!$AA$5:$AA$34,$AE108)&lt;=$AH108),ROUND(INDEX(Profils!$L$5:$L$34,$AE108)*Paramètres!$E$28*$AG108*$AJ108,Paramètres!$F$28),0)</f>
        <v>0</v>
      </c>
      <c r="S108" s="20" t="n">
        <f aca="false" t="array" ref="S108:S108">IF(AND(INDEX(Profils!$M$5:$M$34,$AE108)&gt;0,INDEX(Profils!$AB$5:$AB$34,$AE108)&lt;=$AH108),ROUND(INDEX(Profils!$M$5:$M$34,$AE108)*Paramètres!$E$29*$AG108*$AJ108,Paramètres!$F$29),0)</f>
        <v>0</v>
      </c>
      <c r="T108" s="20" t="n">
        <f aca="false" t="array" ref="T108:T108">IF(AND(INDEX(Profils!$N$5:$N$34,$AE108)&gt;0,INDEX(Profils!$AC$5:$AC$34,$AE108)&lt;=$AH108),ROUND(INDEX(Profils!$N$5:$N$34,$AE108)*Paramètres!$E$30*$AG108*$AJ108,Paramètres!$F$30),0)</f>
        <v>0</v>
      </c>
      <c r="U108" s="19" t="n">
        <f aca="false" t="array" ref="U108:U108">IF(AND(INDEX(Profils!$O$5:$O$34,$AE108)&gt;0,INDEX(Profils!$AD$5:$AD$34,$AE108)&lt;=$AH108),ROUND(INDEX(Profils!$O$5:$O$34,$AE108)*Paramètres!$E$31*$AG108*$AJ108,Paramètres!$F$31),0)</f>
        <v>5</v>
      </c>
      <c r="V108" s="20" t="n">
        <f aca="false" t="array" ref="V108:V108">IF(AND(INDEX(Profils!$P$5:$P$34,$AE108)&gt;0,INDEX(Profils!$AE$5:$AE$34,$AE108)&lt;=$AH108),ROUND(INDEX(Profils!$P$5:$P$34,$AE108)*Paramètres!$E$32*$AG108*$AJ108,Paramètres!$F$32),0)</f>
        <v>0</v>
      </c>
      <c r="W108" s="20" t="n">
        <f aca="false" t="array" ref="W108:W108">IF(AND(INDEX(Profils!$Q$5:$Q$34,$AE108)&gt;0,INDEX(Profils!$AF$5:$AF$34,$AE108)&lt;=$AH108),ROUND(INDEX(Profils!$Q$5:$Q$34,$AE108)*Paramètres!$E$33*$AG108*$AJ108,Paramètres!$F$33),0)</f>
        <v>0</v>
      </c>
      <c r="X108" s="20" t="n">
        <f aca="false" t="array" ref="X108:X108">IF(AND(INDEX(Profils!$R$5:$R$34,$AE108)&gt;0,INDEX(Profils!$AG$5:$AG$34,$AE108)&lt;=$AH108),ROUND(INDEX(Profils!$R$5:$R$34,$AE108)*Paramètres!$E$34*$AG108*$AJ108,Paramètres!$F$34),0)</f>
        <v>0</v>
      </c>
      <c r="Y108" s="20" t="n">
        <f aca="false" t="array" ref="Y108:Y108">IF(AND(INDEX(Profils!$S$5:$S$34,$AE108)&gt;0,INDEX(Profils!$AH$5:$AH$34,$AE108)&lt;=$AH108),ROUND(INDEX(Profils!$S$5:$S$34,$AE108)*Paramètres!$E$35*$AG108*$AJ108,Paramètres!$F$35),0)</f>
        <v>0</v>
      </c>
      <c r="Z108" s="21" t="n">
        <f aca="false">ROUND(L108/Paramètres!$E$22+M108/Paramètres!$E$23+N108/Paramètres!$E$24+O108/Paramètres!$E$25+P108/Paramètres!$E$26+Q108/Paramètres!$E$27+R108/Paramètres!$E$28+S108/Paramètres!$E$29+T108/Paramètres!$E$30+U108/Paramètres!$E$31+V108/Paramètres!$E$32+W108/Paramètres!$E$33+X108/Paramètres!$E$34+Y108/Paramètres!$E$35,1)</f>
        <v>1.5</v>
      </c>
      <c r="AA108" s="22" t="s">
        <v>109</v>
      </c>
      <c r="AB108" s="22" t="s">
        <v>109</v>
      </c>
      <c r="AC108" s="15" t="str">
        <f aca="false">$E108</f>
        <v>fer</v>
      </c>
      <c r="AD108" s="16" t="n">
        <f aca="false" t="array" ref="AD108:AD108">IF($I108&gt;=$AI108,"Max",ROUND(Paramètres!$B$40*($I108+1)^Paramètres!$B$41*INDEX(Paramètres!$H$6:$H$12,$AF108),0))</f>
        <v>5</v>
      </c>
      <c r="AE108" s="23" t="n">
        <f aca="false">MATCH($B108&amp;"|"&amp;$C108,Profils!$A$5:$A$34,0)</f>
        <v>4</v>
      </c>
      <c r="AF108" s="23" t="n">
        <v>4</v>
      </c>
      <c r="AG108" s="24" t="n">
        <f aca="false" t="array" ref="AG108:AG108">INDEX(Paramètres!$C$6:$C$12,$AF108)</f>
        <v>1.75</v>
      </c>
      <c r="AH108" s="23" t="n">
        <f aca="false" t="array" ref="AH108:AH108">INDEX(Paramètres!$D$6:$D$12,$AF108)</f>
        <v>5</v>
      </c>
      <c r="AI108" s="23" t="n">
        <f aca="false" t="array" ref="AI108:AI108">INDEX(Matériaux!$C$16:$C$20,$D108)</f>
        <v>20</v>
      </c>
      <c r="AJ108" s="25" t="n">
        <f aca="false">Paramètres!$B$16+(1-Paramètres!$B$16)*(($J108-Paramètres!$B$14)/(Paramètres!$B$15-Paramètres!$B$14))^Paramètres!$B$17</f>
        <v>0.140847925475674</v>
      </c>
    </row>
    <row r="109" customFormat="false" ht="15.75" hidden="false" customHeight="true" outlineLevel="0" collapsed="false">
      <c r="A109" s="14" t="s">
        <v>219</v>
      </c>
      <c r="B109" s="15" t="s">
        <v>27</v>
      </c>
      <c r="C109" s="15" t="s">
        <v>209</v>
      </c>
      <c r="D109" s="16" t="n">
        <v>2</v>
      </c>
      <c r="E109" s="15" t="str">
        <f aca="false" t="array" ref="E109:E109">INDEX(Matériaux!$B$5:$F$12,MATCH(INDEX(Profils!$E$5:$E$34,$AE109),Matériaux!$A$5:$A$12,0),$D109)</f>
        <v>fer</v>
      </c>
      <c r="F109" s="29" t="s">
        <v>117</v>
      </c>
      <c r="G109" s="10" t="str">
        <f aca="false" t="array" ref="G109:G109">INDEX(Profils!$D$5:$D$34,$AE109)&amp;" en "&amp;$E109</f>
        <v>Brodequins en fer</v>
      </c>
      <c r="H109" s="16" t="n">
        <f aca="false" t="array" ref="H109:H109">INDEX(Matériaux!$B$16:$B$20,$D109)</f>
        <v>15</v>
      </c>
      <c r="I109" s="16" t="n">
        <f aca="false">IF(ISNUMBER($C$3),MIN(MAX(0,ROUND($C$3,0)),$AI109),$AI109)</f>
        <v>0</v>
      </c>
      <c r="J109" s="18" t="n">
        <f aca="false">$H109+$I109</f>
        <v>15</v>
      </c>
      <c r="K109" s="15" t="s">
        <v>109</v>
      </c>
      <c r="L109" s="19" t="n">
        <f aca="false" t="array" ref="L109:L109">IF(AND(INDEX(Profils!$F$5:$F$34,$AE109)&gt;0,INDEX(Profils!$U$5:$U$34,$AE109)&lt;=$AH109),ROUND(INDEX(Profils!$F$5:$F$34,$AE109)*Paramètres!$E$22*$AG109*$AJ109,Paramètres!$F$22),0)</f>
        <v>10</v>
      </c>
      <c r="M109" s="19" t="n">
        <f aca="false" t="array" ref="M109:M109">IF(AND(INDEX(Profils!$G$5:$G$34,$AE109)&gt;0,INDEX(Profils!$V$5:$V$34,$AE109)&lt;=$AH109),ROUND(INDEX(Profils!$G$5:$G$34,$AE109)*Paramètres!$E$23*$AG109*$AJ109,Paramètres!$F$23),0)</f>
        <v>2</v>
      </c>
      <c r="N109" s="19" t="n">
        <f aca="false" t="array" ref="N109:N109">IF(AND(INDEX(Profils!$H$5:$H$34,$AE109)&gt;0,INDEX(Profils!$W$5:$W$34,$AE109)&lt;=$AH109),ROUND(INDEX(Profils!$H$5:$H$34,$AE109)*Paramètres!$E$24*$AG109*$AJ109,Paramètres!$F$24),0)</f>
        <v>4</v>
      </c>
      <c r="O109" s="19" t="n">
        <f aca="false" t="array" ref="O109:O109">IF(AND(INDEX(Profils!$I$5:$I$34,$AE109)&gt;0,INDEX(Profils!$X$5:$X$34,$AE109)&lt;=$AH109),ROUND(INDEX(Profils!$I$5:$I$34,$AE109)*Paramètres!$E$25*$AG109*$AJ109,Paramètres!$F$25),0)</f>
        <v>0</v>
      </c>
      <c r="P109" s="19" t="n">
        <f aca="false" t="array" ref="P109:P109">IF(AND(INDEX(Profils!$J$5:$J$34,$AE109)&gt;0,INDEX(Profils!$Y$5:$Y$34,$AE109)&lt;=$AH109),ROUND(INDEX(Profils!$J$5:$J$34,$AE109)*Paramètres!$E$26*$AG109*$AJ109,Paramètres!$F$26),0)</f>
        <v>4</v>
      </c>
      <c r="Q109" s="19" t="n">
        <f aca="false" t="array" ref="Q109:Q109">IF(AND(INDEX(Profils!$K$5:$K$34,$AE109)&gt;0,INDEX(Profils!$Z$5:$Z$34,$AE109)&lt;=$AH109),ROUND(INDEX(Profils!$K$5:$K$34,$AE109)*Paramètres!$E$27*$AG109*$AJ109,Paramètres!$F$27),0)</f>
        <v>3</v>
      </c>
      <c r="R109" s="20" t="n">
        <f aca="false" t="array" ref="R109:R109">IF(AND(INDEX(Profils!$L$5:$L$34,$AE109)&gt;0,INDEX(Profils!$AA$5:$AA$34,$AE109)&lt;=$AH109),ROUND(INDEX(Profils!$L$5:$L$34,$AE109)*Paramètres!$E$28*$AG109*$AJ109,Paramètres!$F$28),0)</f>
        <v>0</v>
      </c>
      <c r="S109" s="20" t="n">
        <f aca="false" t="array" ref="S109:S109">IF(AND(INDEX(Profils!$M$5:$M$34,$AE109)&gt;0,INDEX(Profils!$AB$5:$AB$34,$AE109)&lt;=$AH109),ROUND(INDEX(Profils!$M$5:$M$34,$AE109)*Paramètres!$E$29*$AG109*$AJ109,Paramètres!$F$29),0)</f>
        <v>0</v>
      </c>
      <c r="T109" s="20" t="n">
        <f aca="false" t="array" ref="T109:T109">IF(AND(INDEX(Profils!$N$5:$N$34,$AE109)&gt;0,INDEX(Profils!$AC$5:$AC$34,$AE109)&lt;=$AH109),ROUND(INDEX(Profils!$N$5:$N$34,$AE109)*Paramètres!$E$30*$AG109*$AJ109,Paramètres!$F$30),0)</f>
        <v>0</v>
      </c>
      <c r="U109" s="19" t="n">
        <f aca="false" t="array" ref="U109:U109">IF(AND(INDEX(Profils!$O$5:$O$34,$AE109)&gt;0,INDEX(Profils!$AD$5:$AD$34,$AE109)&lt;=$AH109),ROUND(INDEX(Profils!$O$5:$O$34,$AE109)*Paramètres!$E$31*$AG109*$AJ109,Paramètres!$F$31),0)</f>
        <v>6</v>
      </c>
      <c r="V109" s="20" t="n">
        <f aca="false" t="array" ref="V109:V109">IF(AND(INDEX(Profils!$P$5:$P$34,$AE109)&gt;0,INDEX(Profils!$AE$5:$AE$34,$AE109)&lt;=$AH109),ROUND(INDEX(Profils!$P$5:$P$34,$AE109)*Paramètres!$E$32*$AG109*$AJ109,Paramètres!$F$32),0)</f>
        <v>0</v>
      </c>
      <c r="W109" s="20" t="n">
        <f aca="false" t="array" ref="W109:W109">IF(AND(INDEX(Profils!$Q$5:$Q$34,$AE109)&gt;0,INDEX(Profils!$AF$5:$AF$34,$AE109)&lt;=$AH109),ROUND(INDEX(Profils!$Q$5:$Q$34,$AE109)*Paramètres!$E$33*$AG109*$AJ109,Paramètres!$F$33),0)</f>
        <v>0</v>
      </c>
      <c r="X109" s="20" t="n">
        <f aca="false" t="array" ref="X109:X109">IF(AND(INDEX(Profils!$R$5:$R$34,$AE109)&gt;0,INDEX(Profils!$AG$5:$AG$34,$AE109)&lt;=$AH109),ROUND(INDEX(Profils!$R$5:$R$34,$AE109)*Paramètres!$E$34*$AG109*$AJ109,Paramètres!$F$34),0)</f>
        <v>0</v>
      </c>
      <c r="Y109" s="20" t="n">
        <f aca="false" t="array" ref="Y109:Y109">IF(AND(INDEX(Profils!$S$5:$S$34,$AE109)&gt;0,INDEX(Profils!$AH$5:$AH$34,$AE109)&lt;=$AH109),ROUND(INDEX(Profils!$S$5:$S$34,$AE109)*Paramètres!$E$35*$AG109*$AJ109,Paramètres!$F$35),0)</f>
        <v>0</v>
      </c>
      <c r="Z109" s="21" t="n">
        <f aca="false">ROUND(L109/Paramètres!$E$22+M109/Paramètres!$E$23+N109/Paramètres!$E$24+O109/Paramètres!$E$25+P109/Paramètres!$E$26+Q109/Paramètres!$E$27+R109/Paramètres!$E$28+S109/Paramètres!$E$29+T109/Paramètres!$E$30+U109/Paramètres!$E$31+V109/Paramètres!$E$32+W109/Paramètres!$E$33+X109/Paramètres!$E$34+Y109/Paramètres!$E$35,1)</f>
        <v>1.7</v>
      </c>
      <c r="AA109" s="22" t="s">
        <v>109</v>
      </c>
      <c r="AB109" s="22" t="s">
        <v>109</v>
      </c>
      <c r="AC109" s="15" t="str">
        <f aca="false">$E109</f>
        <v>fer</v>
      </c>
      <c r="AD109" s="16" t="n">
        <f aca="false" t="array" ref="AD109:AD109">IF($I109&gt;=$AI109,"Max",ROUND(Paramètres!$B$40*($I109+1)^Paramètres!$B$41*INDEX(Paramètres!$H$6:$H$12,$AF109),0))</f>
        <v>6</v>
      </c>
      <c r="AE109" s="23" t="n">
        <f aca="false">MATCH($B109&amp;"|"&amp;$C109,Profils!$A$5:$A$34,0)</f>
        <v>4</v>
      </c>
      <c r="AF109" s="23" t="n">
        <v>5</v>
      </c>
      <c r="AG109" s="24" t="n">
        <f aca="false" t="array" ref="AG109:AG109">INDEX(Paramètres!$C$6:$C$12,$AF109)</f>
        <v>2.1</v>
      </c>
      <c r="AH109" s="23" t="n">
        <f aca="false" t="array" ref="AH109:AH109">INDEX(Paramètres!$D$6:$D$12,$AF109)</f>
        <v>6</v>
      </c>
      <c r="AI109" s="23" t="n">
        <f aca="false" t="array" ref="AI109:AI109">INDEX(Matériaux!$C$16:$C$20,$D109)</f>
        <v>20</v>
      </c>
      <c r="AJ109" s="25" t="n">
        <f aca="false">Paramètres!$B$16+(1-Paramètres!$B$16)*(($J109-Paramètres!$B$14)/(Paramètres!$B$15-Paramètres!$B$14))^Paramètres!$B$17</f>
        <v>0.140847925475674</v>
      </c>
    </row>
    <row r="110" customFormat="false" ht="15.75" hidden="false" customHeight="true" outlineLevel="0" collapsed="false">
      <c r="A110" s="14" t="s">
        <v>220</v>
      </c>
      <c r="B110" s="15" t="s">
        <v>27</v>
      </c>
      <c r="C110" s="15" t="s">
        <v>209</v>
      </c>
      <c r="D110" s="16" t="n">
        <v>2</v>
      </c>
      <c r="E110" s="15" t="str">
        <f aca="false" t="array" ref="E110:E110">INDEX(Matériaux!$B$5:$F$12,MATCH(INDEX(Profils!$E$5:$E$34,$AE110),Matériaux!$A$5:$A$12,0),$D110)</f>
        <v>fer</v>
      </c>
      <c r="F110" s="30" t="s">
        <v>119</v>
      </c>
      <c r="G110" s="10" t="str">
        <f aca="false" t="array" ref="G110:G110">INDEX(Profils!$D$5:$D$34,$AE110)&amp;" en "&amp;$E110</f>
        <v>Brodequins en fer</v>
      </c>
      <c r="H110" s="16" t="n">
        <f aca="false" t="array" ref="H110:H110">INDEX(Matériaux!$B$16:$B$20,$D110)</f>
        <v>15</v>
      </c>
      <c r="I110" s="16" t="n">
        <f aca="false">IF(ISNUMBER($C$3),MIN(MAX(0,ROUND($C$3,0)),$AI110),$AI110)</f>
        <v>0</v>
      </c>
      <c r="J110" s="18" t="n">
        <f aca="false">$H110+$I110</f>
        <v>15</v>
      </c>
      <c r="K110" s="15" t="s">
        <v>109</v>
      </c>
      <c r="L110" s="19" t="n">
        <f aca="false" t="array" ref="L110:L110">IF(AND(INDEX(Profils!$F$5:$F$34,$AE110)&gt;0,INDEX(Profils!$U$5:$U$34,$AE110)&lt;=$AH110),ROUND(INDEX(Profils!$F$5:$F$34,$AE110)*Paramètres!$E$22*$AG110*$AJ110,Paramètres!$F$22),0)</f>
        <v>12</v>
      </c>
      <c r="M110" s="19" t="n">
        <f aca="false" t="array" ref="M110:M110">IF(AND(INDEX(Profils!$G$5:$G$34,$AE110)&gt;0,INDEX(Profils!$V$5:$V$34,$AE110)&lt;=$AH110),ROUND(INDEX(Profils!$G$5:$G$34,$AE110)*Paramètres!$E$23*$AG110*$AJ110,Paramètres!$F$23),0)</f>
        <v>3</v>
      </c>
      <c r="N110" s="19" t="n">
        <f aca="false" t="array" ref="N110:N110">IF(AND(INDEX(Profils!$H$5:$H$34,$AE110)&gt;0,INDEX(Profils!$W$5:$W$34,$AE110)&lt;=$AH110),ROUND(INDEX(Profils!$H$5:$H$34,$AE110)*Paramètres!$E$24*$AG110*$AJ110,Paramètres!$F$24),0)</f>
        <v>5</v>
      </c>
      <c r="O110" s="19" t="n">
        <f aca="false" t="array" ref="O110:O110">IF(AND(INDEX(Profils!$I$5:$I$34,$AE110)&gt;0,INDEX(Profils!$X$5:$X$34,$AE110)&lt;=$AH110),ROUND(INDEX(Profils!$I$5:$I$34,$AE110)*Paramètres!$E$25*$AG110*$AJ110,Paramètres!$F$25),0)</f>
        <v>0</v>
      </c>
      <c r="P110" s="19" t="n">
        <f aca="false" t="array" ref="P110:P110">IF(AND(INDEX(Profils!$J$5:$J$34,$AE110)&gt;0,INDEX(Profils!$Y$5:$Y$34,$AE110)&lt;=$AH110),ROUND(INDEX(Profils!$J$5:$J$34,$AE110)*Paramètres!$E$26*$AG110*$AJ110,Paramètres!$F$26),0)</f>
        <v>5</v>
      </c>
      <c r="Q110" s="19" t="n">
        <f aca="false" t="array" ref="Q110:Q110">IF(AND(INDEX(Profils!$K$5:$K$34,$AE110)&gt;0,INDEX(Profils!$Z$5:$Z$34,$AE110)&lt;=$AH110),ROUND(INDEX(Profils!$K$5:$K$34,$AE110)*Paramètres!$E$27*$AG110*$AJ110,Paramètres!$F$27),0)</f>
        <v>4</v>
      </c>
      <c r="R110" s="20" t="n">
        <f aca="false" t="array" ref="R110:R110">IF(AND(INDEX(Profils!$L$5:$L$34,$AE110)&gt;0,INDEX(Profils!$AA$5:$AA$34,$AE110)&lt;=$AH110),ROUND(INDEX(Profils!$L$5:$L$34,$AE110)*Paramètres!$E$28*$AG110*$AJ110,Paramètres!$F$28),0)</f>
        <v>0</v>
      </c>
      <c r="S110" s="20" t="n">
        <f aca="false" t="array" ref="S110:S110">IF(AND(INDEX(Profils!$M$5:$M$34,$AE110)&gt;0,INDEX(Profils!$AB$5:$AB$34,$AE110)&lt;=$AH110),ROUND(INDEX(Profils!$M$5:$M$34,$AE110)*Paramètres!$E$29*$AG110*$AJ110,Paramètres!$F$29),0)</f>
        <v>0</v>
      </c>
      <c r="T110" s="20" t="n">
        <f aca="false" t="array" ref="T110:T110">IF(AND(INDEX(Profils!$N$5:$N$34,$AE110)&gt;0,INDEX(Profils!$AC$5:$AC$34,$AE110)&lt;=$AH110),ROUND(INDEX(Profils!$N$5:$N$34,$AE110)*Paramètres!$E$30*$AG110*$AJ110,Paramètres!$F$30),0)</f>
        <v>0</v>
      </c>
      <c r="U110" s="19" t="n">
        <f aca="false" t="array" ref="U110:U110">IF(AND(INDEX(Profils!$O$5:$O$34,$AE110)&gt;0,INDEX(Profils!$AD$5:$AD$34,$AE110)&lt;=$AH110),ROUND(INDEX(Profils!$O$5:$O$34,$AE110)*Paramètres!$E$31*$AG110*$AJ110,Paramètres!$F$31),0)</f>
        <v>7</v>
      </c>
      <c r="V110" s="20" t="n">
        <f aca="false" t="array" ref="V110:V110">IF(AND(INDEX(Profils!$P$5:$P$34,$AE110)&gt;0,INDEX(Profils!$AE$5:$AE$34,$AE110)&lt;=$AH110),ROUND(INDEX(Profils!$P$5:$P$34,$AE110)*Paramètres!$E$32*$AG110*$AJ110,Paramètres!$F$32),0)</f>
        <v>0</v>
      </c>
      <c r="W110" s="20" t="n">
        <f aca="false" t="array" ref="W110:W110">IF(AND(INDEX(Profils!$Q$5:$Q$34,$AE110)&gt;0,INDEX(Profils!$AF$5:$AF$34,$AE110)&lt;=$AH110),ROUND(INDEX(Profils!$Q$5:$Q$34,$AE110)*Paramètres!$E$33*$AG110*$AJ110,Paramètres!$F$33),0)</f>
        <v>0.003</v>
      </c>
      <c r="X110" s="20" t="n">
        <f aca="false" t="array" ref="X110:X110">IF(AND(INDEX(Profils!$R$5:$R$34,$AE110)&gt;0,INDEX(Profils!$AG$5:$AG$34,$AE110)&lt;=$AH110),ROUND(INDEX(Profils!$R$5:$R$34,$AE110)*Paramètres!$E$34*$AG110*$AJ110,Paramètres!$F$34),0)</f>
        <v>0</v>
      </c>
      <c r="Y110" s="20" t="n">
        <f aca="false" t="array" ref="Y110:Y110">IF(AND(INDEX(Profils!$S$5:$S$34,$AE110)&gt;0,INDEX(Profils!$AH$5:$AH$34,$AE110)&lt;=$AH110),ROUND(INDEX(Profils!$S$5:$S$34,$AE110)*Paramètres!$E$35*$AG110*$AJ110,Paramètres!$F$35),0)</f>
        <v>0</v>
      </c>
      <c r="Z110" s="21" t="n">
        <f aca="false">ROUND(L110/Paramètres!$E$22+M110/Paramètres!$E$23+N110/Paramètres!$E$24+O110/Paramètres!$E$25+P110/Paramètres!$E$26+Q110/Paramètres!$E$27+R110/Paramètres!$E$28+S110/Paramètres!$E$29+T110/Paramètres!$E$30+U110/Paramètres!$E$31+V110/Paramètres!$E$32+W110/Paramètres!$E$33+X110/Paramètres!$E$34+Y110/Paramètres!$E$35,1)</f>
        <v>2.4</v>
      </c>
      <c r="AA110" s="22" t="s">
        <v>109</v>
      </c>
      <c r="AB110" s="22" t="s">
        <v>109</v>
      </c>
      <c r="AC110" s="15" t="str">
        <f aca="false">$E110</f>
        <v>fer</v>
      </c>
      <c r="AD110" s="16" t="n">
        <f aca="false" t="array" ref="AD110:AD110">IF($I110&gt;=$AI110,"Max",ROUND(Paramètres!$B$40*($I110+1)^Paramètres!$B$41*INDEX(Paramètres!$H$6:$H$12,$AF110),0))</f>
        <v>8</v>
      </c>
      <c r="AE110" s="23" t="n">
        <f aca="false">MATCH($B110&amp;"|"&amp;$C110,Profils!$A$5:$A$34,0)</f>
        <v>4</v>
      </c>
      <c r="AF110" s="23" t="n">
        <v>6</v>
      </c>
      <c r="AG110" s="24" t="n">
        <f aca="false" t="array" ref="AG110:AG110">INDEX(Paramètres!$C$6:$C$12,$AF110)</f>
        <v>2.4</v>
      </c>
      <c r="AH110" s="23" t="n">
        <f aca="false" t="array" ref="AH110:AH110">INDEX(Paramètres!$D$6:$D$12,$AF110)</f>
        <v>7</v>
      </c>
      <c r="AI110" s="23" t="n">
        <f aca="false" t="array" ref="AI110:AI110">INDEX(Matériaux!$C$16:$C$20,$D110)</f>
        <v>20</v>
      </c>
      <c r="AJ110" s="25" t="n">
        <f aca="false">Paramètres!$B$16+(1-Paramètres!$B$16)*(($J110-Paramètres!$B$14)/(Paramètres!$B$15-Paramètres!$B$14))^Paramètres!$B$17</f>
        <v>0.140847925475674</v>
      </c>
    </row>
    <row r="111" customFormat="false" ht="15.75" hidden="false" customHeight="true" outlineLevel="0" collapsed="false">
      <c r="A111" s="14" t="s">
        <v>221</v>
      </c>
      <c r="B111" s="15" t="s">
        <v>27</v>
      </c>
      <c r="C111" s="15" t="s">
        <v>209</v>
      </c>
      <c r="D111" s="16" t="n">
        <v>3</v>
      </c>
      <c r="E111" s="15" t="str">
        <f aca="false" t="array" ref="E111:E111">INDEX(Matériaux!$B$5:$F$12,MATCH(INDEX(Profils!$E$5:$E$34,$AE111),Matériaux!$A$5:$A$12,0),$D111)</f>
        <v>acier</v>
      </c>
      <c r="F111" s="17" t="s">
        <v>108</v>
      </c>
      <c r="G111" s="10" t="str">
        <f aca="false" t="array" ref="G111:G111">INDEX(Profils!$D$5:$D$34,$AE111)&amp;" en "&amp;$E111</f>
        <v>Brodequins en acier</v>
      </c>
      <c r="H111" s="16" t="n">
        <f aca="false" t="array" ref="H111:H111">INDEX(Matériaux!$B$16:$B$20,$D111)</f>
        <v>30</v>
      </c>
      <c r="I111" s="16" t="n">
        <f aca="false">IF(ISNUMBER($C$3),MIN(MAX(0,ROUND($C$3,0)),$AI111),$AI111)</f>
        <v>0</v>
      </c>
      <c r="J111" s="18" t="n">
        <f aca="false">$H111+$I111</f>
        <v>30</v>
      </c>
      <c r="K111" s="15" t="s">
        <v>109</v>
      </c>
      <c r="L111" s="19" t="n">
        <f aca="false" t="array" ref="L111:L111">IF(AND(INDEX(Profils!$F$5:$F$34,$AE111)&gt;0,INDEX(Profils!$U$5:$U$34,$AE111)&lt;=$AH111),ROUND(INDEX(Profils!$F$5:$F$34,$AE111)*Paramètres!$E$22*$AG111*$AJ111,Paramètres!$F$22),0)</f>
        <v>9</v>
      </c>
      <c r="M111" s="19" t="n">
        <f aca="false" t="array" ref="M111:M111">IF(AND(INDEX(Profils!$G$5:$G$34,$AE111)&gt;0,INDEX(Profils!$V$5:$V$34,$AE111)&lt;=$AH111),ROUND(INDEX(Profils!$G$5:$G$34,$AE111)*Paramètres!$E$23*$AG111*$AJ111,Paramètres!$F$23),0)</f>
        <v>0</v>
      </c>
      <c r="N111" s="19" t="n">
        <f aca="false" t="array" ref="N111:N111">IF(AND(INDEX(Profils!$H$5:$H$34,$AE111)&gt;0,INDEX(Profils!$W$5:$W$34,$AE111)&lt;=$AH111),ROUND(INDEX(Profils!$H$5:$H$34,$AE111)*Paramètres!$E$24*$AG111*$AJ111,Paramètres!$F$24),0)</f>
        <v>0</v>
      </c>
      <c r="O111" s="19" t="n">
        <f aca="false" t="array" ref="O111:O111">IF(AND(INDEX(Profils!$I$5:$I$34,$AE111)&gt;0,INDEX(Profils!$X$5:$X$34,$AE111)&lt;=$AH111),ROUND(INDEX(Profils!$I$5:$I$34,$AE111)*Paramètres!$E$25*$AG111*$AJ111,Paramètres!$F$25),0)</f>
        <v>0</v>
      </c>
      <c r="P111" s="19" t="n">
        <f aca="false" t="array" ref="P111:P111">IF(AND(INDEX(Profils!$J$5:$J$34,$AE111)&gt;0,INDEX(Profils!$Y$5:$Y$34,$AE111)&lt;=$AH111),ROUND(INDEX(Profils!$J$5:$J$34,$AE111)*Paramètres!$E$26*$AG111*$AJ111,Paramètres!$F$26),0)</f>
        <v>4</v>
      </c>
      <c r="Q111" s="19" t="n">
        <f aca="false" t="array" ref="Q111:Q111">IF(AND(INDEX(Profils!$K$5:$K$34,$AE111)&gt;0,INDEX(Profils!$Z$5:$Z$34,$AE111)&lt;=$AH111),ROUND(INDEX(Profils!$K$5:$K$34,$AE111)*Paramètres!$E$27*$AG111*$AJ111,Paramètres!$F$27),0)</f>
        <v>0</v>
      </c>
      <c r="R111" s="20" t="n">
        <f aca="false" t="array" ref="R111:R111">IF(AND(INDEX(Profils!$L$5:$L$34,$AE111)&gt;0,INDEX(Profils!$AA$5:$AA$34,$AE111)&lt;=$AH111),ROUND(INDEX(Profils!$L$5:$L$34,$AE111)*Paramètres!$E$28*$AG111*$AJ111,Paramètres!$F$28),0)</f>
        <v>0</v>
      </c>
      <c r="S111" s="20" t="n">
        <f aca="false" t="array" ref="S111:S111">IF(AND(INDEX(Profils!$M$5:$M$34,$AE111)&gt;0,INDEX(Profils!$AB$5:$AB$34,$AE111)&lt;=$AH111),ROUND(INDEX(Profils!$M$5:$M$34,$AE111)*Paramètres!$E$29*$AG111*$AJ111,Paramètres!$F$29),0)</f>
        <v>0</v>
      </c>
      <c r="T111" s="20" t="n">
        <f aca="false" t="array" ref="T111:T111">IF(AND(INDEX(Profils!$N$5:$N$34,$AE111)&gt;0,INDEX(Profils!$AC$5:$AC$34,$AE111)&lt;=$AH111),ROUND(INDEX(Profils!$N$5:$N$34,$AE111)*Paramètres!$E$30*$AG111*$AJ111,Paramètres!$F$30),0)</f>
        <v>0</v>
      </c>
      <c r="U111" s="19" t="n">
        <f aca="false" t="array" ref="U111:U111">IF(AND(INDEX(Profils!$O$5:$O$34,$AE111)&gt;0,INDEX(Profils!$AD$5:$AD$34,$AE111)&lt;=$AH111),ROUND(INDEX(Profils!$O$5:$O$34,$AE111)*Paramètres!$E$31*$AG111*$AJ111,Paramètres!$F$31),0)</f>
        <v>0</v>
      </c>
      <c r="V111" s="20" t="n">
        <f aca="false" t="array" ref="V111:V111">IF(AND(INDEX(Profils!$P$5:$P$34,$AE111)&gt;0,INDEX(Profils!$AE$5:$AE$34,$AE111)&lt;=$AH111),ROUND(INDEX(Profils!$P$5:$P$34,$AE111)*Paramètres!$E$32*$AG111*$AJ111,Paramètres!$F$32),0)</f>
        <v>0</v>
      </c>
      <c r="W111" s="20" t="n">
        <f aca="false" t="array" ref="W111:W111">IF(AND(INDEX(Profils!$Q$5:$Q$34,$AE111)&gt;0,INDEX(Profils!$AF$5:$AF$34,$AE111)&lt;=$AH111),ROUND(INDEX(Profils!$Q$5:$Q$34,$AE111)*Paramètres!$E$33*$AG111*$AJ111,Paramètres!$F$33),0)</f>
        <v>0</v>
      </c>
      <c r="X111" s="20" t="n">
        <f aca="false" t="array" ref="X111:X111">IF(AND(INDEX(Profils!$R$5:$R$34,$AE111)&gt;0,INDEX(Profils!$AG$5:$AG$34,$AE111)&lt;=$AH111),ROUND(INDEX(Profils!$R$5:$R$34,$AE111)*Paramètres!$E$34*$AG111*$AJ111,Paramètres!$F$34),0)</f>
        <v>0</v>
      </c>
      <c r="Y111" s="20" t="n">
        <f aca="false" t="array" ref="Y111:Y111">IF(AND(INDEX(Profils!$S$5:$S$34,$AE111)&gt;0,INDEX(Profils!$AH$5:$AH$34,$AE111)&lt;=$AH111),ROUND(INDEX(Profils!$S$5:$S$34,$AE111)*Paramètres!$E$35*$AG111*$AJ111,Paramètres!$F$35),0)</f>
        <v>0</v>
      </c>
      <c r="Z111" s="21" t="n">
        <f aca="false">ROUND(L111/Paramètres!$E$22+M111/Paramètres!$E$23+N111/Paramètres!$E$24+O111/Paramètres!$E$25+P111/Paramètres!$E$26+Q111/Paramètres!$E$27+R111/Paramètres!$E$28+S111/Paramètres!$E$29+T111/Paramètres!$E$30+U111/Paramètres!$E$31+V111/Paramètres!$E$32+W111/Paramètres!$E$33+X111/Paramètres!$E$34+Y111/Paramètres!$E$35,1)</f>
        <v>0.7</v>
      </c>
      <c r="AA111" s="22" t="s">
        <v>109</v>
      </c>
      <c r="AB111" s="22" t="s">
        <v>109</v>
      </c>
      <c r="AC111" s="15" t="str">
        <f aca="false">$E111</f>
        <v>acier</v>
      </c>
      <c r="AD111" s="16" t="n">
        <f aca="false" t="array" ref="AD111:AD111">IF($I111&gt;=$AI111,"Max",ROUND(Paramètres!$B$40*($I111+1)^Paramètres!$B$41*INDEX(Paramètres!$H$6:$H$12,$AF111),0))</f>
        <v>3</v>
      </c>
      <c r="AE111" s="23" t="n">
        <f aca="false">MATCH($B111&amp;"|"&amp;$C111,Profils!$A$5:$A$34,0)</f>
        <v>4</v>
      </c>
      <c r="AF111" s="23" t="n">
        <v>1</v>
      </c>
      <c r="AG111" s="24" t="n">
        <f aca="false" t="array" ref="AG111:AG111">INDEX(Paramètres!$C$6:$C$12,$AF111)</f>
        <v>1</v>
      </c>
      <c r="AH111" s="23" t="n">
        <f aca="false" t="array" ref="AH111:AH111">INDEX(Paramètres!$D$6:$D$12,$AF111)</f>
        <v>2</v>
      </c>
      <c r="AI111" s="23" t="n">
        <f aca="false" t="array" ref="AI111:AI111">INDEX(Matériaux!$C$16:$C$20,$D111)</f>
        <v>25</v>
      </c>
      <c r="AJ111" s="25" t="n">
        <f aca="false">Paramètres!$B$16+(1-Paramètres!$B$16)*(($J111-Paramètres!$B$14)/(Paramètres!$B$15-Paramètres!$B$14))^Paramètres!$B$17</f>
        <v>0.26769024555533</v>
      </c>
    </row>
    <row r="112" customFormat="false" ht="15.75" hidden="false" customHeight="true" outlineLevel="0" collapsed="false">
      <c r="A112" s="14" t="s">
        <v>222</v>
      </c>
      <c r="B112" s="15" t="s">
        <v>27</v>
      </c>
      <c r="C112" s="15" t="s">
        <v>209</v>
      </c>
      <c r="D112" s="16" t="n">
        <v>3</v>
      </c>
      <c r="E112" s="15" t="str">
        <f aca="false" t="array" ref="E112:E112">INDEX(Matériaux!$B$5:$F$12,MATCH(INDEX(Profils!$E$5:$E$34,$AE112),Matériaux!$A$5:$A$12,0),$D112)</f>
        <v>acier</v>
      </c>
      <c r="F112" s="26" t="s">
        <v>111</v>
      </c>
      <c r="G112" s="10" t="str">
        <f aca="false" t="array" ref="G112:G112">INDEX(Profils!$D$5:$D$34,$AE112)&amp;" en "&amp;$E112</f>
        <v>Brodequins en acier</v>
      </c>
      <c r="H112" s="16" t="n">
        <f aca="false" t="array" ref="H112:H112">INDEX(Matériaux!$B$16:$B$20,$D112)</f>
        <v>30</v>
      </c>
      <c r="I112" s="16" t="n">
        <f aca="false">IF(ISNUMBER($C$3),MIN(MAX(0,ROUND($C$3,0)),$AI112),$AI112)</f>
        <v>0</v>
      </c>
      <c r="J112" s="18" t="n">
        <f aca="false">$H112+$I112</f>
        <v>30</v>
      </c>
      <c r="K112" s="15" t="s">
        <v>109</v>
      </c>
      <c r="L112" s="19" t="n">
        <f aca="false" t="array" ref="L112:L112">IF(AND(INDEX(Profils!$F$5:$F$34,$AE112)&gt;0,INDEX(Profils!$U$5:$U$34,$AE112)&lt;=$AH112),ROUND(INDEX(Profils!$F$5:$F$34,$AE112)*Paramètres!$E$22*$AG112*$AJ112,Paramètres!$F$22),0)</f>
        <v>11</v>
      </c>
      <c r="M112" s="19" t="n">
        <f aca="false" t="array" ref="M112:M112">IF(AND(INDEX(Profils!$G$5:$G$34,$AE112)&gt;0,INDEX(Profils!$V$5:$V$34,$AE112)&lt;=$AH112),ROUND(INDEX(Profils!$G$5:$G$34,$AE112)*Paramètres!$E$23*$AG112*$AJ112,Paramètres!$F$23),0)</f>
        <v>0</v>
      </c>
      <c r="N112" s="19" t="n">
        <f aca="false" t="array" ref="N112:N112">IF(AND(INDEX(Profils!$H$5:$H$34,$AE112)&gt;0,INDEX(Profils!$W$5:$W$34,$AE112)&lt;=$AH112),ROUND(INDEX(Profils!$H$5:$H$34,$AE112)*Paramètres!$E$24*$AG112*$AJ112,Paramètres!$F$24),0)</f>
        <v>0</v>
      </c>
      <c r="O112" s="19" t="n">
        <f aca="false" t="array" ref="O112:O112">IF(AND(INDEX(Profils!$I$5:$I$34,$AE112)&gt;0,INDEX(Profils!$X$5:$X$34,$AE112)&lt;=$AH112),ROUND(INDEX(Profils!$I$5:$I$34,$AE112)*Paramètres!$E$25*$AG112*$AJ112,Paramètres!$F$25),0)</f>
        <v>0</v>
      </c>
      <c r="P112" s="19" t="n">
        <f aca="false" t="array" ref="P112:P112">IF(AND(INDEX(Profils!$J$5:$J$34,$AE112)&gt;0,INDEX(Profils!$Y$5:$Y$34,$AE112)&lt;=$AH112),ROUND(INDEX(Profils!$J$5:$J$34,$AE112)*Paramètres!$E$26*$AG112*$AJ112,Paramètres!$F$26),0)</f>
        <v>5</v>
      </c>
      <c r="Q112" s="19" t="n">
        <f aca="false" t="array" ref="Q112:Q112">IF(AND(INDEX(Profils!$K$5:$K$34,$AE112)&gt;0,INDEX(Profils!$Z$5:$Z$34,$AE112)&lt;=$AH112),ROUND(INDEX(Profils!$K$5:$K$34,$AE112)*Paramètres!$E$27*$AG112*$AJ112,Paramètres!$F$27),0)</f>
        <v>4</v>
      </c>
      <c r="R112" s="20" t="n">
        <f aca="false" t="array" ref="R112:R112">IF(AND(INDEX(Profils!$L$5:$L$34,$AE112)&gt;0,INDEX(Profils!$AA$5:$AA$34,$AE112)&lt;=$AH112),ROUND(INDEX(Profils!$L$5:$L$34,$AE112)*Paramètres!$E$28*$AG112*$AJ112,Paramètres!$F$28),0)</f>
        <v>0</v>
      </c>
      <c r="S112" s="20" t="n">
        <f aca="false" t="array" ref="S112:S112">IF(AND(INDEX(Profils!$M$5:$M$34,$AE112)&gt;0,INDEX(Profils!$AB$5:$AB$34,$AE112)&lt;=$AH112),ROUND(INDEX(Profils!$M$5:$M$34,$AE112)*Paramètres!$E$29*$AG112*$AJ112,Paramètres!$F$29),0)</f>
        <v>0</v>
      </c>
      <c r="T112" s="20" t="n">
        <f aca="false" t="array" ref="T112:T112">IF(AND(INDEX(Profils!$N$5:$N$34,$AE112)&gt;0,INDEX(Profils!$AC$5:$AC$34,$AE112)&lt;=$AH112),ROUND(INDEX(Profils!$N$5:$N$34,$AE112)*Paramètres!$E$30*$AG112*$AJ112,Paramètres!$F$30),0)</f>
        <v>0</v>
      </c>
      <c r="U112" s="19" t="n">
        <f aca="false" t="array" ref="U112:U112">IF(AND(INDEX(Profils!$O$5:$O$34,$AE112)&gt;0,INDEX(Profils!$AD$5:$AD$34,$AE112)&lt;=$AH112),ROUND(INDEX(Profils!$O$5:$O$34,$AE112)*Paramètres!$E$31*$AG112*$AJ112,Paramètres!$F$31),0)</f>
        <v>0</v>
      </c>
      <c r="V112" s="20" t="n">
        <f aca="false" t="array" ref="V112:V112">IF(AND(INDEX(Profils!$P$5:$P$34,$AE112)&gt;0,INDEX(Profils!$AE$5:$AE$34,$AE112)&lt;=$AH112),ROUND(INDEX(Profils!$P$5:$P$34,$AE112)*Paramètres!$E$32*$AG112*$AJ112,Paramètres!$F$32),0)</f>
        <v>0</v>
      </c>
      <c r="W112" s="20" t="n">
        <f aca="false" t="array" ref="W112:W112">IF(AND(INDEX(Profils!$Q$5:$Q$34,$AE112)&gt;0,INDEX(Profils!$AF$5:$AF$34,$AE112)&lt;=$AH112),ROUND(INDEX(Profils!$Q$5:$Q$34,$AE112)*Paramètres!$E$33*$AG112*$AJ112,Paramètres!$F$33),0)</f>
        <v>0</v>
      </c>
      <c r="X112" s="20" t="n">
        <f aca="false" t="array" ref="X112:X112">IF(AND(INDEX(Profils!$R$5:$R$34,$AE112)&gt;0,INDEX(Profils!$AG$5:$AG$34,$AE112)&lt;=$AH112),ROUND(INDEX(Profils!$R$5:$R$34,$AE112)*Paramètres!$E$34*$AG112*$AJ112,Paramètres!$F$34),0)</f>
        <v>0</v>
      </c>
      <c r="Y112" s="20" t="n">
        <f aca="false" t="array" ref="Y112:Y112">IF(AND(INDEX(Profils!$S$5:$S$34,$AE112)&gt;0,INDEX(Profils!$AH$5:$AH$34,$AE112)&lt;=$AH112),ROUND(INDEX(Profils!$S$5:$S$34,$AE112)*Paramètres!$E$35*$AG112*$AJ112,Paramètres!$F$35),0)</f>
        <v>0</v>
      </c>
      <c r="Z112" s="21" t="n">
        <f aca="false">ROUND(L112/Paramètres!$E$22+M112/Paramètres!$E$23+N112/Paramètres!$E$24+O112/Paramètres!$E$25+P112/Paramètres!$E$26+Q112/Paramètres!$E$27+R112/Paramètres!$E$28+S112/Paramètres!$E$29+T112/Paramètres!$E$30+U112/Paramètres!$E$31+V112/Paramètres!$E$32+W112/Paramètres!$E$33+X112/Paramètres!$E$34+Y112/Paramètres!$E$35,1)</f>
        <v>1.3</v>
      </c>
      <c r="AA112" s="22" t="s">
        <v>109</v>
      </c>
      <c r="AB112" s="22" t="s">
        <v>109</v>
      </c>
      <c r="AC112" s="15" t="str">
        <f aca="false">$E112</f>
        <v>acier</v>
      </c>
      <c r="AD112" s="16" t="n">
        <f aca="false" t="array" ref="AD112:AD112">IF($I112&gt;=$AI112,"Max",ROUND(Paramètres!$B$40*($I112+1)^Paramètres!$B$41*INDEX(Paramètres!$H$6:$H$12,$AF112),0))</f>
        <v>4</v>
      </c>
      <c r="AE112" s="23" t="n">
        <f aca="false">MATCH($B112&amp;"|"&amp;$C112,Profils!$A$5:$A$34,0)</f>
        <v>4</v>
      </c>
      <c r="AF112" s="23" t="n">
        <v>2</v>
      </c>
      <c r="AG112" s="24" t="n">
        <f aca="false" t="array" ref="AG112:AG112">INDEX(Paramètres!$C$6:$C$12,$AF112)</f>
        <v>1.2</v>
      </c>
      <c r="AH112" s="23" t="n">
        <f aca="false" t="array" ref="AH112:AH112">INDEX(Paramètres!$D$6:$D$12,$AF112)</f>
        <v>3</v>
      </c>
      <c r="AI112" s="23" t="n">
        <f aca="false" t="array" ref="AI112:AI112">INDEX(Matériaux!$C$16:$C$20,$D112)</f>
        <v>25</v>
      </c>
      <c r="AJ112" s="25" t="n">
        <f aca="false">Paramètres!$B$16+(1-Paramètres!$B$16)*(($J112-Paramètres!$B$14)/(Paramètres!$B$15-Paramètres!$B$14))^Paramètres!$B$17</f>
        <v>0.26769024555533</v>
      </c>
    </row>
    <row r="113" customFormat="false" ht="15.75" hidden="false" customHeight="true" outlineLevel="0" collapsed="false">
      <c r="A113" s="14" t="s">
        <v>223</v>
      </c>
      <c r="B113" s="15" t="s">
        <v>27</v>
      </c>
      <c r="C113" s="15" t="s">
        <v>209</v>
      </c>
      <c r="D113" s="16" t="n">
        <v>3</v>
      </c>
      <c r="E113" s="15" t="str">
        <f aca="false" t="array" ref="E113:E113">INDEX(Matériaux!$B$5:$F$12,MATCH(INDEX(Profils!$E$5:$E$34,$AE113),Matériaux!$A$5:$A$12,0),$D113)</f>
        <v>acier</v>
      </c>
      <c r="F113" s="27" t="s">
        <v>113</v>
      </c>
      <c r="G113" s="10" t="str">
        <f aca="false" t="array" ref="G113:G113">INDEX(Profils!$D$5:$D$34,$AE113)&amp;" en "&amp;$E113</f>
        <v>Brodequins en acier</v>
      </c>
      <c r="H113" s="16" t="n">
        <f aca="false" t="array" ref="H113:H113">INDEX(Matériaux!$B$16:$B$20,$D113)</f>
        <v>30</v>
      </c>
      <c r="I113" s="16" t="n">
        <f aca="false">IF(ISNUMBER($C$3),MIN(MAX(0,ROUND($C$3,0)),$AI113),$AI113)</f>
        <v>0</v>
      </c>
      <c r="J113" s="18" t="n">
        <f aca="false">$H113+$I113</f>
        <v>30</v>
      </c>
      <c r="K113" s="15" t="s">
        <v>109</v>
      </c>
      <c r="L113" s="19" t="n">
        <f aca="false" t="array" ref="L113:L113">IF(AND(INDEX(Profils!$F$5:$F$34,$AE113)&gt;0,INDEX(Profils!$U$5:$U$34,$AE113)&lt;=$AH113),ROUND(INDEX(Profils!$F$5:$F$34,$AE113)*Paramètres!$E$22*$AG113*$AJ113,Paramètres!$F$22),0)</f>
        <v>14</v>
      </c>
      <c r="M113" s="19" t="n">
        <f aca="false" t="array" ref="M113:M113">IF(AND(INDEX(Profils!$G$5:$G$34,$AE113)&gt;0,INDEX(Profils!$V$5:$V$34,$AE113)&lt;=$AH113),ROUND(INDEX(Profils!$G$5:$G$34,$AE113)*Paramètres!$E$23*$AG113*$AJ113,Paramètres!$F$23),0)</f>
        <v>0</v>
      </c>
      <c r="N113" s="19" t="n">
        <f aca="false" t="array" ref="N113:N113">IF(AND(INDEX(Profils!$H$5:$H$34,$AE113)&gt;0,INDEX(Profils!$W$5:$W$34,$AE113)&lt;=$AH113),ROUND(INDEX(Profils!$H$5:$H$34,$AE113)*Paramètres!$E$24*$AG113*$AJ113,Paramètres!$F$24),0)</f>
        <v>6</v>
      </c>
      <c r="O113" s="19" t="n">
        <f aca="false" t="array" ref="O113:O113">IF(AND(INDEX(Profils!$I$5:$I$34,$AE113)&gt;0,INDEX(Profils!$X$5:$X$34,$AE113)&lt;=$AH113),ROUND(INDEX(Profils!$I$5:$I$34,$AE113)*Paramètres!$E$25*$AG113*$AJ113,Paramètres!$F$25),0)</f>
        <v>0</v>
      </c>
      <c r="P113" s="19" t="n">
        <f aca="false" t="array" ref="P113:P113">IF(AND(INDEX(Profils!$J$5:$J$34,$AE113)&gt;0,INDEX(Profils!$Y$5:$Y$34,$AE113)&lt;=$AH113),ROUND(INDEX(Profils!$J$5:$J$34,$AE113)*Paramètres!$E$26*$AG113*$AJ113,Paramètres!$F$26),0)</f>
        <v>6</v>
      </c>
      <c r="Q113" s="19" t="n">
        <f aca="false" t="array" ref="Q113:Q113">IF(AND(INDEX(Profils!$K$5:$K$34,$AE113)&gt;0,INDEX(Profils!$Z$5:$Z$34,$AE113)&lt;=$AH113),ROUND(INDEX(Profils!$K$5:$K$34,$AE113)*Paramètres!$E$27*$AG113*$AJ113,Paramètres!$F$27),0)</f>
        <v>4</v>
      </c>
      <c r="R113" s="20" t="n">
        <f aca="false" t="array" ref="R113:R113">IF(AND(INDEX(Profils!$L$5:$L$34,$AE113)&gt;0,INDEX(Profils!$AA$5:$AA$34,$AE113)&lt;=$AH113),ROUND(INDEX(Profils!$L$5:$L$34,$AE113)*Paramètres!$E$28*$AG113*$AJ113,Paramètres!$F$28),0)</f>
        <v>0</v>
      </c>
      <c r="S113" s="20" t="n">
        <f aca="false" t="array" ref="S113:S113">IF(AND(INDEX(Profils!$M$5:$M$34,$AE113)&gt;0,INDEX(Profils!$AB$5:$AB$34,$AE113)&lt;=$AH113),ROUND(INDEX(Profils!$M$5:$M$34,$AE113)*Paramètres!$E$29*$AG113*$AJ113,Paramètres!$F$29),0)</f>
        <v>0</v>
      </c>
      <c r="T113" s="20" t="n">
        <f aca="false" t="array" ref="T113:T113">IF(AND(INDEX(Profils!$N$5:$N$34,$AE113)&gt;0,INDEX(Profils!$AC$5:$AC$34,$AE113)&lt;=$AH113),ROUND(INDEX(Profils!$N$5:$N$34,$AE113)*Paramètres!$E$30*$AG113*$AJ113,Paramètres!$F$30),0)</f>
        <v>0</v>
      </c>
      <c r="U113" s="19" t="n">
        <f aca="false" t="array" ref="U113:U113">IF(AND(INDEX(Profils!$O$5:$O$34,$AE113)&gt;0,INDEX(Profils!$AD$5:$AD$34,$AE113)&lt;=$AH113),ROUND(INDEX(Profils!$O$5:$O$34,$AE113)*Paramètres!$E$31*$AG113*$AJ113,Paramètres!$F$31),0)</f>
        <v>0</v>
      </c>
      <c r="V113" s="20" t="n">
        <f aca="false" t="array" ref="V113:V113">IF(AND(INDEX(Profils!$P$5:$P$34,$AE113)&gt;0,INDEX(Profils!$AE$5:$AE$34,$AE113)&lt;=$AH113),ROUND(INDEX(Profils!$P$5:$P$34,$AE113)*Paramètres!$E$32*$AG113*$AJ113,Paramètres!$F$32),0)</f>
        <v>0</v>
      </c>
      <c r="W113" s="20" t="n">
        <f aca="false" t="array" ref="W113:W113">IF(AND(INDEX(Profils!$Q$5:$Q$34,$AE113)&gt;0,INDEX(Profils!$AF$5:$AF$34,$AE113)&lt;=$AH113),ROUND(INDEX(Profils!$Q$5:$Q$34,$AE113)*Paramètres!$E$33*$AG113*$AJ113,Paramètres!$F$33),0)</f>
        <v>0</v>
      </c>
      <c r="X113" s="20" t="n">
        <f aca="false" t="array" ref="X113:X113">IF(AND(INDEX(Profils!$R$5:$R$34,$AE113)&gt;0,INDEX(Profils!$AG$5:$AG$34,$AE113)&lt;=$AH113),ROUND(INDEX(Profils!$R$5:$R$34,$AE113)*Paramètres!$E$34*$AG113*$AJ113,Paramètres!$F$34),0)</f>
        <v>0</v>
      </c>
      <c r="Y113" s="20" t="n">
        <f aca="false" t="array" ref="Y113:Y113">IF(AND(INDEX(Profils!$S$5:$S$34,$AE113)&gt;0,INDEX(Profils!$AH$5:$AH$34,$AE113)&lt;=$AH113),ROUND(INDEX(Profils!$S$5:$S$34,$AE113)*Paramètres!$E$35*$AG113*$AJ113,Paramètres!$F$35),0)</f>
        <v>0</v>
      </c>
      <c r="Z113" s="21" t="n">
        <f aca="false">ROUND(L113/Paramètres!$E$22+M113/Paramètres!$E$23+N113/Paramètres!$E$24+O113/Paramètres!$E$25+P113/Paramètres!$E$26+Q113/Paramètres!$E$27+R113/Paramètres!$E$28+S113/Paramètres!$E$29+T113/Paramètres!$E$30+U113/Paramètres!$E$31+V113/Paramètres!$E$32+W113/Paramètres!$E$33+X113/Paramètres!$E$34+Y113/Paramètres!$E$35,1)</f>
        <v>1.9</v>
      </c>
      <c r="AA113" s="22" t="s">
        <v>109</v>
      </c>
      <c r="AB113" s="22" t="s">
        <v>109</v>
      </c>
      <c r="AC113" s="15" t="str">
        <f aca="false">$E113</f>
        <v>acier</v>
      </c>
      <c r="AD113" s="16" t="n">
        <f aca="false" t="array" ref="AD113:AD113">IF($I113&gt;=$AI113,"Max",ROUND(Paramètres!$B$40*($I113+1)^Paramètres!$B$41*INDEX(Paramètres!$H$6:$H$12,$AF113),0))</f>
        <v>4</v>
      </c>
      <c r="AE113" s="23" t="n">
        <f aca="false">MATCH($B113&amp;"|"&amp;$C113,Profils!$A$5:$A$34,0)</f>
        <v>4</v>
      </c>
      <c r="AF113" s="23" t="n">
        <v>3</v>
      </c>
      <c r="AG113" s="24" t="n">
        <f aca="false" t="array" ref="AG113:AG113">INDEX(Paramètres!$C$6:$C$12,$AF113)</f>
        <v>1.45</v>
      </c>
      <c r="AH113" s="23" t="n">
        <f aca="false" t="array" ref="AH113:AH113">INDEX(Paramètres!$D$6:$D$12,$AF113)</f>
        <v>4</v>
      </c>
      <c r="AI113" s="23" t="n">
        <f aca="false" t="array" ref="AI113:AI113">INDEX(Matériaux!$C$16:$C$20,$D113)</f>
        <v>25</v>
      </c>
      <c r="AJ113" s="25" t="n">
        <f aca="false">Paramètres!$B$16+(1-Paramètres!$B$16)*(($J113-Paramètres!$B$14)/(Paramètres!$B$15-Paramètres!$B$14))^Paramètres!$B$17</f>
        <v>0.26769024555533</v>
      </c>
    </row>
    <row r="114" customFormat="false" ht="15.75" hidden="false" customHeight="true" outlineLevel="0" collapsed="false">
      <c r="A114" s="14" t="s">
        <v>224</v>
      </c>
      <c r="B114" s="15" t="s">
        <v>27</v>
      </c>
      <c r="C114" s="15" t="s">
        <v>209</v>
      </c>
      <c r="D114" s="16" t="n">
        <v>3</v>
      </c>
      <c r="E114" s="15" t="str">
        <f aca="false" t="array" ref="E114:E114">INDEX(Matériaux!$B$5:$F$12,MATCH(INDEX(Profils!$E$5:$E$34,$AE114),Matériaux!$A$5:$A$12,0),$D114)</f>
        <v>acier</v>
      </c>
      <c r="F114" s="28" t="s">
        <v>115</v>
      </c>
      <c r="G114" s="10" t="str">
        <f aca="false" t="array" ref="G114:G114">INDEX(Profils!$D$5:$D$34,$AE114)&amp;" en "&amp;$E114</f>
        <v>Brodequins en acier</v>
      </c>
      <c r="H114" s="16" t="n">
        <f aca="false" t="array" ref="H114:H114">INDEX(Matériaux!$B$16:$B$20,$D114)</f>
        <v>30</v>
      </c>
      <c r="I114" s="16" t="n">
        <f aca="false">IF(ISNUMBER($C$3),MIN(MAX(0,ROUND($C$3,0)),$AI114),$AI114)</f>
        <v>0</v>
      </c>
      <c r="J114" s="18" t="n">
        <f aca="false">$H114+$I114</f>
        <v>30</v>
      </c>
      <c r="K114" s="15" t="s">
        <v>109</v>
      </c>
      <c r="L114" s="19" t="n">
        <f aca="false" t="array" ref="L114:L114">IF(AND(INDEX(Profils!$F$5:$F$34,$AE114)&gt;0,INDEX(Profils!$U$5:$U$34,$AE114)&lt;=$AH114),ROUND(INDEX(Profils!$F$5:$F$34,$AE114)*Paramètres!$E$22*$AG114*$AJ114,Paramètres!$F$22),0)</f>
        <v>16</v>
      </c>
      <c r="M114" s="19" t="n">
        <f aca="false" t="array" ref="M114:M114">IF(AND(INDEX(Profils!$G$5:$G$34,$AE114)&gt;0,INDEX(Profils!$V$5:$V$34,$AE114)&lt;=$AH114),ROUND(INDEX(Profils!$G$5:$G$34,$AE114)*Paramètres!$E$23*$AG114*$AJ114,Paramètres!$F$23),0)</f>
        <v>0</v>
      </c>
      <c r="N114" s="19" t="n">
        <f aca="false" t="array" ref="N114:N114">IF(AND(INDEX(Profils!$H$5:$H$34,$AE114)&gt;0,INDEX(Profils!$W$5:$W$34,$AE114)&lt;=$AH114),ROUND(INDEX(Profils!$H$5:$H$34,$AE114)*Paramètres!$E$24*$AG114*$AJ114,Paramètres!$F$24),0)</f>
        <v>7</v>
      </c>
      <c r="O114" s="19" t="n">
        <f aca="false" t="array" ref="O114:O114">IF(AND(INDEX(Profils!$I$5:$I$34,$AE114)&gt;0,INDEX(Profils!$X$5:$X$34,$AE114)&lt;=$AH114),ROUND(INDEX(Profils!$I$5:$I$34,$AE114)*Paramètres!$E$25*$AG114*$AJ114,Paramètres!$F$25),0)</f>
        <v>0</v>
      </c>
      <c r="P114" s="19" t="n">
        <f aca="false" t="array" ref="P114:P114">IF(AND(INDEX(Profils!$J$5:$J$34,$AE114)&gt;0,INDEX(Profils!$Y$5:$Y$34,$AE114)&lt;=$AH114),ROUND(INDEX(Profils!$J$5:$J$34,$AE114)*Paramètres!$E$26*$AG114*$AJ114,Paramètres!$F$26),0)</f>
        <v>7</v>
      </c>
      <c r="Q114" s="19" t="n">
        <f aca="false" t="array" ref="Q114:Q114">IF(AND(INDEX(Profils!$K$5:$K$34,$AE114)&gt;0,INDEX(Profils!$Z$5:$Z$34,$AE114)&lt;=$AH114),ROUND(INDEX(Profils!$K$5:$K$34,$AE114)*Paramètres!$E$27*$AG114*$AJ114,Paramètres!$F$27),0)</f>
        <v>5</v>
      </c>
      <c r="R114" s="20" t="n">
        <f aca="false" t="array" ref="R114:R114">IF(AND(INDEX(Profils!$L$5:$L$34,$AE114)&gt;0,INDEX(Profils!$AA$5:$AA$34,$AE114)&lt;=$AH114),ROUND(INDEX(Profils!$L$5:$L$34,$AE114)*Paramètres!$E$28*$AG114*$AJ114,Paramètres!$F$28),0)</f>
        <v>0</v>
      </c>
      <c r="S114" s="20" t="n">
        <f aca="false" t="array" ref="S114:S114">IF(AND(INDEX(Profils!$M$5:$M$34,$AE114)&gt;0,INDEX(Profils!$AB$5:$AB$34,$AE114)&lt;=$AH114),ROUND(INDEX(Profils!$M$5:$M$34,$AE114)*Paramètres!$E$29*$AG114*$AJ114,Paramètres!$F$29),0)</f>
        <v>0</v>
      </c>
      <c r="T114" s="20" t="n">
        <f aca="false" t="array" ref="T114:T114">IF(AND(INDEX(Profils!$N$5:$N$34,$AE114)&gt;0,INDEX(Profils!$AC$5:$AC$34,$AE114)&lt;=$AH114),ROUND(INDEX(Profils!$N$5:$N$34,$AE114)*Paramètres!$E$30*$AG114*$AJ114,Paramètres!$F$30),0)</f>
        <v>0</v>
      </c>
      <c r="U114" s="19" t="n">
        <f aca="false" t="array" ref="U114:U114">IF(AND(INDEX(Profils!$O$5:$O$34,$AE114)&gt;0,INDEX(Profils!$AD$5:$AD$34,$AE114)&lt;=$AH114),ROUND(INDEX(Profils!$O$5:$O$34,$AE114)*Paramètres!$E$31*$AG114*$AJ114,Paramètres!$F$31),0)</f>
        <v>9</v>
      </c>
      <c r="V114" s="20" t="n">
        <f aca="false" t="array" ref="V114:V114">IF(AND(INDEX(Profils!$P$5:$P$34,$AE114)&gt;0,INDEX(Profils!$AE$5:$AE$34,$AE114)&lt;=$AH114),ROUND(INDEX(Profils!$P$5:$P$34,$AE114)*Paramètres!$E$32*$AG114*$AJ114,Paramètres!$F$32),0)</f>
        <v>0</v>
      </c>
      <c r="W114" s="20" t="n">
        <f aca="false" t="array" ref="W114:W114">IF(AND(INDEX(Profils!$Q$5:$Q$34,$AE114)&gt;0,INDEX(Profils!$AF$5:$AF$34,$AE114)&lt;=$AH114),ROUND(INDEX(Profils!$Q$5:$Q$34,$AE114)*Paramètres!$E$33*$AG114*$AJ114,Paramètres!$F$33),0)</f>
        <v>0</v>
      </c>
      <c r="X114" s="20" t="n">
        <f aca="false" t="array" ref="X114:X114">IF(AND(INDEX(Profils!$R$5:$R$34,$AE114)&gt;0,INDEX(Profils!$AG$5:$AG$34,$AE114)&lt;=$AH114),ROUND(INDEX(Profils!$R$5:$R$34,$AE114)*Paramètres!$E$34*$AG114*$AJ114,Paramètres!$F$34),0)</f>
        <v>0</v>
      </c>
      <c r="Y114" s="20" t="n">
        <f aca="false" t="array" ref="Y114:Y114">IF(AND(INDEX(Profils!$S$5:$S$34,$AE114)&gt;0,INDEX(Profils!$AH$5:$AH$34,$AE114)&lt;=$AH114),ROUND(INDEX(Profils!$S$5:$S$34,$AE114)*Paramètres!$E$35*$AG114*$AJ114,Paramètres!$F$35),0)</f>
        <v>0</v>
      </c>
      <c r="Z114" s="21" t="n">
        <f aca="false">ROUND(L114/Paramètres!$E$22+M114/Paramètres!$E$23+N114/Paramètres!$E$24+O114/Paramètres!$E$25+P114/Paramètres!$E$26+Q114/Paramètres!$E$27+R114/Paramètres!$E$28+S114/Paramètres!$E$29+T114/Paramètres!$E$30+U114/Paramètres!$E$31+V114/Paramètres!$E$32+W114/Paramètres!$E$33+X114/Paramètres!$E$34+Y114/Paramètres!$E$35,1)</f>
        <v>2.6</v>
      </c>
      <c r="AA114" s="22" t="s">
        <v>109</v>
      </c>
      <c r="AB114" s="22" t="s">
        <v>109</v>
      </c>
      <c r="AC114" s="15" t="str">
        <f aca="false">$E114</f>
        <v>acier</v>
      </c>
      <c r="AD114" s="16" t="n">
        <f aca="false" t="array" ref="AD114:AD114">IF($I114&gt;=$AI114,"Max",ROUND(Paramètres!$B$40*($I114+1)^Paramètres!$B$41*INDEX(Paramètres!$H$6:$H$12,$AF114),0))</f>
        <v>5</v>
      </c>
      <c r="AE114" s="23" t="n">
        <f aca="false">MATCH($B114&amp;"|"&amp;$C114,Profils!$A$5:$A$34,0)</f>
        <v>4</v>
      </c>
      <c r="AF114" s="23" t="n">
        <v>4</v>
      </c>
      <c r="AG114" s="24" t="n">
        <f aca="false" t="array" ref="AG114:AG114">INDEX(Paramètres!$C$6:$C$12,$AF114)</f>
        <v>1.75</v>
      </c>
      <c r="AH114" s="23" t="n">
        <f aca="false" t="array" ref="AH114:AH114">INDEX(Paramètres!$D$6:$D$12,$AF114)</f>
        <v>5</v>
      </c>
      <c r="AI114" s="23" t="n">
        <f aca="false" t="array" ref="AI114:AI114">INDEX(Matériaux!$C$16:$C$20,$D114)</f>
        <v>25</v>
      </c>
      <c r="AJ114" s="25" t="n">
        <f aca="false">Paramètres!$B$16+(1-Paramètres!$B$16)*(($J114-Paramètres!$B$14)/(Paramètres!$B$15-Paramètres!$B$14))^Paramètres!$B$17</f>
        <v>0.26769024555533</v>
      </c>
    </row>
    <row r="115" customFormat="false" ht="15.75" hidden="false" customHeight="true" outlineLevel="0" collapsed="false">
      <c r="A115" s="14" t="s">
        <v>225</v>
      </c>
      <c r="B115" s="15" t="s">
        <v>27</v>
      </c>
      <c r="C115" s="15" t="s">
        <v>209</v>
      </c>
      <c r="D115" s="16" t="n">
        <v>3</v>
      </c>
      <c r="E115" s="15" t="str">
        <f aca="false" t="array" ref="E115:E115">INDEX(Matériaux!$B$5:$F$12,MATCH(INDEX(Profils!$E$5:$E$34,$AE115),Matériaux!$A$5:$A$12,0),$D115)</f>
        <v>acier</v>
      </c>
      <c r="F115" s="29" t="s">
        <v>117</v>
      </c>
      <c r="G115" s="10" t="str">
        <f aca="false" t="array" ref="G115:G115">INDEX(Profils!$D$5:$D$34,$AE115)&amp;" en "&amp;$E115</f>
        <v>Brodequins en acier</v>
      </c>
      <c r="H115" s="16" t="n">
        <f aca="false" t="array" ref="H115:H115">INDEX(Matériaux!$B$16:$B$20,$D115)</f>
        <v>30</v>
      </c>
      <c r="I115" s="16" t="n">
        <f aca="false">IF(ISNUMBER($C$3),MIN(MAX(0,ROUND($C$3,0)),$AI115),$AI115)</f>
        <v>0</v>
      </c>
      <c r="J115" s="18" t="n">
        <f aca="false">$H115+$I115</f>
        <v>30</v>
      </c>
      <c r="K115" s="15" t="s">
        <v>109</v>
      </c>
      <c r="L115" s="19" t="n">
        <f aca="false" t="array" ref="L115:L115">IF(AND(INDEX(Profils!$F$5:$F$34,$AE115)&gt;0,INDEX(Profils!$U$5:$U$34,$AE115)&lt;=$AH115),ROUND(INDEX(Profils!$F$5:$F$34,$AE115)*Paramètres!$E$22*$AG115*$AJ115,Paramètres!$F$22),0)</f>
        <v>20</v>
      </c>
      <c r="M115" s="19" t="n">
        <f aca="false" t="array" ref="M115:M115">IF(AND(INDEX(Profils!$G$5:$G$34,$AE115)&gt;0,INDEX(Profils!$V$5:$V$34,$AE115)&lt;=$AH115),ROUND(INDEX(Profils!$G$5:$G$34,$AE115)*Paramètres!$E$23*$AG115*$AJ115,Paramètres!$F$23),0)</f>
        <v>4</v>
      </c>
      <c r="N115" s="19" t="n">
        <f aca="false" t="array" ref="N115:N115">IF(AND(INDEX(Profils!$H$5:$H$34,$AE115)&gt;0,INDEX(Profils!$W$5:$W$34,$AE115)&lt;=$AH115),ROUND(INDEX(Profils!$H$5:$H$34,$AE115)*Paramètres!$E$24*$AG115*$AJ115,Paramètres!$F$24),0)</f>
        <v>8</v>
      </c>
      <c r="O115" s="19" t="n">
        <f aca="false" t="array" ref="O115:O115">IF(AND(INDEX(Profils!$I$5:$I$34,$AE115)&gt;0,INDEX(Profils!$X$5:$X$34,$AE115)&lt;=$AH115),ROUND(INDEX(Profils!$I$5:$I$34,$AE115)*Paramètres!$E$25*$AG115*$AJ115,Paramètres!$F$25),0)</f>
        <v>0</v>
      </c>
      <c r="P115" s="19" t="n">
        <f aca="false" t="array" ref="P115:P115">IF(AND(INDEX(Profils!$J$5:$J$34,$AE115)&gt;0,INDEX(Profils!$Y$5:$Y$34,$AE115)&lt;=$AH115),ROUND(INDEX(Profils!$J$5:$J$34,$AE115)*Paramètres!$E$26*$AG115*$AJ115,Paramètres!$F$26),0)</f>
        <v>8</v>
      </c>
      <c r="Q115" s="19" t="n">
        <f aca="false" t="array" ref="Q115:Q115">IF(AND(INDEX(Profils!$K$5:$K$34,$AE115)&gt;0,INDEX(Profils!$Z$5:$Z$34,$AE115)&lt;=$AH115),ROUND(INDEX(Profils!$K$5:$K$34,$AE115)*Paramètres!$E$27*$AG115*$AJ115,Paramètres!$F$27),0)</f>
        <v>6</v>
      </c>
      <c r="R115" s="20" t="n">
        <f aca="false" t="array" ref="R115:R115">IF(AND(INDEX(Profils!$L$5:$L$34,$AE115)&gt;0,INDEX(Profils!$AA$5:$AA$34,$AE115)&lt;=$AH115),ROUND(INDEX(Profils!$L$5:$L$34,$AE115)*Paramètres!$E$28*$AG115*$AJ115,Paramètres!$F$28),0)</f>
        <v>0</v>
      </c>
      <c r="S115" s="20" t="n">
        <f aca="false" t="array" ref="S115:S115">IF(AND(INDEX(Profils!$M$5:$M$34,$AE115)&gt;0,INDEX(Profils!$AB$5:$AB$34,$AE115)&lt;=$AH115),ROUND(INDEX(Profils!$M$5:$M$34,$AE115)*Paramètres!$E$29*$AG115*$AJ115,Paramètres!$F$29),0)</f>
        <v>0</v>
      </c>
      <c r="T115" s="20" t="n">
        <f aca="false" t="array" ref="T115:T115">IF(AND(INDEX(Profils!$N$5:$N$34,$AE115)&gt;0,INDEX(Profils!$AC$5:$AC$34,$AE115)&lt;=$AH115),ROUND(INDEX(Profils!$N$5:$N$34,$AE115)*Paramètres!$E$30*$AG115*$AJ115,Paramètres!$F$30),0)</f>
        <v>0</v>
      </c>
      <c r="U115" s="19" t="n">
        <f aca="false" t="array" ref="U115:U115">IF(AND(INDEX(Profils!$O$5:$O$34,$AE115)&gt;0,INDEX(Profils!$AD$5:$AD$34,$AE115)&lt;=$AH115),ROUND(INDEX(Profils!$O$5:$O$34,$AE115)*Paramètres!$E$31*$AG115*$AJ115,Paramètres!$F$31),0)</f>
        <v>11</v>
      </c>
      <c r="V115" s="20" t="n">
        <f aca="false" t="array" ref="V115:V115">IF(AND(INDEX(Profils!$P$5:$P$34,$AE115)&gt;0,INDEX(Profils!$AE$5:$AE$34,$AE115)&lt;=$AH115),ROUND(INDEX(Profils!$P$5:$P$34,$AE115)*Paramètres!$E$32*$AG115*$AJ115,Paramètres!$F$32),0)</f>
        <v>0</v>
      </c>
      <c r="W115" s="20" t="n">
        <f aca="false" t="array" ref="W115:W115">IF(AND(INDEX(Profils!$Q$5:$Q$34,$AE115)&gt;0,INDEX(Profils!$AF$5:$AF$34,$AE115)&lt;=$AH115),ROUND(INDEX(Profils!$Q$5:$Q$34,$AE115)*Paramètres!$E$33*$AG115*$AJ115,Paramètres!$F$33),0)</f>
        <v>0</v>
      </c>
      <c r="X115" s="20" t="n">
        <f aca="false" t="array" ref="X115:X115">IF(AND(INDEX(Profils!$R$5:$R$34,$AE115)&gt;0,INDEX(Profils!$AG$5:$AG$34,$AE115)&lt;=$AH115),ROUND(INDEX(Profils!$R$5:$R$34,$AE115)*Paramètres!$E$34*$AG115*$AJ115,Paramètres!$F$34),0)</f>
        <v>0</v>
      </c>
      <c r="Y115" s="20" t="n">
        <f aca="false" t="array" ref="Y115:Y115">IF(AND(INDEX(Profils!$S$5:$S$34,$AE115)&gt;0,INDEX(Profils!$AH$5:$AH$34,$AE115)&lt;=$AH115),ROUND(INDEX(Profils!$S$5:$S$34,$AE115)*Paramètres!$E$35*$AG115*$AJ115,Paramètres!$F$35),0)</f>
        <v>0</v>
      </c>
      <c r="Z115" s="21" t="n">
        <f aca="false">ROUND(L115/Paramètres!$E$22+M115/Paramètres!$E$23+N115/Paramètres!$E$24+O115/Paramètres!$E$25+P115/Paramètres!$E$26+Q115/Paramètres!$E$27+R115/Paramètres!$E$28+S115/Paramètres!$E$29+T115/Paramètres!$E$30+U115/Paramètres!$E$31+V115/Paramètres!$E$32+W115/Paramètres!$E$33+X115/Paramètres!$E$34+Y115/Paramètres!$E$35,1)</f>
        <v>3.4</v>
      </c>
      <c r="AA115" s="22" t="s">
        <v>109</v>
      </c>
      <c r="AB115" s="22" t="s">
        <v>109</v>
      </c>
      <c r="AC115" s="15" t="str">
        <f aca="false">$E115</f>
        <v>acier</v>
      </c>
      <c r="AD115" s="16" t="n">
        <f aca="false" t="array" ref="AD115:AD115">IF($I115&gt;=$AI115,"Max",ROUND(Paramètres!$B$40*($I115+1)^Paramètres!$B$41*INDEX(Paramètres!$H$6:$H$12,$AF115),0))</f>
        <v>6</v>
      </c>
      <c r="AE115" s="23" t="n">
        <f aca="false">MATCH($B115&amp;"|"&amp;$C115,Profils!$A$5:$A$34,0)</f>
        <v>4</v>
      </c>
      <c r="AF115" s="23" t="n">
        <v>5</v>
      </c>
      <c r="AG115" s="24" t="n">
        <f aca="false" t="array" ref="AG115:AG115">INDEX(Paramètres!$C$6:$C$12,$AF115)</f>
        <v>2.1</v>
      </c>
      <c r="AH115" s="23" t="n">
        <f aca="false" t="array" ref="AH115:AH115">INDEX(Paramètres!$D$6:$D$12,$AF115)</f>
        <v>6</v>
      </c>
      <c r="AI115" s="23" t="n">
        <f aca="false" t="array" ref="AI115:AI115">INDEX(Matériaux!$C$16:$C$20,$D115)</f>
        <v>25</v>
      </c>
      <c r="AJ115" s="25" t="n">
        <f aca="false">Paramètres!$B$16+(1-Paramètres!$B$16)*(($J115-Paramètres!$B$14)/(Paramètres!$B$15-Paramètres!$B$14))^Paramètres!$B$17</f>
        <v>0.26769024555533</v>
      </c>
    </row>
    <row r="116" customFormat="false" ht="15.75" hidden="false" customHeight="true" outlineLevel="0" collapsed="false">
      <c r="A116" s="14" t="s">
        <v>226</v>
      </c>
      <c r="B116" s="15" t="s">
        <v>27</v>
      </c>
      <c r="C116" s="15" t="s">
        <v>209</v>
      </c>
      <c r="D116" s="16" t="n">
        <v>3</v>
      </c>
      <c r="E116" s="15" t="str">
        <f aca="false" t="array" ref="E116:E116">INDEX(Matériaux!$B$5:$F$12,MATCH(INDEX(Profils!$E$5:$E$34,$AE116),Matériaux!$A$5:$A$12,0),$D116)</f>
        <v>acier</v>
      </c>
      <c r="F116" s="30" t="s">
        <v>119</v>
      </c>
      <c r="G116" s="10" t="str">
        <f aca="false" t="array" ref="G116:G116">INDEX(Profils!$D$5:$D$34,$AE116)&amp;" en "&amp;$E116</f>
        <v>Brodequins en acier</v>
      </c>
      <c r="H116" s="16" t="n">
        <f aca="false" t="array" ref="H116:H116">INDEX(Matériaux!$B$16:$B$20,$D116)</f>
        <v>30</v>
      </c>
      <c r="I116" s="16" t="n">
        <f aca="false">IF(ISNUMBER($C$3),MIN(MAX(0,ROUND($C$3,0)),$AI116),$AI116)</f>
        <v>0</v>
      </c>
      <c r="J116" s="18" t="n">
        <f aca="false">$H116+$I116</f>
        <v>30</v>
      </c>
      <c r="K116" s="15" t="s">
        <v>109</v>
      </c>
      <c r="L116" s="19" t="n">
        <f aca="false" t="array" ref="L116:L116">IF(AND(INDEX(Profils!$F$5:$F$34,$AE116)&gt;0,INDEX(Profils!$U$5:$U$34,$AE116)&lt;=$AH116),ROUND(INDEX(Profils!$F$5:$F$34,$AE116)*Paramètres!$E$22*$AG116*$AJ116,Paramètres!$F$22),0)</f>
        <v>22</v>
      </c>
      <c r="M116" s="19" t="n">
        <f aca="false" t="array" ref="M116:M116">IF(AND(INDEX(Profils!$G$5:$G$34,$AE116)&gt;0,INDEX(Profils!$V$5:$V$34,$AE116)&lt;=$AH116),ROUND(INDEX(Profils!$G$5:$G$34,$AE116)*Paramètres!$E$23*$AG116*$AJ116,Paramètres!$F$23),0)</f>
        <v>5</v>
      </c>
      <c r="N116" s="19" t="n">
        <f aca="false" t="array" ref="N116:N116">IF(AND(INDEX(Profils!$H$5:$H$34,$AE116)&gt;0,INDEX(Profils!$W$5:$W$34,$AE116)&lt;=$AH116),ROUND(INDEX(Profils!$H$5:$H$34,$AE116)*Paramètres!$E$24*$AG116*$AJ116,Paramètres!$F$24),0)</f>
        <v>10</v>
      </c>
      <c r="O116" s="19" t="n">
        <f aca="false" t="array" ref="O116:O116">IF(AND(INDEX(Profils!$I$5:$I$34,$AE116)&gt;0,INDEX(Profils!$X$5:$X$34,$AE116)&lt;=$AH116),ROUND(INDEX(Profils!$I$5:$I$34,$AE116)*Paramètres!$E$25*$AG116*$AJ116,Paramètres!$F$25),0)</f>
        <v>0</v>
      </c>
      <c r="P116" s="19" t="n">
        <f aca="false" t="array" ref="P116:P116">IF(AND(INDEX(Profils!$J$5:$J$34,$AE116)&gt;0,INDEX(Profils!$Y$5:$Y$34,$AE116)&lt;=$AH116),ROUND(INDEX(Profils!$J$5:$J$34,$AE116)*Paramètres!$E$26*$AG116*$AJ116,Paramètres!$F$26),0)</f>
        <v>9</v>
      </c>
      <c r="Q116" s="19" t="n">
        <f aca="false" t="array" ref="Q116:Q116">IF(AND(INDEX(Profils!$K$5:$K$34,$AE116)&gt;0,INDEX(Profils!$Z$5:$Z$34,$AE116)&lt;=$AH116),ROUND(INDEX(Profils!$K$5:$K$34,$AE116)*Paramètres!$E$27*$AG116*$AJ116,Paramètres!$F$27),0)</f>
        <v>7</v>
      </c>
      <c r="R116" s="20" t="n">
        <f aca="false" t="array" ref="R116:R116">IF(AND(INDEX(Profils!$L$5:$L$34,$AE116)&gt;0,INDEX(Profils!$AA$5:$AA$34,$AE116)&lt;=$AH116),ROUND(INDEX(Profils!$L$5:$L$34,$AE116)*Paramètres!$E$28*$AG116*$AJ116,Paramètres!$F$28),0)</f>
        <v>0</v>
      </c>
      <c r="S116" s="20" t="n">
        <f aca="false" t="array" ref="S116:S116">IF(AND(INDEX(Profils!$M$5:$M$34,$AE116)&gt;0,INDEX(Profils!$AB$5:$AB$34,$AE116)&lt;=$AH116),ROUND(INDEX(Profils!$M$5:$M$34,$AE116)*Paramètres!$E$29*$AG116*$AJ116,Paramètres!$F$29),0)</f>
        <v>0</v>
      </c>
      <c r="T116" s="20" t="n">
        <f aca="false" t="array" ref="T116:T116">IF(AND(INDEX(Profils!$N$5:$N$34,$AE116)&gt;0,INDEX(Profils!$AC$5:$AC$34,$AE116)&lt;=$AH116),ROUND(INDEX(Profils!$N$5:$N$34,$AE116)*Paramètres!$E$30*$AG116*$AJ116,Paramètres!$F$30),0)</f>
        <v>0</v>
      </c>
      <c r="U116" s="19" t="n">
        <f aca="false" t="array" ref="U116:U116">IF(AND(INDEX(Profils!$O$5:$O$34,$AE116)&gt;0,INDEX(Profils!$AD$5:$AD$34,$AE116)&lt;=$AH116),ROUND(INDEX(Profils!$O$5:$O$34,$AE116)*Paramètres!$E$31*$AG116*$AJ116,Paramètres!$F$31),0)</f>
        <v>13</v>
      </c>
      <c r="V116" s="20" t="n">
        <f aca="false" t="array" ref="V116:V116">IF(AND(INDEX(Profils!$P$5:$P$34,$AE116)&gt;0,INDEX(Profils!$AE$5:$AE$34,$AE116)&lt;=$AH116),ROUND(INDEX(Profils!$P$5:$P$34,$AE116)*Paramètres!$E$32*$AG116*$AJ116,Paramètres!$F$32),0)</f>
        <v>0</v>
      </c>
      <c r="W116" s="20" t="n">
        <f aca="false" t="array" ref="W116:W116">IF(AND(INDEX(Profils!$Q$5:$Q$34,$AE116)&gt;0,INDEX(Profils!$AF$5:$AF$34,$AE116)&lt;=$AH116),ROUND(INDEX(Profils!$Q$5:$Q$34,$AE116)*Paramètres!$E$33*$AG116*$AJ116,Paramètres!$F$33),0)</f>
        <v>0.005</v>
      </c>
      <c r="X116" s="20" t="n">
        <f aca="false" t="array" ref="X116:X116">IF(AND(INDEX(Profils!$R$5:$R$34,$AE116)&gt;0,INDEX(Profils!$AG$5:$AG$34,$AE116)&lt;=$AH116),ROUND(INDEX(Profils!$R$5:$R$34,$AE116)*Paramètres!$E$34*$AG116*$AJ116,Paramètres!$F$34),0)</f>
        <v>0</v>
      </c>
      <c r="Y116" s="20" t="n">
        <f aca="false" t="array" ref="Y116:Y116">IF(AND(INDEX(Profils!$S$5:$S$34,$AE116)&gt;0,INDEX(Profils!$AH$5:$AH$34,$AE116)&lt;=$AH116),ROUND(INDEX(Profils!$S$5:$S$34,$AE116)*Paramètres!$E$35*$AG116*$AJ116,Paramètres!$F$35),0)</f>
        <v>0</v>
      </c>
      <c r="Z116" s="21" t="n">
        <f aca="false">ROUND(L116/Paramètres!$E$22+M116/Paramètres!$E$23+N116/Paramètres!$E$24+O116/Paramètres!$E$25+P116/Paramètres!$E$26+Q116/Paramètres!$E$27+R116/Paramètres!$E$28+S116/Paramètres!$E$29+T116/Paramètres!$E$30+U116/Paramètres!$E$31+V116/Paramètres!$E$32+W116/Paramètres!$E$33+X116/Paramètres!$E$34+Y116/Paramètres!$E$35,1)</f>
        <v>4.3</v>
      </c>
      <c r="AA116" s="22" t="s">
        <v>109</v>
      </c>
      <c r="AB116" s="22" t="s">
        <v>109</v>
      </c>
      <c r="AC116" s="15" t="str">
        <f aca="false">$E116</f>
        <v>acier</v>
      </c>
      <c r="AD116" s="16" t="n">
        <f aca="false" t="array" ref="AD116:AD116">IF($I116&gt;=$AI116,"Max",ROUND(Paramètres!$B$40*($I116+1)^Paramètres!$B$41*INDEX(Paramètres!$H$6:$H$12,$AF116),0))</f>
        <v>8</v>
      </c>
      <c r="AE116" s="23" t="n">
        <f aca="false">MATCH($B116&amp;"|"&amp;$C116,Profils!$A$5:$A$34,0)</f>
        <v>4</v>
      </c>
      <c r="AF116" s="23" t="n">
        <v>6</v>
      </c>
      <c r="AG116" s="24" t="n">
        <f aca="false" t="array" ref="AG116:AG116">INDEX(Paramètres!$C$6:$C$12,$AF116)</f>
        <v>2.4</v>
      </c>
      <c r="AH116" s="23" t="n">
        <f aca="false" t="array" ref="AH116:AH116">INDEX(Paramètres!$D$6:$D$12,$AF116)</f>
        <v>7</v>
      </c>
      <c r="AI116" s="23" t="n">
        <f aca="false" t="array" ref="AI116:AI116">INDEX(Matériaux!$C$16:$C$20,$D116)</f>
        <v>25</v>
      </c>
      <c r="AJ116" s="25" t="n">
        <f aca="false">Paramètres!$B$16+(1-Paramètres!$B$16)*(($J116-Paramètres!$B$14)/(Paramètres!$B$15-Paramètres!$B$14))^Paramètres!$B$17</f>
        <v>0.26769024555533</v>
      </c>
    </row>
    <row r="117" customFormat="false" ht="15.75" hidden="false" customHeight="true" outlineLevel="0" collapsed="false">
      <c r="A117" s="14" t="s">
        <v>227</v>
      </c>
      <c r="B117" s="15" t="s">
        <v>27</v>
      </c>
      <c r="C117" s="15" t="s">
        <v>209</v>
      </c>
      <c r="D117" s="16" t="n">
        <v>4</v>
      </c>
      <c r="E117" s="15" t="str">
        <f aca="false" t="array" ref="E117:E117">INDEX(Matériaux!$B$5:$F$12,MATCH(INDEX(Profils!$E$5:$E$34,$AE117),Matériaux!$A$5:$A$12,0),$D117)</f>
        <v>mithril</v>
      </c>
      <c r="F117" s="17" t="s">
        <v>108</v>
      </c>
      <c r="G117" s="10" t="str">
        <f aca="false" t="array" ref="G117:G117">INDEX(Profils!$D$5:$D$34,$AE117)&amp;" en "&amp;$E117</f>
        <v>Brodequins en mithril</v>
      </c>
      <c r="H117" s="16" t="n">
        <f aca="false" t="array" ref="H117:H117">INDEX(Matériaux!$B$16:$B$20,$D117)</f>
        <v>50</v>
      </c>
      <c r="I117" s="16" t="n">
        <f aca="false">IF(ISNUMBER($C$3),MIN(MAX(0,ROUND($C$3,0)),$AI117),$AI117)</f>
        <v>0</v>
      </c>
      <c r="J117" s="18" t="n">
        <f aca="false">$H117+$I117</f>
        <v>50</v>
      </c>
      <c r="K117" s="15" t="s">
        <v>109</v>
      </c>
      <c r="L117" s="19" t="n">
        <f aca="false" t="array" ref="L117:L117">IF(AND(INDEX(Profils!$F$5:$F$34,$AE117)&gt;0,INDEX(Profils!$U$5:$U$34,$AE117)&lt;=$AH117),ROUND(INDEX(Profils!$F$5:$F$34,$AE117)*Paramètres!$E$22*$AG117*$AJ117,Paramètres!$F$22),0)</f>
        <v>16</v>
      </c>
      <c r="M117" s="19" t="n">
        <f aca="false" t="array" ref="M117:M117">IF(AND(INDEX(Profils!$G$5:$G$34,$AE117)&gt;0,INDEX(Profils!$V$5:$V$34,$AE117)&lt;=$AH117),ROUND(INDEX(Profils!$G$5:$G$34,$AE117)*Paramètres!$E$23*$AG117*$AJ117,Paramètres!$F$23),0)</f>
        <v>0</v>
      </c>
      <c r="N117" s="19" t="n">
        <f aca="false" t="array" ref="N117:N117">IF(AND(INDEX(Profils!$H$5:$H$34,$AE117)&gt;0,INDEX(Profils!$W$5:$W$34,$AE117)&lt;=$AH117),ROUND(INDEX(Profils!$H$5:$H$34,$AE117)*Paramètres!$E$24*$AG117*$AJ117,Paramètres!$F$24),0)</f>
        <v>0</v>
      </c>
      <c r="O117" s="19" t="n">
        <f aca="false" t="array" ref="O117:O117">IF(AND(INDEX(Profils!$I$5:$I$34,$AE117)&gt;0,INDEX(Profils!$X$5:$X$34,$AE117)&lt;=$AH117),ROUND(INDEX(Profils!$I$5:$I$34,$AE117)*Paramètres!$E$25*$AG117*$AJ117,Paramètres!$F$25),0)</f>
        <v>0</v>
      </c>
      <c r="P117" s="19" t="n">
        <f aca="false" t="array" ref="P117:P117">IF(AND(INDEX(Profils!$J$5:$J$34,$AE117)&gt;0,INDEX(Profils!$Y$5:$Y$34,$AE117)&lt;=$AH117),ROUND(INDEX(Profils!$J$5:$J$34,$AE117)*Paramètres!$E$26*$AG117*$AJ117,Paramètres!$F$26),0)</f>
        <v>7</v>
      </c>
      <c r="Q117" s="19" t="n">
        <f aca="false" t="array" ref="Q117:Q117">IF(AND(INDEX(Profils!$K$5:$K$34,$AE117)&gt;0,INDEX(Profils!$Z$5:$Z$34,$AE117)&lt;=$AH117),ROUND(INDEX(Profils!$K$5:$K$34,$AE117)*Paramètres!$E$27*$AG117*$AJ117,Paramètres!$F$27),0)</f>
        <v>0</v>
      </c>
      <c r="R117" s="20" t="n">
        <f aca="false" t="array" ref="R117:R117">IF(AND(INDEX(Profils!$L$5:$L$34,$AE117)&gt;0,INDEX(Profils!$AA$5:$AA$34,$AE117)&lt;=$AH117),ROUND(INDEX(Profils!$L$5:$L$34,$AE117)*Paramètres!$E$28*$AG117*$AJ117,Paramètres!$F$28),0)</f>
        <v>0</v>
      </c>
      <c r="S117" s="20" t="n">
        <f aca="false" t="array" ref="S117:S117">IF(AND(INDEX(Profils!$M$5:$M$34,$AE117)&gt;0,INDEX(Profils!$AB$5:$AB$34,$AE117)&lt;=$AH117),ROUND(INDEX(Profils!$M$5:$M$34,$AE117)*Paramètres!$E$29*$AG117*$AJ117,Paramètres!$F$29),0)</f>
        <v>0</v>
      </c>
      <c r="T117" s="20" t="n">
        <f aca="false" t="array" ref="T117:T117">IF(AND(INDEX(Profils!$N$5:$N$34,$AE117)&gt;0,INDEX(Profils!$AC$5:$AC$34,$AE117)&lt;=$AH117),ROUND(INDEX(Profils!$N$5:$N$34,$AE117)*Paramètres!$E$30*$AG117*$AJ117,Paramètres!$F$30),0)</f>
        <v>0</v>
      </c>
      <c r="U117" s="19" t="n">
        <f aca="false" t="array" ref="U117:U117">IF(AND(INDEX(Profils!$O$5:$O$34,$AE117)&gt;0,INDEX(Profils!$AD$5:$AD$34,$AE117)&lt;=$AH117),ROUND(INDEX(Profils!$O$5:$O$34,$AE117)*Paramètres!$E$31*$AG117*$AJ117,Paramètres!$F$31),0)</f>
        <v>0</v>
      </c>
      <c r="V117" s="20" t="n">
        <f aca="false" t="array" ref="V117:V117">IF(AND(INDEX(Profils!$P$5:$P$34,$AE117)&gt;0,INDEX(Profils!$AE$5:$AE$34,$AE117)&lt;=$AH117),ROUND(INDEX(Profils!$P$5:$P$34,$AE117)*Paramètres!$E$32*$AG117*$AJ117,Paramètres!$F$32),0)</f>
        <v>0</v>
      </c>
      <c r="W117" s="20" t="n">
        <f aca="false" t="array" ref="W117:W117">IF(AND(INDEX(Profils!$Q$5:$Q$34,$AE117)&gt;0,INDEX(Profils!$AF$5:$AF$34,$AE117)&lt;=$AH117),ROUND(INDEX(Profils!$Q$5:$Q$34,$AE117)*Paramètres!$E$33*$AG117*$AJ117,Paramètres!$F$33),0)</f>
        <v>0</v>
      </c>
      <c r="X117" s="20" t="n">
        <f aca="false" t="array" ref="X117:X117">IF(AND(INDEX(Profils!$R$5:$R$34,$AE117)&gt;0,INDEX(Profils!$AG$5:$AG$34,$AE117)&lt;=$AH117),ROUND(INDEX(Profils!$R$5:$R$34,$AE117)*Paramètres!$E$34*$AG117*$AJ117,Paramètres!$F$34),0)</f>
        <v>0</v>
      </c>
      <c r="Y117" s="20" t="n">
        <f aca="false" t="array" ref="Y117:Y117">IF(AND(INDEX(Profils!$S$5:$S$34,$AE117)&gt;0,INDEX(Profils!$AH$5:$AH$34,$AE117)&lt;=$AH117),ROUND(INDEX(Profils!$S$5:$S$34,$AE117)*Paramètres!$E$35*$AG117*$AJ117,Paramètres!$F$35),0)</f>
        <v>0</v>
      </c>
      <c r="Z117" s="21" t="n">
        <f aca="false">ROUND(L117/Paramètres!$E$22+M117/Paramètres!$E$23+N117/Paramètres!$E$24+O117/Paramètres!$E$25+P117/Paramètres!$E$26+Q117/Paramètres!$E$27+R117/Paramètres!$E$28+S117/Paramètres!$E$29+T117/Paramètres!$E$30+U117/Paramètres!$E$31+V117/Paramètres!$E$32+W117/Paramètres!$E$33+X117/Paramètres!$E$34+Y117/Paramètres!$E$35,1)</f>
        <v>1.2</v>
      </c>
      <c r="AA117" s="22" t="s">
        <v>109</v>
      </c>
      <c r="AB117" s="22" t="s">
        <v>109</v>
      </c>
      <c r="AC117" s="15" t="str">
        <f aca="false">$E117</f>
        <v>mithril</v>
      </c>
      <c r="AD117" s="16" t="n">
        <f aca="false" t="array" ref="AD117:AD117">IF($I117&gt;=$AI117,"Max",ROUND(Paramètres!$B$40*($I117+1)^Paramètres!$B$41*INDEX(Paramètres!$H$6:$H$12,$AF117),0))</f>
        <v>3</v>
      </c>
      <c r="AE117" s="23" t="n">
        <f aca="false">MATCH($B117&amp;"|"&amp;$C117,Profils!$A$5:$A$34,0)</f>
        <v>4</v>
      </c>
      <c r="AF117" s="23" t="n">
        <v>1</v>
      </c>
      <c r="AG117" s="24" t="n">
        <f aca="false" t="array" ref="AG117:AG117">INDEX(Paramètres!$C$6:$C$12,$AF117)</f>
        <v>1</v>
      </c>
      <c r="AH117" s="23" t="n">
        <f aca="false" t="array" ref="AH117:AH117">INDEX(Paramètres!$D$6:$D$12,$AF117)</f>
        <v>2</v>
      </c>
      <c r="AI117" s="23" t="n">
        <f aca="false" t="array" ref="AI117:AI117">INDEX(Matériaux!$C$16:$C$20,$D117)</f>
        <v>25</v>
      </c>
      <c r="AJ117" s="25" t="n">
        <f aca="false">Paramètres!$B$16+(1-Paramètres!$B$16)*(($J117-Paramètres!$B$14)/(Paramètres!$B$15-Paramètres!$B$14))^Paramètres!$B$17</f>
        <v>0.458504333336152</v>
      </c>
    </row>
    <row r="118" customFormat="false" ht="15.75" hidden="false" customHeight="true" outlineLevel="0" collapsed="false">
      <c r="A118" s="14" t="s">
        <v>228</v>
      </c>
      <c r="B118" s="15" t="s">
        <v>27</v>
      </c>
      <c r="C118" s="15" t="s">
        <v>209</v>
      </c>
      <c r="D118" s="16" t="n">
        <v>4</v>
      </c>
      <c r="E118" s="15" t="str">
        <f aca="false" t="array" ref="E118:E118">INDEX(Matériaux!$B$5:$F$12,MATCH(INDEX(Profils!$E$5:$E$34,$AE118),Matériaux!$A$5:$A$12,0),$D118)</f>
        <v>mithril</v>
      </c>
      <c r="F118" s="26" t="s">
        <v>111</v>
      </c>
      <c r="G118" s="10" t="str">
        <f aca="false" t="array" ref="G118:G118">INDEX(Profils!$D$5:$D$34,$AE118)&amp;" en "&amp;$E118</f>
        <v>Brodequins en mithril</v>
      </c>
      <c r="H118" s="16" t="n">
        <f aca="false" t="array" ref="H118:H118">INDEX(Matériaux!$B$16:$B$20,$D118)</f>
        <v>50</v>
      </c>
      <c r="I118" s="16" t="n">
        <f aca="false">IF(ISNUMBER($C$3),MIN(MAX(0,ROUND($C$3,0)),$AI118),$AI118)</f>
        <v>0</v>
      </c>
      <c r="J118" s="18" t="n">
        <f aca="false">$H118+$I118</f>
        <v>50</v>
      </c>
      <c r="K118" s="15" t="s">
        <v>109</v>
      </c>
      <c r="L118" s="19" t="n">
        <f aca="false" t="array" ref="L118:L118">IF(AND(INDEX(Profils!$F$5:$F$34,$AE118)&gt;0,INDEX(Profils!$U$5:$U$34,$AE118)&lt;=$AH118),ROUND(INDEX(Profils!$F$5:$F$34,$AE118)*Paramètres!$E$22*$AG118*$AJ118,Paramètres!$F$22),0)</f>
        <v>19</v>
      </c>
      <c r="M118" s="19" t="n">
        <f aca="false" t="array" ref="M118:M118">IF(AND(INDEX(Profils!$G$5:$G$34,$AE118)&gt;0,INDEX(Profils!$V$5:$V$34,$AE118)&lt;=$AH118),ROUND(INDEX(Profils!$G$5:$G$34,$AE118)*Paramètres!$E$23*$AG118*$AJ118,Paramètres!$F$23),0)</f>
        <v>0</v>
      </c>
      <c r="N118" s="19" t="n">
        <f aca="false" t="array" ref="N118:N118">IF(AND(INDEX(Profils!$H$5:$H$34,$AE118)&gt;0,INDEX(Profils!$W$5:$W$34,$AE118)&lt;=$AH118),ROUND(INDEX(Profils!$H$5:$H$34,$AE118)*Paramètres!$E$24*$AG118*$AJ118,Paramètres!$F$24),0)</f>
        <v>0</v>
      </c>
      <c r="O118" s="19" t="n">
        <f aca="false" t="array" ref="O118:O118">IF(AND(INDEX(Profils!$I$5:$I$34,$AE118)&gt;0,INDEX(Profils!$X$5:$X$34,$AE118)&lt;=$AH118),ROUND(INDEX(Profils!$I$5:$I$34,$AE118)*Paramètres!$E$25*$AG118*$AJ118,Paramètres!$F$25),0)</f>
        <v>0</v>
      </c>
      <c r="P118" s="19" t="n">
        <f aca="false" t="array" ref="P118:P118">IF(AND(INDEX(Profils!$J$5:$J$34,$AE118)&gt;0,INDEX(Profils!$Y$5:$Y$34,$AE118)&lt;=$AH118),ROUND(INDEX(Profils!$J$5:$J$34,$AE118)*Paramètres!$E$26*$AG118*$AJ118,Paramètres!$F$26),0)</f>
        <v>8</v>
      </c>
      <c r="Q118" s="19" t="n">
        <f aca="false" t="array" ref="Q118:Q118">IF(AND(INDEX(Profils!$K$5:$K$34,$AE118)&gt;0,INDEX(Profils!$Z$5:$Z$34,$AE118)&lt;=$AH118),ROUND(INDEX(Profils!$K$5:$K$34,$AE118)*Paramètres!$E$27*$AG118*$AJ118,Paramètres!$F$27),0)</f>
        <v>6</v>
      </c>
      <c r="R118" s="20" t="n">
        <f aca="false" t="array" ref="R118:R118">IF(AND(INDEX(Profils!$L$5:$L$34,$AE118)&gt;0,INDEX(Profils!$AA$5:$AA$34,$AE118)&lt;=$AH118),ROUND(INDEX(Profils!$L$5:$L$34,$AE118)*Paramètres!$E$28*$AG118*$AJ118,Paramètres!$F$28),0)</f>
        <v>0</v>
      </c>
      <c r="S118" s="20" t="n">
        <f aca="false" t="array" ref="S118:S118">IF(AND(INDEX(Profils!$M$5:$M$34,$AE118)&gt;0,INDEX(Profils!$AB$5:$AB$34,$AE118)&lt;=$AH118),ROUND(INDEX(Profils!$M$5:$M$34,$AE118)*Paramètres!$E$29*$AG118*$AJ118,Paramètres!$F$29),0)</f>
        <v>0</v>
      </c>
      <c r="T118" s="20" t="n">
        <f aca="false" t="array" ref="T118:T118">IF(AND(INDEX(Profils!$N$5:$N$34,$AE118)&gt;0,INDEX(Profils!$AC$5:$AC$34,$AE118)&lt;=$AH118),ROUND(INDEX(Profils!$N$5:$N$34,$AE118)*Paramètres!$E$30*$AG118*$AJ118,Paramètres!$F$30),0)</f>
        <v>0</v>
      </c>
      <c r="U118" s="19" t="n">
        <f aca="false" t="array" ref="U118:U118">IF(AND(INDEX(Profils!$O$5:$O$34,$AE118)&gt;0,INDEX(Profils!$AD$5:$AD$34,$AE118)&lt;=$AH118),ROUND(INDEX(Profils!$O$5:$O$34,$AE118)*Paramètres!$E$31*$AG118*$AJ118,Paramètres!$F$31),0)</f>
        <v>0</v>
      </c>
      <c r="V118" s="20" t="n">
        <f aca="false" t="array" ref="V118:V118">IF(AND(INDEX(Profils!$P$5:$P$34,$AE118)&gt;0,INDEX(Profils!$AE$5:$AE$34,$AE118)&lt;=$AH118),ROUND(INDEX(Profils!$P$5:$P$34,$AE118)*Paramètres!$E$32*$AG118*$AJ118,Paramètres!$F$32),0)</f>
        <v>0</v>
      </c>
      <c r="W118" s="20" t="n">
        <f aca="false" t="array" ref="W118:W118">IF(AND(INDEX(Profils!$Q$5:$Q$34,$AE118)&gt;0,INDEX(Profils!$AF$5:$AF$34,$AE118)&lt;=$AH118),ROUND(INDEX(Profils!$Q$5:$Q$34,$AE118)*Paramètres!$E$33*$AG118*$AJ118,Paramètres!$F$33),0)</f>
        <v>0</v>
      </c>
      <c r="X118" s="20" t="n">
        <f aca="false" t="array" ref="X118:X118">IF(AND(INDEX(Profils!$R$5:$R$34,$AE118)&gt;0,INDEX(Profils!$AG$5:$AG$34,$AE118)&lt;=$AH118),ROUND(INDEX(Profils!$R$5:$R$34,$AE118)*Paramètres!$E$34*$AG118*$AJ118,Paramètres!$F$34),0)</f>
        <v>0</v>
      </c>
      <c r="Y118" s="20" t="n">
        <f aca="false" t="array" ref="Y118:Y118">IF(AND(INDEX(Profils!$S$5:$S$34,$AE118)&gt;0,INDEX(Profils!$AH$5:$AH$34,$AE118)&lt;=$AH118),ROUND(INDEX(Profils!$S$5:$S$34,$AE118)*Paramètres!$E$35*$AG118*$AJ118,Paramètres!$F$35),0)</f>
        <v>0</v>
      </c>
      <c r="Z118" s="21" t="n">
        <f aca="false">ROUND(L118/Paramètres!$E$22+M118/Paramètres!$E$23+N118/Paramètres!$E$24+O118/Paramètres!$E$25+P118/Paramètres!$E$26+Q118/Paramètres!$E$27+R118/Paramètres!$E$28+S118/Paramètres!$E$29+T118/Paramètres!$E$30+U118/Paramètres!$E$31+V118/Paramètres!$E$32+W118/Paramètres!$E$33+X118/Paramètres!$E$34+Y118/Paramètres!$E$35,1)</f>
        <v>2</v>
      </c>
      <c r="AA118" s="22" t="s">
        <v>109</v>
      </c>
      <c r="AB118" s="22" t="s">
        <v>109</v>
      </c>
      <c r="AC118" s="15" t="str">
        <f aca="false">$E118</f>
        <v>mithril</v>
      </c>
      <c r="AD118" s="16" t="n">
        <f aca="false" t="array" ref="AD118:AD118">IF($I118&gt;=$AI118,"Max",ROUND(Paramètres!$B$40*($I118+1)^Paramètres!$B$41*INDEX(Paramètres!$H$6:$H$12,$AF118),0))</f>
        <v>4</v>
      </c>
      <c r="AE118" s="23" t="n">
        <f aca="false">MATCH($B118&amp;"|"&amp;$C118,Profils!$A$5:$A$34,0)</f>
        <v>4</v>
      </c>
      <c r="AF118" s="23" t="n">
        <v>2</v>
      </c>
      <c r="AG118" s="24" t="n">
        <f aca="false" t="array" ref="AG118:AG118">INDEX(Paramètres!$C$6:$C$12,$AF118)</f>
        <v>1.2</v>
      </c>
      <c r="AH118" s="23" t="n">
        <f aca="false" t="array" ref="AH118:AH118">INDEX(Paramètres!$D$6:$D$12,$AF118)</f>
        <v>3</v>
      </c>
      <c r="AI118" s="23" t="n">
        <f aca="false" t="array" ref="AI118:AI118">INDEX(Matériaux!$C$16:$C$20,$D118)</f>
        <v>25</v>
      </c>
      <c r="AJ118" s="25" t="n">
        <f aca="false">Paramètres!$B$16+(1-Paramètres!$B$16)*(($J118-Paramètres!$B$14)/(Paramètres!$B$15-Paramètres!$B$14))^Paramètres!$B$17</f>
        <v>0.458504333336152</v>
      </c>
    </row>
    <row r="119" customFormat="false" ht="15.75" hidden="false" customHeight="true" outlineLevel="0" collapsed="false">
      <c r="A119" s="14" t="s">
        <v>229</v>
      </c>
      <c r="B119" s="15" t="s">
        <v>27</v>
      </c>
      <c r="C119" s="15" t="s">
        <v>209</v>
      </c>
      <c r="D119" s="16" t="n">
        <v>4</v>
      </c>
      <c r="E119" s="15" t="str">
        <f aca="false" t="array" ref="E119:E119">INDEX(Matériaux!$B$5:$F$12,MATCH(INDEX(Profils!$E$5:$E$34,$AE119),Matériaux!$A$5:$A$12,0),$D119)</f>
        <v>mithril</v>
      </c>
      <c r="F119" s="27" t="s">
        <v>113</v>
      </c>
      <c r="G119" s="10" t="str">
        <f aca="false" t="array" ref="G119:G119">INDEX(Profils!$D$5:$D$34,$AE119)&amp;" en "&amp;$E119</f>
        <v>Brodequins en mithril</v>
      </c>
      <c r="H119" s="16" t="n">
        <f aca="false" t="array" ref="H119:H119">INDEX(Matériaux!$B$16:$B$20,$D119)</f>
        <v>50</v>
      </c>
      <c r="I119" s="16" t="n">
        <f aca="false">IF(ISNUMBER($C$3),MIN(MAX(0,ROUND($C$3,0)),$AI119),$AI119)</f>
        <v>0</v>
      </c>
      <c r="J119" s="18" t="n">
        <f aca="false">$H119+$I119</f>
        <v>50</v>
      </c>
      <c r="K119" s="15" t="s">
        <v>109</v>
      </c>
      <c r="L119" s="19" t="n">
        <f aca="false" t="array" ref="L119:L119">IF(AND(INDEX(Profils!$F$5:$F$34,$AE119)&gt;0,INDEX(Profils!$U$5:$U$34,$AE119)&lt;=$AH119),ROUND(INDEX(Profils!$F$5:$F$34,$AE119)*Paramètres!$E$22*$AG119*$AJ119,Paramètres!$F$22),0)</f>
        <v>23</v>
      </c>
      <c r="M119" s="19" t="n">
        <f aca="false" t="array" ref="M119:M119">IF(AND(INDEX(Profils!$G$5:$G$34,$AE119)&gt;0,INDEX(Profils!$V$5:$V$34,$AE119)&lt;=$AH119),ROUND(INDEX(Profils!$G$5:$G$34,$AE119)*Paramètres!$E$23*$AG119*$AJ119,Paramètres!$F$23),0)</f>
        <v>0</v>
      </c>
      <c r="N119" s="19" t="n">
        <f aca="false" t="array" ref="N119:N119">IF(AND(INDEX(Profils!$H$5:$H$34,$AE119)&gt;0,INDEX(Profils!$W$5:$W$34,$AE119)&lt;=$AH119),ROUND(INDEX(Profils!$H$5:$H$34,$AE119)*Paramètres!$E$24*$AG119*$AJ119,Paramètres!$F$24),0)</f>
        <v>10</v>
      </c>
      <c r="O119" s="19" t="n">
        <f aca="false" t="array" ref="O119:O119">IF(AND(INDEX(Profils!$I$5:$I$34,$AE119)&gt;0,INDEX(Profils!$X$5:$X$34,$AE119)&lt;=$AH119),ROUND(INDEX(Profils!$I$5:$I$34,$AE119)*Paramètres!$E$25*$AG119*$AJ119,Paramètres!$F$25),0)</f>
        <v>0</v>
      </c>
      <c r="P119" s="19" t="n">
        <f aca="false" t="array" ref="P119:P119">IF(AND(INDEX(Profils!$J$5:$J$34,$AE119)&gt;0,INDEX(Profils!$Y$5:$Y$34,$AE119)&lt;=$AH119),ROUND(INDEX(Profils!$J$5:$J$34,$AE119)*Paramètres!$E$26*$AG119*$AJ119,Paramètres!$F$26),0)</f>
        <v>10</v>
      </c>
      <c r="Q119" s="19" t="n">
        <f aca="false" t="array" ref="Q119:Q119">IF(AND(INDEX(Profils!$K$5:$K$34,$AE119)&gt;0,INDEX(Profils!$Z$5:$Z$34,$AE119)&lt;=$AH119),ROUND(INDEX(Profils!$K$5:$K$34,$AE119)*Paramètres!$E$27*$AG119*$AJ119,Paramètres!$F$27),0)</f>
        <v>7</v>
      </c>
      <c r="R119" s="20" t="n">
        <f aca="false" t="array" ref="R119:R119">IF(AND(INDEX(Profils!$L$5:$L$34,$AE119)&gt;0,INDEX(Profils!$AA$5:$AA$34,$AE119)&lt;=$AH119),ROUND(INDEX(Profils!$L$5:$L$34,$AE119)*Paramètres!$E$28*$AG119*$AJ119,Paramètres!$F$28),0)</f>
        <v>0</v>
      </c>
      <c r="S119" s="20" t="n">
        <f aca="false" t="array" ref="S119:S119">IF(AND(INDEX(Profils!$M$5:$M$34,$AE119)&gt;0,INDEX(Profils!$AB$5:$AB$34,$AE119)&lt;=$AH119),ROUND(INDEX(Profils!$M$5:$M$34,$AE119)*Paramètres!$E$29*$AG119*$AJ119,Paramètres!$F$29),0)</f>
        <v>0</v>
      </c>
      <c r="T119" s="20" t="n">
        <f aca="false" t="array" ref="T119:T119">IF(AND(INDEX(Profils!$N$5:$N$34,$AE119)&gt;0,INDEX(Profils!$AC$5:$AC$34,$AE119)&lt;=$AH119),ROUND(INDEX(Profils!$N$5:$N$34,$AE119)*Paramètres!$E$30*$AG119*$AJ119,Paramètres!$F$30),0)</f>
        <v>0</v>
      </c>
      <c r="U119" s="19" t="n">
        <f aca="false" t="array" ref="U119:U119">IF(AND(INDEX(Profils!$O$5:$O$34,$AE119)&gt;0,INDEX(Profils!$AD$5:$AD$34,$AE119)&lt;=$AH119),ROUND(INDEX(Profils!$O$5:$O$34,$AE119)*Paramètres!$E$31*$AG119*$AJ119,Paramètres!$F$31),0)</f>
        <v>0</v>
      </c>
      <c r="V119" s="20" t="n">
        <f aca="false" t="array" ref="V119:V119">IF(AND(INDEX(Profils!$P$5:$P$34,$AE119)&gt;0,INDEX(Profils!$AE$5:$AE$34,$AE119)&lt;=$AH119),ROUND(INDEX(Profils!$P$5:$P$34,$AE119)*Paramètres!$E$32*$AG119*$AJ119,Paramètres!$F$32),0)</f>
        <v>0</v>
      </c>
      <c r="W119" s="20" t="n">
        <f aca="false" t="array" ref="W119:W119">IF(AND(INDEX(Profils!$Q$5:$Q$34,$AE119)&gt;0,INDEX(Profils!$AF$5:$AF$34,$AE119)&lt;=$AH119),ROUND(INDEX(Profils!$Q$5:$Q$34,$AE119)*Paramètres!$E$33*$AG119*$AJ119,Paramètres!$F$33),0)</f>
        <v>0</v>
      </c>
      <c r="X119" s="20" t="n">
        <f aca="false" t="array" ref="X119:X119">IF(AND(INDEX(Profils!$R$5:$R$34,$AE119)&gt;0,INDEX(Profils!$AG$5:$AG$34,$AE119)&lt;=$AH119),ROUND(INDEX(Profils!$R$5:$R$34,$AE119)*Paramètres!$E$34*$AG119*$AJ119,Paramètres!$F$34),0)</f>
        <v>0</v>
      </c>
      <c r="Y119" s="20" t="n">
        <f aca="false" t="array" ref="Y119:Y119">IF(AND(INDEX(Profils!$S$5:$S$34,$AE119)&gt;0,INDEX(Profils!$AH$5:$AH$34,$AE119)&lt;=$AH119),ROUND(INDEX(Profils!$S$5:$S$34,$AE119)*Paramètres!$E$35*$AG119*$AJ119,Paramètres!$F$35),0)</f>
        <v>0</v>
      </c>
      <c r="Z119" s="21" t="n">
        <f aca="false">ROUND(L119/Paramètres!$E$22+M119/Paramètres!$E$23+N119/Paramètres!$E$24+O119/Paramètres!$E$25+P119/Paramètres!$E$26+Q119/Paramètres!$E$27+R119/Paramètres!$E$28+S119/Paramètres!$E$29+T119/Paramètres!$E$30+U119/Paramètres!$E$31+V119/Paramètres!$E$32+W119/Paramètres!$E$33+X119/Paramètres!$E$34+Y119/Paramètres!$E$35,1)</f>
        <v>3.1</v>
      </c>
      <c r="AA119" s="22" t="s">
        <v>109</v>
      </c>
      <c r="AB119" s="22" t="s">
        <v>109</v>
      </c>
      <c r="AC119" s="15" t="str">
        <f aca="false">$E119</f>
        <v>mithril</v>
      </c>
      <c r="AD119" s="16" t="n">
        <f aca="false" t="array" ref="AD119:AD119">IF($I119&gt;=$AI119,"Max",ROUND(Paramètres!$B$40*($I119+1)^Paramètres!$B$41*INDEX(Paramètres!$H$6:$H$12,$AF119),0))</f>
        <v>4</v>
      </c>
      <c r="AE119" s="23" t="n">
        <f aca="false">MATCH($B119&amp;"|"&amp;$C119,Profils!$A$5:$A$34,0)</f>
        <v>4</v>
      </c>
      <c r="AF119" s="23" t="n">
        <v>3</v>
      </c>
      <c r="AG119" s="24" t="n">
        <f aca="false" t="array" ref="AG119:AG119">INDEX(Paramètres!$C$6:$C$12,$AF119)</f>
        <v>1.45</v>
      </c>
      <c r="AH119" s="23" t="n">
        <f aca="false" t="array" ref="AH119:AH119">INDEX(Paramètres!$D$6:$D$12,$AF119)</f>
        <v>4</v>
      </c>
      <c r="AI119" s="23" t="n">
        <f aca="false" t="array" ref="AI119:AI119">INDEX(Matériaux!$C$16:$C$20,$D119)</f>
        <v>25</v>
      </c>
      <c r="AJ119" s="25" t="n">
        <f aca="false">Paramètres!$B$16+(1-Paramètres!$B$16)*(($J119-Paramètres!$B$14)/(Paramètres!$B$15-Paramètres!$B$14))^Paramètres!$B$17</f>
        <v>0.458504333336152</v>
      </c>
    </row>
    <row r="120" customFormat="false" ht="15.75" hidden="false" customHeight="true" outlineLevel="0" collapsed="false">
      <c r="A120" s="14" t="s">
        <v>230</v>
      </c>
      <c r="B120" s="15" t="s">
        <v>27</v>
      </c>
      <c r="C120" s="15" t="s">
        <v>209</v>
      </c>
      <c r="D120" s="16" t="n">
        <v>4</v>
      </c>
      <c r="E120" s="15" t="str">
        <f aca="false" t="array" ref="E120:E120">INDEX(Matériaux!$B$5:$F$12,MATCH(INDEX(Profils!$E$5:$E$34,$AE120),Matériaux!$A$5:$A$12,0),$D120)</f>
        <v>mithril</v>
      </c>
      <c r="F120" s="28" t="s">
        <v>115</v>
      </c>
      <c r="G120" s="10" t="str">
        <f aca="false" t="array" ref="G120:G120">INDEX(Profils!$D$5:$D$34,$AE120)&amp;" en "&amp;$E120</f>
        <v>Brodequins en mithril</v>
      </c>
      <c r="H120" s="16" t="n">
        <f aca="false" t="array" ref="H120:H120">INDEX(Matériaux!$B$16:$B$20,$D120)</f>
        <v>50</v>
      </c>
      <c r="I120" s="16" t="n">
        <f aca="false">IF(ISNUMBER($C$3),MIN(MAX(0,ROUND($C$3,0)),$AI120),$AI120)</f>
        <v>0</v>
      </c>
      <c r="J120" s="18" t="n">
        <f aca="false">$H120+$I120</f>
        <v>50</v>
      </c>
      <c r="K120" s="15" t="s">
        <v>109</v>
      </c>
      <c r="L120" s="19" t="n">
        <f aca="false" t="array" ref="L120:L120">IF(AND(INDEX(Profils!$F$5:$F$34,$AE120)&gt;0,INDEX(Profils!$U$5:$U$34,$AE120)&lt;=$AH120),ROUND(INDEX(Profils!$F$5:$F$34,$AE120)*Paramètres!$E$22*$AG120*$AJ120,Paramètres!$F$22),0)</f>
        <v>28</v>
      </c>
      <c r="M120" s="19" t="n">
        <f aca="false" t="array" ref="M120:M120">IF(AND(INDEX(Profils!$G$5:$G$34,$AE120)&gt;0,INDEX(Profils!$V$5:$V$34,$AE120)&lt;=$AH120),ROUND(INDEX(Profils!$G$5:$G$34,$AE120)*Paramètres!$E$23*$AG120*$AJ120,Paramètres!$F$23),0)</f>
        <v>0</v>
      </c>
      <c r="N120" s="19" t="n">
        <f aca="false" t="array" ref="N120:N120">IF(AND(INDEX(Profils!$H$5:$H$34,$AE120)&gt;0,INDEX(Profils!$W$5:$W$34,$AE120)&lt;=$AH120),ROUND(INDEX(Profils!$H$5:$H$34,$AE120)*Paramètres!$E$24*$AG120*$AJ120,Paramètres!$F$24),0)</f>
        <v>12</v>
      </c>
      <c r="O120" s="19" t="n">
        <f aca="false" t="array" ref="O120:O120">IF(AND(INDEX(Profils!$I$5:$I$34,$AE120)&gt;0,INDEX(Profils!$X$5:$X$34,$AE120)&lt;=$AH120),ROUND(INDEX(Profils!$I$5:$I$34,$AE120)*Paramètres!$E$25*$AG120*$AJ120,Paramètres!$F$25),0)</f>
        <v>0</v>
      </c>
      <c r="P120" s="19" t="n">
        <f aca="false" t="array" ref="P120:P120">IF(AND(INDEX(Profils!$J$5:$J$34,$AE120)&gt;0,INDEX(Profils!$Y$5:$Y$34,$AE120)&lt;=$AH120),ROUND(INDEX(Profils!$J$5:$J$34,$AE120)*Paramètres!$E$26*$AG120*$AJ120,Paramètres!$F$26),0)</f>
        <v>12</v>
      </c>
      <c r="Q120" s="19" t="n">
        <f aca="false" t="array" ref="Q120:Q120">IF(AND(INDEX(Profils!$K$5:$K$34,$AE120)&gt;0,INDEX(Profils!$Z$5:$Z$34,$AE120)&lt;=$AH120),ROUND(INDEX(Profils!$K$5:$K$34,$AE120)*Paramètres!$E$27*$AG120*$AJ120,Paramètres!$F$27),0)</f>
        <v>9</v>
      </c>
      <c r="R120" s="20" t="n">
        <f aca="false" t="array" ref="R120:R120">IF(AND(INDEX(Profils!$L$5:$L$34,$AE120)&gt;0,INDEX(Profils!$AA$5:$AA$34,$AE120)&lt;=$AH120),ROUND(INDEX(Profils!$L$5:$L$34,$AE120)*Paramètres!$E$28*$AG120*$AJ120,Paramètres!$F$28),0)</f>
        <v>0</v>
      </c>
      <c r="S120" s="20" t="n">
        <f aca="false" t="array" ref="S120:S120">IF(AND(INDEX(Profils!$M$5:$M$34,$AE120)&gt;0,INDEX(Profils!$AB$5:$AB$34,$AE120)&lt;=$AH120),ROUND(INDEX(Profils!$M$5:$M$34,$AE120)*Paramètres!$E$29*$AG120*$AJ120,Paramètres!$F$29),0)</f>
        <v>0</v>
      </c>
      <c r="T120" s="20" t="n">
        <f aca="false" t="array" ref="T120:T120">IF(AND(INDEX(Profils!$N$5:$N$34,$AE120)&gt;0,INDEX(Profils!$AC$5:$AC$34,$AE120)&lt;=$AH120),ROUND(INDEX(Profils!$N$5:$N$34,$AE120)*Paramètres!$E$30*$AG120*$AJ120,Paramètres!$F$30),0)</f>
        <v>0</v>
      </c>
      <c r="U120" s="19" t="n">
        <f aca="false" t="array" ref="U120:U120">IF(AND(INDEX(Profils!$O$5:$O$34,$AE120)&gt;0,INDEX(Profils!$AD$5:$AD$34,$AE120)&lt;=$AH120),ROUND(INDEX(Profils!$O$5:$O$34,$AE120)*Paramètres!$E$31*$AG120*$AJ120,Paramètres!$F$31),0)</f>
        <v>16</v>
      </c>
      <c r="V120" s="20" t="n">
        <f aca="false" t="array" ref="V120:V120">IF(AND(INDEX(Profils!$P$5:$P$34,$AE120)&gt;0,INDEX(Profils!$AE$5:$AE$34,$AE120)&lt;=$AH120),ROUND(INDEX(Profils!$P$5:$P$34,$AE120)*Paramètres!$E$32*$AG120*$AJ120,Paramètres!$F$32),0)</f>
        <v>0</v>
      </c>
      <c r="W120" s="20" t="n">
        <f aca="false" t="array" ref="W120:W120">IF(AND(INDEX(Profils!$Q$5:$Q$34,$AE120)&gt;0,INDEX(Profils!$AF$5:$AF$34,$AE120)&lt;=$AH120),ROUND(INDEX(Profils!$Q$5:$Q$34,$AE120)*Paramètres!$E$33*$AG120*$AJ120,Paramètres!$F$33),0)</f>
        <v>0</v>
      </c>
      <c r="X120" s="20" t="n">
        <f aca="false" t="array" ref="X120:X120">IF(AND(INDEX(Profils!$R$5:$R$34,$AE120)&gt;0,INDEX(Profils!$AG$5:$AG$34,$AE120)&lt;=$AH120),ROUND(INDEX(Profils!$R$5:$R$34,$AE120)*Paramètres!$E$34*$AG120*$AJ120,Paramètres!$F$34),0)</f>
        <v>0</v>
      </c>
      <c r="Y120" s="20" t="n">
        <f aca="false" t="array" ref="Y120:Y120">IF(AND(INDEX(Profils!$S$5:$S$34,$AE120)&gt;0,INDEX(Profils!$AH$5:$AH$34,$AE120)&lt;=$AH120),ROUND(INDEX(Profils!$S$5:$S$34,$AE120)*Paramètres!$E$35*$AG120*$AJ120,Paramètres!$F$35),0)</f>
        <v>0</v>
      </c>
      <c r="Z120" s="21" t="n">
        <f aca="false">ROUND(L120/Paramètres!$E$22+M120/Paramètres!$E$23+N120/Paramètres!$E$24+O120/Paramètres!$E$25+P120/Paramètres!$E$26+Q120/Paramètres!$E$27+R120/Paramètres!$E$28+S120/Paramètres!$E$29+T120/Paramètres!$E$30+U120/Paramètres!$E$31+V120/Paramètres!$E$32+W120/Paramètres!$E$33+X120/Paramètres!$E$34+Y120/Paramètres!$E$35,1)</f>
        <v>4.6</v>
      </c>
      <c r="AA120" s="22" t="s">
        <v>109</v>
      </c>
      <c r="AB120" s="22" t="s">
        <v>109</v>
      </c>
      <c r="AC120" s="15" t="str">
        <f aca="false">$E120</f>
        <v>mithril</v>
      </c>
      <c r="AD120" s="16" t="n">
        <f aca="false" t="array" ref="AD120:AD120">IF($I120&gt;=$AI120,"Max",ROUND(Paramètres!$B$40*($I120+1)^Paramètres!$B$41*INDEX(Paramètres!$H$6:$H$12,$AF120),0))</f>
        <v>5</v>
      </c>
      <c r="AE120" s="23" t="n">
        <f aca="false">MATCH($B120&amp;"|"&amp;$C120,Profils!$A$5:$A$34,0)</f>
        <v>4</v>
      </c>
      <c r="AF120" s="23" t="n">
        <v>4</v>
      </c>
      <c r="AG120" s="24" t="n">
        <f aca="false" t="array" ref="AG120:AG120">INDEX(Paramètres!$C$6:$C$12,$AF120)</f>
        <v>1.75</v>
      </c>
      <c r="AH120" s="23" t="n">
        <f aca="false" t="array" ref="AH120:AH120">INDEX(Paramètres!$D$6:$D$12,$AF120)</f>
        <v>5</v>
      </c>
      <c r="AI120" s="23" t="n">
        <f aca="false" t="array" ref="AI120:AI120">INDEX(Matériaux!$C$16:$C$20,$D120)</f>
        <v>25</v>
      </c>
      <c r="AJ120" s="25" t="n">
        <f aca="false">Paramètres!$B$16+(1-Paramètres!$B$16)*(($J120-Paramètres!$B$14)/(Paramètres!$B$15-Paramètres!$B$14))^Paramètres!$B$17</f>
        <v>0.458504333336152</v>
      </c>
    </row>
    <row r="121" customFormat="false" ht="15.75" hidden="false" customHeight="true" outlineLevel="0" collapsed="false">
      <c r="A121" s="14" t="s">
        <v>231</v>
      </c>
      <c r="B121" s="15" t="s">
        <v>27</v>
      </c>
      <c r="C121" s="15" t="s">
        <v>209</v>
      </c>
      <c r="D121" s="16" t="n">
        <v>4</v>
      </c>
      <c r="E121" s="15" t="str">
        <f aca="false" t="array" ref="E121:E121">INDEX(Matériaux!$B$5:$F$12,MATCH(INDEX(Profils!$E$5:$E$34,$AE121),Matériaux!$A$5:$A$12,0),$D121)</f>
        <v>mithril</v>
      </c>
      <c r="F121" s="29" t="s">
        <v>117</v>
      </c>
      <c r="G121" s="10" t="str">
        <f aca="false" t="array" ref="G121:G121">INDEX(Profils!$D$5:$D$34,$AE121)&amp;" en "&amp;$E121</f>
        <v>Brodequins en mithril</v>
      </c>
      <c r="H121" s="16" t="n">
        <f aca="false" t="array" ref="H121:H121">INDEX(Matériaux!$B$16:$B$20,$D121)</f>
        <v>50</v>
      </c>
      <c r="I121" s="16" t="n">
        <f aca="false">IF(ISNUMBER($C$3),MIN(MAX(0,ROUND($C$3,0)),$AI121),$AI121)</f>
        <v>0</v>
      </c>
      <c r="J121" s="18" t="n">
        <f aca="false">$H121+$I121</f>
        <v>50</v>
      </c>
      <c r="K121" s="15" t="s">
        <v>109</v>
      </c>
      <c r="L121" s="19" t="n">
        <f aca="false" t="array" ref="L121:L121">IF(AND(INDEX(Profils!$F$5:$F$34,$AE121)&gt;0,INDEX(Profils!$U$5:$U$34,$AE121)&lt;=$AH121),ROUND(INDEX(Profils!$F$5:$F$34,$AE121)*Paramètres!$E$22*$AG121*$AJ121,Paramètres!$F$22),0)</f>
        <v>34</v>
      </c>
      <c r="M121" s="19" t="n">
        <f aca="false" t="array" ref="M121:M121">IF(AND(INDEX(Profils!$G$5:$G$34,$AE121)&gt;0,INDEX(Profils!$V$5:$V$34,$AE121)&lt;=$AH121),ROUND(INDEX(Profils!$G$5:$G$34,$AE121)*Paramètres!$E$23*$AG121*$AJ121,Paramètres!$F$23),0)</f>
        <v>7</v>
      </c>
      <c r="N121" s="19" t="n">
        <f aca="false" t="array" ref="N121:N121">IF(AND(INDEX(Profils!$H$5:$H$34,$AE121)&gt;0,INDEX(Profils!$W$5:$W$34,$AE121)&lt;=$AH121),ROUND(INDEX(Profils!$H$5:$H$34,$AE121)*Paramètres!$E$24*$AG121*$AJ121,Paramètres!$F$24),0)</f>
        <v>14</v>
      </c>
      <c r="O121" s="19" t="n">
        <f aca="false" t="array" ref="O121:O121">IF(AND(INDEX(Profils!$I$5:$I$34,$AE121)&gt;0,INDEX(Profils!$X$5:$X$34,$AE121)&lt;=$AH121),ROUND(INDEX(Profils!$I$5:$I$34,$AE121)*Paramètres!$E$25*$AG121*$AJ121,Paramètres!$F$25),0)</f>
        <v>0</v>
      </c>
      <c r="P121" s="19" t="n">
        <f aca="false" t="array" ref="P121:P121">IF(AND(INDEX(Profils!$J$5:$J$34,$AE121)&gt;0,INDEX(Profils!$Y$5:$Y$34,$AE121)&lt;=$AH121),ROUND(INDEX(Profils!$J$5:$J$34,$AE121)*Paramètres!$E$26*$AG121*$AJ121,Paramètres!$F$26),0)</f>
        <v>14</v>
      </c>
      <c r="Q121" s="19" t="n">
        <f aca="false" t="array" ref="Q121:Q121">IF(AND(INDEX(Profils!$K$5:$K$34,$AE121)&gt;0,INDEX(Profils!$Z$5:$Z$34,$AE121)&lt;=$AH121),ROUND(INDEX(Profils!$K$5:$K$34,$AE121)*Paramètres!$E$27*$AG121*$AJ121,Paramètres!$F$27),0)</f>
        <v>11</v>
      </c>
      <c r="R121" s="20" t="n">
        <f aca="false" t="array" ref="R121:R121">IF(AND(INDEX(Profils!$L$5:$L$34,$AE121)&gt;0,INDEX(Profils!$AA$5:$AA$34,$AE121)&lt;=$AH121),ROUND(INDEX(Profils!$L$5:$L$34,$AE121)*Paramètres!$E$28*$AG121*$AJ121,Paramètres!$F$28),0)</f>
        <v>0</v>
      </c>
      <c r="S121" s="20" t="n">
        <f aca="false" t="array" ref="S121:S121">IF(AND(INDEX(Profils!$M$5:$M$34,$AE121)&gt;0,INDEX(Profils!$AB$5:$AB$34,$AE121)&lt;=$AH121),ROUND(INDEX(Profils!$M$5:$M$34,$AE121)*Paramètres!$E$29*$AG121*$AJ121,Paramètres!$F$29),0)</f>
        <v>0</v>
      </c>
      <c r="T121" s="20" t="n">
        <f aca="false" t="array" ref="T121:T121">IF(AND(INDEX(Profils!$N$5:$N$34,$AE121)&gt;0,INDEX(Profils!$AC$5:$AC$34,$AE121)&lt;=$AH121),ROUND(INDEX(Profils!$N$5:$N$34,$AE121)*Paramètres!$E$30*$AG121*$AJ121,Paramètres!$F$30),0)</f>
        <v>0</v>
      </c>
      <c r="U121" s="19" t="n">
        <f aca="false" t="array" ref="U121:U121">IF(AND(INDEX(Profils!$O$5:$O$34,$AE121)&gt;0,INDEX(Profils!$AD$5:$AD$34,$AE121)&lt;=$AH121),ROUND(INDEX(Profils!$O$5:$O$34,$AE121)*Paramètres!$E$31*$AG121*$AJ121,Paramètres!$F$31),0)</f>
        <v>19</v>
      </c>
      <c r="V121" s="20" t="n">
        <f aca="false" t="array" ref="V121:V121">IF(AND(INDEX(Profils!$P$5:$P$34,$AE121)&gt;0,INDEX(Profils!$AE$5:$AE$34,$AE121)&lt;=$AH121),ROUND(INDEX(Profils!$P$5:$P$34,$AE121)*Paramètres!$E$32*$AG121*$AJ121,Paramètres!$F$32),0)</f>
        <v>0</v>
      </c>
      <c r="W121" s="20" t="n">
        <f aca="false" t="array" ref="W121:W121">IF(AND(INDEX(Profils!$Q$5:$Q$34,$AE121)&gt;0,INDEX(Profils!$AF$5:$AF$34,$AE121)&lt;=$AH121),ROUND(INDEX(Profils!$Q$5:$Q$34,$AE121)*Paramètres!$E$33*$AG121*$AJ121,Paramètres!$F$33),0)</f>
        <v>0</v>
      </c>
      <c r="X121" s="20" t="n">
        <f aca="false" t="array" ref="X121:X121">IF(AND(INDEX(Profils!$R$5:$R$34,$AE121)&gt;0,INDEX(Profils!$AG$5:$AG$34,$AE121)&lt;=$AH121),ROUND(INDEX(Profils!$R$5:$R$34,$AE121)*Paramètres!$E$34*$AG121*$AJ121,Paramètres!$F$34),0)</f>
        <v>0</v>
      </c>
      <c r="Y121" s="20" t="n">
        <f aca="false" t="array" ref="Y121:Y121">IF(AND(INDEX(Profils!$S$5:$S$34,$AE121)&gt;0,INDEX(Profils!$AH$5:$AH$34,$AE121)&lt;=$AH121),ROUND(INDEX(Profils!$S$5:$S$34,$AE121)*Paramètres!$E$35*$AG121*$AJ121,Paramètres!$F$35),0)</f>
        <v>0</v>
      </c>
      <c r="Z121" s="21" t="n">
        <f aca="false">ROUND(L121/Paramètres!$E$22+M121/Paramètres!$E$23+N121/Paramètres!$E$24+O121/Paramètres!$E$25+P121/Paramètres!$E$26+Q121/Paramètres!$E$27+R121/Paramètres!$E$28+S121/Paramètres!$E$29+T121/Paramètres!$E$30+U121/Paramètres!$E$31+V121/Paramètres!$E$32+W121/Paramètres!$E$33+X121/Paramètres!$E$34+Y121/Paramètres!$E$35,1)</f>
        <v>6</v>
      </c>
      <c r="AA121" s="22" t="s">
        <v>109</v>
      </c>
      <c r="AB121" s="22" t="s">
        <v>109</v>
      </c>
      <c r="AC121" s="15" t="str">
        <f aca="false">$E121</f>
        <v>mithril</v>
      </c>
      <c r="AD121" s="16" t="n">
        <f aca="false" t="array" ref="AD121:AD121">IF($I121&gt;=$AI121,"Max",ROUND(Paramètres!$B$40*($I121+1)^Paramètres!$B$41*INDEX(Paramètres!$H$6:$H$12,$AF121),0))</f>
        <v>6</v>
      </c>
      <c r="AE121" s="23" t="n">
        <f aca="false">MATCH($B121&amp;"|"&amp;$C121,Profils!$A$5:$A$34,0)</f>
        <v>4</v>
      </c>
      <c r="AF121" s="23" t="n">
        <v>5</v>
      </c>
      <c r="AG121" s="24" t="n">
        <f aca="false" t="array" ref="AG121:AG121">INDEX(Paramètres!$C$6:$C$12,$AF121)</f>
        <v>2.1</v>
      </c>
      <c r="AH121" s="23" t="n">
        <f aca="false" t="array" ref="AH121:AH121">INDEX(Paramètres!$D$6:$D$12,$AF121)</f>
        <v>6</v>
      </c>
      <c r="AI121" s="23" t="n">
        <f aca="false" t="array" ref="AI121:AI121">INDEX(Matériaux!$C$16:$C$20,$D121)</f>
        <v>25</v>
      </c>
      <c r="AJ121" s="25" t="n">
        <f aca="false">Paramètres!$B$16+(1-Paramètres!$B$16)*(($J121-Paramètres!$B$14)/(Paramètres!$B$15-Paramètres!$B$14))^Paramètres!$B$17</f>
        <v>0.458504333336152</v>
      </c>
    </row>
    <row r="122" customFormat="false" ht="15.75" hidden="false" customHeight="true" outlineLevel="0" collapsed="false">
      <c r="A122" s="14" t="s">
        <v>232</v>
      </c>
      <c r="B122" s="15" t="s">
        <v>27</v>
      </c>
      <c r="C122" s="15" t="s">
        <v>209</v>
      </c>
      <c r="D122" s="16" t="n">
        <v>4</v>
      </c>
      <c r="E122" s="15" t="str">
        <f aca="false" t="array" ref="E122:E122">INDEX(Matériaux!$B$5:$F$12,MATCH(INDEX(Profils!$E$5:$E$34,$AE122),Matériaux!$A$5:$A$12,0),$D122)</f>
        <v>mithril</v>
      </c>
      <c r="F122" s="30" t="s">
        <v>119</v>
      </c>
      <c r="G122" s="10" t="str">
        <f aca="false" t="array" ref="G122:G122">INDEX(Profils!$D$5:$D$34,$AE122)&amp;" en "&amp;$E122</f>
        <v>Brodequins en mithril</v>
      </c>
      <c r="H122" s="16" t="n">
        <f aca="false" t="array" ref="H122:H122">INDEX(Matériaux!$B$16:$B$20,$D122)</f>
        <v>50</v>
      </c>
      <c r="I122" s="16" t="n">
        <f aca="false">IF(ISNUMBER($C$3),MIN(MAX(0,ROUND($C$3,0)),$AI122),$AI122)</f>
        <v>0</v>
      </c>
      <c r="J122" s="18" t="n">
        <f aca="false">$H122+$I122</f>
        <v>50</v>
      </c>
      <c r="K122" s="15" t="s">
        <v>109</v>
      </c>
      <c r="L122" s="19" t="n">
        <f aca="false" t="array" ref="L122:L122">IF(AND(INDEX(Profils!$F$5:$F$34,$AE122)&gt;0,INDEX(Profils!$U$5:$U$34,$AE122)&lt;=$AH122),ROUND(INDEX(Profils!$F$5:$F$34,$AE122)*Paramètres!$E$22*$AG122*$AJ122,Paramètres!$F$22),0)</f>
        <v>39</v>
      </c>
      <c r="M122" s="19" t="n">
        <f aca="false" t="array" ref="M122:M122">IF(AND(INDEX(Profils!$G$5:$G$34,$AE122)&gt;0,INDEX(Profils!$V$5:$V$34,$AE122)&lt;=$AH122),ROUND(INDEX(Profils!$G$5:$G$34,$AE122)*Paramètres!$E$23*$AG122*$AJ122,Paramètres!$F$23),0)</f>
        <v>8</v>
      </c>
      <c r="N122" s="19" t="n">
        <f aca="false" t="array" ref="N122:N122">IF(AND(INDEX(Profils!$H$5:$H$34,$AE122)&gt;0,INDEX(Profils!$W$5:$W$34,$AE122)&lt;=$AH122),ROUND(INDEX(Profils!$H$5:$H$34,$AE122)*Paramètres!$E$24*$AG122*$AJ122,Paramètres!$F$24),0)</f>
        <v>17</v>
      </c>
      <c r="O122" s="19" t="n">
        <f aca="false" t="array" ref="O122:O122">IF(AND(INDEX(Profils!$I$5:$I$34,$AE122)&gt;0,INDEX(Profils!$X$5:$X$34,$AE122)&lt;=$AH122),ROUND(INDEX(Profils!$I$5:$I$34,$AE122)*Paramètres!$E$25*$AG122*$AJ122,Paramètres!$F$25),0)</f>
        <v>0</v>
      </c>
      <c r="P122" s="19" t="n">
        <f aca="false" t="array" ref="P122:P122">IF(AND(INDEX(Profils!$J$5:$J$34,$AE122)&gt;0,INDEX(Profils!$Y$5:$Y$34,$AE122)&lt;=$AH122),ROUND(INDEX(Profils!$J$5:$J$34,$AE122)*Paramètres!$E$26*$AG122*$AJ122,Paramètres!$F$26),0)</f>
        <v>16</v>
      </c>
      <c r="Q122" s="19" t="n">
        <f aca="false" t="array" ref="Q122:Q122">IF(AND(INDEX(Profils!$K$5:$K$34,$AE122)&gt;0,INDEX(Profils!$Z$5:$Z$34,$AE122)&lt;=$AH122),ROUND(INDEX(Profils!$K$5:$K$34,$AE122)*Paramètres!$E$27*$AG122*$AJ122,Paramètres!$F$27),0)</f>
        <v>12</v>
      </c>
      <c r="R122" s="20" t="n">
        <f aca="false" t="array" ref="R122:R122">IF(AND(INDEX(Profils!$L$5:$L$34,$AE122)&gt;0,INDEX(Profils!$AA$5:$AA$34,$AE122)&lt;=$AH122),ROUND(INDEX(Profils!$L$5:$L$34,$AE122)*Paramètres!$E$28*$AG122*$AJ122,Paramètres!$F$28),0)</f>
        <v>0</v>
      </c>
      <c r="S122" s="20" t="n">
        <f aca="false" t="array" ref="S122:S122">IF(AND(INDEX(Profils!$M$5:$M$34,$AE122)&gt;0,INDEX(Profils!$AB$5:$AB$34,$AE122)&lt;=$AH122),ROUND(INDEX(Profils!$M$5:$M$34,$AE122)*Paramètres!$E$29*$AG122*$AJ122,Paramètres!$F$29),0)</f>
        <v>0</v>
      </c>
      <c r="T122" s="20" t="n">
        <f aca="false" t="array" ref="T122:T122">IF(AND(INDEX(Profils!$N$5:$N$34,$AE122)&gt;0,INDEX(Profils!$AC$5:$AC$34,$AE122)&lt;=$AH122),ROUND(INDEX(Profils!$N$5:$N$34,$AE122)*Paramètres!$E$30*$AG122*$AJ122,Paramètres!$F$30),0)</f>
        <v>0</v>
      </c>
      <c r="U122" s="19" t="n">
        <f aca="false" t="array" ref="U122:U122">IF(AND(INDEX(Profils!$O$5:$O$34,$AE122)&gt;0,INDEX(Profils!$AD$5:$AD$34,$AE122)&lt;=$AH122),ROUND(INDEX(Profils!$O$5:$O$34,$AE122)*Paramètres!$E$31*$AG122*$AJ122,Paramètres!$F$31),0)</f>
        <v>22</v>
      </c>
      <c r="V122" s="20" t="n">
        <f aca="false" t="array" ref="V122:V122">IF(AND(INDEX(Profils!$P$5:$P$34,$AE122)&gt;0,INDEX(Profils!$AE$5:$AE$34,$AE122)&lt;=$AH122),ROUND(INDEX(Profils!$P$5:$P$34,$AE122)*Paramètres!$E$32*$AG122*$AJ122,Paramètres!$F$32),0)</f>
        <v>0</v>
      </c>
      <c r="W122" s="20" t="n">
        <f aca="false" t="array" ref="W122:W122">IF(AND(INDEX(Profils!$Q$5:$Q$34,$AE122)&gt;0,INDEX(Profils!$AF$5:$AF$34,$AE122)&lt;=$AH122),ROUND(INDEX(Profils!$Q$5:$Q$34,$AE122)*Paramètres!$E$33*$AG122*$AJ122,Paramètres!$F$33),0)</f>
        <v>0.008</v>
      </c>
      <c r="X122" s="20" t="n">
        <f aca="false" t="array" ref="X122:X122">IF(AND(INDEX(Profils!$R$5:$R$34,$AE122)&gt;0,INDEX(Profils!$AG$5:$AG$34,$AE122)&lt;=$AH122),ROUND(INDEX(Profils!$R$5:$R$34,$AE122)*Paramètres!$E$34*$AG122*$AJ122,Paramètres!$F$34),0)</f>
        <v>0</v>
      </c>
      <c r="Y122" s="20" t="n">
        <f aca="false" t="array" ref="Y122:Y122">IF(AND(INDEX(Profils!$S$5:$S$34,$AE122)&gt;0,INDEX(Profils!$AH$5:$AH$34,$AE122)&lt;=$AH122),ROUND(INDEX(Profils!$S$5:$S$34,$AE122)*Paramètres!$E$35*$AG122*$AJ122,Paramètres!$F$35),0)</f>
        <v>0</v>
      </c>
      <c r="Z122" s="21" t="n">
        <f aca="false">ROUND(L122/Paramètres!$E$22+M122/Paramètres!$E$23+N122/Paramètres!$E$24+O122/Paramètres!$E$25+P122/Paramètres!$E$26+Q122/Paramètres!$E$27+R122/Paramètres!$E$28+S122/Paramètres!$E$29+T122/Paramètres!$E$30+U122/Paramètres!$E$31+V122/Paramètres!$E$32+W122/Paramètres!$E$33+X122/Paramètres!$E$34+Y122/Paramètres!$E$35,1)</f>
        <v>7.4</v>
      </c>
      <c r="AA122" s="22" t="s">
        <v>109</v>
      </c>
      <c r="AB122" s="22" t="s">
        <v>109</v>
      </c>
      <c r="AC122" s="15" t="str">
        <f aca="false">$E122</f>
        <v>mithril</v>
      </c>
      <c r="AD122" s="16" t="n">
        <f aca="false" t="array" ref="AD122:AD122">IF($I122&gt;=$AI122,"Max",ROUND(Paramètres!$B$40*($I122+1)^Paramètres!$B$41*INDEX(Paramètres!$H$6:$H$12,$AF122),0))</f>
        <v>8</v>
      </c>
      <c r="AE122" s="23" t="n">
        <f aca="false">MATCH($B122&amp;"|"&amp;$C122,Profils!$A$5:$A$34,0)</f>
        <v>4</v>
      </c>
      <c r="AF122" s="23" t="n">
        <v>6</v>
      </c>
      <c r="AG122" s="24" t="n">
        <f aca="false" t="array" ref="AG122:AG122">INDEX(Paramètres!$C$6:$C$12,$AF122)</f>
        <v>2.4</v>
      </c>
      <c r="AH122" s="23" t="n">
        <f aca="false" t="array" ref="AH122:AH122">INDEX(Paramètres!$D$6:$D$12,$AF122)</f>
        <v>7</v>
      </c>
      <c r="AI122" s="23" t="n">
        <f aca="false" t="array" ref="AI122:AI122">INDEX(Matériaux!$C$16:$C$20,$D122)</f>
        <v>25</v>
      </c>
      <c r="AJ122" s="25" t="n">
        <f aca="false">Paramètres!$B$16+(1-Paramètres!$B$16)*(($J122-Paramètres!$B$14)/(Paramètres!$B$15-Paramètres!$B$14))^Paramètres!$B$17</f>
        <v>0.458504333336152</v>
      </c>
    </row>
    <row r="123" customFormat="false" ht="15.75" hidden="false" customHeight="true" outlineLevel="0" collapsed="false">
      <c r="A123" s="14" t="s">
        <v>233</v>
      </c>
      <c r="B123" s="15" t="s">
        <v>27</v>
      </c>
      <c r="C123" s="15" t="s">
        <v>209</v>
      </c>
      <c r="D123" s="16" t="n">
        <v>5</v>
      </c>
      <c r="E123" s="15" t="str">
        <f aca="false" t="array" ref="E123:E123">INDEX(Matériaux!$B$5:$F$12,MATCH(INDEX(Profils!$E$5:$E$34,$AE123),Matériaux!$A$5:$A$12,0),$D123)</f>
        <v>adamantite</v>
      </c>
      <c r="F123" s="17" t="s">
        <v>108</v>
      </c>
      <c r="G123" s="10" t="str">
        <f aca="false" t="array" ref="G123:G123">INDEX(Profils!$D$5:$D$34,$AE123)&amp;" en "&amp;$E123</f>
        <v>Brodequins en adamantite</v>
      </c>
      <c r="H123" s="16" t="n">
        <f aca="false" t="array" ref="H123:H123">INDEX(Matériaux!$B$16:$B$20,$D123)</f>
        <v>70</v>
      </c>
      <c r="I123" s="16" t="n">
        <f aca="false">IF(ISNUMBER($C$3),MIN(MAX(0,ROUND($C$3,0)),$AI123),$AI123)</f>
        <v>0</v>
      </c>
      <c r="J123" s="18" t="n">
        <f aca="false">$H123+$I123</f>
        <v>70</v>
      </c>
      <c r="K123" s="15" t="s">
        <v>109</v>
      </c>
      <c r="L123" s="19" t="n">
        <f aca="false" t="array" ref="L123:L123">IF(AND(INDEX(Profils!$F$5:$F$34,$AE123)&gt;0,INDEX(Profils!$U$5:$U$34,$AE123)&lt;=$AH123),ROUND(INDEX(Profils!$F$5:$F$34,$AE123)*Paramètres!$E$22*$AG123*$AJ123,Paramètres!$F$22),0)</f>
        <v>23</v>
      </c>
      <c r="M123" s="19" t="n">
        <f aca="false" t="array" ref="M123:M123">IF(AND(INDEX(Profils!$G$5:$G$34,$AE123)&gt;0,INDEX(Profils!$V$5:$V$34,$AE123)&lt;=$AH123),ROUND(INDEX(Profils!$G$5:$G$34,$AE123)*Paramètres!$E$23*$AG123*$AJ123,Paramètres!$F$23),0)</f>
        <v>0</v>
      </c>
      <c r="N123" s="19" t="n">
        <f aca="false" t="array" ref="N123:N123">IF(AND(INDEX(Profils!$H$5:$H$34,$AE123)&gt;0,INDEX(Profils!$W$5:$W$34,$AE123)&lt;=$AH123),ROUND(INDEX(Profils!$H$5:$H$34,$AE123)*Paramètres!$E$24*$AG123*$AJ123,Paramètres!$F$24),0)</f>
        <v>0</v>
      </c>
      <c r="O123" s="19" t="n">
        <f aca="false" t="array" ref="O123:O123">IF(AND(INDEX(Profils!$I$5:$I$34,$AE123)&gt;0,INDEX(Profils!$X$5:$X$34,$AE123)&lt;=$AH123),ROUND(INDEX(Profils!$I$5:$I$34,$AE123)*Paramètres!$E$25*$AG123*$AJ123,Paramètres!$F$25),0)</f>
        <v>0</v>
      </c>
      <c r="P123" s="19" t="n">
        <f aca="false" t="array" ref="P123:P123">IF(AND(INDEX(Profils!$J$5:$J$34,$AE123)&gt;0,INDEX(Profils!$Y$5:$Y$34,$AE123)&lt;=$AH123),ROUND(INDEX(Profils!$J$5:$J$34,$AE123)*Paramètres!$E$26*$AG123*$AJ123,Paramètres!$F$26),0)</f>
        <v>10</v>
      </c>
      <c r="Q123" s="19" t="n">
        <f aca="false" t="array" ref="Q123:Q123">IF(AND(INDEX(Profils!$K$5:$K$34,$AE123)&gt;0,INDEX(Profils!$Z$5:$Z$34,$AE123)&lt;=$AH123),ROUND(INDEX(Profils!$K$5:$K$34,$AE123)*Paramètres!$E$27*$AG123*$AJ123,Paramètres!$F$27),0)</f>
        <v>0</v>
      </c>
      <c r="R123" s="20" t="n">
        <f aca="false" t="array" ref="R123:R123">IF(AND(INDEX(Profils!$L$5:$L$34,$AE123)&gt;0,INDEX(Profils!$AA$5:$AA$34,$AE123)&lt;=$AH123),ROUND(INDEX(Profils!$L$5:$L$34,$AE123)*Paramètres!$E$28*$AG123*$AJ123,Paramètres!$F$28),0)</f>
        <v>0</v>
      </c>
      <c r="S123" s="20" t="n">
        <f aca="false" t="array" ref="S123:S123">IF(AND(INDEX(Profils!$M$5:$M$34,$AE123)&gt;0,INDEX(Profils!$AB$5:$AB$34,$AE123)&lt;=$AH123),ROUND(INDEX(Profils!$M$5:$M$34,$AE123)*Paramètres!$E$29*$AG123*$AJ123,Paramètres!$F$29),0)</f>
        <v>0</v>
      </c>
      <c r="T123" s="20" t="n">
        <f aca="false" t="array" ref="T123:T123">IF(AND(INDEX(Profils!$N$5:$N$34,$AE123)&gt;0,INDEX(Profils!$AC$5:$AC$34,$AE123)&lt;=$AH123),ROUND(INDEX(Profils!$N$5:$N$34,$AE123)*Paramètres!$E$30*$AG123*$AJ123,Paramètres!$F$30),0)</f>
        <v>0</v>
      </c>
      <c r="U123" s="19" t="n">
        <f aca="false" t="array" ref="U123:U123">IF(AND(INDEX(Profils!$O$5:$O$34,$AE123)&gt;0,INDEX(Profils!$AD$5:$AD$34,$AE123)&lt;=$AH123),ROUND(INDEX(Profils!$O$5:$O$34,$AE123)*Paramètres!$E$31*$AG123*$AJ123,Paramètres!$F$31),0)</f>
        <v>0</v>
      </c>
      <c r="V123" s="20" t="n">
        <f aca="false" t="array" ref="V123:V123">IF(AND(INDEX(Profils!$P$5:$P$34,$AE123)&gt;0,INDEX(Profils!$AE$5:$AE$34,$AE123)&lt;=$AH123),ROUND(INDEX(Profils!$P$5:$P$34,$AE123)*Paramètres!$E$32*$AG123*$AJ123,Paramètres!$F$32),0)</f>
        <v>0</v>
      </c>
      <c r="W123" s="20" t="n">
        <f aca="false" t="array" ref="W123:W123">IF(AND(INDEX(Profils!$Q$5:$Q$34,$AE123)&gt;0,INDEX(Profils!$AF$5:$AF$34,$AE123)&lt;=$AH123),ROUND(INDEX(Profils!$Q$5:$Q$34,$AE123)*Paramètres!$E$33*$AG123*$AJ123,Paramètres!$F$33),0)</f>
        <v>0</v>
      </c>
      <c r="X123" s="20" t="n">
        <f aca="false" t="array" ref="X123:X123">IF(AND(INDEX(Profils!$R$5:$R$34,$AE123)&gt;0,INDEX(Profils!$AG$5:$AG$34,$AE123)&lt;=$AH123),ROUND(INDEX(Profils!$R$5:$R$34,$AE123)*Paramètres!$E$34*$AG123*$AJ123,Paramètres!$F$34),0)</f>
        <v>0</v>
      </c>
      <c r="Y123" s="20" t="n">
        <f aca="false" t="array" ref="Y123:Y123">IF(AND(INDEX(Profils!$S$5:$S$34,$AE123)&gt;0,INDEX(Profils!$AH$5:$AH$34,$AE123)&lt;=$AH123),ROUND(INDEX(Profils!$S$5:$S$34,$AE123)*Paramètres!$E$35*$AG123*$AJ123,Paramètres!$F$35),0)</f>
        <v>0</v>
      </c>
      <c r="Z123" s="21" t="n">
        <f aca="false">ROUND(L123/Paramètres!$E$22+M123/Paramètres!$E$23+N123/Paramètres!$E$24+O123/Paramètres!$E$25+P123/Paramètres!$E$26+Q123/Paramètres!$E$27+R123/Paramètres!$E$28+S123/Paramètres!$E$29+T123/Paramètres!$E$30+U123/Paramètres!$E$31+V123/Paramètres!$E$32+W123/Paramètres!$E$33+X123/Paramètres!$E$34+Y123/Paramètres!$E$35,1)</f>
        <v>1.8</v>
      </c>
      <c r="AA123" s="22" t="s">
        <v>109</v>
      </c>
      <c r="AB123" s="22" t="s">
        <v>109</v>
      </c>
      <c r="AC123" s="15" t="str">
        <f aca="false">$E123</f>
        <v>adamantite</v>
      </c>
      <c r="AD123" s="16" t="n">
        <f aca="false" t="array" ref="AD123:AD123">IF($I123&gt;=$AI123,"Max",ROUND(Paramètres!$B$40*($I123+1)^Paramètres!$B$41*INDEX(Paramètres!$H$6:$H$12,$AF123),0))</f>
        <v>3</v>
      </c>
      <c r="AE123" s="23" t="n">
        <f aca="false">MATCH($B123&amp;"|"&amp;$C123,Profils!$A$5:$A$34,0)</f>
        <v>4</v>
      </c>
      <c r="AF123" s="23" t="n">
        <v>1</v>
      </c>
      <c r="AG123" s="24" t="n">
        <f aca="false" t="array" ref="AG123:AG123">INDEX(Paramètres!$C$6:$C$12,$AF123)</f>
        <v>1</v>
      </c>
      <c r="AH123" s="23" t="n">
        <f aca="false" t="array" ref="AH123:AH123">INDEX(Paramètres!$D$6:$D$12,$AF123)</f>
        <v>2</v>
      </c>
      <c r="AI123" s="23" t="n">
        <f aca="false" t="array" ref="AI123:AI123">INDEX(Matériaux!$C$16:$C$20,$D123)</f>
        <v>30</v>
      </c>
      <c r="AJ123" s="25" t="n">
        <f aca="false">Paramètres!$B$16+(1-Paramètres!$B$16)*(($J123-Paramètres!$B$14)/(Paramètres!$B$15-Paramètres!$B$14))^Paramètres!$B$17</f>
        <v>0.665999387952727</v>
      </c>
    </row>
    <row r="124" customFormat="false" ht="15.75" hidden="false" customHeight="true" outlineLevel="0" collapsed="false">
      <c r="A124" s="14" t="s">
        <v>234</v>
      </c>
      <c r="B124" s="15" t="s">
        <v>27</v>
      </c>
      <c r="C124" s="15" t="s">
        <v>209</v>
      </c>
      <c r="D124" s="16" t="n">
        <v>5</v>
      </c>
      <c r="E124" s="15" t="str">
        <f aca="false" t="array" ref="E124:E124">INDEX(Matériaux!$B$5:$F$12,MATCH(INDEX(Profils!$E$5:$E$34,$AE124),Matériaux!$A$5:$A$12,0),$D124)</f>
        <v>adamantite</v>
      </c>
      <c r="F124" s="26" t="s">
        <v>111</v>
      </c>
      <c r="G124" s="10" t="str">
        <f aca="false" t="array" ref="G124:G124">INDEX(Profils!$D$5:$D$34,$AE124)&amp;" en "&amp;$E124</f>
        <v>Brodequins en adamantite</v>
      </c>
      <c r="H124" s="16" t="n">
        <f aca="false" t="array" ref="H124:H124">INDEX(Matériaux!$B$16:$B$20,$D124)</f>
        <v>70</v>
      </c>
      <c r="I124" s="16" t="n">
        <f aca="false">IF(ISNUMBER($C$3),MIN(MAX(0,ROUND($C$3,0)),$AI124),$AI124)</f>
        <v>0</v>
      </c>
      <c r="J124" s="18" t="n">
        <f aca="false">$H124+$I124</f>
        <v>70</v>
      </c>
      <c r="K124" s="15" t="s">
        <v>109</v>
      </c>
      <c r="L124" s="19" t="n">
        <f aca="false" t="array" ref="L124:L124">IF(AND(INDEX(Profils!$F$5:$F$34,$AE124)&gt;0,INDEX(Profils!$U$5:$U$34,$AE124)&lt;=$AH124),ROUND(INDEX(Profils!$F$5:$F$34,$AE124)*Paramètres!$E$22*$AG124*$AJ124,Paramètres!$F$22),0)</f>
        <v>28</v>
      </c>
      <c r="M124" s="19" t="n">
        <f aca="false" t="array" ref="M124:M124">IF(AND(INDEX(Profils!$G$5:$G$34,$AE124)&gt;0,INDEX(Profils!$V$5:$V$34,$AE124)&lt;=$AH124),ROUND(INDEX(Profils!$G$5:$G$34,$AE124)*Paramètres!$E$23*$AG124*$AJ124,Paramètres!$F$23),0)</f>
        <v>0</v>
      </c>
      <c r="N124" s="19" t="n">
        <f aca="false" t="array" ref="N124:N124">IF(AND(INDEX(Profils!$H$5:$H$34,$AE124)&gt;0,INDEX(Profils!$W$5:$W$34,$AE124)&lt;=$AH124),ROUND(INDEX(Profils!$H$5:$H$34,$AE124)*Paramètres!$E$24*$AG124*$AJ124,Paramètres!$F$24),0)</f>
        <v>0</v>
      </c>
      <c r="O124" s="19" t="n">
        <f aca="false" t="array" ref="O124:O124">IF(AND(INDEX(Profils!$I$5:$I$34,$AE124)&gt;0,INDEX(Profils!$X$5:$X$34,$AE124)&lt;=$AH124),ROUND(INDEX(Profils!$I$5:$I$34,$AE124)*Paramètres!$E$25*$AG124*$AJ124,Paramètres!$F$25),0)</f>
        <v>0</v>
      </c>
      <c r="P124" s="19" t="n">
        <f aca="false" t="array" ref="P124:P124">IF(AND(INDEX(Profils!$J$5:$J$34,$AE124)&gt;0,INDEX(Profils!$Y$5:$Y$34,$AE124)&lt;=$AH124),ROUND(INDEX(Profils!$J$5:$J$34,$AE124)*Paramètres!$E$26*$AG124*$AJ124,Paramètres!$F$26),0)</f>
        <v>12</v>
      </c>
      <c r="Q124" s="19" t="n">
        <f aca="false" t="array" ref="Q124:Q124">IF(AND(INDEX(Profils!$K$5:$K$34,$AE124)&gt;0,INDEX(Profils!$Z$5:$Z$34,$AE124)&lt;=$AH124),ROUND(INDEX(Profils!$K$5:$K$34,$AE124)*Paramètres!$E$27*$AG124*$AJ124,Paramètres!$F$27),0)</f>
        <v>9</v>
      </c>
      <c r="R124" s="20" t="n">
        <f aca="false" t="array" ref="R124:R124">IF(AND(INDEX(Profils!$L$5:$L$34,$AE124)&gt;0,INDEX(Profils!$AA$5:$AA$34,$AE124)&lt;=$AH124),ROUND(INDEX(Profils!$L$5:$L$34,$AE124)*Paramètres!$E$28*$AG124*$AJ124,Paramètres!$F$28),0)</f>
        <v>0</v>
      </c>
      <c r="S124" s="20" t="n">
        <f aca="false" t="array" ref="S124:S124">IF(AND(INDEX(Profils!$M$5:$M$34,$AE124)&gt;0,INDEX(Profils!$AB$5:$AB$34,$AE124)&lt;=$AH124),ROUND(INDEX(Profils!$M$5:$M$34,$AE124)*Paramètres!$E$29*$AG124*$AJ124,Paramètres!$F$29),0)</f>
        <v>0</v>
      </c>
      <c r="T124" s="20" t="n">
        <f aca="false" t="array" ref="T124:T124">IF(AND(INDEX(Profils!$N$5:$N$34,$AE124)&gt;0,INDEX(Profils!$AC$5:$AC$34,$AE124)&lt;=$AH124),ROUND(INDEX(Profils!$N$5:$N$34,$AE124)*Paramètres!$E$30*$AG124*$AJ124,Paramètres!$F$30),0)</f>
        <v>0</v>
      </c>
      <c r="U124" s="19" t="n">
        <f aca="false" t="array" ref="U124:U124">IF(AND(INDEX(Profils!$O$5:$O$34,$AE124)&gt;0,INDEX(Profils!$AD$5:$AD$34,$AE124)&lt;=$AH124),ROUND(INDEX(Profils!$O$5:$O$34,$AE124)*Paramètres!$E$31*$AG124*$AJ124,Paramètres!$F$31),0)</f>
        <v>0</v>
      </c>
      <c r="V124" s="20" t="n">
        <f aca="false" t="array" ref="V124:V124">IF(AND(INDEX(Profils!$P$5:$P$34,$AE124)&gt;0,INDEX(Profils!$AE$5:$AE$34,$AE124)&lt;=$AH124),ROUND(INDEX(Profils!$P$5:$P$34,$AE124)*Paramètres!$E$32*$AG124*$AJ124,Paramètres!$F$32),0)</f>
        <v>0</v>
      </c>
      <c r="W124" s="20" t="n">
        <f aca="false" t="array" ref="W124:W124">IF(AND(INDEX(Profils!$Q$5:$Q$34,$AE124)&gt;0,INDEX(Profils!$AF$5:$AF$34,$AE124)&lt;=$AH124),ROUND(INDEX(Profils!$Q$5:$Q$34,$AE124)*Paramètres!$E$33*$AG124*$AJ124,Paramètres!$F$33),0)</f>
        <v>0</v>
      </c>
      <c r="X124" s="20" t="n">
        <f aca="false" t="array" ref="X124:X124">IF(AND(INDEX(Profils!$R$5:$R$34,$AE124)&gt;0,INDEX(Profils!$AG$5:$AG$34,$AE124)&lt;=$AH124),ROUND(INDEX(Profils!$R$5:$R$34,$AE124)*Paramètres!$E$34*$AG124*$AJ124,Paramètres!$F$34),0)</f>
        <v>0</v>
      </c>
      <c r="Y124" s="20" t="n">
        <f aca="false" t="array" ref="Y124:Y124">IF(AND(INDEX(Profils!$S$5:$S$34,$AE124)&gt;0,INDEX(Profils!$AH$5:$AH$34,$AE124)&lt;=$AH124),ROUND(INDEX(Profils!$S$5:$S$34,$AE124)*Paramètres!$E$35*$AG124*$AJ124,Paramètres!$F$35),0)</f>
        <v>0</v>
      </c>
      <c r="Z124" s="21" t="n">
        <f aca="false">ROUND(L124/Paramètres!$E$22+M124/Paramètres!$E$23+N124/Paramètres!$E$24+O124/Paramètres!$E$25+P124/Paramètres!$E$26+Q124/Paramètres!$E$27+R124/Paramètres!$E$28+S124/Paramètres!$E$29+T124/Paramètres!$E$30+U124/Paramètres!$E$31+V124/Paramètres!$E$32+W124/Paramètres!$E$33+X124/Paramètres!$E$34+Y124/Paramètres!$E$35,1)</f>
        <v>3</v>
      </c>
      <c r="AA124" s="22" t="s">
        <v>109</v>
      </c>
      <c r="AB124" s="22" t="s">
        <v>109</v>
      </c>
      <c r="AC124" s="15" t="str">
        <f aca="false">$E124</f>
        <v>adamantite</v>
      </c>
      <c r="AD124" s="16" t="n">
        <f aca="false" t="array" ref="AD124:AD124">IF($I124&gt;=$AI124,"Max",ROUND(Paramètres!$B$40*($I124+1)^Paramètres!$B$41*INDEX(Paramètres!$H$6:$H$12,$AF124),0))</f>
        <v>4</v>
      </c>
      <c r="AE124" s="23" t="n">
        <f aca="false">MATCH($B124&amp;"|"&amp;$C124,Profils!$A$5:$A$34,0)</f>
        <v>4</v>
      </c>
      <c r="AF124" s="23" t="n">
        <v>2</v>
      </c>
      <c r="AG124" s="24" t="n">
        <f aca="false" t="array" ref="AG124:AG124">INDEX(Paramètres!$C$6:$C$12,$AF124)</f>
        <v>1.2</v>
      </c>
      <c r="AH124" s="23" t="n">
        <f aca="false" t="array" ref="AH124:AH124">INDEX(Paramètres!$D$6:$D$12,$AF124)</f>
        <v>3</v>
      </c>
      <c r="AI124" s="23" t="n">
        <f aca="false" t="array" ref="AI124:AI124">INDEX(Matériaux!$C$16:$C$20,$D124)</f>
        <v>30</v>
      </c>
      <c r="AJ124" s="25" t="n">
        <f aca="false">Paramètres!$B$16+(1-Paramètres!$B$16)*(($J124-Paramètres!$B$14)/(Paramètres!$B$15-Paramètres!$B$14))^Paramètres!$B$17</f>
        <v>0.665999387952727</v>
      </c>
    </row>
    <row r="125" customFormat="false" ht="15.75" hidden="false" customHeight="true" outlineLevel="0" collapsed="false">
      <c r="A125" s="14" t="s">
        <v>235</v>
      </c>
      <c r="B125" s="15" t="s">
        <v>27</v>
      </c>
      <c r="C125" s="15" t="s">
        <v>209</v>
      </c>
      <c r="D125" s="16" t="n">
        <v>5</v>
      </c>
      <c r="E125" s="15" t="str">
        <f aca="false" t="array" ref="E125:E125">INDEX(Matériaux!$B$5:$F$12,MATCH(INDEX(Profils!$E$5:$E$34,$AE125),Matériaux!$A$5:$A$12,0),$D125)</f>
        <v>adamantite</v>
      </c>
      <c r="F125" s="27" t="s">
        <v>113</v>
      </c>
      <c r="G125" s="10" t="str">
        <f aca="false" t="array" ref="G125:G125">INDEX(Profils!$D$5:$D$34,$AE125)&amp;" en "&amp;$E125</f>
        <v>Brodequins en adamantite</v>
      </c>
      <c r="H125" s="16" t="n">
        <f aca="false" t="array" ref="H125:H125">INDEX(Matériaux!$B$16:$B$20,$D125)</f>
        <v>70</v>
      </c>
      <c r="I125" s="16" t="n">
        <f aca="false">IF(ISNUMBER($C$3),MIN(MAX(0,ROUND($C$3,0)),$AI125),$AI125)</f>
        <v>0</v>
      </c>
      <c r="J125" s="18" t="n">
        <f aca="false">$H125+$I125</f>
        <v>70</v>
      </c>
      <c r="K125" s="15" t="s">
        <v>109</v>
      </c>
      <c r="L125" s="19" t="n">
        <f aca="false" t="array" ref="L125:L125">IF(AND(INDEX(Profils!$F$5:$F$34,$AE125)&gt;0,INDEX(Profils!$U$5:$U$34,$AE125)&lt;=$AH125),ROUND(INDEX(Profils!$F$5:$F$34,$AE125)*Paramètres!$E$22*$AG125*$AJ125,Paramètres!$F$22),0)</f>
        <v>34</v>
      </c>
      <c r="M125" s="19" t="n">
        <f aca="false" t="array" ref="M125:M125">IF(AND(INDEX(Profils!$G$5:$G$34,$AE125)&gt;0,INDEX(Profils!$V$5:$V$34,$AE125)&lt;=$AH125),ROUND(INDEX(Profils!$G$5:$G$34,$AE125)*Paramètres!$E$23*$AG125*$AJ125,Paramètres!$F$23),0)</f>
        <v>0</v>
      </c>
      <c r="N125" s="19" t="n">
        <f aca="false" t="array" ref="N125:N125">IF(AND(INDEX(Profils!$H$5:$H$34,$AE125)&gt;0,INDEX(Profils!$W$5:$W$34,$AE125)&lt;=$AH125),ROUND(INDEX(Profils!$H$5:$H$34,$AE125)*Paramètres!$E$24*$AG125*$AJ125,Paramètres!$F$24),0)</f>
        <v>14</v>
      </c>
      <c r="O125" s="19" t="n">
        <f aca="false" t="array" ref="O125:O125">IF(AND(INDEX(Profils!$I$5:$I$34,$AE125)&gt;0,INDEX(Profils!$X$5:$X$34,$AE125)&lt;=$AH125),ROUND(INDEX(Profils!$I$5:$I$34,$AE125)*Paramètres!$E$25*$AG125*$AJ125,Paramètres!$F$25),0)</f>
        <v>0</v>
      </c>
      <c r="P125" s="19" t="n">
        <f aca="false" t="array" ref="P125:P125">IF(AND(INDEX(Profils!$J$5:$J$34,$AE125)&gt;0,INDEX(Profils!$Y$5:$Y$34,$AE125)&lt;=$AH125),ROUND(INDEX(Profils!$J$5:$J$34,$AE125)*Paramètres!$E$26*$AG125*$AJ125,Paramètres!$F$26),0)</f>
        <v>14</v>
      </c>
      <c r="Q125" s="19" t="n">
        <f aca="false" t="array" ref="Q125:Q125">IF(AND(INDEX(Profils!$K$5:$K$34,$AE125)&gt;0,INDEX(Profils!$Z$5:$Z$34,$AE125)&lt;=$AH125),ROUND(INDEX(Profils!$K$5:$K$34,$AE125)*Paramètres!$E$27*$AG125*$AJ125,Paramètres!$F$27),0)</f>
        <v>11</v>
      </c>
      <c r="R125" s="20" t="n">
        <f aca="false" t="array" ref="R125:R125">IF(AND(INDEX(Profils!$L$5:$L$34,$AE125)&gt;0,INDEX(Profils!$AA$5:$AA$34,$AE125)&lt;=$AH125),ROUND(INDEX(Profils!$L$5:$L$34,$AE125)*Paramètres!$E$28*$AG125*$AJ125,Paramètres!$F$28),0)</f>
        <v>0</v>
      </c>
      <c r="S125" s="20" t="n">
        <f aca="false" t="array" ref="S125:S125">IF(AND(INDEX(Profils!$M$5:$M$34,$AE125)&gt;0,INDEX(Profils!$AB$5:$AB$34,$AE125)&lt;=$AH125),ROUND(INDEX(Profils!$M$5:$M$34,$AE125)*Paramètres!$E$29*$AG125*$AJ125,Paramètres!$F$29),0)</f>
        <v>0</v>
      </c>
      <c r="T125" s="20" t="n">
        <f aca="false" t="array" ref="T125:T125">IF(AND(INDEX(Profils!$N$5:$N$34,$AE125)&gt;0,INDEX(Profils!$AC$5:$AC$34,$AE125)&lt;=$AH125),ROUND(INDEX(Profils!$N$5:$N$34,$AE125)*Paramètres!$E$30*$AG125*$AJ125,Paramètres!$F$30),0)</f>
        <v>0</v>
      </c>
      <c r="U125" s="19" t="n">
        <f aca="false" t="array" ref="U125:U125">IF(AND(INDEX(Profils!$O$5:$O$34,$AE125)&gt;0,INDEX(Profils!$AD$5:$AD$34,$AE125)&lt;=$AH125),ROUND(INDEX(Profils!$O$5:$O$34,$AE125)*Paramètres!$E$31*$AG125*$AJ125,Paramètres!$F$31),0)</f>
        <v>0</v>
      </c>
      <c r="V125" s="20" t="n">
        <f aca="false" t="array" ref="V125:V125">IF(AND(INDEX(Profils!$P$5:$P$34,$AE125)&gt;0,INDEX(Profils!$AE$5:$AE$34,$AE125)&lt;=$AH125),ROUND(INDEX(Profils!$P$5:$P$34,$AE125)*Paramètres!$E$32*$AG125*$AJ125,Paramètres!$F$32),0)</f>
        <v>0</v>
      </c>
      <c r="W125" s="20" t="n">
        <f aca="false" t="array" ref="W125:W125">IF(AND(INDEX(Profils!$Q$5:$Q$34,$AE125)&gt;0,INDEX(Profils!$AF$5:$AF$34,$AE125)&lt;=$AH125),ROUND(INDEX(Profils!$Q$5:$Q$34,$AE125)*Paramètres!$E$33*$AG125*$AJ125,Paramètres!$F$33),0)</f>
        <v>0</v>
      </c>
      <c r="X125" s="20" t="n">
        <f aca="false" t="array" ref="X125:X125">IF(AND(INDEX(Profils!$R$5:$R$34,$AE125)&gt;0,INDEX(Profils!$AG$5:$AG$34,$AE125)&lt;=$AH125),ROUND(INDEX(Profils!$R$5:$R$34,$AE125)*Paramètres!$E$34*$AG125*$AJ125,Paramètres!$F$34),0)</f>
        <v>0</v>
      </c>
      <c r="Y125" s="20" t="n">
        <f aca="false" t="array" ref="Y125:Y125">IF(AND(INDEX(Profils!$S$5:$S$34,$AE125)&gt;0,INDEX(Profils!$AH$5:$AH$34,$AE125)&lt;=$AH125),ROUND(INDEX(Profils!$S$5:$S$34,$AE125)*Paramètres!$E$35*$AG125*$AJ125,Paramètres!$F$35),0)</f>
        <v>0</v>
      </c>
      <c r="Z125" s="21" t="n">
        <f aca="false">ROUND(L125/Paramètres!$E$22+M125/Paramètres!$E$23+N125/Paramètres!$E$24+O125/Paramètres!$E$25+P125/Paramètres!$E$26+Q125/Paramètres!$E$27+R125/Paramètres!$E$28+S125/Paramètres!$E$29+T125/Paramètres!$E$30+U125/Paramètres!$E$31+V125/Paramètres!$E$32+W125/Paramètres!$E$33+X125/Paramètres!$E$34+Y125/Paramètres!$E$35,1)</f>
        <v>4.6</v>
      </c>
      <c r="AA125" s="22" t="s">
        <v>109</v>
      </c>
      <c r="AB125" s="22" t="s">
        <v>109</v>
      </c>
      <c r="AC125" s="15" t="str">
        <f aca="false">$E125</f>
        <v>adamantite</v>
      </c>
      <c r="AD125" s="16" t="n">
        <f aca="false" t="array" ref="AD125:AD125">IF($I125&gt;=$AI125,"Max",ROUND(Paramètres!$B$40*($I125+1)^Paramètres!$B$41*INDEX(Paramètres!$H$6:$H$12,$AF125),0))</f>
        <v>4</v>
      </c>
      <c r="AE125" s="23" t="n">
        <f aca="false">MATCH($B125&amp;"|"&amp;$C125,Profils!$A$5:$A$34,0)</f>
        <v>4</v>
      </c>
      <c r="AF125" s="23" t="n">
        <v>3</v>
      </c>
      <c r="AG125" s="24" t="n">
        <f aca="false" t="array" ref="AG125:AG125">INDEX(Paramètres!$C$6:$C$12,$AF125)</f>
        <v>1.45</v>
      </c>
      <c r="AH125" s="23" t="n">
        <f aca="false" t="array" ref="AH125:AH125">INDEX(Paramètres!$D$6:$D$12,$AF125)</f>
        <v>4</v>
      </c>
      <c r="AI125" s="23" t="n">
        <f aca="false" t="array" ref="AI125:AI125">INDEX(Matériaux!$C$16:$C$20,$D125)</f>
        <v>30</v>
      </c>
      <c r="AJ125" s="25" t="n">
        <f aca="false">Paramètres!$B$16+(1-Paramètres!$B$16)*(($J125-Paramètres!$B$14)/(Paramètres!$B$15-Paramètres!$B$14))^Paramètres!$B$17</f>
        <v>0.665999387952727</v>
      </c>
    </row>
    <row r="126" customFormat="false" ht="15.75" hidden="false" customHeight="true" outlineLevel="0" collapsed="false">
      <c r="A126" s="14" t="s">
        <v>236</v>
      </c>
      <c r="B126" s="15" t="s">
        <v>27</v>
      </c>
      <c r="C126" s="15" t="s">
        <v>209</v>
      </c>
      <c r="D126" s="16" t="n">
        <v>5</v>
      </c>
      <c r="E126" s="15" t="str">
        <f aca="false" t="array" ref="E126:E126">INDEX(Matériaux!$B$5:$F$12,MATCH(INDEX(Profils!$E$5:$E$34,$AE126),Matériaux!$A$5:$A$12,0),$D126)</f>
        <v>adamantite</v>
      </c>
      <c r="F126" s="28" t="s">
        <v>115</v>
      </c>
      <c r="G126" s="10" t="str">
        <f aca="false" t="array" ref="G126:G126">INDEX(Profils!$D$5:$D$34,$AE126)&amp;" en "&amp;$E126</f>
        <v>Brodequins en adamantite</v>
      </c>
      <c r="H126" s="16" t="n">
        <f aca="false" t="array" ref="H126:H126">INDEX(Matériaux!$B$16:$B$20,$D126)</f>
        <v>70</v>
      </c>
      <c r="I126" s="16" t="n">
        <f aca="false">IF(ISNUMBER($C$3),MIN(MAX(0,ROUND($C$3,0)),$AI126),$AI126)</f>
        <v>0</v>
      </c>
      <c r="J126" s="18" t="n">
        <f aca="false">$H126+$I126</f>
        <v>70</v>
      </c>
      <c r="K126" s="15" t="s">
        <v>109</v>
      </c>
      <c r="L126" s="19" t="n">
        <f aca="false" t="array" ref="L126:L126">IF(AND(INDEX(Profils!$F$5:$F$34,$AE126)&gt;0,INDEX(Profils!$U$5:$U$34,$AE126)&lt;=$AH126),ROUND(INDEX(Profils!$F$5:$F$34,$AE126)*Paramètres!$E$22*$AG126*$AJ126,Paramètres!$F$22),0)</f>
        <v>41</v>
      </c>
      <c r="M126" s="19" t="n">
        <f aca="false" t="array" ref="M126:M126">IF(AND(INDEX(Profils!$G$5:$G$34,$AE126)&gt;0,INDEX(Profils!$V$5:$V$34,$AE126)&lt;=$AH126),ROUND(INDEX(Profils!$G$5:$G$34,$AE126)*Paramètres!$E$23*$AG126*$AJ126,Paramètres!$F$23),0)</f>
        <v>0</v>
      </c>
      <c r="N126" s="19" t="n">
        <f aca="false" t="array" ref="N126:N126">IF(AND(INDEX(Profils!$H$5:$H$34,$AE126)&gt;0,INDEX(Profils!$W$5:$W$34,$AE126)&lt;=$AH126),ROUND(INDEX(Profils!$H$5:$H$34,$AE126)*Paramètres!$E$24*$AG126*$AJ126,Paramètres!$F$24),0)</f>
        <v>17</v>
      </c>
      <c r="O126" s="19" t="n">
        <f aca="false" t="array" ref="O126:O126">IF(AND(INDEX(Profils!$I$5:$I$34,$AE126)&gt;0,INDEX(Profils!$X$5:$X$34,$AE126)&lt;=$AH126),ROUND(INDEX(Profils!$I$5:$I$34,$AE126)*Paramètres!$E$25*$AG126*$AJ126,Paramètres!$F$25),0)</f>
        <v>0</v>
      </c>
      <c r="P126" s="19" t="n">
        <f aca="false" t="array" ref="P126:P126">IF(AND(INDEX(Profils!$J$5:$J$34,$AE126)&gt;0,INDEX(Profils!$Y$5:$Y$34,$AE126)&lt;=$AH126),ROUND(INDEX(Profils!$J$5:$J$34,$AE126)*Paramètres!$E$26*$AG126*$AJ126,Paramètres!$F$26),0)</f>
        <v>17</v>
      </c>
      <c r="Q126" s="19" t="n">
        <f aca="false" t="array" ref="Q126:Q126">IF(AND(INDEX(Profils!$K$5:$K$34,$AE126)&gt;0,INDEX(Profils!$Z$5:$Z$34,$AE126)&lt;=$AH126),ROUND(INDEX(Profils!$K$5:$K$34,$AE126)*Paramètres!$E$27*$AG126*$AJ126,Paramètres!$F$27),0)</f>
        <v>13</v>
      </c>
      <c r="R126" s="20" t="n">
        <f aca="false" t="array" ref="R126:R126">IF(AND(INDEX(Profils!$L$5:$L$34,$AE126)&gt;0,INDEX(Profils!$AA$5:$AA$34,$AE126)&lt;=$AH126),ROUND(INDEX(Profils!$L$5:$L$34,$AE126)*Paramètres!$E$28*$AG126*$AJ126,Paramètres!$F$28),0)</f>
        <v>0</v>
      </c>
      <c r="S126" s="20" t="n">
        <f aca="false" t="array" ref="S126:S126">IF(AND(INDEX(Profils!$M$5:$M$34,$AE126)&gt;0,INDEX(Profils!$AB$5:$AB$34,$AE126)&lt;=$AH126),ROUND(INDEX(Profils!$M$5:$M$34,$AE126)*Paramètres!$E$29*$AG126*$AJ126,Paramètres!$F$29),0)</f>
        <v>0</v>
      </c>
      <c r="T126" s="20" t="n">
        <f aca="false" t="array" ref="T126:T126">IF(AND(INDEX(Profils!$N$5:$N$34,$AE126)&gt;0,INDEX(Profils!$AC$5:$AC$34,$AE126)&lt;=$AH126),ROUND(INDEX(Profils!$N$5:$N$34,$AE126)*Paramètres!$E$30*$AG126*$AJ126,Paramètres!$F$30),0)</f>
        <v>0</v>
      </c>
      <c r="U126" s="19" t="n">
        <f aca="false" t="array" ref="U126:U126">IF(AND(INDEX(Profils!$O$5:$O$34,$AE126)&gt;0,INDEX(Profils!$AD$5:$AD$34,$AE126)&lt;=$AH126),ROUND(INDEX(Profils!$O$5:$O$34,$AE126)*Paramètres!$E$31*$AG126*$AJ126,Paramètres!$F$31),0)</f>
        <v>23</v>
      </c>
      <c r="V126" s="20" t="n">
        <f aca="false" t="array" ref="V126:V126">IF(AND(INDEX(Profils!$P$5:$P$34,$AE126)&gt;0,INDEX(Profils!$AE$5:$AE$34,$AE126)&lt;=$AH126),ROUND(INDEX(Profils!$P$5:$P$34,$AE126)*Paramètres!$E$32*$AG126*$AJ126,Paramètres!$F$32),0)</f>
        <v>0</v>
      </c>
      <c r="W126" s="20" t="n">
        <f aca="false" t="array" ref="W126:W126">IF(AND(INDEX(Profils!$Q$5:$Q$34,$AE126)&gt;0,INDEX(Profils!$AF$5:$AF$34,$AE126)&lt;=$AH126),ROUND(INDEX(Profils!$Q$5:$Q$34,$AE126)*Paramètres!$E$33*$AG126*$AJ126,Paramètres!$F$33),0)</f>
        <v>0</v>
      </c>
      <c r="X126" s="20" t="n">
        <f aca="false" t="array" ref="X126:X126">IF(AND(INDEX(Profils!$R$5:$R$34,$AE126)&gt;0,INDEX(Profils!$AG$5:$AG$34,$AE126)&lt;=$AH126),ROUND(INDEX(Profils!$R$5:$R$34,$AE126)*Paramètres!$E$34*$AG126*$AJ126,Paramètres!$F$34),0)</f>
        <v>0</v>
      </c>
      <c r="Y126" s="20" t="n">
        <f aca="false" t="array" ref="Y126:Y126">IF(AND(INDEX(Profils!$S$5:$S$34,$AE126)&gt;0,INDEX(Profils!$AH$5:$AH$34,$AE126)&lt;=$AH126),ROUND(INDEX(Profils!$S$5:$S$34,$AE126)*Paramètres!$E$35*$AG126*$AJ126,Paramètres!$F$35),0)</f>
        <v>0</v>
      </c>
      <c r="Z126" s="21" t="n">
        <f aca="false">ROUND(L126/Paramètres!$E$22+M126/Paramètres!$E$23+N126/Paramètres!$E$24+O126/Paramètres!$E$25+P126/Paramètres!$E$26+Q126/Paramètres!$E$27+R126/Paramètres!$E$28+S126/Paramètres!$E$29+T126/Paramètres!$E$30+U126/Paramètres!$E$31+V126/Paramètres!$E$32+W126/Paramètres!$E$33+X126/Paramètres!$E$34+Y126/Paramètres!$E$35,1)</f>
        <v>6.6</v>
      </c>
      <c r="AA126" s="22" t="s">
        <v>109</v>
      </c>
      <c r="AB126" s="22" t="s">
        <v>109</v>
      </c>
      <c r="AC126" s="15" t="str">
        <f aca="false">$E126</f>
        <v>adamantite</v>
      </c>
      <c r="AD126" s="16" t="n">
        <f aca="false" t="array" ref="AD126:AD126">IF($I126&gt;=$AI126,"Max",ROUND(Paramètres!$B$40*($I126+1)^Paramètres!$B$41*INDEX(Paramètres!$H$6:$H$12,$AF126),0))</f>
        <v>5</v>
      </c>
      <c r="AE126" s="23" t="n">
        <f aca="false">MATCH($B126&amp;"|"&amp;$C126,Profils!$A$5:$A$34,0)</f>
        <v>4</v>
      </c>
      <c r="AF126" s="23" t="n">
        <v>4</v>
      </c>
      <c r="AG126" s="24" t="n">
        <f aca="false" t="array" ref="AG126:AG126">INDEX(Paramètres!$C$6:$C$12,$AF126)</f>
        <v>1.75</v>
      </c>
      <c r="AH126" s="23" t="n">
        <f aca="false" t="array" ref="AH126:AH126">INDEX(Paramètres!$D$6:$D$12,$AF126)</f>
        <v>5</v>
      </c>
      <c r="AI126" s="23" t="n">
        <f aca="false" t="array" ref="AI126:AI126">INDEX(Matériaux!$C$16:$C$20,$D126)</f>
        <v>30</v>
      </c>
      <c r="AJ126" s="25" t="n">
        <f aca="false">Paramètres!$B$16+(1-Paramètres!$B$16)*(($J126-Paramètres!$B$14)/(Paramètres!$B$15-Paramètres!$B$14))^Paramètres!$B$17</f>
        <v>0.665999387952727</v>
      </c>
    </row>
    <row r="127" customFormat="false" ht="15.75" hidden="false" customHeight="true" outlineLevel="0" collapsed="false">
      <c r="A127" s="14" t="s">
        <v>237</v>
      </c>
      <c r="B127" s="15" t="s">
        <v>27</v>
      </c>
      <c r="C127" s="15" t="s">
        <v>209</v>
      </c>
      <c r="D127" s="16" t="n">
        <v>5</v>
      </c>
      <c r="E127" s="15" t="str">
        <f aca="false" t="array" ref="E127:E127">INDEX(Matériaux!$B$5:$F$12,MATCH(INDEX(Profils!$E$5:$E$34,$AE127),Matériaux!$A$5:$A$12,0),$D127)</f>
        <v>adamantite</v>
      </c>
      <c r="F127" s="29" t="s">
        <v>117</v>
      </c>
      <c r="G127" s="10" t="str">
        <f aca="false" t="array" ref="G127:G127">INDEX(Profils!$D$5:$D$34,$AE127)&amp;" en "&amp;$E127</f>
        <v>Brodequins en adamantite</v>
      </c>
      <c r="H127" s="16" t="n">
        <f aca="false" t="array" ref="H127:H127">INDEX(Matériaux!$B$16:$B$20,$D127)</f>
        <v>70</v>
      </c>
      <c r="I127" s="16" t="n">
        <f aca="false">IF(ISNUMBER($C$3),MIN(MAX(0,ROUND($C$3,0)),$AI127),$AI127)</f>
        <v>0</v>
      </c>
      <c r="J127" s="18" t="n">
        <f aca="false">$H127+$I127</f>
        <v>70</v>
      </c>
      <c r="K127" s="15" t="s">
        <v>109</v>
      </c>
      <c r="L127" s="19" t="n">
        <f aca="false" t="array" ref="L127:L127">IF(AND(INDEX(Profils!$F$5:$F$34,$AE127)&gt;0,INDEX(Profils!$U$5:$U$34,$AE127)&lt;=$AH127),ROUND(INDEX(Profils!$F$5:$F$34,$AE127)*Paramètres!$E$22*$AG127*$AJ127,Paramètres!$F$22),0)</f>
        <v>49</v>
      </c>
      <c r="M127" s="19" t="n">
        <f aca="false" t="array" ref="M127:M127">IF(AND(INDEX(Profils!$G$5:$G$34,$AE127)&gt;0,INDEX(Profils!$V$5:$V$34,$AE127)&lt;=$AH127),ROUND(INDEX(Profils!$G$5:$G$34,$AE127)*Paramètres!$E$23*$AG127*$AJ127,Paramètres!$F$23),0)</f>
        <v>10</v>
      </c>
      <c r="N127" s="19" t="n">
        <f aca="false" t="array" ref="N127:N127">IF(AND(INDEX(Profils!$H$5:$H$34,$AE127)&gt;0,INDEX(Profils!$W$5:$W$34,$AE127)&lt;=$AH127),ROUND(INDEX(Profils!$H$5:$H$34,$AE127)*Paramètres!$E$24*$AG127*$AJ127,Paramètres!$F$24),0)</f>
        <v>21</v>
      </c>
      <c r="O127" s="19" t="n">
        <f aca="false" t="array" ref="O127:O127">IF(AND(INDEX(Profils!$I$5:$I$34,$AE127)&gt;0,INDEX(Profils!$X$5:$X$34,$AE127)&lt;=$AH127),ROUND(INDEX(Profils!$I$5:$I$34,$AE127)*Paramètres!$E$25*$AG127*$AJ127,Paramètres!$F$25),0)</f>
        <v>0</v>
      </c>
      <c r="P127" s="19" t="n">
        <f aca="false" t="array" ref="P127:P127">IF(AND(INDEX(Profils!$J$5:$J$34,$AE127)&gt;0,INDEX(Profils!$Y$5:$Y$34,$AE127)&lt;=$AH127),ROUND(INDEX(Profils!$J$5:$J$34,$AE127)*Paramètres!$E$26*$AG127*$AJ127,Paramètres!$F$26),0)</f>
        <v>20</v>
      </c>
      <c r="Q127" s="19" t="n">
        <f aca="false" t="array" ref="Q127:Q127">IF(AND(INDEX(Profils!$K$5:$K$34,$AE127)&gt;0,INDEX(Profils!$Z$5:$Z$34,$AE127)&lt;=$AH127),ROUND(INDEX(Profils!$K$5:$K$34,$AE127)*Paramètres!$E$27*$AG127*$AJ127,Paramètres!$F$27),0)</f>
        <v>15</v>
      </c>
      <c r="R127" s="20" t="n">
        <f aca="false" t="array" ref="R127:R127">IF(AND(INDEX(Profils!$L$5:$L$34,$AE127)&gt;0,INDEX(Profils!$AA$5:$AA$34,$AE127)&lt;=$AH127),ROUND(INDEX(Profils!$L$5:$L$34,$AE127)*Paramètres!$E$28*$AG127*$AJ127,Paramètres!$F$28),0)</f>
        <v>0</v>
      </c>
      <c r="S127" s="20" t="n">
        <f aca="false" t="array" ref="S127:S127">IF(AND(INDEX(Profils!$M$5:$M$34,$AE127)&gt;0,INDEX(Profils!$AB$5:$AB$34,$AE127)&lt;=$AH127),ROUND(INDEX(Profils!$M$5:$M$34,$AE127)*Paramètres!$E$29*$AG127*$AJ127,Paramètres!$F$29),0)</f>
        <v>0</v>
      </c>
      <c r="T127" s="20" t="n">
        <f aca="false" t="array" ref="T127:T127">IF(AND(INDEX(Profils!$N$5:$N$34,$AE127)&gt;0,INDEX(Profils!$AC$5:$AC$34,$AE127)&lt;=$AH127),ROUND(INDEX(Profils!$N$5:$N$34,$AE127)*Paramètres!$E$30*$AG127*$AJ127,Paramètres!$F$30),0)</f>
        <v>0</v>
      </c>
      <c r="U127" s="19" t="n">
        <f aca="false" t="array" ref="U127:U127">IF(AND(INDEX(Profils!$O$5:$O$34,$AE127)&gt;0,INDEX(Profils!$AD$5:$AD$34,$AE127)&lt;=$AH127),ROUND(INDEX(Profils!$O$5:$O$34,$AE127)*Paramètres!$E$31*$AG127*$AJ127,Paramètres!$F$31),0)</f>
        <v>28</v>
      </c>
      <c r="V127" s="20" t="n">
        <f aca="false" t="array" ref="V127:V127">IF(AND(INDEX(Profils!$P$5:$P$34,$AE127)&gt;0,INDEX(Profils!$AE$5:$AE$34,$AE127)&lt;=$AH127),ROUND(INDEX(Profils!$P$5:$P$34,$AE127)*Paramètres!$E$32*$AG127*$AJ127,Paramètres!$F$32),0)</f>
        <v>0</v>
      </c>
      <c r="W127" s="20" t="n">
        <f aca="false" t="array" ref="W127:W127">IF(AND(INDEX(Profils!$Q$5:$Q$34,$AE127)&gt;0,INDEX(Profils!$AF$5:$AF$34,$AE127)&lt;=$AH127),ROUND(INDEX(Profils!$Q$5:$Q$34,$AE127)*Paramètres!$E$33*$AG127*$AJ127,Paramètres!$F$33),0)</f>
        <v>0</v>
      </c>
      <c r="X127" s="20" t="n">
        <f aca="false" t="array" ref="X127:X127">IF(AND(INDEX(Profils!$R$5:$R$34,$AE127)&gt;0,INDEX(Profils!$AG$5:$AG$34,$AE127)&lt;=$AH127),ROUND(INDEX(Profils!$R$5:$R$34,$AE127)*Paramètres!$E$34*$AG127*$AJ127,Paramètres!$F$34),0)</f>
        <v>0</v>
      </c>
      <c r="Y127" s="20" t="n">
        <f aca="false" t="array" ref="Y127:Y127">IF(AND(INDEX(Profils!$S$5:$S$34,$AE127)&gt;0,INDEX(Profils!$AH$5:$AH$34,$AE127)&lt;=$AH127),ROUND(INDEX(Profils!$S$5:$S$34,$AE127)*Paramètres!$E$35*$AG127*$AJ127,Paramètres!$F$35),0)</f>
        <v>0</v>
      </c>
      <c r="Z127" s="21" t="n">
        <f aca="false">ROUND(L127/Paramètres!$E$22+M127/Paramètres!$E$23+N127/Paramètres!$E$24+O127/Paramètres!$E$25+P127/Paramètres!$E$26+Q127/Paramètres!$E$27+R127/Paramètres!$E$28+S127/Paramètres!$E$29+T127/Paramètres!$E$30+U127/Paramètres!$E$31+V127/Paramètres!$E$32+W127/Paramètres!$E$33+X127/Paramètres!$E$34+Y127/Paramètres!$E$35,1)</f>
        <v>8.6</v>
      </c>
      <c r="AA127" s="22" t="s">
        <v>109</v>
      </c>
      <c r="AB127" s="22" t="s">
        <v>109</v>
      </c>
      <c r="AC127" s="15" t="str">
        <f aca="false">$E127</f>
        <v>adamantite</v>
      </c>
      <c r="AD127" s="16" t="n">
        <f aca="false" t="array" ref="AD127:AD127">IF($I127&gt;=$AI127,"Max",ROUND(Paramètres!$B$40*($I127+1)^Paramètres!$B$41*INDEX(Paramètres!$H$6:$H$12,$AF127),0))</f>
        <v>6</v>
      </c>
      <c r="AE127" s="23" t="n">
        <f aca="false">MATCH($B127&amp;"|"&amp;$C127,Profils!$A$5:$A$34,0)</f>
        <v>4</v>
      </c>
      <c r="AF127" s="23" t="n">
        <v>5</v>
      </c>
      <c r="AG127" s="24" t="n">
        <f aca="false" t="array" ref="AG127:AG127">INDEX(Paramètres!$C$6:$C$12,$AF127)</f>
        <v>2.1</v>
      </c>
      <c r="AH127" s="23" t="n">
        <f aca="false" t="array" ref="AH127:AH127">INDEX(Paramètres!$D$6:$D$12,$AF127)</f>
        <v>6</v>
      </c>
      <c r="AI127" s="23" t="n">
        <f aca="false" t="array" ref="AI127:AI127">INDEX(Matériaux!$C$16:$C$20,$D127)</f>
        <v>30</v>
      </c>
      <c r="AJ127" s="25" t="n">
        <f aca="false">Paramètres!$B$16+(1-Paramètres!$B$16)*(($J127-Paramètres!$B$14)/(Paramètres!$B$15-Paramètres!$B$14))^Paramètres!$B$17</f>
        <v>0.665999387952727</v>
      </c>
    </row>
    <row r="128" customFormat="false" ht="15.75" hidden="false" customHeight="true" outlineLevel="0" collapsed="false">
      <c r="A128" s="14" t="s">
        <v>238</v>
      </c>
      <c r="B128" s="15" t="s">
        <v>27</v>
      </c>
      <c r="C128" s="15" t="s">
        <v>209</v>
      </c>
      <c r="D128" s="16" t="n">
        <v>5</v>
      </c>
      <c r="E128" s="15" t="str">
        <f aca="false" t="array" ref="E128:E128">INDEX(Matériaux!$B$5:$F$12,MATCH(INDEX(Profils!$E$5:$E$34,$AE128),Matériaux!$A$5:$A$12,0),$D128)</f>
        <v>adamantite</v>
      </c>
      <c r="F128" s="30" t="s">
        <v>119</v>
      </c>
      <c r="G128" s="10" t="str">
        <f aca="false" t="array" ref="G128:G128">INDEX(Profils!$D$5:$D$34,$AE128)&amp;" en "&amp;$E128</f>
        <v>Brodequins en adamantite</v>
      </c>
      <c r="H128" s="16" t="n">
        <f aca="false" t="array" ref="H128:H128">INDEX(Matériaux!$B$16:$B$20,$D128)</f>
        <v>70</v>
      </c>
      <c r="I128" s="16" t="n">
        <f aca="false">IF(ISNUMBER($C$3),MIN(MAX(0,ROUND($C$3,0)),$AI128),$AI128)</f>
        <v>0</v>
      </c>
      <c r="J128" s="18" t="n">
        <f aca="false">$H128+$I128</f>
        <v>70</v>
      </c>
      <c r="K128" s="15" t="s">
        <v>109</v>
      </c>
      <c r="L128" s="19" t="n">
        <f aca="false" t="array" ref="L128:L128">IF(AND(INDEX(Profils!$F$5:$F$34,$AE128)&gt;0,INDEX(Profils!$U$5:$U$34,$AE128)&lt;=$AH128),ROUND(INDEX(Profils!$F$5:$F$34,$AE128)*Paramètres!$E$22*$AG128*$AJ128,Paramètres!$F$22),0)</f>
        <v>56</v>
      </c>
      <c r="M128" s="19" t="n">
        <f aca="false" t="array" ref="M128:M128">IF(AND(INDEX(Profils!$G$5:$G$34,$AE128)&gt;0,INDEX(Profils!$V$5:$V$34,$AE128)&lt;=$AH128),ROUND(INDEX(Profils!$G$5:$G$34,$AE128)*Paramètres!$E$23*$AG128*$AJ128,Paramètres!$F$23),0)</f>
        <v>12</v>
      </c>
      <c r="N128" s="19" t="n">
        <f aca="false" t="array" ref="N128:N128">IF(AND(INDEX(Profils!$H$5:$H$34,$AE128)&gt;0,INDEX(Profils!$W$5:$W$34,$AE128)&lt;=$AH128),ROUND(INDEX(Profils!$H$5:$H$34,$AE128)*Paramètres!$E$24*$AG128*$AJ128,Paramètres!$F$24),0)</f>
        <v>24</v>
      </c>
      <c r="O128" s="19" t="n">
        <f aca="false" t="array" ref="O128:O128">IF(AND(INDEX(Profils!$I$5:$I$34,$AE128)&gt;0,INDEX(Profils!$X$5:$X$34,$AE128)&lt;=$AH128),ROUND(INDEX(Profils!$I$5:$I$34,$AE128)*Paramètres!$E$25*$AG128*$AJ128,Paramètres!$F$25),0)</f>
        <v>0</v>
      </c>
      <c r="P128" s="19" t="n">
        <f aca="false" t="array" ref="P128:P128">IF(AND(INDEX(Profils!$J$5:$J$34,$AE128)&gt;0,INDEX(Profils!$Y$5:$Y$34,$AE128)&lt;=$AH128),ROUND(INDEX(Profils!$J$5:$J$34,$AE128)*Paramètres!$E$26*$AG128*$AJ128,Paramètres!$F$26),0)</f>
        <v>23</v>
      </c>
      <c r="Q128" s="19" t="n">
        <f aca="false" t="array" ref="Q128:Q128">IF(AND(INDEX(Profils!$K$5:$K$34,$AE128)&gt;0,INDEX(Profils!$Z$5:$Z$34,$AE128)&lt;=$AH128),ROUND(INDEX(Profils!$K$5:$K$34,$AE128)*Paramètres!$E$27*$AG128*$AJ128,Paramètres!$F$27),0)</f>
        <v>18</v>
      </c>
      <c r="R128" s="20" t="n">
        <f aca="false" t="array" ref="R128:R128">IF(AND(INDEX(Profils!$L$5:$L$34,$AE128)&gt;0,INDEX(Profils!$AA$5:$AA$34,$AE128)&lt;=$AH128),ROUND(INDEX(Profils!$L$5:$L$34,$AE128)*Paramètres!$E$28*$AG128*$AJ128,Paramètres!$F$28),0)</f>
        <v>0</v>
      </c>
      <c r="S128" s="20" t="n">
        <f aca="false" t="array" ref="S128:S128">IF(AND(INDEX(Profils!$M$5:$M$34,$AE128)&gt;0,INDEX(Profils!$AB$5:$AB$34,$AE128)&lt;=$AH128),ROUND(INDEX(Profils!$M$5:$M$34,$AE128)*Paramètres!$E$29*$AG128*$AJ128,Paramètres!$F$29),0)</f>
        <v>0</v>
      </c>
      <c r="T128" s="20" t="n">
        <f aca="false" t="array" ref="T128:T128">IF(AND(INDEX(Profils!$N$5:$N$34,$AE128)&gt;0,INDEX(Profils!$AC$5:$AC$34,$AE128)&lt;=$AH128),ROUND(INDEX(Profils!$N$5:$N$34,$AE128)*Paramètres!$E$30*$AG128*$AJ128,Paramètres!$F$30),0)</f>
        <v>0</v>
      </c>
      <c r="U128" s="19" t="n">
        <f aca="false" t="array" ref="U128:U128">IF(AND(INDEX(Profils!$O$5:$O$34,$AE128)&gt;0,INDEX(Profils!$AD$5:$AD$34,$AE128)&lt;=$AH128),ROUND(INDEX(Profils!$O$5:$O$34,$AE128)*Paramètres!$E$31*$AG128*$AJ128,Paramètres!$F$31),0)</f>
        <v>32</v>
      </c>
      <c r="V128" s="20" t="n">
        <f aca="false" t="array" ref="V128:V128">IF(AND(INDEX(Profils!$P$5:$P$34,$AE128)&gt;0,INDEX(Profils!$AE$5:$AE$34,$AE128)&lt;=$AH128),ROUND(INDEX(Profils!$P$5:$P$34,$AE128)*Paramètres!$E$32*$AG128*$AJ128,Paramètres!$F$32),0)</f>
        <v>0</v>
      </c>
      <c r="W128" s="20" t="n">
        <f aca="false" t="array" ref="W128:W128">IF(AND(INDEX(Profils!$Q$5:$Q$34,$AE128)&gt;0,INDEX(Profils!$AF$5:$AF$34,$AE128)&lt;=$AH128),ROUND(INDEX(Profils!$Q$5:$Q$34,$AE128)*Paramètres!$E$33*$AG128*$AJ128,Paramètres!$F$33),0)</f>
        <v>0.012</v>
      </c>
      <c r="X128" s="20" t="n">
        <f aca="false" t="array" ref="X128:X128">IF(AND(INDEX(Profils!$R$5:$R$34,$AE128)&gt;0,INDEX(Profils!$AG$5:$AG$34,$AE128)&lt;=$AH128),ROUND(INDEX(Profils!$R$5:$R$34,$AE128)*Paramètres!$E$34*$AG128*$AJ128,Paramètres!$F$34),0)</f>
        <v>0</v>
      </c>
      <c r="Y128" s="20" t="n">
        <f aca="false" t="array" ref="Y128:Y128">IF(AND(INDEX(Profils!$S$5:$S$34,$AE128)&gt;0,INDEX(Profils!$AH$5:$AH$34,$AE128)&lt;=$AH128),ROUND(INDEX(Profils!$S$5:$S$34,$AE128)*Paramètres!$E$35*$AG128*$AJ128,Paramètres!$F$35),0)</f>
        <v>0</v>
      </c>
      <c r="Z128" s="21" t="n">
        <f aca="false">ROUND(L128/Paramètres!$E$22+M128/Paramètres!$E$23+N128/Paramètres!$E$24+O128/Paramètres!$E$25+P128/Paramètres!$E$26+Q128/Paramètres!$E$27+R128/Paramètres!$E$28+S128/Paramètres!$E$29+T128/Paramètres!$E$30+U128/Paramètres!$E$31+V128/Paramètres!$E$32+W128/Paramètres!$E$33+X128/Paramètres!$E$34+Y128/Paramètres!$E$35,1)</f>
        <v>10.8</v>
      </c>
      <c r="AA128" s="22" t="s">
        <v>109</v>
      </c>
      <c r="AB128" s="22" t="s">
        <v>109</v>
      </c>
      <c r="AC128" s="15" t="str">
        <f aca="false">$E128</f>
        <v>adamantite</v>
      </c>
      <c r="AD128" s="16" t="n">
        <f aca="false" t="array" ref="AD128:AD128">IF($I128&gt;=$AI128,"Max",ROUND(Paramètres!$B$40*($I128+1)^Paramètres!$B$41*INDEX(Paramètres!$H$6:$H$12,$AF128),0))</f>
        <v>8</v>
      </c>
      <c r="AE128" s="23" t="n">
        <f aca="false">MATCH($B128&amp;"|"&amp;$C128,Profils!$A$5:$A$34,0)</f>
        <v>4</v>
      </c>
      <c r="AF128" s="23" t="n">
        <v>6</v>
      </c>
      <c r="AG128" s="24" t="n">
        <f aca="false" t="array" ref="AG128:AG128">INDEX(Paramètres!$C$6:$C$12,$AF128)</f>
        <v>2.4</v>
      </c>
      <c r="AH128" s="23" t="n">
        <f aca="false" t="array" ref="AH128:AH128">INDEX(Paramètres!$D$6:$D$12,$AF128)</f>
        <v>7</v>
      </c>
      <c r="AI128" s="23" t="n">
        <f aca="false" t="array" ref="AI128:AI128">INDEX(Matériaux!$C$16:$C$20,$D128)</f>
        <v>30</v>
      </c>
      <c r="AJ128" s="25" t="n">
        <f aca="false">Paramètres!$B$16+(1-Paramètres!$B$16)*(($J128-Paramètres!$B$14)/(Paramètres!$B$15-Paramètres!$B$14))^Paramètres!$B$17</f>
        <v>0.665999387952727</v>
      </c>
    </row>
    <row r="129" customFormat="false" ht="15.75" hidden="false" customHeight="true" outlineLevel="0" collapsed="false">
      <c r="A129" s="14" t="s">
        <v>239</v>
      </c>
      <c r="B129" s="15" t="s">
        <v>27</v>
      </c>
      <c r="C129" s="15" t="s">
        <v>209</v>
      </c>
      <c r="D129" s="16" t="s">
        <v>109</v>
      </c>
      <c r="E129" s="15" t="s">
        <v>109</v>
      </c>
      <c r="F129" s="31" t="s">
        <v>38</v>
      </c>
      <c r="G129" s="10" t="str">
        <f aca="false" t="array" ref="G129:G129">INDEX(Uniques!$E$5:$E$34,MATCH($B129&amp;"|"&amp;$C129,Uniques!$A$5:$A$34,0))</f>
        <v>Bottes du Marcheur Glacé</v>
      </c>
      <c r="H129" s="16" t="n">
        <f aca="false" t="array" ref="H129:H129">INDEX(Uniques!$L$5:$L$34,MATCH($B129&amp;"|"&amp;$C129,Uniques!$A$5:$A$34,0))</f>
        <v>61</v>
      </c>
      <c r="I129" s="16" t="n">
        <f aca="false">IF(ISNUMBER($C$3),MIN(MAX(0,ROUND($C$3,0)),$AI129),$AI129)</f>
        <v>0</v>
      </c>
      <c r="J129" s="18" t="n">
        <f aca="false">$H129+$I129</f>
        <v>61</v>
      </c>
      <c r="K129" s="15" t="str">
        <f aca="false" t="array" ref="K129:K129">INDEX(Uniques!$F$5:$F$34,MATCH($B129&amp;"|"&amp;$C129,Uniques!$A$5:$A$34,0))</f>
        <v>Glace</v>
      </c>
      <c r="L129" s="19" t="n">
        <f aca="false" t="array" ref="L129:L129">IF(AND(INDEX(Profils!$F$5:$F$34,$AE129)&gt;0,INDEX(Profils!$U$5:$U$34,$AE129)&lt;=$AH129),ROUND(INDEX(Profils!$F$5:$F$34,$AE129)*Paramètres!$E$22*$AG129*$AJ129,Paramètres!$F$22),0)</f>
        <v>50</v>
      </c>
      <c r="M129" s="19" t="n">
        <f aca="false" t="array" ref="M129:M129">IF(AND(INDEX(Profils!$G$5:$G$34,$AE129)&gt;0,INDEX(Profils!$V$5:$V$34,$AE129)&lt;=$AH129),ROUND(INDEX(Profils!$G$5:$G$34,$AE129)*Paramètres!$E$23*$AG129*$AJ129,Paramètres!$F$23),0)</f>
        <v>11</v>
      </c>
      <c r="N129" s="19" t="n">
        <f aca="false" t="array" ref="N129:N129">IF(AND(INDEX(Profils!$H$5:$H$34,$AE129)&gt;0,INDEX(Profils!$W$5:$W$34,$AE129)&lt;=$AH129),ROUND(INDEX(Profils!$H$5:$H$34,$AE129)*Paramètres!$E$24*$AG129*$AJ129,Paramètres!$F$24),0)</f>
        <v>21</v>
      </c>
      <c r="O129" s="19" t="n">
        <f aca="false" t="array" ref="O129:O129">IF(AND(INDEX(Profils!$I$5:$I$34,$AE129)&gt;0,INDEX(Profils!$X$5:$X$34,$AE129)&lt;=$AH129),ROUND(INDEX(Profils!$I$5:$I$34,$AE129)*Paramètres!$E$25*$AG129*$AJ129,Paramètres!$F$25),0)</f>
        <v>0</v>
      </c>
      <c r="P129" s="19" t="n">
        <f aca="false" t="array" ref="P129:P129">IF(AND(INDEX(Profils!$J$5:$J$34,$AE129)&gt;0,INDEX(Profils!$Y$5:$Y$34,$AE129)&lt;=$AH129),ROUND(INDEX(Profils!$J$5:$J$34,$AE129)*Paramètres!$E$26*$AG129*$AJ129,Paramètres!$F$26),0)</f>
        <v>21</v>
      </c>
      <c r="Q129" s="19" t="n">
        <f aca="false" t="array" ref="Q129:Q129">IF(AND(INDEX(Profils!$K$5:$K$34,$AE129)&gt;0,INDEX(Profils!$Z$5:$Z$34,$AE129)&lt;=$AH129),ROUND(INDEX(Profils!$K$5:$K$34,$AE129)*Paramètres!$E$27*$AG129*$AJ129,Paramètres!$F$27),0)</f>
        <v>16</v>
      </c>
      <c r="R129" s="20" t="n">
        <f aca="false" t="array" ref="R129:R129">IF(AND(INDEX(Profils!$L$5:$L$34,$AE129)&gt;0,INDEX(Profils!$AA$5:$AA$34,$AE129)&lt;=$AH129),ROUND(INDEX(Profils!$L$5:$L$34,$AE129)*Paramètres!$E$28*$AG129*$AJ129,Paramètres!$F$28),0)</f>
        <v>0</v>
      </c>
      <c r="S129" s="20" t="n">
        <f aca="false" t="array" ref="S129:S129">IF(AND(INDEX(Profils!$M$5:$M$34,$AE129)&gt;0,INDEX(Profils!$AB$5:$AB$34,$AE129)&lt;=$AH129),ROUND(INDEX(Profils!$M$5:$M$34,$AE129)*Paramètres!$E$29*$AG129*$AJ129,Paramètres!$F$29),0)</f>
        <v>0</v>
      </c>
      <c r="T129" s="20" t="n">
        <f aca="false" t="array" ref="T129:T129">IF(AND(INDEX(Profils!$N$5:$N$34,$AE129)&gt;0,INDEX(Profils!$AC$5:$AC$34,$AE129)&lt;=$AH129),ROUND(INDEX(Profils!$N$5:$N$34,$AE129)*Paramètres!$E$30*$AG129*$AJ129,Paramètres!$F$30),0)</f>
        <v>0</v>
      </c>
      <c r="U129" s="19" t="n">
        <f aca="false" t="array" ref="U129:U129">IF(AND(INDEX(Profils!$O$5:$O$34,$AE129)&gt;0,INDEX(Profils!$AD$5:$AD$34,$AE129)&lt;=$AH129),ROUND(INDEX(Profils!$O$5:$O$34,$AE129)*Paramètres!$E$31*$AG129*$AJ129,Paramètres!$F$31),0)</f>
        <v>29</v>
      </c>
      <c r="V129" s="20" t="n">
        <f aca="false" t="array" ref="V129:V129">IF(AND(INDEX(Profils!$P$5:$P$34,$AE129)&gt;0,INDEX(Profils!$AE$5:$AE$34,$AE129)&lt;=$AH129),ROUND(INDEX(Profils!$P$5:$P$34,$AE129)*Paramètres!$E$32*$AG129*$AJ129,Paramètres!$F$32),0)</f>
        <v>0</v>
      </c>
      <c r="W129" s="20" t="n">
        <f aca="false" t="array" ref="W129:W129">IF(AND(INDEX(Profils!$Q$5:$Q$34,$AE129)&gt;0,INDEX(Profils!$AF$5:$AF$34,$AE129)&lt;=$AH129),ROUND(INDEX(Profils!$Q$5:$Q$34,$AE129)*Paramètres!$E$33*$AG129*$AJ129,Paramètres!$F$33),0)</f>
        <v>0.011</v>
      </c>
      <c r="X129" s="20" t="n">
        <f aca="false" t="array" ref="X129:X129">IF(AND(INDEX(Profils!$R$5:$R$34,$AE129)&gt;0,INDEX(Profils!$AG$5:$AG$34,$AE129)&lt;=$AH129),ROUND(INDEX(Profils!$R$5:$R$34,$AE129)*Paramètres!$E$34*$AG129*$AJ129,Paramètres!$F$34),0)</f>
        <v>0</v>
      </c>
      <c r="Y129" s="20" t="n">
        <f aca="false" t="array" ref="Y129:Y129">IF(AND(INDEX(Profils!$S$5:$S$34,$AE129)&gt;0,INDEX(Profils!$AH$5:$AH$34,$AE129)&lt;=$AH129),ROUND(INDEX(Profils!$S$5:$S$34,$AE129)*Paramètres!$E$35*$AG129*$AJ129,Paramètres!$F$35),0)</f>
        <v>0</v>
      </c>
      <c r="Z129" s="21" t="n">
        <f aca="false">ROUND(L129/Paramètres!$E$22+M129/Paramètres!$E$23+N129/Paramètres!$E$24+O129/Paramètres!$E$25+P129/Paramètres!$E$26+Q129/Paramètres!$E$27+R129/Paramètres!$E$28+S129/Paramètres!$E$29+T129/Paramètres!$E$30+U129/Paramètres!$E$31+V129/Paramètres!$E$32+W129/Paramètres!$E$33+X129/Paramètres!$E$34+Y129/Paramètres!$E$35,1)</f>
        <v>9.7</v>
      </c>
      <c r="AA129" s="22" t="str">
        <f aca="false" t="array" ref="AA129:AA129">INDEX(Uniques!$G$5:$G$34,MATCH($B129&amp;"|"&amp;$C129,Uniques!$A$5:$A$34,0))</f>
        <v>Piétinement givré</v>
      </c>
      <c r="AB129" s="22" t="str">
        <f aca="false" t="array" ref="AB129:AB129">INDEX(Uniques!$H$5:$H$34,MATCH($B129&amp;"|"&amp;$C129,Uniques!$A$5:$A$34,0))&amp;" ["&amp;INDEX(Uniques!$I$5:$I$34,MATCH($B129&amp;"|"&amp;$C129,Uniques!$A$5:$A$34,0))&amp;"]"</f>
        <v>Au début de chaque tour, 30 % de chance d'appliquer Froid à un ennemi aléatoire (−8 % d'Agilité pendant 2 tours). [Froid non cumulable ; gel uniquement après 3 applications sur la même cible.]</v>
      </c>
      <c r="AC129" s="15" t="str">
        <f aca="false" t="array" ref="AC129:AC129">INDEX(Matériaux!$B$5:$F$12,MATCH(INDEX(Profils!$E$5:$E$34,$AE129),Matériaux!$A$5:$A$12,0),MATCH(MIN($J129+1,100),Matériaux!$B$16:$B$20,1))</f>
        <v>mithril</v>
      </c>
      <c r="AD129" s="16" t="n">
        <f aca="false" t="array" ref="AD129:AD129">IF($I129&gt;=$AI129,"Max",ROUND(Paramètres!$B$40*($I129+1)^Paramètres!$B$41*INDEX(Paramètres!$H$6:$H$12,$AF129),0))</f>
        <v>9</v>
      </c>
      <c r="AE129" s="23" t="n">
        <f aca="false">MATCH($B129&amp;"|"&amp;$C129,Profils!$A$5:$A$34,0)</f>
        <v>4</v>
      </c>
      <c r="AF129" s="23" t="n">
        <v>7</v>
      </c>
      <c r="AG129" s="24" t="n">
        <f aca="false" t="array" ref="AG129:AG129">INDEX(Paramètres!$C$6:$C$12,$AF129)</f>
        <v>2.5</v>
      </c>
      <c r="AH129" s="23" t="n">
        <f aca="false" t="array" ref="AH129:AH129">INDEX(Paramètres!$D$6:$D$12,$AF129)</f>
        <v>7</v>
      </c>
      <c r="AI129" s="23" t="n">
        <f aca="false" t="array" ref="AI129:AI129">INDEX(Uniques!$M$5:$M$34,MATCH($B129&amp;"|"&amp;$C129,Uniques!$A$5:$A$34,0))</f>
        <v>39</v>
      </c>
      <c r="AJ129" s="25" t="n">
        <f aca="false">Paramètres!$B$16+(1-Paramètres!$B$16)*(($J129-Paramètres!$B$14)/(Paramètres!$B$15-Paramètres!$B$14))^Paramètres!$B$17</f>
        <v>0.57088622464226</v>
      </c>
    </row>
    <row r="130" customFormat="false" ht="15.75" hidden="false" customHeight="true" outlineLevel="0" collapsed="false">
      <c r="A130" s="14" t="s">
        <v>240</v>
      </c>
      <c r="B130" s="15" t="s">
        <v>27</v>
      </c>
      <c r="C130" s="15" t="s">
        <v>241</v>
      </c>
      <c r="D130" s="16" t="n">
        <v>1</v>
      </c>
      <c r="E130" s="15" t="str">
        <f aca="false" t="array" ref="E130:E130">INDEX(Matériaux!$B$5:$F$12,MATCH(INDEX(Profils!$E$5:$E$34,$AE130),Matériaux!$A$5:$A$12,0),$D130)</f>
        <v>cuivre</v>
      </c>
      <c r="F130" s="17" t="s">
        <v>108</v>
      </c>
      <c r="G130" s="10" t="str">
        <f aca="false" t="array" ref="G130:G130">INDEX(Profils!$D$5:$D$34,$AE130)&amp;" en "&amp;$E130</f>
        <v>Médaillon en cuivre</v>
      </c>
      <c r="H130" s="16" t="n">
        <f aca="false" t="array" ref="H130:H130">INDEX(Matériaux!$B$16:$B$20,$D130)</f>
        <v>1</v>
      </c>
      <c r="I130" s="16" t="n">
        <f aca="false">IF(ISNUMBER($C$3),MIN(MAX(0,ROUND($C$3,0)),$AI130),$AI130)</f>
        <v>0</v>
      </c>
      <c r="J130" s="18" t="n">
        <f aca="false">$H130+$I130</f>
        <v>1</v>
      </c>
      <c r="K130" s="15" t="s">
        <v>109</v>
      </c>
      <c r="L130" s="19" t="n">
        <f aca="false" t="array" ref="L130:L130">IF(AND(INDEX(Profils!$F$5:$F$34,$AE130)&gt;0,INDEX(Profils!$U$5:$U$34,$AE130)&lt;=$AH130),ROUND(INDEX(Profils!$F$5:$F$34,$AE130)*Paramètres!$E$22*$AG130*$AJ130,Paramètres!$F$22),0)</f>
        <v>2</v>
      </c>
      <c r="M130" s="19" t="n">
        <f aca="false" t="array" ref="M130:M130">IF(AND(INDEX(Profils!$G$5:$G$34,$AE130)&gt;0,INDEX(Profils!$V$5:$V$34,$AE130)&lt;=$AH130),ROUND(INDEX(Profils!$G$5:$G$34,$AE130)*Paramètres!$E$23*$AG130*$AJ130,Paramètres!$F$23),0)</f>
        <v>0</v>
      </c>
      <c r="N130" s="19" t="n">
        <f aca="false" t="array" ref="N130:N130">IF(AND(INDEX(Profils!$H$5:$H$34,$AE130)&gt;0,INDEX(Profils!$W$5:$W$34,$AE130)&lt;=$AH130),ROUND(INDEX(Profils!$H$5:$H$34,$AE130)*Paramètres!$E$24*$AG130*$AJ130,Paramètres!$F$24),0)</f>
        <v>1</v>
      </c>
      <c r="O130" s="19" t="n">
        <f aca="false" t="array" ref="O130:O130">IF(AND(INDEX(Profils!$I$5:$I$34,$AE130)&gt;0,INDEX(Profils!$X$5:$X$34,$AE130)&lt;=$AH130),ROUND(INDEX(Profils!$I$5:$I$34,$AE130)*Paramètres!$E$25*$AG130*$AJ130,Paramètres!$F$25),0)</f>
        <v>0</v>
      </c>
      <c r="P130" s="19" t="n">
        <f aca="false" t="array" ref="P130:P130">IF(AND(INDEX(Profils!$J$5:$J$34,$AE130)&gt;0,INDEX(Profils!$Y$5:$Y$34,$AE130)&lt;=$AH130),ROUND(INDEX(Profils!$J$5:$J$34,$AE130)*Paramètres!$E$26*$AG130*$AJ130,Paramètres!$F$26),0)</f>
        <v>0</v>
      </c>
      <c r="Q130" s="19" t="n">
        <f aca="false" t="array" ref="Q130:Q130">IF(AND(INDEX(Profils!$K$5:$K$34,$AE130)&gt;0,INDEX(Profils!$Z$5:$Z$34,$AE130)&lt;=$AH130),ROUND(INDEX(Profils!$K$5:$K$34,$AE130)*Paramètres!$E$27*$AG130*$AJ130,Paramètres!$F$27),0)</f>
        <v>0</v>
      </c>
      <c r="R130" s="20" t="n">
        <f aca="false" t="array" ref="R130:R130">IF(AND(INDEX(Profils!$L$5:$L$34,$AE130)&gt;0,INDEX(Profils!$AA$5:$AA$34,$AE130)&lt;=$AH130),ROUND(INDEX(Profils!$L$5:$L$34,$AE130)*Paramètres!$E$28*$AG130*$AJ130,Paramètres!$F$28),0)</f>
        <v>0</v>
      </c>
      <c r="S130" s="20" t="n">
        <f aca="false" t="array" ref="S130:S130">IF(AND(INDEX(Profils!$M$5:$M$34,$AE130)&gt;0,INDEX(Profils!$AB$5:$AB$34,$AE130)&lt;=$AH130),ROUND(INDEX(Profils!$M$5:$M$34,$AE130)*Paramètres!$E$29*$AG130*$AJ130,Paramètres!$F$29),0)</f>
        <v>0</v>
      </c>
      <c r="T130" s="20" t="n">
        <f aca="false" t="array" ref="T130:T130">IF(AND(INDEX(Profils!$N$5:$N$34,$AE130)&gt;0,INDEX(Profils!$AC$5:$AC$34,$AE130)&lt;=$AH130),ROUND(INDEX(Profils!$N$5:$N$34,$AE130)*Paramètres!$E$30*$AG130*$AJ130,Paramètres!$F$30),0)</f>
        <v>0</v>
      </c>
      <c r="U130" s="19" t="n">
        <f aca="false" t="array" ref="U130:U130">IF(AND(INDEX(Profils!$O$5:$O$34,$AE130)&gt;0,INDEX(Profils!$AD$5:$AD$34,$AE130)&lt;=$AH130),ROUND(INDEX(Profils!$O$5:$O$34,$AE130)*Paramètres!$E$31*$AG130*$AJ130,Paramètres!$F$31),0)</f>
        <v>0</v>
      </c>
      <c r="V130" s="20" t="n">
        <f aca="false" t="array" ref="V130:V130">IF(AND(INDEX(Profils!$P$5:$P$34,$AE130)&gt;0,INDEX(Profils!$AE$5:$AE$34,$AE130)&lt;=$AH130),ROUND(INDEX(Profils!$P$5:$P$34,$AE130)*Paramètres!$E$32*$AG130*$AJ130,Paramètres!$F$32),0)</f>
        <v>0</v>
      </c>
      <c r="W130" s="20" t="n">
        <f aca="false" t="array" ref="W130:W130">IF(AND(INDEX(Profils!$Q$5:$Q$34,$AE130)&gt;0,INDEX(Profils!$AF$5:$AF$34,$AE130)&lt;=$AH130),ROUND(INDEX(Profils!$Q$5:$Q$34,$AE130)*Paramètres!$E$33*$AG130*$AJ130,Paramètres!$F$33),0)</f>
        <v>0</v>
      </c>
      <c r="X130" s="20" t="n">
        <f aca="false" t="array" ref="X130:X130">IF(AND(INDEX(Profils!$R$5:$R$34,$AE130)&gt;0,INDEX(Profils!$AG$5:$AG$34,$AE130)&lt;=$AH130),ROUND(INDEX(Profils!$R$5:$R$34,$AE130)*Paramètres!$E$34*$AG130*$AJ130,Paramètres!$F$34),0)</f>
        <v>0</v>
      </c>
      <c r="Y130" s="20" t="n">
        <f aca="false" t="array" ref="Y130:Y130">IF(AND(INDEX(Profils!$S$5:$S$34,$AE130)&gt;0,INDEX(Profils!$AH$5:$AH$34,$AE130)&lt;=$AH130),ROUND(INDEX(Profils!$S$5:$S$34,$AE130)*Paramètres!$E$35*$AG130*$AJ130,Paramètres!$F$35),0)</f>
        <v>0</v>
      </c>
      <c r="Z130" s="21" t="n">
        <f aca="false">ROUND(L130/Paramètres!$E$22+M130/Paramètres!$E$23+N130/Paramètres!$E$24+O130/Paramètres!$E$25+P130/Paramètres!$E$26+Q130/Paramètres!$E$27+R130/Paramètres!$E$28+S130/Paramètres!$E$29+T130/Paramètres!$E$30+U130/Paramètres!$E$31+V130/Paramètres!$E$32+W130/Paramètres!$E$33+X130/Paramètres!$E$34+Y130/Paramètres!$E$35,1)</f>
        <v>0.1</v>
      </c>
      <c r="AA130" s="22" t="s">
        <v>109</v>
      </c>
      <c r="AB130" s="22" t="s">
        <v>109</v>
      </c>
      <c r="AC130" s="15" t="str">
        <f aca="false">$E130</f>
        <v>cuivre</v>
      </c>
      <c r="AD130" s="16" t="n">
        <f aca="false" t="array" ref="AD130:AD130">IF($I130&gt;=$AI130,"Max",ROUND(Paramètres!$B$40*($I130+1)^Paramètres!$B$41*INDEX(Paramètres!$H$6:$H$12,$AF130),0))</f>
        <v>3</v>
      </c>
      <c r="AE130" s="23" t="n">
        <f aca="false">MATCH($B130&amp;"|"&amp;$C130,Profils!$A$5:$A$34,0)</f>
        <v>5</v>
      </c>
      <c r="AF130" s="23" t="n">
        <v>1</v>
      </c>
      <c r="AG130" s="24" t="n">
        <f aca="false" t="array" ref="AG130:AG130">INDEX(Paramètres!$C$6:$C$12,$AF130)</f>
        <v>1</v>
      </c>
      <c r="AH130" s="23" t="n">
        <f aca="false" t="array" ref="AH130:AH130">INDEX(Paramètres!$D$6:$D$12,$AF130)</f>
        <v>2</v>
      </c>
      <c r="AI130" s="23" t="n">
        <f aca="false" t="array" ref="AI130:AI130">INDEX(Matériaux!$C$16:$C$20,$D130)</f>
        <v>19</v>
      </c>
      <c r="AJ130" s="25" t="n">
        <f aca="false">Paramètres!$B$16+(1-Paramètres!$B$16)*(($J130-Paramètres!$B$14)/(Paramètres!$B$15-Paramètres!$B$14))^Paramètres!$B$17</f>
        <v>0.05</v>
      </c>
    </row>
    <row r="131" customFormat="false" ht="15.75" hidden="false" customHeight="true" outlineLevel="0" collapsed="false">
      <c r="A131" s="14" t="s">
        <v>242</v>
      </c>
      <c r="B131" s="15" t="s">
        <v>27</v>
      </c>
      <c r="C131" s="15" t="s">
        <v>241</v>
      </c>
      <c r="D131" s="16" t="n">
        <v>1</v>
      </c>
      <c r="E131" s="15" t="str">
        <f aca="false" t="array" ref="E131:E131">INDEX(Matériaux!$B$5:$F$12,MATCH(INDEX(Profils!$E$5:$E$34,$AE131),Matériaux!$A$5:$A$12,0),$D131)</f>
        <v>cuivre</v>
      </c>
      <c r="F131" s="26" t="s">
        <v>111</v>
      </c>
      <c r="G131" s="10" t="str">
        <f aca="false" t="array" ref="G131:G131">INDEX(Profils!$D$5:$D$34,$AE131)&amp;" en "&amp;$E131</f>
        <v>Médaillon en cuivre</v>
      </c>
      <c r="H131" s="16" t="n">
        <f aca="false" t="array" ref="H131:H131">INDEX(Matériaux!$B$16:$B$20,$D131)</f>
        <v>1</v>
      </c>
      <c r="I131" s="16" t="n">
        <f aca="false">IF(ISNUMBER($C$3),MIN(MAX(0,ROUND($C$3,0)),$AI131),$AI131)</f>
        <v>0</v>
      </c>
      <c r="J131" s="18" t="n">
        <f aca="false">$H131+$I131</f>
        <v>1</v>
      </c>
      <c r="K131" s="15" t="s">
        <v>109</v>
      </c>
      <c r="L131" s="19" t="n">
        <f aca="false" t="array" ref="L131:L131">IF(AND(INDEX(Profils!$F$5:$F$34,$AE131)&gt;0,INDEX(Profils!$U$5:$U$34,$AE131)&lt;=$AH131),ROUND(INDEX(Profils!$F$5:$F$34,$AE131)*Paramètres!$E$22*$AG131*$AJ131,Paramètres!$F$22),0)</f>
        <v>2</v>
      </c>
      <c r="M131" s="19" t="n">
        <f aca="false" t="array" ref="M131:M131">IF(AND(INDEX(Profils!$G$5:$G$34,$AE131)&gt;0,INDEX(Profils!$V$5:$V$34,$AE131)&lt;=$AH131),ROUND(INDEX(Profils!$G$5:$G$34,$AE131)*Paramètres!$E$23*$AG131*$AJ131,Paramètres!$F$23),0)</f>
        <v>0</v>
      </c>
      <c r="N131" s="19" t="n">
        <f aca="false" t="array" ref="N131:N131">IF(AND(INDEX(Profils!$H$5:$H$34,$AE131)&gt;0,INDEX(Profils!$W$5:$W$34,$AE131)&lt;=$AH131),ROUND(INDEX(Profils!$H$5:$H$34,$AE131)*Paramètres!$E$24*$AG131*$AJ131,Paramètres!$F$24),0)</f>
        <v>1</v>
      </c>
      <c r="O131" s="19" t="n">
        <f aca="false" t="array" ref="O131:O131">IF(AND(INDEX(Profils!$I$5:$I$34,$AE131)&gt;0,INDEX(Profils!$X$5:$X$34,$AE131)&lt;=$AH131),ROUND(INDEX(Profils!$I$5:$I$34,$AE131)*Paramètres!$E$25*$AG131*$AJ131,Paramètres!$F$25),0)</f>
        <v>0</v>
      </c>
      <c r="P131" s="19" t="n">
        <f aca="false" t="array" ref="P131:P131">IF(AND(INDEX(Profils!$J$5:$J$34,$AE131)&gt;0,INDEX(Profils!$Y$5:$Y$34,$AE131)&lt;=$AH131),ROUND(INDEX(Profils!$J$5:$J$34,$AE131)*Paramètres!$E$26*$AG131*$AJ131,Paramètres!$F$26),0)</f>
        <v>0</v>
      </c>
      <c r="Q131" s="19" t="n">
        <f aca="false" t="array" ref="Q131:Q131">IF(AND(INDEX(Profils!$K$5:$K$34,$AE131)&gt;0,INDEX(Profils!$Z$5:$Z$34,$AE131)&lt;=$AH131),ROUND(INDEX(Profils!$K$5:$K$34,$AE131)*Paramètres!$E$27*$AG131*$AJ131,Paramètres!$F$27),0)</f>
        <v>0</v>
      </c>
      <c r="R131" s="20" t="n">
        <f aca="false" t="array" ref="R131:R131">IF(AND(INDEX(Profils!$L$5:$L$34,$AE131)&gt;0,INDEX(Profils!$AA$5:$AA$34,$AE131)&lt;=$AH131),ROUND(INDEX(Profils!$L$5:$L$34,$AE131)*Paramètres!$E$28*$AG131*$AJ131,Paramètres!$F$28),0)</f>
        <v>0</v>
      </c>
      <c r="S131" s="20" t="n">
        <f aca="false" t="array" ref="S131:S131">IF(AND(INDEX(Profils!$M$5:$M$34,$AE131)&gt;0,INDEX(Profils!$AB$5:$AB$34,$AE131)&lt;=$AH131),ROUND(INDEX(Profils!$M$5:$M$34,$AE131)*Paramètres!$E$29*$AG131*$AJ131,Paramètres!$F$29),0)</f>
        <v>0</v>
      </c>
      <c r="T131" s="20" t="n">
        <f aca="false" t="array" ref="T131:T131">IF(AND(INDEX(Profils!$N$5:$N$34,$AE131)&gt;0,INDEX(Profils!$AC$5:$AC$34,$AE131)&lt;=$AH131),ROUND(INDEX(Profils!$N$5:$N$34,$AE131)*Paramètres!$E$30*$AG131*$AJ131,Paramètres!$F$30),0)</f>
        <v>0</v>
      </c>
      <c r="U131" s="19" t="n">
        <f aca="false" t="array" ref="U131:U131">IF(AND(INDEX(Profils!$O$5:$O$34,$AE131)&gt;0,INDEX(Profils!$AD$5:$AD$34,$AE131)&lt;=$AH131),ROUND(INDEX(Profils!$O$5:$O$34,$AE131)*Paramètres!$E$31*$AG131*$AJ131,Paramètres!$F$31),0)</f>
        <v>0</v>
      </c>
      <c r="V131" s="20" t="n">
        <f aca="false" t="array" ref="V131:V131">IF(AND(INDEX(Profils!$P$5:$P$34,$AE131)&gt;0,INDEX(Profils!$AE$5:$AE$34,$AE131)&lt;=$AH131),ROUND(INDEX(Profils!$P$5:$P$34,$AE131)*Paramètres!$E$32*$AG131*$AJ131,Paramètres!$F$32),0)</f>
        <v>0</v>
      </c>
      <c r="W131" s="20" t="n">
        <f aca="false" t="array" ref="W131:W131">IF(AND(INDEX(Profils!$Q$5:$Q$34,$AE131)&gt;0,INDEX(Profils!$AF$5:$AF$34,$AE131)&lt;=$AH131),ROUND(INDEX(Profils!$Q$5:$Q$34,$AE131)*Paramètres!$E$33*$AG131*$AJ131,Paramètres!$F$33),0)</f>
        <v>0.001</v>
      </c>
      <c r="X131" s="20" t="n">
        <f aca="false" t="array" ref="X131:X131">IF(AND(INDEX(Profils!$R$5:$R$34,$AE131)&gt;0,INDEX(Profils!$AG$5:$AG$34,$AE131)&lt;=$AH131),ROUND(INDEX(Profils!$R$5:$R$34,$AE131)*Paramètres!$E$34*$AG131*$AJ131,Paramètres!$F$34),0)</f>
        <v>0</v>
      </c>
      <c r="Y131" s="20" t="n">
        <f aca="false" t="array" ref="Y131:Y131">IF(AND(INDEX(Profils!$S$5:$S$34,$AE131)&gt;0,INDEX(Profils!$AH$5:$AH$34,$AE131)&lt;=$AH131),ROUND(INDEX(Profils!$S$5:$S$34,$AE131)*Paramètres!$E$35*$AG131*$AJ131,Paramètres!$F$35),0)</f>
        <v>0</v>
      </c>
      <c r="Z131" s="21" t="n">
        <f aca="false">ROUND(L131/Paramètres!$E$22+M131/Paramètres!$E$23+N131/Paramètres!$E$24+O131/Paramètres!$E$25+P131/Paramètres!$E$26+Q131/Paramètres!$E$27+R131/Paramètres!$E$28+S131/Paramètres!$E$29+T131/Paramètres!$E$30+U131/Paramètres!$E$31+V131/Paramètres!$E$32+W131/Paramètres!$E$33+X131/Paramètres!$E$34+Y131/Paramètres!$E$35,1)</f>
        <v>0.2</v>
      </c>
      <c r="AA131" s="22" t="s">
        <v>109</v>
      </c>
      <c r="AB131" s="22" t="s">
        <v>109</v>
      </c>
      <c r="AC131" s="15" t="str">
        <f aca="false">$E131</f>
        <v>cuivre</v>
      </c>
      <c r="AD131" s="16" t="n">
        <f aca="false" t="array" ref="AD131:AD131">IF($I131&gt;=$AI131,"Max",ROUND(Paramètres!$B$40*($I131+1)^Paramètres!$B$41*INDEX(Paramètres!$H$6:$H$12,$AF131),0))</f>
        <v>4</v>
      </c>
      <c r="AE131" s="23" t="n">
        <f aca="false">MATCH($B131&amp;"|"&amp;$C131,Profils!$A$5:$A$34,0)</f>
        <v>5</v>
      </c>
      <c r="AF131" s="23" t="n">
        <v>2</v>
      </c>
      <c r="AG131" s="24" t="n">
        <f aca="false" t="array" ref="AG131:AG131">INDEX(Paramètres!$C$6:$C$12,$AF131)</f>
        <v>1.2</v>
      </c>
      <c r="AH131" s="23" t="n">
        <f aca="false" t="array" ref="AH131:AH131">INDEX(Paramètres!$D$6:$D$12,$AF131)</f>
        <v>3</v>
      </c>
      <c r="AI131" s="23" t="n">
        <f aca="false" t="array" ref="AI131:AI131">INDEX(Matériaux!$C$16:$C$20,$D131)</f>
        <v>19</v>
      </c>
      <c r="AJ131" s="25" t="n">
        <f aca="false">Paramètres!$B$16+(1-Paramètres!$B$16)*(($J131-Paramètres!$B$14)/(Paramètres!$B$15-Paramètres!$B$14))^Paramètres!$B$17</f>
        <v>0.05</v>
      </c>
    </row>
    <row r="132" customFormat="false" ht="15.75" hidden="false" customHeight="true" outlineLevel="0" collapsed="false">
      <c r="A132" s="14" t="s">
        <v>243</v>
      </c>
      <c r="B132" s="15" t="s">
        <v>27</v>
      </c>
      <c r="C132" s="15" t="s">
        <v>241</v>
      </c>
      <c r="D132" s="16" t="n">
        <v>1</v>
      </c>
      <c r="E132" s="15" t="str">
        <f aca="false" t="array" ref="E132:E132">INDEX(Matériaux!$B$5:$F$12,MATCH(INDEX(Profils!$E$5:$E$34,$AE132),Matériaux!$A$5:$A$12,0),$D132)</f>
        <v>cuivre</v>
      </c>
      <c r="F132" s="27" t="s">
        <v>113</v>
      </c>
      <c r="G132" s="10" t="str">
        <f aca="false" t="array" ref="G132:G132">INDEX(Profils!$D$5:$D$34,$AE132)&amp;" en "&amp;$E132</f>
        <v>Médaillon en cuivre</v>
      </c>
      <c r="H132" s="16" t="n">
        <f aca="false" t="array" ref="H132:H132">INDEX(Matériaux!$B$16:$B$20,$D132)</f>
        <v>1</v>
      </c>
      <c r="I132" s="16" t="n">
        <f aca="false">IF(ISNUMBER($C$3),MIN(MAX(0,ROUND($C$3,0)),$AI132),$AI132)</f>
        <v>0</v>
      </c>
      <c r="J132" s="18" t="n">
        <f aca="false">$H132+$I132</f>
        <v>1</v>
      </c>
      <c r="K132" s="15" t="s">
        <v>109</v>
      </c>
      <c r="L132" s="19" t="n">
        <f aca="false" t="array" ref="L132:L132">IF(AND(INDEX(Profils!$F$5:$F$34,$AE132)&gt;0,INDEX(Profils!$U$5:$U$34,$AE132)&lt;=$AH132),ROUND(INDEX(Profils!$F$5:$F$34,$AE132)*Paramètres!$E$22*$AG132*$AJ132,Paramètres!$F$22),0)</f>
        <v>3</v>
      </c>
      <c r="M132" s="19" t="n">
        <f aca="false" t="array" ref="M132:M132">IF(AND(INDEX(Profils!$G$5:$G$34,$AE132)&gt;0,INDEX(Profils!$V$5:$V$34,$AE132)&lt;=$AH132),ROUND(INDEX(Profils!$G$5:$G$34,$AE132)*Paramètres!$E$23*$AG132*$AJ132,Paramètres!$F$23),0)</f>
        <v>1</v>
      </c>
      <c r="N132" s="19" t="n">
        <f aca="false" t="array" ref="N132:N132">IF(AND(INDEX(Profils!$H$5:$H$34,$AE132)&gt;0,INDEX(Profils!$W$5:$W$34,$AE132)&lt;=$AH132),ROUND(INDEX(Profils!$H$5:$H$34,$AE132)*Paramètres!$E$24*$AG132*$AJ132,Paramètres!$F$24),0)</f>
        <v>1</v>
      </c>
      <c r="O132" s="19" t="n">
        <f aca="false" t="array" ref="O132:O132">IF(AND(INDEX(Profils!$I$5:$I$34,$AE132)&gt;0,INDEX(Profils!$X$5:$X$34,$AE132)&lt;=$AH132),ROUND(INDEX(Profils!$I$5:$I$34,$AE132)*Paramètres!$E$25*$AG132*$AJ132,Paramètres!$F$25),0)</f>
        <v>0</v>
      </c>
      <c r="P132" s="19" t="n">
        <f aca="false" t="array" ref="P132:P132">IF(AND(INDEX(Profils!$J$5:$J$34,$AE132)&gt;0,INDEX(Profils!$Y$5:$Y$34,$AE132)&lt;=$AH132),ROUND(INDEX(Profils!$J$5:$J$34,$AE132)*Paramètres!$E$26*$AG132*$AJ132,Paramètres!$F$26),0)</f>
        <v>0</v>
      </c>
      <c r="Q132" s="19" t="n">
        <f aca="false" t="array" ref="Q132:Q132">IF(AND(INDEX(Profils!$K$5:$K$34,$AE132)&gt;0,INDEX(Profils!$Z$5:$Z$34,$AE132)&lt;=$AH132),ROUND(INDEX(Profils!$K$5:$K$34,$AE132)*Paramètres!$E$27*$AG132*$AJ132,Paramètres!$F$27),0)</f>
        <v>0</v>
      </c>
      <c r="R132" s="20" t="n">
        <f aca="false" t="array" ref="R132:R132">IF(AND(INDEX(Profils!$L$5:$L$34,$AE132)&gt;0,INDEX(Profils!$AA$5:$AA$34,$AE132)&lt;=$AH132),ROUND(INDEX(Profils!$L$5:$L$34,$AE132)*Paramètres!$E$28*$AG132*$AJ132,Paramètres!$F$28),0)</f>
        <v>0</v>
      </c>
      <c r="S132" s="20" t="n">
        <f aca="false" t="array" ref="S132:S132">IF(AND(INDEX(Profils!$M$5:$M$34,$AE132)&gt;0,INDEX(Profils!$AB$5:$AB$34,$AE132)&lt;=$AH132),ROUND(INDEX(Profils!$M$5:$M$34,$AE132)*Paramètres!$E$29*$AG132*$AJ132,Paramètres!$F$29),0)</f>
        <v>0</v>
      </c>
      <c r="T132" s="20" t="n">
        <f aca="false" t="array" ref="T132:T132">IF(AND(INDEX(Profils!$N$5:$N$34,$AE132)&gt;0,INDEX(Profils!$AC$5:$AC$34,$AE132)&lt;=$AH132),ROUND(INDEX(Profils!$N$5:$N$34,$AE132)*Paramètres!$E$30*$AG132*$AJ132,Paramètres!$F$30),0)</f>
        <v>0</v>
      </c>
      <c r="U132" s="19" t="n">
        <f aca="false" t="array" ref="U132:U132">IF(AND(INDEX(Profils!$O$5:$O$34,$AE132)&gt;0,INDEX(Profils!$AD$5:$AD$34,$AE132)&lt;=$AH132),ROUND(INDEX(Profils!$O$5:$O$34,$AE132)*Paramètres!$E$31*$AG132*$AJ132,Paramètres!$F$31),0)</f>
        <v>0</v>
      </c>
      <c r="V132" s="20" t="n">
        <f aca="false" t="array" ref="V132:V132">IF(AND(INDEX(Profils!$P$5:$P$34,$AE132)&gt;0,INDEX(Profils!$AE$5:$AE$34,$AE132)&lt;=$AH132),ROUND(INDEX(Profils!$P$5:$P$34,$AE132)*Paramètres!$E$32*$AG132*$AJ132,Paramètres!$F$32),0)</f>
        <v>0</v>
      </c>
      <c r="W132" s="20" t="n">
        <f aca="false" t="array" ref="W132:W132">IF(AND(INDEX(Profils!$Q$5:$Q$34,$AE132)&gt;0,INDEX(Profils!$AF$5:$AF$34,$AE132)&lt;=$AH132),ROUND(INDEX(Profils!$Q$5:$Q$34,$AE132)*Paramètres!$E$33*$AG132*$AJ132,Paramètres!$F$33),0)</f>
        <v>0.001</v>
      </c>
      <c r="X132" s="20" t="n">
        <f aca="false" t="array" ref="X132:X132">IF(AND(INDEX(Profils!$R$5:$R$34,$AE132)&gt;0,INDEX(Profils!$AG$5:$AG$34,$AE132)&lt;=$AH132),ROUND(INDEX(Profils!$R$5:$R$34,$AE132)*Paramètres!$E$34*$AG132*$AJ132,Paramètres!$F$34),0)</f>
        <v>0</v>
      </c>
      <c r="Y132" s="20" t="n">
        <f aca="false" t="array" ref="Y132:Y132">IF(AND(INDEX(Profils!$S$5:$S$34,$AE132)&gt;0,INDEX(Profils!$AH$5:$AH$34,$AE132)&lt;=$AH132),ROUND(INDEX(Profils!$S$5:$S$34,$AE132)*Paramètres!$E$35*$AG132*$AJ132,Paramètres!$F$35),0)</f>
        <v>0</v>
      </c>
      <c r="Z132" s="21" t="n">
        <f aca="false">ROUND(L132/Paramètres!$E$22+M132/Paramètres!$E$23+N132/Paramètres!$E$24+O132/Paramètres!$E$25+P132/Paramètres!$E$26+Q132/Paramètres!$E$27+R132/Paramètres!$E$28+S132/Paramètres!$E$29+T132/Paramètres!$E$30+U132/Paramètres!$E$31+V132/Paramètres!$E$32+W132/Paramètres!$E$33+X132/Paramètres!$E$34+Y132/Paramètres!$E$35,1)</f>
        <v>0.3</v>
      </c>
      <c r="AA132" s="22" t="s">
        <v>109</v>
      </c>
      <c r="AB132" s="22" t="s">
        <v>109</v>
      </c>
      <c r="AC132" s="15" t="str">
        <f aca="false">$E132</f>
        <v>cuivre</v>
      </c>
      <c r="AD132" s="16" t="n">
        <f aca="false" t="array" ref="AD132:AD132">IF($I132&gt;=$AI132,"Max",ROUND(Paramètres!$B$40*($I132+1)^Paramètres!$B$41*INDEX(Paramètres!$H$6:$H$12,$AF132),0))</f>
        <v>4</v>
      </c>
      <c r="AE132" s="23" t="n">
        <f aca="false">MATCH($B132&amp;"|"&amp;$C132,Profils!$A$5:$A$34,0)</f>
        <v>5</v>
      </c>
      <c r="AF132" s="23" t="n">
        <v>3</v>
      </c>
      <c r="AG132" s="24" t="n">
        <f aca="false" t="array" ref="AG132:AG132">INDEX(Paramètres!$C$6:$C$12,$AF132)</f>
        <v>1.45</v>
      </c>
      <c r="AH132" s="23" t="n">
        <f aca="false" t="array" ref="AH132:AH132">INDEX(Paramètres!$D$6:$D$12,$AF132)</f>
        <v>4</v>
      </c>
      <c r="AI132" s="23" t="n">
        <f aca="false" t="array" ref="AI132:AI132">INDEX(Matériaux!$C$16:$C$20,$D132)</f>
        <v>19</v>
      </c>
      <c r="AJ132" s="25" t="n">
        <f aca="false">Paramètres!$B$16+(1-Paramètres!$B$16)*(($J132-Paramètres!$B$14)/(Paramètres!$B$15-Paramètres!$B$14))^Paramètres!$B$17</f>
        <v>0.05</v>
      </c>
    </row>
    <row r="133" customFormat="false" ht="15.75" hidden="false" customHeight="true" outlineLevel="0" collapsed="false">
      <c r="A133" s="14" t="s">
        <v>244</v>
      </c>
      <c r="B133" s="15" t="s">
        <v>27</v>
      </c>
      <c r="C133" s="15" t="s">
        <v>241</v>
      </c>
      <c r="D133" s="16" t="n">
        <v>1</v>
      </c>
      <c r="E133" s="15" t="str">
        <f aca="false" t="array" ref="E133:E133">INDEX(Matériaux!$B$5:$F$12,MATCH(INDEX(Profils!$E$5:$E$34,$AE133),Matériaux!$A$5:$A$12,0),$D133)</f>
        <v>cuivre</v>
      </c>
      <c r="F133" s="28" t="s">
        <v>115</v>
      </c>
      <c r="G133" s="10" t="str">
        <f aca="false" t="array" ref="G133:G133">INDEX(Profils!$D$5:$D$34,$AE133)&amp;" en "&amp;$E133</f>
        <v>Médaillon en cuivre</v>
      </c>
      <c r="H133" s="16" t="n">
        <f aca="false" t="array" ref="H133:H133">INDEX(Matériaux!$B$16:$B$20,$D133)</f>
        <v>1</v>
      </c>
      <c r="I133" s="16" t="n">
        <f aca="false">IF(ISNUMBER($C$3),MIN(MAX(0,ROUND($C$3,0)),$AI133),$AI133)</f>
        <v>0</v>
      </c>
      <c r="J133" s="18" t="n">
        <f aca="false">$H133+$I133</f>
        <v>1</v>
      </c>
      <c r="K133" s="15" t="s">
        <v>109</v>
      </c>
      <c r="L133" s="19" t="n">
        <f aca="false" t="array" ref="L133:L133">IF(AND(INDEX(Profils!$F$5:$F$34,$AE133)&gt;0,INDEX(Profils!$U$5:$U$34,$AE133)&lt;=$AH133),ROUND(INDEX(Profils!$F$5:$F$34,$AE133)*Paramètres!$E$22*$AG133*$AJ133,Paramètres!$F$22),0)</f>
        <v>3</v>
      </c>
      <c r="M133" s="19" t="n">
        <f aca="false" t="array" ref="M133:M133">IF(AND(INDEX(Profils!$G$5:$G$34,$AE133)&gt;0,INDEX(Profils!$V$5:$V$34,$AE133)&lt;=$AH133),ROUND(INDEX(Profils!$G$5:$G$34,$AE133)*Paramètres!$E$23*$AG133*$AJ133,Paramètres!$F$23),0)</f>
        <v>1</v>
      </c>
      <c r="N133" s="19" t="n">
        <f aca="false" t="array" ref="N133:N133">IF(AND(INDEX(Profils!$H$5:$H$34,$AE133)&gt;0,INDEX(Profils!$W$5:$W$34,$AE133)&lt;=$AH133),ROUND(INDEX(Profils!$H$5:$H$34,$AE133)*Paramètres!$E$24*$AG133*$AJ133,Paramètres!$F$24),0)</f>
        <v>1</v>
      </c>
      <c r="O133" s="19" t="n">
        <f aca="false" t="array" ref="O133:O133">IF(AND(INDEX(Profils!$I$5:$I$34,$AE133)&gt;0,INDEX(Profils!$X$5:$X$34,$AE133)&lt;=$AH133),ROUND(INDEX(Profils!$I$5:$I$34,$AE133)*Paramètres!$E$25*$AG133*$AJ133,Paramètres!$F$25),0)</f>
        <v>0</v>
      </c>
      <c r="P133" s="19" t="n">
        <f aca="false" t="array" ref="P133:P133">IF(AND(INDEX(Profils!$J$5:$J$34,$AE133)&gt;0,INDEX(Profils!$Y$5:$Y$34,$AE133)&lt;=$AH133),ROUND(INDEX(Profils!$J$5:$J$34,$AE133)*Paramètres!$E$26*$AG133*$AJ133,Paramètres!$F$26),0)</f>
        <v>0</v>
      </c>
      <c r="Q133" s="19" t="n">
        <f aca="false" t="array" ref="Q133:Q133">IF(AND(INDEX(Profils!$K$5:$K$34,$AE133)&gt;0,INDEX(Profils!$Z$5:$Z$34,$AE133)&lt;=$AH133),ROUND(INDEX(Profils!$K$5:$K$34,$AE133)*Paramètres!$E$27*$AG133*$AJ133,Paramètres!$F$27),0)</f>
        <v>0</v>
      </c>
      <c r="R133" s="20" t="n">
        <f aca="false" t="array" ref="R133:R133">IF(AND(INDEX(Profils!$L$5:$L$34,$AE133)&gt;0,INDEX(Profils!$AA$5:$AA$34,$AE133)&lt;=$AH133),ROUND(INDEX(Profils!$L$5:$L$34,$AE133)*Paramètres!$E$28*$AG133*$AJ133,Paramètres!$F$28),0)</f>
        <v>0</v>
      </c>
      <c r="S133" s="20" t="n">
        <f aca="false" t="array" ref="S133:S133">IF(AND(INDEX(Profils!$M$5:$M$34,$AE133)&gt;0,INDEX(Profils!$AB$5:$AB$34,$AE133)&lt;=$AH133),ROUND(INDEX(Profils!$M$5:$M$34,$AE133)*Paramètres!$E$29*$AG133*$AJ133,Paramètres!$F$29),0)</f>
        <v>0</v>
      </c>
      <c r="T133" s="20" t="n">
        <f aca="false" t="array" ref="T133:T133">IF(AND(INDEX(Profils!$N$5:$N$34,$AE133)&gt;0,INDEX(Profils!$AC$5:$AC$34,$AE133)&lt;=$AH133),ROUND(INDEX(Profils!$N$5:$N$34,$AE133)*Paramètres!$E$30*$AG133*$AJ133,Paramètres!$F$30),0)</f>
        <v>0</v>
      </c>
      <c r="U133" s="19" t="n">
        <f aca="false" t="array" ref="U133:U133">IF(AND(INDEX(Profils!$O$5:$O$34,$AE133)&gt;0,INDEX(Profils!$AD$5:$AD$34,$AE133)&lt;=$AH133),ROUND(INDEX(Profils!$O$5:$O$34,$AE133)*Paramètres!$E$31*$AG133*$AJ133,Paramètres!$F$31),0)</f>
        <v>0</v>
      </c>
      <c r="V133" s="20" t="n">
        <f aca="false" t="array" ref="V133:V133">IF(AND(INDEX(Profils!$P$5:$P$34,$AE133)&gt;0,INDEX(Profils!$AE$5:$AE$34,$AE133)&lt;=$AH133),ROUND(INDEX(Profils!$P$5:$P$34,$AE133)*Paramètres!$E$32*$AG133*$AJ133,Paramètres!$F$32),0)</f>
        <v>0</v>
      </c>
      <c r="W133" s="20" t="n">
        <f aca="false" t="array" ref="W133:W133">IF(AND(INDEX(Profils!$Q$5:$Q$34,$AE133)&gt;0,INDEX(Profils!$AF$5:$AF$34,$AE133)&lt;=$AH133),ROUND(INDEX(Profils!$Q$5:$Q$34,$AE133)*Paramètres!$E$33*$AG133*$AJ133,Paramètres!$F$33),0)</f>
        <v>0.001</v>
      </c>
      <c r="X133" s="20" t="n">
        <f aca="false" t="array" ref="X133:X133">IF(AND(INDEX(Profils!$R$5:$R$34,$AE133)&gt;0,INDEX(Profils!$AG$5:$AG$34,$AE133)&lt;=$AH133),ROUND(INDEX(Profils!$R$5:$R$34,$AE133)*Paramètres!$E$34*$AG133*$AJ133,Paramètres!$F$34),0)</f>
        <v>0</v>
      </c>
      <c r="Y133" s="20" t="n">
        <f aca="false" t="array" ref="Y133:Y133">IF(AND(INDEX(Profils!$S$5:$S$34,$AE133)&gt;0,INDEX(Profils!$AH$5:$AH$34,$AE133)&lt;=$AH133),ROUND(INDEX(Profils!$S$5:$S$34,$AE133)*Paramètres!$E$35*$AG133*$AJ133,Paramètres!$F$35),0)</f>
        <v>0.001</v>
      </c>
      <c r="Z133" s="21" t="n">
        <f aca="false">ROUND(L133/Paramètres!$E$22+M133/Paramètres!$E$23+N133/Paramètres!$E$24+O133/Paramètres!$E$25+P133/Paramètres!$E$26+Q133/Paramètres!$E$27+R133/Paramètres!$E$28+S133/Paramètres!$E$29+T133/Paramètres!$E$30+U133/Paramètres!$E$31+V133/Paramètres!$E$32+W133/Paramètres!$E$33+X133/Paramètres!$E$34+Y133/Paramètres!$E$35,1)</f>
        <v>0.4</v>
      </c>
      <c r="AA133" s="22" t="s">
        <v>109</v>
      </c>
      <c r="AB133" s="22" t="s">
        <v>109</v>
      </c>
      <c r="AC133" s="15" t="str">
        <f aca="false">$E133</f>
        <v>cuivre</v>
      </c>
      <c r="AD133" s="16" t="n">
        <f aca="false" t="array" ref="AD133:AD133">IF($I133&gt;=$AI133,"Max",ROUND(Paramètres!$B$40*($I133+1)^Paramètres!$B$41*INDEX(Paramètres!$H$6:$H$12,$AF133),0))</f>
        <v>5</v>
      </c>
      <c r="AE133" s="23" t="n">
        <f aca="false">MATCH($B133&amp;"|"&amp;$C133,Profils!$A$5:$A$34,0)</f>
        <v>5</v>
      </c>
      <c r="AF133" s="23" t="n">
        <v>4</v>
      </c>
      <c r="AG133" s="24" t="n">
        <f aca="false" t="array" ref="AG133:AG133">INDEX(Paramètres!$C$6:$C$12,$AF133)</f>
        <v>1.75</v>
      </c>
      <c r="AH133" s="23" t="n">
        <f aca="false" t="array" ref="AH133:AH133">INDEX(Paramètres!$D$6:$D$12,$AF133)</f>
        <v>5</v>
      </c>
      <c r="AI133" s="23" t="n">
        <f aca="false" t="array" ref="AI133:AI133">INDEX(Matériaux!$C$16:$C$20,$D133)</f>
        <v>19</v>
      </c>
      <c r="AJ133" s="25" t="n">
        <f aca="false">Paramètres!$B$16+(1-Paramètres!$B$16)*(($J133-Paramètres!$B$14)/(Paramètres!$B$15-Paramètres!$B$14))^Paramètres!$B$17</f>
        <v>0.05</v>
      </c>
    </row>
    <row r="134" customFormat="false" ht="15.75" hidden="false" customHeight="true" outlineLevel="0" collapsed="false">
      <c r="A134" s="14" t="s">
        <v>245</v>
      </c>
      <c r="B134" s="15" t="s">
        <v>27</v>
      </c>
      <c r="C134" s="15" t="s">
        <v>241</v>
      </c>
      <c r="D134" s="16" t="n">
        <v>1</v>
      </c>
      <c r="E134" s="15" t="str">
        <f aca="false" t="array" ref="E134:E134">INDEX(Matériaux!$B$5:$F$12,MATCH(INDEX(Profils!$E$5:$E$34,$AE134),Matériaux!$A$5:$A$12,0),$D134)</f>
        <v>cuivre</v>
      </c>
      <c r="F134" s="29" t="s">
        <v>117</v>
      </c>
      <c r="G134" s="10" t="str">
        <f aca="false" t="array" ref="G134:G134">INDEX(Profils!$D$5:$D$34,$AE134)&amp;" en "&amp;$E134</f>
        <v>Médaillon en cuivre</v>
      </c>
      <c r="H134" s="16" t="n">
        <f aca="false" t="array" ref="H134:H134">INDEX(Matériaux!$B$16:$B$20,$D134)</f>
        <v>1</v>
      </c>
      <c r="I134" s="16" t="n">
        <f aca="false">IF(ISNUMBER($C$3),MIN(MAX(0,ROUND($C$3,0)),$AI134),$AI134)</f>
        <v>0</v>
      </c>
      <c r="J134" s="18" t="n">
        <f aca="false">$H134+$I134</f>
        <v>1</v>
      </c>
      <c r="K134" s="15" t="s">
        <v>109</v>
      </c>
      <c r="L134" s="19" t="n">
        <f aca="false" t="array" ref="L134:L134">IF(AND(INDEX(Profils!$F$5:$F$34,$AE134)&gt;0,INDEX(Profils!$U$5:$U$34,$AE134)&lt;=$AH134),ROUND(INDEX(Profils!$F$5:$F$34,$AE134)*Paramètres!$E$22*$AG134*$AJ134,Paramètres!$F$22),0)</f>
        <v>4</v>
      </c>
      <c r="M134" s="19" t="n">
        <f aca="false" t="array" ref="M134:M134">IF(AND(INDEX(Profils!$G$5:$G$34,$AE134)&gt;0,INDEX(Profils!$V$5:$V$34,$AE134)&lt;=$AH134),ROUND(INDEX(Profils!$G$5:$G$34,$AE134)*Paramètres!$E$23*$AG134*$AJ134,Paramètres!$F$23),0)</f>
        <v>1</v>
      </c>
      <c r="N134" s="19" t="n">
        <f aca="false" t="array" ref="N134:N134">IF(AND(INDEX(Profils!$H$5:$H$34,$AE134)&gt;0,INDEX(Profils!$W$5:$W$34,$AE134)&lt;=$AH134),ROUND(INDEX(Profils!$H$5:$H$34,$AE134)*Paramètres!$E$24*$AG134*$AJ134,Paramètres!$F$24),0)</f>
        <v>2</v>
      </c>
      <c r="O134" s="19" t="n">
        <f aca="false" t="array" ref="O134:O134">IF(AND(INDEX(Profils!$I$5:$I$34,$AE134)&gt;0,INDEX(Profils!$X$5:$X$34,$AE134)&lt;=$AH134),ROUND(INDEX(Profils!$I$5:$I$34,$AE134)*Paramètres!$E$25*$AG134*$AJ134,Paramètres!$F$25),0)</f>
        <v>0</v>
      </c>
      <c r="P134" s="19" t="n">
        <f aca="false" t="array" ref="P134:P134">IF(AND(INDEX(Profils!$J$5:$J$34,$AE134)&gt;0,INDEX(Profils!$Y$5:$Y$34,$AE134)&lt;=$AH134),ROUND(INDEX(Profils!$J$5:$J$34,$AE134)*Paramètres!$E$26*$AG134*$AJ134,Paramètres!$F$26),0)</f>
        <v>1</v>
      </c>
      <c r="Q134" s="19" t="n">
        <f aca="false" t="array" ref="Q134:Q134">IF(AND(INDEX(Profils!$K$5:$K$34,$AE134)&gt;0,INDEX(Profils!$Z$5:$Z$34,$AE134)&lt;=$AH134),ROUND(INDEX(Profils!$K$5:$K$34,$AE134)*Paramètres!$E$27*$AG134*$AJ134,Paramètres!$F$27),0)</f>
        <v>0</v>
      </c>
      <c r="R134" s="20" t="n">
        <f aca="false" t="array" ref="R134:R134">IF(AND(INDEX(Profils!$L$5:$L$34,$AE134)&gt;0,INDEX(Profils!$AA$5:$AA$34,$AE134)&lt;=$AH134),ROUND(INDEX(Profils!$L$5:$L$34,$AE134)*Paramètres!$E$28*$AG134*$AJ134,Paramètres!$F$28),0)</f>
        <v>0</v>
      </c>
      <c r="S134" s="20" t="n">
        <f aca="false" t="array" ref="S134:S134">IF(AND(INDEX(Profils!$M$5:$M$34,$AE134)&gt;0,INDEX(Profils!$AB$5:$AB$34,$AE134)&lt;=$AH134),ROUND(INDEX(Profils!$M$5:$M$34,$AE134)*Paramètres!$E$29*$AG134*$AJ134,Paramètres!$F$29),0)</f>
        <v>0</v>
      </c>
      <c r="T134" s="20" t="n">
        <f aca="false" t="array" ref="T134:T134">IF(AND(INDEX(Profils!$N$5:$N$34,$AE134)&gt;0,INDEX(Profils!$AC$5:$AC$34,$AE134)&lt;=$AH134),ROUND(INDEX(Profils!$N$5:$N$34,$AE134)*Paramètres!$E$30*$AG134*$AJ134,Paramètres!$F$30),0)</f>
        <v>0</v>
      </c>
      <c r="U134" s="19" t="n">
        <f aca="false" t="array" ref="U134:U134">IF(AND(INDEX(Profils!$O$5:$O$34,$AE134)&gt;0,INDEX(Profils!$AD$5:$AD$34,$AE134)&lt;=$AH134),ROUND(INDEX(Profils!$O$5:$O$34,$AE134)*Paramètres!$E$31*$AG134*$AJ134,Paramètres!$F$31),0)</f>
        <v>0</v>
      </c>
      <c r="V134" s="20" t="n">
        <f aca="false" t="array" ref="V134:V134">IF(AND(INDEX(Profils!$P$5:$P$34,$AE134)&gt;0,INDEX(Profils!$AE$5:$AE$34,$AE134)&lt;=$AH134),ROUND(INDEX(Profils!$P$5:$P$34,$AE134)*Paramètres!$E$32*$AG134*$AJ134,Paramètres!$F$32),0)</f>
        <v>0</v>
      </c>
      <c r="W134" s="20" t="n">
        <f aca="false" t="array" ref="W134:W134">IF(AND(INDEX(Profils!$Q$5:$Q$34,$AE134)&gt;0,INDEX(Profils!$AF$5:$AF$34,$AE134)&lt;=$AH134),ROUND(INDEX(Profils!$Q$5:$Q$34,$AE134)*Paramètres!$E$33*$AG134*$AJ134,Paramètres!$F$33),0)</f>
        <v>0.002</v>
      </c>
      <c r="X134" s="20" t="n">
        <f aca="false" t="array" ref="X134:X134">IF(AND(INDEX(Profils!$R$5:$R$34,$AE134)&gt;0,INDEX(Profils!$AG$5:$AG$34,$AE134)&lt;=$AH134),ROUND(INDEX(Profils!$R$5:$R$34,$AE134)*Paramètres!$E$34*$AG134*$AJ134,Paramètres!$F$34),0)</f>
        <v>0</v>
      </c>
      <c r="Y134" s="20" t="n">
        <f aca="false" t="array" ref="Y134:Y134">IF(AND(INDEX(Profils!$S$5:$S$34,$AE134)&gt;0,INDEX(Profils!$AH$5:$AH$34,$AE134)&lt;=$AH134),ROUND(INDEX(Profils!$S$5:$S$34,$AE134)*Paramètres!$E$35*$AG134*$AJ134,Paramètres!$F$35),0)</f>
        <v>0.001</v>
      </c>
      <c r="Z134" s="21" t="n">
        <f aca="false">ROUND(L134/Paramètres!$E$22+M134/Paramètres!$E$23+N134/Paramètres!$E$24+O134/Paramètres!$E$25+P134/Paramètres!$E$26+Q134/Paramètres!$E$27+R134/Paramètres!$E$28+S134/Paramètres!$E$29+T134/Paramètres!$E$30+U134/Paramètres!$E$31+V134/Paramètres!$E$32+W134/Paramètres!$E$33+X134/Paramètres!$E$34+Y134/Paramètres!$E$35,1)</f>
        <v>0.6</v>
      </c>
      <c r="AA134" s="22" t="s">
        <v>109</v>
      </c>
      <c r="AB134" s="22" t="s">
        <v>109</v>
      </c>
      <c r="AC134" s="15" t="str">
        <f aca="false">$E134</f>
        <v>cuivre</v>
      </c>
      <c r="AD134" s="16" t="n">
        <f aca="false" t="array" ref="AD134:AD134">IF($I134&gt;=$AI134,"Max",ROUND(Paramètres!$B$40*($I134+1)^Paramètres!$B$41*INDEX(Paramètres!$H$6:$H$12,$AF134),0))</f>
        <v>6</v>
      </c>
      <c r="AE134" s="23" t="n">
        <f aca="false">MATCH($B134&amp;"|"&amp;$C134,Profils!$A$5:$A$34,0)</f>
        <v>5</v>
      </c>
      <c r="AF134" s="23" t="n">
        <v>5</v>
      </c>
      <c r="AG134" s="24" t="n">
        <f aca="false" t="array" ref="AG134:AG134">INDEX(Paramètres!$C$6:$C$12,$AF134)</f>
        <v>2.1</v>
      </c>
      <c r="AH134" s="23" t="n">
        <f aca="false" t="array" ref="AH134:AH134">INDEX(Paramètres!$D$6:$D$12,$AF134)</f>
        <v>6</v>
      </c>
      <c r="AI134" s="23" t="n">
        <f aca="false" t="array" ref="AI134:AI134">INDEX(Matériaux!$C$16:$C$20,$D134)</f>
        <v>19</v>
      </c>
      <c r="AJ134" s="25" t="n">
        <f aca="false">Paramètres!$B$16+(1-Paramètres!$B$16)*(($J134-Paramètres!$B$14)/(Paramètres!$B$15-Paramètres!$B$14))^Paramètres!$B$17</f>
        <v>0.05</v>
      </c>
    </row>
    <row r="135" customFormat="false" ht="15.75" hidden="false" customHeight="true" outlineLevel="0" collapsed="false">
      <c r="A135" s="14" t="s">
        <v>246</v>
      </c>
      <c r="B135" s="15" t="s">
        <v>27</v>
      </c>
      <c r="C135" s="15" t="s">
        <v>241</v>
      </c>
      <c r="D135" s="16" t="n">
        <v>1</v>
      </c>
      <c r="E135" s="15" t="str">
        <f aca="false" t="array" ref="E135:E135">INDEX(Matériaux!$B$5:$F$12,MATCH(INDEX(Profils!$E$5:$E$34,$AE135),Matériaux!$A$5:$A$12,0),$D135)</f>
        <v>cuivre</v>
      </c>
      <c r="F135" s="30" t="s">
        <v>119</v>
      </c>
      <c r="G135" s="10" t="str">
        <f aca="false" t="array" ref="G135:G135">INDEX(Profils!$D$5:$D$34,$AE135)&amp;" en "&amp;$E135</f>
        <v>Médaillon en cuivre</v>
      </c>
      <c r="H135" s="16" t="n">
        <f aca="false" t="array" ref="H135:H135">INDEX(Matériaux!$B$16:$B$20,$D135)</f>
        <v>1</v>
      </c>
      <c r="I135" s="16" t="n">
        <f aca="false">IF(ISNUMBER($C$3),MIN(MAX(0,ROUND($C$3,0)),$AI135),$AI135)</f>
        <v>0</v>
      </c>
      <c r="J135" s="18" t="n">
        <f aca="false">$H135+$I135</f>
        <v>1</v>
      </c>
      <c r="K135" s="15" t="s">
        <v>109</v>
      </c>
      <c r="L135" s="19" t="n">
        <f aca="false" t="array" ref="L135:L135">IF(AND(INDEX(Profils!$F$5:$F$34,$AE135)&gt;0,INDEX(Profils!$U$5:$U$34,$AE135)&lt;=$AH135),ROUND(INDEX(Profils!$F$5:$F$34,$AE135)*Paramètres!$E$22*$AG135*$AJ135,Paramètres!$F$22),0)</f>
        <v>4</v>
      </c>
      <c r="M135" s="19" t="n">
        <f aca="false" t="array" ref="M135:M135">IF(AND(INDEX(Profils!$G$5:$G$34,$AE135)&gt;0,INDEX(Profils!$V$5:$V$34,$AE135)&lt;=$AH135),ROUND(INDEX(Profils!$G$5:$G$34,$AE135)*Paramètres!$E$23*$AG135*$AJ135,Paramètres!$F$23),0)</f>
        <v>1</v>
      </c>
      <c r="N135" s="19" t="n">
        <f aca="false" t="array" ref="N135:N135">IF(AND(INDEX(Profils!$H$5:$H$34,$AE135)&gt;0,INDEX(Profils!$W$5:$W$34,$AE135)&lt;=$AH135),ROUND(INDEX(Profils!$H$5:$H$34,$AE135)*Paramètres!$E$24*$AG135*$AJ135,Paramètres!$F$24),0)</f>
        <v>2</v>
      </c>
      <c r="O135" s="19" t="n">
        <f aca="false" t="array" ref="O135:O135">IF(AND(INDEX(Profils!$I$5:$I$34,$AE135)&gt;0,INDEX(Profils!$X$5:$X$34,$AE135)&lt;=$AH135),ROUND(INDEX(Profils!$I$5:$I$34,$AE135)*Paramètres!$E$25*$AG135*$AJ135,Paramètres!$F$25),0)</f>
        <v>0</v>
      </c>
      <c r="P135" s="19" t="n">
        <f aca="false" t="array" ref="P135:P135">IF(AND(INDEX(Profils!$J$5:$J$34,$AE135)&gt;0,INDEX(Profils!$Y$5:$Y$34,$AE135)&lt;=$AH135),ROUND(INDEX(Profils!$J$5:$J$34,$AE135)*Paramètres!$E$26*$AG135*$AJ135,Paramètres!$F$26),0)</f>
        <v>1</v>
      </c>
      <c r="Q135" s="19" t="n">
        <f aca="false" t="array" ref="Q135:Q135">IF(AND(INDEX(Profils!$K$5:$K$34,$AE135)&gt;0,INDEX(Profils!$Z$5:$Z$34,$AE135)&lt;=$AH135),ROUND(INDEX(Profils!$K$5:$K$34,$AE135)*Paramètres!$E$27*$AG135*$AJ135,Paramètres!$F$27),0)</f>
        <v>0</v>
      </c>
      <c r="R135" s="20" t="n">
        <f aca="false" t="array" ref="R135:R135">IF(AND(INDEX(Profils!$L$5:$L$34,$AE135)&gt;0,INDEX(Profils!$AA$5:$AA$34,$AE135)&lt;=$AH135),ROUND(INDEX(Profils!$L$5:$L$34,$AE135)*Paramètres!$E$28*$AG135*$AJ135,Paramètres!$F$28),0)</f>
        <v>0</v>
      </c>
      <c r="S135" s="20" t="n">
        <f aca="false" t="array" ref="S135:S135">IF(AND(INDEX(Profils!$M$5:$M$34,$AE135)&gt;0,INDEX(Profils!$AB$5:$AB$34,$AE135)&lt;=$AH135),ROUND(INDEX(Profils!$M$5:$M$34,$AE135)*Paramètres!$E$29*$AG135*$AJ135,Paramètres!$F$29),0)</f>
        <v>0</v>
      </c>
      <c r="T135" s="20" t="n">
        <f aca="false" t="array" ref="T135:T135">IF(AND(INDEX(Profils!$N$5:$N$34,$AE135)&gt;0,INDEX(Profils!$AC$5:$AC$34,$AE135)&lt;=$AH135),ROUND(INDEX(Profils!$N$5:$N$34,$AE135)*Paramètres!$E$30*$AG135*$AJ135,Paramètres!$F$30),0)</f>
        <v>0.001</v>
      </c>
      <c r="U135" s="19" t="n">
        <f aca="false" t="array" ref="U135:U135">IF(AND(INDEX(Profils!$O$5:$O$34,$AE135)&gt;0,INDEX(Profils!$AD$5:$AD$34,$AE135)&lt;=$AH135),ROUND(INDEX(Profils!$O$5:$O$34,$AE135)*Paramètres!$E$31*$AG135*$AJ135,Paramètres!$F$31),0)</f>
        <v>0</v>
      </c>
      <c r="V135" s="20" t="n">
        <f aca="false" t="array" ref="V135:V135">IF(AND(INDEX(Profils!$P$5:$P$34,$AE135)&gt;0,INDEX(Profils!$AE$5:$AE$34,$AE135)&lt;=$AH135),ROUND(INDEX(Profils!$P$5:$P$34,$AE135)*Paramètres!$E$32*$AG135*$AJ135,Paramètres!$F$32),0)</f>
        <v>0</v>
      </c>
      <c r="W135" s="20" t="n">
        <f aca="false" t="array" ref="W135:W135">IF(AND(INDEX(Profils!$Q$5:$Q$34,$AE135)&gt;0,INDEX(Profils!$AF$5:$AF$34,$AE135)&lt;=$AH135),ROUND(INDEX(Profils!$Q$5:$Q$34,$AE135)*Paramètres!$E$33*$AG135*$AJ135,Paramètres!$F$33),0)</f>
        <v>0.002</v>
      </c>
      <c r="X135" s="20" t="n">
        <f aca="false" t="array" ref="X135:X135">IF(AND(INDEX(Profils!$R$5:$R$34,$AE135)&gt;0,INDEX(Profils!$AG$5:$AG$34,$AE135)&lt;=$AH135),ROUND(INDEX(Profils!$R$5:$R$34,$AE135)*Paramètres!$E$34*$AG135*$AJ135,Paramètres!$F$34),0)</f>
        <v>0</v>
      </c>
      <c r="Y135" s="20" t="n">
        <f aca="false" t="array" ref="Y135:Y135">IF(AND(INDEX(Profils!$S$5:$S$34,$AE135)&gt;0,INDEX(Profils!$AH$5:$AH$34,$AE135)&lt;=$AH135),ROUND(INDEX(Profils!$S$5:$S$34,$AE135)*Paramètres!$E$35*$AG135*$AJ135,Paramètres!$F$35),0)</f>
        <v>0.001</v>
      </c>
      <c r="Z135" s="21" t="n">
        <f aca="false">ROUND(L135/Paramètres!$E$22+M135/Paramètres!$E$23+N135/Paramètres!$E$24+O135/Paramètres!$E$25+P135/Paramètres!$E$26+Q135/Paramètres!$E$27+R135/Paramètres!$E$28+S135/Paramètres!$E$29+T135/Paramètres!$E$30+U135/Paramètres!$E$31+V135/Paramètres!$E$32+W135/Paramètres!$E$33+X135/Paramètres!$E$34+Y135/Paramètres!$E$35,1)</f>
        <v>0.7</v>
      </c>
      <c r="AA135" s="22" t="s">
        <v>109</v>
      </c>
      <c r="AB135" s="22" t="s">
        <v>109</v>
      </c>
      <c r="AC135" s="15" t="str">
        <f aca="false">$E135</f>
        <v>cuivre</v>
      </c>
      <c r="AD135" s="16" t="n">
        <f aca="false" t="array" ref="AD135:AD135">IF($I135&gt;=$AI135,"Max",ROUND(Paramètres!$B$40*($I135+1)^Paramètres!$B$41*INDEX(Paramètres!$H$6:$H$12,$AF135),0))</f>
        <v>8</v>
      </c>
      <c r="AE135" s="23" t="n">
        <f aca="false">MATCH($B135&amp;"|"&amp;$C135,Profils!$A$5:$A$34,0)</f>
        <v>5</v>
      </c>
      <c r="AF135" s="23" t="n">
        <v>6</v>
      </c>
      <c r="AG135" s="24" t="n">
        <f aca="false" t="array" ref="AG135:AG135">INDEX(Paramètres!$C$6:$C$12,$AF135)</f>
        <v>2.4</v>
      </c>
      <c r="AH135" s="23" t="n">
        <f aca="false" t="array" ref="AH135:AH135">INDEX(Paramètres!$D$6:$D$12,$AF135)</f>
        <v>7</v>
      </c>
      <c r="AI135" s="23" t="n">
        <f aca="false" t="array" ref="AI135:AI135">INDEX(Matériaux!$C$16:$C$20,$D135)</f>
        <v>19</v>
      </c>
      <c r="AJ135" s="25" t="n">
        <f aca="false">Paramètres!$B$16+(1-Paramètres!$B$16)*(($J135-Paramètres!$B$14)/(Paramètres!$B$15-Paramètres!$B$14))^Paramètres!$B$17</f>
        <v>0.05</v>
      </c>
    </row>
    <row r="136" customFormat="false" ht="15.75" hidden="false" customHeight="true" outlineLevel="0" collapsed="false">
      <c r="A136" s="14" t="s">
        <v>247</v>
      </c>
      <c r="B136" s="15" t="s">
        <v>27</v>
      </c>
      <c r="C136" s="15" t="s">
        <v>241</v>
      </c>
      <c r="D136" s="16" t="n">
        <v>2</v>
      </c>
      <c r="E136" s="15" t="str">
        <f aca="false" t="array" ref="E136:E136">INDEX(Matériaux!$B$5:$F$12,MATCH(INDEX(Profils!$E$5:$E$34,$AE136),Matériaux!$A$5:$A$12,0),$D136)</f>
        <v>argent</v>
      </c>
      <c r="F136" s="17" t="s">
        <v>108</v>
      </c>
      <c r="G136" s="10" t="str">
        <f aca="false" t="array" ref="G136:G136">INDEX(Profils!$D$5:$D$34,$AE136)&amp;" en "&amp;$E136</f>
        <v>Médaillon en argent</v>
      </c>
      <c r="H136" s="16" t="n">
        <f aca="false" t="array" ref="H136:H136">INDEX(Matériaux!$B$16:$B$20,$D136)</f>
        <v>15</v>
      </c>
      <c r="I136" s="16" t="n">
        <f aca="false">IF(ISNUMBER($C$3),MIN(MAX(0,ROUND($C$3,0)),$AI136),$AI136)</f>
        <v>0</v>
      </c>
      <c r="J136" s="18" t="n">
        <f aca="false">$H136+$I136</f>
        <v>15</v>
      </c>
      <c r="K136" s="15" t="s">
        <v>109</v>
      </c>
      <c r="L136" s="19" t="n">
        <f aca="false" t="array" ref="L136:L136">IF(AND(INDEX(Profils!$F$5:$F$34,$AE136)&gt;0,INDEX(Profils!$U$5:$U$34,$AE136)&lt;=$AH136),ROUND(INDEX(Profils!$F$5:$F$34,$AE136)*Paramètres!$E$22*$AG136*$AJ136,Paramètres!$F$22),0)</f>
        <v>5</v>
      </c>
      <c r="M136" s="19" t="n">
        <f aca="false" t="array" ref="M136:M136">IF(AND(INDEX(Profils!$G$5:$G$34,$AE136)&gt;0,INDEX(Profils!$V$5:$V$34,$AE136)&lt;=$AH136),ROUND(INDEX(Profils!$G$5:$G$34,$AE136)*Paramètres!$E$23*$AG136*$AJ136,Paramètres!$F$23),0)</f>
        <v>0</v>
      </c>
      <c r="N136" s="19" t="n">
        <f aca="false" t="array" ref="N136:N136">IF(AND(INDEX(Profils!$H$5:$H$34,$AE136)&gt;0,INDEX(Profils!$W$5:$W$34,$AE136)&lt;=$AH136),ROUND(INDEX(Profils!$H$5:$H$34,$AE136)*Paramètres!$E$24*$AG136*$AJ136,Paramètres!$F$24),0)</f>
        <v>2</v>
      </c>
      <c r="O136" s="19" t="n">
        <f aca="false" t="array" ref="O136:O136">IF(AND(INDEX(Profils!$I$5:$I$34,$AE136)&gt;0,INDEX(Profils!$X$5:$X$34,$AE136)&lt;=$AH136),ROUND(INDEX(Profils!$I$5:$I$34,$AE136)*Paramètres!$E$25*$AG136*$AJ136,Paramètres!$F$25),0)</f>
        <v>0</v>
      </c>
      <c r="P136" s="19" t="n">
        <f aca="false" t="array" ref="P136:P136">IF(AND(INDEX(Profils!$J$5:$J$34,$AE136)&gt;0,INDEX(Profils!$Y$5:$Y$34,$AE136)&lt;=$AH136),ROUND(INDEX(Profils!$J$5:$J$34,$AE136)*Paramètres!$E$26*$AG136*$AJ136,Paramètres!$F$26),0)</f>
        <v>0</v>
      </c>
      <c r="Q136" s="19" t="n">
        <f aca="false" t="array" ref="Q136:Q136">IF(AND(INDEX(Profils!$K$5:$K$34,$AE136)&gt;0,INDEX(Profils!$Z$5:$Z$34,$AE136)&lt;=$AH136),ROUND(INDEX(Profils!$K$5:$K$34,$AE136)*Paramètres!$E$27*$AG136*$AJ136,Paramètres!$F$27),0)</f>
        <v>0</v>
      </c>
      <c r="R136" s="20" t="n">
        <f aca="false" t="array" ref="R136:R136">IF(AND(INDEX(Profils!$L$5:$L$34,$AE136)&gt;0,INDEX(Profils!$AA$5:$AA$34,$AE136)&lt;=$AH136),ROUND(INDEX(Profils!$L$5:$L$34,$AE136)*Paramètres!$E$28*$AG136*$AJ136,Paramètres!$F$28),0)</f>
        <v>0</v>
      </c>
      <c r="S136" s="20" t="n">
        <f aca="false" t="array" ref="S136:S136">IF(AND(INDEX(Profils!$M$5:$M$34,$AE136)&gt;0,INDEX(Profils!$AB$5:$AB$34,$AE136)&lt;=$AH136),ROUND(INDEX(Profils!$M$5:$M$34,$AE136)*Paramètres!$E$29*$AG136*$AJ136,Paramètres!$F$29),0)</f>
        <v>0</v>
      </c>
      <c r="T136" s="20" t="n">
        <f aca="false" t="array" ref="T136:T136">IF(AND(INDEX(Profils!$N$5:$N$34,$AE136)&gt;0,INDEX(Profils!$AC$5:$AC$34,$AE136)&lt;=$AH136),ROUND(INDEX(Profils!$N$5:$N$34,$AE136)*Paramètres!$E$30*$AG136*$AJ136,Paramètres!$F$30),0)</f>
        <v>0</v>
      </c>
      <c r="U136" s="19" t="n">
        <f aca="false" t="array" ref="U136:U136">IF(AND(INDEX(Profils!$O$5:$O$34,$AE136)&gt;0,INDEX(Profils!$AD$5:$AD$34,$AE136)&lt;=$AH136),ROUND(INDEX(Profils!$O$5:$O$34,$AE136)*Paramètres!$E$31*$AG136*$AJ136,Paramètres!$F$31),0)</f>
        <v>0</v>
      </c>
      <c r="V136" s="20" t="n">
        <f aca="false" t="array" ref="V136:V136">IF(AND(INDEX(Profils!$P$5:$P$34,$AE136)&gt;0,INDEX(Profils!$AE$5:$AE$34,$AE136)&lt;=$AH136),ROUND(INDEX(Profils!$P$5:$P$34,$AE136)*Paramètres!$E$32*$AG136*$AJ136,Paramètres!$F$32),0)</f>
        <v>0</v>
      </c>
      <c r="W136" s="20" t="n">
        <f aca="false" t="array" ref="W136:W136">IF(AND(INDEX(Profils!$Q$5:$Q$34,$AE136)&gt;0,INDEX(Profils!$AF$5:$AF$34,$AE136)&lt;=$AH136),ROUND(INDEX(Profils!$Q$5:$Q$34,$AE136)*Paramètres!$E$33*$AG136*$AJ136,Paramètres!$F$33),0)</f>
        <v>0</v>
      </c>
      <c r="X136" s="20" t="n">
        <f aca="false" t="array" ref="X136:X136">IF(AND(INDEX(Profils!$R$5:$R$34,$AE136)&gt;0,INDEX(Profils!$AG$5:$AG$34,$AE136)&lt;=$AH136),ROUND(INDEX(Profils!$R$5:$R$34,$AE136)*Paramètres!$E$34*$AG136*$AJ136,Paramètres!$F$34),0)</f>
        <v>0</v>
      </c>
      <c r="Y136" s="20" t="n">
        <f aca="false" t="array" ref="Y136:Y136">IF(AND(INDEX(Profils!$S$5:$S$34,$AE136)&gt;0,INDEX(Profils!$AH$5:$AH$34,$AE136)&lt;=$AH136),ROUND(INDEX(Profils!$S$5:$S$34,$AE136)*Paramètres!$E$35*$AG136*$AJ136,Paramètres!$F$35),0)</f>
        <v>0</v>
      </c>
      <c r="Z136" s="21" t="n">
        <f aca="false">ROUND(L136/Paramètres!$E$22+M136/Paramètres!$E$23+N136/Paramètres!$E$24+O136/Paramètres!$E$25+P136/Paramètres!$E$26+Q136/Paramètres!$E$27+R136/Paramètres!$E$28+S136/Paramètres!$E$29+T136/Paramètres!$E$30+U136/Paramètres!$E$31+V136/Paramètres!$E$32+W136/Paramètres!$E$33+X136/Paramètres!$E$34+Y136/Paramètres!$E$35,1)</f>
        <v>0.3</v>
      </c>
      <c r="AA136" s="22" t="s">
        <v>109</v>
      </c>
      <c r="AB136" s="22" t="s">
        <v>109</v>
      </c>
      <c r="AC136" s="15" t="str">
        <f aca="false">$E136</f>
        <v>argent</v>
      </c>
      <c r="AD136" s="16" t="n">
        <f aca="false" t="array" ref="AD136:AD136">IF($I136&gt;=$AI136,"Max",ROUND(Paramètres!$B$40*($I136+1)^Paramètres!$B$41*INDEX(Paramètres!$H$6:$H$12,$AF136),0))</f>
        <v>3</v>
      </c>
      <c r="AE136" s="23" t="n">
        <f aca="false">MATCH($B136&amp;"|"&amp;$C136,Profils!$A$5:$A$34,0)</f>
        <v>5</v>
      </c>
      <c r="AF136" s="23" t="n">
        <v>1</v>
      </c>
      <c r="AG136" s="24" t="n">
        <f aca="false" t="array" ref="AG136:AG136">INDEX(Paramètres!$C$6:$C$12,$AF136)</f>
        <v>1</v>
      </c>
      <c r="AH136" s="23" t="n">
        <f aca="false" t="array" ref="AH136:AH136">INDEX(Paramètres!$D$6:$D$12,$AF136)</f>
        <v>2</v>
      </c>
      <c r="AI136" s="23" t="n">
        <f aca="false" t="array" ref="AI136:AI136">INDEX(Matériaux!$C$16:$C$20,$D136)</f>
        <v>20</v>
      </c>
      <c r="AJ136" s="25" t="n">
        <f aca="false">Paramètres!$B$16+(1-Paramètres!$B$16)*(($J136-Paramètres!$B$14)/(Paramètres!$B$15-Paramètres!$B$14))^Paramètres!$B$17</f>
        <v>0.140847925475674</v>
      </c>
    </row>
    <row r="137" customFormat="false" ht="15.75" hidden="false" customHeight="true" outlineLevel="0" collapsed="false">
      <c r="A137" s="14" t="s">
        <v>248</v>
      </c>
      <c r="B137" s="15" t="s">
        <v>27</v>
      </c>
      <c r="C137" s="15" t="s">
        <v>241</v>
      </c>
      <c r="D137" s="16" t="n">
        <v>2</v>
      </c>
      <c r="E137" s="15" t="str">
        <f aca="false" t="array" ref="E137:E137">INDEX(Matériaux!$B$5:$F$12,MATCH(INDEX(Profils!$E$5:$E$34,$AE137),Matériaux!$A$5:$A$12,0),$D137)</f>
        <v>argent</v>
      </c>
      <c r="F137" s="26" t="s">
        <v>111</v>
      </c>
      <c r="G137" s="10" t="str">
        <f aca="false" t="array" ref="G137:G137">INDEX(Profils!$D$5:$D$34,$AE137)&amp;" en "&amp;$E137</f>
        <v>Médaillon en argent</v>
      </c>
      <c r="H137" s="16" t="n">
        <f aca="false" t="array" ref="H137:H137">INDEX(Matériaux!$B$16:$B$20,$D137)</f>
        <v>15</v>
      </c>
      <c r="I137" s="16" t="n">
        <f aca="false">IF(ISNUMBER($C$3),MIN(MAX(0,ROUND($C$3,0)),$AI137),$AI137)</f>
        <v>0</v>
      </c>
      <c r="J137" s="18" t="n">
        <f aca="false">$H137+$I137</f>
        <v>15</v>
      </c>
      <c r="K137" s="15" t="s">
        <v>109</v>
      </c>
      <c r="L137" s="19" t="n">
        <f aca="false" t="array" ref="L137:L137">IF(AND(INDEX(Profils!$F$5:$F$34,$AE137)&gt;0,INDEX(Profils!$U$5:$U$34,$AE137)&lt;=$AH137),ROUND(INDEX(Profils!$F$5:$F$34,$AE137)*Paramètres!$E$22*$AG137*$AJ137,Paramètres!$F$22),0)</f>
        <v>6</v>
      </c>
      <c r="M137" s="19" t="n">
        <f aca="false" t="array" ref="M137:M137">IF(AND(INDEX(Profils!$G$5:$G$34,$AE137)&gt;0,INDEX(Profils!$V$5:$V$34,$AE137)&lt;=$AH137),ROUND(INDEX(Profils!$G$5:$G$34,$AE137)*Paramètres!$E$23*$AG137*$AJ137,Paramètres!$F$23),0)</f>
        <v>0</v>
      </c>
      <c r="N137" s="19" t="n">
        <f aca="false" t="array" ref="N137:N137">IF(AND(INDEX(Profils!$H$5:$H$34,$AE137)&gt;0,INDEX(Profils!$W$5:$W$34,$AE137)&lt;=$AH137),ROUND(INDEX(Profils!$H$5:$H$34,$AE137)*Paramètres!$E$24*$AG137*$AJ137,Paramètres!$F$24),0)</f>
        <v>3</v>
      </c>
      <c r="O137" s="19" t="n">
        <f aca="false" t="array" ref="O137:O137">IF(AND(INDEX(Profils!$I$5:$I$34,$AE137)&gt;0,INDEX(Profils!$X$5:$X$34,$AE137)&lt;=$AH137),ROUND(INDEX(Profils!$I$5:$I$34,$AE137)*Paramètres!$E$25*$AG137*$AJ137,Paramètres!$F$25),0)</f>
        <v>0</v>
      </c>
      <c r="P137" s="19" t="n">
        <f aca="false" t="array" ref="P137:P137">IF(AND(INDEX(Profils!$J$5:$J$34,$AE137)&gt;0,INDEX(Profils!$Y$5:$Y$34,$AE137)&lt;=$AH137),ROUND(INDEX(Profils!$J$5:$J$34,$AE137)*Paramètres!$E$26*$AG137*$AJ137,Paramètres!$F$26),0)</f>
        <v>0</v>
      </c>
      <c r="Q137" s="19" t="n">
        <f aca="false" t="array" ref="Q137:Q137">IF(AND(INDEX(Profils!$K$5:$K$34,$AE137)&gt;0,INDEX(Profils!$Z$5:$Z$34,$AE137)&lt;=$AH137),ROUND(INDEX(Profils!$K$5:$K$34,$AE137)*Paramètres!$E$27*$AG137*$AJ137,Paramètres!$F$27),0)</f>
        <v>0</v>
      </c>
      <c r="R137" s="20" t="n">
        <f aca="false" t="array" ref="R137:R137">IF(AND(INDEX(Profils!$L$5:$L$34,$AE137)&gt;0,INDEX(Profils!$AA$5:$AA$34,$AE137)&lt;=$AH137),ROUND(INDEX(Profils!$L$5:$L$34,$AE137)*Paramètres!$E$28*$AG137*$AJ137,Paramètres!$F$28),0)</f>
        <v>0</v>
      </c>
      <c r="S137" s="20" t="n">
        <f aca="false" t="array" ref="S137:S137">IF(AND(INDEX(Profils!$M$5:$M$34,$AE137)&gt;0,INDEX(Profils!$AB$5:$AB$34,$AE137)&lt;=$AH137),ROUND(INDEX(Profils!$M$5:$M$34,$AE137)*Paramètres!$E$29*$AG137*$AJ137,Paramètres!$F$29),0)</f>
        <v>0</v>
      </c>
      <c r="T137" s="20" t="n">
        <f aca="false" t="array" ref="T137:T137">IF(AND(INDEX(Profils!$N$5:$N$34,$AE137)&gt;0,INDEX(Profils!$AC$5:$AC$34,$AE137)&lt;=$AH137),ROUND(INDEX(Profils!$N$5:$N$34,$AE137)*Paramètres!$E$30*$AG137*$AJ137,Paramètres!$F$30),0)</f>
        <v>0</v>
      </c>
      <c r="U137" s="19" t="n">
        <f aca="false" t="array" ref="U137:U137">IF(AND(INDEX(Profils!$O$5:$O$34,$AE137)&gt;0,INDEX(Profils!$AD$5:$AD$34,$AE137)&lt;=$AH137),ROUND(INDEX(Profils!$O$5:$O$34,$AE137)*Paramètres!$E$31*$AG137*$AJ137,Paramètres!$F$31),0)</f>
        <v>0</v>
      </c>
      <c r="V137" s="20" t="n">
        <f aca="false" t="array" ref="V137:V137">IF(AND(INDEX(Profils!$P$5:$P$34,$AE137)&gt;0,INDEX(Profils!$AE$5:$AE$34,$AE137)&lt;=$AH137),ROUND(INDEX(Profils!$P$5:$P$34,$AE137)*Paramètres!$E$32*$AG137*$AJ137,Paramètres!$F$32),0)</f>
        <v>0</v>
      </c>
      <c r="W137" s="20" t="n">
        <f aca="false" t="array" ref="W137:W137">IF(AND(INDEX(Profils!$Q$5:$Q$34,$AE137)&gt;0,INDEX(Profils!$AF$5:$AF$34,$AE137)&lt;=$AH137),ROUND(INDEX(Profils!$Q$5:$Q$34,$AE137)*Paramètres!$E$33*$AG137*$AJ137,Paramètres!$F$33),0)</f>
        <v>0.003</v>
      </c>
      <c r="X137" s="20" t="n">
        <f aca="false" t="array" ref="X137:X137">IF(AND(INDEX(Profils!$R$5:$R$34,$AE137)&gt;0,INDEX(Profils!$AG$5:$AG$34,$AE137)&lt;=$AH137),ROUND(INDEX(Profils!$R$5:$R$34,$AE137)*Paramètres!$E$34*$AG137*$AJ137,Paramètres!$F$34),0)</f>
        <v>0</v>
      </c>
      <c r="Y137" s="20" t="n">
        <f aca="false" t="array" ref="Y137:Y137">IF(AND(INDEX(Profils!$S$5:$S$34,$AE137)&gt;0,INDEX(Profils!$AH$5:$AH$34,$AE137)&lt;=$AH137),ROUND(INDEX(Profils!$S$5:$S$34,$AE137)*Paramètres!$E$35*$AG137*$AJ137,Paramètres!$F$35),0)</f>
        <v>0</v>
      </c>
      <c r="Z137" s="21" t="n">
        <f aca="false">ROUND(L137/Paramètres!$E$22+M137/Paramètres!$E$23+N137/Paramètres!$E$24+O137/Paramètres!$E$25+P137/Paramètres!$E$26+Q137/Paramètres!$E$27+R137/Paramètres!$E$28+S137/Paramètres!$E$29+T137/Paramètres!$E$30+U137/Paramètres!$E$31+V137/Paramètres!$E$32+W137/Paramètres!$E$33+X137/Paramètres!$E$34+Y137/Paramètres!$E$35,1)</f>
        <v>0.6</v>
      </c>
      <c r="AA137" s="22" t="s">
        <v>109</v>
      </c>
      <c r="AB137" s="22" t="s">
        <v>109</v>
      </c>
      <c r="AC137" s="15" t="str">
        <f aca="false">$E137</f>
        <v>argent</v>
      </c>
      <c r="AD137" s="16" t="n">
        <f aca="false" t="array" ref="AD137:AD137">IF($I137&gt;=$AI137,"Max",ROUND(Paramètres!$B$40*($I137+1)^Paramètres!$B$41*INDEX(Paramètres!$H$6:$H$12,$AF137),0))</f>
        <v>4</v>
      </c>
      <c r="AE137" s="23" t="n">
        <f aca="false">MATCH($B137&amp;"|"&amp;$C137,Profils!$A$5:$A$34,0)</f>
        <v>5</v>
      </c>
      <c r="AF137" s="23" t="n">
        <v>2</v>
      </c>
      <c r="AG137" s="24" t="n">
        <f aca="false" t="array" ref="AG137:AG137">INDEX(Paramètres!$C$6:$C$12,$AF137)</f>
        <v>1.2</v>
      </c>
      <c r="AH137" s="23" t="n">
        <f aca="false" t="array" ref="AH137:AH137">INDEX(Paramètres!$D$6:$D$12,$AF137)</f>
        <v>3</v>
      </c>
      <c r="AI137" s="23" t="n">
        <f aca="false" t="array" ref="AI137:AI137">INDEX(Matériaux!$C$16:$C$20,$D137)</f>
        <v>20</v>
      </c>
      <c r="AJ137" s="25" t="n">
        <f aca="false">Paramètres!$B$16+(1-Paramètres!$B$16)*(($J137-Paramètres!$B$14)/(Paramètres!$B$15-Paramètres!$B$14))^Paramètres!$B$17</f>
        <v>0.140847925475674</v>
      </c>
    </row>
    <row r="138" customFormat="false" ht="15.75" hidden="false" customHeight="true" outlineLevel="0" collapsed="false">
      <c r="A138" s="14" t="s">
        <v>249</v>
      </c>
      <c r="B138" s="15" t="s">
        <v>27</v>
      </c>
      <c r="C138" s="15" t="s">
        <v>241</v>
      </c>
      <c r="D138" s="16" t="n">
        <v>2</v>
      </c>
      <c r="E138" s="15" t="str">
        <f aca="false" t="array" ref="E138:E138">INDEX(Matériaux!$B$5:$F$12,MATCH(INDEX(Profils!$E$5:$E$34,$AE138),Matériaux!$A$5:$A$12,0),$D138)</f>
        <v>argent</v>
      </c>
      <c r="F138" s="27" t="s">
        <v>113</v>
      </c>
      <c r="G138" s="10" t="str">
        <f aca="false" t="array" ref="G138:G138">INDEX(Profils!$D$5:$D$34,$AE138)&amp;" en "&amp;$E138</f>
        <v>Médaillon en argent</v>
      </c>
      <c r="H138" s="16" t="n">
        <f aca="false" t="array" ref="H138:H138">INDEX(Matériaux!$B$16:$B$20,$D138)</f>
        <v>15</v>
      </c>
      <c r="I138" s="16" t="n">
        <f aca="false">IF(ISNUMBER($C$3),MIN(MAX(0,ROUND($C$3,0)),$AI138),$AI138)</f>
        <v>0</v>
      </c>
      <c r="J138" s="18" t="n">
        <f aca="false">$H138+$I138</f>
        <v>15</v>
      </c>
      <c r="K138" s="15" t="s">
        <v>109</v>
      </c>
      <c r="L138" s="19" t="n">
        <f aca="false" t="array" ref="L138:L138">IF(AND(INDEX(Profils!$F$5:$F$34,$AE138)&gt;0,INDEX(Profils!$U$5:$U$34,$AE138)&lt;=$AH138),ROUND(INDEX(Profils!$F$5:$F$34,$AE138)*Paramètres!$E$22*$AG138*$AJ138,Paramètres!$F$22),0)</f>
        <v>7</v>
      </c>
      <c r="M138" s="19" t="n">
        <f aca="false" t="array" ref="M138:M138">IF(AND(INDEX(Profils!$G$5:$G$34,$AE138)&gt;0,INDEX(Profils!$V$5:$V$34,$AE138)&lt;=$AH138),ROUND(INDEX(Profils!$G$5:$G$34,$AE138)*Paramètres!$E$23*$AG138*$AJ138,Paramètres!$F$23),0)</f>
        <v>2</v>
      </c>
      <c r="N138" s="19" t="n">
        <f aca="false" t="array" ref="N138:N138">IF(AND(INDEX(Profils!$H$5:$H$34,$AE138)&gt;0,INDEX(Profils!$W$5:$W$34,$AE138)&lt;=$AH138),ROUND(INDEX(Profils!$H$5:$H$34,$AE138)*Paramètres!$E$24*$AG138*$AJ138,Paramètres!$F$24),0)</f>
        <v>3</v>
      </c>
      <c r="O138" s="19" t="n">
        <f aca="false" t="array" ref="O138:O138">IF(AND(INDEX(Profils!$I$5:$I$34,$AE138)&gt;0,INDEX(Profils!$X$5:$X$34,$AE138)&lt;=$AH138),ROUND(INDEX(Profils!$I$5:$I$34,$AE138)*Paramètres!$E$25*$AG138*$AJ138,Paramètres!$F$25),0)</f>
        <v>0</v>
      </c>
      <c r="P138" s="19" t="n">
        <f aca="false" t="array" ref="P138:P138">IF(AND(INDEX(Profils!$J$5:$J$34,$AE138)&gt;0,INDEX(Profils!$Y$5:$Y$34,$AE138)&lt;=$AH138),ROUND(INDEX(Profils!$J$5:$J$34,$AE138)*Paramètres!$E$26*$AG138*$AJ138,Paramètres!$F$26),0)</f>
        <v>0</v>
      </c>
      <c r="Q138" s="19" t="n">
        <f aca="false" t="array" ref="Q138:Q138">IF(AND(INDEX(Profils!$K$5:$K$34,$AE138)&gt;0,INDEX(Profils!$Z$5:$Z$34,$AE138)&lt;=$AH138),ROUND(INDEX(Profils!$K$5:$K$34,$AE138)*Paramètres!$E$27*$AG138*$AJ138,Paramètres!$F$27),0)</f>
        <v>0</v>
      </c>
      <c r="R138" s="20" t="n">
        <f aca="false" t="array" ref="R138:R138">IF(AND(INDEX(Profils!$L$5:$L$34,$AE138)&gt;0,INDEX(Profils!$AA$5:$AA$34,$AE138)&lt;=$AH138),ROUND(INDEX(Profils!$L$5:$L$34,$AE138)*Paramètres!$E$28*$AG138*$AJ138,Paramètres!$F$28),0)</f>
        <v>0</v>
      </c>
      <c r="S138" s="20" t="n">
        <f aca="false" t="array" ref="S138:S138">IF(AND(INDEX(Profils!$M$5:$M$34,$AE138)&gt;0,INDEX(Profils!$AB$5:$AB$34,$AE138)&lt;=$AH138),ROUND(INDEX(Profils!$M$5:$M$34,$AE138)*Paramètres!$E$29*$AG138*$AJ138,Paramètres!$F$29),0)</f>
        <v>0</v>
      </c>
      <c r="T138" s="20" t="n">
        <f aca="false" t="array" ref="T138:T138">IF(AND(INDEX(Profils!$N$5:$N$34,$AE138)&gt;0,INDEX(Profils!$AC$5:$AC$34,$AE138)&lt;=$AH138),ROUND(INDEX(Profils!$N$5:$N$34,$AE138)*Paramètres!$E$30*$AG138*$AJ138,Paramètres!$F$30),0)</f>
        <v>0</v>
      </c>
      <c r="U138" s="19" t="n">
        <f aca="false" t="array" ref="U138:U138">IF(AND(INDEX(Profils!$O$5:$O$34,$AE138)&gt;0,INDEX(Profils!$AD$5:$AD$34,$AE138)&lt;=$AH138),ROUND(INDEX(Profils!$O$5:$O$34,$AE138)*Paramètres!$E$31*$AG138*$AJ138,Paramètres!$F$31),0)</f>
        <v>0</v>
      </c>
      <c r="V138" s="20" t="n">
        <f aca="false" t="array" ref="V138:V138">IF(AND(INDEX(Profils!$P$5:$P$34,$AE138)&gt;0,INDEX(Profils!$AE$5:$AE$34,$AE138)&lt;=$AH138),ROUND(INDEX(Profils!$P$5:$P$34,$AE138)*Paramètres!$E$32*$AG138*$AJ138,Paramètres!$F$32),0)</f>
        <v>0</v>
      </c>
      <c r="W138" s="20" t="n">
        <f aca="false" t="array" ref="W138:W138">IF(AND(INDEX(Profils!$Q$5:$Q$34,$AE138)&gt;0,INDEX(Profils!$AF$5:$AF$34,$AE138)&lt;=$AH138),ROUND(INDEX(Profils!$Q$5:$Q$34,$AE138)*Paramètres!$E$33*$AG138*$AJ138,Paramètres!$F$33),0)</f>
        <v>0.003</v>
      </c>
      <c r="X138" s="20" t="n">
        <f aca="false" t="array" ref="X138:X138">IF(AND(INDEX(Profils!$R$5:$R$34,$AE138)&gt;0,INDEX(Profils!$AG$5:$AG$34,$AE138)&lt;=$AH138),ROUND(INDEX(Profils!$R$5:$R$34,$AE138)*Paramètres!$E$34*$AG138*$AJ138,Paramètres!$F$34),0)</f>
        <v>0</v>
      </c>
      <c r="Y138" s="20" t="n">
        <f aca="false" t="array" ref="Y138:Y138">IF(AND(INDEX(Profils!$S$5:$S$34,$AE138)&gt;0,INDEX(Profils!$AH$5:$AH$34,$AE138)&lt;=$AH138),ROUND(INDEX(Profils!$S$5:$S$34,$AE138)*Paramètres!$E$35*$AG138*$AJ138,Paramètres!$F$35),0)</f>
        <v>0</v>
      </c>
      <c r="Z138" s="21" t="n">
        <f aca="false">ROUND(L138/Paramètres!$E$22+M138/Paramètres!$E$23+N138/Paramètres!$E$24+O138/Paramètres!$E$25+P138/Paramètres!$E$26+Q138/Paramètres!$E$27+R138/Paramètres!$E$28+S138/Paramètres!$E$29+T138/Paramètres!$E$30+U138/Paramètres!$E$31+V138/Paramètres!$E$32+W138/Paramètres!$E$33+X138/Paramètres!$E$34+Y138/Paramètres!$E$35,1)</f>
        <v>0.8</v>
      </c>
      <c r="AA138" s="22" t="s">
        <v>109</v>
      </c>
      <c r="AB138" s="22" t="s">
        <v>109</v>
      </c>
      <c r="AC138" s="15" t="str">
        <f aca="false">$E138</f>
        <v>argent</v>
      </c>
      <c r="AD138" s="16" t="n">
        <f aca="false" t="array" ref="AD138:AD138">IF($I138&gt;=$AI138,"Max",ROUND(Paramètres!$B$40*($I138+1)^Paramètres!$B$41*INDEX(Paramètres!$H$6:$H$12,$AF138),0))</f>
        <v>4</v>
      </c>
      <c r="AE138" s="23" t="n">
        <f aca="false">MATCH($B138&amp;"|"&amp;$C138,Profils!$A$5:$A$34,0)</f>
        <v>5</v>
      </c>
      <c r="AF138" s="23" t="n">
        <v>3</v>
      </c>
      <c r="AG138" s="24" t="n">
        <f aca="false" t="array" ref="AG138:AG138">INDEX(Paramètres!$C$6:$C$12,$AF138)</f>
        <v>1.45</v>
      </c>
      <c r="AH138" s="23" t="n">
        <f aca="false" t="array" ref="AH138:AH138">INDEX(Paramètres!$D$6:$D$12,$AF138)</f>
        <v>4</v>
      </c>
      <c r="AI138" s="23" t="n">
        <f aca="false" t="array" ref="AI138:AI138">INDEX(Matériaux!$C$16:$C$20,$D138)</f>
        <v>20</v>
      </c>
      <c r="AJ138" s="25" t="n">
        <f aca="false">Paramètres!$B$16+(1-Paramètres!$B$16)*(($J138-Paramètres!$B$14)/(Paramètres!$B$15-Paramètres!$B$14))^Paramètres!$B$17</f>
        <v>0.140847925475674</v>
      </c>
    </row>
    <row r="139" customFormat="false" ht="15.75" hidden="false" customHeight="true" outlineLevel="0" collapsed="false">
      <c r="A139" s="14" t="s">
        <v>250</v>
      </c>
      <c r="B139" s="15" t="s">
        <v>27</v>
      </c>
      <c r="C139" s="15" t="s">
        <v>241</v>
      </c>
      <c r="D139" s="16" t="n">
        <v>2</v>
      </c>
      <c r="E139" s="15" t="str">
        <f aca="false" t="array" ref="E139:E139">INDEX(Matériaux!$B$5:$F$12,MATCH(INDEX(Profils!$E$5:$E$34,$AE139),Matériaux!$A$5:$A$12,0),$D139)</f>
        <v>argent</v>
      </c>
      <c r="F139" s="28" t="s">
        <v>115</v>
      </c>
      <c r="G139" s="10" t="str">
        <f aca="false" t="array" ref="G139:G139">INDEX(Profils!$D$5:$D$34,$AE139)&amp;" en "&amp;$E139</f>
        <v>Médaillon en argent</v>
      </c>
      <c r="H139" s="16" t="n">
        <f aca="false" t="array" ref="H139:H139">INDEX(Matériaux!$B$16:$B$20,$D139)</f>
        <v>15</v>
      </c>
      <c r="I139" s="16" t="n">
        <f aca="false">IF(ISNUMBER($C$3),MIN(MAX(0,ROUND($C$3,0)),$AI139),$AI139)</f>
        <v>0</v>
      </c>
      <c r="J139" s="18" t="n">
        <f aca="false">$H139+$I139</f>
        <v>15</v>
      </c>
      <c r="K139" s="15" t="s">
        <v>109</v>
      </c>
      <c r="L139" s="19" t="n">
        <f aca="false" t="array" ref="L139:L139">IF(AND(INDEX(Profils!$F$5:$F$34,$AE139)&gt;0,INDEX(Profils!$U$5:$U$34,$AE139)&lt;=$AH139),ROUND(INDEX(Profils!$F$5:$F$34,$AE139)*Paramètres!$E$22*$AG139*$AJ139,Paramètres!$F$22),0)</f>
        <v>9</v>
      </c>
      <c r="M139" s="19" t="n">
        <f aca="false" t="array" ref="M139:M139">IF(AND(INDEX(Profils!$G$5:$G$34,$AE139)&gt;0,INDEX(Profils!$V$5:$V$34,$AE139)&lt;=$AH139),ROUND(INDEX(Profils!$G$5:$G$34,$AE139)*Paramètres!$E$23*$AG139*$AJ139,Paramètres!$F$23),0)</f>
        <v>3</v>
      </c>
      <c r="N139" s="19" t="n">
        <f aca="false" t="array" ref="N139:N139">IF(AND(INDEX(Profils!$H$5:$H$34,$AE139)&gt;0,INDEX(Profils!$W$5:$W$34,$AE139)&lt;=$AH139),ROUND(INDEX(Profils!$H$5:$H$34,$AE139)*Paramètres!$E$24*$AG139*$AJ139,Paramètres!$F$24),0)</f>
        <v>4</v>
      </c>
      <c r="O139" s="19" t="n">
        <f aca="false" t="array" ref="O139:O139">IF(AND(INDEX(Profils!$I$5:$I$34,$AE139)&gt;0,INDEX(Profils!$X$5:$X$34,$AE139)&lt;=$AH139),ROUND(INDEX(Profils!$I$5:$I$34,$AE139)*Paramètres!$E$25*$AG139*$AJ139,Paramètres!$F$25),0)</f>
        <v>0</v>
      </c>
      <c r="P139" s="19" t="n">
        <f aca="false" t="array" ref="P139:P139">IF(AND(INDEX(Profils!$J$5:$J$34,$AE139)&gt;0,INDEX(Profils!$Y$5:$Y$34,$AE139)&lt;=$AH139),ROUND(INDEX(Profils!$J$5:$J$34,$AE139)*Paramètres!$E$26*$AG139*$AJ139,Paramètres!$F$26),0)</f>
        <v>0</v>
      </c>
      <c r="Q139" s="19" t="n">
        <f aca="false" t="array" ref="Q139:Q139">IF(AND(INDEX(Profils!$K$5:$K$34,$AE139)&gt;0,INDEX(Profils!$Z$5:$Z$34,$AE139)&lt;=$AH139),ROUND(INDEX(Profils!$K$5:$K$34,$AE139)*Paramètres!$E$27*$AG139*$AJ139,Paramètres!$F$27),0)</f>
        <v>0</v>
      </c>
      <c r="R139" s="20" t="n">
        <f aca="false" t="array" ref="R139:R139">IF(AND(INDEX(Profils!$L$5:$L$34,$AE139)&gt;0,INDEX(Profils!$AA$5:$AA$34,$AE139)&lt;=$AH139),ROUND(INDEX(Profils!$L$5:$L$34,$AE139)*Paramètres!$E$28*$AG139*$AJ139,Paramètres!$F$28),0)</f>
        <v>0</v>
      </c>
      <c r="S139" s="20" t="n">
        <f aca="false" t="array" ref="S139:S139">IF(AND(INDEX(Profils!$M$5:$M$34,$AE139)&gt;0,INDEX(Profils!$AB$5:$AB$34,$AE139)&lt;=$AH139),ROUND(INDEX(Profils!$M$5:$M$34,$AE139)*Paramètres!$E$29*$AG139*$AJ139,Paramètres!$F$29),0)</f>
        <v>0</v>
      </c>
      <c r="T139" s="20" t="n">
        <f aca="false" t="array" ref="T139:T139">IF(AND(INDEX(Profils!$N$5:$N$34,$AE139)&gt;0,INDEX(Profils!$AC$5:$AC$34,$AE139)&lt;=$AH139),ROUND(INDEX(Profils!$N$5:$N$34,$AE139)*Paramètres!$E$30*$AG139*$AJ139,Paramètres!$F$30),0)</f>
        <v>0</v>
      </c>
      <c r="U139" s="19" t="n">
        <f aca="false" t="array" ref="U139:U139">IF(AND(INDEX(Profils!$O$5:$O$34,$AE139)&gt;0,INDEX(Profils!$AD$5:$AD$34,$AE139)&lt;=$AH139),ROUND(INDEX(Profils!$O$5:$O$34,$AE139)*Paramètres!$E$31*$AG139*$AJ139,Paramètres!$F$31),0)</f>
        <v>0</v>
      </c>
      <c r="V139" s="20" t="n">
        <f aca="false" t="array" ref="V139:V139">IF(AND(INDEX(Profils!$P$5:$P$34,$AE139)&gt;0,INDEX(Profils!$AE$5:$AE$34,$AE139)&lt;=$AH139),ROUND(INDEX(Profils!$P$5:$P$34,$AE139)*Paramètres!$E$32*$AG139*$AJ139,Paramètres!$F$32),0)</f>
        <v>0</v>
      </c>
      <c r="W139" s="20" t="n">
        <f aca="false" t="array" ref="W139:W139">IF(AND(INDEX(Profils!$Q$5:$Q$34,$AE139)&gt;0,INDEX(Profils!$AF$5:$AF$34,$AE139)&lt;=$AH139),ROUND(INDEX(Profils!$Q$5:$Q$34,$AE139)*Paramètres!$E$33*$AG139*$AJ139,Paramètres!$F$33),0)</f>
        <v>0.004</v>
      </c>
      <c r="X139" s="20" t="n">
        <f aca="false" t="array" ref="X139:X139">IF(AND(INDEX(Profils!$R$5:$R$34,$AE139)&gt;0,INDEX(Profils!$AG$5:$AG$34,$AE139)&lt;=$AH139),ROUND(INDEX(Profils!$R$5:$R$34,$AE139)*Paramètres!$E$34*$AG139*$AJ139,Paramètres!$F$34),0)</f>
        <v>0</v>
      </c>
      <c r="Y139" s="20" t="n">
        <f aca="false" t="array" ref="Y139:Y139">IF(AND(INDEX(Profils!$S$5:$S$34,$AE139)&gt;0,INDEX(Profils!$AH$5:$AH$34,$AE139)&lt;=$AH139),ROUND(INDEX(Profils!$S$5:$S$34,$AE139)*Paramètres!$E$35*$AG139*$AJ139,Paramètres!$F$35),0)</f>
        <v>0.003</v>
      </c>
      <c r="Z139" s="21" t="n">
        <f aca="false">ROUND(L139/Paramètres!$E$22+M139/Paramètres!$E$23+N139/Paramètres!$E$24+O139/Paramètres!$E$25+P139/Paramètres!$E$26+Q139/Paramètres!$E$27+R139/Paramètres!$E$28+S139/Paramètres!$E$29+T139/Paramètres!$E$30+U139/Paramètres!$E$31+V139/Paramètres!$E$32+W139/Paramètres!$E$33+X139/Paramètres!$E$34+Y139/Paramètres!$E$35,1)</f>
        <v>1.3</v>
      </c>
      <c r="AA139" s="22" t="s">
        <v>109</v>
      </c>
      <c r="AB139" s="22" t="s">
        <v>109</v>
      </c>
      <c r="AC139" s="15" t="str">
        <f aca="false">$E139</f>
        <v>argent</v>
      </c>
      <c r="AD139" s="16" t="n">
        <f aca="false" t="array" ref="AD139:AD139">IF($I139&gt;=$AI139,"Max",ROUND(Paramètres!$B$40*($I139+1)^Paramètres!$B$41*INDEX(Paramètres!$H$6:$H$12,$AF139),0))</f>
        <v>5</v>
      </c>
      <c r="AE139" s="23" t="n">
        <f aca="false">MATCH($B139&amp;"|"&amp;$C139,Profils!$A$5:$A$34,0)</f>
        <v>5</v>
      </c>
      <c r="AF139" s="23" t="n">
        <v>4</v>
      </c>
      <c r="AG139" s="24" t="n">
        <f aca="false" t="array" ref="AG139:AG139">INDEX(Paramètres!$C$6:$C$12,$AF139)</f>
        <v>1.75</v>
      </c>
      <c r="AH139" s="23" t="n">
        <f aca="false" t="array" ref="AH139:AH139">INDEX(Paramètres!$D$6:$D$12,$AF139)</f>
        <v>5</v>
      </c>
      <c r="AI139" s="23" t="n">
        <f aca="false" t="array" ref="AI139:AI139">INDEX(Matériaux!$C$16:$C$20,$D139)</f>
        <v>20</v>
      </c>
      <c r="AJ139" s="25" t="n">
        <f aca="false">Paramètres!$B$16+(1-Paramètres!$B$16)*(($J139-Paramètres!$B$14)/(Paramètres!$B$15-Paramètres!$B$14))^Paramètres!$B$17</f>
        <v>0.140847925475674</v>
      </c>
    </row>
    <row r="140" customFormat="false" ht="15.75" hidden="false" customHeight="true" outlineLevel="0" collapsed="false">
      <c r="A140" s="14" t="s">
        <v>251</v>
      </c>
      <c r="B140" s="15" t="s">
        <v>27</v>
      </c>
      <c r="C140" s="15" t="s">
        <v>241</v>
      </c>
      <c r="D140" s="16" t="n">
        <v>2</v>
      </c>
      <c r="E140" s="15" t="str">
        <f aca="false" t="array" ref="E140:E140">INDEX(Matériaux!$B$5:$F$12,MATCH(INDEX(Profils!$E$5:$E$34,$AE140),Matériaux!$A$5:$A$12,0),$D140)</f>
        <v>argent</v>
      </c>
      <c r="F140" s="29" t="s">
        <v>117</v>
      </c>
      <c r="G140" s="10" t="str">
        <f aca="false" t="array" ref="G140:G140">INDEX(Profils!$D$5:$D$34,$AE140)&amp;" en "&amp;$E140</f>
        <v>Médaillon en argent</v>
      </c>
      <c r="H140" s="16" t="n">
        <f aca="false" t="array" ref="H140:H140">INDEX(Matériaux!$B$16:$B$20,$D140)</f>
        <v>15</v>
      </c>
      <c r="I140" s="16" t="n">
        <f aca="false">IF(ISNUMBER($C$3),MIN(MAX(0,ROUND($C$3,0)),$AI140),$AI140)</f>
        <v>0</v>
      </c>
      <c r="J140" s="18" t="n">
        <f aca="false">$H140+$I140</f>
        <v>15</v>
      </c>
      <c r="K140" s="15" t="s">
        <v>109</v>
      </c>
      <c r="L140" s="19" t="n">
        <f aca="false" t="array" ref="L140:L140">IF(AND(INDEX(Profils!$F$5:$F$34,$AE140)&gt;0,INDEX(Profils!$U$5:$U$34,$AE140)&lt;=$AH140),ROUND(INDEX(Profils!$F$5:$F$34,$AE140)*Paramètres!$E$22*$AG140*$AJ140,Paramètres!$F$22),0)</f>
        <v>10</v>
      </c>
      <c r="M140" s="19" t="n">
        <f aca="false" t="array" ref="M140:M140">IF(AND(INDEX(Profils!$G$5:$G$34,$AE140)&gt;0,INDEX(Profils!$V$5:$V$34,$AE140)&lt;=$AH140),ROUND(INDEX(Profils!$G$5:$G$34,$AE140)*Paramètres!$E$23*$AG140*$AJ140,Paramètres!$F$23),0)</f>
        <v>4</v>
      </c>
      <c r="N140" s="19" t="n">
        <f aca="false" t="array" ref="N140:N140">IF(AND(INDEX(Profils!$H$5:$H$34,$AE140)&gt;0,INDEX(Profils!$W$5:$W$34,$AE140)&lt;=$AH140),ROUND(INDEX(Profils!$H$5:$H$34,$AE140)*Paramètres!$E$24*$AG140*$AJ140,Paramètres!$F$24),0)</f>
        <v>4</v>
      </c>
      <c r="O140" s="19" t="n">
        <f aca="false" t="array" ref="O140:O140">IF(AND(INDEX(Profils!$I$5:$I$34,$AE140)&gt;0,INDEX(Profils!$X$5:$X$34,$AE140)&lt;=$AH140),ROUND(INDEX(Profils!$I$5:$I$34,$AE140)*Paramètres!$E$25*$AG140*$AJ140,Paramètres!$F$25),0)</f>
        <v>0</v>
      </c>
      <c r="P140" s="19" t="n">
        <f aca="false" t="array" ref="P140:P140">IF(AND(INDEX(Profils!$J$5:$J$34,$AE140)&gt;0,INDEX(Profils!$Y$5:$Y$34,$AE140)&lt;=$AH140),ROUND(INDEX(Profils!$J$5:$J$34,$AE140)*Paramètres!$E$26*$AG140*$AJ140,Paramètres!$F$26),0)</f>
        <v>2</v>
      </c>
      <c r="Q140" s="19" t="n">
        <f aca="false" t="array" ref="Q140:Q140">IF(AND(INDEX(Profils!$K$5:$K$34,$AE140)&gt;0,INDEX(Profils!$Z$5:$Z$34,$AE140)&lt;=$AH140),ROUND(INDEX(Profils!$K$5:$K$34,$AE140)*Paramètres!$E$27*$AG140*$AJ140,Paramètres!$F$27),0)</f>
        <v>0</v>
      </c>
      <c r="R140" s="20" t="n">
        <f aca="false" t="array" ref="R140:R140">IF(AND(INDEX(Profils!$L$5:$L$34,$AE140)&gt;0,INDEX(Profils!$AA$5:$AA$34,$AE140)&lt;=$AH140),ROUND(INDEX(Profils!$L$5:$L$34,$AE140)*Paramètres!$E$28*$AG140*$AJ140,Paramètres!$F$28),0)</f>
        <v>0</v>
      </c>
      <c r="S140" s="20" t="n">
        <f aca="false" t="array" ref="S140:S140">IF(AND(INDEX(Profils!$M$5:$M$34,$AE140)&gt;0,INDEX(Profils!$AB$5:$AB$34,$AE140)&lt;=$AH140),ROUND(INDEX(Profils!$M$5:$M$34,$AE140)*Paramètres!$E$29*$AG140*$AJ140,Paramètres!$F$29),0)</f>
        <v>0</v>
      </c>
      <c r="T140" s="20" t="n">
        <f aca="false" t="array" ref="T140:T140">IF(AND(INDEX(Profils!$N$5:$N$34,$AE140)&gt;0,INDEX(Profils!$AC$5:$AC$34,$AE140)&lt;=$AH140),ROUND(INDEX(Profils!$N$5:$N$34,$AE140)*Paramètres!$E$30*$AG140*$AJ140,Paramètres!$F$30),0)</f>
        <v>0</v>
      </c>
      <c r="U140" s="19" t="n">
        <f aca="false" t="array" ref="U140:U140">IF(AND(INDEX(Profils!$O$5:$O$34,$AE140)&gt;0,INDEX(Profils!$AD$5:$AD$34,$AE140)&lt;=$AH140),ROUND(INDEX(Profils!$O$5:$O$34,$AE140)*Paramètres!$E$31*$AG140*$AJ140,Paramètres!$F$31),0)</f>
        <v>0</v>
      </c>
      <c r="V140" s="20" t="n">
        <f aca="false" t="array" ref="V140:V140">IF(AND(INDEX(Profils!$P$5:$P$34,$AE140)&gt;0,INDEX(Profils!$AE$5:$AE$34,$AE140)&lt;=$AH140),ROUND(INDEX(Profils!$P$5:$P$34,$AE140)*Paramètres!$E$32*$AG140*$AJ140,Paramètres!$F$32),0)</f>
        <v>0</v>
      </c>
      <c r="W140" s="20" t="n">
        <f aca="false" t="array" ref="W140:W140">IF(AND(INDEX(Profils!$Q$5:$Q$34,$AE140)&gt;0,INDEX(Profils!$AF$5:$AF$34,$AE140)&lt;=$AH140),ROUND(INDEX(Profils!$Q$5:$Q$34,$AE140)*Paramètres!$E$33*$AG140*$AJ140,Paramètres!$F$33),0)</f>
        <v>0.004</v>
      </c>
      <c r="X140" s="20" t="n">
        <f aca="false" t="array" ref="X140:X140">IF(AND(INDEX(Profils!$R$5:$R$34,$AE140)&gt;0,INDEX(Profils!$AG$5:$AG$34,$AE140)&lt;=$AH140),ROUND(INDEX(Profils!$R$5:$R$34,$AE140)*Paramètres!$E$34*$AG140*$AJ140,Paramètres!$F$34),0)</f>
        <v>0</v>
      </c>
      <c r="Y140" s="20" t="n">
        <f aca="false" t="array" ref="Y140:Y140">IF(AND(INDEX(Profils!$S$5:$S$34,$AE140)&gt;0,INDEX(Profils!$AH$5:$AH$34,$AE140)&lt;=$AH140),ROUND(INDEX(Profils!$S$5:$S$34,$AE140)*Paramètres!$E$35*$AG140*$AJ140,Paramètres!$F$35),0)</f>
        <v>0.004</v>
      </c>
      <c r="Z140" s="21" t="n">
        <f aca="false">ROUND(L140/Paramètres!$E$22+M140/Paramètres!$E$23+N140/Paramètres!$E$24+O140/Paramètres!$E$25+P140/Paramètres!$E$26+Q140/Paramètres!$E$27+R140/Paramètres!$E$28+S140/Paramètres!$E$29+T140/Paramètres!$E$30+U140/Paramètres!$E$31+V140/Paramètres!$E$32+W140/Paramètres!$E$33+X140/Paramètres!$E$34+Y140/Paramètres!$E$35,1)</f>
        <v>1.6</v>
      </c>
      <c r="AA140" s="22" t="s">
        <v>109</v>
      </c>
      <c r="AB140" s="22" t="s">
        <v>109</v>
      </c>
      <c r="AC140" s="15" t="str">
        <f aca="false">$E140</f>
        <v>argent</v>
      </c>
      <c r="AD140" s="16" t="n">
        <f aca="false" t="array" ref="AD140:AD140">IF($I140&gt;=$AI140,"Max",ROUND(Paramètres!$B$40*($I140+1)^Paramètres!$B$41*INDEX(Paramètres!$H$6:$H$12,$AF140),0))</f>
        <v>6</v>
      </c>
      <c r="AE140" s="23" t="n">
        <f aca="false">MATCH($B140&amp;"|"&amp;$C140,Profils!$A$5:$A$34,0)</f>
        <v>5</v>
      </c>
      <c r="AF140" s="23" t="n">
        <v>5</v>
      </c>
      <c r="AG140" s="24" t="n">
        <f aca="false" t="array" ref="AG140:AG140">INDEX(Paramètres!$C$6:$C$12,$AF140)</f>
        <v>2.1</v>
      </c>
      <c r="AH140" s="23" t="n">
        <f aca="false" t="array" ref="AH140:AH140">INDEX(Paramètres!$D$6:$D$12,$AF140)</f>
        <v>6</v>
      </c>
      <c r="AI140" s="23" t="n">
        <f aca="false" t="array" ref="AI140:AI140">INDEX(Matériaux!$C$16:$C$20,$D140)</f>
        <v>20</v>
      </c>
      <c r="AJ140" s="25" t="n">
        <f aca="false">Paramètres!$B$16+(1-Paramètres!$B$16)*(($J140-Paramètres!$B$14)/(Paramètres!$B$15-Paramètres!$B$14))^Paramètres!$B$17</f>
        <v>0.140847925475674</v>
      </c>
    </row>
    <row r="141" customFormat="false" ht="15.75" hidden="false" customHeight="true" outlineLevel="0" collapsed="false">
      <c r="A141" s="14" t="s">
        <v>252</v>
      </c>
      <c r="B141" s="15" t="s">
        <v>27</v>
      </c>
      <c r="C141" s="15" t="s">
        <v>241</v>
      </c>
      <c r="D141" s="16" t="n">
        <v>2</v>
      </c>
      <c r="E141" s="15" t="str">
        <f aca="false" t="array" ref="E141:E141">INDEX(Matériaux!$B$5:$F$12,MATCH(INDEX(Profils!$E$5:$E$34,$AE141),Matériaux!$A$5:$A$12,0),$D141)</f>
        <v>argent</v>
      </c>
      <c r="F141" s="30" t="s">
        <v>119</v>
      </c>
      <c r="G141" s="10" t="str">
        <f aca="false" t="array" ref="G141:G141">INDEX(Profils!$D$5:$D$34,$AE141)&amp;" en "&amp;$E141</f>
        <v>Médaillon en argent</v>
      </c>
      <c r="H141" s="16" t="n">
        <f aca="false" t="array" ref="H141:H141">INDEX(Matériaux!$B$16:$B$20,$D141)</f>
        <v>15</v>
      </c>
      <c r="I141" s="16" t="n">
        <f aca="false">IF(ISNUMBER($C$3),MIN(MAX(0,ROUND($C$3,0)),$AI141),$AI141)</f>
        <v>0</v>
      </c>
      <c r="J141" s="18" t="n">
        <f aca="false">$H141+$I141</f>
        <v>15</v>
      </c>
      <c r="K141" s="15" t="s">
        <v>109</v>
      </c>
      <c r="L141" s="19" t="n">
        <f aca="false" t="array" ref="L141:L141">IF(AND(INDEX(Profils!$F$5:$F$34,$AE141)&gt;0,INDEX(Profils!$U$5:$U$34,$AE141)&lt;=$AH141),ROUND(INDEX(Profils!$F$5:$F$34,$AE141)*Paramètres!$E$22*$AG141*$AJ141,Paramètres!$F$22),0)</f>
        <v>12</v>
      </c>
      <c r="M141" s="19" t="n">
        <f aca="false" t="array" ref="M141:M141">IF(AND(INDEX(Profils!$G$5:$G$34,$AE141)&gt;0,INDEX(Profils!$V$5:$V$34,$AE141)&lt;=$AH141),ROUND(INDEX(Profils!$G$5:$G$34,$AE141)*Paramètres!$E$23*$AG141*$AJ141,Paramètres!$F$23),0)</f>
        <v>4</v>
      </c>
      <c r="N141" s="19" t="n">
        <f aca="false" t="array" ref="N141:N141">IF(AND(INDEX(Profils!$H$5:$H$34,$AE141)&gt;0,INDEX(Profils!$W$5:$W$34,$AE141)&lt;=$AH141),ROUND(INDEX(Profils!$H$5:$H$34,$AE141)*Paramètres!$E$24*$AG141*$AJ141,Paramètres!$F$24),0)</f>
        <v>5</v>
      </c>
      <c r="O141" s="19" t="n">
        <f aca="false" t="array" ref="O141:O141">IF(AND(INDEX(Profils!$I$5:$I$34,$AE141)&gt;0,INDEX(Profils!$X$5:$X$34,$AE141)&lt;=$AH141),ROUND(INDEX(Profils!$I$5:$I$34,$AE141)*Paramètres!$E$25*$AG141*$AJ141,Paramètres!$F$25),0)</f>
        <v>0</v>
      </c>
      <c r="P141" s="19" t="n">
        <f aca="false" t="array" ref="P141:P141">IF(AND(INDEX(Profils!$J$5:$J$34,$AE141)&gt;0,INDEX(Profils!$Y$5:$Y$34,$AE141)&lt;=$AH141),ROUND(INDEX(Profils!$J$5:$J$34,$AE141)*Paramètres!$E$26*$AG141*$AJ141,Paramètres!$F$26),0)</f>
        <v>2</v>
      </c>
      <c r="Q141" s="19" t="n">
        <f aca="false" t="array" ref="Q141:Q141">IF(AND(INDEX(Profils!$K$5:$K$34,$AE141)&gt;0,INDEX(Profils!$Z$5:$Z$34,$AE141)&lt;=$AH141),ROUND(INDEX(Profils!$K$5:$K$34,$AE141)*Paramètres!$E$27*$AG141*$AJ141,Paramètres!$F$27),0)</f>
        <v>0</v>
      </c>
      <c r="R141" s="20" t="n">
        <f aca="false" t="array" ref="R141:R141">IF(AND(INDEX(Profils!$L$5:$L$34,$AE141)&gt;0,INDEX(Profils!$AA$5:$AA$34,$AE141)&lt;=$AH141),ROUND(INDEX(Profils!$L$5:$L$34,$AE141)*Paramètres!$E$28*$AG141*$AJ141,Paramètres!$F$28),0)</f>
        <v>0</v>
      </c>
      <c r="S141" s="20" t="n">
        <f aca="false" t="array" ref="S141:S141">IF(AND(INDEX(Profils!$M$5:$M$34,$AE141)&gt;0,INDEX(Profils!$AB$5:$AB$34,$AE141)&lt;=$AH141),ROUND(INDEX(Profils!$M$5:$M$34,$AE141)*Paramètres!$E$29*$AG141*$AJ141,Paramètres!$F$29),0)</f>
        <v>0</v>
      </c>
      <c r="T141" s="20" t="n">
        <f aca="false" t="array" ref="T141:T141">IF(AND(INDEX(Profils!$N$5:$N$34,$AE141)&gt;0,INDEX(Profils!$AC$5:$AC$34,$AE141)&lt;=$AH141),ROUND(INDEX(Profils!$N$5:$N$34,$AE141)*Paramètres!$E$30*$AG141*$AJ141,Paramètres!$F$30),0)</f>
        <v>0.004</v>
      </c>
      <c r="U141" s="19" t="n">
        <f aca="false" t="array" ref="U141:U141">IF(AND(INDEX(Profils!$O$5:$O$34,$AE141)&gt;0,INDEX(Profils!$AD$5:$AD$34,$AE141)&lt;=$AH141),ROUND(INDEX(Profils!$O$5:$O$34,$AE141)*Paramètres!$E$31*$AG141*$AJ141,Paramètres!$F$31),0)</f>
        <v>0</v>
      </c>
      <c r="V141" s="20" t="n">
        <f aca="false" t="array" ref="V141:V141">IF(AND(INDEX(Profils!$P$5:$P$34,$AE141)&gt;0,INDEX(Profils!$AE$5:$AE$34,$AE141)&lt;=$AH141),ROUND(INDEX(Profils!$P$5:$P$34,$AE141)*Paramètres!$E$32*$AG141*$AJ141,Paramètres!$F$32),0)</f>
        <v>0</v>
      </c>
      <c r="W141" s="20" t="n">
        <f aca="false" t="array" ref="W141:W141">IF(AND(INDEX(Profils!$Q$5:$Q$34,$AE141)&gt;0,INDEX(Profils!$AF$5:$AF$34,$AE141)&lt;=$AH141),ROUND(INDEX(Profils!$Q$5:$Q$34,$AE141)*Paramètres!$E$33*$AG141*$AJ141,Paramètres!$F$33),0)</f>
        <v>0.005</v>
      </c>
      <c r="X141" s="20" t="n">
        <f aca="false" t="array" ref="X141:X141">IF(AND(INDEX(Profils!$R$5:$R$34,$AE141)&gt;0,INDEX(Profils!$AG$5:$AG$34,$AE141)&lt;=$AH141),ROUND(INDEX(Profils!$R$5:$R$34,$AE141)*Paramètres!$E$34*$AG141*$AJ141,Paramètres!$F$34),0)</f>
        <v>0</v>
      </c>
      <c r="Y141" s="20" t="n">
        <f aca="false" t="array" ref="Y141:Y141">IF(AND(INDEX(Profils!$S$5:$S$34,$AE141)&gt;0,INDEX(Profils!$AH$5:$AH$34,$AE141)&lt;=$AH141),ROUND(INDEX(Profils!$S$5:$S$34,$AE141)*Paramètres!$E$35*$AG141*$AJ141,Paramètres!$F$35),0)</f>
        <v>0.004</v>
      </c>
      <c r="Z141" s="21" t="n">
        <f aca="false">ROUND(L141/Paramètres!$E$22+M141/Paramètres!$E$23+N141/Paramètres!$E$24+O141/Paramètres!$E$25+P141/Paramètres!$E$26+Q141/Paramètres!$E$27+R141/Paramètres!$E$28+S141/Paramètres!$E$29+T141/Paramètres!$E$30+U141/Paramètres!$E$31+V141/Paramètres!$E$32+W141/Paramètres!$E$33+X141/Paramètres!$E$34+Y141/Paramètres!$E$35,1)</f>
        <v>2</v>
      </c>
      <c r="AA141" s="22" t="s">
        <v>109</v>
      </c>
      <c r="AB141" s="22" t="s">
        <v>109</v>
      </c>
      <c r="AC141" s="15" t="str">
        <f aca="false">$E141</f>
        <v>argent</v>
      </c>
      <c r="AD141" s="16" t="n">
        <f aca="false" t="array" ref="AD141:AD141">IF($I141&gt;=$AI141,"Max",ROUND(Paramètres!$B$40*($I141+1)^Paramètres!$B$41*INDEX(Paramètres!$H$6:$H$12,$AF141),0))</f>
        <v>8</v>
      </c>
      <c r="AE141" s="23" t="n">
        <f aca="false">MATCH($B141&amp;"|"&amp;$C141,Profils!$A$5:$A$34,0)</f>
        <v>5</v>
      </c>
      <c r="AF141" s="23" t="n">
        <v>6</v>
      </c>
      <c r="AG141" s="24" t="n">
        <f aca="false" t="array" ref="AG141:AG141">INDEX(Paramètres!$C$6:$C$12,$AF141)</f>
        <v>2.4</v>
      </c>
      <c r="AH141" s="23" t="n">
        <f aca="false" t="array" ref="AH141:AH141">INDEX(Paramètres!$D$6:$D$12,$AF141)</f>
        <v>7</v>
      </c>
      <c r="AI141" s="23" t="n">
        <f aca="false" t="array" ref="AI141:AI141">INDEX(Matériaux!$C$16:$C$20,$D141)</f>
        <v>20</v>
      </c>
      <c r="AJ141" s="25" t="n">
        <f aca="false">Paramètres!$B$16+(1-Paramètres!$B$16)*(($J141-Paramètres!$B$14)/(Paramètres!$B$15-Paramètres!$B$14))^Paramètres!$B$17</f>
        <v>0.140847925475674</v>
      </c>
    </row>
    <row r="142" customFormat="false" ht="15.75" hidden="false" customHeight="true" outlineLevel="0" collapsed="false">
      <c r="A142" s="14" t="s">
        <v>253</v>
      </c>
      <c r="B142" s="15" t="s">
        <v>27</v>
      </c>
      <c r="C142" s="15" t="s">
        <v>241</v>
      </c>
      <c r="D142" s="16" t="n">
        <v>3</v>
      </c>
      <c r="E142" s="15" t="str">
        <f aca="false" t="array" ref="E142:E142">INDEX(Matériaux!$B$5:$F$12,MATCH(INDEX(Profils!$E$5:$E$34,$AE142),Matériaux!$A$5:$A$12,0),$D142)</f>
        <v>or</v>
      </c>
      <c r="F142" s="17" t="s">
        <v>108</v>
      </c>
      <c r="G142" s="10" t="str">
        <f aca="false" t="array" ref="G142:G142">INDEX(Profils!$D$5:$D$34,$AE142)&amp;" en "&amp;$E142</f>
        <v>Médaillon en or</v>
      </c>
      <c r="H142" s="16" t="n">
        <f aca="false" t="array" ref="H142:H142">INDEX(Matériaux!$B$16:$B$20,$D142)</f>
        <v>30</v>
      </c>
      <c r="I142" s="16" t="n">
        <f aca="false">IF(ISNUMBER($C$3),MIN(MAX(0,ROUND($C$3,0)),$AI142),$AI142)</f>
        <v>0</v>
      </c>
      <c r="J142" s="18" t="n">
        <f aca="false">$H142+$I142</f>
        <v>30</v>
      </c>
      <c r="K142" s="15" t="s">
        <v>109</v>
      </c>
      <c r="L142" s="19" t="n">
        <f aca="false" t="array" ref="L142:L142">IF(AND(INDEX(Profils!$F$5:$F$34,$AE142)&gt;0,INDEX(Profils!$U$5:$U$34,$AE142)&lt;=$AH142),ROUND(INDEX(Profils!$F$5:$F$34,$AE142)*Paramètres!$E$22*$AG142*$AJ142,Paramètres!$F$22),0)</f>
        <v>9</v>
      </c>
      <c r="M142" s="19" t="n">
        <f aca="false" t="array" ref="M142:M142">IF(AND(INDEX(Profils!$G$5:$G$34,$AE142)&gt;0,INDEX(Profils!$V$5:$V$34,$AE142)&lt;=$AH142),ROUND(INDEX(Profils!$G$5:$G$34,$AE142)*Paramètres!$E$23*$AG142*$AJ142,Paramètres!$F$23),0)</f>
        <v>0</v>
      </c>
      <c r="N142" s="19" t="n">
        <f aca="false" t="array" ref="N142:N142">IF(AND(INDEX(Profils!$H$5:$H$34,$AE142)&gt;0,INDEX(Profils!$W$5:$W$34,$AE142)&lt;=$AH142),ROUND(INDEX(Profils!$H$5:$H$34,$AE142)*Paramètres!$E$24*$AG142*$AJ142,Paramètres!$F$24),0)</f>
        <v>4</v>
      </c>
      <c r="O142" s="19" t="n">
        <f aca="false" t="array" ref="O142:O142">IF(AND(INDEX(Profils!$I$5:$I$34,$AE142)&gt;0,INDEX(Profils!$X$5:$X$34,$AE142)&lt;=$AH142),ROUND(INDEX(Profils!$I$5:$I$34,$AE142)*Paramètres!$E$25*$AG142*$AJ142,Paramètres!$F$25),0)</f>
        <v>0</v>
      </c>
      <c r="P142" s="19" t="n">
        <f aca="false" t="array" ref="P142:P142">IF(AND(INDEX(Profils!$J$5:$J$34,$AE142)&gt;0,INDEX(Profils!$Y$5:$Y$34,$AE142)&lt;=$AH142),ROUND(INDEX(Profils!$J$5:$J$34,$AE142)*Paramètres!$E$26*$AG142*$AJ142,Paramètres!$F$26),0)</f>
        <v>0</v>
      </c>
      <c r="Q142" s="19" t="n">
        <f aca="false" t="array" ref="Q142:Q142">IF(AND(INDEX(Profils!$K$5:$K$34,$AE142)&gt;0,INDEX(Profils!$Z$5:$Z$34,$AE142)&lt;=$AH142),ROUND(INDEX(Profils!$K$5:$K$34,$AE142)*Paramètres!$E$27*$AG142*$AJ142,Paramètres!$F$27),0)</f>
        <v>0</v>
      </c>
      <c r="R142" s="20" t="n">
        <f aca="false" t="array" ref="R142:R142">IF(AND(INDEX(Profils!$L$5:$L$34,$AE142)&gt;0,INDEX(Profils!$AA$5:$AA$34,$AE142)&lt;=$AH142),ROUND(INDEX(Profils!$L$5:$L$34,$AE142)*Paramètres!$E$28*$AG142*$AJ142,Paramètres!$F$28),0)</f>
        <v>0</v>
      </c>
      <c r="S142" s="20" t="n">
        <f aca="false" t="array" ref="S142:S142">IF(AND(INDEX(Profils!$M$5:$M$34,$AE142)&gt;0,INDEX(Profils!$AB$5:$AB$34,$AE142)&lt;=$AH142),ROUND(INDEX(Profils!$M$5:$M$34,$AE142)*Paramètres!$E$29*$AG142*$AJ142,Paramètres!$F$29),0)</f>
        <v>0</v>
      </c>
      <c r="T142" s="20" t="n">
        <f aca="false" t="array" ref="T142:T142">IF(AND(INDEX(Profils!$N$5:$N$34,$AE142)&gt;0,INDEX(Profils!$AC$5:$AC$34,$AE142)&lt;=$AH142),ROUND(INDEX(Profils!$N$5:$N$34,$AE142)*Paramètres!$E$30*$AG142*$AJ142,Paramètres!$F$30),0)</f>
        <v>0</v>
      </c>
      <c r="U142" s="19" t="n">
        <f aca="false" t="array" ref="U142:U142">IF(AND(INDEX(Profils!$O$5:$O$34,$AE142)&gt;0,INDEX(Profils!$AD$5:$AD$34,$AE142)&lt;=$AH142),ROUND(INDEX(Profils!$O$5:$O$34,$AE142)*Paramètres!$E$31*$AG142*$AJ142,Paramètres!$F$31),0)</f>
        <v>0</v>
      </c>
      <c r="V142" s="20" t="n">
        <f aca="false" t="array" ref="V142:V142">IF(AND(INDEX(Profils!$P$5:$P$34,$AE142)&gt;0,INDEX(Profils!$AE$5:$AE$34,$AE142)&lt;=$AH142),ROUND(INDEX(Profils!$P$5:$P$34,$AE142)*Paramètres!$E$32*$AG142*$AJ142,Paramètres!$F$32),0)</f>
        <v>0</v>
      </c>
      <c r="W142" s="20" t="n">
        <f aca="false" t="array" ref="W142:W142">IF(AND(INDEX(Profils!$Q$5:$Q$34,$AE142)&gt;0,INDEX(Profils!$AF$5:$AF$34,$AE142)&lt;=$AH142),ROUND(INDEX(Profils!$Q$5:$Q$34,$AE142)*Paramètres!$E$33*$AG142*$AJ142,Paramètres!$F$33),0)</f>
        <v>0</v>
      </c>
      <c r="X142" s="20" t="n">
        <f aca="false" t="array" ref="X142:X142">IF(AND(INDEX(Profils!$R$5:$R$34,$AE142)&gt;0,INDEX(Profils!$AG$5:$AG$34,$AE142)&lt;=$AH142),ROUND(INDEX(Profils!$R$5:$R$34,$AE142)*Paramètres!$E$34*$AG142*$AJ142,Paramètres!$F$34),0)</f>
        <v>0</v>
      </c>
      <c r="Y142" s="20" t="n">
        <f aca="false" t="array" ref="Y142:Y142">IF(AND(INDEX(Profils!$S$5:$S$34,$AE142)&gt;0,INDEX(Profils!$AH$5:$AH$34,$AE142)&lt;=$AH142),ROUND(INDEX(Profils!$S$5:$S$34,$AE142)*Paramètres!$E$35*$AG142*$AJ142,Paramètres!$F$35),0)</f>
        <v>0</v>
      </c>
      <c r="Z142" s="21" t="n">
        <f aca="false">ROUND(L142/Paramètres!$E$22+M142/Paramètres!$E$23+N142/Paramètres!$E$24+O142/Paramètres!$E$25+P142/Paramètres!$E$26+Q142/Paramètres!$E$27+R142/Paramètres!$E$28+S142/Paramètres!$E$29+T142/Paramètres!$E$30+U142/Paramètres!$E$31+V142/Paramètres!$E$32+W142/Paramètres!$E$33+X142/Paramètres!$E$34+Y142/Paramètres!$E$35,1)</f>
        <v>0.6</v>
      </c>
      <c r="AA142" s="22" t="s">
        <v>109</v>
      </c>
      <c r="AB142" s="22" t="s">
        <v>109</v>
      </c>
      <c r="AC142" s="15" t="str">
        <f aca="false">$E142</f>
        <v>or</v>
      </c>
      <c r="AD142" s="16" t="n">
        <f aca="false" t="array" ref="AD142:AD142">IF($I142&gt;=$AI142,"Max",ROUND(Paramètres!$B$40*($I142+1)^Paramètres!$B$41*INDEX(Paramètres!$H$6:$H$12,$AF142),0))</f>
        <v>3</v>
      </c>
      <c r="AE142" s="23" t="n">
        <f aca="false">MATCH($B142&amp;"|"&amp;$C142,Profils!$A$5:$A$34,0)</f>
        <v>5</v>
      </c>
      <c r="AF142" s="23" t="n">
        <v>1</v>
      </c>
      <c r="AG142" s="24" t="n">
        <f aca="false" t="array" ref="AG142:AG142">INDEX(Paramètres!$C$6:$C$12,$AF142)</f>
        <v>1</v>
      </c>
      <c r="AH142" s="23" t="n">
        <f aca="false" t="array" ref="AH142:AH142">INDEX(Paramètres!$D$6:$D$12,$AF142)</f>
        <v>2</v>
      </c>
      <c r="AI142" s="23" t="n">
        <f aca="false" t="array" ref="AI142:AI142">INDEX(Matériaux!$C$16:$C$20,$D142)</f>
        <v>25</v>
      </c>
      <c r="AJ142" s="25" t="n">
        <f aca="false">Paramètres!$B$16+(1-Paramètres!$B$16)*(($J142-Paramètres!$B$14)/(Paramètres!$B$15-Paramètres!$B$14))^Paramètres!$B$17</f>
        <v>0.26769024555533</v>
      </c>
    </row>
    <row r="143" customFormat="false" ht="15.75" hidden="false" customHeight="true" outlineLevel="0" collapsed="false">
      <c r="A143" s="14" t="s">
        <v>254</v>
      </c>
      <c r="B143" s="15" t="s">
        <v>27</v>
      </c>
      <c r="C143" s="15" t="s">
        <v>241</v>
      </c>
      <c r="D143" s="16" t="n">
        <v>3</v>
      </c>
      <c r="E143" s="15" t="str">
        <f aca="false" t="array" ref="E143:E143">INDEX(Matériaux!$B$5:$F$12,MATCH(INDEX(Profils!$E$5:$E$34,$AE143),Matériaux!$A$5:$A$12,0),$D143)</f>
        <v>or</v>
      </c>
      <c r="F143" s="26" t="s">
        <v>111</v>
      </c>
      <c r="G143" s="10" t="str">
        <f aca="false" t="array" ref="G143:G143">INDEX(Profils!$D$5:$D$34,$AE143)&amp;" en "&amp;$E143</f>
        <v>Médaillon en or</v>
      </c>
      <c r="H143" s="16" t="n">
        <f aca="false" t="array" ref="H143:H143">INDEX(Matériaux!$B$16:$B$20,$D143)</f>
        <v>30</v>
      </c>
      <c r="I143" s="16" t="n">
        <f aca="false">IF(ISNUMBER($C$3),MIN(MAX(0,ROUND($C$3,0)),$AI143),$AI143)</f>
        <v>0</v>
      </c>
      <c r="J143" s="18" t="n">
        <f aca="false">$H143+$I143</f>
        <v>30</v>
      </c>
      <c r="K143" s="15" t="s">
        <v>109</v>
      </c>
      <c r="L143" s="19" t="n">
        <f aca="false" t="array" ref="L143:L143">IF(AND(INDEX(Profils!$F$5:$F$34,$AE143)&gt;0,INDEX(Profils!$U$5:$U$34,$AE143)&lt;=$AH143),ROUND(INDEX(Profils!$F$5:$F$34,$AE143)*Paramètres!$E$22*$AG143*$AJ143,Paramètres!$F$22),0)</f>
        <v>11</v>
      </c>
      <c r="M143" s="19" t="n">
        <f aca="false" t="array" ref="M143:M143">IF(AND(INDEX(Profils!$G$5:$G$34,$AE143)&gt;0,INDEX(Profils!$V$5:$V$34,$AE143)&lt;=$AH143),ROUND(INDEX(Profils!$G$5:$G$34,$AE143)*Paramètres!$E$23*$AG143*$AJ143,Paramètres!$F$23),0)</f>
        <v>0</v>
      </c>
      <c r="N143" s="19" t="n">
        <f aca="false" t="array" ref="N143:N143">IF(AND(INDEX(Profils!$H$5:$H$34,$AE143)&gt;0,INDEX(Profils!$W$5:$W$34,$AE143)&lt;=$AH143),ROUND(INDEX(Profils!$H$5:$H$34,$AE143)*Paramètres!$E$24*$AG143*$AJ143,Paramètres!$F$24),0)</f>
        <v>5</v>
      </c>
      <c r="O143" s="19" t="n">
        <f aca="false" t="array" ref="O143:O143">IF(AND(INDEX(Profils!$I$5:$I$34,$AE143)&gt;0,INDEX(Profils!$X$5:$X$34,$AE143)&lt;=$AH143),ROUND(INDEX(Profils!$I$5:$I$34,$AE143)*Paramètres!$E$25*$AG143*$AJ143,Paramètres!$F$25),0)</f>
        <v>0</v>
      </c>
      <c r="P143" s="19" t="n">
        <f aca="false" t="array" ref="P143:P143">IF(AND(INDEX(Profils!$J$5:$J$34,$AE143)&gt;0,INDEX(Profils!$Y$5:$Y$34,$AE143)&lt;=$AH143),ROUND(INDEX(Profils!$J$5:$J$34,$AE143)*Paramètres!$E$26*$AG143*$AJ143,Paramètres!$F$26),0)</f>
        <v>0</v>
      </c>
      <c r="Q143" s="19" t="n">
        <f aca="false" t="array" ref="Q143:Q143">IF(AND(INDEX(Profils!$K$5:$K$34,$AE143)&gt;0,INDEX(Profils!$Z$5:$Z$34,$AE143)&lt;=$AH143),ROUND(INDEX(Profils!$K$5:$K$34,$AE143)*Paramètres!$E$27*$AG143*$AJ143,Paramètres!$F$27),0)</f>
        <v>0</v>
      </c>
      <c r="R143" s="20" t="n">
        <f aca="false" t="array" ref="R143:R143">IF(AND(INDEX(Profils!$L$5:$L$34,$AE143)&gt;0,INDEX(Profils!$AA$5:$AA$34,$AE143)&lt;=$AH143),ROUND(INDEX(Profils!$L$5:$L$34,$AE143)*Paramètres!$E$28*$AG143*$AJ143,Paramètres!$F$28),0)</f>
        <v>0</v>
      </c>
      <c r="S143" s="20" t="n">
        <f aca="false" t="array" ref="S143:S143">IF(AND(INDEX(Profils!$M$5:$M$34,$AE143)&gt;0,INDEX(Profils!$AB$5:$AB$34,$AE143)&lt;=$AH143),ROUND(INDEX(Profils!$M$5:$M$34,$AE143)*Paramètres!$E$29*$AG143*$AJ143,Paramètres!$F$29),0)</f>
        <v>0</v>
      </c>
      <c r="T143" s="20" t="n">
        <f aca="false" t="array" ref="T143:T143">IF(AND(INDEX(Profils!$N$5:$N$34,$AE143)&gt;0,INDEX(Profils!$AC$5:$AC$34,$AE143)&lt;=$AH143),ROUND(INDEX(Profils!$N$5:$N$34,$AE143)*Paramètres!$E$30*$AG143*$AJ143,Paramètres!$F$30),0)</f>
        <v>0</v>
      </c>
      <c r="U143" s="19" t="n">
        <f aca="false" t="array" ref="U143:U143">IF(AND(INDEX(Profils!$O$5:$O$34,$AE143)&gt;0,INDEX(Profils!$AD$5:$AD$34,$AE143)&lt;=$AH143),ROUND(INDEX(Profils!$O$5:$O$34,$AE143)*Paramètres!$E$31*$AG143*$AJ143,Paramètres!$F$31),0)</f>
        <v>0</v>
      </c>
      <c r="V143" s="20" t="n">
        <f aca="false" t="array" ref="V143:V143">IF(AND(INDEX(Profils!$P$5:$P$34,$AE143)&gt;0,INDEX(Profils!$AE$5:$AE$34,$AE143)&lt;=$AH143),ROUND(INDEX(Profils!$P$5:$P$34,$AE143)*Paramètres!$E$32*$AG143*$AJ143,Paramètres!$F$32),0)</f>
        <v>0</v>
      </c>
      <c r="W143" s="20" t="n">
        <f aca="false" t="array" ref="W143:W143">IF(AND(INDEX(Profils!$Q$5:$Q$34,$AE143)&gt;0,INDEX(Profils!$AF$5:$AF$34,$AE143)&lt;=$AH143),ROUND(INDEX(Profils!$Q$5:$Q$34,$AE143)*Paramètres!$E$33*$AG143*$AJ143,Paramètres!$F$33),0)</f>
        <v>0.005</v>
      </c>
      <c r="X143" s="20" t="n">
        <f aca="false" t="array" ref="X143:X143">IF(AND(INDEX(Profils!$R$5:$R$34,$AE143)&gt;0,INDEX(Profils!$AG$5:$AG$34,$AE143)&lt;=$AH143),ROUND(INDEX(Profils!$R$5:$R$34,$AE143)*Paramètres!$E$34*$AG143*$AJ143,Paramètres!$F$34),0)</f>
        <v>0</v>
      </c>
      <c r="Y143" s="20" t="n">
        <f aca="false" t="array" ref="Y143:Y143">IF(AND(INDEX(Profils!$S$5:$S$34,$AE143)&gt;0,INDEX(Profils!$AH$5:$AH$34,$AE143)&lt;=$AH143),ROUND(INDEX(Profils!$S$5:$S$34,$AE143)*Paramètres!$E$35*$AG143*$AJ143,Paramètres!$F$35),0)</f>
        <v>0</v>
      </c>
      <c r="Z143" s="21" t="n">
        <f aca="false">ROUND(L143/Paramètres!$E$22+M143/Paramètres!$E$23+N143/Paramètres!$E$24+O143/Paramètres!$E$25+P143/Paramètres!$E$26+Q143/Paramètres!$E$27+R143/Paramètres!$E$28+S143/Paramètres!$E$29+T143/Paramètres!$E$30+U143/Paramètres!$E$31+V143/Paramètres!$E$32+W143/Paramètres!$E$33+X143/Paramètres!$E$34+Y143/Paramètres!$E$35,1)</f>
        <v>1.1</v>
      </c>
      <c r="AA143" s="22" t="s">
        <v>109</v>
      </c>
      <c r="AB143" s="22" t="s">
        <v>109</v>
      </c>
      <c r="AC143" s="15" t="str">
        <f aca="false">$E143</f>
        <v>or</v>
      </c>
      <c r="AD143" s="16" t="n">
        <f aca="false" t="array" ref="AD143:AD143">IF($I143&gt;=$AI143,"Max",ROUND(Paramètres!$B$40*($I143+1)^Paramètres!$B$41*INDEX(Paramètres!$H$6:$H$12,$AF143),0))</f>
        <v>4</v>
      </c>
      <c r="AE143" s="23" t="n">
        <f aca="false">MATCH($B143&amp;"|"&amp;$C143,Profils!$A$5:$A$34,0)</f>
        <v>5</v>
      </c>
      <c r="AF143" s="23" t="n">
        <v>2</v>
      </c>
      <c r="AG143" s="24" t="n">
        <f aca="false" t="array" ref="AG143:AG143">INDEX(Paramètres!$C$6:$C$12,$AF143)</f>
        <v>1.2</v>
      </c>
      <c r="AH143" s="23" t="n">
        <f aca="false" t="array" ref="AH143:AH143">INDEX(Paramètres!$D$6:$D$12,$AF143)</f>
        <v>3</v>
      </c>
      <c r="AI143" s="23" t="n">
        <f aca="false" t="array" ref="AI143:AI143">INDEX(Matériaux!$C$16:$C$20,$D143)</f>
        <v>25</v>
      </c>
      <c r="AJ143" s="25" t="n">
        <f aca="false">Paramètres!$B$16+(1-Paramètres!$B$16)*(($J143-Paramètres!$B$14)/(Paramètres!$B$15-Paramètres!$B$14))^Paramètres!$B$17</f>
        <v>0.26769024555533</v>
      </c>
    </row>
    <row r="144" customFormat="false" ht="15.75" hidden="false" customHeight="true" outlineLevel="0" collapsed="false">
      <c r="A144" s="14" t="s">
        <v>255</v>
      </c>
      <c r="B144" s="15" t="s">
        <v>27</v>
      </c>
      <c r="C144" s="15" t="s">
        <v>241</v>
      </c>
      <c r="D144" s="16" t="n">
        <v>3</v>
      </c>
      <c r="E144" s="15" t="str">
        <f aca="false" t="array" ref="E144:E144">INDEX(Matériaux!$B$5:$F$12,MATCH(INDEX(Profils!$E$5:$E$34,$AE144),Matériaux!$A$5:$A$12,0),$D144)</f>
        <v>or</v>
      </c>
      <c r="F144" s="27" t="s">
        <v>113</v>
      </c>
      <c r="G144" s="10" t="str">
        <f aca="false" t="array" ref="G144:G144">INDEX(Profils!$D$5:$D$34,$AE144)&amp;" en "&amp;$E144</f>
        <v>Médaillon en or</v>
      </c>
      <c r="H144" s="16" t="n">
        <f aca="false" t="array" ref="H144:H144">INDEX(Matériaux!$B$16:$B$20,$D144)</f>
        <v>30</v>
      </c>
      <c r="I144" s="16" t="n">
        <f aca="false">IF(ISNUMBER($C$3),MIN(MAX(0,ROUND($C$3,0)),$AI144),$AI144)</f>
        <v>0</v>
      </c>
      <c r="J144" s="18" t="n">
        <f aca="false">$H144+$I144</f>
        <v>30</v>
      </c>
      <c r="K144" s="15" t="s">
        <v>109</v>
      </c>
      <c r="L144" s="19" t="n">
        <f aca="false" t="array" ref="L144:L144">IF(AND(INDEX(Profils!$F$5:$F$34,$AE144)&gt;0,INDEX(Profils!$U$5:$U$34,$AE144)&lt;=$AH144),ROUND(INDEX(Profils!$F$5:$F$34,$AE144)*Paramètres!$E$22*$AG144*$AJ144,Paramètres!$F$22),0)</f>
        <v>14</v>
      </c>
      <c r="M144" s="19" t="n">
        <f aca="false" t="array" ref="M144:M144">IF(AND(INDEX(Profils!$G$5:$G$34,$AE144)&gt;0,INDEX(Profils!$V$5:$V$34,$AE144)&lt;=$AH144),ROUND(INDEX(Profils!$G$5:$G$34,$AE144)*Paramètres!$E$23*$AG144*$AJ144,Paramètres!$F$23),0)</f>
        <v>5</v>
      </c>
      <c r="N144" s="19" t="n">
        <f aca="false" t="array" ref="N144:N144">IF(AND(INDEX(Profils!$H$5:$H$34,$AE144)&gt;0,INDEX(Profils!$W$5:$W$34,$AE144)&lt;=$AH144),ROUND(INDEX(Profils!$H$5:$H$34,$AE144)*Paramètres!$E$24*$AG144*$AJ144,Paramètres!$F$24),0)</f>
        <v>6</v>
      </c>
      <c r="O144" s="19" t="n">
        <f aca="false" t="array" ref="O144:O144">IF(AND(INDEX(Profils!$I$5:$I$34,$AE144)&gt;0,INDEX(Profils!$X$5:$X$34,$AE144)&lt;=$AH144),ROUND(INDEX(Profils!$I$5:$I$34,$AE144)*Paramètres!$E$25*$AG144*$AJ144,Paramètres!$F$25),0)</f>
        <v>0</v>
      </c>
      <c r="P144" s="19" t="n">
        <f aca="false" t="array" ref="P144:P144">IF(AND(INDEX(Profils!$J$5:$J$34,$AE144)&gt;0,INDEX(Profils!$Y$5:$Y$34,$AE144)&lt;=$AH144),ROUND(INDEX(Profils!$J$5:$J$34,$AE144)*Paramètres!$E$26*$AG144*$AJ144,Paramètres!$F$26),0)</f>
        <v>0</v>
      </c>
      <c r="Q144" s="19" t="n">
        <f aca="false" t="array" ref="Q144:Q144">IF(AND(INDEX(Profils!$K$5:$K$34,$AE144)&gt;0,INDEX(Profils!$Z$5:$Z$34,$AE144)&lt;=$AH144),ROUND(INDEX(Profils!$K$5:$K$34,$AE144)*Paramètres!$E$27*$AG144*$AJ144,Paramètres!$F$27),0)</f>
        <v>0</v>
      </c>
      <c r="R144" s="20" t="n">
        <f aca="false" t="array" ref="R144:R144">IF(AND(INDEX(Profils!$L$5:$L$34,$AE144)&gt;0,INDEX(Profils!$AA$5:$AA$34,$AE144)&lt;=$AH144),ROUND(INDEX(Profils!$L$5:$L$34,$AE144)*Paramètres!$E$28*$AG144*$AJ144,Paramètres!$F$28),0)</f>
        <v>0</v>
      </c>
      <c r="S144" s="20" t="n">
        <f aca="false" t="array" ref="S144:S144">IF(AND(INDEX(Profils!$M$5:$M$34,$AE144)&gt;0,INDEX(Profils!$AB$5:$AB$34,$AE144)&lt;=$AH144),ROUND(INDEX(Profils!$M$5:$M$34,$AE144)*Paramètres!$E$29*$AG144*$AJ144,Paramètres!$F$29),0)</f>
        <v>0</v>
      </c>
      <c r="T144" s="20" t="n">
        <f aca="false" t="array" ref="T144:T144">IF(AND(INDEX(Profils!$N$5:$N$34,$AE144)&gt;0,INDEX(Profils!$AC$5:$AC$34,$AE144)&lt;=$AH144),ROUND(INDEX(Profils!$N$5:$N$34,$AE144)*Paramètres!$E$30*$AG144*$AJ144,Paramètres!$F$30),0)</f>
        <v>0</v>
      </c>
      <c r="U144" s="19" t="n">
        <f aca="false" t="array" ref="U144:U144">IF(AND(INDEX(Profils!$O$5:$O$34,$AE144)&gt;0,INDEX(Profils!$AD$5:$AD$34,$AE144)&lt;=$AH144),ROUND(INDEX(Profils!$O$5:$O$34,$AE144)*Paramètres!$E$31*$AG144*$AJ144,Paramètres!$F$31),0)</f>
        <v>0</v>
      </c>
      <c r="V144" s="20" t="n">
        <f aca="false" t="array" ref="V144:V144">IF(AND(INDEX(Profils!$P$5:$P$34,$AE144)&gt;0,INDEX(Profils!$AE$5:$AE$34,$AE144)&lt;=$AH144),ROUND(INDEX(Profils!$P$5:$P$34,$AE144)*Paramètres!$E$32*$AG144*$AJ144,Paramètres!$F$32),0)</f>
        <v>0</v>
      </c>
      <c r="W144" s="20" t="n">
        <f aca="false" t="array" ref="W144:W144">IF(AND(INDEX(Profils!$Q$5:$Q$34,$AE144)&gt;0,INDEX(Profils!$AF$5:$AF$34,$AE144)&lt;=$AH144),ROUND(INDEX(Profils!$Q$5:$Q$34,$AE144)*Paramètres!$E$33*$AG144*$AJ144,Paramètres!$F$33),0)</f>
        <v>0.006</v>
      </c>
      <c r="X144" s="20" t="n">
        <f aca="false" t="array" ref="X144:X144">IF(AND(INDEX(Profils!$R$5:$R$34,$AE144)&gt;0,INDEX(Profils!$AG$5:$AG$34,$AE144)&lt;=$AH144),ROUND(INDEX(Profils!$R$5:$R$34,$AE144)*Paramètres!$E$34*$AG144*$AJ144,Paramètres!$F$34),0)</f>
        <v>0</v>
      </c>
      <c r="Y144" s="20" t="n">
        <f aca="false" t="array" ref="Y144:Y144">IF(AND(INDEX(Profils!$S$5:$S$34,$AE144)&gt;0,INDEX(Profils!$AH$5:$AH$34,$AE144)&lt;=$AH144),ROUND(INDEX(Profils!$S$5:$S$34,$AE144)*Paramètres!$E$35*$AG144*$AJ144,Paramètres!$F$35),0)</f>
        <v>0</v>
      </c>
      <c r="Z144" s="21" t="n">
        <f aca="false">ROUND(L144/Paramètres!$E$22+M144/Paramètres!$E$23+N144/Paramètres!$E$24+O144/Paramètres!$E$25+P144/Paramètres!$E$26+Q144/Paramètres!$E$27+R144/Paramètres!$E$28+S144/Paramètres!$E$29+T144/Paramètres!$E$30+U144/Paramètres!$E$31+V144/Paramètres!$E$32+W144/Paramètres!$E$33+X144/Paramètres!$E$34+Y144/Paramètres!$E$35,1)</f>
        <v>1.7</v>
      </c>
      <c r="AA144" s="22" t="s">
        <v>109</v>
      </c>
      <c r="AB144" s="22" t="s">
        <v>109</v>
      </c>
      <c r="AC144" s="15" t="str">
        <f aca="false">$E144</f>
        <v>or</v>
      </c>
      <c r="AD144" s="16" t="n">
        <f aca="false" t="array" ref="AD144:AD144">IF($I144&gt;=$AI144,"Max",ROUND(Paramètres!$B$40*($I144+1)^Paramètres!$B$41*INDEX(Paramètres!$H$6:$H$12,$AF144),0))</f>
        <v>4</v>
      </c>
      <c r="AE144" s="23" t="n">
        <f aca="false">MATCH($B144&amp;"|"&amp;$C144,Profils!$A$5:$A$34,0)</f>
        <v>5</v>
      </c>
      <c r="AF144" s="23" t="n">
        <v>3</v>
      </c>
      <c r="AG144" s="24" t="n">
        <f aca="false" t="array" ref="AG144:AG144">INDEX(Paramètres!$C$6:$C$12,$AF144)</f>
        <v>1.45</v>
      </c>
      <c r="AH144" s="23" t="n">
        <f aca="false" t="array" ref="AH144:AH144">INDEX(Paramètres!$D$6:$D$12,$AF144)</f>
        <v>4</v>
      </c>
      <c r="AI144" s="23" t="n">
        <f aca="false" t="array" ref="AI144:AI144">INDEX(Matériaux!$C$16:$C$20,$D144)</f>
        <v>25</v>
      </c>
      <c r="AJ144" s="25" t="n">
        <f aca="false">Paramètres!$B$16+(1-Paramètres!$B$16)*(($J144-Paramètres!$B$14)/(Paramètres!$B$15-Paramètres!$B$14))^Paramètres!$B$17</f>
        <v>0.26769024555533</v>
      </c>
    </row>
    <row r="145" customFormat="false" ht="15.75" hidden="false" customHeight="true" outlineLevel="0" collapsed="false">
      <c r="A145" s="14" t="s">
        <v>256</v>
      </c>
      <c r="B145" s="15" t="s">
        <v>27</v>
      </c>
      <c r="C145" s="15" t="s">
        <v>241</v>
      </c>
      <c r="D145" s="16" t="n">
        <v>3</v>
      </c>
      <c r="E145" s="15" t="str">
        <f aca="false" t="array" ref="E145:E145">INDEX(Matériaux!$B$5:$F$12,MATCH(INDEX(Profils!$E$5:$E$34,$AE145),Matériaux!$A$5:$A$12,0),$D145)</f>
        <v>or</v>
      </c>
      <c r="F145" s="28" t="s">
        <v>115</v>
      </c>
      <c r="G145" s="10" t="str">
        <f aca="false" t="array" ref="G145:G145">INDEX(Profils!$D$5:$D$34,$AE145)&amp;" en "&amp;$E145</f>
        <v>Médaillon en or</v>
      </c>
      <c r="H145" s="16" t="n">
        <f aca="false" t="array" ref="H145:H145">INDEX(Matériaux!$B$16:$B$20,$D145)</f>
        <v>30</v>
      </c>
      <c r="I145" s="16" t="n">
        <f aca="false">IF(ISNUMBER($C$3),MIN(MAX(0,ROUND($C$3,0)),$AI145),$AI145)</f>
        <v>0</v>
      </c>
      <c r="J145" s="18" t="n">
        <f aca="false">$H145+$I145</f>
        <v>30</v>
      </c>
      <c r="K145" s="15" t="s">
        <v>109</v>
      </c>
      <c r="L145" s="19" t="n">
        <f aca="false" t="array" ref="L145:L145">IF(AND(INDEX(Profils!$F$5:$F$34,$AE145)&gt;0,INDEX(Profils!$U$5:$U$34,$AE145)&lt;=$AH145),ROUND(INDEX(Profils!$F$5:$F$34,$AE145)*Paramètres!$E$22*$AG145*$AJ145,Paramètres!$F$22),0)</f>
        <v>16</v>
      </c>
      <c r="M145" s="19" t="n">
        <f aca="false" t="array" ref="M145:M145">IF(AND(INDEX(Profils!$G$5:$G$34,$AE145)&gt;0,INDEX(Profils!$V$5:$V$34,$AE145)&lt;=$AH145),ROUND(INDEX(Profils!$G$5:$G$34,$AE145)*Paramètres!$E$23*$AG145*$AJ145,Paramètres!$F$23),0)</f>
        <v>6</v>
      </c>
      <c r="N145" s="19" t="n">
        <f aca="false" t="array" ref="N145:N145">IF(AND(INDEX(Profils!$H$5:$H$34,$AE145)&gt;0,INDEX(Profils!$W$5:$W$34,$AE145)&lt;=$AH145),ROUND(INDEX(Profils!$H$5:$H$34,$AE145)*Paramètres!$E$24*$AG145*$AJ145,Paramètres!$F$24),0)</f>
        <v>7</v>
      </c>
      <c r="O145" s="19" t="n">
        <f aca="false" t="array" ref="O145:O145">IF(AND(INDEX(Profils!$I$5:$I$34,$AE145)&gt;0,INDEX(Profils!$X$5:$X$34,$AE145)&lt;=$AH145),ROUND(INDEX(Profils!$I$5:$I$34,$AE145)*Paramètres!$E$25*$AG145*$AJ145,Paramètres!$F$25),0)</f>
        <v>0</v>
      </c>
      <c r="P145" s="19" t="n">
        <f aca="false" t="array" ref="P145:P145">IF(AND(INDEX(Profils!$J$5:$J$34,$AE145)&gt;0,INDEX(Profils!$Y$5:$Y$34,$AE145)&lt;=$AH145),ROUND(INDEX(Profils!$J$5:$J$34,$AE145)*Paramètres!$E$26*$AG145*$AJ145,Paramètres!$F$26),0)</f>
        <v>0</v>
      </c>
      <c r="Q145" s="19" t="n">
        <f aca="false" t="array" ref="Q145:Q145">IF(AND(INDEX(Profils!$K$5:$K$34,$AE145)&gt;0,INDEX(Profils!$Z$5:$Z$34,$AE145)&lt;=$AH145),ROUND(INDEX(Profils!$K$5:$K$34,$AE145)*Paramètres!$E$27*$AG145*$AJ145,Paramètres!$F$27),0)</f>
        <v>0</v>
      </c>
      <c r="R145" s="20" t="n">
        <f aca="false" t="array" ref="R145:R145">IF(AND(INDEX(Profils!$L$5:$L$34,$AE145)&gt;0,INDEX(Profils!$AA$5:$AA$34,$AE145)&lt;=$AH145),ROUND(INDEX(Profils!$L$5:$L$34,$AE145)*Paramètres!$E$28*$AG145*$AJ145,Paramètres!$F$28),0)</f>
        <v>0</v>
      </c>
      <c r="S145" s="20" t="n">
        <f aca="false" t="array" ref="S145:S145">IF(AND(INDEX(Profils!$M$5:$M$34,$AE145)&gt;0,INDEX(Profils!$AB$5:$AB$34,$AE145)&lt;=$AH145),ROUND(INDEX(Profils!$M$5:$M$34,$AE145)*Paramètres!$E$29*$AG145*$AJ145,Paramètres!$F$29),0)</f>
        <v>0</v>
      </c>
      <c r="T145" s="20" t="n">
        <f aca="false" t="array" ref="T145:T145">IF(AND(INDEX(Profils!$N$5:$N$34,$AE145)&gt;0,INDEX(Profils!$AC$5:$AC$34,$AE145)&lt;=$AH145),ROUND(INDEX(Profils!$N$5:$N$34,$AE145)*Paramètres!$E$30*$AG145*$AJ145,Paramètres!$F$30),0)</f>
        <v>0</v>
      </c>
      <c r="U145" s="19" t="n">
        <f aca="false" t="array" ref="U145:U145">IF(AND(INDEX(Profils!$O$5:$O$34,$AE145)&gt;0,INDEX(Profils!$AD$5:$AD$34,$AE145)&lt;=$AH145),ROUND(INDEX(Profils!$O$5:$O$34,$AE145)*Paramètres!$E$31*$AG145*$AJ145,Paramètres!$F$31),0)</f>
        <v>0</v>
      </c>
      <c r="V145" s="20" t="n">
        <f aca="false" t="array" ref="V145:V145">IF(AND(INDEX(Profils!$P$5:$P$34,$AE145)&gt;0,INDEX(Profils!$AE$5:$AE$34,$AE145)&lt;=$AH145),ROUND(INDEX(Profils!$P$5:$P$34,$AE145)*Paramètres!$E$32*$AG145*$AJ145,Paramètres!$F$32),0)</f>
        <v>0</v>
      </c>
      <c r="W145" s="20" t="n">
        <f aca="false" t="array" ref="W145:W145">IF(AND(INDEX(Profils!$Q$5:$Q$34,$AE145)&gt;0,INDEX(Profils!$AF$5:$AF$34,$AE145)&lt;=$AH145),ROUND(INDEX(Profils!$Q$5:$Q$34,$AE145)*Paramètres!$E$33*$AG145*$AJ145,Paramètres!$F$33),0)</f>
        <v>0.007</v>
      </c>
      <c r="X145" s="20" t="n">
        <f aca="false" t="array" ref="X145:X145">IF(AND(INDEX(Profils!$R$5:$R$34,$AE145)&gt;0,INDEX(Profils!$AG$5:$AG$34,$AE145)&lt;=$AH145),ROUND(INDEX(Profils!$R$5:$R$34,$AE145)*Paramètres!$E$34*$AG145*$AJ145,Paramètres!$F$34),0)</f>
        <v>0</v>
      </c>
      <c r="Y145" s="20" t="n">
        <f aca="false" t="array" ref="Y145:Y145">IF(AND(INDEX(Profils!$S$5:$S$34,$AE145)&gt;0,INDEX(Profils!$AH$5:$AH$34,$AE145)&lt;=$AH145),ROUND(INDEX(Profils!$S$5:$S$34,$AE145)*Paramètres!$E$35*$AG145*$AJ145,Paramètres!$F$35),0)</f>
        <v>0.006</v>
      </c>
      <c r="Z145" s="21" t="n">
        <f aca="false">ROUND(L145/Paramètres!$E$22+M145/Paramètres!$E$23+N145/Paramètres!$E$24+O145/Paramètres!$E$25+P145/Paramètres!$E$26+Q145/Paramètres!$E$27+R145/Paramètres!$E$28+S145/Paramètres!$E$29+T145/Paramètres!$E$30+U145/Paramètres!$E$31+V145/Paramètres!$E$32+W145/Paramètres!$E$33+X145/Paramètres!$E$34+Y145/Paramètres!$E$35,1)</f>
        <v>2.4</v>
      </c>
      <c r="AA145" s="22" t="s">
        <v>109</v>
      </c>
      <c r="AB145" s="22" t="s">
        <v>109</v>
      </c>
      <c r="AC145" s="15" t="str">
        <f aca="false">$E145</f>
        <v>or</v>
      </c>
      <c r="AD145" s="16" t="n">
        <f aca="false" t="array" ref="AD145:AD145">IF($I145&gt;=$AI145,"Max",ROUND(Paramètres!$B$40*($I145+1)^Paramètres!$B$41*INDEX(Paramètres!$H$6:$H$12,$AF145),0))</f>
        <v>5</v>
      </c>
      <c r="AE145" s="23" t="n">
        <f aca="false">MATCH($B145&amp;"|"&amp;$C145,Profils!$A$5:$A$34,0)</f>
        <v>5</v>
      </c>
      <c r="AF145" s="23" t="n">
        <v>4</v>
      </c>
      <c r="AG145" s="24" t="n">
        <f aca="false" t="array" ref="AG145:AG145">INDEX(Paramètres!$C$6:$C$12,$AF145)</f>
        <v>1.75</v>
      </c>
      <c r="AH145" s="23" t="n">
        <f aca="false" t="array" ref="AH145:AH145">INDEX(Paramètres!$D$6:$D$12,$AF145)</f>
        <v>5</v>
      </c>
      <c r="AI145" s="23" t="n">
        <f aca="false" t="array" ref="AI145:AI145">INDEX(Matériaux!$C$16:$C$20,$D145)</f>
        <v>25</v>
      </c>
      <c r="AJ145" s="25" t="n">
        <f aca="false">Paramètres!$B$16+(1-Paramètres!$B$16)*(($J145-Paramètres!$B$14)/(Paramètres!$B$15-Paramètres!$B$14))^Paramètres!$B$17</f>
        <v>0.26769024555533</v>
      </c>
    </row>
    <row r="146" customFormat="false" ht="15.75" hidden="false" customHeight="true" outlineLevel="0" collapsed="false">
      <c r="A146" s="14" t="s">
        <v>257</v>
      </c>
      <c r="B146" s="15" t="s">
        <v>27</v>
      </c>
      <c r="C146" s="15" t="s">
        <v>241</v>
      </c>
      <c r="D146" s="16" t="n">
        <v>3</v>
      </c>
      <c r="E146" s="15" t="str">
        <f aca="false" t="array" ref="E146:E146">INDEX(Matériaux!$B$5:$F$12,MATCH(INDEX(Profils!$E$5:$E$34,$AE146),Matériaux!$A$5:$A$12,0),$D146)</f>
        <v>or</v>
      </c>
      <c r="F146" s="29" t="s">
        <v>117</v>
      </c>
      <c r="G146" s="10" t="str">
        <f aca="false" t="array" ref="G146:G146">INDEX(Profils!$D$5:$D$34,$AE146)&amp;" en "&amp;$E146</f>
        <v>Médaillon en or</v>
      </c>
      <c r="H146" s="16" t="n">
        <f aca="false" t="array" ref="H146:H146">INDEX(Matériaux!$B$16:$B$20,$D146)</f>
        <v>30</v>
      </c>
      <c r="I146" s="16" t="n">
        <f aca="false">IF(ISNUMBER($C$3),MIN(MAX(0,ROUND($C$3,0)),$AI146),$AI146)</f>
        <v>0</v>
      </c>
      <c r="J146" s="18" t="n">
        <f aca="false">$H146+$I146</f>
        <v>30</v>
      </c>
      <c r="K146" s="15" t="s">
        <v>109</v>
      </c>
      <c r="L146" s="19" t="n">
        <f aca="false" t="array" ref="L146:L146">IF(AND(INDEX(Profils!$F$5:$F$34,$AE146)&gt;0,INDEX(Profils!$U$5:$U$34,$AE146)&lt;=$AH146),ROUND(INDEX(Profils!$F$5:$F$34,$AE146)*Paramètres!$E$22*$AG146*$AJ146,Paramètres!$F$22),0)</f>
        <v>20</v>
      </c>
      <c r="M146" s="19" t="n">
        <f aca="false" t="array" ref="M146:M146">IF(AND(INDEX(Profils!$G$5:$G$34,$AE146)&gt;0,INDEX(Profils!$V$5:$V$34,$AE146)&lt;=$AH146),ROUND(INDEX(Profils!$G$5:$G$34,$AE146)*Paramètres!$E$23*$AG146*$AJ146,Paramètres!$F$23),0)</f>
        <v>7</v>
      </c>
      <c r="N146" s="19" t="n">
        <f aca="false" t="array" ref="N146:N146">IF(AND(INDEX(Profils!$H$5:$H$34,$AE146)&gt;0,INDEX(Profils!$W$5:$W$34,$AE146)&lt;=$AH146),ROUND(INDEX(Profils!$H$5:$H$34,$AE146)*Paramètres!$E$24*$AG146*$AJ146,Paramètres!$F$24),0)</f>
        <v>8</v>
      </c>
      <c r="O146" s="19" t="n">
        <f aca="false" t="array" ref="O146:O146">IF(AND(INDEX(Profils!$I$5:$I$34,$AE146)&gt;0,INDEX(Profils!$X$5:$X$34,$AE146)&lt;=$AH146),ROUND(INDEX(Profils!$I$5:$I$34,$AE146)*Paramètres!$E$25*$AG146*$AJ146,Paramètres!$F$25),0)</f>
        <v>0</v>
      </c>
      <c r="P146" s="19" t="n">
        <f aca="false" t="array" ref="P146:P146">IF(AND(INDEX(Profils!$J$5:$J$34,$AE146)&gt;0,INDEX(Profils!$Y$5:$Y$34,$AE146)&lt;=$AH146),ROUND(INDEX(Profils!$J$5:$J$34,$AE146)*Paramètres!$E$26*$AG146*$AJ146,Paramètres!$F$26),0)</f>
        <v>3</v>
      </c>
      <c r="Q146" s="19" t="n">
        <f aca="false" t="array" ref="Q146:Q146">IF(AND(INDEX(Profils!$K$5:$K$34,$AE146)&gt;0,INDEX(Profils!$Z$5:$Z$34,$AE146)&lt;=$AH146),ROUND(INDEX(Profils!$K$5:$K$34,$AE146)*Paramètres!$E$27*$AG146*$AJ146,Paramètres!$F$27),0)</f>
        <v>0</v>
      </c>
      <c r="R146" s="20" t="n">
        <f aca="false" t="array" ref="R146:R146">IF(AND(INDEX(Profils!$L$5:$L$34,$AE146)&gt;0,INDEX(Profils!$AA$5:$AA$34,$AE146)&lt;=$AH146),ROUND(INDEX(Profils!$L$5:$L$34,$AE146)*Paramètres!$E$28*$AG146*$AJ146,Paramètres!$F$28),0)</f>
        <v>0</v>
      </c>
      <c r="S146" s="20" t="n">
        <f aca="false" t="array" ref="S146:S146">IF(AND(INDEX(Profils!$M$5:$M$34,$AE146)&gt;0,INDEX(Profils!$AB$5:$AB$34,$AE146)&lt;=$AH146),ROUND(INDEX(Profils!$M$5:$M$34,$AE146)*Paramètres!$E$29*$AG146*$AJ146,Paramètres!$F$29),0)</f>
        <v>0</v>
      </c>
      <c r="T146" s="20" t="n">
        <f aca="false" t="array" ref="T146:T146">IF(AND(INDEX(Profils!$N$5:$N$34,$AE146)&gt;0,INDEX(Profils!$AC$5:$AC$34,$AE146)&lt;=$AH146),ROUND(INDEX(Profils!$N$5:$N$34,$AE146)*Paramètres!$E$30*$AG146*$AJ146,Paramètres!$F$30),0)</f>
        <v>0</v>
      </c>
      <c r="U146" s="19" t="n">
        <f aca="false" t="array" ref="U146:U146">IF(AND(INDEX(Profils!$O$5:$O$34,$AE146)&gt;0,INDEX(Profils!$AD$5:$AD$34,$AE146)&lt;=$AH146),ROUND(INDEX(Profils!$O$5:$O$34,$AE146)*Paramètres!$E$31*$AG146*$AJ146,Paramètres!$F$31),0)</f>
        <v>0</v>
      </c>
      <c r="V146" s="20" t="n">
        <f aca="false" t="array" ref="V146:V146">IF(AND(INDEX(Profils!$P$5:$P$34,$AE146)&gt;0,INDEX(Profils!$AE$5:$AE$34,$AE146)&lt;=$AH146),ROUND(INDEX(Profils!$P$5:$P$34,$AE146)*Paramètres!$E$32*$AG146*$AJ146,Paramètres!$F$32),0)</f>
        <v>0</v>
      </c>
      <c r="W146" s="20" t="n">
        <f aca="false" t="array" ref="W146:W146">IF(AND(INDEX(Profils!$Q$5:$Q$34,$AE146)&gt;0,INDEX(Profils!$AF$5:$AF$34,$AE146)&lt;=$AH146),ROUND(INDEX(Profils!$Q$5:$Q$34,$AE146)*Paramètres!$E$33*$AG146*$AJ146,Paramètres!$F$33),0)</f>
        <v>0.008</v>
      </c>
      <c r="X146" s="20" t="n">
        <f aca="false" t="array" ref="X146:X146">IF(AND(INDEX(Profils!$R$5:$R$34,$AE146)&gt;0,INDEX(Profils!$AG$5:$AG$34,$AE146)&lt;=$AH146),ROUND(INDEX(Profils!$R$5:$R$34,$AE146)*Paramètres!$E$34*$AG146*$AJ146,Paramètres!$F$34),0)</f>
        <v>0</v>
      </c>
      <c r="Y146" s="20" t="n">
        <f aca="false" t="array" ref="Y146:Y146">IF(AND(INDEX(Profils!$S$5:$S$34,$AE146)&gt;0,INDEX(Profils!$AH$5:$AH$34,$AE146)&lt;=$AH146),ROUND(INDEX(Profils!$S$5:$S$34,$AE146)*Paramètres!$E$35*$AG146*$AJ146,Paramètres!$F$35),0)</f>
        <v>0.007</v>
      </c>
      <c r="Z146" s="21" t="n">
        <f aca="false">ROUND(L146/Paramètres!$E$22+M146/Paramètres!$E$23+N146/Paramètres!$E$24+O146/Paramètres!$E$25+P146/Paramètres!$E$26+Q146/Paramètres!$E$27+R146/Paramètres!$E$28+S146/Paramètres!$E$29+T146/Paramètres!$E$30+U146/Paramètres!$E$31+V146/Paramètres!$E$32+W146/Paramètres!$E$33+X146/Paramètres!$E$34+Y146/Paramètres!$E$35,1)</f>
        <v>3.1</v>
      </c>
      <c r="AA146" s="22" t="s">
        <v>109</v>
      </c>
      <c r="AB146" s="22" t="s">
        <v>109</v>
      </c>
      <c r="AC146" s="15" t="str">
        <f aca="false">$E146</f>
        <v>or</v>
      </c>
      <c r="AD146" s="16" t="n">
        <f aca="false" t="array" ref="AD146:AD146">IF($I146&gt;=$AI146,"Max",ROUND(Paramètres!$B$40*($I146+1)^Paramètres!$B$41*INDEX(Paramètres!$H$6:$H$12,$AF146),0))</f>
        <v>6</v>
      </c>
      <c r="AE146" s="23" t="n">
        <f aca="false">MATCH($B146&amp;"|"&amp;$C146,Profils!$A$5:$A$34,0)</f>
        <v>5</v>
      </c>
      <c r="AF146" s="23" t="n">
        <v>5</v>
      </c>
      <c r="AG146" s="24" t="n">
        <f aca="false" t="array" ref="AG146:AG146">INDEX(Paramètres!$C$6:$C$12,$AF146)</f>
        <v>2.1</v>
      </c>
      <c r="AH146" s="23" t="n">
        <f aca="false" t="array" ref="AH146:AH146">INDEX(Paramètres!$D$6:$D$12,$AF146)</f>
        <v>6</v>
      </c>
      <c r="AI146" s="23" t="n">
        <f aca="false" t="array" ref="AI146:AI146">INDEX(Matériaux!$C$16:$C$20,$D146)</f>
        <v>25</v>
      </c>
      <c r="AJ146" s="25" t="n">
        <f aca="false">Paramètres!$B$16+(1-Paramètres!$B$16)*(($J146-Paramètres!$B$14)/(Paramètres!$B$15-Paramètres!$B$14))^Paramètres!$B$17</f>
        <v>0.26769024555533</v>
      </c>
    </row>
    <row r="147" customFormat="false" ht="15.75" hidden="false" customHeight="true" outlineLevel="0" collapsed="false">
      <c r="A147" s="14" t="s">
        <v>258</v>
      </c>
      <c r="B147" s="15" t="s">
        <v>27</v>
      </c>
      <c r="C147" s="15" t="s">
        <v>241</v>
      </c>
      <c r="D147" s="16" t="n">
        <v>3</v>
      </c>
      <c r="E147" s="15" t="str">
        <f aca="false" t="array" ref="E147:E147">INDEX(Matériaux!$B$5:$F$12,MATCH(INDEX(Profils!$E$5:$E$34,$AE147),Matériaux!$A$5:$A$12,0),$D147)</f>
        <v>or</v>
      </c>
      <c r="F147" s="30" t="s">
        <v>119</v>
      </c>
      <c r="G147" s="10" t="str">
        <f aca="false" t="array" ref="G147:G147">INDEX(Profils!$D$5:$D$34,$AE147)&amp;" en "&amp;$E147</f>
        <v>Médaillon en or</v>
      </c>
      <c r="H147" s="16" t="n">
        <f aca="false" t="array" ref="H147:H147">INDEX(Matériaux!$B$16:$B$20,$D147)</f>
        <v>30</v>
      </c>
      <c r="I147" s="16" t="n">
        <f aca="false">IF(ISNUMBER($C$3),MIN(MAX(0,ROUND($C$3,0)),$AI147),$AI147)</f>
        <v>0</v>
      </c>
      <c r="J147" s="18" t="n">
        <f aca="false">$H147+$I147</f>
        <v>30</v>
      </c>
      <c r="K147" s="15" t="s">
        <v>109</v>
      </c>
      <c r="L147" s="19" t="n">
        <f aca="false" t="array" ref="L147:L147">IF(AND(INDEX(Profils!$F$5:$F$34,$AE147)&gt;0,INDEX(Profils!$U$5:$U$34,$AE147)&lt;=$AH147),ROUND(INDEX(Profils!$F$5:$F$34,$AE147)*Paramètres!$E$22*$AG147*$AJ147,Paramètres!$F$22),0)</f>
        <v>22</v>
      </c>
      <c r="M147" s="19" t="n">
        <f aca="false" t="array" ref="M147:M147">IF(AND(INDEX(Profils!$G$5:$G$34,$AE147)&gt;0,INDEX(Profils!$V$5:$V$34,$AE147)&lt;=$AH147),ROUND(INDEX(Profils!$G$5:$G$34,$AE147)*Paramètres!$E$23*$AG147*$AJ147,Paramètres!$F$23),0)</f>
        <v>8</v>
      </c>
      <c r="N147" s="19" t="n">
        <f aca="false" t="array" ref="N147:N147">IF(AND(INDEX(Profils!$H$5:$H$34,$AE147)&gt;0,INDEX(Profils!$W$5:$W$34,$AE147)&lt;=$AH147),ROUND(INDEX(Profils!$H$5:$H$34,$AE147)*Paramètres!$E$24*$AG147*$AJ147,Paramètres!$F$24),0)</f>
        <v>10</v>
      </c>
      <c r="O147" s="19" t="n">
        <f aca="false" t="array" ref="O147:O147">IF(AND(INDEX(Profils!$I$5:$I$34,$AE147)&gt;0,INDEX(Profils!$X$5:$X$34,$AE147)&lt;=$AH147),ROUND(INDEX(Profils!$I$5:$I$34,$AE147)*Paramètres!$E$25*$AG147*$AJ147,Paramètres!$F$25),0)</f>
        <v>0</v>
      </c>
      <c r="P147" s="19" t="n">
        <f aca="false" t="array" ref="P147:P147">IF(AND(INDEX(Profils!$J$5:$J$34,$AE147)&gt;0,INDEX(Profils!$Y$5:$Y$34,$AE147)&lt;=$AH147),ROUND(INDEX(Profils!$J$5:$J$34,$AE147)*Paramètres!$E$26*$AG147*$AJ147,Paramètres!$F$26),0)</f>
        <v>4</v>
      </c>
      <c r="Q147" s="19" t="n">
        <f aca="false" t="array" ref="Q147:Q147">IF(AND(INDEX(Profils!$K$5:$K$34,$AE147)&gt;0,INDEX(Profils!$Z$5:$Z$34,$AE147)&lt;=$AH147),ROUND(INDEX(Profils!$K$5:$K$34,$AE147)*Paramètres!$E$27*$AG147*$AJ147,Paramètres!$F$27),0)</f>
        <v>0</v>
      </c>
      <c r="R147" s="20" t="n">
        <f aca="false" t="array" ref="R147:R147">IF(AND(INDEX(Profils!$L$5:$L$34,$AE147)&gt;0,INDEX(Profils!$AA$5:$AA$34,$AE147)&lt;=$AH147),ROUND(INDEX(Profils!$L$5:$L$34,$AE147)*Paramètres!$E$28*$AG147*$AJ147,Paramètres!$F$28),0)</f>
        <v>0</v>
      </c>
      <c r="S147" s="20" t="n">
        <f aca="false" t="array" ref="S147:S147">IF(AND(INDEX(Profils!$M$5:$M$34,$AE147)&gt;0,INDEX(Profils!$AB$5:$AB$34,$AE147)&lt;=$AH147),ROUND(INDEX(Profils!$M$5:$M$34,$AE147)*Paramètres!$E$29*$AG147*$AJ147,Paramètres!$F$29),0)</f>
        <v>0</v>
      </c>
      <c r="T147" s="20" t="n">
        <f aca="false" t="array" ref="T147:T147">IF(AND(INDEX(Profils!$N$5:$N$34,$AE147)&gt;0,INDEX(Profils!$AC$5:$AC$34,$AE147)&lt;=$AH147),ROUND(INDEX(Profils!$N$5:$N$34,$AE147)*Paramètres!$E$30*$AG147*$AJ147,Paramètres!$F$30),0)</f>
        <v>0.008</v>
      </c>
      <c r="U147" s="19" t="n">
        <f aca="false" t="array" ref="U147:U147">IF(AND(INDEX(Profils!$O$5:$O$34,$AE147)&gt;0,INDEX(Profils!$AD$5:$AD$34,$AE147)&lt;=$AH147),ROUND(INDEX(Profils!$O$5:$O$34,$AE147)*Paramètres!$E$31*$AG147*$AJ147,Paramètres!$F$31),0)</f>
        <v>0</v>
      </c>
      <c r="V147" s="20" t="n">
        <f aca="false" t="array" ref="V147:V147">IF(AND(INDEX(Profils!$P$5:$P$34,$AE147)&gt;0,INDEX(Profils!$AE$5:$AE$34,$AE147)&lt;=$AH147),ROUND(INDEX(Profils!$P$5:$P$34,$AE147)*Paramètres!$E$32*$AG147*$AJ147,Paramètres!$F$32),0)</f>
        <v>0</v>
      </c>
      <c r="W147" s="20" t="n">
        <f aca="false" t="array" ref="W147:W147">IF(AND(INDEX(Profils!$Q$5:$Q$34,$AE147)&gt;0,INDEX(Profils!$AF$5:$AF$34,$AE147)&lt;=$AH147),ROUND(INDEX(Profils!$Q$5:$Q$34,$AE147)*Paramètres!$E$33*$AG147*$AJ147,Paramètres!$F$33),0)</f>
        <v>0.01</v>
      </c>
      <c r="X147" s="20" t="n">
        <f aca="false" t="array" ref="X147:X147">IF(AND(INDEX(Profils!$R$5:$R$34,$AE147)&gt;0,INDEX(Profils!$AG$5:$AG$34,$AE147)&lt;=$AH147),ROUND(INDEX(Profils!$R$5:$R$34,$AE147)*Paramètres!$E$34*$AG147*$AJ147,Paramètres!$F$34),0)</f>
        <v>0</v>
      </c>
      <c r="Y147" s="20" t="n">
        <f aca="false" t="array" ref="Y147:Y147">IF(AND(INDEX(Profils!$S$5:$S$34,$AE147)&gt;0,INDEX(Profils!$AH$5:$AH$34,$AE147)&lt;=$AH147),ROUND(INDEX(Profils!$S$5:$S$34,$AE147)*Paramètres!$E$35*$AG147*$AJ147,Paramètres!$F$35),0)</f>
        <v>0.008</v>
      </c>
      <c r="Z147" s="21" t="n">
        <f aca="false">ROUND(L147/Paramètres!$E$22+M147/Paramètres!$E$23+N147/Paramètres!$E$24+O147/Paramètres!$E$25+P147/Paramètres!$E$26+Q147/Paramètres!$E$27+R147/Paramètres!$E$28+S147/Paramètres!$E$29+T147/Paramètres!$E$30+U147/Paramètres!$E$31+V147/Paramètres!$E$32+W147/Paramètres!$E$33+X147/Paramètres!$E$34+Y147/Paramètres!$E$35,1)</f>
        <v>3.9</v>
      </c>
      <c r="AA147" s="22" t="s">
        <v>109</v>
      </c>
      <c r="AB147" s="22" t="s">
        <v>109</v>
      </c>
      <c r="AC147" s="15" t="str">
        <f aca="false">$E147</f>
        <v>or</v>
      </c>
      <c r="AD147" s="16" t="n">
        <f aca="false" t="array" ref="AD147:AD147">IF($I147&gt;=$AI147,"Max",ROUND(Paramètres!$B$40*($I147+1)^Paramètres!$B$41*INDEX(Paramètres!$H$6:$H$12,$AF147),0))</f>
        <v>8</v>
      </c>
      <c r="AE147" s="23" t="n">
        <f aca="false">MATCH($B147&amp;"|"&amp;$C147,Profils!$A$5:$A$34,0)</f>
        <v>5</v>
      </c>
      <c r="AF147" s="23" t="n">
        <v>6</v>
      </c>
      <c r="AG147" s="24" t="n">
        <f aca="false" t="array" ref="AG147:AG147">INDEX(Paramètres!$C$6:$C$12,$AF147)</f>
        <v>2.4</v>
      </c>
      <c r="AH147" s="23" t="n">
        <f aca="false" t="array" ref="AH147:AH147">INDEX(Paramètres!$D$6:$D$12,$AF147)</f>
        <v>7</v>
      </c>
      <c r="AI147" s="23" t="n">
        <f aca="false" t="array" ref="AI147:AI147">INDEX(Matériaux!$C$16:$C$20,$D147)</f>
        <v>25</v>
      </c>
      <c r="AJ147" s="25" t="n">
        <f aca="false">Paramètres!$B$16+(1-Paramètres!$B$16)*(($J147-Paramètres!$B$14)/(Paramètres!$B$15-Paramètres!$B$14))^Paramètres!$B$17</f>
        <v>0.26769024555533</v>
      </c>
    </row>
    <row r="148" customFormat="false" ht="15.75" hidden="false" customHeight="true" outlineLevel="0" collapsed="false">
      <c r="A148" s="14" t="s">
        <v>259</v>
      </c>
      <c r="B148" s="15" t="s">
        <v>27</v>
      </c>
      <c r="C148" s="15" t="s">
        <v>241</v>
      </c>
      <c r="D148" s="16" t="n">
        <v>4</v>
      </c>
      <c r="E148" s="15" t="str">
        <f aca="false" t="array" ref="E148:E148">INDEX(Matériaux!$B$5:$F$12,MATCH(INDEX(Profils!$E$5:$E$34,$AE148),Matériaux!$A$5:$A$12,0),$D148)</f>
        <v>platine</v>
      </c>
      <c r="F148" s="17" t="s">
        <v>108</v>
      </c>
      <c r="G148" s="10" t="str">
        <f aca="false" t="array" ref="G148:G148">INDEX(Profils!$D$5:$D$34,$AE148)&amp;" en "&amp;$E148</f>
        <v>Médaillon en platine</v>
      </c>
      <c r="H148" s="16" t="n">
        <f aca="false" t="array" ref="H148:H148">INDEX(Matériaux!$B$16:$B$20,$D148)</f>
        <v>50</v>
      </c>
      <c r="I148" s="16" t="n">
        <f aca="false">IF(ISNUMBER($C$3),MIN(MAX(0,ROUND($C$3,0)),$AI148),$AI148)</f>
        <v>0</v>
      </c>
      <c r="J148" s="18" t="n">
        <f aca="false">$H148+$I148</f>
        <v>50</v>
      </c>
      <c r="K148" s="15" t="s">
        <v>109</v>
      </c>
      <c r="L148" s="19" t="n">
        <f aca="false" t="array" ref="L148:L148">IF(AND(INDEX(Profils!$F$5:$F$34,$AE148)&gt;0,INDEX(Profils!$U$5:$U$34,$AE148)&lt;=$AH148),ROUND(INDEX(Profils!$F$5:$F$34,$AE148)*Paramètres!$E$22*$AG148*$AJ148,Paramètres!$F$22),0)</f>
        <v>16</v>
      </c>
      <c r="M148" s="19" t="n">
        <f aca="false" t="array" ref="M148:M148">IF(AND(INDEX(Profils!$G$5:$G$34,$AE148)&gt;0,INDEX(Profils!$V$5:$V$34,$AE148)&lt;=$AH148),ROUND(INDEX(Profils!$G$5:$G$34,$AE148)*Paramètres!$E$23*$AG148*$AJ148,Paramètres!$F$23),0)</f>
        <v>0</v>
      </c>
      <c r="N148" s="19" t="n">
        <f aca="false" t="array" ref="N148:N148">IF(AND(INDEX(Profils!$H$5:$H$34,$AE148)&gt;0,INDEX(Profils!$W$5:$W$34,$AE148)&lt;=$AH148),ROUND(INDEX(Profils!$H$5:$H$34,$AE148)*Paramètres!$E$24*$AG148*$AJ148,Paramètres!$F$24),0)</f>
        <v>7</v>
      </c>
      <c r="O148" s="19" t="n">
        <f aca="false" t="array" ref="O148:O148">IF(AND(INDEX(Profils!$I$5:$I$34,$AE148)&gt;0,INDEX(Profils!$X$5:$X$34,$AE148)&lt;=$AH148),ROUND(INDEX(Profils!$I$5:$I$34,$AE148)*Paramètres!$E$25*$AG148*$AJ148,Paramètres!$F$25),0)</f>
        <v>0</v>
      </c>
      <c r="P148" s="19" t="n">
        <f aca="false" t="array" ref="P148:P148">IF(AND(INDEX(Profils!$J$5:$J$34,$AE148)&gt;0,INDEX(Profils!$Y$5:$Y$34,$AE148)&lt;=$AH148),ROUND(INDEX(Profils!$J$5:$J$34,$AE148)*Paramètres!$E$26*$AG148*$AJ148,Paramètres!$F$26),0)</f>
        <v>0</v>
      </c>
      <c r="Q148" s="19" t="n">
        <f aca="false" t="array" ref="Q148:Q148">IF(AND(INDEX(Profils!$K$5:$K$34,$AE148)&gt;0,INDEX(Profils!$Z$5:$Z$34,$AE148)&lt;=$AH148),ROUND(INDEX(Profils!$K$5:$K$34,$AE148)*Paramètres!$E$27*$AG148*$AJ148,Paramètres!$F$27),0)</f>
        <v>0</v>
      </c>
      <c r="R148" s="20" t="n">
        <f aca="false" t="array" ref="R148:R148">IF(AND(INDEX(Profils!$L$5:$L$34,$AE148)&gt;0,INDEX(Profils!$AA$5:$AA$34,$AE148)&lt;=$AH148),ROUND(INDEX(Profils!$L$5:$L$34,$AE148)*Paramètres!$E$28*$AG148*$AJ148,Paramètres!$F$28),0)</f>
        <v>0</v>
      </c>
      <c r="S148" s="20" t="n">
        <f aca="false" t="array" ref="S148:S148">IF(AND(INDEX(Profils!$M$5:$M$34,$AE148)&gt;0,INDEX(Profils!$AB$5:$AB$34,$AE148)&lt;=$AH148),ROUND(INDEX(Profils!$M$5:$M$34,$AE148)*Paramètres!$E$29*$AG148*$AJ148,Paramètres!$F$29),0)</f>
        <v>0</v>
      </c>
      <c r="T148" s="20" t="n">
        <f aca="false" t="array" ref="T148:T148">IF(AND(INDEX(Profils!$N$5:$N$34,$AE148)&gt;0,INDEX(Profils!$AC$5:$AC$34,$AE148)&lt;=$AH148),ROUND(INDEX(Profils!$N$5:$N$34,$AE148)*Paramètres!$E$30*$AG148*$AJ148,Paramètres!$F$30),0)</f>
        <v>0</v>
      </c>
      <c r="U148" s="19" t="n">
        <f aca="false" t="array" ref="U148:U148">IF(AND(INDEX(Profils!$O$5:$O$34,$AE148)&gt;0,INDEX(Profils!$AD$5:$AD$34,$AE148)&lt;=$AH148),ROUND(INDEX(Profils!$O$5:$O$34,$AE148)*Paramètres!$E$31*$AG148*$AJ148,Paramètres!$F$31),0)</f>
        <v>0</v>
      </c>
      <c r="V148" s="20" t="n">
        <f aca="false" t="array" ref="V148:V148">IF(AND(INDEX(Profils!$P$5:$P$34,$AE148)&gt;0,INDEX(Profils!$AE$5:$AE$34,$AE148)&lt;=$AH148),ROUND(INDEX(Profils!$P$5:$P$34,$AE148)*Paramètres!$E$32*$AG148*$AJ148,Paramètres!$F$32),0)</f>
        <v>0</v>
      </c>
      <c r="W148" s="20" t="n">
        <f aca="false" t="array" ref="W148:W148">IF(AND(INDEX(Profils!$Q$5:$Q$34,$AE148)&gt;0,INDEX(Profils!$AF$5:$AF$34,$AE148)&lt;=$AH148),ROUND(INDEX(Profils!$Q$5:$Q$34,$AE148)*Paramètres!$E$33*$AG148*$AJ148,Paramètres!$F$33),0)</f>
        <v>0</v>
      </c>
      <c r="X148" s="20" t="n">
        <f aca="false" t="array" ref="X148:X148">IF(AND(INDEX(Profils!$R$5:$R$34,$AE148)&gt;0,INDEX(Profils!$AG$5:$AG$34,$AE148)&lt;=$AH148),ROUND(INDEX(Profils!$R$5:$R$34,$AE148)*Paramètres!$E$34*$AG148*$AJ148,Paramètres!$F$34),0)</f>
        <v>0</v>
      </c>
      <c r="Y148" s="20" t="n">
        <f aca="false" t="array" ref="Y148:Y148">IF(AND(INDEX(Profils!$S$5:$S$34,$AE148)&gt;0,INDEX(Profils!$AH$5:$AH$34,$AE148)&lt;=$AH148),ROUND(INDEX(Profils!$S$5:$S$34,$AE148)*Paramètres!$E$35*$AG148*$AJ148,Paramètres!$F$35),0)</f>
        <v>0</v>
      </c>
      <c r="Z148" s="21" t="n">
        <f aca="false">ROUND(L148/Paramètres!$E$22+M148/Paramètres!$E$23+N148/Paramètres!$E$24+O148/Paramètres!$E$25+P148/Paramètres!$E$26+Q148/Paramètres!$E$27+R148/Paramètres!$E$28+S148/Paramètres!$E$29+T148/Paramètres!$E$30+U148/Paramètres!$E$31+V148/Paramètres!$E$32+W148/Paramètres!$E$33+X148/Paramètres!$E$34+Y148/Paramètres!$E$35,1)</f>
        <v>1.1</v>
      </c>
      <c r="AA148" s="22" t="s">
        <v>109</v>
      </c>
      <c r="AB148" s="22" t="s">
        <v>109</v>
      </c>
      <c r="AC148" s="15" t="str">
        <f aca="false">$E148</f>
        <v>platine</v>
      </c>
      <c r="AD148" s="16" t="n">
        <f aca="false" t="array" ref="AD148:AD148">IF($I148&gt;=$AI148,"Max",ROUND(Paramètres!$B$40*($I148+1)^Paramètres!$B$41*INDEX(Paramètres!$H$6:$H$12,$AF148),0))</f>
        <v>3</v>
      </c>
      <c r="AE148" s="23" t="n">
        <f aca="false">MATCH($B148&amp;"|"&amp;$C148,Profils!$A$5:$A$34,0)</f>
        <v>5</v>
      </c>
      <c r="AF148" s="23" t="n">
        <v>1</v>
      </c>
      <c r="AG148" s="24" t="n">
        <f aca="false" t="array" ref="AG148:AG148">INDEX(Paramètres!$C$6:$C$12,$AF148)</f>
        <v>1</v>
      </c>
      <c r="AH148" s="23" t="n">
        <f aca="false" t="array" ref="AH148:AH148">INDEX(Paramètres!$D$6:$D$12,$AF148)</f>
        <v>2</v>
      </c>
      <c r="AI148" s="23" t="n">
        <f aca="false" t="array" ref="AI148:AI148">INDEX(Matériaux!$C$16:$C$20,$D148)</f>
        <v>25</v>
      </c>
      <c r="AJ148" s="25" t="n">
        <f aca="false">Paramètres!$B$16+(1-Paramètres!$B$16)*(($J148-Paramètres!$B$14)/(Paramètres!$B$15-Paramètres!$B$14))^Paramètres!$B$17</f>
        <v>0.458504333336152</v>
      </c>
    </row>
    <row r="149" customFormat="false" ht="15.75" hidden="false" customHeight="true" outlineLevel="0" collapsed="false">
      <c r="A149" s="14" t="s">
        <v>260</v>
      </c>
      <c r="B149" s="15" t="s">
        <v>27</v>
      </c>
      <c r="C149" s="15" t="s">
        <v>241</v>
      </c>
      <c r="D149" s="16" t="n">
        <v>4</v>
      </c>
      <c r="E149" s="15" t="str">
        <f aca="false" t="array" ref="E149:E149">INDEX(Matériaux!$B$5:$F$12,MATCH(INDEX(Profils!$E$5:$E$34,$AE149),Matériaux!$A$5:$A$12,0),$D149)</f>
        <v>platine</v>
      </c>
      <c r="F149" s="26" t="s">
        <v>111</v>
      </c>
      <c r="G149" s="10" t="str">
        <f aca="false" t="array" ref="G149:G149">INDEX(Profils!$D$5:$D$34,$AE149)&amp;" en "&amp;$E149</f>
        <v>Médaillon en platine</v>
      </c>
      <c r="H149" s="16" t="n">
        <f aca="false" t="array" ref="H149:H149">INDEX(Matériaux!$B$16:$B$20,$D149)</f>
        <v>50</v>
      </c>
      <c r="I149" s="16" t="n">
        <f aca="false">IF(ISNUMBER($C$3),MIN(MAX(0,ROUND($C$3,0)),$AI149),$AI149)</f>
        <v>0</v>
      </c>
      <c r="J149" s="18" t="n">
        <f aca="false">$H149+$I149</f>
        <v>50</v>
      </c>
      <c r="K149" s="15" t="s">
        <v>109</v>
      </c>
      <c r="L149" s="19" t="n">
        <f aca="false" t="array" ref="L149:L149">IF(AND(INDEX(Profils!$F$5:$F$34,$AE149)&gt;0,INDEX(Profils!$U$5:$U$34,$AE149)&lt;=$AH149),ROUND(INDEX(Profils!$F$5:$F$34,$AE149)*Paramètres!$E$22*$AG149*$AJ149,Paramètres!$F$22),0)</f>
        <v>19</v>
      </c>
      <c r="M149" s="19" t="n">
        <f aca="false" t="array" ref="M149:M149">IF(AND(INDEX(Profils!$G$5:$G$34,$AE149)&gt;0,INDEX(Profils!$V$5:$V$34,$AE149)&lt;=$AH149),ROUND(INDEX(Profils!$G$5:$G$34,$AE149)*Paramètres!$E$23*$AG149*$AJ149,Paramètres!$F$23),0)</f>
        <v>0</v>
      </c>
      <c r="N149" s="19" t="n">
        <f aca="false" t="array" ref="N149:N149">IF(AND(INDEX(Profils!$H$5:$H$34,$AE149)&gt;0,INDEX(Profils!$W$5:$W$34,$AE149)&lt;=$AH149),ROUND(INDEX(Profils!$H$5:$H$34,$AE149)*Paramètres!$E$24*$AG149*$AJ149,Paramètres!$F$24),0)</f>
        <v>8</v>
      </c>
      <c r="O149" s="19" t="n">
        <f aca="false" t="array" ref="O149:O149">IF(AND(INDEX(Profils!$I$5:$I$34,$AE149)&gt;0,INDEX(Profils!$X$5:$X$34,$AE149)&lt;=$AH149),ROUND(INDEX(Profils!$I$5:$I$34,$AE149)*Paramètres!$E$25*$AG149*$AJ149,Paramètres!$F$25),0)</f>
        <v>0</v>
      </c>
      <c r="P149" s="19" t="n">
        <f aca="false" t="array" ref="P149:P149">IF(AND(INDEX(Profils!$J$5:$J$34,$AE149)&gt;0,INDEX(Profils!$Y$5:$Y$34,$AE149)&lt;=$AH149),ROUND(INDEX(Profils!$J$5:$J$34,$AE149)*Paramètres!$E$26*$AG149*$AJ149,Paramètres!$F$26),0)</f>
        <v>0</v>
      </c>
      <c r="Q149" s="19" t="n">
        <f aca="false" t="array" ref="Q149:Q149">IF(AND(INDEX(Profils!$K$5:$K$34,$AE149)&gt;0,INDEX(Profils!$Z$5:$Z$34,$AE149)&lt;=$AH149),ROUND(INDEX(Profils!$K$5:$K$34,$AE149)*Paramètres!$E$27*$AG149*$AJ149,Paramètres!$F$27),0)</f>
        <v>0</v>
      </c>
      <c r="R149" s="20" t="n">
        <f aca="false" t="array" ref="R149:R149">IF(AND(INDEX(Profils!$L$5:$L$34,$AE149)&gt;0,INDEX(Profils!$AA$5:$AA$34,$AE149)&lt;=$AH149),ROUND(INDEX(Profils!$L$5:$L$34,$AE149)*Paramètres!$E$28*$AG149*$AJ149,Paramètres!$F$28),0)</f>
        <v>0</v>
      </c>
      <c r="S149" s="20" t="n">
        <f aca="false" t="array" ref="S149:S149">IF(AND(INDEX(Profils!$M$5:$M$34,$AE149)&gt;0,INDEX(Profils!$AB$5:$AB$34,$AE149)&lt;=$AH149),ROUND(INDEX(Profils!$M$5:$M$34,$AE149)*Paramètres!$E$29*$AG149*$AJ149,Paramètres!$F$29),0)</f>
        <v>0</v>
      </c>
      <c r="T149" s="20" t="n">
        <f aca="false" t="array" ref="T149:T149">IF(AND(INDEX(Profils!$N$5:$N$34,$AE149)&gt;0,INDEX(Profils!$AC$5:$AC$34,$AE149)&lt;=$AH149),ROUND(INDEX(Profils!$N$5:$N$34,$AE149)*Paramètres!$E$30*$AG149*$AJ149,Paramètres!$F$30),0)</f>
        <v>0</v>
      </c>
      <c r="U149" s="19" t="n">
        <f aca="false" t="array" ref="U149:U149">IF(AND(INDEX(Profils!$O$5:$O$34,$AE149)&gt;0,INDEX(Profils!$AD$5:$AD$34,$AE149)&lt;=$AH149),ROUND(INDEX(Profils!$O$5:$O$34,$AE149)*Paramètres!$E$31*$AG149*$AJ149,Paramètres!$F$31),0)</f>
        <v>0</v>
      </c>
      <c r="V149" s="20" t="n">
        <f aca="false" t="array" ref="V149:V149">IF(AND(INDEX(Profils!$P$5:$P$34,$AE149)&gt;0,INDEX(Profils!$AE$5:$AE$34,$AE149)&lt;=$AH149),ROUND(INDEX(Profils!$P$5:$P$34,$AE149)*Paramètres!$E$32*$AG149*$AJ149,Paramètres!$F$32),0)</f>
        <v>0</v>
      </c>
      <c r="W149" s="20" t="n">
        <f aca="false" t="array" ref="W149:W149">IF(AND(INDEX(Profils!$Q$5:$Q$34,$AE149)&gt;0,INDEX(Profils!$AF$5:$AF$34,$AE149)&lt;=$AH149),ROUND(INDEX(Profils!$Q$5:$Q$34,$AE149)*Paramètres!$E$33*$AG149*$AJ149,Paramètres!$F$33),0)</f>
        <v>0.008</v>
      </c>
      <c r="X149" s="20" t="n">
        <f aca="false" t="array" ref="X149:X149">IF(AND(INDEX(Profils!$R$5:$R$34,$AE149)&gt;0,INDEX(Profils!$AG$5:$AG$34,$AE149)&lt;=$AH149),ROUND(INDEX(Profils!$R$5:$R$34,$AE149)*Paramètres!$E$34*$AG149*$AJ149,Paramètres!$F$34),0)</f>
        <v>0</v>
      </c>
      <c r="Y149" s="20" t="n">
        <f aca="false" t="array" ref="Y149:Y149">IF(AND(INDEX(Profils!$S$5:$S$34,$AE149)&gt;0,INDEX(Profils!$AH$5:$AH$34,$AE149)&lt;=$AH149),ROUND(INDEX(Profils!$S$5:$S$34,$AE149)*Paramètres!$E$35*$AG149*$AJ149,Paramètres!$F$35),0)</f>
        <v>0</v>
      </c>
      <c r="Z149" s="21" t="n">
        <f aca="false">ROUND(L149/Paramètres!$E$22+M149/Paramètres!$E$23+N149/Paramètres!$E$24+O149/Paramètres!$E$25+P149/Paramètres!$E$26+Q149/Paramètres!$E$27+R149/Paramètres!$E$28+S149/Paramètres!$E$29+T149/Paramètres!$E$30+U149/Paramètres!$E$31+V149/Paramètres!$E$32+W149/Paramètres!$E$33+X149/Paramètres!$E$34+Y149/Paramètres!$E$35,1)</f>
        <v>1.8</v>
      </c>
      <c r="AA149" s="22" t="s">
        <v>109</v>
      </c>
      <c r="AB149" s="22" t="s">
        <v>109</v>
      </c>
      <c r="AC149" s="15" t="str">
        <f aca="false">$E149</f>
        <v>platine</v>
      </c>
      <c r="AD149" s="16" t="n">
        <f aca="false" t="array" ref="AD149:AD149">IF($I149&gt;=$AI149,"Max",ROUND(Paramètres!$B$40*($I149+1)^Paramètres!$B$41*INDEX(Paramètres!$H$6:$H$12,$AF149),0))</f>
        <v>4</v>
      </c>
      <c r="AE149" s="23" t="n">
        <f aca="false">MATCH($B149&amp;"|"&amp;$C149,Profils!$A$5:$A$34,0)</f>
        <v>5</v>
      </c>
      <c r="AF149" s="23" t="n">
        <v>2</v>
      </c>
      <c r="AG149" s="24" t="n">
        <f aca="false" t="array" ref="AG149:AG149">INDEX(Paramètres!$C$6:$C$12,$AF149)</f>
        <v>1.2</v>
      </c>
      <c r="AH149" s="23" t="n">
        <f aca="false" t="array" ref="AH149:AH149">INDEX(Paramètres!$D$6:$D$12,$AF149)</f>
        <v>3</v>
      </c>
      <c r="AI149" s="23" t="n">
        <f aca="false" t="array" ref="AI149:AI149">INDEX(Matériaux!$C$16:$C$20,$D149)</f>
        <v>25</v>
      </c>
      <c r="AJ149" s="25" t="n">
        <f aca="false">Paramètres!$B$16+(1-Paramètres!$B$16)*(($J149-Paramètres!$B$14)/(Paramètres!$B$15-Paramètres!$B$14))^Paramètres!$B$17</f>
        <v>0.458504333336152</v>
      </c>
    </row>
    <row r="150" customFormat="false" ht="15.75" hidden="false" customHeight="true" outlineLevel="0" collapsed="false">
      <c r="A150" s="14" t="s">
        <v>261</v>
      </c>
      <c r="B150" s="15" t="s">
        <v>27</v>
      </c>
      <c r="C150" s="15" t="s">
        <v>241</v>
      </c>
      <c r="D150" s="16" t="n">
        <v>4</v>
      </c>
      <c r="E150" s="15" t="str">
        <f aca="false" t="array" ref="E150:E150">INDEX(Matériaux!$B$5:$F$12,MATCH(INDEX(Profils!$E$5:$E$34,$AE150),Matériaux!$A$5:$A$12,0),$D150)</f>
        <v>platine</v>
      </c>
      <c r="F150" s="27" t="s">
        <v>113</v>
      </c>
      <c r="G150" s="10" t="str">
        <f aca="false" t="array" ref="G150:G150">INDEX(Profils!$D$5:$D$34,$AE150)&amp;" en "&amp;$E150</f>
        <v>Médaillon en platine</v>
      </c>
      <c r="H150" s="16" t="n">
        <f aca="false" t="array" ref="H150:H150">INDEX(Matériaux!$B$16:$B$20,$D150)</f>
        <v>50</v>
      </c>
      <c r="I150" s="16" t="n">
        <f aca="false">IF(ISNUMBER($C$3),MIN(MAX(0,ROUND($C$3,0)),$AI150),$AI150)</f>
        <v>0</v>
      </c>
      <c r="J150" s="18" t="n">
        <f aca="false">$H150+$I150</f>
        <v>50</v>
      </c>
      <c r="K150" s="15" t="s">
        <v>109</v>
      </c>
      <c r="L150" s="19" t="n">
        <f aca="false" t="array" ref="L150:L150">IF(AND(INDEX(Profils!$F$5:$F$34,$AE150)&gt;0,INDEX(Profils!$U$5:$U$34,$AE150)&lt;=$AH150),ROUND(INDEX(Profils!$F$5:$F$34,$AE150)*Paramètres!$E$22*$AG150*$AJ150,Paramètres!$F$22),0)</f>
        <v>23</v>
      </c>
      <c r="M150" s="19" t="n">
        <f aca="false" t="array" ref="M150:M150">IF(AND(INDEX(Profils!$G$5:$G$34,$AE150)&gt;0,INDEX(Profils!$V$5:$V$34,$AE150)&lt;=$AH150),ROUND(INDEX(Profils!$G$5:$G$34,$AE150)*Paramètres!$E$23*$AG150*$AJ150,Paramètres!$F$23),0)</f>
        <v>8</v>
      </c>
      <c r="N150" s="19" t="n">
        <f aca="false" t="array" ref="N150:N150">IF(AND(INDEX(Profils!$H$5:$H$34,$AE150)&gt;0,INDEX(Profils!$W$5:$W$34,$AE150)&lt;=$AH150),ROUND(INDEX(Profils!$H$5:$H$34,$AE150)*Paramètres!$E$24*$AG150*$AJ150,Paramètres!$F$24),0)</f>
        <v>10</v>
      </c>
      <c r="O150" s="19" t="n">
        <f aca="false" t="array" ref="O150:O150">IF(AND(INDEX(Profils!$I$5:$I$34,$AE150)&gt;0,INDEX(Profils!$X$5:$X$34,$AE150)&lt;=$AH150),ROUND(INDEX(Profils!$I$5:$I$34,$AE150)*Paramètres!$E$25*$AG150*$AJ150,Paramètres!$F$25),0)</f>
        <v>0</v>
      </c>
      <c r="P150" s="19" t="n">
        <f aca="false" t="array" ref="P150:P150">IF(AND(INDEX(Profils!$J$5:$J$34,$AE150)&gt;0,INDEX(Profils!$Y$5:$Y$34,$AE150)&lt;=$AH150),ROUND(INDEX(Profils!$J$5:$J$34,$AE150)*Paramètres!$E$26*$AG150*$AJ150,Paramètres!$F$26),0)</f>
        <v>0</v>
      </c>
      <c r="Q150" s="19" t="n">
        <f aca="false" t="array" ref="Q150:Q150">IF(AND(INDEX(Profils!$K$5:$K$34,$AE150)&gt;0,INDEX(Profils!$Z$5:$Z$34,$AE150)&lt;=$AH150),ROUND(INDEX(Profils!$K$5:$K$34,$AE150)*Paramètres!$E$27*$AG150*$AJ150,Paramètres!$F$27),0)</f>
        <v>0</v>
      </c>
      <c r="R150" s="20" t="n">
        <f aca="false" t="array" ref="R150:R150">IF(AND(INDEX(Profils!$L$5:$L$34,$AE150)&gt;0,INDEX(Profils!$AA$5:$AA$34,$AE150)&lt;=$AH150),ROUND(INDEX(Profils!$L$5:$L$34,$AE150)*Paramètres!$E$28*$AG150*$AJ150,Paramètres!$F$28),0)</f>
        <v>0</v>
      </c>
      <c r="S150" s="20" t="n">
        <f aca="false" t="array" ref="S150:S150">IF(AND(INDEX(Profils!$M$5:$M$34,$AE150)&gt;0,INDEX(Profils!$AB$5:$AB$34,$AE150)&lt;=$AH150),ROUND(INDEX(Profils!$M$5:$M$34,$AE150)*Paramètres!$E$29*$AG150*$AJ150,Paramètres!$F$29),0)</f>
        <v>0</v>
      </c>
      <c r="T150" s="20" t="n">
        <f aca="false" t="array" ref="T150:T150">IF(AND(INDEX(Profils!$N$5:$N$34,$AE150)&gt;0,INDEX(Profils!$AC$5:$AC$34,$AE150)&lt;=$AH150),ROUND(INDEX(Profils!$N$5:$N$34,$AE150)*Paramètres!$E$30*$AG150*$AJ150,Paramètres!$F$30),0)</f>
        <v>0</v>
      </c>
      <c r="U150" s="19" t="n">
        <f aca="false" t="array" ref="U150:U150">IF(AND(INDEX(Profils!$O$5:$O$34,$AE150)&gt;0,INDEX(Profils!$AD$5:$AD$34,$AE150)&lt;=$AH150),ROUND(INDEX(Profils!$O$5:$O$34,$AE150)*Paramètres!$E$31*$AG150*$AJ150,Paramètres!$F$31),0)</f>
        <v>0</v>
      </c>
      <c r="V150" s="20" t="n">
        <f aca="false" t="array" ref="V150:V150">IF(AND(INDEX(Profils!$P$5:$P$34,$AE150)&gt;0,INDEX(Profils!$AE$5:$AE$34,$AE150)&lt;=$AH150),ROUND(INDEX(Profils!$P$5:$P$34,$AE150)*Paramètres!$E$32*$AG150*$AJ150,Paramètres!$F$32),0)</f>
        <v>0</v>
      </c>
      <c r="W150" s="20" t="n">
        <f aca="false" t="array" ref="W150:W150">IF(AND(INDEX(Profils!$Q$5:$Q$34,$AE150)&gt;0,INDEX(Profils!$AF$5:$AF$34,$AE150)&lt;=$AH150),ROUND(INDEX(Profils!$Q$5:$Q$34,$AE150)*Paramètres!$E$33*$AG150*$AJ150,Paramètres!$F$33),0)</f>
        <v>0.01</v>
      </c>
      <c r="X150" s="20" t="n">
        <f aca="false" t="array" ref="X150:X150">IF(AND(INDEX(Profils!$R$5:$R$34,$AE150)&gt;0,INDEX(Profils!$AG$5:$AG$34,$AE150)&lt;=$AH150),ROUND(INDEX(Profils!$R$5:$R$34,$AE150)*Paramètres!$E$34*$AG150*$AJ150,Paramètres!$F$34),0)</f>
        <v>0</v>
      </c>
      <c r="Y150" s="20" t="n">
        <f aca="false" t="array" ref="Y150:Y150">IF(AND(INDEX(Profils!$S$5:$S$34,$AE150)&gt;0,INDEX(Profils!$AH$5:$AH$34,$AE150)&lt;=$AH150),ROUND(INDEX(Profils!$S$5:$S$34,$AE150)*Paramètres!$E$35*$AG150*$AJ150,Paramètres!$F$35),0)</f>
        <v>0</v>
      </c>
      <c r="Z150" s="21" t="n">
        <f aca="false">ROUND(L150/Paramètres!$E$22+M150/Paramètres!$E$23+N150/Paramètres!$E$24+O150/Paramètres!$E$25+P150/Paramètres!$E$26+Q150/Paramètres!$E$27+R150/Paramètres!$E$28+S150/Paramètres!$E$29+T150/Paramètres!$E$30+U150/Paramètres!$E$31+V150/Paramètres!$E$32+W150/Paramètres!$E$33+X150/Paramètres!$E$34+Y150/Paramètres!$E$35,1)</f>
        <v>2.8</v>
      </c>
      <c r="AA150" s="22" t="s">
        <v>109</v>
      </c>
      <c r="AB150" s="22" t="s">
        <v>109</v>
      </c>
      <c r="AC150" s="15" t="str">
        <f aca="false">$E150</f>
        <v>platine</v>
      </c>
      <c r="AD150" s="16" t="n">
        <f aca="false" t="array" ref="AD150:AD150">IF($I150&gt;=$AI150,"Max",ROUND(Paramètres!$B$40*($I150+1)^Paramètres!$B$41*INDEX(Paramètres!$H$6:$H$12,$AF150),0))</f>
        <v>4</v>
      </c>
      <c r="AE150" s="23" t="n">
        <f aca="false">MATCH($B150&amp;"|"&amp;$C150,Profils!$A$5:$A$34,0)</f>
        <v>5</v>
      </c>
      <c r="AF150" s="23" t="n">
        <v>3</v>
      </c>
      <c r="AG150" s="24" t="n">
        <f aca="false" t="array" ref="AG150:AG150">INDEX(Paramètres!$C$6:$C$12,$AF150)</f>
        <v>1.45</v>
      </c>
      <c r="AH150" s="23" t="n">
        <f aca="false" t="array" ref="AH150:AH150">INDEX(Paramètres!$D$6:$D$12,$AF150)</f>
        <v>4</v>
      </c>
      <c r="AI150" s="23" t="n">
        <f aca="false" t="array" ref="AI150:AI150">INDEX(Matériaux!$C$16:$C$20,$D150)</f>
        <v>25</v>
      </c>
      <c r="AJ150" s="25" t="n">
        <f aca="false">Paramètres!$B$16+(1-Paramètres!$B$16)*(($J150-Paramètres!$B$14)/(Paramètres!$B$15-Paramètres!$B$14))^Paramètres!$B$17</f>
        <v>0.458504333336152</v>
      </c>
    </row>
    <row r="151" customFormat="false" ht="15.75" hidden="false" customHeight="true" outlineLevel="0" collapsed="false">
      <c r="A151" s="14" t="s">
        <v>262</v>
      </c>
      <c r="B151" s="15" t="s">
        <v>27</v>
      </c>
      <c r="C151" s="15" t="s">
        <v>241</v>
      </c>
      <c r="D151" s="16" t="n">
        <v>4</v>
      </c>
      <c r="E151" s="15" t="str">
        <f aca="false" t="array" ref="E151:E151">INDEX(Matériaux!$B$5:$F$12,MATCH(INDEX(Profils!$E$5:$E$34,$AE151),Matériaux!$A$5:$A$12,0),$D151)</f>
        <v>platine</v>
      </c>
      <c r="F151" s="28" t="s">
        <v>115</v>
      </c>
      <c r="G151" s="10" t="str">
        <f aca="false" t="array" ref="G151:G151">INDEX(Profils!$D$5:$D$34,$AE151)&amp;" en "&amp;$E151</f>
        <v>Médaillon en platine</v>
      </c>
      <c r="H151" s="16" t="n">
        <f aca="false" t="array" ref="H151:H151">INDEX(Matériaux!$B$16:$B$20,$D151)</f>
        <v>50</v>
      </c>
      <c r="I151" s="16" t="n">
        <f aca="false">IF(ISNUMBER($C$3),MIN(MAX(0,ROUND($C$3,0)),$AI151),$AI151)</f>
        <v>0</v>
      </c>
      <c r="J151" s="18" t="n">
        <f aca="false">$H151+$I151</f>
        <v>50</v>
      </c>
      <c r="K151" s="15" t="s">
        <v>109</v>
      </c>
      <c r="L151" s="19" t="n">
        <f aca="false" t="array" ref="L151:L151">IF(AND(INDEX(Profils!$F$5:$F$34,$AE151)&gt;0,INDEX(Profils!$U$5:$U$34,$AE151)&lt;=$AH151),ROUND(INDEX(Profils!$F$5:$F$34,$AE151)*Paramètres!$E$22*$AG151*$AJ151,Paramètres!$F$22),0)</f>
        <v>28</v>
      </c>
      <c r="M151" s="19" t="n">
        <f aca="false" t="array" ref="M151:M151">IF(AND(INDEX(Profils!$G$5:$G$34,$AE151)&gt;0,INDEX(Profils!$V$5:$V$34,$AE151)&lt;=$AH151),ROUND(INDEX(Profils!$G$5:$G$34,$AE151)*Paramètres!$E$23*$AG151*$AJ151,Paramètres!$F$23),0)</f>
        <v>10</v>
      </c>
      <c r="N151" s="19" t="n">
        <f aca="false" t="array" ref="N151:N151">IF(AND(INDEX(Profils!$H$5:$H$34,$AE151)&gt;0,INDEX(Profils!$W$5:$W$34,$AE151)&lt;=$AH151),ROUND(INDEX(Profils!$H$5:$H$34,$AE151)*Paramètres!$E$24*$AG151*$AJ151,Paramètres!$F$24),0)</f>
        <v>12</v>
      </c>
      <c r="O151" s="19" t="n">
        <f aca="false" t="array" ref="O151:O151">IF(AND(INDEX(Profils!$I$5:$I$34,$AE151)&gt;0,INDEX(Profils!$X$5:$X$34,$AE151)&lt;=$AH151),ROUND(INDEX(Profils!$I$5:$I$34,$AE151)*Paramètres!$E$25*$AG151*$AJ151,Paramètres!$F$25),0)</f>
        <v>0</v>
      </c>
      <c r="P151" s="19" t="n">
        <f aca="false" t="array" ref="P151:P151">IF(AND(INDEX(Profils!$J$5:$J$34,$AE151)&gt;0,INDEX(Profils!$Y$5:$Y$34,$AE151)&lt;=$AH151),ROUND(INDEX(Profils!$J$5:$J$34,$AE151)*Paramètres!$E$26*$AG151*$AJ151,Paramètres!$F$26),0)</f>
        <v>0</v>
      </c>
      <c r="Q151" s="19" t="n">
        <f aca="false" t="array" ref="Q151:Q151">IF(AND(INDEX(Profils!$K$5:$K$34,$AE151)&gt;0,INDEX(Profils!$Z$5:$Z$34,$AE151)&lt;=$AH151),ROUND(INDEX(Profils!$K$5:$K$34,$AE151)*Paramètres!$E$27*$AG151*$AJ151,Paramètres!$F$27),0)</f>
        <v>0</v>
      </c>
      <c r="R151" s="20" t="n">
        <f aca="false" t="array" ref="R151:R151">IF(AND(INDEX(Profils!$L$5:$L$34,$AE151)&gt;0,INDEX(Profils!$AA$5:$AA$34,$AE151)&lt;=$AH151),ROUND(INDEX(Profils!$L$5:$L$34,$AE151)*Paramètres!$E$28*$AG151*$AJ151,Paramètres!$F$28),0)</f>
        <v>0</v>
      </c>
      <c r="S151" s="20" t="n">
        <f aca="false" t="array" ref="S151:S151">IF(AND(INDEX(Profils!$M$5:$M$34,$AE151)&gt;0,INDEX(Profils!$AB$5:$AB$34,$AE151)&lt;=$AH151),ROUND(INDEX(Profils!$M$5:$M$34,$AE151)*Paramètres!$E$29*$AG151*$AJ151,Paramètres!$F$29),0)</f>
        <v>0</v>
      </c>
      <c r="T151" s="20" t="n">
        <f aca="false" t="array" ref="T151:T151">IF(AND(INDEX(Profils!$N$5:$N$34,$AE151)&gt;0,INDEX(Profils!$AC$5:$AC$34,$AE151)&lt;=$AH151),ROUND(INDEX(Profils!$N$5:$N$34,$AE151)*Paramètres!$E$30*$AG151*$AJ151,Paramètres!$F$30),0)</f>
        <v>0</v>
      </c>
      <c r="U151" s="19" t="n">
        <f aca="false" t="array" ref="U151:U151">IF(AND(INDEX(Profils!$O$5:$O$34,$AE151)&gt;0,INDEX(Profils!$AD$5:$AD$34,$AE151)&lt;=$AH151),ROUND(INDEX(Profils!$O$5:$O$34,$AE151)*Paramètres!$E$31*$AG151*$AJ151,Paramètres!$F$31),0)</f>
        <v>0</v>
      </c>
      <c r="V151" s="20" t="n">
        <f aca="false" t="array" ref="V151:V151">IF(AND(INDEX(Profils!$P$5:$P$34,$AE151)&gt;0,INDEX(Profils!$AE$5:$AE$34,$AE151)&lt;=$AH151),ROUND(INDEX(Profils!$P$5:$P$34,$AE151)*Paramètres!$E$32*$AG151*$AJ151,Paramètres!$F$32),0)</f>
        <v>0</v>
      </c>
      <c r="W151" s="20" t="n">
        <f aca="false" t="array" ref="W151:W151">IF(AND(INDEX(Profils!$Q$5:$Q$34,$AE151)&gt;0,INDEX(Profils!$AF$5:$AF$34,$AE151)&lt;=$AH151),ROUND(INDEX(Profils!$Q$5:$Q$34,$AE151)*Paramètres!$E$33*$AG151*$AJ151,Paramètres!$F$33),0)</f>
        <v>0.012</v>
      </c>
      <c r="X151" s="20" t="n">
        <f aca="false" t="array" ref="X151:X151">IF(AND(INDEX(Profils!$R$5:$R$34,$AE151)&gt;0,INDEX(Profils!$AG$5:$AG$34,$AE151)&lt;=$AH151),ROUND(INDEX(Profils!$R$5:$R$34,$AE151)*Paramètres!$E$34*$AG151*$AJ151,Paramètres!$F$34),0)</f>
        <v>0</v>
      </c>
      <c r="Y151" s="20" t="n">
        <f aca="false" t="array" ref="Y151:Y151">IF(AND(INDEX(Profils!$S$5:$S$34,$AE151)&gt;0,INDEX(Profils!$AH$5:$AH$34,$AE151)&lt;=$AH151),ROUND(INDEX(Profils!$S$5:$S$34,$AE151)*Paramètres!$E$35*$AG151*$AJ151,Paramètres!$F$35),0)</f>
        <v>0.01</v>
      </c>
      <c r="Z151" s="21" t="n">
        <f aca="false">ROUND(L151/Paramètres!$E$22+M151/Paramètres!$E$23+N151/Paramètres!$E$24+O151/Paramètres!$E$25+P151/Paramètres!$E$26+Q151/Paramètres!$E$27+R151/Paramètres!$E$28+S151/Paramètres!$E$29+T151/Paramètres!$E$30+U151/Paramètres!$E$31+V151/Paramètres!$E$32+W151/Paramètres!$E$33+X151/Paramètres!$E$34+Y151/Paramètres!$E$35,1)</f>
        <v>4.1</v>
      </c>
      <c r="AA151" s="22" t="s">
        <v>109</v>
      </c>
      <c r="AB151" s="22" t="s">
        <v>109</v>
      </c>
      <c r="AC151" s="15" t="str">
        <f aca="false">$E151</f>
        <v>platine</v>
      </c>
      <c r="AD151" s="16" t="n">
        <f aca="false" t="array" ref="AD151:AD151">IF($I151&gt;=$AI151,"Max",ROUND(Paramètres!$B$40*($I151+1)^Paramètres!$B$41*INDEX(Paramètres!$H$6:$H$12,$AF151),0))</f>
        <v>5</v>
      </c>
      <c r="AE151" s="23" t="n">
        <f aca="false">MATCH($B151&amp;"|"&amp;$C151,Profils!$A$5:$A$34,0)</f>
        <v>5</v>
      </c>
      <c r="AF151" s="23" t="n">
        <v>4</v>
      </c>
      <c r="AG151" s="24" t="n">
        <f aca="false" t="array" ref="AG151:AG151">INDEX(Paramètres!$C$6:$C$12,$AF151)</f>
        <v>1.75</v>
      </c>
      <c r="AH151" s="23" t="n">
        <f aca="false" t="array" ref="AH151:AH151">INDEX(Paramètres!$D$6:$D$12,$AF151)</f>
        <v>5</v>
      </c>
      <c r="AI151" s="23" t="n">
        <f aca="false" t="array" ref="AI151:AI151">INDEX(Matériaux!$C$16:$C$20,$D151)</f>
        <v>25</v>
      </c>
      <c r="AJ151" s="25" t="n">
        <f aca="false">Paramètres!$B$16+(1-Paramètres!$B$16)*(($J151-Paramètres!$B$14)/(Paramètres!$B$15-Paramètres!$B$14))^Paramètres!$B$17</f>
        <v>0.458504333336152</v>
      </c>
    </row>
    <row r="152" customFormat="false" ht="15.75" hidden="false" customHeight="true" outlineLevel="0" collapsed="false">
      <c r="A152" s="14" t="s">
        <v>263</v>
      </c>
      <c r="B152" s="15" t="s">
        <v>27</v>
      </c>
      <c r="C152" s="15" t="s">
        <v>241</v>
      </c>
      <c r="D152" s="16" t="n">
        <v>4</v>
      </c>
      <c r="E152" s="15" t="str">
        <f aca="false" t="array" ref="E152:E152">INDEX(Matériaux!$B$5:$F$12,MATCH(INDEX(Profils!$E$5:$E$34,$AE152),Matériaux!$A$5:$A$12,0),$D152)</f>
        <v>platine</v>
      </c>
      <c r="F152" s="29" t="s">
        <v>117</v>
      </c>
      <c r="G152" s="10" t="str">
        <f aca="false" t="array" ref="G152:G152">INDEX(Profils!$D$5:$D$34,$AE152)&amp;" en "&amp;$E152</f>
        <v>Médaillon en platine</v>
      </c>
      <c r="H152" s="16" t="n">
        <f aca="false" t="array" ref="H152:H152">INDEX(Matériaux!$B$16:$B$20,$D152)</f>
        <v>50</v>
      </c>
      <c r="I152" s="16" t="n">
        <f aca="false">IF(ISNUMBER($C$3),MIN(MAX(0,ROUND($C$3,0)),$AI152),$AI152)</f>
        <v>0</v>
      </c>
      <c r="J152" s="18" t="n">
        <f aca="false">$H152+$I152</f>
        <v>50</v>
      </c>
      <c r="K152" s="15" t="s">
        <v>109</v>
      </c>
      <c r="L152" s="19" t="n">
        <f aca="false" t="array" ref="L152:L152">IF(AND(INDEX(Profils!$F$5:$F$34,$AE152)&gt;0,INDEX(Profils!$U$5:$U$34,$AE152)&lt;=$AH152),ROUND(INDEX(Profils!$F$5:$F$34,$AE152)*Paramètres!$E$22*$AG152*$AJ152,Paramètres!$F$22),0)</f>
        <v>34</v>
      </c>
      <c r="M152" s="19" t="n">
        <f aca="false" t="array" ref="M152:M152">IF(AND(INDEX(Profils!$G$5:$G$34,$AE152)&gt;0,INDEX(Profils!$V$5:$V$34,$AE152)&lt;=$AH152),ROUND(INDEX(Profils!$G$5:$G$34,$AE152)*Paramètres!$E$23*$AG152*$AJ152,Paramètres!$F$23),0)</f>
        <v>12</v>
      </c>
      <c r="N152" s="19" t="n">
        <f aca="false" t="array" ref="N152:N152">IF(AND(INDEX(Profils!$H$5:$H$34,$AE152)&gt;0,INDEX(Profils!$W$5:$W$34,$AE152)&lt;=$AH152),ROUND(INDEX(Profils!$H$5:$H$34,$AE152)*Paramètres!$E$24*$AG152*$AJ152,Paramètres!$F$24),0)</f>
        <v>14</v>
      </c>
      <c r="O152" s="19" t="n">
        <f aca="false" t="array" ref="O152:O152">IF(AND(INDEX(Profils!$I$5:$I$34,$AE152)&gt;0,INDEX(Profils!$X$5:$X$34,$AE152)&lt;=$AH152),ROUND(INDEX(Profils!$I$5:$I$34,$AE152)*Paramètres!$E$25*$AG152*$AJ152,Paramètres!$F$25),0)</f>
        <v>0</v>
      </c>
      <c r="P152" s="19" t="n">
        <f aca="false" t="array" ref="P152:P152">IF(AND(INDEX(Profils!$J$5:$J$34,$AE152)&gt;0,INDEX(Profils!$Y$5:$Y$34,$AE152)&lt;=$AH152),ROUND(INDEX(Profils!$J$5:$J$34,$AE152)*Paramètres!$E$26*$AG152*$AJ152,Paramètres!$F$26),0)</f>
        <v>6</v>
      </c>
      <c r="Q152" s="19" t="n">
        <f aca="false" t="array" ref="Q152:Q152">IF(AND(INDEX(Profils!$K$5:$K$34,$AE152)&gt;0,INDEX(Profils!$Z$5:$Z$34,$AE152)&lt;=$AH152),ROUND(INDEX(Profils!$K$5:$K$34,$AE152)*Paramètres!$E$27*$AG152*$AJ152,Paramètres!$F$27),0)</f>
        <v>0</v>
      </c>
      <c r="R152" s="20" t="n">
        <f aca="false" t="array" ref="R152:R152">IF(AND(INDEX(Profils!$L$5:$L$34,$AE152)&gt;0,INDEX(Profils!$AA$5:$AA$34,$AE152)&lt;=$AH152),ROUND(INDEX(Profils!$L$5:$L$34,$AE152)*Paramètres!$E$28*$AG152*$AJ152,Paramètres!$F$28),0)</f>
        <v>0</v>
      </c>
      <c r="S152" s="20" t="n">
        <f aca="false" t="array" ref="S152:S152">IF(AND(INDEX(Profils!$M$5:$M$34,$AE152)&gt;0,INDEX(Profils!$AB$5:$AB$34,$AE152)&lt;=$AH152),ROUND(INDEX(Profils!$M$5:$M$34,$AE152)*Paramètres!$E$29*$AG152*$AJ152,Paramètres!$F$29),0)</f>
        <v>0</v>
      </c>
      <c r="T152" s="20" t="n">
        <f aca="false" t="array" ref="T152:T152">IF(AND(INDEX(Profils!$N$5:$N$34,$AE152)&gt;0,INDEX(Profils!$AC$5:$AC$34,$AE152)&lt;=$AH152),ROUND(INDEX(Profils!$N$5:$N$34,$AE152)*Paramètres!$E$30*$AG152*$AJ152,Paramètres!$F$30),0)</f>
        <v>0</v>
      </c>
      <c r="U152" s="19" t="n">
        <f aca="false" t="array" ref="U152:U152">IF(AND(INDEX(Profils!$O$5:$O$34,$AE152)&gt;0,INDEX(Profils!$AD$5:$AD$34,$AE152)&lt;=$AH152),ROUND(INDEX(Profils!$O$5:$O$34,$AE152)*Paramètres!$E$31*$AG152*$AJ152,Paramètres!$F$31),0)</f>
        <v>0</v>
      </c>
      <c r="V152" s="20" t="n">
        <f aca="false" t="array" ref="V152:V152">IF(AND(INDEX(Profils!$P$5:$P$34,$AE152)&gt;0,INDEX(Profils!$AE$5:$AE$34,$AE152)&lt;=$AH152),ROUND(INDEX(Profils!$P$5:$P$34,$AE152)*Paramètres!$E$32*$AG152*$AJ152,Paramètres!$F$32),0)</f>
        <v>0</v>
      </c>
      <c r="W152" s="20" t="n">
        <f aca="false" t="array" ref="W152:W152">IF(AND(INDEX(Profils!$Q$5:$Q$34,$AE152)&gt;0,INDEX(Profils!$AF$5:$AF$34,$AE152)&lt;=$AH152),ROUND(INDEX(Profils!$Q$5:$Q$34,$AE152)*Paramètres!$E$33*$AG152*$AJ152,Paramètres!$F$33),0)</f>
        <v>0.014</v>
      </c>
      <c r="X152" s="20" t="n">
        <f aca="false" t="array" ref="X152:X152">IF(AND(INDEX(Profils!$R$5:$R$34,$AE152)&gt;0,INDEX(Profils!$AG$5:$AG$34,$AE152)&lt;=$AH152),ROUND(INDEX(Profils!$R$5:$R$34,$AE152)*Paramètres!$E$34*$AG152*$AJ152,Paramètres!$F$34),0)</f>
        <v>0</v>
      </c>
      <c r="Y152" s="20" t="n">
        <f aca="false" t="array" ref="Y152:Y152">IF(AND(INDEX(Profils!$S$5:$S$34,$AE152)&gt;0,INDEX(Profils!$AH$5:$AH$34,$AE152)&lt;=$AH152),ROUND(INDEX(Profils!$S$5:$S$34,$AE152)*Paramètres!$E$35*$AG152*$AJ152,Paramètres!$F$35),0)</f>
        <v>0.012</v>
      </c>
      <c r="Z152" s="21" t="n">
        <f aca="false">ROUND(L152/Paramètres!$E$22+M152/Paramètres!$E$23+N152/Paramètres!$E$24+O152/Paramètres!$E$25+P152/Paramètres!$E$26+Q152/Paramètres!$E$27+R152/Paramètres!$E$28+S152/Paramètres!$E$29+T152/Paramètres!$E$30+U152/Paramètres!$E$31+V152/Paramètres!$E$32+W152/Paramètres!$E$33+X152/Paramètres!$E$34+Y152/Paramètres!$E$35,1)</f>
        <v>5.3</v>
      </c>
      <c r="AA152" s="22" t="s">
        <v>109</v>
      </c>
      <c r="AB152" s="22" t="s">
        <v>109</v>
      </c>
      <c r="AC152" s="15" t="str">
        <f aca="false">$E152</f>
        <v>platine</v>
      </c>
      <c r="AD152" s="16" t="n">
        <f aca="false" t="array" ref="AD152:AD152">IF($I152&gt;=$AI152,"Max",ROUND(Paramètres!$B$40*($I152+1)^Paramètres!$B$41*INDEX(Paramètres!$H$6:$H$12,$AF152),0))</f>
        <v>6</v>
      </c>
      <c r="AE152" s="23" t="n">
        <f aca="false">MATCH($B152&amp;"|"&amp;$C152,Profils!$A$5:$A$34,0)</f>
        <v>5</v>
      </c>
      <c r="AF152" s="23" t="n">
        <v>5</v>
      </c>
      <c r="AG152" s="24" t="n">
        <f aca="false" t="array" ref="AG152:AG152">INDEX(Paramètres!$C$6:$C$12,$AF152)</f>
        <v>2.1</v>
      </c>
      <c r="AH152" s="23" t="n">
        <f aca="false" t="array" ref="AH152:AH152">INDEX(Paramètres!$D$6:$D$12,$AF152)</f>
        <v>6</v>
      </c>
      <c r="AI152" s="23" t="n">
        <f aca="false" t="array" ref="AI152:AI152">INDEX(Matériaux!$C$16:$C$20,$D152)</f>
        <v>25</v>
      </c>
      <c r="AJ152" s="25" t="n">
        <f aca="false">Paramètres!$B$16+(1-Paramètres!$B$16)*(($J152-Paramètres!$B$14)/(Paramètres!$B$15-Paramètres!$B$14))^Paramètres!$B$17</f>
        <v>0.458504333336152</v>
      </c>
    </row>
    <row r="153" customFormat="false" ht="15.75" hidden="false" customHeight="true" outlineLevel="0" collapsed="false">
      <c r="A153" s="14" t="s">
        <v>264</v>
      </c>
      <c r="B153" s="15" t="s">
        <v>27</v>
      </c>
      <c r="C153" s="15" t="s">
        <v>241</v>
      </c>
      <c r="D153" s="16" t="n">
        <v>4</v>
      </c>
      <c r="E153" s="15" t="str">
        <f aca="false" t="array" ref="E153:E153">INDEX(Matériaux!$B$5:$F$12,MATCH(INDEX(Profils!$E$5:$E$34,$AE153),Matériaux!$A$5:$A$12,0),$D153)</f>
        <v>platine</v>
      </c>
      <c r="F153" s="30" t="s">
        <v>119</v>
      </c>
      <c r="G153" s="10" t="str">
        <f aca="false" t="array" ref="G153:G153">INDEX(Profils!$D$5:$D$34,$AE153)&amp;" en "&amp;$E153</f>
        <v>Médaillon en platine</v>
      </c>
      <c r="H153" s="16" t="n">
        <f aca="false" t="array" ref="H153:H153">INDEX(Matériaux!$B$16:$B$20,$D153)</f>
        <v>50</v>
      </c>
      <c r="I153" s="16" t="n">
        <f aca="false">IF(ISNUMBER($C$3),MIN(MAX(0,ROUND($C$3,0)),$AI153),$AI153)</f>
        <v>0</v>
      </c>
      <c r="J153" s="18" t="n">
        <f aca="false">$H153+$I153</f>
        <v>50</v>
      </c>
      <c r="K153" s="15" t="s">
        <v>109</v>
      </c>
      <c r="L153" s="19" t="n">
        <f aca="false" t="array" ref="L153:L153">IF(AND(INDEX(Profils!$F$5:$F$34,$AE153)&gt;0,INDEX(Profils!$U$5:$U$34,$AE153)&lt;=$AH153),ROUND(INDEX(Profils!$F$5:$F$34,$AE153)*Paramètres!$E$22*$AG153*$AJ153,Paramètres!$F$22),0)</f>
        <v>39</v>
      </c>
      <c r="M153" s="19" t="n">
        <f aca="false" t="array" ref="M153:M153">IF(AND(INDEX(Profils!$G$5:$G$34,$AE153)&gt;0,INDEX(Profils!$V$5:$V$34,$AE153)&lt;=$AH153),ROUND(INDEX(Profils!$G$5:$G$34,$AE153)*Paramètres!$E$23*$AG153*$AJ153,Paramètres!$F$23),0)</f>
        <v>13</v>
      </c>
      <c r="N153" s="19" t="n">
        <f aca="false" t="array" ref="N153:N153">IF(AND(INDEX(Profils!$H$5:$H$34,$AE153)&gt;0,INDEX(Profils!$W$5:$W$34,$AE153)&lt;=$AH153),ROUND(INDEX(Profils!$H$5:$H$34,$AE153)*Paramètres!$E$24*$AG153*$AJ153,Paramètres!$F$24),0)</f>
        <v>17</v>
      </c>
      <c r="O153" s="19" t="n">
        <f aca="false" t="array" ref="O153:O153">IF(AND(INDEX(Profils!$I$5:$I$34,$AE153)&gt;0,INDEX(Profils!$X$5:$X$34,$AE153)&lt;=$AH153),ROUND(INDEX(Profils!$I$5:$I$34,$AE153)*Paramètres!$E$25*$AG153*$AJ153,Paramètres!$F$25),0)</f>
        <v>0</v>
      </c>
      <c r="P153" s="19" t="n">
        <f aca="false" t="array" ref="P153:P153">IF(AND(INDEX(Profils!$J$5:$J$34,$AE153)&gt;0,INDEX(Profils!$Y$5:$Y$34,$AE153)&lt;=$AH153),ROUND(INDEX(Profils!$J$5:$J$34,$AE153)*Paramètres!$E$26*$AG153*$AJ153,Paramètres!$F$26),0)</f>
        <v>7</v>
      </c>
      <c r="Q153" s="19" t="n">
        <f aca="false" t="array" ref="Q153:Q153">IF(AND(INDEX(Profils!$K$5:$K$34,$AE153)&gt;0,INDEX(Profils!$Z$5:$Z$34,$AE153)&lt;=$AH153),ROUND(INDEX(Profils!$K$5:$K$34,$AE153)*Paramètres!$E$27*$AG153*$AJ153,Paramètres!$F$27),0)</f>
        <v>0</v>
      </c>
      <c r="R153" s="20" t="n">
        <f aca="false" t="array" ref="R153:R153">IF(AND(INDEX(Profils!$L$5:$L$34,$AE153)&gt;0,INDEX(Profils!$AA$5:$AA$34,$AE153)&lt;=$AH153),ROUND(INDEX(Profils!$L$5:$L$34,$AE153)*Paramètres!$E$28*$AG153*$AJ153,Paramètres!$F$28),0)</f>
        <v>0</v>
      </c>
      <c r="S153" s="20" t="n">
        <f aca="false" t="array" ref="S153:S153">IF(AND(INDEX(Profils!$M$5:$M$34,$AE153)&gt;0,INDEX(Profils!$AB$5:$AB$34,$AE153)&lt;=$AH153),ROUND(INDEX(Profils!$M$5:$M$34,$AE153)*Paramètres!$E$29*$AG153*$AJ153,Paramètres!$F$29),0)</f>
        <v>0</v>
      </c>
      <c r="T153" s="20" t="n">
        <f aca="false" t="array" ref="T153:T153">IF(AND(INDEX(Profils!$N$5:$N$34,$AE153)&gt;0,INDEX(Profils!$AC$5:$AC$34,$AE153)&lt;=$AH153),ROUND(INDEX(Profils!$N$5:$N$34,$AE153)*Paramètres!$E$30*$AG153*$AJ153,Paramètres!$F$30),0)</f>
        <v>0.013</v>
      </c>
      <c r="U153" s="19" t="n">
        <f aca="false" t="array" ref="U153:U153">IF(AND(INDEX(Profils!$O$5:$O$34,$AE153)&gt;0,INDEX(Profils!$AD$5:$AD$34,$AE153)&lt;=$AH153),ROUND(INDEX(Profils!$O$5:$O$34,$AE153)*Paramètres!$E$31*$AG153*$AJ153,Paramètres!$F$31),0)</f>
        <v>0</v>
      </c>
      <c r="V153" s="20" t="n">
        <f aca="false" t="array" ref="V153:V153">IF(AND(INDEX(Profils!$P$5:$P$34,$AE153)&gt;0,INDEX(Profils!$AE$5:$AE$34,$AE153)&lt;=$AH153),ROUND(INDEX(Profils!$P$5:$P$34,$AE153)*Paramètres!$E$32*$AG153*$AJ153,Paramètres!$F$32),0)</f>
        <v>0</v>
      </c>
      <c r="W153" s="20" t="n">
        <f aca="false" t="array" ref="W153:W153">IF(AND(INDEX(Profils!$Q$5:$Q$34,$AE153)&gt;0,INDEX(Profils!$AF$5:$AF$34,$AE153)&lt;=$AH153),ROUND(INDEX(Profils!$Q$5:$Q$34,$AE153)*Paramètres!$E$33*$AG153*$AJ153,Paramètres!$F$33),0)</f>
        <v>0.017</v>
      </c>
      <c r="X153" s="20" t="n">
        <f aca="false" t="array" ref="X153:X153">IF(AND(INDEX(Profils!$R$5:$R$34,$AE153)&gt;0,INDEX(Profils!$AG$5:$AG$34,$AE153)&lt;=$AH153),ROUND(INDEX(Profils!$R$5:$R$34,$AE153)*Paramètres!$E$34*$AG153*$AJ153,Paramètres!$F$34),0)</f>
        <v>0</v>
      </c>
      <c r="Y153" s="20" t="n">
        <f aca="false" t="array" ref="Y153:Y153">IF(AND(INDEX(Profils!$S$5:$S$34,$AE153)&gt;0,INDEX(Profils!$AH$5:$AH$34,$AE153)&lt;=$AH153),ROUND(INDEX(Profils!$S$5:$S$34,$AE153)*Paramètres!$E$35*$AG153*$AJ153,Paramètres!$F$35),0)</f>
        <v>0.013</v>
      </c>
      <c r="Z153" s="21" t="n">
        <f aca="false">ROUND(L153/Paramètres!$E$22+M153/Paramètres!$E$23+N153/Paramètres!$E$24+O153/Paramètres!$E$25+P153/Paramètres!$E$26+Q153/Paramètres!$E$27+R153/Paramètres!$E$28+S153/Paramètres!$E$29+T153/Paramètres!$E$30+U153/Paramètres!$E$31+V153/Paramètres!$E$32+W153/Paramètres!$E$33+X153/Paramètres!$E$34+Y153/Paramètres!$E$35,1)</f>
        <v>6.6</v>
      </c>
      <c r="AA153" s="22" t="s">
        <v>109</v>
      </c>
      <c r="AB153" s="22" t="s">
        <v>109</v>
      </c>
      <c r="AC153" s="15" t="str">
        <f aca="false">$E153</f>
        <v>platine</v>
      </c>
      <c r="AD153" s="16" t="n">
        <f aca="false" t="array" ref="AD153:AD153">IF($I153&gt;=$AI153,"Max",ROUND(Paramètres!$B$40*($I153+1)^Paramètres!$B$41*INDEX(Paramètres!$H$6:$H$12,$AF153),0))</f>
        <v>8</v>
      </c>
      <c r="AE153" s="23" t="n">
        <f aca="false">MATCH($B153&amp;"|"&amp;$C153,Profils!$A$5:$A$34,0)</f>
        <v>5</v>
      </c>
      <c r="AF153" s="23" t="n">
        <v>6</v>
      </c>
      <c r="AG153" s="24" t="n">
        <f aca="false" t="array" ref="AG153:AG153">INDEX(Paramètres!$C$6:$C$12,$AF153)</f>
        <v>2.4</v>
      </c>
      <c r="AH153" s="23" t="n">
        <f aca="false" t="array" ref="AH153:AH153">INDEX(Paramètres!$D$6:$D$12,$AF153)</f>
        <v>7</v>
      </c>
      <c r="AI153" s="23" t="n">
        <f aca="false" t="array" ref="AI153:AI153">INDEX(Matériaux!$C$16:$C$20,$D153)</f>
        <v>25</v>
      </c>
      <c r="AJ153" s="25" t="n">
        <f aca="false">Paramètres!$B$16+(1-Paramètres!$B$16)*(($J153-Paramètres!$B$14)/(Paramètres!$B$15-Paramètres!$B$14))^Paramètres!$B$17</f>
        <v>0.458504333336152</v>
      </c>
    </row>
    <row r="154" customFormat="false" ht="15.75" hidden="false" customHeight="true" outlineLevel="0" collapsed="false">
      <c r="A154" s="14" t="s">
        <v>265</v>
      </c>
      <c r="B154" s="15" t="s">
        <v>27</v>
      </c>
      <c r="C154" s="15" t="s">
        <v>241</v>
      </c>
      <c r="D154" s="16" t="n">
        <v>5</v>
      </c>
      <c r="E154" s="15" t="str">
        <f aca="false" t="array" ref="E154:E154">INDEX(Matériaux!$B$5:$F$12,MATCH(INDEX(Profils!$E$5:$E$34,$AE154),Matériaux!$A$5:$A$12,0),$D154)</f>
        <v>orichalque</v>
      </c>
      <c r="F154" s="17" t="s">
        <v>108</v>
      </c>
      <c r="G154" s="10" t="str">
        <f aca="false" t="array" ref="G154:G154">INDEX(Profils!$D$5:$D$34,$AE154)&amp;" en "&amp;$E154</f>
        <v>Médaillon en orichalque</v>
      </c>
      <c r="H154" s="16" t="n">
        <f aca="false" t="array" ref="H154:H154">INDEX(Matériaux!$B$16:$B$20,$D154)</f>
        <v>70</v>
      </c>
      <c r="I154" s="16" t="n">
        <f aca="false">IF(ISNUMBER($C$3),MIN(MAX(0,ROUND($C$3,0)),$AI154),$AI154)</f>
        <v>0</v>
      </c>
      <c r="J154" s="18" t="n">
        <f aca="false">$H154+$I154</f>
        <v>70</v>
      </c>
      <c r="K154" s="15" t="s">
        <v>109</v>
      </c>
      <c r="L154" s="19" t="n">
        <f aca="false" t="array" ref="L154:L154">IF(AND(INDEX(Profils!$F$5:$F$34,$AE154)&gt;0,INDEX(Profils!$U$5:$U$34,$AE154)&lt;=$AH154),ROUND(INDEX(Profils!$F$5:$F$34,$AE154)*Paramètres!$E$22*$AG154*$AJ154,Paramètres!$F$22),0)</f>
        <v>23</v>
      </c>
      <c r="M154" s="19" t="n">
        <f aca="false" t="array" ref="M154:M154">IF(AND(INDEX(Profils!$G$5:$G$34,$AE154)&gt;0,INDEX(Profils!$V$5:$V$34,$AE154)&lt;=$AH154),ROUND(INDEX(Profils!$G$5:$G$34,$AE154)*Paramètres!$E$23*$AG154*$AJ154,Paramètres!$F$23),0)</f>
        <v>0</v>
      </c>
      <c r="N154" s="19" t="n">
        <f aca="false" t="array" ref="N154:N154">IF(AND(INDEX(Profils!$H$5:$H$34,$AE154)&gt;0,INDEX(Profils!$W$5:$W$34,$AE154)&lt;=$AH154),ROUND(INDEX(Profils!$H$5:$H$34,$AE154)*Paramètres!$E$24*$AG154*$AJ154,Paramètres!$F$24),0)</f>
        <v>10</v>
      </c>
      <c r="O154" s="19" t="n">
        <f aca="false" t="array" ref="O154:O154">IF(AND(INDEX(Profils!$I$5:$I$34,$AE154)&gt;0,INDEX(Profils!$X$5:$X$34,$AE154)&lt;=$AH154),ROUND(INDEX(Profils!$I$5:$I$34,$AE154)*Paramètres!$E$25*$AG154*$AJ154,Paramètres!$F$25),0)</f>
        <v>0</v>
      </c>
      <c r="P154" s="19" t="n">
        <f aca="false" t="array" ref="P154:P154">IF(AND(INDEX(Profils!$J$5:$J$34,$AE154)&gt;0,INDEX(Profils!$Y$5:$Y$34,$AE154)&lt;=$AH154),ROUND(INDEX(Profils!$J$5:$J$34,$AE154)*Paramètres!$E$26*$AG154*$AJ154,Paramètres!$F$26),0)</f>
        <v>0</v>
      </c>
      <c r="Q154" s="19" t="n">
        <f aca="false" t="array" ref="Q154:Q154">IF(AND(INDEX(Profils!$K$5:$K$34,$AE154)&gt;0,INDEX(Profils!$Z$5:$Z$34,$AE154)&lt;=$AH154),ROUND(INDEX(Profils!$K$5:$K$34,$AE154)*Paramètres!$E$27*$AG154*$AJ154,Paramètres!$F$27),0)</f>
        <v>0</v>
      </c>
      <c r="R154" s="20" t="n">
        <f aca="false" t="array" ref="R154:R154">IF(AND(INDEX(Profils!$L$5:$L$34,$AE154)&gt;0,INDEX(Profils!$AA$5:$AA$34,$AE154)&lt;=$AH154),ROUND(INDEX(Profils!$L$5:$L$34,$AE154)*Paramètres!$E$28*$AG154*$AJ154,Paramètres!$F$28),0)</f>
        <v>0</v>
      </c>
      <c r="S154" s="20" t="n">
        <f aca="false" t="array" ref="S154:S154">IF(AND(INDEX(Profils!$M$5:$M$34,$AE154)&gt;0,INDEX(Profils!$AB$5:$AB$34,$AE154)&lt;=$AH154),ROUND(INDEX(Profils!$M$5:$M$34,$AE154)*Paramètres!$E$29*$AG154*$AJ154,Paramètres!$F$29),0)</f>
        <v>0</v>
      </c>
      <c r="T154" s="20" t="n">
        <f aca="false" t="array" ref="T154:T154">IF(AND(INDEX(Profils!$N$5:$N$34,$AE154)&gt;0,INDEX(Profils!$AC$5:$AC$34,$AE154)&lt;=$AH154),ROUND(INDEX(Profils!$N$5:$N$34,$AE154)*Paramètres!$E$30*$AG154*$AJ154,Paramètres!$F$30),0)</f>
        <v>0</v>
      </c>
      <c r="U154" s="19" t="n">
        <f aca="false" t="array" ref="U154:U154">IF(AND(INDEX(Profils!$O$5:$O$34,$AE154)&gt;0,INDEX(Profils!$AD$5:$AD$34,$AE154)&lt;=$AH154),ROUND(INDEX(Profils!$O$5:$O$34,$AE154)*Paramètres!$E$31*$AG154*$AJ154,Paramètres!$F$31),0)</f>
        <v>0</v>
      </c>
      <c r="V154" s="20" t="n">
        <f aca="false" t="array" ref="V154:V154">IF(AND(INDEX(Profils!$P$5:$P$34,$AE154)&gt;0,INDEX(Profils!$AE$5:$AE$34,$AE154)&lt;=$AH154),ROUND(INDEX(Profils!$P$5:$P$34,$AE154)*Paramètres!$E$32*$AG154*$AJ154,Paramètres!$F$32),0)</f>
        <v>0</v>
      </c>
      <c r="W154" s="20" t="n">
        <f aca="false" t="array" ref="W154:W154">IF(AND(INDEX(Profils!$Q$5:$Q$34,$AE154)&gt;0,INDEX(Profils!$AF$5:$AF$34,$AE154)&lt;=$AH154),ROUND(INDEX(Profils!$Q$5:$Q$34,$AE154)*Paramètres!$E$33*$AG154*$AJ154,Paramètres!$F$33),0)</f>
        <v>0</v>
      </c>
      <c r="X154" s="20" t="n">
        <f aca="false" t="array" ref="X154:X154">IF(AND(INDEX(Profils!$R$5:$R$34,$AE154)&gt;0,INDEX(Profils!$AG$5:$AG$34,$AE154)&lt;=$AH154),ROUND(INDEX(Profils!$R$5:$R$34,$AE154)*Paramètres!$E$34*$AG154*$AJ154,Paramètres!$F$34),0)</f>
        <v>0</v>
      </c>
      <c r="Y154" s="20" t="n">
        <f aca="false" t="array" ref="Y154:Y154">IF(AND(INDEX(Profils!$S$5:$S$34,$AE154)&gt;0,INDEX(Profils!$AH$5:$AH$34,$AE154)&lt;=$AH154),ROUND(INDEX(Profils!$S$5:$S$34,$AE154)*Paramètres!$E$35*$AG154*$AJ154,Paramètres!$F$35),0)</f>
        <v>0</v>
      </c>
      <c r="Z154" s="21" t="n">
        <f aca="false">ROUND(L154/Paramètres!$E$22+M154/Paramètres!$E$23+N154/Paramètres!$E$24+O154/Paramètres!$E$25+P154/Paramètres!$E$26+Q154/Paramètres!$E$27+R154/Paramètres!$E$28+S154/Paramètres!$E$29+T154/Paramètres!$E$30+U154/Paramètres!$E$31+V154/Paramètres!$E$32+W154/Paramètres!$E$33+X154/Paramètres!$E$34+Y154/Paramètres!$E$35,1)</f>
        <v>1.6</v>
      </c>
      <c r="AA154" s="22" t="s">
        <v>109</v>
      </c>
      <c r="AB154" s="22" t="s">
        <v>109</v>
      </c>
      <c r="AC154" s="15" t="str">
        <f aca="false">$E154</f>
        <v>orichalque</v>
      </c>
      <c r="AD154" s="16" t="n">
        <f aca="false" t="array" ref="AD154:AD154">IF($I154&gt;=$AI154,"Max",ROUND(Paramètres!$B$40*($I154+1)^Paramètres!$B$41*INDEX(Paramètres!$H$6:$H$12,$AF154),0))</f>
        <v>3</v>
      </c>
      <c r="AE154" s="23" t="n">
        <f aca="false">MATCH($B154&amp;"|"&amp;$C154,Profils!$A$5:$A$34,0)</f>
        <v>5</v>
      </c>
      <c r="AF154" s="23" t="n">
        <v>1</v>
      </c>
      <c r="AG154" s="24" t="n">
        <f aca="false" t="array" ref="AG154:AG154">INDEX(Paramètres!$C$6:$C$12,$AF154)</f>
        <v>1</v>
      </c>
      <c r="AH154" s="23" t="n">
        <f aca="false" t="array" ref="AH154:AH154">INDEX(Paramètres!$D$6:$D$12,$AF154)</f>
        <v>2</v>
      </c>
      <c r="AI154" s="23" t="n">
        <f aca="false" t="array" ref="AI154:AI154">INDEX(Matériaux!$C$16:$C$20,$D154)</f>
        <v>30</v>
      </c>
      <c r="AJ154" s="25" t="n">
        <f aca="false">Paramètres!$B$16+(1-Paramètres!$B$16)*(($J154-Paramètres!$B$14)/(Paramètres!$B$15-Paramètres!$B$14))^Paramètres!$B$17</f>
        <v>0.665999387952727</v>
      </c>
    </row>
    <row r="155" customFormat="false" ht="15.75" hidden="false" customHeight="true" outlineLevel="0" collapsed="false">
      <c r="A155" s="14" t="s">
        <v>266</v>
      </c>
      <c r="B155" s="15" t="s">
        <v>27</v>
      </c>
      <c r="C155" s="15" t="s">
        <v>241</v>
      </c>
      <c r="D155" s="16" t="n">
        <v>5</v>
      </c>
      <c r="E155" s="15" t="str">
        <f aca="false" t="array" ref="E155:E155">INDEX(Matériaux!$B$5:$F$12,MATCH(INDEX(Profils!$E$5:$E$34,$AE155),Matériaux!$A$5:$A$12,0),$D155)</f>
        <v>orichalque</v>
      </c>
      <c r="F155" s="26" t="s">
        <v>111</v>
      </c>
      <c r="G155" s="10" t="str">
        <f aca="false" t="array" ref="G155:G155">INDEX(Profils!$D$5:$D$34,$AE155)&amp;" en "&amp;$E155</f>
        <v>Médaillon en orichalque</v>
      </c>
      <c r="H155" s="16" t="n">
        <f aca="false" t="array" ref="H155:H155">INDEX(Matériaux!$B$16:$B$20,$D155)</f>
        <v>70</v>
      </c>
      <c r="I155" s="16" t="n">
        <f aca="false">IF(ISNUMBER($C$3),MIN(MAX(0,ROUND($C$3,0)),$AI155),$AI155)</f>
        <v>0</v>
      </c>
      <c r="J155" s="18" t="n">
        <f aca="false">$H155+$I155</f>
        <v>70</v>
      </c>
      <c r="K155" s="15" t="s">
        <v>109</v>
      </c>
      <c r="L155" s="19" t="n">
        <f aca="false" t="array" ref="L155:L155">IF(AND(INDEX(Profils!$F$5:$F$34,$AE155)&gt;0,INDEX(Profils!$U$5:$U$34,$AE155)&lt;=$AH155),ROUND(INDEX(Profils!$F$5:$F$34,$AE155)*Paramètres!$E$22*$AG155*$AJ155,Paramètres!$F$22),0)</f>
        <v>28</v>
      </c>
      <c r="M155" s="19" t="n">
        <f aca="false" t="array" ref="M155:M155">IF(AND(INDEX(Profils!$G$5:$G$34,$AE155)&gt;0,INDEX(Profils!$V$5:$V$34,$AE155)&lt;=$AH155),ROUND(INDEX(Profils!$G$5:$G$34,$AE155)*Paramètres!$E$23*$AG155*$AJ155,Paramètres!$F$23),0)</f>
        <v>0</v>
      </c>
      <c r="N155" s="19" t="n">
        <f aca="false" t="array" ref="N155:N155">IF(AND(INDEX(Profils!$H$5:$H$34,$AE155)&gt;0,INDEX(Profils!$W$5:$W$34,$AE155)&lt;=$AH155),ROUND(INDEX(Profils!$H$5:$H$34,$AE155)*Paramètres!$E$24*$AG155*$AJ155,Paramètres!$F$24),0)</f>
        <v>12</v>
      </c>
      <c r="O155" s="19" t="n">
        <f aca="false" t="array" ref="O155:O155">IF(AND(INDEX(Profils!$I$5:$I$34,$AE155)&gt;0,INDEX(Profils!$X$5:$X$34,$AE155)&lt;=$AH155),ROUND(INDEX(Profils!$I$5:$I$34,$AE155)*Paramètres!$E$25*$AG155*$AJ155,Paramètres!$F$25),0)</f>
        <v>0</v>
      </c>
      <c r="P155" s="19" t="n">
        <f aca="false" t="array" ref="P155:P155">IF(AND(INDEX(Profils!$J$5:$J$34,$AE155)&gt;0,INDEX(Profils!$Y$5:$Y$34,$AE155)&lt;=$AH155),ROUND(INDEX(Profils!$J$5:$J$34,$AE155)*Paramètres!$E$26*$AG155*$AJ155,Paramètres!$F$26),0)</f>
        <v>0</v>
      </c>
      <c r="Q155" s="19" t="n">
        <f aca="false" t="array" ref="Q155:Q155">IF(AND(INDEX(Profils!$K$5:$K$34,$AE155)&gt;0,INDEX(Profils!$Z$5:$Z$34,$AE155)&lt;=$AH155),ROUND(INDEX(Profils!$K$5:$K$34,$AE155)*Paramètres!$E$27*$AG155*$AJ155,Paramètres!$F$27),0)</f>
        <v>0</v>
      </c>
      <c r="R155" s="20" t="n">
        <f aca="false" t="array" ref="R155:R155">IF(AND(INDEX(Profils!$L$5:$L$34,$AE155)&gt;0,INDEX(Profils!$AA$5:$AA$34,$AE155)&lt;=$AH155),ROUND(INDEX(Profils!$L$5:$L$34,$AE155)*Paramètres!$E$28*$AG155*$AJ155,Paramètres!$F$28),0)</f>
        <v>0</v>
      </c>
      <c r="S155" s="20" t="n">
        <f aca="false" t="array" ref="S155:S155">IF(AND(INDEX(Profils!$M$5:$M$34,$AE155)&gt;0,INDEX(Profils!$AB$5:$AB$34,$AE155)&lt;=$AH155),ROUND(INDEX(Profils!$M$5:$M$34,$AE155)*Paramètres!$E$29*$AG155*$AJ155,Paramètres!$F$29),0)</f>
        <v>0</v>
      </c>
      <c r="T155" s="20" t="n">
        <f aca="false" t="array" ref="T155:T155">IF(AND(INDEX(Profils!$N$5:$N$34,$AE155)&gt;0,INDEX(Profils!$AC$5:$AC$34,$AE155)&lt;=$AH155),ROUND(INDEX(Profils!$N$5:$N$34,$AE155)*Paramètres!$E$30*$AG155*$AJ155,Paramètres!$F$30),0)</f>
        <v>0</v>
      </c>
      <c r="U155" s="19" t="n">
        <f aca="false" t="array" ref="U155:U155">IF(AND(INDEX(Profils!$O$5:$O$34,$AE155)&gt;0,INDEX(Profils!$AD$5:$AD$34,$AE155)&lt;=$AH155),ROUND(INDEX(Profils!$O$5:$O$34,$AE155)*Paramètres!$E$31*$AG155*$AJ155,Paramètres!$F$31),0)</f>
        <v>0</v>
      </c>
      <c r="V155" s="20" t="n">
        <f aca="false" t="array" ref="V155:V155">IF(AND(INDEX(Profils!$P$5:$P$34,$AE155)&gt;0,INDEX(Profils!$AE$5:$AE$34,$AE155)&lt;=$AH155),ROUND(INDEX(Profils!$P$5:$P$34,$AE155)*Paramètres!$E$32*$AG155*$AJ155,Paramètres!$F$32),0)</f>
        <v>0</v>
      </c>
      <c r="W155" s="20" t="n">
        <f aca="false" t="array" ref="W155:W155">IF(AND(INDEX(Profils!$Q$5:$Q$34,$AE155)&gt;0,INDEX(Profils!$AF$5:$AF$34,$AE155)&lt;=$AH155),ROUND(INDEX(Profils!$Q$5:$Q$34,$AE155)*Paramètres!$E$33*$AG155*$AJ155,Paramètres!$F$33),0)</f>
        <v>0.012</v>
      </c>
      <c r="X155" s="20" t="n">
        <f aca="false" t="array" ref="X155:X155">IF(AND(INDEX(Profils!$R$5:$R$34,$AE155)&gt;0,INDEX(Profils!$AG$5:$AG$34,$AE155)&lt;=$AH155),ROUND(INDEX(Profils!$R$5:$R$34,$AE155)*Paramètres!$E$34*$AG155*$AJ155,Paramètres!$F$34),0)</f>
        <v>0</v>
      </c>
      <c r="Y155" s="20" t="n">
        <f aca="false" t="array" ref="Y155:Y155">IF(AND(INDEX(Profils!$S$5:$S$34,$AE155)&gt;0,INDEX(Profils!$AH$5:$AH$34,$AE155)&lt;=$AH155),ROUND(INDEX(Profils!$S$5:$S$34,$AE155)*Paramètres!$E$35*$AG155*$AJ155,Paramètres!$F$35),0)</f>
        <v>0</v>
      </c>
      <c r="Z155" s="21" t="n">
        <f aca="false">ROUND(L155/Paramètres!$E$22+M155/Paramètres!$E$23+N155/Paramètres!$E$24+O155/Paramètres!$E$25+P155/Paramètres!$E$26+Q155/Paramètres!$E$27+R155/Paramètres!$E$28+S155/Paramètres!$E$29+T155/Paramètres!$E$30+U155/Paramètres!$E$31+V155/Paramètres!$E$32+W155/Paramètres!$E$33+X155/Paramètres!$E$34+Y155/Paramètres!$E$35,1)</f>
        <v>2.7</v>
      </c>
      <c r="AA155" s="22" t="s">
        <v>109</v>
      </c>
      <c r="AB155" s="22" t="s">
        <v>109</v>
      </c>
      <c r="AC155" s="15" t="str">
        <f aca="false">$E155</f>
        <v>orichalque</v>
      </c>
      <c r="AD155" s="16" t="n">
        <f aca="false" t="array" ref="AD155:AD155">IF($I155&gt;=$AI155,"Max",ROUND(Paramètres!$B$40*($I155+1)^Paramètres!$B$41*INDEX(Paramètres!$H$6:$H$12,$AF155),0))</f>
        <v>4</v>
      </c>
      <c r="AE155" s="23" t="n">
        <f aca="false">MATCH($B155&amp;"|"&amp;$C155,Profils!$A$5:$A$34,0)</f>
        <v>5</v>
      </c>
      <c r="AF155" s="23" t="n">
        <v>2</v>
      </c>
      <c r="AG155" s="24" t="n">
        <f aca="false" t="array" ref="AG155:AG155">INDEX(Paramètres!$C$6:$C$12,$AF155)</f>
        <v>1.2</v>
      </c>
      <c r="AH155" s="23" t="n">
        <f aca="false" t="array" ref="AH155:AH155">INDEX(Paramètres!$D$6:$D$12,$AF155)</f>
        <v>3</v>
      </c>
      <c r="AI155" s="23" t="n">
        <f aca="false" t="array" ref="AI155:AI155">INDEX(Matériaux!$C$16:$C$20,$D155)</f>
        <v>30</v>
      </c>
      <c r="AJ155" s="25" t="n">
        <f aca="false">Paramètres!$B$16+(1-Paramètres!$B$16)*(($J155-Paramètres!$B$14)/(Paramètres!$B$15-Paramètres!$B$14))^Paramètres!$B$17</f>
        <v>0.665999387952727</v>
      </c>
    </row>
    <row r="156" customFormat="false" ht="15.75" hidden="false" customHeight="true" outlineLevel="0" collapsed="false">
      <c r="A156" s="14" t="s">
        <v>267</v>
      </c>
      <c r="B156" s="15" t="s">
        <v>27</v>
      </c>
      <c r="C156" s="15" t="s">
        <v>241</v>
      </c>
      <c r="D156" s="16" t="n">
        <v>5</v>
      </c>
      <c r="E156" s="15" t="str">
        <f aca="false" t="array" ref="E156:E156">INDEX(Matériaux!$B$5:$F$12,MATCH(INDEX(Profils!$E$5:$E$34,$AE156),Matériaux!$A$5:$A$12,0),$D156)</f>
        <v>orichalque</v>
      </c>
      <c r="F156" s="27" t="s">
        <v>113</v>
      </c>
      <c r="G156" s="10" t="str">
        <f aca="false" t="array" ref="G156:G156">INDEX(Profils!$D$5:$D$34,$AE156)&amp;" en "&amp;$E156</f>
        <v>Médaillon en orichalque</v>
      </c>
      <c r="H156" s="16" t="n">
        <f aca="false" t="array" ref="H156:H156">INDEX(Matériaux!$B$16:$B$20,$D156)</f>
        <v>70</v>
      </c>
      <c r="I156" s="16" t="n">
        <f aca="false">IF(ISNUMBER($C$3),MIN(MAX(0,ROUND($C$3,0)),$AI156),$AI156)</f>
        <v>0</v>
      </c>
      <c r="J156" s="18" t="n">
        <f aca="false">$H156+$I156</f>
        <v>70</v>
      </c>
      <c r="K156" s="15" t="s">
        <v>109</v>
      </c>
      <c r="L156" s="19" t="n">
        <f aca="false" t="array" ref="L156:L156">IF(AND(INDEX(Profils!$F$5:$F$34,$AE156)&gt;0,INDEX(Profils!$U$5:$U$34,$AE156)&lt;=$AH156),ROUND(INDEX(Profils!$F$5:$F$34,$AE156)*Paramètres!$E$22*$AG156*$AJ156,Paramètres!$F$22),0)</f>
        <v>34</v>
      </c>
      <c r="M156" s="19" t="n">
        <f aca="false" t="array" ref="M156:M156">IF(AND(INDEX(Profils!$G$5:$G$34,$AE156)&gt;0,INDEX(Profils!$V$5:$V$34,$AE156)&lt;=$AH156),ROUND(INDEX(Profils!$G$5:$G$34,$AE156)*Paramètres!$E$23*$AG156*$AJ156,Paramètres!$F$23),0)</f>
        <v>12</v>
      </c>
      <c r="N156" s="19" t="n">
        <f aca="false" t="array" ref="N156:N156">IF(AND(INDEX(Profils!$H$5:$H$34,$AE156)&gt;0,INDEX(Profils!$W$5:$W$34,$AE156)&lt;=$AH156),ROUND(INDEX(Profils!$H$5:$H$34,$AE156)*Paramètres!$E$24*$AG156*$AJ156,Paramètres!$F$24),0)</f>
        <v>14</v>
      </c>
      <c r="O156" s="19" t="n">
        <f aca="false" t="array" ref="O156:O156">IF(AND(INDEX(Profils!$I$5:$I$34,$AE156)&gt;0,INDEX(Profils!$X$5:$X$34,$AE156)&lt;=$AH156),ROUND(INDEX(Profils!$I$5:$I$34,$AE156)*Paramètres!$E$25*$AG156*$AJ156,Paramètres!$F$25),0)</f>
        <v>0</v>
      </c>
      <c r="P156" s="19" t="n">
        <f aca="false" t="array" ref="P156:P156">IF(AND(INDEX(Profils!$J$5:$J$34,$AE156)&gt;0,INDEX(Profils!$Y$5:$Y$34,$AE156)&lt;=$AH156),ROUND(INDEX(Profils!$J$5:$J$34,$AE156)*Paramètres!$E$26*$AG156*$AJ156,Paramètres!$F$26),0)</f>
        <v>0</v>
      </c>
      <c r="Q156" s="19" t="n">
        <f aca="false" t="array" ref="Q156:Q156">IF(AND(INDEX(Profils!$K$5:$K$34,$AE156)&gt;0,INDEX(Profils!$Z$5:$Z$34,$AE156)&lt;=$AH156),ROUND(INDEX(Profils!$K$5:$K$34,$AE156)*Paramètres!$E$27*$AG156*$AJ156,Paramètres!$F$27),0)</f>
        <v>0</v>
      </c>
      <c r="R156" s="20" t="n">
        <f aca="false" t="array" ref="R156:R156">IF(AND(INDEX(Profils!$L$5:$L$34,$AE156)&gt;0,INDEX(Profils!$AA$5:$AA$34,$AE156)&lt;=$AH156),ROUND(INDEX(Profils!$L$5:$L$34,$AE156)*Paramètres!$E$28*$AG156*$AJ156,Paramètres!$F$28),0)</f>
        <v>0</v>
      </c>
      <c r="S156" s="20" t="n">
        <f aca="false" t="array" ref="S156:S156">IF(AND(INDEX(Profils!$M$5:$M$34,$AE156)&gt;0,INDEX(Profils!$AB$5:$AB$34,$AE156)&lt;=$AH156),ROUND(INDEX(Profils!$M$5:$M$34,$AE156)*Paramètres!$E$29*$AG156*$AJ156,Paramètres!$F$29),0)</f>
        <v>0</v>
      </c>
      <c r="T156" s="20" t="n">
        <f aca="false" t="array" ref="T156:T156">IF(AND(INDEX(Profils!$N$5:$N$34,$AE156)&gt;0,INDEX(Profils!$AC$5:$AC$34,$AE156)&lt;=$AH156),ROUND(INDEX(Profils!$N$5:$N$34,$AE156)*Paramètres!$E$30*$AG156*$AJ156,Paramètres!$F$30),0)</f>
        <v>0</v>
      </c>
      <c r="U156" s="19" t="n">
        <f aca="false" t="array" ref="U156:U156">IF(AND(INDEX(Profils!$O$5:$O$34,$AE156)&gt;0,INDEX(Profils!$AD$5:$AD$34,$AE156)&lt;=$AH156),ROUND(INDEX(Profils!$O$5:$O$34,$AE156)*Paramètres!$E$31*$AG156*$AJ156,Paramètres!$F$31),0)</f>
        <v>0</v>
      </c>
      <c r="V156" s="20" t="n">
        <f aca="false" t="array" ref="V156:V156">IF(AND(INDEX(Profils!$P$5:$P$34,$AE156)&gt;0,INDEX(Profils!$AE$5:$AE$34,$AE156)&lt;=$AH156),ROUND(INDEX(Profils!$P$5:$P$34,$AE156)*Paramètres!$E$32*$AG156*$AJ156,Paramètres!$F$32),0)</f>
        <v>0</v>
      </c>
      <c r="W156" s="20" t="n">
        <f aca="false" t="array" ref="W156:W156">IF(AND(INDEX(Profils!$Q$5:$Q$34,$AE156)&gt;0,INDEX(Profils!$AF$5:$AF$34,$AE156)&lt;=$AH156),ROUND(INDEX(Profils!$Q$5:$Q$34,$AE156)*Paramètres!$E$33*$AG156*$AJ156,Paramètres!$F$33),0)</f>
        <v>0.014</v>
      </c>
      <c r="X156" s="20" t="n">
        <f aca="false" t="array" ref="X156:X156">IF(AND(INDEX(Profils!$R$5:$R$34,$AE156)&gt;0,INDEX(Profils!$AG$5:$AG$34,$AE156)&lt;=$AH156),ROUND(INDEX(Profils!$R$5:$R$34,$AE156)*Paramètres!$E$34*$AG156*$AJ156,Paramètres!$F$34),0)</f>
        <v>0</v>
      </c>
      <c r="Y156" s="20" t="n">
        <f aca="false" t="array" ref="Y156:Y156">IF(AND(INDEX(Profils!$S$5:$S$34,$AE156)&gt;0,INDEX(Profils!$AH$5:$AH$34,$AE156)&lt;=$AH156),ROUND(INDEX(Profils!$S$5:$S$34,$AE156)*Paramètres!$E$35*$AG156*$AJ156,Paramètres!$F$35),0)</f>
        <v>0</v>
      </c>
      <c r="Z156" s="21" t="n">
        <f aca="false">ROUND(L156/Paramètres!$E$22+M156/Paramètres!$E$23+N156/Paramètres!$E$24+O156/Paramètres!$E$25+P156/Paramètres!$E$26+Q156/Paramètres!$E$27+R156/Paramètres!$E$28+S156/Paramètres!$E$29+T156/Paramètres!$E$30+U156/Paramètres!$E$31+V156/Paramètres!$E$32+W156/Paramètres!$E$33+X156/Paramètres!$E$34+Y156/Paramètres!$E$35,1)</f>
        <v>4</v>
      </c>
      <c r="AA156" s="22" t="s">
        <v>109</v>
      </c>
      <c r="AB156" s="22" t="s">
        <v>109</v>
      </c>
      <c r="AC156" s="15" t="str">
        <f aca="false">$E156</f>
        <v>orichalque</v>
      </c>
      <c r="AD156" s="16" t="n">
        <f aca="false" t="array" ref="AD156:AD156">IF($I156&gt;=$AI156,"Max",ROUND(Paramètres!$B$40*($I156+1)^Paramètres!$B$41*INDEX(Paramètres!$H$6:$H$12,$AF156),0))</f>
        <v>4</v>
      </c>
      <c r="AE156" s="23" t="n">
        <f aca="false">MATCH($B156&amp;"|"&amp;$C156,Profils!$A$5:$A$34,0)</f>
        <v>5</v>
      </c>
      <c r="AF156" s="23" t="n">
        <v>3</v>
      </c>
      <c r="AG156" s="24" t="n">
        <f aca="false" t="array" ref="AG156:AG156">INDEX(Paramètres!$C$6:$C$12,$AF156)</f>
        <v>1.45</v>
      </c>
      <c r="AH156" s="23" t="n">
        <f aca="false" t="array" ref="AH156:AH156">INDEX(Paramètres!$D$6:$D$12,$AF156)</f>
        <v>4</v>
      </c>
      <c r="AI156" s="23" t="n">
        <f aca="false" t="array" ref="AI156:AI156">INDEX(Matériaux!$C$16:$C$20,$D156)</f>
        <v>30</v>
      </c>
      <c r="AJ156" s="25" t="n">
        <f aca="false">Paramètres!$B$16+(1-Paramètres!$B$16)*(($J156-Paramètres!$B$14)/(Paramètres!$B$15-Paramètres!$B$14))^Paramètres!$B$17</f>
        <v>0.665999387952727</v>
      </c>
    </row>
    <row r="157" customFormat="false" ht="15.75" hidden="false" customHeight="true" outlineLevel="0" collapsed="false">
      <c r="A157" s="14" t="s">
        <v>268</v>
      </c>
      <c r="B157" s="15" t="s">
        <v>27</v>
      </c>
      <c r="C157" s="15" t="s">
        <v>241</v>
      </c>
      <c r="D157" s="16" t="n">
        <v>5</v>
      </c>
      <c r="E157" s="15" t="str">
        <f aca="false" t="array" ref="E157:E157">INDEX(Matériaux!$B$5:$F$12,MATCH(INDEX(Profils!$E$5:$E$34,$AE157),Matériaux!$A$5:$A$12,0),$D157)</f>
        <v>orichalque</v>
      </c>
      <c r="F157" s="28" t="s">
        <v>115</v>
      </c>
      <c r="G157" s="10" t="str">
        <f aca="false" t="array" ref="G157:G157">INDEX(Profils!$D$5:$D$34,$AE157)&amp;" en "&amp;$E157</f>
        <v>Médaillon en orichalque</v>
      </c>
      <c r="H157" s="16" t="n">
        <f aca="false" t="array" ref="H157:H157">INDEX(Matériaux!$B$16:$B$20,$D157)</f>
        <v>70</v>
      </c>
      <c r="I157" s="16" t="n">
        <f aca="false">IF(ISNUMBER($C$3),MIN(MAX(0,ROUND($C$3,0)),$AI157),$AI157)</f>
        <v>0</v>
      </c>
      <c r="J157" s="18" t="n">
        <f aca="false">$H157+$I157</f>
        <v>70</v>
      </c>
      <c r="K157" s="15" t="s">
        <v>109</v>
      </c>
      <c r="L157" s="19" t="n">
        <f aca="false" t="array" ref="L157:L157">IF(AND(INDEX(Profils!$F$5:$F$34,$AE157)&gt;0,INDEX(Profils!$U$5:$U$34,$AE157)&lt;=$AH157),ROUND(INDEX(Profils!$F$5:$F$34,$AE157)*Paramètres!$E$22*$AG157*$AJ157,Paramètres!$F$22),0)</f>
        <v>41</v>
      </c>
      <c r="M157" s="19" t="n">
        <f aca="false" t="array" ref="M157:M157">IF(AND(INDEX(Profils!$G$5:$G$34,$AE157)&gt;0,INDEX(Profils!$V$5:$V$34,$AE157)&lt;=$AH157),ROUND(INDEX(Profils!$G$5:$G$34,$AE157)*Paramètres!$E$23*$AG157*$AJ157,Paramètres!$F$23),0)</f>
        <v>14</v>
      </c>
      <c r="N157" s="19" t="n">
        <f aca="false" t="array" ref="N157:N157">IF(AND(INDEX(Profils!$H$5:$H$34,$AE157)&gt;0,INDEX(Profils!$W$5:$W$34,$AE157)&lt;=$AH157),ROUND(INDEX(Profils!$H$5:$H$34,$AE157)*Paramètres!$E$24*$AG157*$AJ157,Paramètres!$F$24),0)</f>
        <v>17</v>
      </c>
      <c r="O157" s="19" t="n">
        <f aca="false" t="array" ref="O157:O157">IF(AND(INDEX(Profils!$I$5:$I$34,$AE157)&gt;0,INDEX(Profils!$X$5:$X$34,$AE157)&lt;=$AH157),ROUND(INDEX(Profils!$I$5:$I$34,$AE157)*Paramètres!$E$25*$AG157*$AJ157,Paramètres!$F$25),0)</f>
        <v>0</v>
      </c>
      <c r="P157" s="19" t="n">
        <f aca="false" t="array" ref="P157:P157">IF(AND(INDEX(Profils!$J$5:$J$34,$AE157)&gt;0,INDEX(Profils!$Y$5:$Y$34,$AE157)&lt;=$AH157),ROUND(INDEX(Profils!$J$5:$J$34,$AE157)*Paramètres!$E$26*$AG157*$AJ157,Paramètres!$F$26),0)</f>
        <v>0</v>
      </c>
      <c r="Q157" s="19" t="n">
        <f aca="false" t="array" ref="Q157:Q157">IF(AND(INDEX(Profils!$K$5:$K$34,$AE157)&gt;0,INDEX(Profils!$Z$5:$Z$34,$AE157)&lt;=$AH157),ROUND(INDEX(Profils!$K$5:$K$34,$AE157)*Paramètres!$E$27*$AG157*$AJ157,Paramètres!$F$27),0)</f>
        <v>0</v>
      </c>
      <c r="R157" s="20" t="n">
        <f aca="false" t="array" ref="R157:R157">IF(AND(INDEX(Profils!$L$5:$L$34,$AE157)&gt;0,INDEX(Profils!$AA$5:$AA$34,$AE157)&lt;=$AH157),ROUND(INDEX(Profils!$L$5:$L$34,$AE157)*Paramètres!$E$28*$AG157*$AJ157,Paramètres!$F$28),0)</f>
        <v>0</v>
      </c>
      <c r="S157" s="20" t="n">
        <f aca="false" t="array" ref="S157:S157">IF(AND(INDEX(Profils!$M$5:$M$34,$AE157)&gt;0,INDEX(Profils!$AB$5:$AB$34,$AE157)&lt;=$AH157),ROUND(INDEX(Profils!$M$5:$M$34,$AE157)*Paramètres!$E$29*$AG157*$AJ157,Paramètres!$F$29),0)</f>
        <v>0</v>
      </c>
      <c r="T157" s="20" t="n">
        <f aca="false" t="array" ref="T157:T157">IF(AND(INDEX(Profils!$N$5:$N$34,$AE157)&gt;0,INDEX(Profils!$AC$5:$AC$34,$AE157)&lt;=$AH157),ROUND(INDEX(Profils!$N$5:$N$34,$AE157)*Paramètres!$E$30*$AG157*$AJ157,Paramètres!$F$30),0)</f>
        <v>0</v>
      </c>
      <c r="U157" s="19" t="n">
        <f aca="false" t="array" ref="U157:U157">IF(AND(INDEX(Profils!$O$5:$O$34,$AE157)&gt;0,INDEX(Profils!$AD$5:$AD$34,$AE157)&lt;=$AH157),ROUND(INDEX(Profils!$O$5:$O$34,$AE157)*Paramètres!$E$31*$AG157*$AJ157,Paramètres!$F$31),0)</f>
        <v>0</v>
      </c>
      <c r="V157" s="20" t="n">
        <f aca="false" t="array" ref="V157:V157">IF(AND(INDEX(Profils!$P$5:$P$34,$AE157)&gt;0,INDEX(Profils!$AE$5:$AE$34,$AE157)&lt;=$AH157),ROUND(INDEX(Profils!$P$5:$P$34,$AE157)*Paramètres!$E$32*$AG157*$AJ157,Paramètres!$F$32),0)</f>
        <v>0</v>
      </c>
      <c r="W157" s="20" t="n">
        <f aca="false" t="array" ref="W157:W157">IF(AND(INDEX(Profils!$Q$5:$Q$34,$AE157)&gt;0,INDEX(Profils!$AF$5:$AF$34,$AE157)&lt;=$AH157),ROUND(INDEX(Profils!$Q$5:$Q$34,$AE157)*Paramètres!$E$33*$AG157*$AJ157,Paramètres!$F$33),0)</f>
        <v>0.017</v>
      </c>
      <c r="X157" s="20" t="n">
        <f aca="false" t="array" ref="X157:X157">IF(AND(INDEX(Profils!$R$5:$R$34,$AE157)&gt;0,INDEX(Profils!$AG$5:$AG$34,$AE157)&lt;=$AH157),ROUND(INDEX(Profils!$R$5:$R$34,$AE157)*Paramètres!$E$34*$AG157*$AJ157,Paramètres!$F$34),0)</f>
        <v>0</v>
      </c>
      <c r="Y157" s="20" t="n">
        <f aca="false" t="array" ref="Y157:Y157">IF(AND(INDEX(Profils!$S$5:$S$34,$AE157)&gt;0,INDEX(Profils!$AH$5:$AH$34,$AE157)&lt;=$AH157),ROUND(INDEX(Profils!$S$5:$S$34,$AE157)*Paramètres!$E$35*$AG157*$AJ157,Paramètres!$F$35),0)</f>
        <v>0.014</v>
      </c>
      <c r="Z157" s="21" t="n">
        <f aca="false">ROUND(L157/Paramètres!$E$22+M157/Paramètres!$E$23+N157/Paramètres!$E$24+O157/Paramètres!$E$25+P157/Paramètres!$E$26+Q157/Paramètres!$E$27+R157/Paramètres!$E$28+S157/Paramètres!$E$29+T157/Paramètres!$E$30+U157/Paramètres!$E$31+V157/Paramètres!$E$32+W157/Paramètres!$E$33+X157/Paramètres!$E$34+Y157/Paramètres!$E$35,1)</f>
        <v>5.8</v>
      </c>
      <c r="AA157" s="22" t="s">
        <v>109</v>
      </c>
      <c r="AB157" s="22" t="s">
        <v>109</v>
      </c>
      <c r="AC157" s="15" t="str">
        <f aca="false">$E157</f>
        <v>orichalque</v>
      </c>
      <c r="AD157" s="16" t="n">
        <f aca="false" t="array" ref="AD157:AD157">IF($I157&gt;=$AI157,"Max",ROUND(Paramètres!$B$40*($I157+1)^Paramètres!$B$41*INDEX(Paramètres!$H$6:$H$12,$AF157),0))</f>
        <v>5</v>
      </c>
      <c r="AE157" s="23" t="n">
        <f aca="false">MATCH($B157&amp;"|"&amp;$C157,Profils!$A$5:$A$34,0)</f>
        <v>5</v>
      </c>
      <c r="AF157" s="23" t="n">
        <v>4</v>
      </c>
      <c r="AG157" s="24" t="n">
        <f aca="false" t="array" ref="AG157:AG157">INDEX(Paramètres!$C$6:$C$12,$AF157)</f>
        <v>1.75</v>
      </c>
      <c r="AH157" s="23" t="n">
        <f aca="false" t="array" ref="AH157:AH157">INDEX(Paramètres!$D$6:$D$12,$AF157)</f>
        <v>5</v>
      </c>
      <c r="AI157" s="23" t="n">
        <f aca="false" t="array" ref="AI157:AI157">INDEX(Matériaux!$C$16:$C$20,$D157)</f>
        <v>30</v>
      </c>
      <c r="AJ157" s="25" t="n">
        <f aca="false">Paramètres!$B$16+(1-Paramètres!$B$16)*(($J157-Paramètres!$B$14)/(Paramètres!$B$15-Paramètres!$B$14))^Paramètres!$B$17</f>
        <v>0.665999387952727</v>
      </c>
    </row>
    <row r="158" customFormat="false" ht="15.75" hidden="false" customHeight="true" outlineLevel="0" collapsed="false">
      <c r="A158" s="14" t="s">
        <v>269</v>
      </c>
      <c r="B158" s="15" t="s">
        <v>27</v>
      </c>
      <c r="C158" s="15" t="s">
        <v>241</v>
      </c>
      <c r="D158" s="16" t="n">
        <v>5</v>
      </c>
      <c r="E158" s="15" t="str">
        <f aca="false" t="array" ref="E158:E158">INDEX(Matériaux!$B$5:$F$12,MATCH(INDEX(Profils!$E$5:$E$34,$AE158),Matériaux!$A$5:$A$12,0),$D158)</f>
        <v>orichalque</v>
      </c>
      <c r="F158" s="29" t="s">
        <v>117</v>
      </c>
      <c r="G158" s="10" t="str">
        <f aca="false" t="array" ref="G158:G158">INDEX(Profils!$D$5:$D$34,$AE158)&amp;" en "&amp;$E158</f>
        <v>Médaillon en orichalque</v>
      </c>
      <c r="H158" s="16" t="n">
        <f aca="false" t="array" ref="H158:H158">INDEX(Matériaux!$B$16:$B$20,$D158)</f>
        <v>70</v>
      </c>
      <c r="I158" s="16" t="n">
        <f aca="false">IF(ISNUMBER($C$3),MIN(MAX(0,ROUND($C$3,0)),$AI158),$AI158)</f>
        <v>0</v>
      </c>
      <c r="J158" s="18" t="n">
        <f aca="false">$H158+$I158</f>
        <v>70</v>
      </c>
      <c r="K158" s="15" t="s">
        <v>109</v>
      </c>
      <c r="L158" s="19" t="n">
        <f aca="false" t="array" ref="L158:L158">IF(AND(INDEX(Profils!$F$5:$F$34,$AE158)&gt;0,INDEX(Profils!$U$5:$U$34,$AE158)&lt;=$AH158),ROUND(INDEX(Profils!$F$5:$F$34,$AE158)*Paramètres!$E$22*$AG158*$AJ158,Paramètres!$F$22),0)</f>
        <v>49</v>
      </c>
      <c r="M158" s="19" t="n">
        <f aca="false" t="array" ref="M158:M158">IF(AND(INDEX(Profils!$G$5:$G$34,$AE158)&gt;0,INDEX(Profils!$V$5:$V$34,$AE158)&lt;=$AH158),ROUND(INDEX(Profils!$G$5:$G$34,$AE158)*Paramètres!$E$23*$AG158*$AJ158,Paramètres!$F$23),0)</f>
        <v>17</v>
      </c>
      <c r="N158" s="19" t="n">
        <f aca="false" t="array" ref="N158:N158">IF(AND(INDEX(Profils!$H$5:$H$34,$AE158)&gt;0,INDEX(Profils!$W$5:$W$34,$AE158)&lt;=$AH158),ROUND(INDEX(Profils!$H$5:$H$34,$AE158)*Paramètres!$E$24*$AG158*$AJ158,Paramètres!$F$24),0)</f>
        <v>21</v>
      </c>
      <c r="O158" s="19" t="n">
        <f aca="false" t="array" ref="O158:O158">IF(AND(INDEX(Profils!$I$5:$I$34,$AE158)&gt;0,INDEX(Profils!$X$5:$X$34,$AE158)&lt;=$AH158),ROUND(INDEX(Profils!$I$5:$I$34,$AE158)*Paramètres!$E$25*$AG158*$AJ158,Paramètres!$F$25),0)</f>
        <v>0</v>
      </c>
      <c r="P158" s="19" t="n">
        <f aca="false" t="array" ref="P158:P158">IF(AND(INDEX(Profils!$J$5:$J$34,$AE158)&gt;0,INDEX(Profils!$Y$5:$Y$34,$AE158)&lt;=$AH158),ROUND(INDEX(Profils!$J$5:$J$34,$AE158)*Paramètres!$E$26*$AG158*$AJ158,Paramètres!$F$26),0)</f>
        <v>8</v>
      </c>
      <c r="Q158" s="19" t="n">
        <f aca="false" t="array" ref="Q158:Q158">IF(AND(INDEX(Profils!$K$5:$K$34,$AE158)&gt;0,INDEX(Profils!$Z$5:$Z$34,$AE158)&lt;=$AH158),ROUND(INDEX(Profils!$K$5:$K$34,$AE158)*Paramètres!$E$27*$AG158*$AJ158,Paramètres!$F$27),0)</f>
        <v>0</v>
      </c>
      <c r="R158" s="20" t="n">
        <f aca="false" t="array" ref="R158:R158">IF(AND(INDEX(Profils!$L$5:$L$34,$AE158)&gt;0,INDEX(Profils!$AA$5:$AA$34,$AE158)&lt;=$AH158),ROUND(INDEX(Profils!$L$5:$L$34,$AE158)*Paramètres!$E$28*$AG158*$AJ158,Paramètres!$F$28),0)</f>
        <v>0</v>
      </c>
      <c r="S158" s="20" t="n">
        <f aca="false" t="array" ref="S158:S158">IF(AND(INDEX(Profils!$M$5:$M$34,$AE158)&gt;0,INDEX(Profils!$AB$5:$AB$34,$AE158)&lt;=$AH158),ROUND(INDEX(Profils!$M$5:$M$34,$AE158)*Paramètres!$E$29*$AG158*$AJ158,Paramètres!$F$29),0)</f>
        <v>0</v>
      </c>
      <c r="T158" s="20" t="n">
        <f aca="false" t="array" ref="T158:T158">IF(AND(INDEX(Profils!$N$5:$N$34,$AE158)&gt;0,INDEX(Profils!$AC$5:$AC$34,$AE158)&lt;=$AH158),ROUND(INDEX(Profils!$N$5:$N$34,$AE158)*Paramètres!$E$30*$AG158*$AJ158,Paramètres!$F$30),0)</f>
        <v>0</v>
      </c>
      <c r="U158" s="19" t="n">
        <f aca="false" t="array" ref="U158:U158">IF(AND(INDEX(Profils!$O$5:$O$34,$AE158)&gt;0,INDEX(Profils!$AD$5:$AD$34,$AE158)&lt;=$AH158),ROUND(INDEX(Profils!$O$5:$O$34,$AE158)*Paramètres!$E$31*$AG158*$AJ158,Paramètres!$F$31),0)</f>
        <v>0</v>
      </c>
      <c r="V158" s="20" t="n">
        <f aca="false" t="array" ref="V158:V158">IF(AND(INDEX(Profils!$P$5:$P$34,$AE158)&gt;0,INDEX(Profils!$AE$5:$AE$34,$AE158)&lt;=$AH158),ROUND(INDEX(Profils!$P$5:$P$34,$AE158)*Paramètres!$E$32*$AG158*$AJ158,Paramètres!$F$32),0)</f>
        <v>0</v>
      </c>
      <c r="W158" s="20" t="n">
        <f aca="false" t="array" ref="W158:W158">IF(AND(INDEX(Profils!$Q$5:$Q$34,$AE158)&gt;0,INDEX(Profils!$AF$5:$AF$34,$AE158)&lt;=$AH158),ROUND(INDEX(Profils!$Q$5:$Q$34,$AE158)*Paramètres!$E$33*$AG158*$AJ158,Paramètres!$F$33),0)</f>
        <v>0.021</v>
      </c>
      <c r="X158" s="20" t="n">
        <f aca="false" t="array" ref="X158:X158">IF(AND(INDEX(Profils!$R$5:$R$34,$AE158)&gt;0,INDEX(Profils!$AG$5:$AG$34,$AE158)&lt;=$AH158),ROUND(INDEX(Profils!$R$5:$R$34,$AE158)*Paramètres!$E$34*$AG158*$AJ158,Paramètres!$F$34),0)</f>
        <v>0</v>
      </c>
      <c r="Y158" s="20" t="n">
        <f aca="false" t="array" ref="Y158:Y158">IF(AND(INDEX(Profils!$S$5:$S$34,$AE158)&gt;0,INDEX(Profils!$AH$5:$AH$34,$AE158)&lt;=$AH158),ROUND(INDEX(Profils!$S$5:$S$34,$AE158)*Paramètres!$E$35*$AG158*$AJ158,Paramètres!$F$35),0)</f>
        <v>0.017</v>
      </c>
      <c r="Z158" s="21" t="n">
        <f aca="false">ROUND(L158/Paramètres!$E$22+M158/Paramètres!$E$23+N158/Paramètres!$E$24+O158/Paramètres!$E$25+P158/Paramètres!$E$26+Q158/Paramètres!$E$27+R158/Paramètres!$E$28+S158/Paramètres!$E$29+T158/Paramètres!$E$30+U158/Paramètres!$E$31+V158/Paramètres!$E$32+W158/Paramètres!$E$33+X158/Paramètres!$E$34+Y158/Paramètres!$E$35,1)</f>
        <v>7.7</v>
      </c>
      <c r="AA158" s="22" t="s">
        <v>109</v>
      </c>
      <c r="AB158" s="22" t="s">
        <v>109</v>
      </c>
      <c r="AC158" s="15" t="str">
        <f aca="false">$E158</f>
        <v>orichalque</v>
      </c>
      <c r="AD158" s="16" t="n">
        <f aca="false" t="array" ref="AD158:AD158">IF($I158&gt;=$AI158,"Max",ROUND(Paramètres!$B$40*($I158+1)^Paramètres!$B$41*INDEX(Paramètres!$H$6:$H$12,$AF158),0))</f>
        <v>6</v>
      </c>
      <c r="AE158" s="23" t="n">
        <f aca="false">MATCH($B158&amp;"|"&amp;$C158,Profils!$A$5:$A$34,0)</f>
        <v>5</v>
      </c>
      <c r="AF158" s="23" t="n">
        <v>5</v>
      </c>
      <c r="AG158" s="24" t="n">
        <f aca="false" t="array" ref="AG158:AG158">INDEX(Paramètres!$C$6:$C$12,$AF158)</f>
        <v>2.1</v>
      </c>
      <c r="AH158" s="23" t="n">
        <f aca="false" t="array" ref="AH158:AH158">INDEX(Paramètres!$D$6:$D$12,$AF158)</f>
        <v>6</v>
      </c>
      <c r="AI158" s="23" t="n">
        <f aca="false" t="array" ref="AI158:AI158">INDEX(Matériaux!$C$16:$C$20,$D158)</f>
        <v>30</v>
      </c>
      <c r="AJ158" s="25" t="n">
        <f aca="false">Paramètres!$B$16+(1-Paramètres!$B$16)*(($J158-Paramètres!$B$14)/(Paramètres!$B$15-Paramètres!$B$14))^Paramètres!$B$17</f>
        <v>0.665999387952727</v>
      </c>
    </row>
    <row r="159" customFormat="false" ht="15.75" hidden="false" customHeight="true" outlineLevel="0" collapsed="false">
      <c r="A159" s="14" t="s">
        <v>270</v>
      </c>
      <c r="B159" s="15" t="s">
        <v>27</v>
      </c>
      <c r="C159" s="15" t="s">
        <v>241</v>
      </c>
      <c r="D159" s="16" t="n">
        <v>5</v>
      </c>
      <c r="E159" s="15" t="str">
        <f aca="false" t="array" ref="E159:E159">INDEX(Matériaux!$B$5:$F$12,MATCH(INDEX(Profils!$E$5:$E$34,$AE159),Matériaux!$A$5:$A$12,0),$D159)</f>
        <v>orichalque</v>
      </c>
      <c r="F159" s="30" t="s">
        <v>119</v>
      </c>
      <c r="G159" s="10" t="str">
        <f aca="false" t="array" ref="G159:G159">INDEX(Profils!$D$5:$D$34,$AE159)&amp;" en "&amp;$E159</f>
        <v>Médaillon en orichalque</v>
      </c>
      <c r="H159" s="16" t="n">
        <f aca="false" t="array" ref="H159:H159">INDEX(Matériaux!$B$16:$B$20,$D159)</f>
        <v>70</v>
      </c>
      <c r="I159" s="16" t="n">
        <f aca="false">IF(ISNUMBER($C$3),MIN(MAX(0,ROUND($C$3,0)),$AI159),$AI159)</f>
        <v>0</v>
      </c>
      <c r="J159" s="18" t="n">
        <f aca="false">$H159+$I159</f>
        <v>70</v>
      </c>
      <c r="K159" s="15" t="s">
        <v>109</v>
      </c>
      <c r="L159" s="19" t="n">
        <f aca="false" t="array" ref="L159:L159">IF(AND(INDEX(Profils!$F$5:$F$34,$AE159)&gt;0,INDEX(Profils!$U$5:$U$34,$AE159)&lt;=$AH159),ROUND(INDEX(Profils!$F$5:$F$34,$AE159)*Paramètres!$E$22*$AG159*$AJ159,Paramètres!$F$22),0)</f>
        <v>56</v>
      </c>
      <c r="M159" s="19" t="n">
        <f aca="false" t="array" ref="M159:M159">IF(AND(INDEX(Profils!$G$5:$G$34,$AE159)&gt;0,INDEX(Profils!$V$5:$V$34,$AE159)&lt;=$AH159),ROUND(INDEX(Profils!$G$5:$G$34,$AE159)*Paramètres!$E$23*$AG159*$AJ159,Paramètres!$F$23),0)</f>
        <v>19</v>
      </c>
      <c r="N159" s="19" t="n">
        <f aca="false" t="array" ref="N159:N159">IF(AND(INDEX(Profils!$H$5:$H$34,$AE159)&gt;0,INDEX(Profils!$W$5:$W$34,$AE159)&lt;=$AH159),ROUND(INDEX(Profils!$H$5:$H$34,$AE159)*Paramètres!$E$24*$AG159*$AJ159,Paramètres!$F$24),0)</f>
        <v>24</v>
      </c>
      <c r="O159" s="19" t="n">
        <f aca="false" t="array" ref="O159:O159">IF(AND(INDEX(Profils!$I$5:$I$34,$AE159)&gt;0,INDEX(Profils!$X$5:$X$34,$AE159)&lt;=$AH159),ROUND(INDEX(Profils!$I$5:$I$34,$AE159)*Paramètres!$E$25*$AG159*$AJ159,Paramètres!$F$25),0)</f>
        <v>0</v>
      </c>
      <c r="P159" s="19" t="n">
        <f aca="false" t="array" ref="P159:P159">IF(AND(INDEX(Profils!$J$5:$J$34,$AE159)&gt;0,INDEX(Profils!$Y$5:$Y$34,$AE159)&lt;=$AH159),ROUND(INDEX(Profils!$J$5:$J$34,$AE159)*Paramètres!$E$26*$AG159*$AJ159,Paramètres!$F$26),0)</f>
        <v>10</v>
      </c>
      <c r="Q159" s="19" t="n">
        <f aca="false" t="array" ref="Q159:Q159">IF(AND(INDEX(Profils!$K$5:$K$34,$AE159)&gt;0,INDEX(Profils!$Z$5:$Z$34,$AE159)&lt;=$AH159),ROUND(INDEX(Profils!$K$5:$K$34,$AE159)*Paramètres!$E$27*$AG159*$AJ159,Paramètres!$F$27),0)</f>
        <v>0</v>
      </c>
      <c r="R159" s="20" t="n">
        <f aca="false" t="array" ref="R159:R159">IF(AND(INDEX(Profils!$L$5:$L$34,$AE159)&gt;0,INDEX(Profils!$AA$5:$AA$34,$AE159)&lt;=$AH159),ROUND(INDEX(Profils!$L$5:$L$34,$AE159)*Paramètres!$E$28*$AG159*$AJ159,Paramètres!$F$28),0)</f>
        <v>0</v>
      </c>
      <c r="S159" s="20" t="n">
        <f aca="false" t="array" ref="S159:S159">IF(AND(INDEX(Profils!$M$5:$M$34,$AE159)&gt;0,INDEX(Profils!$AB$5:$AB$34,$AE159)&lt;=$AH159),ROUND(INDEX(Profils!$M$5:$M$34,$AE159)*Paramètres!$E$29*$AG159*$AJ159,Paramètres!$F$29),0)</f>
        <v>0</v>
      </c>
      <c r="T159" s="20" t="n">
        <f aca="false" t="array" ref="T159:T159">IF(AND(INDEX(Profils!$N$5:$N$34,$AE159)&gt;0,INDEX(Profils!$AC$5:$AC$34,$AE159)&lt;=$AH159),ROUND(INDEX(Profils!$N$5:$N$34,$AE159)*Paramètres!$E$30*$AG159*$AJ159,Paramètres!$F$30),0)</f>
        <v>0.019</v>
      </c>
      <c r="U159" s="19" t="n">
        <f aca="false" t="array" ref="U159:U159">IF(AND(INDEX(Profils!$O$5:$O$34,$AE159)&gt;0,INDEX(Profils!$AD$5:$AD$34,$AE159)&lt;=$AH159),ROUND(INDEX(Profils!$O$5:$O$34,$AE159)*Paramètres!$E$31*$AG159*$AJ159,Paramètres!$F$31),0)</f>
        <v>0</v>
      </c>
      <c r="V159" s="20" t="n">
        <f aca="false" t="array" ref="V159:V159">IF(AND(INDEX(Profils!$P$5:$P$34,$AE159)&gt;0,INDEX(Profils!$AE$5:$AE$34,$AE159)&lt;=$AH159),ROUND(INDEX(Profils!$P$5:$P$34,$AE159)*Paramètres!$E$32*$AG159*$AJ159,Paramètres!$F$32),0)</f>
        <v>0</v>
      </c>
      <c r="W159" s="20" t="n">
        <f aca="false" t="array" ref="W159:W159">IF(AND(INDEX(Profils!$Q$5:$Q$34,$AE159)&gt;0,INDEX(Profils!$AF$5:$AF$34,$AE159)&lt;=$AH159),ROUND(INDEX(Profils!$Q$5:$Q$34,$AE159)*Paramètres!$E$33*$AG159*$AJ159,Paramètres!$F$33),0)</f>
        <v>0.024</v>
      </c>
      <c r="X159" s="20" t="n">
        <f aca="false" t="array" ref="X159:X159">IF(AND(INDEX(Profils!$R$5:$R$34,$AE159)&gt;0,INDEX(Profils!$AG$5:$AG$34,$AE159)&lt;=$AH159),ROUND(INDEX(Profils!$R$5:$R$34,$AE159)*Paramètres!$E$34*$AG159*$AJ159,Paramètres!$F$34),0)</f>
        <v>0</v>
      </c>
      <c r="Y159" s="20" t="n">
        <f aca="false" t="array" ref="Y159:Y159">IF(AND(INDEX(Profils!$S$5:$S$34,$AE159)&gt;0,INDEX(Profils!$AH$5:$AH$34,$AE159)&lt;=$AH159),ROUND(INDEX(Profils!$S$5:$S$34,$AE159)*Paramètres!$E$35*$AG159*$AJ159,Paramètres!$F$35),0)</f>
        <v>0.019</v>
      </c>
      <c r="Z159" s="21" t="n">
        <f aca="false">ROUND(L159/Paramètres!$E$22+M159/Paramètres!$E$23+N159/Paramètres!$E$24+O159/Paramètres!$E$25+P159/Paramètres!$E$26+Q159/Paramètres!$E$27+R159/Paramètres!$E$28+S159/Paramètres!$E$29+T159/Paramètres!$E$30+U159/Paramètres!$E$31+V159/Paramètres!$E$32+W159/Paramètres!$E$33+X159/Paramètres!$E$34+Y159/Paramètres!$E$35,1)</f>
        <v>9.4</v>
      </c>
      <c r="AA159" s="22" t="s">
        <v>109</v>
      </c>
      <c r="AB159" s="22" t="s">
        <v>109</v>
      </c>
      <c r="AC159" s="15" t="str">
        <f aca="false">$E159</f>
        <v>orichalque</v>
      </c>
      <c r="AD159" s="16" t="n">
        <f aca="false" t="array" ref="AD159:AD159">IF($I159&gt;=$AI159,"Max",ROUND(Paramètres!$B$40*($I159+1)^Paramètres!$B$41*INDEX(Paramètres!$H$6:$H$12,$AF159),0))</f>
        <v>8</v>
      </c>
      <c r="AE159" s="23" t="n">
        <f aca="false">MATCH($B159&amp;"|"&amp;$C159,Profils!$A$5:$A$34,0)</f>
        <v>5</v>
      </c>
      <c r="AF159" s="23" t="n">
        <v>6</v>
      </c>
      <c r="AG159" s="24" t="n">
        <f aca="false" t="array" ref="AG159:AG159">INDEX(Paramètres!$C$6:$C$12,$AF159)</f>
        <v>2.4</v>
      </c>
      <c r="AH159" s="23" t="n">
        <f aca="false" t="array" ref="AH159:AH159">INDEX(Paramètres!$D$6:$D$12,$AF159)</f>
        <v>7</v>
      </c>
      <c r="AI159" s="23" t="n">
        <f aca="false" t="array" ref="AI159:AI159">INDEX(Matériaux!$C$16:$C$20,$D159)</f>
        <v>30</v>
      </c>
      <c r="AJ159" s="25" t="n">
        <f aca="false">Paramètres!$B$16+(1-Paramètres!$B$16)*(($J159-Paramètres!$B$14)/(Paramètres!$B$15-Paramètres!$B$14))^Paramètres!$B$17</f>
        <v>0.665999387952727</v>
      </c>
    </row>
    <row r="160" customFormat="false" ht="15.75" hidden="false" customHeight="true" outlineLevel="0" collapsed="false">
      <c r="A160" s="14" t="s">
        <v>271</v>
      </c>
      <c r="B160" s="15" t="s">
        <v>27</v>
      </c>
      <c r="C160" s="15" t="s">
        <v>241</v>
      </c>
      <c r="D160" s="16" t="s">
        <v>109</v>
      </c>
      <c r="E160" s="15" t="s">
        <v>109</v>
      </c>
      <c r="F160" s="31" t="s">
        <v>38</v>
      </c>
      <c r="G160" s="10" t="str">
        <f aca="false" t="array" ref="G160:G160">INDEX(Uniques!$E$5:$E$34,MATCH($B160&amp;"|"&amp;$C160,Uniques!$A$5:$A$34,0))</f>
        <v>Médaillon du Serment Brisé</v>
      </c>
      <c r="H160" s="16" t="n">
        <f aca="false" t="array" ref="H160:H160">INDEX(Uniques!$L$5:$L$34,MATCH($B160&amp;"|"&amp;$C160,Uniques!$A$5:$A$34,0))</f>
        <v>31</v>
      </c>
      <c r="I160" s="16" t="n">
        <f aca="false">IF(ISNUMBER($C$3),MIN(MAX(0,ROUND($C$3,0)),$AI160),$AI160)</f>
        <v>0</v>
      </c>
      <c r="J160" s="18" t="n">
        <f aca="false">$H160+$I160</f>
        <v>31</v>
      </c>
      <c r="K160" s="15" t="str">
        <f aca="false" t="array" ref="K160:K160">INDEX(Uniques!$F$5:$F$34,MATCH($B160&amp;"|"&amp;$C160,Uniques!$A$5:$A$34,0))</f>
        <v>Neutre</v>
      </c>
      <c r="L160" s="19" t="n">
        <f aca="false" t="array" ref="L160:L160">IF(AND(INDEX(Profils!$F$5:$F$34,$AE160)&gt;0,INDEX(Profils!$U$5:$U$34,$AE160)&lt;=$AH160),ROUND(INDEX(Profils!$F$5:$F$34,$AE160)*Paramètres!$E$22*$AG160*$AJ160,Paramètres!$F$22),0)</f>
        <v>24</v>
      </c>
      <c r="M160" s="19" t="n">
        <f aca="false" t="array" ref="M160:M160">IF(AND(INDEX(Profils!$G$5:$G$34,$AE160)&gt;0,INDEX(Profils!$V$5:$V$34,$AE160)&lt;=$AH160),ROUND(INDEX(Profils!$G$5:$G$34,$AE160)*Paramètres!$E$23*$AG160*$AJ160,Paramètres!$F$23),0)</f>
        <v>8</v>
      </c>
      <c r="N160" s="19" t="n">
        <f aca="false" t="array" ref="N160:N160">IF(AND(INDEX(Profils!$H$5:$H$34,$AE160)&gt;0,INDEX(Profils!$W$5:$W$34,$AE160)&lt;=$AH160),ROUND(INDEX(Profils!$H$5:$H$34,$AE160)*Paramètres!$E$24*$AG160*$AJ160,Paramètres!$F$24),0)</f>
        <v>10</v>
      </c>
      <c r="O160" s="19" t="n">
        <f aca="false" t="array" ref="O160:O160">IF(AND(INDEX(Profils!$I$5:$I$34,$AE160)&gt;0,INDEX(Profils!$X$5:$X$34,$AE160)&lt;=$AH160),ROUND(INDEX(Profils!$I$5:$I$34,$AE160)*Paramètres!$E$25*$AG160*$AJ160,Paramètres!$F$25),0)</f>
        <v>0</v>
      </c>
      <c r="P160" s="19" t="n">
        <f aca="false" t="array" ref="P160:P160">IF(AND(INDEX(Profils!$J$5:$J$34,$AE160)&gt;0,INDEX(Profils!$Y$5:$Y$34,$AE160)&lt;=$AH160),ROUND(INDEX(Profils!$J$5:$J$34,$AE160)*Paramètres!$E$26*$AG160*$AJ160,Paramètres!$F$26),0)</f>
        <v>4</v>
      </c>
      <c r="Q160" s="19" t="n">
        <f aca="false" t="array" ref="Q160:Q160">IF(AND(INDEX(Profils!$K$5:$K$34,$AE160)&gt;0,INDEX(Profils!$Z$5:$Z$34,$AE160)&lt;=$AH160),ROUND(INDEX(Profils!$K$5:$K$34,$AE160)*Paramètres!$E$27*$AG160*$AJ160,Paramètres!$F$27),0)</f>
        <v>0</v>
      </c>
      <c r="R160" s="20" t="n">
        <f aca="false" t="array" ref="R160:R160">IF(AND(INDEX(Profils!$L$5:$L$34,$AE160)&gt;0,INDEX(Profils!$AA$5:$AA$34,$AE160)&lt;=$AH160),ROUND(INDEX(Profils!$L$5:$L$34,$AE160)*Paramètres!$E$28*$AG160*$AJ160,Paramètres!$F$28),0)</f>
        <v>0</v>
      </c>
      <c r="S160" s="20" t="n">
        <f aca="false" t="array" ref="S160:S160">IF(AND(INDEX(Profils!$M$5:$M$34,$AE160)&gt;0,INDEX(Profils!$AB$5:$AB$34,$AE160)&lt;=$AH160),ROUND(INDEX(Profils!$M$5:$M$34,$AE160)*Paramètres!$E$29*$AG160*$AJ160,Paramètres!$F$29),0)</f>
        <v>0</v>
      </c>
      <c r="T160" s="20" t="n">
        <f aca="false" t="array" ref="T160:T160">IF(AND(INDEX(Profils!$N$5:$N$34,$AE160)&gt;0,INDEX(Profils!$AC$5:$AC$34,$AE160)&lt;=$AH160),ROUND(INDEX(Profils!$N$5:$N$34,$AE160)*Paramètres!$E$30*$AG160*$AJ160,Paramètres!$F$30),0)</f>
        <v>0.008</v>
      </c>
      <c r="U160" s="19" t="n">
        <f aca="false" t="array" ref="U160:U160">IF(AND(INDEX(Profils!$O$5:$O$34,$AE160)&gt;0,INDEX(Profils!$AD$5:$AD$34,$AE160)&lt;=$AH160),ROUND(INDEX(Profils!$O$5:$O$34,$AE160)*Paramètres!$E$31*$AG160*$AJ160,Paramètres!$F$31),0)</f>
        <v>0</v>
      </c>
      <c r="V160" s="20" t="n">
        <f aca="false" t="array" ref="V160:V160">IF(AND(INDEX(Profils!$P$5:$P$34,$AE160)&gt;0,INDEX(Profils!$AE$5:$AE$34,$AE160)&lt;=$AH160),ROUND(INDEX(Profils!$P$5:$P$34,$AE160)*Paramètres!$E$32*$AG160*$AJ160,Paramètres!$F$32),0)</f>
        <v>0</v>
      </c>
      <c r="W160" s="20" t="n">
        <f aca="false" t="array" ref="W160:W160">IF(AND(INDEX(Profils!$Q$5:$Q$34,$AE160)&gt;0,INDEX(Profils!$AF$5:$AF$34,$AE160)&lt;=$AH160),ROUND(INDEX(Profils!$Q$5:$Q$34,$AE160)*Paramètres!$E$33*$AG160*$AJ160,Paramètres!$F$33),0)</f>
        <v>0.01</v>
      </c>
      <c r="X160" s="20" t="n">
        <f aca="false" t="array" ref="X160:X160">IF(AND(INDEX(Profils!$R$5:$R$34,$AE160)&gt;0,INDEX(Profils!$AG$5:$AG$34,$AE160)&lt;=$AH160),ROUND(INDEX(Profils!$R$5:$R$34,$AE160)*Paramètres!$E$34*$AG160*$AJ160,Paramètres!$F$34),0)</f>
        <v>0</v>
      </c>
      <c r="Y160" s="20" t="n">
        <f aca="false" t="array" ref="Y160:Y160">IF(AND(INDEX(Profils!$S$5:$S$34,$AE160)&gt;0,INDEX(Profils!$AH$5:$AH$34,$AE160)&lt;=$AH160),ROUND(INDEX(Profils!$S$5:$S$34,$AE160)*Paramètres!$E$35*$AG160*$AJ160,Paramètres!$F$35),0)</f>
        <v>0.008</v>
      </c>
      <c r="Z160" s="21" t="n">
        <f aca="false">ROUND(L160/Paramètres!$E$22+M160/Paramètres!$E$23+N160/Paramètres!$E$24+O160/Paramètres!$E$25+P160/Paramètres!$E$26+Q160/Paramètres!$E$27+R160/Paramètres!$E$28+S160/Paramètres!$E$29+T160/Paramètres!$E$30+U160/Paramètres!$E$31+V160/Paramètres!$E$32+W160/Paramètres!$E$33+X160/Paramètres!$E$34+Y160/Paramètres!$E$35,1)</f>
        <v>4</v>
      </c>
      <c r="AA160" s="22" t="str">
        <f aca="false" t="array" ref="AA160:AA160">INDEX(Uniques!$G$5:$G$34,MATCH($B160&amp;"|"&amp;$C160,Uniques!$A$5:$A$34,0))</f>
        <v>Serment de sang</v>
      </c>
      <c r="AB160" s="22" t="str">
        <f aca="false" t="array" ref="AB160:AB160">INDEX(Uniques!$H$5:$H$34,MATCH($B160&amp;"|"&amp;$C160,Uniques!$A$5:$A$34,0))&amp;" ["&amp;INDEX(Uniques!$I$5:$I$34,MATCH($B160&amp;"|"&amp;$C160,Uniques!$A$5:$A$34,0))&amp;"]"</f>
        <v>Convertit 5 % des dégâts infligés en soins ; 10 % si les PV du porteur sont sous 50 %. [Soin limité à 10 % des PV max par tour.]</v>
      </c>
      <c r="AC160" s="15" t="str">
        <f aca="false" t="array" ref="AC160:AC160">INDEX(Matériaux!$B$5:$F$12,MATCH(INDEX(Profils!$E$5:$E$34,$AE160),Matériaux!$A$5:$A$12,0),MATCH(MIN($J160+1,100),Matériaux!$B$16:$B$20,1))</f>
        <v>or</v>
      </c>
      <c r="AD160" s="16" t="n">
        <f aca="false" t="array" ref="AD160:AD160">IF($I160&gt;=$AI160,"Max",ROUND(Paramètres!$B$40*($I160+1)^Paramètres!$B$41*INDEX(Paramètres!$H$6:$H$12,$AF160),0))</f>
        <v>9</v>
      </c>
      <c r="AE160" s="23" t="n">
        <f aca="false">MATCH($B160&amp;"|"&amp;$C160,Profils!$A$5:$A$34,0)</f>
        <v>5</v>
      </c>
      <c r="AF160" s="23" t="n">
        <v>7</v>
      </c>
      <c r="AG160" s="24" t="n">
        <f aca="false" t="array" ref="AG160:AG160">INDEX(Paramètres!$C$6:$C$12,$AF160)</f>
        <v>2.5</v>
      </c>
      <c r="AH160" s="23" t="n">
        <f aca="false" t="array" ref="AH160:AH160">INDEX(Paramètres!$D$6:$D$12,$AF160)</f>
        <v>7</v>
      </c>
      <c r="AI160" s="23" t="n">
        <f aca="false" t="array" ref="AI160:AI160">INDEX(Uniques!$M$5:$M$34,MATCH($B160&amp;"|"&amp;$C160,Uniques!$A$5:$A$34,0))</f>
        <v>69</v>
      </c>
      <c r="AJ160" s="25" t="n">
        <f aca="false">Paramètres!$B$16+(1-Paramètres!$B$16)*(($J160-Paramètres!$B$14)/(Paramètres!$B$15-Paramètres!$B$14))^Paramètres!$B$17</f>
        <v>0.276728898137755</v>
      </c>
    </row>
    <row r="161" customFormat="false" ht="15.75" hidden="false" customHeight="true" outlineLevel="0" collapsed="false">
      <c r="A161" s="14" t="s">
        <v>272</v>
      </c>
      <c r="B161" s="15" t="s">
        <v>27</v>
      </c>
      <c r="C161" s="15" t="s">
        <v>273</v>
      </c>
      <c r="D161" s="16" t="n">
        <v>1</v>
      </c>
      <c r="E161" s="15" t="str">
        <f aca="false" t="array" ref="E161:E161">INDEX(Matériaux!$B$5:$F$12,MATCH(INDEX(Profils!$E$5:$E$34,$AE161),Matériaux!$A$5:$A$12,0),$D161)</f>
        <v>cuivre</v>
      </c>
      <c r="F161" s="17" t="s">
        <v>108</v>
      </c>
      <c r="G161" s="10" t="str">
        <f aca="false" t="array" ref="G161:G161">INDEX(Profils!$D$5:$D$34,$AE161)&amp;" en "&amp;$E161</f>
        <v>Anneau de guerre en cuivre</v>
      </c>
      <c r="H161" s="16" t="n">
        <f aca="false" t="array" ref="H161:H161">INDEX(Matériaux!$B$16:$B$20,$D161)</f>
        <v>1</v>
      </c>
      <c r="I161" s="16" t="n">
        <f aca="false">IF(ISNUMBER($C$3),MIN(MAX(0,ROUND($C$3,0)),$AI161),$AI161)</f>
        <v>0</v>
      </c>
      <c r="J161" s="18" t="n">
        <f aca="false">$H161+$I161</f>
        <v>1</v>
      </c>
      <c r="K161" s="15" t="s">
        <v>109</v>
      </c>
      <c r="L161" s="19" t="n">
        <f aca="false" t="array" ref="L161:L161">IF(AND(INDEX(Profils!$F$5:$F$34,$AE161)&gt;0,INDEX(Profils!$U$5:$U$34,$AE161)&lt;=$AH161),ROUND(INDEX(Profils!$F$5:$F$34,$AE161)*Paramètres!$E$22*$AG161*$AJ161,Paramètres!$F$22),0)</f>
        <v>0</v>
      </c>
      <c r="M161" s="19" t="n">
        <f aca="false" t="array" ref="M161:M161">IF(AND(INDEX(Profils!$G$5:$G$34,$AE161)&gt;0,INDEX(Profils!$V$5:$V$34,$AE161)&lt;=$AH161),ROUND(INDEX(Profils!$G$5:$G$34,$AE161)*Paramètres!$E$23*$AG161*$AJ161,Paramètres!$F$23),0)</f>
        <v>1</v>
      </c>
      <c r="N161" s="19" t="n">
        <f aca="false" t="array" ref="N161:N161">IF(AND(INDEX(Profils!$H$5:$H$34,$AE161)&gt;0,INDEX(Profils!$W$5:$W$34,$AE161)&lt;=$AH161),ROUND(INDEX(Profils!$H$5:$H$34,$AE161)*Paramètres!$E$24*$AG161*$AJ161,Paramètres!$F$24),0)</f>
        <v>0</v>
      </c>
      <c r="O161" s="19" t="n">
        <f aca="false" t="array" ref="O161:O161">IF(AND(INDEX(Profils!$I$5:$I$34,$AE161)&gt;0,INDEX(Profils!$X$5:$X$34,$AE161)&lt;=$AH161),ROUND(INDEX(Profils!$I$5:$I$34,$AE161)*Paramètres!$E$25*$AG161*$AJ161,Paramètres!$F$25),0)</f>
        <v>0</v>
      </c>
      <c r="P161" s="19" t="n">
        <f aca="false" t="array" ref="P161:P161">IF(AND(INDEX(Profils!$J$5:$J$34,$AE161)&gt;0,INDEX(Profils!$Y$5:$Y$34,$AE161)&lt;=$AH161),ROUND(INDEX(Profils!$J$5:$J$34,$AE161)*Paramètres!$E$26*$AG161*$AJ161,Paramètres!$F$26),0)</f>
        <v>0</v>
      </c>
      <c r="Q161" s="19" t="n">
        <f aca="false" t="array" ref="Q161:Q161">IF(AND(INDEX(Profils!$K$5:$K$34,$AE161)&gt;0,INDEX(Profils!$Z$5:$Z$34,$AE161)&lt;=$AH161),ROUND(INDEX(Profils!$K$5:$K$34,$AE161)*Paramètres!$E$27*$AG161*$AJ161,Paramètres!$F$27),0)</f>
        <v>0</v>
      </c>
      <c r="R161" s="20" t="n">
        <f aca="false" t="array" ref="R161:R161">IF(AND(INDEX(Profils!$L$5:$L$34,$AE161)&gt;0,INDEX(Profils!$AA$5:$AA$34,$AE161)&lt;=$AH161),ROUND(INDEX(Profils!$L$5:$L$34,$AE161)*Paramètres!$E$28*$AG161*$AJ161,Paramètres!$F$28),0)</f>
        <v>0</v>
      </c>
      <c r="S161" s="20" t="n">
        <f aca="false" t="array" ref="S161:S161">IF(AND(INDEX(Profils!$M$5:$M$34,$AE161)&gt;0,INDEX(Profils!$AB$5:$AB$34,$AE161)&lt;=$AH161),ROUND(INDEX(Profils!$M$5:$M$34,$AE161)*Paramètres!$E$29*$AG161*$AJ161,Paramètres!$F$29),0)</f>
        <v>0.001</v>
      </c>
      <c r="T161" s="20" t="n">
        <f aca="false" t="array" ref="T161:T161">IF(AND(INDEX(Profils!$N$5:$N$34,$AE161)&gt;0,INDEX(Profils!$AC$5:$AC$34,$AE161)&lt;=$AH161),ROUND(INDEX(Profils!$N$5:$N$34,$AE161)*Paramètres!$E$30*$AG161*$AJ161,Paramètres!$F$30),0)</f>
        <v>0</v>
      </c>
      <c r="U161" s="19" t="n">
        <f aca="false" t="array" ref="U161:U161">IF(AND(INDEX(Profils!$O$5:$O$34,$AE161)&gt;0,INDEX(Profils!$AD$5:$AD$34,$AE161)&lt;=$AH161),ROUND(INDEX(Profils!$O$5:$O$34,$AE161)*Paramètres!$E$31*$AG161*$AJ161,Paramètres!$F$31),0)</f>
        <v>0</v>
      </c>
      <c r="V161" s="20" t="n">
        <f aca="false" t="array" ref="V161:V161">IF(AND(INDEX(Profils!$P$5:$P$34,$AE161)&gt;0,INDEX(Profils!$AE$5:$AE$34,$AE161)&lt;=$AH161),ROUND(INDEX(Profils!$P$5:$P$34,$AE161)*Paramètres!$E$32*$AG161*$AJ161,Paramètres!$F$32),0)</f>
        <v>0</v>
      </c>
      <c r="W161" s="20" t="n">
        <f aca="false" t="array" ref="W161:W161">IF(AND(INDEX(Profils!$Q$5:$Q$34,$AE161)&gt;0,INDEX(Profils!$AF$5:$AF$34,$AE161)&lt;=$AH161),ROUND(INDEX(Profils!$Q$5:$Q$34,$AE161)*Paramètres!$E$33*$AG161*$AJ161,Paramètres!$F$33),0)</f>
        <v>0</v>
      </c>
      <c r="X161" s="20" t="n">
        <f aca="false" t="array" ref="X161:X161">IF(AND(INDEX(Profils!$R$5:$R$34,$AE161)&gt;0,INDEX(Profils!$AG$5:$AG$34,$AE161)&lt;=$AH161),ROUND(INDEX(Profils!$R$5:$R$34,$AE161)*Paramètres!$E$34*$AG161*$AJ161,Paramètres!$F$34),0)</f>
        <v>0</v>
      </c>
      <c r="Y161" s="20" t="n">
        <f aca="false" t="array" ref="Y161:Y161">IF(AND(INDEX(Profils!$S$5:$S$34,$AE161)&gt;0,INDEX(Profils!$AH$5:$AH$34,$AE161)&lt;=$AH161),ROUND(INDEX(Profils!$S$5:$S$34,$AE161)*Paramètres!$E$35*$AG161*$AJ161,Paramètres!$F$35),0)</f>
        <v>0</v>
      </c>
      <c r="Z161" s="21" t="n">
        <f aca="false">ROUND(L161/Paramètres!$E$22+M161/Paramètres!$E$23+N161/Paramètres!$E$24+O161/Paramètres!$E$25+P161/Paramètres!$E$26+Q161/Paramètres!$E$27+R161/Paramètres!$E$28+S161/Paramètres!$E$29+T161/Paramètres!$E$30+U161/Paramètres!$E$31+V161/Paramètres!$E$32+W161/Paramètres!$E$33+X161/Paramètres!$E$34+Y161/Paramètres!$E$35,1)</f>
        <v>0.2</v>
      </c>
      <c r="AA161" s="22" t="s">
        <v>109</v>
      </c>
      <c r="AB161" s="22" t="s">
        <v>109</v>
      </c>
      <c r="AC161" s="15" t="str">
        <f aca="false">$E161</f>
        <v>cuivre</v>
      </c>
      <c r="AD161" s="16" t="n">
        <f aca="false" t="array" ref="AD161:AD161">IF($I161&gt;=$AI161,"Max",ROUND(Paramètres!$B$40*($I161+1)^Paramètres!$B$41*INDEX(Paramètres!$H$6:$H$12,$AF161),0))</f>
        <v>3</v>
      </c>
      <c r="AE161" s="23" t="n">
        <f aca="false">MATCH($B161&amp;"|"&amp;$C161,Profils!$A$5:$A$34,0)</f>
        <v>6</v>
      </c>
      <c r="AF161" s="23" t="n">
        <v>1</v>
      </c>
      <c r="AG161" s="24" t="n">
        <f aca="false" t="array" ref="AG161:AG161">INDEX(Paramètres!$C$6:$C$12,$AF161)</f>
        <v>1</v>
      </c>
      <c r="AH161" s="23" t="n">
        <f aca="false" t="array" ref="AH161:AH161">INDEX(Paramètres!$D$6:$D$12,$AF161)</f>
        <v>2</v>
      </c>
      <c r="AI161" s="23" t="n">
        <f aca="false" t="array" ref="AI161:AI161">INDEX(Matériaux!$C$16:$C$20,$D161)</f>
        <v>19</v>
      </c>
      <c r="AJ161" s="25" t="n">
        <f aca="false">Paramètres!$B$16+(1-Paramètres!$B$16)*(($J161-Paramètres!$B$14)/(Paramètres!$B$15-Paramètres!$B$14))^Paramètres!$B$17</f>
        <v>0.05</v>
      </c>
    </row>
    <row r="162" customFormat="false" ht="15.75" hidden="false" customHeight="true" outlineLevel="0" collapsed="false">
      <c r="A162" s="14" t="s">
        <v>274</v>
      </c>
      <c r="B162" s="15" t="s">
        <v>27</v>
      </c>
      <c r="C162" s="15" t="s">
        <v>273</v>
      </c>
      <c r="D162" s="16" t="n">
        <v>1</v>
      </c>
      <c r="E162" s="15" t="str">
        <f aca="false" t="array" ref="E162:E162">INDEX(Matériaux!$B$5:$F$12,MATCH(INDEX(Profils!$E$5:$E$34,$AE162),Matériaux!$A$5:$A$12,0),$D162)</f>
        <v>cuivre</v>
      </c>
      <c r="F162" s="26" t="s">
        <v>111</v>
      </c>
      <c r="G162" s="10" t="str">
        <f aca="false" t="array" ref="G162:G162">INDEX(Profils!$D$5:$D$34,$AE162)&amp;" en "&amp;$E162</f>
        <v>Anneau de guerre en cuivre</v>
      </c>
      <c r="H162" s="16" t="n">
        <f aca="false" t="array" ref="H162:H162">INDEX(Matériaux!$B$16:$B$20,$D162)</f>
        <v>1</v>
      </c>
      <c r="I162" s="16" t="n">
        <f aca="false">IF(ISNUMBER($C$3),MIN(MAX(0,ROUND($C$3,0)),$AI162),$AI162)</f>
        <v>0</v>
      </c>
      <c r="J162" s="18" t="n">
        <f aca="false">$H162+$I162</f>
        <v>1</v>
      </c>
      <c r="K162" s="15" t="s">
        <v>109</v>
      </c>
      <c r="L162" s="19" t="n">
        <f aca="false" t="array" ref="L162:L162">IF(AND(INDEX(Profils!$F$5:$F$34,$AE162)&gt;0,INDEX(Profils!$U$5:$U$34,$AE162)&lt;=$AH162),ROUND(INDEX(Profils!$F$5:$F$34,$AE162)*Paramètres!$E$22*$AG162*$AJ162,Paramètres!$F$22),0)</f>
        <v>0</v>
      </c>
      <c r="M162" s="19" t="n">
        <f aca="false" t="array" ref="M162:M162">IF(AND(INDEX(Profils!$G$5:$G$34,$AE162)&gt;0,INDEX(Profils!$V$5:$V$34,$AE162)&lt;=$AH162),ROUND(INDEX(Profils!$G$5:$G$34,$AE162)*Paramètres!$E$23*$AG162*$AJ162,Paramètres!$F$23),0)</f>
        <v>1</v>
      </c>
      <c r="N162" s="19" t="n">
        <f aca="false" t="array" ref="N162:N162">IF(AND(INDEX(Profils!$H$5:$H$34,$AE162)&gt;0,INDEX(Profils!$W$5:$W$34,$AE162)&lt;=$AH162),ROUND(INDEX(Profils!$H$5:$H$34,$AE162)*Paramètres!$E$24*$AG162*$AJ162,Paramètres!$F$24),0)</f>
        <v>0</v>
      </c>
      <c r="O162" s="19" t="n">
        <f aca="false" t="array" ref="O162:O162">IF(AND(INDEX(Profils!$I$5:$I$34,$AE162)&gt;0,INDEX(Profils!$X$5:$X$34,$AE162)&lt;=$AH162),ROUND(INDEX(Profils!$I$5:$I$34,$AE162)*Paramètres!$E$25*$AG162*$AJ162,Paramètres!$F$25),0)</f>
        <v>0</v>
      </c>
      <c r="P162" s="19" t="n">
        <f aca="false" t="array" ref="P162:P162">IF(AND(INDEX(Profils!$J$5:$J$34,$AE162)&gt;0,INDEX(Profils!$Y$5:$Y$34,$AE162)&lt;=$AH162),ROUND(INDEX(Profils!$J$5:$J$34,$AE162)*Paramètres!$E$26*$AG162*$AJ162,Paramètres!$F$26),0)</f>
        <v>0</v>
      </c>
      <c r="Q162" s="19" t="n">
        <f aca="false" t="array" ref="Q162:Q162">IF(AND(INDEX(Profils!$K$5:$K$34,$AE162)&gt;0,INDEX(Profils!$Z$5:$Z$34,$AE162)&lt;=$AH162),ROUND(INDEX(Profils!$K$5:$K$34,$AE162)*Paramètres!$E$27*$AG162*$AJ162,Paramètres!$F$27),0)</f>
        <v>0</v>
      </c>
      <c r="R162" s="20" t="n">
        <f aca="false" t="array" ref="R162:R162">IF(AND(INDEX(Profils!$L$5:$L$34,$AE162)&gt;0,INDEX(Profils!$AA$5:$AA$34,$AE162)&lt;=$AH162),ROUND(INDEX(Profils!$L$5:$L$34,$AE162)*Paramètres!$E$28*$AG162*$AJ162,Paramètres!$F$28),0)</f>
        <v>0</v>
      </c>
      <c r="S162" s="20" t="n">
        <f aca="false" t="array" ref="S162:S162">IF(AND(INDEX(Profils!$M$5:$M$34,$AE162)&gt;0,INDEX(Profils!$AB$5:$AB$34,$AE162)&lt;=$AH162),ROUND(INDEX(Profils!$M$5:$M$34,$AE162)*Paramètres!$E$29*$AG162*$AJ162,Paramètres!$F$29),0)</f>
        <v>0.001</v>
      </c>
      <c r="T162" s="20" t="n">
        <f aca="false" t="array" ref="T162:T162">IF(AND(INDEX(Profils!$N$5:$N$34,$AE162)&gt;0,INDEX(Profils!$AC$5:$AC$34,$AE162)&lt;=$AH162),ROUND(INDEX(Profils!$N$5:$N$34,$AE162)*Paramètres!$E$30*$AG162*$AJ162,Paramètres!$F$30),0)</f>
        <v>0.002</v>
      </c>
      <c r="U162" s="19" t="n">
        <f aca="false" t="array" ref="U162:U162">IF(AND(INDEX(Profils!$O$5:$O$34,$AE162)&gt;0,INDEX(Profils!$AD$5:$AD$34,$AE162)&lt;=$AH162),ROUND(INDEX(Profils!$O$5:$O$34,$AE162)*Paramètres!$E$31*$AG162*$AJ162,Paramètres!$F$31),0)</f>
        <v>0</v>
      </c>
      <c r="V162" s="20" t="n">
        <f aca="false" t="array" ref="V162:V162">IF(AND(INDEX(Profils!$P$5:$P$34,$AE162)&gt;0,INDEX(Profils!$AE$5:$AE$34,$AE162)&lt;=$AH162),ROUND(INDEX(Profils!$P$5:$P$34,$AE162)*Paramètres!$E$32*$AG162*$AJ162,Paramètres!$F$32),0)</f>
        <v>0</v>
      </c>
      <c r="W162" s="20" t="n">
        <f aca="false" t="array" ref="W162:W162">IF(AND(INDEX(Profils!$Q$5:$Q$34,$AE162)&gt;0,INDEX(Profils!$AF$5:$AF$34,$AE162)&lt;=$AH162),ROUND(INDEX(Profils!$Q$5:$Q$34,$AE162)*Paramètres!$E$33*$AG162*$AJ162,Paramètres!$F$33),0)</f>
        <v>0</v>
      </c>
      <c r="X162" s="20" t="n">
        <f aca="false" t="array" ref="X162:X162">IF(AND(INDEX(Profils!$R$5:$R$34,$AE162)&gt;0,INDEX(Profils!$AG$5:$AG$34,$AE162)&lt;=$AH162),ROUND(INDEX(Profils!$R$5:$R$34,$AE162)*Paramètres!$E$34*$AG162*$AJ162,Paramètres!$F$34),0)</f>
        <v>0</v>
      </c>
      <c r="Y162" s="20" t="n">
        <f aca="false" t="array" ref="Y162:Y162">IF(AND(INDEX(Profils!$S$5:$S$34,$AE162)&gt;0,INDEX(Profils!$AH$5:$AH$34,$AE162)&lt;=$AH162),ROUND(INDEX(Profils!$S$5:$S$34,$AE162)*Paramètres!$E$35*$AG162*$AJ162,Paramètres!$F$35),0)</f>
        <v>0</v>
      </c>
      <c r="Z162" s="21" t="n">
        <f aca="false">ROUND(L162/Paramètres!$E$22+M162/Paramètres!$E$23+N162/Paramètres!$E$24+O162/Paramètres!$E$25+P162/Paramètres!$E$26+Q162/Paramètres!$E$27+R162/Paramètres!$E$28+S162/Paramètres!$E$29+T162/Paramètres!$E$30+U162/Paramètres!$E$31+V162/Paramètres!$E$32+W162/Paramètres!$E$33+X162/Paramètres!$E$34+Y162/Paramètres!$E$35,1)</f>
        <v>0.2</v>
      </c>
      <c r="AA162" s="22" t="s">
        <v>109</v>
      </c>
      <c r="AB162" s="22" t="s">
        <v>109</v>
      </c>
      <c r="AC162" s="15" t="str">
        <f aca="false">$E162</f>
        <v>cuivre</v>
      </c>
      <c r="AD162" s="16" t="n">
        <f aca="false" t="array" ref="AD162:AD162">IF($I162&gt;=$AI162,"Max",ROUND(Paramètres!$B$40*($I162+1)^Paramètres!$B$41*INDEX(Paramètres!$H$6:$H$12,$AF162),0))</f>
        <v>4</v>
      </c>
      <c r="AE162" s="23" t="n">
        <f aca="false">MATCH($B162&amp;"|"&amp;$C162,Profils!$A$5:$A$34,0)</f>
        <v>6</v>
      </c>
      <c r="AF162" s="23" t="n">
        <v>2</v>
      </c>
      <c r="AG162" s="24" t="n">
        <f aca="false" t="array" ref="AG162:AG162">INDEX(Paramètres!$C$6:$C$12,$AF162)</f>
        <v>1.2</v>
      </c>
      <c r="AH162" s="23" t="n">
        <f aca="false" t="array" ref="AH162:AH162">INDEX(Paramètres!$D$6:$D$12,$AF162)</f>
        <v>3</v>
      </c>
      <c r="AI162" s="23" t="n">
        <f aca="false" t="array" ref="AI162:AI162">INDEX(Matériaux!$C$16:$C$20,$D162)</f>
        <v>19</v>
      </c>
      <c r="AJ162" s="25" t="n">
        <f aca="false">Paramètres!$B$16+(1-Paramètres!$B$16)*(($J162-Paramètres!$B$14)/(Paramètres!$B$15-Paramètres!$B$14))^Paramètres!$B$17</f>
        <v>0.05</v>
      </c>
    </row>
    <row r="163" customFormat="false" ht="15.75" hidden="false" customHeight="true" outlineLevel="0" collapsed="false">
      <c r="A163" s="14" t="s">
        <v>275</v>
      </c>
      <c r="B163" s="15" t="s">
        <v>27</v>
      </c>
      <c r="C163" s="15" t="s">
        <v>273</v>
      </c>
      <c r="D163" s="16" t="n">
        <v>1</v>
      </c>
      <c r="E163" s="15" t="str">
        <f aca="false" t="array" ref="E163:E163">INDEX(Matériaux!$B$5:$F$12,MATCH(INDEX(Profils!$E$5:$E$34,$AE163),Matériaux!$A$5:$A$12,0),$D163)</f>
        <v>cuivre</v>
      </c>
      <c r="F163" s="27" t="s">
        <v>113</v>
      </c>
      <c r="G163" s="10" t="str">
        <f aca="false" t="array" ref="G163:G163">INDEX(Profils!$D$5:$D$34,$AE163)&amp;" en "&amp;$E163</f>
        <v>Anneau de guerre en cuivre</v>
      </c>
      <c r="H163" s="16" t="n">
        <f aca="false" t="array" ref="H163:H163">INDEX(Matériaux!$B$16:$B$20,$D163)</f>
        <v>1</v>
      </c>
      <c r="I163" s="16" t="n">
        <f aca="false">IF(ISNUMBER($C$3),MIN(MAX(0,ROUND($C$3,0)),$AI163),$AI163)</f>
        <v>0</v>
      </c>
      <c r="J163" s="18" t="n">
        <f aca="false">$H163+$I163</f>
        <v>1</v>
      </c>
      <c r="K163" s="15" t="s">
        <v>109</v>
      </c>
      <c r="L163" s="19" t="n">
        <f aca="false" t="array" ref="L163:L163">IF(AND(INDEX(Profils!$F$5:$F$34,$AE163)&gt;0,INDEX(Profils!$U$5:$U$34,$AE163)&lt;=$AH163),ROUND(INDEX(Profils!$F$5:$F$34,$AE163)*Paramètres!$E$22*$AG163*$AJ163,Paramètres!$F$22),0)</f>
        <v>1</v>
      </c>
      <c r="M163" s="19" t="n">
        <f aca="false" t="array" ref="M163:M163">IF(AND(INDEX(Profils!$G$5:$G$34,$AE163)&gt;0,INDEX(Profils!$V$5:$V$34,$AE163)&lt;=$AH163),ROUND(INDEX(Profils!$G$5:$G$34,$AE163)*Paramètres!$E$23*$AG163*$AJ163,Paramètres!$F$23),0)</f>
        <v>1</v>
      </c>
      <c r="N163" s="19" t="n">
        <f aca="false" t="array" ref="N163:N163">IF(AND(INDEX(Profils!$H$5:$H$34,$AE163)&gt;0,INDEX(Profils!$W$5:$W$34,$AE163)&lt;=$AH163),ROUND(INDEX(Profils!$H$5:$H$34,$AE163)*Paramètres!$E$24*$AG163*$AJ163,Paramètres!$F$24),0)</f>
        <v>0</v>
      </c>
      <c r="O163" s="19" t="n">
        <f aca="false" t="array" ref="O163:O163">IF(AND(INDEX(Profils!$I$5:$I$34,$AE163)&gt;0,INDEX(Profils!$X$5:$X$34,$AE163)&lt;=$AH163),ROUND(INDEX(Profils!$I$5:$I$34,$AE163)*Paramètres!$E$25*$AG163*$AJ163,Paramètres!$F$25),0)</f>
        <v>0</v>
      </c>
      <c r="P163" s="19" t="n">
        <f aca="false" t="array" ref="P163:P163">IF(AND(INDEX(Profils!$J$5:$J$34,$AE163)&gt;0,INDEX(Profils!$Y$5:$Y$34,$AE163)&lt;=$AH163),ROUND(INDEX(Profils!$J$5:$J$34,$AE163)*Paramètres!$E$26*$AG163*$AJ163,Paramètres!$F$26),0)</f>
        <v>0</v>
      </c>
      <c r="Q163" s="19" t="n">
        <f aca="false" t="array" ref="Q163:Q163">IF(AND(INDEX(Profils!$K$5:$K$34,$AE163)&gt;0,INDEX(Profils!$Z$5:$Z$34,$AE163)&lt;=$AH163),ROUND(INDEX(Profils!$K$5:$K$34,$AE163)*Paramètres!$E$27*$AG163*$AJ163,Paramètres!$F$27),0)</f>
        <v>0</v>
      </c>
      <c r="R163" s="20" t="n">
        <f aca="false" t="array" ref="R163:R163">IF(AND(INDEX(Profils!$L$5:$L$34,$AE163)&gt;0,INDEX(Profils!$AA$5:$AA$34,$AE163)&lt;=$AH163),ROUND(INDEX(Profils!$L$5:$L$34,$AE163)*Paramètres!$E$28*$AG163*$AJ163,Paramètres!$F$28),0)</f>
        <v>0</v>
      </c>
      <c r="S163" s="20" t="n">
        <f aca="false" t="array" ref="S163:S163">IF(AND(INDEX(Profils!$M$5:$M$34,$AE163)&gt;0,INDEX(Profils!$AB$5:$AB$34,$AE163)&lt;=$AH163),ROUND(INDEX(Profils!$M$5:$M$34,$AE163)*Paramètres!$E$29*$AG163*$AJ163,Paramètres!$F$29),0)</f>
        <v>0.001</v>
      </c>
      <c r="T163" s="20" t="n">
        <f aca="false" t="array" ref="T163:T163">IF(AND(INDEX(Profils!$N$5:$N$34,$AE163)&gt;0,INDEX(Profils!$AC$5:$AC$34,$AE163)&lt;=$AH163),ROUND(INDEX(Profils!$N$5:$N$34,$AE163)*Paramètres!$E$30*$AG163*$AJ163,Paramètres!$F$30),0)</f>
        <v>0.002</v>
      </c>
      <c r="U163" s="19" t="n">
        <f aca="false" t="array" ref="U163:U163">IF(AND(INDEX(Profils!$O$5:$O$34,$AE163)&gt;0,INDEX(Profils!$AD$5:$AD$34,$AE163)&lt;=$AH163),ROUND(INDEX(Profils!$O$5:$O$34,$AE163)*Paramètres!$E$31*$AG163*$AJ163,Paramètres!$F$31),0)</f>
        <v>0</v>
      </c>
      <c r="V163" s="20" t="n">
        <f aca="false" t="array" ref="V163:V163">IF(AND(INDEX(Profils!$P$5:$P$34,$AE163)&gt;0,INDEX(Profils!$AE$5:$AE$34,$AE163)&lt;=$AH163),ROUND(INDEX(Profils!$P$5:$P$34,$AE163)*Paramètres!$E$32*$AG163*$AJ163,Paramètres!$F$32),0)</f>
        <v>0</v>
      </c>
      <c r="W163" s="20" t="n">
        <f aca="false" t="array" ref="W163:W163">IF(AND(INDEX(Profils!$Q$5:$Q$34,$AE163)&gt;0,INDEX(Profils!$AF$5:$AF$34,$AE163)&lt;=$AH163),ROUND(INDEX(Profils!$Q$5:$Q$34,$AE163)*Paramètres!$E$33*$AG163*$AJ163,Paramètres!$F$33),0)</f>
        <v>0</v>
      </c>
      <c r="X163" s="20" t="n">
        <f aca="false" t="array" ref="X163:X163">IF(AND(INDEX(Profils!$R$5:$R$34,$AE163)&gt;0,INDEX(Profils!$AG$5:$AG$34,$AE163)&lt;=$AH163),ROUND(INDEX(Profils!$R$5:$R$34,$AE163)*Paramètres!$E$34*$AG163*$AJ163,Paramètres!$F$34),0)</f>
        <v>0</v>
      </c>
      <c r="Y163" s="20" t="n">
        <f aca="false" t="array" ref="Y163:Y163">IF(AND(INDEX(Profils!$S$5:$S$34,$AE163)&gt;0,INDEX(Profils!$AH$5:$AH$34,$AE163)&lt;=$AH163),ROUND(INDEX(Profils!$S$5:$S$34,$AE163)*Paramètres!$E$35*$AG163*$AJ163,Paramètres!$F$35),0)</f>
        <v>0</v>
      </c>
      <c r="Z163" s="21" t="n">
        <f aca="false">ROUND(L163/Paramètres!$E$22+M163/Paramètres!$E$23+N163/Paramètres!$E$24+O163/Paramètres!$E$25+P163/Paramètres!$E$26+Q163/Paramètres!$E$27+R163/Paramètres!$E$28+S163/Paramètres!$E$29+T163/Paramètres!$E$30+U163/Paramètres!$E$31+V163/Paramètres!$E$32+W163/Paramètres!$E$33+X163/Paramètres!$E$34+Y163/Paramètres!$E$35,1)</f>
        <v>0.3</v>
      </c>
      <c r="AA163" s="22" t="s">
        <v>109</v>
      </c>
      <c r="AB163" s="22" t="s">
        <v>109</v>
      </c>
      <c r="AC163" s="15" t="str">
        <f aca="false">$E163</f>
        <v>cuivre</v>
      </c>
      <c r="AD163" s="16" t="n">
        <f aca="false" t="array" ref="AD163:AD163">IF($I163&gt;=$AI163,"Max",ROUND(Paramètres!$B$40*($I163+1)^Paramètres!$B$41*INDEX(Paramètres!$H$6:$H$12,$AF163),0))</f>
        <v>4</v>
      </c>
      <c r="AE163" s="23" t="n">
        <f aca="false">MATCH($B163&amp;"|"&amp;$C163,Profils!$A$5:$A$34,0)</f>
        <v>6</v>
      </c>
      <c r="AF163" s="23" t="n">
        <v>3</v>
      </c>
      <c r="AG163" s="24" t="n">
        <f aca="false" t="array" ref="AG163:AG163">INDEX(Paramètres!$C$6:$C$12,$AF163)</f>
        <v>1.45</v>
      </c>
      <c r="AH163" s="23" t="n">
        <f aca="false" t="array" ref="AH163:AH163">INDEX(Paramètres!$D$6:$D$12,$AF163)</f>
        <v>4</v>
      </c>
      <c r="AI163" s="23" t="n">
        <f aca="false" t="array" ref="AI163:AI163">INDEX(Matériaux!$C$16:$C$20,$D163)</f>
        <v>19</v>
      </c>
      <c r="AJ163" s="25" t="n">
        <f aca="false">Paramètres!$B$16+(1-Paramètres!$B$16)*(($J163-Paramètres!$B$14)/(Paramètres!$B$15-Paramètres!$B$14))^Paramètres!$B$17</f>
        <v>0.05</v>
      </c>
    </row>
    <row r="164" customFormat="false" ht="15.75" hidden="false" customHeight="true" outlineLevel="0" collapsed="false">
      <c r="A164" s="14" t="s">
        <v>276</v>
      </c>
      <c r="B164" s="15" t="s">
        <v>27</v>
      </c>
      <c r="C164" s="15" t="s">
        <v>273</v>
      </c>
      <c r="D164" s="16" t="n">
        <v>1</v>
      </c>
      <c r="E164" s="15" t="str">
        <f aca="false" t="array" ref="E164:E164">INDEX(Matériaux!$B$5:$F$12,MATCH(INDEX(Profils!$E$5:$E$34,$AE164),Matériaux!$A$5:$A$12,0),$D164)</f>
        <v>cuivre</v>
      </c>
      <c r="F164" s="28" t="s">
        <v>115</v>
      </c>
      <c r="G164" s="10" t="str">
        <f aca="false" t="array" ref="G164:G164">INDEX(Profils!$D$5:$D$34,$AE164)&amp;" en "&amp;$E164</f>
        <v>Anneau de guerre en cuivre</v>
      </c>
      <c r="H164" s="16" t="n">
        <f aca="false" t="array" ref="H164:H164">INDEX(Matériaux!$B$16:$B$20,$D164)</f>
        <v>1</v>
      </c>
      <c r="I164" s="16" t="n">
        <f aca="false">IF(ISNUMBER($C$3),MIN(MAX(0,ROUND($C$3,0)),$AI164),$AI164)</f>
        <v>0</v>
      </c>
      <c r="J164" s="18" t="n">
        <f aca="false">$H164+$I164</f>
        <v>1</v>
      </c>
      <c r="K164" s="15" t="s">
        <v>109</v>
      </c>
      <c r="L164" s="19" t="n">
        <f aca="false" t="array" ref="L164:L164">IF(AND(INDEX(Profils!$F$5:$F$34,$AE164)&gt;0,INDEX(Profils!$U$5:$U$34,$AE164)&lt;=$AH164),ROUND(INDEX(Profils!$F$5:$F$34,$AE164)*Paramètres!$E$22*$AG164*$AJ164,Paramètres!$F$22),0)</f>
        <v>2</v>
      </c>
      <c r="M164" s="19" t="n">
        <f aca="false" t="array" ref="M164:M164">IF(AND(INDEX(Profils!$G$5:$G$34,$AE164)&gt;0,INDEX(Profils!$V$5:$V$34,$AE164)&lt;=$AH164),ROUND(INDEX(Profils!$G$5:$G$34,$AE164)*Paramètres!$E$23*$AG164*$AJ164,Paramètres!$F$23),0)</f>
        <v>1</v>
      </c>
      <c r="N164" s="19" t="n">
        <f aca="false" t="array" ref="N164:N164">IF(AND(INDEX(Profils!$H$5:$H$34,$AE164)&gt;0,INDEX(Profils!$W$5:$W$34,$AE164)&lt;=$AH164),ROUND(INDEX(Profils!$H$5:$H$34,$AE164)*Paramètres!$E$24*$AG164*$AJ164,Paramètres!$F$24),0)</f>
        <v>0</v>
      </c>
      <c r="O164" s="19" t="n">
        <f aca="false" t="array" ref="O164:O164">IF(AND(INDEX(Profils!$I$5:$I$34,$AE164)&gt;0,INDEX(Profils!$X$5:$X$34,$AE164)&lt;=$AH164),ROUND(INDEX(Profils!$I$5:$I$34,$AE164)*Paramètres!$E$25*$AG164*$AJ164,Paramètres!$F$25),0)</f>
        <v>0</v>
      </c>
      <c r="P164" s="19" t="n">
        <f aca="false" t="array" ref="P164:P164">IF(AND(INDEX(Profils!$J$5:$J$34,$AE164)&gt;0,INDEX(Profils!$Y$5:$Y$34,$AE164)&lt;=$AH164),ROUND(INDEX(Profils!$J$5:$J$34,$AE164)*Paramètres!$E$26*$AG164*$AJ164,Paramètres!$F$26),0)</f>
        <v>0</v>
      </c>
      <c r="Q164" s="19" t="n">
        <f aca="false" t="array" ref="Q164:Q164">IF(AND(INDEX(Profils!$K$5:$K$34,$AE164)&gt;0,INDEX(Profils!$Z$5:$Z$34,$AE164)&lt;=$AH164),ROUND(INDEX(Profils!$K$5:$K$34,$AE164)*Paramètres!$E$27*$AG164*$AJ164,Paramètres!$F$27),0)</f>
        <v>0</v>
      </c>
      <c r="R164" s="20" t="n">
        <f aca="false" t="array" ref="R164:R164">IF(AND(INDEX(Profils!$L$5:$L$34,$AE164)&gt;0,INDEX(Profils!$AA$5:$AA$34,$AE164)&lt;=$AH164),ROUND(INDEX(Profils!$L$5:$L$34,$AE164)*Paramètres!$E$28*$AG164*$AJ164,Paramètres!$F$28),0)</f>
        <v>0.001</v>
      </c>
      <c r="S164" s="20" t="n">
        <f aca="false" t="array" ref="S164:S164">IF(AND(INDEX(Profils!$M$5:$M$34,$AE164)&gt;0,INDEX(Profils!$AB$5:$AB$34,$AE164)&lt;=$AH164),ROUND(INDEX(Profils!$M$5:$M$34,$AE164)*Paramètres!$E$29*$AG164*$AJ164,Paramètres!$F$29),0)</f>
        <v>0.001</v>
      </c>
      <c r="T164" s="20" t="n">
        <f aca="false" t="array" ref="T164:T164">IF(AND(INDEX(Profils!$N$5:$N$34,$AE164)&gt;0,INDEX(Profils!$AC$5:$AC$34,$AE164)&lt;=$AH164),ROUND(INDEX(Profils!$N$5:$N$34,$AE164)*Paramètres!$E$30*$AG164*$AJ164,Paramètres!$F$30),0)</f>
        <v>0.002</v>
      </c>
      <c r="U164" s="19" t="n">
        <f aca="false" t="array" ref="U164:U164">IF(AND(INDEX(Profils!$O$5:$O$34,$AE164)&gt;0,INDEX(Profils!$AD$5:$AD$34,$AE164)&lt;=$AH164),ROUND(INDEX(Profils!$O$5:$O$34,$AE164)*Paramètres!$E$31*$AG164*$AJ164,Paramètres!$F$31),0)</f>
        <v>0</v>
      </c>
      <c r="V164" s="20" t="n">
        <f aca="false" t="array" ref="V164:V164">IF(AND(INDEX(Profils!$P$5:$P$34,$AE164)&gt;0,INDEX(Profils!$AE$5:$AE$34,$AE164)&lt;=$AH164),ROUND(INDEX(Profils!$P$5:$P$34,$AE164)*Paramètres!$E$32*$AG164*$AJ164,Paramètres!$F$32),0)</f>
        <v>0</v>
      </c>
      <c r="W164" s="20" t="n">
        <f aca="false" t="array" ref="W164:W164">IF(AND(INDEX(Profils!$Q$5:$Q$34,$AE164)&gt;0,INDEX(Profils!$AF$5:$AF$34,$AE164)&lt;=$AH164),ROUND(INDEX(Profils!$Q$5:$Q$34,$AE164)*Paramètres!$E$33*$AG164*$AJ164,Paramètres!$F$33),0)</f>
        <v>0</v>
      </c>
      <c r="X164" s="20" t="n">
        <f aca="false" t="array" ref="X164:X164">IF(AND(INDEX(Profils!$R$5:$R$34,$AE164)&gt;0,INDEX(Profils!$AG$5:$AG$34,$AE164)&lt;=$AH164),ROUND(INDEX(Profils!$R$5:$R$34,$AE164)*Paramètres!$E$34*$AG164*$AJ164,Paramètres!$F$34),0)</f>
        <v>0</v>
      </c>
      <c r="Y164" s="20" t="n">
        <f aca="false" t="array" ref="Y164:Y164">IF(AND(INDEX(Profils!$S$5:$S$34,$AE164)&gt;0,INDEX(Profils!$AH$5:$AH$34,$AE164)&lt;=$AH164),ROUND(INDEX(Profils!$S$5:$S$34,$AE164)*Paramètres!$E$35*$AG164*$AJ164,Paramètres!$F$35),0)</f>
        <v>0</v>
      </c>
      <c r="Z164" s="21" t="n">
        <f aca="false">ROUND(L164/Paramètres!$E$22+M164/Paramètres!$E$23+N164/Paramètres!$E$24+O164/Paramètres!$E$25+P164/Paramètres!$E$26+Q164/Paramètres!$E$27+R164/Paramètres!$E$28+S164/Paramètres!$E$29+T164/Paramètres!$E$30+U164/Paramètres!$E$31+V164/Paramètres!$E$32+W164/Paramètres!$E$33+X164/Paramètres!$E$34+Y164/Paramètres!$E$35,1)</f>
        <v>0.4</v>
      </c>
      <c r="AA164" s="22" t="s">
        <v>109</v>
      </c>
      <c r="AB164" s="22" t="s">
        <v>109</v>
      </c>
      <c r="AC164" s="15" t="str">
        <f aca="false">$E164</f>
        <v>cuivre</v>
      </c>
      <c r="AD164" s="16" t="n">
        <f aca="false" t="array" ref="AD164:AD164">IF($I164&gt;=$AI164,"Max",ROUND(Paramètres!$B$40*($I164+1)^Paramètres!$B$41*INDEX(Paramètres!$H$6:$H$12,$AF164),0))</f>
        <v>5</v>
      </c>
      <c r="AE164" s="23" t="n">
        <f aca="false">MATCH($B164&amp;"|"&amp;$C164,Profils!$A$5:$A$34,0)</f>
        <v>6</v>
      </c>
      <c r="AF164" s="23" t="n">
        <v>4</v>
      </c>
      <c r="AG164" s="24" t="n">
        <f aca="false" t="array" ref="AG164:AG164">INDEX(Paramètres!$C$6:$C$12,$AF164)</f>
        <v>1.75</v>
      </c>
      <c r="AH164" s="23" t="n">
        <f aca="false" t="array" ref="AH164:AH164">INDEX(Paramètres!$D$6:$D$12,$AF164)</f>
        <v>5</v>
      </c>
      <c r="AI164" s="23" t="n">
        <f aca="false" t="array" ref="AI164:AI164">INDEX(Matériaux!$C$16:$C$20,$D164)</f>
        <v>19</v>
      </c>
      <c r="AJ164" s="25" t="n">
        <f aca="false">Paramètres!$B$16+(1-Paramètres!$B$16)*(($J164-Paramètres!$B$14)/(Paramètres!$B$15-Paramètres!$B$14))^Paramètres!$B$17</f>
        <v>0.05</v>
      </c>
    </row>
    <row r="165" customFormat="false" ht="15.75" hidden="false" customHeight="true" outlineLevel="0" collapsed="false">
      <c r="A165" s="14" t="s">
        <v>277</v>
      </c>
      <c r="B165" s="15" t="s">
        <v>27</v>
      </c>
      <c r="C165" s="15" t="s">
        <v>273</v>
      </c>
      <c r="D165" s="16" t="n">
        <v>1</v>
      </c>
      <c r="E165" s="15" t="str">
        <f aca="false" t="array" ref="E165:E165">INDEX(Matériaux!$B$5:$F$12,MATCH(INDEX(Profils!$E$5:$E$34,$AE165),Matériaux!$A$5:$A$12,0),$D165)</f>
        <v>cuivre</v>
      </c>
      <c r="F165" s="29" t="s">
        <v>117</v>
      </c>
      <c r="G165" s="10" t="str">
        <f aca="false" t="array" ref="G165:G165">INDEX(Profils!$D$5:$D$34,$AE165)&amp;" en "&amp;$E165</f>
        <v>Anneau de guerre en cuivre</v>
      </c>
      <c r="H165" s="16" t="n">
        <f aca="false" t="array" ref="H165:H165">INDEX(Matériaux!$B$16:$B$20,$D165)</f>
        <v>1</v>
      </c>
      <c r="I165" s="16" t="n">
        <f aca="false">IF(ISNUMBER($C$3),MIN(MAX(0,ROUND($C$3,0)),$AI165),$AI165)</f>
        <v>0</v>
      </c>
      <c r="J165" s="18" t="n">
        <f aca="false">$H165+$I165</f>
        <v>1</v>
      </c>
      <c r="K165" s="15" t="s">
        <v>109</v>
      </c>
      <c r="L165" s="19" t="n">
        <f aca="false" t="array" ref="L165:L165">IF(AND(INDEX(Profils!$F$5:$F$34,$AE165)&gt;0,INDEX(Profils!$U$5:$U$34,$AE165)&lt;=$AH165),ROUND(INDEX(Profils!$F$5:$F$34,$AE165)*Paramètres!$E$22*$AG165*$AJ165,Paramètres!$F$22),0)</f>
        <v>2</v>
      </c>
      <c r="M165" s="19" t="n">
        <f aca="false" t="array" ref="M165:M165">IF(AND(INDEX(Profils!$G$5:$G$34,$AE165)&gt;0,INDEX(Profils!$V$5:$V$34,$AE165)&lt;=$AH165),ROUND(INDEX(Profils!$G$5:$G$34,$AE165)*Paramètres!$E$23*$AG165*$AJ165,Paramètres!$F$23),0)</f>
        <v>2</v>
      </c>
      <c r="N165" s="19" t="n">
        <f aca="false" t="array" ref="N165:N165">IF(AND(INDEX(Profils!$H$5:$H$34,$AE165)&gt;0,INDEX(Profils!$W$5:$W$34,$AE165)&lt;=$AH165),ROUND(INDEX(Profils!$H$5:$H$34,$AE165)*Paramètres!$E$24*$AG165*$AJ165,Paramètres!$F$24),0)</f>
        <v>0</v>
      </c>
      <c r="O165" s="19" t="n">
        <f aca="false" t="array" ref="O165:O165">IF(AND(INDEX(Profils!$I$5:$I$34,$AE165)&gt;0,INDEX(Profils!$X$5:$X$34,$AE165)&lt;=$AH165),ROUND(INDEX(Profils!$I$5:$I$34,$AE165)*Paramètres!$E$25*$AG165*$AJ165,Paramètres!$F$25),0)</f>
        <v>0</v>
      </c>
      <c r="P165" s="19" t="n">
        <f aca="false" t="array" ref="P165:P165">IF(AND(INDEX(Profils!$J$5:$J$34,$AE165)&gt;0,INDEX(Profils!$Y$5:$Y$34,$AE165)&lt;=$AH165),ROUND(INDEX(Profils!$J$5:$J$34,$AE165)*Paramètres!$E$26*$AG165*$AJ165,Paramètres!$F$26),0)</f>
        <v>0</v>
      </c>
      <c r="Q165" s="19" t="n">
        <f aca="false" t="array" ref="Q165:Q165">IF(AND(INDEX(Profils!$K$5:$K$34,$AE165)&gt;0,INDEX(Profils!$Z$5:$Z$34,$AE165)&lt;=$AH165),ROUND(INDEX(Profils!$K$5:$K$34,$AE165)*Paramètres!$E$27*$AG165*$AJ165,Paramètres!$F$27),0)</f>
        <v>0</v>
      </c>
      <c r="R165" s="20" t="n">
        <f aca="false" t="array" ref="R165:R165">IF(AND(INDEX(Profils!$L$5:$L$34,$AE165)&gt;0,INDEX(Profils!$AA$5:$AA$34,$AE165)&lt;=$AH165),ROUND(INDEX(Profils!$L$5:$L$34,$AE165)*Paramètres!$E$28*$AG165*$AJ165,Paramètres!$F$28),0)</f>
        <v>0.001</v>
      </c>
      <c r="S165" s="20" t="n">
        <f aca="false" t="array" ref="S165:S165">IF(AND(INDEX(Profils!$M$5:$M$34,$AE165)&gt;0,INDEX(Profils!$AB$5:$AB$34,$AE165)&lt;=$AH165),ROUND(INDEX(Profils!$M$5:$M$34,$AE165)*Paramètres!$E$29*$AG165*$AJ165,Paramètres!$F$29),0)</f>
        <v>0.001</v>
      </c>
      <c r="T165" s="20" t="n">
        <f aca="false" t="array" ref="T165:T165">IF(AND(INDEX(Profils!$N$5:$N$34,$AE165)&gt;0,INDEX(Profils!$AC$5:$AC$34,$AE165)&lt;=$AH165),ROUND(INDEX(Profils!$N$5:$N$34,$AE165)*Paramètres!$E$30*$AG165*$AJ165,Paramètres!$F$30),0)</f>
        <v>0.003</v>
      </c>
      <c r="U165" s="19" t="n">
        <f aca="false" t="array" ref="U165:U165">IF(AND(INDEX(Profils!$O$5:$O$34,$AE165)&gt;0,INDEX(Profils!$AD$5:$AD$34,$AE165)&lt;=$AH165),ROUND(INDEX(Profils!$O$5:$O$34,$AE165)*Paramètres!$E$31*$AG165*$AJ165,Paramètres!$F$31),0)</f>
        <v>0</v>
      </c>
      <c r="V165" s="20" t="n">
        <f aca="false" t="array" ref="V165:V165">IF(AND(INDEX(Profils!$P$5:$P$34,$AE165)&gt;0,INDEX(Profils!$AE$5:$AE$34,$AE165)&lt;=$AH165),ROUND(INDEX(Profils!$P$5:$P$34,$AE165)*Paramètres!$E$32*$AG165*$AJ165,Paramètres!$F$32),0)</f>
        <v>0.001</v>
      </c>
      <c r="W165" s="20" t="n">
        <f aca="false" t="array" ref="W165:W165">IF(AND(INDEX(Profils!$Q$5:$Q$34,$AE165)&gt;0,INDEX(Profils!$AF$5:$AF$34,$AE165)&lt;=$AH165),ROUND(INDEX(Profils!$Q$5:$Q$34,$AE165)*Paramètres!$E$33*$AG165*$AJ165,Paramètres!$F$33),0)</f>
        <v>0</v>
      </c>
      <c r="X165" s="20" t="n">
        <f aca="false" t="array" ref="X165:X165">IF(AND(INDEX(Profils!$R$5:$R$34,$AE165)&gt;0,INDEX(Profils!$AG$5:$AG$34,$AE165)&lt;=$AH165),ROUND(INDEX(Profils!$R$5:$R$34,$AE165)*Paramètres!$E$34*$AG165*$AJ165,Paramètres!$F$34),0)</f>
        <v>0</v>
      </c>
      <c r="Y165" s="20" t="n">
        <f aca="false" t="array" ref="Y165:Y165">IF(AND(INDEX(Profils!$S$5:$S$34,$AE165)&gt;0,INDEX(Profils!$AH$5:$AH$34,$AE165)&lt;=$AH165),ROUND(INDEX(Profils!$S$5:$S$34,$AE165)*Paramètres!$E$35*$AG165*$AJ165,Paramètres!$F$35),0)</f>
        <v>0</v>
      </c>
      <c r="Z165" s="21" t="n">
        <f aca="false">ROUND(L165/Paramètres!$E$22+M165/Paramètres!$E$23+N165/Paramètres!$E$24+O165/Paramètres!$E$25+P165/Paramètres!$E$26+Q165/Paramètres!$E$27+R165/Paramètres!$E$28+S165/Paramètres!$E$29+T165/Paramètres!$E$30+U165/Paramètres!$E$31+V165/Paramètres!$E$32+W165/Paramètres!$E$33+X165/Paramètres!$E$34+Y165/Paramètres!$E$35,1)</f>
        <v>0.5</v>
      </c>
      <c r="AA165" s="22" t="s">
        <v>109</v>
      </c>
      <c r="AB165" s="22" t="s">
        <v>109</v>
      </c>
      <c r="AC165" s="15" t="str">
        <f aca="false">$E165</f>
        <v>cuivre</v>
      </c>
      <c r="AD165" s="16" t="n">
        <f aca="false" t="array" ref="AD165:AD165">IF($I165&gt;=$AI165,"Max",ROUND(Paramètres!$B$40*($I165+1)^Paramètres!$B$41*INDEX(Paramètres!$H$6:$H$12,$AF165),0))</f>
        <v>6</v>
      </c>
      <c r="AE165" s="23" t="n">
        <f aca="false">MATCH($B165&amp;"|"&amp;$C165,Profils!$A$5:$A$34,0)</f>
        <v>6</v>
      </c>
      <c r="AF165" s="23" t="n">
        <v>5</v>
      </c>
      <c r="AG165" s="24" t="n">
        <f aca="false" t="array" ref="AG165:AG165">INDEX(Paramètres!$C$6:$C$12,$AF165)</f>
        <v>2.1</v>
      </c>
      <c r="AH165" s="23" t="n">
        <f aca="false" t="array" ref="AH165:AH165">INDEX(Paramètres!$D$6:$D$12,$AF165)</f>
        <v>6</v>
      </c>
      <c r="AI165" s="23" t="n">
        <f aca="false" t="array" ref="AI165:AI165">INDEX(Matériaux!$C$16:$C$20,$D165)</f>
        <v>19</v>
      </c>
      <c r="AJ165" s="25" t="n">
        <f aca="false">Paramètres!$B$16+(1-Paramètres!$B$16)*(($J165-Paramètres!$B$14)/(Paramètres!$B$15-Paramètres!$B$14))^Paramètres!$B$17</f>
        <v>0.05</v>
      </c>
    </row>
    <row r="166" customFormat="false" ht="15.75" hidden="false" customHeight="true" outlineLevel="0" collapsed="false">
      <c r="A166" s="14" t="s">
        <v>278</v>
      </c>
      <c r="B166" s="15" t="s">
        <v>27</v>
      </c>
      <c r="C166" s="15" t="s">
        <v>273</v>
      </c>
      <c r="D166" s="16" t="n">
        <v>1</v>
      </c>
      <c r="E166" s="15" t="str">
        <f aca="false" t="array" ref="E166:E166">INDEX(Matériaux!$B$5:$F$12,MATCH(INDEX(Profils!$E$5:$E$34,$AE166),Matériaux!$A$5:$A$12,0),$D166)</f>
        <v>cuivre</v>
      </c>
      <c r="F166" s="30" t="s">
        <v>119</v>
      </c>
      <c r="G166" s="10" t="str">
        <f aca="false" t="array" ref="G166:G166">INDEX(Profils!$D$5:$D$34,$AE166)&amp;" en "&amp;$E166</f>
        <v>Anneau de guerre en cuivre</v>
      </c>
      <c r="H166" s="16" t="n">
        <f aca="false" t="array" ref="H166:H166">INDEX(Matériaux!$B$16:$B$20,$D166)</f>
        <v>1</v>
      </c>
      <c r="I166" s="16" t="n">
        <f aca="false">IF(ISNUMBER($C$3),MIN(MAX(0,ROUND($C$3,0)),$AI166),$AI166)</f>
        <v>0</v>
      </c>
      <c r="J166" s="18" t="n">
        <f aca="false">$H166+$I166</f>
        <v>1</v>
      </c>
      <c r="K166" s="15" t="s">
        <v>109</v>
      </c>
      <c r="L166" s="19" t="n">
        <f aca="false" t="array" ref="L166:L166">IF(AND(INDEX(Profils!$F$5:$F$34,$AE166)&gt;0,INDEX(Profils!$U$5:$U$34,$AE166)&lt;=$AH166),ROUND(INDEX(Profils!$F$5:$F$34,$AE166)*Paramètres!$E$22*$AG166*$AJ166,Paramètres!$F$22),0)</f>
        <v>2</v>
      </c>
      <c r="M166" s="19" t="n">
        <f aca="false" t="array" ref="M166:M166">IF(AND(INDEX(Profils!$G$5:$G$34,$AE166)&gt;0,INDEX(Profils!$V$5:$V$34,$AE166)&lt;=$AH166),ROUND(INDEX(Profils!$G$5:$G$34,$AE166)*Paramètres!$E$23*$AG166*$AJ166,Paramètres!$F$23),0)</f>
        <v>2</v>
      </c>
      <c r="N166" s="19" t="n">
        <f aca="false" t="array" ref="N166:N166">IF(AND(INDEX(Profils!$H$5:$H$34,$AE166)&gt;0,INDEX(Profils!$W$5:$W$34,$AE166)&lt;=$AH166),ROUND(INDEX(Profils!$H$5:$H$34,$AE166)*Paramètres!$E$24*$AG166*$AJ166,Paramètres!$F$24),0)</f>
        <v>0</v>
      </c>
      <c r="O166" s="19" t="n">
        <f aca="false" t="array" ref="O166:O166">IF(AND(INDEX(Profils!$I$5:$I$34,$AE166)&gt;0,INDEX(Profils!$X$5:$X$34,$AE166)&lt;=$AH166),ROUND(INDEX(Profils!$I$5:$I$34,$AE166)*Paramètres!$E$25*$AG166*$AJ166,Paramètres!$F$25),0)</f>
        <v>0</v>
      </c>
      <c r="P166" s="19" t="n">
        <f aca="false" t="array" ref="P166:P166">IF(AND(INDEX(Profils!$J$5:$J$34,$AE166)&gt;0,INDEX(Profils!$Y$5:$Y$34,$AE166)&lt;=$AH166),ROUND(INDEX(Profils!$J$5:$J$34,$AE166)*Paramètres!$E$26*$AG166*$AJ166,Paramètres!$F$26),0)</f>
        <v>1</v>
      </c>
      <c r="Q166" s="19" t="n">
        <f aca="false" t="array" ref="Q166:Q166">IF(AND(INDEX(Profils!$K$5:$K$34,$AE166)&gt;0,INDEX(Profils!$Z$5:$Z$34,$AE166)&lt;=$AH166),ROUND(INDEX(Profils!$K$5:$K$34,$AE166)*Paramètres!$E$27*$AG166*$AJ166,Paramètres!$F$27),0)</f>
        <v>0</v>
      </c>
      <c r="R166" s="20" t="n">
        <f aca="false" t="array" ref="R166:R166">IF(AND(INDEX(Profils!$L$5:$L$34,$AE166)&gt;0,INDEX(Profils!$AA$5:$AA$34,$AE166)&lt;=$AH166),ROUND(INDEX(Profils!$L$5:$L$34,$AE166)*Paramètres!$E$28*$AG166*$AJ166,Paramètres!$F$28),0)</f>
        <v>0.001</v>
      </c>
      <c r="S166" s="20" t="n">
        <f aca="false" t="array" ref="S166:S166">IF(AND(INDEX(Profils!$M$5:$M$34,$AE166)&gt;0,INDEX(Profils!$AB$5:$AB$34,$AE166)&lt;=$AH166),ROUND(INDEX(Profils!$M$5:$M$34,$AE166)*Paramètres!$E$29*$AG166*$AJ166,Paramètres!$F$29),0)</f>
        <v>0.001</v>
      </c>
      <c r="T166" s="20" t="n">
        <f aca="false" t="array" ref="T166:T166">IF(AND(INDEX(Profils!$N$5:$N$34,$AE166)&gt;0,INDEX(Profils!$AC$5:$AC$34,$AE166)&lt;=$AH166),ROUND(INDEX(Profils!$N$5:$N$34,$AE166)*Paramètres!$E$30*$AG166*$AJ166,Paramètres!$F$30),0)</f>
        <v>0.003</v>
      </c>
      <c r="U166" s="19" t="n">
        <f aca="false" t="array" ref="U166:U166">IF(AND(INDEX(Profils!$O$5:$O$34,$AE166)&gt;0,INDEX(Profils!$AD$5:$AD$34,$AE166)&lt;=$AH166),ROUND(INDEX(Profils!$O$5:$O$34,$AE166)*Paramètres!$E$31*$AG166*$AJ166,Paramètres!$F$31),0)</f>
        <v>0</v>
      </c>
      <c r="V166" s="20" t="n">
        <f aca="false" t="array" ref="V166:V166">IF(AND(INDEX(Profils!$P$5:$P$34,$AE166)&gt;0,INDEX(Profils!$AE$5:$AE$34,$AE166)&lt;=$AH166),ROUND(INDEX(Profils!$P$5:$P$34,$AE166)*Paramètres!$E$32*$AG166*$AJ166,Paramètres!$F$32),0)</f>
        <v>0.001</v>
      </c>
      <c r="W166" s="20" t="n">
        <f aca="false" t="array" ref="W166:W166">IF(AND(INDEX(Profils!$Q$5:$Q$34,$AE166)&gt;0,INDEX(Profils!$AF$5:$AF$34,$AE166)&lt;=$AH166),ROUND(INDEX(Profils!$Q$5:$Q$34,$AE166)*Paramètres!$E$33*$AG166*$AJ166,Paramètres!$F$33),0)</f>
        <v>0</v>
      </c>
      <c r="X166" s="20" t="n">
        <f aca="false" t="array" ref="X166:X166">IF(AND(INDEX(Profils!$R$5:$R$34,$AE166)&gt;0,INDEX(Profils!$AG$5:$AG$34,$AE166)&lt;=$AH166),ROUND(INDEX(Profils!$R$5:$R$34,$AE166)*Paramètres!$E$34*$AG166*$AJ166,Paramètres!$F$34),0)</f>
        <v>0</v>
      </c>
      <c r="Y166" s="20" t="n">
        <f aca="false" t="array" ref="Y166:Y166">IF(AND(INDEX(Profils!$S$5:$S$34,$AE166)&gt;0,INDEX(Profils!$AH$5:$AH$34,$AE166)&lt;=$AH166),ROUND(INDEX(Profils!$S$5:$S$34,$AE166)*Paramètres!$E$35*$AG166*$AJ166,Paramètres!$F$35),0)</f>
        <v>0</v>
      </c>
      <c r="Z166" s="21" t="n">
        <f aca="false">ROUND(L166/Paramètres!$E$22+M166/Paramètres!$E$23+N166/Paramètres!$E$24+O166/Paramètres!$E$25+P166/Paramètres!$E$26+Q166/Paramètres!$E$27+R166/Paramètres!$E$28+S166/Paramètres!$E$29+T166/Paramètres!$E$30+U166/Paramètres!$E$31+V166/Paramètres!$E$32+W166/Paramètres!$E$33+X166/Paramètres!$E$34+Y166/Paramètres!$E$35,1)</f>
        <v>0.6</v>
      </c>
      <c r="AA166" s="22" t="s">
        <v>109</v>
      </c>
      <c r="AB166" s="22" t="s">
        <v>109</v>
      </c>
      <c r="AC166" s="15" t="str">
        <f aca="false">$E166</f>
        <v>cuivre</v>
      </c>
      <c r="AD166" s="16" t="n">
        <f aca="false" t="array" ref="AD166:AD166">IF($I166&gt;=$AI166,"Max",ROUND(Paramètres!$B$40*($I166+1)^Paramètres!$B$41*INDEX(Paramètres!$H$6:$H$12,$AF166),0))</f>
        <v>8</v>
      </c>
      <c r="AE166" s="23" t="n">
        <f aca="false">MATCH($B166&amp;"|"&amp;$C166,Profils!$A$5:$A$34,0)</f>
        <v>6</v>
      </c>
      <c r="AF166" s="23" t="n">
        <v>6</v>
      </c>
      <c r="AG166" s="24" t="n">
        <f aca="false" t="array" ref="AG166:AG166">INDEX(Paramètres!$C$6:$C$12,$AF166)</f>
        <v>2.4</v>
      </c>
      <c r="AH166" s="23" t="n">
        <f aca="false" t="array" ref="AH166:AH166">INDEX(Paramètres!$D$6:$D$12,$AF166)</f>
        <v>7</v>
      </c>
      <c r="AI166" s="23" t="n">
        <f aca="false" t="array" ref="AI166:AI166">INDEX(Matériaux!$C$16:$C$20,$D166)</f>
        <v>19</v>
      </c>
      <c r="AJ166" s="25" t="n">
        <f aca="false">Paramètres!$B$16+(1-Paramètres!$B$16)*(($J166-Paramètres!$B$14)/(Paramètres!$B$15-Paramètres!$B$14))^Paramètres!$B$17</f>
        <v>0.05</v>
      </c>
    </row>
    <row r="167" customFormat="false" ht="15.75" hidden="false" customHeight="true" outlineLevel="0" collapsed="false">
      <c r="A167" s="14" t="s">
        <v>279</v>
      </c>
      <c r="B167" s="15" t="s">
        <v>27</v>
      </c>
      <c r="C167" s="15" t="s">
        <v>273</v>
      </c>
      <c r="D167" s="16" t="n">
        <v>2</v>
      </c>
      <c r="E167" s="15" t="str">
        <f aca="false" t="array" ref="E167:E167">INDEX(Matériaux!$B$5:$F$12,MATCH(INDEX(Profils!$E$5:$E$34,$AE167),Matériaux!$A$5:$A$12,0),$D167)</f>
        <v>argent</v>
      </c>
      <c r="F167" s="17" t="s">
        <v>108</v>
      </c>
      <c r="G167" s="10" t="str">
        <f aca="false" t="array" ref="G167:G167">INDEX(Profils!$D$5:$D$34,$AE167)&amp;" en "&amp;$E167</f>
        <v>Anneau de guerre en argent</v>
      </c>
      <c r="H167" s="16" t="n">
        <f aca="false" t="array" ref="H167:H167">INDEX(Matériaux!$B$16:$B$20,$D167)</f>
        <v>15</v>
      </c>
      <c r="I167" s="16" t="n">
        <f aca="false">IF(ISNUMBER($C$3),MIN(MAX(0,ROUND($C$3,0)),$AI167),$AI167)</f>
        <v>0</v>
      </c>
      <c r="J167" s="18" t="n">
        <f aca="false">$H167+$I167</f>
        <v>15</v>
      </c>
      <c r="K167" s="15" t="s">
        <v>109</v>
      </c>
      <c r="L167" s="19" t="n">
        <f aca="false" t="array" ref="L167:L167">IF(AND(INDEX(Profils!$F$5:$F$34,$AE167)&gt;0,INDEX(Profils!$U$5:$U$34,$AE167)&lt;=$AH167),ROUND(INDEX(Profils!$F$5:$F$34,$AE167)*Paramètres!$E$22*$AG167*$AJ167,Paramètres!$F$22),0)</f>
        <v>0</v>
      </c>
      <c r="M167" s="19" t="n">
        <f aca="false" t="array" ref="M167:M167">IF(AND(INDEX(Profils!$G$5:$G$34,$AE167)&gt;0,INDEX(Profils!$V$5:$V$34,$AE167)&lt;=$AH167),ROUND(INDEX(Profils!$G$5:$G$34,$AE167)*Paramètres!$E$23*$AG167*$AJ167,Paramètres!$F$23),0)</f>
        <v>2</v>
      </c>
      <c r="N167" s="19" t="n">
        <f aca="false" t="array" ref="N167:N167">IF(AND(INDEX(Profils!$H$5:$H$34,$AE167)&gt;0,INDEX(Profils!$W$5:$W$34,$AE167)&lt;=$AH167),ROUND(INDEX(Profils!$H$5:$H$34,$AE167)*Paramètres!$E$24*$AG167*$AJ167,Paramètres!$F$24),0)</f>
        <v>0</v>
      </c>
      <c r="O167" s="19" t="n">
        <f aca="false" t="array" ref="O167:O167">IF(AND(INDEX(Profils!$I$5:$I$34,$AE167)&gt;0,INDEX(Profils!$X$5:$X$34,$AE167)&lt;=$AH167),ROUND(INDEX(Profils!$I$5:$I$34,$AE167)*Paramètres!$E$25*$AG167*$AJ167,Paramètres!$F$25),0)</f>
        <v>0</v>
      </c>
      <c r="P167" s="19" t="n">
        <f aca="false" t="array" ref="P167:P167">IF(AND(INDEX(Profils!$J$5:$J$34,$AE167)&gt;0,INDEX(Profils!$Y$5:$Y$34,$AE167)&lt;=$AH167),ROUND(INDEX(Profils!$J$5:$J$34,$AE167)*Paramètres!$E$26*$AG167*$AJ167,Paramètres!$F$26),0)</f>
        <v>0</v>
      </c>
      <c r="Q167" s="19" t="n">
        <f aca="false" t="array" ref="Q167:Q167">IF(AND(INDEX(Profils!$K$5:$K$34,$AE167)&gt;0,INDEX(Profils!$Z$5:$Z$34,$AE167)&lt;=$AH167),ROUND(INDEX(Profils!$K$5:$K$34,$AE167)*Paramètres!$E$27*$AG167*$AJ167,Paramètres!$F$27),0)</f>
        <v>0</v>
      </c>
      <c r="R167" s="20" t="n">
        <f aca="false" t="array" ref="R167:R167">IF(AND(INDEX(Profils!$L$5:$L$34,$AE167)&gt;0,INDEX(Profils!$AA$5:$AA$34,$AE167)&lt;=$AH167),ROUND(INDEX(Profils!$L$5:$L$34,$AE167)*Paramètres!$E$28*$AG167*$AJ167,Paramètres!$F$28),0)</f>
        <v>0</v>
      </c>
      <c r="S167" s="20" t="n">
        <f aca="false" t="array" ref="S167:S167">IF(AND(INDEX(Profils!$M$5:$M$34,$AE167)&gt;0,INDEX(Profils!$AB$5:$AB$34,$AE167)&lt;=$AH167),ROUND(INDEX(Profils!$M$5:$M$34,$AE167)*Paramètres!$E$29*$AG167*$AJ167,Paramètres!$F$29),0)</f>
        <v>0.002</v>
      </c>
      <c r="T167" s="20" t="n">
        <f aca="false" t="array" ref="T167:T167">IF(AND(INDEX(Profils!$N$5:$N$34,$AE167)&gt;0,INDEX(Profils!$AC$5:$AC$34,$AE167)&lt;=$AH167),ROUND(INDEX(Profils!$N$5:$N$34,$AE167)*Paramètres!$E$30*$AG167*$AJ167,Paramètres!$F$30),0)</f>
        <v>0</v>
      </c>
      <c r="U167" s="19" t="n">
        <f aca="false" t="array" ref="U167:U167">IF(AND(INDEX(Profils!$O$5:$O$34,$AE167)&gt;0,INDEX(Profils!$AD$5:$AD$34,$AE167)&lt;=$AH167),ROUND(INDEX(Profils!$O$5:$O$34,$AE167)*Paramètres!$E$31*$AG167*$AJ167,Paramètres!$F$31),0)</f>
        <v>0</v>
      </c>
      <c r="V167" s="20" t="n">
        <f aca="false" t="array" ref="V167:V167">IF(AND(INDEX(Profils!$P$5:$P$34,$AE167)&gt;0,INDEX(Profils!$AE$5:$AE$34,$AE167)&lt;=$AH167),ROUND(INDEX(Profils!$P$5:$P$34,$AE167)*Paramètres!$E$32*$AG167*$AJ167,Paramètres!$F$32),0)</f>
        <v>0</v>
      </c>
      <c r="W167" s="20" t="n">
        <f aca="false" t="array" ref="W167:W167">IF(AND(INDEX(Profils!$Q$5:$Q$34,$AE167)&gt;0,INDEX(Profils!$AF$5:$AF$34,$AE167)&lt;=$AH167),ROUND(INDEX(Profils!$Q$5:$Q$34,$AE167)*Paramètres!$E$33*$AG167*$AJ167,Paramètres!$F$33),0)</f>
        <v>0</v>
      </c>
      <c r="X167" s="20" t="n">
        <f aca="false" t="array" ref="X167:X167">IF(AND(INDEX(Profils!$R$5:$R$34,$AE167)&gt;0,INDEX(Profils!$AG$5:$AG$34,$AE167)&lt;=$AH167),ROUND(INDEX(Profils!$R$5:$R$34,$AE167)*Paramètres!$E$34*$AG167*$AJ167,Paramètres!$F$34),0)</f>
        <v>0</v>
      </c>
      <c r="Y167" s="20" t="n">
        <f aca="false" t="array" ref="Y167:Y167">IF(AND(INDEX(Profils!$S$5:$S$34,$AE167)&gt;0,INDEX(Profils!$AH$5:$AH$34,$AE167)&lt;=$AH167),ROUND(INDEX(Profils!$S$5:$S$34,$AE167)*Paramètres!$E$35*$AG167*$AJ167,Paramètres!$F$35),0)</f>
        <v>0</v>
      </c>
      <c r="Z167" s="21" t="n">
        <f aca="false">ROUND(L167/Paramètres!$E$22+M167/Paramètres!$E$23+N167/Paramètres!$E$24+O167/Paramètres!$E$25+P167/Paramètres!$E$26+Q167/Paramètres!$E$27+R167/Paramètres!$E$28+S167/Paramètres!$E$29+T167/Paramètres!$E$30+U167/Paramètres!$E$31+V167/Paramètres!$E$32+W167/Paramètres!$E$33+X167/Paramètres!$E$34+Y167/Paramètres!$E$35,1)</f>
        <v>0.3</v>
      </c>
      <c r="AA167" s="22" t="s">
        <v>109</v>
      </c>
      <c r="AB167" s="22" t="s">
        <v>109</v>
      </c>
      <c r="AC167" s="15" t="str">
        <f aca="false">$E167</f>
        <v>argent</v>
      </c>
      <c r="AD167" s="16" t="n">
        <f aca="false" t="array" ref="AD167:AD167">IF($I167&gt;=$AI167,"Max",ROUND(Paramètres!$B$40*($I167+1)^Paramètres!$B$41*INDEX(Paramètres!$H$6:$H$12,$AF167),0))</f>
        <v>3</v>
      </c>
      <c r="AE167" s="23" t="n">
        <f aca="false">MATCH($B167&amp;"|"&amp;$C167,Profils!$A$5:$A$34,0)</f>
        <v>6</v>
      </c>
      <c r="AF167" s="23" t="n">
        <v>1</v>
      </c>
      <c r="AG167" s="24" t="n">
        <f aca="false" t="array" ref="AG167:AG167">INDEX(Paramètres!$C$6:$C$12,$AF167)</f>
        <v>1</v>
      </c>
      <c r="AH167" s="23" t="n">
        <f aca="false" t="array" ref="AH167:AH167">INDEX(Paramètres!$D$6:$D$12,$AF167)</f>
        <v>2</v>
      </c>
      <c r="AI167" s="23" t="n">
        <f aca="false" t="array" ref="AI167:AI167">INDEX(Matériaux!$C$16:$C$20,$D167)</f>
        <v>20</v>
      </c>
      <c r="AJ167" s="25" t="n">
        <f aca="false">Paramètres!$B$16+(1-Paramètres!$B$16)*(($J167-Paramètres!$B$14)/(Paramètres!$B$15-Paramètres!$B$14))^Paramètres!$B$17</f>
        <v>0.140847925475674</v>
      </c>
    </row>
    <row r="168" customFormat="false" ht="15.75" hidden="false" customHeight="true" outlineLevel="0" collapsed="false">
      <c r="A168" s="14" t="s">
        <v>280</v>
      </c>
      <c r="B168" s="15" t="s">
        <v>27</v>
      </c>
      <c r="C168" s="15" t="s">
        <v>273</v>
      </c>
      <c r="D168" s="16" t="n">
        <v>2</v>
      </c>
      <c r="E168" s="15" t="str">
        <f aca="false" t="array" ref="E168:E168">INDEX(Matériaux!$B$5:$F$12,MATCH(INDEX(Profils!$E$5:$E$34,$AE168),Matériaux!$A$5:$A$12,0),$D168)</f>
        <v>argent</v>
      </c>
      <c r="F168" s="26" t="s">
        <v>111</v>
      </c>
      <c r="G168" s="10" t="str">
        <f aca="false" t="array" ref="G168:G168">INDEX(Profils!$D$5:$D$34,$AE168)&amp;" en "&amp;$E168</f>
        <v>Anneau de guerre en argent</v>
      </c>
      <c r="H168" s="16" t="n">
        <f aca="false" t="array" ref="H168:H168">INDEX(Matériaux!$B$16:$B$20,$D168)</f>
        <v>15</v>
      </c>
      <c r="I168" s="16" t="n">
        <f aca="false">IF(ISNUMBER($C$3),MIN(MAX(0,ROUND($C$3,0)),$AI168),$AI168)</f>
        <v>0</v>
      </c>
      <c r="J168" s="18" t="n">
        <f aca="false">$H168+$I168</f>
        <v>15</v>
      </c>
      <c r="K168" s="15" t="s">
        <v>109</v>
      </c>
      <c r="L168" s="19" t="n">
        <f aca="false" t="array" ref="L168:L168">IF(AND(INDEX(Profils!$F$5:$F$34,$AE168)&gt;0,INDEX(Profils!$U$5:$U$34,$AE168)&lt;=$AH168),ROUND(INDEX(Profils!$F$5:$F$34,$AE168)*Paramètres!$E$22*$AG168*$AJ168,Paramètres!$F$22),0)</f>
        <v>0</v>
      </c>
      <c r="M168" s="19" t="n">
        <f aca="false" t="array" ref="M168:M168">IF(AND(INDEX(Profils!$G$5:$G$34,$AE168)&gt;0,INDEX(Profils!$V$5:$V$34,$AE168)&lt;=$AH168),ROUND(INDEX(Profils!$G$5:$G$34,$AE168)*Paramètres!$E$23*$AG168*$AJ168,Paramètres!$F$23),0)</f>
        <v>3</v>
      </c>
      <c r="N168" s="19" t="n">
        <f aca="false" t="array" ref="N168:N168">IF(AND(INDEX(Profils!$H$5:$H$34,$AE168)&gt;0,INDEX(Profils!$W$5:$W$34,$AE168)&lt;=$AH168),ROUND(INDEX(Profils!$H$5:$H$34,$AE168)*Paramètres!$E$24*$AG168*$AJ168,Paramètres!$F$24),0)</f>
        <v>0</v>
      </c>
      <c r="O168" s="19" t="n">
        <f aca="false" t="array" ref="O168:O168">IF(AND(INDEX(Profils!$I$5:$I$34,$AE168)&gt;0,INDEX(Profils!$X$5:$X$34,$AE168)&lt;=$AH168),ROUND(INDEX(Profils!$I$5:$I$34,$AE168)*Paramètres!$E$25*$AG168*$AJ168,Paramètres!$F$25),0)</f>
        <v>0</v>
      </c>
      <c r="P168" s="19" t="n">
        <f aca="false" t="array" ref="P168:P168">IF(AND(INDEX(Profils!$J$5:$J$34,$AE168)&gt;0,INDEX(Profils!$Y$5:$Y$34,$AE168)&lt;=$AH168),ROUND(INDEX(Profils!$J$5:$J$34,$AE168)*Paramètres!$E$26*$AG168*$AJ168,Paramètres!$F$26),0)</f>
        <v>0</v>
      </c>
      <c r="Q168" s="19" t="n">
        <f aca="false" t="array" ref="Q168:Q168">IF(AND(INDEX(Profils!$K$5:$K$34,$AE168)&gt;0,INDEX(Profils!$Z$5:$Z$34,$AE168)&lt;=$AH168),ROUND(INDEX(Profils!$K$5:$K$34,$AE168)*Paramètres!$E$27*$AG168*$AJ168,Paramètres!$F$27),0)</f>
        <v>0</v>
      </c>
      <c r="R168" s="20" t="n">
        <f aca="false" t="array" ref="R168:R168">IF(AND(INDEX(Profils!$L$5:$L$34,$AE168)&gt;0,INDEX(Profils!$AA$5:$AA$34,$AE168)&lt;=$AH168),ROUND(INDEX(Profils!$L$5:$L$34,$AE168)*Paramètres!$E$28*$AG168*$AJ168,Paramètres!$F$28),0)</f>
        <v>0</v>
      </c>
      <c r="S168" s="20" t="n">
        <f aca="false" t="array" ref="S168:S168">IF(AND(INDEX(Profils!$M$5:$M$34,$AE168)&gt;0,INDEX(Profils!$AB$5:$AB$34,$AE168)&lt;=$AH168),ROUND(INDEX(Profils!$M$5:$M$34,$AE168)*Paramètres!$E$29*$AG168*$AJ168,Paramètres!$F$29),0)</f>
        <v>0.002</v>
      </c>
      <c r="T168" s="20" t="n">
        <f aca="false" t="array" ref="T168:T168">IF(AND(INDEX(Profils!$N$5:$N$34,$AE168)&gt;0,INDEX(Profils!$AC$5:$AC$34,$AE168)&lt;=$AH168),ROUND(INDEX(Profils!$N$5:$N$34,$AE168)*Paramètres!$E$30*$AG168*$AJ168,Paramètres!$F$30),0)</f>
        <v>0.005</v>
      </c>
      <c r="U168" s="19" t="n">
        <f aca="false" t="array" ref="U168:U168">IF(AND(INDEX(Profils!$O$5:$O$34,$AE168)&gt;0,INDEX(Profils!$AD$5:$AD$34,$AE168)&lt;=$AH168),ROUND(INDEX(Profils!$O$5:$O$34,$AE168)*Paramètres!$E$31*$AG168*$AJ168,Paramètres!$F$31),0)</f>
        <v>0</v>
      </c>
      <c r="V168" s="20" t="n">
        <f aca="false" t="array" ref="V168:V168">IF(AND(INDEX(Profils!$P$5:$P$34,$AE168)&gt;0,INDEX(Profils!$AE$5:$AE$34,$AE168)&lt;=$AH168),ROUND(INDEX(Profils!$P$5:$P$34,$AE168)*Paramètres!$E$32*$AG168*$AJ168,Paramètres!$F$32),0)</f>
        <v>0</v>
      </c>
      <c r="W168" s="20" t="n">
        <f aca="false" t="array" ref="W168:W168">IF(AND(INDEX(Profils!$Q$5:$Q$34,$AE168)&gt;0,INDEX(Profils!$AF$5:$AF$34,$AE168)&lt;=$AH168),ROUND(INDEX(Profils!$Q$5:$Q$34,$AE168)*Paramètres!$E$33*$AG168*$AJ168,Paramètres!$F$33),0)</f>
        <v>0</v>
      </c>
      <c r="X168" s="20" t="n">
        <f aca="false" t="array" ref="X168:X168">IF(AND(INDEX(Profils!$R$5:$R$34,$AE168)&gt;0,INDEX(Profils!$AG$5:$AG$34,$AE168)&lt;=$AH168),ROUND(INDEX(Profils!$R$5:$R$34,$AE168)*Paramètres!$E$34*$AG168*$AJ168,Paramètres!$F$34),0)</f>
        <v>0</v>
      </c>
      <c r="Y168" s="20" t="n">
        <f aca="false" t="array" ref="Y168:Y168">IF(AND(INDEX(Profils!$S$5:$S$34,$AE168)&gt;0,INDEX(Profils!$AH$5:$AH$34,$AE168)&lt;=$AH168),ROUND(INDEX(Profils!$S$5:$S$34,$AE168)*Paramètres!$E$35*$AG168*$AJ168,Paramètres!$F$35),0)</f>
        <v>0</v>
      </c>
      <c r="Z168" s="21" t="n">
        <f aca="false">ROUND(L168/Paramètres!$E$22+M168/Paramètres!$E$23+N168/Paramètres!$E$24+O168/Paramètres!$E$25+P168/Paramètres!$E$26+Q168/Paramètres!$E$27+R168/Paramètres!$E$28+S168/Paramètres!$E$29+T168/Paramètres!$E$30+U168/Paramètres!$E$31+V168/Paramètres!$E$32+W168/Paramètres!$E$33+X168/Paramètres!$E$34+Y168/Paramètres!$E$35,1)</f>
        <v>0.5</v>
      </c>
      <c r="AA168" s="22" t="s">
        <v>109</v>
      </c>
      <c r="AB168" s="22" t="s">
        <v>109</v>
      </c>
      <c r="AC168" s="15" t="str">
        <f aca="false">$E168</f>
        <v>argent</v>
      </c>
      <c r="AD168" s="16" t="n">
        <f aca="false" t="array" ref="AD168:AD168">IF($I168&gt;=$AI168,"Max",ROUND(Paramètres!$B$40*($I168+1)^Paramètres!$B$41*INDEX(Paramètres!$H$6:$H$12,$AF168),0))</f>
        <v>4</v>
      </c>
      <c r="AE168" s="23" t="n">
        <f aca="false">MATCH($B168&amp;"|"&amp;$C168,Profils!$A$5:$A$34,0)</f>
        <v>6</v>
      </c>
      <c r="AF168" s="23" t="n">
        <v>2</v>
      </c>
      <c r="AG168" s="24" t="n">
        <f aca="false" t="array" ref="AG168:AG168">INDEX(Paramètres!$C$6:$C$12,$AF168)</f>
        <v>1.2</v>
      </c>
      <c r="AH168" s="23" t="n">
        <f aca="false" t="array" ref="AH168:AH168">INDEX(Paramètres!$D$6:$D$12,$AF168)</f>
        <v>3</v>
      </c>
      <c r="AI168" s="23" t="n">
        <f aca="false" t="array" ref="AI168:AI168">INDEX(Matériaux!$C$16:$C$20,$D168)</f>
        <v>20</v>
      </c>
      <c r="AJ168" s="25" t="n">
        <f aca="false">Paramètres!$B$16+(1-Paramètres!$B$16)*(($J168-Paramètres!$B$14)/(Paramètres!$B$15-Paramètres!$B$14))^Paramètres!$B$17</f>
        <v>0.140847925475674</v>
      </c>
    </row>
    <row r="169" customFormat="false" ht="15.75" hidden="false" customHeight="true" outlineLevel="0" collapsed="false">
      <c r="A169" s="14" t="s">
        <v>281</v>
      </c>
      <c r="B169" s="15" t="s">
        <v>27</v>
      </c>
      <c r="C169" s="15" t="s">
        <v>273</v>
      </c>
      <c r="D169" s="16" t="n">
        <v>2</v>
      </c>
      <c r="E169" s="15" t="str">
        <f aca="false" t="array" ref="E169:E169">INDEX(Matériaux!$B$5:$F$12,MATCH(INDEX(Profils!$E$5:$E$34,$AE169),Matériaux!$A$5:$A$12,0),$D169)</f>
        <v>argent</v>
      </c>
      <c r="F169" s="27" t="s">
        <v>113</v>
      </c>
      <c r="G169" s="10" t="str">
        <f aca="false" t="array" ref="G169:G169">INDEX(Profils!$D$5:$D$34,$AE169)&amp;" en "&amp;$E169</f>
        <v>Anneau de guerre en argent</v>
      </c>
      <c r="H169" s="16" t="n">
        <f aca="false" t="array" ref="H169:H169">INDEX(Matériaux!$B$16:$B$20,$D169)</f>
        <v>15</v>
      </c>
      <c r="I169" s="16" t="n">
        <f aca="false">IF(ISNUMBER($C$3),MIN(MAX(0,ROUND($C$3,0)),$AI169),$AI169)</f>
        <v>0</v>
      </c>
      <c r="J169" s="18" t="n">
        <f aca="false">$H169+$I169</f>
        <v>15</v>
      </c>
      <c r="K169" s="15" t="s">
        <v>109</v>
      </c>
      <c r="L169" s="19" t="n">
        <f aca="false" t="array" ref="L169:L169">IF(AND(INDEX(Profils!$F$5:$F$34,$AE169)&gt;0,INDEX(Profils!$U$5:$U$34,$AE169)&lt;=$AH169),ROUND(INDEX(Profils!$F$5:$F$34,$AE169)*Paramètres!$E$22*$AG169*$AJ169,Paramètres!$F$22),0)</f>
        <v>4</v>
      </c>
      <c r="M169" s="19" t="n">
        <f aca="false" t="array" ref="M169:M169">IF(AND(INDEX(Profils!$G$5:$G$34,$AE169)&gt;0,INDEX(Profils!$V$5:$V$34,$AE169)&lt;=$AH169),ROUND(INDEX(Profils!$G$5:$G$34,$AE169)*Paramètres!$E$23*$AG169*$AJ169,Paramètres!$F$23),0)</f>
        <v>3</v>
      </c>
      <c r="N169" s="19" t="n">
        <f aca="false" t="array" ref="N169:N169">IF(AND(INDEX(Profils!$H$5:$H$34,$AE169)&gt;0,INDEX(Profils!$W$5:$W$34,$AE169)&lt;=$AH169),ROUND(INDEX(Profils!$H$5:$H$34,$AE169)*Paramètres!$E$24*$AG169*$AJ169,Paramètres!$F$24),0)</f>
        <v>0</v>
      </c>
      <c r="O169" s="19" t="n">
        <f aca="false" t="array" ref="O169:O169">IF(AND(INDEX(Profils!$I$5:$I$34,$AE169)&gt;0,INDEX(Profils!$X$5:$X$34,$AE169)&lt;=$AH169),ROUND(INDEX(Profils!$I$5:$I$34,$AE169)*Paramètres!$E$25*$AG169*$AJ169,Paramètres!$F$25),0)</f>
        <v>0</v>
      </c>
      <c r="P169" s="19" t="n">
        <f aca="false" t="array" ref="P169:P169">IF(AND(INDEX(Profils!$J$5:$J$34,$AE169)&gt;0,INDEX(Profils!$Y$5:$Y$34,$AE169)&lt;=$AH169),ROUND(INDEX(Profils!$J$5:$J$34,$AE169)*Paramètres!$E$26*$AG169*$AJ169,Paramètres!$F$26),0)</f>
        <v>0</v>
      </c>
      <c r="Q169" s="19" t="n">
        <f aca="false" t="array" ref="Q169:Q169">IF(AND(INDEX(Profils!$K$5:$K$34,$AE169)&gt;0,INDEX(Profils!$Z$5:$Z$34,$AE169)&lt;=$AH169),ROUND(INDEX(Profils!$K$5:$K$34,$AE169)*Paramètres!$E$27*$AG169*$AJ169,Paramètres!$F$27),0)</f>
        <v>0</v>
      </c>
      <c r="R169" s="20" t="n">
        <f aca="false" t="array" ref="R169:R169">IF(AND(INDEX(Profils!$L$5:$L$34,$AE169)&gt;0,INDEX(Profils!$AA$5:$AA$34,$AE169)&lt;=$AH169),ROUND(INDEX(Profils!$L$5:$L$34,$AE169)*Paramètres!$E$28*$AG169*$AJ169,Paramètres!$F$28),0)</f>
        <v>0</v>
      </c>
      <c r="S169" s="20" t="n">
        <f aca="false" t="array" ref="S169:S169">IF(AND(INDEX(Profils!$M$5:$M$34,$AE169)&gt;0,INDEX(Profils!$AB$5:$AB$34,$AE169)&lt;=$AH169),ROUND(INDEX(Profils!$M$5:$M$34,$AE169)*Paramètres!$E$29*$AG169*$AJ169,Paramètres!$F$29),0)</f>
        <v>0.002</v>
      </c>
      <c r="T169" s="20" t="n">
        <f aca="false" t="array" ref="T169:T169">IF(AND(INDEX(Profils!$N$5:$N$34,$AE169)&gt;0,INDEX(Profils!$AC$5:$AC$34,$AE169)&lt;=$AH169),ROUND(INDEX(Profils!$N$5:$N$34,$AE169)*Paramètres!$E$30*$AG169*$AJ169,Paramètres!$F$30),0)</f>
        <v>0.006</v>
      </c>
      <c r="U169" s="19" t="n">
        <f aca="false" t="array" ref="U169:U169">IF(AND(INDEX(Profils!$O$5:$O$34,$AE169)&gt;0,INDEX(Profils!$AD$5:$AD$34,$AE169)&lt;=$AH169),ROUND(INDEX(Profils!$O$5:$O$34,$AE169)*Paramètres!$E$31*$AG169*$AJ169,Paramètres!$F$31),0)</f>
        <v>0</v>
      </c>
      <c r="V169" s="20" t="n">
        <f aca="false" t="array" ref="V169:V169">IF(AND(INDEX(Profils!$P$5:$P$34,$AE169)&gt;0,INDEX(Profils!$AE$5:$AE$34,$AE169)&lt;=$AH169),ROUND(INDEX(Profils!$P$5:$P$34,$AE169)*Paramètres!$E$32*$AG169*$AJ169,Paramètres!$F$32),0)</f>
        <v>0</v>
      </c>
      <c r="W169" s="20" t="n">
        <f aca="false" t="array" ref="W169:W169">IF(AND(INDEX(Profils!$Q$5:$Q$34,$AE169)&gt;0,INDEX(Profils!$AF$5:$AF$34,$AE169)&lt;=$AH169),ROUND(INDEX(Profils!$Q$5:$Q$34,$AE169)*Paramètres!$E$33*$AG169*$AJ169,Paramètres!$F$33),0)</f>
        <v>0</v>
      </c>
      <c r="X169" s="20" t="n">
        <f aca="false" t="array" ref="X169:X169">IF(AND(INDEX(Profils!$R$5:$R$34,$AE169)&gt;0,INDEX(Profils!$AG$5:$AG$34,$AE169)&lt;=$AH169),ROUND(INDEX(Profils!$R$5:$R$34,$AE169)*Paramètres!$E$34*$AG169*$AJ169,Paramètres!$F$34),0)</f>
        <v>0</v>
      </c>
      <c r="Y169" s="20" t="n">
        <f aca="false" t="array" ref="Y169:Y169">IF(AND(INDEX(Profils!$S$5:$S$34,$AE169)&gt;0,INDEX(Profils!$AH$5:$AH$34,$AE169)&lt;=$AH169),ROUND(INDEX(Profils!$S$5:$S$34,$AE169)*Paramètres!$E$35*$AG169*$AJ169,Paramètres!$F$35),0)</f>
        <v>0</v>
      </c>
      <c r="Z169" s="21" t="n">
        <f aca="false">ROUND(L169/Paramètres!$E$22+M169/Paramètres!$E$23+N169/Paramètres!$E$24+O169/Paramètres!$E$25+P169/Paramètres!$E$26+Q169/Paramètres!$E$27+R169/Paramètres!$E$28+S169/Paramètres!$E$29+T169/Paramètres!$E$30+U169/Paramètres!$E$31+V169/Paramètres!$E$32+W169/Paramètres!$E$33+X169/Paramètres!$E$34+Y169/Paramètres!$E$35,1)</f>
        <v>0.7</v>
      </c>
      <c r="AA169" s="22" t="s">
        <v>109</v>
      </c>
      <c r="AB169" s="22" t="s">
        <v>109</v>
      </c>
      <c r="AC169" s="15" t="str">
        <f aca="false">$E169</f>
        <v>argent</v>
      </c>
      <c r="AD169" s="16" t="n">
        <f aca="false" t="array" ref="AD169:AD169">IF($I169&gt;=$AI169,"Max",ROUND(Paramètres!$B$40*($I169+1)^Paramètres!$B$41*INDEX(Paramètres!$H$6:$H$12,$AF169),0))</f>
        <v>4</v>
      </c>
      <c r="AE169" s="23" t="n">
        <f aca="false">MATCH($B169&amp;"|"&amp;$C169,Profils!$A$5:$A$34,0)</f>
        <v>6</v>
      </c>
      <c r="AF169" s="23" t="n">
        <v>3</v>
      </c>
      <c r="AG169" s="24" t="n">
        <f aca="false" t="array" ref="AG169:AG169">INDEX(Paramètres!$C$6:$C$12,$AF169)</f>
        <v>1.45</v>
      </c>
      <c r="AH169" s="23" t="n">
        <f aca="false" t="array" ref="AH169:AH169">INDEX(Paramètres!$D$6:$D$12,$AF169)</f>
        <v>4</v>
      </c>
      <c r="AI169" s="23" t="n">
        <f aca="false" t="array" ref="AI169:AI169">INDEX(Matériaux!$C$16:$C$20,$D169)</f>
        <v>20</v>
      </c>
      <c r="AJ169" s="25" t="n">
        <f aca="false">Paramètres!$B$16+(1-Paramètres!$B$16)*(($J169-Paramètres!$B$14)/(Paramètres!$B$15-Paramètres!$B$14))^Paramètres!$B$17</f>
        <v>0.140847925475674</v>
      </c>
    </row>
    <row r="170" customFormat="false" ht="15.75" hidden="false" customHeight="true" outlineLevel="0" collapsed="false">
      <c r="A170" s="14" t="s">
        <v>282</v>
      </c>
      <c r="B170" s="15" t="s">
        <v>27</v>
      </c>
      <c r="C170" s="15" t="s">
        <v>273</v>
      </c>
      <c r="D170" s="16" t="n">
        <v>2</v>
      </c>
      <c r="E170" s="15" t="str">
        <f aca="false" t="array" ref="E170:E170">INDEX(Matériaux!$B$5:$F$12,MATCH(INDEX(Profils!$E$5:$E$34,$AE170),Matériaux!$A$5:$A$12,0),$D170)</f>
        <v>argent</v>
      </c>
      <c r="F170" s="28" t="s">
        <v>115</v>
      </c>
      <c r="G170" s="10" t="str">
        <f aca="false" t="array" ref="G170:G170">INDEX(Profils!$D$5:$D$34,$AE170)&amp;" en "&amp;$E170</f>
        <v>Anneau de guerre en argent</v>
      </c>
      <c r="H170" s="16" t="n">
        <f aca="false" t="array" ref="H170:H170">INDEX(Matériaux!$B$16:$B$20,$D170)</f>
        <v>15</v>
      </c>
      <c r="I170" s="16" t="n">
        <f aca="false">IF(ISNUMBER($C$3),MIN(MAX(0,ROUND($C$3,0)),$AI170),$AI170)</f>
        <v>0</v>
      </c>
      <c r="J170" s="18" t="n">
        <f aca="false">$H170+$I170</f>
        <v>15</v>
      </c>
      <c r="K170" s="15" t="s">
        <v>109</v>
      </c>
      <c r="L170" s="19" t="n">
        <f aca="false" t="array" ref="L170:L170">IF(AND(INDEX(Profils!$F$5:$F$34,$AE170)&gt;0,INDEX(Profils!$U$5:$U$34,$AE170)&lt;=$AH170),ROUND(INDEX(Profils!$F$5:$F$34,$AE170)*Paramètres!$E$22*$AG170*$AJ170,Paramètres!$F$22),0)</f>
        <v>5</v>
      </c>
      <c r="M170" s="19" t="n">
        <f aca="false" t="array" ref="M170:M170">IF(AND(INDEX(Profils!$G$5:$G$34,$AE170)&gt;0,INDEX(Profils!$V$5:$V$34,$AE170)&lt;=$AH170),ROUND(INDEX(Profils!$G$5:$G$34,$AE170)*Paramètres!$E$23*$AG170*$AJ170,Paramètres!$F$23),0)</f>
        <v>4</v>
      </c>
      <c r="N170" s="19" t="n">
        <f aca="false" t="array" ref="N170:N170">IF(AND(INDEX(Profils!$H$5:$H$34,$AE170)&gt;0,INDEX(Profils!$W$5:$W$34,$AE170)&lt;=$AH170),ROUND(INDEX(Profils!$H$5:$H$34,$AE170)*Paramètres!$E$24*$AG170*$AJ170,Paramètres!$F$24),0)</f>
        <v>0</v>
      </c>
      <c r="O170" s="19" t="n">
        <f aca="false" t="array" ref="O170:O170">IF(AND(INDEX(Profils!$I$5:$I$34,$AE170)&gt;0,INDEX(Profils!$X$5:$X$34,$AE170)&lt;=$AH170),ROUND(INDEX(Profils!$I$5:$I$34,$AE170)*Paramètres!$E$25*$AG170*$AJ170,Paramètres!$F$25),0)</f>
        <v>0</v>
      </c>
      <c r="P170" s="19" t="n">
        <f aca="false" t="array" ref="P170:P170">IF(AND(INDEX(Profils!$J$5:$J$34,$AE170)&gt;0,INDEX(Profils!$Y$5:$Y$34,$AE170)&lt;=$AH170),ROUND(INDEX(Profils!$J$5:$J$34,$AE170)*Paramètres!$E$26*$AG170*$AJ170,Paramètres!$F$26),0)</f>
        <v>0</v>
      </c>
      <c r="Q170" s="19" t="n">
        <f aca="false" t="array" ref="Q170:Q170">IF(AND(INDEX(Profils!$K$5:$K$34,$AE170)&gt;0,INDEX(Profils!$Z$5:$Z$34,$AE170)&lt;=$AH170),ROUND(INDEX(Profils!$K$5:$K$34,$AE170)*Paramètres!$E$27*$AG170*$AJ170,Paramètres!$F$27),0)</f>
        <v>0</v>
      </c>
      <c r="R170" s="20" t="n">
        <f aca="false" t="array" ref="R170:R170">IF(AND(INDEX(Profils!$L$5:$L$34,$AE170)&gt;0,INDEX(Profils!$AA$5:$AA$34,$AE170)&lt;=$AH170),ROUND(INDEX(Profils!$L$5:$L$34,$AE170)*Paramètres!$E$28*$AG170*$AJ170,Paramètres!$F$28),0)</f>
        <v>0.003</v>
      </c>
      <c r="S170" s="20" t="n">
        <f aca="false" t="array" ref="S170:S170">IF(AND(INDEX(Profils!$M$5:$M$34,$AE170)&gt;0,INDEX(Profils!$AB$5:$AB$34,$AE170)&lt;=$AH170),ROUND(INDEX(Profils!$M$5:$M$34,$AE170)*Paramètres!$E$29*$AG170*$AJ170,Paramètres!$F$29),0)</f>
        <v>0.003</v>
      </c>
      <c r="T170" s="20" t="n">
        <f aca="false" t="array" ref="T170:T170">IF(AND(INDEX(Profils!$N$5:$N$34,$AE170)&gt;0,INDEX(Profils!$AC$5:$AC$34,$AE170)&lt;=$AH170),ROUND(INDEX(Profils!$N$5:$N$34,$AE170)*Paramètres!$E$30*$AG170*$AJ170,Paramètres!$F$30),0)</f>
        <v>0.007</v>
      </c>
      <c r="U170" s="19" t="n">
        <f aca="false" t="array" ref="U170:U170">IF(AND(INDEX(Profils!$O$5:$O$34,$AE170)&gt;0,INDEX(Profils!$AD$5:$AD$34,$AE170)&lt;=$AH170),ROUND(INDEX(Profils!$O$5:$O$34,$AE170)*Paramètres!$E$31*$AG170*$AJ170,Paramètres!$F$31),0)</f>
        <v>0</v>
      </c>
      <c r="V170" s="20" t="n">
        <f aca="false" t="array" ref="V170:V170">IF(AND(INDEX(Profils!$P$5:$P$34,$AE170)&gt;0,INDEX(Profils!$AE$5:$AE$34,$AE170)&lt;=$AH170),ROUND(INDEX(Profils!$P$5:$P$34,$AE170)*Paramètres!$E$32*$AG170*$AJ170,Paramètres!$F$32),0)</f>
        <v>0</v>
      </c>
      <c r="W170" s="20" t="n">
        <f aca="false" t="array" ref="W170:W170">IF(AND(INDEX(Profils!$Q$5:$Q$34,$AE170)&gt;0,INDEX(Profils!$AF$5:$AF$34,$AE170)&lt;=$AH170),ROUND(INDEX(Profils!$Q$5:$Q$34,$AE170)*Paramètres!$E$33*$AG170*$AJ170,Paramètres!$F$33),0)</f>
        <v>0</v>
      </c>
      <c r="X170" s="20" t="n">
        <f aca="false" t="array" ref="X170:X170">IF(AND(INDEX(Profils!$R$5:$R$34,$AE170)&gt;0,INDEX(Profils!$AG$5:$AG$34,$AE170)&lt;=$AH170),ROUND(INDEX(Profils!$R$5:$R$34,$AE170)*Paramètres!$E$34*$AG170*$AJ170,Paramètres!$F$34),0)</f>
        <v>0</v>
      </c>
      <c r="Y170" s="20" t="n">
        <f aca="false" t="array" ref="Y170:Y170">IF(AND(INDEX(Profils!$S$5:$S$34,$AE170)&gt;0,INDEX(Profils!$AH$5:$AH$34,$AE170)&lt;=$AH170),ROUND(INDEX(Profils!$S$5:$S$34,$AE170)*Paramètres!$E$35*$AG170*$AJ170,Paramètres!$F$35),0)</f>
        <v>0</v>
      </c>
      <c r="Z170" s="21" t="n">
        <f aca="false">ROUND(L170/Paramètres!$E$22+M170/Paramètres!$E$23+N170/Paramètres!$E$24+O170/Paramètres!$E$25+P170/Paramètres!$E$26+Q170/Paramètres!$E$27+R170/Paramètres!$E$28+S170/Paramètres!$E$29+T170/Paramètres!$E$30+U170/Paramètres!$E$31+V170/Paramètres!$E$32+W170/Paramètres!$E$33+X170/Paramètres!$E$34+Y170/Paramètres!$E$35,1)</f>
        <v>1.2</v>
      </c>
      <c r="AA170" s="22" t="s">
        <v>109</v>
      </c>
      <c r="AB170" s="22" t="s">
        <v>109</v>
      </c>
      <c r="AC170" s="15" t="str">
        <f aca="false">$E170</f>
        <v>argent</v>
      </c>
      <c r="AD170" s="16" t="n">
        <f aca="false" t="array" ref="AD170:AD170">IF($I170&gt;=$AI170,"Max",ROUND(Paramètres!$B$40*($I170+1)^Paramètres!$B$41*INDEX(Paramètres!$H$6:$H$12,$AF170),0))</f>
        <v>5</v>
      </c>
      <c r="AE170" s="23" t="n">
        <f aca="false">MATCH($B170&amp;"|"&amp;$C170,Profils!$A$5:$A$34,0)</f>
        <v>6</v>
      </c>
      <c r="AF170" s="23" t="n">
        <v>4</v>
      </c>
      <c r="AG170" s="24" t="n">
        <f aca="false" t="array" ref="AG170:AG170">INDEX(Paramètres!$C$6:$C$12,$AF170)</f>
        <v>1.75</v>
      </c>
      <c r="AH170" s="23" t="n">
        <f aca="false" t="array" ref="AH170:AH170">INDEX(Paramètres!$D$6:$D$12,$AF170)</f>
        <v>5</v>
      </c>
      <c r="AI170" s="23" t="n">
        <f aca="false" t="array" ref="AI170:AI170">INDEX(Matériaux!$C$16:$C$20,$D170)</f>
        <v>20</v>
      </c>
      <c r="AJ170" s="25" t="n">
        <f aca="false">Paramètres!$B$16+(1-Paramètres!$B$16)*(($J170-Paramètres!$B$14)/(Paramètres!$B$15-Paramètres!$B$14))^Paramètres!$B$17</f>
        <v>0.140847925475674</v>
      </c>
    </row>
    <row r="171" customFormat="false" ht="15.75" hidden="false" customHeight="true" outlineLevel="0" collapsed="false">
      <c r="A171" s="14" t="s">
        <v>283</v>
      </c>
      <c r="B171" s="15" t="s">
        <v>27</v>
      </c>
      <c r="C171" s="15" t="s">
        <v>273</v>
      </c>
      <c r="D171" s="16" t="n">
        <v>2</v>
      </c>
      <c r="E171" s="15" t="str">
        <f aca="false" t="array" ref="E171:E171">INDEX(Matériaux!$B$5:$F$12,MATCH(INDEX(Profils!$E$5:$E$34,$AE171),Matériaux!$A$5:$A$12,0),$D171)</f>
        <v>argent</v>
      </c>
      <c r="F171" s="29" t="s">
        <v>117</v>
      </c>
      <c r="G171" s="10" t="str">
        <f aca="false" t="array" ref="G171:G171">INDEX(Profils!$D$5:$D$34,$AE171)&amp;" en "&amp;$E171</f>
        <v>Anneau de guerre en argent</v>
      </c>
      <c r="H171" s="16" t="n">
        <f aca="false" t="array" ref="H171:H171">INDEX(Matériaux!$B$16:$B$20,$D171)</f>
        <v>15</v>
      </c>
      <c r="I171" s="16" t="n">
        <f aca="false">IF(ISNUMBER($C$3),MIN(MAX(0,ROUND($C$3,0)),$AI171),$AI171)</f>
        <v>0</v>
      </c>
      <c r="J171" s="18" t="n">
        <f aca="false">$H171+$I171</f>
        <v>15</v>
      </c>
      <c r="K171" s="15" t="s">
        <v>109</v>
      </c>
      <c r="L171" s="19" t="n">
        <f aca="false" t="array" ref="L171:L171">IF(AND(INDEX(Profils!$F$5:$F$34,$AE171)&gt;0,INDEX(Profils!$U$5:$U$34,$AE171)&lt;=$AH171),ROUND(INDEX(Profils!$F$5:$F$34,$AE171)*Paramètres!$E$22*$AG171*$AJ171,Paramètres!$F$22),0)</f>
        <v>6</v>
      </c>
      <c r="M171" s="19" t="n">
        <f aca="false" t="array" ref="M171:M171">IF(AND(INDEX(Profils!$G$5:$G$34,$AE171)&gt;0,INDEX(Profils!$V$5:$V$34,$AE171)&lt;=$AH171),ROUND(INDEX(Profils!$G$5:$G$34,$AE171)*Paramètres!$E$23*$AG171*$AJ171,Paramètres!$F$23),0)</f>
        <v>4</v>
      </c>
      <c r="N171" s="19" t="n">
        <f aca="false" t="array" ref="N171:N171">IF(AND(INDEX(Profils!$H$5:$H$34,$AE171)&gt;0,INDEX(Profils!$W$5:$W$34,$AE171)&lt;=$AH171),ROUND(INDEX(Profils!$H$5:$H$34,$AE171)*Paramètres!$E$24*$AG171*$AJ171,Paramètres!$F$24),0)</f>
        <v>0</v>
      </c>
      <c r="O171" s="19" t="n">
        <f aca="false" t="array" ref="O171:O171">IF(AND(INDEX(Profils!$I$5:$I$34,$AE171)&gt;0,INDEX(Profils!$X$5:$X$34,$AE171)&lt;=$AH171),ROUND(INDEX(Profils!$I$5:$I$34,$AE171)*Paramètres!$E$25*$AG171*$AJ171,Paramètres!$F$25),0)</f>
        <v>0</v>
      </c>
      <c r="P171" s="19" t="n">
        <f aca="false" t="array" ref="P171:P171">IF(AND(INDEX(Profils!$J$5:$J$34,$AE171)&gt;0,INDEX(Profils!$Y$5:$Y$34,$AE171)&lt;=$AH171),ROUND(INDEX(Profils!$J$5:$J$34,$AE171)*Paramètres!$E$26*$AG171*$AJ171,Paramètres!$F$26),0)</f>
        <v>0</v>
      </c>
      <c r="Q171" s="19" t="n">
        <f aca="false" t="array" ref="Q171:Q171">IF(AND(INDEX(Profils!$K$5:$K$34,$AE171)&gt;0,INDEX(Profils!$Z$5:$Z$34,$AE171)&lt;=$AH171),ROUND(INDEX(Profils!$K$5:$K$34,$AE171)*Paramètres!$E$27*$AG171*$AJ171,Paramètres!$F$27),0)</f>
        <v>0</v>
      </c>
      <c r="R171" s="20" t="n">
        <f aca="false" t="array" ref="R171:R171">IF(AND(INDEX(Profils!$L$5:$L$34,$AE171)&gt;0,INDEX(Profils!$AA$5:$AA$34,$AE171)&lt;=$AH171),ROUND(INDEX(Profils!$L$5:$L$34,$AE171)*Paramètres!$E$28*$AG171*$AJ171,Paramètres!$F$28),0)</f>
        <v>0.004</v>
      </c>
      <c r="S171" s="20" t="n">
        <f aca="false" t="array" ref="S171:S171">IF(AND(INDEX(Profils!$M$5:$M$34,$AE171)&gt;0,INDEX(Profils!$AB$5:$AB$34,$AE171)&lt;=$AH171),ROUND(INDEX(Profils!$M$5:$M$34,$AE171)*Paramètres!$E$29*$AG171*$AJ171,Paramètres!$F$29),0)</f>
        <v>0.003</v>
      </c>
      <c r="T171" s="20" t="n">
        <f aca="false" t="array" ref="T171:T171">IF(AND(INDEX(Profils!$N$5:$N$34,$AE171)&gt;0,INDEX(Profils!$AC$5:$AC$34,$AE171)&lt;=$AH171),ROUND(INDEX(Profils!$N$5:$N$34,$AE171)*Paramètres!$E$30*$AG171*$AJ171,Paramètres!$F$30),0)</f>
        <v>0.008</v>
      </c>
      <c r="U171" s="19" t="n">
        <f aca="false" t="array" ref="U171:U171">IF(AND(INDEX(Profils!$O$5:$O$34,$AE171)&gt;0,INDEX(Profils!$AD$5:$AD$34,$AE171)&lt;=$AH171),ROUND(INDEX(Profils!$O$5:$O$34,$AE171)*Paramètres!$E$31*$AG171*$AJ171,Paramètres!$F$31),0)</f>
        <v>0</v>
      </c>
      <c r="V171" s="20" t="n">
        <f aca="false" t="array" ref="V171:V171">IF(AND(INDEX(Profils!$P$5:$P$34,$AE171)&gt;0,INDEX(Profils!$AE$5:$AE$34,$AE171)&lt;=$AH171),ROUND(INDEX(Profils!$P$5:$P$34,$AE171)*Paramètres!$E$32*$AG171*$AJ171,Paramètres!$F$32),0)</f>
        <v>0.003</v>
      </c>
      <c r="W171" s="20" t="n">
        <f aca="false" t="array" ref="W171:W171">IF(AND(INDEX(Profils!$Q$5:$Q$34,$AE171)&gt;0,INDEX(Profils!$AF$5:$AF$34,$AE171)&lt;=$AH171),ROUND(INDEX(Profils!$Q$5:$Q$34,$AE171)*Paramètres!$E$33*$AG171*$AJ171,Paramètres!$F$33),0)</f>
        <v>0</v>
      </c>
      <c r="X171" s="20" t="n">
        <f aca="false" t="array" ref="X171:X171">IF(AND(INDEX(Profils!$R$5:$R$34,$AE171)&gt;0,INDEX(Profils!$AG$5:$AG$34,$AE171)&lt;=$AH171),ROUND(INDEX(Profils!$R$5:$R$34,$AE171)*Paramètres!$E$34*$AG171*$AJ171,Paramètres!$F$34),0)</f>
        <v>0</v>
      </c>
      <c r="Y171" s="20" t="n">
        <f aca="false" t="array" ref="Y171:Y171">IF(AND(INDEX(Profils!$S$5:$S$34,$AE171)&gt;0,INDEX(Profils!$AH$5:$AH$34,$AE171)&lt;=$AH171),ROUND(INDEX(Profils!$S$5:$S$34,$AE171)*Paramètres!$E$35*$AG171*$AJ171,Paramètres!$F$35),0)</f>
        <v>0</v>
      </c>
      <c r="Z171" s="21" t="n">
        <f aca="false">ROUND(L171/Paramètres!$E$22+M171/Paramètres!$E$23+N171/Paramètres!$E$24+O171/Paramètres!$E$25+P171/Paramètres!$E$26+Q171/Paramètres!$E$27+R171/Paramètres!$E$28+S171/Paramètres!$E$29+T171/Paramètres!$E$30+U171/Paramètres!$E$31+V171/Paramètres!$E$32+W171/Paramètres!$E$33+X171/Paramètres!$E$34+Y171/Paramètres!$E$35,1)</f>
        <v>1.5</v>
      </c>
      <c r="AA171" s="22" t="s">
        <v>109</v>
      </c>
      <c r="AB171" s="22" t="s">
        <v>109</v>
      </c>
      <c r="AC171" s="15" t="str">
        <f aca="false">$E171</f>
        <v>argent</v>
      </c>
      <c r="AD171" s="16" t="n">
        <f aca="false" t="array" ref="AD171:AD171">IF($I171&gt;=$AI171,"Max",ROUND(Paramètres!$B$40*($I171+1)^Paramètres!$B$41*INDEX(Paramètres!$H$6:$H$12,$AF171),0))</f>
        <v>6</v>
      </c>
      <c r="AE171" s="23" t="n">
        <f aca="false">MATCH($B171&amp;"|"&amp;$C171,Profils!$A$5:$A$34,0)</f>
        <v>6</v>
      </c>
      <c r="AF171" s="23" t="n">
        <v>5</v>
      </c>
      <c r="AG171" s="24" t="n">
        <f aca="false" t="array" ref="AG171:AG171">INDEX(Paramètres!$C$6:$C$12,$AF171)</f>
        <v>2.1</v>
      </c>
      <c r="AH171" s="23" t="n">
        <f aca="false" t="array" ref="AH171:AH171">INDEX(Paramètres!$D$6:$D$12,$AF171)</f>
        <v>6</v>
      </c>
      <c r="AI171" s="23" t="n">
        <f aca="false" t="array" ref="AI171:AI171">INDEX(Matériaux!$C$16:$C$20,$D171)</f>
        <v>20</v>
      </c>
      <c r="AJ171" s="25" t="n">
        <f aca="false">Paramètres!$B$16+(1-Paramètres!$B$16)*(($J171-Paramètres!$B$14)/(Paramètres!$B$15-Paramètres!$B$14))^Paramètres!$B$17</f>
        <v>0.140847925475674</v>
      </c>
    </row>
    <row r="172" customFormat="false" ht="15.75" hidden="false" customHeight="true" outlineLevel="0" collapsed="false">
      <c r="A172" s="14" t="s">
        <v>284</v>
      </c>
      <c r="B172" s="15" t="s">
        <v>27</v>
      </c>
      <c r="C172" s="15" t="s">
        <v>273</v>
      </c>
      <c r="D172" s="16" t="n">
        <v>2</v>
      </c>
      <c r="E172" s="15" t="str">
        <f aca="false" t="array" ref="E172:E172">INDEX(Matériaux!$B$5:$F$12,MATCH(INDEX(Profils!$E$5:$E$34,$AE172),Matériaux!$A$5:$A$12,0),$D172)</f>
        <v>argent</v>
      </c>
      <c r="F172" s="30" t="s">
        <v>119</v>
      </c>
      <c r="G172" s="10" t="str">
        <f aca="false" t="array" ref="G172:G172">INDEX(Profils!$D$5:$D$34,$AE172)&amp;" en "&amp;$E172</f>
        <v>Anneau de guerre en argent</v>
      </c>
      <c r="H172" s="16" t="n">
        <f aca="false" t="array" ref="H172:H172">INDEX(Matériaux!$B$16:$B$20,$D172)</f>
        <v>15</v>
      </c>
      <c r="I172" s="16" t="n">
        <f aca="false">IF(ISNUMBER($C$3),MIN(MAX(0,ROUND($C$3,0)),$AI172),$AI172)</f>
        <v>0</v>
      </c>
      <c r="J172" s="18" t="n">
        <f aca="false">$H172+$I172</f>
        <v>15</v>
      </c>
      <c r="K172" s="15" t="s">
        <v>109</v>
      </c>
      <c r="L172" s="19" t="n">
        <f aca="false" t="array" ref="L172:L172">IF(AND(INDEX(Profils!$F$5:$F$34,$AE172)&gt;0,INDEX(Profils!$U$5:$U$34,$AE172)&lt;=$AH172),ROUND(INDEX(Profils!$F$5:$F$34,$AE172)*Paramètres!$E$22*$AG172*$AJ172,Paramètres!$F$22),0)</f>
        <v>7</v>
      </c>
      <c r="M172" s="19" t="n">
        <f aca="false" t="array" ref="M172:M172">IF(AND(INDEX(Profils!$G$5:$G$34,$AE172)&gt;0,INDEX(Profils!$V$5:$V$34,$AE172)&lt;=$AH172),ROUND(INDEX(Profils!$G$5:$G$34,$AE172)*Paramètres!$E$23*$AG172*$AJ172,Paramètres!$F$23),0)</f>
        <v>5</v>
      </c>
      <c r="N172" s="19" t="n">
        <f aca="false" t="array" ref="N172:N172">IF(AND(INDEX(Profils!$H$5:$H$34,$AE172)&gt;0,INDEX(Profils!$W$5:$W$34,$AE172)&lt;=$AH172),ROUND(INDEX(Profils!$H$5:$H$34,$AE172)*Paramètres!$E$24*$AG172*$AJ172,Paramètres!$F$24),0)</f>
        <v>0</v>
      </c>
      <c r="O172" s="19" t="n">
        <f aca="false" t="array" ref="O172:O172">IF(AND(INDEX(Profils!$I$5:$I$34,$AE172)&gt;0,INDEX(Profils!$X$5:$X$34,$AE172)&lt;=$AH172),ROUND(INDEX(Profils!$I$5:$I$34,$AE172)*Paramètres!$E$25*$AG172*$AJ172,Paramètres!$F$25),0)</f>
        <v>0</v>
      </c>
      <c r="P172" s="19" t="n">
        <f aca="false" t="array" ref="P172:P172">IF(AND(INDEX(Profils!$J$5:$J$34,$AE172)&gt;0,INDEX(Profils!$Y$5:$Y$34,$AE172)&lt;=$AH172),ROUND(INDEX(Profils!$J$5:$J$34,$AE172)*Paramètres!$E$26*$AG172*$AJ172,Paramètres!$F$26),0)</f>
        <v>2</v>
      </c>
      <c r="Q172" s="19" t="n">
        <f aca="false" t="array" ref="Q172:Q172">IF(AND(INDEX(Profils!$K$5:$K$34,$AE172)&gt;0,INDEX(Profils!$Z$5:$Z$34,$AE172)&lt;=$AH172),ROUND(INDEX(Profils!$K$5:$K$34,$AE172)*Paramètres!$E$27*$AG172*$AJ172,Paramètres!$F$27),0)</f>
        <v>0</v>
      </c>
      <c r="R172" s="20" t="n">
        <f aca="false" t="array" ref="R172:R172">IF(AND(INDEX(Profils!$L$5:$L$34,$AE172)&gt;0,INDEX(Profils!$AA$5:$AA$34,$AE172)&lt;=$AH172),ROUND(INDEX(Profils!$L$5:$L$34,$AE172)*Paramètres!$E$28*$AG172*$AJ172,Paramètres!$F$28),0)</f>
        <v>0.004</v>
      </c>
      <c r="S172" s="20" t="n">
        <f aca="false" t="array" ref="S172:S172">IF(AND(INDEX(Profils!$M$5:$M$34,$AE172)&gt;0,INDEX(Profils!$AB$5:$AB$34,$AE172)&lt;=$AH172),ROUND(INDEX(Profils!$M$5:$M$34,$AE172)*Paramètres!$E$29*$AG172*$AJ172,Paramètres!$F$29),0)</f>
        <v>0.004</v>
      </c>
      <c r="T172" s="20" t="n">
        <f aca="false" t="array" ref="T172:T172">IF(AND(INDEX(Profils!$N$5:$N$34,$AE172)&gt;0,INDEX(Profils!$AC$5:$AC$34,$AE172)&lt;=$AH172),ROUND(INDEX(Profils!$N$5:$N$34,$AE172)*Paramètres!$E$30*$AG172*$AJ172,Paramètres!$F$30),0)</f>
        <v>0.009</v>
      </c>
      <c r="U172" s="19" t="n">
        <f aca="false" t="array" ref="U172:U172">IF(AND(INDEX(Profils!$O$5:$O$34,$AE172)&gt;0,INDEX(Profils!$AD$5:$AD$34,$AE172)&lt;=$AH172),ROUND(INDEX(Profils!$O$5:$O$34,$AE172)*Paramètres!$E$31*$AG172*$AJ172,Paramètres!$F$31),0)</f>
        <v>0</v>
      </c>
      <c r="V172" s="20" t="n">
        <f aca="false" t="array" ref="V172:V172">IF(AND(INDEX(Profils!$P$5:$P$34,$AE172)&gt;0,INDEX(Profils!$AE$5:$AE$34,$AE172)&lt;=$AH172),ROUND(INDEX(Profils!$P$5:$P$34,$AE172)*Paramètres!$E$32*$AG172*$AJ172,Paramètres!$F$32),0)</f>
        <v>0.004</v>
      </c>
      <c r="W172" s="20" t="n">
        <f aca="false" t="array" ref="W172:W172">IF(AND(INDEX(Profils!$Q$5:$Q$34,$AE172)&gt;0,INDEX(Profils!$AF$5:$AF$34,$AE172)&lt;=$AH172),ROUND(INDEX(Profils!$Q$5:$Q$34,$AE172)*Paramètres!$E$33*$AG172*$AJ172,Paramètres!$F$33),0)</f>
        <v>0</v>
      </c>
      <c r="X172" s="20" t="n">
        <f aca="false" t="array" ref="X172:X172">IF(AND(INDEX(Profils!$R$5:$R$34,$AE172)&gt;0,INDEX(Profils!$AG$5:$AG$34,$AE172)&lt;=$AH172),ROUND(INDEX(Profils!$R$5:$R$34,$AE172)*Paramètres!$E$34*$AG172*$AJ172,Paramètres!$F$34),0)</f>
        <v>0</v>
      </c>
      <c r="Y172" s="20" t="n">
        <f aca="false" t="array" ref="Y172:Y172">IF(AND(INDEX(Profils!$S$5:$S$34,$AE172)&gt;0,INDEX(Profils!$AH$5:$AH$34,$AE172)&lt;=$AH172),ROUND(INDEX(Profils!$S$5:$S$34,$AE172)*Paramètres!$E$35*$AG172*$AJ172,Paramètres!$F$35),0)</f>
        <v>0</v>
      </c>
      <c r="Z172" s="21" t="n">
        <f aca="false">ROUND(L172/Paramètres!$E$22+M172/Paramètres!$E$23+N172/Paramètres!$E$24+O172/Paramètres!$E$25+P172/Paramètres!$E$26+Q172/Paramètres!$E$27+R172/Paramètres!$E$28+S172/Paramètres!$E$29+T172/Paramètres!$E$30+U172/Paramètres!$E$31+V172/Paramètres!$E$32+W172/Paramètres!$E$33+X172/Paramètres!$E$34+Y172/Paramètres!$E$35,1)</f>
        <v>1.9</v>
      </c>
      <c r="AA172" s="22" t="s">
        <v>109</v>
      </c>
      <c r="AB172" s="22" t="s">
        <v>109</v>
      </c>
      <c r="AC172" s="15" t="str">
        <f aca="false">$E172</f>
        <v>argent</v>
      </c>
      <c r="AD172" s="16" t="n">
        <f aca="false" t="array" ref="AD172:AD172">IF($I172&gt;=$AI172,"Max",ROUND(Paramètres!$B$40*($I172+1)^Paramètres!$B$41*INDEX(Paramètres!$H$6:$H$12,$AF172),0))</f>
        <v>8</v>
      </c>
      <c r="AE172" s="23" t="n">
        <f aca="false">MATCH($B172&amp;"|"&amp;$C172,Profils!$A$5:$A$34,0)</f>
        <v>6</v>
      </c>
      <c r="AF172" s="23" t="n">
        <v>6</v>
      </c>
      <c r="AG172" s="24" t="n">
        <f aca="false" t="array" ref="AG172:AG172">INDEX(Paramètres!$C$6:$C$12,$AF172)</f>
        <v>2.4</v>
      </c>
      <c r="AH172" s="23" t="n">
        <f aca="false" t="array" ref="AH172:AH172">INDEX(Paramètres!$D$6:$D$12,$AF172)</f>
        <v>7</v>
      </c>
      <c r="AI172" s="23" t="n">
        <f aca="false" t="array" ref="AI172:AI172">INDEX(Matériaux!$C$16:$C$20,$D172)</f>
        <v>20</v>
      </c>
      <c r="AJ172" s="25" t="n">
        <f aca="false">Paramètres!$B$16+(1-Paramètres!$B$16)*(($J172-Paramètres!$B$14)/(Paramètres!$B$15-Paramètres!$B$14))^Paramètres!$B$17</f>
        <v>0.140847925475674</v>
      </c>
    </row>
    <row r="173" customFormat="false" ht="15.75" hidden="false" customHeight="true" outlineLevel="0" collapsed="false">
      <c r="A173" s="14" t="s">
        <v>285</v>
      </c>
      <c r="B173" s="15" t="s">
        <v>27</v>
      </c>
      <c r="C173" s="15" t="s">
        <v>273</v>
      </c>
      <c r="D173" s="16" t="n">
        <v>3</v>
      </c>
      <c r="E173" s="15" t="str">
        <f aca="false" t="array" ref="E173:E173">INDEX(Matériaux!$B$5:$F$12,MATCH(INDEX(Profils!$E$5:$E$34,$AE173),Matériaux!$A$5:$A$12,0),$D173)</f>
        <v>or</v>
      </c>
      <c r="F173" s="17" t="s">
        <v>108</v>
      </c>
      <c r="G173" s="10" t="str">
        <f aca="false" t="array" ref="G173:G173">INDEX(Profils!$D$5:$D$34,$AE173)&amp;" en "&amp;$E173</f>
        <v>Anneau de guerre en or</v>
      </c>
      <c r="H173" s="16" t="n">
        <f aca="false" t="array" ref="H173:H173">INDEX(Matériaux!$B$16:$B$20,$D173)</f>
        <v>30</v>
      </c>
      <c r="I173" s="16" t="n">
        <f aca="false">IF(ISNUMBER($C$3),MIN(MAX(0,ROUND($C$3,0)),$AI173),$AI173)</f>
        <v>0</v>
      </c>
      <c r="J173" s="18" t="n">
        <f aca="false">$H173+$I173</f>
        <v>30</v>
      </c>
      <c r="K173" s="15" t="s">
        <v>109</v>
      </c>
      <c r="L173" s="19" t="n">
        <f aca="false" t="array" ref="L173:L173">IF(AND(INDEX(Profils!$F$5:$F$34,$AE173)&gt;0,INDEX(Profils!$U$5:$U$34,$AE173)&lt;=$AH173),ROUND(INDEX(Profils!$F$5:$F$34,$AE173)*Paramètres!$E$22*$AG173*$AJ173,Paramètres!$F$22),0)</f>
        <v>0</v>
      </c>
      <c r="M173" s="19" t="n">
        <f aca="false" t="array" ref="M173:M173">IF(AND(INDEX(Profils!$G$5:$G$34,$AE173)&gt;0,INDEX(Profils!$V$5:$V$34,$AE173)&lt;=$AH173),ROUND(INDEX(Profils!$G$5:$G$34,$AE173)*Paramètres!$E$23*$AG173*$AJ173,Paramètres!$F$23),0)</f>
        <v>4</v>
      </c>
      <c r="N173" s="19" t="n">
        <f aca="false" t="array" ref="N173:N173">IF(AND(INDEX(Profils!$H$5:$H$34,$AE173)&gt;0,INDEX(Profils!$W$5:$W$34,$AE173)&lt;=$AH173),ROUND(INDEX(Profils!$H$5:$H$34,$AE173)*Paramètres!$E$24*$AG173*$AJ173,Paramètres!$F$24),0)</f>
        <v>0</v>
      </c>
      <c r="O173" s="19" t="n">
        <f aca="false" t="array" ref="O173:O173">IF(AND(INDEX(Profils!$I$5:$I$34,$AE173)&gt;0,INDEX(Profils!$X$5:$X$34,$AE173)&lt;=$AH173),ROUND(INDEX(Profils!$I$5:$I$34,$AE173)*Paramètres!$E$25*$AG173*$AJ173,Paramètres!$F$25),0)</f>
        <v>0</v>
      </c>
      <c r="P173" s="19" t="n">
        <f aca="false" t="array" ref="P173:P173">IF(AND(INDEX(Profils!$J$5:$J$34,$AE173)&gt;0,INDEX(Profils!$Y$5:$Y$34,$AE173)&lt;=$AH173),ROUND(INDEX(Profils!$J$5:$J$34,$AE173)*Paramètres!$E$26*$AG173*$AJ173,Paramètres!$F$26),0)</f>
        <v>0</v>
      </c>
      <c r="Q173" s="19" t="n">
        <f aca="false" t="array" ref="Q173:Q173">IF(AND(INDEX(Profils!$K$5:$K$34,$AE173)&gt;0,INDEX(Profils!$Z$5:$Z$34,$AE173)&lt;=$AH173),ROUND(INDEX(Profils!$K$5:$K$34,$AE173)*Paramètres!$E$27*$AG173*$AJ173,Paramètres!$F$27),0)</f>
        <v>0</v>
      </c>
      <c r="R173" s="20" t="n">
        <f aca="false" t="array" ref="R173:R173">IF(AND(INDEX(Profils!$L$5:$L$34,$AE173)&gt;0,INDEX(Profils!$AA$5:$AA$34,$AE173)&lt;=$AH173),ROUND(INDEX(Profils!$L$5:$L$34,$AE173)*Paramètres!$E$28*$AG173*$AJ173,Paramètres!$F$28),0)</f>
        <v>0</v>
      </c>
      <c r="S173" s="20" t="n">
        <f aca="false" t="array" ref="S173:S173">IF(AND(INDEX(Profils!$M$5:$M$34,$AE173)&gt;0,INDEX(Profils!$AB$5:$AB$34,$AE173)&lt;=$AH173),ROUND(INDEX(Profils!$M$5:$M$34,$AE173)*Paramètres!$E$29*$AG173*$AJ173,Paramètres!$F$29),0)</f>
        <v>0.003</v>
      </c>
      <c r="T173" s="20" t="n">
        <f aca="false" t="array" ref="T173:T173">IF(AND(INDEX(Profils!$N$5:$N$34,$AE173)&gt;0,INDEX(Profils!$AC$5:$AC$34,$AE173)&lt;=$AH173),ROUND(INDEX(Profils!$N$5:$N$34,$AE173)*Paramètres!$E$30*$AG173*$AJ173,Paramètres!$F$30),0)</f>
        <v>0</v>
      </c>
      <c r="U173" s="19" t="n">
        <f aca="false" t="array" ref="U173:U173">IF(AND(INDEX(Profils!$O$5:$O$34,$AE173)&gt;0,INDEX(Profils!$AD$5:$AD$34,$AE173)&lt;=$AH173),ROUND(INDEX(Profils!$O$5:$O$34,$AE173)*Paramètres!$E$31*$AG173*$AJ173,Paramètres!$F$31),0)</f>
        <v>0</v>
      </c>
      <c r="V173" s="20" t="n">
        <f aca="false" t="array" ref="V173:V173">IF(AND(INDEX(Profils!$P$5:$P$34,$AE173)&gt;0,INDEX(Profils!$AE$5:$AE$34,$AE173)&lt;=$AH173),ROUND(INDEX(Profils!$P$5:$P$34,$AE173)*Paramètres!$E$32*$AG173*$AJ173,Paramètres!$F$32),0)</f>
        <v>0</v>
      </c>
      <c r="W173" s="20" t="n">
        <f aca="false" t="array" ref="W173:W173">IF(AND(INDEX(Profils!$Q$5:$Q$34,$AE173)&gt;0,INDEX(Profils!$AF$5:$AF$34,$AE173)&lt;=$AH173),ROUND(INDEX(Profils!$Q$5:$Q$34,$AE173)*Paramètres!$E$33*$AG173*$AJ173,Paramètres!$F$33),0)</f>
        <v>0</v>
      </c>
      <c r="X173" s="20" t="n">
        <f aca="false" t="array" ref="X173:X173">IF(AND(INDEX(Profils!$R$5:$R$34,$AE173)&gt;0,INDEX(Profils!$AG$5:$AG$34,$AE173)&lt;=$AH173),ROUND(INDEX(Profils!$R$5:$R$34,$AE173)*Paramètres!$E$34*$AG173*$AJ173,Paramètres!$F$34),0)</f>
        <v>0</v>
      </c>
      <c r="Y173" s="20" t="n">
        <f aca="false" t="array" ref="Y173:Y173">IF(AND(INDEX(Profils!$S$5:$S$34,$AE173)&gt;0,INDEX(Profils!$AH$5:$AH$34,$AE173)&lt;=$AH173),ROUND(INDEX(Profils!$S$5:$S$34,$AE173)*Paramètres!$E$35*$AG173*$AJ173,Paramètres!$F$35),0)</f>
        <v>0</v>
      </c>
      <c r="Z173" s="21" t="n">
        <f aca="false">ROUND(L173/Paramètres!$E$22+M173/Paramètres!$E$23+N173/Paramètres!$E$24+O173/Paramètres!$E$25+P173/Paramètres!$E$26+Q173/Paramètres!$E$27+R173/Paramètres!$E$28+S173/Paramètres!$E$29+T173/Paramètres!$E$30+U173/Paramètres!$E$31+V173/Paramètres!$E$32+W173/Paramètres!$E$33+X173/Paramètres!$E$34+Y173/Paramètres!$E$35,1)</f>
        <v>0.5</v>
      </c>
      <c r="AA173" s="22" t="s">
        <v>109</v>
      </c>
      <c r="AB173" s="22" t="s">
        <v>109</v>
      </c>
      <c r="AC173" s="15" t="str">
        <f aca="false">$E173</f>
        <v>or</v>
      </c>
      <c r="AD173" s="16" t="n">
        <f aca="false" t="array" ref="AD173:AD173">IF($I173&gt;=$AI173,"Max",ROUND(Paramètres!$B$40*($I173+1)^Paramètres!$B$41*INDEX(Paramètres!$H$6:$H$12,$AF173),0))</f>
        <v>3</v>
      </c>
      <c r="AE173" s="23" t="n">
        <f aca="false">MATCH($B173&amp;"|"&amp;$C173,Profils!$A$5:$A$34,0)</f>
        <v>6</v>
      </c>
      <c r="AF173" s="23" t="n">
        <v>1</v>
      </c>
      <c r="AG173" s="24" t="n">
        <f aca="false" t="array" ref="AG173:AG173">INDEX(Paramètres!$C$6:$C$12,$AF173)</f>
        <v>1</v>
      </c>
      <c r="AH173" s="23" t="n">
        <f aca="false" t="array" ref="AH173:AH173">INDEX(Paramètres!$D$6:$D$12,$AF173)</f>
        <v>2</v>
      </c>
      <c r="AI173" s="23" t="n">
        <f aca="false" t="array" ref="AI173:AI173">INDEX(Matériaux!$C$16:$C$20,$D173)</f>
        <v>25</v>
      </c>
      <c r="AJ173" s="25" t="n">
        <f aca="false">Paramètres!$B$16+(1-Paramètres!$B$16)*(($J173-Paramètres!$B$14)/(Paramètres!$B$15-Paramètres!$B$14))^Paramètres!$B$17</f>
        <v>0.26769024555533</v>
      </c>
    </row>
    <row r="174" customFormat="false" ht="15.75" hidden="false" customHeight="true" outlineLevel="0" collapsed="false">
      <c r="A174" s="14" t="s">
        <v>286</v>
      </c>
      <c r="B174" s="15" t="s">
        <v>27</v>
      </c>
      <c r="C174" s="15" t="s">
        <v>273</v>
      </c>
      <c r="D174" s="16" t="n">
        <v>3</v>
      </c>
      <c r="E174" s="15" t="str">
        <f aca="false" t="array" ref="E174:E174">INDEX(Matériaux!$B$5:$F$12,MATCH(INDEX(Profils!$E$5:$E$34,$AE174),Matériaux!$A$5:$A$12,0),$D174)</f>
        <v>or</v>
      </c>
      <c r="F174" s="26" t="s">
        <v>111</v>
      </c>
      <c r="G174" s="10" t="str">
        <f aca="false" t="array" ref="G174:G174">INDEX(Profils!$D$5:$D$34,$AE174)&amp;" en "&amp;$E174</f>
        <v>Anneau de guerre en or</v>
      </c>
      <c r="H174" s="16" t="n">
        <f aca="false" t="array" ref="H174:H174">INDEX(Matériaux!$B$16:$B$20,$D174)</f>
        <v>30</v>
      </c>
      <c r="I174" s="16" t="n">
        <f aca="false">IF(ISNUMBER($C$3),MIN(MAX(0,ROUND($C$3,0)),$AI174),$AI174)</f>
        <v>0</v>
      </c>
      <c r="J174" s="18" t="n">
        <f aca="false">$H174+$I174</f>
        <v>30</v>
      </c>
      <c r="K174" s="15" t="s">
        <v>109</v>
      </c>
      <c r="L174" s="19" t="n">
        <f aca="false" t="array" ref="L174:L174">IF(AND(INDEX(Profils!$F$5:$F$34,$AE174)&gt;0,INDEX(Profils!$U$5:$U$34,$AE174)&lt;=$AH174),ROUND(INDEX(Profils!$F$5:$F$34,$AE174)*Paramètres!$E$22*$AG174*$AJ174,Paramètres!$F$22),0)</f>
        <v>0</v>
      </c>
      <c r="M174" s="19" t="n">
        <f aca="false" t="array" ref="M174:M174">IF(AND(INDEX(Profils!$G$5:$G$34,$AE174)&gt;0,INDEX(Profils!$V$5:$V$34,$AE174)&lt;=$AH174),ROUND(INDEX(Profils!$G$5:$G$34,$AE174)*Paramètres!$E$23*$AG174*$AJ174,Paramètres!$F$23),0)</f>
        <v>5</v>
      </c>
      <c r="N174" s="19" t="n">
        <f aca="false" t="array" ref="N174:N174">IF(AND(INDEX(Profils!$H$5:$H$34,$AE174)&gt;0,INDEX(Profils!$W$5:$W$34,$AE174)&lt;=$AH174),ROUND(INDEX(Profils!$H$5:$H$34,$AE174)*Paramètres!$E$24*$AG174*$AJ174,Paramètres!$F$24),0)</f>
        <v>0</v>
      </c>
      <c r="O174" s="19" t="n">
        <f aca="false" t="array" ref="O174:O174">IF(AND(INDEX(Profils!$I$5:$I$34,$AE174)&gt;0,INDEX(Profils!$X$5:$X$34,$AE174)&lt;=$AH174),ROUND(INDEX(Profils!$I$5:$I$34,$AE174)*Paramètres!$E$25*$AG174*$AJ174,Paramètres!$F$25),0)</f>
        <v>0</v>
      </c>
      <c r="P174" s="19" t="n">
        <f aca="false" t="array" ref="P174:P174">IF(AND(INDEX(Profils!$J$5:$J$34,$AE174)&gt;0,INDEX(Profils!$Y$5:$Y$34,$AE174)&lt;=$AH174),ROUND(INDEX(Profils!$J$5:$J$34,$AE174)*Paramètres!$E$26*$AG174*$AJ174,Paramètres!$F$26),0)</f>
        <v>0</v>
      </c>
      <c r="Q174" s="19" t="n">
        <f aca="false" t="array" ref="Q174:Q174">IF(AND(INDEX(Profils!$K$5:$K$34,$AE174)&gt;0,INDEX(Profils!$Z$5:$Z$34,$AE174)&lt;=$AH174),ROUND(INDEX(Profils!$K$5:$K$34,$AE174)*Paramètres!$E$27*$AG174*$AJ174,Paramètres!$F$27),0)</f>
        <v>0</v>
      </c>
      <c r="R174" s="20" t="n">
        <f aca="false" t="array" ref="R174:R174">IF(AND(INDEX(Profils!$L$5:$L$34,$AE174)&gt;0,INDEX(Profils!$AA$5:$AA$34,$AE174)&lt;=$AH174),ROUND(INDEX(Profils!$L$5:$L$34,$AE174)*Paramètres!$E$28*$AG174*$AJ174,Paramètres!$F$28),0)</f>
        <v>0</v>
      </c>
      <c r="S174" s="20" t="n">
        <f aca="false" t="array" ref="S174:S174">IF(AND(INDEX(Profils!$M$5:$M$34,$AE174)&gt;0,INDEX(Profils!$AB$5:$AB$34,$AE174)&lt;=$AH174),ROUND(INDEX(Profils!$M$5:$M$34,$AE174)*Paramètres!$E$29*$AG174*$AJ174,Paramètres!$F$29),0)</f>
        <v>0.003</v>
      </c>
      <c r="T174" s="20" t="n">
        <f aca="false" t="array" ref="T174:T174">IF(AND(INDEX(Profils!$N$5:$N$34,$AE174)&gt;0,INDEX(Profils!$AC$5:$AC$34,$AE174)&lt;=$AH174),ROUND(INDEX(Profils!$N$5:$N$34,$AE174)*Paramètres!$E$30*$AG174*$AJ174,Paramètres!$F$30),0)</f>
        <v>0.009</v>
      </c>
      <c r="U174" s="19" t="n">
        <f aca="false" t="array" ref="U174:U174">IF(AND(INDEX(Profils!$O$5:$O$34,$AE174)&gt;0,INDEX(Profils!$AD$5:$AD$34,$AE174)&lt;=$AH174),ROUND(INDEX(Profils!$O$5:$O$34,$AE174)*Paramètres!$E$31*$AG174*$AJ174,Paramètres!$F$31),0)</f>
        <v>0</v>
      </c>
      <c r="V174" s="20" t="n">
        <f aca="false" t="array" ref="V174:V174">IF(AND(INDEX(Profils!$P$5:$P$34,$AE174)&gt;0,INDEX(Profils!$AE$5:$AE$34,$AE174)&lt;=$AH174),ROUND(INDEX(Profils!$P$5:$P$34,$AE174)*Paramètres!$E$32*$AG174*$AJ174,Paramètres!$F$32),0)</f>
        <v>0</v>
      </c>
      <c r="W174" s="20" t="n">
        <f aca="false" t="array" ref="W174:W174">IF(AND(INDEX(Profils!$Q$5:$Q$34,$AE174)&gt;0,INDEX(Profils!$AF$5:$AF$34,$AE174)&lt;=$AH174),ROUND(INDEX(Profils!$Q$5:$Q$34,$AE174)*Paramètres!$E$33*$AG174*$AJ174,Paramètres!$F$33),0)</f>
        <v>0</v>
      </c>
      <c r="X174" s="20" t="n">
        <f aca="false" t="array" ref="X174:X174">IF(AND(INDEX(Profils!$R$5:$R$34,$AE174)&gt;0,INDEX(Profils!$AG$5:$AG$34,$AE174)&lt;=$AH174),ROUND(INDEX(Profils!$R$5:$R$34,$AE174)*Paramètres!$E$34*$AG174*$AJ174,Paramètres!$F$34),0)</f>
        <v>0</v>
      </c>
      <c r="Y174" s="20" t="n">
        <f aca="false" t="array" ref="Y174:Y174">IF(AND(INDEX(Profils!$S$5:$S$34,$AE174)&gt;0,INDEX(Profils!$AH$5:$AH$34,$AE174)&lt;=$AH174),ROUND(INDEX(Profils!$S$5:$S$34,$AE174)*Paramètres!$E$35*$AG174*$AJ174,Paramètres!$F$35),0)</f>
        <v>0</v>
      </c>
      <c r="Z174" s="21" t="n">
        <f aca="false">ROUND(L174/Paramètres!$E$22+M174/Paramètres!$E$23+N174/Paramètres!$E$24+O174/Paramètres!$E$25+P174/Paramètres!$E$26+Q174/Paramètres!$E$27+R174/Paramètres!$E$28+S174/Paramètres!$E$29+T174/Paramètres!$E$30+U174/Paramètres!$E$31+V174/Paramètres!$E$32+W174/Paramètres!$E$33+X174/Paramètres!$E$34+Y174/Paramètres!$E$35,1)</f>
        <v>0.9</v>
      </c>
      <c r="AA174" s="22" t="s">
        <v>109</v>
      </c>
      <c r="AB174" s="22" t="s">
        <v>109</v>
      </c>
      <c r="AC174" s="15" t="str">
        <f aca="false">$E174</f>
        <v>or</v>
      </c>
      <c r="AD174" s="16" t="n">
        <f aca="false" t="array" ref="AD174:AD174">IF($I174&gt;=$AI174,"Max",ROUND(Paramètres!$B$40*($I174+1)^Paramètres!$B$41*INDEX(Paramètres!$H$6:$H$12,$AF174),0))</f>
        <v>4</v>
      </c>
      <c r="AE174" s="23" t="n">
        <f aca="false">MATCH($B174&amp;"|"&amp;$C174,Profils!$A$5:$A$34,0)</f>
        <v>6</v>
      </c>
      <c r="AF174" s="23" t="n">
        <v>2</v>
      </c>
      <c r="AG174" s="24" t="n">
        <f aca="false" t="array" ref="AG174:AG174">INDEX(Paramètres!$C$6:$C$12,$AF174)</f>
        <v>1.2</v>
      </c>
      <c r="AH174" s="23" t="n">
        <f aca="false" t="array" ref="AH174:AH174">INDEX(Paramètres!$D$6:$D$12,$AF174)</f>
        <v>3</v>
      </c>
      <c r="AI174" s="23" t="n">
        <f aca="false" t="array" ref="AI174:AI174">INDEX(Matériaux!$C$16:$C$20,$D174)</f>
        <v>25</v>
      </c>
      <c r="AJ174" s="25" t="n">
        <f aca="false">Paramètres!$B$16+(1-Paramètres!$B$16)*(($J174-Paramètres!$B$14)/(Paramètres!$B$15-Paramètres!$B$14))^Paramètres!$B$17</f>
        <v>0.26769024555533</v>
      </c>
    </row>
    <row r="175" customFormat="false" ht="15.75" hidden="false" customHeight="true" outlineLevel="0" collapsed="false">
      <c r="A175" s="14" t="s">
        <v>287</v>
      </c>
      <c r="B175" s="15" t="s">
        <v>27</v>
      </c>
      <c r="C175" s="15" t="s">
        <v>273</v>
      </c>
      <c r="D175" s="16" t="n">
        <v>3</v>
      </c>
      <c r="E175" s="15" t="str">
        <f aca="false" t="array" ref="E175:E175">INDEX(Matériaux!$B$5:$F$12,MATCH(INDEX(Profils!$E$5:$E$34,$AE175),Matériaux!$A$5:$A$12,0),$D175)</f>
        <v>or</v>
      </c>
      <c r="F175" s="27" t="s">
        <v>113</v>
      </c>
      <c r="G175" s="10" t="str">
        <f aca="false" t="array" ref="G175:G175">INDEX(Profils!$D$5:$D$34,$AE175)&amp;" en "&amp;$E175</f>
        <v>Anneau de guerre en or</v>
      </c>
      <c r="H175" s="16" t="n">
        <f aca="false" t="array" ref="H175:H175">INDEX(Matériaux!$B$16:$B$20,$D175)</f>
        <v>30</v>
      </c>
      <c r="I175" s="16" t="n">
        <f aca="false">IF(ISNUMBER($C$3),MIN(MAX(0,ROUND($C$3,0)),$AI175),$AI175)</f>
        <v>0</v>
      </c>
      <c r="J175" s="18" t="n">
        <f aca="false">$H175+$I175</f>
        <v>30</v>
      </c>
      <c r="K175" s="15" t="s">
        <v>109</v>
      </c>
      <c r="L175" s="19" t="n">
        <f aca="false" t="array" ref="L175:L175">IF(AND(INDEX(Profils!$F$5:$F$34,$AE175)&gt;0,INDEX(Profils!$U$5:$U$34,$AE175)&lt;=$AH175),ROUND(INDEX(Profils!$F$5:$F$34,$AE175)*Paramètres!$E$22*$AG175*$AJ175,Paramètres!$F$22),0)</f>
        <v>8</v>
      </c>
      <c r="M175" s="19" t="n">
        <f aca="false" t="array" ref="M175:M175">IF(AND(INDEX(Profils!$G$5:$G$34,$AE175)&gt;0,INDEX(Profils!$V$5:$V$34,$AE175)&lt;=$AH175),ROUND(INDEX(Profils!$G$5:$G$34,$AE175)*Paramètres!$E$23*$AG175*$AJ175,Paramètres!$F$23),0)</f>
        <v>6</v>
      </c>
      <c r="N175" s="19" t="n">
        <f aca="false" t="array" ref="N175:N175">IF(AND(INDEX(Profils!$H$5:$H$34,$AE175)&gt;0,INDEX(Profils!$W$5:$W$34,$AE175)&lt;=$AH175),ROUND(INDEX(Profils!$H$5:$H$34,$AE175)*Paramètres!$E$24*$AG175*$AJ175,Paramètres!$F$24),0)</f>
        <v>0</v>
      </c>
      <c r="O175" s="19" t="n">
        <f aca="false" t="array" ref="O175:O175">IF(AND(INDEX(Profils!$I$5:$I$34,$AE175)&gt;0,INDEX(Profils!$X$5:$X$34,$AE175)&lt;=$AH175),ROUND(INDEX(Profils!$I$5:$I$34,$AE175)*Paramètres!$E$25*$AG175*$AJ175,Paramètres!$F$25),0)</f>
        <v>0</v>
      </c>
      <c r="P175" s="19" t="n">
        <f aca="false" t="array" ref="P175:P175">IF(AND(INDEX(Profils!$J$5:$J$34,$AE175)&gt;0,INDEX(Profils!$Y$5:$Y$34,$AE175)&lt;=$AH175),ROUND(INDEX(Profils!$J$5:$J$34,$AE175)*Paramètres!$E$26*$AG175*$AJ175,Paramètres!$F$26),0)</f>
        <v>0</v>
      </c>
      <c r="Q175" s="19" t="n">
        <f aca="false" t="array" ref="Q175:Q175">IF(AND(INDEX(Profils!$K$5:$K$34,$AE175)&gt;0,INDEX(Profils!$Z$5:$Z$34,$AE175)&lt;=$AH175),ROUND(INDEX(Profils!$K$5:$K$34,$AE175)*Paramètres!$E$27*$AG175*$AJ175,Paramètres!$F$27),0)</f>
        <v>0</v>
      </c>
      <c r="R175" s="20" t="n">
        <f aca="false" t="array" ref="R175:R175">IF(AND(INDEX(Profils!$L$5:$L$34,$AE175)&gt;0,INDEX(Profils!$AA$5:$AA$34,$AE175)&lt;=$AH175),ROUND(INDEX(Profils!$L$5:$L$34,$AE175)*Paramètres!$E$28*$AG175*$AJ175,Paramètres!$F$28),0)</f>
        <v>0</v>
      </c>
      <c r="S175" s="20" t="n">
        <f aca="false" t="array" ref="S175:S175">IF(AND(INDEX(Profils!$M$5:$M$34,$AE175)&gt;0,INDEX(Profils!$AB$5:$AB$34,$AE175)&lt;=$AH175),ROUND(INDEX(Profils!$M$5:$M$34,$AE175)*Paramètres!$E$29*$AG175*$AJ175,Paramètres!$F$29),0)</f>
        <v>0.004</v>
      </c>
      <c r="T175" s="20" t="n">
        <f aca="false" t="array" ref="T175:T175">IF(AND(INDEX(Profils!$N$5:$N$34,$AE175)&gt;0,INDEX(Profils!$AC$5:$AC$34,$AE175)&lt;=$AH175),ROUND(INDEX(Profils!$N$5:$N$34,$AE175)*Paramètres!$E$30*$AG175*$AJ175,Paramètres!$F$30),0)</f>
        <v>0.01</v>
      </c>
      <c r="U175" s="19" t="n">
        <f aca="false" t="array" ref="U175:U175">IF(AND(INDEX(Profils!$O$5:$O$34,$AE175)&gt;0,INDEX(Profils!$AD$5:$AD$34,$AE175)&lt;=$AH175),ROUND(INDEX(Profils!$O$5:$O$34,$AE175)*Paramètres!$E$31*$AG175*$AJ175,Paramètres!$F$31),0)</f>
        <v>0</v>
      </c>
      <c r="V175" s="20" t="n">
        <f aca="false" t="array" ref="V175:V175">IF(AND(INDEX(Profils!$P$5:$P$34,$AE175)&gt;0,INDEX(Profils!$AE$5:$AE$34,$AE175)&lt;=$AH175),ROUND(INDEX(Profils!$P$5:$P$34,$AE175)*Paramètres!$E$32*$AG175*$AJ175,Paramètres!$F$32),0)</f>
        <v>0</v>
      </c>
      <c r="W175" s="20" t="n">
        <f aca="false" t="array" ref="W175:W175">IF(AND(INDEX(Profils!$Q$5:$Q$34,$AE175)&gt;0,INDEX(Profils!$AF$5:$AF$34,$AE175)&lt;=$AH175),ROUND(INDEX(Profils!$Q$5:$Q$34,$AE175)*Paramètres!$E$33*$AG175*$AJ175,Paramètres!$F$33),0)</f>
        <v>0</v>
      </c>
      <c r="X175" s="20" t="n">
        <f aca="false" t="array" ref="X175:X175">IF(AND(INDEX(Profils!$R$5:$R$34,$AE175)&gt;0,INDEX(Profils!$AG$5:$AG$34,$AE175)&lt;=$AH175),ROUND(INDEX(Profils!$R$5:$R$34,$AE175)*Paramètres!$E$34*$AG175*$AJ175,Paramètres!$F$34),0)</f>
        <v>0</v>
      </c>
      <c r="Y175" s="20" t="n">
        <f aca="false" t="array" ref="Y175:Y175">IF(AND(INDEX(Profils!$S$5:$S$34,$AE175)&gt;0,INDEX(Profils!$AH$5:$AH$34,$AE175)&lt;=$AH175),ROUND(INDEX(Profils!$S$5:$S$34,$AE175)*Paramètres!$E$35*$AG175*$AJ175,Paramètres!$F$35),0)</f>
        <v>0</v>
      </c>
      <c r="Z175" s="21" t="n">
        <f aca="false">ROUND(L175/Paramètres!$E$22+M175/Paramètres!$E$23+N175/Paramètres!$E$24+O175/Paramètres!$E$25+P175/Paramètres!$E$26+Q175/Paramètres!$E$27+R175/Paramètres!$E$28+S175/Paramètres!$E$29+T175/Paramètres!$E$30+U175/Paramètres!$E$31+V175/Paramètres!$E$32+W175/Paramètres!$E$33+X175/Paramètres!$E$34+Y175/Paramètres!$E$35,1)</f>
        <v>1.4</v>
      </c>
      <c r="AA175" s="22" t="s">
        <v>109</v>
      </c>
      <c r="AB175" s="22" t="s">
        <v>109</v>
      </c>
      <c r="AC175" s="15" t="str">
        <f aca="false">$E175</f>
        <v>or</v>
      </c>
      <c r="AD175" s="16" t="n">
        <f aca="false" t="array" ref="AD175:AD175">IF($I175&gt;=$AI175,"Max",ROUND(Paramètres!$B$40*($I175+1)^Paramètres!$B$41*INDEX(Paramètres!$H$6:$H$12,$AF175),0))</f>
        <v>4</v>
      </c>
      <c r="AE175" s="23" t="n">
        <f aca="false">MATCH($B175&amp;"|"&amp;$C175,Profils!$A$5:$A$34,0)</f>
        <v>6</v>
      </c>
      <c r="AF175" s="23" t="n">
        <v>3</v>
      </c>
      <c r="AG175" s="24" t="n">
        <f aca="false" t="array" ref="AG175:AG175">INDEX(Paramètres!$C$6:$C$12,$AF175)</f>
        <v>1.45</v>
      </c>
      <c r="AH175" s="23" t="n">
        <f aca="false" t="array" ref="AH175:AH175">INDEX(Paramètres!$D$6:$D$12,$AF175)</f>
        <v>4</v>
      </c>
      <c r="AI175" s="23" t="n">
        <f aca="false" t="array" ref="AI175:AI175">INDEX(Matériaux!$C$16:$C$20,$D175)</f>
        <v>25</v>
      </c>
      <c r="AJ175" s="25" t="n">
        <f aca="false">Paramètres!$B$16+(1-Paramètres!$B$16)*(($J175-Paramètres!$B$14)/(Paramètres!$B$15-Paramètres!$B$14))^Paramètres!$B$17</f>
        <v>0.26769024555533</v>
      </c>
    </row>
    <row r="176" customFormat="false" ht="15.75" hidden="false" customHeight="true" outlineLevel="0" collapsed="false">
      <c r="A176" s="14" t="s">
        <v>288</v>
      </c>
      <c r="B176" s="15" t="s">
        <v>27</v>
      </c>
      <c r="C176" s="15" t="s">
        <v>273</v>
      </c>
      <c r="D176" s="16" t="n">
        <v>3</v>
      </c>
      <c r="E176" s="15" t="str">
        <f aca="false" t="array" ref="E176:E176">INDEX(Matériaux!$B$5:$F$12,MATCH(INDEX(Profils!$E$5:$E$34,$AE176),Matériaux!$A$5:$A$12,0),$D176)</f>
        <v>or</v>
      </c>
      <c r="F176" s="28" t="s">
        <v>115</v>
      </c>
      <c r="G176" s="10" t="str">
        <f aca="false" t="array" ref="G176:G176">INDEX(Profils!$D$5:$D$34,$AE176)&amp;" en "&amp;$E176</f>
        <v>Anneau de guerre en or</v>
      </c>
      <c r="H176" s="16" t="n">
        <f aca="false" t="array" ref="H176:H176">INDEX(Matériaux!$B$16:$B$20,$D176)</f>
        <v>30</v>
      </c>
      <c r="I176" s="16" t="n">
        <f aca="false">IF(ISNUMBER($C$3),MIN(MAX(0,ROUND($C$3,0)),$AI176),$AI176)</f>
        <v>0</v>
      </c>
      <c r="J176" s="18" t="n">
        <f aca="false">$H176+$I176</f>
        <v>30</v>
      </c>
      <c r="K176" s="15" t="s">
        <v>109</v>
      </c>
      <c r="L176" s="19" t="n">
        <f aca="false" t="array" ref="L176:L176">IF(AND(INDEX(Profils!$F$5:$F$34,$AE176)&gt;0,INDEX(Profils!$U$5:$U$34,$AE176)&lt;=$AH176),ROUND(INDEX(Profils!$F$5:$F$34,$AE176)*Paramètres!$E$22*$AG176*$AJ176,Paramètres!$F$22),0)</f>
        <v>9</v>
      </c>
      <c r="M176" s="19" t="n">
        <f aca="false" t="array" ref="M176:M176">IF(AND(INDEX(Profils!$G$5:$G$34,$AE176)&gt;0,INDEX(Profils!$V$5:$V$34,$AE176)&lt;=$AH176),ROUND(INDEX(Profils!$G$5:$G$34,$AE176)*Paramètres!$E$23*$AG176*$AJ176,Paramètres!$F$23),0)</f>
        <v>7</v>
      </c>
      <c r="N176" s="19" t="n">
        <f aca="false" t="array" ref="N176:N176">IF(AND(INDEX(Profils!$H$5:$H$34,$AE176)&gt;0,INDEX(Profils!$W$5:$W$34,$AE176)&lt;=$AH176),ROUND(INDEX(Profils!$H$5:$H$34,$AE176)*Paramètres!$E$24*$AG176*$AJ176,Paramètres!$F$24),0)</f>
        <v>0</v>
      </c>
      <c r="O176" s="19" t="n">
        <f aca="false" t="array" ref="O176:O176">IF(AND(INDEX(Profils!$I$5:$I$34,$AE176)&gt;0,INDEX(Profils!$X$5:$X$34,$AE176)&lt;=$AH176),ROUND(INDEX(Profils!$I$5:$I$34,$AE176)*Paramètres!$E$25*$AG176*$AJ176,Paramètres!$F$25),0)</f>
        <v>0</v>
      </c>
      <c r="P176" s="19" t="n">
        <f aca="false" t="array" ref="P176:P176">IF(AND(INDEX(Profils!$J$5:$J$34,$AE176)&gt;0,INDEX(Profils!$Y$5:$Y$34,$AE176)&lt;=$AH176),ROUND(INDEX(Profils!$J$5:$J$34,$AE176)*Paramètres!$E$26*$AG176*$AJ176,Paramètres!$F$26),0)</f>
        <v>0</v>
      </c>
      <c r="Q176" s="19" t="n">
        <f aca="false" t="array" ref="Q176:Q176">IF(AND(INDEX(Profils!$K$5:$K$34,$AE176)&gt;0,INDEX(Profils!$Z$5:$Z$34,$AE176)&lt;=$AH176),ROUND(INDEX(Profils!$K$5:$K$34,$AE176)*Paramètres!$E$27*$AG176*$AJ176,Paramètres!$F$27),0)</f>
        <v>0</v>
      </c>
      <c r="R176" s="20" t="n">
        <f aca="false" t="array" ref="R176:R176">IF(AND(INDEX(Profils!$L$5:$L$34,$AE176)&gt;0,INDEX(Profils!$AA$5:$AA$34,$AE176)&lt;=$AH176),ROUND(INDEX(Profils!$L$5:$L$34,$AE176)*Paramètres!$E$28*$AG176*$AJ176,Paramètres!$F$28),0)</f>
        <v>0.006</v>
      </c>
      <c r="S176" s="20" t="n">
        <f aca="false" t="array" ref="S176:S176">IF(AND(INDEX(Profils!$M$5:$M$34,$AE176)&gt;0,INDEX(Profils!$AB$5:$AB$34,$AE176)&lt;=$AH176),ROUND(INDEX(Profils!$M$5:$M$34,$AE176)*Paramètres!$E$29*$AG176*$AJ176,Paramètres!$F$29),0)</f>
        <v>0.005</v>
      </c>
      <c r="T176" s="20" t="n">
        <f aca="false" t="array" ref="T176:T176">IF(AND(INDEX(Profils!$N$5:$N$34,$AE176)&gt;0,INDEX(Profils!$AC$5:$AC$34,$AE176)&lt;=$AH176),ROUND(INDEX(Profils!$N$5:$N$34,$AE176)*Paramètres!$E$30*$AG176*$AJ176,Paramètres!$F$30),0)</f>
        <v>0.013</v>
      </c>
      <c r="U176" s="19" t="n">
        <f aca="false" t="array" ref="U176:U176">IF(AND(INDEX(Profils!$O$5:$O$34,$AE176)&gt;0,INDEX(Profils!$AD$5:$AD$34,$AE176)&lt;=$AH176),ROUND(INDEX(Profils!$O$5:$O$34,$AE176)*Paramètres!$E$31*$AG176*$AJ176,Paramètres!$F$31),0)</f>
        <v>0</v>
      </c>
      <c r="V176" s="20" t="n">
        <f aca="false" t="array" ref="V176:V176">IF(AND(INDEX(Profils!$P$5:$P$34,$AE176)&gt;0,INDEX(Profils!$AE$5:$AE$34,$AE176)&lt;=$AH176),ROUND(INDEX(Profils!$P$5:$P$34,$AE176)*Paramètres!$E$32*$AG176*$AJ176,Paramètres!$F$32),0)</f>
        <v>0</v>
      </c>
      <c r="W176" s="20" t="n">
        <f aca="false" t="array" ref="W176:W176">IF(AND(INDEX(Profils!$Q$5:$Q$34,$AE176)&gt;0,INDEX(Profils!$AF$5:$AF$34,$AE176)&lt;=$AH176),ROUND(INDEX(Profils!$Q$5:$Q$34,$AE176)*Paramètres!$E$33*$AG176*$AJ176,Paramètres!$F$33),0)</f>
        <v>0</v>
      </c>
      <c r="X176" s="20" t="n">
        <f aca="false" t="array" ref="X176:X176">IF(AND(INDEX(Profils!$R$5:$R$34,$AE176)&gt;0,INDEX(Profils!$AG$5:$AG$34,$AE176)&lt;=$AH176),ROUND(INDEX(Profils!$R$5:$R$34,$AE176)*Paramètres!$E$34*$AG176*$AJ176,Paramètres!$F$34),0)</f>
        <v>0</v>
      </c>
      <c r="Y176" s="20" t="n">
        <f aca="false" t="array" ref="Y176:Y176">IF(AND(INDEX(Profils!$S$5:$S$34,$AE176)&gt;0,INDEX(Profils!$AH$5:$AH$34,$AE176)&lt;=$AH176),ROUND(INDEX(Profils!$S$5:$S$34,$AE176)*Paramètres!$E$35*$AG176*$AJ176,Paramètres!$F$35),0)</f>
        <v>0</v>
      </c>
      <c r="Z176" s="21" t="n">
        <f aca="false">ROUND(L176/Paramètres!$E$22+M176/Paramètres!$E$23+N176/Paramètres!$E$24+O176/Paramètres!$E$25+P176/Paramètres!$E$26+Q176/Paramètres!$E$27+R176/Paramètres!$E$28+S176/Paramètres!$E$29+T176/Paramètres!$E$30+U176/Paramètres!$E$31+V176/Paramètres!$E$32+W176/Paramètres!$E$33+X176/Paramètres!$E$34+Y176/Paramètres!$E$35,1)</f>
        <v>2.1</v>
      </c>
      <c r="AA176" s="22" t="s">
        <v>109</v>
      </c>
      <c r="AB176" s="22" t="s">
        <v>109</v>
      </c>
      <c r="AC176" s="15" t="str">
        <f aca="false">$E176</f>
        <v>or</v>
      </c>
      <c r="AD176" s="16" t="n">
        <f aca="false" t="array" ref="AD176:AD176">IF($I176&gt;=$AI176,"Max",ROUND(Paramètres!$B$40*($I176+1)^Paramètres!$B$41*INDEX(Paramètres!$H$6:$H$12,$AF176),0))</f>
        <v>5</v>
      </c>
      <c r="AE176" s="23" t="n">
        <f aca="false">MATCH($B176&amp;"|"&amp;$C176,Profils!$A$5:$A$34,0)</f>
        <v>6</v>
      </c>
      <c r="AF176" s="23" t="n">
        <v>4</v>
      </c>
      <c r="AG176" s="24" t="n">
        <f aca="false" t="array" ref="AG176:AG176">INDEX(Paramètres!$C$6:$C$12,$AF176)</f>
        <v>1.75</v>
      </c>
      <c r="AH176" s="23" t="n">
        <f aca="false" t="array" ref="AH176:AH176">INDEX(Paramètres!$D$6:$D$12,$AF176)</f>
        <v>5</v>
      </c>
      <c r="AI176" s="23" t="n">
        <f aca="false" t="array" ref="AI176:AI176">INDEX(Matériaux!$C$16:$C$20,$D176)</f>
        <v>25</v>
      </c>
      <c r="AJ176" s="25" t="n">
        <f aca="false">Paramètres!$B$16+(1-Paramètres!$B$16)*(($J176-Paramètres!$B$14)/(Paramètres!$B$15-Paramètres!$B$14))^Paramètres!$B$17</f>
        <v>0.26769024555533</v>
      </c>
    </row>
    <row r="177" customFormat="false" ht="15.75" hidden="false" customHeight="true" outlineLevel="0" collapsed="false">
      <c r="A177" s="14" t="s">
        <v>289</v>
      </c>
      <c r="B177" s="15" t="s">
        <v>27</v>
      </c>
      <c r="C177" s="15" t="s">
        <v>273</v>
      </c>
      <c r="D177" s="16" t="n">
        <v>3</v>
      </c>
      <c r="E177" s="15" t="str">
        <f aca="false" t="array" ref="E177:E177">INDEX(Matériaux!$B$5:$F$12,MATCH(INDEX(Profils!$E$5:$E$34,$AE177),Matériaux!$A$5:$A$12,0),$D177)</f>
        <v>or</v>
      </c>
      <c r="F177" s="29" t="s">
        <v>117</v>
      </c>
      <c r="G177" s="10" t="str">
        <f aca="false" t="array" ref="G177:G177">INDEX(Profils!$D$5:$D$34,$AE177)&amp;" en "&amp;$E177</f>
        <v>Anneau de guerre en or</v>
      </c>
      <c r="H177" s="16" t="n">
        <f aca="false" t="array" ref="H177:H177">INDEX(Matériaux!$B$16:$B$20,$D177)</f>
        <v>30</v>
      </c>
      <c r="I177" s="16" t="n">
        <f aca="false">IF(ISNUMBER($C$3),MIN(MAX(0,ROUND($C$3,0)),$AI177),$AI177)</f>
        <v>0</v>
      </c>
      <c r="J177" s="18" t="n">
        <f aca="false">$H177+$I177</f>
        <v>30</v>
      </c>
      <c r="K177" s="15" t="s">
        <v>109</v>
      </c>
      <c r="L177" s="19" t="n">
        <f aca="false" t="array" ref="L177:L177">IF(AND(INDEX(Profils!$F$5:$F$34,$AE177)&gt;0,INDEX(Profils!$U$5:$U$34,$AE177)&lt;=$AH177),ROUND(INDEX(Profils!$F$5:$F$34,$AE177)*Paramètres!$E$22*$AG177*$AJ177,Paramètres!$F$22),0)</f>
        <v>11</v>
      </c>
      <c r="M177" s="19" t="n">
        <f aca="false" t="array" ref="M177:M177">IF(AND(INDEX(Profils!$G$5:$G$34,$AE177)&gt;0,INDEX(Profils!$V$5:$V$34,$AE177)&lt;=$AH177),ROUND(INDEX(Profils!$G$5:$G$34,$AE177)*Paramètres!$E$23*$AG177*$AJ177,Paramètres!$F$23),0)</f>
        <v>8</v>
      </c>
      <c r="N177" s="19" t="n">
        <f aca="false" t="array" ref="N177:N177">IF(AND(INDEX(Profils!$H$5:$H$34,$AE177)&gt;0,INDEX(Profils!$W$5:$W$34,$AE177)&lt;=$AH177),ROUND(INDEX(Profils!$H$5:$H$34,$AE177)*Paramètres!$E$24*$AG177*$AJ177,Paramètres!$F$24),0)</f>
        <v>0</v>
      </c>
      <c r="O177" s="19" t="n">
        <f aca="false" t="array" ref="O177:O177">IF(AND(INDEX(Profils!$I$5:$I$34,$AE177)&gt;0,INDEX(Profils!$X$5:$X$34,$AE177)&lt;=$AH177),ROUND(INDEX(Profils!$I$5:$I$34,$AE177)*Paramètres!$E$25*$AG177*$AJ177,Paramètres!$F$25),0)</f>
        <v>0</v>
      </c>
      <c r="P177" s="19" t="n">
        <f aca="false" t="array" ref="P177:P177">IF(AND(INDEX(Profils!$J$5:$J$34,$AE177)&gt;0,INDEX(Profils!$Y$5:$Y$34,$AE177)&lt;=$AH177),ROUND(INDEX(Profils!$J$5:$J$34,$AE177)*Paramètres!$E$26*$AG177*$AJ177,Paramètres!$F$26),0)</f>
        <v>0</v>
      </c>
      <c r="Q177" s="19" t="n">
        <f aca="false" t="array" ref="Q177:Q177">IF(AND(INDEX(Profils!$K$5:$K$34,$AE177)&gt;0,INDEX(Profils!$Z$5:$Z$34,$AE177)&lt;=$AH177),ROUND(INDEX(Profils!$K$5:$K$34,$AE177)*Paramètres!$E$27*$AG177*$AJ177,Paramètres!$F$27),0)</f>
        <v>0</v>
      </c>
      <c r="R177" s="20" t="n">
        <f aca="false" t="array" ref="R177:R177">IF(AND(INDEX(Profils!$L$5:$L$34,$AE177)&gt;0,INDEX(Profils!$AA$5:$AA$34,$AE177)&lt;=$AH177),ROUND(INDEX(Profils!$L$5:$L$34,$AE177)*Paramètres!$E$28*$AG177*$AJ177,Paramètres!$F$28),0)</f>
        <v>0.007</v>
      </c>
      <c r="S177" s="20" t="n">
        <f aca="false" t="array" ref="S177:S177">IF(AND(INDEX(Profils!$M$5:$M$34,$AE177)&gt;0,INDEX(Profils!$AB$5:$AB$34,$AE177)&lt;=$AH177),ROUND(INDEX(Profils!$M$5:$M$34,$AE177)*Paramètres!$E$29*$AG177*$AJ177,Paramètres!$F$29),0)</f>
        <v>0.006</v>
      </c>
      <c r="T177" s="20" t="n">
        <f aca="false" t="array" ref="T177:T177">IF(AND(INDEX(Profils!$N$5:$N$34,$AE177)&gt;0,INDEX(Profils!$AC$5:$AC$34,$AE177)&lt;=$AH177),ROUND(INDEX(Profils!$N$5:$N$34,$AE177)*Paramètres!$E$30*$AG177*$AJ177,Paramètres!$F$30),0)</f>
        <v>0.015</v>
      </c>
      <c r="U177" s="19" t="n">
        <f aca="false" t="array" ref="U177:U177">IF(AND(INDEX(Profils!$O$5:$O$34,$AE177)&gt;0,INDEX(Profils!$AD$5:$AD$34,$AE177)&lt;=$AH177),ROUND(INDEX(Profils!$O$5:$O$34,$AE177)*Paramètres!$E$31*$AG177*$AJ177,Paramètres!$F$31),0)</f>
        <v>0</v>
      </c>
      <c r="V177" s="20" t="n">
        <f aca="false" t="array" ref="V177:V177">IF(AND(INDEX(Profils!$P$5:$P$34,$AE177)&gt;0,INDEX(Profils!$AE$5:$AE$34,$AE177)&lt;=$AH177),ROUND(INDEX(Profils!$P$5:$P$34,$AE177)*Paramètres!$E$32*$AG177*$AJ177,Paramètres!$F$32),0)</f>
        <v>0.006</v>
      </c>
      <c r="W177" s="20" t="n">
        <f aca="false" t="array" ref="W177:W177">IF(AND(INDEX(Profils!$Q$5:$Q$34,$AE177)&gt;0,INDEX(Profils!$AF$5:$AF$34,$AE177)&lt;=$AH177),ROUND(INDEX(Profils!$Q$5:$Q$34,$AE177)*Paramètres!$E$33*$AG177*$AJ177,Paramètres!$F$33),0)</f>
        <v>0</v>
      </c>
      <c r="X177" s="20" t="n">
        <f aca="false" t="array" ref="X177:X177">IF(AND(INDEX(Profils!$R$5:$R$34,$AE177)&gt;0,INDEX(Profils!$AG$5:$AG$34,$AE177)&lt;=$AH177),ROUND(INDEX(Profils!$R$5:$R$34,$AE177)*Paramètres!$E$34*$AG177*$AJ177,Paramètres!$F$34),0)</f>
        <v>0</v>
      </c>
      <c r="Y177" s="20" t="n">
        <f aca="false" t="array" ref="Y177:Y177">IF(AND(INDEX(Profils!$S$5:$S$34,$AE177)&gt;0,INDEX(Profils!$AH$5:$AH$34,$AE177)&lt;=$AH177),ROUND(INDEX(Profils!$S$5:$S$34,$AE177)*Paramètres!$E$35*$AG177*$AJ177,Paramètres!$F$35),0)</f>
        <v>0</v>
      </c>
      <c r="Z177" s="21" t="n">
        <f aca="false">ROUND(L177/Paramètres!$E$22+M177/Paramètres!$E$23+N177/Paramètres!$E$24+O177/Paramètres!$E$25+P177/Paramètres!$E$26+Q177/Paramètres!$E$27+R177/Paramètres!$E$28+S177/Paramètres!$E$29+T177/Paramètres!$E$30+U177/Paramètres!$E$31+V177/Paramètres!$E$32+W177/Paramètres!$E$33+X177/Paramètres!$E$34+Y177/Paramètres!$E$35,1)</f>
        <v>2.8</v>
      </c>
      <c r="AA177" s="22" t="s">
        <v>109</v>
      </c>
      <c r="AB177" s="22" t="s">
        <v>109</v>
      </c>
      <c r="AC177" s="15" t="str">
        <f aca="false">$E177</f>
        <v>or</v>
      </c>
      <c r="AD177" s="16" t="n">
        <f aca="false" t="array" ref="AD177:AD177">IF($I177&gt;=$AI177,"Max",ROUND(Paramètres!$B$40*($I177+1)^Paramètres!$B$41*INDEX(Paramètres!$H$6:$H$12,$AF177),0))</f>
        <v>6</v>
      </c>
      <c r="AE177" s="23" t="n">
        <f aca="false">MATCH($B177&amp;"|"&amp;$C177,Profils!$A$5:$A$34,0)</f>
        <v>6</v>
      </c>
      <c r="AF177" s="23" t="n">
        <v>5</v>
      </c>
      <c r="AG177" s="24" t="n">
        <f aca="false" t="array" ref="AG177:AG177">INDEX(Paramètres!$C$6:$C$12,$AF177)</f>
        <v>2.1</v>
      </c>
      <c r="AH177" s="23" t="n">
        <f aca="false" t="array" ref="AH177:AH177">INDEX(Paramètres!$D$6:$D$12,$AF177)</f>
        <v>6</v>
      </c>
      <c r="AI177" s="23" t="n">
        <f aca="false" t="array" ref="AI177:AI177">INDEX(Matériaux!$C$16:$C$20,$D177)</f>
        <v>25</v>
      </c>
      <c r="AJ177" s="25" t="n">
        <f aca="false">Paramètres!$B$16+(1-Paramètres!$B$16)*(($J177-Paramètres!$B$14)/(Paramètres!$B$15-Paramètres!$B$14))^Paramètres!$B$17</f>
        <v>0.26769024555533</v>
      </c>
    </row>
    <row r="178" customFormat="false" ht="15.75" hidden="false" customHeight="true" outlineLevel="0" collapsed="false">
      <c r="A178" s="14" t="s">
        <v>290</v>
      </c>
      <c r="B178" s="15" t="s">
        <v>27</v>
      </c>
      <c r="C178" s="15" t="s">
        <v>273</v>
      </c>
      <c r="D178" s="16" t="n">
        <v>3</v>
      </c>
      <c r="E178" s="15" t="str">
        <f aca="false" t="array" ref="E178:E178">INDEX(Matériaux!$B$5:$F$12,MATCH(INDEX(Profils!$E$5:$E$34,$AE178),Matériaux!$A$5:$A$12,0),$D178)</f>
        <v>or</v>
      </c>
      <c r="F178" s="30" t="s">
        <v>119</v>
      </c>
      <c r="G178" s="10" t="str">
        <f aca="false" t="array" ref="G178:G178">INDEX(Profils!$D$5:$D$34,$AE178)&amp;" en "&amp;$E178</f>
        <v>Anneau de guerre en or</v>
      </c>
      <c r="H178" s="16" t="n">
        <f aca="false" t="array" ref="H178:H178">INDEX(Matériaux!$B$16:$B$20,$D178)</f>
        <v>30</v>
      </c>
      <c r="I178" s="16" t="n">
        <f aca="false">IF(ISNUMBER($C$3),MIN(MAX(0,ROUND($C$3,0)),$AI178),$AI178)</f>
        <v>0</v>
      </c>
      <c r="J178" s="18" t="n">
        <f aca="false">$H178+$I178</f>
        <v>30</v>
      </c>
      <c r="K178" s="15" t="s">
        <v>109</v>
      </c>
      <c r="L178" s="19" t="n">
        <f aca="false" t="array" ref="L178:L178">IF(AND(INDEX(Profils!$F$5:$F$34,$AE178)&gt;0,INDEX(Profils!$U$5:$U$34,$AE178)&lt;=$AH178),ROUND(INDEX(Profils!$F$5:$F$34,$AE178)*Paramètres!$E$22*$AG178*$AJ178,Paramètres!$F$22),0)</f>
        <v>13</v>
      </c>
      <c r="M178" s="19" t="n">
        <f aca="false" t="array" ref="M178:M178">IF(AND(INDEX(Profils!$G$5:$G$34,$AE178)&gt;0,INDEX(Profils!$V$5:$V$34,$AE178)&lt;=$AH178),ROUND(INDEX(Profils!$G$5:$G$34,$AE178)*Paramètres!$E$23*$AG178*$AJ178,Paramètres!$F$23),0)</f>
        <v>10</v>
      </c>
      <c r="N178" s="19" t="n">
        <f aca="false" t="array" ref="N178:N178">IF(AND(INDEX(Profils!$H$5:$H$34,$AE178)&gt;0,INDEX(Profils!$W$5:$W$34,$AE178)&lt;=$AH178),ROUND(INDEX(Profils!$H$5:$H$34,$AE178)*Paramètres!$E$24*$AG178*$AJ178,Paramètres!$F$24),0)</f>
        <v>0</v>
      </c>
      <c r="O178" s="19" t="n">
        <f aca="false" t="array" ref="O178:O178">IF(AND(INDEX(Profils!$I$5:$I$34,$AE178)&gt;0,INDEX(Profils!$X$5:$X$34,$AE178)&lt;=$AH178),ROUND(INDEX(Profils!$I$5:$I$34,$AE178)*Paramètres!$E$25*$AG178*$AJ178,Paramètres!$F$25),0)</f>
        <v>0</v>
      </c>
      <c r="P178" s="19" t="n">
        <f aca="false" t="array" ref="P178:P178">IF(AND(INDEX(Profils!$J$5:$J$34,$AE178)&gt;0,INDEX(Profils!$Y$5:$Y$34,$AE178)&lt;=$AH178),ROUND(INDEX(Profils!$J$5:$J$34,$AE178)*Paramètres!$E$26*$AG178*$AJ178,Paramètres!$F$26),0)</f>
        <v>3</v>
      </c>
      <c r="Q178" s="19" t="n">
        <f aca="false" t="array" ref="Q178:Q178">IF(AND(INDEX(Profils!$K$5:$K$34,$AE178)&gt;0,INDEX(Profils!$Z$5:$Z$34,$AE178)&lt;=$AH178),ROUND(INDEX(Profils!$K$5:$K$34,$AE178)*Paramètres!$E$27*$AG178*$AJ178,Paramètres!$F$27),0)</f>
        <v>0</v>
      </c>
      <c r="R178" s="20" t="n">
        <f aca="false" t="array" ref="R178:R178">IF(AND(INDEX(Profils!$L$5:$L$34,$AE178)&gt;0,INDEX(Profils!$AA$5:$AA$34,$AE178)&lt;=$AH178),ROUND(INDEX(Profils!$L$5:$L$34,$AE178)*Paramètres!$E$28*$AG178*$AJ178,Paramètres!$F$28),0)</f>
        <v>0.008</v>
      </c>
      <c r="S178" s="20" t="n">
        <f aca="false" t="array" ref="S178:S178">IF(AND(INDEX(Profils!$M$5:$M$34,$AE178)&gt;0,INDEX(Profils!$AB$5:$AB$34,$AE178)&lt;=$AH178),ROUND(INDEX(Profils!$M$5:$M$34,$AE178)*Paramètres!$E$29*$AG178*$AJ178,Paramètres!$F$29),0)</f>
        <v>0.007</v>
      </c>
      <c r="T178" s="20" t="n">
        <f aca="false" t="array" ref="T178:T178">IF(AND(INDEX(Profils!$N$5:$N$34,$AE178)&gt;0,INDEX(Profils!$AC$5:$AC$34,$AE178)&lt;=$AH178),ROUND(INDEX(Profils!$N$5:$N$34,$AE178)*Paramètres!$E$30*$AG178*$AJ178,Paramètres!$F$30),0)</f>
        <v>0.017</v>
      </c>
      <c r="U178" s="19" t="n">
        <f aca="false" t="array" ref="U178:U178">IF(AND(INDEX(Profils!$O$5:$O$34,$AE178)&gt;0,INDEX(Profils!$AD$5:$AD$34,$AE178)&lt;=$AH178),ROUND(INDEX(Profils!$O$5:$O$34,$AE178)*Paramètres!$E$31*$AG178*$AJ178,Paramètres!$F$31),0)</f>
        <v>0</v>
      </c>
      <c r="V178" s="20" t="n">
        <f aca="false" t="array" ref="V178:V178">IF(AND(INDEX(Profils!$P$5:$P$34,$AE178)&gt;0,INDEX(Profils!$AE$5:$AE$34,$AE178)&lt;=$AH178),ROUND(INDEX(Profils!$P$5:$P$34,$AE178)*Paramètres!$E$32*$AG178*$AJ178,Paramètres!$F$32),0)</f>
        <v>0.007</v>
      </c>
      <c r="W178" s="20" t="n">
        <f aca="false" t="array" ref="W178:W178">IF(AND(INDEX(Profils!$Q$5:$Q$34,$AE178)&gt;0,INDEX(Profils!$AF$5:$AF$34,$AE178)&lt;=$AH178),ROUND(INDEX(Profils!$Q$5:$Q$34,$AE178)*Paramètres!$E$33*$AG178*$AJ178,Paramètres!$F$33),0)</f>
        <v>0</v>
      </c>
      <c r="X178" s="20" t="n">
        <f aca="false" t="array" ref="X178:X178">IF(AND(INDEX(Profils!$R$5:$R$34,$AE178)&gt;0,INDEX(Profils!$AG$5:$AG$34,$AE178)&lt;=$AH178),ROUND(INDEX(Profils!$R$5:$R$34,$AE178)*Paramètres!$E$34*$AG178*$AJ178,Paramètres!$F$34),0)</f>
        <v>0</v>
      </c>
      <c r="Y178" s="20" t="n">
        <f aca="false" t="array" ref="Y178:Y178">IF(AND(INDEX(Profils!$S$5:$S$34,$AE178)&gt;0,INDEX(Profils!$AH$5:$AH$34,$AE178)&lt;=$AH178),ROUND(INDEX(Profils!$S$5:$S$34,$AE178)*Paramètres!$E$35*$AG178*$AJ178,Paramètres!$F$35),0)</f>
        <v>0</v>
      </c>
      <c r="Z178" s="21" t="n">
        <f aca="false">ROUND(L178/Paramètres!$E$22+M178/Paramètres!$E$23+N178/Paramètres!$E$24+O178/Paramètres!$E$25+P178/Paramètres!$E$26+Q178/Paramètres!$E$27+R178/Paramètres!$E$28+S178/Paramètres!$E$29+T178/Paramètres!$E$30+U178/Paramètres!$E$31+V178/Paramètres!$E$32+W178/Paramètres!$E$33+X178/Paramètres!$E$34+Y178/Paramètres!$E$35,1)</f>
        <v>3.6</v>
      </c>
      <c r="AA178" s="22" t="s">
        <v>109</v>
      </c>
      <c r="AB178" s="22" t="s">
        <v>109</v>
      </c>
      <c r="AC178" s="15" t="str">
        <f aca="false">$E178</f>
        <v>or</v>
      </c>
      <c r="AD178" s="16" t="n">
        <f aca="false" t="array" ref="AD178:AD178">IF($I178&gt;=$AI178,"Max",ROUND(Paramètres!$B$40*($I178+1)^Paramètres!$B$41*INDEX(Paramètres!$H$6:$H$12,$AF178),0))</f>
        <v>8</v>
      </c>
      <c r="AE178" s="23" t="n">
        <f aca="false">MATCH($B178&amp;"|"&amp;$C178,Profils!$A$5:$A$34,0)</f>
        <v>6</v>
      </c>
      <c r="AF178" s="23" t="n">
        <v>6</v>
      </c>
      <c r="AG178" s="24" t="n">
        <f aca="false" t="array" ref="AG178:AG178">INDEX(Paramètres!$C$6:$C$12,$AF178)</f>
        <v>2.4</v>
      </c>
      <c r="AH178" s="23" t="n">
        <f aca="false" t="array" ref="AH178:AH178">INDEX(Paramètres!$D$6:$D$12,$AF178)</f>
        <v>7</v>
      </c>
      <c r="AI178" s="23" t="n">
        <f aca="false" t="array" ref="AI178:AI178">INDEX(Matériaux!$C$16:$C$20,$D178)</f>
        <v>25</v>
      </c>
      <c r="AJ178" s="25" t="n">
        <f aca="false">Paramètres!$B$16+(1-Paramètres!$B$16)*(($J178-Paramètres!$B$14)/(Paramètres!$B$15-Paramètres!$B$14))^Paramètres!$B$17</f>
        <v>0.26769024555533</v>
      </c>
    </row>
    <row r="179" customFormat="false" ht="15.75" hidden="false" customHeight="true" outlineLevel="0" collapsed="false">
      <c r="A179" s="14" t="s">
        <v>291</v>
      </c>
      <c r="B179" s="15" t="s">
        <v>27</v>
      </c>
      <c r="C179" s="15" t="s">
        <v>273</v>
      </c>
      <c r="D179" s="16" t="n">
        <v>4</v>
      </c>
      <c r="E179" s="15" t="str">
        <f aca="false" t="array" ref="E179:E179">INDEX(Matériaux!$B$5:$F$12,MATCH(INDEX(Profils!$E$5:$E$34,$AE179),Matériaux!$A$5:$A$12,0),$D179)</f>
        <v>platine</v>
      </c>
      <c r="F179" s="17" t="s">
        <v>108</v>
      </c>
      <c r="G179" s="10" t="str">
        <f aca="false" t="array" ref="G179:G179">INDEX(Profils!$D$5:$D$34,$AE179)&amp;" en "&amp;$E179</f>
        <v>Anneau de guerre en platine</v>
      </c>
      <c r="H179" s="16" t="n">
        <f aca="false" t="array" ref="H179:H179">INDEX(Matériaux!$B$16:$B$20,$D179)</f>
        <v>50</v>
      </c>
      <c r="I179" s="16" t="n">
        <f aca="false">IF(ISNUMBER($C$3),MIN(MAX(0,ROUND($C$3,0)),$AI179),$AI179)</f>
        <v>0</v>
      </c>
      <c r="J179" s="18" t="n">
        <f aca="false">$H179+$I179</f>
        <v>50</v>
      </c>
      <c r="K179" s="15" t="s">
        <v>109</v>
      </c>
      <c r="L179" s="19" t="n">
        <f aca="false" t="array" ref="L179:L179">IF(AND(INDEX(Profils!$F$5:$F$34,$AE179)&gt;0,INDEX(Profils!$U$5:$U$34,$AE179)&lt;=$AH179),ROUND(INDEX(Profils!$F$5:$F$34,$AE179)*Paramètres!$E$22*$AG179*$AJ179,Paramètres!$F$22),0)</f>
        <v>0</v>
      </c>
      <c r="M179" s="19" t="n">
        <f aca="false" t="array" ref="M179:M179">IF(AND(INDEX(Profils!$G$5:$G$34,$AE179)&gt;0,INDEX(Profils!$V$5:$V$34,$AE179)&lt;=$AH179),ROUND(INDEX(Profils!$G$5:$G$34,$AE179)*Paramètres!$E$23*$AG179*$AJ179,Paramètres!$F$23),0)</f>
        <v>7</v>
      </c>
      <c r="N179" s="19" t="n">
        <f aca="false" t="array" ref="N179:N179">IF(AND(INDEX(Profils!$H$5:$H$34,$AE179)&gt;0,INDEX(Profils!$W$5:$W$34,$AE179)&lt;=$AH179),ROUND(INDEX(Profils!$H$5:$H$34,$AE179)*Paramètres!$E$24*$AG179*$AJ179,Paramètres!$F$24),0)</f>
        <v>0</v>
      </c>
      <c r="O179" s="19" t="n">
        <f aca="false" t="array" ref="O179:O179">IF(AND(INDEX(Profils!$I$5:$I$34,$AE179)&gt;0,INDEX(Profils!$X$5:$X$34,$AE179)&lt;=$AH179),ROUND(INDEX(Profils!$I$5:$I$34,$AE179)*Paramètres!$E$25*$AG179*$AJ179,Paramètres!$F$25),0)</f>
        <v>0</v>
      </c>
      <c r="P179" s="19" t="n">
        <f aca="false" t="array" ref="P179:P179">IF(AND(INDEX(Profils!$J$5:$J$34,$AE179)&gt;0,INDEX(Profils!$Y$5:$Y$34,$AE179)&lt;=$AH179),ROUND(INDEX(Profils!$J$5:$J$34,$AE179)*Paramètres!$E$26*$AG179*$AJ179,Paramètres!$F$26),0)</f>
        <v>0</v>
      </c>
      <c r="Q179" s="19" t="n">
        <f aca="false" t="array" ref="Q179:Q179">IF(AND(INDEX(Profils!$K$5:$K$34,$AE179)&gt;0,INDEX(Profils!$Z$5:$Z$34,$AE179)&lt;=$AH179),ROUND(INDEX(Profils!$K$5:$K$34,$AE179)*Paramètres!$E$27*$AG179*$AJ179,Paramètres!$F$27),0)</f>
        <v>0</v>
      </c>
      <c r="R179" s="20" t="n">
        <f aca="false" t="array" ref="R179:R179">IF(AND(INDEX(Profils!$L$5:$L$34,$AE179)&gt;0,INDEX(Profils!$AA$5:$AA$34,$AE179)&lt;=$AH179),ROUND(INDEX(Profils!$L$5:$L$34,$AE179)*Paramètres!$E$28*$AG179*$AJ179,Paramètres!$F$28),0)</f>
        <v>0</v>
      </c>
      <c r="S179" s="20" t="n">
        <f aca="false" t="array" ref="S179:S179">IF(AND(INDEX(Profils!$M$5:$M$34,$AE179)&gt;0,INDEX(Profils!$AB$5:$AB$34,$AE179)&lt;=$AH179),ROUND(INDEX(Profils!$M$5:$M$34,$AE179)*Paramètres!$E$29*$AG179*$AJ179,Paramètres!$F$29),0)</f>
        <v>0.005</v>
      </c>
      <c r="T179" s="20" t="n">
        <f aca="false" t="array" ref="T179:T179">IF(AND(INDEX(Profils!$N$5:$N$34,$AE179)&gt;0,INDEX(Profils!$AC$5:$AC$34,$AE179)&lt;=$AH179),ROUND(INDEX(Profils!$N$5:$N$34,$AE179)*Paramètres!$E$30*$AG179*$AJ179,Paramètres!$F$30),0)</f>
        <v>0</v>
      </c>
      <c r="U179" s="19" t="n">
        <f aca="false" t="array" ref="U179:U179">IF(AND(INDEX(Profils!$O$5:$O$34,$AE179)&gt;0,INDEX(Profils!$AD$5:$AD$34,$AE179)&lt;=$AH179),ROUND(INDEX(Profils!$O$5:$O$34,$AE179)*Paramètres!$E$31*$AG179*$AJ179,Paramètres!$F$31),0)</f>
        <v>0</v>
      </c>
      <c r="V179" s="20" t="n">
        <f aca="false" t="array" ref="V179:V179">IF(AND(INDEX(Profils!$P$5:$P$34,$AE179)&gt;0,INDEX(Profils!$AE$5:$AE$34,$AE179)&lt;=$AH179),ROUND(INDEX(Profils!$P$5:$P$34,$AE179)*Paramètres!$E$32*$AG179*$AJ179,Paramètres!$F$32),0)</f>
        <v>0</v>
      </c>
      <c r="W179" s="20" t="n">
        <f aca="false" t="array" ref="W179:W179">IF(AND(INDEX(Profils!$Q$5:$Q$34,$AE179)&gt;0,INDEX(Profils!$AF$5:$AF$34,$AE179)&lt;=$AH179),ROUND(INDEX(Profils!$Q$5:$Q$34,$AE179)*Paramètres!$E$33*$AG179*$AJ179,Paramètres!$F$33),0)</f>
        <v>0</v>
      </c>
      <c r="X179" s="20" t="n">
        <f aca="false" t="array" ref="X179:X179">IF(AND(INDEX(Profils!$R$5:$R$34,$AE179)&gt;0,INDEX(Profils!$AG$5:$AG$34,$AE179)&lt;=$AH179),ROUND(INDEX(Profils!$R$5:$R$34,$AE179)*Paramètres!$E$34*$AG179*$AJ179,Paramètres!$F$34),0)</f>
        <v>0</v>
      </c>
      <c r="Y179" s="20" t="n">
        <f aca="false" t="array" ref="Y179:Y179">IF(AND(INDEX(Profils!$S$5:$S$34,$AE179)&gt;0,INDEX(Profils!$AH$5:$AH$34,$AE179)&lt;=$AH179),ROUND(INDEX(Profils!$S$5:$S$34,$AE179)*Paramètres!$E$35*$AG179*$AJ179,Paramètres!$F$35),0)</f>
        <v>0</v>
      </c>
      <c r="Z179" s="21" t="n">
        <f aca="false">ROUND(L179/Paramètres!$E$22+M179/Paramètres!$E$23+N179/Paramètres!$E$24+O179/Paramètres!$E$25+P179/Paramètres!$E$26+Q179/Paramètres!$E$27+R179/Paramètres!$E$28+S179/Paramètres!$E$29+T179/Paramètres!$E$30+U179/Paramètres!$E$31+V179/Paramètres!$E$32+W179/Paramètres!$E$33+X179/Paramètres!$E$34+Y179/Paramètres!$E$35,1)</f>
        <v>0.9</v>
      </c>
      <c r="AA179" s="22" t="s">
        <v>109</v>
      </c>
      <c r="AB179" s="22" t="s">
        <v>109</v>
      </c>
      <c r="AC179" s="15" t="str">
        <f aca="false">$E179</f>
        <v>platine</v>
      </c>
      <c r="AD179" s="16" t="n">
        <f aca="false" t="array" ref="AD179:AD179">IF($I179&gt;=$AI179,"Max",ROUND(Paramètres!$B$40*($I179+1)^Paramètres!$B$41*INDEX(Paramètres!$H$6:$H$12,$AF179),0))</f>
        <v>3</v>
      </c>
      <c r="AE179" s="23" t="n">
        <f aca="false">MATCH($B179&amp;"|"&amp;$C179,Profils!$A$5:$A$34,0)</f>
        <v>6</v>
      </c>
      <c r="AF179" s="23" t="n">
        <v>1</v>
      </c>
      <c r="AG179" s="24" t="n">
        <f aca="false" t="array" ref="AG179:AG179">INDEX(Paramètres!$C$6:$C$12,$AF179)</f>
        <v>1</v>
      </c>
      <c r="AH179" s="23" t="n">
        <f aca="false" t="array" ref="AH179:AH179">INDEX(Paramètres!$D$6:$D$12,$AF179)</f>
        <v>2</v>
      </c>
      <c r="AI179" s="23" t="n">
        <f aca="false" t="array" ref="AI179:AI179">INDEX(Matériaux!$C$16:$C$20,$D179)</f>
        <v>25</v>
      </c>
      <c r="AJ179" s="25" t="n">
        <f aca="false">Paramètres!$B$16+(1-Paramètres!$B$16)*(($J179-Paramètres!$B$14)/(Paramètres!$B$15-Paramètres!$B$14))^Paramètres!$B$17</f>
        <v>0.458504333336152</v>
      </c>
    </row>
    <row r="180" customFormat="false" ht="15.75" hidden="false" customHeight="true" outlineLevel="0" collapsed="false">
      <c r="A180" s="14" t="s">
        <v>292</v>
      </c>
      <c r="B180" s="15" t="s">
        <v>27</v>
      </c>
      <c r="C180" s="15" t="s">
        <v>273</v>
      </c>
      <c r="D180" s="16" t="n">
        <v>4</v>
      </c>
      <c r="E180" s="15" t="str">
        <f aca="false" t="array" ref="E180:E180">INDEX(Matériaux!$B$5:$F$12,MATCH(INDEX(Profils!$E$5:$E$34,$AE180),Matériaux!$A$5:$A$12,0),$D180)</f>
        <v>platine</v>
      </c>
      <c r="F180" s="26" t="s">
        <v>111</v>
      </c>
      <c r="G180" s="10" t="str">
        <f aca="false" t="array" ref="G180:G180">INDEX(Profils!$D$5:$D$34,$AE180)&amp;" en "&amp;$E180</f>
        <v>Anneau de guerre en platine</v>
      </c>
      <c r="H180" s="16" t="n">
        <f aca="false" t="array" ref="H180:H180">INDEX(Matériaux!$B$16:$B$20,$D180)</f>
        <v>50</v>
      </c>
      <c r="I180" s="16" t="n">
        <f aca="false">IF(ISNUMBER($C$3),MIN(MAX(0,ROUND($C$3,0)),$AI180),$AI180)</f>
        <v>0</v>
      </c>
      <c r="J180" s="18" t="n">
        <f aca="false">$H180+$I180</f>
        <v>50</v>
      </c>
      <c r="K180" s="15" t="s">
        <v>109</v>
      </c>
      <c r="L180" s="19" t="n">
        <f aca="false" t="array" ref="L180:L180">IF(AND(INDEX(Profils!$F$5:$F$34,$AE180)&gt;0,INDEX(Profils!$U$5:$U$34,$AE180)&lt;=$AH180),ROUND(INDEX(Profils!$F$5:$F$34,$AE180)*Paramètres!$E$22*$AG180*$AJ180,Paramètres!$F$22),0)</f>
        <v>0</v>
      </c>
      <c r="M180" s="19" t="n">
        <f aca="false" t="array" ref="M180:M180">IF(AND(INDEX(Profils!$G$5:$G$34,$AE180)&gt;0,INDEX(Profils!$V$5:$V$34,$AE180)&lt;=$AH180),ROUND(INDEX(Profils!$G$5:$G$34,$AE180)*Paramètres!$E$23*$AG180*$AJ180,Paramètres!$F$23),0)</f>
        <v>8</v>
      </c>
      <c r="N180" s="19" t="n">
        <f aca="false" t="array" ref="N180:N180">IF(AND(INDEX(Profils!$H$5:$H$34,$AE180)&gt;0,INDEX(Profils!$W$5:$W$34,$AE180)&lt;=$AH180),ROUND(INDEX(Profils!$H$5:$H$34,$AE180)*Paramètres!$E$24*$AG180*$AJ180,Paramètres!$F$24),0)</f>
        <v>0</v>
      </c>
      <c r="O180" s="19" t="n">
        <f aca="false" t="array" ref="O180:O180">IF(AND(INDEX(Profils!$I$5:$I$34,$AE180)&gt;0,INDEX(Profils!$X$5:$X$34,$AE180)&lt;=$AH180),ROUND(INDEX(Profils!$I$5:$I$34,$AE180)*Paramètres!$E$25*$AG180*$AJ180,Paramètres!$F$25),0)</f>
        <v>0</v>
      </c>
      <c r="P180" s="19" t="n">
        <f aca="false" t="array" ref="P180:P180">IF(AND(INDEX(Profils!$J$5:$J$34,$AE180)&gt;0,INDEX(Profils!$Y$5:$Y$34,$AE180)&lt;=$AH180),ROUND(INDEX(Profils!$J$5:$J$34,$AE180)*Paramètres!$E$26*$AG180*$AJ180,Paramètres!$F$26),0)</f>
        <v>0</v>
      </c>
      <c r="Q180" s="19" t="n">
        <f aca="false" t="array" ref="Q180:Q180">IF(AND(INDEX(Profils!$K$5:$K$34,$AE180)&gt;0,INDEX(Profils!$Z$5:$Z$34,$AE180)&lt;=$AH180),ROUND(INDEX(Profils!$K$5:$K$34,$AE180)*Paramètres!$E$27*$AG180*$AJ180,Paramètres!$F$27),0)</f>
        <v>0</v>
      </c>
      <c r="R180" s="20" t="n">
        <f aca="false" t="array" ref="R180:R180">IF(AND(INDEX(Profils!$L$5:$L$34,$AE180)&gt;0,INDEX(Profils!$AA$5:$AA$34,$AE180)&lt;=$AH180),ROUND(INDEX(Profils!$L$5:$L$34,$AE180)*Paramètres!$E$28*$AG180*$AJ180,Paramètres!$F$28),0)</f>
        <v>0</v>
      </c>
      <c r="S180" s="20" t="n">
        <f aca="false" t="array" ref="S180:S180">IF(AND(INDEX(Profils!$M$5:$M$34,$AE180)&gt;0,INDEX(Profils!$AB$5:$AB$34,$AE180)&lt;=$AH180),ROUND(INDEX(Profils!$M$5:$M$34,$AE180)*Paramètres!$E$29*$AG180*$AJ180,Paramètres!$F$29),0)</f>
        <v>0.006</v>
      </c>
      <c r="T180" s="20" t="n">
        <f aca="false" t="array" ref="T180:T180">IF(AND(INDEX(Profils!$N$5:$N$34,$AE180)&gt;0,INDEX(Profils!$AC$5:$AC$34,$AE180)&lt;=$AH180),ROUND(INDEX(Profils!$N$5:$N$34,$AE180)*Paramètres!$E$30*$AG180*$AJ180,Paramètres!$F$30),0)</f>
        <v>0.015</v>
      </c>
      <c r="U180" s="19" t="n">
        <f aca="false" t="array" ref="U180:U180">IF(AND(INDEX(Profils!$O$5:$O$34,$AE180)&gt;0,INDEX(Profils!$AD$5:$AD$34,$AE180)&lt;=$AH180),ROUND(INDEX(Profils!$O$5:$O$34,$AE180)*Paramètres!$E$31*$AG180*$AJ180,Paramètres!$F$31),0)</f>
        <v>0</v>
      </c>
      <c r="V180" s="20" t="n">
        <f aca="false" t="array" ref="V180:V180">IF(AND(INDEX(Profils!$P$5:$P$34,$AE180)&gt;0,INDEX(Profils!$AE$5:$AE$34,$AE180)&lt;=$AH180),ROUND(INDEX(Profils!$P$5:$P$34,$AE180)*Paramètres!$E$32*$AG180*$AJ180,Paramètres!$F$32),0)</f>
        <v>0</v>
      </c>
      <c r="W180" s="20" t="n">
        <f aca="false" t="array" ref="W180:W180">IF(AND(INDEX(Profils!$Q$5:$Q$34,$AE180)&gt;0,INDEX(Profils!$AF$5:$AF$34,$AE180)&lt;=$AH180),ROUND(INDEX(Profils!$Q$5:$Q$34,$AE180)*Paramètres!$E$33*$AG180*$AJ180,Paramètres!$F$33),0)</f>
        <v>0</v>
      </c>
      <c r="X180" s="20" t="n">
        <f aca="false" t="array" ref="X180:X180">IF(AND(INDEX(Profils!$R$5:$R$34,$AE180)&gt;0,INDEX(Profils!$AG$5:$AG$34,$AE180)&lt;=$AH180),ROUND(INDEX(Profils!$R$5:$R$34,$AE180)*Paramètres!$E$34*$AG180*$AJ180,Paramètres!$F$34),0)</f>
        <v>0</v>
      </c>
      <c r="Y180" s="20" t="n">
        <f aca="false" t="array" ref="Y180:Y180">IF(AND(INDEX(Profils!$S$5:$S$34,$AE180)&gt;0,INDEX(Profils!$AH$5:$AH$34,$AE180)&lt;=$AH180),ROUND(INDEX(Profils!$S$5:$S$34,$AE180)*Paramètres!$E$35*$AG180*$AJ180,Paramètres!$F$35),0)</f>
        <v>0</v>
      </c>
      <c r="Z180" s="21" t="n">
        <f aca="false">ROUND(L180/Paramètres!$E$22+M180/Paramètres!$E$23+N180/Paramètres!$E$24+O180/Paramètres!$E$25+P180/Paramètres!$E$26+Q180/Paramètres!$E$27+R180/Paramètres!$E$28+S180/Paramètres!$E$29+T180/Paramètres!$E$30+U180/Paramètres!$E$31+V180/Paramètres!$E$32+W180/Paramètres!$E$33+X180/Paramètres!$E$34+Y180/Paramètres!$E$35,1)</f>
        <v>1.5</v>
      </c>
      <c r="AA180" s="22" t="s">
        <v>109</v>
      </c>
      <c r="AB180" s="22" t="s">
        <v>109</v>
      </c>
      <c r="AC180" s="15" t="str">
        <f aca="false">$E180</f>
        <v>platine</v>
      </c>
      <c r="AD180" s="16" t="n">
        <f aca="false" t="array" ref="AD180:AD180">IF($I180&gt;=$AI180,"Max",ROUND(Paramètres!$B$40*($I180+1)^Paramètres!$B$41*INDEX(Paramètres!$H$6:$H$12,$AF180),0))</f>
        <v>4</v>
      </c>
      <c r="AE180" s="23" t="n">
        <f aca="false">MATCH($B180&amp;"|"&amp;$C180,Profils!$A$5:$A$34,0)</f>
        <v>6</v>
      </c>
      <c r="AF180" s="23" t="n">
        <v>2</v>
      </c>
      <c r="AG180" s="24" t="n">
        <f aca="false" t="array" ref="AG180:AG180">INDEX(Paramètres!$C$6:$C$12,$AF180)</f>
        <v>1.2</v>
      </c>
      <c r="AH180" s="23" t="n">
        <f aca="false" t="array" ref="AH180:AH180">INDEX(Paramètres!$D$6:$D$12,$AF180)</f>
        <v>3</v>
      </c>
      <c r="AI180" s="23" t="n">
        <f aca="false" t="array" ref="AI180:AI180">INDEX(Matériaux!$C$16:$C$20,$D180)</f>
        <v>25</v>
      </c>
      <c r="AJ180" s="25" t="n">
        <f aca="false">Paramètres!$B$16+(1-Paramètres!$B$16)*(($J180-Paramètres!$B$14)/(Paramètres!$B$15-Paramètres!$B$14))^Paramètres!$B$17</f>
        <v>0.458504333336152</v>
      </c>
    </row>
    <row r="181" customFormat="false" ht="15.75" hidden="false" customHeight="true" outlineLevel="0" collapsed="false">
      <c r="A181" s="14" t="s">
        <v>293</v>
      </c>
      <c r="B181" s="15" t="s">
        <v>27</v>
      </c>
      <c r="C181" s="15" t="s">
        <v>273</v>
      </c>
      <c r="D181" s="16" t="n">
        <v>4</v>
      </c>
      <c r="E181" s="15" t="str">
        <f aca="false" t="array" ref="E181:E181">INDEX(Matériaux!$B$5:$F$12,MATCH(INDEX(Profils!$E$5:$E$34,$AE181),Matériaux!$A$5:$A$12,0),$D181)</f>
        <v>platine</v>
      </c>
      <c r="F181" s="27" t="s">
        <v>113</v>
      </c>
      <c r="G181" s="10" t="str">
        <f aca="false" t="array" ref="G181:G181">INDEX(Profils!$D$5:$D$34,$AE181)&amp;" en "&amp;$E181</f>
        <v>Anneau de guerre en platine</v>
      </c>
      <c r="H181" s="16" t="n">
        <f aca="false" t="array" ref="H181:H181">INDEX(Matériaux!$B$16:$B$20,$D181)</f>
        <v>50</v>
      </c>
      <c r="I181" s="16" t="n">
        <f aca="false">IF(ISNUMBER($C$3),MIN(MAX(0,ROUND($C$3,0)),$AI181),$AI181)</f>
        <v>0</v>
      </c>
      <c r="J181" s="18" t="n">
        <f aca="false">$H181+$I181</f>
        <v>50</v>
      </c>
      <c r="K181" s="15" t="s">
        <v>109</v>
      </c>
      <c r="L181" s="19" t="n">
        <f aca="false" t="array" ref="L181:L181">IF(AND(INDEX(Profils!$F$5:$F$34,$AE181)&gt;0,INDEX(Profils!$U$5:$U$34,$AE181)&lt;=$AH181),ROUND(INDEX(Profils!$F$5:$F$34,$AE181)*Paramètres!$E$22*$AG181*$AJ181,Paramètres!$F$22),0)</f>
        <v>13</v>
      </c>
      <c r="M181" s="19" t="n">
        <f aca="false" t="array" ref="M181:M181">IF(AND(INDEX(Profils!$G$5:$G$34,$AE181)&gt;0,INDEX(Profils!$V$5:$V$34,$AE181)&lt;=$AH181),ROUND(INDEX(Profils!$G$5:$G$34,$AE181)*Paramètres!$E$23*$AG181*$AJ181,Paramètres!$F$23),0)</f>
        <v>10</v>
      </c>
      <c r="N181" s="19" t="n">
        <f aca="false" t="array" ref="N181:N181">IF(AND(INDEX(Profils!$H$5:$H$34,$AE181)&gt;0,INDEX(Profils!$W$5:$W$34,$AE181)&lt;=$AH181),ROUND(INDEX(Profils!$H$5:$H$34,$AE181)*Paramètres!$E$24*$AG181*$AJ181,Paramètres!$F$24),0)</f>
        <v>0</v>
      </c>
      <c r="O181" s="19" t="n">
        <f aca="false" t="array" ref="O181:O181">IF(AND(INDEX(Profils!$I$5:$I$34,$AE181)&gt;0,INDEX(Profils!$X$5:$X$34,$AE181)&lt;=$AH181),ROUND(INDEX(Profils!$I$5:$I$34,$AE181)*Paramètres!$E$25*$AG181*$AJ181,Paramètres!$F$25),0)</f>
        <v>0</v>
      </c>
      <c r="P181" s="19" t="n">
        <f aca="false" t="array" ref="P181:P181">IF(AND(INDEX(Profils!$J$5:$J$34,$AE181)&gt;0,INDEX(Profils!$Y$5:$Y$34,$AE181)&lt;=$AH181),ROUND(INDEX(Profils!$J$5:$J$34,$AE181)*Paramètres!$E$26*$AG181*$AJ181,Paramètres!$F$26),0)</f>
        <v>0</v>
      </c>
      <c r="Q181" s="19" t="n">
        <f aca="false" t="array" ref="Q181:Q181">IF(AND(INDEX(Profils!$K$5:$K$34,$AE181)&gt;0,INDEX(Profils!$Z$5:$Z$34,$AE181)&lt;=$AH181),ROUND(INDEX(Profils!$K$5:$K$34,$AE181)*Paramètres!$E$27*$AG181*$AJ181,Paramètres!$F$27),0)</f>
        <v>0</v>
      </c>
      <c r="R181" s="20" t="n">
        <f aca="false" t="array" ref="R181:R181">IF(AND(INDEX(Profils!$L$5:$L$34,$AE181)&gt;0,INDEX(Profils!$AA$5:$AA$34,$AE181)&lt;=$AH181),ROUND(INDEX(Profils!$L$5:$L$34,$AE181)*Paramètres!$E$28*$AG181*$AJ181,Paramètres!$F$28),0)</f>
        <v>0</v>
      </c>
      <c r="S181" s="20" t="n">
        <f aca="false" t="array" ref="S181:S181">IF(AND(INDEX(Profils!$M$5:$M$34,$AE181)&gt;0,INDEX(Profils!$AB$5:$AB$34,$AE181)&lt;=$AH181),ROUND(INDEX(Profils!$M$5:$M$34,$AE181)*Paramètres!$E$29*$AG181*$AJ181,Paramètres!$F$29),0)</f>
        <v>0.007</v>
      </c>
      <c r="T181" s="20" t="n">
        <f aca="false" t="array" ref="T181:T181">IF(AND(INDEX(Profils!$N$5:$N$34,$AE181)&gt;0,INDEX(Profils!$AC$5:$AC$34,$AE181)&lt;=$AH181),ROUND(INDEX(Profils!$N$5:$N$34,$AE181)*Paramètres!$E$30*$AG181*$AJ181,Paramètres!$F$30),0)</f>
        <v>0.018</v>
      </c>
      <c r="U181" s="19" t="n">
        <f aca="false" t="array" ref="U181:U181">IF(AND(INDEX(Profils!$O$5:$O$34,$AE181)&gt;0,INDEX(Profils!$AD$5:$AD$34,$AE181)&lt;=$AH181),ROUND(INDEX(Profils!$O$5:$O$34,$AE181)*Paramètres!$E$31*$AG181*$AJ181,Paramètres!$F$31),0)</f>
        <v>0</v>
      </c>
      <c r="V181" s="20" t="n">
        <f aca="false" t="array" ref="V181:V181">IF(AND(INDEX(Profils!$P$5:$P$34,$AE181)&gt;0,INDEX(Profils!$AE$5:$AE$34,$AE181)&lt;=$AH181),ROUND(INDEX(Profils!$P$5:$P$34,$AE181)*Paramètres!$E$32*$AG181*$AJ181,Paramètres!$F$32),0)</f>
        <v>0</v>
      </c>
      <c r="W181" s="20" t="n">
        <f aca="false" t="array" ref="W181:W181">IF(AND(INDEX(Profils!$Q$5:$Q$34,$AE181)&gt;0,INDEX(Profils!$AF$5:$AF$34,$AE181)&lt;=$AH181),ROUND(INDEX(Profils!$Q$5:$Q$34,$AE181)*Paramètres!$E$33*$AG181*$AJ181,Paramètres!$F$33),0)</f>
        <v>0</v>
      </c>
      <c r="X181" s="20" t="n">
        <f aca="false" t="array" ref="X181:X181">IF(AND(INDEX(Profils!$R$5:$R$34,$AE181)&gt;0,INDEX(Profils!$AG$5:$AG$34,$AE181)&lt;=$AH181),ROUND(INDEX(Profils!$R$5:$R$34,$AE181)*Paramètres!$E$34*$AG181*$AJ181,Paramètres!$F$34),0)</f>
        <v>0</v>
      </c>
      <c r="Y181" s="20" t="n">
        <f aca="false" t="array" ref="Y181:Y181">IF(AND(INDEX(Profils!$S$5:$S$34,$AE181)&gt;0,INDEX(Profils!$AH$5:$AH$34,$AE181)&lt;=$AH181),ROUND(INDEX(Profils!$S$5:$S$34,$AE181)*Paramètres!$E$35*$AG181*$AJ181,Paramètres!$F$35),0)</f>
        <v>0</v>
      </c>
      <c r="Z181" s="21" t="n">
        <f aca="false">ROUND(L181/Paramètres!$E$22+M181/Paramètres!$E$23+N181/Paramètres!$E$24+O181/Paramètres!$E$25+P181/Paramètres!$E$26+Q181/Paramètres!$E$27+R181/Paramètres!$E$28+S181/Paramètres!$E$29+T181/Paramètres!$E$30+U181/Paramètres!$E$31+V181/Paramètres!$E$32+W181/Paramètres!$E$33+X181/Paramètres!$E$34+Y181/Paramètres!$E$35,1)</f>
        <v>2.4</v>
      </c>
      <c r="AA181" s="22" t="s">
        <v>109</v>
      </c>
      <c r="AB181" s="22" t="s">
        <v>109</v>
      </c>
      <c r="AC181" s="15" t="str">
        <f aca="false">$E181</f>
        <v>platine</v>
      </c>
      <c r="AD181" s="16" t="n">
        <f aca="false" t="array" ref="AD181:AD181">IF($I181&gt;=$AI181,"Max",ROUND(Paramètres!$B$40*($I181+1)^Paramètres!$B$41*INDEX(Paramètres!$H$6:$H$12,$AF181),0))</f>
        <v>4</v>
      </c>
      <c r="AE181" s="23" t="n">
        <f aca="false">MATCH($B181&amp;"|"&amp;$C181,Profils!$A$5:$A$34,0)</f>
        <v>6</v>
      </c>
      <c r="AF181" s="23" t="n">
        <v>3</v>
      </c>
      <c r="AG181" s="24" t="n">
        <f aca="false" t="array" ref="AG181:AG181">INDEX(Paramètres!$C$6:$C$12,$AF181)</f>
        <v>1.45</v>
      </c>
      <c r="AH181" s="23" t="n">
        <f aca="false" t="array" ref="AH181:AH181">INDEX(Paramètres!$D$6:$D$12,$AF181)</f>
        <v>4</v>
      </c>
      <c r="AI181" s="23" t="n">
        <f aca="false" t="array" ref="AI181:AI181">INDEX(Matériaux!$C$16:$C$20,$D181)</f>
        <v>25</v>
      </c>
      <c r="AJ181" s="25" t="n">
        <f aca="false">Paramètres!$B$16+(1-Paramètres!$B$16)*(($J181-Paramètres!$B$14)/(Paramètres!$B$15-Paramètres!$B$14))^Paramètres!$B$17</f>
        <v>0.458504333336152</v>
      </c>
    </row>
    <row r="182" customFormat="false" ht="15.75" hidden="false" customHeight="true" outlineLevel="0" collapsed="false">
      <c r="A182" s="14" t="s">
        <v>294</v>
      </c>
      <c r="B182" s="15" t="s">
        <v>27</v>
      </c>
      <c r="C182" s="15" t="s">
        <v>273</v>
      </c>
      <c r="D182" s="16" t="n">
        <v>4</v>
      </c>
      <c r="E182" s="15" t="str">
        <f aca="false" t="array" ref="E182:E182">INDEX(Matériaux!$B$5:$F$12,MATCH(INDEX(Profils!$E$5:$E$34,$AE182),Matériaux!$A$5:$A$12,0),$D182)</f>
        <v>platine</v>
      </c>
      <c r="F182" s="28" t="s">
        <v>115</v>
      </c>
      <c r="G182" s="10" t="str">
        <f aca="false" t="array" ref="G182:G182">INDEX(Profils!$D$5:$D$34,$AE182)&amp;" en "&amp;$E182</f>
        <v>Anneau de guerre en platine</v>
      </c>
      <c r="H182" s="16" t="n">
        <f aca="false" t="array" ref="H182:H182">INDEX(Matériaux!$B$16:$B$20,$D182)</f>
        <v>50</v>
      </c>
      <c r="I182" s="16" t="n">
        <f aca="false">IF(ISNUMBER($C$3),MIN(MAX(0,ROUND($C$3,0)),$AI182),$AI182)</f>
        <v>0</v>
      </c>
      <c r="J182" s="18" t="n">
        <f aca="false">$H182+$I182</f>
        <v>50</v>
      </c>
      <c r="K182" s="15" t="s">
        <v>109</v>
      </c>
      <c r="L182" s="19" t="n">
        <f aca="false" t="array" ref="L182:L182">IF(AND(INDEX(Profils!$F$5:$F$34,$AE182)&gt;0,INDEX(Profils!$U$5:$U$34,$AE182)&lt;=$AH182),ROUND(INDEX(Profils!$F$5:$F$34,$AE182)*Paramètres!$E$22*$AG182*$AJ182,Paramètres!$F$22),0)</f>
        <v>16</v>
      </c>
      <c r="M182" s="19" t="n">
        <f aca="false" t="array" ref="M182:M182">IF(AND(INDEX(Profils!$G$5:$G$34,$AE182)&gt;0,INDEX(Profils!$V$5:$V$34,$AE182)&lt;=$AH182),ROUND(INDEX(Profils!$G$5:$G$34,$AE182)*Paramètres!$E$23*$AG182*$AJ182,Paramètres!$F$23),0)</f>
        <v>12</v>
      </c>
      <c r="N182" s="19" t="n">
        <f aca="false" t="array" ref="N182:N182">IF(AND(INDEX(Profils!$H$5:$H$34,$AE182)&gt;0,INDEX(Profils!$W$5:$W$34,$AE182)&lt;=$AH182),ROUND(INDEX(Profils!$H$5:$H$34,$AE182)*Paramètres!$E$24*$AG182*$AJ182,Paramètres!$F$24),0)</f>
        <v>0</v>
      </c>
      <c r="O182" s="19" t="n">
        <f aca="false" t="array" ref="O182:O182">IF(AND(INDEX(Profils!$I$5:$I$34,$AE182)&gt;0,INDEX(Profils!$X$5:$X$34,$AE182)&lt;=$AH182),ROUND(INDEX(Profils!$I$5:$I$34,$AE182)*Paramètres!$E$25*$AG182*$AJ182,Paramètres!$F$25),0)</f>
        <v>0</v>
      </c>
      <c r="P182" s="19" t="n">
        <f aca="false" t="array" ref="P182:P182">IF(AND(INDEX(Profils!$J$5:$J$34,$AE182)&gt;0,INDEX(Profils!$Y$5:$Y$34,$AE182)&lt;=$AH182),ROUND(INDEX(Profils!$J$5:$J$34,$AE182)*Paramètres!$E$26*$AG182*$AJ182,Paramètres!$F$26),0)</f>
        <v>0</v>
      </c>
      <c r="Q182" s="19" t="n">
        <f aca="false" t="array" ref="Q182:Q182">IF(AND(INDEX(Profils!$K$5:$K$34,$AE182)&gt;0,INDEX(Profils!$Z$5:$Z$34,$AE182)&lt;=$AH182),ROUND(INDEX(Profils!$K$5:$K$34,$AE182)*Paramètres!$E$27*$AG182*$AJ182,Paramètres!$F$27),0)</f>
        <v>0</v>
      </c>
      <c r="R182" s="20" t="n">
        <f aca="false" t="array" ref="R182:R182">IF(AND(INDEX(Profils!$L$5:$L$34,$AE182)&gt;0,INDEX(Profils!$AA$5:$AA$34,$AE182)&lt;=$AH182),ROUND(INDEX(Profils!$L$5:$L$34,$AE182)*Paramètres!$E$28*$AG182*$AJ182,Paramètres!$F$28),0)</f>
        <v>0.01</v>
      </c>
      <c r="S182" s="20" t="n">
        <f aca="false" t="array" ref="S182:S182">IF(AND(INDEX(Profils!$M$5:$M$34,$AE182)&gt;0,INDEX(Profils!$AB$5:$AB$34,$AE182)&lt;=$AH182),ROUND(INDEX(Profils!$M$5:$M$34,$AE182)*Paramètres!$E$29*$AG182*$AJ182,Paramètres!$F$29),0)</f>
        <v>0.009</v>
      </c>
      <c r="T182" s="20" t="n">
        <f aca="false" t="array" ref="T182:T182">IF(AND(INDEX(Profils!$N$5:$N$34,$AE182)&gt;0,INDEX(Profils!$AC$5:$AC$34,$AE182)&lt;=$AH182),ROUND(INDEX(Profils!$N$5:$N$34,$AE182)*Paramètres!$E$30*$AG182*$AJ182,Paramètres!$F$30),0)</f>
        <v>0.022</v>
      </c>
      <c r="U182" s="19" t="n">
        <f aca="false" t="array" ref="U182:U182">IF(AND(INDEX(Profils!$O$5:$O$34,$AE182)&gt;0,INDEX(Profils!$AD$5:$AD$34,$AE182)&lt;=$AH182),ROUND(INDEX(Profils!$O$5:$O$34,$AE182)*Paramètres!$E$31*$AG182*$AJ182,Paramètres!$F$31),0)</f>
        <v>0</v>
      </c>
      <c r="V182" s="20" t="n">
        <f aca="false" t="array" ref="V182:V182">IF(AND(INDEX(Profils!$P$5:$P$34,$AE182)&gt;0,INDEX(Profils!$AE$5:$AE$34,$AE182)&lt;=$AH182),ROUND(INDEX(Profils!$P$5:$P$34,$AE182)*Paramètres!$E$32*$AG182*$AJ182,Paramètres!$F$32),0)</f>
        <v>0</v>
      </c>
      <c r="W182" s="20" t="n">
        <f aca="false" t="array" ref="W182:W182">IF(AND(INDEX(Profils!$Q$5:$Q$34,$AE182)&gt;0,INDEX(Profils!$AF$5:$AF$34,$AE182)&lt;=$AH182),ROUND(INDEX(Profils!$Q$5:$Q$34,$AE182)*Paramètres!$E$33*$AG182*$AJ182,Paramètres!$F$33),0)</f>
        <v>0</v>
      </c>
      <c r="X182" s="20" t="n">
        <f aca="false" t="array" ref="X182:X182">IF(AND(INDEX(Profils!$R$5:$R$34,$AE182)&gt;0,INDEX(Profils!$AG$5:$AG$34,$AE182)&lt;=$AH182),ROUND(INDEX(Profils!$R$5:$R$34,$AE182)*Paramètres!$E$34*$AG182*$AJ182,Paramètres!$F$34),0)</f>
        <v>0</v>
      </c>
      <c r="Y182" s="20" t="n">
        <f aca="false" t="array" ref="Y182:Y182">IF(AND(INDEX(Profils!$S$5:$S$34,$AE182)&gt;0,INDEX(Profils!$AH$5:$AH$34,$AE182)&lt;=$AH182),ROUND(INDEX(Profils!$S$5:$S$34,$AE182)*Paramètres!$E$35*$AG182*$AJ182,Paramètres!$F$35),0)</f>
        <v>0</v>
      </c>
      <c r="Z182" s="21" t="n">
        <f aca="false">ROUND(L182/Paramètres!$E$22+M182/Paramètres!$E$23+N182/Paramètres!$E$24+O182/Paramètres!$E$25+P182/Paramètres!$E$26+Q182/Paramètres!$E$27+R182/Paramètres!$E$28+S182/Paramètres!$E$29+T182/Paramètres!$E$30+U182/Paramètres!$E$31+V182/Paramètres!$E$32+W182/Paramètres!$E$33+X182/Paramètres!$E$34+Y182/Paramètres!$E$35,1)</f>
        <v>3.6</v>
      </c>
      <c r="AA182" s="22" t="s">
        <v>109</v>
      </c>
      <c r="AB182" s="22" t="s">
        <v>109</v>
      </c>
      <c r="AC182" s="15" t="str">
        <f aca="false">$E182</f>
        <v>platine</v>
      </c>
      <c r="AD182" s="16" t="n">
        <f aca="false" t="array" ref="AD182:AD182">IF($I182&gt;=$AI182,"Max",ROUND(Paramètres!$B$40*($I182+1)^Paramètres!$B$41*INDEX(Paramètres!$H$6:$H$12,$AF182),0))</f>
        <v>5</v>
      </c>
      <c r="AE182" s="23" t="n">
        <f aca="false">MATCH($B182&amp;"|"&amp;$C182,Profils!$A$5:$A$34,0)</f>
        <v>6</v>
      </c>
      <c r="AF182" s="23" t="n">
        <v>4</v>
      </c>
      <c r="AG182" s="24" t="n">
        <f aca="false" t="array" ref="AG182:AG182">INDEX(Paramètres!$C$6:$C$12,$AF182)</f>
        <v>1.75</v>
      </c>
      <c r="AH182" s="23" t="n">
        <f aca="false" t="array" ref="AH182:AH182">INDEX(Paramètres!$D$6:$D$12,$AF182)</f>
        <v>5</v>
      </c>
      <c r="AI182" s="23" t="n">
        <f aca="false" t="array" ref="AI182:AI182">INDEX(Matériaux!$C$16:$C$20,$D182)</f>
        <v>25</v>
      </c>
      <c r="AJ182" s="25" t="n">
        <f aca="false">Paramètres!$B$16+(1-Paramètres!$B$16)*(($J182-Paramètres!$B$14)/(Paramètres!$B$15-Paramètres!$B$14))^Paramètres!$B$17</f>
        <v>0.458504333336152</v>
      </c>
    </row>
    <row r="183" customFormat="false" ht="15.75" hidden="false" customHeight="true" outlineLevel="0" collapsed="false">
      <c r="A183" s="14" t="s">
        <v>295</v>
      </c>
      <c r="B183" s="15" t="s">
        <v>27</v>
      </c>
      <c r="C183" s="15" t="s">
        <v>273</v>
      </c>
      <c r="D183" s="16" t="n">
        <v>4</v>
      </c>
      <c r="E183" s="15" t="str">
        <f aca="false" t="array" ref="E183:E183">INDEX(Matériaux!$B$5:$F$12,MATCH(INDEX(Profils!$E$5:$E$34,$AE183),Matériaux!$A$5:$A$12,0),$D183)</f>
        <v>platine</v>
      </c>
      <c r="F183" s="29" t="s">
        <v>117</v>
      </c>
      <c r="G183" s="10" t="str">
        <f aca="false" t="array" ref="G183:G183">INDEX(Profils!$D$5:$D$34,$AE183)&amp;" en "&amp;$E183</f>
        <v>Anneau de guerre en platine</v>
      </c>
      <c r="H183" s="16" t="n">
        <f aca="false" t="array" ref="H183:H183">INDEX(Matériaux!$B$16:$B$20,$D183)</f>
        <v>50</v>
      </c>
      <c r="I183" s="16" t="n">
        <f aca="false">IF(ISNUMBER($C$3),MIN(MAX(0,ROUND($C$3,0)),$AI183),$AI183)</f>
        <v>0</v>
      </c>
      <c r="J183" s="18" t="n">
        <f aca="false">$H183+$I183</f>
        <v>50</v>
      </c>
      <c r="K183" s="15" t="s">
        <v>109</v>
      </c>
      <c r="L183" s="19" t="n">
        <f aca="false" t="array" ref="L183:L183">IF(AND(INDEX(Profils!$F$5:$F$34,$AE183)&gt;0,INDEX(Profils!$U$5:$U$34,$AE183)&lt;=$AH183),ROUND(INDEX(Profils!$F$5:$F$34,$AE183)*Paramètres!$E$22*$AG183*$AJ183,Paramètres!$F$22),0)</f>
        <v>19</v>
      </c>
      <c r="M183" s="19" t="n">
        <f aca="false" t="array" ref="M183:M183">IF(AND(INDEX(Profils!$G$5:$G$34,$AE183)&gt;0,INDEX(Profils!$V$5:$V$34,$AE183)&lt;=$AH183),ROUND(INDEX(Profils!$G$5:$G$34,$AE183)*Paramètres!$E$23*$AG183*$AJ183,Paramètres!$F$23),0)</f>
        <v>14</v>
      </c>
      <c r="N183" s="19" t="n">
        <f aca="false" t="array" ref="N183:N183">IF(AND(INDEX(Profils!$H$5:$H$34,$AE183)&gt;0,INDEX(Profils!$W$5:$W$34,$AE183)&lt;=$AH183),ROUND(INDEX(Profils!$H$5:$H$34,$AE183)*Paramètres!$E$24*$AG183*$AJ183,Paramètres!$F$24),0)</f>
        <v>0</v>
      </c>
      <c r="O183" s="19" t="n">
        <f aca="false" t="array" ref="O183:O183">IF(AND(INDEX(Profils!$I$5:$I$34,$AE183)&gt;0,INDEX(Profils!$X$5:$X$34,$AE183)&lt;=$AH183),ROUND(INDEX(Profils!$I$5:$I$34,$AE183)*Paramètres!$E$25*$AG183*$AJ183,Paramètres!$F$25),0)</f>
        <v>0</v>
      </c>
      <c r="P183" s="19" t="n">
        <f aca="false" t="array" ref="P183:P183">IF(AND(INDEX(Profils!$J$5:$J$34,$AE183)&gt;0,INDEX(Profils!$Y$5:$Y$34,$AE183)&lt;=$AH183),ROUND(INDEX(Profils!$J$5:$J$34,$AE183)*Paramètres!$E$26*$AG183*$AJ183,Paramètres!$F$26),0)</f>
        <v>0</v>
      </c>
      <c r="Q183" s="19" t="n">
        <f aca="false" t="array" ref="Q183:Q183">IF(AND(INDEX(Profils!$K$5:$K$34,$AE183)&gt;0,INDEX(Profils!$Z$5:$Z$34,$AE183)&lt;=$AH183),ROUND(INDEX(Profils!$K$5:$K$34,$AE183)*Paramètres!$E$27*$AG183*$AJ183,Paramètres!$F$27),0)</f>
        <v>0</v>
      </c>
      <c r="R183" s="20" t="n">
        <f aca="false" t="array" ref="R183:R183">IF(AND(INDEX(Profils!$L$5:$L$34,$AE183)&gt;0,INDEX(Profils!$AA$5:$AA$34,$AE183)&lt;=$AH183),ROUND(INDEX(Profils!$L$5:$L$34,$AE183)*Paramètres!$E$28*$AG183*$AJ183,Paramètres!$F$28),0)</f>
        <v>0.012</v>
      </c>
      <c r="S183" s="20" t="n">
        <f aca="false" t="array" ref="S183:S183">IF(AND(INDEX(Profils!$M$5:$M$34,$AE183)&gt;0,INDEX(Profils!$AB$5:$AB$34,$AE183)&lt;=$AH183),ROUND(INDEX(Profils!$M$5:$M$34,$AE183)*Paramètres!$E$29*$AG183*$AJ183,Paramètres!$F$29),0)</f>
        <v>0.01</v>
      </c>
      <c r="T183" s="20" t="n">
        <f aca="false" t="array" ref="T183:T183">IF(AND(INDEX(Profils!$N$5:$N$34,$AE183)&gt;0,INDEX(Profils!$AC$5:$AC$34,$AE183)&lt;=$AH183),ROUND(INDEX(Profils!$N$5:$N$34,$AE183)*Paramètres!$E$30*$AG183*$AJ183,Paramètres!$F$30),0)</f>
        <v>0.026</v>
      </c>
      <c r="U183" s="19" t="n">
        <f aca="false" t="array" ref="U183:U183">IF(AND(INDEX(Profils!$O$5:$O$34,$AE183)&gt;0,INDEX(Profils!$AD$5:$AD$34,$AE183)&lt;=$AH183),ROUND(INDEX(Profils!$O$5:$O$34,$AE183)*Paramètres!$E$31*$AG183*$AJ183,Paramètres!$F$31),0)</f>
        <v>0</v>
      </c>
      <c r="V183" s="20" t="n">
        <f aca="false" t="array" ref="V183:V183">IF(AND(INDEX(Profils!$P$5:$P$34,$AE183)&gt;0,INDEX(Profils!$AE$5:$AE$34,$AE183)&lt;=$AH183),ROUND(INDEX(Profils!$P$5:$P$34,$AE183)*Paramètres!$E$32*$AG183*$AJ183,Paramètres!$F$32),0)</f>
        <v>0.01</v>
      </c>
      <c r="W183" s="20" t="n">
        <f aca="false" t="array" ref="W183:W183">IF(AND(INDEX(Profils!$Q$5:$Q$34,$AE183)&gt;0,INDEX(Profils!$AF$5:$AF$34,$AE183)&lt;=$AH183),ROUND(INDEX(Profils!$Q$5:$Q$34,$AE183)*Paramètres!$E$33*$AG183*$AJ183,Paramètres!$F$33),0)</f>
        <v>0</v>
      </c>
      <c r="X183" s="20" t="n">
        <f aca="false" t="array" ref="X183:X183">IF(AND(INDEX(Profils!$R$5:$R$34,$AE183)&gt;0,INDEX(Profils!$AG$5:$AG$34,$AE183)&lt;=$AH183),ROUND(INDEX(Profils!$R$5:$R$34,$AE183)*Paramètres!$E$34*$AG183*$AJ183,Paramètres!$F$34),0)</f>
        <v>0</v>
      </c>
      <c r="Y183" s="20" t="n">
        <f aca="false" t="array" ref="Y183:Y183">IF(AND(INDEX(Profils!$S$5:$S$34,$AE183)&gt;0,INDEX(Profils!$AH$5:$AH$34,$AE183)&lt;=$AH183),ROUND(INDEX(Profils!$S$5:$S$34,$AE183)*Paramètres!$E$35*$AG183*$AJ183,Paramètres!$F$35),0)</f>
        <v>0</v>
      </c>
      <c r="Z183" s="21" t="n">
        <f aca="false">ROUND(L183/Paramètres!$E$22+M183/Paramètres!$E$23+N183/Paramètres!$E$24+O183/Paramètres!$E$25+P183/Paramètres!$E$26+Q183/Paramètres!$E$27+R183/Paramètres!$E$28+S183/Paramètres!$E$29+T183/Paramètres!$E$30+U183/Paramètres!$E$31+V183/Paramètres!$E$32+W183/Paramètres!$E$33+X183/Paramètres!$E$34+Y183/Paramètres!$E$35,1)</f>
        <v>4.9</v>
      </c>
      <c r="AA183" s="22" t="s">
        <v>109</v>
      </c>
      <c r="AB183" s="22" t="s">
        <v>109</v>
      </c>
      <c r="AC183" s="15" t="str">
        <f aca="false">$E183</f>
        <v>platine</v>
      </c>
      <c r="AD183" s="16" t="n">
        <f aca="false" t="array" ref="AD183:AD183">IF($I183&gt;=$AI183,"Max",ROUND(Paramètres!$B$40*($I183+1)^Paramètres!$B$41*INDEX(Paramètres!$H$6:$H$12,$AF183),0))</f>
        <v>6</v>
      </c>
      <c r="AE183" s="23" t="n">
        <f aca="false">MATCH($B183&amp;"|"&amp;$C183,Profils!$A$5:$A$34,0)</f>
        <v>6</v>
      </c>
      <c r="AF183" s="23" t="n">
        <v>5</v>
      </c>
      <c r="AG183" s="24" t="n">
        <f aca="false" t="array" ref="AG183:AG183">INDEX(Paramètres!$C$6:$C$12,$AF183)</f>
        <v>2.1</v>
      </c>
      <c r="AH183" s="23" t="n">
        <f aca="false" t="array" ref="AH183:AH183">INDEX(Paramètres!$D$6:$D$12,$AF183)</f>
        <v>6</v>
      </c>
      <c r="AI183" s="23" t="n">
        <f aca="false" t="array" ref="AI183:AI183">INDEX(Matériaux!$C$16:$C$20,$D183)</f>
        <v>25</v>
      </c>
      <c r="AJ183" s="25" t="n">
        <f aca="false">Paramètres!$B$16+(1-Paramètres!$B$16)*(($J183-Paramètres!$B$14)/(Paramètres!$B$15-Paramètres!$B$14))^Paramètres!$B$17</f>
        <v>0.458504333336152</v>
      </c>
    </row>
    <row r="184" customFormat="false" ht="15.75" hidden="false" customHeight="true" outlineLevel="0" collapsed="false">
      <c r="A184" s="14" t="s">
        <v>296</v>
      </c>
      <c r="B184" s="15" t="s">
        <v>27</v>
      </c>
      <c r="C184" s="15" t="s">
        <v>273</v>
      </c>
      <c r="D184" s="16" t="n">
        <v>4</v>
      </c>
      <c r="E184" s="15" t="str">
        <f aca="false" t="array" ref="E184:E184">INDEX(Matériaux!$B$5:$F$12,MATCH(INDEX(Profils!$E$5:$E$34,$AE184),Matériaux!$A$5:$A$12,0),$D184)</f>
        <v>platine</v>
      </c>
      <c r="F184" s="30" t="s">
        <v>119</v>
      </c>
      <c r="G184" s="10" t="str">
        <f aca="false" t="array" ref="G184:G184">INDEX(Profils!$D$5:$D$34,$AE184)&amp;" en "&amp;$E184</f>
        <v>Anneau de guerre en platine</v>
      </c>
      <c r="H184" s="16" t="n">
        <f aca="false" t="array" ref="H184:H184">INDEX(Matériaux!$B$16:$B$20,$D184)</f>
        <v>50</v>
      </c>
      <c r="I184" s="16" t="n">
        <f aca="false">IF(ISNUMBER($C$3),MIN(MAX(0,ROUND($C$3,0)),$AI184),$AI184)</f>
        <v>0</v>
      </c>
      <c r="J184" s="18" t="n">
        <f aca="false">$H184+$I184</f>
        <v>50</v>
      </c>
      <c r="K184" s="15" t="s">
        <v>109</v>
      </c>
      <c r="L184" s="19" t="n">
        <f aca="false" t="array" ref="L184:L184">IF(AND(INDEX(Profils!$F$5:$F$34,$AE184)&gt;0,INDEX(Profils!$U$5:$U$34,$AE184)&lt;=$AH184),ROUND(INDEX(Profils!$F$5:$F$34,$AE184)*Paramètres!$E$22*$AG184*$AJ184,Paramètres!$F$22),0)</f>
        <v>22</v>
      </c>
      <c r="M184" s="19" t="n">
        <f aca="false" t="array" ref="M184:M184">IF(AND(INDEX(Profils!$G$5:$G$34,$AE184)&gt;0,INDEX(Profils!$V$5:$V$34,$AE184)&lt;=$AH184),ROUND(INDEX(Profils!$G$5:$G$34,$AE184)*Paramètres!$E$23*$AG184*$AJ184,Paramètres!$F$23),0)</f>
        <v>17</v>
      </c>
      <c r="N184" s="19" t="n">
        <f aca="false" t="array" ref="N184:N184">IF(AND(INDEX(Profils!$H$5:$H$34,$AE184)&gt;0,INDEX(Profils!$W$5:$W$34,$AE184)&lt;=$AH184),ROUND(INDEX(Profils!$H$5:$H$34,$AE184)*Paramètres!$E$24*$AG184*$AJ184,Paramètres!$F$24),0)</f>
        <v>0</v>
      </c>
      <c r="O184" s="19" t="n">
        <f aca="false" t="array" ref="O184:O184">IF(AND(INDEX(Profils!$I$5:$I$34,$AE184)&gt;0,INDEX(Profils!$X$5:$X$34,$AE184)&lt;=$AH184),ROUND(INDEX(Profils!$I$5:$I$34,$AE184)*Paramètres!$E$25*$AG184*$AJ184,Paramètres!$F$25),0)</f>
        <v>0</v>
      </c>
      <c r="P184" s="19" t="n">
        <f aca="false" t="array" ref="P184:P184">IF(AND(INDEX(Profils!$J$5:$J$34,$AE184)&gt;0,INDEX(Profils!$Y$5:$Y$34,$AE184)&lt;=$AH184),ROUND(INDEX(Profils!$J$5:$J$34,$AE184)*Paramètres!$E$26*$AG184*$AJ184,Paramètres!$F$26),0)</f>
        <v>5</v>
      </c>
      <c r="Q184" s="19" t="n">
        <f aca="false" t="array" ref="Q184:Q184">IF(AND(INDEX(Profils!$K$5:$K$34,$AE184)&gt;0,INDEX(Profils!$Z$5:$Z$34,$AE184)&lt;=$AH184),ROUND(INDEX(Profils!$K$5:$K$34,$AE184)*Paramètres!$E$27*$AG184*$AJ184,Paramètres!$F$27),0)</f>
        <v>0</v>
      </c>
      <c r="R184" s="20" t="n">
        <f aca="false" t="array" ref="R184:R184">IF(AND(INDEX(Profils!$L$5:$L$34,$AE184)&gt;0,INDEX(Profils!$AA$5:$AA$34,$AE184)&lt;=$AH184),ROUND(INDEX(Profils!$L$5:$L$34,$AE184)*Paramètres!$E$28*$AG184*$AJ184,Paramètres!$F$28),0)</f>
        <v>0.013</v>
      </c>
      <c r="S184" s="20" t="n">
        <f aca="false" t="array" ref="S184:S184">IF(AND(INDEX(Profils!$M$5:$M$34,$AE184)&gt;0,INDEX(Profils!$AB$5:$AB$34,$AE184)&lt;=$AH184),ROUND(INDEX(Profils!$M$5:$M$34,$AE184)*Paramètres!$E$29*$AG184*$AJ184,Paramètres!$F$29),0)</f>
        <v>0.012</v>
      </c>
      <c r="T184" s="20" t="n">
        <f aca="false" t="array" ref="T184:T184">IF(AND(INDEX(Profils!$N$5:$N$34,$AE184)&gt;0,INDEX(Profils!$AC$5:$AC$34,$AE184)&lt;=$AH184),ROUND(INDEX(Profils!$N$5:$N$34,$AE184)*Paramètres!$E$30*$AG184*$AJ184,Paramètres!$F$30),0)</f>
        <v>0.03</v>
      </c>
      <c r="U184" s="19" t="n">
        <f aca="false" t="array" ref="U184:U184">IF(AND(INDEX(Profils!$O$5:$O$34,$AE184)&gt;0,INDEX(Profils!$AD$5:$AD$34,$AE184)&lt;=$AH184),ROUND(INDEX(Profils!$O$5:$O$34,$AE184)*Paramètres!$E$31*$AG184*$AJ184,Paramètres!$F$31),0)</f>
        <v>0</v>
      </c>
      <c r="V184" s="20" t="n">
        <f aca="false" t="array" ref="V184:V184">IF(AND(INDEX(Profils!$P$5:$P$34,$AE184)&gt;0,INDEX(Profils!$AE$5:$AE$34,$AE184)&lt;=$AH184),ROUND(INDEX(Profils!$P$5:$P$34,$AE184)*Paramètres!$E$32*$AG184*$AJ184,Paramètres!$F$32),0)</f>
        <v>0.012</v>
      </c>
      <c r="W184" s="20" t="n">
        <f aca="false" t="array" ref="W184:W184">IF(AND(INDEX(Profils!$Q$5:$Q$34,$AE184)&gt;0,INDEX(Profils!$AF$5:$AF$34,$AE184)&lt;=$AH184),ROUND(INDEX(Profils!$Q$5:$Q$34,$AE184)*Paramètres!$E$33*$AG184*$AJ184,Paramètres!$F$33),0)</f>
        <v>0</v>
      </c>
      <c r="X184" s="20" t="n">
        <f aca="false" t="array" ref="X184:X184">IF(AND(INDEX(Profils!$R$5:$R$34,$AE184)&gt;0,INDEX(Profils!$AG$5:$AG$34,$AE184)&lt;=$AH184),ROUND(INDEX(Profils!$R$5:$R$34,$AE184)*Paramètres!$E$34*$AG184*$AJ184,Paramètres!$F$34),0)</f>
        <v>0</v>
      </c>
      <c r="Y184" s="20" t="n">
        <f aca="false" t="array" ref="Y184:Y184">IF(AND(INDEX(Profils!$S$5:$S$34,$AE184)&gt;0,INDEX(Profils!$AH$5:$AH$34,$AE184)&lt;=$AH184),ROUND(INDEX(Profils!$S$5:$S$34,$AE184)*Paramètres!$E$35*$AG184*$AJ184,Paramètres!$F$35),0)</f>
        <v>0</v>
      </c>
      <c r="Z184" s="21" t="n">
        <f aca="false">ROUND(L184/Paramètres!$E$22+M184/Paramètres!$E$23+N184/Paramètres!$E$24+O184/Paramètres!$E$25+P184/Paramètres!$E$26+Q184/Paramètres!$E$27+R184/Paramètres!$E$28+S184/Paramètres!$E$29+T184/Paramètres!$E$30+U184/Paramètres!$E$31+V184/Paramètres!$E$32+W184/Paramètres!$E$33+X184/Paramètres!$E$34+Y184/Paramètres!$E$35,1)</f>
        <v>6.1</v>
      </c>
      <c r="AA184" s="22" t="s">
        <v>109</v>
      </c>
      <c r="AB184" s="22" t="s">
        <v>109</v>
      </c>
      <c r="AC184" s="15" t="str">
        <f aca="false">$E184</f>
        <v>platine</v>
      </c>
      <c r="AD184" s="16" t="n">
        <f aca="false" t="array" ref="AD184:AD184">IF($I184&gt;=$AI184,"Max",ROUND(Paramètres!$B$40*($I184+1)^Paramètres!$B$41*INDEX(Paramètres!$H$6:$H$12,$AF184),0))</f>
        <v>8</v>
      </c>
      <c r="AE184" s="23" t="n">
        <f aca="false">MATCH($B184&amp;"|"&amp;$C184,Profils!$A$5:$A$34,0)</f>
        <v>6</v>
      </c>
      <c r="AF184" s="23" t="n">
        <v>6</v>
      </c>
      <c r="AG184" s="24" t="n">
        <f aca="false" t="array" ref="AG184:AG184">INDEX(Paramètres!$C$6:$C$12,$AF184)</f>
        <v>2.4</v>
      </c>
      <c r="AH184" s="23" t="n">
        <f aca="false" t="array" ref="AH184:AH184">INDEX(Paramètres!$D$6:$D$12,$AF184)</f>
        <v>7</v>
      </c>
      <c r="AI184" s="23" t="n">
        <f aca="false" t="array" ref="AI184:AI184">INDEX(Matériaux!$C$16:$C$20,$D184)</f>
        <v>25</v>
      </c>
      <c r="AJ184" s="25" t="n">
        <f aca="false">Paramètres!$B$16+(1-Paramètres!$B$16)*(($J184-Paramètres!$B$14)/(Paramètres!$B$15-Paramètres!$B$14))^Paramètres!$B$17</f>
        <v>0.458504333336152</v>
      </c>
    </row>
    <row r="185" customFormat="false" ht="15.75" hidden="false" customHeight="true" outlineLevel="0" collapsed="false">
      <c r="A185" s="14" t="s">
        <v>297</v>
      </c>
      <c r="B185" s="15" t="s">
        <v>27</v>
      </c>
      <c r="C185" s="15" t="s">
        <v>273</v>
      </c>
      <c r="D185" s="16" t="n">
        <v>5</v>
      </c>
      <c r="E185" s="15" t="str">
        <f aca="false" t="array" ref="E185:E185">INDEX(Matériaux!$B$5:$F$12,MATCH(INDEX(Profils!$E$5:$E$34,$AE185),Matériaux!$A$5:$A$12,0),$D185)</f>
        <v>orichalque</v>
      </c>
      <c r="F185" s="17" t="s">
        <v>108</v>
      </c>
      <c r="G185" s="10" t="str">
        <f aca="false" t="array" ref="G185:G185">INDEX(Profils!$D$5:$D$34,$AE185)&amp;" en "&amp;$E185</f>
        <v>Anneau de guerre en orichalque</v>
      </c>
      <c r="H185" s="16" t="n">
        <f aca="false" t="array" ref="H185:H185">INDEX(Matériaux!$B$16:$B$20,$D185)</f>
        <v>70</v>
      </c>
      <c r="I185" s="16" t="n">
        <f aca="false">IF(ISNUMBER($C$3),MIN(MAX(0,ROUND($C$3,0)),$AI185),$AI185)</f>
        <v>0</v>
      </c>
      <c r="J185" s="18" t="n">
        <f aca="false">$H185+$I185</f>
        <v>70</v>
      </c>
      <c r="K185" s="15" t="s">
        <v>109</v>
      </c>
      <c r="L185" s="19" t="n">
        <f aca="false" t="array" ref="L185:L185">IF(AND(INDEX(Profils!$F$5:$F$34,$AE185)&gt;0,INDEX(Profils!$U$5:$U$34,$AE185)&lt;=$AH185),ROUND(INDEX(Profils!$F$5:$F$34,$AE185)*Paramètres!$E$22*$AG185*$AJ185,Paramètres!$F$22),0)</f>
        <v>0</v>
      </c>
      <c r="M185" s="19" t="n">
        <f aca="false" t="array" ref="M185:M185">IF(AND(INDEX(Profils!$G$5:$G$34,$AE185)&gt;0,INDEX(Profils!$V$5:$V$34,$AE185)&lt;=$AH185),ROUND(INDEX(Profils!$G$5:$G$34,$AE185)*Paramètres!$E$23*$AG185*$AJ185,Paramètres!$F$23),0)</f>
        <v>10</v>
      </c>
      <c r="N185" s="19" t="n">
        <f aca="false" t="array" ref="N185:N185">IF(AND(INDEX(Profils!$H$5:$H$34,$AE185)&gt;0,INDEX(Profils!$W$5:$W$34,$AE185)&lt;=$AH185),ROUND(INDEX(Profils!$H$5:$H$34,$AE185)*Paramètres!$E$24*$AG185*$AJ185,Paramètres!$F$24),0)</f>
        <v>0</v>
      </c>
      <c r="O185" s="19" t="n">
        <f aca="false" t="array" ref="O185:O185">IF(AND(INDEX(Profils!$I$5:$I$34,$AE185)&gt;0,INDEX(Profils!$X$5:$X$34,$AE185)&lt;=$AH185),ROUND(INDEX(Profils!$I$5:$I$34,$AE185)*Paramètres!$E$25*$AG185*$AJ185,Paramètres!$F$25),0)</f>
        <v>0</v>
      </c>
      <c r="P185" s="19" t="n">
        <f aca="false" t="array" ref="P185:P185">IF(AND(INDEX(Profils!$J$5:$J$34,$AE185)&gt;0,INDEX(Profils!$Y$5:$Y$34,$AE185)&lt;=$AH185),ROUND(INDEX(Profils!$J$5:$J$34,$AE185)*Paramètres!$E$26*$AG185*$AJ185,Paramètres!$F$26),0)</f>
        <v>0</v>
      </c>
      <c r="Q185" s="19" t="n">
        <f aca="false" t="array" ref="Q185:Q185">IF(AND(INDEX(Profils!$K$5:$K$34,$AE185)&gt;0,INDEX(Profils!$Z$5:$Z$34,$AE185)&lt;=$AH185),ROUND(INDEX(Profils!$K$5:$K$34,$AE185)*Paramètres!$E$27*$AG185*$AJ185,Paramètres!$F$27),0)</f>
        <v>0</v>
      </c>
      <c r="R185" s="20" t="n">
        <f aca="false" t="array" ref="R185:R185">IF(AND(INDEX(Profils!$L$5:$L$34,$AE185)&gt;0,INDEX(Profils!$AA$5:$AA$34,$AE185)&lt;=$AH185),ROUND(INDEX(Profils!$L$5:$L$34,$AE185)*Paramètres!$E$28*$AG185*$AJ185,Paramètres!$F$28),0)</f>
        <v>0</v>
      </c>
      <c r="S185" s="20" t="n">
        <f aca="false" t="array" ref="S185:S185">IF(AND(INDEX(Profils!$M$5:$M$34,$AE185)&gt;0,INDEX(Profils!$AB$5:$AB$34,$AE185)&lt;=$AH185),ROUND(INDEX(Profils!$M$5:$M$34,$AE185)*Paramètres!$E$29*$AG185*$AJ185,Paramètres!$F$29),0)</f>
        <v>0.007</v>
      </c>
      <c r="T185" s="20" t="n">
        <f aca="false" t="array" ref="T185:T185">IF(AND(INDEX(Profils!$N$5:$N$34,$AE185)&gt;0,INDEX(Profils!$AC$5:$AC$34,$AE185)&lt;=$AH185),ROUND(INDEX(Profils!$N$5:$N$34,$AE185)*Paramètres!$E$30*$AG185*$AJ185,Paramètres!$F$30),0)</f>
        <v>0</v>
      </c>
      <c r="U185" s="19" t="n">
        <f aca="false" t="array" ref="U185:U185">IF(AND(INDEX(Profils!$O$5:$O$34,$AE185)&gt;0,INDEX(Profils!$AD$5:$AD$34,$AE185)&lt;=$AH185),ROUND(INDEX(Profils!$O$5:$O$34,$AE185)*Paramètres!$E$31*$AG185*$AJ185,Paramètres!$F$31),0)</f>
        <v>0</v>
      </c>
      <c r="V185" s="20" t="n">
        <f aca="false" t="array" ref="V185:V185">IF(AND(INDEX(Profils!$P$5:$P$34,$AE185)&gt;0,INDEX(Profils!$AE$5:$AE$34,$AE185)&lt;=$AH185),ROUND(INDEX(Profils!$P$5:$P$34,$AE185)*Paramètres!$E$32*$AG185*$AJ185,Paramètres!$F$32),0)</f>
        <v>0</v>
      </c>
      <c r="W185" s="20" t="n">
        <f aca="false" t="array" ref="W185:W185">IF(AND(INDEX(Profils!$Q$5:$Q$34,$AE185)&gt;0,INDEX(Profils!$AF$5:$AF$34,$AE185)&lt;=$AH185),ROUND(INDEX(Profils!$Q$5:$Q$34,$AE185)*Paramètres!$E$33*$AG185*$AJ185,Paramètres!$F$33),0)</f>
        <v>0</v>
      </c>
      <c r="X185" s="20" t="n">
        <f aca="false" t="array" ref="X185:X185">IF(AND(INDEX(Profils!$R$5:$R$34,$AE185)&gt;0,INDEX(Profils!$AG$5:$AG$34,$AE185)&lt;=$AH185),ROUND(INDEX(Profils!$R$5:$R$34,$AE185)*Paramètres!$E$34*$AG185*$AJ185,Paramètres!$F$34),0)</f>
        <v>0</v>
      </c>
      <c r="Y185" s="20" t="n">
        <f aca="false" t="array" ref="Y185:Y185">IF(AND(INDEX(Profils!$S$5:$S$34,$AE185)&gt;0,INDEX(Profils!$AH$5:$AH$34,$AE185)&lt;=$AH185),ROUND(INDEX(Profils!$S$5:$S$34,$AE185)*Paramètres!$E$35*$AG185*$AJ185,Paramètres!$F$35),0)</f>
        <v>0</v>
      </c>
      <c r="Z185" s="21" t="n">
        <f aca="false">ROUND(L185/Paramètres!$E$22+M185/Paramètres!$E$23+N185/Paramètres!$E$24+O185/Paramètres!$E$25+P185/Paramètres!$E$26+Q185/Paramètres!$E$27+R185/Paramètres!$E$28+S185/Paramètres!$E$29+T185/Paramètres!$E$30+U185/Paramètres!$E$31+V185/Paramètres!$E$32+W185/Paramètres!$E$33+X185/Paramètres!$E$34+Y185/Paramètres!$E$35,1)</f>
        <v>1.3</v>
      </c>
      <c r="AA185" s="22" t="s">
        <v>109</v>
      </c>
      <c r="AB185" s="22" t="s">
        <v>109</v>
      </c>
      <c r="AC185" s="15" t="str">
        <f aca="false">$E185</f>
        <v>orichalque</v>
      </c>
      <c r="AD185" s="16" t="n">
        <f aca="false" t="array" ref="AD185:AD185">IF($I185&gt;=$AI185,"Max",ROUND(Paramètres!$B$40*($I185+1)^Paramètres!$B$41*INDEX(Paramètres!$H$6:$H$12,$AF185),0))</f>
        <v>3</v>
      </c>
      <c r="AE185" s="23" t="n">
        <f aca="false">MATCH($B185&amp;"|"&amp;$C185,Profils!$A$5:$A$34,0)</f>
        <v>6</v>
      </c>
      <c r="AF185" s="23" t="n">
        <v>1</v>
      </c>
      <c r="AG185" s="24" t="n">
        <f aca="false" t="array" ref="AG185:AG185">INDEX(Paramètres!$C$6:$C$12,$AF185)</f>
        <v>1</v>
      </c>
      <c r="AH185" s="23" t="n">
        <f aca="false" t="array" ref="AH185:AH185">INDEX(Paramètres!$D$6:$D$12,$AF185)</f>
        <v>2</v>
      </c>
      <c r="AI185" s="23" t="n">
        <f aca="false" t="array" ref="AI185:AI185">INDEX(Matériaux!$C$16:$C$20,$D185)</f>
        <v>30</v>
      </c>
      <c r="AJ185" s="25" t="n">
        <f aca="false">Paramètres!$B$16+(1-Paramètres!$B$16)*(($J185-Paramètres!$B$14)/(Paramètres!$B$15-Paramètres!$B$14))^Paramètres!$B$17</f>
        <v>0.665999387952727</v>
      </c>
    </row>
    <row r="186" customFormat="false" ht="15.75" hidden="false" customHeight="true" outlineLevel="0" collapsed="false">
      <c r="A186" s="14" t="s">
        <v>298</v>
      </c>
      <c r="B186" s="15" t="s">
        <v>27</v>
      </c>
      <c r="C186" s="15" t="s">
        <v>273</v>
      </c>
      <c r="D186" s="16" t="n">
        <v>5</v>
      </c>
      <c r="E186" s="15" t="str">
        <f aca="false" t="array" ref="E186:E186">INDEX(Matériaux!$B$5:$F$12,MATCH(INDEX(Profils!$E$5:$E$34,$AE186),Matériaux!$A$5:$A$12,0),$D186)</f>
        <v>orichalque</v>
      </c>
      <c r="F186" s="26" t="s">
        <v>111</v>
      </c>
      <c r="G186" s="10" t="str">
        <f aca="false" t="array" ref="G186:G186">INDEX(Profils!$D$5:$D$34,$AE186)&amp;" en "&amp;$E186</f>
        <v>Anneau de guerre en orichalque</v>
      </c>
      <c r="H186" s="16" t="n">
        <f aca="false" t="array" ref="H186:H186">INDEX(Matériaux!$B$16:$B$20,$D186)</f>
        <v>70</v>
      </c>
      <c r="I186" s="16" t="n">
        <f aca="false">IF(ISNUMBER($C$3),MIN(MAX(0,ROUND($C$3,0)),$AI186),$AI186)</f>
        <v>0</v>
      </c>
      <c r="J186" s="18" t="n">
        <f aca="false">$H186+$I186</f>
        <v>70</v>
      </c>
      <c r="K186" s="15" t="s">
        <v>109</v>
      </c>
      <c r="L186" s="19" t="n">
        <f aca="false" t="array" ref="L186:L186">IF(AND(INDEX(Profils!$F$5:$F$34,$AE186)&gt;0,INDEX(Profils!$U$5:$U$34,$AE186)&lt;=$AH186),ROUND(INDEX(Profils!$F$5:$F$34,$AE186)*Paramètres!$E$22*$AG186*$AJ186,Paramètres!$F$22),0)</f>
        <v>0</v>
      </c>
      <c r="M186" s="19" t="n">
        <f aca="false" t="array" ref="M186:M186">IF(AND(INDEX(Profils!$G$5:$G$34,$AE186)&gt;0,INDEX(Profils!$V$5:$V$34,$AE186)&lt;=$AH186),ROUND(INDEX(Profils!$G$5:$G$34,$AE186)*Paramètres!$E$23*$AG186*$AJ186,Paramètres!$F$23),0)</f>
        <v>12</v>
      </c>
      <c r="N186" s="19" t="n">
        <f aca="false" t="array" ref="N186:N186">IF(AND(INDEX(Profils!$H$5:$H$34,$AE186)&gt;0,INDEX(Profils!$W$5:$W$34,$AE186)&lt;=$AH186),ROUND(INDEX(Profils!$H$5:$H$34,$AE186)*Paramètres!$E$24*$AG186*$AJ186,Paramètres!$F$24),0)</f>
        <v>0</v>
      </c>
      <c r="O186" s="19" t="n">
        <f aca="false" t="array" ref="O186:O186">IF(AND(INDEX(Profils!$I$5:$I$34,$AE186)&gt;0,INDEX(Profils!$X$5:$X$34,$AE186)&lt;=$AH186),ROUND(INDEX(Profils!$I$5:$I$34,$AE186)*Paramètres!$E$25*$AG186*$AJ186,Paramètres!$F$25),0)</f>
        <v>0</v>
      </c>
      <c r="P186" s="19" t="n">
        <f aca="false" t="array" ref="P186:P186">IF(AND(INDEX(Profils!$J$5:$J$34,$AE186)&gt;0,INDEX(Profils!$Y$5:$Y$34,$AE186)&lt;=$AH186),ROUND(INDEX(Profils!$J$5:$J$34,$AE186)*Paramètres!$E$26*$AG186*$AJ186,Paramètres!$F$26),0)</f>
        <v>0</v>
      </c>
      <c r="Q186" s="19" t="n">
        <f aca="false" t="array" ref="Q186:Q186">IF(AND(INDEX(Profils!$K$5:$K$34,$AE186)&gt;0,INDEX(Profils!$Z$5:$Z$34,$AE186)&lt;=$AH186),ROUND(INDEX(Profils!$K$5:$K$34,$AE186)*Paramètres!$E$27*$AG186*$AJ186,Paramètres!$F$27),0)</f>
        <v>0</v>
      </c>
      <c r="R186" s="20" t="n">
        <f aca="false" t="array" ref="R186:R186">IF(AND(INDEX(Profils!$L$5:$L$34,$AE186)&gt;0,INDEX(Profils!$AA$5:$AA$34,$AE186)&lt;=$AH186),ROUND(INDEX(Profils!$L$5:$L$34,$AE186)*Paramètres!$E$28*$AG186*$AJ186,Paramètres!$F$28),0)</f>
        <v>0</v>
      </c>
      <c r="S186" s="20" t="n">
        <f aca="false" t="array" ref="S186:S186">IF(AND(INDEX(Profils!$M$5:$M$34,$AE186)&gt;0,INDEX(Profils!$AB$5:$AB$34,$AE186)&lt;=$AH186),ROUND(INDEX(Profils!$M$5:$M$34,$AE186)*Paramètres!$E$29*$AG186*$AJ186,Paramètres!$F$29),0)</f>
        <v>0.009</v>
      </c>
      <c r="T186" s="20" t="n">
        <f aca="false" t="array" ref="T186:T186">IF(AND(INDEX(Profils!$N$5:$N$34,$AE186)&gt;0,INDEX(Profils!$AC$5:$AC$34,$AE186)&lt;=$AH186),ROUND(INDEX(Profils!$N$5:$N$34,$AE186)*Paramètres!$E$30*$AG186*$AJ186,Paramètres!$F$30),0)</f>
        <v>0.022</v>
      </c>
      <c r="U186" s="19" t="n">
        <f aca="false" t="array" ref="U186:U186">IF(AND(INDEX(Profils!$O$5:$O$34,$AE186)&gt;0,INDEX(Profils!$AD$5:$AD$34,$AE186)&lt;=$AH186),ROUND(INDEX(Profils!$O$5:$O$34,$AE186)*Paramètres!$E$31*$AG186*$AJ186,Paramètres!$F$31),0)</f>
        <v>0</v>
      </c>
      <c r="V186" s="20" t="n">
        <f aca="false" t="array" ref="V186:V186">IF(AND(INDEX(Profils!$P$5:$P$34,$AE186)&gt;0,INDEX(Profils!$AE$5:$AE$34,$AE186)&lt;=$AH186),ROUND(INDEX(Profils!$P$5:$P$34,$AE186)*Paramètres!$E$32*$AG186*$AJ186,Paramètres!$F$32),0)</f>
        <v>0</v>
      </c>
      <c r="W186" s="20" t="n">
        <f aca="false" t="array" ref="W186:W186">IF(AND(INDEX(Profils!$Q$5:$Q$34,$AE186)&gt;0,INDEX(Profils!$AF$5:$AF$34,$AE186)&lt;=$AH186),ROUND(INDEX(Profils!$Q$5:$Q$34,$AE186)*Paramètres!$E$33*$AG186*$AJ186,Paramètres!$F$33),0)</f>
        <v>0</v>
      </c>
      <c r="X186" s="20" t="n">
        <f aca="false" t="array" ref="X186:X186">IF(AND(INDEX(Profils!$R$5:$R$34,$AE186)&gt;0,INDEX(Profils!$AG$5:$AG$34,$AE186)&lt;=$AH186),ROUND(INDEX(Profils!$R$5:$R$34,$AE186)*Paramètres!$E$34*$AG186*$AJ186,Paramètres!$F$34),0)</f>
        <v>0</v>
      </c>
      <c r="Y186" s="20" t="n">
        <f aca="false" t="array" ref="Y186:Y186">IF(AND(INDEX(Profils!$S$5:$S$34,$AE186)&gt;0,INDEX(Profils!$AH$5:$AH$34,$AE186)&lt;=$AH186),ROUND(INDEX(Profils!$S$5:$S$34,$AE186)*Paramètres!$E$35*$AG186*$AJ186,Paramètres!$F$35),0)</f>
        <v>0</v>
      </c>
      <c r="Z186" s="21" t="n">
        <f aca="false">ROUND(L186/Paramètres!$E$22+M186/Paramètres!$E$23+N186/Paramètres!$E$24+O186/Paramètres!$E$25+P186/Paramètres!$E$26+Q186/Paramètres!$E$27+R186/Paramètres!$E$28+S186/Paramètres!$E$29+T186/Paramètres!$E$30+U186/Paramètres!$E$31+V186/Paramètres!$E$32+W186/Paramètres!$E$33+X186/Paramètres!$E$34+Y186/Paramètres!$E$35,1)</f>
        <v>2.3</v>
      </c>
      <c r="AA186" s="22" t="s">
        <v>109</v>
      </c>
      <c r="AB186" s="22" t="s">
        <v>109</v>
      </c>
      <c r="AC186" s="15" t="str">
        <f aca="false">$E186</f>
        <v>orichalque</v>
      </c>
      <c r="AD186" s="16" t="n">
        <f aca="false" t="array" ref="AD186:AD186">IF($I186&gt;=$AI186,"Max",ROUND(Paramètres!$B$40*($I186+1)^Paramètres!$B$41*INDEX(Paramètres!$H$6:$H$12,$AF186),0))</f>
        <v>4</v>
      </c>
      <c r="AE186" s="23" t="n">
        <f aca="false">MATCH($B186&amp;"|"&amp;$C186,Profils!$A$5:$A$34,0)</f>
        <v>6</v>
      </c>
      <c r="AF186" s="23" t="n">
        <v>2</v>
      </c>
      <c r="AG186" s="24" t="n">
        <f aca="false" t="array" ref="AG186:AG186">INDEX(Paramètres!$C$6:$C$12,$AF186)</f>
        <v>1.2</v>
      </c>
      <c r="AH186" s="23" t="n">
        <f aca="false" t="array" ref="AH186:AH186">INDEX(Paramètres!$D$6:$D$12,$AF186)</f>
        <v>3</v>
      </c>
      <c r="AI186" s="23" t="n">
        <f aca="false" t="array" ref="AI186:AI186">INDEX(Matériaux!$C$16:$C$20,$D186)</f>
        <v>30</v>
      </c>
      <c r="AJ186" s="25" t="n">
        <f aca="false">Paramètres!$B$16+(1-Paramètres!$B$16)*(($J186-Paramètres!$B$14)/(Paramètres!$B$15-Paramètres!$B$14))^Paramètres!$B$17</f>
        <v>0.665999387952727</v>
      </c>
    </row>
    <row r="187" customFormat="false" ht="15.75" hidden="false" customHeight="true" outlineLevel="0" collapsed="false">
      <c r="A187" s="14" t="s">
        <v>299</v>
      </c>
      <c r="B187" s="15" t="s">
        <v>27</v>
      </c>
      <c r="C187" s="15" t="s">
        <v>273</v>
      </c>
      <c r="D187" s="16" t="n">
        <v>5</v>
      </c>
      <c r="E187" s="15" t="str">
        <f aca="false" t="array" ref="E187:E187">INDEX(Matériaux!$B$5:$F$12,MATCH(INDEX(Profils!$E$5:$E$34,$AE187),Matériaux!$A$5:$A$12,0),$D187)</f>
        <v>orichalque</v>
      </c>
      <c r="F187" s="27" t="s">
        <v>113</v>
      </c>
      <c r="G187" s="10" t="str">
        <f aca="false" t="array" ref="G187:G187">INDEX(Profils!$D$5:$D$34,$AE187)&amp;" en "&amp;$E187</f>
        <v>Anneau de guerre en orichalque</v>
      </c>
      <c r="H187" s="16" t="n">
        <f aca="false" t="array" ref="H187:H187">INDEX(Matériaux!$B$16:$B$20,$D187)</f>
        <v>70</v>
      </c>
      <c r="I187" s="16" t="n">
        <f aca="false">IF(ISNUMBER($C$3),MIN(MAX(0,ROUND($C$3,0)),$AI187),$AI187)</f>
        <v>0</v>
      </c>
      <c r="J187" s="18" t="n">
        <f aca="false">$H187+$I187</f>
        <v>70</v>
      </c>
      <c r="K187" s="15" t="s">
        <v>109</v>
      </c>
      <c r="L187" s="19" t="n">
        <f aca="false" t="array" ref="L187:L187">IF(AND(INDEX(Profils!$F$5:$F$34,$AE187)&gt;0,INDEX(Profils!$U$5:$U$34,$AE187)&lt;=$AH187),ROUND(INDEX(Profils!$F$5:$F$34,$AE187)*Paramètres!$E$22*$AG187*$AJ187,Paramètres!$F$22),0)</f>
        <v>19</v>
      </c>
      <c r="M187" s="19" t="n">
        <f aca="false" t="array" ref="M187:M187">IF(AND(INDEX(Profils!$G$5:$G$34,$AE187)&gt;0,INDEX(Profils!$V$5:$V$34,$AE187)&lt;=$AH187),ROUND(INDEX(Profils!$G$5:$G$34,$AE187)*Paramètres!$E$23*$AG187*$AJ187,Paramètres!$F$23),0)</f>
        <v>14</v>
      </c>
      <c r="N187" s="19" t="n">
        <f aca="false" t="array" ref="N187:N187">IF(AND(INDEX(Profils!$H$5:$H$34,$AE187)&gt;0,INDEX(Profils!$W$5:$W$34,$AE187)&lt;=$AH187),ROUND(INDEX(Profils!$H$5:$H$34,$AE187)*Paramètres!$E$24*$AG187*$AJ187,Paramètres!$F$24),0)</f>
        <v>0</v>
      </c>
      <c r="O187" s="19" t="n">
        <f aca="false" t="array" ref="O187:O187">IF(AND(INDEX(Profils!$I$5:$I$34,$AE187)&gt;0,INDEX(Profils!$X$5:$X$34,$AE187)&lt;=$AH187),ROUND(INDEX(Profils!$I$5:$I$34,$AE187)*Paramètres!$E$25*$AG187*$AJ187,Paramètres!$F$25),0)</f>
        <v>0</v>
      </c>
      <c r="P187" s="19" t="n">
        <f aca="false" t="array" ref="P187:P187">IF(AND(INDEX(Profils!$J$5:$J$34,$AE187)&gt;0,INDEX(Profils!$Y$5:$Y$34,$AE187)&lt;=$AH187),ROUND(INDEX(Profils!$J$5:$J$34,$AE187)*Paramètres!$E$26*$AG187*$AJ187,Paramètres!$F$26),0)</f>
        <v>0</v>
      </c>
      <c r="Q187" s="19" t="n">
        <f aca="false" t="array" ref="Q187:Q187">IF(AND(INDEX(Profils!$K$5:$K$34,$AE187)&gt;0,INDEX(Profils!$Z$5:$Z$34,$AE187)&lt;=$AH187),ROUND(INDEX(Profils!$K$5:$K$34,$AE187)*Paramètres!$E$27*$AG187*$AJ187,Paramètres!$F$27),0)</f>
        <v>0</v>
      </c>
      <c r="R187" s="20" t="n">
        <f aca="false" t="array" ref="R187:R187">IF(AND(INDEX(Profils!$L$5:$L$34,$AE187)&gt;0,INDEX(Profils!$AA$5:$AA$34,$AE187)&lt;=$AH187),ROUND(INDEX(Profils!$L$5:$L$34,$AE187)*Paramètres!$E$28*$AG187*$AJ187,Paramètres!$F$28),0)</f>
        <v>0</v>
      </c>
      <c r="S187" s="20" t="n">
        <f aca="false" t="array" ref="S187:S187">IF(AND(INDEX(Profils!$M$5:$M$34,$AE187)&gt;0,INDEX(Profils!$AB$5:$AB$34,$AE187)&lt;=$AH187),ROUND(INDEX(Profils!$M$5:$M$34,$AE187)*Paramètres!$E$29*$AG187*$AJ187,Paramètres!$F$29),0)</f>
        <v>0.01</v>
      </c>
      <c r="T187" s="20" t="n">
        <f aca="false" t="array" ref="T187:T187">IF(AND(INDEX(Profils!$N$5:$N$34,$AE187)&gt;0,INDEX(Profils!$AC$5:$AC$34,$AE187)&lt;=$AH187),ROUND(INDEX(Profils!$N$5:$N$34,$AE187)*Paramètres!$E$30*$AG187*$AJ187,Paramètres!$F$30),0)</f>
        <v>0.026</v>
      </c>
      <c r="U187" s="19" t="n">
        <f aca="false" t="array" ref="U187:U187">IF(AND(INDEX(Profils!$O$5:$O$34,$AE187)&gt;0,INDEX(Profils!$AD$5:$AD$34,$AE187)&lt;=$AH187),ROUND(INDEX(Profils!$O$5:$O$34,$AE187)*Paramètres!$E$31*$AG187*$AJ187,Paramètres!$F$31),0)</f>
        <v>0</v>
      </c>
      <c r="V187" s="20" t="n">
        <f aca="false" t="array" ref="V187:V187">IF(AND(INDEX(Profils!$P$5:$P$34,$AE187)&gt;0,INDEX(Profils!$AE$5:$AE$34,$AE187)&lt;=$AH187),ROUND(INDEX(Profils!$P$5:$P$34,$AE187)*Paramètres!$E$32*$AG187*$AJ187,Paramètres!$F$32),0)</f>
        <v>0</v>
      </c>
      <c r="W187" s="20" t="n">
        <f aca="false" t="array" ref="W187:W187">IF(AND(INDEX(Profils!$Q$5:$Q$34,$AE187)&gt;0,INDEX(Profils!$AF$5:$AF$34,$AE187)&lt;=$AH187),ROUND(INDEX(Profils!$Q$5:$Q$34,$AE187)*Paramètres!$E$33*$AG187*$AJ187,Paramètres!$F$33),0)</f>
        <v>0</v>
      </c>
      <c r="X187" s="20" t="n">
        <f aca="false" t="array" ref="X187:X187">IF(AND(INDEX(Profils!$R$5:$R$34,$AE187)&gt;0,INDEX(Profils!$AG$5:$AG$34,$AE187)&lt;=$AH187),ROUND(INDEX(Profils!$R$5:$R$34,$AE187)*Paramètres!$E$34*$AG187*$AJ187,Paramètres!$F$34),0)</f>
        <v>0</v>
      </c>
      <c r="Y187" s="20" t="n">
        <f aca="false" t="array" ref="Y187:Y187">IF(AND(INDEX(Profils!$S$5:$S$34,$AE187)&gt;0,INDEX(Profils!$AH$5:$AH$34,$AE187)&lt;=$AH187),ROUND(INDEX(Profils!$S$5:$S$34,$AE187)*Paramètres!$E$35*$AG187*$AJ187,Paramètres!$F$35),0)</f>
        <v>0</v>
      </c>
      <c r="Z187" s="21" t="n">
        <f aca="false">ROUND(L187/Paramètres!$E$22+M187/Paramètres!$E$23+N187/Paramètres!$E$24+O187/Paramètres!$E$25+P187/Paramètres!$E$26+Q187/Paramètres!$E$27+R187/Paramètres!$E$28+S187/Paramètres!$E$29+T187/Paramètres!$E$30+U187/Paramètres!$E$31+V187/Paramètres!$E$32+W187/Paramètres!$E$33+X187/Paramètres!$E$34+Y187/Paramètres!$E$35,1)</f>
        <v>3.4</v>
      </c>
      <c r="AA187" s="22" t="s">
        <v>109</v>
      </c>
      <c r="AB187" s="22" t="s">
        <v>109</v>
      </c>
      <c r="AC187" s="15" t="str">
        <f aca="false">$E187</f>
        <v>orichalque</v>
      </c>
      <c r="AD187" s="16" t="n">
        <f aca="false" t="array" ref="AD187:AD187">IF($I187&gt;=$AI187,"Max",ROUND(Paramètres!$B$40*($I187+1)^Paramètres!$B$41*INDEX(Paramètres!$H$6:$H$12,$AF187),0))</f>
        <v>4</v>
      </c>
      <c r="AE187" s="23" t="n">
        <f aca="false">MATCH($B187&amp;"|"&amp;$C187,Profils!$A$5:$A$34,0)</f>
        <v>6</v>
      </c>
      <c r="AF187" s="23" t="n">
        <v>3</v>
      </c>
      <c r="AG187" s="24" t="n">
        <f aca="false" t="array" ref="AG187:AG187">INDEX(Paramètres!$C$6:$C$12,$AF187)</f>
        <v>1.45</v>
      </c>
      <c r="AH187" s="23" t="n">
        <f aca="false" t="array" ref="AH187:AH187">INDEX(Paramètres!$D$6:$D$12,$AF187)</f>
        <v>4</v>
      </c>
      <c r="AI187" s="23" t="n">
        <f aca="false" t="array" ref="AI187:AI187">INDEX(Matériaux!$C$16:$C$20,$D187)</f>
        <v>30</v>
      </c>
      <c r="AJ187" s="25" t="n">
        <f aca="false">Paramètres!$B$16+(1-Paramètres!$B$16)*(($J187-Paramètres!$B$14)/(Paramètres!$B$15-Paramètres!$B$14))^Paramètres!$B$17</f>
        <v>0.665999387952727</v>
      </c>
    </row>
    <row r="188" customFormat="false" ht="15.75" hidden="false" customHeight="true" outlineLevel="0" collapsed="false">
      <c r="A188" s="14" t="s">
        <v>300</v>
      </c>
      <c r="B188" s="15" t="s">
        <v>27</v>
      </c>
      <c r="C188" s="15" t="s">
        <v>273</v>
      </c>
      <c r="D188" s="16" t="n">
        <v>5</v>
      </c>
      <c r="E188" s="15" t="str">
        <f aca="false" t="array" ref="E188:E188">INDEX(Matériaux!$B$5:$F$12,MATCH(INDEX(Profils!$E$5:$E$34,$AE188),Matériaux!$A$5:$A$12,0),$D188)</f>
        <v>orichalque</v>
      </c>
      <c r="F188" s="28" t="s">
        <v>115</v>
      </c>
      <c r="G188" s="10" t="str">
        <f aca="false" t="array" ref="G188:G188">INDEX(Profils!$D$5:$D$34,$AE188)&amp;" en "&amp;$E188</f>
        <v>Anneau de guerre en orichalque</v>
      </c>
      <c r="H188" s="16" t="n">
        <f aca="false" t="array" ref="H188:H188">INDEX(Matériaux!$B$16:$B$20,$D188)</f>
        <v>70</v>
      </c>
      <c r="I188" s="16" t="n">
        <f aca="false">IF(ISNUMBER($C$3),MIN(MAX(0,ROUND($C$3,0)),$AI188),$AI188)</f>
        <v>0</v>
      </c>
      <c r="J188" s="18" t="n">
        <f aca="false">$H188+$I188</f>
        <v>70</v>
      </c>
      <c r="K188" s="15" t="s">
        <v>109</v>
      </c>
      <c r="L188" s="19" t="n">
        <f aca="false" t="array" ref="L188:L188">IF(AND(INDEX(Profils!$F$5:$F$34,$AE188)&gt;0,INDEX(Profils!$U$5:$U$34,$AE188)&lt;=$AH188),ROUND(INDEX(Profils!$F$5:$F$34,$AE188)*Paramètres!$E$22*$AG188*$AJ188,Paramètres!$F$22),0)</f>
        <v>23</v>
      </c>
      <c r="M188" s="19" t="n">
        <f aca="false" t="array" ref="M188:M188">IF(AND(INDEX(Profils!$G$5:$G$34,$AE188)&gt;0,INDEX(Profils!$V$5:$V$34,$AE188)&lt;=$AH188),ROUND(INDEX(Profils!$G$5:$G$34,$AE188)*Paramètres!$E$23*$AG188*$AJ188,Paramètres!$F$23),0)</f>
        <v>17</v>
      </c>
      <c r="N188" s="19" t="n">
        <f aca="false" t="array" ref="N188:N188">IF(AND(INDEX(Profils!$H$5:$H$34,$AE188)&gt;0,INDEX(Profils!$W$5:$W$34,$AE188)&lt;=$AH188),ROUND(INDEX(Profils!$H$5:$H$34,$AE188)*Paramètres!$E$24*$AG188*$AJ188,Paramètres!$F$24),0)</f>
        <v>0</v>
      </c>
      <c r="O188" s="19" t="n">
        <f aca="false" t="array" ref="O188:O188">IF(AND(INDEX(Profils!$I$5:$I$34,$AE188)&gt;0,INDEX(Profils!$X$5:$X$34,$AE188)&lt;=$AH188),ROUND(INDEX(Profils!$I$5:$I$34,$AE188)*Paramètres!$E$25*$AG188*$AJ188,Paramètres!$F$25),0)</f>
        <v>0</v>
      </c>
      <c r="P188" s="19" t="n">
        <f aca="false" t="array" ref="P188:P188">IF(AND(INDEX(Profils!$J$5:$J$34,$AE188)&gt;0,INDEX(Profils!$Y$5:$Y$34,$AE188)&lt;=$AH188),ROUND(INDEX(Profils!$J$5:$J$34,$AE188)*Paramètres!$E$26*$AG188*$AJ188,Paramètres!$F$26),0)</f>
        <v>0</v>
      </c>
      <c r="Q188" s="19" t="n">
        <f aca="false" t="array" ref="Q188:Q188">IF(AND(INDEX(Profils!$K$5:$K$34,$AE188)&gt;0,INDEX(Profils!$Z$5:$Z$34,$AE188)&lt;=$AH188),ROUND(INDEX(Profils!$K$5:$K$34,$AE188)*Paramètres!$E$27*$AG188*$AJ188,Paramètres!$F$27),0)</f>
        <v>0</v>
      </c>
      <c r="R188" s="20" t="n">
        <f aca="false" t="array" ref="R188:R188">IF(AND(INDEX(Profils!$L$5:$L$34,$AE188)&gt;0,INDEX(Profils!$AA$5:$AA$34,$AE188)&lt;=$AH188),ROUND(INDEX(Profils!$L$5:$L$34,$AE188)*Paramètres!$E$28*$AG188*$AJ188,Paramètres!$F$28),0)</f>
        <v>0.014</v>
      </c>
      <c r="S188" s="20" t="n">
        <f aca="false" t="array" ref="S188:S188">IF(AND(INDEX(Profils!$M$5:$M$34,$AE188)&gt;0,INDEX(Profils!$AB$5:$AB$34,$AE188)&lt;=$AH188),ROUND(INDEX(Profils!$M$5:$M$34,$AE188)*Paramètres!$E$29*$AG188*$AJ188,Paramètres!$F$29),0)</f>
        <v>0.013</v>
      </c>
      <c r="T188" s="20" t="n">
        <f aca="false" t="array" ref="T188:T188">IF(AND(INDEX(Profils!$N$5:$N$34,$AE188)&gt;0,INDEX(Profils!$AC$5:$AC$34,$AE188)&lt;=$AH188),ROUND(INDEX(Profils!$N$5:$N$34,$AE188)*Paramètres!$E$30*$AG188*$AJ188,Paramètres!$F$30),0)</f>
        <v>0.031</v>
      </c>
      <c r="U188" s="19" t="n">
        <f aca="false" t="array" ref="U188:U188">IF(AND(INDEX(Profils!$O$5:$O$34,$AE188)&gt;0,INDEX(Profils!$AD$5:$AD$34,$AE188)&lt;=$AH188),ROUND(INDEX(Profils!$O$5:$O$34,$AE188)*Paramètres!$E$31*$AG188*$AJ188,Paramètres!$F$31),0)</f>
        <v>0</v>
      </c>
      <c r="V188" s="20" t="n">
        <f aca="false" t="array" ref="V188:V188">IF(AND(INDEX(Profils!$P$5:$P$34,$AE188)&gt;0,INDEX(Profils!$AE$5:$AE$34,$AE188)&lt;=$AH188),ROUND(INDEX(Profils!$P$5:$P$34,$AE188)*Paramètres!$E$32*$AG188*$AJ188,Paramètres!$F$32),0)</f>
        <v>0</v>
      </c>
      <c r="W188" s="20" t="n">
        <f aca="false" t="array" ref="W188:W188">IF(AND(INDEX(Profils!$Q$5:$Q$34,$AE188)&gt;0,INDEX(Profils!$AF$5:$AF$34,$AE188)&lt;=$AH188),ROUND(INDEX(Profils!$Q$5:$Q$34,$AE188)*Paramètres!$E$33*$AG188*$AJ188,Paramètres!$F$33),0)</f>
        <v>0</v>
      </c>
      <c r="X188" s="20" t="n">
        <f aca="false" t="array" ref="X188:X188">IF(AND(INDEX(Profils!$R$5:$R$34,$AE188)&gt;0,INDEX(Profils!$AG$5:$AG$34,$AE188)&lt;=$AH188),ROUND(INDEX(Profils!$R$5:$R$34,$AE188)*Paramètres!$E$34*$AG188*$AJ188,Paramètres!$F$34),0)</f>
        <v>0</v>
      </c>
      <c r="Y188" s="20" t="n">
        <f aca="false" t="array" ref="Y188:Y188">IF(AND(INDEX(Profils!$S$5:$S$34,$AE188)&gt;0,INDEX(Profils!$AH$5:$AH$34,$AE188)&lt;=$AH188),ROUND(INDEX(Profils!$S$5:$S$34,$AE188)*Paramètres!$E$35*$AG188*$AJ188,Paramètres!$F$35),0)</f>
        <v>0</v>
      </c>
      <c r="Z188" s="21" t="n">
        <f aca="false">ROUND(L188/Paramètres!$E$22+M188/Paramètres!$E$23+N188/Paramètres!$E$24+O188/Paramètres!$E$25+P188/Paramètres!$E$26+Q188/Paramètres!$E$27+R188/Paramètres!$E$28+S188/Paramètres!$E$29+T188/Paramètres!$E$30+U188/Paramètres!$E$31+V188/Paramètres!$E$32+W188/Paramètres!$E$33+X188/Paramètres!$E$34+Y188/Paramètres!$E$35,1)</f>
        <v>5.1</v>
      </c>
      <c r="AA188" s="22" t="s">
        <v>109</v>
      </c>
      <c r="AB188" s="22" t="s">
        <v>109</v>
      </c>
      <c r="AC188" s="15" t="str">
        <f aca="false">$E188</f>
        <v>orichalque</v>
      </c>
      <c r="AD188" s="16" t="n">
        <f aca="false" t="array" ref="AD188:AD188">IF($I188&gt;=$AI188,"Max",ROUND(Paramètres!$B$40*($I188+1)^Paramètres!$B$41*INDEX(Paramètres!$H$6:$H$12,$AF188),0))</f>
        <v>5</v>
      </c>
      <c r="AE188" s="23" t="n">
        <f aca="false">MATCH($B188&amp;"|"&amp;$C188,Profils!$A$5:$A$34,0)</f>
        <v>6</v>
      </c>
      <c r="AF188" s="23" t="n">
        <v>4</v>
      </c>
      <c r="AG188" s="24" t="n">
        <f aca="false" t="array" ref="AG188:AG188">INDEX(Paramètres!$C$6:$C$12,$AF188)</f>
        <v>1.75</v>
      </c>
      <c r="AH188" s="23" t="n">
        <f aca="false" t="array" ref="AH188:AH188">INDEX(Paramètres!$D$6:$D$12,$AF188)</f>
        <v>5</v>
      </c>
      <c r="AI188" s="23" t="n">
        <f aca="false" t="array" ref="AI188:AI188">INDEX(Matériaux!$C$16:$C$20,$D188)</f>
        <v>30</v>
      </c>
      <c r="AJ188" s="25" t="n">
        <f aca="false">Paramètres!$B$16+(1-Paramètres!$B$16)*(($J188-Paramètres!$B$14)/(Paramètres!$B$15-Paramètres!$B$14))^Paramètres!$B$17</f>
        <v>0.665999387952727</v>
      </c>
    </row>
    <row r="189" customFormat="false" ht="15.75" hidden="false" customHeight="true" outlineLevel="0" collapsed="false">
      <c r="A189" s="14" t="s">
        <v>301</v>
      </c>
      <c r="B189" s="15" t="s">
        <v>27</v>
      </c>
      <c r="C189" s="15" t="s">
        <v>273</v>
      </c>
      <c r="D189" s="16" t="n">
        <v>5</v>
      </c>
      <c r="E189" s="15" t="str">
        <f aca="false" t="array" ref="E189:E189">INDEX(Matériaux!$B$5:$F$12,MATCH(INDEX(Profils!$E$5:$E$34,$AE189),Matériaux!$A$5:$A$12,0),$D189)</f>
        <v>orichalque</v>
      </c>
      <c r="F189" s="29" t="s">
        <v>117</v>
      </c>
      <c r="G189" s="10" t="str">
        <f aca="false" t="array" ref="G189:G189">INDEX(Profils!$D$5:$D$34,$AE189)&amp;" en "&amp;$E189</f>
        <v>Anneau de guerre en orichalque</v>
      </c>
      <c r="H189" s="16" t="n">
        <f aca="false" t="array" ref="H189:H189">INDEX(Matériaux!$B$16:$B$20,$D189)</f>
        <v>70</v>
      </c>
      <c r="I189" s="16" t="n">
        <f aca="false">IF(ISNUMBER($C$3),MIN(MAX(0,ROUND($C$3,0)),$AI189),$AI189)</f>
        <v>0</v>
      </c>
      <c r="J189" s="18" t="n">
        <f aca="false">$H189+$I189</f>
        <v>70</v>
      </c>
      <c r="K189" s="15" t="s">
        <v>109</v>
      </c>
      <c r="L189" s="19" t="n">
        <f aca="false" t="array" ref="L189:L189">IF(AND(INDEX(Profils!$F$5:$F$34,$AE189)&gt;0,INDEX(Profils!$U$5:$U$34,$AE189)&lt;=$AH189),ROUND(INDEX(Profils!$F$5:$F$34,$AE189)*Paramètres!$E$22*$AG189*$AJ189,Paramètres!$F$22),0)</f>
        <v>28</v>
      </c>
      <c r="M189" s="19" t="n">
        <f aca="false" t="array" ref="M189:M189">IF(AND(INDEX(Profils!$G$5:$G$34,$AE189)&gt;0,INDEX(Profils!$V$5:$V$34,$AE189)&lt;=$AH189),ROUND(INDEX(Profils!$G$5:$G$34,$AE189)*Paramètres!$E$23*$AG189*$AJ189,Paramètres!$F$23),0)</f>
        <v>21</v>
      </c>
      <c r="N189" s="19" t="n">
        <f aca="false" t="array" ref="N189:N189">IF(AND(INDEX(Profils!$H$5:$H$34,$AE189)&gt;0,INDEX(Profils!$W$5:$W$34,$AE189)&lt;=$AH189),ROUND(INDEX(Profils!$H$5:$H$34,$AE189)*Paramètres!$E$24*$AG189*$AJ189,Paramètres!$F$24),0)</f>
        <v>0</v>
      </c>
      <c r="O189" s="19" t="n">
        <f aca="false" t="array" ref="O189:O189">IF(AND(INDEX(Profils!$I$5:$I$34,$AE189)&gt;0,INDEX(Profils!$X$5:$X$34,$AE189)&lt;=$AH189),ROUND(INDEX(Profils!$I$5:$I$34,$AE189)*Paramètres!$E$25*$AG189*$AJ189,Paramètres!$F$25),0)</f>
        <v>0</v>
      </c>
      <c r="P189" s="19" t="n">
        <f aca="false" t="array" ref="P189:P189">IF(AND(INDEX(Profils!$J$5:$J$34,$AE189)&gt;0,INDEX(Profils!$Y$5:$Y$34,$AE189)&lt;=$AH189),ROUND(INDEX(Profils!$J$5:$J$34,$AE189)*Paramètres!$E$26*$AG189*$AJ189,Paramètres!$F$26),0)</f>
        <v>0</v>
      </c>
      <c r="Q189" s="19" t="n">
        <f aca="false" t="array" ref="Q189:Q189">IF(AND(INDEX(Profils!$K$5:$K$34,$AE189)&gt;0,INDEX(Profils!$Z$5:$Z$34,$AE189)&lt;=$AH189),ROUND(INDEX(Profils!$K$5:$K$34,$AE189)*Paramètres!$E$27*$AG189*$AJ189,Paramètres!$F$27),0)</f>
        <v>0</v>
      </c>
      <c r="R189" s="20" t="n">
        <f aca="false" t="array" ref="R189:R189">IF(AND(INDEX(Profils!$L$5:$L$34,$AE189)&gt;0,INDEX(Profils!$AA$5:$AA$34,$AE189)&lt;=$AH189),ROUND(INDEX(Profils!$L$5:$L$34,$AE189)*Paramètres!$E$28*$AG189*$AJ189,Paramètres!$F$28),0)</f>
        <v>0.017</v>
      </c>
      <c r="S189" s="20" t="n">
        <f aca="false" t="array" ref="S189:S189">IF(AND(INDEX(Profils!$M$5:$M$34,$AE189)&gt;0,INDEX(Profils!$AB$5:$AB$34,$AE189)&lt;=$AH189),ROUND(INDEX(Profils!$M$5:$M$34,$AE189)*Paramètres!$E$29*$AG189*$AJ189,Paramètres!$F$29),0)</f>
        <v>0.015</v>
      </c>
      <c r="T189" s="20" t="n">
        <f aca="false" t="array" ref="T189:T189">IF(AND(INDEX(Profils!$N$5:$N$34,$AE189)&gt;0,INDEX(Profils!$AC$5:$AC$34,$AE189)&lt;=$AH189),ROUND(INDEX(Profils!$N$5:$N$34,$AE189)*Paramètres!$E$30*$AG189*$AJ189,Paramètres!$F$30),0)</f>
        <v>0.038</v>
      </c>
      <c r="U189" s="19" t="n">
        <f aca="false" t="array" ref="U189:U189">IF(AND(INDEX(Profils!$O$5:$O$34,$AE189)&gt;0,INDEX(Profils!$AD$5:$AD$34,$AE189)&lt;=$AH189),ROUND(INDEX(Profils!$O$5:$O$34,$AE189)*Paramètres!$E$31*$AG189*$AJ189,Paramètres!$F$31),0)</f>
        <v>0</v>
      </c>
      <c r="V189" s="20" t="n">
        <f aca="false" t="array" ref="V189:V189">IF(AND(INDEX(Profils!$P$5:$P$34,$AE189)&gt;0,INDEX(Profils!$AE$5:$AE$34,$AE189)&lt;=$AH189),ROUND(INDEX(Profils!$P$5:$P$34,$AE189)*Paramètres!$E$32*$AG189*$AJ189,Paramètres!$F$32),0)</f>
        <v>0.015</v>
      </c>
      <c r="W189" s="20" t="n">
        <f aca="false" t="array" ref="W189:W189">IF(AND(INDEX(Profils!$Q$5:$Q$34,$AE189)&gt;0,INDEX(Profils!$AF$5:$AF$34,$AE189)&lt;=$AH189),ROUND(INDEX(Profils!$Q$5:$Q$34,$AE189)*Paramètres!$E$33*$AG189*$AJ189,Paramètres!$F$33),0)</f>
        <v>0</v>
      </c>
      <c r="X189" s="20" t="n">
        <f aca="false" t="array" ref="X189:X189">IF(AND(INDEX(Profils!$R$5:$R$34,$AE189)&gt;0,INDEX(Profils!$AG$5:$AG$34,$AE189)&lt;=$AH189),ROUND(INDEX(Profils!$R$5:$R$34,$AE189)*Paramètres!$E$34*$AG189*$AJ189,Paramètres!$F$34),0)</f>
        <v>0</v>
      </c>
      <c r="Y189" s="20" t="n">
        <f aca="false" t="array" ref="Y189:Y189">IF(AND(INDEX(Profils!$S$5:$S$34,$AE189)&gt;0,INDEX(Profils!$AH$5:$AH$34,$AE189)&lt;=$AH189),ROUND(INDEX(Profils!$S$5:$S$34,$AE189)*Paramètres!$E$35*$AG189*$AJ189,Paramètres!$F$35),0)</f>
        <v>0</v>
      </c>
      <c r="Z189" s="21" t="n">
        <f aca="false">ROUND(L189/Paramètres!$E$22+M189/Paramètres!$E$23+N189/Paramètres!$E$24+O189/Paramètres!$E$25+P189/Paramètres!$E$26+Q189/Paramètres!$E$27+R189/Paramètres!$E$28+S189/Paramètres!$E$29+T189/Paramètres!$E$30+U189/Paramètres!$E$31+V189/Paramètres!$E$32+W189/Paramètres!$E$33+X189/Paramètres!$E$34+Y189/Paramètres!$E$35,1)</f>
        <v>7.2</v>
      </c>
      <c r="AA189" s="22" t="s">
        <v>109</v>
      </c>
      <c r="AB189" s="22" t="s">
        <v>109</v>
      </c>
      <c r="AC189" s="15" t="str">
        <f aca="false">$E189</f>
        <v>orichalque</v>
      </c>
      <c r="AD189" s="16" t="n">
        <f aca="false" t="array" ref="AD189:AD189">IF($I189&gt;=$AI189,"Max",ROUND(Paramètres!$B$40*($I189+1)^Paramètres!$B$41*INDEX(Paramètres!$H$6:$H$12,$AF189),0))</f>
        <v>6</v>
      </c>
      <c r="AE189" s="23" t="n">
        <f aca="false">MATCH($B189&amp;"|"&amp;$C189,Profils!$A$5:$A$34,0)</f>
        <v>6</v>
      </c>
      <c r="AF189" s="23" t="n">
        <v>5</v>
      </c>
      <c r="AG189" s="24" t="n">
        <f aca="false" t="array" ref="AG189:AG189">INDEX(Paramètres!$C$6:$C$12,$AF189)</f>
        <v>2.1</v>
      </c>
      <c r="AH189" s="23" t="n">
        <f aca="false" t="array" ref="AH189:AH189">INDEX(Paramètres!$D$6:$D$12,$AF189)</f>
        <v>6</v>
      </c>
      <c r="AI189" s="23" t="n">
        <f aca="false" t="array" ref="AI189:AI189">INDEX(Matériaux!$C$16:$C$20,$D189)</f>
        <v>30</v>
      </c>
      <c r="AJ189" s="25" t="n">
        <f aca="false">Paramètres!$B$16+(1-Paramètres!$B$16)*(($J189-Paramètres!$B$14)/(Paramètres!$B$15-Paramètres!$B$14))^Paramètres!$B$17</f>
        <v>0.665999387952727</v>
      </c>
    </row>
    <row r="190" customFormat="false" ht="15.75" hidden="false" customHeight="true" outlineLevel="0" collapsed="false">
      <c r="A190" s="14" t="s">
        <v>302</v>
      </c>
      <c r="B190" s="15" t="s">
        <v>27</v>
      </c>
      <c r="C190" s="15" t="s">
        <v>273</v>
      </c>
      <c r="D190" s="16" t="n">
        <v>5</v>
      </c>
      <c r="E190" s="15" t="str">
        <f aca="false" t="array" ref="E190:E190">INDEX(Matériaux!$B$5:$F$12,MATCH(INDEX(Profils!$E$5:$E$34,$AE190),Matériaux!$A$5:$A$12,0),$D190)</f>
        <v>orichalque</v>
      </c>
      <c r="F190" s="30" t="s">
        <v>119</v>
      </c>
      <c r="G190" s="10" t="str">
        <f aca="false" t="array" ref="G190:G190">INDEX(Profils!$D$5:$D$34,$AE190)&amp;" en "&amp;$E190</f>
        <v>Anneau de guerre en orichalque</v>
      </c>
      <c r="H190" s="16" t="n">
        <f aca="false" t="array" ref="H190:H190">INDEX(Matériaux!$B$16:$B$20,$D190)</f>
        <v>70</v>
      </c>
      <c r="I190" s="16" t="n">
        <f aca="false">IF(ISNUMBER($C$3),MIN(MAX(0,ROUND($C$3,0)),$AI190),$AI190)</f>
        <v>0</v>
      </c>
      <c r="J190" s="18" t="n">
        <f aca="false">$H190+$I190</f>
        <v>70</v>
      </c>
      <c r="K190" s="15" t="s">
        <v>109</v>
      </c>
      <c r="L190" s="19" t="n">
        <f aca="false" t="array" ref="L190:L190">IF(AND(INDEX(Profils!$F$5:$F$34,$AE190)&gt;0,INDEX(Profils!$U$5:$U$34,$AE190)&lt;=$AH190),ROUND(INDEX(Profils!$F$5:$F$34,$AE190)*Paramètres!$E$22*$AG190*$AJ190,Paramètres!$F$22),0)</f>
        <v>32</v>
      </c>
      <c r="M190" s="19" t="n">
        <f aca="false" t="array" ref="M190:M190">IF(AND(INDEX(Profils!$G$5:$G$34,$AE190)&gt;0,INDEX(Profils!$V$5:$V$34,$AE190)&lt;=$AH190),ROUND(INDEX(Profils!$G$5:$G$34,$AE190)*Paramètres!$E$23*$AG190*$AJ190,Paramètres!$F$23),0)</f>
        <v>24</v>
      </c>
      <c r="N190" s="19" t="n">
        <f aca="false" t="array" ref="N190:N190">IF(AND(INDEX(Profils!$H$5:$H$34,$AE190)&gt;0,INDEX(Profils!$W$5:$W$34,$AE190)&lt;=$AH190),ROUND(INDEX(Profils!$H$5:$H$34,$AE190)*Paramètres!$E$24*$AG190*$AJ190,Paramètres!$F$24),0)</f>
        <v>0</v>
      </c>
      <c r="O190" s="19" t="n">
        <f aca="false" t="array" ref="O190:O190">IF(AND(INDEX(Profils!$I$5:$I$34,$AE190)&gt;0,INDEX(Profils!$X$5:$X$34,$AE190)&lt;=$AH190),ROUND(INDEX(Profils!$I$5:$I$34,$AE190)*Paramètres!$E$25*$AG190*$AJ190,Paramètres!$F$25),0)</f>
        <v>0</v>
      </c>
      <c r="P190" s="19" t="n">
        <f aca="false" t="array" ref="P190:P190">IF(AND(INDEX(Profils!$J$5:$J$34,$AE190)&gt;0,INDEX(Profils!$Y$5:$Y$34,$AE190)&lt;=$AH190),ROUND(INDEX(Profils!$J$5:$J$34,$AE190)*Paramètres!$E$26*$AG190*$AJ190,Paramètres!$F$26),0)</f>
        <v>8</v>
      </c>
      <c r="Q190" s="19" t="n">
        <f aca="false" t="array" ref="Q190:Q190">IF(AND(INDEX(Profils!$K$5:$K$34,$AE190)&gt;0,INDEX(Profils!$Z$5:$Z$34,$AE190)&lt;=$AH190),ROUND(INDEX(Profils!$K$5:$K$34,$AE190)*Paramètres!$E$27*$AG190*$AJ190,Paramètres!$F$27),0)</f>
        <v>0</v>
      </c>
      <c r="R190" s="20" t="n">
        <f aca="false" t="array" ref="R190:R190">IF(AND(INDEX(Profils!$L$5:$L$34,$AE190)&gt;0,INDEX(Profils!$AA$5:$AA$34,$AE190)&lt;=$AH190),ROUND(INDEX(Profils!$L$5:$L$34,$AE190)*Paramètres!$E$28*$AG190*$AJ190,Paramètres!$F$28),0)</f>
        <v>0.019</v>
      </c>
      <c r="S190" s="20" t="n">
        <f aca="false" t="array" ref="S190:S190">IF(AND(INDEX(Profils!$M$5:$M$34,$AE190)&gt;0,INDEX(Profils!$AB$5:$AB$34,$AE190)&lt;=$AH190),ROUND(INDEX(Profils!$M$5:$M$34,$AE190)*Paramètres!$E$29*$AG190*$AJ190,Paramètres!$F$29),0)</f>
        <v>0.017</v>
      </c>
      <c r="T190" s="20" t="n">
        <f aca="false" t="array" ref="T190:T190">IF(AND(INDEX(Profils!$N$5:$N$34,$AE190)&gt;0,INDEX(Profils!$AC$5:$AC$34,$AE190)&lt;=$AH190),ROUND(INDEX(Profils!$N$5:$N$34,$AE190)*Paramètres!$E$30*$AG190*$AJ190,Paramètres!$F$30),0)</f>
        <v>0.043</v>
      </c>
      <c r="U190" s="19" t="n">
        <f aca="false" t="array" ref="U190:U190">IF(AND(INDEX(Profils!$O$5:$O$34,$AE190)&gt;0,INDEX(Profils!$AD$5:$AD$34,$AE190)&lt;=$AH190),ROUND(INDEX(Profils!$O$5:$O$34,$AE190)*Paramètres!$E$31*$AG190*$AJ190,Paramètres!$F$31),0)</f>
        <v>0</v>
      </c>
      <c r="V190" s="20" t="n">
        <f aca="false" t="array" ref="V190:V190">IF(AND(INDEX(Profils!$P$5:$P$34,$AE190)&gt;0,INDEX(Profils!$AE$5:$AE$34,$AE190)&lt;=$AH190),ROUND(INDEX(Profils!$P$5:$P$34,$AE190)*Paramètres!$E$32*$AG190*$AJ190,Paramètres!$F$32),0)</f>
        <v>0.017</v>
      </c>
      <c r="W190" s="20" t="n">
        <f aca="false" t="array" ref="W190:W190">IF(AND(INDEX(Profils!$Q$5:$Q$34,$AE190)&gt;0,INDEX(Profils!$AF$5:$AF$34,$AE190)&lt;=$AH190),ROUND(INDEX(Profils!$Q$5:$Q$34,$AE190)*Paramètres!$E$33*$AG190*$AJ190,Paramètres!$F$33),0)</f>
        <v>0</v>
      </c>
      <c r="X190" s="20" t="n">
        <f aca="false" t="array" ref="X190:X190">IF(AND(INDEX(Profils!$R$5:$R$34,$AE190)&gt;0,INDEX(Profils!$AG$5:$AG$34,$AE190)&lt;=$AH190),ROUND(INDEX(Profils!$R$5:$R$34,$AE190)*Paramètres!$E$34*$AG190*$AJ190,Paramètres!$F$34),0)</f>
        <v>0</v>
      </c>
      <c r="Y190" s="20" t="n">
        <f aca="false" t="array" ref="Y190:Y190">IF(AND(INDEX(Profils!$S$5:$S$34,$AE190)&gt;0,INDEX(Profils!$AH$5:$AH$34,$AE190)&lt;=$AH190),ROUND(INDEX(Profils!$S$5:$S$34,$AE190)*Paramètres!$E$35*$AG190*$AJ190,Paramètres!$F$35),0)</f>
        <v>0</v>
      </c>
      <c r="Z190" s="21" t="n">
        <f aca="false">ROUND(L190/Paramètres!$E$22+M190/Paramètres!$E$23+N190/Paramètres!$E$24+O190/Paramètres!$E$25+P190/Paramètres!$E$26+Q190/Paramètres!$E$27+R190/Paramètres!$E$28+S190/Paramètres!$E$29+T190/Paramètres!$E$30+U190/Paramètres!$E$31+V190/Paramètres!$E$32+W190/Paramètres!$E$33+X190/Paramètres!$E$34+Y190/Paramètres!$E$35,1)</f>
        <v>8.8</v>
      </c>
      <c r="AA190" s="22" t="s">
        <v>109</v>
      </c>
      <c r="AB190" s="22" t="s">
        <v>109</v>
      </c>
      <c r="AC190" s="15" t="str">
        <f aca="false">$E190</f>
        <v>orichalque</v>
      </c>
      <c r="AD190" s="16" t="n">
        <f aca="false" t="array" ref="AD190:AD190">IF($I190&gt;=$AI190,"Max",ROUND(Paramètres!$B$40*($I190+1)^Paramètres!$B$41*INDEX(Paramètres!$H$6:$H$12,$AF190),0))</f>
        <v>8</v>
      </c>
      <c r="AE190" s="23" t="n">
        <f aca="false">MATCH($B190&amp;"|"&amp;$C190,Profils!$A$5:$A$34,0)</f>
        <v>6</v>
      </c>
      <c r="AF190" s="23" t="n">
        <v>6</v>
      </c>
      <c r="AG190" s="24" t="n">
        <f aca="false" t="array" ref="AG190:AG190">INDEX(Paramètres!$C$6:$C$12,$AF190)</f>
        <v>2.4</v>
      </c>
      <c r="AH190" s="23" t="n">
        <f aca="false" t="array" ref="AH190:AH190">INDEX(Paramètres!$D$6:$D$12,$AF190)</f>
        <v>7</v>
      </c>
      <c r="AI190" s="23" t="n">
        <f aca="false" t="array" ref="AI190:AI190">INDEX(Matériaux!$C$16:$C$20,$D190)</f>
        <v>30</v>
      </c>
      <c r="AJ190" s="25" t="n">
        <f aca="false">Paramètres!$B$16+(1-Paramètres!$B$16)*(($J190-Paramètres!$B$14)/(Paramètres!$B$15-Paramètres!$B$14))^Paramètres!$B$17</f>
        <v>0.665999387952727</v>
      </c>
    </row>
    <row r="191" customFormat="false" ht="15.75" hidden="false" customHeight="true" outlineLevel="0" collapsed="false">
      <c r="A191" s="14" t="s">
        <v>303</v>
      </c>
      <c r="B191" s="15" t="s">
        <v>27</v>
      </c>
      <c r="C191" s="15" t="s">
        <v>273</v>
      </c>
      <c r="D191" s="16" t="s">
        <v>109</v>
      </c>
      <c r="E191" s="15" t="s">
        <v>109</v>
      </c>
      <c r="F191" s="31" t="s">
        <v>38</v>
      </c>
      <c r="G191" s="10" t="str">
        <f aca="false" t="array" ref="G191:G191">INDEX(Uniques!$E$5:$E$34,MATCH($B191&amp;"|"&amp;$C191,Uniques!$A$5:$A$34,0))</f>
        <v>Anneau du Briseur de Remparts</v>
      </c>
      <c r="H191" s="16" t="n">
        <f aca="false" t="array" ref="H191:H191">INDEX(Uniques!$L$5:$L$34,MATCH($B191&amp;"|"&amp;$C191,Uniques!$A$5:$A$34,0))</f>
        <v>41</v>
      </c>
      <c r="I191" s="16" t="n">
        <f aca="false">IF(ISNUMBER($C$3),MIN(MAX(0,ROUND($C$3,0)),$AI191),$AI191)</f>
        <v>0</v>
      </c>
      <c r="J191" s="18" t="n">
        <f aca="false">$H191+$I191</f>
        <v>41</v>
      </c>
      <c r="K191" s="15" t="str">
        <f aca="false" t="array" ref="K191:K191">INDEX(Uniques!$F$5:$F$34,MATCH($B191&amp;"|"&amp;$C191,Uniques!$A$5:$A$34,0))</f>
        <v>Acide</v>
      </c>
      <c r="L191" s="19" t="n">
        <f aca="false" t="array" ref="L191:L191">IF(AND(INDEX(Profils!$F$5:$F$34,$AE191)&gt;0,INDEX(Profils!$U$5:$U$34,$AE191)&lt;=$AH191),ROUND(INDEX(Profils!$F$5:$F$34,$AE191)*Paramètres!$E$22*$AG191*$AJ191,Paramètres!$F$22),0)</f>
        <v>19</v>
      </c>
      <c r="M191" s="19" t="n">
        <f aca="false" t="array" ref="M191:M191">IF(AND(INDEX(Profils!$G$5:$G$34,$AE191)&gt;0,INDEX(Profils!$V$5:$V$34,$AE191)&lt;=$AH191),ROUND(INDEX(Profils!$G$5:$G$34,$AE191)*Paramètres!$E$23*$AG191*$AJ191,Paramètres!$F$23),0)</f>
        <v>14</v>
      </c>
      <c r="N191" s="19" t="n">
        <f aca="false" t="array" ref="N191:N191">IF(AND(INDEX(Profils!$H$5:$H$34,$AE191)&gt;0,INDEX(Profils!$W$5:$W$34,$AE191)&lt;=$AH191),ROUND(INDEX(Profils!$H$5:$H$34,$AE191)*Paramètres!$E$24*$AG191*$AJ191,Paramètres!$F$24),0)</f>
        <v>0</v>
      </c>
      <c r="O191" s="19" t="n">
        <f aca="false" t="array" ref="O191:O191">IF(AND(INDEX(Profils!$I$5:$I$34,$AE191)&gt;0,INDEX(Profils!$X$5:$X$34,$AE191)&lt;=$AH191),ROUND(INDEX(Profils!$I$5:$I$34,$AE191)*Paramètres!$E$25*$AG191*$AJ191,Paramètres!$F$25),0)</f>
        <v>0</v>
      </c>
      <c r="P191" s="19" t="n">
        <f aca="false" t="array" ref="P191:P191">IF(AND(INDEX(Profils!$J$5:$J$34,$AE191)&gt;0,INDEX(Profils!$Y$5:$Y$34,$AE191)&lt;=$AH191),ROUND(INDEX(Profils!$J$5:$J$34,$AE191)*Paramètres!$E$26*$AG191*$AJ191,Paramètres!$F$26),0)</f>
        <v>4</v>
      </c>
      <c r="Q191" s="19" t="n">
        <f aca="false" t="array" ref="Q191:Q191">IF(AND(INDEX(Profils!$K$5:$K$34,$AE191)&gt;0,INDEX(Profils!$Z$5:$Z$34,$AE191)&lt;=$AH191),ROUND(INDEX(Profils!$K$5:$K$34,$AE191)*Paramètres!$E$27*$AG191*$AJ191,Paramètres!$F$27),0)</f>
        <v>0</v>
      </c>
      <c r="R191" s="20" t="n">
        <f aca="false" t="array" ref="R191:R191">IF(AND(INDEX(Profils!$L$5:$L$34,$AE191)&gt;0,INDEX(Profils!$AA$5:$AA$34,$AE191)&lt;=$AH191),ROUND(INDEX(Profils!$L$5:$L$34,$AE191)*Paramètres!$E$28*$AG191*$AJ191,Paramètres!$F$28),0)</f>
        <v>0.011</v>
      </c>
      <c r="S191" s="20" t="n">
        <f aca="false" t="array" ref="S191:S191">IF(AND(INDEX(Profils!$M$5:$M$34,$AE191)&gt;0,INDEX(Profils!$AB$5:$AB$34,$AE191)&lt;=$AH191),ROUND(INDEX(Profils!$M$5:$M$34,$AE191)*Paramètres!$E$29*$AG191*$AJ191,Paramètres!$F$29),0)</f>
        <v>0.01</v>
      </c>
      <c r="T191" s="20" t="n">
        <f aca="false" t="array" ref="T191:T191">IF(AND(INDEX(Profils!$N$5:$N$34,$AE191)&gt;0,INDEX(Profils!$AC$5:$AC$34,$AE191)&lt;=$AH191),ROUND(INDEX(Profils!$N$5:$N$34,$AE191)*Paramètres!$E$30*$AG191*$AJ191,Paramètres!$F$30),0)</f>
        <v>0.025</v>
      </c>
      <c r="U191" s="19" t="n">
        <f aca="false" t="array" ref="U191:U191">IF(AND(INDEX(Profils!$O$5:$O$34,$AE191)&gt;0,INDEX(Profils!$AD$5:$AD$34,$AE191)&lt;=$AH191),ROUND(INDEX(Profils!$O$5:$O$34,$AE191)*Paramètres!$E$31*$AG191*$AJ191,Paramètres!$F$31),0)</f>
        <v>0</v>
      </c>
      <c r="V191" s="20" t="n">
        <f aca="false" t="array" ref="V191:V191">IF(AND(INDEX(Profils!$P$5:$P$34,$AE191)&gt;0,INDEX(Profils!$AE$5:$AE$34,$AE191)&lt;=$AH191),ROUND(INDEX(Profils!$P$5:$P$34,$AE191)*Paramètres!$E$32*$AG191*$AJ191,Paramètres!$F$32),0)</f>
        <v>0.01</v>
      </c>
      <c r="W191" s="20" t="n">
        <f aca="false" t="array" ref="W191:W191">IF(AND(INDEX(Profils!$Q$5:$Q$34,$AE191)&gt;0,INDEX(Profils!$AF$5:$AF$34,$AE191)&lt;=$AH191),ROUND(INDEX(Profils!$Q$5:$Q$34,$AE191)*Paramètres!$E$33*$AG191*$AJ191,Paramètres!$F$33),0)</f>
        <v>0</v>
      </c>
      <c r="X191" s="20" t="n">
        <f aca="false" t="array" ref="X191:X191">IF(AND(INDEX(Profils!$R$5:$R$34,$AE191)&gt;0,INDEX(Profils!$AG$5:$AG$34,$AE191)&lt;=$AH191),ROUND(INDEX(Profils!$R$5:$R$34,$AE191)*Paramètres!$E$34*$AG191*$AJ191,Paramètres!$F$34),0)</f>
        <v>0</v>
      </c>
      <c r="Y191" s="20" t="n">
        <f aca="false" t="array" ref="Y191:Y191">IF(AND(INDEX(Profils!$S$5:$S$34,$AE191)&gt;0,INDEX(Profils!$AH$5:$AH$34,$AE191)&lt;=$AH191),ROUND(INDEX(Profils!$S$5:$S$34,$AE191)*Paramètres!$E$35*$AG191*$AJ191,Paramètres!$F$35),0)</f>
        <v>0</v>
      </c>
      <c r="Z191" s="21" t="n">
        <f aca="false">ROUND(L191/Paramètres!$E$22+M191/Paramètres!$E$23+N191/Paramètres!$E$24+O191/Paramètres!$E$25+P191/Paramètres!$E$26+Q191/Paramètres!$E$27+R191/Paramètres!$E$28+S191/Paramètres!$E$29+T191/Paramètres!$E$30+U191/Paramètres!$E$31+V191/Paramètres!$E$32+W191/Paramètres!$E$33+X191/Paramètres!$E$34+Y191/Paramètres!$E$35,1)</f>
        <v>5.1</v>
      </c>
      <c r="AA191" s="22" t="str">
        <f aca="false" t="array" ref="AA191:AA191">INDEX(Uniques!$G$5:$G$34,MATCH($B191&amp;"|"&amp;$C191,Uniques!$A$5:$A$34,0))</f>
        <v>Morsure corrosive</v>
      </c>
      <c r="AB191" s="22" t="str">
        <f aca="false" t="array" ref="AB191:AB191">INDEX(Uniques!$H$5:$H$34,MATCH($B191&amp;"|"&amp;$C191,Uniques!$A$5:$A$34,0))&amp;" ["&amp;INDEX(Uniques!$I$5:$I$34,MATCH($B191&amp;"|"&amp;$C191,Uniques!$A$5:$A$34,0))&amp;"]"</f>
        <v>Les attaques du porteur appliquent Corrosion : −5 % d'Armure de la cible pendant 3 tours. [4 piles max par cible (−20 % d'Armure) ; durée rafraîchie à chaque application.]</v>
      </c>
      <c r="AC191" s="15" t="str">
        <f aca="false" t="array" ref="AC191:AC191">INDEX(Matériaux!$B$5:$F$12,MATCH(INDEX(Profils!$E$5:$E$34,$AE191),Matériaux!$A$5:$A$12,0),MATCH(MIN($J191+1,100),Matériaux!$B$16:$B$20,1))</f>
        <v>or</v>
      </c>
      <c r="AD191" s="16" t="n">
        <f aca="false" t="array" ref="AD191:AD191">IF($I191&gt;=$AI191,"Max",ROUND(Paramètres!$B$40*($I191+1)^Paramètres!$B$41*INDEX(Paramètres!$H$6:$H$12,$AF191),0))</f>
        <v>9</v>
      </c>
      <c r="AE191" s="23" t="n">
        <f aca="false">MATCH($B191&amp;"|"&amp;$C191,Profils!$A$5:$A$34,0)</f>
        <v>6</v>
      </c>
      <c r="AF191" s="23" t="n">
        <v>7</v>
      </c>
      <c r="AG191" s="24" t="n">
        <f aca="false" t="array" ref="AG191:AG191">INDEX(Paramètres!$C$6:$C$12,$AF191)</f>
        <v>2.5</v>
      </c>
      <c r="AH191" s="23" t="n">
        <f aca="false" t="array" ref="AH191:AH191">INDEX(Paramètres!$D$6:$D$12,$AF191)</f>
        <v>7</v>
      </c>
      <c r="AI191" s="23" t="n">
        <f aca="false" t="array" ref="AI191:AI191">INDEX(Uniques!$M$5:$M$34,MATCH($B191&amp;"|"&amp;$C191,Uniques!$A$5:$A$34,0))</f>
        <v>59</v>
      </c>
      <c r="AJ191" s="25" t="n">
        <f aca="false">Paramètres!$B$16+(1-Paramètres!$B$16)*(($J191-Paramètres!$B$14)/(Paramètres!$B$15-Paramètres!$B$14))^Paramètres!$B$17</f>
        <v>0.370208872482984</v>
      </c>
    </row>
    <row r="192" customFormat="false" ht="15.75" hidden="false" customHeight="true" outlineLevel="0" collapsed="false">
      <c r="A192" s="14" t="s">
        <v>304</v>
      </c>
      <c r="B192" s="15" t="s">
        <v>27</v>
      </c>
      <c r="C192" s="15" t="s">
        <v>305</v>
      </c>
      <c r="D192" s="16" t="n">
        <v>1</v>
      </c>
      <c r="E192" s="15" t="str">
        <f aca="false" t="array" ref="E192:E192">INDEX(Matériaux!$B$5:$F$12,MATCH(INDEX(Profils!$E$5:$E$34,$AE192),Matériaux!$A$5:$A$12,0),$D192)</f>
        <v>cuivre</v>
      </c>
      <c r="F192" s="17" t="s">
        <v>108</v>
      </c>
      <c r="G192" s="10" t="str">
        <f aca="false" t="array" ref="G192:G192">INDEX(Profils!$D$5:$D$34,$AE192)&amp;" en "&amp;$E192</f>
        <v>Chevalière en cuivre</v>
      </c>
      <c r="H192" s="16" t="n">
        <f aca="false" t="array" ref="H192:H192">INDEX(Matériaux!$B$16:$B$20,$D192)</f>
        <v>1</v>
      </c>
      <c r="I192" s="16" t="n">
        <f aca="false">IF(ISNUMBER($C$3),MIN(MAX(0,ROUND($C$3,0)),$AI192),$AI192)</f>
        <v>0</v>
      </c>
      <c r="J192" s="18" t="n">
        <f aca="false">$H192+$I192</f>
        <v>1</v>
      </c>
      <c r="K192" s="15" t="s">
        <v>109</v>
      </c>
      <c r="L192" s="19" t="n">
        <f aca="false" t="array" ref="L192:L192">IF(AND(INDEX(Profils!$F$5:$F$34,$AE192)&gt;0,INDEX(Profils!$U$5:$U$34,$AE192)&lt;=$AH192),ROUND(INDEX(Profils!$F$5:$F$34,$AE192)*Paramètres!$E$22*$AG192*$AJ192,Paramètres!$F$22),0)</f>
        <v>2</v>
      </c>
      <c r="M192" s="19" t="n">
        <f aca="false" t="array" ref="M192:M192">IF(AND(INDEX(Profils!$G$5:$G$34,$AE192)&gt;0,INDEX(Profils!$V$5:$V$34,$AE192)&lt;=$AH192),ROUND(INDEX(Profils!$G$5:$G$34,$AE192)*Paramètres!$E$23*$AG192*$AJ192,Paramètres!$F$23),0)</f>
        <v>0</v>
      </c>
      <c r="N192" s="19" t="n">
        <f aca="false" t="array" ref="N192:N192">IF(AND(INDEX(Profils!$H$5:$H$34,$AE192)&gt;0,INDEX(Profils!$W$5:$W$34,$AE192)&lt;=$AH192),ROUND(INDEX(Profils!$H$5:$H$34,$AE192)*Paramètres!$E$24*$AG192*$AJ192,Paramètres!$F$24),0)</f>
        <v>1</v>
      </c>
      <c r="O192" s="19" t="n">
        <f aca="false" t="array" ref="O192:O192">IF(AND(INDEX(Profils!$I$5:$I$34,$AE192)&gt;0,INDEX(Profils!$X$5:$X$34,$AE192)&lt;=$AH192),ROUND(INDEX(Profils!$I$5:$I$34,$AE192)*Paramètres!$E$25*$AG192*$AJ192,Paramètres!$F$25),0)</f>
        <v>0</v>
      </c>
      <c r="P192" s="19" t="n">
        <f aca="false" t="array" ref="P192:P192">IF(AND(INDEX(Profils!$J$5:$J$34,$AE192)&gt;0,INDEX(Profils!$Y$5:$Y$34,$AE192)&lt;=$AH192),ROUND(INDEX(Profils!$J$5:$J$34,$AE192)*Paramètres!$E$26*$AG192*$AJ192,Paramètres!$F$26),0)</f>
        <v>0</v>
      </c>
      <c r="Q192" s="19" t="n">
        <f aca="false" t="array" ref="Q192:Q192">IF(AND(INDEX(Profils!$K$5:$K$34,$AE192)&gt;0,INDEX(Profils!$Z$5:$Z$34,$AE192)&lt;=$AH192),ROUND(INDEX(Profils!$K$5:$K$34,$AE192)*Paramètres!$E$27*$AG192*$AJ192,Paramètres!$F$27),0)</f>
        <v>0</v>
      </c>
      <c r="R192" s="20" t="n">
        <f aca="false" t="array" ref="R192:R192">IF(AND(INDEX(Profils!$L$5:$L$34,$AE192)&gt;0,INDEX(Profils!$AA$5:$AA$34,$AE192)&lt;=$AH192),ROUND(INDEX(Profils!$L$5:$L$34,$AE192)*Paramètres!$E$28*$AG192*$AJ192,Paramètres!$F$28),0)</f>
        <v>0</v>
      </c>
      <c r="S192" s="20" t="n">
        <f aca="false" t="array" ref="S192:S192">IF(AND(INDEX(Profils!$M$5:$M$34,$AE192)&gt;0,INDEX(Profils!$AB$5:$AB$34,$AE192)&lt;=$AH192),ROUND(INDEX(Profils!$M$5:$M$34,$AE192)*Paramètres!$E$29*$AG192*$AJ192,Paramètres!$F$29),0)</f>
        <v>0</v>
      </c>
      <c r="T192" s="20" t="n">
        <f aca="false" t="array" ref="T192:T192">IF(AND(INDEX(Profils!$N$5:$N$34,$AE192)&gt;0,INDEX(Profils!$AC$5:$AC$34,$AE192)&lt;=$AH192),ROUND(INDEX(Profils!$N$5:$N$34,$AE192)*Paramètres!$E$30*$AG192*$AJ192,Paramètres!$F$30),0)</f>
        <v>0</v>
      </c>
      <c r="U192" s="19" t="n">
        <f aca="false" t="array" ref="U192:U192">IF(AND(INDEX(Profils!$O$5:$O$34,$AE192)&gt;0,INDEX(Profils!$AD$5:$AD$34,$AE192)&lt;=$AH192),ROUND(INDEX(Profils!$O$5:$O$34,$AE192)*Paramètres!$E$31*$AG192*$AJ192,Paramètres!$F$31),0)</f>
        <v>0</v>
      </c>
      <c r="V192" s="20" t="n">
        <f aca="false" t="array" ref="V192:V192">IF(AND(INDEX(Profils!$P$5:$P$34,$AE192)&gt;0,INDEX(Profils!$AE$5:$AE$34,$AE192)&lt;=$AH192),ROUND(INDEX(Profils!$P$5:$P$34,$AE192)*Paramètres!$E$32*$AG192*$AJ192,Paramètres!$F$32),0)</f>
        <v>0</v>
      </c>
      <c r="W192" s="20" t="n">
        <f aca="false" t="array" ref="W192:W192">IF(AND(INDEX(Profils!$Q$5:$Q$34,$AE192)&gt;0,INDEX(Profils!$AF$5:$AF$34,$AE192)&lt;=$AH192),ROUND(INDEX(Profils!$Q$5:$Q$34,$AE192)*Paramètres!$E$33*$AG192*$AJ192,Paramètres!$F$33),0)</f>
        <v>0</v>
      </c>
      <c r="X192" s="20" t="n">
        <f aca="false" t="array" ref="X192:X192">IF(AND(INDEX(Profils!$R$5:$R$34,$AE192)&gt;0,INDEX(Profils!$AG$5:$AG$34,$AE192)&lt;=$AH192),ROUND(INDEX(Profils!$R$5:$R$34,$AE192)*Paramètres!$E$34*$AG192*$AJ192,Paramètres!$F$34),0)</f>
        <v>0</v>
      </c>
      <c r="Y192" s="20" t="n">
        <f aca="false" t="array" ref="Y192:Y192">IF(AND(INDEX(Profils!$S$5:$S$34,$AE192)&gt;0,INDEX(Profils!$AH$5:$AH$34,$AE192)&lt;=$AH192),ROUND(INDEX(Profils!$S$5:$S$34,$AE192)*Paramètres!$E$35*$AG192*$AJ192,Paramètres!$F$35),0)</f>
        <v>0</v>
      </c>
      <c r="Z192" s="21" t="n">
        <f aca="false">ROUND(L192/Paramètres!$E$22+M192/Paramètres!$E$23+N192/Paramètres!$E$24+O192/Paramètres!$E$25+P192/Paramètres!$E$26+Q192/Paramètres!$E$27+R192/Paramètres!$E$28+S192/Paramètres!$E$29+T192/Paramètres!$E$30+U192/Paramètres!$E$31+V192/Paramètres!$E$32+W192/Paramètres!$E$33+X192/Paramètres!$E$34+Y192/Paramètres!$E$35,1)</f>
        <v>0.1</v>
      </c>
      <c r="AA192" s="22" t="s">
        <v>109</v>
      </c>
      <c r="AB192" s="22" t="s">
        <v>109</v>
      </c>
      <c r="AC192" s="15" t="str">
        <f aca="false">$E192</f>
        <v>cuivre</v>
      </c>
      <c r="AD192" s="16" t="n">
        <f aca="false" t="array" ref="AD192:AD192">IF($I192&gt;=$AI192,"Max",ROUND(Paramètres!$B$40*($I192+1)^Paramètres!$B$41*INDEX(Paramètres!$H$6:$H$12,$AF192),0))</f>
        <v>3</v>
      </c>
      <c r="AE192" s="23" t="n">
        <f aca="false">MATCH($B192&amp;"|"&amp;$C192,Profils!$A$5:$A$34,0)</f>
        <v>7</v>
      </c>
      <c r="AF192" s="23" t="n">
        <v>1</v>
      </c>
      <c r="AG192" s="24" t="n">
        <f aca="false" t="array" ref="AG192:AG192">INDEX(Paramètres!$C$6:$C$12,$AF192)</f>
        <v>1</v>
      </c>
      <c r="AH192" s="23" t="n">
        <f aca="false" t="array" ref="AH192:AH192">INDEX(Paramètres!$D$6:$D$12,$AF192)</f>
        <v>2</v>
      </c>
      <c r="AI192" s="23" t="n">
        <f aca="false" t="array" ref="AI192:AI192">INDEX(Matériaux!$C$16:$C$20,$D192)</f>
        <v>19</v>
      </c>
      <c r="AJ192" s="25" t="n">
        <f aca="false">Paramètres!$B$16+(1-Paramètres!$B$16)*(($J192-Paramètres!$B$14)/(Paramètres!$B$15-Paramètres!$B$14))^Paramètres!$B$17</f>
        <v>0.05</v>
      </c>
    </row>
    <row r="193" customFormat="false" ht="15.75" hidden="false" customHeight="true" outlineLevel="0" collapsed="false">
      <c r="A193" s="14" t="s">
        <v>306</v>
      </c>
      <c r="B193" s="15" t="s">
        <v>27</v>
      </c>
      <c r="C193" s="15" t="s">
        <v>305</v>
      </c>
      <c r="D193" s="16" t="n">
        <v>1</v>
      </c>
      <c r="E193" s="15" t="str">
        <f aca="false" t="array" ref="E193:E193">INDEX(Matériaux!$B$5:$F$12,MATCH(INDEX(Profils!$E$5:$E$34,$AE193),Matériaux!$A$5:$A$12,0),$D193)</f>
        <v>cuivre</v>
      </c>
      <c r="F193" s="26" t="s">
        <v>111</v>
      </c>
      <c r="G193" s="10" t="str">
        <f aca="false" t="array" ref="G193:G193">INDEX(Profils!$D$5:$D$34,$AE193)&amp;" en "&amp;$E193</f>
        <v>Chevalière en cuivre</v>
      </c>
      <c r="H193" s="16" t="n">
        <f aca="false" t="array" ref="H193:H193">INDEX(Matériaux!$B$16:$B$20,$D193)</f>
        <v>1</v>
      </c>
      <c r="I193" s="16" t="n">
        <f aca="false">IF(ISNUMBER($C$3),MIN(MAX(0,ROUND($C$3,0)),$AI193),$AI193)</f>
        <v>0</v>
      </c>
      <c r="J193" s="18" t="n">
        <f aca="false">$H193+$I193</f>
        <v>1</v>
      </c>
      <c r="K193" s="15" t="s">
        <v>109</v>
      </c>
      <c r="L193" s="19" t="n">
        <f aca="false" t="array" ref="L193:L193">IF(AND(INDEX(Profils!$F$5:$F$34,$AE193)&gt;0,INDEX(Profils!$U$5:$U$34,$AE193)&lt;=$AH193),ROUND(INDEX(Profils!$F$5:$F$34,$AE193)*Paramètres!$E$22*$AG193*$AJ193,Paramètres!$F$22),0)</f>
        <v>2</v>
      </c>
      <c r="M193" s="19" t="n">
        <f aca="false" t="array" ref="M193:M193">IF(AND(INDEX(Profils!$G$5:$G$34,$AE193)&gt;0,INDEX(Profils!$V$5:$V$34,$AE193)&lt;=$AH193),ROUND(INDEX(Profils!$G$5:$G$34,$AE193)*Paramètres!$E$23*$AG193*$AJ193,Paramètres!$F$23),0)</f>
        <v>0</v>
      </c>
      <c r="N193" s="19" t="n">
        <f aca="false" t="array" ref="N193:N193">IF(AND(INDEX(Profils!$H$5:$H$34,$AE193)&gt;0,INDEX(Profils!$W$5:$W$34,$AE193)&lt;=$AH193),ROUND(INDEX(Profils!$H$5:$H$34,$AE193)*Paramètres!$E$24*$AG193*$AJ193,Paramètres!$F$24),0)</f>
        <v>1</v>
      </c>
      <c r="O193" s="19" t="n">
        <f aca="false" t="array" ref="O193:O193">IF(AND(INDEX(Profils!$I$5:$I$34,$AE193)&gt;0,INDEX(Profils!$X$5:$X$34,$AE193)&lt;=$AH193),ROUND(INDEX(Profils!$I$5:$I$34,$AE193)*Paramètres!$E$25*$AG193*$AJ193,Paramètres!$F$25),0)</f>
        <v>0</v>
      </c>
      <c r="P193" s="19" t="n">
        <f aca="false" t="array" ref="P193:P193">IF(AND(INDEX(Profils!$J$5:$J$34,$AE193)&gt;0,INDEX(Profils!$Y$5:$Y$34,$AE193)&lt;=$AH193),ROUND(INDEX(Profils!$J$5:$J$34,$AE193)*Paramètres!$E$26*$AG193*$AJ193,Paramètres!$F$26),0)</f>
        <v>0</v>
      </c>
      <c r="Q193" s="19" t="n">
        <f aca="false" t="array" ref="Q193:Q193">IF(AND(INDEX(Profils!$K$5:$K$34,$AE193)&gt;0,INDEX(Profils!$Z$5:$Z$34,$AE193)&lt;=$AH193),ROUND(INDEX(Profils!$K$5:$K$34,$AE193)*Paramètres!$E$27*$AG193*$AJ193,Paramètres!$F$27),0)</f>
        <v>0</v>
      </c>
      <c r="R193" s="20" t="n">
        <f aca="false" t="array" ref="R193:R193">IF(AND(INDEX(Profils!$L$5:$L$34,$AE193)&gt;0,INDEX(Profils!$AA$5:$AA$34,$AE193)&lt;=$AH193),ROUND(INDEX(Profils!$L$5:$L$34,$AE193)*Paramètres!$E$28*$AG193*$AJ193,Paramètres!$F$28),0)</f>
        <v>0</v>
      </c>
      <c r="S193" s="20" t="n">
        <f aca="false" t="array" ref="S193:S193">IF(AND(INDEX(Profils!$M$5:$M$34,$AE193)&gt;0,INDEX(Profils!$AB$5:$AB$34,$AE193)&lt;=$AH193),ROUND(INDEX(Profils!$M$5:$M$34,$AE193)*Paramètres!$E$29*$AG193*$AJ193,Paramètres!$F$29),0)</f>
        <v>0</v>
      </c>
      <c r="T193" s="20" t="n">
        <f aca="false" t="array" ref="T193:T193">IF(AND(INDEX(Profils!$N$5:$N$34,$AE193)&gt;0,INDEX(Profils!$AC$5:$AC$34,$AE193)&lt;=$AH193),ROUND(INDEX(Profils!$N$5:$N$34,$AE193)*Paramètres!$E$30*$AG193*$AJ193,Paramètres!$F$30),0)</f>
        <v>0</v>
      </c>
      <c r="U193" s="19" t="n">
        <f aca="false" t="array" ref="U193:U193">IF(AND(INDEX(Profils!$O$5:$O$34,$AE193)&gt;0,INDEX(Profils!$AD$5:$AD$34,$AE193)&lt;=$AH193),ROUND(INDEX(Profils!$O$5:$O$34,$AE193)*Paramètres!$E$31*$AG193*$AJ193,Paramètres!$F$31),0)</f>
        <v>0</v>
      </c>
      <c r="V193" s="20" t="n">
        <f aca="false" t="array" ref="V193:V193">IF(AND(INDEX(Profils!$P$5:$P$34,$AE193)&gt;0,INDEX(Profils!$AE$5:$AE$34,$AE193)&lt;=$AH193),ROUND(INDEX(Profils!$P$5:$P$34,$AE193)*Paramètres!$E$32*$AG193*$AJ193,Paramètres!$F$32),0)</f>
        <v>0</v>
      </c>
      <c r="W193" s="20" t="n">
        <f aca="false" t="array" ref="W193:W193">IF(AND(INDEX(Profils!$Q$5:$Q$34,$AE193)&gt;0,INDEX(Profils!$AF$5:$AF$34,$AE193)&lt;=$AH193),ROUND(INDEX(Profils!$Q$5:$Q$34,$AE193)*Paramètres!$E$33*$AG193*$AJ193,Paramètres!$F$33),0)</f>
        <v>0.001</v>
      </c>
      <c r="X193" s="20" t="n">
        <f aca="false" t="array" ref="X193:X193">IF(AND(INDEX(Profils!$R$5:$R$34,$AE193)&gt;0,INDEX(Profils!$AG$5:$AG$34,$AE193)&lt;=$AH193),ROUND(INDEX(Profils!$R$5:$R$34,$AE193)*Paramètres!$E$34*$AG193*$AJ193,Paramètres!$F$34),0)</f>
        <v>0</v>
      </c>
      <c r="Y193" s="20" t="n">
        <f aca="false" t="array" ref="Y193:Y193">IF(AND(INDEX(Profils!$S$5:$S$34,$AE193)&gt;0,INDEX(Profils!$AH$5:$AH$34,$AE193)&lt;=$AH193),ROUND(INDEX(Profils!$S$5:$S$34,$AE193)*Paramètres!$E$35*$AG193*$AJ193,Paramètres!$F$35),0)</f>
        <v>0</v>
      </c>
      <c r="Z193" s="21" t="n">
        <f aca="false">ROUND(L193/Paramètres!$E$22+M193/Paramètres!$E$23+N193/Paramètres!$E$24+O193/Paramètres!$E$25+P193/Paramètres!$E$26+Q193/Paramètres!$E$27+R193/Paramètres!$E$28+S193/Paramètres!$E$29+T193/Paramètres!$E$30+U193/Paramètres!$E$31+V193/Paramètres!$E$32+W193/Paramètres!$E$33+X193/Paramètres!$E$34+Y193/Paramètres!$E$35,1)</f>
        <v>0.2</v>
      </c>
      <c r="AA193" s="22" t="s">
        <v>109</v>
      </c>
      <c r="AB193" s="22" t="s">
        <v>109</v>
      </c>
      <c r="AC193" s="15" t="str">
        <f aca="false">$E193</f>
        <v>cuivre</v>
      </c>
      <c r="AD193" s="16" t="n">
        <f aca="false" t="array" ref="AD193:AD193">IF($I193&gt;=$AI193,"Max",ROUND(Paramètres!$B$40*($I193+1)^Paramètres!$B$41*INDEX(Paramètres!$H$6:$H$12,$AF193),0))</f>
        <v>4</v>
      </c>
      <c r="AE193" s="23" t="n">
        <f aca="false">MATCH($B193&amp;"|"&amp;$C193,Profils!$A$5:$A$34,0)</f>
        <v>7</v>
      </c>
      <c r="AF193" s="23" t="n">
        <v>2</v>
      </c>
      <c r="AG193" s="24" t="n">
        <f aca="false" t="array" ref="AG193:AG193">INDEX(Paramètres!$C$6:$C$12,$AF193)</f>
        <v>1.2</v>
      </c>
      <c r="AH193" s="23" t="n">
        <f aca="false" t="array" ref="AH193:AH193">INDEX(Paramètres!$D$6:$D$12,$AF193)</f>
        <v>3</v>
      </c>
      <c r="AI193" s="23" t="n">
        <f aca="false" t="array" ref="AI193:AI193">INDEX(Matériaux!$C$16:$C$20,$D193)</f>
        <v>19</v>
      </c>
      <c r="AJ193" s="25" t="n">
        <f aca="false">Paramètres!$B$16+(1-Paramètres!$B$16)*(($J193-Paramètres!$B$14)/(Paramètres!$B$15-Paramètres!$B$14))^Paramètres!$B$17</f>
        <v>0.05</v>
      </c>
    </row>
    <row r="194" customFormat="false" ht="15.75" hidden="false" customHeight="true" outlineLevel="0" collapsed="false">
      <c r="A194" s="14" t="s">
        <v>307</v>
      </c>
      <c r="B194" s="15" t="s">
        <v>27</v>
      </c>
      <c r="C194" s="15" t="s">
        <v>305</v>
      </c>
      <c r="D194" s="16" t="n">
        <v>1</v>
      </c>
      <c r="E194" s="15" t="str">
        <f aca="false" t="array" ref="E194:E194">INDEX(Matériaux!$B$5:$F$12,MATCH(INDEX(Profils!$E$5:$E$34,$AE194),Matériaux!$A$5:$A$12,0),$D194)</f>
        <v>cuivre</v>
      </c>
      <c r="F194" s="27" t="s">
        <v>113</v>
      </c>
      <c r="G194" s="10" t="str">
        <f aca="false" t="array" ref="G194:G194">INDEX(Profils!$D$5:$D$34,$AE194)&amp;" en "&amp;$E194</f>
        <v>Chevalière en cuivre</v>
      </c>
      <c r="H194" s="16" t="n">
        <f aca="false" t="array" ref="H194:H194">INDEX(Matériaux!$B$16:$B$20,$D194)</f>
        <v>1</v>
      </c>
      <c r="I194" s="16" t="n">
        <f aca="false">IF(ISNUMBER($C$3),MIN(MAX(0,ROUND($C$3,0)),$AI194),$AI194)</f>
        <v>0</v>
      </c>
      <c r="J194" s="18" t="n">
        <f aca="false">$H194+$I194</f>
        <v>1</v>
      </c>
      <c r="K194" s="15" t="s">
        <v>109</v>
      </c>
      <c r="L194" s="19" t="n">
        <f aca="false" t="array" ref="L194:L194">IF(AND(INDEX(Profils!$F$5:$F$34,$AE194)&gt;0,INDEX(Profils!$U$5:$U$34,$AE194)&lt;=$AH194),ROUND(INDEX(Profils!$F$5:$F$34,$AE194)*Paramètres!$E$22*$AG194*$AJ194,Paramètres!$F$22),0)</f>
        <v>2</v>
      </c>
      <c r="M194" s="19" t="n">
        <f aca="false" t="array" ref="M194:M194">IF(AND(INDEX(Profils!$G$5:$G$34,$AE194)&gt;0,INDEX(Profils!$V$5:$V$34,$AE194)&lt;=$AH194),ROUND(INDEX(Profils!$G$5:$G$34,$AE194)*Paramètres!$E$23*$AG194*$AJ194,Paramètres!$F$23),0)</f>
        <v>0</v>
      </c>
      <c r="N194" s="19" t="n">
        <f aca="false" t="array" ref="N194:N194">IF(AND(INDEX(Profils!$H$5:$H$34,$AE194)&gt;0,INDEX(Profils!$W$5:$W$34,$AE194)&lt;=$AH194),ROUND(INDEX(Profils!$H$5:$H$34,$AE194)*Paramètres!$E$24*$AG194*$AJ194,Paramètres!$F$24),0)</f>
        <v>1</v>
      </c>
      <c r="O194" s="19" t="n">
        <f aca="false" t="array" ref="O194:O194">IF(AND(INDEX(Profils!$I$5:$I$34,$AE194)&gt;0,INDEX(Profils!$X$5:$X$34,$AE194)&lt;=$AH194),ROUND(INDEX(Profils!$I$5:$I$34,$AE194)*Paramètres!$E$25*$AG194*$AJ194,Paramètres!$F$25),0)</f>
        <v>0</v>
      </c>
      <c r="P194" s="19" t="n">
        <f aca="false" t="array" ref="P194:P194">IF(AND(INDEX(Profils!$J$5:$J$34,$AE194)&gt;0,INDEX(Profils!$Y$5:$Y$34,$AE194)&lt;=$AH194),ROUND(INDEX(Profils!$J$5:$J$34,$AE194)*Paramètres!$E$26*$AG194*$AJ194,Paramètres!$F$26),0)</f>
        <v>0</v>
      </c>
      <c r="Q194" s="19" t="n">
        <f aca="false" t="array" ref="Q194:Q194">IF(AND(INDEX(Profils!$K$5:$K$34,$AE194)&gt;0,INDEX(Profils!$Z$5:$Z$34,$AE194)&lt;=$AH194),ROUND(INDEX(Profils!$K$5:$K$34,$AE194)*Paramètres!$E$27*$AG194*$AJ194,Paramètres!$F$27),0)</f>
        <v>0</v>
      </c>
      <c r="R194" s="20" t="n">
        <f aca="false" t="array" ref="R194:R194">IF(AND(INDEX(Profils!$L$5:$L$34,$AE194)&gt;0,INDEX(Profils!$AA$5:$AA$34,$AE194)&lt;=$AH194),ROUND(INDEX(Profils!$L$5:$L$34,$AE194)*Paramètres!$E$28*$AG194*$AJ194,Paramètres!$F$28),0)</f>
        <v>0</v>
      </c>
      <c r="S194" s="20" t="n">
        <f aca="false" t="array" ref="S194:S194">IF(AND(INDEX(Profils!$M$5:$M$34,$AE194)&gt;0,INDEX(Profils!$AB$5:$AB$34,$AE194)&lt;=$AH194),ROUND(INDEX(Profils!$M$5:$M$34,$AE194)*Paramètres!$E$29*$AG194*$AJ194,Paramètres!$F$29),0)</f>
        <v>0</v>
      </c>
      <c r="T194" s="20" t="n">
        <f aca="false" t="array" ref="T194:T194">IF(AND(INDEX(Profils!$N$5:$N$34,$AE194)&gt;0,INDEX(Profils!$AC$5:$AC$34,$AE194)&lt;=$AH194),ROUND(INDEX(Profils!$N$5:$N$34,$AE194)*Paramètres!$E$30*$AG194*$AJ194,Paramètres!$F$30),0)</f>
        <v>0</v>
      </c>
      <c r="U194" s="19" t="n">
        <f aca="false" t="array" ref="U194:U194">IF(AND(INDEX(Profils!$O$5:$O$34,$AE194)&gt;0,INDEX(Profils!$AD$5:$AD$34,$AE194)&lt;=$AH194),ROUND(INDEX(Profils!$O$5:$O$34,$AE194)*Paramètres!$E$31*$AG194*$AJ194,Paramètres!$F$31),0)</f>
        <v>0</v>
      </c>
      <c r="V194" s="20" t="n">
        <f aca="false" t="array" ref="V194:V194">IF(AND(INDEX(Profils!$P$5:$P$34,$AE194)&gt;0,INDEX(Profils!$AE$5:$AE$34,$AE194)&lt;=$AH194),ROUND(INDEX(Profils!$P$5:$P$34,$AE194)*Paramètres!$E$32*$AG194*$AJ194,Paramètres!$F$32),0)</f>
        <v>0</v>
      </c>
      <c r="W194" s="20" t="n">
        <f aca="false" t="array" ref="W194:W194">IF(AND(INDEX(Profils!$Q$5:$Q$34,$AE194)&gt;0,INDEX(Profils!$AF$5:$AF$34,$AE194)&lt;=$AH194),ROUND(INDEX(Profils!$Q$5:$Q$34,$AE194)*Paramètres!$E$33*$AG194*$AJ194,Paramètres!$F$33),0)</f>
        <v>0.001</v>
      </c>
      <c r="X194" s="20" t="n">
        <f aca="false" t="array" ref="X194:X194">IF(AND(INDEX(Profils!$R$5:$R$34,$AE194)&gt;0,INDEX(Profils!$AG$5:$AG$34,$AE194)&lt;=$AH194),ROUND(INDEX(Profils!$R$5:$R$34,$AE194)*Paramètres!$E$34*$AG194*$AJ194,Paramètres!$F$34),0)</f>
        <v>0</v>
      </c>
      <c r="Y194" s="20" t="n">
        <f aca="false" t="array" ref="Y194:Y194">IF(AND(INDEX(Profils!$S$5:$S$34,$AE194)&gt;0,INDEX(Profils!$AH$5:$AH$34,$AE194)&lt;=$AH194),ROUND(INDEX(Profils!$S$5:$S$34,$AE194)*Paramètres!$E$35*$AG194*$AJ194,Paramètres!$F$35),0)</f>
        <v>0.001</v>
      </c>
      <c r="Z194" s="21" t="n">
        <f aca="false">ROUND(L194/Paramètres!$E$22+M194/Paramètres!$E$23+N194/Paramètres!$E$24+O194/Paramètres!$E$25+P194/Paramètres!$E$26+Q194/Paramètres!$E$27+R194/Paramètres!$E$28+S194/Paramètres!$E$29+T194/Paramètres!$E$30+U194/Paramètres!$E$31+V194/Paramètres!$E$32+W194/Paramètres!$E$33+X194/Paramètres!$E$34+Y194/Paramètres!$E$35,1)</f>
        <v>0.3</v>
      </c>
      <c r="AA194" s="22" t="s">
        <v>109</v>
      </c>
      <c r="AB194" s="22" t="s">
        <v>109</v>
      </c>
      <c r="AC194" s="15" t="str">
        <f aca="false">$E194</f>
        <v>cuivre</v>
      </c>
      <c r="AD194" s="16" t="n">
        <f aca="false" t="array" ref="AD194:AD194">IF($I194&gt;=$AI194,"Max",ROUND(Paramètres!$B$40*($I194+1)^Paramètres!$B$41*INDEX(Paramètres!$H$6:$H$12,$AF194),0))</f>
        <v>4</v>
      </c>
      <c r="AE194" s="23" t="n">
        <f aca="false">MATCH($B194&amp;"|"&amp;$C194,Profils!$A$5:$A$34,0)</f>
        <v>7</v>
      </c>
      <c r="AF194" s="23" t="n">
        <v>3</v>
      </c>
      <c r="AG194" s="24" t="n">
        <f aca="false" t="array" ref="AG194:AG194">INDEX(Paramètres!$C$6:$C$12,$AF194)</f>
        <v>1.45</v>
      </c>
      <c r="AH194" s="23" t="n">
        <f aca="false" t="array" ref="AH194:AH194">INDEX(Paramètres!$D$6:$D$12,$AF194)</f>
        <v>4</v>
      </c>
      <c r="AI194" s="23" t="n">
        <f aca="false" t="array" ref="AI194:AI194">INDEX(Matériaux!$C$16:$C$20,$D194)</f>
        <v>19</v>
      </c>
      <c r="AJ194" s="25" t="n">
        <f aca="false">Paramètres!$B$16+(1-Paramètres!$B$16)*(($J194-Paramètres!$B$14)/(Paramètres!$B$15-Paramètres!$B$14))^Paramètres!$B$17</f>
        <v>0.05</v>
      </c>
    </row>
    <row r="195" customFormat="false" ht="15.75" hidden="false" customHeight="true" outlineLevel="0" collapsed="false">
      <c r="A195" s="14" t="s">
        <v>308</v>
      </c>
      <c r="B195" s="15" t="s">
        <v>27</v>
      </c>
      <c r="C195" s="15" t="s">
        <v>305</v>
      </c>
      <c r="D195" s="16" t="n">
        <v>1</v>
      </c>
      <c r="E195" s="15" t="str">
        <f aca="false" t="array" ref="E195:E195">INDEX(Matériaux!$B$5:$F$12,MATCH(INDEX(Profils!$E$5:$E$34,$AE195),Matériaux!$A$5:$A$12,0),$D195)</f>
        <v>cuivre</v>
      </c>
      <c r="F195" s="28" t="s">
        <v>115</v>
      </c>
      <c r="G195" s="10" t="str">
        <f aca="false" t="array" ref="G195:G195">INDEX(Profils!$D$5:$D$34,$AE195)&amp;" en "&amp;$E195</f>
        <v>Chevalière en cuivre</v>
      </c>
      <c r="H195" s="16" t="n">
        <f aca="false" t="array" ref="H195:H195">INDEX(Matériaux!$B$16:$B$20,$D195)</f>
        <v>1</v>
      </c>
      <c r="I195" s="16" t="n">
        <f aca="false">IF(ISNUMBER($C$3),MIN(MAX(0,ROUND($C$3,0)),$AI195),$AI195)</f>
        <v>0</v>
      </c>
      <c r="J195" s="18" t="n">
        <f aca="false">$H195+$I195</f>
        <v>1</v>
      </c>
      <c r="K195" s="15" t="s">
        <v>109</v>
      </c>
      <c r="L195" s="19" t="n">
        <f aca="false" t="array" ref="L195:L195">IF(AND(INDEX(Profils!$F$5:$F$34,$AE195)&gt;0,INDEX(Profils!$U$5:$U$34,$AE195)&lt;=$AH195),ROUND(INDEX(Profils!$F$5:$F$34,$AE195)*Paramètres!$E$22*$AG195*$AJ195,Paramètres!$F$22),0)</f>
        <v>3</v>
      </c>
      <c r="M195" s="19" t="n">
        <f aca="false" t="array" ref="M195:M195">IF(AND(INDEX(Profils!$G$5:$G$34,$AE195)&gt;0,INDEX(Profils!$V$5:$V$34,$AE195)&lt;=$AH195),ROUND(INDEX(Profils!$G$5:$G$34,$AE195)*Paramètres!$E$23*$AG195*$AJ195,Paramètres!$F$23),0)</f>
        <v>0</v>
      </c>
      <c r="N195" s="19" t="n">
        <f aca="false" t="array" ref="N195:N195">IF(AND(INDEX(Profils!$H$5:$H$34,$AE195)&gt;0,INDEX(Profils!$W$5:$W$34,$AE195)&lt;=$AH195),ROUND(INDEX(Profils!$H$5:$H$34,$AE195)*Paramètres!$E$24*$AG195*$AJ195,Paramètres!$F$24),0)</f>
        <v>1</v>
      </c>
      <c r="O195" s="19" t="n">
        <f aca="false" t="array" ref="O195:O195">IF(AND(INDEX(Profils!$I$5:$I$34,$AE195)&gt;0,INDEX(Profils!$X$5:$X$34,$AE195)&lt;=$AH195),ROUND(INDEX(Profils!$I$5:$I$34,$AE195)*Paramètres!$E$25*$AG195*$AJ195,Paramètres!$F$25),0)</f>
        <v>0</v>
      </c>
      <c r="P195" s="19" t="n">
        <f aca="false" t="array" ref="P195:P195">IF(AND(INDEX(Profils!$J$5:$J$34,$AE195)&gt;0,INDEX(Profils!$Y$5:$Y$34,$AE195)&lt;=$AH195),ROUND(INDEX(Profils!$J$5:$J$34,$AE195)*Paramètres!$E$26*$AG195*$AJ195,Paramètres!$F$26),0)</f>
        <v>0</v>
      </c>
      <c r="Q195" s="19" t="n">
        <f aca="false" t="array" ref="Q195:Q195">IF(AND(INDEX(Profils!$K$5:$K$34,$AE195)&gt;0,INDEX(Profils!$Z$5:$Z$34,$AE195)&lt;=$AH195),ROUND(INDEX(Profils!$K$5:$K$34,$AE195)*Paramètres!$E$27*$AG195*$AJ195,Paramètres!$F$27),0)</f>
        <v>1</v>
      </c>
      <c r="R195" s="20" t="n">
        <f aca="false" t="array" ref="R195:R195">IF(AND(INDEX(Profils!$L$5:$L$34,$AE195)&gt;0,INDEX(Profils!$AA$5:$AA$34,$AE195)&lt;=$AH195),ROUND(INDEX(Profils!$L$5:$L$34,$AE195)*Paramètres!$E$28*$AG195*$AJ195,Paramètres!$F$28),0)</f>
        <v>0</v>
      </c>
      <c r="S195" s="20" t="n">
        <f aca="false" t="array" ref="S195:S195">IF(AND(INDEX(Profils!$M$5:$M$34,$AE195)&gt;0,INDEX(Profils!$AB$5:$AB$34,$AE195)&lt;=$AH195),ROUND(INDEX(Profils!$M$5:$M$34,$AE195)*Paramètres!$E$29*$AG195*$AJ195,Paramètres!$F$29),0)</f>
        <v>0</v>
      </c>
      <c r="T195" s="20" t="n">
        <f aca="false" t="array" ref="T195:T195">IF(AND(INDEX(Profils!$N$5:$N$34,$AE195)&gt;0,INDEX(Profils!$AC$5:$AC$34,$AE195)&lt;=$AH195),ROUND(INDEX(Profils!$N$5:$N$34,$AE195)*Paramètres!$E$30*$AG195*$AJ195,Paramètres!$F$30),0)</f>
        <v>0</v>
      </c>
      <c r="U195" s="19" t="n">
        <f aca="false" t="array" ref="U195:U195">IF(AND(INDEX(Profils!$O$5:$O$34,$AE195)&gt;0,INDEX(Profils!$AD$5:$AD$34,$AE195)&lt;=$AH195),ROUND(INDEX(Profils!$O$5:$O$34,$AE195)*Paramètres!$E$31*$AG195*$AJ195,Paramètres!$F$31),0)</f>
        <v>0</v>
      </c>
      <c r="V195" s="20" t="n">
        <f aca="false" t="array" ref="V195:V195">IF(AND(INDEX(Profils!$P$5:$P$34,$AE195)&gt;0,INDEX(Profils!$AE$5:$AE$34,$AE195)&lt;=$AH195),ROUND(INDEX(Profils!$P$5:$P$34,$AE195)*Paramètres!$E$32*$AG195*$AJ195,Paramètres!$F$32),0)</f>
        <v>0</v>
      </c>
      <c r="W195" s="20" t="n">
        <f aca="false" t="array" ref="W195:W195">IF(AND(INDEX(Profils!$Q$5:$Q$34,$AE195)&gt;0,INDEX(Profils!$AF$5:$AF$34,$AE195)&lt;=$AH195),ROUND(INDEX(Profils!$Q$5:$Q$34,$AE195)*Paramètres!$E$33*$AG195*$AJ195,Paramètres!$F$33),0)</f>
        <v>0.001</v>
      </c>
      <c r="X195" s="20" t="n">
        <f aca="false" t="array" ref="X195:X195">IF(AND(INDEX(Profils!$R$5:$R$34,$AE195)&gt;0,INDEX(Profils!$AG$5:$AG$34,$AE195)&lt;=$AH195),ROUND(INDEX(Profils!$R$5:$R$34,$AE195)*Paramètres!$E$34*$AG195*$AJ195,Paramètres!$F$34),0)</f>
        <v>0</v>
      </c>
      <c r="Y195" s="20" t="n">
        <f aca="false" t="array" ref="Y195:Y195">IF(AND(INDEX(Profils!$S$5:$S$34,$AE195)&gt;0,INDEX(Profils!$AH$5:$AH$34,$AE195)&lt;=$AH195),ROUND(INDEX(Profils!$S$5:$S$34,$AE195)*Paramètres!$E$35*$AG195*$AJ195,Paramètres!$F$35),0)</f>
        <v>0.001</v>
      </c>
      <c r="Z195" s="21" t="n">
        <f aca="false">ROUND(L195/Paramètres!$E$22+M195/Paramètres!$E$23+N195/Paramètres!$E$24+O195/Paramètres!$E$25+P195/Paramètres!$E$26+Q195/Paramètres!$E$27+R195/Paramètres!$E$28+S195/Paramètres!$E$29+T195/Paramètres!$E$30+U195/Paramètres!$E$31+V195/Paramètres!$E$32+W195/Paramètres!$E$33+X195/Paramètres!$E$34+Y195/Paramètres!$E$35,1)</f>
        <v>0.4</v>
      </c>
      <c r="AA195" s="22" t="s">
        <v>109</v>
      </c>
      <c r="AB195" s="22" t="s">
        <v>109</v>
      </c>
      <c r="AC195" s="15" t="str">
        <f aca="false">$E195</f>
        <v>cuivre</v>
      </c>
      <c r="AD195" s="16" t="n">
        <f aca="false" t="array" ref="AD195:AD195">IF($I195&gt;=$AI195,"Max",ROUND(Paramètres!$B$40*($I195+1)^Paramètres!$B$41*INDEX(Paramètres!$H$6:$H$12,$AF195),0))</f>
        <v>5</v>
      </c>
      <c r="AE195" s="23" t="n">
        <f aca="false">MATCH($B195&amp;"|"&amp;$C195,Profils!$A$5:$A$34,0)</f>
        <v>7</v>
      </c>
      <c r="AF195" s="23" t="n">
        <v>4</v>
      </c>
      <c r="AG195" s="24" t="n">
        <f aca="false" t="array" ref="AG195:AG195">INDEX(Paramètres!$C$6:$C$12,$AF195)</f>
        <v>1.75</v>
      </c>
      <c r="AH195" s="23" t="n">
        <f aca="false" t="array" ref="AH195:AH195">INDEX(Paramètres!$D$6:$D$12,$AF195)</f>
        <v>5</v>
      </c>
      <c r="AI195" s="23" t="n">
        <f aca="false" t="array" ref="AI195:AI195">INDEX(Matériaux!$C$16:$C$20,$D195)</f>
        <v>19</v>
      </c>
      <c r="AJ195" s="25" t="n">
        <f aca="false">Paramètres!$B$16+(1-Paramètres!$B$16)*(($J195-Paramètres!$B$14)/(Paramètres!$B$15-Paramètres!$B$14))^Paramètres!$B$17</f>
        <v>0.05</v>
      </c>
    </row>
    <row r="196" customFormat="false" ht="15.75" hidden="false" customHeight="true" outlineLevel="0" collapsed="false">
      <c r="A196" s="14" t="s">
        <v>309</v>
      </c>
      <c r="B196" s="15" t="s">
        <v>27</v>
      </c>
      <c r="C196" s="15" t="s">
        <v>305</v>
      </c>
      <c r="D196" s="16" t="n">
        <v>1</v>
      </c>
      <c r="E196" s="15" t="str">
        <f aca="false" t="array" ref="E196:E196">INDEX(Matériaux!$B$5:$F$12,MATCH(INDEX(Profils!$E$5:$E$34,$AE196),Matériaux!$A$5:$A$12,0),$D196)</f>
        <v>cuivre</v>
      </c>
      <c r="F196" s="29" t="s">
        <v>117</v>
      </c>
      <c r="G196" s="10" t="str">
        <f aca="false" t="array" ref="G196:G196">INDEX(Profils!$D$5:$D$34,$AE196)&amp;" en "&amp;$E196</f>
        <v>Chevalière en cuivre</v>
      </c>
      <c r="H196" s="16" t="n">
        <f aca="false" t="array" ref="H196:H196">INDEX(Matériaux!$B$16:$B$20,$D196)</f>
        <v>1</v>
      </c>
      <c r="I196" s="16" t="n">
        <f aca="false">IF(ISNUMBER($C$3),MIN(MAX(0,ROUND($C$3,0)),$AI196),$AI196)</f>
        <v>0</v>
      </c>
      <c r="J196" s="18" t="n">
        <f aca="false">$H196+$I196</f>
        <v>1</v>
      </c>
      <c r="K196" s="15" t="s">
        <v>109</v>
      </c>
      <c r="L196" s="19" t="n">
        <f aca="false" t="array" ref="L196:L196">IF(AND(INDEX(Profils!$F$5:$F$34,$AE196)&gt;0,INDEX(Profils!$U$5:$U$34,$AE196)&lt;=$AH196),ROUND(INDEX(Profils!$F$5:$F$34,$AE196)*Paramètres!$E$22*$AG196*$AJ196,Paramètres!$F$22),0)</f>
        <v>3</v>
      </c>
      <c r="M196" s="19" t="n">
        <f aca="false" t="array" ref="M196:M196">IF(AND(INDEX(Profils!$G$5:$G$34,$AE196)&gt;0,INDEX(Profils!$V$5:$V$34,$AE196)&lt;=$AH196),ROUND(INDEX(Profils!$G$5:$G$34,$AE196)*Paramètres!$E$23*$AG196*$AJ196,Paramètres!$F$23),0)</f>
        <v>0</v>
      </c>
      <c r="N196" s="19" t="n">
        <f aca="false" t="array" ref="N196:N196">IF(AND(INDEX(Profils!$H$5:$H$34,$AE196)&gt;0,INDEX(Profils!$W$5:$W$34,$AE196)&lt;=$AH196),ROUND(INDEX(Profils!$H$5:$H$34,$AE196)*Paramètres!$E$24*$AG196*$AJ196,Paramètres!$F$24),0)</f>
        <v>2</v>
      </c>
      <c r="O196" s="19" t="n">
        <f aca="false" t="array" ref="O196:O196">IF(AND(INDEX(Profils!$I$5:$I$34,$AE196)&gt;0,INDEX(Profils!$X$5:$X$34,$AE196)&lt;=$AH196),ROUND(INDEX(Profils!$I$5:$I$34,$AE196)*Paramètres!$E$25*$AG196*$AJ196,Paramètres!$F$25),0)</f>
        <v>0</v>
      </c>
      <c r="P196" s="19" t="n">
        <f aca="false" t="array" ref="P196:P196">IF(AND(INDEX(Profils!$J$5:$J$34,$AE196)&gt;0,INDEX(Profils!$Y$5:$Y$34,$AE196)&lt;=$AH196),ROUND(INDEX(Profils!$J$5:$J$34,$AE196)*Paramètres!$E$26*$AG196*$AJ196,Paramètres!$F$26),0)</f>
        <v>0</v>
      </c>
      <c r="Q196" s="19" t="n">
        <f aca="false" t="array" ref="Q196:Q196">IF(AND(INDEX(Profils!$K$5:$K$34,$AE196)&gt;0,INDEX(Profils!$Z$5:$Z$34,$AE196)&lt;=$AH196),ROUND(INDEX(Profils!$K$5:$K$34,$AE196)*Paramètres!$E$27*$AG196*$AJ196,Paramètres!$F$27),0)</f>
        <v>1</v>
      </c>
      <c r="R196" s="20" t="n">
        <f aca="false" t="array" ref="R196:R196">IF(AND(INDEX(Profils!$L$5:$L$34,$AE196)&gt;0,INDEX(Profils!$AA$5:$AA$34,$AE196)&lt;=$AH196),ROUND(INDEX(Profils!$L$5:$L$34,$AE196)*Paramètres!$E$28*$AG196*$AJ196,Paramètres!$F$28),0)</f>
        <v>0</v>
      </c>
      <c r="S196" s="20" t="n">
        <f aca="false" t="array" ref="S196:S196">IF(AND(INDEX(Profils!$M$5:$M$34,$AE196)&gt;0,INDEX(Profils!$AB$5:$AB$34,$AE196)&lt;=$AH196),ROUND(INDEX(Profils!$M$5:$M$34,$AE196)*Paramètres!$E$29*$AG196*$AJ196,Paramètres!$F$29),0)</f>
        <v>0</v>
      </c>
      <c r="T196" s="20" t="n">
        <f aca="false" t="array" ref="T196:T196">IF(AND(INDEX(Profils!$N$5:$N$34,$AE196)&gt;0,INDEX(Profils!$AC$5:$AC$34,$AE196)&lt;=$AH196),ROUND(INDEX(Profils!$N$5:$N$34,$AE196)*Paramètres!$E$30*$AG196*$AJ196,Paramètres!$F$30),0)</f>
        <v>0</v>
      </c>
      <c r="U196" s="19" t="n">
        <f aca="false" t="array" ref="U196:U196">IF(AND(INDEX(Profils!$O$5:$O$34,$AE196)&gt;0,INDEX(Profils!$AD$5:$AD$34,$AE196)&lt;=$AH196),ROUND(INDEX(Profils!$O$5:$O$34,$AE196)*Paramètres!$E$31*$AG196*$AJ196,Paramètres!$F$31),0)</f>
        <v>1</v>
      </c>
      <c r="V196" s="20" t="n">
        <f aca="false" t="array" ref="V196:V196">IF(AND(INDEX(Profils!$P$5:$P$34,$AE196)&gt;0,INDEX(Profils!$AE$5:$AE$34,$AE196)&lt;=$AH196),ROUND(INDEX(Profils!$P$5:$P$34,$AE196)*Paramètres!$E$32*$AG196*$AJ196,Paramètres!$F$32),0)</f>
        <v>0</v>
      </c>
      <c r="W196" s="20" t="n">
        <f aca="false" t="array" ref="W196:W196">IF(AND(INDEX(Profils!$Q$5:$Q$34,$AE196)&gt;0,INDEX(Profils!$AF$5:$AF$34,$AE196)&lt;=$AH196),ROUND(INDEX(Profils!$Q$5:$Q$34,$AE196)*Paramètres!$E$33*$AG196*$AJ196,Paramètres!$F$33),0)</f>
        <v>0.001</v>
      </c>
      <c r="X196" s="20" t="n">
        <f aca="false" t="array" ref="X196:X196">IF(AND(INDEX(Profils!$R$5:$R$34,$AE196)&gt;0,INDEX(Profils!$AG$5:$AG$34,$AE196)&lt;=$AH196),ROUND(INDEX(Profils!$R$5:$R$34,$AE196)*Paramètres!$E$34*$AG196*$AJ196,Paramètres!$F$34),0)</f>
        <v>0</v>
      </c>
      <c r="Y196" s="20" t="n">
        <f aca="false" t="array" ref="Y196:Y196">IF(AND(INDEX(Profils!$S$5:$S$34,$AE196)&gt;0,INDEX(Profils!$AH$5:$AH$34,$AE196)&lt;=$AH196),ROUND(INDEX(Profils!$S$5:$S$34,$AE196)*Paramètres!$E$35*$AG196*$AJ196,Paramètres!$F$35),0)</f>
        <v>0.001</v>
      </c>
      <c r="Z196" s="21" t="n">
        <f aca="false">ROUND(L196/Paramètres!$E$22+M196/Paramètres!$E$23+N196/Paramètres!$E$24+O196/Paramètres!$E$25+P196/Paramètres!$E$26+Q196/Paramètres!$E$27+R196/Paramètres!$E$28+S196/Paramètres!$E$29+T196/Paramètres!$E$30+U196/Paramètres!$E$31+V196/Paramètres!$E$32+W196/Paramètres!$E$33+X196/Paramètres!$E$34+Y196/Paramètres!$E$35,1)</f>
        <v>0.5</v>
      </c>
      <c r="AA196" s="22" t="s">
        <v>109</v>
      </c>
      <c r="AB196" s="22" t="s">
        <v>109</v>
      </c>
      <c r="AC196" s="15" t="str">
        <f aca="false">$E196</f>
        <v>cuivre</v>
      </c>
      <c r="AD196" s="16" t="n">
        <f aca="false" t="array" ref="AD196:AD196">IF($I196&gt;=$AI196,"Max",ROUND(Paramètres!$B$40*($I196+1)^Paramètres!$B$41*INDEX(Paramètres!$H$6:$H$12,$AF196),0))</f>
        <v>6</v>
      </c>
      <c r="AE196" s="23" t="n">
        <f aca="false">MATCH($B196&amp;"|"&amp;$C196,Profils!$A$5:$A$34,0)</f>
        <v>7</v>
      </c>
      <c r="AF196" s="23" t="n">
        <v>5</v>
      </c>
      <c r="AG196" s="24" t="n">
        <f aca="false" t="array" ref="AG196:AG196">INDEX(Paramètres!$C$6:$C$12,$AF196)</f>
        <v>2.1</v>
      </c>
      <c r="AH196" s="23" t="n">
        <f aca="false" t="array" ref="AH196:AH196">INDEX(Paramètres!$D$6:$D$12,$AF196)</f>
        <v>6</v>
      </c>
      <c r="AI196" s="23" t="n">
        <f aca="false" t="array" ref="AI196:AI196">INDEX(Matériaux!$C$16:$C$20,$D196)</f>
        <v>19</v>
      </c>
      <c r="AJ196" s="25" t="n">
        <f aca="false">Paramètres!$B$16+(1-Paramètres!$B$16)*(($J196-Paramètres!$B$14)/(Paramètres!$B$15-Paramètres!$B$14))^Paramètres!$B$17</f>
        <v>0.05</v>
      </c>
    </row>
    <row r="197" customFormat="false" ht="15.75" hidden="false" customHeight="true" outlineLevel="0" collapsed="false">
      <c r="A197" s="14" t="s">
        <v>310</v>
      </c>
      <c r="B197" s="15" t="s">
        <v>27</v>
      </c>
      <c r="C197" s="15" t="s">
        <v>305</v>
      </c>
      <c r="D197" s="16" t="n">
        <v>1</v>
      </c>
      <c r="E197" s="15" t="str">
        <f aca="false" t="array" ref="E197:E197">INDEX(Matériaux!$B$5:$F$12,MATCH(INDEX(Profils!$E$5:$E$34,$AE197),Matériaux!$A$5:$A$12,0),$D197)</f>
        <v>cuivre</v>
      </c>
      <c r="F197" s="30" t="s">
        <v>119</v>
      </c>
      <c r="G197" s="10" t="str">
        <f aca="false" t="array" ref="G197:G197">INDEX(Profils!$D$5:$D$34,$AE197)&amp;" en "&amp;$E197</f>
        <v>Chevalière en cuivre</v>
      </c>
      <c r="H197" s="16" t="n">
        <f aca="false" t="array" ref="H197:H197">INDEX(Matériaux!$B$16:$B$20,$D197)</f>
        <v>1</v>
      </c>
      <c r="I197" s="16" t="n">
        <f aca="false">IF(ISNUMBER($C$3),MIN(MAX(0,ROUND($C$3,0)),$AI197),$AI197)</f>
        <v>0</v>
      </c>
      <c r="J197" s="18" t="n">
        <f aca="false">$H197+$I197</f>
        <v>1</v>
      </c>
      <c r="K197" s="15" t="s">
        <v>109</v>
      </c>
      <c r="L197" s="19" t="n">
        <f aca="false" t="array" ref="L197:L197">IF(AND(INDEX(Profils!$F$5:$F$34,$AE197)&gt;0,INDEX(Profils!$U$5:$U$34,$AE197)&lt;=$AH197),ROUND(INDEX(Profils!$F$5:$F$34,$AE197)*Paramètres!$E$22*$AG197*$AJ197,Paramètres!$F$22),0)</f>
        <v>4</v>
      </c>
      <c r="M197" s="19" t="n">
        <f aca="false" t="array" ref="M197:M197">IF(AND(INDEX(Profils!$G$5:$G$34,$AE197)&gt;0,INDEX(Profils!$V$5:$V$34,$AE197)&lt;=$AH197),ROUND(INDEX(Profils!$G$5:$G$34,$AE197)*Paramètres!$E$23*$AG197*$AJ197,Paramètres!$F$23),0)</f>
        <v>1</v>
      </c>
      <c r="N197" s="19" t="n">
        <f aca="false" t="array" ref="N197:N197">IF(AND(INDEX(Profils!$H$5:$H$34,$AE197)&gt;0,INDEX(Profils!$W$5:$W$34,$AE197)&lt;=$AH197),ROUND(INDEX(Profils!$H$5:$H$34,$AE197)*Paramètres!$E$24*$AG197*$AJ197,Paramètres!$F$24),0)</f>
        <v>2</v>
      </c>
      <c r="O197" s="19" t="n">
        <f aca="false" t="array" ref="O197:O197">IF(AND(INDEX(Profils!$I$5:$I$34,$AE197)&gt;0,INDEX(Profils!$X$5:$X$34,$AE197)&lt;=$AH197),ROUND(INDEX(Profils!$I$5:$I$34,$AE197)*Paramètres!$E$25*$AG197*$AJ197,Paramètres!$F$25),0)</f>
        <v>0</v>
      </c>
      <c r="P197" s="19" t="n">
        <f aca="false" t="array" ref="P197:P197">IF(AND(INDEX(Profils!$J$5:$J$34,$AE197)&gt;0,INDEX(Profils!$Y$5:$Y$34,$AE197)&lt;=$AH197),ROUND(INDEX(Profils!$J$5:$J$34,$AE197)*Paramètres!$E$26*$AG197*$AJ197,Paramètres!$F$26),0)</f>
        <v>0</v>
      </c>
      <c r="Q197" s="19" t="n">
        <f aca="false" t="array" ref="Q197:Q197">IF(AND(INDEX(Profils!$K$5:$K$34,$AE197)&gt;0,INDEX(Profils!$Z$5:$Z$34,$AE197)&lt;=$AH197),ROUND(INDEX(Profils!$K$5:$K$34,$AE197)*Paramètres!$E$27*$AG197*$AJ197,Paramètres!$F$27),0)</f>
        <v>1</v>
      </c>
      <c r="R197" s="20" t="n">
        <f aca="false" t="array" ref="R197:R197">IF(AND(INDEX(Profils!$L$5:$L$34,$AE197)&gt;0,INDEX(Profils!$AA$5:$AA$34,$AE197)&lt;=$AH197),ROUND(INDEX(Profils!$L$5:$L$34,$AE197)*Paramètres!$E$28*$AG197*$AJ197,Paramètres!$F$28),0)</f>
        <v>0</v>
      </c>
      <c r="S197" s="20" t="n">
        <f aca="false" t="array" ref="S197:S197">IF(AND(INDEX(Profils!$M$5:$M$34,$AE197)&gt;0,INDEX(Profils!$AB$5:$AB$34,$AE197)&lt;=$AH197),ROUND(INDEX(Profils!$M$5:$M$34,$AE197)*Paramètres!$E$29*$AG197*$AJ197,Paramètres!$F$29),0)</f>
        <v>0</v>
      </c>
      <c r="T197" s="20" t="n">
        <f aca="false" t="array" ref="T197:T197">IF(AND(INDEX(Profils!$N$5:$N$34,$AE197)&gt;0,INDEX(Profils!$AC$5:$AC$34,$AE197)&lt;=$AH197),ROUND(INDEX(Profils!$N$5:$N$34,$AE197)*Paramètres!$E$30*$AG197*$AJ197,Paramètres!$F$30),0)</f>
        <v>0</v>
      </c>
      <c r="U197" s="19" t="n">
        <f aca="false" t="array" ref="U197:U197">IF(AND(INDEX(Profils!$O$5:$O$34,$AE197)&gt;0,INDEX(Profils!$AD$5:$AD$34,$AE197)&lt;=$AH197),ROUND(INDEX(Profils!$O$5:$O$34,$AE197)*Paramètres!$E$31*$AG197*$AJ197,Paramètres!$F$31),0)</f>
        <v>1</v>
      </c>
      <c r="V197" s="20" t="n">
        <f aca="false" t="array" ref="V197:V197">IF(AND(INDEX(Profils!$P$5:$P$34,$AE197)&gt;0,INDEX(Profils!$AE$5:$AE$34,$AE197)&lt;=$AH197),ROUND(INDEX(Profils!$P$5:$P$34,$AE197)*Paramètres!$E$32*$AG197*$AJ197,Paramètres!$F$32),0)</f>
        <v>0</v>
      </c>
      <c r="W197" s="20" t="n">
        <f aca="false" t="array" ref="W197:W197">IF(AND(INDEX(Profils!$Q$5:$Q$34,$AE197)&gt;0,INDEX(Profils!$AF$5:$AF$34,$AE197)&lt;=$AH197),ROUND(INDEX(Profils!$Q$5:$Q$34,$AE197)*Paramètres!$E$33*$AG197*$AJ197,Paramètres!$F$33),0)</f>
        <v>0.002</v>
      </c>
      <c r="X197" s="20" t="n">
        <f aca="false" t="array" ref="X197:X197">IF(AND(INDEX(Profils!$R$5:$R$34,$AE197)&gt;0,INDEX(Profils!$AG$5:$AG$34,$AE197)&lt;=$AH197),ROUND(INDEX(Profils!$R$5:$R$34,$AE197)*Paramètres!$E$34*$AG197*$AJ197,Paramètres!$F$34),0)</f>
        <v>0</v>
      </c>
      <c r="Y197" s="20" t="n">
        <f aca="false" t="array" ref="Y197:Y197">IF(AND(INDEX(Profils!$S$5:$S$34,$AE197)&gt;0,INDEX(Profils!$AH$5:$AH$34,$AE197)&lt;=$AH197),ROUND(INDEX(Profils!$S$5:$S$34,$AE197)*Paramètres!$E$35*$AG197*$AJ197,Paramètres!$F$35),0)</f>
        <v>0.002</v>
      </c>
      <c r="Z197" s="21" t="n">
        <f aca="false">ROUND(L197/Paramètres!$E$22+M197/Paramètres!$E$23+N197/Paramètres!$E$24+O197/Paramètres!$E$25+P197/Paramètres!$E$26+Q197/Paramètres!$E$27+R197/Paramètres!$E$28+S197/Paramètres!$E$29+T197/Paramètres!$E$30+U197/Paramètres!$E$31+V197/Paramètres!$E$32+W197/Paramètres!$E$33+X197/Paramètres!$E$34+Y197/Paramètres!$E$35,1)</f>
        <v>0.8</v>
      </c>
      <c r="AA197" s="22" t="s">
        <v>109</v>
      </c>
      <c r="AB197" s="22" t="s">
        <v>109</v>
      </c>
      <c r="AC197" s="15" t="str">
        <f aca="false">$E197</f>
        <v>cuivre</v>
      </c>
      <c r="AD197" s="16" t="n">
        <f aca="false" t="array" ref="AD197:AD197">IF($I197&gt;=$AI197,"Max",ROUND(Paramètres!$B$40*($I197+1)^Paramètres!$B$41*INDEX(Paramètres!$H$6:$H$12,$AF197),0))</f>
        <v>8</v>
      </c>
      <c r="AE197" s="23" t="n">
        <f aca="false">MATCH($B197&amp;"|"&amp;$C197,Profils!$A$5:$A$34,0)</f>
        <v>7</v>
      </c>
      <c r="AF197" s="23" t="n">
        <v>6</v>
      </c>
      <c r="AG197" s="24" t="n">
        <f aca="false" t="array" ref="AG197:AG197">INDEX(Paramètres!$C$6:$C$12,$AF197)</f>
        <v>2.4</v>
      </c>
      <c r="AH197" s="23" t="n">
        <f aca="false" t="array" ref="AH197:AH197">INDEX(Paramètres!$D$6:$D$12,$AF197)</f>
        <v>7</v>
      </c>
      <c r="AI197" s="23" t="n">
        <f aca="false" t="array" ref="AI197:AI197">INDEX(Matériaux!$C$16:$C$20,$D197)</f>
        <v>19</v>
      </c>
      <c r="AJ197" s="25" t="n">
        <f aca="false">Paramètres!$B$16+(1-Paramètres!$B$16)*(($J197-Paramètres!$B$14)/(Paramètres!$B$15-Paramètres!$B$14))^Paramètres!$B$17</f>
        <v>0.05</v>
      </c>
    </row>
    <row r="198" customFormat="false" ht="15.75" hidden="false" customHeight="true" outlineLevel="0" collapsed="false">
      <c r="A198" s="14" t="s">
        <v>311</v>
      </c>
      <c r="B198" s="15" t="s">
        <v>27</v>
      </c>
      <c r="C198" s="15" t="s">
        <v>305</v>
      </c>
      <c r="D198" s="16" t="n">
        <v>2</v>
      </c>
      <c r="E198" s="15" t="str">
        <f aca="false" t="array" ref="E198:E198">INDEX(Matériaux!$B$5:$F$12,MATCH(INDEX(Profils!$E$5:$E$34,$AE198),Matériaux!$A$5:$A$12,0),$D198)</f>
        <v>argent</v>
      </c>
      <c r="F198" s="17" t="s">
        <v>108</v>
      </c>
      <c r="G198" s="10" t="str">
        <f aca="false" t="array" ref="G198:G198">INDEX(Profils!$D$5:$D$34,$AE198)&amp;" en "&amp;$E198</f>
        <v>Chevalière en argent</v>
      </c>
      <c r="H198" s="16" t="n">
        <f aca="false" t="array" ref="H198:H198">INDEX(Matériaux!$B$16:$B$20,$D198)</f>
        <v>15</v>
      </c>
      <c r="I198" s="16" t="n">
        <f aca="false">IF(ISNUMBER($C$3),MIN(MAX(0,ROUND($C$3,0)),$AI198),$AI198)</f>
        <v>0</v>
      </c>
      <c r="J198" s="18" t="n">
        <f aca="false">$H198+$I198</f>
        <v>15</v>
      </c>
      <c r="K198" s="15" t="s">
        <v>109</v>
      </c>
      <c r="L198" s="19" t="n">
        <f aca="false" t="array" ref="L198:L198">IF(AND(INDEX(Profils!$F$5:$F$34,$AE198)&gt;0,INDEX(Profils!$U$5:$U$34,$AE198)&lt;=$AH198),ROUND(INDEX(Profils!$F$5:$F$34,$AE198)*Paramètres!$E$22*$AG198*$AJ198,Paramètres!$F$22),0)</f>
        <v>4</v>
      </c>
      <c r="M198" s="19" t="n">
        <f aca="false" t="array" ref="M198:M198">IF(AND(INDEX(Profils!$G$5:$G$34,$AE198)&gt;0,INDEX(Profils!$V$5:$V$34,$AE198)&lt;=$AH198),ROUND(INDEX(Profils!$G$5:$G$34,$AE198)*Paramètres!$E$23*$AG198*$AJ198,Paramètres!$F$23),0)</f>
        <v>0</v>
      </c>
      <c r="N198" s="19" t="n">
        <f aca="false" t="array" ref="N198:N198">IF(AND(INDEX(Profils!$H$5:$H$34,$AE198)&gt;0,INDEX(Profils!$W$5:$W$34,$AE198)&lt;=$AH198),ROUND(INDEX(Profils!$H$5:$H$34,$AE198)*Paramètres!$E$24*$AG198*$AJ198,Paramètres!$F$24),0)</f>
        <v>2</v>
      </c>
      <c r="O198" s="19" t="n">
        <f aca="false" t="array" ref="O198:O198">IF(AND(INDEX(Profils!$I$5:$I$34,$AE198)&gt;0,INDEX(Profils!$X$5:$X$34,$AE198)&lt;=$AH198),ROUND(INDEX(Profils!$I$5:$I$34,$AE198)*Paramètres!$E$25*$AG198*$AJ198,Paramètres!$F$25),0)</f>
        <v>0</v>
      </c>
      <c r="P198" s="19" t="n">
        <f aca="false" t="array" ref="P198:P198">IF(AND(INDEX(Profils!$J$5:$J$34,$AE198)&gt;0,INDEX(Profils!$Y$5:$Y$34,$AE198)&lt;=$AH198),ROUND(INDEX(Profils!$J$5:$J$34,$AE198)*Paramètres!$E$26*$AG198*$AJ198,Paramètres!$F$26),0)</f>
        <v>0</v>
      </c>
      <c r="Q198" s="19" t="n">
        <f aca="false" t="array" ref="Q198:Q198">IF(AND(INDEX(Profils!$K$5:$K$34,$AE198)&gt;0,INDEX(Profils!$Z$5:$Z$34,$AE198)&lt;=$AH198),ROUND(INDEX(Profils!$K$5:$K$34,$AE198)*Paramètres!$E$27*$AG198*$AJ198,Paramètres!$F$27),0)</f>
        <v>0</v>
      </c>
      <c r="R198" s="20" t="n">
        <f aca="false" t="array" ref="R198:R198">IF(AND(INDEX(Profils!$L$5:$L$34,$AE198)&gt;0,INDEX(Profils!$AA$5:$AA$34,$AE198)&lt;=$AH198),ROUND(INDEX(Profils!$L$5:$L$34,$AE198)*Paramètres!$E$28*$AG198*$AJ198,Paramètres!$F$28),0)</f>
        <v>0</v>
      </c>
      <c r="S198" s="20" t="n">
        <f aca="false" t="array" ref="S198:S198">IF(AND(INDEX(Profils!$M$5:$M$34,$AE198)&gt;0,INDEX(Profils!$AB$5:$AB$34,$AE198)&lt;=$AH198),ROUND(INDEX(Profils!$M$5:$M$34,$AE198)*Paramètres!$E$29*$AG198*$AJ198,Paramètres!$F$29),0)</f>
        <v>0</v>
      </c>
      <c r="T198" s="20" t="n">
        <f aca="false" t="array" ref="T198:T198">IF(AND(INDEX(Profils!$N$5:$N$34,$AE198)&gt;0,INDEX(Profils!$AC$5:$AC$34,$AE198)&lt;=$AH198),ROUND(INDEX(Profils!$N$5:$N$34,$AE198)*Paramètres!$E$30*$AG198*$AJ198,Paramètres!$F$30),0)</f>
        <v>0</v>
      </c>
      <c r="U198" s="19" t="n">
        <f aca="false" t="array" ref="U198:U198">IF(AND(INDEX(Profils!$O$5:$O$34,$AE198)&gt;0,INDEX(Profils!$AD$5:$AD$34,$AE198)&lt;=$AH198),ROUND(INDEX(Profils!$O$5:$O$34,$AE198)*Paramètres!$E$31*$AG198*$AJ198,Paramètres!$F$31),0)</f>
        <v>0</v>
      </c>
      <c r="V198" s="20" t="n">
        <f aca="false" t="array" ref="V198:V198">IF(AND(INDEX(Profils!$P$5:$P$34,$AE198)&gt;0,INDEX(Profils!$AE$5:$AE$34,$AE198)&lt;=$AH198),ROUND(INDEX(Profils!$P$5:$P$34,$AE198)*Paramètres!$E$32*$AG198*$AJ198,Paramètres!$F$32),0)</f>
        <v>0</v>
      </c>
      <c r="W198" s="20" t="n">
        <f aca="false" t="array" ref="W198:W198">IF(AND(INDEX(Profils!$Q$5:$Q$34,$AE198)&gt;0,INDEX(Profils!$AF$5:$AF$34,$AE198)&lt;=$AH198),ROUND(INDEX(Profils!$Q$5:$Q$34,$AE198)*Paramètres!$E$33*$AG198*$AJ198,Paramètres!$F$33),0)</f>
        <v>0</v>
      </c>
      <c r="X198" s="20" t="n">
        <f aca="false" t="array" ref="X198:X198">IF(AND(INDEX(Profils!$R$5:$R$34,$AE198)&gt;0,INDEX(Profils!$AG$5:$AG$34,$AE198)&lt;=$AH198),ROUND(INDEX(Profils!$R$5:$R$34,$AE198)*Paramètres!$E$34*$AG198*$AJ198,Paramètres!$F$34),0)</f>
        <v>0</v>
      </c>
      <c r="Y198" s="20" t="n">
        <f aca="false" t="array" ref="Y198:Y198">IF(AND(INDEX(Profils!$S$5:$S$34,$AE198)&gt;0,INDEX(Profils!$AH$5:$AH$34,$AE198)&lt;=$AH198),ROUND(INDEX(Profils!$S$5:$S$34,$AE198)*Paramètres!$E$35*$AG198*$AJ198,Paramètres!$F$35),0)</f>
        <v>0</v>
      </c>
      <c r="Z198" s="21" t="n">
        <f aca="false">ROUND(L198/Paramètres!$E$22+M198/Paramètres!$E$23+N198/Paramètres!$E$24+O198/Paramètres!$E$25+P198/Paramètres!$E$26+Q198/Paramètres!$E$27+R198/Paramètres!$E$28+S198/Paramètres!$E$29+T198/Paramètres!$E$30+U198/Paramètres!$E$31+V198/Paramètres!$E$32+W198/Paramètres!$E$33+X198/Paramètres!$E$34+Y198/Paramètres!$E$35,1)</f>
        <v>0.3</v>
      </c>
      <c r="AA198" s="22" t="s">
        <v>109</v>
      </c>
      <c r="AB198" s="22" t="s">
        <v>109</v>
      </c>
      <c r="AC198" s="15" t="str">
        <f aca="false">$E198</f>
        <v>argent</v>
      </c>
      <c r="AD198" s="16" t="n">
        <f aca="false" t="array" ref="AD198:AD198">IF($I198&gt;=$AI198,"Max",ROUND(Paramètres!$B$40*($I198+1)^Paramètres!$B$41*INDEX(Paramètres!$H$6:$H$12,$AF198),0))</f>
        <v>3</v>
      </c>
      <c r="AE198" s="23" t="n">
        <f aca="false">MATCH($B198&amp;"|"&amp;$C198,Profils!$A$5:$A$34,0)</f>
        <v>7</v>
      </c>
      <c r="AF198" s="23" t="n">
        <v>1</v>
      </c>
      <c r="AG198" s="24" t="n">
        <f aca="false" t="array" ref="AG198:AG198">INDEX(Paramètres!$C$6:$C$12,$AF198)</f>
        <v>1</v>
      </c>
      <c r="AH198" s="23" t="n">
        <f aca="false" t="array" ref="AH198:AH198">INDEX(Paramètres!$D$6:$D$12,$AF198)</f>
        <v>2</v>
      </c>
      <c r="AI198" s="23" t="n">
        <f aca="false" t="array" ref="AI198:AI198">INDEX(Matériaux!$C$16:$C$20,$D198)</f>
        <v>20</v>
      </c>
      <c r="AJ198" s="25" t="n">
        <f aca="false">Paramètres!$B$16+(1-Paramètres!$B$16)*(($J198-Paramètres!$B$14)/(Paramètres!$B$15-Paramètres!$B$14))^Paramètres!$B$17</f>
        <v>0.140847925475674</v>
      </c>
    </row>
    <row r="199" customFormat="false" ht="15.75" hidden="false" customHeight="true" outlineLevel="0" collapsed="false">
      <c r="A199" s="14" t="s">
        <v>312</v>
      </c>
      <c r="B199" s="15" t="s">
        <v>27</v>
      </c>
      <c r="C199" s="15" t="s">
        <v>305</v>
      </c>
      <c r="D199" s="16" t="n">
        <v>2</v>
      </c>
      <c r="E199" s="15" t="str">
        <f aca="false" t="array" ref="E199:E199">INDEX(Matériaux!$B$5:$F$12,MATCH(INDEX(Profils!$E$5:$E$34,$AE199),Matériaux!$A$5:$A$12,0),$D199)</f>
        <v>argent</v>
      </c>
      <c r="F199" s="26" t="s">
        <v>111</v>
      </c>
      <c r="G199" s="10" t="str">
        <f aca="false" t="array" ref="G199:G199">INDEX(Profils!$D$5:$D$34,$AE199)&amp;" en "&amp;$E199</f>
        <v>Chevalière en argent</v>
      </c>
      <c r="H199" s="16" t="n">
        <f aca="false" t="array" ref="H199:H199">INDEX(Matériaux!$B$16:$B$20,$D199)</f>
        <v>15</v>
      </c>
      <c r="I199" s="16" t="n">
        <f aca="false">IF(ISNUMBER($C$3),MIN(MAX(0,ROUND($C$3,0)),$AI199),$AI199)</f>
        <v>0</v>
      </c>
      <c r="J199" s="18" t="n">
        <f aca="false">$H199+$I199</f>
        <v>15</v>
      </c>
      <c r="K199" s="15" t="s">
        <v>109</v>
      </c>
      <c r="L199" s="19" t="n">
        <f aca="false" t="array" ref="L199:L199">IF(AND(INDEX(Profils!$F$5:$F$34,$AE199)&gt;0,INDEX(Profils!$U$5:$U$34,$AE199)&lt;=$AH199),ROUND(INDEX(Profils!$F$5:$F$34,$AE199)*Paramètres!$E$22*$AG199*$AJ199,Paramètres!$F$22),0)</f>
        <v>5</v>
      </c>
      <c r="M199" s="19" t="n">
        <f aca="false" t="array" ref="M199:M199">IF(AND(INDEX(Profils!$G$5:$G$34,$AE199)&gt;0,INDEX(Profils!$V$5:$V$34,$AE199)&lt;=$AH199),ROUND(INDEX(Profils!$G$5:$G$34,$AE199)*Paramètres!$E$23*$AG199*$AJ199,Paramètres!$F$23),0)</f>
        <v>0</v>
      </c>
      <c r="N199" s="19" t="n">
        <f aca="false" t="array" ref="N199:N199">IF(AND(INDEX(Profils!$H$5:$H$34,$AE199)&gt;0,INDEX(Profils!$W$5:$W$34,$AE199)&lt;=$AH199),ROUND(INDEX(Profils!$H$5:$H$34,$AE199)*Paramètres!$E$24*$AG199*$AJ199,Paramètres!$F$24),0)</f>
        <v>3</v>
      </c>
      <c r="O199" s="19" t="n">
        <f aca="false" t="array" ref="O199:O199">IF(AND(INDEX(Profils!$I$5:$I$34,$AE199)&gt;0,INDEX(Profils!$X$5:$X$34,$AE199)&lt;=$AH199),ROUND(INDEX(Profils!$I$5:$I$34,$AE199)*Paramètres!$E$25*$AG199*$AJ199,Paramètres!$F$25),0)</f>
        <v>0</v>
      </c>
      <c r="P199" s="19" t="n">
        <f aca="false" t="array" ref="P199:P199">IF(AND(INDEX(Profils!$J$5:$J$34,$AE199)&gt;0,INDEX(Profils!$Y$5:$Y$34,$AE199)&lt;=$AH199),ROUND(INDEX(Profils!$J$5:$J$34,$AE199)*Paramètres!$E$26*$AG199*$AJ199,Paramètres!$F$26),0)</f>
        <v>0</v>
      </c>
      <c r="Q199" s="19" t="n">
        <f aca="false" t="array" ref="Q199:Q199">IF(AND(INDEX(Profils!$K$5:$K$34,$AE199)&gt;0,INDEX(Profils!$Z$5:$Z$34,$AE199)&lt;=$AH199),ROUND(INDEX(Profils!$K$5:$K$34,$AE199)*Paramètres!$E$27*$AG199*$AJ199,Paramètres!$F$27),0)</f>
        <v>0</v>
      </c>
      <c r="R199" s="20" t="n">
        <f aca="false" t="array" ref="R199:R199">IF(AND(INDEX(Profils!$L$5:$L$34,$AE199)&gt;0,INDEX(Profils!$AA$5:$AA$34,$AE199)&lt;=$AH199),ROUND(INDEX(Profils!$L$5:$L$34,$AE199)*Paramètres!$E$28*$AG199*$AJ199,Paramètres!$F$28),0)</f>
        <v>0</v>
      </c>
      <c r="S199" s="20" t="n">
        <f aca="false" t="array" ref="S199:S199">IF(AND(INDEX(Profils!$M$5:$M$34,$AE199)&gt;0,INDEX(Profils!$AB$5:$AB$34,$AE199)&lt;=$AH199),ROUND(INDEX(Profils!$M$5:$M$34,$AE199)*Paramètres!$E$29*$AG199*$AJ199,Paramètres!$F$29),0)</f>
        <v>0</v>
      </c>
      <c r="T199" s="20" t="n">
        <f aca="false" t="array" ref="T199:T199">IF(AND(INDEX(Profils!$N$5:$N$34,$AE199)&gt;0,INDEX(Profils!$AC$5:$AC$34,$AE199)&lt;=$AH199),ROUND(INDEX(Profils!$N$5:$N$34,$AE199)*Paramètres!$E$30*$AG199*$AJ199,Paramètres!$F$30),0)</f>
        <v>0</v>
      </c>
      <c r="U199" s="19" t="n">
        <f aca="false" t="array" ref="U199:U199">IF(AND(INDEX(Profils!$O$5:$O$34,$AE199)&gt;0,INDEX(Profils!$AD$5:$AD$34,$AE199)&lt;=$AH199),ROUND(INDEX(Profils!$O$5:$O$34,$AE199)*Paramètres!$E$31*$AG199*$AJ199,Paramètres!$F$31),0)</f>
        <v>0</v>
      </c>
      <c r="V199" s="20" t="n">
        <f aca="false" t="array" ref="V199:V199">IF(AND(INDEX(Profils!$P$5:$P$34,$AE199)&gt;0,INDEX(Profils!$AE$5:$AE$34,$AE199)&lt;=$AH199),ROUND(INDEX(Profils!$P$5:$P$34,$AE199)*Paramètres!$E$32*$AG199*$AJ199,Paramètres!$F$32),0)</f>
        <v>0</v>
      </c>
      <c r="W199" s="20" t="n">
        <f aca="false" t="array" ref="W199:W199">IF(AND(INDEX(Profils!$Q$5:$Q$34,$AE199)&gt;0,INDEX(Profils!$AF$5:$AF$34,$AE199)&lt;=$AH199),ROUND(INDEX(Profils!$Q$5:$Q$34,$AE199)*Paramètres!$E$33*$AG199*$AJ199,Paramètres!$F$33),0)</f>
        <v>0.002</v>
      </c>
      <c r="X199" s="20" t="n">
        <f aca="false" t="array" ref="X199:X199">IF(AND(INDEX(Profils!$R$5:$R$34,$AE199)&gt;0,INDEX(Profils!$AG$5:$AG$34,$AE199)&lt;=$AH199),ROUND(INDEX(Profils!$R$5:$R$34,$AE199)*Paramètres!$E$34*$AG199*$AJ199,Paramètres!$F$34),0)</f>
        <v>0</v>
      </c>
      <c r="Y199" s="20" t="n">
        <f aca="false" t="array" ref="Y199:Y199">IF(AND(INDEX(Profils!$S$5:$S$34,$AE199)&gt;0,INDEX(Profils!$AH$5:$AH$34,$AE199)&lt;=$AH199),ROUND(INDEX(Profils!$S$5:$S$34,$AE199)*Paramètres!$E$35*$AG199*$AJ199,Paramètres!$F$35),0)</f>
        <v>0</v>
      </c>
      <c r="Z199" s="21" t="n">
        <f aca="false">ROUND(L199/Paramètres!$E$22+M199/Paramètres!$E$23+N199/Paramètres!$E$24+O199/Paramètres!$E$25+P199/Paramètres!$E$26+Q199/Paramètres!$E$27+R199/Paramètres!$E$28+S199/Paramètres!$E$29+T199/Paramètres!$E$30+U199/Paramètres!$E$31+V199/Paramètres!$E$32+W199/Paramètres!$E$33+X199/Paramètres!$E$34+Y199/Paramètres!$E$35,1)</f>
        <v>0.5</v>
      </c>
      <c r="AA199" s="22" t="s">
        <v>109</v>
      </c>
      <c r="AB199" s="22" t="s">
        <v>109</v>
      </c>
      <c r="AC199" s="15" t="str">
        <f aca="false">$E199</f>
        <v>argent</v>
      </c>
      <c r="AD199" s="16" t="n">
        <f aca="false" t="array" ref="AD199:AD199">IF($I199&gt;=$AI199,"Max",ROUND(Paramètres!$B$40*($I199+1)^Paramètres!$B$41*INDEX(Paramètres!$H$6:$H$12,$AF199),0))</f>
        <v>4</v>
      </c>
      <c r="AE199" s="23" t="n">
        <f aca="false">MATCH($B199&amp;"|"&amp;$C199,Profils!$A$5:$A$34,0)</f>
        <v>7</v>
      </c>
      <c r="AF199" s="23" t="n">
        <v>2</v>
      </c>
      <c r="AG199" s="24" t="n">
        <f aca="false" t="array" ref="AG199:AG199">INDEX(Paramètres!$C$6:$C$12,$AF199)</f>
        <v>1.2</v>
      </c>
      <c r="AH199" s="23" t="n">
        <f aca="false" t="array" ref="AH199:AH199">INDEX(Paramètres!$D$6:$D$12,$AF199)</f>
        <v>3</v>
      </c>
      <c r="AI199" s="23" t="n">
        <f aca="false" t="array" ref="AI199:AI199">INDEX(Matériaux!$C$16:$C$20,$D199)</f>
        <v>20</v>
      </c>
      <c r="AJ199" s="25" t="n">
        <f aca="false">Paramètres!$B$16+(1-Paramètres!$B$16)*(($J199-Paramètres!$B$14)/(Paramètres!$B$15-Paramètres!$B$14))^Paramètres!$B$17</f>
        <v>0.140847925475674</v>
      </c>
    </row>
    <row r="200" customFormat="false" ht="15.75" hidden="false" customHeight="true" outlineLevel="0" collapsed="false">
      <c r="A200" s="14" t="s">
        <v>313</v>
      </c>
      <c r="B200" s="15" t="s">
        <v>27</v>
      </c>
      <c r="C200" s="15" t="s">
        <v>305</v>
      </c>
      <c r="D200" s="16" t="n">
        <v>2</v>
      </c>
      <c r="E200" s="15" t="str">
        <f aca="false" t="array" ref="E200:E200">INDEX(Matériaux!$B$5:$F$12,MATCH(INDEX(Profils!$E$5:$E$34,$AE200),Matériaux!$A$5:$A$12,0),$D200)</f>
        <v>argent</v>
      </c>
      <c r="F200" s="27" t="s">
        <v>113</v>
      </c>
      <c r="G200" s="10" t="str">
        <f aca="false" t="array" ref="G200:G200">INDEX(Profils!$D$5:$D$34,$AE200)&amp;" en "&amp;$E200</f>
        <v>Chevalière en argent</v>
      </c>
      <c r="H200" s="16" t="n">
        <f aca="false" t="array" ref="H200:H200">INDEX(Matériaux!$B$16:$B$20,$D200)</f>
        <v>15</v>
      </c>
      <c r="I200" s="16" t="n">
        <f aca="false">IF(ISNUMBER($C$3),MIN(MAX(0,ROUND($C$3,0)),$AI200),$AI200)</f>
        <v>0</v>
      </c>
      <c r="J200" s="18" t="n">
        <f aca="false">$H200+$I200</f>
        <v>15</v>
      </c>
      <c r="K200" s="15" t="s">
        <v>109</v>
      </c>
      <c r="L200" s="19" t="n">
        <f aca="false" t="array" ref="L200:L200">IF(AND(INDEX(Profils!$F$5:$F$34,$AE200)&gt;0,INDEX(Profils!$U$5:$U$34,$AE200)&lt;=$AH200),ROUND(INDEX(Profils!$F$5:$F$34,$AE200)*Paramètres!$E$22*$AG200*$AJ200,Paramètres!$F$22),0)</f>
        <v>6</v>
      </c>
      <c r="M200" s="19" t="n">
        <f aca="false" t="array" ref="M200:M200">IF(AND(INDEX(Profils!$G$5:$G$34,$AE200)&gt;0,INDEX(Profils!$V$5:$V$34,$AE200)&lt;=$AH200),ROUND(INDEX(Profils!$G$5:$G$34,$AE200)*Paramètres!$E$23*$AG200*$AJ200,Paramètres!$F$23),0)</f>
        <v>0</v>
      </c>
      <c r="N200" s="19" t="n">
        <f aca="false" t="array" ref="N200:N200">IF(AND(INDEX(Profils!$H$5:$H$34,$AE200)&gt;0,INDEX(Profils!$W$5:$W$34,$AE200)&lt;=$AH200),ROUND(INDEX(Profils!$H$5:$H$34,$AE200)*Paramètres!$E$24*$AG200*$AJ200,Paramètres!$F$24),0)</f>
        <v>3</v>
      </c>
      <c r="O200" s="19" t="n">
        <f aca="false" t="array" ref="O200:O200">IF(AND(INDEX(Profils!$I$5:$I$34,$AE200)&gt;0,INDEX(Profils!$X$5:$X$34,$AE200)&lt;=$AH200),ROUND(INDEX(Profils!$I$5:$I$34,$AE200)*Paramètres!$E$25*$AG200*$AJ200,Paramètres!$F$25),0)</f>
        <v>0</v>
      </c>
      <c r="P200" s="19" t="n">
        <f aca="false" t="array" ref="P200:P200">IF(AND(INDEX(Profils!$J$5:$J$34,$AE200)&gt;0,INDEX(Profils!$Y$5:$Y$34,$AE200)&lt;=$AH200),ROUND(INDEX(Profils!$J$5:$J$34,$AE200)*Paramètres!$E$26*$AG200*$AJ200,Paramètres!$F$26),0)</f>
        <v>0</v>
      </c>
      <c r="Q200" s="19" t="n">
        <f aca="false" t="array" ref="Q200:Q200">IF(AND(INDEX(Profils!$K$5:$K$34,$AE200)&gt;0,INDEX(Profils!$Z$5:$Z$34,$AE200)&lt;=$AH200),ROUND(INDEX(Profils!$K$5:$K$34,$AE200)*Paramètres!$E$27*$AG200*$AJ200,Paramètres!$F$27),0)</f>
        <v>0</v>
      </c>
      <c r="R200" s="20" t="n">
        <f aca="false" t="array" ref="R200:R200">IF(AND(INDEX(Profils!$L$5:$L$34,$AE200)&gt;0,INDEX(Profils!$AA$5:$AA$34,$AE200)&lt;=$AH200),ROUND(INDEX(Profils!$L$5:$L$34,$AE200)*Paramètres!$E$28*$AG200*$AJ200,Paramètres!$F$28),0)</f>
        <v>0</v>
      </c>
      <c r="S200" s="20" t="n">
        <f aca="false" t="array" ref="S200:S200">IF(AND(INDEX(Profils!$M$5:$M$34,$AE200)&gt;0,INDEX(Profils!$AB$5:$AB$34,$AE200)&lt;=$AH200),ROUND(INDEX(Profils!$M$5:$M$34,$AE200)*Paramètres!$E$29*$AG200*$AJ200,Paramètres!$F$29),0)</f>
        <v>0</v>
      </c>
      <c r="T200" s="20" t="n">
        <f aca="false" t="array" ref="T200:T200">IF(AND(INDEX(Profils!$N$5:$N$34,$AE200)&gt;0,INDEX(Profils!$AC$5:$AC$34,$AE200)&lt;=$AH200),ROUND(INDEX(Profils!$N$5:$N$34,$AE200)*Paramètres!$E$30*$AG200*$AJ200,Paramètres!$F$30),0)</f>
        <v>0</v>
      </c>
      <c r="U200" s="19" t="n">
        <f aca="false" t="array" ref="U200:U200">IF(AND(INDEX(Profils!$O$5:$O$34,$AE200)&gt;0,INDEX(Profils!$AD$5:$AD$34,$AE200)&lt;=$AH200),ROUND(INDEX(Profils!$O$5:$O$34,$AE200)*Paramètres!$E$31*$AG200*$AJ200,Paramètres!$F$31),0)</f>
        <v>0</v>
      </c>
      <c r="V200" s="20" t="n">
        <f aca="false" t="array" ref="V200:V200">IF(AND(INDEX(Profils!$P$5:$P$34,$AE200)&gt;0,INDEX(Profils!$AE$5:$AE$34,$AE200)&lt;=$AH200),ROUND(INDEX(Profils!$P$5:$P$34,$AE200)*Paramètres!$E$32*$AG200*$AJ200,Paramètres!$F$32),0)</f>
        <v>0</v>
      </c>
      <c r="W200" s="20" t="n">
        <f aca="false" t="array" ref="W200:W200">IF(AND(INDEX(Profils!$Q$5:$Q$34,$AE200)&gt;0,INDEX(Profils!$AF$5:$AF$34,$AE200)&lt;=$AH200),ROUND(INDEX(Profils!$Q$5:$Q$34,$AE200)*Paramètres!$E$33*$AG200*$AJ200,Paramètres!$F$33),0)</f>
        <v>0.003</v>
      </c>
      <c r="X200" s="20" t="n">
        <f aca="false" t="array" ref="X200:X200">IF(AND(INDEX(Profils!$R$5:$R$34,$AE200)&gt;0,INDEX(Profils!$AG$5:$AG$34,$AE200)&lt;=$AH200),ROUND(INDEX(Profils!$R$5:$R$34,$AE200)*Paramètres!$E$34*$AG200*$AJ200,Paramètres!$F$34),0)</f>
        <v>0</v>
      </c>
      <c r="Y200" s="20" t="n">
        <f aca="false" t="array" ref="Y200:Y200">IF(AND(INDEX(Profils!$S$5:$S$34,$AE200)&gt;0,INDEX(Profils!$AH$5:$AH$34,$AE200)&lt;=$AH200),ROUND(INDEX(Profils!$S$5:$S$34,$AE200)*Paramètres!$E$35*$AG200*$AJ200,Paramètres!$F$35),0)</f>
        <v>0.003</v>
      </c>
      <c r="Z200" s="21" t="n">
        <f aca="false">ROUND(L200/Paramètres!$E$22+M200/Paramètres!$E$23+N200/Paramètres!$E$24+O200/Paramètres!$E$25+P200/Paramètres!$E$26+Q200/Paramètres!$E$27+R200/Paramètres!$E$28+S200/Paramètres!$E$29+T200/Paramètres!$E$30+U200/Paramètres!$E$31+V200/Paramètres!$E$32+W200/Paramètres!$E$33+X200/Paramètres!$E$34+Y200/Paramètres!$E$35,1)</f>
        <v>0.8</v>
      </c>
      <c r="AA200" s="22" t="s">
        <v>109</v>
      </c>
      <c r="AB200" s="22" t="s">
        <v>109</v>
      </c>
      <c r="AC200" s="15" t="str">
        <f aca="false">$E200</f>
        <v>argent</v>
      </c>
      <c r="AD200" s="16" t="n">
        <f aca="false" t="array" ref="AD200:AD200">IF($I200&gt;=$AI200,"Max",ROUND(Paramètres!$B$40*($I200+1)^Paramètres!$B$41*INDEX(Paramètres!$H$6:$H$12,$AF200),0))</f>
        <v>4</v>
      </c>
      <c r="AE200" s="23" t="n">
        <f aca="false">MATCH($B200&amp;"|"&amp;$C200,Profils!$A$5:$A$34,0)</f>
        <v>7</v>
      </c>
      <c r="AF200" s="23" t="n">
        <v>3</v>
      </c>
      <c r="AG200" s="24" t="n">
        <f aca="false" t="array" ref="AG200:AG200">INDEX(Paramètres!$C$6:$C$12,$AF200)</f>
        <v>1.45</v>
      </c>
      <c r="AH200" s="23" t="n">
        <f aca="false" t="array" ref="AH200:AH200">INDEX(Paramètres!$D$6:$D$12,$AF200)</f>
        <v>4</v>
      </c>
      <c r="AI200" s="23" t="n">
        <f aca="false" t="array" ref="AI200:AI200">INDEX(Matériaux!$C$16:$C$20,$D200)</f>
        <v>20</v>
      </c>
      <c r="AJ200" s="25" t="n">
        <f aca="false">Paramètres!$B$16+(1-Paramètres!$B$16)*(($J200-Paramètres!$B$14)/(Paramètres!$B$15-Paramètres!$B$14))^Paramètres!$B$17</f>
        <v>0.140847925475674</v>
      </c>
    </row>
    <row r="201" customFormat="false" ht="15.75" hidden="false" customHeight="true" outlineLevel="0" collapsed="false">
      <c r="A201" s="14" t="s">
        <v>314</v>
      </c>
      <c r="B201" s="15" t="s">
        <v>27</v>
      </c>
      <c r="C201" s="15" t="s">
        <v>305</v>
      </c>
      <c r="D201" s="16" t="n">
        <v>2</v>
      </c>
      <c r="E201" s="15" t="str">
        <f aca="false" t="array" ref="E201:E201">INDEX(Matériaux!$B$5:$F$12,MATCH(INDEX(Profils!$E$5:$E$34,$AE201),Matériaux!$A$5:$A$12,0),$D201)</f>
        <v>argent</v>
      </c>
      <c r="F201" s="28" t="s">
        <v>115</v>
      </c>
      <c r="G201" s="10" t="str">
        <f aca="false" t="array" ref="G201:G201">INDEX(Profils!$D$5:$D$34,$AE201)&amp;" en "&amp;$E201</f>
        <v>Chevalière en argent</v>
      </c>
      <c r="H201" s="16" t="n">
        <f aca="false" t="array" ref="H201:H201">INDEX(Matériaux!$B$16:$B$20,$D201)</f>
        <v>15</v>
      </c>
      <c r="I201" s="16" t="n">
        <f aca="false">IF(ISNUMBER($C$3),MIN(MAX(0,ROUND($C$3,0)),$AI201),$AI201)</f>
        <v>0</v>
      </c>
      <c r="J201" s="18" t="n">
        <f aca="false">$H201+$I201</f>
        <v>15</v>
      </c>
      <c r="K201" s="15" t="s">
        <v>109</v>
      </c>
      <c r="L201" s="19" t="n">
        <f aca="false" t="array" ref="L201:L201">IF(AND(INDEX(Profils!$F$5:$F$34,$AE201)&gt;0,INDEX(Profils!$U$5:$U$34,$AE201)&lt;=$AH201),ROUND(INDEX(Profils!$F$5:$F$34,$AE201)*Paramètres!$E$22*$AG201*$AJ201,Paramètres!$F$22),0)</f>
        <v>7</v>
      </c>
      <c r="M201" s="19" t="n">
        <f aca="false" t="array" ref="M201:M201">IF(AND(INDEX(Profils!$G$5:$G$34,$AE201)&gt;0,INDEX(Profils!$V$5:$V$34,$AE201)&lt;=$AH201),ROUND(INDEX(Profils!$G$5:$G$34,$AE201)*Paramètres!$E$23*$AG201*$AJ201,Paramètres!$F$23),0)</f>
        <v>0</v>
      </c>
      <c r="N201" s="19" t="n">
        <f aca="false" t="array" ref="N201:N201">IF(AND(INDEX(Profils!$H$5:$H$34,$AE201)&gt;0,INDEX(Profils!$W$5:$W$34,$AE201)&lt;=$AH201),ROUND(INDEX(Profils!$H$5:$H$34,$AE201)*Paramètres!$E$24*$AG201*$AJ201,Paramètres!$F$24),0)</f>
        <v>4</v>
      </c>
      <c r="O201" s="19" t="n">
        <f aca="false" t="array" ref="O201:O201">IF(AND(INDEX(Profils!$I$5:$I$34,$AE201)&gt;0,INDEX(Profils!$X$5:$X$34,$AE201)&lt;=$AH201),ROUND(INDEX(Profils!$I$5:$I$34,$AE201)*Paramètres!$E$25*$AG201*$AJ201,Paramètres!$F$25),0)</f>
        <v>0</v>
      </c>
      <c r="P201" s="19" t="n">
        <f aca="false" t="array" ref="P201:P201">IF(AND(INDEX(Profils!$J$5:$J$34,$AE201)&gt;0,INDEX(Profils!$Y$5:$Y$34,$AE201)&lt;=$AH201),ROUND(INDEX(Profils!$J$5:$J$34,$AE201)*Paramètres!$E$26*$AG201*$AJ201,Paramètres!$F$26),0)</f>
        <v>0</v>
      </c>
      <c r="Q201" s="19" t="n">
        <f aca="false" t="array" ref="Q201:Q201">IF(AND(INDEX(Profils!$K$5:$K$34,$AE201)&gt;0,INDEX(Profils!$Z$5:$Z$34,$AE201)&lt;=$AH201),ROUND(INDEX(Profils!$K$5:$K$34,$AE201)*Paramètres!$E$27*$AG201*$AJ201,Paramètres!$F$27),0)</f>
        <v>2</v>
      </c>
      <c r="R201" s="20" t="n">
        <f aca="false" t="array" ref="R201:R201">IF(AND(INDEX(Profils!$L$5:$L$34,$AE201)&gt;0,INDEX(Profils!$AA$5:$AA$34,$AE201)&lt;=$AH201),ROUND(INDEX(Profils!$L$5:$L$34,$AE201)*Paramètres!$E$28*$AG201*$AJ201,Paramètres!$F$28),0)</f>
        <v>0</v>
      </c>
      <c r="S201" s="20" t="n">
        <f aca="false" t="array" ref="S201:S201">IF(AND(INDEX(Profils!$M$5:$M$34,$AE201)&gt;0,INDEX(Profils!$AB$5:$AB$34,$AE201)&lt;=$AH201),ROUND(INDEX(Profils!$M$5:$M$34,$AE201)*Paramètres!$E$29*$AG201*$AJ201,Paramètres!$F$29),0)</f>
        <v>0</v>
      </c>
      <c r="T201" s="20" t="n">
        <f aca="false" t="array" ref="T201:T201">IF(AND(INDEX(Profils!$N$5:$N$34,$AE201)&gt;0,INDEX(Profils!$AC$5:$AC$34,$AE201)&lt;=$AH201),ROUND(INDEX(Profils!$N$5:$N$34,$AE201)*Paramètres!$E$30*$AG201*$AJ201,Paramètres!$F$30),0)</f>
        <v>0</v>
      </c>
      <c r="U201" s="19" t="n">
        <f aca="false" t="array" ref="U201:U201">IF(AND(INDEX(Profils!$O$5:$O$34,$AE201)&gt;0,INDEX(Profils!$AD$5:$AD$34,$AE201)&lt;=$AH201),ROUND(INDEX(Profils!$O$5:$O$34,$AE201)*Paramètres!$E$31*$AG201*$AJ201,Paramètres!$F$31),0)</f>
        <v>0</v>
      </c>
      <c r="V201" s="20" t="n">
        <f aca="false" t="array" ref="V201:V201">IF(AND(INDEX(Profils!$P$5:$P$34,$AE201)&gt;0,INDEX(Profils!$AE$5:$AE$34,$AE201)&lt;=$AH201),ROUND(INDEX(Profils!$P$5:$P$34,$AE201)*Paramètres!$E$32*$AG201*$AJ201,Paramètres!$F$32),0)</f>
        <v>0</v>
      </c>
      <c r="W201" s="20" t="n">
        <f aca="false" t="array" ref="W201:W201">IF(AND(INDEX(Profils!$Q$5:$Q$34,$AE201)&gt;0,INDEX(Profils!$AF$5:$AF$34,$AE201)&lt;=$AH201),ROUND(INDEX(Profils!$Q$5:$Q$34,$AE201)*Paramètres!$E$33*$AG201*$AJ201,Paramètres!$F$33),0)</f>
        <v>0.003</v>
      </c>
      <c r="X201" s="20" t="n">
        <f aca="false" t="array" ref="X201:X201">IF(AND(INDEX(Profils!$R$5:$R$34,$AE201)&gt;0,INDEX(Profils!$AG$5:$AG$34,$AE201)&lt;=$AH201),ROUND(INDEX(Profils!$R$5:$R$34,$AE201)*Paramètres!$E$34*$AG201*$AJ201,Paramètres!$F$34),0)</f>
        <v>0</v>
      </c>
      <c r="Y201" s="20" t="n">
        <f aca="false" t="array" ref="Y201:Y201">IF(AND(INDEX(Profils!$S$5:$S$34,$AE201)&gt;0,INDEX(Profils!$AH$5:$AH$34,$AE201)&lt;=$AH201),ROUND(INDEX(Profils!$S$5:$S$34,$AE201)*Paramètres!$E$35*$AG201*$AJ201,Paramètres!$F$35),0)</f>
        <v>0.003</v>
      </c>
      <c r="Z201" s="21" t="n">
        <f aca="false">ROUND(L201/Paramètres!$E$22+M201/Paramètres!$E$23+N201/Paramètres!$E$24+O201/Paramètres!$E$25+P201/Paramètres!$E$26+Q201/Paramètres!$E$27+R201/Paramètres!$E$28+S201/Paramètres!$E$29+T201/Paramètres!$E$30+U201/Paramètres!$E$31+V201/Paramètres!$E$32+W201/Paramètres!$E$33+X201/Paramètres!$E$34+Y201/Paramètres!$E$35,1)</f>
        <v>1.1</v>
      </c>
      <c r="AA201" s="22" t="s">
        <v>109</v>
      </c>
      <c r="AB201" s="22" t="s">
        <v>109</v>
      </c>
      <c r="AC201" s="15" t="str">
        <f aca="false">$E201</f>
        <v>argent</v>
      </c>
      <c r="AD201" s="16" t="n">
        <f aca="false" t="array" ref="AD201:AD201">IF($I201&gt;=$AI201,"Max",ROUND(Paramètres!$B$40*($I201+1)^Paramètres!$B$41*INDEX(Paramètres!$H$6:$H$12,$AF201),0))</f>
        <v>5</v>
      </c>
      <c r="AE201" s="23" t="n">
        <f aca="false">MATCH($B201&amp;"|"&amp;$C201,Profils!$A$5:$A$34,0)</f>
        <v>7</v>
      </c>
      <c r="AF201" s="23" t="n">
        <v>4</v>
      </c>
      <c r="AG201" s="24" t="n">
        <f aca="false" t="array" ref="AG201:AG201">INDEX(Paramètres!$C$6:$C$12,$AF201)</f>
        <v>1.75</v>
      </c>
      <c r="AH201" s="23" t="n">
        <f aca="false" t="array" ref="AH201:AH201">INDEX(Paramètres!$D$6:$D$12,$AF201)</f>
        <v>5</v>
      </c>
      <c r="AI201" s="23" t="n">
        <f aca="false" t="array" ref="AI201:AI201">INDEX(Matériaux!$C$16:$C$20,$D201)</f>
        <v>20</v>
      </c>
      <c r="AJ201" s="25" t="n">
        <f aca="false">Paramètres!$B$16+(1-Paramètres!$B$16)*(($J201-Paramètres!$B$14)/(Paramètres!$B$15-Paramètres!$B$14))^Paramètres!$B$17</f>
        <v>0.140847925475674</v>
      </c>
    </row>
    <row r="202" customFormat="false" ht="15.75" hidden="false" customHeight="true" outlineLevel="0" collapsed="false">
      <c r="A202" s="14" t="s">
        <v>315</v>
      </c>
      <c r="B202" s="15" t="s">
        <v>27</v>
      </c>
      <c r="C202" s="15" t="s">
        <v>305</v>
      </c>
      <c r="D202" s="16" t="n">
        <v>2</v>
      </c>
      <c r="E202" s="15" t="str">
        <f aca="false" t="array" ref="E202:E202">INDEX(Matériaux!$B$5:$F$12,MATCH(INDEX(Profils!$E$5:$E$34,$AE202),Matériaux!$A$5:$A$12,0),$D202)</f>
        <v>argent</v>
      </c>
      <c r="F202" s="29" t="s">
        <v>117</v>
      </c>
      <c r="G202" s="10" t="str">
        <f aca="false" t="array" ref="G202:G202">INDEX(Profils!$D$5:$D$34,$AE202)&amp;" en "&amp;$E202</f>
        <v>Chevalière en argent</v>
      </c>
      <c r="H202" s="16" t="n">
        <f aca="false" t="array" ref="H202:H202">INDEX(Matériaux!$B$16:$B$20,$D202)</f>
        <v>15</v>
      </c>
      <c r="I202" s="16" t="n">
        <f aca="false">IF(ISNUMBER($C$3),MIN(MAX(0,ROUND($C$3,0)),$AI202),$AI202)</f>
        <v>0</v>
      </c>
      <c r="J202" s="18" t="n">
        <f aca="false">$H202+$I202</f>
        <v>15</v>
      </c>
      <c r="K202" s="15" t="s">
        <v>109</v>
      </c>
      <c r="L202" s="19" t="n">
        <f aca="false" t="array" ref="L202:L202">IF(AND(INDEX(Profils!$F$5:$F$34,$AE202)&gt;0,INDEX(Profils!$U$5:$U$34,$AE202)&lt;=$AH202),ROUND(INDEX(Profils!$F$5:$F$34,$AE202)*Paramètres!$E$22*$AG202*$AJ202,Paramètres!$F$22),0)</f>
        <v>9</v>
      </c>
      <c r="M202" s="19" t="n">
        <f aca="false" t="array" ref="M202:M202">IF(AND(INDEX(Profils!$G$5:$G$34,$AE202)&gt;0,INDEX(Profils!$V$5:$V$34,$AE202)&lt;=$AH202),ROUND(INDEX(Profils!$G$5:$G$34,$AE202)*Paramètres!$E$23*$AG202*$AJ202,Paramètres!$F$23),0)</f>
        <v>0</v>
      </c>
      <c r="N202" s="19" t="n">
        <f aca="false" t="array" ref="N202:N202">IF(AND(INDEX(Profils!$H$5:$H$34,$AE202)&gt;0,INDEX(Profils!$W$5:$W$34,$AE202)&lt;=$AH202),ROUND(INDEX(Profils!$H$5:$H$34,$AE202)*Paramètres!$E$24*$AG202*$AJ202,Paramètres!$F$24),0)</f>
        <v>4</v>
      </c>
      <c r="O202" s="19" t="n">
        <f aca="false" t="array" ref="O202:O202">IF(AND(INDEX(Profils!$I$5:$I$34,$AE202)&gt;0,INDEX(Profils!$X$5:$X$34,$AE202)&lt;=$AH202),ROUND(INDEX(Profils!$I$5:$I$34,$AE202)*Paramètres!$E$25*$AG202*$AJ202,Paramètres!$F$25),0)</f>
        <v>0</v>
      </c>
      <c r="P202" s="19" t="n">
        <f aca="false" t="array" ref="P202:P202">IF(AND(INDEX(Profils!$J$5:$J$34,$AE202)&gt;0,INDEX(Profils!$Y$5:$Y$34,$AE202)&lt;=$AH202),ROUND(INDEX(Profils!$J$5:$J$34,$AE202)*Paramètres!$E$26*$AG202*$AJ202,Paramètres!$F$26),0)</f>
        <v>0</v>
      </c>
      <c r="Q202" s="19" t="n">
        <f aca="false" t="array" ref="Q202:Q202">IF(AND(INDEX(Profils!$K$5:$K$34,$AE202)&gt;0,INDEX(Profils!$Z$5:$Z$34,$AE202)&lt;=$AH202),ROUND(INDEX(Profils!$K$5:$K$34,$AE202)*Paramètres!$E$27*$AG202*$AJ202,Paramètres!$F$27),0)</f>
        <v>2</v>
      </c>
      <c r="R202" s="20" t="n">
        <f aca="false" t="array" ref="R202:R202">IF(AND(INDEX(Profils!$L$5:$L$34,$AE202)&gt;0,INDEX(Profils!$AA$5:$AA$34,$AE202)&lt;=$AH202),ROUND(INDEX(Profils!$L$5:$L$34,$AE202)*Paramètres!$E$28*$AG202*$AJ202,Paramètres!$F$28),0)</f>
        <v>0</v>
      </c>
      <c r="S202" s="20" t="n">
        <f aca="false" t="array" ref="S202:S202">IF(AND(INDEX(Profils!$M$5:$M$34,$AE202)&gt;0,INDEX(Profils!$AB$5:$AB$34,$AE202)&lt;=$AH202),ROUND(INDEX(Profils!$M$5:$M$34,$AE202)*Paramètres!$E$29*$AG202*$AJ202,Paramètres!$F$29),0)</f>
        <v>0</v>
      </c>
      <c r="T202" s="20" t="n">
        <f aca="false" t="array" ref="T202:T202">IF(AND(INDEX(Profils!$N$5:$N$34,$AE202)&gt;0,INDEX(Profils!$AC$5:$AC$34,$AE202)&lt;=$AH202),ROUND(INDEX(Profils!$N$5:$N$34,$AE202)*Paramètres!$E$30*$AG202*$AJ202,Paramètres!$F$30),0)</f>
        <v>0</v>
      </c>
      <c r="U202" s="19" t="n">
        <f aca="false" t="array" ref="U202:U202">IF(AND(INDEX(Profils!$O$5:$O$34,$AE202)&gt;0,INDEX(Profils!$AD$5:$AD$34,$AE202)&lt;=$AH202),ROUND(INDEX(Profils!$O$5:$O$34,$AE202)*Paramètres!$E$31*$AG202*$AJ202,Paramètres!$F$31),0)</f>
        <v>4</v>
      </c>
      <c r="V202" s="20" t="n">
        <f aca="false" t="array" ref="V202:V202">IF(AND(INDEX(Profils!$P$5:$P$34,$AE202)&gt;0,INDEX(Profils!$AE$5:$AE$34,$AE202)&lt;=$AH202),ROUND(INDEX(Profils!$P$5:$P$34,$AE202)*Paramètres!$E$32*$AG202*$AJ202,Paramètres!$F$32),0)</f>
        <v>0</v>
      </c>
      <c r="W202" s="20" t="n">
        <f aca="false" t="array" ref="W202:W202">IF(AND(INDEX(Profils!$Q$5:$Q$34,$AE202)&gt;0,INDEX(Profils!$AF$5:$AF$34,$AE202)&lt;=$AH202),ROUND(INDEX(Profils!$Q$5:$Q$34,$AE202)*Paramètres!$E$33*$AG202*$AJ202,Paramètres!$F$33),0)</f>
        <v>0.004</v>
      </c>
      <c r="X202" s="20" t="n">
        <f aca="false" t="array" ref="X202:X202">IF(AND(INDEX(Profils!$R$5:$R$34,$AE202)&gt;0,INDEX(Profils!$AG$5:$AG$34,$AE202)&lt;=$AH202),ROUND(INDEX(Profils!$R$5:$R$34,$AE202)*Paramètres!$E$34*$AG202*$AJ202,Paramètres!$F$34),0)</f>
        <v>0</v>
      </c>
      <c r="Y202" s="20" t="n">
        <f aca="false" t="array" ref="Y202:Y202">IF(AND(INDEX(Profils!$S$5:$S$34,$AE202)&gt;0,INDEX(Profils!$AH$5:$AH$34,$AE202)&lt;=$AH202),ROUND(INDEX(Profils!$S$5:$S$34,$AE202)*Paramètres!$E$35*$AG202*$AJ202,Paramètres!$F$35),0)</f>
        <v>0.004</v>
      </c>
      <c r="Z202" s="21" t="n">
        <f aca="false">ROUND(L202/Paramètres!$E$22+M202/Paramètres!$E$23+N202/Paramètres!$E$24+O202/Paramètres!$E$25+P202/Paramètres!$E$26+Q202/Paramètres!$E$27+R202/Paramètres!$E$28+S202/Paramètres!$E$29+T202/Paramètres!$E$30+U202/Paramètres!$E$31+V202/Paramètres!$E$32+W202/Paramètres!$E$33+X202/Paramètres!$E$34+Y202/Paramètres!$E$35,1)</f>
        <v>1.6</v>
      </c>
      <c r="AA202" s="22" t="s">
        <v>109</v>
      </c>
      <c r="AB202" s="22" t="s">
        <v>109</v>
      </c>
      <c r="AC202" s="15" t="str">
        <f aca="false">$E202</f>
        <v>argent</v>
      </c>
      <c r="AD202" s="16" t="n">
        <f aca="false" t="array" ref="AD202:AD202">IF($I202&gt;=$AI202,"Max",ROUND(Paramètres!$B$40*($I202+1)^Paramètres!$B$41*INDEX(Paramètres!$H$6:$H$12,$AF202),0))</f>
        <v>6</v>
      </c>
      <c r="AE202" s="23" t="n">
        <f aca="false">MATCH($B202&amp;"|"&amp;$C202,Profils!$A$5:$A$34,0)</f>
        <v>7</v>
      </c>
      <c r="AF202" s="23" t="n">
        <v>5</v>
      </c>
      <c r="AG202" s="24" t="n">
        <f aca="false" t="array" ref="AG202:AG202">INDEX(Paramètres!$C$6:$C$12,$AF202)</f>
        <v>2.1</v>
      </c>
      <c r="AH202" s="23" t="n">
        <f aca="false" t="array" ref="AH202:AH202">INDEX(Paramètres!$D$6:$D$12,$AF202)</f>
        <v>6</v>
      </c>
      <c r="AI202" s="23" t="n">
        <f aca="false" t="array" ref="AI202:AI202">INDEX(Matériaux!$C$16:$C$20,$D202)</f>
        <v>20</v>
      </c>
      <c r="AJ202" s="25" t="n">
        <f aca="false">Paramètres!$B$16+(1-Paramètres!$B$16)*(($J202-Paramètres!$B$14)/(Paramètres!$B$15-Paramètres!$B$14))^Paramètres!$B$17</f>
        <v>0.140847925475674</v>
      </c>
    </row>
    <row r="203" customFormat="false" ht="15.75" hidden="false" customHeight="true" outlineLevel="0" collapsed="false">
      <c r="A203" s="14" t="s">
        <v>316</v>
      </c>
      <c r="B203" s="15" t="s">
        <v>27</v>
      </c>
      <c r="C203" s="15" t="s">
        <v>305</v>
      </c>
      <c r="D203" s="16" t="n">
        <v>2</v>
      </c>
      <c r="E203" s="15" t="str">
        <f aca="false" t="array" ref="E203:E203">INDEX(Matériaux!$B$5:$F$12,MATCH(INDEX(Profils!$E$5:$E$34,$AE203),Matériaux!$A$5:$A$12,0),$D203)</f>
        <v>argent</v>
      </c>
      <c r="F203" s="30" t="s">
        <v>119</v>
      </c>
      <c r="G203" s="10" t="str">
        <f aca="false" t="array" ref="G203:G203">INDEX(Profils!$D$5:$D$34,$AE203)&amp;" en "&amp;$E203</f>
        <v>Chevalière en argent</v>
      </c>
      <c r="H203" s="16" t="n">
        <f aca="false" t="array" ref="H203:H203">INDEX(Matériaux!$B$16:$B$20,$D203)</f>
        <v>15</v>
      </c>
      <c r="I203" s="16" t="n">
        <f aca="false">IF(ISNUMBER($C$3),MIN(MAX(0,ROUND($C$3,0)),$AI203),$AI203)</f>
        <v>0</v>
      </c>
      <c r="J203" s="18" t="n">
        <f aca="false">$H203+$I203</f>
        <v>15</v>
      </c>
      <c r="K203" s="15" t="s">
        <v>109</v>
      </c>
      <c r="L203" s="19" t="n">
        <f aca="false" t="array" ref="L203:L203">IF(AND(INDEX(Profils!$F$5:$F$34,$AE203)&gt;0,INDEX(Profils!$U$5:$U$34,$AE203)&lt;=$AH203),ROUND(INDEX(Profils!$F$5:$F$34,$AE203)*Paramètres!$E$22*$AG203*$AJ203,Paramètres!$F$22),0)</f>
        <v>10</v>
      </c>
      <c r="M203" s="19" t="n">
        <f aca="false" t="array" ref="M203:M203">IF(AND(INDEX(Profils!$G$5:$G$34,$AE203)&gt;0,INDEX(Profils!$V$5:$V$34,$AE203)&lt;=$AH203),ROUND(INDEX(Profils!$G$5:$G$34,$AE203)*Paramètres!$E$23*$AG203*$AJ203,Paramètres!$F$23),0)</f>
        <v>3</v>
      </c>
      <c r="N203" s="19" t="n">
        <f aca="false" t="array" ref="N203:N203">IF(AND(INDEX(Profils!$H$5:$H$34,$AE203)&gt;0,INDEX(Profils!$W$5:$W$34,$AE203)&lt;=$AH203),ROUND(INDEX(Profils!$H$5:$H$34,$AE203)*Paramètres!$E$24*$AG203*$AJ203,Paramètres!$F$24),0)</f>
        <v>5</v>
      </c>
      <c r="O203" s="19" t="n">
        <f aca="false" t="array" ref="O203:O203">IF(AND(INDEX(Profils!$I$5:$I$34,$AE203)&gt;0,INDEX(Profils!$X$5:$X$34,$AE203)&lt;=$AH203),ROUND(INDEX(Profils!$I$5:$I$34,$AE203)*Paramètres!$E$25*$AG203*$AJ203,Paramètres!$F$25),0)</f>
        <v>0</v>
      </c>
      <c r="P203" s="19" t="n">
        <f aca="false" t="array" ref="P203:P203">IF(AND(INDEX(Profils!$J$5:$J$34,$AE203)&gt;0,INDEX(Profils!$Y$5:$Y$34,$AE203)&lt;=$AH203),ROUND(INDEX(Profils!$J$5:$J$34,$AE203)*Paramètres!$E$26*$AG203*$AJ203,Paramètres!$F$26),0)</f>
        <v>0</v>
      </c>
      <c r="Q203" s="19" t="n">
        <f aca="false" t="array" ref="Q203:Q203">IF(AND(INDEX(Profils!$K$5:$K$34,$AE203)&gt;0,INDEX(Profils!$Z$5:$Z$34,$AE203)&lt;=$AH203),ROUND(INDEX(Profils!$K$5:$K$34,$AE203)*Paramètres!$E$27*$AG203*$AJ203,Paramètres!$F$27),0)</f>
        <v>2</v>
      </c>
      <c r="R203" s="20" t="n">
        <f aca="false" t="array" ref="R203:R203">IF(AND(INDEX(Profils!$L$5:$L$34,$AE203)&gt;0,INDEX(Profils!$AA$5:$AA$34,$AE203)&lt;=$AH203),ROUND(INDEX(Profils!$L$5:$L$34,$AE203)*Paramètres!$E$28*$AG203*$AJ203,Paramètres!$F$28),0)</f>
        <v>0</v>
      </c>
      <c r="S203" s="20" t="n">
        <f aca="false" t="array" ref="S203:S203">IF(AND(INDEX(Profils!$M$5:$M$34,$AE203)&gt;0,INDEX(Profils!$AB$5:$AB$34,$AE203)&lt;=$AH203),ROUND(INDEX(Profils!$M$5:$M$34,$AE203)*Paramètres!$E$29*$AG203*$AJ203,Paramètres!$F$29),0)</f>
        <v>0</v>
      </c>
      <c r="T203" s="20" t="n">
        <f aca="false" t="array" ref="T203:T203">IF(AND(INDEX(Profils!$N$5:$N$34,$AE203)&gt;0,INDEX(Profils!$AC$5:$AC$34,$AE203)&lt;=$AH203),ROUND(INDEX(Profils!$N$5:$N$34,$AE203)*Paramètres!$E$30*$AG203*$AJ203,Paramètres!$F$30),0)</f>
        <v>0</v>
      </c>
      <c r="U203" s="19" t="n">
        <f aca="false" t="array" ref="U203:U203">IF(AND(INDEX(Profils!$O$5:$O$34,$AE203)&gt;0,INDEX(Profils!$AD$5:$AD$34,$AE203)&lt;=$AH203),ROUND(INDEX(Profils!$O$5:$O$34,$AE203)*Paramètres!$E$31*$AG203*$AJ203,Paramètres!$F$31),0)</f>
        <v>4</v>
      </c>
      <c r="V203" s="20" t="n">
        <f aca="false" t="array" ref="V203:V203">IF(AND(INDEX(Profils!$P$5:$P$34,$AE203)&gt;0,INDEX(Profils!$AE$5:$AE$34,$AE203)&lt;=$AH203),ROUND(INDEX(Profils!$P$5:$P$34,$AE203)*Paramètres!$E$32*$AG203*$AJ203,Paramètres!$F$32),0)</f>
        <v>0</v>
      </c>
      <c r="W203" s="20" t="n">
        <f aca="false" t="array" ref="W203:W203">IF(AND(INDEX(Profils!$Q$5:$Q$34,$AE203)&gt;0,INDEX(Profils!$AF$5:$AF$34,$AE203)&lt;=$AH203),ROUND(INDEX(Profils!$Q$5:$Q$34,$AE203)*Paramètres!$E$33*$AG203*$AJ203,Paramètres!$F$33),0)</f>
        <v>0.005</v>
      </c>
      <c r="X203" s="20" t="n">
        <f aca="false" t="array" ref="X203:X203">IF(AND(INDEX(Profils!$R$5:$R$34,$AE203)&gt;0,INDEX(Profils!$AG$5:$AG$34,$AE203)&lt;=$AH203),ROUND(INDEX(Profils!$R$5:$R$34,$AE203)*Paramètres!$E$34*$AG203*$AJ203,Paramètres!$F$34),0)</f>
        <v>0</v>
      </c>
      <c r="Y203" s="20" t="n">
        <f aca="false" t="array" ref="Y203:Y203">IF(AND(INDEX(Profils!$S$5:$S$34,$AE203)&gt;0,INDEX(Profils!$AH$5:$AH$34,$AE203)&lt;=$AH203),ROUND(INDEX(Profils!$S$5:$S$34,$AE203)*Paramètres!$E$35*$AG203*$AJ203,Paramètres!$F$35),0)</f>
        <v>0.005</v>
      </c>
      <c r="Z203" s="21" t="n">
        <f aca="false">ROUND(L203/Paramètres!$E$22+M203/Paramètres!$E$23+N203/Paramètres!$E$24+O203/Paramètres!$E$25+P203/Paramètres!$E$26+Q203/Paramètres!$E$27+R203/Paramètres!$E$28+S203/Paramètres!$E$29+T203/Paramètres!$E$30+U203/Paramètres!$E$31+V203/Paramètres!$E$32+W203/Paramètres!$E$33+X203/Paramètres!$E$34+Y203/Paramètres!$E$35,1)</f>
        <v>2</v>
      </c>
      <c r="AA203" s="22" t="s">
        <v>109</v>
      </c>
      <c r="AB203" s="22" t="s">
        <v>109</v>
      </c>
      <c r="AC203" s="15" t="str">
        <f aca="false">$E203</f>
        <v>argent</v>
      </c>
      <c r="AD203" s="16" t="n">
        <f aca="false" t="array" ref="AD203:AD203">IF($I203&gt;=$AI203,"Max",ROUND(Paramètres!$B$40*($I203+1)^Paramètres!$B$41*INDEX(Paramètres!$H$6:$H$12,$AF203),0))</f>
        <v>8</v>
      </c>
      <c r="AE203" s="23" t="n">
        <f aca="false">MATCH($B203&amp;"|"&amp;$C203,Profils!$A$5:$A$34,0)</f>
        <v>7</v>
      </c>
      <c r="AF203" s="23" t="n">
        <v>6</v>
      </c>
      <c r="AG203" s="24" t="n">
        <f aca="false" t="array" ref="AG203:AG203">INDEX(Paramètres!$C$6:$C$12,$AF203)</f>
        <v>2.4</v>
      </c>
      <c r="AH203" s="23" t="n">
        <f aca="false" t="array" ref="AH203:AH203">INDEX(Paramètres!$D$6:$D$12,$AF203)</f>
        <v>7</v>
      </c>
      <c r="AI203" s="23" t="n">
        <f aca="false" t="array" ref="AI203:AI203">INDEX(Matériaux!$C$16:$C$20,$D203)</f>
        <v>20</v>
      </c>
      <c r="AJ203" s="25" t="n">
        <f aca="false">Paramètres!$B$16+(1-Paramètres!$B$16)*(($J203-Paramètres!$B$14)/(Paramètres!$B$15-Paramètres!$B$14))^Paramètres!$B$17</f>
        <v>0.140847925475674</v>
      </c>
    </row>
    <row r="204" customFormat="false" ht="15.75" hidden="false" customHeight="true" outlineLevel="0" collapsed="false">
      <c r="A204" s="14" t="s">
        <v>317</v>
      </c>
      <c r="B204" s="15" t="s">
        <v>27</v>
      </c>
      <c r="C204" s="15" t="s">
        <v>305</v>
      </c>
      <c r="D204" s="16" t="n">
        <v>3</v>
      </c>
      <c r="E204" s="15" t="str">
        <f aca="false" t="array" ref="E204:E204">INDEX(Matériaux!$B$5:$F$12,MATCH(INDEX(Profils!$E$5:$E$34,$AE204),Matériaux!$A$5:$A$12,0),$D204)</f>
        <v>or</v>
      </c>
      <c r="F204" s="17" t="s">
        <v>108</v>
      </c>
      <c r="G204" s="10" t="str">
        <f aca="false" t="array" ref="G204:G204">INDEX(Profils!$D$5:$D$34,$AE204)&amp;" en "&amp;$E204</f>
        <v>Chevalière en or</v>
      </c>
      <c r="H204" s="16" t="n">
        <f aca="false" t="array" ref="H204:H204">INDEX(Matériaux!$B$16:$B$20,$D204)</f>
        <v>30</v>
      </c>
      <c r="I204" s="16" t="n">
        <f aca="false">IF(ISNUMBER($C$3),MIN(MAX(0,ROUND($C$3,0)),$AI204),$AI204)</f>
        <v>0</v>
      </c>
      <c r="J204" s="18" t="n">
        <f aca="false">$H204+$I204</f>
        <v>30</v>
      </c>
      <c r="K204" s="15" t="s">
        <v>109</v>
      </c>
      <c r="L204" s="19" t="n">
        <f aca="false" t="array" ref="L204:L204">IF(AND(INDEX(Profils!$F$5:$F$34,$AE204)&gt;0,INDEX(Profils!$U$5:$U$34,$AE204)&lt;=$AH204),ROUND(INDEX(Profils!$F$5:$F$34,$AE204)*Paramètres!$E$22*$AG204*$AJ204,Paramètres!$F$22),0)</f>
        <v>8</v>
      </c>
      <c r="M204" s="19" t="n">
        <f aca="false" t="array" ref="M204:M204">IF(AND(INDEX(Profils!$G$5:$G$34,$AE204)&gt;0,INDEX(Profils!$V$5:$V$34,$AE204)&lt;=$AH204),ROUND(INDEX(Profils!$G$5:$G$34,$AE204)*Paramètres!$E$23*$AG204*$AJ204,Paramètres!$F$23),0)</f>
        <v>0</v>
      </c>
      <c r="N204" s="19" t="n">
        <f aca="false" t="array" ref="N204:N204">IF(AND(INDEX(Profils!$H$5:$H$34,$AE204)&gt;0,INDEX(Profils!$W$5:$W$34,$AE204)&lt;=$AH204),ROUND(INDEX(Profils!$H$5:$H$34,$AE204)*Paramètres!$E$24*$AG204*$AJ204,Paramètres!$F$24),0)</f>
        <v>4</v>
      </c>
      <c r="O204" s="19" t="n">
        <f aca="false" t="array" ref="O204:O204">IF(AND(INDEX(Profils!$I$5:$I$34,$AE204)&gt;0,INDEX(Profils!$X$5:$X$34,$AE204)&lt;=$AH204),ROUND(INDEX(Profils!$I$5:$I$34,$AE204)*Paramètres!$E$25*$AG204*$AJ204,Paramètres!$F$25),0)</f>
        <v>0</v>
      </c>
      <c r="P204" s="19" t="n">
        <f aca="false" t="array" ref="P204:P204">IF(AND(INDEX(Profils!$J$5:$J$34,$AE204)&gt;0,INDEX(Profils!$Y$5:$Y$34,$AE204)&lt;=$AH204),ROUND(INDEX(Profils!$J$5:$J$34,$AE204)*Paramètres!$E$26*$AG204*$AJ204,Paramètres!$F$26),0)</f>
        <v>0</v>
      </c>
      <c r="Q204" s="19" t="n">
        <f aca="false" t="array" ref="Q204:Q204">IF(AND(INDEX(Profils!$K$5:$K$34,$AE204)&gt;0,INDEX(Profils!$Z$5:$Z$34,$AE204)&lt;=$AH204),ROUND(INDEX(Profils!$K$5:$K$34,$AE204)*Paramètres!$E$27*$AG204*$AJ204,Paramètres!$F$27),0)</f>
        <v>0</v>
      </c>
      <c r="R204" s="20" t="n">
        <f aca="false" t="array" ref="R204:R204">IF(AND(INDEX(Profils!$L$5:$L$34,$AE204)&gt;0,INDEX(Profils!$AA$5:$AA$34,$AE204)&lt;=$AH204),ROUND(INDEX(Profils!$L$5:$L$34,$AE204)*Paramètres!$E$28*$AG204*$AJ204,Paramètres!$F$28),0)</f>
        <v>0</v>
      </c>
      <c r="S204" s="20" t="n">
        <f aca="false" t="array" ref="S204:S204">IF(AND(INDEX(Profils!$M$5:$M$34,$AE204)&gt;0,INDEX(Profils!$AB$5:$AB$34,$AE204)&lt;=$AH204),ROUND(INDEX(Profils!$M$5:$M$34,$AE204)*Paramètres!$E$29*$AG204*$AJ204,Paramètres!$F$29),0)</f>
        <v>0</v>
      </c>
      <c r="T204" s="20" t="n">
        <f aca="false" t="array" ref="T204:T204">IF(AND(INDEX(Profils!$N$5:$N$34,$AE204)&gt;0,INDEX(Profils!$AC$5:$AC$34,$AE204)&lt;=$AH204),ROUND(INDEX(Profils!$N$5:$N$34,$AE204)*Paramètres!$E$30*$AG204*$AJ204,Paramètres!$F$30),0)</f>
        <v>0</v>
      </c>
      <c r="U204" s="19" t="n">
        <f aca="false" t="array" ref="U204:U204">IF(AND(INDEX(Profils!$O$5:$O$34,$AE204)&gt;0,INDEX(Profils!$AD$5:$AD$34,$AE204)&lt;=$AH204),ROUND(INDEX(Profils!$O$5:$O$34,$AE204)*Paramètres!$E$31*$AG204*$AJ204,Paramètres!$F$31),0)</f>
        <v>0</v>
      </c>
      <c r="V204" s="20" t="n">
        <f aca="false" t="array" ref="V204:V204">IF(AND(INDEX(Profils!$P$5:$P$34,$AE204)&gt;0,INDEX(Profils!$AE$5:$AE$34,$AE204)&lt;=$AH204),ROUND(INDEX(Profils!$P$5:$P$34,$AE204)*Paramètres!$E$32*$AG204*$AJ204,Paramètres!$F$32),0)</f>
        <v>0</v>
      </c>
      <c r="W204" s="20" t="n">
        <f aca="false" t="array" ref="W204:W204">IF(AND(INDEX(Profils!$Q$5:$Q$34,$AE204)&gt;0,INDEX(Profils!$AF$5:$AF$34,$AE204)&lt;=$AH204),ROUND(INDEX(Profils!$Q$5:$Q$34,$AE204)*Paramètres!$E$33*$AG204*$AJ204,Paramètres!$F$33),0)</f>
        <v>0</v>
      </c>
      <c r="X204" s="20" t="n">
        <f aca="false" t="array" ref="X204:X204">IF(AND(INDEX(Profils!$R$5:$R$34,$AE204)&gt;0,INDEX(Profils!$AG$5:$AG$34,$AE204)&lt;=$AH204),ROUND(INDEX(Profils!$R$5:$R$34,$AE204)*Paramètres!$E$34*$AG204*$AJ204,Paramètres!$F$34),0)</f>
        <v>0</v>
      </c>
      <c r="Y204" s="20" t="n">
        <f aca="false" t="array" ref="Y204:Y204">IF(AND(INDEX(Profils!$S$5:$S$34,$AE204)&gt;0,INDEX(Profils!$AH$5:$AH$34,$AE204)&lt;=$AH204),ROUND(INDEX(Profils!$S$5:$S$34,$AE204)*Paramètres!$E$35*$AG204*$AJ204,Paramètres!$F$35),0)</f>
        <v>0</v>
      </c>
      <c r="Z204" s="21" t="n">
        <f aca="false">ROUND(L204/Paramètres!$E$22+M204/Paramètres!$E$23+N204/Paramètres!$E$24+O204/Paramètres!$E$25+P204/Paramètres!$E$26+Q204/Paramètres!$E$27+R204/Paramètres!$E$28+S204/Paramètres!$E$29+T204/Paramètres!$E$30+U204/Paramètres!$E$31+V204/Paramètres!$E$32+W204/Paramètres!$E$33+X204/Paramètres!$E$34+Y204/Paramètres!$E$35,1)</f>
        <v>0.6</v>
      </c>
      <c r="AA204" s="22" t="s">
        <v>109</v>
      </c>
      <c r="AB204" s="22" t="s">
        <v>109</v>
      </c>
      <c r="AC204" s="15" t="str">
        <f aca="false">$E204</f>
        <v>or</v>
      </c>
      <c r="AD204" s="16" t="n">
        <f aca="false" t="array" ref="AD204:AD204">IF($I204&gt;=$AI204,"Max",ROUND(Paramètres!$B$40*($I204+1)^Paramètres!$B$41*INDEX(Paramètres!$H$6:$H$12,$AF204),0))</f>
        <v>3</v>
      </c>
      <c r="AE204" s="23" t="n">
        <f aca="false">MATCH($B204&amp;"|"&amp;$C204,Profils!$A$5:$A$34,0)</f>
        <v>7</v>
      </c>
      <c r="AF204" s="23" t="n">
        <v>1</v>
      </c>
      <c r="AG204" s="24" t="n">
        <f aca="false" t="array" ref="AG204:AG204">INDEX(Paramètres!$C$6:$C$12,$AF204)</f>
        <v>1</v>
      </c>
      <c r="AH204" s="23" t="n">
        <f aca="false" t="array" ref="AH204:AH204">INDEX(Paramètres!$D$6:$D$12,$AF204)</f>
        <v>2</v>
      </c>
      <c r="AI204" s="23" t="n">
        <f aca="false" t="array" ref="AI204:AI204">INDEX(Matériaux!$C$16:$C$20,$D204)</f>
        <v>25</v>
      </c>
      <c r="AJ204" s="25" t="n">
        <f aca="false">Paramètres!$B$16+(1-Paramètres!$B$16)*(($J204-Paramètres!$B$14)/(Paramètres!$B$15-Paramètres!$B$14))^Paramètres!$B$17</f>
        <v>0.26769024555533</v>
      </c>
    </row>
    <row r="205" customFormat="false" ht="15.75" hidden="false" customHeight="true" outlineLevel="0" collapsed="false">
      <c r="A205" s="14" t="s">
        <v>318</v>
      </c>
      <c r="B205" s="15" t="s">
        <v>27</v>
      </c>
      <c r="C205" s="15" t="s">
        <v>305</v>
      </c>
      <c r="D205" s="16" t="n">
        <v>3</v>
      </c>
      <c r="E205" s="15" t="str">
        <f aca="false" t="array" ref="E205:E205">INDEX(Matériaux!$B$5:$F$12,MATCH(INDEX(Profils!$E$5:$E$34,$AE205),Matériaux!$A$5:$A$12,0),$D205)</f>
        <v>or</v>
      </c>
      <c r="F205" s="26" t="s">
        <v>111</v>
      </c>
      <c r="G205" s="10" t="str">
        <f aca="false" t="array" ref="G205:G205">INDEX(Profils!$D$5:$D$34,$AE205)&amp;" en "&amp;$E205</f>
        <v>Chevalière en or</v>
      </c>
      <c r="H205" s="16" t="n">
        <f aca="false" t="array" ref="H205:H205">INDEX(Matériaux!$B$16:$B$20,$D205)</f>
        <v>30</v>
      </c>
      <c r="I205" s="16" t="n">
        <f aca="false">IF(ISNUMBER($C$3),MIN(MAX(0,ROUND($C$3,0)),$AI205),$AI205)</f>
        <v>0</v>
      </c>
      <c r="J205" s="18" t="n">
        <f aca="false">$H205+$I205</f>
        <v>30</v>
      </c>
      <c r="K205" s="15" t="s">
        <v>109</v>
      </c>
      <c r="L205" s="19" t="n">
        <f aca="false" t="array" ref="L205:L205">IF(AND(INDEX(Profils!$F$5:$F$34,$AE205)&gt;0,INDEX(Profils!$U$5:$U$34,$AE205)&lt;=$AH205),ROUND(INDEX(Profils!$F$5:$F$34,$AE205)*Paramètres!$E$22*$AG205*$AJ205,Paramètres!$F$22),0)</f>
        <v>10</v>
      </c>
      <c r="M205" s="19" t="n">
        <f aca="false" t="array" ref="M205:M205">IF(AND(INDEX(Profils!$G$5:$G$34,$AE205)&gt;0,INDEX(Profils!$V$5:$V$34,$AE205)&lt;=$AH205),ROUND(INDEX(Profils!$G$5:$G$34,$AE205)*Paramètres!$E$23*$AG205*$AJ205,Paramètres!$F$23),0)</f>
        <v>0</v>
      </c>
      <c r="N205" s="19" t="n">
        <f aca="false" t="array" ref="N205:N205">IF(AND(INDEX(Profils!$H$5:$H$34,$AE205)&gt;0,INDEX(Profils!$W$5:$W$34,$AE205)&lt;=$AH205),ROUND(INDEX(Profils!$H$5:$H$34,$AE205)*Paramètres!$E$24*$AG205*$AJ205,Paramètres!$F$24),0)</f>
        <v>5</v>
      </c>
      <c r="O205" s="19" t="n">
        <f aca="false" t="array" ref="O205:O205">IF(AND(INDEX(Profils!$I$5:$I$34,$AE205)&gt;0,INDEX(Profils!$X$5:$X$34,$AE205)&lt;=$AH205),ROUND(INDEX(Profils!$I$5:$I$34,$AE205)*Paramètres!$E$25*$AG205*$AJ205,Paramètres!$F$25),0)</f>
        <v>0</v>
      </c>
      <c r="P205" s="19" t="n">
        <f aca="false" t="array" ref="P205:P205">IF(AND(INDEX(Profils!$J$5:$J$34,$AE205)&gt;0,INDEX(Profils!$Y$5:$Y$34,$AE205)&lt;=$AH205),ROUND(INDEX(Profils!$J$5:$J$34,$AE205)*Paramètres!$E$26*$AG205*$AJ205,Paramètres!$F$26),0)</f>
        <v>0</v>
      </c>
      <c r="Q205" s="19" t="n">
        <f aca="false" t="array" ref="Q205:Q205">IF(AND(INDEX(Profils!$K$5:$K$34,$AE205)&gt;0,INDEX(Profils!$Z$5:$Z$34,$AE205)&lt;=$AH205),ROUND(INDEX(Profils!$K$5:$K$34,$AE205)*Paramètres!$E$27*$AG205*$AJ205,Paramètres!$F$27),0)</f>
        <v>0</v>
      </c>
      <c r="R205" s="20" t="n">
        <f aca="false" t="array" ref="R205:R205">IF(AND(INDEX(Profils!$L$5:$L$34,$AE205)&gt;0,INDEX(Profils!$AA$5:$AA$34,$AE205)&lt;=$AH205),ROUND(INDEX(Profils!$L$5:$L$34,$AE205)*Paramètres!$E$28*$AG205*$AJ205,Paramètres!$F$28),0)</f>
        <v>0</v>
      </c>
      <c r="S205" s="20" t="n">
        <f aca="false" t="array" ref="S205:S205">IF(AND(INDEX(Profils!$M$5:$M$34,$AE205)&gt;0,INDEX(Profils!$AB$5:$AB$34,$AE205)&lt;=$AH205),ROUND(INDEX(Profils!$M$5:$M$34,$AE205)*Paramètres!$E$29*$AG205*$AJ205,Paramètres!$F$29),0)</f>
        <v>0</v>
      </c>
      <c r="T205" s="20" t="n">
        <f aca="false" t="array" ref="T205:T205">IF(AND(INDEX(Profils!$N$5:$N$34,$AE205)&gt;0,INDEX(Profils!$AC$5:$AC$34,$AE205)&lt;=$AH205),ROUND(INDEX(Profils!$N$5:$N$34,$AE205)*Paramètres!$E$30*$AG205*$AJ205,Paramètres!$F$30),0)</f>
        <v>0</v>
      </c>
      <c r="U205" s="19" t="n">
        <f aca="false" t="array" ref="U205:U205">IF(AND(INDEX(Profils!$O$5:$O$34,$AE205)&gt;0,INDEX(Profils!$AD$5:$AD$34,$AE205)&lt;=$AH205),ROUND(INDEX(Profils!$O$5:$O$34,$AE205)*Paramètres!$E$31*$AG205*$AJ205,Paramètres!$F$31),0)</f>
        <v>0</v>
      </c>
      <c r="V205" s="20" t="n">
        <f aca="false" t="array" ref="V205:V205">IF(AND(INDEX(Profils!$P$5:$P$34,$AE205)&gt;0,INDEX(Profils!$AE$5:$AE$34,$AE205)&lt;=$AH205),ROUND(INDEX(Profils!$P$5:$P$34,$AE205)*Paramètres!$E$32*$AG205*$AJ205,Paramètres!$F$32),0)</f>
        <v>0</v>
      </c>
      <c r="W205" s="20" t="n">
        <f aca="false" t="array" ref="W205:W205">IF(AND(INDEX(Profils!$Q$5:$Q$34,$AE205)&gt;0,INDEX(Profils!$AF$5:$AF$34,$AE205)&lt;=$AH205),ROUND(INDEX(Profils!$Q$5:$Q$34,$AE205)*Paramètres!$E$33*$AG205*$AJ205,Paramètres!$F$33),0)</f>
        <v>0.004</v>
      </c>
      <c r="X205" s="20" t="n">
        <f aca="false" t="array" ref="X205:X205">IF(AND(INDEX(Profils!$R$5:$R$34,$AE205)&gt;0,INDEX(Profils!$AG$5:$AG$34,$AE205)&lt;=$AH205),ROUND(INDEX(Profils!$R$5:$R$34,$AE205)*Paramètres!$E$34*$AG205*$AJ205,Paramètres!$F$34),0)</f>
        <v>0</v>
      </c>
      <c r="Y205" s="20" t="n">
        <f aca="false" t="array" ref="Y205:Y205">IF(AND(INDEX(Profils!$S$5:$S$34,$AE205)&gt;0,INDEX(Profils!$AH$5:$AH$34,$AE205)&lt;=$AH205),ROUND(INDEX(Profils!$S$5:$S$34,$AE205)*Paramètres!$E$35*$AG205*$AJ205,Paramètres!$F$35),0)</f>
        <v>0</v>
      </c>
      <c r="Z205" s="21" t="n">
        <f aca="false">ROUND(L205/Paramètres!$E$22+M205/Paramètres!$E$23+N205/Paramètres!$E$24+O205/Paramètres!$E$25+P205/Paramètres!$E$26+Q205/Paramètres!$E$27+R205/Paramètres!$E$28+S205/Paramètres!$E$29+T205/Paramètres!$E$30+U205/Paramètres!$E$31+V205/Paramètres!$E$32+W205/Paramètres!$E$33+X205/Paramètres!$E$34+Y205/Paramètres!$E$35,1)</f>
        <v>1</v>
      </c>
      <c r="AA205" s="22" t="s">
        <v>109</v>
      </c>
      <c r="AB205" s="22" t="s">
        <v>109</v>
      </c>
      <c r="AC205" s="15" t="str">
        <f aca="false">$E205</f>
        <v>or</v>
      </c>
      <c r="AD205" s="16" t="n">
        <f aca="false" t="array" ref="AD205:AD205">IF($I205&gt;=$AI205,"Max",ROUND(Paramètres!$B$40*($I205+1)^Paramètres!$B$41*INDEX(Paramètres!$H$6:$H$12,$AF205),0))</f>
        <v>4</v>
      </c>
      <c r="AE205" s="23" t="n">
        <f aca="false">MATCH($B205&amp;"|"&amp;$C205,Profils!$A$5:$A$34,0)</f>
        <v>7</v>
      </c>
      <c r="AF205" s="23" t="n">
        <v>2</v>
      </c>
      <c r="AG205" s="24" t="n">
        <f aca="false" t="array" ref="AG205:AG205">INDEX(Paramètres!$C$6:$C$12,$AF205)</f>
        <v>1.2</v>
      </c>
      <c r="AH205" s="23" t="n">
        <f aca="false" t="array" ref="AH205:AH205">INDEX(Paramètres!$D$6:$D$12,$AF205)</f>
        <v>3</v>
      </c>
      <c r="AI205" s="23" t="n">
        <f aca="false" t="array" ref="AI205:AI205">INDEX(Matériaux!$C$16:$C$20,$D205)</f>
        <v>25</v>
      </c>
      <c r="AJ205" s="25" t="n">
        <f aca="false">Paramètres!$B$16+(1-Paramètres!$B$16)*(($J205-Paramètres!$B$14)/(Paramètres!$B$15-Paramètres!$B$14))^Paramètres!$B$17</f>
        <v>0.26769024555533</v>
      </c>
    </row>
    <row r="206" customFormat="false" ht="15.75" hidden="false" customHeight="true" outlineLevel="0" collapsed="false">
      <c r="A206" s="14" t="s">
        <v>319</v>
      </c>
      <c r="B206" s="15" t="s">
        <v>27</v>
      </c>
      <c r="C206" s="15" t="s">
        <v>305</v>
      </c>
      <c r="D206" s="16" t="n">
        <v>3</v>
      </c>
      <c r="E206" s="15" t="str">
        <f aca="false" t="array" ref="E206:E206">INDEX(Matériaux!$B$5:$F$12,MATCH(INDEX(Profils!$E$5:$E$34,$AE206),Matériaux!$A$5:$A$12,0),$D206)</f>
        <v>or</v>
      </c>
      <c r="F206" s="27" t="s">
        <v>113</v>
      </c>
      <c r="G206" s="10" t="str">
        <f aca="false" t="array" ref="G206:G206">INDEX(Profils!$D$5:$D$34,$AE206)&amp;" en "&amp;$E206</f>
        <v>Chevalière en or</v>
      </c>
      <c r="H206" s="16" t="n">
        <f aca="false" t="array" ref="H206:H206">INDEX(Matériaux!$B$16:$B$20,$D206)</f>
        <v>30</v>
      </c>
      <c r="I206" s="16" t="n">
        <f aca="false">IF(ISNUMBER($C$3),MIN(MAX(0,ROUND($C$3,0)),$AI206),$AI206)</f>
        <v>0</v>
      </c>
      <c r="J206" s="18" t="n">
        <f aca="false">$H206+$I206</f>
        <v>30</v>
      </c>
      <c r="K206" s="15" t="s">
        <v>109</v>
      </c>
      <c r="L206" s="19" t="n">
        <f aca="false" t="array" ref="L206:L206">IF(AND(INDEX(Profils!$F$5:$F$34,$AE206)&gt;0,INDEX(Profils!$U$5:$U$34,$AE206)&lt;=$AH206),ROUND(INDEX(Profils!$F$5:$F$34,$AE206)*Paramètres!$E$22*$AG206*$AJ206,Paramètres!$F$22),0)</f>
        <v>12</v>
      </c>
      <c r="M206" s="19" t="n">
        <f aca="false" t="array" ref="M206:M206">IF(AND(INDEX(Profils!$G$5:$G$34,$AE206)&gt;0,INDEX(Profils!$V$5:$V$34,$AE206)&lt;=$AH206),ROUND(INDEX(Profils!$G$5:$G$34,$AE206)*Paramètres!$E$23*$AG206*$AJ206,Paramètres!$F$23),0)</f>
        <v>0</v>
      </c>
      <c r="N206" s="19" t="n">
        <f aca="false" t="array" ref="N206:N206">IF(AND(INDEX(Profils!$H$5:$H$34,$AE206)&gt;0,INDEX(Profils!$W$5:$W$34,$AE206)&lt;=$AH206),ROUND(INDEX(Profils!$H$5:$H$34,$AE206)*Paramètres!$E$24*$AG206*$AJ206,Paramètres!$F$24),0)</f>
        <v>6</v>
      </c>
      <c r="O206" s="19" t="n">
        <f aca="false" t="array" ref="O206:O206">IF(AND(INDEX(Profils!$I$5:$I$34,$AE206)&gt;0,INDEX(Profils!$X$5:$X$34,$AE206)&lt;=$AH206),ROUND(INDEX(Profils!$I$5:$I$34,$AE206)*Paramètres!$E$25*$AG206*$AJ206,Paramètres!$F$25),0)</f>
        <v>0</v>
      </c>
      <c r="P206" s="19" t="n">
        <f aca="false" t="array" ref="P206:P206">IF(AND(INDEX(Profils!$J$5:$J$34,$AE206)&gt;0,INDEX(Profils!$Y$5:$Y$34,$AE206)&lt;=$AH206),ROUND(INDEX(Profils!$J$5:$J$34,$AE206)*Paramètres!$E$26*$AG206*$AJ206,Paramètres!$F$26),0)</f>
        <v>0</v>
      </c>
      <c r="Q206" s="19" t="n">
        <f aca="false" t="array" ref="Q206:Q206">IF(AND(INDEX(Profils!$K$5:$K$34,$AE206)&gt;0,INDEX(Profils!$Z$5:$Z$34,$AE206)&lt;=$AH206),ROUND(INDEX(Profils!$K$5:$K$34,$AE206)*Paramètres!$E$27*$AG206*$AJ206,Paramètres!$F$27),0)</f>
        <v>0</v>
      </c>
      <c r="R206" s="20" t="n">
        <f aca="false" t="array" ref="R206:R206">IF(AND(INDEX(Profils!$L$5:$L$34,$AE206)&gt;0,INDEX(Profils!$AA$5:$AA$34,$AE206)&lt;=$AH206),ROUND(INDEX(Profils!$L$5:$L$34,$AE206)*Paramètres!$E$28*$AG206*$AJ206,Paramètres!$F$28),0)</f>
        <v>0</v>
      </c>
      <c r="S206" s="20" t="n">
        <f aca="false" t="array" ref="S206:S206">IF(AND(INDEX(Profils!$M$5:$M$34,$AE206)&gt;0,INDEX(Profils!$AB$5:$AB$34,$AE206)&lt;=$AH206),ROUND(INDEX(Profils!$M$5:$M$34,$AE206)*Paramètres!$E$29*$AG206*$AJ206,Paramètres!$F$29),0)</f>
        <v>0</v>
      </c>
      <c r="T206" s="20" t="n">
        <f aca="false" t="array" ref="T206:T206">IF(AND(INDEX(Profils!$N$5:$N$34,$AE206)&gt;0,INDEX(Profils!$AC$5:$AC$34,$AE206)&lt;=$AH206),ROUND(INDEX(Profils!$N$5:$N$34,$AE206)*Paramètres!$E$30*$AG206*$AJ206,Paramètres!$F$30),0)</f>
        <v>0</v>
      </c>
      <c r="U206" s="19" t="n">
        <f aca="false" t="array" ref="U206:U206">IF(AND(INDEX(Profils!$O$5:$O$34,$AE206)&gt;0,INDEX(Profils!$AD$5:$AD$34,$AE206)&lt;=$AH206),ROUND(INDEX(Profils!$O$5:$O$34,$AE206)*Paramètres!$E$31*$AG206*$AJ206,Paramètres!$F$31),0)</f>
        <v>0</v>
      </c>
      <c r="V206" s="20" t="n">
        <f aca="false" t="array" ref="V206:V206">IF(AND(INDEX(Profils!$P$5:$P$34,$AE206)&gt;0,INDEX(Profils!$AE$5:$AE$34,$AE206)&lt;=$AH206),ROUND(INDEX(Profils!$P$5:$P$34,$AE206)*Paramètres!$E$32*$AG206*$AJ206,Paramètres!$F$32),0)</f>
        <v>0</v>
      </c>
      <c r="W206" s="20" t="n">
        <f aca="false" t="array" ref="W206:W206">IF(AND(INDEX(Profils!$Q$5:$Q$34,$AE206)&gt;0,INDEX(Profils!$AF$5:$AF$34,$AE206)&lt;=$AH206),ROUND(INDEX(Profils!$Q$5:$Q$34,$AE206)*Paramètres!$E$33*$AG206*$AJ206,Paramètres!$F$33),0)</f>
        <v>0.005</v>
      </c>
      <c r="X206" s="20" t="n">
        <f aca="false" t="array" ref="X206:X206">IF(AND(INDEX(Profils!$R$5:$R$34,$AE206)&gt;0,INDEX(Profils!$AG$5:$AG$34,$AE206)&lt;=$AH206),ROUND(INDEX(Profils!$R$5:$R$34,$AE206)*Paramètres!$E$34*$AG206*$AJ206,Paramètres!$F$34),0)</f>
        <v>0</v>
      </c>
      <c r="Y206" s="20" t="n">
        <f aca="false" t="array" ref="Y206:Y206">IF(AND(INDEX(Profils!$S$5:$S$34,$AE206)&gt;0,INDEX(Profils!$AH$5:$AH$34,$AE206)&lt;=$AH206),ROUND(INDEX(Profils!$S$5:$S$34,$AE206)*Paramètres!$E$35*$AG206*$AJ206,Paramètres!$F$35),0)</f>
        <v>0.005</v>
      </c>
      <c r="Z206" s="21" t="n">
        <f aca="false">ROUND(L206/Paramètres!$E$22+M206/Paramètres!$E$23+N206/Paramètres!$E$24+O206/Paramètres!$E$25+P206/Paramètres!$E$26+Q206/Paramètres!$E$27+R206/Paramètres!$E$28+S206/Paramètres!$E$29+T206/Paramètres!$E$30+U206/Paramètres!$E$31+V206/Paramètres!$E$32+W206/Paramètres!$E$33+X206/Paramètres!$E$34+Y206/Paramètres!$E$35,1)</f>
        <v>1.5</v>
      </c>
      <c r="AA206" s="22" t="s">
        <v>109</v>
      </c>
      <c r="AB206" s="22" t="s">
        <v>109</v>
      </c>
      <c r="AC206" s="15" t="str">
        <f aca="false">$E206</f>
        <v>or</v>
      </c>
      <c r="AD206" s="16" t="n">
        <f aca="false" t="array" ref="AD206:AD206">IF($I206&gt;=$AI206,"Max",ROUND(Paramètres!$B$40*($I206+1)^Paramètres!$B$41*INDEX(Paramètres!$H$6:$H$12,$AF206),0))</f>
        <v>4</v>
      </c>
      <c r="AE206" s="23" t="n">
        <f aca="false">MATCH($B206&amp;"|"&amp;$C206,Profils!$A$5:$A$34,0)</f>
        <v>7</v>
      </c>
      <c r="AF206" s="23" t="n">
        <v>3</v>
      </c>
      <c r="AG206" s="24" t="n">
        <f aca="false" t="array" ref="AG206:AG206">INDEX(Paramètres!$C$6:$C$12,$AF206)</f>
        <v>1.45</v>
      </c>
      <c r="AH206" s="23" t="n">
        <f aca="false" t="array" ref="AH206:AH206">INDEX(Paramètres!$D$6:$D$12,$AF206)</f>
        <v>4</v>
      </c>
      <c r="AI206" s="23" t="n">
        <f aca="false" t="array" ref="AI206:AI206">INDEX(Matériaux!$C$16:$C$20,$D206)</f>
        <v>25</v>
      </c>
      <c r="AJ206" s="25" t="n">
        <f aca="false">Paramètres!$B$16+(1-Paramètres!$B$16)*(($J206-Paramètres!$B$14)/(Paramètres!$B$15-Paramètres!$B$14))^Paramètres!$B$17</f>
        <v>0.26769024555533</v>
      </c>
    </row>
    <row r="207" customFormat="false" ht="15.75" hidden="false" customHeight="true" outlineLevel="0" collapsed="false">
      <c r="A207" s="14" t="s">
        <v>320</v>
      </c>
      <c r="B207" s="15" t="s">
        <v>27</v>
      </c>
      <c r="C207" s="15" t="s">
        <v>305</v>
      </c>
      <c r="D207" s="16" t="n">
        <v>3</v>
      </c>
      <c r="E207" s="15" t="str">
        <f aca="false" t="array" ref="E207:E207">INDEX(Matériaux!$B$5:$F$12,MATCH(INDEX(Profils!$E$5:$E$34,$AE207),Matériaux!$A$5:$A$12,0),$D207)</f>
        <v>or</v>
      </c>
      <c r="F207" s="28" t="s">
        <v>115</v>
      </c>
      <c r="G207" s="10" t="str">
        <f aca="false" t="array" ref="G207:G207">INDEX(Profils!$D$5:$D$34,$AE207)&amp;" en "&amp;$E207</f>
        <v>Chevalière en or</v>
      </c>
      <c r="H207" s="16" t="n">
        <f aca="false" t="array" ref="H207:H207">INDEX(Matériaux!$B$16:$B$20,$D207)</f>
        <v>30</v>
      </c>
      <c r="I207" s="16" t="n">
        <f aca="false">IF(ISNUMBER($C$3),MIN(MAX(0,ROUND($C$3,0)),$AI207),$AI207)</f>
        <v>0</v>
      </c>
      <c r="J207" s="18" t="n">
        <f aca="false">$H207+$I207</f>
        <v>30</v>
      </c>
      <c r="K207" s="15" t="s">
        <v>109</v>
      </c>
      <c r="L207" s="19" t="n">
        <f aca="false" t="array" ref="L207:L207">IF(AND(INDEX(Profils!$F$5:$F$34,$AE207)&gt;0,INDEX(Profils!$U$5:$U$34,$AE207)&lt;=$AH207),ROUND(INDEX(Profils!$F$5:$F$34,$AE207)*Paramètres!$E$22*$AG207*$AJ207,Paramètres!$F$22),0)</f>
        <v>14</v>
      </c>
      <c r="M207" s="19" t="n">
        <f aca="false" t="array" ref="M207:M207">IF(AND(INDEX(Profils!$G$5:$G$34,$AE207)&gt;0,INDEX(Profils!$V$5:$V$34,$AE207)&lt;=$AH207),ROUND(INDEX(Profils!$G$5:$G$34,$AE207)*Paramètres!$E$23*$AG207*$AJ207,Paramètres!$F$23),0)</f>
        <v>0</v>
      </c>
      <c r="N207" s="19" t="n">
        <f aca="false" t="array" ref="N207:N207">IF(AND(INDEX(Profils!$H$5:$H$34,$AE207)&gt;0,INDEX(Profils!$W$5:$W$34,$AE207)&lt;=$AH207),ROUND(INDEX(Profils!$H$5:$H$34,$AE207)*Paramètres!$E$24*$AG207*$AJ207,Paramètres!$F$24),0)</f>
        <v>7</v>
      </c>
      <c r="O207" s="19" t="n">
        <f aca="false" t="array" ref="O207:O207">IF(AND(INDEX(Profils!$I$5:$I$34,$AE207)&gt;0,INDEX(Profils!$X$5:$X$34,$AE207)&lt;=$AH207),ROUND(INDEX(Profils!$I$5:$I$34,$AE207)*Paramètres!$E$25*$AG207*$AJ207,Paramètres!$F$25),0)</f>
        <v>0</v>
      </c>
      <c r="P207" s="19" t="n">
        <f aca="false" t="array" ref="P207:P207">IF(AND(INDEX(Profils!$J$5:$J$34,$AE207)&gt;0,INDEX(Profils!$Y$5:$Y$34,$AE207)&lt;=$AH207),ROUND(INDEX(Profils!$J$5:$J$34,$AE207)*Paramètres!$E$26*$AG207*$AJ207,Paramètres!$F$26),0)</f>
        <v>0</v>
      </c>
      <c r="Q207" s="19" t="n">
        <f aca="false" t="array" ref="Q207:Q207">IF(AND(INDEX(Profils!$K$5:$K$34,$AE207)&gt;0,INDEX(Profils!$Z$5:$Z$34,$AE207)&lt;=$AH207),ROUND(INDEX(Profils!$K$5:$K$34,$AE207)*Paramètres!$E$27*$AG207*$AJ207,Paramètres!$F$27),0)</f>
        <v>3</v>
      </c>
      <c r="R207" s="20" t="n">
        <f aca="false" t="array" ref="R207:R207">IF(AND(INDEX(Profils!$L$5:$L$34,$AE207)&gt;0,INDEX(Profils!$AA$5:$AA$34,$AE207)&lt;=$AH207),ROUND(INDEX(Profils!$L$5:$L$34,$AE207)*Paramètres!$E$28*$AG207*$AJ207,Paramètres!$F$28),0)</f>
        <v>0</v>
      </c>
      <c r="S207" s="20" t="n">
        <f aca="false" t="array" ref="S207:S207">IF(AND(INDEX(Profils!$M$5:$M$34,$AE207)&gt;0,INDEX(Profils!$AB$5:$AB$34,$AE207)&lt;=$AH207),ROUND(INDEX(Profils!$M$5:$M$34,$AE207)*Paramètres!$E$29*$AG207*$AJ207,Paramètres!$F$29),0)</f>
        <v>0</v>
      </c>
      <c r="T207" s="20" t="n">
        <f aca="false" t="array" ref="T207:T207">IF(AND(INDEX(Profils!$N$5:$N$34,$AE207)&gt;0,INDEX(Profils!$AC$5:$AC$34,$AE207)&lt;=$AH207),ROUND(INDEX(Profils!$N$5:$N$34,$AE207)*Paramètres!$E$30*$AG207*$AJ207,Paramètres!$F$30),0)</f>
        <v>0</v>
      </c>
      <c r="U207" s="19" t="n">
        <f aca="false" t="array" ref="U207:U207">IF(AND(INDEX(Profils!$O$5:$O$34,$AE207)&gt;0,INDEX(Profils!$AD$5:$AD$34,$AE207)&lt;=$AH207),ROUND(INDEX(Profils!$O$5:$O$34,$AE207)*Paramètres!$E$31*$AG207*$AJ207,Paramètres!$F$31),0)</f>
        <v>0</v>
      </c>
      <c r="V207" s="20" t="n">
        <f aca="false" t="array" ref="V207:V207">IF(AND(INDEX(Profils!$P$5:$P$34,$AE207)&gt;0,INDEX(Profils!$AE$5:$AE$34,$AE207)&lt;=$AH207),ROUND(INDEX(Profils!$P$5:$P$34,$AE207)*Paramètres!$E$32*$AG207*$AJ207,Paramètres!$F$32),0)</f>
        <v>0</v>
      </c>
      <c r="W207" s="20" t="n">
        <f aca="false" t="array" ref="W207:W207">IF(AND(INDEX(Profils!$Q$5:$Q$34,$AE207)&gt;0,INDEX(Profils!$AF$5:$AF$34,$AE207)&lt;=$AH207),ROUND(INDEX(Profils!$Q$5:$Q$34,$AE207)*Paramètres!$E$33*$AG207*$AJ207,Paramètres!$F$33),0)</f>
        <v>0.006</v>
      </c>
      <c r="X207" s="20" t="n">
        <f aca="false" t="array" ref="X207:X207">IF(AND(INDEX(Profils!$R$5:$R$34,$AE207)&gt;0,INDEX(Profils!$AG$5:$AG$34,$AE207)&lt;=$AH207),ROUND(INDEX(Profils!$R$5:$R$34,$AE207)*Paramètres!$E$34*$AG207*$AJ207,Paramètres!$F$34),0)</f>
        <v>0</v>
      </c>
      <c r="Y207" s="20" t="n">
        <f aca="false" t="array" ref="Y207:Y207">IF(AND(INDEX(Profils!$S$5:$S$34,$AE207)&gt;0,INDEX(Profils!$AH$5:$AH$34,$AE207)&lt;=$AH207),ROUND(INDEX(Profils!$S$5:$S$34,$AE207)*Paramètres!$E$35*$AG207*$AJ207,Paramètres!$F$35),0)</f>
        <v>0.006</v>
      </c>
      <c r="Z207" s="21" t="n">
        <f aca="false">ROUND(L207/Paramètres!$E$22+M207/Paramètres!$E$23+N207/Paramètres!$E$24+O207/Paramètres!$E$25+P207/Paramètres!$E$26+Q207/Paramètres!$E$27+R207/Paramètres!$E$28+S207/Paramètres!$E$29+T207/Paramètres!$E$30+U207/Paramètres!$E$31+V207/Paramètres!$E$32+W207/Paramètres!$E$33+X207/Paramètres!$E$34+Y207/Paramètres!$E$35,1)</f>
        <v>2.1</v>
      </c>
      <c r="AA207" s="22" t="s">
        <v>109</v>
      </c>
      <c r="AB207" s="22" t="s">
        <v>109</v>
      </c>
      <c r="AC207" s="15" t="str">
        <f aca="false">$E207</f>
        <v>or</v>
      </c>
      <c r="AD207" s="16" t="n">
        <f aca="false" t="array" ref="AD207:AD207">IF($I207&gt;=$AI207,"Max",ROUND(Paramètres!$B$40*($I207+1)^Paramètres!$B$41*INDEX(Paramètres!$H$6:$H$12,$AF207),0))</f>
        <v>5</v>
      </c>
      <c r="AE207" s="23" t="n">
        <f aca="false">MATCH($B207&amp;"|"&amp;$C207,Profils!$A$5:$A$34,0)</f>
        <v>7</v>
      </c>
      <c r="AF207" s="23" t="n">
        <v>4</v>
      </c>
      <c r="AG207" s="24" t="n">
        <f aca="false" t="array" ref="AG207:AG207">INDEX(Paramètres!$C$6:$C$12,$AF207)</f>
        <v>1.75</v>
      </c>
      <c r="AH207" s="23" t="n">
        <f aca="false" t="array" ref="AH207:AH207">INDEX(Paramètres!$D$6:$D$12,$AF207)</f>
        <v>5</v>
      </c>
      <c r="AI207" s="23" t="n">
        <f aca="false" t="array" ref="AI207:AI207">INDEX(Matériaux!$C$16:$C$20,$D207)</f>
        <v>25</v>
      </c>
      <c r="AJ207" s="25" t="n">
        <f aca="false">Paramètres!$B$16+(1-Paramètres!$B$16)*(($J207-Paramètres!$B$14)/(Paramètres!$B$15-Paramètres!$B$14))^Paramètres!$B$17</f>
        <v>0.26769024555533</v>
      </c>
    </row>
    <row r="208" customFormat="false" ht="15.75" hidden="false" customHeight="true" outlineLevel="0" collapsed="false">
      <c r="A208" s="14" t="s">
        <v>321</v>
      </c>
      <c r="B208" s="15" t="s">
        <v>27</v>
      </c>
      <c r="C208" s="15" t="s">
        <v>305</v>
      </c>
      <c r="D208" s="16" t="n">
        <v>3</v>
      </c>
      <c r="E208" s="15" t="str">
        <f aca="false" t="array" ref="E208:E208">INDEX(Matériaux!$B$5:$F$12,MATCH(INDEX(Profils!$E$5:$E$34,$AE208),Matériaux!$A$5:$A$12,0),$D208)</f>
        <v>or</v>
      </c>
      <c r="F208" s="29" t="s">
        <v>117</v>
      </c>
      <c r="G208" s="10" t="str">
        <f aca="false" t="array" ref="G208:G208">INDEX(Profils!$D$5:$D$34,$AE208)&amp;" en "&amp;$E208</f>
        <v>Chevalière en or</v>
      </c>
      <c r="H208" s="16" t="n">
        <f aca="false" t="array" ref="H208:H208">INDEX(Matériaux!$B$16:$B$20,$D208)</f>
        <v>30</v>
      </c>
      <c r="I208" s="16" t="n">
        <f aca="false">IF(ISNUMBER($C$3),MIN(MAX(0,ROUND($C$3,0)),$AI208),$AI208)</f>
        <v>0</v>
      </c>
      <c r="J208" s="18" t="n">
        <f aca="false">$H208+$I208</f>
        <v>30</v>
      </c>
      <c r="K208" s="15" t="s">
        <v>109</v>
      </c>
      <c r="L208" s="19" t="n">
        <f aca="false" t="array" ref="L208:L208">IF(AND(INDEX(Profils!$F$5:$F$34,$AE208)&gt;0,INDEX(Profils!$U$5:$U$34,$AE208)&lt;=$AH208),ROUND(INDEX(Profils!$F$5:$F$34,$AE208)*Paramètres!$E$22*$AG208*$AJ208,Paramètres!$F$22),0)</f>
        <v>17</v>
      </c>
      <c r="M208" s="19" t="n">
        <f aca="false" t="array" ref="M208:M208">IF(AND(INDEX(Profils!$G$5:$G$34,$AE208)&gt;0,INDEX(Profils!$V$5:$V$34,$AE208)&lt;=$AH208),ROUND(INDEX(Profils!$G$5:$G$34,$AE208)*Paramètres!$E$23*$AG208*$AJ208,Paramètres!$F$23),0)</f>
        <v>0</v>
      </c>
      <c r="N208" s="19" t="n">
        <f aca="false" t="array" ref="N208:N208">IF(AND(INDEX(Profils!$H$5:$H$34,$AE208)&gt;0,INDEX(Profils!$W$5:$W$34,$AE208)&lt;=$AH208),ROUND(INDEX(Profils!$H$5:$H$34,$AE208)*Paramètres!$E$24*$AG208*$AJ208,Paramètres!$F$24),0)</f>
        <v>8</v>
      </c>
      <c r="O208" s="19" t="n">
        <f aca="false" t="array" ref="O208:O208">IF(AND(INDEX(Profils!$I$5:$I$34,$AE208)&gt;0,INDEX(Profils!$X$5:$X$34,$AE208)&lt;=$AH208),ROUND(INDEX(Profils!$I$5:$I$34,$AE208)*Paramètres!$E$25*$AG208*$AJ208,Paramètres!$F$25),0)</f>
        <v>0</v>
      </c>
      <c r="P208" s="19" t="n">
        <f aca="false" t="array" ref="P208:P208">IF(AND(INDEX(Profils!$J$5:$J$34,$AE208)&gt;0,INDEX(Profils!$Y$5:$Y$34,$AE208)&lt;=$AH208),ROUND(INDEX(Profils!$J$5:$J$34,$AE208)*Paramètres!$E$26*$AG208*$AJ208,Paramètres!$F$26),0)</f>
        <v>0</v>
      </c>
      <c r="Q208" s="19" t="n">
        <f aca="false" t="array" ref="Q208:Q208">IF(AND(INDEX(Profils!$K$5:$K$34,$AE208)&gt;0,INDEX(Profils!$Z$5:$Z$34,$AE208)&lt;=$AH208),ROUND(INDEX(Profils!$K$5:$K$34,$AE208)*Paramètres!$E$27*$AG208*$AJ208,Paramètres!$F$27),0)</f>
        <v>4</v>
      </c>
      <c r="R208" s="20" t="n">
        <f aca="false" t="array" ref="R208:R208">IF(AND(INDEX(Profils!$L$5:$L$34,$AE208)&gt;0,INDEX(Profils!$AA$5:$AA$34,$AE208)&lt;=$AH208),ROUND(INDEX(Profils!$L$5:$L$34,$AE208)*Paramètres!$E$28*$AG208*$AJ208,Paramètres!$F$28),0)</f>
        <v>0</v>
      </c>
      <c r="S208" s="20" t="n">
        <f aca="false" t="array" ref="S208:S208">IF(AND(INDEX(Profils!$M$5:$M$34,$AE208)&gt;0,INDEX(Profils!$AB$5:$AB$34,$AE208)&lt;=$AH208),ROUND(INDEX(Profils!$M$5:$M$34,$AE208)*Paramètres!$E$29*$AG208*$AJ208,Paramètres!$F$29),0)</f>
        <v>0</v>
      </c>
      <c r="T208" s="20" t="n">
        <f aca="false" t="array" ref="T208:T208">IF(AND(INDEX(Profils!$N$5:$N$34,$AE208)&gt;0,INDEX(Profils!$AC$5:$AC$34,$AE208)&lt;=$AH208),ROUND(INDEX(Profils!$N$5:$N$34,$AE208)*Paramètres!$E$30*$AG208*$AJ208,Paramètres!$F$30),0)</f>
        <v>0</v>
      </c>
      <c r="U208" s="19" t="n">
        <f aca="false" t="array" ref="U208:U208">IF(AND(INDEX(Profils!$O$5:$O$34,$AE208)&gt;0,INDEX(Profils!$AD$5:$AD$34,$AE208)&lt;=$AH208),ROUND(INDEX(Profils!$O$5:$O$34,$AE208)*Paramètres!$E$31*$AG208*$AJ208,Paramètres!$F$31),0)</f>
        <v>7</v>
      </c>
      <c r="V208" s="20" t="n">
        <f aca="false" t="array" ref="V208:V208">IF(AND(INDEX(Profils!$P$5:$P$34,$AE208)&gt;0,INDEX(Profils!$AE$5:$AE$34,$AE208)&lt;=$AH208),ROUND(INDEX(Profils!$P$5:$P$34,$AE208)*Paramètres!$E$32*$AG208*$AJ208,Paramètres!$F$32),0)</f>
        <v>0</v>
      </c>
      <c r="W208" s="20" t="n">
        <f aca="false" t="array" ref="W208:W208">IF(AND(INDEX(Profils!$Q$5:$Q$34,$AE208)&gt;0,INDEX(Profils!$AF$5:$AF$34,$AE208)&lt;=$AH208),ROUND(INDEX(Profils!$Q$5:$Q$34,$AE208)*Paramètres!$E$33*$AG208*$AJ208,Paramètres!$F$33),0)</f>
        <v>0.008</v>
      </c>
      <c r="X208" s="20" t="n">
        <f aca="false" t="array" ref="X208:X208">IF(AND(INDEX(Profils!$R$5:$R$34,$AE208)&gt;0,INDEX(Profils!$AG$5:$AG$34,$AE208)&lt;=$AH208),ROUND(INDEX(Profils!$R$5:$R$34,$AE208)*Paramètres!$E$34*$AG208*$AJ208,Paramètres!$F$34),0)</f>
        <v>0</v>
      </c>
      <c r="Y208" s="20" t="n">
        <f aca="false" t="array" ref="Y208:Y208">IF(AND(INDEX(Profils!$S$5:$S$34,$AE208)&gt;0,INDEX(Profils!$AH$5:$AH$34,$AE208)&lt;=$AH208),ROUND(INDEX(Profils!$S$5:$S$34,$AE208)*Paramètres!$E$35*$AG208*$AJ208,Paramètres!$F$35),0)</f>
        <v>0.008</v>
      </c>
      <c r="Z208" s="21" t="n">
        <f aca="false">ROUND(L208/Paramètres!$E$22+M208/Paramètres!$E$23+N208/Paramètres!$E$24+O208/Paramètres!$E$25+P208/Paramètres!$E$26+Q208/Paramètres!$E$27+R208/Paramètres!$E$28+S208/Paramètres!$E$29+T208/Paramètres!$E$30+U208/Paramètres!$E$31+V208/Paramètres!$E$32+W208/Paramètres!$E$33+X208/Paramètres!$E$34+Y208/Paramètres!$E$35,1)</f>
        <v>3</v>
      </c>
      <c r="AA208" s="22" t="s">
        <v>109</v>
      </c>
      <c r="AB208" s="22" t="s">
        <v>109</v>
      </c>
      <c r="AC208" s="15" t="str">
        <f aca="false">$E208</f>
        <v>or</v>
      </c>
      <c r="AD208" s="16" t="n">
        <f aca="false" t="array" ref="AD208:AD208">IF($I208&gt;=$AI208,"Max",ROUND(Paramètres!$B$40*($I208+1)^Paramètres!$B$41*INDEX(Paramètres!$H$6:$H$12,$AF208),0))</f>
        <v>6</v>
      </c>
      <c r="AE208" s="23" t="n">
        <f aca="false">MATCH($B208&amp;"|"&amp;$C208,Profils!$A$5:$A$34,0)</f>
        <v>7</v>
      </c>
      <c r="AF208" s="23" t="n">
        <v>5</v>
      </c>
      <c r="AG208" s="24" t="n">
        <f aca="false" t="array" ref="AG208:AG208">INDEX(Paramètres!$C$6:$C$12,$AF208)</f>
        <v>2.1</v>
      </c>
      <c r="AH208" s="23" t="n">
        <f aca="false" t="array" ref="AH208:AH208">INDEX(Paramètres!$D$6:$D$12,$AF208)</f>
        <v>6</v>
      </c>
      <c r="AI208" s="23" t="n">
        <f aca="false" t="array" ref="AI208:AI208">INDEX(Matériaux!$C$16:$C$20,$D208)</f>
        <v>25</v>
      </c>
      <c r="AJ208" s="25" t="n">
        <f aca="false">Paramètres!$B$16+(1-Paramètres!$B$16)*(($J208-Paramètres!$B$14)/(Paramètres!$B$15-Paramètres!$B$14))^Paramètres!$B$17</f>
        <v>0.26769024555533</v>
      </c>
    </row>
    <row r="209" customFormat="false" ht="15.75" hidden="false" customHeight="true" outlineLevel="0" collapsed="false">
      <c r="A209" s="14" t="s">
        <v>322</v>
      </c>
      <c r="B209" s="15" t="s">
        <v>27</v>
      </c>
      <c r="C209" s="15" t="s">
        <v>305</v>
      </c>
      <c r="D209" s="16" t="n">
        <v>3</v>
      </c>
      <c r="E209" s="15" t="str">
        <f aca="false" t="array" ref="E209:E209">INDEX(Matériaux!$B$5:$F$12,MATCH(INDEX(Profils!$E$5:$E$34,$AE209),Matériaux!$A$5:$A$12,0),$D209)</f>
        <v>or</v>
      </c>
      <c r="F209" s="30" t="s">
        <v>119</v>
      </c>
      <c r="G209" s="10" t="str">
        <f aca="false" t="array" ref="G209:G209">INDEX(Profils!$D$5:$D$34,$AE209)&amp;" en "&amp;$E209</f>
        <v>Chevalière en or</v>
      </c>
      <c r="H209" s="16" t="n">
        <f aca="false" t="array" ref="H209:H209">INDEX(Matériaux!$B$16:$B$20,$D209)</f>
        <v>30</v>
      </c>
      <c r="I209" s="16" t="n">
        <f aca="false">IF(ISNUMBER($C$3),MIN(MAX(0,ROUND($C$3,0)),$AI209),$AI209)</f>
        <v>0</v>
      </c>
      <c r="J209" s="18" t="n">
        <f aca="false">$H209+$I209</f>
        <v>30</v>
      </c>
      <c r="K209" s="15" t="s">
        <v>109</v>
      </c>
      <c r="L209" s="19" t="n">
        <f aca="false" t="array" ref="L209:L209">IF(AND(INDEX(Profils!$F$5:$F$34,$AE209)&gt;0,INDEX(Profils!$U$5:$U$34,$AE209)&lt;=$AH209),ROUND(INDEX(Profils!$F$5:$F$34,$AE209)*Paramètres!$E$22*$AG209*$AJ209,Paramètres!$F$22),0)</f>
        <v>19</v>
      </c>
      <c r="M209" s="19" t="n">
        <f aca="false" t="array" ref="M209:M209">IF(AND(INDEX(Profils!$G$5:$G$34,$AE209)&gt;0,INDEX(Profils!$V$5:$V$34,$AE209)&lt;=$AH209),ROUND(INDEX(Profils!$G$5:$G$34,$AE209)*Paramètres!$E$23*$AG209*$AJ209,Paramètres!$F$23),0)</f>
        <v>5</v>
      </c>
      <c r="N209" s="19" t="n">
        <f aca="false" t="array" ref="N209:N209">IF(AND(INDEX(Profils!$H$5:$H$34,$AE209)&gt;0,INDEX(Profils!$W$5:$W$34,$AE209)&lt;=$AH209),ROUND(INDEX(Profils!$H$5:$H$34,$AE209)*Paramètres!$E$24*$AG209*$AJ209,Paramètres!$F$24),0)</f>
        <v>10</v>
      </c>
      <c r="O209" s="19" t="n">
        <f aca="false" t="array" ref="O209:O209">IF(AND(INDEX(Profils!$I$5:$I$34,$AE209)&gt;0,INDEX(Profils!$X$5:$X$34,$AE209)&lt;=$AH209),ROUND(INDEX(Profils!$I$5:$I$34,$AE209)*Paramètres!$E$25*$AG209*$AJ209,Paramètres!$F$25),0)</f>
        <v>0</v>
      </c>
      <c r="P209" s="19" t="n">
        <f aca="false" t="array" ref="P209:P209">IF(AND(INDEX(Profils!$J$5:$J$34,$AE209)&gt;0,INDEX(Profils!$Y$5:$Y$34,$AE209)&lt;=$AH209),ROUND(INDEX(Profils!$J$5:$J$34,$AE209)*Paramètres!$E$26*$AG209*$AJ209,Paramètres!$F$26),0)</f>
        <v>0</v>
      </c>
      <c r="Q209" s="19" t="n">
        <f aca="false" t="array" ref="Q209:Q209">IF(AND(INDEX(Profils!$K$5:$K$34,$AE209)&gt;0,INDEX(Profils!$Z$5:$Z$34,$AE209)&lt;=$AH209),ROUND(INDEX(Profils!$K$5:$K$34,$AE209)*Paramètres!$E$27*$AG209*$AJ209,Paramètres!$F$27),0)</f>
        <v>4</v>
      </c>
      <c r="R209" s="20" t="n">
        <f aca="false" t="array" ref="R209:R209">IF(AND(INDEX(Profils!$L$5:$L$34,$AE209)&gt;0,INDEX(Profils!$AA$5:$AA$34,$AE209)&lt;=$AH209),ROUND(INDEX(Profils!$L$5:$L$34,$AE209)*Paramètres!$E$28*$AG209*$AJ209,Paramètres!$F$28),0)</f>
        <v>0</v>
      </c>
      <c r="S209" s="20" t="n">
        <f aca="false" t="array" ref="S209:S209">IF(AND(INDEX(Profils!$M$5:$M$34,$AE209)&gt;0,INDEX(Profils!$AB$5:$AB$34,$AE209)&lt;=$AH209),ROUND(INDEX(Profils!$M$5:$M$34,$AE209)*Paramètres!$E$29*$AG209*$AJ209,Paramètres!$F$29),0)</f>
        <v>0</v>
      </c>
      <c r="T209" s="20" t="n">
        <f aca="false" t="array" ref="T209:T209">IF(AND(INDEX(Profils!$N$5:$N$34,$AE209)&gt;0,INDEX(Profils!$AC$5:$AC$34,$AE209)&lt;=$AH209),ROUND(INDEX(Profils!$N$5:$N$34,$AE209)*Paramètres!$E$30*$AG209*$AJ209,Paramètres!$F$30),0)</f>
        <v>0</v>
      </c>
      <c r="U209" s="19" t="n">
        <f aca="false" t="array" ref="U209:U209">IF(AND(INDEX(Profils!$O$5:$O$34,$AE209)&gt;0,INDEX(Profils!$AD$5:$AD$34,$AE209)&lt;=$AH209),ROUND(INDEX(Profils!$O$5:$O$34,$AE209)*Paramètres!$E$31*$AG209*$AJ209,Paramètres!$F$31),0)</f>
        <v>8</v>
      </c>
      <c r="V209" s="20" t="n">
        <f aca="false" t="array" ref="V209:V209">IF(AND(INDEX(Profils!$P$5:$P$34,$AE209)&gt;0,INDEX(Profils!$AE$5:$AE$34,$AE209)&lt;=$AH209),ROUND(INDEX(Profils!$P$5:$P$34,$AE209)*Paramètres!$E$32*$AG209*$AJ209,Paramètres!$F$32),0)</f>
        <v>0</v>
      </c>
      <c r="W209" s="20" t="n">
        <f aca="false" t="array" ref="W209:W209">IF(AND(INDEX(Profils!$Q$5:$Q$34,$AE209)&gt;0,INDEX(Profils!$AF$5:$AF$34,$AE209)&lt;=$AH209),ROUND(INDEX(Profils!$Q$5:$Q$34,$AE209)*Paramètres!$E$33*$AG209*$AJ209,Paramètres!$F$33),0)</f>
        <v>0.009</v>
      </c>
      <c r="X209" s="20" t="n">
        <f aca="false" t="array" ref="X209:X209">IF(AND(INDEX(Profils!$R$5:$R$34,$AE209)&gt;0,INDEX(Profils!$AG$5:$AG$34,$AE209)&lt;=$AH209),ROUND(INDEX(Profils!$R$5:$R$34,$AE209)*Paramètres!$E$34*$AG209*$AJ209,Paramètres!$F$34),0)</f>
        <v>0</v>
      </c>
      <c r="Y209" s="20" t="n">
        <f aca="false" t="array" ref="Y209:Y209">IF(AND(INDEX(Profils!$S$5:$S$34,$AE209)&gt;0,INDEX(Profils!$AH$5:$AH$34,$AE209)&lt;=$AH209),ROUND(INDEX(Profils!$S$5:$S$34,$AE209)*Paramètres!$E$35*$AG209*$AJ209,Paramètres!$F$35),0)</f>
        <v>0.009</v>
      </c>
      <c r="Z209" s="21" t="n">
        <f aca="false">ROUND(L209/Paramètres!$E$22+M209/Paramètres!$E$23+N209/Paramètres!$E$24+O209/Paramètres!$E$25+P209/Paramètres!$E$26+Q209/Paramètres!$E$27+R209/Paramètres!$E$28+S209/Paramètres!$E$29+T209/Paramètres!$E$30+U209/Paramètres!$E$31+V209/Paramètres!$E$32+W209/Paramètres!$E$33+X209/Paramètres!$E$34+Y209/Paramètres!$E$35,1)</f>
        <v>3.8</v>
      </c>
      <c r="AA209" s="22" t="s">
        <v>109</v>
      </c>
      <c r="AB209" s="22" t="s">
        <v>109</v>
      </c>
      <c r="AC209" s="15" t="str">
        <f aca="false">$E209</f>
        <v>or</v>
      </c>
      <c r="AD209" s="16" t="n">
        <f aca="false" t="array" ref="AD209:AD209">IF($I209&gt;=$AI209,"Max",ROUND(Paramètres!$B$40*($I209+1)^Paramètres!$B$41*INDEX(Paramètres!$H$6:$H$12,$AF209),0))</f>
        <v>8</v>
      </c>
      <c r="AE209" s="23" t="n">
        <f aca="false">MATCH($B209&amp;"|"&amp;$C209,Profils!$A$5:$A$34,0)</f>
        <v>7</v>
      </c>
      <c r="AF209" s="23" t="n">
        <v>6</v>
      </c>
      <c r="AG209" s="24" t="n">
        <f aca="false" t="array" ref="AG209:AG209">INDEX(Paramètres!$C$6:$C$12,$AF209)</f>
        <v>2.4</v>
      </c>
      <c r="AH209" s="23" t="n">
        <f aca="false" t="array" ref="AH209:AH209">INDEX(Paramètres!$D$6:$D$12,$AF209)</f>
        <v>7</v>
      </c>
      <c r="AI209" s="23" t="n">
        <f aca="false" t="array" ref="AI209:AI209">INDEX(Matériaux!$C$16:$C$20,$D209)</f>
        <v>25</v>
      </c>
      <c r="AJ209" s="25" t="n">
        <f aca="false">Paramètres!$B$16+(1-Paramètres!$B$16)*(($J209-Paramètres!$B$14)/(Paramètres!$B$15-Paramètres!$B$14))^Paramètres!$B$17</f>
        <v>0.26769024555533</v>
      </c>
    </row>
    <row r="210" customFormat="false" ht="15.75" hidden="false" customHeight="true" outlineLevel="0" collapsed="false">
      <c r="A210" s="14" t="s">
        <v>323</v>
      </c>
      <c r="B210" s="15" t="s">
        <v>27</v>
      </c>
      <c r="C210" s="15" t="s">
        <v>305</v>
      </c>
      <c r="D210" s="16" t="n">
        <v>4</v>
      </c>
      <c r="E210" s="15" t="str">
        <f aca="false" t="array" ref="E210:E210">INDEX(Matériaux!$B$5:$F$12,MATCH(INDEX(Profils!$E$5:$E$34,$AE210),Matériaux!$A$5:$A$12,0),$D210)</f>
        <v>platine</v>
      </c>
      <c r="F210" s="17" t="s">
        <v>108</v>
      </c>
      <c r="G210" s="10" t="str">
        <f aca="false" t="array" ref="G210:G210">INDEX(Profils!$D$5:$D$34,$AE210)&amp;" en "&amp;$E210</f>
        <v>Chevalière en platine</v>
      </c>
      <c r="H210" s="16" t="n">
        <f aca="false" t="array" ref="H210:H210">INDEX(Matériaux!$B$16:$B$20,$D210)</f>
        <v>50</v>
      </c>
      <c r="I210" s="16" t="n">
        <f aca="false">IF(ISNUMBER($C$3),MIN(MAX(0,ROUND($C$3,0)),$AI210),$AI210)</f>
        <v>0</v>
      </c>
      <c r="J210" s="18" t="n">
        <f aca="false">$H210+$I210</f>
        <v>50</v>
      </c>
      <c r="K210" s="15" t="s">
        <v>109</v>
      </c>
      <c r="L210" s="19" t="n">
        <f aca="false" t="array" ref="L210:L210">IF(AND(INDEX(Profils!$F$5:$F$34,$AE210)&gt;0,INDEX(Profils!$U$5:$U$34,$AE210)&lt;=$AH210),ROUND(INDEX(Profils!$F$5:$F$34,$AE210)*Paramètres!$E$22*$AG210*$AJ210,Paramètres!$F$22),0)</f>
        <v>14</v>
      </c>
      <c r="M210" s="19" t="n">
        <f aca="false" t="array" ref="M210:M210">IF(AND(INDEX(Profils!$G$5:$G$34,$AE210)&gt;0,INDEX(Profils!$V$5:$V$34,$AE210)&lt;=$AH210),ROUND(INDEX(Profils!$G$5:$G$34,$AE210)*Paramètres!$E$23*$AG210*$AJ210,Paramètres!$F$23),0)</f>
        <v>0</v>
      </c>
      <c r="N210" s="19" t="n">
        <f aca="false" t="array" ref="N210:N210">IF(AND(INDEX(Profils!$H$5:$H$34,$AE210)&gt;0,INDEX(Profils!$W$5:$W$34,$AE210)&lt;=$AH210),ROUND(INDEX(Profils!$H$5:$H$34,$AE210)*Paramètres!$E$24*$AG210*$AJ210,Paramètres!$F$24),0)</f>
        <v>7</v>
      </c>
      <c r="O210" s="19" t="n">
        <f aca="false" t="array" ref="O210:O210">IF(AND(INDEX(Profils!$I$5:$I$34,$AE210)&gt;0,INDEX(Profils!$X$5:$X$34,$AE210)&lt;=$AH210),ROUND(INDEX(Profils!$I$5:$I$34,$AE210)*Paramètres!$E$25*$AG210*$AJ210,Paramètres!$F$25),0)</f>
        <v>0</v>
      </c>
      <c r="P210" s="19" t="n">
        <f aca="false" t="array" ref="P210:P210">IF(AND(INDEX(Profils!$J$5:$J$34,$AE210)&gt;0,INDEX(Profils!$Y$5:$Y$34,$AE210)&lt;=$AH210),ROUND(INDEX(Profils!$J$5:$J$34,$AE210)*Paramètres!$E$26*$AG210*$AJ210,Paramètres!$F$26),0)</f>
        <v>0</v>
      </c>
      <c r="Q210" s="19" t="n">
        <f aca="false" t="array" ref="Q210:Q210">IF(AND(INDEX(Profils!$K$5:$K$34,$AE210)&gt;0,INDEX(Profils!$Z$5:$Z$34,$AE210)&lt;=$AH210),ROUND(INDEX(Profils!$K$5:$K$34,$AE210)*Paramètres!$E$27*$AG210*$AJ210,Paramètres!$F$27),0)</f>
        <v>0</v>
      </c>
      <c r="R210" s="20" t="n">
        <f aca="false" t="array" ref="R210:R210">IF(AND(INDEX(Profils!$L$5:$L$34,$AE210)&gt;0,INDEX(Profils!$AA$5:$AA$34,$AE210)&lt;=$AH210),ROUND(INDEX(Profils!$L$5:$L$34,$AE210)*Paramètres!$E$28*$AG210*$AJ210,Paramètres!$F$28),0)</f>
        <v>0</v>
      </c>
      <c r="S210" s="20" t="n">
        <f aca="false" t="array" ref="S210:S210">IF(AND(INDEX(Profils!$M$5:$M$34,$AE210)&gt;0,INDEX(Profils!$AB$5:$AB$34,$AE210)&lt;=$AH210),ROUND(INDEX(Profils!$M$5:$M$34,$AE210)*Paramètres!$E$29*$AG210*$AJ210,Paramètres!$F$29),0)</f>
        <v>0</v>
      </c>
      <c r="T210" s="20" t="n">
        <f aca="false" t="array" ref="T210:T210">IF(AND(INDEX(Profils!$N$5:$N$34,$AE210)&gt;0,INDEX(Profils!$AC$5:$AC$34,$AE210)&lt;=$AH210),ROUND(INDEX(Profils!$N$5:$N$34,$AE210)*Paramètres!$E$30*$AG210*$AJ210,Paramètres!$F$30),0)</f>
        <v>0</v>
      </c>
      <c r="U210" s="19" t="n">
        <f aca="false" t="array" ref="U210:U210">IF(AND(INDEX(Profils!$O$5:$O$34,$AE210)&gt;0,INDEX(Profils!$AD$5:$AD$34,$AE210)&lt;=$AH210),ROUND(INDEX(Profils!$O$5:$O$34,$AE210)*Paramètres!$E$31*$AG210*$AJ210,Paramètres!$F$31),0)</f>
        <v>0</v>
      </c>
      <c r="V210" s="20" t="n">
        <f aca="false" t="array" ref="V210:V210">IF(AND(INDEX(Profils!$P$5:$P$34,$AE210)&gt;0,INDEX(Profils!$AE$5:$AE$34,$AE210)&lt;=$AH210),ROUND(INDEX(Profils!$P$5:$P$34,$AE210)*Paramètres!$E$32*$AG210*$AJ210,Paramètres!$F$32),0)</f>
        <v>0</v>
      </c>
      <c r="W210" s="20" t="n">
        <f aca="false" t="array" ref="W210:W210">IF(AND(INDEX(Profils!$Q$5:$Q$34,$AE210)&gt;0,INDEX(Profils!$AF$5:$AF$34,$AE210)&lt;=$AH210),ROUND(INDEX(Profils!$Q$5:$Q$34,$AE210)*Paramètres!$E$33*$AG210*$AJ210,Paramètres!$F$33),0)</f>
        <v>0</v>
      </c>
      <c r="X210" s="20" t="n">
        <f aca="false" t="array" ref="X210:X210">IF(AND(INDEX(Profils!$R$5:$R$34,$AE210)&gt;0,INDEX(Profils!$AG$5:$AG$34,$AE210)&lt;=$AH210),ROUND(INDEX(Profils!$R$5:$R$34,$AE210)*Paramètres!$E$34*$AG210*$AJ210,Paramètres!$F$34),0)</f>
        <v>0</v>
      </c>
      <c r="Y210" s="20" t="n">
        <f aca="false" t="array" ref="Y210:Y210">IF(AND(INDEX(Profils!$S$5:$S$34,$AE210)&gt;0,INDEX(Profils!$AH$5:$AH$34,$AE210)&lt;=$AH210),ROUND(INDEX(Profils!$S$5:$S$34,$AE210)*Paramètres!$E$35*$AG210*$AJ210,Paramètres!$F$35),0)</f>
        <v>0</v>
      </c>
      <c r="Z210" s="21" t="n">
        <f aca="false">ROUND(L210/Paramètres!$E$22+M210/Paramètres!$E$23+N210/Paramètres!$E$24+O210/Paramètres!$E$25+P210/Paramètres!$E$26+Q210/Paramètres!$E$27+R210/Paramètres!$E$28+S210/Paramètres!$E$29+T210/Paramètres!$E$30+U210/Paramètres!$E$31+V210/Paramètres!$E$32+W210/Paramètres!$E$33+X210/Paramètres!$E$34+Y210/Paramètres!$E$35,1)</f>
        <v>1</v>
      </c>
      <c r="AA210" s="22" t="s">
        <v>109</v>
      </c>
      <c r="AB210" s="22" t="s">
        <v>109</v>
      </c>
      <c r="AC210" s="15" t="str">
        <f aca="false">$E210</f>
        <v>platine</v>
      </c>
      <c r="AD210" s="16" t="n">
        <f aca="false" t="array" ref="AD210:AD210">IF($I210&gt;=$AI210,"Max",ROUND(Paramètres!$B$40*($I210+1)^Paramètres!$B$41*INDEX(Paramètres!$H$6:$H$12,$AF210),0))</f>
        <v>3</v>
      </c>
      <c r="AE210" s="23" t="n">
        <f aca="false">MATCH($B210&amp;"|"&amp;$C210,Profils!$A$5:$A$34,0)</f>
        <v>7</v>
      </c>
      <c r="AF210" s="23" t="n">
        <v>1</v>
      </c>
      <c r="AG210" s="24" t="n">
        <f aca="false" t="array" ref="AG210:AG210">INDEX(Paramètres!$C$6:$C$12,$AF210)</f>
        <v>1</v>
      </c>
      <c r="AH210" s="23" t="n">
        <f aca="false" t="array" ref="AH210:AH210">INDEX(Paramètres!$D$6:$D$12,$AF210)</f>
        <v>2</v>
      </c>
      <c r="AI210" s="23" t="n">
        <f aca="false" t="array" ref="AI210:AI210">INDEX(Matériaux!$C$16:$C$20,$D210)</f>
        <v>25</v>
      </c>
      <c r="AJ210" s="25" t="n">
        <f aca="false">Paramètres!$B$16+(1-Paramètres!$B$16)*(($J210-Paramètres!$B$14)/(Paramètres!$B$15-Paramètres!$B$14))^Paramètres!$B$17</f>
        <v>0.458504333336152</v>
      </c>
    </row>
    <row r="211" customFormat="false" ht="15.75" hidden="false" customHeight="true" outlineLevel="0" collapsed="false">
      <c r="A211" s="14" t="s">
        <v>324</v>
      </c>
      <c r="B211" s="15" t="s">
        <v>27</v>
      </c>
      <c r="C211" s="15" t="s">
        <v>305</v>
      </c>
      <c r="D211" s="16" t="n">
        <v>4</v>
      </c>
      <c r="E211" s="15" t="str">
        <f aca="false" t="array" ref="E211:E211">INDEX(Matériaux!$B$5:$F$12,MATCH(INDEX(Profils!$E$5:$E$34,$AE211),Matériaux!$A$5:$A$12,0),$D211)</f>
        <v>platine</v>
      </c>
      <c r="F211" s="26" t="s">
        <v>111</v>
      </c>
      <c r="G211" s="10" t="str">
        <f aca="false" t="array" ref="G211:G211">INDEX(Profils!$D$5:$D$34,$AE211)&amp;" en "&amp;$E211</f>
        <v>Chevalière en platine</v>
      </c>
      <c r="H211" s="16" t="n">
        <f aca="false" t="array" ref="H211:H211">INDEX(Matériaux!$B$16:$B$20,$D211)</f>
        <v>50</v>
      </c>
      <c r="I211" s="16" t="n">
        <f aca="false">IF(ISNUMBER($C$3),MIN(MAX(0,ROUND($C$3,0)),$AI211),$AI211)</f>
        <v>0</v>
      </c>
      <c r="J211" s="18" t="n">
        <f aca="false">$H211+$I211</f>
        <v>50</v>
      </c>
      <c r="K211" s="15" t="s">
        <v>109</v>
      </c>
      <c r="L211" s="19" t="n">
        <f aca="false" t="array" ref="L211:L211">IF(AND(INDEX(Profils!$F$5:$F$34,$AE211)&gt;0,INDEX(Profils!$U$5:$U$34,$AE211)&lt;=$AH211),ROUND(INDEX(Profils!$F$5:$F$34,$AE211)*Paramètres!$E$22*$AG211*$AJ211,Paramètres!$F$22),0)</f>
        <v>17</v>
      </c>
      <c r="M211" s="19" t="n">
        <f aca="false" t="array" ref="M211:M211">IF(AND(INDEX(Profils!$G$5:$G$34,$AE211)&gt;0,INDEX(Profils!$V$5:$V$34,$AE211)&lt;=$AH211),ROUND(INDEX(Profils!$G$5:$G$34,$AE211)*Paramètres!$E$23*$AG211*$AJ211,Paramètres!$F$23),0)</f>
        <v>0</v>
      </c>
      <c r="N211" s="19" t="n">
        <f aca="false" t="array" ref="N211:N211">IF(AND(INDEX(Profils!$H$5:$H$34,$AE211)&gt;0,INDEX(Profils!$W$5:$W$34,$AE211)&lt;=$AH211),ROUND(INDEX(Profils!$H$5:$H$34,$AE211)*Paramètres!$E$24*$AG211*$AJ211,Paramètres!$F$24),0)</f>
        <v>8</v>
      </c>
      <c r="O211" s="19" t="n">
        <f aca="false" t="array" ref="O211:O211">IF(AND(INDEX(Profils!$I$5:$I$34,$AE211)&gt;0,INDEX(Profils!$X$5:$X$34,$AE211)&lt;=$AH211),ROUND(INDEX(Profils!$I$5:$I$34,$AE211)*Paramètres!$E$25*$AG211*$AJ211,Paramètres!$F$25),0)</f>
        <v>0</v>
      </c>
      <c r="P211" s="19" t="n">
        <f aca="false" t="array" ref="P211:P211">IF(AND(INDEX(Profils!$J$5:$J$34,$AE211)&gt;0,INDEX(Profils!$Y$5:$Y$34,$AE211)&lt;=$AH211),ROUND(INDEX(Profils!$J$5:$J$34,$AE211)*Paramètres!$E$26*$AG211*$AJ211,Paramètres!$F$26),0)</f>
        <v>0</v>
      </c>
      <c r="Q211" s="19" t="n">
        <f aca="false" t="array" ref="Q211:Q211">IF(AND(INDEX(Profils!$K$5:$K$34,$AE211)&gt;0,INDEX(Profils!$Z$5:$Z$34,$AE211)&lt;=$AH211),ROUND(INDEX(Profils!$K$5:$K$34,$AE211)*Paramètres!$E$27*$AG211*$AJ211,Paramètres!$F$27),0)</f>
        <v>0</v>
      </c>
      <c r="R211" s="20" t="n">
        <f aca="false" t="array" ref="R211:R211">IF(AND(INDEX(Profils!$L$5:$L$34,$AE211)&gt;0,INDEX(Profils!$AA$5:$AA$34,$AE211)&lt;=$AH211),ROUND(INDEX(Profils!$L$5:$L$34,$AE211)*Paramètres!$E$28*$AG211*$AJ211,Paramètres!$F$28),0)</f>
        <v>0</v>
      </c>
      <c r="S211" s="20" t="n">
        <f aca="false" t="array" ref="S211:S211">IF(AND(INDEX(Profils!$M$5:$M$34,$AE211)&gt;0,INDEX(Profils!$AB$5:$AB$34,$AE211)&lt;=$AH211),ROUND(INDEX(Profils!$M$5:$M$34,$AE211)*Paramètres!$E$29*$AG211*$AJ211,Paramètres!$F$29),0)</f>
        <v>0</v>
      </c>
      <c r="T211" s="20" t="n">
        <f aca="false" t="array" ref="T211:T211">IF(AND(INDEX(Profils!$N$5:$N$34,$AE211)&gt;0,INDEX(Profils!$AC$5:$AC$34,$AE211)&lt;=$AH211),ROUND(INDEX(Profils!$N$5:$N$34,$AE211)*Paramètres!$E$30*$AG211*$AJ211,Paramètres!$F$30),0)</f>
        <v>0</v>
      </c>
      <c r="U211" s="19" t="n">
        <f aca="false" t="array" ref="U211:U211">IF(AND(INDEX(Profils!$O$5:$O$34,$AE211)&gt;0,INDEX(Profils!$AD$5:$AD$34,$AE211)&lt;=$AH211),ROUND(INDEX(Profils!$O$5:$O$34,$AE211)*Paramètres!$E$31*$AG211*$AJ211,Paramètres!$F$31),0)</f>
        <v>0</v>
      </c>
      <c r="V211" s="20" t="n">
        <f aca="false" t="array" ref="V211:V211">IF(AND(INDEX(Profils!$P$5:$P$34,$AE211)&gt;0,INDEX(Profils!$AE$5:$AE$34,$AE211)&lt;=$AH211),ROUND(INDEX(Profils!$P$5:$P$34,$AE211)*Paramètres!$E$32*$AG211*$AJ211,Paramètres!$F$32),0)</f>
        <v>0</v>
      </c>
      <c r="W211" s="20" t="n">
        <f aca="false" t="array" ref="W211:W211">IF(AND(INDEX(Profils!$Q$5:$Q$34,$AE211)&gt;0,INDEX(Profils!$AF$5:$AF$34,$AE211)&lt;=$AH211),ROUND(INDEX(Profils!$Q$5:$Q$34,$AE211)*Paramètres!$E$33*$AG211*$AJ211,Paramètres!$F$33),0)</f>
        <v>0.007</v>
      </c>
      <c r="X211" s="20" t="n">
        <f aca="false" t="array" ref="X211:X211">IF(AND(INDEX(Profils!$R$5:$R$34,$AE211)&gt;0,INDEX(Profils!$AG$5:$AG$34,$AE211)&lt;=$AH211),ROUND(INDEX(Profils!$R$5:$R$34,$AE211)*Paramètres!$E$34*$AG211*$AJ211,Paramètres!$F$34),0)</f>
        <v>0</v>
      </c>
      <c r="Y211" s="20" t="n">
        <f aca="false" t="array" ref="Y211:Y211">IF(AND(INDEX(Profils!$S$5:$S$34,$AE211)&gt;0,INDEX(Profils!$AH$5:$AH$34,$AE211)&lt;=$AH211),ROUND(INDEX(Profils!$S$5:$S$34,$AE211)*Paramètres!$E$35*$AG211*$AJ211,Paramètres!$F$35),0)</f>
        <v>0</v>
      </c>
      <c r="Z211" s="21" t="n">
        <f aca="false">ROUND(L211/Paramètres!$E$22+M211/Paramètres!$E$23+N211/Paramètres!$E$24+O211/Paramètres!$E$25+P211/Paramètres!$E$26+Q211/Paramètres!$E$27+R211/Paramètres!$E$28+S211/Paramètres!$E$29+T211/Paramètres!$E$30+U211/Paramètres!$E$31+V211/Paramètres!$E$32+W211/Paramètres!$E$33+X211/Paramètres!$E$34+Y211/Paramètres!$E$35,1)</f>
        <v>1.7</v>
      </c>
      <c r="AA211" s="22" t="s">
        <v>109</v>
      </c>
      <c r="AB211" s="22" t="s">
        <v>109</v>
      </c>
      <c r="AC211" s="15" t="str">
        <f aca="false">$E211</f>
        <v>platine</v>
      </c>
      <c r="AD211" s="16" t="n">
        <f aca="false" t="array" ref="AD211:AD211">IF($I211&gt;=$AI211,"Max",ROUND(Paramètres!$B$40*($I211+1)^Paramètres!$B$41*INDEX(Paramètres!$H$6:$H$12,$AF211),0))</f>
        <v>4</v>
      </c>
      <c r="AE211" s="23" t="n">
        <f aca="false">MATCH($B211&amp;"|"&amp;$C211,Profils!$A$5:$A$34,0)</f>
        <v>7</v>
      </c>
      <c r="AF211" s="23" t="n">
        <v>2</v>
      </c>
      <c r="AG211" s="24" t="n">
        <f aca="false" t="array" ref="AG211:AG211">INDEX(Paramètres!$C$6:$C$12,$AF211)</f>
        <v>1.2</v>
      </c>
      <c r="AH211" s="23" t="n">
        <f aca="false" t="array" ref="AH211:AH211">INDEX(Paramètres!$D$6:$D$12,$AF211)</f>
        <v>3</v>
      </c>
      <c r="AI211" s="23" t="n">
        <f aca="false" t="array" ref="AI211:AI211">INDEX(Matériaux!$C$16:$C$20,$D211)</f>
        <v>25</v>
      </c>
      <c r="AJ211" s="25" t="n">
        <f aca="false">Paramètres!$B$16+(1-Paramètres!$B$16)*(($J211-Paramètres!$B$14)/(Paramètres!$B$15-Paramètres!$B$14))^Paramètres!$B$17</f>
        <v>0.458504333336152</v>
      </c>
    </row>
    <row r="212" customFormat="false" ht="15.75" hidden="false" customHeight="true" outlineLevel="0" collapsed="false">
      <c r="A212" s="14" t="s">
        <v>325</v>
      </c>
      <c r="B212" s="15" t="s">
        <v>27</v>
      </c>
      <c r="C212" s="15" t="s">
        <v>305</v>
      </c>
      <c r="D212" s="16" t="n">
        <v>4</v>
      </c>
      <c r="E212" s="15" t="str">
        <f aca="false" t="array" ref="E212:E212">INDEX(Matériaux!$B$5:$F$12,MATCH(INDEX(Profils!$E$5:$E$34,$AE212),Matériaux!$A$5:$A$12,0),$D212)</f>
        <v>platine</v>
      </c>
      <c r="F212" s="27" t="s">
        <v>113</v>
      </c>
      <c r="G212" s="10" t="str">
        <f aca="false" t="array" ref="G212:G212">INDEX(Profils!$D$5:$D$34,$AE212)&amp;" en "&amp;$E212</f>
        <v>Chevalière en platine</v>
      </c>
      <c r="H212" s="16" t="n">
        <f aca="false" t="array" ref="H212:H212">INDEX(Matériaux!$B$16:$B$20,$D212)</f>
        <v>50</v>
      </c>
      <c r="I212" s="16" t="n">
        <f aca="false">IF(ISNUMBER($C$3),MIN(MAX(0,ROUND($C$3,0)),$AI212),$AI212)</f>
        <v>0</v>
      </c>
      <c r="J212" s="18" t="n">
        <f aca="false">$H212+$I212</f>
        <v>50</v>
      </c>
      <c r="K212" s="15" t="s">
        <v>109</v>
      </c>
      <c r="L212" s="19" t="n">
        <f aca="false" t="array" ref="L212:L212">IF(AND(INDEX(Profils!$F$5:$F$34,$AE212)&gt;0,INDEX(Profils!$U$5:$U$34,$AE212)&lt;=$AH212),ROUND(INDEX(Profils!$F$5:$F$34,$AE212)*Paramètres!$E$22*$AG212*$AJ212,Paramètres!$F$22),0)</f>
        <v>20</v>
      </c>
      <c r="M212" s="19" t="n">
        <f aca="false" t="array" ref="M212:M212">IF(AND(INDEX(Profils!$G$5:$G$34,$AE212)&gt;0,INDEX(Profils!$V$5:$V$34,$AE212)&lt;=$AH212),ROUND(INDEX(Profils!$G$5:$G$34,$AE212)*Paramètres!$E$23*$AG212*$AJ212,Paramètres!$F$23),0)</f>
        <v>0</v>
      </c>
      <c r="N212" s="19" t="n">
        <f aca="false" t="array" ref="N212:N212">IF(AND(INDEX(Profils!$H$5:$H$34,$AE212)&gt;0,INDEX(Profils!$W$5:$W$34,$AE212)&lt;=$AH212),ROUND(INDEX(Profils!$H$5:$H$34,$AE212)*Paramètres!$E$24*$AG212*$AJ212,Paramètres!$F$24),0)</f>
        <v>10</v>
      </c>
      <c r="O212" s="19" t="n">
        <f aca="false" t="array" ref="O212:O212">IF(AND(INDEX(Profils!$I$5:$I$34,$AE212)&gt;0,INDEX(Profils!$X$5:$X$34,$AE212)&lt;=$AH212),ROUND(INDEX(Profils!$I$5:$I$34,$AE212)*Paramètres!$E$25*$AG212*$AJ212,Paramètres!$F$25),0)</f>
        <v>0</v>
      </c>
      <c r="P212" s="19" t="n">
        <f aca="false" t="array" ref="P212:P212">IF(AND(INDEX(Profils!$J$5:$J$34,$AE212)&gt;0,INDEX(Profils!$Y$5:$Y$34,$AE212)&lt;=$AH212),ROUND(INDEX(Profils!$J$5:$J$34,$AE212)*Paramètres!$E$26*$AG212*$AJ212,Paramètres!$F$26),0)</f>
        <v>0</v>
      </c>
      <c r="Q212" s="19" t="n">
        <f aca="false" t="array" ref="Q212:Q212">IF(AND(INDEX(Profils!$K$5:$K$34,$AE212)&gt;0,INDEX(Profils!$Z$5:$Z$34,$AE212)&lt;=$AH212),ROUND(INDEX(Profils!$K$5:$K$34,$AE212)*Paramètres!$E$27*$AG212*$AJ212,Paramètres!$F$27),0)</f>
        <v>0</v>
      </c>
      <c r="R212" s="20" t="n">
        <f aca="false" t="array" ref="R212:R212">IF(AND(INDEX(Profils!$L$5:$L$34,$AE212)&gt;0,INDEX(Profils!$AA$5:$AA$34,$AE212)&lt;=$AH212),ROUND(INDEX(Profils!$L$5:$L$34,$AE212)*Paramètres!$E$28*$AG212*$AJ212,Paramètres!$F$28),0)</f>
        <v>0</v>
      </c>
      <c r="S212" s="20" t="n">
        <f aca="false" t="array" ref="S212:S212">IF(AND(INDEX(Profils!$M$5:$M$34,$AE212)&gt;0,INDEX(Profils!$AB$5:$AB$34,$AE212)&lt;=$AH212),ROUND(INDEX(Profils!$M$5:$M$34,$AE212)*Paramètres!$E$29*$AG212*$AJ212,Paramètres!$F$29),0)</f>
        <v>0</v>
      </c>
      <c r="T212" s="20" t="n">
        <f aca="false" t="array" ref="T212:T212">IF(AND(INDEX(Profils!$N$5:$N$34,$AE212)&gt;0,INDEX(Profils!$AC$5:$AC$34,$AE212)&lt;=$AH212),ROUND(INDEX(Profils!$N$5:$N$34,$AE212)*Paramètres!$E$30*$AG212*$AJ212,Paramètres!$F$30),0)</f>
        <v>0</v>
      </c>
      <c r="U212" s="19" t="n">
        <f aca="false" t="array" ref="U212:U212">IF(AND(INDEX(Profils!$O$5:$O$34,$AE212)&gt;0,INDEX(Profils!$AD$5:$AD$34,$AE212)&lt;=$AH212),ROUND(INDEX(Profils!$O$5:$O$34,$AE212)*Paramètres!$E$31*$AG212*$AJ212,Paramètres!$F$31),0)</f>
        <v>0</v>
      </c>
      <c r="V212" s="20" t="n">
        <f aca="false" t="array" ref="V212:V212">IF(AND(INDEX(Profils!$P$5:$P$34,$AE212)&gt;0,INDEX(Profils!$AE$5:$AE$34,$AE212)&lt;=$AH212),ROUND(INDEX(Profils!$P$5:$P$34,$AE212)*Paramètres!$E$32*$AG212*$AJ212,Paramètres!$F$32),0)</f>
        <v>0</v>
      </c>
      <c r="W212" s="20" t="n">
        <f aca="false" t="array" ref="W212:W212">IF(AND(INDEX(Profils!$Q$5:$Q$34,$AE212)&gt;0,INDEX(Profils!$AF$5:$AF$34,$AE212)&lt;=$AH212),ROUND(INDEX(Profils!$Q$5:$Q$34,$AE212)*Paramètres!$E$33*$AG212*$AJ212,Paramètres!$F$33),0)</f>
        <v>0.009</v>
      </c>
      <c r="X212" s="20" t="n">
        <f aca="false" t="array" ref="X212:X212">IF(AND(INDEX(Profils!$R$5:$R$34,$AE212)&gt;0,INDEX(Profils!$AG$5:$AG$34,$AE212)&lt;=$AH212),ROUND(INDEX(Profils!$R$5:$R$34,$AE212)*Paramètres!$E$34*$AG212*$AJ212,Paramètres!$F$34),0)</f>
        <v>0</v>
      </c>
      <c r="Y212" s="20" t="n">
        <f aca="false" t="array" ref="Y212:Y212">IF(AND(INDEX(Profils!$S$5:$S$34,$AE212)&gt;0,INDEX(Profils!$AH$5:$AH$34,$AE212)&lt;=$AH212),ROUND(INDEX(Profils!$S$5:$S$34,$AE212)*Paramètres!$E$35*$AG212*$AJ212,Paramètres!$F$35),0)</f>
        <v>0.009</v>
      </c>
      <c r="Z212" s="21" t="n">
        <f aca="false">ROUND(L212/Paramètres!$E$22+M212/Paramètres!$E$23+N212/Paramètres!$E$24+O212/Paramètres!$E$25+P212/Paramètres!$E$26+Q212/Paramètres!$E$27+R212/Paramètres!$E$28+S212/Paramètres!$E$29+T212/Paramètres!$E$30+U212/Paramètres!$E$31+V212/Paramètres!$E$32+W212/Paramètres!$E$33+X212/Paramètres!$E$34+Y212/Paramètres!$E$35,1)</f>
        <v>2.7</v>
      </c>
      <c r="AA212" s="22" t="s">
        <v>109</v>
      </c>
      <c r="AB212" s="22" t="s">
        <v>109</v>
      </c>
      <c r="AC212" s="15" t="str">
        <f aca="false">$E212</f>
        <v>platine</v>
      </c>
      <c r="AD212" s="16" t="n">
        <f aca="false" t="array" ref="AD212:AD212">IF($I212&gt;=$AI212,"Max",ROUND(Paramètres!$B$40*($I212+1)^Paramètres!$B$41*INDEX(Paramètres!$H$6:$H$12,$AF212),0))</f>
        <v>4</v>
      </c>
      <c r="AE212" s="23" t="n">
        <f aca="false">MATCH($B212&amp;"|"&amp;$C212,Profils!$A$5:$A$34,0)</f>
        <v>7</v>
      </c>
      <c r="AF212" s="23" t="n">
        <v>3</v>
      </c>
      <c r="AG212" s="24" t="n">
        <f aca="false" t="array" ref="AG212:AG212">INDEX(Paramètres!$C$6:$C$12,$AF212)</f>
        <v>1.45</v>
      </c>
      <c r="AH212" s="23" t="n">
        <f aca="false" t="array" ref="AH212:AH212">INDEX(Paramètres!$D$6:$D$12,$AF212)</f>
        <v>4</v>
      </c>
      <c r="AI212" s="23" t="n">
        <f aca="false" t="array" ref="AI212:AI212">INDEX(Matériaux!$C$16:$C$20,$D212)</f>
        <v>25</v>
      </c>
      <c r="AJ212" s="25" t="n">
        <f aca="false">Paramètres!$B$16+(1-Paramètres!$B$16)*(($J212-Paramètres!$B$14)/(Paramètres!$B$15-Paramètres!$B$14))^Paramètres!$B$17</f>
        <v>0.458504333336152</v>
      </c>
    </row>
    <row r="213" customFormat="false" ht="15.75" hidden="false" customHeight="true" outlineLevel="0" collapsed="false">
      <c r="A213" s="14" t="s">
        <v>326</v>
      </c>
      <c r="B213" s="15" t="s">
        <v>27</v>
      </c>
      <c r="C213" s="15" t="s">
        <v>305</v>
      </c>
      <c r="D213" s="16" t="n">
        <v>4</v>
      </c>
      <c r="E213" s="15" t="str">
        <f aca="false" t="array" ref="E213:E213">INDEX(Matériaux!$B$5:$F$12,MATCH(INDEX(Profils!$E$5:$E$34,$AE213),Matériaux!$A$5:$A$12,0),$D213)</f>
        <v>platine</v>
      </c>
      <c r="F213" s="28" t="s">
        <v>115</v>
      </c>
      <c r="G213" s="10" t="str">
        <f aca="false" t="array" ref="G213:G213">INDEX(Profils!$D$5:$D$34,$AE213)&amp;" en "&amp;$E213</f>
        <v>Chevalière en platine</v>
      </c>
      <c r="H213" s="16" t="n">
        <f aca="false" t="array" ref="H213:H213">INDEX(Matériaux!$B$16:$B$20,$D213)</f>
        <v>50</v>
      </c>
      <c r="I213" s="16" t="n">
        <f aca="false">IF(ISNUMBER($C$3),MIN(MAX(0,ROUND($C$3,0)),$AI213),$AI213)</f>
        <v>0</v>
      </c>
      <c r="J213" s="18" t="n">
        <f aca="false">$H213+$I213</f>
        <v>50</v>
      </c>
      <c r="K213" s="15" t="s">
        <v>109</v>
      </c>
      <c r="L213" s="19" t="n">
        <f aca="false" t="array" ref="L213:L213">IF(AND(INDEX(Profils!$F$5:$F$34,$AE213)&gt;0,INDEX(Profils!$U$5:$U$34,$AE213)&lt;=$AH213),ROUND(INDEX(Profils!$F$5:$F$34,$AE213)*Paramètres!$E$22*$AG213*$AJ213,Paramètres!$F$22),0)</f>
        <v>24</v>
      </c>
      <c r="M213" s="19" t="n">
        <f aca="false" t="array" ref="M213:M213">IF(AND(INDEX(Profils!$G$5:$G$34,$AE213)&gt;0,INDEX(Profils!$V$5:$V$34,$AE213)&lt;=$AH213),ROUND(INDEX(Profils!$G$5:$G$34,$AE213)*Paramètres!$E$23*$AG213*$AJ213,Paramètres!$F$23),0)</f>
        <v>0</v>
      </c>
      <c r="N213" s="19" t="n">
        <f aca="false" t="array" ref="N213:N213">IF(AND(INDEX(Profils!$H$5:$H$34,$AE213)&gt;0,INDEX(Profils!$W$5:$W$34,$AE213)&lt;=$AH213),ROUND(INDEX(Profils!$H$5:$H$34,$AE213)*Paramètres!$E$24*$AG213*$AJ213,Paramètres!$F$24),0)</f>
        <v>12</v>
      </c>
      <c r="O213" s="19" t="n">
        <f aca="false" t="array" ref="O213:O213">IF(AND(INDEX(Profils!$I$5:$I$34,$AE213)&gt;0,INDEX(Profils!$X$5:$X$34,$AE213)&lt;=$AH213),ROUND(INDEX(Profils!$I$5:$I$34,$AE213)*Paramètres!$E$25*$AG213*$AJ213,Paramètres!$F$25),0)</f>
        <v>0</v>
      </c>
      <c r="P213" s="19" t="n">
        <f aca="false" t="array" ref="P213:P213">IF(AND(INDEX(Profils!$J$5:$J$34,$AE213)&gt;0,INDEX(Profils!$Y$5:$Y$34,$AE213)&lt;=$AH213),ROUND(INDEX(Profils!$J$5:$J$34,$AE213)*Paramètres!$E$26*$AG213*$AJ213,Paramètres!$F$26),0)</f>
        <v>0</v>
      </c>
      <c r="Q213" s="19" t="n">
        <f aca="false" t="array" ref="Q213:Q213">IF(AND(INDEX(Profils!$K$5:$K$34,$AE213)&gt;0,INDEX(Profils!$Z$5:$Z$34,$AE213)&lt;=$AH213),ROUND(INDEX(Profils!$K$5:$K$34,$AE213)*Paramètres!$E$27*$AG213*$AJ213,Paramètres!$F$27),0)</f>
        <v>6</v>
      </c>
      <c r="R213" s="20" t="n">
        <f aca="false" t="array" ref="R213:R213">IF(AND(INDEX(Profils!$L$5:$L$34,$AE213)&gt;0,INDEX(Profils!$AA$5:$AA$34,$AE213)&lt;=$AH213),ROUND(INDEX(Profils!$L$5:$L$34,$AE213)*Paramètres!$E$28*$AG213*$AJ213,Paramètres!$F$28),0)</f>
        <v>0</v>
      </c>
      <c r="S213" s="20" t="n">
        <f aca="false" t="array" ref="S213:S213">IF(AND(INDEX(Profils!$M$5:$M$34,$AE213)&gt;0,INDEX(Profils!$AB$5:$AB$34,$AE213)&lt;=$AH213),ROUND(INDEX(Profils!$M$5:$M$34,$AE213)*Paramètres!$E$29*$AG213*$AJ213,Paramètres!$F$29),0)</f>
        <v>0</v>
      </c>
      <c r="T213" s="20" t="n">
        <f aca="false" t="array" ref="T213:T213">IF(AND(INDEX(Profils!$N$5:$N$34,$AE213)&gt;0,INDEX(Profils!$AC$5:$AC$34,$AE213)&lt;=$AH213),ROUND(INDEX(Profils!$N$5:$N$34,$AE213)*Paramètres!$E$30*$AG213*$AJ213,Paramètres!$F$30),0)</f>
        <v>0</v>
      </c>
      <c r="U213" s="19" t="n">
        <f aca="false" t="array" ref="U213:U213">IF(AND(INDEX(Profils!$O$5:$O$34,$AE213)&gt;0,INDEX(Profils!$AD$5:$AD$34,$AE213)&lt;=$AH213),ROUND(INDEX(Profils!$O$5:$O$34,$AE213)*Paramètres!$E$31*$AG213*$AJ213,Paramètres!$F$31),0)</f>
        <v>0</v>
      </c>
      <c r="V213" s="20" t="n">
        <f aca="false" t="array" ref="V213:V213">IF(AND(INDEX(Profils!$P$5:$P$34,$AE213)&gt;0,INDEX(Profils!$AE$5:$AE$34,$AE213)&lt;=$AH213),ROUND(INDEX(Profils!$P$5:$P$34,$AE213)*Paramètres!$E$32*$AG213*$AJ213,Paramètres!$F$32),0)</f>
        <v>0</v>
      </c>
      <c r="W213" s="20" t="n">
        <f aca="false" t="array" ref="W213:W213">IF(AND(INDEX(Profils!$Q$5:$Q$34,$AE213)&gt;0,INDEX(Profils!$AF$5:$AF$34,$AE213)&lt;=$AH213),ROUND(INDEX(Profils!$Q$5:$Q$34,$AE213)*Paramètres!$E$33*$AG213*$AJ213,Paramètres!$F$33),0)</f>
        <v>0.011</v>
      </c>
      <c r="X213" s="20" t="n">
        <f aca="false" t="array" ref="X213:X213">IF(AND(INDEX(Profils!$R$5:$R$34,$AE213)&gt;0,INDEX(Profils!$AG$5:$AG$34,$AE213)&lt;=$AH213),ROUND(INDEX(Profils!$R$5:$R$34,$AE213)*Paramètres!$E$34*$AG213*$AJ213,Paramètres!$F$34),0)</f>
        <v>0</v>
      </c>
      <c r="Y213" s="20" t="n">
        <f aca="false" t="array" ref="Y213:Y213">IF(AND(INDEX(Profils!$S$5:$S$34,$AE213)&gt;0,INDEX(Profils!$AH$5:$AH$34,$AE213)&lt;=$AH213),ROUND(INDEX(Profils!$S$5:$S$34,$AE213)*Paramètres!$E$35*$AG213*$AJ213,Paramètres!$F$35),0)</f>
        <v>0.011</v>
      </c>
      <c r="Z213" s="21" t="n">
        <f aca="false">ROUND(L213/Paramètres!$E$22+M213/Paramètres!$E$23+N213/Paramètres!$E$24+O213/Paramètres!$E$25+P213/Paramètres!$E$26+Q213/Paramètres!$E$27+R213/Paramètres!$E$28+S213/Paramètres!$E$29+T213/Paramètres!$E$30+U213/Paramètres!$E$31+V213/Paramètres!$E$32+W213/Paramètres!$E$33+X213/Paramètres!$E$34+Y213/Paramètres!$E$35,1)</f>
        <v>3.8</v>
      </c>
      <c r="AA213" s="22" t="s">
        <v>109</v>
      </c>
      <c r="AB213" s="22" t="s">
        <v>109</v>
      </c>
      <c r="AC213" s="15" t="str">
        <f aca="false">$E213</f>
        <v>platine</v>
      </c>
      <c r="AD213" s="16" t="n">
        <f aca="false" t="array" ref="AD213:AD213">IF($I213&gt;=$AI213,"Max",ROUND(Paramètres!$B$40*($I213+1)^Paramètres!$B$41*INDEX(Paramètres!$H$6:$H$12,$AF213),0))</f>
        <v>5</v>
      </c>
      <c r="AE213" s="23" t="n">
        <f aca="false">MATCH($B213&amp;"|"&amp;$C213,Profils!$A$5:$A$34,0)</f>
        <v>7</v>
      </c>
      <c r="AF213" s="23" t="n">
        <v>4</v>
      </c>
      <c r="AG213" s="24" t="n">
        <f aca="false" t="array" ref="AG213:AG213">INDEX(Paramètres!$C$6:$C$12,$AF213)</f>
        <v>1.75</v>
      </c>
      <c r="AH213" s="23" t="n">
        <f aca="false" t="array" ref="AH213:AH213">INDEX(Paramètres!$D$6:$D$12,$AF213)</f>
        <v>5</v>
      </c>
      <c r="AI213" s="23" t="n">
        <f aca="false" t="array" ref="AI213:AI213">INDEX(Matériaux!$C$16:$C$20,$D213)</f>
        <v>25</v>
      </c>
      <c r="AJ213" s="25" t="n">
        <f aca="false">Paramètres!$B$16+(1-Paramètres!$B$16)*(($J213-Paramètres!$B$14)/(Paramètres!$B$15-Paramètres!$B$14))^Paramètres!$B$17</f>
        <v>0.458504333336152</v>
      </c>
    </row>
    <row r="214" customFormat="false" ht="15.75" hidden="false" customHeight="true" outlineLevel="0" collapsed="false">
      <c r="A214" s="14" t="s">
        <v>327</v>
      </c>
      <c r="B214" s="15" t="s">
        <v>27</v>
      </c>
      <c r="C214" s="15" t="s">
        <v>305</v>
      </c>
      <c r="D214" s="16" t="n">
        <v>4</v>
      </c>
      <c r="E214" s="15" t="str">
        <f aca="false" t="array" ref="E214:E214">INDEX(Matériaux!$B$5:$F$12,MATCH(INDEX(Profils!$E$5:$E$34,$AE214),Matériaux!$A$5:$A$12,0),$D214)</f>
        <v>platine</v>
      </c>
      <c r="F214" s="29" t="s">
        <v>117</v>
      </c>
      <c r="G214" s="10" t="str">
        <f aca="false" t="array" ref="G214:G214">INDEX(Profils!$D$5:$D$34,$AE214)&amp;" en "&amp;$E214</f>
        <v>Chevalière en platine</v>
      </c>
      <c r="H214" s="16" t="n">
        <f aca="false" t="array" ref="H214:H214">INDEX(Matériaux!$B$16:$B$20,$D214)</f>
        <v>50</v>
      </c>
      <c r="I214" s="16" t="n">
        <f aca="false">IF(ISNUMBER($C$3),MIN(MAX(0,ROUND($C$3,0)),$AI214),$AI214)</f>
        <v>0</v>
      </c>
      <c r="J214" s="18" t="n">
        <f aca="false">$H214+$I214</f>
        <v>50</v>
      </c>
      <c r="K214" s="15" t="s">
        <v>109</v>
      </c>
      <c r="L214" s="19" t="n">
        <f aca="false" t="array" ref="L214:L214">IF(AND(INDEX(Profils!$F$5:$F$34,$AE214)&gt;0,INDEX(Profils!$U$5:$U$34,$AE214)&lt;=$AH214),ROUND(INDEX(Profils!$F$5:$F$34,$AE214)*Paramètres!$E$22*$AG214*$AJ214,Paramètres!$F$22),0)</f>
        <v>29</v>
      </c>
      <c r="M214" s="19" t="n">
        <f aca="false" t="array" ref="M214:M214">IF(AND(INDEX(Profils!$G$5:$G$34,$AE214)&gt;0,INDEX(Profils!$V$5:$V$34,$AE214)&lt;=$AH214),ROUND(INDEX(Profils!$G$5:$G$34,$AE214)*Paramètres!$E$23*$AG214*$AJ214,Paramètres!$F$23),0)</f>
        <v>0</v>
      </c>
      <c r="N214" s="19" t="n">
        <f aca="false" t="array" ref="N214:N214">IF(AND(INDEX(Profils!$H$5:$H$34,$AE214)&gt;0,INDEX(Profils!$W$5:$W$34,$AE214)&lt;=$AH214),ROUND(INDEX(Profils!$H$5:$H$34,$AE214)*Paramètres!$E$24*$AG214*$AJ214,Paramètres!$F$24),0)</f>
        <v>14</v>
      </c>
      <c r="O214" s="19" t="n">
        <f aca="false" t="array" ref="O214:O214">IF(AND(INDEX(Profils!$I$5:$I$34,$AE214)&gt;0,INDEX(Profils!$X$5:$X$34,$AE214)&lt;=$AH214),ROUND(INDEX(Profils!$I$5:$I$34,$AE214)*Paramètres!$E$25*$AG214*$AJ214,Paramètres!$F$25),0)</f>
        <v>0</v>
      </c>
      <c r="P214" s="19" t="n">
        <f aca="false" t="array" ref="P214:P214">IF(AND(INDEX(Profils!$J$5:$J$34,$AE214)&gt;0,INDEX(Profils!$Y$5:$Y$34,$AE214)&lt;=$AH214),ROUND(INDEX(Profils!$J$5:$J$34,$AE214)*Paramètres!$E$26*$AG214*$AJ214,Paramètres!$F$26),0)</f>
        <v>0</v>
      </c>
      <c r="Q214" s="19" t="n">
        <f aca="false" t="array" ref="Q214:Q214">IF(AND(INDEX(Profils!$K$5:$K$34,$AE214)&gt;0,INDEX(Profils!$Z$5:$Z$34,$AE214)&lt;=$AH214),ROUND(INDEX(Profils!$K$5:$K$34,$AE214)*Paramètres!$E$27*$AG214*$AJ214,Paramètres!$F$27),0)</f>
        <v>7</v>
      </c>
      <c r="R214" s="20" t="n">
        <f aca="false" t="array" ref="R214:R214">IF(AND(INDEX(Profils!$L$5:$L$34,$AE214)&gt;0,INDEX(Profils!$AA$5:$AA$34,$AE214)&lt;=$AH214),ROUND(INDEX(Profils!$L$5:$L$34,$AE214)*Paramètres!$E$28*$AG214*$AJ214,Paramètres!$F$28),0)</f>
        <v>0</v>
      </c>
      <c r="S214" s="20" t="n">
        <f aca="false" t="array" ref="S214:S214">IF(AND(INDEX(Profils!$M$5:$M$34,$AE214)&gt;0,INDEX(Profils!$AB$5:$AB$34,$AE214)&lt;=$AH214),ROUND(INDEX(Profils!$M$5:$M$34,$AE214)*Paramètres!$E$29*$AG214*$AJ214,Paramètres!$F$29),0)</f>
        <v>0</v>
      </c>
      <c r="T214" s="20" t="n">
        <f aca="false" t="array" ref="T214:T214">IF(AND(INDEX(Profils!$N$5:$N$34,$AE214)&gt;0,INDEX(Profils!$AC$5:$AC$34,$AE214)&lt;=$AH214),ROUND(INDEX(Profils!$N$5:$N$34,$AE214)*Paramètres!$E$30*$AG214*$AJ214,Paramètres!$F$30),0)</f>
        <v>0</v>
      </c>
      <c r="U214" s="19" t="n">
        <f aca="false" t="array" ref="U214:U214">IF(AND(INDEX(Profils!$O$5:$O$34,$AE214)&gt;0,INDEX(Profils!$AD$5:$AD$34,$AE214)&lt;=$AH214),ROUND(INDEX(Profils!$O$5:$O$34,$AE214)*Paramètres!$E$31*$AG214*$AJ214,Paramètres!$F$31),0)</f>
        <v>12</v>
      </c>
      <c r="V214" s="20" t="n">
        <f aca="false" t="array" ref="V214:V214">IF(AND(INDEX(Profils!$P$5:$P$34,$AE214)&gt;0,INDEX(Profils!$AE$5:$AE$34,$AE214)&lt;=$AH214),ROUND(INDEX(Profils!$P$5:$P$34,$AE214)*Paramètres!$E$32*$AG214*$AJ214,Paramètres!$F$32),0)</f>
        <v>0</v>
      </c>
      <c r="W214" s="20" t="n">
        <f aca="false" t="array" ref="W214:W214">IF(AND(INDEX(Profils!$Q$5:$Q$34,$AE214)&gt;0,INDEX(Profils!$AF$5:$AF$34,$AE214)&lt;=$AH214),ROUND(INDEX(Profils!$Q$5:$Q$34,$AE214)*Paramètres!$E$33*$AG214*$AJ214,Paramètres!$F$33),0)</f>
        <v>0.013</v>
      </c>
      <c r="X214" s="20" t="n">
        <f aca="false" t="array" ref="X214:X214">IF(AND(INDEX(Profils!$R$5:$R$34,$AE214)&gt;0,INDEX(Profils!$AG$5:$AG$34,$AE214)&lt;=$AH214),ROUND(INDEX(Profils!$R$5:$R$34,$AE214)*Paramètres!$E$34*$AG214*$AJ214,Paramètres!$F$34),0)</f>
        <v>0</v>
      </c>
      <c r="Y214" s="20" t="n">
        <f aca="false" t="array" ref="Y214:Y214">IF(AND(INDEX(Profils!$S$5:$S$34,$AE214)&gt;0,INDEX(Profils!$AH$5:$AH$34,$AE214)&lt;=$AH214),ROUND(INDEX(Profils!$S$5:$S$34,$AE214)*Paramètres!$E$35*$AG214*$AJ214,Paramètres!$F$35),0)</f>
        <v>0.013</v>
      </c>
      <c r="Z214" s="21" t="n">
        <f aca="false">ROUND(L214/Paramètres!$E$22+M214/Paramètres!$E$23+N214/Paramètres!$E$24+O214/Paramètres!$E$25+P214/Paramètres!$E$26+Q214/Paramètres!$E$27+R214/Paramètres!$E$28+S214/Paramètres!$E$29+T214/Paramètres!$E$30+U214/Paramètres!$E$31+V214/Paramètres!$E$32+W214/Paramètres!$E$33+X214/Paramètres!$E$34+Y214/Paramètres!$E$35,1)</f>
        <v>5.1</v>
      </c>
      <c r="AA214" s="22" t="s">
        <v>109</v>
      </c>
      <c r="AB214" s="22" t="s">
        <v>109</v>
      </c>
      <c r="AC214" s="15" t="str">
        <f aca="false">$E214</f>
        <v>platine</v>
      </c>
      <c r="AD214" s="16" t="n">
        <f aca="false" t="array" ref="AD214:AD214">IF($I214&gt;=$AI214,"Max",ROUND(Paramètres!$B$40*($I214+1)^Paramètres!$B$41*INDEX(Paramètres!$H$6:$H$12,$AF214),0))</f>
        <v>6</v>
      </c>
      <c r="AE214" s="23" t="n">
        <f aca="false">MATCH($B214&amp;"|"&amp;$C214,Profils!$A$5:$A$34,0)</f>
        <v>7</v>
      </c>
      <c r="AF214" s="23" t="n">
        <v>5</v>
      </c>
      <c r="AG214" s="24" t="n">
        <f aca="false" t="array" ref="AG214:AG214">INDEX(Paramètres!$C$6:$C$12,$AF214)</f>
        <v>2.1</v>
      </c>
      <c r="AH214" s="23" t="n">
        <f aca="false" t="array" ref="AH214:AH214">INDEX(Paramètres!$D$6:$D$12,$AF214)</f>
        <v>6</v>
      </c>
      <c r="AI214" s="23" t="n">
        <f aca="false" t="array" ref="AI214:AI214">INDEX(Matériaux!$C$16:$C$20,$D214)</f>
        <v>25</v>
      </c>
      <c r="AJ214" s="25" t="n">
        <f aca="false">Paramètres!$B$16+(1-Paramètres!$B$16)*(($J214-Paramètres!$B$14)/(Paramètres!$B$15-Paramètres!$B$14))^Paramètres!$B$17</f>
        <v>0.458504333336152</v>
      </c>
    </row>
    <row r="215" customFormat="false" ht="15.75" hidden="false" customHeight="true" outlineLevel="0" collapsed="false">
      <c r="A215" s="14" t="s">
        <v>328</v>
      </c>
      <c r="B215" s="15" t="s">
        <v>27</v>
      </c>
      <c r="C215" s="15" t="s">
        <v>305</v>
      </c>
      <c r="D215" s="16" t="n">
        <v>4</v>
      </c>
      <c r="E215" s="15" t="str">
        <f aca="false" t="array" ref="E215:E215">INDEX(Matériaux!$B$5:$F$12,MATCH(INDEX(Profils!$E$5:$E$34,$AE215),Matériaux!$A$5:$A$12,0),$D215)</f>
        <v>platine</v>
      </c>
      <c r="F215" s="30" t="s">
        <v>119</v>
      </c>
      <c r="G215" s="10" t="str">
        <f aca="false" t="array" ref="G215:G215">INDEX(Profils!$D$5:$D$34,$AE215)&amp;" en "&amp;$E215</f>
        <v>Chevalière en platine</v>
      </c>
      <c r="H215" s="16" t="n">
        <f aca="false" t="array" ref="H215:H215">INDEX(Matériaux!$B$16:$B$20,$D215)</f>
        <v>50</v>
      </c>
      <c r="I215" s="16" t="n">
        <f aca="false">IF(ISNUMBER($C$3),MIN(MAX(0,ROUND($C$3,0)),$AI215),$AI215)</f>
        <v>0</v>
      </c>
      <c r="J215" s="18" t="n">
        <f aca="false">$H215+$I215</f>
        <v>50</v>
      </c>
      <c r="K215" s="15" t="s">
        <v>109</v>
      </c>
      <c r="L215" s="19" t="n">
        <f aca="false" t="array" ref="L215:L215">IF(AND(INDEX(Profils!$F$5:$F$34,$AE215)&gt;0,INDEX(Profils!$U$5:$U$34,$AE215)&lt;=$AH215),ROUND(INDEX(Profils!$F$5:$F$34,$AE215)*Paramètres!$E$22*$AG215*$AJ215,Paramètres!$F$22),0)</f>
        <v>33</v>
      </c>
      <c r="M215" s="19" t="n">
        <f aca="false" t="array" ref="M215:M215">IF(AND(INDEX(Profils!$G$5:$G$34,$AE215)&gt;0,INDEX(Profils!$V$5:$V$34,$AE215)&lt;=$AH215),ROUND(INDEX(Profils!$G$5:$G$34,$AE215)*Paramètres!$E$23*$AG215*$AJ215,Paramètres!$F$23),0)</f>
        <v>8</v>
      </c>
      <c r="N215" s="19" t="n">
        <f aca="false" t="array" ref="N215:N215">IF(AND(INDEX(Profils!$H$5:$H$34,$AE215)&gt;0,INDEX(Profils!$W$5:$W$34,$AE215)&lt;=$AH215),ROUND(INDEX(Profils!$H$5:$H$34,$AE215)*Paramètres!$E$24*$AG215*$AJ215,Paramètres!$F$24),0)</f>
        <v>17</v>
      </c>
      <c r="O215" s="19" t="n">
        <f aca="false" t="array" ref="O215:O215">IF(AND(INDEX(Profils!$I$5:$I$34,$AE215)&gt;0,INDEX(Profils!$X$5:$X$34,$AE215)&lt;=$AH215),ROUND(INDEX(Profils!$I$5:$I$34,$AE215)*Paramètres!$E$25*$AG215*$AJ215,Paramètres!$F$25),0)</f>
        <v>0</v>
      </c>
      <c r="P215" s="19" t="n">
        <f aca="false" t="array" ref="P215:P215">IF(AND(INDEX(Profils!$J$5:$J$34,$AE215)&gt;0,INDEX(Profils!$Y$5:$Y$34,$AE215)&lt;=$AH215),ROUND(INDEX(Profils!$J$5:$J$34,$AE215)*Paramètres!$E$26*$AG215*$AJ215,Paramètres!$F$26),0)</f>
        <v>0</v>
      </c>
      <c r="Q215" s="19" t="n">
        <f aca="false" t="array" ref="Q215:Q215">IF(AND(INDEX(Profils!$K$5:$K$34,$AE215)&gt;0,INDEX(Profils!$Z$5:$Z$34,$AE215)&lt;=$AH215),ROUND(INDEX(Profils!$K$5:$K$34,$AE215)*Paramètres!$E$27*$AG215*$AJ215,Paramètres!$F$27),0)</f>
        <v>8</v>
      </c>
      <c r="R215" s="20" t="n">
        <f aca="false" t="array" ref="R215:R215">IF(AND(INDEX(Profils!$L$5:$L$34,$AE215)&gt;0,INDEX(Profils!$AA$5:$AA$34,$AE215)&lt;=$AH215),ROUND(INDEX(Profils!$L$5:$L$34,$AE215)*Paramètres!$E$28*$AG215*$AJ215,Paramètres!$F$28),0)</f>
        <v>0</v>
      </c>
      <c r="S215" s="20" t="n">
        <f aca="false" t="array" ref="S215:S215">IF(AND(INDEX(Profils!$M$5:$M$34,$AE215)&gt;0,INDEX(Profils!$AB$5:$AB$34,$AE215)&lt;=$AH215),ROUND(INDEX(Profils!$M$5:$M$34,$AE215)*Paramètres!$E$29*$AG215*$AJ215,Paramètres!$F$29),0)</f>
        <v>0</v>
      </c>
      <c r="T215" s="20" t="n">
        <f aca="false" t="array" ref="T215:T215">IF(AND(INDEX(Profils!$N$5:$N$34,$AE215)&gt;0,INDEX(Profils!$AC$5:$AC$34,$AE215)&lt;=$AH215),ROUND(INDEX(Profils!$N$5:$N$34,$AE215)*Paramètres!$E$30*$AG215*$AJ215,Paramètres!$F$30),0)</f>
        <v>0</v>
      </c>
      <c r="U215" s="19" t="n">
        <f aca="false" t="array" ref="U215:U215">IF(AND(INDEX(Profils!$O$5:$O$34,$AE215)&gt;0,INDEX(Profils!$AD$5:$AD$34,$AE215)&lt;=$AH215),ROUND(INDEX(Profils!$O$5:$O$34,$AE215)*Paramètres!$E$31*$AG215*$AJ215,Paramètres!$F$31),0)</f>
        <v>13</v>
      </c>
      <c r="V215" s="20" t="n">
        <f aca="false" t="array" ref="V215:V215">IF(AND(INDEX(Profils!$P$5:$P$34,$AE215)&gt;0,INDEX(Profils!$AE$5:$AE$34,$AE215)&lt;=$AH215),ROUND(INDEX(Profils!$P$5:$P$34,$AE215)*Paramètres!$E$32*$AG215*$AJ215,Paramètres!$F$32),0)</f>
        <v>0</v>
      </c>
      <c r="W215" s="20" t="n">
        <f aca="false" t="array" ref="W215:W215">IF(AND(INDEX(Profils!$Q$5:$Q$34,$AE215)&gt;0,INDEX(Profils!$AF$5:$AF$34,$AE215)&lt;=$AH215),ROUND(INDEX(Profils!$Q$5:$Q$34,$AE215)*Paramètres!$E$33*$AG215*$AJ215,Paramètres!$F$33),0)</f>
        <v>0.015</v>
      </c>
      <c r="X215" s="20" t="n">
        <f aca="false" t="array" ref="X215:X215">IF(AND(INDEX(Profils!$R$5:$R$34,$AE215)&gt;0,INDEX(Profils!$AG$5:$AG$34,$AE215)&lt;=$AH215),ROUND(INDEX(Profils!$R$5:$R$34,$AE215)*Paramètres!$E$34*$AG215*$AJ215,Paramètres!$F$34),0)</f>
        <v>0</v>
      </c>
      <c r="Y215" s="20" t="n">
        <f aca="false" t="array" ref="Y215:Y215">IF(AND(INDEX(Profils!$S$5:$S$34,$AE215)&gt;0,INDEX(Profils!$AH$5:$AH$34,$AE215)&lt;=$AH215),ROUND(INDEX(Profils!$S$5:$S$34,$AE215)*Paramètres!$E$35*$AG215*$AJ215,Paramètres!$F$35),0)</f>
        <v>0.015</v>
      </c>
      <c r="Z215" s="21" t="n">
        <f aca="false">ROUND(L215/Paramètres!$E$22+M215/Paramètres!$E$23+N215/Paramètres!$E$24+O215/Paramètres!$E$25+P215/Paramètres!$E$26+Q215/Paramètres!$E$27+R215/Paramètres!$E$28+S215/Paramètres!$E$29+T215/Paramètres!$E$30+U215/Paramètres!$E$31+V215/Paramètres!$E$32+W215/Paramètres!$E$33+X215/Paramètres!$E$34+Y215/Paramètres!$E$35,1)</f>
        <v>6.4</v>
      </c>
      <c r="AA215" s="22" t="s">
        <v>109</v>
      </c>
      <c r="AB215" s="22" t="s">
        <v>109</v>
      </c>
      <c r="AC215" s="15" t="str">
        <f aca="false">$E215</f>
        <v>platine</v>
      </c>
      <c r="AD215" s="16" t="n">
        <f aca="false" t="array" ref="AD215:AD215">IF($I215&gt;=$AI215,"Max",ROUND(Paramètres!$B$40*($I215+1)^Paramètres!$B$41*INDEX(Paramètres!$H$6:$H$12,$AF215),0))</f>
        <v>8</v>
      </c>
      <c r="AE215" s="23" t="n">
        <f aca="false">MATCH($B215&amp;"|"&amp;$C215,Profils!$A$5:$A$34,0)</f>
        <v>7</v>
      </c>
      <c r="AF215" s="23" t="n">
        <v>6</v>
      </c>
      <c r="AG215" s="24" t="n">
        <f aca="false" t="array" ref="AG215:AG215">INDEX(Paramètres!$C$6:$C$12,$AF215)</f>
        <v>2.4</v>
      </c>
      <c r="AH215" s="23" t="n">
        <f aca="false" t="array" ref="AH215:AH215">INDEX(Paramètres!$D$6:$D$12,$AF215)</f>
        <v>7</v>
      </c>
      <c r="AI215" s="23" t="n">
        <f aca="false" t="array" ref="AI215:AI215">INDEX(Matériaux!$C$16:$C$20,$D215)</f>
        <v>25</v>
      </c>
      <c r="AJ215" s="25" t="n">
        <f aca="false">Paramètres!$B$16+(1-Paramètres!$B$16)*(($J215-Paramètres!$B$14)/(Paramètres!$B$15-Paramètres!$B$14))^Paramètres!$B$17</f>
        <v>0.458504333336152</v>
      </c>
    </row>
    <row r="216" customFormat="false" ht="15.75" hidden="false" customHeight="true" outlineLevel="0" collapsed="false">
      <c r="A216" s="14" t="s">
        <v>329</v>
      </c>
      <c r="B216" s="15" t="s">
        <v>27</v>
      </c>
      <c r="C216" s="15" t="s">
        <v>305</v>
      </c>
      <c r="D216" s="16" t="n">
        <v>5</v>
      </c>
      <c r="E216" s="15" t="str">
        <f aca="false" t="array" ref="E216:E216">INDEX(Matériaux!$B$5:$F$12,MATCH(INDEX(Profils!$E$5:$E$34,$AE216),Matériaux!$A$5:$A$12,0),$D216)</f>
        <v>orichalque</v>
      </c>
      <c r="F216" s="17" t="s">
        <v>108</v>
      </c>
      <c r="G216" s="10" t="str">
        <f aca="false" t="array" ref="G216:G216">INDEX(Profils!$D$5:$D$34,$AE216)&amp;" en "&amp;$E216</f>
        <v>Chevalière en orichalque</v>
      </c>
      <c r="H216" s="16" t="n">
        <f aca="false" t="array" ref="H216:H216">INDEX(Matériaux!$B$16:$B$20,$D216)</f>
        <v>70</v>
      </c>
      <c r="I216" s="16" t="n">
        <f aca="false">IF(ISNUMBER($C$3),MIN(MAX(0,ROUND($C$3,0)),$AI216),$AI216)</f>
        <v>0</v>
      </c>
      <c r="J216" s="18" t="n">
        <f aca="false">$H216+$I216</f>
        <v>70</v>
      </c>
      <c r="K216" s="15" t="s">
        <v>109</v>
      </c>
      <c r="L216" s="19" t="n">
        <f aca="false" t="array" ref="L216:L216">IF(AND(INDEX(Profils!$F$5:$F$34,$AE216)&gt;0,INDEX(Profils!$U$5:$U$34,$AE216)&lt;=$AH216),ROUND(INDEX(Profils!$F$5:$F$34,$AE216)*Paramètres!$E$22*$AG216*$AJ216,Paramètres!$F$22),0)</f>
        <v>20</v>
      </c>
      <c r="M216" s="19" t="n">
        <f aca="false" t="array" ref="M216:M216">IF(AND(INDEX(Profils!$G$5:$G$34,$AE216)&gt;0,INDEX(Profils!$V$5:$V$34,$AE216)&lt;=$AH216),ROUND(INDEX(Profils!$G$5:$G$34,$AE216)*Paramètres!$E$23*$AG216*$AJ216,Paramètres!$F$23),0)</f>
        <v>0</v>
      </c>
      <c r="N216" s="19" t="n">
        <f aca="false" t="array" ref="N216:N216">IF(AND(INDEX(Profils!$H$5:$H$34,$AE216)&gt;0,INDEX(Profils!$W$5:$W$34,$AE216)&lt;=$AH216),ROUND(INDEX(Profils!$H$5:$H$34,$AE216)*Paramètres!$E$24*$AG216*$AJ216,Paramètres!$F$24),0)</f>
        <v>10</v>
      </c>
      <c r="O216" s="19" t="n">
        <f aca="false" t="array" ref="O216:O216">IF(AND(INDEX(Profils!$I$5:$I$34,$AE216)&gt;0,INDEX(Profils!$X$5:$X$34,$AE216)&lt;=$AH216),ROUND(INDEX(Profils!$I$5:$I$34,$AE216)*Paramètres!$E$25*$AG216*$AJ216,Paramètres!$F$25),0)</f>
        <v>0</v>
      </c>
      <c r="P216" s="19" t="n">
        <f aca="false" t="array" ref="P216:P216">IF(AND(INDEX(Profils!$J$5:$J$34,$AE216)&gt;0,INDEX(Profils!$Y$5:$Y$34,$AE216)&lt;=$AH216),ROUND(INDEX(Profils!$J$5:$J$34,$AE216)*Paramètres!$E$26*$AG216*$AJ216,Paramètres!$F$26),0)</f>
        <v>0</v>
      </c>
      <c r="Q216" s="19" t="n">
        <f aca="false" t="array" ref="Q216:Q216">IF(AND(INDEX(Profils!$K$5:$K$34,$AE216)&gt;0,INDEX(Profils!$Z$5:$Z$34,$AE216)&lt;=$AH216),ROUND(INDEX(Profils!$K$5:$K$34,$AE216)*Paramètres!$E$27*$AG216*$AJ216,Paramètres!$F$27),0)</f>
        <v>0</v>
      </c>
      <c r="R216" s="20" t="n">
        <f aca="false" t="array" ref="R216:R216">IF(AND(INDEX(Profils!$L$5:$L$34,$AE216)&gt;0,INDEX(Profils!$AA$5:$AA$34,$AE216)&lt;=$AH216),ROUND(INDEX(Profils!$L$5:$L$34,$AE216)*Paramètres!$E$28*$AG216*$AJ216,Paramètres!$F$28),0)</f>
        <v>0</v>
      </c>
      <c r="S216" s="20" t="n">
        <f aca="false" t="array" ref="S216:S216">IF(AND(INDEX(Profils!$M$5:$M$34,$AE216)&gt;0,INDEX(Profils!$AB$5:$AB$34,$AE216)&lt;=$AH216),ROUND(INDEX(Profils!$M$5:$M$34,$AE216)*Paramètres!$E$29*$AG216*$AJ216,Paramètres!$F$29),0)</f>
        <v>0</v>
      </c>
      <c r="T216" s="20" t="n">
        <f aca="false" t="array" ref="T216:T216">IF(AND(INDEX(Profils!$N$5:$N$34,$AE216)&gt;0,INDEX(Profils!$AC$5:$AC$34,$AE216)&lt;=$AH216),ROUND(INDEX(Profils!$N$5:$N$34,$AE216)*Paramètres!$E$30*$AG216*$AJ216,Paramètres!$F$30),0)</f>
        <v>0</v>
      </c>
      <c r="U216" s="19" t="n">
        <f aca="false" t="array" ref="U216:U216">IF(AND(INDEX(Profils!$O$5:$O$34,$AE216)&gt;0,INDEX(Profils!$AD$5:$AD$34,$AE216)&lt;=$AH216),ROUND(INDEX(Profils!$O$5:$O$34,$AE216)*Paramètres!$E$31*$AG216*$AJ216,Paramètres!$F$31),0)</f>
        <v>0</v>
      </c>
      <c r="V216" s="20" t="n">
        <f aca="false" t="array" ref="V216:V216">IF(AND(INDEX(Profils!$P$5:$P$34,$AE216)&gt;0,INDEX(Profils!$AE$5:$AE$34,$AE216)&lt;=$AH216),ROUND(INDEX(Profils!$P$5:$P$34,$AE216)*Paramètres!$E$32*$AG216*$AJ216,Paramètres!$F$32),0)</f>
        <v>0</v>
      </c>
      <c r="W216" s="20" t="n">
        <f aca="false" t="array" ref="W216:W216">IF(AND(INDEX(Profils!$Q$5:$Q$34,$AE216)&gt;0,INDEX(Profils!$AF$5:$AF$34,$AE216)&lt;=$AH216),ROUND(INDEX(Profils!$Q$5:$Q$34,$AE216)*Paramètres!$E$33*$AG216*$AJ216,Paramètres!$F$33),0)</f>
        <v>0</v>
      </c>
      <c r="X216" s="20" t="n">
        <f aca="false" t="array" ref="X216:X216">IF(AND(INDEX(Profils!$R$5:$R$34,$AE216)&gt;0,INDEX(Profils!$AG$5:$AG$34,$AE216)&lt;=$AH216),ROUND(INDEX(Profils!$R$5:$R$34,$AE216)*Paramètres!$E$34*$AG216*$AJ216,Paramètres!$F$34),0)</f>
        <v>0</v>
      </c>
      <c r="Y216" s="20" t="n">
        <f aca="false" t="array" ref="Y216:Y216">IF(AND(INDEX(Profils!$S$5:$S$34,$AE216)&gt;0,INDEX(Profils!$AH$5:$AH$34,$AE216)&lt;=$AH216),ROUND(INDEX(Profils!$S$5:$S$34,$AE216)*Paramètres!$E$35*$AG216*$AJ216,Paramètres!$F$35),0)</f>
        <v>0</v>
      </c>
      <c r="Z216" s="21" t="n">
        <f aca="false">ROUND(L216/Paramètres!$E$22+M216/Paramètres!$E$23+N216/Paramètres!$E$24+O216/Paramètres!$E$25+P216/Paramètres!$E$26+Q216/Paramètres!$E$27+R216/Paramètres!$E$28+S216/Paramètres!$E$29+T216/Paramètres!$E$30+U216/Paramètres!$E$31+V216/Paramètres!$E$32+W216/Paramètres!$E$33+X216/Paramètres!$E$34+Y216/Paramètres!$E$35,1)</f>
        <v>1.5</v>
      </c>
      <c r="AA216" s="22" t="s">
        <v>109</v>
      </c>
      <c r="AB216" s="22" t="s">
        <v>109</v>
      </c>
      <c r="AC216" s="15" t="str">
        <f aca="false">$E216</f>
        <v>orichalque</v>
      </c>
      <c r="AD216" s="16" t="n">
        <f aca="false" t="array" ref="AD216:AD216">IF($I216&gt;=$AI216,"Max",ROUND(Paramètres!$B$40*($I216+1)^Paramètres!$B$41*INDEX(Paramètres!$H$6:$H$12,$AF216),0))</f>
        <v>3</v>
      </c>
      <c r="AE216" s="23" t="n">
        <f aca="false">MATCH($B216&amp;"|"&amp;$C216,Profils!$A$5:$A$34,0)</f>
        <v>7</v>
      </c>
      <c r="AF216" s="23" t="n">
        <v>1</v>
      </c>
      <c r="AG216" s="24" t="n">
        <f aca="false" t="array" ref="AG216:AG216">INDEX(Paramètres!$C$6:$C$12,$AF216)</f>
        <v>1</v>
      </c>
      <c r="AH216" s="23" t="n">
        <f aca="false" t="array" ref="AH216:AH216">INDEX(Paramètres!$D$6:$D$12,$AF216)</f>
        <v>2</v>
      </c>
      <c r="AI216" s="23" t="n">
        <f aca="false" t="array" ref="AI216:AI216">INDEX(Matériaux!$C$16:$C$20,$D216)</f>
        <v>30</v>
      </c>
      <c r="AJ216" s="25" t="n">
        <f aca="false">Paramètres!$B$16+(1-Paramètres!$B$16)*(($J216-Paramètres!$B$14)/(Paramètres!$B$15-Paramètres!$B$14))^Paramètres!$B$17</f>
        <v>0.665999387952727</v>
      </c>
    </row>
    <row r="217" customFormat="false" ht="15.75" hidden="false" customHeight="true" outlineLevel="0" collapsed="false">
      <c r="A217" s="14" t="s">
        <v>330</v>
      </c>
      <c r="B217" s="15" t="s">
        <v>27</v>
      </c>
      <c r="C217" s="15" t="s">
        <v>305</v>
      </c>
      <c r="D217" s="16" t="n">
        <v>5</v>
      </c>
      <c r="E217" s="15" t="str">
        <f aca="false" t="array" ref="E217:E217">INDEX(Matériaux!$B$5:$F$12,MATCH(INDEX(Profils!$E$5:$E$34,$AE217),Matériaux!$A$5:$A$12,0),$D217)</f>
        <v>orichalque</v>
      </c>
      <c r="F217" s="26" t="s">
        <v>111</v>
      </c>
      <c r="G217" s="10" t="str">
        <f aca="false" t="array" ref="G217:G217">INDEX(Profils!$D$5:$D$34,$AE217)&amp;" en "&amp;$E217</f>
        <v>Chevalière en orichalque</v>
      </c>
      <c r="H217" s="16" t="n">
        <f aca="false" t="array" ref="H217:H217">INDEX(Matériaux!$B$16:$B$20,$D217)</f>
        <v>70</v>
      </c>
      <c r="I217" s="16" t="n">
        <f aca="false">IF(ISNUMBER($C$3),MIN(MAX(0,ROUND($C$3,0)),$AI217),$AI217)</f>
        <v>0</v>
      </c>
      <c r="J217" s="18" t="n">
        <f aca="false">$H217+$I217</f>
        <v>70</v>
      </c>
      <c r="K217" s="15" t="s">
        <v>109</v>
      </c>
      <c r="L217" s="19" t="n">
        <f aca="false" t="array" ref="L217:L217">IF(AND(INDEX(Profils!$F$5:$F$34,$AE217)&gt;0,INDEX(Profils!$U$5:$U$34,$AE217)&lt;=$AH217),ROUND(INDEX(Profils!$F$5:$F$34,$AE217)*Paramètres!$E$22*$AG217*$AJ217,Paramètres!$F$22),0)</f>
        <v>24</v>
      </c>
      <c r="M217" s="19" t="n">
        <f aca="false" t="array" ref="M217:M217">IF(AND(INDEX(Profils!$G$5:$G$34,$AE217)&gt;0,INDEX(Profils!$V$5:$V$34,$AE217)&lt;=$AH217),ROUND(INDEX(Profils!$G$5:$G$34,$AE217)*Paramètres!$E$23*$AG217*$AJ217,Paramètres!$F$23),0)</f>
        <v>0</v>
      </c>
      <c r="N217" s="19" t="n">
        <f aca="false" t="array" ref="N217:N217">IF(AND(INDEX(Profils!$H$5:$H$34,$AE217)&gt;0,INDEX(Profils!$W$5:$W$34,$AE217)&lt;=$AH217),ROUND(INDEX(Profils!$H$5:$H$34,$AE217)*Paramètres!$E$24*$AG217*$AJ217,Paramètres!$F$24),0)</f>
        <v>12</v>
      </c>
      <c r="O217" s="19" t="n">
        <f aca="false" t="array" ref="O217:O217">IF(AND(INDEX(Profils!$I$5:$I$34,$AE217)&gt;0,INDEX(Profils!$X$5:$X$34,$AE217)&lt;=$AH217),ROUND(INDEX(Profils!$I$5:$I$34,$AE217)*Paramètres!$E$25*$AG217*$AJ217,Paramètres!$F$25),0)</f>
        <v>0</v>
      </c>
      <c r="P217" s="19" t="n">
        <f aca="false" t="array" ref="P217:P217">IF(AND(INDEX(Profils!$J$5:$J$34,$AE217)&gt;0,INDEX(Profils!$Y$5:$Y$34,$AE217)&lt;=$AH217),ROUND(INDEX(Profils!$J$5:$J$34,$AE217)*Paramètres!$E$26*$AG217*$AJ217,Paramètres!$F$26),0)</f>
        <v>0</v>
      </c>
      <c r="Q217" s="19" t="n">
        <f aca="false" t="array" ref="Q217:Q217">IF(AND(INDEX(Profils!$K$5:$K$34,$AE217)&gt;0,INDEX(Profils!$Z$5:$Z$34,$AE217)&lt;=$AH217),ROUND(INDEX(Profils!$K$5:$K$34,$AE217)*Paramètres!$E$27*$AG217*$AJ217,Paramètres!$F$27),0)</f>
        <v>0</v>
      </c>
      <c r="R217" s="20" t="n">
        <f aca="false" t="array" ref="R217:R217">IF(AND(INDEX(Profils!$L$5:$L$34,$AE217)&gt;0,INDEX(Profils!$AA$5:$AA$34,$AE217)&lt;=$AH217),ROUND(INDEX(Profils!$L$5:$L$34,$AE217)*Paramètres!$E$28*$AG217*$AJ217,Paramètres!$F$28),0)</f>
        <v>0</v>
      </c>
      <c r="S217" s="20" t="n">
        <f aca="false" t="array" ref="S217:S217">IF(AND(INDEX(Profils!$M$5:$M$34,$AE217)&gt;0,INDEX(Profils!$AB$5:$AB$34,$AE217)&lt;=$AH217),ROUND(INDEX(Profils!$M$5:$M$34,$AE217)*Paramètres!$E$29*$AG217*$AJ217,Paramètres!$F$29),0)</f>
        <v>0</v>
      </c>
      <c r="T217" s="20" t="n">
        <f aca="false" t="array" ref="T217:T217">IF(AND(INDEX(Profils!$N$5:$N$34,$AE217)&gt;0,INDEX(Profils!$AC$5:$AC$34,$AE217)&lt;=$AH217),ROUND(INDEX(Profils!$N$5:$N$34,$AE217)*Paramètres!$E$30*$AG217*$AJ217,Paramètres!$F$30),0)</f>
        <v>0</v>
      </c>
      <c r="U217" s="19" t="n">
        <f aca="false" t="array" ref="U217:U217">IF(AND(INDEX(Profils!$O$5:$O$34,$AE217)&gt;0,INDEX(Profils!$AD$5:$AD$34,$AE217)&lt;=$AH217),ROUND(INDEX(Profils!$O$5:$O$34,$AE217)*Paramètres!$E$31*$AG217*$AJ217,Paramètres!$F$31),0)</f>
        <v>0</v>
      </c>
      <c r="V217" s="20" t="n">
        <f aca="false" t="array" ref="V217:V217">IF(AND(INDEX(Profils!$P$5:$P$34,$AE217)&gt;0,INDEX(Profils!$AE$5:$AE$34,$AE217)&lt;=$AH217),ROUND(INDEX(Profils!$P$5:$P$34,$AE217)*Paramètres!$E$32*$AG217*$AJ217,Paramètres!$F$32),0)</f>
        <v>0</v>
      </c>
      <c r="W217" s="20" t="n">
        <f aca="false" t="array" ref="W217:W217">IF(AND(INDEX(Profils!$Q$5:$Q$34,$AE217)&gt;0,INDEX(Profils!$AF$5:$AF$34,$AE217)&lt;=$AH217),ROUND(INDEX(Profils!$Q$5:$Q$34,$AE217)*Paramètres!$E$33*$AG217*$AJ217,Paramètres!$F$33),0)</f>
        <v>0.011</v>
      </c>
      <c r="X217" s="20" t="n">
        <f aca="false" t="array" ref="X217:X217">IF(AND(INDEX(Profils!$R$5:$R$34,$AE217)&gt;0,INDEX(Profils!$AG$5:$AG$34,$AE217)&lt;=$AH217),ROUND(INDEX(Profils!$R$5:$R$34,$AE217)*Paramètres!$E$34*$AG217*$AJ217,Paramètres!$F$34),0)</f>
        <v>0</v>
      </c>
      <c r="Y217" s="20" t="n">
        <f aca="false" t="array" ref="Y217:Y217">IF(AND(INDEX(Profils!$S$5:$S$34,$AE217)&gt;0,INDEX(Profils!$AH$5:$AH$34,$AE217)&lt;=$AH217),ROUND(INDEX(Profils!$S$5:$S$34,$AE217)*Paramètres!$E$35*$AG217*$AJ217,Paramètres!$F$35),0)</f>
        <v>0</v>
      </c>
      <c r="Z217" s="21" t="n">
        <f aca="false">ROUND(L217/Paramètres!$E$22+M217/Paramètres!$E$23+N217/Paramètres!$E$24+O217/Paramètres!$E$25+P217/Paramètres!$E$26+Q217/Paramètres!$E$27+R217/Paramètres!$E$28+S217/Paramètres!$E$29+T217/Paramètres!$E$30+U217/Paramètres!$E$31+V217/Paramètres!$E$32+W217/Paramètres!$E$33+X217/Paramètres!$E$34+Y217/Paramètres!$E$35,1)</f>
        <v>2.5</v>
      </c>
      <c r="AA217" s="22" t="s">
        <v>109</v>
      </c>
      <c r="AB217" s="22" t="s">
        <v>109</v>
      </c>
      <c r="AC217" s="15" t="str">
        <f aca="false">$E217</f>
        <v>orichalque</v>
      </c>
      <c r="AD217" s="16" t="n">
        <f aca="false" t="array" ref="AD217:AD217">IF($I217&gt;=$AI217,"Max",ROUND(Paramètres!$B$40*($I217+1)^Paramètres!$B$41*INDEX(Paramètres!$H$6:$H$12,$AF217),0))</f>
        <v>4</v>
      </c>
      <c r="AE217" s="23" t="n">
        <f aca="false">MATCH($B217&amp;"|"&amp;$C217,Profils!$A$5:$A$34,0)</f>
        <v>7</v>
      </c>
      <c r="AF217" s="23" t="n">
        <v>2</v>
      </c>
      <c r="AG217" s="24" t="n">
        <f aca="false" t="array" ref="AG217:AG217">INDEX(Paramètres!$C$6:$C$12,$AF217)</f>
        <v>1.2</v>
      </c>
      <c r="AH217" s="23" t="n">
        <f aca="false" t="array" ref="AH217:AH217">INDEX(Paramètres!$D$6:$D$12,$AF217)</f>
        <v>3</v>
      </c>
      <c r="AI217" s="23" t="n">
        <f aca="false" t="array" ref="AI217:AI217">INDEX(Matériaux!$C$16:$C$20,$D217)</f>
        <v>30</v>
      </c>
      <c r="AJ217" s="25" t="n">
        <f aca="false">Paramètres!$B$16+(1-Paramètres!$B$16)*(($J217-Paramètres!$B$14)/(Paramètres!$B$15-Paramètres!$B$14))^Paramètres!$B$17</f>
        <v>0.665999387952727</v>
      </c>
    </row>
    <row r="218" customFormat="false" ht="15.75" hidden="false" customHeight="true" outlineLevel="0" collapsed="false">
      <c r="A218" s="14" t="s">
        <v>331</v>
      </c>
      <c r="B218" s="15" t="s">
        <v>27</v>
      </c>
      <c r="C218" s="15" t="s">
        <v>305</v>
      </c>
      <c r="D218" s="16" t="n">
        <v>5</v>
      </c>
      <c r="E218" s="15" t="str">
        <f aca="false" t="array" ref="E218:E218">INDEX(Matériaux!$B$5:$F$12,MATCH(INDEX(Profils!$E$5:$E$34,$AE218),Matériaux!$A$5:$A$12,0),$D218)</f>
        <v>orichalque</v>
      </c>
      <c r="F218" s="27" t="s">
        <v>113</v>
      </c>
      <c r="G218" s="10" t="str">
        <f aca="false" t="array" ref="G218:G218">INDEX(Profils!$D$5:$D$34,$AE218)&amp;" en "&amp;$E218</f>
        <v>Chevalière en orichalque</v>
      </c>
      <c r="H218" s="16" t="n">
        <f aca="false" t="array" ref="H218:H218">INDEX(Matériaux!$B$16:$B$20,$D218)</f>
        <v>70</v>
      </c>
      <c r="I218" s="16" t="n">
        <f aca="false">IF(ISNUMBER($C$3),MIN(MAX(0,ROUND($C$3,0)),$AI218),$AI218)</f>
        <v>0</v>
      </c>
      <c r="J218" s="18" t="n">
        <f aca="false">$H218+$I218</f>
        <v>70</v>
      </c>
      <c r="K218" s="15" t="s">
        <v>109</v>
      </c>
      <c r="L218" s="19" t="n">
        <f aca="false" t="array" ref="L218:L218">IF(AND(INDEX(Profils!$F$5:$F$34,$AE218)&gt;0,INDEX(Profils!$U$5:$U$34,$AE218)&lt;=$AH218),ROUND(INDEX(Profils!$F$5:$F$34,$AE218)*Paramètres!$E$22*$AG218*$AJ218,Paramètres!$F$22),0)</f>
        <v>29</v>
      </c>
      <c r="M218" s="19" t="n">
        <f aca="false" t="array" ref="M218:M218">IF(AND(INDEX(Profils!$G$5:$G$34,$AE218)&gt;0,INDEX(Profils!$V$5:$V$34,$AE218)&lt;=$AH218),ROUND(INDEX(Profils!$G$5:$G$34,$AE218)*Paramètres!$E$23*$AG218*$AJ218,Paramètres!$F$23),0)</f>
        <v>0</v>
      </c>
      <c r="N218" s="19" t="n">
        <f aca="false" t="array" ref="N218:N218">IF(AND(INDEX(Profils!$H$5:$H$34,$AE218)&gt;0,INDEX(Profils!$W$5:$W$34,$AE218)&lt;=$AH218),ROUND(INDEX(Profils!$H$5:$H$34,$AE218)*Paramètres!$E$24*$AG218*$AJ218,Paramètres!$F$24),0)</f>
        <v>14</v>
      </c>
      <c r="O218" s="19" t="n">
        <f aca="false" t="array" ref="O218:O218">IF(AND(INDEX(Profils!$I$5:$I$34,$AE218)&gt;0,INDEX(Profils!$X$5:$X$34,$AE218)&lt;=$AH218),ROUND(INDEX(Profils!$I$5:$I$34,$AE218)*Paramètres!$E$25*$AG218*$AJ218,Paramètres!$F$25),0)</f>
        <v>0</v>
      </c>
      <c r="P218" s="19" t="n">
        <f aca="false" t="array" ref="P218:P218">IF(AND(INDEX(Profils!$J$5:$J$34,$AE218)&gt;0,INDEX(Profils!$Y$5:$Y$34,$AE218)&lt;=$AH218),ROUND(INDEX(Profils!$J$5:$J$34,$AE218)*Paramètres!$E$26*$AG218*$AJ218,Paramètres!$F$26),0)</f>
        <v>0</v>
      </c>
      <c r="Q218" s="19" t="n">
        <f aca="false" t="array" ref="Q218:Q218">IF(AND(INDEX(Profils!$K$5:$K$34,$AE218)&gt;0,INDEX(Profils!$Z$5:$Z$34,$AE218)&lt;=$AH218),ROUND(INDEX(Profils!$K$5:$K$34,$AE218)*Paramètres!$E$27*$AG218*$AJ218,Paramètres!$F$27),0)</f>
        <v>0</v>
      </c>
      <c r="R218" s="20" t="n">
        <f aca="false" t="array" ref="R218:R218">IF(AND(INDEX(Profils!$L$5:$L$34,$AE218)&gt;0,INDEX(Profils!$AA$5:$AA$34,$AE218)&lt;=$AH218),ROUND(INDEX(Profils!$L$5:$L$34,$AE218)*Paramètres!$E$28*$AG218*$AJ218,Paramètres!$F$28),0)</f>
        <v>0</v>
      </c>
      <c r="S218" s="20" t="n">
        <f aca="false" t="array" ref="S218:S218">IF(AND(INDEX(Profils!$M$5:$M$34,$AE218)&gt;0,INDEX(Profils!$AB$5:$AB$34,$AE218)&lt;=$AH218),ROUND(INDEX(Profils!$M$5:$M$34,$AE218)*Paramètres!$E$29*$AG218*$AJ218,Paramètres!$F$29),0)</f>
        <v>0</v>
      </c>
      <c r="T218" s="20" t="n">
        <f aca="false" t="array" ref="T218:T218">IF(AND(INDEX(Profils!$N$5:$N$34,$AE218)&gt;0,INDEX(Profils!$AC$5:$AC$34,$AE218)&lt;=$AH218),ROUND(INDEX(Profils!$N$5:$N$34,$AE218)*Paramètres!$E$30*$AG218*$AJ218,Paramètres!$F$30),0)</f>
        <v>0</v>
      </c>
      <c r="U218" s="19" t="n">
        <f aca="false" t="array" ref="U218:U218">IF(AND(INDEX(Profils!$O$5:$O$34,$AE218)&gt;0,INDEX(Profils!$AD$5:$AD$34,$AE218)&lt;=$AH218),ROUND(INDEX(Profils!$O$5:$O$34,$AE218)*Paramètres!$E$31*$AG218*$AJ218,Paramètres!$F$31),0)</f>
        <v>0</v>
      </c>
      <c r="V218" s="20" t="n">
        <f aca="false" t="array" ref="V218:V218">IF(AND(INDEX(Profils!$P$5:$P$34,$AE218)&gt;0,INDEX(Profils!$AE$5:$AE$34,$AE218)&lt;=$AH218),ROUND(INDEX(Profils!$P$5:$P$34,$AE218)*Paramètres!$E$32*$AG218*$AJ218,Paramètres!$F$32),0)</f>
        <v>0</v>
      </c>
      <c r="W218" s="20" t="n">
        <f aca="false" t="array" ref="W218:W218">IF(AND(INDEX(Profils!$Q$5:$Q$34,$AE218)&gt;0,INDEX(Profils!$AF$5:$AF$34,$AE218)&lt;=$AH218),ROUND(INDEX(Profils!$Q$5:$Q$34,$AE218)*Paramètres!$E$33*$AG218*$AJ218,Paramètres!$F$33),0)</f>
        <v>0.013</v>
      </c>
      <c r="X218" s="20" t="n">
        <f aca="false" t="array" ref="X218:X218">IF(AND(INDEX(Profils!$R$5:$R$34,$AE218)&gt;0,INDEX(Profils!$AG$5:$AG$34,$AE218)&lt;=$AH218),ROUND(INDEX(Profils!$R$5:$R$34,$AE218)*Paramètres!$E$34*$AG218*$AJ218,Paramètres!$F$34),0)</f>
        <v>0</v>
      </c>
      <c r="Y218" s="20" t="n">
        <f aca="false" t="array" ref="Y218:Y218">IF(AND(INDEX(Profils!$S$5:$S$34,$AE218)&gt;0,INDEX(Profils!$AH$5:$AH$34,$AE218)&lt;=$AH218),ROUND(INDEX(Profils!$S$5:$S$34,$AE218)*Paramètres!$E$35*$AG218*$AJ218,Paramètres!$F$35),0)</f>
        <v>0.013</v>
      </c>
      <c r="Z218" s="21" t="n">
        <f aca="false">ROUND(L218/Paramètres!$E$22+M218/Paramètres!$E$23+N218/Paramètres!$E$24+O218/Paramètres!$E$25+P218/Paramètres!$E$26+Q218/Paramètres!$E$27+R218/Paramètres!$E$28+S218/Paramètres!$E$29+T218/Paramètres!$E$30+U218/Paramètres!$E$31+V218/Paramètres!$E$32+W218/Paramètres!$E$33+X218/Paramètres!$E$34+Y218/Paramètres!$E$35,1)</f>
        <v>3.8</v>
      </c>
      <c r="AA218" s="22" t="s">
        <v>109</v>
      </c>
      <c r="AB218" s="22" t="s">
        <v>109</v>
      </c>
      <c r="AC218" s="15" t="str">
        <f aca="false">$E218</f>
        <v>orichalque</v>
      </c>
      <c r="AD218" s="16" t="n">
        <f aca="false" t="array" ref="AD218:AD218">IF($I218&gt;=$AI218,"Max",ROUND(Paramètres!$B$40*($I218+1)^Paramètres!$B$41*INDEX(Paramètres!$H$6:$H$12,$AF218),0))</f>
        <v>4</v>
      </c>
      <c r="AE218" s="23" t="n">
        <f aca="false">MATCH($B218&amp;"|"&amp;$C218,Profils!$A$5:$A$34,0)</f>
        <v>7</v>
      </c>
      <c r="AF218" s="23" t="n">
        <v>3</v>
      </c>
      <c r="AG218" s="24" t="n">
        <f aca="false" t="array" ref="AG218:AG218">INDEX(Paramètres!$C$6:$C$12,$AF218)</f>
        <v>1.45</v>
      </c>
      <c r="AH218" s="23" t="n">
        <f aca="false" t="array" ref="AH218:AH218">INDEX(Paramètres!$D$6:$D$12,$AF218)</f>
        <v>4</v>
      </c>
      <c r="AI218" s="23" t="n">
        <f aca="false" t="array" ref="AI218:AI218">INDEX(Matériaux!$C$16:$C$20,$D218)</f>
        <v>30</v>
      </c>
      <c r="AJ218" s="25" t="n">
        <f aca="false">Paramètres!$B$16+(1-Paramètres!$B$16)*(($J218-Paramètres!$B$14)/(Paramètres!$B$15-Paramètres!$B$14))^Paramètres!$B$17</f>
        <v>0.665999387952727</v>
      </c>
    </row>
    <row r="219" customFormat="false" ht="15.75" hidden="false" customHeight="true" outlineLevel="0" collapsed="false">
      <c r="A219" s="14" t="s">
        <v>332</v>
      </c>
      <c r="B219" s="15" t="s">
        <v>27</v>
      </c>
      <c r="C219" s="15" t="s">
        <v>305</v>
      </c>
      <c r="D219" s="16" t="n">
        <v>5</v>
      </c>
      <c r="E219" s="15" t="str">
        <f aca="false" t="array" ref="E219:E219">INDEX(Matériaux!$B$5:$F$12,MATCH(INDEX(Profils!$E$5:$E$34,$AE219),Matériaux!$A$5:$A$12,0),$D219)</f>
        <v>orichalque</v>
      </c>
      <c r="F219" s="28" t="s">
        <v>115</v>
      </c>
      <c r="G219" s="10" t="str">
        <f aca="false" t="array" ref="G219:G219">INDEX(Profils!$D$5:$D$34,$AE219)&amp;" en "&amp;$E219</f>
        <v>Chevalière en orichalque</v>
      </c>
      <c r="H219" s="16" t="n">
        <f aca="false" t="array" ref="H219:H219">INDEX(Matériaux!$B$16:$B$20,$D219)</f>
        <v>70</v>
      </c>
      <c r="I219" s="16" t="n">
        <f aca="false">IF(ISNUMBER($C$3),MIN(MAX(0,ROUND($C$3,0)),$AI219),$AI219)</f>
        <v>0</v>
      </c>
      <c r="J219" s="18" t="n">
        <f aca="false">$H219+$I219</f>
        <v>70</v>
      </c>
      <c r="K219" s="15" t="s">
        <v>109</v>
      </c>
      <c r="L219" s="19" t="n">
        <f aca="false" t="array" ref="L219:L219">IF(AND(INDEX(Profils!$F$5:$F$34,$AE219)&gt;0,INDEX(Profils!$U$5:$U$34,$AE219)&lt;=$AH219),ROUND(INDEX(Profils!$F$5:$F$34,$AE219)*Paramètres!$E$22*$AG219*$AJ219,Paramètres!$F$22),0)</f>
        <v>35</v>
      </c>
      <c r="M219" s="19" t="n">
        <f aca="false" t="array" ref="M219:M219">IF(AND(INDEX(Profils!$G$5:$G$34,$AE219)&gt;0,INDEX(Profils!$V$5:$V$34,$AE219)&lt;=$AH219),ROUND(INDEX(Profils!$G$5:$G$34,$AE219)*Paramètres!$E$23*$AG219*$AJ219,Paramètres!$F$23),0)</f>
        <v>0</v>
      </c>
      <c r="N219" s="19" t="n">
        <f aca="false" t="array" ref="N219:N219">IF(AND(INDEX(Profils!$H$5:$H$34,$AE219)&gt;0,INDEX(Profils!$W$5:$W$34,$AE219)&lt;=$AH219),ROUND(INDEX(Profils!$H$5:$H$34,$AE219)*Paramètres!$E$24*$AG219*$AJ219,Paramètres!$F$24),0)</f>
        <v>17</v>
      </c>
      <c r="O219" s="19" t="n">
        <f aca="false" t="array" ref="O219:O219">IF(AND(INDEX(Profils!$I$5:$I$34,$AE219)&gt;0,INDEX(Profils!$X$5:$X$34,$AE219)&lt;=$AH219),ROUND(INDEX(Profils!$I$5:$I$34,$AE219)*Paramètres!$E$25*$AG219*$AJ219,Paramètres!$F$25),0)</f>
        <v>0</v>
      </c>
      <c r="P219" s="19" t="n">
        <f aca="false" t="array" ref="P219:P219">IF(AND(INDEX(Profils!$J$5:$J$34,$AE219)&gt;0,INDEX(Profils!$Y$5:$Y$34,$AE219)&lt;=$AH219),ROUND(INDEX(Profils!$J$5:$J$34,$AE219)*Paramètres!$E$26*$AG219*$AJ219,Paramètres!$F$26),0)</f>
        <v>0</v>
      </c>
      <c r="Q219" s="19" t="n">
        <f aca="false" t="array" ref="Q219:Q219">IF(AND(INDEX(Profils!$K$5:$K$34,$AE219)&gt;0,INDEX(Profils!$Z$5:$Z$34,$AE219)&lt;=$AH219),ROUND(INDEX(Profils!$K$5:$K$34,$AE219)*Paramètres!$E$27*$AG219*$AJ219,Paramètres!$F$27),0)</f>
        <v>8</v>
      </c>
      <c r="R219" s="20" t="n">
        <f aca="false" t="array" ref="R219:R219">IF(AND(INDEX(Profils!$L$5:$L$34,$AE219)&gt;0,INDEX(Profils!$AA$5:$AA$34,$AE219)&lt;=$AH219),ROUND(INDEX(Profils!$L$5:$L$34,$AE219)*Paramètres!$E$28*$AG219*$AJ219,Paramètres!$F$28),0)</f>
        <v>0</v>
      </c>
      <c r="S219" s="20" t="n">
        <f aca="false" t="array" ref="S219:S219">IF(AND(INDEX(Profils!$M$5:$M$34,$AE219)&gt;0,INDEX(Profils!$AB$5:$AB$34,$AE219)&lt;=$AH219),ROUND(INDEX(Profils!$M$5:$M$34,$AE219)*Paramètres!$E$29*$AG219*$AJ219,Paramètres!$F$29),0)</f>
        <v>0</v>
      </c>
      <c r="T219" s="20" t="n">
        <f aca="false" t="array" ref="T219:T219">IF(AND(INDEX(Profils!$N$5:$N$34,$AE219)&gt;0,INDEX(Profils!$AC$5:$AC$34,$AE219)&lt;=$AH219),ROUND(INDEX(Profils!$N$5:$N$34,$AE219)*Paramètres!$E$30*$AG219*$AJ219,Paramètres!$F$30),0)</f>
        <v>0</v>
      </c>
      <c r="U219" s="19" t="n">
        <f aca="false" t="array" ref="U219:U219">IF(AND(INDEX(Profils!$O$5:$O$34,$AE219)&gt;0,INDEX(Profils!$AD$5:$AD$34,$AE219)&lt;=$AH219),ROUND(INDEX(Profils!$O$5:$O$34,$AE219)*Paramètres!$E$31*$AG219*$AJ219,Paramètres!$F$31),0)</f>
        <v>0</v>
      </c>
      <c r="V219" s="20" t="n">
        <f aca="false" t="array" ref="V219:V219">IF(AND(INDEX(Profils!$P$5:$P$34,$AE219)&gt;0,INDEX(Profils!$AE$5:$AE$34,$AE219)&lt;=$AH219),ROUND(INDEX(Profils!$P$5:$P$34,$AE219)*Paramètres!$E$32*$AG219*$AJ219,Paramètres!$F$32),0)</f>
        <v>0</v>
      </c>
      <c r="W219" s="20" t="n">
        <f aca="false" t="array" ref="W219:W219">IF(AND(INDEX(Profils!$Q$5:$Q$34,$AE219)&gt;0,INDEX(Profils!$AF$5:$AF$34,$AE219)&lt;=$AH219),ROUND(INDEX(Profils!$Q$5:$Q$34,$AE219)*Paramètres!$E$33*$AG219*$AJ219,Paramètres!$F$33),0)</f>
        <v>0.016</v>
      </c>
      <c r="X219" s="20" t="n">
        <f aca="false" t="array" ref="X219:X219">IF(AND(INDEX(Profils!$R$5:$R$34,$AE219)&gt;0,INDEX(Profils!$AG$5:$AG$34,$AE219)&lt;=$AH219),ROUND(INDEX(Profils!$R$5:$R$34,$AE219)*Paramètres!$E$34*$AG219*$AJ219,Paramètres!$F$34),0)</f>
        <v>0</v>
      </c>
      <c r="Y219" s="20" t="n">
        <f aca="false" t="array" ref="Y219:Y219">IF(AND(INDEX(Profils!$S$5:$S$34,$AE219)&gt;0,INDEX(Profils!$AH$5:$AH$34,$AE219)&lt;=$AH219),ROUND(INDEX(Profils!$S$5:$S$34,$AE219)*Paramètres!$E$35*$AG219*$AJ219,Paramètres!$F$35),0)</f>
        <v>0.016</v>
      </c>
      <c r="Z219" s="21" t="n">
        <f aca="false">ROUND(L219/Paramètres!$E$22+M219/Paramètres!$E$23+N219/Paramètres!$E$24+O219/Paramètres!$E$25+P219/Paramètres!$E$26+Q219/Paramètres!$E$27+R219/Paramètres!$E$28+S219/Paramètres!$E$29+T219/Paramètres!$E$30+U219/Paramètres!$E$31+V219/Paramètres!$E$32+W219/Paramètres!$E$33+X219/Paramètres!$E$34+Y219/Paramètres!$E$35,1)</f>
        <v>5.5</v>
      </c>
      <c r="AA219" s="22" t="s">
        <v>109</v>
      </c>
      <c r="AB219" s="22" t="s">
        <v>109</v>
      </c>
      <c r="AC219" s="15" t="str">
        <f aca="false">$E219</f>
        <v>orichalque</v>
      </c>
      <c r="AD219" s="16" t="n">
        <f aca="false" t="array" ref="AD219:AD219">IF($I219&gt;=$AI219,"Max",ROUND(Paramètres!$B$40*($I219+1)^Paramètres!$B$41*INDEX(Paramètres!$H$6:$H$12,$AF219),0))</f>
        <v>5</v>
      </c>
      <c r="AE219" s="23" t="n">
        <f aca="false">MATCH($B219&amp;"|"&amp;$C219,Profils!$A$5:$A$34,0)</f>
        <v>7</v>
      </c>
      <c r="AF219" s="23" t="n">
        <v>4</v>
      </c>
      <c r="AG219" s="24" t="n">
        <f aca="false" t="array" ref="AG219:AG219">INDEX(Paramètres!$C$6:$C$12,$AF219)</f>
        <v>1.75</v>
      </c>
      <c r="AH219" s="23" t="n">
        <f aca="false" t="array" ref="AH219:AH219">INDEX(Paramètres!$D$6:$D$12,$AF219)</f>
        <v>5</v>
      </c>
      <c r="AI219" s="23" t="n">
        <f aca="false" t="array" ref="AI219:AI219">INDEX(Matériaux!$C$16:$C$20,$D219)</f>
        <v>30</v>
      </c>
      <c r="AJ219" s="25" t="n">
        <f aca="false">Paramètres!$B$16+(1-Paramètres!$B$16)*(($J219-Paramètres!$B$14)/(Paramètres!$B$15-Paramètres!$B$14))^Paramètres!$B$17</f>
        <v>0.665999387952727</v>
      </c>
    </row>
    <row r="220" customFormat="false" ht="15.75" hidden="false" customHeight="true" outlineLevel="0" collapsed="false">
      <c r="A220" s="14" t="s">
        <v>333</v>
      </c>
      <c r="B220" s="15" t="s">
        <v>27</v>
      </c>
      <c r="C220" s="15" t="s">
        <v>305</v>
      </c>
      <c r="D220" s="16" t="n">
        <v>5</v>
      </c>
      <c r="E220" s="15" t="str">
        <f aca="false" t="array" ref="E220:E220">INDEX(Matériaux!$B$5:$F$12,MATCH(INDEX(Profils!$E$5:$E$34,$AE220),Matériaux!$A$5:$A$12,0),$D220)</f>
        <v>orichalque</v>
      </c>
      <c r="F220" s="29" t="s">
        <v>117</v>
      </c>
      <c r="G220" s="10" t="str">
        <f aca="false" t="array" ref="G220:G220">INDEX(Profils!$D$5:$D$34,$AE220)&amp;" en "&amp;$E220</f>
        <v>Chevalière en orichalque</v>
      </c>
      <c r="H220" s="16" t="n">
        <f aca="false" t="array" ref="H220:H220">INDEX(Matériaux!$B$16:$B$20,$D220)</f>
        <v>70</v>
      </c>
      <c r="I220" s="16" t="n">
        <f aca="false">IF(ISNUMBER($C$3),MIN(MAX(0,ROUND($C$3,0)),$AI220),$AI220)</f>
        <v>0</v>
      </c>
      <c r="J220" s="18" t="n">
        <f aca="false">$H220+$I220</f>
        <v>70</v>
      </c>
      <c r="K220" s="15" t="s">
        <v>109</v>
      </c>
      <c r="L220" s="19" t="n">
        <f aca="false" t="array" ref="L220:L220">IF(AND(INDEX(Profils!$F$5:$F$34,$AE220)&gt;0,INDEX(Profils!$U$5:$U$34,$AE220)&lt;=$AH220),ROUND(INDEX(Profils!$F$5:$F$34,$AE220)*Paramètres!$E$22*$AG220*$AJ220,Paramètres!$F$22),0)</f>
        <v>42</v>
      </c>
      <c r="M220" s="19" t="n">
        <f aca="false" t="array" ref="M220:M220">IF(AND(INDEX(Profils!$G$5:$G$34,$AE220)&gt;0,INDEX(Profils!$V$5:$V$34,$AE220)&lt;=$AH220),ROUND(INDEX(Profils!$G$5:$G$34,$AE220)*Paramètres!$E$23*$AG220*$AJ220,Paramètres!$F$23),0)</f>
        <v>0</v>
      </c>
      <c r="N220" s="19" t="n">
        <f aca="false" t="array" ref="N220:N220">IF(AND(INDEX(Profils!$H$5:$H$34,$AE220)&gt;0,INDEX(Profils!$W$5:$W$34,$AE220)&lt;=$AH220),ROUND(INDEX(Profils!$H$5:$H$34,$AE220)*Paramètres!$E$24*$AG220*$AJ220,Paramètres!$F$24),0)</f>
        <v>21</v>
      </c>
      <c r="O220" s="19" t="n">
        <f aca="false" t="array" ref="O220:O220">IF(AND(INDEX(Profils!$I$5:$I$34,$AE220)&gt;0,INDEX(Profils!$X$5:$X$34,$AE220)&lt;=$AH220),ROUND(INDEX(Profils!$I$5:$I$34,$AE220)*Paramètres!$E$25*$AG220*$AJ220,Paramètres!$F$25),0)</f>
        <v>0</v>
      </c>
      <c r="P220" s="19" t="n">
        <f aca="false" t="array" ref="P220:P220">IF(AND(INDEX(Profils!$J$5:$J$34,$AE220)&gt;0,INDEX(Profils!$Y$5:$Y$34,$AE220)&lt;=$AH220),ROUND(INDEX(Profils!$J$5:$J$34,$AE220)*Paramètres!$E$26*$AG220*$AJ220,Paramètres!$F$26),0)</f>
        <v>0</v>
      </c>
      <c r="Q220" s="19" t="n">
        <f aca="false" t="array" ref="Q220:Q220">IF(AND(INDEX(Profils!$K$5:$K$34,$AE220)&gt;0,INDEX(Profils!$Z$5:$Z$34,$AE220)&lt;=$AH220),ROUND(INDEX(Profils!$K$5:$K$34,$AE220)*Paramètres!$E$27*$AG220*$AJ220,Paramètres!$F$27),0)</f>
        <v>10</v>
      </c>
      <c r="R220" s="20" t="n">
        <f aca="false" t="array" ref="R220:R220">IF(AND(INDEX(Profils!$L$5:$L$34,$AE220)&gt;0,INDEX(Profils!$AA$5:$AA$34,$AE220)&lt;=$AH220),ROUND(INDEX(Profils!$L$5:$L$34,$AE220)*Paramètres!$E$28*$AG220*$AJ220,Paramètres!$F$28),0)</f>
        <v>0</v>
      </c>
      <c r="S220" s="20" t="n">
        <f aca="false" t="array" ref="S220:S220">IF(AND(INDEX(Profils!$M$5:$M$34,$AE220)&gt;0,INDEX(Profils!$AB$5:$AB$34,$AE220)&lt;=$AH220),ROUND(INDEX(Profils!$M$5:$M$34,$AE220)*Paramètres!$E$29*$AG220*$AJ220,Paramètres!$F$29),0)</f>
        <v>0</v>
      </c>
      <c r="T220" s="20" t="n">
        <f aca="false" t="array" ref="T220:T220">IF(AND(INDEX(Profils!$N$5:$N$34,$AE220)&gt;0,INDEX(Profils!$AC$5:$AC$34,$AE220)&lt;=$AH220),ROUND(INDEX(Profils!$N$5:$N$34,$AE220)*Paramètres!$E$30*$AG220*$AJ220,Paramètres!$F$30),0)</f>
        <v>0</v>
      </c>
      <c r="U220" s="19" t="n">
        <f aca="false" t="array" ref="U220:U220">IF(AND(INDEX(Profils!$O$5:$O$34,$AE220)&gt;0,INDEX(Profils!$AD$5:$AD$34,$AE220)&lt;=$AH220),ROUND(INDEX(Profils!$O$5:$O$34,$AE220)*Paramètres!$E$31*$AG220*$AJ220,Paramètres!$F$31),0)</f>
        <v>17</v>
      </c>
      <c r="V220" s="20" t="n">
        <f aca="false" t="array" ref="V220:V220">IF(AND(INDEX(Profils!$P$5:$P$34,$AE220)&gt;0,INDEX(Profils!$AE$5:$AE$34,$AE220)&lt;=$AH220),ROUND(INDEX(Profils!$P$5:$P$34,$AE220)*Paramètres!$E$32*$AG220*$AJ220,Paramètres!$F$32),0)</f>
        <v>0</v>
      </c>
      <c r="W220" s="20" t="n">
        <f aca="false" t="array" ref="W220:W220">IF(AND(INDEX(Profils!$Q$5:$Q$34,$AE220)&gt;0,INDEX(Profils!$AF$5:$AF$34,$AE220)&lt;=$AH220),ROUND(INDEX(Profils!$Q$5:$Q$34,$AE220)*Paramètres!$E$33*$AG220*$AJ220,Paramètres!$F$33),0)</f>
        <v>0.019</v>
      </c>
      <c r="X220" s="20" t="n">
        <f aca="false" t="array" ref="X220:X220">IF(AND(INDEX(Profils!$R$5:$R$34,$AE220)&gt;0,INDEX(Profils!$AG$5:$AG$34,$AE220)&lt;=$AH220),ROUND(INDEX(Profils!$R$5:$R$34,$AE220)*Paramètres!$E$34*$AG220*$AJ220,Paramètres!$F$34),0)</f>
        <v>0</v>
      </c>
      <c r="Y220" s="20" t="n">
        <f aca="false" t="array" ref="Y220:Y220">IF(AND(INDEX(Profils!$S$5:$S$34,$AE220)&gt;0,INDEX(Profils!$AH$5:$AH$34,$AE220)&lt;=$AH220),ROUND(INDEX(Profils!$S$5:$S$34,$AE220)*Paramètres!$E$35*$AG220*$AJ220,Paramètres!$F$35),0)</f>
        <v>0.019</v>
      </c>
      <c r="Z220" s="21" t="n">
        <f aca="false">ROUND(L220/Paramètres!$E$22+M220/Paramètres!$E$23+N220/Paramètres!$E$24+O220/Paramètres!$E$25+P220/Paramètres!$E$26+Q220/Paramètres!$E$27+R220/Paramètres!$E$28+S220/Paramètres!$E$29+T220/Paramètres!$E$30+U220/Paramètres!$E$31+V220/Paramètres!$E$32+W220/Paramètres!$E$33+X220/Paramètres!$E$34+Y220/Paramètres!$E$35,1)</f>
        <v>7.5</v>
      </c>
      <c r="AA220" s="22" t="s">
        <v>109</v>
      </c>
      <c r="AB220" s="22" t="s">
        <v>109</v>
      </c>
      <c r="AC220" s="15" t="str">
        <f aca="false">$E220</f>
        <v>orichalque</v>
      </c>
      <c r="AD220" s="16" t="n">
        <f aca="false" t="array" ref="AD220:AD220">IF($I220&gt;=$AI220,"Max",ROUND(Paramètres!$B$40*($I220+1)^Paramètres!$B$41*INDEX(Paramètres!$H$6:$H$12,$AF220),0))</f>
        <v>6</v>
      </c>
      <c r="AE220" s="23" t="n">
        <f aca="false">MATCH($B220&amp;"|"&amp;$C220,Profils!$A$5:$A$34,0)</f>
        <v>7</v>
      </c>
      <c r="AF220" s="23" t="n">
        <v>5</v>
      </c>
      <c r="AG220" s="24" t="n">
        <f aca="false" t="array" ref="AG220:AG220">INDEX(Paramètres!$C$6:$C$12,$AF220)</f>
        <v>2.1</v>
      </c>
      <c r="AH220" s="23" t="n">
        <f aca="false" t="array" ref="AH220:AH220">INDEX(Paramètres!$D$6:$D$12,$AF220)</f>
        <v>6</v>
      </c>
      <c r="AI220" s="23" t="n">
        <f aca="false" t="array" ref="AI220:AI220">INDEX(Matériaux!$C$16:$C$20,$D220)</f>
        <v>30</v>
      </c>
      <c r="AJ220" s="25" t="n">
        <f aca="false">Paramètres!$B$16+(1-Paramètres!$B$16)*(($J220-Paramètres!$B$14)/(Paramètres!$B$15-Paramètres!$B$14))^Paramètres!$B$17</f>
        <v>0.665999387952727</v>
      </c>
    </row>
    <row r="221" customFormat="false" ht="15.75" hidden="false" customHeight="true" outlineLevel="0" collapsed="false">
      <c r="A221" s="14" t="s">
        <v>334</v>
      </c>
      <c r="B221" s="15" t="s">
        <v>27</v>
      </c>
      <c r="C221" s="15" t="s">
        <v>305</v>
      </c>
      <c r="D221" s="16" t="n">
        <v>5</v>
      </c>
      <c r="E221" s="15" t="str">
        <f aca="false" t="array" ref="E221:E221">INDEX(Matériaux!$B$5:$F$12,MATCH(INDEX(Profils!$E$5:$E$34,$AE221),Matériaux!$A$5:$A$12,0),$D221)</f>
        <v>orichalque</v>
      </c>
      <c r="F221" s="30" t="s">
        <v>119</v>
      </c>
      <c r="G221" s="10" t="str">
        <f aca="false" t="array" ref="G221:G221">INDEX(Profils!$D$5:$D$34,$AE221)&amp;" en "&amp;$E221</f>
        <v>Chevalière en orichalque</v>
      </c>
      <c r="H221" s="16" t="n">
        <f aca="false" t="array" ref="H221:H221">INDEX(Matériaux!$B$16:$B$20,$D221)</f>
        <v>70</v>
      </c>
      <c r="I221" s="16" t="n">
        <f aca="false">IF(ISNUMBER($C$3),MIN(MAX(0,ROUND($C$3,0)),$AI221),$AI221)</f>
        <v>0</v>
      </c>
      <c r="J221" s="18" t="n">
        <f aca="false">$H221+$I221</f>
        <v>70</v>
      </c>
      <c r="K221" s="15" t="s">
        <v>109</v>
      </c>
      <c r="L221" s="19" t="n">
        <f aca="false" t="array" ref="L221:L221">IF(AND(INDEX(Profils!$F$5:$F$34,$AE221)&gt;0,INDEX(Profils!$U$5:$U$34,$AE221)&lt;=$AH221),ROUND(INDEX(Profils!$F$5:$F$34,$AE221)*Paramètres!$E$22*$AG221*$AJ221,Paramètres!$F$22),0)</f>
        <v>48</v>
      </c>
      <c r="M221" s="19" t="n">
        <f aca="false" t="array" ref="M221:M221">IF(AND(INDEX(Profils!$G$5:$G$34,$AE221)&gt;0,INDEX(Profils!$V$5:$V$34,$AE221)&lt;=$AH221),ROUND(INDEX(Profils!$G$5:$G$34,$AE221)*Paramètres!$E$23*$AG221*$AJ221,Paramètres!$F$23),0)</f>
        <v>12</v>
      </c>
      <c r="N221" s="19" t="n">
        <f aca="false" t="array" ref="N221:N221">IF(AND(INDEX(Profils!$H$5:$H$34,$AE221)&gt;0,INDEX(Profils!$W$5:$W$34,$AE221)&lt;=$AH221),ROUND(INDEX(Profils!$H$5:$H$34,$AE221)*Paramètres!$E$24*$AG221*$AJ221,Paramètres!$F$24),0)</f>
        <v>24</v>
      </c>
      <c r="O221" s="19" t="n">
        <f aca="false" t="array" ref="O221:O221">IF(AND(INDEX(Profils!$I$5:$I$34,$AE221)&gt;0,INDEX(Profils!$X$5:$X$34,$AE221)&lt;=$AH221),ROUND(INDEX(Profils!$I$5:$I$34,$AE221)*Paramètres!$E$25*$AG221*$AJ221,Paramètres!$F$25),0)</f>
        <v>0</v>
      </c>
      <c r="P221" s="19" t="n">
        <f aca="false" t="array" ref="P221:P221">IF(AND(INDEX(Profils!$J$5:$J$34,$AE221)&gt;0,INDEX(Profils!$Y$5:$Y$34,$AE221)&lt;=$AH221),ROUND(INDEX(Profils!$J$5:$J$34,$AE221)*Paramètres!$E$26*$AG221*$AJ221,Paramètres!$F$26),0)</f>
        <v>0</v>
      </c>
      <c r="Q221" s="19" t="n">
        <f aca="false" t="array" ref="Q221:Q221">IF(AND(INDEX(Profils!$K$5:$K$34,$AE221)&gt;0,INDEX(Profils!$Z$5:$Z$34,$AE221)&lt;=$AH221),ROUND(INDEX(Profils!$K$5:$K$34,$AE221)*Paramètres!$E$27*$AG221*$AJ221,Paramètres!$F$27),0)</f>
        <v>11</v>
      </c>
      <c r="R221" s="20" t="n">
        <f aca="false" t="array" ref="R221:R221">IF(AND(INDEX(Profils!$L$5:$L$34,$AE221)&gt;0,INDEX(Profils!$AA$5:$AA$34,$AE221)&lt;=$AH221),ROUND(INDEX(Profils!$L$5:$L$34,$AE221)*Paramètres!$E$28*$AG221*$AJ221,Paramètres!$F$28),0)</f>
        <v>0</v>
      </c>
      <c r="S221" s="20" t="n">
        <f aca="false" t="array" ref="S221:S221">IF(AND(INDEX(Profils!$M$5:$M$34,$AE221)&gt;0,INDEX(Profils!$AB$5:$AB$34,$AE221)&lt;=$AH221),ROUND(INDEX(Profils!$M$5:$M$34,$AE221)*Paramètres!$E$29*$AG221*$AJ221,Paramètres!$F$29),0)</f>
        <v>0</v>
      </c>
      <c r="T221" s="20" t="n">
        <f aca="false" t="array" ref="T221:T221">IF(AND(INDEX(Profils!$N$5:$N$34,$AE221)&gt;0,INDEX(Profils!$AC$5:$AC$34,$AE221)&lt;=$AH221),ROUND(INDEX(Profils!$N$5:$N$34,$AE221)*Paramètres!$E$30*$AG221*$AJ221,Paramètres!$F$30),0)</f>
        <v>0</v>
      </c>
      <c r="U221" s="19" t="n">
        <f aca="false" t="array" ref="U221:U221">IF(AND(INDEX(Profils!$O$5:$O$34,$AE221)&gt;0,INDEX(Profils!$AD$5:$AD$34,$AE221)&lt;=$AH221),ROUND(INDEX(Profils!$O$5:$O$34,$AE221)*Paramètres!$E$31*$AG221*$AJ221,Paramètres!$F$31),0)</f>
        <v>19</v>
      </c>
      <c r="V221" s="20" t="n">
        <f aca="false" t="array" ref="V221:V221">IF(AND(INDEX(Profils!$P$5:$P$34,$AE221)&gt;0,INDEX(Profils!$AE$5:$AE$34,$AE221)&lt;=$AH221),ROUND(INDEX(Profils!$P$5:$P$34,$AE221)*Paramètres!$E$32*$AG221*$AJ221,Paramètres!$F$32),0)</f>
        <v>0</v>
      </c>
      <c r="W221" s="20" t="n">
        <f aca="false" t="array" ref="W221:W221">IF(AND(INDEX(Profils!$Q$5:$Q$34,$AE221)&gt;0,INDEX(Profils!$AF$5:$AF$34,$AE221)&lt;=$AH221),ROUND(INDEX(Profils!$Q$5:$Q$34,$AE221)*Paramètres!$E$33*$AG221*$AJ221,Paramètres!$F$33),0)</f>
        <v>0.022</v>
      </c>
      <c r="X221" s="20" t="n">
        <f aca="false" t="array" ref="X221:X221">IF(AND(INDEX(Profils!$R$5:$R$34,$AE221)&gt;0,INDEX(Profils!$AG$5:$AG$34,$AE221)&lt;=$AH221),ROUND(INDEX(Profils!$R$5:$R$34,$AE221)*Paramètres!$E$34*$AG221*$AJ221,Paramètres!$F$34),0)</f>
        <v>0</v>
      </c>
      <c r="Y221" s="20" t="n">
        <f aca="false" t="array" ref="Y221:Y221">IF(AND(INDEX(Profils!$S$5:$S$34,$AE221)&gt;0,INDEX(Profils!$AH$5:$AH$34,$AE221)&lt;=$AH221),ROUND(INDEX(Profils!$S$5:$S$34,$AE221)*Paramètres!$E$35*$AG221*$AJ221,Paramètres!$F$35),0)</f>
        <v>0.022</v>
      </c>
      <c r="Z221" s="21" t="n">
        <f aca="false">ROUND(L221/Paramètres!$E$22+M221/Paramètres!$E$23+N221/Paramètres!$E$24+O221/Paramètres!$E$25+P221/Paramètres!$E$26+Q221/Paramètres!$E$27+R221/Paramètres!$E$28+S221/Paramètres!$E$29+T221/Paramètres!$E$30+U221/Paramètres!$E$31+V221/Paramètres!$E$32+W221/Paramètres!$E$33+X221/Paramètres!$E$34+Y221/Paramètres!$E$35,1)</f>
        <v>9.3</v>
      </c>
      <c r="AA221" s="22" t="s">
        <v>109</v>
      </c>
      <c r="AB221" s="22" t="s">
        <v>109</v>
      </c>
      <c r="AC221" s="15" t="str">
        <f aca="false">$E221</f>
        <v>orichalque</v>
      </c>
      <c r="AD221" s="16" t="n">
        <f aca="false" t="array" ref="AD221:AD221">IF($I221&gt;=$AI221,"Max",ROUND(Paramètres!$B$40*($I221+1)^Paramètres!$B$41*INDEX(Paramètres!$H$6:$H$12,$AF221),0))</f>
        <v>8</v>
      </c>
      <c r="AE221" s="23" t="n">
        <f aca="false">MATCH($B221&amp;"|"&amp;$C221,Profils!$A$5:$A$34,0)</f>
        <v>7</v>
      </c>
      <c r="AF221" s="23" t="n">
        <v>6</v>
      </c>
      <c r="AG221" s="24" t="n">
        <f aca="false" t="array" ref="AG221:AG221">INDEX(Paramètres!$C$6:$C$12,$AF221)</f>
        <v>2.4</v>
      </c>
      <c r="AH221" s="23" t="n">
        <f aca="false" t="array" ref="AH221:AH221">INDEX(Paramètres!$D$6:$D$12,$AF221)</f>
        <v>7</v>
      </c>
      <c r="AI221" s="23" t="n">
        <f aca="false" t="array" ref="AI221:AI221">INDEX(Matériaux!$C$16:$C$20,$D221)</f>
        <v>30</v>
      </c>
      <c r="AJ221" s="25" t="n">
        <f aca="false">Paramètres!$B$16+(1-Paramètres!$B$16)*(($J221-Paramètres!$B$14)/(Paramètres!$B$15-Paramètres!$B$14))^Paramètres!$B$17</f>
        <v>0.665999387952727</v>
      </c>
    </row>
    <row r="222" customFormat="false" ht="15.75" hidden="false" customHeight="true" outlineLevel="0" collapsed="false">
      <c r="A222" s="14" t="s">
        <v>335</v>
      </c>
      <c r="B222" s="15" t="s">
        <v>27</v>
      </c>
      <c r="C222" s="15" t="s">
        <v>305</v>
      </c>
      <c r="D222" s="16" t="s">
        <v>109</v>
      </c>
      <c r="E222" s="15" t="s">
        <v>109</v>
      </c>
      <c r="F222" s="31" t="s">
        <v>38</v>
      </c>
      <c r="G222" s="10" t="str">
        <f aca="false" t="array" ref="G222:G222">INDEX(Uniques!$E$5:$E$34,MATCH($B222&amp;"|"&amp;$C222,Uniques!$A$5:$A$34,0))</f>
        <v>Chevalière du Gardien des Marées</v>
      </c>
      <c r="H222" s="16" t="n">
        <f aca="false" t="array" ref="H222:H222">INDEX(Uniques!$L$5:$L$34,MATCH($B222&amp;"|"&amp;$C222,Uniques!$A$5:$A$34,0))</f>
        <v>51</v>
      </c>
      <c r="I222" s="16" t="n">
        <f aca="false">IF(ISNUMBER($C$3),MIN(MAX(0,ROUND($C$3,0)),$AI222),$AI222)</f>
        <v>0</v>
      </c>
      <c r="J222" s="18" t="n">
        <f aca="false">$H222+$I222</f>
        <v>51</v>
      </c>
      <c r="K222" s="15" t="str">
        <f aca="false" t="array" ref="K222:K222">INDEX(Uniques!$F$5:$F$34,MATCH($B222&amp;"|"&amp;$C222,Uniques!$A$5:$A$34,0))</f>
        <v>Eau</v>
      </c>
      <c r="L222" s="19" t="n">
        <f aca="false" t="array" ref="L222:L222">IF(AND(INDEX(Profils!$F$5:$F$34,$AE222)&gt;0,INDEX(Profils!$U$5:$U$34,$AE222)&lt;=$AH222),ROUND(INDEX(Profils!$F$5:$F$34,$AE222)*Paramètres!$E$22*$AG222*$AJ222,Paramètres!$F$22),0)</f>
        <v>35</v>
      </c>
      <c r="M222" s="19" t="n">
        <f aca="false" t="array" ref="M222:M222">IF(AND(INDEX(Profils!$G$5:$G$34,$AE222)&gt;0,INDEX(Profils!$V$5:$V$34,$AE222)&lt;=$AH222),ROUND(INDEX(Profils!$G$5:$G$34,$AE222)*Paramètres!$E$23*$AG222*$AJ222,Paramètres!$F$23),0)</f>
        <v>9</v>
      </c>
      <c r="N222" s="19" t="n">
        <f aca="false" t="array" ref="N222:N222">IF(AND(INDEX(Profils!$H$5:$H$34,$AE222)&gt;0,INDEX(Profils!$W$5:$W$34,$AE222)&lt;=$AH222),ROUND(INDEX(Profils!$H$5:$H$34,$AE222)*Paramètres!$E$24*$AG222*$AJ222,Paramètres!$F$24),0)</f>
        <v>18</v>
      </c>
      <c r="O222" s="19" t="n">
        <f aca="false" t="array" ref="O222:O222">IF(AND(INDEX(Profils!$I$5:$I$34,$AE222)&gt;0,INDEX(Profils!$X$5:$X$34,$AE222)&lt;=$AH222),ROUND(INDEX(Profils!$I$5:$I$34,$AE222)*Paramètres!$E$25*$AG222*$AJ222,Paramètres!$F$25),0)</f>
        <v>0</v>
      </c>
      <c r="P222" s="19" t="n">
        <f aca="false" t="array" ref="P222:P222">IF(AND(INDEX(Profils!$J$5:$J$34,$AE222)&gt;0,INDEX(Profils!$Y$5:$Y$34,$AE222)&lt;=$AH222),ROUND(INDEX(Profils!$J$5:$J$34,$AE222)*Paramètres!$E$26*$AG222*$AJ222,Paramètres!$F$26),0)</f>
        <v>0</v>
      </c>
      <c r="Q222" s="19" t="n">
        <f aca="false" t="array" ref="Q222:Q222">IF(AND(INDEX(Profils!$K$5:$K$34,$AE222)&gt;0,INDEX(Profils!$Z$5:$Z$34,$AE222)&lt;=$AH222),ROUND(INDEX(Profils!$K$5:$K$34,$AE222)*Paramètres!$E$27*$AG222*$AJ222,Paramètres!$F$27),0)</f>
        <v>8</v>
      </c>
      <c r="R222" s="20" t="n">
        <f aca="false" t="array" ref="R222:R222">IF(AND(INDEX(Profils!$L$5:$L$34,$AE222)&gt;0,INDEX(Profils!$AA$5:$AA$34,$AE222)&lt;=$AH222),ROUND(INDEX(Profils!$L$5:$L$34,$AE222)*Paramètres!$E$28*$AG222*$AJ222,Paramètres!$F$28),0)</f>
        <v>0</v>
      </c>
      <c r="S222" s="20" t="n">
        <f aca="false" t="array" ref="S222:S222">IF(AND(INDEX(Profils!$M$5:$M$34,$AE222)&gt;0,INDEX(Profils!$AB$5:$AB$34,$AE222)&lt;=$AH222),ROUND(INDEX(Profils!$M$5:$M$34,$AE222)*Paramètres!$E$29*$AG222*$AJ222,Paramètres!$F$29),0)</f>
        <v>0</v>
      </c>
      <c r="T222" s="20" t="n">
        <f aca="false" t="array" ref="T222:T222">IF(AND(INDEX(Profils!$N$5:$N$34,$AE222)&gt;0,INDEX(Profils!$AC$5:$AC$34,$AE222)&lt;=$AH222),ROUND(INDEX(Profils!$N$5:$N$34,$AE222)*Paramètres!$E$30*$AG222*$AJ222,Paramètres!$F$30),0)</f>
        <v>0</v>
      </c>
      <c r="U222" s="19" t="n">
        <f aca="false" t="array" ref="U222:U222">IF(AND(INDEX(Profils!$O$5:$O$34,$AE222)&gt;0,INDEX(Profils!$AD$5:$AD$34,$AE222)&lt;=$AH222),ROUND(INDEX(Profils!$O$5:$O$34,$AE222)*Paramètres!$E$31*$AG222*$AJ222,Paramètres!$F$31),0)</f>
        <v>14</v>
      </c>
      <c r="V222" s="20" t="n">
        <f aca="false" t="array" ref="V222:V222">IF(AND(INDEX(Profils!$P$5:$P$34,$AE222)&gt;0,INDEX(Profils!$AE$5:$AE$34,$AE222)&lt;=$AH222),ROUND(INDEX(Profils!$P$5:$P$34,$AE222)*Paramètres!$E$32*$AG222*$AJ222,Paramètres!$F$32),0)</f>
        <v>0</v>
      </c>
      <c r="W222" s="20" t="n">
        <f aca="false" t="array" ref="W222:W222">IF(AND(INDEX(Profils!$Q$5:$Q$34,$AE222)&gt;0,INDEX(Profils!$AF$5:$AF$34,$AE222)&lt;=$AH222),ROUND(INDEX(Profils!$Q$5:$Q$34,$AE222)*Paramètres!$E$33*$AG222*$AJ222,Paramètres!$F$33),0)</f>
        <v>0.016</v>
      </c>
      <c r="X222" s="20" t="n">
        <f aca="false" t="array" ref="X222:X222">IF(AND(INDEX(Profils!$R$5:$R$34,$AE222)&gt;0,INDEX(Profils!$AG$5:$AG$34,$AE222)&lt;=$AH222),ROUND(INDEX(Profils!$R$5:$R$34,$AE222)*Paramètres!$E$34*$AG222*$AJ222,Paramètres!$F$34),0)</f>
        <v>0</v>
      </c>
      <c r="Y222" s="20" t="n">
        <f aca="false" t="array" ref="Y222:Y222">IF(AND(INDEX(Profils!$S$5:$S$34,$AE222)&gt;0,INDEX(Profils!$AH$5:$AH$34,$AE222)&lt;=$AH222),ROUND(INDEX(Profils!$S$5:$S$34,$AE222)*Paramètres!$E$35*$AG222*$AJ222,Paramètres!$F$35),0)</f>
        <v>0.016</v>
      </c>
      <c r="Z222" s="21" t="n">
        <f aca="false">ROUND(L222/Paramètres!$E$22+M222/Paramètres!$E$23+N222/Paramètres!$E$24+O222/Paramètres!$E$25+P222/Paramètres!$E$26+Q222/Paramètres!$E$27+R222/Paramètres!$E$28+S222/Paramètres!$E$29+T222/Paramètres!$E$30+U222/Paramètres!$E$31+V222/Paramètres!$E$32+W222/Paramètres!$E$33+X222/Paramètres!$E$34+Y222/Paramètres!$E$35,1)</f>
        <v>6.8</v>
      </c>
      <c r="AA222" s="22" t="str">
        <f aca="false" t="array" ref="AA222:AA222">INDEX(Uniques!$G$5:$G$34,MATCH($B222&amp;"|"&amp;$C222,Uniques!$A$5:$A$34,0))</f>
        <v>Marée apaisante</v>
      </c>
      <c r="AB222" s="22" t="str">
        <f aca="false" t="array" ref="AB222:AB222">INDEX(Uniques!$H$5:$H$34,MATCH($B222&amp;"|"&amp;$C222,Uniques!$A$5:$A$34,0))&amp;" ["&amp;INDEX(Uniques!$I$5:$I$34,MATCH($B222&amp;"|"&amp;$C222,Uniques!$A$5:$A$34,0))&amp;"]"</f>
        <v>Au début du combat puis tous les 4 tours, retire un effet négatif du porteur et le soigne de 3 % de ses PV max. [Recharge : 4 tours.]</v>
      </c>
      <c r="AC222" s="15" t="str">
        <f aca="false" t="array" ref="AC222:AC222">INDEX(Matériaux!$B$5:$F$12,MATCH(INDEX(Profils!$E$5:$E$34,$AE222),Matériaux!$A$5:$A$12,0),MATCH(MIN($J222+1,100),Matériaux!$B$16:$B$20,1))</f>
        <v>platine</v>
      </c>
      <c r="AD222" s="16" t="n">
        <f aca="false" t="array" ref="AD222:AD222">IF($I222&gt;=$AI222,"Max",ROUND(Paramètres!$B$40*($I222+1)^Paramètres!$B$41*INDEX(Paramètres!$H$6:$H$12,$AF222),0))</f>
        <v>9</v>
      </c>
      <c r="AE222" s="23" t="n">
        <f aca="false">MATCH($B222&amp;"|"&amp;$C222,Profils!$A$5:$A$34,0)</f>
        <v>7</v>
      </c>
      <c r="AF222" s="23" t="n">
        <v>7</v>
      </c>
      <c r="AG222" s="24" t="n">
        <f aca="false" t="array" ref="AG222:AG222">INDEX(Paramètres!$C$6:$C$12,$AF222)</f>
        <v>2.5</v>
      </c>
      <c r="AH222" s="23" t="n">
        <f aca="false" t="array" ref="AH222:AH222">INDEX(Paramètres!$D$6:$D$12,$AF222)</f>
        <v>7</v>
      </c>
      <c r="AI222" s="23" t="n">
        <f aca="false" t="array" ref="AI222:AI222">INDEX(Uniques!$M$5:$M$34,MATCH($B222&amp;"|"&amp;$C222,Uniques!$A$5:$A$34,0))</f>
        <v>49</v>
      </c>
      <c r="AJ222" s="25" t="n">
        <f aca="false">Paramètres!$B$16+(1-Paramètres!$B$16)*(($J222-Paramètres!$B$14)/(Paramètres!$B$15-Paramètres!$B$14))^Paramètres!$B$17</f>
        <v>0.468528827698579</v>
      </c>
    </row>
    <row r="223" customFormat="false" ht="15.75" hidden="false" customHeight="true" outlineLevel="0" collapsed="false">
      <c r="A223" s="14" t="s">
        <v>336</v>
      </c>
      <c r="B223" s="15" t="s">
        <v>27</v>
      </c>
      <c r="C223" s="15" t="s">
        <v>337</v>
      </c>
      <c r="D223" s="16" t="n">
        <v>1</v>
      </c>
      <c r="E223" s="15" t="str">
        <f aca="false" t="array" ref="E223:E223">INDEX(Matériaux!$B$5:$F$12,MATCH(INDEX(Profils!$E$5:$E$34,$AE223),Matériaux!$A$5:$A$12,0),$D223)</f>
        <v>cuir</v>
      </c>
      <c r="F223" s="17" t="s">
        <v>108</v>
      </c>
      <c r="G223" s="10" t="str">
        <f aca="false" t="array" ref="G223:G223">INDEX(Profils!$D$5:$D$34,$AE223)&amp;" en "&amp;$E223</f>
        <v>Ceinturon en cuir</v>
      </c>
      <c r="H223" s="16" t="n">
        <f aca="false" t="array" ref="H223:H223">INDEX(Matériaux!$B$16:$B$20,$D223)</f>
        <v>1</v>
      </c>
      <c r="I223" s="16" t="n">
        <f aca="false">IF(ISNUMBER($C$3),MIN(MAX(0,ROUND($C$3,0)),$AI223),$AI223)</f>
        <v>0</v>
      </c>
      <c r="J223" s="18" t="n">
        <f aca="false">$H223+$I223</f>
        <v>1</v>
      </c>
      <c r="K223" s="15" t="s">
        <v>109</v>
      </c>
      <c r="L223" s="19" t="n">
        <f aca="false" t="array" ref="L223:L223">IF(AND(INDEX(Profils!$F$5:$F$34,$AE223)&gt;0,INDEX(Profils!$U$5:$U$34,$AE223)&lt;=$AH223),ROUND(INDEX(Profils!$F$5:$F$34,$AE223)*Paramètres!$E$22*$AG223*$AJ223,Paramètres!$F$22),0)</f>
        <v>2</v>
      </c>
      <c r="M223" s="19" t="n">
        <f aca="false" t="array" ref="M223:M223">IF(AND(INDEX(Profils!$G$5:$G$34,$AE223)&gt;0,INDEX(Profils!$V$5:$V$34,$AE223)&lt;=$AH223),ROUND(INDEX(Profils!$G$5:$G$34,$AE223)*Paramètres!$E$23*$AG223*$AJ223,Paramètres!$F$23),0)</f>
        <v>1</v>
      </c>
      <c r="N223" s="19" t="n">
        <f aca="false" t="array" ref="N223:N223">IF(AND(INDEX(Profils!$H$5:$H$34,$AE223)&gt;0,INDEX(Profils!$W$5:$W$34,$AE223)&lt;=$AH223),ROUND(INDEX(Profils!$H$5:$H$34,$AE223)*Paramètres!$E$24*$AG223*$AJ223,Paramètres!$F$24),0)</f>
        <v>0</v>
      </c>
      <c r="O223" s="19" t="n">
        <f aca="false" t="array" ref="O223:O223">IF(AND(INDEX(Profils!$I$5:$I$34,$AE223)&gt;0,INDEX(Profils!$X$5:$X$34,$AE223)&lt;=$AH223),ROUND(INDEX(Profils!$I$5:$I$34,$AE223)*Paramètres!$E$25*$AG223*$AJ223,Paramètres!$F$25),0)</f>
        <v>0</v>
      </c>
      <c r="P223" s="19" t="n">
        <f aca="false" t="array" ref="P223:P223">IF(AND(INDEX(Profils!$J$5:$J$34,$AE223)&gt;0,INDEX(Profils!$Y$5:$Y$34,$AE223)&lt;=$AH223),ROUND(INDEX(Profils!$J$5:$J$34,$AE223)*Paramètres!$E$26*$AG223*$AJ223,Paramètres!$F$26),0)</f>
        <v>0</v>
      </c>
      <c r="Q223" s="19" t="n">
        <f aca="false" t="array" ref="Q223:Q223">IF(AND(INDEX(Profils!$K$5:$K$34,$AE223)&gt;0,INDEX(Profils!$Z$5:$Z$34,$AE223)&lt;=$AH223),ROUND(INDEX(Profils!$K$5:$K$34,$AE223)*Paramètres!$E$27*$AG223*$AJ223,Paramètres!$F$27),0)</f>
        <v>0</v>
      </c>
      <c r="R223" s="20" t="n">
        <f aca="false" t="array" ref="R223:R223">IF(AND(INDEX(Profils!$L$5:$L$34,$AE223)&gt;0,INDEX(Profils!$AA$5:$AA$34,$AE223)&lt;=$AH223),ROUND(INDEX(Profils!$L$5:$L$34,$AE223)*Paramètres!$E$28*$AG223*$AJ223,Paramètres!$F$28),0)</f>
        <v>0</v>
      </c>
      <c r="S223" s="20" t="n">
        <f aca="false" t="array" ref="S223:S223">IF(AND(INDEX(Profils!$M$5:$M$34,$AE223)&gt;0,INDEX(Profils!$AB$5:$AB$34,$AE223)&lt;=$AH223),ROUND(INDEX(Profils!$M$5:$M$34,$AE223)*Paramètres!$E$29*$AG223*$AJ223,Paramètres!$F$29),0)</f>
        <v>0</v>
      </c>
      <c r="T223" s="20" t="n">
        <f aca="false" t="array" ref="T223:T223">IF(AND(INDEX(Profils!$N$5:$N$34,$AE223)&gt;0,INDEX(Profils!$AC$5:$AC$34,$AE223)&lt;=$AH223),ROUND(INDEX(Profils!$N$5:$N$34,$AE223)*Paramètres!$E$30*$AG223*$AJ223,Paramètres!$F$30),0)</f>
        <v>0</v>
      </c>
      <c r="U223" s="19" t="n">
        <f aca="false" t="array" ref="U223:U223">IF(AND(INDEX(Profils!$O$5:$O$34,$AE223)&gt;0,INDEX(Profils!$AD$5:$AD$34,$AE223)&lt;=$AH223),ROUND(INDEX(Profils!$O$5:$O$34,$AE223)*Paramètres!$E$31*$AG223*$AJ223,Paramètres!$F$31),0)</f>
        <v>0</v>
      </c>
      <c r="V223" s="20" t="n">
        <f aca="false" t="array" ref="V223:V223">IF(AND(INDEX(Profils!$P$5:$P$34,$AE223)&gt;0,INDEX(Profils!$AE$5:$AE$34,$AE223)&lt;=$AH223),ROUND(INDEX(Profils!$P$5:$P$34,$AE223)*Paramètres!$E$32*$AG223*$AJ223,Paramètres!$F$32),0)</f>
        <v>0</v>
      </c>
      <c r="W223" s="20" t="n">
        <f aca="false" t="array" ref="W223:W223">IF(AND(INDEX(Profils!$Q$5:$Q$34,$AE223)&gt;0,INDEX(Profils!$AF$5:$AF$34,$AE223)&lt;=$AH223),ROUND(INDEX(Profils!$Q$5:$Q$34,$AE223)*Paramètres!$E$33*$AG223*$AJ223,Paramètres!$F$33),0)</f>
        <v>0</v>
      </c>
      <c r="X223" s="20" t="n">
        <f aca="false" t="array" ref="X223:X223">IF(AND(INDEX(Profils!$R$5:$R$34,$AE223)&gt;0,INDEX(Profils!$AG$5:$AG$34,$AE223)&lt;=$AH223),ROUND(INDEX(Profils!$R$5:$R$34,$AE223)*Paramètres!$E$34*$AG223*$AJ223,Paramètres!$F$34),0)</f>
        <v>0</v>
      </c>
      <c r="Y223" s="20" t="n">
        <f aca="false" t="array" ref="Y223:Y223">IF(AND(INDEX(Profils!$S$5:$S$34,$AE223)&gt;0,INDEX(Profils!$AH$5:$AH$34,$AE223)&lt;=$AH223),ROUND(INDEX(Profils!$S$5:$S$34,$AE223)*Paramètres!$E$35*$AG223*$AJ223,Paramètres!$F$35),0)</f>
        <v>0</v>
      </c>
      <c r="Z223" s="21" t="n">
        <f aca="false">ROUND(L223/Paramètres!$E$22+M223/Paramètres!$E$23+N223/Paramètres!$E$24+O223/Paramètres!$E$25+P223/Paramètres!$E$26+Q223/Paramètres!$E$27+R223/Paramètres!$E$28+S223/Paramètres!$E$29+T223/Paramètres!$E$30+U223/Paramètres!$E$31+V223/Paramètres!$E$32+W223/Paramètres!$E$33+X223/Paramètres!$E$34+Y223/Paramètres!$E$35,1)</f>
        <v>0.1</v>
      </c>
      <c r="AA223" s="22" t="s">
        <v>109</v>
      </c>
      <c r="AB223" s="22" t="s">
        <v>109</v>
      </c>
      <c r="AC223" s="15" t="str">
        <f aca="false">$E223</f>
        <v>cuir</v>
      </c>
      <c r="AD223" s="16" t="n">
        <f aca="false" t="array" ref="AD223:AD223">IF($I223&gt;=$AI223,"Max",ROUND(Paramètres!$B$40*($I223+1)^Paramètres!$B$41*INDEX(Paramètres!$H$6:$H$12,$AF223),0))</f>
        <v>3</v>
      </c>
      <c r="AE223" s="23" t="n">
        <f aca="false">MATCH($B223&amp;"|"&amp;$C223,Profils!$A$5:$A$34,0)</f>
        <v>8</v>
      </c>
      <c r="AF223" s="23" t="n">
        <v>1</v>
      </c>
      <c r="AG223" s="24" t="n">
        <f aca="false" t="array" ref="AG223:AG223">INDEX(Paramètres!$C$6:$C$12,$AF223)</f>
        <v>1</v>
      </c>
      <c r="AH223" s="23" t="n">
        <f aca="false" t="array" ref="AH223:AH223">INDEX(Paramètres!$D$6:$D$12,$AF223)</f>
        <v>2</v>
      </c>
      <c r="AI223" s="23" t="n">
        <f aca="false" t="array" ref="AI223:AI223">INDEX(Matériaux!$C$16:$C$20,$D223)</f>
        <v>19</v>
      </c>
      <c r="AJ223" s="25" t="n">
        <f aca="false">Paramètres!$B$16+(1-Paramètres!$B$16)*(($J223-Paramètres!$B$14)/(Paramètres!$B$15-Paramètres!$B$14))^Paramètres!$B$17</f>
        <v>0.05</v>
      </c>
    </row>
    <row r="224" customFormat="false" ht="15.75" hidden="false" customHeight="true" outlineLevel="0" collapsed="false">
      <c r="A224" s="14" t="s">
        <v>338</v>
      </c>
      <c r="B224" s="15" t="s">
        <v>27</v>
      </c>
      <c r="C224" s="15" t="s">
        <v>337</v>
      </c>
      <c r="D224" s="16" t="n">
        <v>1</v>
      </c>
      <c r="E224" s="15" t="str">
        <f aca="false" t="array" ref="E224:E224">INDEX(Matériaux!$B$5:$F$12,MATCH(INDEX(Profils!$E$5:$E$34,$AE224),Matériaux!$A$5:$A$12,0),$D224)</f>
        <v>cuir</v>
      </c>
      <c r="F224" s="26" t="s">
        <v>111</v>
      </c>
      <c r="G224" s="10" t="str">
        <f aca="false" t="array" ref="G224:G224">INDEX(Profils!$D$5:$D$34,$AE224)&amp;" en "&amp;$E224</f>
        <v>Ceinturon en cuir</v>
      </c>
      <c r="H224" s="16" t="n">
        <f aca="false" t="array" ref="H224:H224">INDEX(Matériaux!$B$16:$B$20,$D224)</f>
        <v>1</v>
      </c>
      <c r="I224" s="16" t="n">
        <f aca="false">IF(ISNUMBER($C$3),MIN(MAX(0,ROUND($C$3,0)),$AI224),$AI224)</f>
        <v>0</v>
      </c>
      <c r="J224" s="18" t="n">
        <f aca="false">$H224+$I224</f>
        <v>1</v>
      </c>
      <c r="K224" s="15" t="s">
        <v>109</v>
      </c>
      <c r="L224" s="19" t="n">
        <f aca="false" t="array" ref="L224:L224">IF(AND(INDEX(Profils!$F$5:$F$34,$AE224)&gt;0,INDEX(Profils!$U$5:$U$34,$AE224)&lt;=$AH224),ROUND(INDEX(Profils!$F$5:$F$34,$AE224)*Paramètres!$E$22*$AG224*$AJ224,Paramètres!$F$22),0)</f>
        <v>2</v>
      </c>
      <c r="M224" s="19" t="n">
        <f aca="false" t="array" ref="M224:M224">IF(AND(INDEX(Profils!$G$5:$G$34,$AE224)&gt;0,INDEX(Profils!$V$5:$V$34,$AE224)&lt;=$AH224),ROUND(INDEX(Profils!$G$5:$G$34,$AE224)*Paramètres!$E$23*$AG224*$AJ224,Paramètres!$F$23),0)</f>
        <v>1</v>
      </c>
      <c r="N224" s="19" t="n">
        <f aca="false" t="array" ref="N224:N224">IF(AND(INDEX(Profils!$H$5:$H$34,$AE224)&gt;0,INDEX(Profils!$W$5:$W$34,$AE224)&lt;=$AH224),ROUND(INDEX(Profils!$H$5:$H$34,$AE224)*Paramètres!$E$24*$AG224*$AJ224,Paramètres!$F$24),0)</f>
        <v>1</v>
      </c>
      <c r="O224" s="19" t="n">
        <f aca="false" t="array" ref="O224:O224">IF(AND(INDEX(Profils!$I$5:$I$34,$AE224)&gt;0,INDEX(Profils!$X$5:$X$34,$AE224)&lt;=$AH224),ROUND(INDEX(Profils!$I$5:$I$34,$AE224)*Paramètres!$E$25*$AG224*$AJ224,Paramètres!$F$25),0)</f>
        <v>0</v>
      </c>
      <c r="P224" s="19" t="n">
        <f aca="false" t="array" ref="P224:P224">IF(AND(INDEX(Profils!$J$5:$J$34,$AE224)&gt;0,INDEX(Profils!$Y$5:$Y$34,$AE224)&lt;=$AH224),ROUND(INDEX(Profils!$J$5:$J$34,$AE224)*Paramètres!$E$26*$AG224*$AJ224,Paramètres!$F$26),0)</f>
        <v>0</v>
      </c>
      <c r="Q224" s="19" t="n">
        <f aca="false" t="array" ref="Q224:Q224">IF(AND(INDEX(Profils!$K$5:$K$34,$AE224)&gt;0,INDEX(Profils!$Z$5:$Z$34,$AE224)&lt;=$AH224),ROUND(INDEX(Profils!$K$5:$K$34,$AE224)*Paramètres!$E$27*$AG224*$AJ224,Paramètres!$F$27),0)</f>
        <v>0</v>
      </c>
      <c r="R224" s="20" t="n">
        <f aca="false" t="array" ref="R224:R224">IF(AND(INDEX(Profils!$L$5:$L$34,$AE224)&gt;0,INDEX(Profils!$AA$5:$AA$34,$AE224)&lt;=$AH224),ROUND(INDEX(Profils!$L$5:$L$34,$AE224)*Paramètres!$E$28*$AG224*$AJ224,Paramètres!$F$28),0)</f>
        <v>0</v>
      </c>
      <c r="S224" s="20" t="n">
        <f aca="false" t="array" ref="S224:S224">IF(AND(INDEX(Profils!$M$5:$M$34,$AE224)&gt;0,INDEX(Profils!$AB$5:$AB$34,$AE224)&lt;=$AH224),ROUND(INDEX(Profils!$M$5:$M$34,$AE224)*Paramètres!$E$29*$AG224*$AJ224,Paramètres!$F$29),0)</f>
        <v>0</v>
      </c>
      <c r="T224" s="20" t="n">
        <f aca="false" t="array" ref="T224:T224">IF(AND(INDEX(Profils!$N$5:$N$34,$AE224)&gt;0,INDEX(Profils!$AC$5:$AC$34,$AE224)&lt;=$AH224),ROUND(INDEX(Profils!$N$5:$N$34,$AE224)*Paramètres!$E$30*$AG224*$AJ224,Paramètres!$F$30),0)</f>
        <v>0</v>
      </c>
      <c r="U224" s="19" t="n">
        <f aca="false" t="array" ref="U224:U224">IF(AND(INDEX(Profils!$O$5:$O$34,$AE224)&gt;0,INDEX(Profils!$AD$5:$AD$34,$AE224)&lt;=$AH224),ROUND(INDEX(Profils!$O$5:$O$34,$AE224)*Paramètres!$E$31*$AG224*$AJ224,Paramètres!$F$31),0)</f>
        <v>0</v>
      </c>
      <c r="V224" s="20" t="n">
        <f aca="false" t="array" ref="V224:V224">IF(AND(INDEX(Profils!$P$5:$P$34,$AE224)&gt;0,INDEX(Profils!$AE$5:$AE$34,$AE224)&lt;=$AH224),ROUND(INDEX(Profils!$P$5:$P$34,$AE224)*Paramètres!$E$32*$AG224*$AJ224,Paramètres!$F$32),0)</f>
        <v>0</v>
      </c>
      <c r="W224" s="20" t="n">
        <f aca="false" t="array" ref="W224:W224">IF(AND(INDEX(Profils!$Q$5:$Q$34,$AE224)&gt;0,INDEX(Profils!$AF$5:$AF$34,$AE224)&lt;=$AH224),ROUND(INDEX(Profils!$Q$5:$Q$34,$AE224)*Paramètres!$E$33*$AG224*$AJ224,Paramètres!$F$33),0)</f>
        <v>0</v>
      </c>
      <c r="X224" s="20" t="n">
        <f aca="false" t="array" ref="X224:X224">IF(AND(INDEX(Profils!$R$5:$R$34,$AE224)&gt;0,INDEX(Profils!$AG$5:$AG$34,$AE224)&lt;=$AH224),ROUND(INDEX(Profils!$R$5:$R$34,$AE224)*Paramètres!$E$34*$AG224*$AJ224,Paramètres!$F$34),0)</f>
        <v>0</v>
      </c>
      <c r="Y224" s="20" t="n">
        <f aca="false" t="array" ref="Y224:Y224">IF(AND(INDEX(Profils!$S$5:$S$34,$AE224)&gt;0,INDEX(Profils!$AH$5:$AH$34,$AE224)&lt;=$AH224),ROUND(INDEX(Profils!$S$5:$S$34,$AE224)*Paramètres!$E$35*$AG224*$AJ224,Paramètres!$F$35),0)</f>
        <v>0</v>
      </c>
      <c r="Z224" s="21" t="n">
        <f aca="false">ROUND(L224/Paramètres!$E$22+M224/Paramètres!$E$23+N224/Paramètres!$E$24+O224/Paramètres!$E$25+P224/Paramètres!$E$26+Q224/Paramètres!$E$27+R224/Paramètres!$E$28+S224/Paramètres!$E$29+T224/Paramètres!$E$30+U224/Paramètres!$E$31+V224/Paramètres!$E$32+W224/Paramètres!$E$33+X224/Paramètres!$E$34+Y224/Paramètres!$E$35,1)</f>
        <v>0.2</v>
      </c>
      <c r="AA224" s="22" t="s">
        <v>109</v>
      </c>
      <c r="AB224" s="22" t="s">
        <v>109</v>
      </c>
      <c r="AC224" s="15" t="str">
        <f aca="false">$E224</f>
        <v>cuir</v>
      </c>
      <c r="AD224" s="16" t="n">
        <f aca="false" t="array" ref="AD224:AD224">IF($I224&gt;=$AI224,"Max",ROUND(Paramètres!$B$40*($I224+1)^Paramètres!$B$41*INDEX(Paramètres!$H$6:$H$12,$AF224),0))</f>
        <v>4</v>
      </c>
      <c r="AE224" s="23" t="n">
        <f aca="false">MATCH($B224&amp;"|"&amp;$C224,Profils!$A$5:$A$34,0)</f>
        <v>8</v>
      </c>
      <c r="AF224" s="23" t="n">
        <v>2</v>
      </c>
      <c r="AG224" s="24" t="n">
        <f aca="false" t="array" ref="AG224:AG224">INDEX(Paramètres!$C$6:$C$12,$AF224)</f>
        <v>1.2</v>
      </c>
      <c r="AH224" s="23" t="n">
        <f aca="false" t="array" ref="AH224:AH224">INDEX(Paramètres!$D$6:$D$12,$AF224)</f>
        <v>3</v>
      </c>
      <c r="AI224" s="23" t="n">
        <f aca="false" t="array" ref="AI224:AI224">INDEX(Matériaux!$C$16:$C$20,$D224)</f>
        <v>19</v>
      </c>
      <c r="AJ224" s="25" t="n">
        <f aca="false">Paramètres!$B$16+(1-Paramètres!$B$16)*(($J224-Paramètres!$B$14)/(Paramètres!$B$15-Paramètres!$B$14))^Paramètres!$B$17</f>
        <v>0.05</v>
      </c>
    </row>
    <row r="225" customFormat="false" ht="15.75" hidden="false" customHeight="true" outlineLevel="0" collapsed="false">
      <c r="A225" s="14" t="s">
        <v>339</v>
      </c>
      <c r="B225" s="15" t="s">
        <v>27</v>
      </c>
      <c r="C225" s="15" t="s">
        <v>337</v>
      </c>
      <c r="D225" s="16" t="n">
        <v>1</v>
      </c>
      <c r="E225" s="15" t="str">
        <f aca="false" t="array" ref="E225:E225">INDEX(Matériaux!$B$5:$F$12,MATCH(INDEX(Profils!$E$5:$E$34,$AE225),Matériaux!$A$5:$A$12,0),$D225)</f>
        <v>cuir</v>
      </c>
      <c r="F225" s="27" t="s">
        <v>113</v>
      </c>
      <c r="G225" s="10" t="str">
        <f aca="false" t="array" ref="G225:G225">INDEX(Profils!$D$5:$D$34,$AE225)&amp;" en "&amp;$E225</f>
        <v>Ceinturon en cuir</v>
      </c>
      <c r="H225" s="16" t="n">
        <f aca="false" t="array" ref="H225:H225">INDEX(Matériaux!$B$16:$B$20,$D225)</f>
        <v>1</v>
      </c>
      <c r="I225" s="16" t="n">
        <f aca="false">IF(ISNUMBER($C$3),MIN(MAX(0,ROUND($C$3,0)),$AI225),$AI225)</f>
        <v>0</v>
      </c>
      <c r="J225" s="18" t="n">
        <f aca="false">$H225+$I225</f>
        <v>1</v>
      </c>
      <c r="K225" s="15" t="s">
        <v>109</v>
      </c>
      <c r="L225" s="19" t="n">
        <f aca="false" t="array" ref="L225:L225">IF(AND(INDEX(Profils!$F$5:$F$34,$AE225)&gt;0,INDEX(Profils!$U$5:$U$34,$AE225)&lt;=$AH225),ROUND(INDEX(Profils!$F$5:$F$34,$AE225)*Paramètres!$E$22*$AG225*$AJ225,Paramètres!$F$22),0)</f>
        <v>2</v>
      </c>
      <c r="M225" s="19" t="n">
        <f aca="false" t="array" ref="M225:M225">IF(AND(INDEX(Profils!$G$5:$G$34,$AE225)&gt;0,INDEX(Profils!$V$5:$V$34,$AE225)&lt;=$AH225),ROUND(INDEX(Profils!$G$5:$G$34,$AE225)*Paramètres!$E$23*$AG225*$AJ225,Paramètres!$F$23),0)</f>
        <v>1</v>
      </c>
      <c r="N225" s="19" t="n">
        <f aca="false" t="array" ref="N225:N225">IF(AND(INDEX(Profils!$H$5:$H$34,$AE225)&gt;0,INDEX(Profils!$W$5:$W$34,$AE225)&lt;=$AH225),ROUND(INDEX(Profils!$H$5:$H$34,$AE225)*Paramètres!$E$24*$AG225*$AJ225,Paramètres!$F$24),0)</f>
        <v>1</v>
      </c>
      <c r="O225" s="19" t="n">
        <f aca="false" t="array" ref="O225:O225">IF(AND(INDEX(Profils!$I$5:$I$34,$AE225)&gt;0,INDEX(Profils!$X$5:$X$34,$AE225)&lt;=$AH225),ROUND(INDEX(Profils!$I$5:$I$34,$AE225)*Paramètres!$E$25*$AG225*$AJ225,Paramètres!$F$25),0)</f>
        <v>0</v>
      </c>
      <c r="P225" s="19" t="n">
        <f aca="false" t="array" ref="P225:P225">IF(AND(INDEX(Profils!$J$5:$J$34,$AE225)&gt;0,INDEX(Profils!$Y$5:$Y$34,$AE225)&lt;=$AH225),ROUND(INDEX(Profils!$J$5:$J$34,$AE225)*Paramètres!$E$26*$AG225*$AJ225,Paramètres!$F$26),0)</f>
        <v>0</v>
      </c>
      <c r="Q225" s="19" t="n">
        <f aca="false" t="array" ref="Q225:Q225">IF(AND(INDEX(Profils!$K$5:$K$34,$AE225)&gt;0,INDEX(Profils!$Z$5:$Z$34,$AE225)&lt;=$AH225),ROUND(INDEX(Profils!$K$5:$K$34,$AE225)*Paramètres!$E$27*$AG225*$AJ225,Paramètres!$F$27),0)</f>
        <v>0</v>
      </c>
      <c r="R225" s="20" t="n">
        <f aca="false" t="array" ref="R225:R225">IF(AND(INDEX(Profils!$L$5:$L$34,$AE225)&gt;0,INDEX(Profils!$AA$5:$AA$34,$AE225)&lt;=$AH225),ROUND(INDEX(Profils!$L$5:$L$34,$AE225)*Paramètres!$E$28*$AG225*$AJ225,Paramètres!$F$28),0)</f>
        <v>0</v>
      </c>
      <c r="S225" s="20" t="n">
        <f aca="false" t="array" ref="S225:S225">IF(AND(INDEX(Profils!$M$5:$M$34,$AE225)&gt;0,INDEX(Profils!$AB$5:$AB$34,$AE225)&lt;=$AH225),ROUND(INDEX(Profils!$M$5:$M$34,$AE225)*Paramètres!$E$29*$AG225*$AJ225,Paramètres!$F$29),0)</f>
        <v>0</v>
      </c>
      <c r="T225" s="20" t="n">
        <f aca="false" t="array" ref="T225:T225">IF(AND(INDEX(Profils!$N$5:$N$34,$AE225)&gt;0,INDEX(Profils!$AC$5:$AC$34,$AE225)&lt;=$AH225),ROUND(INDEX(Profils!$N$5:$N$34,$AE225)*Paramètres!$E$30*$AG225*$AJ225,Paramètres!$F$30),0)</f>
        <v>0</v>
      </c>
      <c r="U225" s="19" t="n">
        <f aca="false" t="array" ref="U225:U225">IF(AND(INDEX(Profils!$O$5:$O$34,$AE225)&gt;0,INDEX(Profils!$AD$5:$AD$34,$AE225)&lt;=$AH225),ROUND(INDEX(Profils!$O$5:$O$34,$AE225)*Paramètres!$E$31*$AG225*$AJ225,Paramètres!$F$31),0)</f>
        <v>1</v>
      </c>
      <c r="V225" s="20" t="n">
        <f aca="false" t="array" ref="V225:V225">IF(AND(INDEX(Profils!$P$5:$P$34,$AE225)&gt;0,INDEX(Profils!$AE$5:$AE$34,$AE225)&lt;=$AH225),ROUND(INDEX(Profils!$P$5:$P$34,$AE225)*Paramètres!$E$32*$AG225*$AJ225,Paramètres!$F$32),0)</f>
        <v>0</v>
      </c>
      <c r="W225" s="20" t="n">
        <f aca="false" t="array" ref="W225:W225">IF(AND(INDEX(Profils!$Q$5:$Q$34,$AE225)&gt;0,INDEX(Profils!$AF$5:$AF$34,$AE225)&lt;=$AH225),ROUND(INDEX(Profils!$Q$5:$Q$34,$AE225)*Paramètres!$E$33*$AG225*$AJ225,Paramètres!$F$33),0)</f>
        <v>0</v>
      </c>
      <c r="X225" s="20" t="n">
        <f aca="false" t="array" ref="X225:X225">IF(AND(INDEX(Profils!$R$5:$R$34,$AE225)&gt;0,INDEX(Profils!$AG$5:$AG$34,$AE225)&lt;=$AH225),ROUND(INDEX(Profils!$R$5:$R$34,$AE225)*Paramètres!$E$34*$AG225*$AJ225,Paramètres!$F$34),0)</f>
        <v>0</v>
      </c>
      <c r="Y225" s="20" t="n">
        <f aca="false" t="array" ref="Y225:Y225">IF(AND(INDEX(Profils!$S$5:$S$34,$AE225)&gt;0,INDEX(Profils!$AH$5:$AH$34,$AE225)&lt;=$AH225),ROUND(INDEX(Profils!$S$5:$S$34,$AE225)*Paramètres!$E$35*$AG225*$AJ225,Paramètres!$F$35),0)</f>
        <v>0</v>
      </c>
      <c r="Z225" s="21" t="n">
        <f aca="false">ROUND(L225/Paramètres!$E$22+M225/Paramètres!$E$23+N225/Paramètres!$E$24+O225/Paramètres!$E$25+P225/Paramètres!$E$26+Q225/Paramètres!$E$27+R225/Paramètres!$E$28+S225/Paramètres!$E$29+T225/Paramètres!$E$30+U225/Paramètres!$E$31+V225/Paramètres!$E$32+W225/Paramètres!$E$33+X225/Paramètres!$E$34+Y225/Paramètres!$E$35,1)</f>
        <v>0.3</v>
      </c>
      <c r="AA225" s="22" t="s">
        <v>109</v>
      </c>
      <c r="AB225" s="22" t="s">
        <v>109</v>
      </c>
      <c r="AC225" s="15" t="str">
        <f aca="false">$E225</f>
        <v>cuir</v>
      </c>
      <c r="AD225" s="16" t="n">
        <f aca="false" t="array" ref="AD225:AD225">IF($I225&gt;=$AI225,"Max",ROUND(Paramètres!$B$40*($I225+1)^Paramètres!$B$41*INDEX(Paramètres!$H$6:$H$12,$AF225),0))</f>
        <v>4</v>
      </c>
      <c r="AE225" s="23" t="n">
        <f aca="false">MATCH($B225&amp;"|"&amp;$C225,Profils!$A$5:$A$34,0)</f>
        <v>8</v>
      </c>
      <c r="AF225" s="23" t="n">
        <v>3</v>
      </c>
      <c r="AG225" s="24" t="n">
        <f aca="false" t="array" ref="AG225:AG225">INDEX(Paramètres!$C$6:$C$12,$AF225)</f>
        <v>1.45</v>
      </c>
      <c r="AH225" s="23" t="n">
        <f aca="false" t="array" ref="AH225:AH225">INDEX(Paramètres!$D$6:$D$12,$AF225)</f>
        <v>4</v>
      </c>
      <c r="AI225" s="23" t="n">
        <f aca="false" t="array" ref="AI225:AI225">INDEX(Matériaux!$C$16:$C$20,$D225)</f>
        <v>19</v>
      </c>
      <c r="AJ225" s="25" t="n">
        <f aca="false">Paramètres!$B$16+(1-Paramètres!$B$16)*(($J225-Paramètres!$B$14)/(Paramètres!$B$15-Paramètres!$B$14))^Paramètres!$B$17</f>
        <v>0.05</v>
      </c>
    </row>
    <row r="226" customFormat="false" ht="15.75" hidden="false" customHeight="true" outlineLevel="0" collapsed="false">
      <c r="A226" s="14" t="s">
        <v>340</v>
      </c>
      <c r="B226" s="15" t="s">
        <v>27</v>
      </c>
      <c r="C226" s="15" t="s">
        <v>337</v>
      </c>
      <c r="D226" s="16" t="n">
        <v>1</v>
      </c>
      <c r="E226" s="15" t="str">
        <f aca="false" t="array" ref="E226:E226">INDEX(Matériaux!$B$5:$F$12,MATCH(INDEX(Profils!$E$5:$E$34,$AE226),Matériaux!$A$5:$A$12,0),$D226)</f>
        <v>cuir</v>
      </c>
      <c r="F226" s="28" t="s">
        <v>115</v>
      </c>
      <c r="G226" s="10" t="str">
        <f aca="false" t="array" ref="G226:G226">INDEX(Profils!$D$5:$D$34,$AE226)&amp;" en "&amp;$E226</f>
        <v>Ceinturon en cuir</v>
      </c>
      <c r="H226" s="16" t="n">
        <f aca="false" t="array" ref="H226:H226">INDEX(Matériaux!$B$16:$B$20,$D226)</f>
        <v>1</v>
      </c>
      <c r="I226" s="16" t="n">
        <f aca="false">IF(ISNUMBER($C$3),MIN(MAX(0,ROUND($C$3,0)),$AI226),$AI226)</f>
        <v>0</v>
      </c>
      <c r="J226" s="18" t="n">
        <f aca="false">$H226+$I226</f>
        <v>1</v>
      </c>
      <c r="K226" s="15" t="s">
        <v>109</v>
      </c>
      <c r="L226" s="19" t="n">
        <f aca="false" t="array" ref="L226:L226">IF(AND(INDEX(Profils!$F$5:$F$34,$AE226)&gt;0,INDEX(Profils!$U$5:$U$34,$AE226)&lt;=$AH226),ROUND(INDEX(Profils!$F$5:$F$34,$AE226)*Paramètres!$E$22*$AG226*$AJ226,Paramètres!$F$22),0)</f>
        <v>3</v>
      </c>
      <c r="M226" s="19" t="n">
        <f aca="false" t="array" ref="M226:M226">IF(AND(INDEX(Profils!$G$5:$G$34,$AE226)&gt;0,INDEX(Profils!$V$5:$V$34,$AE226)&lt;=$AH226),ROUND(INDEX(Profils!$G$5:$G$34,$AE226)*Paramètres!$E$23*$AG226*$AJ226,Paramètres!$F$23),0)</f>
        <v>1</v>
      </c>
      <c r="N226" s="19" t="n">
        <f aca="false" t="array" ref="N226:N226">IF(AND(INDEX(Profils!$H$5:$H$34,$AE226)&gt;0,INDEX(Profils!$W$5:$W$34,$AE226)&lt;=$AH226),ROUND(INDEX(Profils!$H$5:$H$34,$AE226)*Paramètres!$E$24*$AG226*$AJ226,Paramètres!$F$24),0)</f>
        <v>1</v>
      </c>
      <c r="O226" s="19" t="n">
        <f aca="false" t="array" ref="O226:O226">IF(AND(INDEX(Profils!$I$5:$I$34,$AE226)&gt;0,INDEX(Profils!$X$5:$X$34,$AE226)&lt;=$AH226),ROUND(INDEX(Profils!$I$5:$I$34,$AE226)*Paramètres!$E$25*$AG226*$AJ226,Paramètres!$F$25),0)</f>
        <v>0</v>
      </c>
      <c r="P226" s="19" t="n">
        <f aca="false" t="array" ref="P226:P226">IF(AND(INDEX(Profils!$J$5:$J$34,$AE226)&gt;0,INDEX(Profils!$Y$5:$Y$34,$AE226)&lt;=$AH226),ROUND(INDEX(Profils!$J$5:$J$34,$AE226)*Paramètres!$E$26*$AG226*$AJ226,Paramètres!$F$26),0)</f>
        <v>0</v>
      </c>
      <c r="Q226" s="19" t="n">
        <f aca="false" t="array" ref="Q226:Q226">IF(AND(INDEX(Profils!$K$5:$K$34,$AE226)&gt;0,INDEX(Profils!$Z$5:$Z$34,$AE226)&lt;=$AH226),ROUND(INDEX(Profils!$K$5:$K$34,$AE226)*Paramètres!$E$27*$AG226*$AJ226,Paramètres!$F$27),0)</f>
        <v>0</v>
      </c>
      <c r="R226" s="20" t="n">
        <f aca="false" t="array" ref="R226:R226">IF(AND(INDEX(Profils!$L$5:$L$34,$AE226)&gt;0,INDEX(Profils!$AA$5:$AA$34,$AE226)&lt;=$AH226),ROUND(INDEX(Profils!$L$5:$L$34,$AE226)*Paramètres!$E$28*$AG226*$AJ226,Paramètres!$F$28),0)</f>
        <v>0</v>
      </c>
      <c r="S226" s="20" t="n">
        <f aca="false" t="array" ref="S226:S226">IF(AND(INDEX(Profils!$M$5:$M$34,$AE226)&gt;0,INDEX(Profils!$AB$5:$AB$34,$AE226)&lt;=$AH226),ROUND(INDEX(Profils!$M$5:$M$34,$AE226)*Paramètres!$E$29*$AG226*$AJ226,Paramètres!$F$29),0)</f>
        <v>0</v>
      </c>
      <c r="T226" s="20" t="n">
        <f aca="false" t="array" ref="T226:T226">IF(AND(INDEX(Profils!$N$5:$N$34,$AE226)&gt;0,INDEX(Profils!$AC$5:$AC$34,$AE226)&lt;=$AH226),ROUND(INDEX(Profils!$N$5:$N$34,$AE226)*Paramètres!$E$30*$AG226*$AJ226,Paramètres!$F$30),0)</f>
        <v>0</v>
      </c>
      <c r="U226" s="19" t="n">
        <f aca="false" t="array" ref="U226:U226">IF(AND(INDEX(Profils!$O$5:$O$34,$AE226)&gt;0,INDEX(Profils!$AD$5:$AD$34,$AE226)&lt;=$AH226),ROUND(INDEX(Profils!$O$5:$O$34,$AE226)*Paramètres!$E$31*$AG226*$AJ226,Paramètres!$F$31),0)</f>
        <v>1</v>
      </c>
      <c r="V226" s="20" t="n">
        <f aca="false" t="array" ref="V226:V226">IF(AND(INDEX(Profils!$P$5:$P$34,$AE226)&gt;0,INDEX(Profils!$AE$5:$AE$34,$AE226)&lt;=$AH226),ROUND(INDEX(Profils!$P$5:$P$34,$AE226)*Paramètres!$E$32*$AG226*$AJ226,Paramètres!$F$32),0)</f>
        <v>0.001</v>
      </c>
      <c r="W226" s="20" t="n">
        <f aca="false" t="array" ref="W226:W226">IF(AND(INDEX(Profils!$Q$5:$Q$34,$AE226)&gt;0,INDEX(Profils!$AF$5:$AF$34,$AE226)&lt;=$AH226),ROUND(INDEX(Profils!$Q$5:$Q$34,$AE226)*Paramètres!$E$33*$AG226*$AJ226,Paramètres!$F$33),0)</f>
        <v>0</v>
      </c>
      <c r="X226" s="20" t="n">
        <f aca="false" t="array" ref="X226:X226">IF(AND(INDEX(Profils!$R$5:$R$34,$AE226)&gt;0,INDEX(Profils!$AG$5:$AG$34,$AE226)&lt;=$AH226),ROUND(INDEX(Profils!$R$5:$R$34,$AE226)*Paramètres!$E$34*$AG226*$AJ226,Paramètres!$F$34),0)</f>
        <v>0</v>
      </c>
      <c r="Y226" s="20" t="n">
        <f aca="false" t="array" ref="Y226:Y226">IF(AND(INDEX(Profils!$S$5:$S$34,$AE226)&gt;0,INDEX(Profils!$AH$5:$AH$34,$AE226)&lt;=$AH226),ROUND(INDEX(Profils!$S$5:$S$34,$AE226)*Paramètres!$E$35*$AG226*$AJ226,Paramètres!$F$35),0)</f>
        <v>0</v>
      </c>
      <c r="Z226" s="21" t="n">
        <f aca="false">ROUND(L226/Paramètres!$E$22+M226/Paramètres!$E$23+N226/Paramètres!$E$24+O226/Paramètres!$E$25+P226/Paramètres!$E$26+Q226/Paramètres!$E$27+R226/Paramètres!$E$28+S226/Paramètres!$E$29+T226/Paramètres!$E$30+U226/Paramètres!$E$31+V226/Paramètres!$E$32+W226/Paramètres!$E$33+X226/Paramètres!$E$34+Y226/Paramètres!$E$35,1)</f>
        <v>0.4</v>
      </c>
      <c r="AA226" s="22" t="s">
        <v>109</v>
      </c>
      <c r="AB226" s="22" t="s">
        <v>109</v>
      </c>
      <c r="AC226" s="15" t="str">
        <f aca="false">$E226</f>
        <v>cuir</v>
      </c>
      <c r="AD226" s="16" t="n">
        <f aca="false" t="array" ref="AD226:AD226">IF($I226&gt;=$AI226,"Max",ROUND(Paramètres!$B$40*($I226+1)^Paramètres!$B$41*INDEX(Paramètres!$H$6:$H$12,$AF226),0))</f>
        <v>5</v>
      </c>
      <c r="AE226" s="23" t="n">
        <f aca="false">MATCH($B226&amp;"|"&amp;$C226,Profils!$A$5:$A$34,0)</f>
        <v>8</v>
      </c>
      <c r="AF226" s="23" t="n">
        <v>4</v>
      </c>
      <c r="AG226" s="24" t="n">
        <f aca="false" t="array" ref="AG226:AG226">INDEX(Paramètres!$C$6:$C$12,$AF226)</f>
        <v>1.75</v>
      </c>
      <c r="AH226" s="23" t="n">
        <f aca="false" t="array" ref="AH226:AH226">INDEX(Paramètres!$D$6:$D$12,$AF226)</f>
        <v>5</v>
      </c>
      <c r="AI226" s="23" t="n">
        <f aca="false" t="array" ref="AI226:AI226">INDEX(Matériaux!$C$16:$C$20,$D226)</f>
        <v>19</v>
      </c>
      <c r="AJ226" s="25" t="n">
        <f aca="false">Paramètres!$B$16+(1-Paramètres!$B$16)*(($J226-Paramètres!$B$14)/(Paramètres!$B$15-Paramètres!$B$14))^Paramètres!$B$17</f>
        <v>0.05</v>
      </c>
    </row>
    <row r="227" customFormat="false" ht="15.75" hidden="false" customHeight="true" outlineLevel="0" collapsed="false">
      <c r="A227" s="14" t="s">
        <v>341</v>
      </c>
      <c r="B227" s="15" t="s">
        <v>27</v>
      </c>
      <c r="C227" s="15" t="s">
        <v>337</v>
      </c>
      <c r="D227" s="16" t="n">
        <v>1</v>
      </c>
      <c r="E227" s="15" t="str">
        <f aca="false" t="array" ref="E227:E227">INDEX(Matériaux!$B$5:$F$12,MATCH(INDEX(Profils!$E$5:$E$34,$AE227),Matériaux!$A$5:$A$12,0),$D227)</f>
        <v>cuir</v>
      </c>
      <c r="F227" s="29" t="s">
        <v>117</v>
      </c>
      <c r="G227" s="10" t="str">
        <f aca="false" t="array" ref="G227:G227">INDEX(Profils!$D$5:$D$34,$AE227)&amp;" en "&amp;$E227</f>
        <v>Ceinturon en cuir</v>
      </c>
      <c r="H227" s="16" t="n">
        <f aca="false" t="array" ref="H227:H227">INDEX(Matériaux!$B$16:$B$20,$D227)</f>
        <v>1</v>
      </c>
      <c r="I227" s="16" t="n">
        <f aca="false">IF(ISNUMBER($C$3),MIN(MAX(0,ROUND($C$3,0)),$AI227),$AI227)</f>
        <v>0</v>
      </c>
      <c r="J227" s="18" t="n">
        <f aca="false">$H227+$I227</f>
        <v>1</v>
      </c>
      <c r="K227" s="15" t="s">
        <v>109</v>
      </c>
      <c r="L227" s="19" t="n">
        <f aca="false" t="array" ref="L227:L227">IF(AND(INDEX(Profils!$F$5:$F$34,$AE227)&gt;0,INDEX(Profils!$U$5:$U$34,$AE227)&lt;=$AH227),ROUND(INDEX(Profils!$F$5:$F$34,$AE227)*Paramètres!$E$22*$AG227*$AJ227,Paramètres!$F$22),0)</f>
        <v>3</v>
      </c>
      <c r="M227" s="19" t="n">
        <f aca="false" t="array" ref="M227:M227">IF(AND(INDEX(Profils!$G$5:$G$34,$AE227)&gt;0,INDEX(Profils!$V$5:$V$34,$AE227)&lt;=$AH227),ROUND(INDEX(Profils!$G$5:$G$34,$AE227)*Paramètres!$E$23*$AG227*$AJ227,Paramètres!$F$23),0)</f>
        <v>2</v>
      </c>
      <c r="N227" s="19" t="n">
        <f aca="false" t="array" ref="N227:N227">IF(AND(INDEX(Profils!$H$5:$H$34,$AE227)&gt;0,INDEX(Profils!$W$5:$W$34,$AE227)&lt;=$AH227),ROUND(INDEX(Profils!$H$5:$H$34,$AE227)*Paramètres!$E$24*$AG227*$AJ227,Paramètres!$F$24),0)</f>
        <v>1</v>
      </c>
      <c r="O227" s="19" t="n">
        <f aca="false" t="array" ref="O227:O227">IF(AND(INDEX(Profils!$I$5:$I$34,$AE227)&gt;0,INDEX(Profils!$X$5:$X$34,$AE227)&lt;=$AH227),ROUND(INDEX(Profils!$I$5:$I$34,$AE227)*Paramètres!$E$25*$AG227*$AJ227,Paramètres!$F$25),0)</f>
        <v>0</v>
      </c>
      <c r="P227" s="19" t="n">
        <f aca="false" t="array" ref="P227:P227">IF(AND(INDEX(Profils!$J$5:$J$34,$AE227)&gt;0,INDEX(Profils!$Y$5:$Y$34,$AE227)&lt;=$AH227),ROUND(INDEX(Profils!$J$5:$J$34,$AE227)*Paramètres!$E$26*$AG227*$AJ227,Paramètres!$F$26),0)</f>
        <v>0</v>
      </c>
      <c r="Q227" s="19" t="n">
        <f aca="false" t="array" ref="Q227:Q227">IF(AND(INDEX(Profils!$K$5:$K$34,$AE227)&gt;0,INDEX(Profils!$Z$5:$Z$34,$AE227)&lt;=$AH227),ROUND(INDEX(Profils!$K$5:$K$34,$AE227)*Paramètres!$E$27*$AG227*$AJ227,Paramètres!$F$27),0)</f>
        <v>0</v>
      </c>
      <c r="R227" s="20" t="n">
        <f aca="false" t="array" ref="R227:R227">IF(AND(INDEX(Profils!$L$5:$L$34,$AE227)&gt;0,INDEX(Profils!$AA$5:$AA$34,$AE227)&lt;=$AH227),ROUND(INDEX(Profils!$L$5:$L$34,$AE227)*Paramètres!$E$28*$AG227*$AJ227,Paramètres!$F$28),0)</f>
        <v>0</v>
      </c>
      <c r="S227" s="20" t="n">
        <f aca="false" t="array" ref="S227:S227">IF(AND(INDEX(Profils!$M$5:$M$34,$AE227)&gt;0,INDEX(Profils!$AB$5:$AB$34,$AE227)&lt;=$AH227),ROUND(INDEX(Profils!$M$5:$M$34,$AE227)*Paramètres!$E$29*$AG227*$AJ227,Paramètres!$F$29),0)</f>
        <v>0</v>
      </c>
      <c r="T227" s="20" t="n">
        <f aca="false" t="array" ref="T227:T227">IF(AND(INDEX(Profils!$N$5:$N$34,$AE227)&gt;0,INDEX(Profils!$AC$5:$AC$34,$AE227)&lt;=$AH227),ROUND(INDEX(Profils!$N$5:$N$34,$AE227)*Paramètres!$E$30*$AG227*$AJ227,Paramètres!$F$30),0)</f>
        <v>0</v>
      </c>
      <c r="U227" s="19" t="n">
        <f aca="false" t="array" ref="U227:U227">IF(AND(INDEX(Profils!$O$5:$O$34,$AE227)&gt;0,INDEX(Profils!$AD$5:$AD$34,$AE227)&lt;=$AH227),ROUND(INDEX(Profils!$O$5:$O$34,$AE227)*Paramètres!$E$31*$AG227*$AJ227,Paramètres!$F$31),0)</f>
        <v>2</v>
      </c>
      <c r="V227" s="20" t="n">
        <f aca="false" t="array" ref="V227:V227">IF(AND(INDEX(Profils!$P$5:$P$34,$AE227)&gt;0,INDEX(Profils!$AE$5:$AE$34,$AE227)&lt;=$AH227),ROUND(INDEX(Profils!$P$5:$P$34,$AE227)*Paramètres!$E$32*$AG227*$AJ227,Paramètres!$F$32),0)</f>
        <v>0.001</v>
      </c>
      <c r="W227" s="20" t="n">
        <f aca="false" t="array" ref="W227:W227">IF(AND(INDEX(Profils!$Q$5:$Q$34,$AE227)&gt;0,INDEX(Profils!$AF$5:$AF$34,$AE227)&lt;=$AH227),ROUND(INDEX(Profils!$Q$5:$Q$34,$AE227)*Paramètres!$E$33*$AG227*$AJ227,Paramètres!$F$33),0)</f>
        <v>0</v>
      </c>
      <c r="X227" s="20" t="n">
        <f aca="false" t="array" ref="X227:X227">IF(AND(INDEX(Profils!$R$5:$R$34,$AE227)&gt;0,INDEX(Profils!$AG$5:$AG$34,$AE227)&lt;=$AH227),ROUND(INDEX(Profils!$R$5:$R$34,$AE227)*Paramètres!$E$34*$AG227*$AJ227,Paramètres!$F$34),0)</f>
        <v>0</v>
      </c>
      <c r="Y227" s="20" t="n">
        <f aca="false" t="array" ref="Y227:Y227">IF(AND(INDEX(Profils!$S$5:$S$34,$AE227)&gt;0,INDEX(Profils!$AH$5:$AH$34,$AE227)&lt;=$AH227),ROUND(INDEX(Profils!$S$5:$S$34,$AE227)*Paramètres!$E$35*$AG227*$AJ227,Paramètres!$F$35),0)</f>
        <v>0.001</v>
      </c>
      <c r="Z227" s="21" t="n">
        <f aca="false">ROUND(L227/Paramètres!$E$22+M227/Paramètres!$E$23+N227/Paramètres!$E$24+O227/Paramètres!$E$25+P227/Paramètres!$E$26+Q227/Paramètres!$E$27+R227/Paramètres!$E$28+S227/Paramètres!$E$29+T227/Paramètres!$E$30+U227/Paramètres!$E$31+V227/Paramètres!$E$32+W227/Paramètres!$E$33+X227/Paramètres!$E$34+Y227/Paramètres!$E$35,1)</f>
        <v>0.6</v>
      </c>
      <c r="AA227" s="22" t="s">
        <v>109</v>
      </c>
      <c r="AB227" s="22" t="s">
        <v>109</v>
      </c>
      <c r="AC227" s="15" t="str">
        <f aca="false">$E227</f>
        <v>cuir</v>
      </c>
      <c r="AD227" s="16" t="n">
        <f aca="false" t="array" ref="AD227:AD227">IF($I227&gt;=$AI227,"Max",ROUND(Paramètres!$B$40*($I227+1)^Paramètres!$B$41*INDEX(Paramètres!$H$6:$H$12,$AF227),0))</f>
        <v>6</v>
      </c>
      <c r="AE227" s="23" t="n">
        <f aca="false">MATCH($B227&amp;"|"&amp;$C227,Profils!$A$5:$A$34,0)</f>
        <v>8</v>
      </c>
      <c r="AF227" s="23" t="n">
        <v>5</v>
      </c>
      <c r="AG227" s="24" t="n">
        <f aca="false" t="array" ref="AG227:AG227">INDEX(Paramètres!$C$6:$C$12,$AF227)</f>
        <v>2.1</v>
      </c>
      <c r="AH227" s="23" t="n">
        <f aca="false" t="array" ref="AH227:AH227">INDEX(Paramètres!$D$6:$D$12,$AF227)</f>
        <v>6</v>
      </c>
      <c r="AI227" s="23" t="n">
        <f aca="false" t="array" ref="AI227:AI227">INDEX(Matériaux!$C$16:$C$20,$D227)</f>
        <v>19</v>
      </c>
      <c r="AJ227" s="25" t="n">
        <f aca="false">Paramètres!$B$16+(1-Paramètres!$B$16)*(($J227-Paramètres!$B$14)/(Paramètres!$B$15-Paramètres!$B$14))^Paramètres!$B$17</f>
        <v>0.05</v>
      </c>
    </row>
    <row r="228" customFormat="false" ht="15.75" hidden="false" customHeight="true" outlineLevel="0" collapsed="false">
      <c r="A228" s="14" t="s">
        <v>342</v>
      </c>
      <c r="B228" s="15" t="s">
        <v>27</v>
      </c>
      <c r="C228" s="15" t="s">
        <v>337</v>
      </c>
      <c r="D228" s="16" t="n">
        <v>1</v>
      </c>
      <c r="E228" s="15" t="str">
        <f aca="false" t="array" ref="E228:E228">INDEX(Matériaux!$B$5:$F$12,MATCH(INDEX(Profils!$E$5:$E$34,$AE228),Matériaux!$A$5:$A$12,0),$D228)</f>
        <v>cuir</v>
      </c>
      <c r="F228" s="30" t="s">
        <v>119</v>
      </c>
      <c r="G228" s="10" t="str">
        <f aca="false" t="array" ref="G228:G228">INDEX(Profils!$D$5:$D$34,$AE228)&amp;" en "&amp;$E228</f>
        <v>Ceinturon en cuir</v>
      </c>
      <c r="H228" s="16" t="n">
        <f aca="false" t="array" ref="H228:H228">INDEX(Matériaux!$B$16:$B$20,$D228)</f>
        <v>1</v>
      </c>
      <c r="I228" s="16" t="n">
        <f aca="false">IF(ISNUMBER($C$3),MIN(MAX(0,ROUND($C$3,0)),$AI228),$AI228)</f>
        <v>0</v>
      </c>
      <c r="J228" s="18" t="n">
        <f aca="false">$H228+$I228</f>
        <v>1</v>
      </c>
      <c r="K228" s="15" t="s">
        <v>109</v>
      </c>
      <c r="L228" s="19" t="n">
        <f aca="false" t="array" ref="L228:L228">IF(AND(INDEX(Profils!$F$5:$F$34,$AE228)&gt;0,INDEX(Profils!$U$5:$U$34,$AE228)&lt;=$AH228),ROUND(INDEX(Profils!$F$5:$F$34,$AE228)*Paramètres!$E$22*$AG228*$AJ228,Paramètres!$F$22),0)</f>
        <v>4</v>
      </c>
      <c r="M228" s="19" t="n">
        <f aca="false" t="array" ref="M228:M228">IF(AND(INDEX(Profils!$G$5:$G$34,$AE228)&gt;0,INDEX(Profils!$V$5:$V$34,$AE228)&lt;=$AH228),ROUND(INDEX(Profils!$G$5:$G$34,$AE228)*Paramètres!$E$23*$AG228*$AJ228,Paramètres!$F$23),0)</f>
        <v>2</v>
      </c>
      <c r="N228" s="19" t="n">
        <f aca="false" t="array" ref="N228:N228">IF(AND(INDEX(Profils!$H$5:$H$34,$AE228)&gt;0,INDEX(Profils!$W$5:$W$34,$AE228)&lt;=$AH228),ROUND(INDEX(Profils!$H$5:$H$34,$AE228)*Paramètres!$E$24*$AG228*$AJ228,Paramètres!$F$24),0)</f>
        <v>2</v>
      </c>
      <c r="O228" s="19" t="n">
        <f aca="false" t="array" ref="O228:O228">IF(AND(INDEX(Profils!$I$5:$I$34,$AE228)&gt;0,INDEX(Profils!$X$5:$X$34,$AE228)&lt;=$AH228),ROUND(INDEX(Profils!$I$5:$I$34,$AE228)*Paramètres!$E$25*$AG228*$AJ228,Paramètres!$F$25),0)</f>
        <v>0</v>
      </c>
      <c r="P228" s="19" t="n">
        <f aca="false" t="array" ref="P228:P228">IF(AND(INDEX(Profils!$J$5:$J$34,$AE228)&gt;0,INDEX(Profils!$Y$5:$Y$34,$AE228)&lt;=$AH228),ROUND(INDEX(Profils!$J$5:$J$34,$AE228)*Paramètres!$E$26*$AG228*$AJ228,Paramètres!$F$26),0)</f>
        <v>0</v>
      </c>
      <c r="Q228" s="19" t="n">
        <f aca="false" t="array" ref="Q228:Q228">IF(AND(INDEX(Profils!$K$5:$K$34,$AE228)&gt;0,INDEX(Profils!$Z$5:$Z$34,$AE228)&lt;=$AH228),ROUND(INDEX(Profils!$K$5:$K$34,$AE228)*Paramètres!$E$27*$AG228*$AJ228,Paramètres!$F$27),0)</f>
        <v>1</v>
      </c>
      <c r="R228" s="20" t="n">
        <f aca="false" t="array" ref="R228:R228">IF(AND(INDEX(Profils!$L$5:$L$34,$AE228)&gt;0,INDEX(Profils!$AA$5:$AA$34,$AE228)&lt;=$AH228),ROUND(INDEX(Profils!$L$5:$L$34,$AE228)*Paramètres!$E$28*$AG228*$AJ228,Paramètres!$F$28),0)</f>
        <v>0</v>
      </c>
      <c r="S228" s="20" t="n">
        <f aca="false" t="array" ref="S228:S228">IF(AND(INDEX(Profils!$M$5:$M$34,$AE228)&gt;0,INDEX(Profils!$AB$5:$AB$34,$AE228)&lt;=$AH228),ROUND(INDEX(Profils!$M$5:$M$34,$AE228)*Paramètres!$E$29*$AG228*$AJ228,Paramètres!$F$29),0)</f>
        <v>0</v>
      </c>
      <c r="T228" s="20" t="n">
        <f aca="false" t="array" ref="T228:T228">IF(AND(INDEX(Profils!$N$5:$N$34,$AE228)&gt;0,INDEX(Profils!$AC$5:$AC$34,$AE228)&lt;=$AH228),ROUND(INDEX(Profils!$N$5:$N$34,$AE228)*Paramètres!$E$30*$AG228*$AJ228,Paramètres!$F$30),0)</f>
        <v>0</v>
      </c>
      <c r="U228" s="19" t="n">
        <f aca="false" t="array" ref="U228:U228">IF(AND(INDEX(Profils!$O$5:$O$34,$AE228)&gt;0,INDEX(Profils!$AD$5:$AD$34,$AE228)&lt;=$AH228),ROUND(INDEX(Profils!$O$5:$O$34,$AE228)*Paramètres!$E$31*$AG228*$AJ228,Paramètres!$F$31),0)</f>
        <v>2</v>
      </c>
      <c r="V228" s="20" t="n">
        <f aca="false" t="array" ref="V228:V228">IF(AND(INDEX(Profils!$P$5:$P$34,$AE228)&gt;0,INDEX(Profils!$AE$5:$AE$34,$AE228)&lt;=$AH228),ROUND(INDEX(Profils!$P$5:$P$34,$AE228)*Paramètres!$E$32*$AG228*$AJ228,Paramètres!$F$32),0)</f>
        <v>0.001</v>
      </c>
      <c r="W228" s="20" t="n">
        <f aca="false" t="array" ref="W228:W228">IF(AND(INDEX(Profils!$Q$5:$Q$34,$AE228)&gt;0,INDEX(Profils!$AF$5:$AF$34,$AE228)&lt;=$AH228),ROUND(INDEX(Profils!$Q$5:$Q$34,$AE228)*Paramètres!$E$33*$AG228*$AJ228,Paramètres!$F$33),0)</f>
        <v>0</v>
      </c>
      <c r="X228" s="20" t="n">
        <f aca="false" t="array" ref="X228:X228">IF(AND(INDEX(Profils!$R$5:$R$34,$AE228)&gt;0,INDEX(Profils!$AG$5:$AG$34,$AE228)&lt;=$AH228),ROUND(INDEX(Profils!$R$5:$R$34,$AE228)*Paramètres!$E$34*$AG228*$AJ228,Paramètres!$F$34),0)</f>
        <v>0</v>
      </c>
      <c r="Y228" s="20" t="n">
        <f aca="false" t="array" ref="Y228:Y228">IF(AND(INDEX(Profils!$S$5:$S$34,$AE228)&gt;0,INDEX(Profils!$AH$5:$AH$34,$AE228)&lt;=$AH228),ROUND(INDEX(Profils!$S$5:$S$34,$AE228)*Paramètres!$E$35*$AG228*$AJ228,Paramètres!$F$35),0)</f>
        <v>0.001</v>
      </c>
      <c r="Z228" s="21" t="n">
        <f aca="false">ROUND(L228/Paramètres!$E$22+M228/Paramètres!$E$23+N228/Paramètres!$E$24+O228/Paramètres!$E$25+P228/Paramètres!$E$26+Q228/Paramètres!$E$27+R228/Paramètres!$E$28+S228/Paramètres!$E$29+T228/Paramètres!$E$30+U228/Paramètres!$E$31+V228/Paramètres!$E$32+W228/Paramètres!$E$33+X228/Paramètres!$E$34+Y228/Paramètres!$E$35,1)</f>
        <v>0.8</v>
      </c>
      <c r="AA228" s="22" t="s">
        <v>109</v>
      </c>
      <c r="AB228" s="22" t="s">
        <v>109</v>
      </c>
      <c r="AC228" s="15" t="str">
        <f aca="false">$E228</f>
        <v>cuir</v>
      </c>
      <c r="AD228" s="16" t="n">
        <f aca="false" t="array" ref="AD228:AD228">IF($I228&gt;=$AI228,"Max",ROUND(Paramètres!$B$40*($I228+1)^Paramètres!$B$41*INDEX(Paramètres!$H$6:$H$12,$AF228),0))</f>
        <v>8</v>
      </c>
      <c r="AE228" s="23" t="n">
        <f aca="false">MATCH($B228&amp;"|"&amp;$C228,Profils!$A$5:$A$34,0)</f>
        <v>8</v>
      </c>
      <c r="AF228" s="23" t="n">
        <v>6</v>
      </c>
      <c r="AG228" s="24" t="n">
        <f aca="false" t="array" ref="AG228:AG228">INDEX(Paramètres!$C$6:$C$12,$AF228)</f>
        <v>2.4</v>
      </c>
      <c r="AH228" s="23" t="n">
        <f aca="false" t="array" ref="AH228:AH228">INDEX(Paramètres!$D$6:$D$12,$AF228)</f>
        <v>7</v>
      </c>
      <c r="AI228" s="23" t="n">
        <f aca="false" t="array" ref="AI228:AI228">INDEX(Matériaux!$C$16:$C$20,$D228)</f>
        <v>19</v>
      </c>
      <c r="AJ228" s="25" t="n">
        <f aca="false">Paramètres!$B$16+(1-Paramètres!$B$16)*(($J228-Paramètres!$B$14)/(Paramètres!$B$15-Paramètres!$B$14))^Paramètres!$B$17</f>
        <v>0.05</v>
      </c>
    </row>
    <row r="229" customFormat="false" ht="15.75" hidden="false" customHeight="true" outlineLevel="0" collapsed="false">
      <c r="A229" s="14" t="s">
        <v>343</v>
      </c>
      <c r="B229" s="15" t="s">
        <v>27</v>
      </c>
      <c r="C229" s="15" t="s">
        <v>337</v>
      </c>
      <c r="D229" s="16" t="n">
        <v>2</v>
      </c>
      <c r="E229" s="15" t="str">
        <f aca="false" t="array" ref="E229:E229">INDEX(Matériaux!$B$5:$F$12,MATCH(INDEX(Profils!$E$5:$E$34,$AE229),Matériaux!$A$5:$A$12,0),$D229)</f>
        <v>fer</v>
      </c>
      <c r="F229" s="17" t="s">
        <v>108</v>
      </c>
      <c r="G229" s="10" t="str">
        <f aca="false" t="array" ref="G229:G229">INDEX(Profils!$D$5:$D$34,$AE229)&amp;" en "&amp;$E229</f>
        <v>Ceinturon en fer</v>
      </c>
      <c r="H229" s="16" t="n">
        <f aca="false" t="array" ref="H229:H229">INDEX(Matériaux!$B$16:$B$20,$D229)</f>
        <v>15</v>
      </c>
      <c r="I229" s="16" t="n">
        <f aca="false">IF(ISNUMBER($C$3),MIN(MAX(0,ROUND($C$3,0)),$AI229),$AI229)</f>
        <v>0</v>
      </c>
      <c r="J229" s="18" t="n">
        <f aca="false">$H229+$I229</f>
        <v>15</v>
      </c>
      <c r="K229" s="15" t="s">
        <v>109</v>
      </c>
      <c r="L229" s="19" t="n">
        <f aca="false" t="array" ref="L229:L229">IF(AND(INDEX(Profils!$F$5:$F$34,$AE229)&gt;0,INDEX(Profils!$U$5:$U$34,$AE229)&lt;=$AH229),ROUND(INDEX(Profils!$F$5:$F$34,$AE229)*Paramètres!$E$22*$AG229*$AJ229,Paramètres!$F$22),0)</f>
        <v>4</v>
      </c>
      <c r="M229" s="19" t="n">
        <f aca="false" t="array" ref="M229:M229">IF(AND(INDEX(Profils!$G$5:$G$34,$AE229)&gt;0,INDEX(Profils!$V$5:$V$34,$AE229)&lt;=$AH229),ROUND(INDEX(Profils!$G$5:$G$34,$AE229)*Paramètres!$E$23*$AG229*$AJ229,Paramètres!$F$23),0)</f>
        <v>2</v>
      </c>
      <c r="N229" s="19" t="n">
        <f aca="false" t="array" ref="N229:N229">IF(AND(INDEX(Profils!$H$5:$H$34,$AE229)&gt;0,INDEX(Profils!$W$5:$W$34,$AE229)&lt;=$AH229),ROUND(INDEX(Profils!$H$5:$H$34,$AE229)*Paramètres!$E$24*$AG229*$AJ229,Paramètres!$F$24),0)</f>
        <v>0</v>
      </c>
      <c r="O229" s="19" t="n">
        <f aca="false" t="array" ref="O229:O229">IF(AND(INDEX(Profils!$I$5:$I$34,$AE229)&gt;0,INDEX(Profils!$X$5:$X$34,$AE229)&lt;=$AH229),ROUND(INDEX(Profils!$I$5:$I$34,$AE229)*Paramètres!$E$25*$AG229*$AJ229,Paramètres!$F$25),0)</f>
        <v>0</v>
      </c>
      <c r="P229" s="19" t="n">
        <f aca="false" t="array" ref="P229:P229">IF(AND(INDEX(Profils!$J$5:$J$34,$AE229)&gt;0,INDEX(Profils!$Y$5:$Y$34,$AE229)&lt;=$AH229),ROUND(INDEX(Profils!$J$5:$J$34,$AE229)*Paramètres!$E$26*$AG229*$AJ229,Paramètres!$F$26),0)</f>
        <v>0</v>
      </c>
      <c r="Q229" s="19" t="n">
        <f aca="false" t="array" ref="Q229:Q229">IF(AND(INDEX(Profils!$K$5:$K$34,$AE229)&gt;0,INDEX(Profils!$Z$5:$Z$34,$AE229)&lt;=$AH229),ROUND(INDEX(Profils!$K$5:$K$34,$AE229)*Paramètres!$E$27*$AG229*$AJ229,Paramètres!$F$27),0)</f>
        <v>0</v>
      </c>
      <c r="R229" s="20" t="n">
        <f aca="false" t="array" ref="R229:R229">IF(AND(INDEX(Profils!$L$5:$L$34,$AE229)&gt;0,INDEX(Profils!$AA$5:$AA$34,$AE229)&lt;=$AH229),ROUND(INDEX(Profils!$L$5:$L$34,$AE229)*Paramètres!$E$28*$AG229*$AJ229,Paramètres!$F$28),0)</f>
        <v>0</v>
      </c>
      <c r="S229" s="20" t="n">
        <f aca="false" t="array" ref="S229:S229">IF(AND(INDEX(Profils!$M$5:$M$34,$AE229)&gt;0,INDEX(Profils!$AB$5:$AB$34,$AE229)&lt;=$AH229),ROUND(INDEX(Profils!$M$5:$M$34,$AE229)*Paramètres!$E$29*$AG229*$AJ229,Paramètres!$F$29),0)</f>
        <v>0</v>
      </c>
      <c r="T229" s="20" t="n">
        <f aca="false" t="array" ref="T229:T229">IF(AND(INDEX(Profils!$N$5:$N$34,$AE229)&gt;0,INDEX(Profils!$AC$5:$AC$34,$AE229)&lt;=$AH229),ROUND(INDEX(Profils!$N$5:$N$34,$AE229)*Paramètres!$E$30*$AG229*$AJ229,Paramètres!$F$30),0)</f>
        <v>0</v>
      </c>
      <c r="U229" s="19" t="n">
        <f aca="false" t="array" ref="U229:U229">IF(AND(INDEX(Profils!$O$5:$O$34,$AE229)&gt;0,INDEX(Profils!$AD$5:$AD$34,$AE229)&lt;=$AH229),ROUND(INDEX(Profils!$O$5:$O$34,$AE229)*Paramètres!$E$31*$AG229*$AJ229,Paramètres!$F$31),0)</f>
        <v>0</v>
      </c>
      <c r="V229" s="20" t="n">
        <f aca="false" t="array" ref="V229:V229">IF(AND(INDEX(Profils!$P$5:$P$34,$AE229)&gt;0,INDEX(Profils!$AE$5:$AE$34,$AE229)&lt;=$AH229),ROUND(INDEX(Profils!$P$5:$P$34,$AE229)*Paramètres!$E$32*$AG229*$AJ229,Paramètres!$F$32),0)</f>
        <v>0</v>
      </c>
      <c r="W229" s="20" t="n">
        <f aca="false" t="array" ref="W229:W229">IF(AND(INDEX(Profils!$Q$5:$Q$34,$AE229)&gt;0,INDEX(Profils!$AF$5:$AF$34,$AE229)&lt;=$AH229),ROUND(INDEX(Profils!$Q$5:$Q$34,$AE229)*Paramètres!$E$33*$AG229*$AJ229,Paramètres!$F$33),0)</f>
        <v>0</v>
      </c>
      <c r="X229" s="20" t="n">
        <f aca="false" t="array" ref="X229:X229">IF(AND(INDEX(Profils!$R$5:$R$34,$AE229)&gt;0,INDEX(Profils!$AG$5:$AG$34,$AE229)&lt;=$AH229),ROUND(INDEX(Profils!$R$5:$R$34,$AE229)*Paramètres!$E$34*$AG229*$AJ229,Paramètres!$F$34),0)</f>
        <v>0</v>
      </c>
      <c r="Y229" s="20" t="n">
        <f aca="false" t="array" ref="Y229:Y229">IF(AND(INDEX(Profils!$S$5:$S$34,$AE229)&gt;0,INDEX(Profils!$AH$5:$AH$34,$AE229)&lt;=$AH229),ROUND(INDEX(Profils!$S$5:$S$34,$AE229)*Paramètres!$E$35*$AG229*$AJ229,Paramètres!$F$35),0)</f>
        <v>0</v>
      </c>
      <c r="Z229" s="21" t="n">
        <f aca="false">ROUND(L229/Paramètres!$E$22+M229/Paramètres!$E$23+N229/Paramètres!$E$24+O229/Paramètres!$E$25+P229/Paramètres!$E$26+Q229/Paramètres!$E$27+R229/Paramètres!$E$28+S229/Paramètres!$E$29+T229/Paramètres!$E$30+U229/Paramètres!$E$31+V229/Paramètres!$E$32+W229/Paramètres!$E$33+X229/Paramètres!$E$34+Y229/Paramètres!$E$35,1)</f>
        <v>0.3</v>
      </c>
      <c r="AA229" s="22" t="s">
        <v>109</v>
      </c>
      <c r="AB229" s="22" t="s">
        <v>109</v>
      </c>
      <c r="AC229" s="15" t="str">
        <f aca="false">$E229</f>
        <v>fer</v>
      </c>
      <c r="AD229" s="16" t="n">
        <f aca="false" t="array" ref="AD229:AD229">IF($I229&gt;=$AI229,"Max",ROUND(Paramètres!$B$40*($I229+1)^Paramètres!$B$41*INDEX(Paramètres!$H$6:$H$12,$AF229),0))</f>
        <v>3</v>
      </c>
      <c r="AE229" s="23" t="n">
        <f aca="false">MATCH($B229&amp;"|"&amp;$C229,Profils!$A$5:$A$34,0)</f>
        <v>8</v>
      </c>
      <c r="AF229" s="23" t="n">
        <v>1</v>
      </c>
      <c r="AG229" s="24" t="n">
        <f aca="false" t="array" ref="AG229:AG229">INDEX(Paramètres!$C$6:$C$12,$AF229)</f>
        <v>1</v>
      </c>
      <c r="AH229" s="23" t="n">
        <f aca="false" t="array" ref="AH229:AH229">INDEX(Paramètres!$D$6:$D$12,$AF229)</f>
        <v>2</v>
      </c>
      <c r="AI229" s="23" t="n">
        <f aca="false" t="array" ref="AI229:AI229">INDEX(Matériaux!$C$16:$C$20,$D229)</f>
        <v>20</v>
      </c>
      <c r="AJ229" s="25" t="n">
        <f aca="false">Paramètres!$B$16+(1-Paramètres!$B$16)*(($J229-Paramètres!$B$14)/(Paramètres!$B$15-Paramètres!$B$14))^Paramètres!$B$17</f>
        <v>0.140847925475674</v>
      </c>
    </row>
    <row r="230" customFormat="false" ht="15.75" hidden="false" customHeight="true" outlineLevel="0" collapsed="false">
      <c r="A230" s="14" t="s">
        <v>344</v>
      </c>
      <c r="B230" s="15" t="s">
        <v>27</v>
      </c>
      <c r="C230" s="15" t="s">
        <v>337</v>
      </c>
      <c r="D230" s="16" t="n">
        <v>2</v>
      </c>
      <c r="E230" s="15" t="str">
        <f aca="false" t="array" ref="E230:E230">INDEX(Matériaux!$B$5:$F$12,MATCH(INDEX(Profils!$E$5:$E$34,$AE230),Matériaux!$A$5:$A$12,0),$D230)</f>
        <v>fer</v>
      </c>
      <c r="F230" s="26" t="s">
        <v>111</v>
      </c>
      <c r="G230" s="10" t="str">
        <f aca="false" t="array" ref="G230:G230">INDEX(Profils!$D$5:$D$34,$AE230)&amp;" en "&amp;$E230</f>
        <v>Ceinturon en fer</v>
      </c>
      <c r="H230" s="16" t="n">
        <f aca="false" t="array" ref="H230:H230">INDEX(Matériaux!$B$16:$B$20,$D230)</f>
        <v>15</v>
      </c>
      <c r="I230" s="16" t="n">
        <f aca="false">IF(ISNUMBER($C$3),MIN(MAX(0,ROUND($C$3,0)),$AI230),$AI230)</f>
        <v>0</v>
      </c>
      <c r="J230" s="18" t="n">
        <f aca="false">$H230+$I230</f>
        <v>15</v>
      </c>
      <c r="K230" s="15" t="s">
        <v>109</v>
      </c>
      <c r="L230" s="19" t="n">
        <f aca="false" t="array" ref="L230:L230">IF(AND(INDEX(Profils!$F$5:$F$34,$AE230)&gt;0,INDEX(Profils!$U$5:$U$34,$AE230)&lt;=$AH230),ROUND(INDEX(Profils!$F$5:$F$34,$AE230)*Paramètres!$E$22*$AG230*$AJ230,Paramètres!$F$22),0)</f>
        <v>5</v>
      </c>
      <c r="M230" s="19" t="n">
        <f aca="false" t="array" ref="M230:M230">IF(AND(INDEX(Profils!$G$5:$G$34,$AE230)&gt;0,INDEX(Profils!$V$5:$V$34,$AE230)&lt;=$AH230),ROUND(INDEX(Profils!$G$5:$G$34,$AE230)*Paramètres!$E$23*$AG230*$AJ230,Paramètres!$F$23),0)</f>
        <v>3</v>
      </c>
      <c r="N230" s="19" t="n">
        <f aca="false" t="array" ref="N230:N230">IF(AND(INDEX(Profils!$H$5:$H$34,$AE230)&gt;0,INDEX(Profils!$W$5:$W$34,$AE230)&lt;=$AH230),ROUND(INDEX(Profils!$H$5:$H$34,$AE230)*Paramètres!$E$24*$AG230*$AJ230,Paramètres!$F$24),0)</f>
        <v>2</v>
      </c>
      <c r="O230" s="19" t="n">
        <f aca="false" t="array" ref="O230:O230">IF(AND(INDEX(Profils!$I$5:$I$34,$AE230)&gt;0,INDEX(Profils!$X$5:$X$34,$AE230)&lt;=$AH230),ROUND(INDEX(Profils!$I$5:$I$34,$AE230)*Paramètres!$E$25*$AG230*$AJ230,Paramètres!$F$25),0)</f>
        <v>0</v>
      </c>
      <c r="P230" s="19" t="n">
        <f aca="false" t="array" ref="P230:P230">IF(AND(INDEX(Profils!$J$5:$J$34,$AE230)&gt;0,INDEX(Profils!$Y$5:$Y$34,$AE230)&lt;=$AH230),ROUND(INDEX(Profils!$J$5:$J$34,$AE230)*Paramètres!$E$26*$AG230*$AJ230,Paramètres!$F$26),0)</f>
        <v>0</v>
      </c>
      <c r="Q230" s="19" t="n">
        <f aca="false" t="array" ref="Q230:Q230">IF(AND(INDEX(Profils!$K$5:$K$34,$AE230)&gt;0,INDEX(Profils!$Z$5:$Z$34,$AE230)&lt;=$AH230),ROUND(INDEX(Profils!$K$5:$K$34,$AE230)*Paramètres!$E$27*$AG230*$AJ230,Paramètres!$F$27),0)</f>
        <v>0</v>
      </c>
      <c r="R230" s="20" t="n">
        <f aca="false" t="array" ref="R230:R230">IF(AND(INDEX(Profils!$L$5:$L$34,$AE230)&gt;0,INDEX(Profils!$AA$5:$AA$34,$AE230)&lt;=$AH230),ROUND(INDEX(Profils!$L$5:$L$34,$AE230)*Paramètres!$E$28*$AG230*$AJ230,Paramètres!$F$28),0)</f>
        <v>0</v>
      </c>
      <c r="S230" s="20" t="n">
        <f aca="false" t="array" ref="S230:S230">IF(AND(INDEX(Profils!$M$5:$M$34,$AE230)&gt;0,INDEX(Profils!$AB$5:$AB$34,$AE230)&lt;=$AH230),ROUND(INDEX(Profils!$M$5:$M$34,$AE230)*Paramètres!$E$29*$AG230*$AJ230,Paramètres!$F$29),0)</f>
        <v>0</v>
      </c>
      <c r="T230" s="20" t="n">
        <f aca="false" t="array" ref="T230:T230">IF(AND(INDEX(Profils!$N$5:$N$34,$AE230)&gt;0,INDEX(Profils!$AC$5:$AC$34,$AE230)&lt;=$AH230),ROUND(INDEX(Profils!$N$5:$N$34,$AE230)*Paramètres!$E$30*$AG230*$AJ230,Paramètres!$F$30),0)</f>
        <v>0</v>
      </c>
      <c r="U230" s="19" t="n">
        <f aca="false" t="array" ref="U230:U230">IF(AND(INDEX(Profils!$O$5:$O$34,$AE230)&gt;0,INDEX(Profils!$AD$5:$AD$34,$AE230)&lt;=$AH230),ROUND(INDEX(Profils!$O$5:$O$34,$AE230)*Paramètres!$E$31*$AG230*$AJ230,Paramètres!$F$31),0)</f>
        <v>0</v>
      </c>
      <c r="V230" s="20" t="n">
        <f aca="false" t="array" ref="V230:V230">IF(AND(INDEX(Profils!$P$5:$P$34,$AE230)&gt;0,INDEX(Profils!$AE$5:$AE$34,$AE230)&lt;=$AH230),ROUND(INDEX(Profils!$P$5:$P$34,$AE230)*Paramètres!$E$32*$AG230*$AJ230,Paramètres!$F$32),0)</f>
        <v>0</v>
      </c>
      <c r="W230" s="20" t="n">
        <f aca="false" t="array" ref="W230:W230">IF(AND(INDEX(Profils!$Q$5:$Q$34,$AE230)&gt;0,INDEX(Profils!$AF$5:$AF$34,$AE230)&lt;=$AH230),ROUND(INDEX(Profils!$Q$5:$Q$34,$AE230)*Paramètres!$E$33*$AG230*$AJ230,Paramètres!$F$33),0)</f>
        <v>0</v>
      </c>
      <c r="X230" s="20" t="n">
        <f aca="false" t="array" ref="X230:X230">IF(AND(INDEX(Profils!$R$5:$R$34,$AE230)&gt;0,INDEX(Profils!$AG$5:$AG$34,$AE230)&lt;=$AH230),ROUND(INDEX(Profils!$R$5:$R$34,$AE230)*Paramètres!$E$34*$AG230*$AJ230,Paramètres!$F$34),0)</f>
        <v>0</v>
      </c>
      <c r="Y230" s="20" t="n">
        <f aca="false" t="array" ref="Y230:Y230">IF(AND(INDEX(Profils!$S$5:$S$34,$AE230)&gt;0,INDEX(Profils!$AH$5:$AH$34,$AE230)&lt;=$AH230),ROUND(INDEX(Profils!$S$5:$S$34,$AE230)*Paramètres!$E$35*$AG230*$AJ230,Paramètres!$F$35),0)</f>
        <v>0</v>
      </c>
      <c r="Z230" s="21" t="n">
        <f aca="false">ROUND(L230/Paramètres!$E$22+M230/Paramètres!$E$23+N230/Paramètres!$E$24+O230/Paramètres!$E$25+P230/Paramètres!$E$26+Q230/Paramètres!$E$27+R230/Paramètres!$E$28+S230/Paramètres!$E$29+T230/Paramètres!$E$30+U230/Paramètres!$E$31+V230/Paramètres!$E$32+W230/Paramètres!$E$33+X230/Paramètres!$E$34+Y230/Paramètres!$E$35,1)</f>
        <v>0.5</v>
      </c>
      <c r="AA230" s="22" t="s">
        <v>109</v>
      </c>
      <c r="AB230" s="22" t="s">
        <v>109</v>
      </c>
      <c r="AC230" s="15" t="str">
        <f aca="false">$E230</f>
        <v>fer</v>
      </c>
      <c r="AD230" s="16" t="n">
        <f aca="false" t="array" ref="AD230:AD230">IF($I230&gt;=$AI230,"Max",ROUND(Paramètres!$B$40*($I230+1)^Paramètres!$B$41*INDEX(Paramètres!$H$6:$H$12,$AF230),0))</f>
        <v>4</v>
      </c>
      <c r="AE230" s="23" t="n">
        <f aca="false">MATCH($B230&amp;"|"&amp;$C230,Profils!$A$5:$A$34,0)</f>
        <v>8</v>
      </c>
      <c r="AF230" s="23" t="n">
        <v>2</v>
      </c>
      <c r="AG230" s="24" t="n">
        <f aca="false" t="array" ref="AG230:AG230">INDEX(Paramètres!$C$6:$C$12,$AF230)</f>
        <v>1.2</v>
      </c>
      <c r="AH230" s="23" t="n">
        <f aca="false" t="array" ref="AH230:AH230">INDEX(Paramètres!$D$6:$D$12,$AF230)</f>
        <v>3</v>
      </c>
      <c r="AI230" s="23" t="n">
        <f aca="false" t="array" ref="AI230:AI230">INDEX(Matériaux!$C$16:$C$20,$D230)</f>
        <v>20</v>
      </c>
      <c r="AJ230" s="25" t="n">
        <f aca="false">Paramètres!$B$16+(1-Paramètres!$B$16)*(($J230-Paramètres!$B$14)/(Paramètres!$B$15-Paramètres!$B$14))^Paramètres!$B$17</f>
        <v>0.140847925475674</v>
      </c>
    </row>
    <row r="231" customFormat="false" ht="15.75" hidden="false" customHeight="true" outlineLevel="0" collapsed="false">
      <c r="A231" s="14" t="s">
        <v>345</v>
      </c>
      <c r="B231" s="15" t="s">
        <v>27</v>
      </c>
      <c r="C231" s="15" t="s">
        <v>337</v>
      </c>
      <c r="D231" s="16" t="n">
        <v>2</v>
      </c>
      <c r="E231" s="15" t="str">
        <f aca="false" t="array" ref="E231:E231">INDEX(Matériaux!$B$5:$F$12,MATCH(INDEX(Profils!$E$5:$E$34,$AE231),Matériaux!$A$5:$A$12,0),$D231)</f>
        <v>fer</v>
      </c>
      <c r="F231" s="27" t="s">
        <v>113</v>
      </c>
      <c r="G231" s="10" t="str">
        <f aca="false" t="array" ref="G231:G231">INDEX(Profils!$D$5:$D$34,$AE231)&amp;" en "&amp;$E231</f>
        <v>Ceinturon en fer</v>
      </c>
      <c r="H231" s="16" t="n">
        <f aca="false" t="array" ref="H231:H231">INDEX(Matériaux!$B$16:$B$20,$D231)</f>
        <v>15</v>
      </c>
      <c r="I231" s="16" t="n">
        <f aca="false">IF(ISNUMBER($C$3),MIN(MAX(0,ROUND($C$3,0)),$AI231),$AI231)</f>
        <v>0</v>
      </c>
      <c r="J231" s="18" t="n">
        <f aca="false">$H231+$I231</f>
        <v>15</v>
      </c>
      <c r="K231" s="15" t="s">
        <v>109</v>
      </c>
      <c r="L231" s="19" t="n">
        <f aca="false" t="array" ref="L231:L231">IF(AND(INDEX(Profils!$F$5:$F$34,$AE231)&gt;0,INDEX(Profils!$U$5:$U$34,$AE231)&lt;=$AH231),ROUND(INDEX(Profils!$F$5:$F$34,$AE231)*Paramètres!$E$22*$AG231*$AJ231,Paramètres!$F$22),0)</f>
        <v>6</v>
      </c>
      <c r="M231" s="19" t="n">
        <f aca="false" t="array" ref="M231:M231">IF(AND(INDEX(Profils!$G$5:$G$34,$AE231)&gt;0,INDEX(Profils!$V$5:$V$34,$AE231)&lt;=$AH231),ROUND(INDEX(Profils!$G$5:$G$34,$AE231)*Paramètres!$E$23*$AG231*$AJ231,Paramètres!$F$23),0)</f>
        <v>3</v>
      </c>
      <c r="N231" s="19" t="n">
        <f aca="false" t="array" ref="N231:N231">IF(AND(INDEX(Profils!$H$5:$H$34,$AE231)&gt;0,INDEX(Profils!$W$5:$W$34,$AE231)&lt;=$AH231),ROUND(INDEX(Profils!$H$5:$H$34,$AE231)*Paramètres!$E$24*$AG231*$AJ231,Paramètres!$F$24),0)</f>
        <v>3</v>
      </c>
      <c r="O231" s="19" t="n">
        <f aca="false" t="array" ref="O231:O231">IF(AND(INDEX(Profils!$I$5:$I$34,$AE231)&gt;0,INDEX(Profils!$X$5:$X$34,$AE231)&lt;=$AH231),ROUND(INDEX(Profils!$I$5:$I$34,$AE231)*Paramètres!$E$25*$AG231*$AJ231,Paramètres!$F$25),0)</f>
        <v>0</v>
      </c>
      <c r="P231" s="19" t="n">
        <f aca="false" t="array" ref="P231:P231">IF(AND(INDEX(Profils!$J$5:$J$34,$AE231)&gt;0,INDEX(Profils!$Y$5:$Y$34,$AE231)&lt;=$AH231),ROUND(INDEX(Profils!$J$5:$J$34,$AE231)*Paramètres!$E$26*$AG231*$AJ231,Paramètres!$F$26),0)</f>
        <v>0</v>
      </c>
      <c r="Q231" s="19" t="n">
        <f aca="false" t="array" ref="Q231:Q231">IF(AND(INDEX(Profils!$K$5:$K$34,$AE231)&gt;0,INDEX(Profils!$Z$5:$Z$34,$AE231)&lt;=$AH231),ROUND(INDEX(Profils!$K$5:$K$34,$AE231)*Paramètres!$E$27*$AG231*$AJ231,Paramètres!$F$27),0)</f>
        <v>0</v>
      </c>
      <c r="R231" s="20" t="n">
        <f aca="false" t="array" ref="R231:R231">IF(AND(INDEX(Profils!$L$5:$L$34,$AE231)&gt;0,INDEX(Profils!$AA$5:$AA$34,$AE231)&lt;=$AH231),ROUND(INDEX(Profils!$L$5:$L$34,$AE231)*Paramètres!$E$28*$AG231*$AJ231,Paramètres!$F$28),0)</f>
        <v>0</v>
      </c>
      <c r="S231" s="20" t="n">
        <f aca="false" t="array" ref="S231:S231">IF(AND(INDEX(Profils!$M$5:$M$34,$AE231)&gt;0,INDEX(Profils!$AB$5:$AB$34,$AE231)&lt;=$AH231),ROUND(INDEX(Profils!$M$5:$M$34,$AE231)*Paramètres!$E$29*$AG231*$AJ231,Paramètres!$F$29),0)</f>
        <v>0</v>
      </c>
      <c r="T231" s="20" t="n">
        <f aca="false" t="array" ref="T231:T231">IF(AND(INDEX(Profils!$N$5:$N$34,$AE231)&gt;0,INDEX(Profils!$AC$5:$AC$34,$AE231)&lt;=$AH231),ROUND(INDEX(Profils!$N$5:$N$34,$AE231)*Paramètres!$E$30*$AG231*$AJ231,Paramètres!$F$30),0)</f>
        <v>0</v>
      </c>
      <c r="U231" s="19" t="n">
        <f aca="false" t="array" ref="U231:U231">IF(AND(INDEX(Profils!$O$5:$O$34,$AE231)&gt;0,INDEX(Profils!$AD$5:$AD$34,$AE231)&lt;=$AH231),ROUND(INDEX(Profils!$O$5:$O$34,$AE231)*Paramètres!$E$31*$AG231*$AJ231,Paramètres!$F$31),0)</f>
        <v>3</v>
      </c>
      <c r="V231" s="20" t="n">
        <f aca="false" t="array" ref="V231:V231">IF(AND(INDEX(Profils!$P$5:$P$34,$AE231)&gt;0,INDEX(Profils!$AE$5:$AE$34,$AE231)&lt;=$AH231),ROUND(INDEX(Profils!$P$5:$P$34,$AE231)*Paramètres!$E$32*$AG231*$AJ231,Paramètres!$F$32),0)</f>
        <v>0</v>
      </c>
      <c r="W231" s="20" t="n">
        <f aca="false" t="array" ref="W231:W231">IF(AND(INDEX(Profils!$Q$5:$Q$34,$AE231)&gt;0,INDEX(Profils!$AF$5:$AF$34,$AE231)&lt;=$AH231),ROUND(INDEX(Profils!$Q$5:$Q$34,$AE231)*Paramètres!$E$33*$AG231*$AJ231,Paramètres!$F$33),0)</f>
        <v>0</v>
      </c>
      <c r="X231" s="20" t="n">
        <f aca="false" t="array" ref="X231:X231">IF(AND(INDEX(Profils!$R$5:$R$34,$AE231)&gt;0,INDEX(Profils!$AG$5:$AG$34,$AE231)&lt;=$AH231),ROUND(INDEX(Profils!$R$5:$R$34,$AE231)*Paramètres!$E$34*$AG231*$AJ231,Paramètres!$F$34),0)</f>
        <v>0</v>
      </c>
      <c r="Y231" s="20" t="n">
        <f aca="false" t="array" ref="Y231:Y231">IF(AND(INDEX(Profils!$S$5:$S$34,$AE231)&gt;0,INDEX(Profils!$AH$5:$AH$34,$AE231)&lt;=$AH231),ROUND(INDEX(Profils!$S$5:$S$34,$AE231)*Paramètres!$E$35*$AG231*$AJ231,Paramètres!$F$35),0)</f>
        <v>0</v>
      </c>
      <c r="Z231" s="21" t="n">
        <f aca="false">ROUND(L231/Paramètres!$E$22+M231/Paramètres!$E$23+N231/Paramètres!$E$24+O231/Paramètres!$E$25+P231/Paramètres!$E$26+Q231/Paramètres!$E$27+R231/Paramètres!$E$28+S231/Paramètres!$E$29+T231/Paramètres!$E$30+U231/Paramètres!$E$31+V231/Paramètres!$E$32+W231/Paramètres!$E$33+X231/Paramètres!$E$34+Y231/Paramètres!$E$35,1)</f>
        <v>0.8</v>
      </c>
      <c r="AA231" s="22" t="s">
        <v>109</v>
      </c>
      <c r="AB231" s="22" t="s">
        <v>109</v>
      </c>
      <c r="AC231" s="15" t="str">
        <f aca="false">$E231</f>
        <v>fer</v>
      </c>
      <c r="AD231" s="16" t="n">
        <f aca="false" t="array" ref="AD231:AD231">IF($I231&gt;=$AI231,"Max",ROUND(Paramètres!$B$40*($I231+1)^Paramètres!$B$41*INDEX(Paramètres!$H$6:$H$12,$AF231),0))</f>
        <v>4</v>
      </c>
      <c r="AE231" s="23" t="n">
        <f aca="false">MATCH($B231&amp;"|"&amp;$C231,Profils!$A$5:$A$34,0)</f>
        <v>8</v>
      </c>
      <c r="AF231" s="23" t="n">
        <v>3</v>
      </c>
      <c r="AG231" s="24" t="n">
        <f aca="false" t="array" ref="AG231:AG231">INDEX(Paramètres!$C$6:$C$12,$AF231)</f>
        <v>1.45</v>
      </c>
      <c r="AH231" s="23" t="n">
        <f aca="false" t="array" ref="AH231:AH231">INDEX(Paramètres!$D$6:$D$12,$AF231)</f>
        <v>4</v>
      </c>
      <c r="AI231" s="23" t="n">
        <f aca="false" t="array" ref="AI231:AI231">INDEX(Matériaux!$C$16:$C$20,$D231)</f>
        <v>20</v>
      </c>
      <c r="AJ231" s="25" t="n">
        <f aca="false">Paramètres!$B$16+(1-Paramètres!$B$16)*(($J231-Paramètres!$B$14)/(Paramètres!$B$15-Paramètres!$B$14))^Paramètres!$B$17</f>
        <v>0.140847925475674</v>
      </c>
    </row>
    <row r="232" customFormat="false" ht="15.75" hidden="false" customHeight="true" outlineLevel="0" collapsed="false">
      <c r="A232" s="14" t="s">
        <v>346</v>
      </c>
      <c r="B232" s="15" t="s">
        <v>27</v>
      </c>
      <c r="C232" s="15" t="s">
        <v>337</v>
      </c>
      <c r="D232" s="16" t="n">
        <v>2</v>
      </c>
      <c r="E232" s="15" t="str">
        <f aca="false" t="array" ref="E232:E232">INDEX(Matériaux!$B$5:$F$12,MATCH(INDEX(Profils!$E$5:$E$34,$AE232),Matériaux!$A$5:$A$12,0),$D232)</f>
        <v>fer</v>
      </c>
      <c r="F232" s="28" t="s">
        <v>115</v>
      </c>
      <c r="G232" s="10" t="str">
        <f aca="false" t="array" ref="G232:G232">INDEX(Profils!$D$5:$D$34,$AE232)&amp;" en "&amp;$E232</f>
        <v>Ceinturon en fer</v>
      </c>
      <c r="H232" s="16" t="n">
        <f aca="false" t="array" ref="H232:H232">INDEX(Matériaux!$B$16:$B$20,$D232)</f>
        <v>15</v>
      </c>
      <c r="I232" s="16" t="n">
        <f aca="false">IF(ISNUMBER($C$3),MIN(MAX(0,ROUND($C$3,0)),$AI232),$AI232)</f>
        <v>0</v>
      </c>
      <c r="J232" s="18" t="n">
        <f aca="false">$H232+$I232</f>
        <v>15</v>
      </c>
      <c r="K232" s="15" t="s">
        <v>109</v>
      </c>
      <c r="L232" s="19" t="n">
        <f aca="false" t="array" ref="L232:L232">IF(AND(INDEX(Profils!$F$5:$F$34,$AE232)&gt;0,INDEX(Profils!$U$5:$U$34,$AE232)&lt;=$AH232),ROUND(INDEX(Profils!$F$5:$F$34,$AE232)*Paramètres!$E$22*$AG232*$AJ232,Paramètres!$F$22),0)</f>
        <v>7</v>
      </c>
      <c r="M232" s="19" t="n">
        <f aca="false" t="array" ref="M232:M232">IF(AND(INDEX(Profils!$G$5:$G$34,$AE232)&gt;0,INDEX(Profils!$V$5:$V$34,$AE232)&lt;=$AH232),ROUND(INDEX(Profils!$G$5:$G$34,$AE232)*Paramètres!$E$23*$AG232*$AJ232,Paramètres!$F$23),0)</f>
        <v>4</v>
      </c>
      <c r="N232" s="19" t="n">
        <f aca="false" t="array" ref="N232:N232">IF(AND(INDEX(Profils!$H$5:$H$34,$AE232)&gt;0,INDEX(Profils!$W$5:$W$34,$AE232)&lt;=$AH232),ROUND(INDEX(Profils!$H$5:$H$34,$AE232)*Paramètres!$E$24*$AG232*$AJ232,Paramètres!$F$24),0)</f>
        <v>3</v>
      </c>
      <c r="O232" s="19" t="n">
        <f aca="false" t="array" ref="O232:O232">IF(AND(INDEX(Profils!$I$5:$I$34,$AE232)&gt;0,INDEX(Profils!$X$5:$X$34,$AE232)&lt;=$AH232),ROUND(INDEX(Profils!$I$5:$I$34,$AE232)*Paramètres!$E$25*$AG232*$AJ232,Paramètres!$F$25),0)</f>
        <v>0</v>
      </c>
      <c r="P232" s="19" t="n">
        <f aca="false" t="array" ref="P232:P232">IF(AND(INDEX(Profils!$J$5:$J$34,$AE232)&gt;0,INDEX(Profils!$Y$5:$Y$34,$AE232)&lt;=$AH232),ROUND(INDEX(Profils!$J$5:$J$34,$AE232)*Paramètres!$E$26*$AG232*$AJ232,Paramètres!$F$26),0)</f>
        <v>0</v>
      </c>
      <c r="Q232" s="19" t="n">
        <f aca="false" t="array" ref="Q232:Q232">IF(AND(INDEX(Profils!$K$5:$K$34,$AE232)&gt;0,INDEX(Profils!$Z$5:$Z$34,$AE232)&lt;=$AH232),ROUND(INDEX(Profils!$K$5:$K$34,$AE232)*Paramètres!$E$27*$AG232*$AJ232,Paramètres!$F$27),0)</f>
        <v>0</v>
      </c>
      <c r="R232" s="20" t="n">
        <f aca="false" t="array" ref="R232:R232">IF(AND(INDEX(Profils!$L$5:$L$34,$AE232)&gt;0,INDEX(Profils!$AA$5:$AA$34,$AE232)&lt;=$AH232),ROUND(INDEX(Profils!$L$5:$L$34,$AE232)*Paramètres!$E$28*$AG232*$AJ232,Paramètres!$F$28),0)</f>
        <v>0</v>
      </c>
      <c r="S232" s="20" t="n">
        <f aca="false" t="array" ref="S232:S232">IF(AND(INDEX(Profils!$M$5:$M$34,$AE232)&gt;0,INDEX(Profils!$AB$5:$AB$34,$AE232)&lt;=$AH232),ROUND(INDEX(Profils!$M$5:$M$34,$AE232)*Paramètres!$E$29*$AG232*$AJ232,Paramètres!$F$29),0)</f>
        <v>0</v>
      </c>
      <c r="T232" s="20" t="n">
        <f aca="false" t="array" ref="T232:T232">IF(AND(INDEX(Profils!$N$5:$N$34,$AE232)&gt;0,INDEX(Profils!$AC$5:$AC$34,$AE232)&lt;=$AH232),ROUND(INDEX(Profils!$N$5:$N$34,$AE232)*Paramètres!$E$30*$AG232*$AJ232,Paramètres!$F$30),0)</f>
        <v>0</v>
      </c>
      <c r="U232" s="19" t="n">
        <f aca="false" t="array" ref="U232:U232">IF(AND(INDEX(Profils!$O$5:$O$34,$AE232)&gt;0,INDEX(Profils!$AD$5:$AD$34,$AE232)&lt;=$AH232),ROUND(INDEX(Profils!$O$5:$O$34,$AE232)*Paramètres!$E$31*$AG232*$AJ232,Paramètres!$F$31),0)</f>
        <v>4</v>
      </c>
      <c r="V232" s="20" t="n">
        <f aca="false" t="array" ref="V232:V232">IF(AND(INDEX(Profils!$P$5:$P$34,$AE232)&gt;0,INDEX(Profils!$AE$5:$AE$34,$AE232)&lt;=$AH232),ROUND(INDEX(Profils!$P$5:$P$34,$AE232)*Paramètres!$E$32*$AG232*$AJ232,Paramètres!$F$32),0)</f>
        <v>0.002</v>
      </c>
      <c r="W232" s="20" t="n">
        <f aca="false" t="array" ref="W232:W232">IF(AND(INDEX(Profils!$Q$5:$Q$34,$AE232)&gt;0,INDEX(Profils!$AF$5:$AF$34,$AE232)&lt;=$AH232),ROUND(INDEX(Profils!$Q$5:$Q$34,$AE232)*Paramètres!$E$33*$AG232*$AJ232,Paramètres!$F$33),0)</f>
        <v>0</v>
      </c>
      <c r="X232" s="20" t="n">
        <f aca="false" t="array" ref="X232:X232">IF(AND(INDEX(Profils!$R$5:$R$34,$AE232)&gt;0,INDEX(Profils!$AG$5:$AG$34,$AE232)&lt;=$AH232),ROUND(INDEX(Profils!$R$5:$R$34,$AE232)*Paramètres!$E$34*$AG232*$AJ232,Paramètres!$F$34),0)</f>
        <v>0</v>
      </c>
      <c r="Y232" s="20" t="n">
        <f aca="false" t="array" ref="Y232:Y232">IF(AND(INDEX(Profils!$S$5:$S$34,$AE232)&gt;0,INDEX(Profils!$AH$5:$AH$34,$AE232)&lt;=$AH232),ROUND(INDEX(Profils!$S$5:$S$34,$AE232)*Paramètres!$E$35*$AG232*$AJ232,Paramètres!$F$35),0)</f>
        <v>0</v>
      </c>
      <c r="Z232" s="21" t="n">
        <f aca="false">ROUND(L232/Paramètres!$E$22+M232/Paramètres!$E$23+N232/Paramètres!$E$24+O232/Paramètres!$E$25+P232/Paramètres!$E$26+Q232/Paramètres!$E$27+R232/Paramètres!$E$28+S232/Paramètres!$E$29+T232/Paramètres!$E$30+U232/Paramètres!$E$31+V232/Paramètres!$E$32+W232/Paramètres!$E$33+X232/Paramètres!$E$34+Y232/Paramètres!$E$35,1)</f>
        <v>1.1</v>
      </c>
      <c r="AA232" s="22" t="s">
        <v>109</v>
      </c>
      <c r="AB232" s="22" t="s">
        <v>109</v>
      </c>
      <c r="AC232" s="15" t="str">
        <f aca="false">$E232</f>
        <v>fer</v>
      </c>
      <c r="AD232" s="16" t="n">
        <f aca="false" t="array" ref="AD232:AD232">IF($I232&gt;=$AI232,"Max",ROUND(Paramètres!$B$40*($I232+1)^Paramètres!$B$41*INDEX(Paramètres!$H$6:$H$12,$AF232),0))</f>
        <v>5</v>
      </c>
      <c r="AE232" s="23" t="n">
        <f aca="false">MATCH($B232&amp;"|"&amp;$C232,Profils!$A$5:$A$34,0)</f>
        <v>8</v>
      </c>
      <c r="AF232" s="23" t="n">
        <v>4</v>
      </c>
      <c r="AG232" s="24" t="n">
        <f aca="false" t="array" ref="AG232:AG232">INDEX(Paramètres!$C$6:$C$12,$AF232)</f>
        <v>1.75</v>
      </c>
      <c r="AH232" s="23" t="n">
        <f aca="false" t="array" ref="AH232:AH232">INDEX(Paramètres!$D$6:$D$12,$AF232)</f>
        <v>5</v>
      </c>
      <c r="AI232" s="23" t="n">
        <f aca="false" t="array" ref="AI232:AI232">INDEX(Matériaux!$C$16:$C$20,$D232)</f>
        <v>20</v>
      </c>
      <c r="AJ232" s="25" t="n">
        <f aca="false">Paramètres!$B$16+(1-Paramètres!$B$16)*(($J232-Paramètres!$B$14)/(Paramètres!$B$15-Paramètres!$B$14))^Paramètres!$B$17</f>
        <v>0.140847925475674</v>
      </c>
    </row>
    <row r="233" customFormat="false" ht="15.75" hidden="false" customHeight="true" outlineLevel="0" collapsed="false">
      <c r="A233" s="14" t="s">
        <v>347</v>
      </c>
      <c r="B233" s="15" t="s">
        <v>27</v>
      </c>
      <c r="C233" s="15" t="s">
        <v>337</v>
      </c>
      <c r="D233" s="16" t="n">
        <v>2</v>
      </c>
      <c r="E233" s="15" t="str">
        <f aca="false" t="array" ref="E233:E233">INDEX(Matériaux!$B$5:$F$12,MATCH(INDEX(Profils!$E$5:$E$34,$AE233),Matériaux!$A$5:$A$12,0),$D233)</f>
        <v>fer</v>
      </c>
      <c r="F233" s="29" t="s">
        <v>117</v>
      </c>
      <c r="G233" s="10" t="str">
        <f aca="false" t="array" ref="G233:G233">INDEX(Profils!$D$5:$D$34,$AE233)&amp;" en "&amp;$E233</f>
        <v>Ceinturon en fer</v>
      </c>
      <c r="H233" s="16" t="n">
        <f aca="false" t="array" ref="H233:H233">INDEX(Matériaux!$B$16:$B$20,$D233)</f>
        <v>15</v>
      </c>
      <c r="I233" s="16" t="n">
        <f aca="false">IF(ISNUMBER($C$3),MIN(MAX(0,ROUND($C$3,0)),$AI233),$AI233)</f>
        <v>0</v>
      </c>
      <c r="J233" s="18" t="n">
        <f aca="false">$H233+$I233</f>
        <v>15</v>
      </c>
      <c r="K233" s="15" t="s">
        <v>109</v>
      </c>
      <c r="L233" s="19" t="n">
        <f aca="false" t="array" ref="L233:L233">IF(AND(INDEX(Profils!$F$5:$F$34,$AE233)&gt;0,INDEX(Profils!$U$5:$U$34,$AE233)&lt;=$AH233),ROUND(INDEX(Profils!$F$5:$F$34,$AE233)*Paramètres!$E$22*$AG233*$AJ233,Paramètres!$F$22),0)</f>
        <v>9</v>
      </c>
      <c r="M233" s="19" t="n">
        <f aca="false" t="array" ref="M233:M233">IF(AND(INDEX(Profils!$G$5:$G$34,$AE233)&gt;0,INDEX(Profils!$V$5:$V$34,$AE233)&lt;=$AH233),ROUND(INDEX(Profils!$G$5:$G$34,$AE233)*Paramètres!$E$23*$AG233*$AJ233,Paramètres!$F$23),0)</f>
        <v>4</v>
      </c>
      <c r="N233" s="19" t="n">
        <f aca="false" t="array" ref="N233:N233">IF(AND(INDEX(Profils!$H$5:$H$34,$AE233)&gt;0,INDEX(Profils!$W$5:$W$34,$AE233)&lt;=$AH233),ROUND(INDEX(Profils!$H$5:$H$34,$AE233)*Paramètres!$E$24*$AG233*$AJ233,Paramètres!$F$24),0)</f>
        <v>4</v>
      </c>
      <c r="O233" s="19" t="n">
        <f aca="false" t="array" ref="O233:O233">IF(AND(INDEX(Profils!$I$5:$I$34,$AE233)&gt;0,INDEX(Profils!$X$5:$X$34,$AE233)&lt;=$AH233),ROUND(INDEX(Profils!$I$5:$I$34,$AE233)*Paramètres!$E$25*$AG233*$AJ233,Paramètres!$F$25),0)</f>
        <v>0</v>
      </c>
      <c r="P233" s="19" t="n">
        <f aca="false" t="array" ref="P233:P233">IF(AND(INDEX(Profils!$J$5:$J$34,$AE233)&gt;0,INDEX(Profils!$Y$5:$Y$34,$AE233)&lt;=$AH233),ROUND(INDEX(Profils!$J$5:$J$34,$AE233)*Paramètres!$E$26*$AG233*$AJ233,Paramètres!$F$26),0)</f>
        <v>0</v>
      </c>
      <c r="Q233" s="19" t="n">
        <f aca="false" t="array" ref="Q233:Q233">IF(AND(INDEX(Profils!$K$5:$K$34,$AE233)&gt;0,INDEX(Profils!$Z$5:$Z$34,$AE233)&lt;=$AH233),ROUND(INDEX(Profils!$K$5:$K$34,$AE233)*Paramètres!$E$27*$AG233*$AJ233,Paramètres!$F$27),0)</f>
        <v>0</v>
      </c>
      <c r="R233" s="20" t="n">
        <f aca="false" t="array" ref="R233:R233">IF(AND(INDEX(Profils!$L$5:$L$34,$AE233)&gt;0,INDEX(Profils!$AA$5:$AA$34,$AE233)&lt;=$AH233),ROUND(INDEX(Profils!$L$5:$L$34,$AE233)*Paramètres!$E$28*$AG233*$AJ233,Paramètres!$F$28),0)</f>
        <v>0</v>
      </c>
      <c r="S233" s="20" t="n">
        <f aca="false" t="array" ref="S233:S233">IF(AND(INDEX(Profils!$M$5:$M$34,$AE233)&gt;0,INDEX(Profils!$AB$5:$AB$34,$AE233)&lt;=$AH233),ROUND(INDEX(Profils!$M$5:$M$34,$AE233)*Paramètres!$E$29*$AG233*$AJ233,Paramètres!$F$29),0)</f>
        <v>0</v>
      </c>
      <c r="T233" s="20" t="n">
        <f aca="false" t="array" ref="T233:T233">IF(AND(INDEX(Profils!$N$5:$N$34,$AE233)&gt;0,INDEX(Profils!$AC$5:$AC$34,$AE233)&lt;=$AH233),ROUND(INDEX(Profils!$N$5:$N$34,$AE233)*Paramètres!$E$30*$AG233*$AJ233,Paramètres!$F$30),0)</f>
        <v>0</v>
      </c>
      <c r="U233" s="19" t="n">
        <f aca="false" t="array" ref="U233:U233">IF(AND(INDEX(Profils!$O$5:$O$34,$AE233)&gt;0,INDEX(Profils!$AD$5:$AD$34,$AE233)&lt;=$AH233),ROUND(INDEX(Profils!$O$5:$O$34,$AE233)*Paramètres!$E$31*$AG233*$AJ233,Paramètres!$F$31),0)</f>
        <v>5</v>
      </c>
      <c r="V233" s="20" t="n">
        <f aca="false" t="array" ref="V233:V233">IF(AND(INDEX(Profils!$P$5:$P$34,$AE233)&gt;0,INDEX(Profils!$AE$5:$AE$34,$AE233)&lt;=$AH233),ROUND(INDEX(Profils!$P$5:$P$34,$AE233)*Paramètres!$E$32*$AG233*$AJ233,Paramètres!$F$32),0)</f>
        <v>0.003</v>
      </c>
      <c r="W233" s="20" t="n">
        <f aca="false" t="array" ref="W233:W233">IF(AND(INDEX(Profils!$Q$5:$Q$34,$AE233)&gt;0,INDEX(Profils!$AF$5:$AF$34,$AE233)&lt;=$AH233),ROUND(INDEX(Profils!$Q$5:$Q$34,$AE233)*Paramètres!$E$33*$AG233*$AJ233,Paramètres!$F$33),0)</f>
        <v>0</v>
      </c>
      <c r="X233" s="20" t="n">
        <f aca="false" t="array" ref="X233:X233">IF(AND(INDEX(Profils!$R$5:$R$34,$AE233)&gt;0,INDEX(Profils!$AG$5:$AG$34,$AE233)&lt;=$AH233),ROUND(INDEX(Profils!$R$5:$R$34,$AE233)*Paramètres!$E$34*$AG233*$AJ233,Paramètres!$F$34),0)</f>
        <v>0</v>
      </c>
      <c r="Y233" s="20" t="n">
        <f aca="false" t="array" ref="Y233:Y233">IF(AND(INDEX(Profils!$S$5:$S$34,$AE233)&gt;0,INDEX(Profils!$AH$5:$AH$34,$AE233)&lt;=$AH233),ROUND(INDEX(Profils!$S$5:$S$34,$AE233)*Paramètres!$E$35*$AG233*$AJ233,Paramètres!$F$35),0)</f>
        <v>0.003</v>
      </c>
      <c r="Z233" s="21" t="n">
        <f aca="false">ROUND(L233/Paramètres!$E$22+M233/Paramètres!$E$23+N233/Paramètres!$E$24+O233/Paramètres!$E$25+P233/Paramètres!$E$26+Q233/Paramètres!$E$27+R233/Paramètres!$E$28+S233/Paramètres!$E$29+T233/Paramètres!$E$30+U233/Paramètres!$E$31+V233/Paramètres!$E$32+W233/Paramètres!$E$33+X233/Paramètres!$E$34+Y233/Paramètres!$E$35,1)</f>
        <v>1.5</v>
      </c>
      <c r="AA233" s="22" t="s">
        <v>109</v>
      </c>
      <c r="AB233" s="22" t="s">
        <v>109</v>
      </c>
      <c r="AC233" s="15" t="str">
        <f aca="false">$E233</f>
        <v>fer</v>
      </c>
      <c r="AD233" s="16" t="n">
        <f aca="false" t="array" ref="AD233:AD233">IF($I233&gt;=$AI233,"Max",ROUND(Paramètres!$B$40*($I233+1)^Paramètres!$B$41*INDEX(Paramètres!$H$6:$H$12,$AF233),0))</f>
        <v>6</v>
      </c>
      <c r="AE233" s="23" t="n">
        <f aca="false">MATCH($B233&amp;"|"&amp;$C233,Profils!$A$5:$A$34,0)</f>
        <v>8</v>
      </c>
      <c r="AF233" s="23" t="n">
        <v>5</v>
      </c>
      <c r="AG233" s="24" t="n">
        <f aca="false" t="array" ref="AG233:AG233">INDEX(Paramètres!$C$6:$C$12,$AF233)</f>
        <v>2.1</v>
      </c>
      <c r="AH233" s="23" t="n">
        <f aca="false" t="array" ref="AH233:AH233">INDEX(Paramètres!$D$6:$D$12,$AF233)</f>
        <v>6</v>
      </c>
      <c r="AI233" s="23" t="n">
        <f aca="false" t="array" ref="AI233:AI233">INDEX(Matériaux!$C$16:$C$20,$D233)</f>
        <v>20</v>
      </c>
      <c r="AJ233" s="25" t="n">
        <f aca="false">Paramètres!$B$16+(1-Paramètres!$B$16)*(($J233-Paramètres!$B$14)/(Paramètres!$B$15-Paramètres!$B$14))^Paramètres!$B$17</f>
        <v>0.140847925475674</v>
      </c>
    </row>
    <row r="234" customFormat="false" ht="15.75" hidden="false" customHeight="true" outlineLevel="0" collapsed="false">
      <c r="A234" s="14" t="s">
        <v>348</v>
      </c>
      <c r="B234" s="15" t="s">
        <v>27</v>
      </c>
      <c r="C234" s="15" t="s">
        <v>337</v>
      </c>
      <c r="D234" s="16" t="n">
        <v>2</v>
      </c>
      <c r="E234" s="15" t="str">
        <f aca="false" t="array" ref="E234:E234">INDEX(Matériaux!$B$5:$F$12,MATCH(INDEX(Profils!$E$5:$E$34,$AE234),Matériaux!$A$5:$A$12,0),$D234)</f>
        <v>fer</v>
      </c>
      <c r="F234" s="30" t="s">
        <v>119</v>
      </c>
      <c r="G234" s="10" t="str">
        <f aca="false" t="array" ref="G234:G234">INDEX(Profils!$D$5:$D$34,$AE234)&amp;" en "&amp;$E234</f>
        <v>Ceinturon en fer</v>
      </c>
      <c r="H234" s="16" t="n">
        <f aca="false" t="array" ref="H234:H234">INDEX(Matériaux!$B$16:$B$20,$D234)</f>
        <v>15</v>
      </c>
      <c r="I234" s="16" t="n">
        <f aca="false">IF(ISNUMBER($C$3),MIN(MAX(0,ROUND($C$3,0)),$AI234),$AI234)</f>
        <v>0</v>
      </c>
      <c r="J234" s="18" t="n">
        <f aca="false">$H234+$I234</f>
        <v>15</v>
      </c>
      <c r="K234" s="15" t="s">
        <v>109</v>
      </c>
      <c r="L234" s="19" t="n">
        <f aca="false" t="array" ref="L234:L234">IF(AND(INDEX(Profils!$F$5:$F$34,$AE234)&gt;0,INDEX(Profils!$U$5:$U$34,$AE234)&lt;=$AH234),ROUND(INDEX(Profils!$F$5:$F$34,$AE234)*Paramètres!$E$22*$AG234*$AJ234,Paramètres!$F$22),0)</f>
        <v>10</v>
      </c>
      <c r="M234" s="19" t="n">
        <f aca="false" t="array" ref="M234:M234">IF(AND(INDEX(Profils!$G$5:$G$34,$AE234)&gt;0,INDEX(Profils!$V$5:$V$34,$AE234)&lt;=$AH234),ROUND(INDEX(Profils!$G$5:$G$34,$AE234)*Paramètres!$E$23*$AG234*$AJ234,Paramètres!$F$23),0)</f>
        <v>5</v>
      </c>
      <c r="N234" s="19" t="n">
        <f aca="false" t="array" ref="N234:N234">IF(AND(INDEX(Profils!$H$5:$H$34,$AE234)&gt;0,INDEX(Profils!$W$5:$W$34,$AE234)&lt;=$AH234),ROUND(INDEX(Profils!$H$5:$H$34,$AE234)*Paramètres!$E$24*$AG234*$AJ234,Paramètres!$F$24),0)</f>
        <v>5</v>
      </c>
      <c r="O234" s="19" t="n">
        <f aca="false" t="array" ref="O234:O234">IF(AND(INDEX(Profils!$I$5:$I$34,$AE234)&gt;0,INDEX(Profils!$X$5:$X$34,$AE234)&lt;=$AH234),ROUND(INDEX(Profils!$I$5:$I$34,$AE234)*Paramètres!$E$25*$AG234*$AJ234,Paramètres!$F$25),0)</f>
        <v>0</v>
      </c>
      <c r="P234" s="19" t="n">
        <f aca="false" t="array" ref="P234:P234">IF(AND(INDEX(Profils!$J$5:$J$34,$AE234)&gt;0,INDEX(Profils!$Y$5:$Y$34,$AE234)&lt;=$AH234),ROUND(INDEX(Profils!$J$5:$J$34,$AE234)*Paramètres!$E$26*$AG234*$AJ234,Paramètres!$F$26),0)</f>
        <v>0</v>
      </c>
      <c r="Q234" s="19" t="n">
        <f aca="false" t="array" ref="Q234:Q234">IF(AND(INDEX(Profils!$K$5:$K$34,$AE234)&gt;0,INDEX(Profils!$Z$5:$Z$34,$AE234)&lt;=$AH234),ROUND(INDEX(Profils!$K$5:$K$34,$AE234)*Paramètres!$E$27*$AG234*$AJ234,Paramètres!$F$27),0)</f>
        <v>2</v>
      </c>
      <c r="R234" s="20" t="n">
        <f aca="false" t="array" ref="R234:R234">IF(AND(INDEX(Profils!$L$5:$L$34,$AE234)&gt;0,INDEX(Profils!$AA$5:$AA$34,$AE234)&lt;=$AH234),ROUND(INDEX(Profils!$L$5:$L$34,$AE234)*Paramètres!$E$28*$AG234*$AJ234,Paramètres!$F$28),0)</f>
        <v>0</v>
      </c>
      <c r="S234" s="20" t="n">
        <f aca="false" t="array" ref="S234:S234">IF(AND(INDEX(Profils!$M$5:$M$34,$AE234)&gt;0,INDEX(Profils!$AB$5:$AB$34,$AE234)&lt;=$AH234),ROUND(INDEX(Profils!$M$5:$M$34,$AE234)*Paramètres!$E$29*$AG234*$AJ234,Paramètres!$F$29),0)</f>
        <v>0</v>
      </c>
      <c r="T234" s="20" t="n">
        <f aca="false" t="array" ref="T234:T234">IF(AND(INDEX(Profils!$N$5:$N$34,$AE234)&gt;0,INDEX(Profils!$AC$5:$AC$34,$AE234)&lt;=$AH234),ROUND(INDEX(Profils!$N$5:$N$34,$AE234)*Paramètres!$E$30*$AG234*$AJ234,Paramètres!$F$30),0)</f>
        <v>0</v>
      </c>
      <c r="U234" s="19" t="n">
        <f aca="false" t="array" ref="U234:U234">IF(AND(INDEX(Profils!$O$5:$O$34,$AE234)&gt;0,INDEX(Profils!$AD$5:$AD$34,$AE234)&lt;=$AH234),ROUND(INDEX(Profils!$O$5:$O$34,$AE234)*Paramètres!$E$31*$AG234*$AJ234,Paramètres!$F$31),0)</f>
        <v>5</v>
      </c>
      <c r="V234" s="20" t="n">
        <f aca="false" t="array" ref="V234:V234">IF(AND(INDEX(Profils!$P$5:$P$34,$AE234)&gt;0,INDEX(Profils!$AE$5:$AE$34,$AE234)&lt;=$AH234),ROUND(INDEX(Profils!$P$5:$P$34,$AE234)*Paramètres!$E$32*$AG234*$AJ234,Paramètres!$F$32),0)</f>
        <v>0.003</v>
      </c>
      <c r="W234" s="20" t="n">
        <f aca="false" t="array" ref="W234:W234">IF(AND(INDEX(Profils!$Q$5:$Q$34,$AE234)&gt;0,INDEX(Profils!$AF$5:$AF$34,$AE234)&lt;=$AH234),ROUND(INDEX(Profils!$Q$5:$Q$34,$AE234)*Paramètres!$E$33*$AG234*$AJ234,Paramètres!$F$33),0)</f>
        <v>0</v>
      </c>
      <c r="X234" s="20" t="n">
        <f aca="false" t="array" ref="X234:X234">IF(AND(INDEX(Profils!$R$5:$R$34,$AE234)&gt;0,INDEX(Profils!$AG$5:$AG$34,$AE234)&lt;=$AH234),ROUND(INDEX(Profils!$R$5:$R$34,$AE234)*Paramètres!$E$34*$AG234*$AJ234,Paramètres!$F$34),0)</f>
        <v>0</v>
      </c>
      <c r="Y234" s="20" t="n">
        <f aca="false" t="array" ref="Y234:Y234">IF(AND(INDEX(Profils!$S$5:$S$34,$AE234)&gt;0,INDEX(Profils!$AH$5:$AH$34,$AE234)&lt;=$AH234),ROUND(INDEX(Profils!$S$5:$S$34,$AE234)*Paramètres!$E$35*$AG234*$AJ234,Paramètres!$F$35),0)</f>
        <v>0.003</v>
      </c>
      <c r="Z234" s="21" t="n">
        <f aca="false">ROUND(L234/Paramètres!$E$22+M234/Paramètres!$E$23+N234/Paramètres!$E$24+O234/Paramètres!$E$25+P234/Paramètres!$E$26+Q234/Paramètres!$E$27+R234/Paramètres!$E$28+S234/Paramètres!$E$29+T234/Paramètres!$E$30+U234/Paramètres!$E$31+V234/Paramètres!$E$32+W234/Paramètres!$E$33+X234/Paramètres!$E$34+Y234/Paramètres!$E$35,1)</f>
        <v>1.9</v>
      </c>
      <c r="AA234" s="22" t="s">
        <v>109</v>
      </c>
      <c r="AB234" s="22" t="s">
        <v>109</v>
      </c>
      <c r="AC234" s="15" t="str">
        <f aca="false">$E234</f>
        <v>fer</v>
      </c>
      <c r="AD234" s="16" t="n">
        <f aca="false" t="array" ref="AD234:AD234">IF($I234&gt;=$AI234,"Max",ROUND(Paramètres!$B$40*($I234+1)^Paramètres!$B$41*INDEX(Paramètres!$H$6:$H$12,$AF234),0))</f>
        <v>8</v>
      </c>
      <c r="AE234" s="23" t="n">
        <f aca="false">MATCH($B234&amp;"|"&amp;$C234,Profils!$A$5:$A$34,0)</f>
        <v>8</v>
      </c>
      <c r="AF234" s="23" t="n">
        <v>6</v>
      </c>
      <c r="AG234" s="24" t="n">
        <f aca="false" t="array" ref="AG234:AG234">INDEX(Paramètres!$C$6:$C$12,$AF234)</f>
        <v>2.4</v>
      </c>
      <c r="AH234" s="23" t="n">
        <f aca="false" t="array" ref="AH234:AH234">INDEX(Paramètres!$D$6:$D$12,$AF234)</f>
        <v>7</v>
      </c>
      <c r="AI234" s="23" t="n">
        <f aca="false" t="array" ref="AI234:AI234">INDEX(Matériaux!$C$16:$C$20,$D234)</f>
        <v>20</v>
      </c>
      <c r="AJ234" s="25" t="n">
        <f aca="false">Paramètres!$B$16+(1-Paramètres!$B$16)*(($J234-Paramètres!$B$14)/(Paramètres!$B$15-Paramètres!$B$14))^Paramètres!$B$17</f>
        <v>0.140847925475674</v>
      </c>
    </row>
    <row r="235" customFormat="false" ht="15.75" hidden="false" customHeight="true" outlineLevel="0" collapsed="false">
      <c r="A235" s="14" t="s">
        <v>349</v>
      </c>
      <c r="B235" s="15" t="s">
        <v>27</v>
      </c>
      <c r="C235" s="15" t="s">
        <v>337</v>
      </c>
      <c r="D235" s="16" t="n">
        <v>3</v>
      </c>
      <c r="E235" s="15" t="str">
        <f aca="false" t="array" ref="E235:E235">INDEX(Matériaux!$B$5:$F$12,MATCH(INDEX(Profils!$E$5:$E$34,$AE235),Matériaux!$A$5:$A$12,0),$D235)</f>
        <v>acier</v>
      </c>
      <c r="F235" s="17" t="s">
        <v>108</v>
      </c>
      <c r="G235" s="10" t="str">
        <f aca="false" t="array" ref="G235:G235">INDEX(Profils!$D$5:$D$34,$AE235)&amp;" en "&amp;$E235</f>
        <v>Ceinturon en acier</v>
      </c>
      <c r="H235" s="16" t="n">
        <f aca="false" t="array" ref="H235:H235">INDEX(Matériaux!$B$16:$B$20,$D235)</f>
        <v>30</v>
      </c>
      <c r="I235" s="16" t="n">
        <f aca="false">IF(ISNUMBER($C$3),MIN(MAX(0,ROUND($C$3,0)),$AI235),$AI235)</f>
        <v>0</v>
      </c>
      <c r="J235" s="18" t="n">
        <f aca="false">$H235+$I235</f>
        <v>30</v>
      </c>
      <c r="K235" s="15" t="s">
        <v>109</v>
      </c>
      <c r="L235" s="19" t="n">
        <f aca="false" t="array" ref="L235:L235">IF(AND(INDEX(Profils!$F$5:$F$34,$AE235)&gt;0,INDEX(Profils!$U$5:$U$34,$AE235)&lt;=$AH235),ROUND(INDEX(Profils!$F$5:$F$34,$AE235)*Paramètres!$E$22*$AG235*$AJ235,Paramètres!$F$22),0)</f>
        <v>8</v>
      </c>
      <c r="M235" s="19" t="n">
        <f aca="false" t="array" ref="M235:M235">IF(AND(INDEX(Profils!$G$5:$G$34,$AE235)&gt;0,INDEX(Profils!$V$5:$V$34,$AE235)&lt;=$AH235),ROUND(INDEX(Profils!$G$5:$G$34,$AE235)*Paramètres!$E$23*$AG235*$AJ235,Paramètres!$F$23),0)</f>
        <v>4</v>
      </c>
      <c r="N235" s="19" t="n">
        <f aca="false" t="array" ref="N235:N235">IF(AND(INDEX(Profils!$H$5:$H$34,$AE235)&gt;0,INDEX(Profils!$W$5:$W$34,$AE235)&lt;=$AH235),ROUND(INDEX(Profils!$H$5:$H$34,$AE235)*Paramètres!$E$24*$AG235*$AJ235,Paramètres!$F$24),0)</f>
        <v>0</v>
      </c>
      <c r="O235" s="19" t="n">
        <f aca="false" t="array" ref="O235:O235">IF(AND(INDEX(Profils!$I$5:$I$34,$AE235)&gt;0,INDEX(Profils!$X$5:$X$34,$AE235)&lt;=$AH235),ROUND(INDEX(Profils!$I$5:$I$34,$AE235)*Paramètres!$E$25*$AG235*$AJ235,Paramètres!$F$25),0)</f>
        <v>0</v>
      </c>
      <c r="P235" s="19" t="n">
        <f aca="false" t="array" ref="P235:P235">IF(AND(INDEX(Profils!$J$5:$J$34,$AE235)&gt;0,INDEX(Profils!$Y$5:$Y$34,$AE235)&lt;=$AH235),ROUND(INDEX(Profils!$J$5:$J$34,$AE235)*Paramètres!$E$26*$AG235*$AJ235,Paramètres!$F$26),0)</f>
        <v>0</v>
      </c>
      <c r="Q235" s="19" t="n">
        <f aca="false" t="array" ref="Q235:Q235">IF(AND(INDEX(Profils!$K$5:$K$34,$AE235)&gt;0,INDEX(Profils!$Z$5:$Z$34,$AE235)&lt;=$AH235),ROUND(INDEX(Profils!$K$5:$K$34,$AE235)*Paramètres!$E$27*$AG235*$AJ235,Paramètres!$F$27),0)</f>
        <v>0</v>
      </c>
      <c r="R235" s="20" t="n">
        <f aca="false" t="array" ref="R235:R235">IF(AND(INDEX(Profils!$L$5:$L$34,$AE235)&gt;0,INDEX(Profils!$AA$5:$AA$34,$AE235)&lt;=$AH235),ROUND(INDEX(Profils!$L$5:$L$34,$AE235)*Paramètres!$E$28*$AG235*$AJ235,Paramètres!$F$28),0)</f>
        <v>0</v>
      </c>
      <c r="S235" s="20" t="n">
        <f aca="false" t="array" ref="S235:S235">IF(AND(INDEX(Profils!$M$5:$M$34,$AE235)&gt;0,INDEX(Profils!$AB$5:$AB$34,$AE235)&lt;=$AH235),ROUND(INDEX(Profils!$M$5:$M$34,$AE235)*Paramètres!$E$29*$AG235*$AJ235,Paramètres!$F$29),0)</f>
        <v>0</v>
      </c>
      <c r="T235" s="20" t="n">
        <f aca="false" t="array" ref="T235:T235">IF(AND(INDEX(Profils!$N$5:$N$34,$AE235)&gt;0,INDEX(Profils!$AC$5:$AC$34,$AE235)&lt;=$AH235),ROUND(INDEX(Profils!$N$5:$N$34,$AE235)*Paramètres!$E$30*$AG235*$AJ235,Paramètres!$F$30),0)</f>
        <v>0</v>
      </c>
      <c r="U235" s="19" t="n">
        <f aca="false" t="array" ref="U235:U235">IF(AND(INDEX(Profils!$O$5:$O$34,$AE235)&gt;0,INDEX(Profils!$AD$5:$AD$34,$AE235)&lt;=$AH235),ROUND(INDEX(Profils!$O$5:$O$34,$AE235)*Paramètres!$E$31*$AG235*$AJ235,Paramètres!$F$31),0)</f>
        <v>0</v>
      </c>
      <c r="V235" s="20" t="n">
        <f aca="false" t="array" ref="V235:V235">IF(AND(INDEX(Profils!$P$5:$P$34,$AE235)&gt;0,INDEX(Profils!$AE$5:$AE$34,$AE235)&lt;=$AH235),ROUND(INDEX(Profils!$P$5:$P$34,$AE235)*Paramètres!$E$32*$AG235*$AJ235,Paramètres!$F$32),0)</f>
        <v>0</v>
      </c>
      <c r="W235" s="20" t="n">
        <f aca="false" t="array" ref="W235:W235">IF(AND(INDEX(Profils!$Q$5:$Q$34,$AE235)&gt;0,INDEX(Profils!$AF$5:$AF$34,$AE235)&lt;=$AH235),ROUND(INDEX(Profils!$Q$5:$Q$34,$AE235)*Paramètres!$E$33*$AG235*$AJ235,Paramètres!$F$33),0)</f>
        <v>0</v>
      </c>
      <c r="X235" s="20" t="n">
        <f aca="false" t="array" ref="X235:X235">IF(AND(INDEX(Profils!$R$5:$R$34,$AE235)&gt;0,INDEX(Profils!$AG$5:$AG$34,$AE235)&lt;=$AH235),ROUND(INDEX(Profils!$R$5:$R$34,$AE235)*Paramètres!$E$34*$AG235*$AJ235,Paramètres!$F$34),0)</f>
        <v>0</v>
      </c>
      <c r="Y235" s="20" t="n">
        <f aca="false" t="array" ref="Y235:Y235">IF(AND(INDEX(Profils!$S$5:$S$34,$AE235)&gt;0,INDEX(Profils!$AH$5:$AH$34,$AE235)&lt;=$AH235),ROUND(INDEX(Profils!$S$5:$S$34,$AE235)*Paramètres!$E$35*$AG235*$AJ235,Paramètres!$F$35),0)</f>
        <v>0</v>
      </c>
      <c r="Z235" s="21" t="n">
        <f aca="false">ROUND(L235/Paramètres!$E$22+M235/Paramètres!$E$23+N235/Paramètres!$E$24+O235/Paramètres!$E$25+P235/Paramètres!$E$26+Q235/Paramètres!$E$27+R235/Paramètres!$E$28+S235/Paramètres!$E$29+T235/Paramètres!$E$30+U235/Paramètres!$E$31+V235/Paramètres!$E$32+W235/Paramètres!$E$33+X235/Paramètres!$E$34+Y235/Paramètres!$E$35,1)</f>
        <v>0.6</v>
      </c>
      <c r="AA235" s="22" t="s">
        <v>109</v>
      </c>
      <c r="AB235" s="22" t="s">
        <v>109</v>
      </c>
      <c r="AC235" s="15" t="str">
        <f aca="false">$E235</f>
        <v>acier</v>
      </c>
      <c r="AD235" s="16" t="n">
        <f aca="false" t="array" ref="AD235:AD235">IF($I235&gt;=$AI235,"Max",ROUND(Paramètres!$B$40*($I235+1)^Paramètres!$B$41*INDEX(Paramètres!$H$6:$H$12,$AF235),0))</f>
        <v>3</v>
      </c>
      <c r="AE235" s="23" t="n">
        <f aca="false">MATCH($B235&amp;"|"&amp;$C235,Profils!$A$5:$A$34,0)</f>
        <v>8</v>
      </c>
      <c r="AF235" s="23" t="n">
        <v>1</v>
      </c>
      <c r="AG235" s="24" t="n">
        <f aca="false" t="array" ref="AG235:AG235">INDEX(Paramètres!$C$6:$C$12,$AF235)</f>
        <v>1</v>
      </c>
      <c r="AH235" s="23" t="n">
        <f aca="false" t="array" ref="AH235:AH235">INDEX(Paramètres!$D$6:$D$12,$AF235)</f>
        <v>2</v>
      </c>
      <c r="AI235" s="23" t="n">
        <f aca="false" t="array" ref="AI235:AI235">INDEX(Matériaux!$C$16:$C$20,$D235)</f>
        <v>25</v>
      </c>
      <c r="AJ235" s="25" t="n">
        <f aca="false">Paramètres!$B$16+(1-Paramètres!$B$16)*(($J235-Paramètres!$B$14)/(Paramètres!$B$15-Paramètres!$B$14))^Paramètres!$B$17</f>
        <v>0.26769024555533</v>
      </c>
    </row>
    <row r="236" customFormat="false" ht="15.75" hidden="false" customHeight="true" outlineLevel="0" collapsed="false">
      <c r="A236" s="14" t="s">
        <v>350</v>
      </c>
      <c r="B236" s="15" t="s">
        <v>27</v>
      </c>
      <c r="C236" s="15" t="s">
        <v>337</v>
      </c>
      <c r="D236" s="16" t="n">
        <v>3</v>
      </c>
      <c r="E236" s="15" t="str">
        <f aca="false" t="array" ref="E236:E236">INDEX(Matériaux!$B$5:$F$12,MATCH(INDEX(Profils!$E$5:$E$34,$AE236),Matériaux!$A$5:$A$12,0),$D236)</f>
        <v>acier</v>
      </c>
      <c r="F236" s="26" t="s">
        <v>111</v>
      </c>
      <c r="G236" s="10" t="str">
        <f aca="false" t="array" ref="G236:G236">INDEX(Profils!$D$5:$D$34,$AE236)&amp;" en "&amp;$E236</f>
        <v>Ceinturon en acier</v>
      </c>
      <c r="H236" s="16" t="n">
        <f aca="false" t="array" ref="H236:H236">INDEX(Matériaux!$B$16:$B$20,$D236)</f>
        <v>30</v>
      </c>
      <c r="I236" s="16" t="n">
        <f aca="false">IF(ISNUMBER($C$3),MIN(MAX(0,ROUND($C$3,0)),$AI236),$AI236)</f>
        <v>0</v>
      </c>
      <c r="J236" s="18" t="n">
        <f aca="false">$H236+$I236</f>
        <v>30</v>
      </c>
      <c r="K236" s="15" t="s">
        <v>109</v>
      </c>
      <c r="L236" s="19" t="n">
        <f aca="false" t="array" ref="L236:L236">IF(AND(INDEX(Profils!$F$5:$F$34,$AE236)&gt;0,INDEX(Profils!$U$5:$U$34,$AE236)&lt;=$AH236),ROUND(INDEX(Profils!$F$5:$F$34,$AE236)*Paramètres!$E$22*$AG236*$AJ236,Paramètres!$F$22),0)</f>
        <v>10</v>
      </c>
      <c r="M236" s="19" t="n">
        <f aca="false" t="array" ref="M236:M236">IF(AND(INDEX(Profils!$G$5:$G$34,$AE236)&gt;0,INDEX(Profils!$V$5:$V$34,$AE236)&lt;=$AH236),ROUND(INDEX(Profils!$G$5:$G$34,$AE236)*Paramètres!$E$23*$AG236*$AJ236,Paramètres!$F$23),0)</f>
        <v>5</v>
      </c>
      <c r="N236" s="19" t="n">
        <f aca="false" t="array" ref="N236:N236">IF(AND(INDEX(Profils!$H$5:$H$34,$AE236)&gt;0,INDEX(Profils!$W$5:$W$34,$AE236)&lt;=$AH236),ROUND(INDEX(Profils!$H$5:$H$34,$AE236)*Paramètres!$E$24*$AG236*$AJ236,Paramètres!$F$24),0)</f>
        <v>4</v>
      </c>
      <c r="O236" s="19" t="n">
        <f aca="false" t="array" ref="O236:O236">IF(AND(INDEX(Profils!$I$5:$I$34,$AE236)&gt;0,INDEX(Profils!$X$5:$X$34,$AE236)&lt;=$AH236),ROUND(INDEX(Profils!$I$5:$I$34,$AE236)*Paramètres!$E$25*$AG236*$AJ236,Paramètres!$F$25),0)</f>
        <v>0</v>
      </c>
      <c r="P236" s="19" t="n">
        <f aca="false" t="array" ref="P236:P236">IF(AND(INDEX(Profils!$J$5:$J$34,$AE236)&gt;0,INDEX(Profils!$Y$5:$Y$34,$AE236)&lt;=$AH236),ROUND(INDEX(Profils!$J$5:$J$34,$AE236)*Paramètres!$E$26*$AG236*$AJ236,Paramètres!$F$26),0)</f>
        <v>0</v>
      </c>
      <c r="Q236" s="19" t="n">
        <f aca="false" t="array" ref="Q236:Q236">IF(AND(INDEX(Profils!$K$5:$K$34,$AE236)&gt;0,INDEX(Profils!$Z$5:$Z$34,$AE236)&lt;=$AH236),ROUND(INDEX(Profils!$K$5:$K$34,$AE236)*Paramètres!$E$27*$AG236*$AJ236,Paramètres!$F$27),0)</f>
        <v>0</v>
      </c>
      <c r="R236" s="20" t="n">
        <f aca="false" t="array" ref="R236:R236">IF(AND(INDEX(Profils!$L$5:$L$34,$AE236)&gt;0,INDEX(Profils!$AA$5:$AA$34,$AE236)&lt;=$AH236),ROUND(INDEX(Profils!$L$5:$L$34,$AE236)*Paramètres!$E$28*$AG236*$AJ236,Paramètres!$F$28),0)</f>
        <v>0</v>
      </c>
      <c r="S236" s="20" t="n">
        <f aca="false" t="array" ref="S236:S236">IF(AND(INDEX(Profils!$M$5:$M$34,$AE236)&gt;0,INDEX(Profils!$AB$5:$AB$34,$AE236)&lt;=$AH236),ROUND(INDEX(Profils!$M$5:$M$34,$AE236)*Paramètres!$E$29*$AG236*$AJ236,Paramètres!$F$29),0)</f>
        <v>0</v>
      </c>
      <c r="T236" s="20" t="n">
        <f aca="false" t="array" ref="T236:T236">IF(AND(INDEX(Profils!$N$5:$N$34,$AE236)&gt;0,INDEX(Profils!$AC$5:$AC$34,$AE236)&lt;=$AH236),ROUND(INDEX(Profils!$N$5:$N$34,$AE236)*Paramètres!$E$30*$AG236*$AJ236,Paramètres!$F$30),0)</f>
        <v>0</v>
      </c>
      <c r="U236" s="19" t="n">
        <f aca="false" t="array" ref="U236:U236">IF(AND(INDEX(Profils!$O$5:$O$34,$AE236)&gt;0,INDEX(Profils!$AD$5:$AD$34,$AE236)&lt;=$AH236),ROUND(INDEX(Profils!$O$5:$O$34,$AE236)*Paramètres!$E$31*$AG236*$AJ236,Paramètres!$F$31),0)</f>
        <v>0</v>
      </c>
      <c r="V236" s="20" t="n">
        <f aca="false" t="array" ref="V236:V236">IF(AND(INDEX(Profils!$P$5:$P$34,$AE236)&gt;0,INDEX(Profils!$AE$5:$AE$34,$AE236)&lt;=$AH236),ROUND(INDEX(Profils!$P$5:$P$34,$AE236)*Paramètres!$E$32*$AG236*$AJ236,Paramètres!$F$32),0)</f>
        <v>0</v>
      </c>
      <c r="W236" s="20" t="n">
        <f aca="false" t="array" ref="W236:W236">IF(AND(INDEX(Profils!$Q$5:$Q$34,$AE236)&gt;0,INDEX(Profils!$AF$5:$AF$34,$AE236)&lt;=$AH236),ROUND(INDEX(Profils!$Q$5:$Q$34,$AE236)*Paramètres!$E$33*$AG236*$AJ236,Paramètres!$F$33),0)</f>
        <v>0</v>
      </c>
      <c r="X236" s="20" t="n">
        <f aca="false" t="array" ref="X236:X236">IF(AND(INDEX(Profils!$R$5:$R$34,$AE236)&gt;0,INDEX(Profils!$AG$5:$AG$34,$AE236)&lt;=$AH236),ROUND(INDEX(Profils!$R$5:$R$34,$AE236)*Paramètres!$E$34*$AG236*$AJ236,Paramètres!$F$34),0)</f>
        <v>0</v>
      </c>
      <c r="Y236" s="20" t="n">
        <f aca="false" t="array" ref="Y236:Y236">IF(AND(INDEX(Profils!$S$5:$S$34,$AE236)&gt;0,INDEX(Profils!$AH$5:$AH$34,$AE236)&lt;=$AH236),ROUND(INDEX(Profils!$S$5:$S$34,$AE236)*Paramètres!$E$35*$AG236*$AJ236,Paramètres!$F$35),0)</f>
        <v>0</v>
      </c>
      <c r="Z236" s="21" t="n">
        <f aca="false">ROUND(L236/Paramètres!$E$22+M236/Paramètres!$E$23+N236/Paramètres!$E$24+O236/Paramètres!$E$25+P236/Paramètres!$E$26+Q236/Paramètres!$E$27+R236/Paramètres!$E$28+S236/Paramètres!$E$29+T236/Paramètres!$E$30+U236/Paramètres!$E$31+V236/Paramètres!$E$32+W236/Paramètres!$E$33+X236/Paramètres!$E$34+Y236/Paramètres!$E$35,1)</f>
        <v>1</v>
      </c>
      <c r="AA236" s="22" t="s">
        <v>109</v>
      </c>
      <c r="AB236" s="22" t="s">
        <v>109</v>
      </c>
      <c r="AC236" s="15" t="str">
        <f aca="false">$E236</f>
        <v>acier</v>
      </c>
      <c r="AD236" s="16" t="n">
        <f aca="false" t="array" ref="AD236:AD236">IF($I236&gt;=$AI236,"Max",ROUND(Paramètres!$B$40*($I236+1)^Paramètres!$B$41*INDEX(Paramètres!$H$6:$H$12,$AF236),0))</f>
        <v>4</v>
      </c>
      <c r="AE236" s="23" t="n">
        <f aca="false">MATCH($B236&amp;"|"&amp;$C236,Profils!$A$5:$A$34,0)</f>
        <v>8</v>
      </c>
      <c r="AF236" s="23" t="n">
        <v>2</v>
      </c>
      <c r="AG236" s="24" t="n">
        <f aca="false" t="array" ref="AG236:AG236">INDEX(Paramètres!$C$6:$C$12,$AF236)</f>
        <v>1.2</v>
      </c>
      <c r="AH236" s="23" t="n">
        <f aca="false" t="array" ref="AH236:AH236">INDEX(Paramètres!$D$6:$D$12,$AF236)</f>
        <v>3</v>
      </c>
      <c r="AI236" s="23" t="n">
        <f aca="false" t="array" ref="AI236:AI236">INDEX(Matériaux!$C$16:$C$20,$D236)</f>
        <v>25</v>
      </c>
      <c r="AJ236" s="25" t="n">
        <f aca="false">Paramètres!$B$16+(1-Paramètres!$B$16)*(($J236-Paramètres!$B$14)/(Paramètres!$B$15-Paramètres!$B$14))^Paramètres!$B$17</f>
        <v>0.26769024555533</v>
      </c>
    </row>
    <row r="237" customFormat="false" ht="15.75" hidden="false" customHeight="true" outlineLevel="0" collapsed="false">
      <c r="A237" s="14" t="s">
        <v>351</v>
      </c>
      <c r="B237" s="15" t="s">
        <v>27</v>
      </c>
      <c r="C237" s="15" t="s">
        <v>337</v>
      </c>
      <c r="D237" s="16" t="n">
        <v>3</v>
      </c>
      <c r="E237" s="15" t="str">
        <f aca="false" t="array" ref="E237:E237">INDEX(Matériaux!$B$5:$F$12,MATCH(INDEX(Profils!$E$5:$E$34,$AE237),Matériaux!$A$5:$A$12,0),$D237)</f>
        <v>acier</v>
      </c>
      <c r="F237" s="27" t="s">
        <v>113</v>
      </c>
      <c r="G237" s="10" t="str">
        <f aca="false" t="array" ref="G237:G237">INDEX(Profils!$D$5:$D$34,$AE237)&amp;" en "&amp;$E237</f>
        <v>Ceinturon en acier</v>
      </c>
      <c r="H237" s="16" t="n">
        <f aca="false" t="array" ref="H237:H237">INDEX(Matériaux!$B$16:$B$20,$D237)</f>
        <v>30</v>
      </c>
      <c r="I237" s="16" t="n">
        <f aca="false">IF(ISNUMBER($C$3),MIN(MAX(0,ROUND($C$3,0)),$AI237),$AI237)</f>
        <v>0</v>
      </c>
      <c r="J237" s="18" t="n">
        <f aca="false">$H237+$I237</f>
        <v>30</v>
      </c>
      <c r="K237" s="15" t="s">
        <v>109</v>
      </c>
      <c r="L237" s="19" t="n">
        <f aca="false" t="array" ref="L237:L237">IF(AND(INDEX(Profils!$F$5:$F$34,$AE237)&gt;0,INDEX(Profils!$U$5:$U$34,$AE237)&lt;=$AH237),ROUND(INDEX(Profils!$F$5:$F$34,$AE237)*Paramètres!$E$22*$AG237*$AJ237,Paramètres!$F$22),0)</f>
        <v>12</v>
      </c>
      <c r="M237" s="19" t="n">
        <f aca="false" t="array" ref="M237:M237">IF(AND(INDEX(Profils!$G$5:$G$34,$AE237)&gt;0,INDEX(Profils!$V$5:$V$34,$AE237)&lt;=$AH237),ROUND(INDEX(Profils!$G$5:$G$34,$AE237)*Paramètres!$E$23*$AG237*$AJ237,Paramètres!$F$23),0)</f>
        <v>6</v>
      </c>
      <c r="N237" s="19" t="n">
        <f aca="false" t="array" ref="N237:N237">IF(AND(INDEX(Profils!$H$5:$H$34,$AE237)&gt;0,INDEX(Profils!$W$5:$W$34,$AE237)&lt;=$AH237),ROUND(INDEX(Profils!$H$5:$H$34,$AE237)*Paramètres!$E$24*$AG237*$AJ237,Paramètres!$F$24),0)</f>
        <v>5</v>
      </c>
      <c r="O237" s="19" t="n">
        <f aca="false" t="array" ref="O237:O237">IF(AND(INDEX(Profils!$I$5:$I$34,$AE237)&gt;0,INDEX(Profils!$X$5:$X$34,$AE237)&lt;=$AH237),ROUND(INDEX(Profils!$I$5:$I$34,$AE237)*Paramètres!$E$25*$AG237*$AJ237,Paramètres!$F$25),0)</f>
        <v>0</v>
      </c>
      <c r="P237" s="19" t="n">
        <f aca="false" t="array" ref="P237:P237">IF(AND(INDEX(Profils!$J$5:$J$34,$AE237)&gt;0,INDEX(Profils!$Y$5:$Y$34,$AE237)&lt;=$AH237),ROUND(INDEX(Profils!$J$5:$J$34,$AE237)*Paramètres!$E$26*$AG237*$AJ237,Paramètres!$F$26),0)</f>
        <v>0</v>
      </c>
      <c r="Q237" s="19" t="n">
        <f aca="false" t="array" ref="Q237:Q237">IF(AND(INDEX(Profils!$K$5:$K$34,$AE237)&gt;0,INDEX(Profils!$Z$5:$Z$34,$AE237)&lt;=$AH237),ROUND(INDEX(Profils!$K$5:$K$34,$AE237)*Paramètres!$E$27*$AG237*$AJ237,Paramètres!$F$27),0)</f>
        <v>0</v>
      </c>
      <c r="R237" s="20" t="n">
        <f aca="false" t="array" ref="R237:R237">IF(AND(INDEX(Profils!$L$5:$L$34,$AE237)&gt;0,INDEX(Profils!$AA$5:$AA$34,$AE237)&lt;=$AH237),ROUND(INDEX(Profils!$L$5:$L$34,$AE237)*Paramètres!$E$28*$AG237*$AJ237,Paramètres!$F$28),0)</f>
        <v>0</v>
      </c>
      <c r="S237" s="20" t="n">
        <f aca="false" t="array" ref="S237:S237">IF(AND(INDEX(Profils!$M$5:$M$34,$AE237)&gt;0,INDEX(Profils!$AB$5:$AB$34,$AE237)&lt;=$AH237),ROUND(INDEX(Profils!$M$5:$M$34,$AE237)*Paramètres!$E$29*$AG237*$AJ237,Paramètres!$F$29),0)</f>
        <v>0</v>
      </c>
      <c r="T237" s="20" t="n">
        <f aca="false" t="array" ref="T237:T237">IF(AND(INDEX(Profils!$N$5:$N$34,$AE237)&gt;0,INDEX(Profils!$AC$5:$AC$34,$AE237)&lt;=$AH237),ROUND(INDEX(Profils!$N$5:$N$34,$AE237)*Paramètres!$E$30*$AG237*$AJ237,Paramètres!$F$30),0)</f>
        <v>0</v>
      </c>
      <c r="U237" s="19" t="n">
        <f aca="false" t="array" ref="U237:U237">IF(AND(INDEX(Profils!$O$5:$O$34,$AE237)&gt;0,INDEX(Profils!$AD$5:$AD$34,$AE237)&lt;=$AH237),ROUND(INDEX(Profils!$O$5:$O$34,$AE237)*Paramètres!$E$31*$AG237*$AJ237,Paramètres!$F$31),0)</f>
        <v>6</v>
      </c>
      <c r="V237" s="20" t="n">
        <f aca="false" t="array" ref="V237:V237">IF(AND(INDEX(Profils!$P$5:$P$34,$AE237)&gt;0,INDEX(Profils!$AE$5:$AE$34,$AE237)&lt;=$AH237),ROUND(INDEX(Profils!$P$5:$P$34,$AE237)*Paramètres!$E$32*$AG237*$AJ237,Paramètres!$F$32),0)</f>
        <v>0</v>
      </c>
      <c r="W237" s="20" t="n">
        <f aca="false" t="array" ref="W237:W237">IF(AND(INDEX(Profils!$Q$5:$Q$34,$AE237)&gt;0,INDEX(Profils!$AF$5:$AF$34,$AE237)&lt;=$AH237),ROUND(INDEX(Profils!$Q$5:$Q$34,$AE237)*Paramètres!$E$33*$AG237*$AJ237,Paramètres!$F$33),0)</f>
        <v>0</v>
      </c>
      <c r="X237" s="20" t="n">
        <f aca="false" t="array" ref="X237:X237">IF(AND(INDEX(Profils!$R$5:$R$34,$AE237)&gt;0,INDEX(Profils!$AG$5:$AG$34,$AE237)&lt;=$AH237),ROUND(INDEX(Profils!$R$5:$R$34,$AE237)*Paramètres!$E$34*$AG237*$AJ237,Paramètres!$F$34),0)</f>
        <v>0</v>
      </c>
      <c r="Y237" s="20" t="n">
        <f aca="false" t="array" ref="Y237:Y237">IF(AND(INDEX(Profils!$S$5:$S$34,$AE237)&gt;0,INDEX(Profils!$AH$5:$AH$34,$AE237)&lt;=$AH237),ROUND(INDEX(Profils!$S$5:$S$34,$AE237)*Paramètres!$E$35*$AG237*$AJ237,Paramètres!$F$35),0)</f>
        <v>0</v>
      </c>
      <c r="Z237" s="21" t="n">
        <f aca="false">ROUND(L237/Paramètres!$E$22+M237/Paramètres!$E$23+N237/Paramètres!$E$24+O237/Paramètres!$E$25+P237/Paramètres!$E$26+Q237/Paramètres!$E$27+R237/Paramètres!$E$28+S237/Paramètres!$E$29+T237/Paramètres!$E$30+U237/Paramètres!$E$31+V237/Paramètres!$E$32+W237/Paramètres!$E$33+X237/Paramètres!$E$34+Y237/Paramètres!$E$35,1)</f>
        <v>1.5</v>
      </c>
      <c r="AA237" s="22" t="s">
        <v>109</v>
      </c>
      <c r="AB237" s="22" t="s">
        <v>109</v>
      </c>
      <c r="AC237" s="15" t="str">
        <f aca="false">$E237</f>
        <v>acier</v>
      </c>
      <c r="AD237" s="16" t="n">
        <f aca="false" t="array" ref="AD237:AD237">IF($I237&gt;=$AI237,"Max",ROUND(Paramètres!$B$40*($I237+1)^Paramètres!$B$41*INDEX(Paramètres!$H$6:$H$12,$AF237),0))</f>
        <v>4</v>
      </c>
      <c r="AE237" s="23" t="n">
        <f aca="false">MATCH($B237&amp;"|"&amp;$C237,Profils!$A$5:$A$34,0)</f>
        <v>8</v>
      </c>
      <c r="AF237" s="23" t="n">
        <v>3</v>
      </c>
      <c r="AG237" s="24" t="n">
        <f aca="false" t="array" ref="AG237:AG237">INDEX(Paramètres!$C$6:$C$12,$AF237)</f>
        <v>1.45</v>
      </c>
      <c r="AH237" s="23" t="n">
        <f aca="false" t="array" ref="AH237:AH237">INDEX(Paramètres!$D$6:$D$12,$AF237)</f>
        <v>4</v>
      </c>
      <c r="AI237" s="23" t="n">
        <f aca="false" t="array" ref="AI237:AI237">INDEX(Matériaux!$C$16:$C$20,$D237)</f>
        <v>25</v>
      </c>
      <c r="AJ237" s="25" t="n">
        <f aca="false">Paramètres!$B$16+(1-Paramètres!$B$16)*(($J237-Paramètres!$B$14)/(Paramètres!$B$15-Paramètres!$B$14))^Paramètres!$B$17</f>
        <v>0.26769024555533</v>
      </c>
    </row>
    <row r="238" customFormat="false" ht="15.75" hidden="false" customHeight="true" outlineLevel="0" collapsed="false">
      <c r="A238" s="14" t="s">
        <v>352</v>
      </c>
      <c r="B238" s="15" t="s">
        <v>27</v>
      </c>
      <c r="C238" s="15" t="s">
        <v>337</v>
      </c>
      <c r="D238" s="16" t="n">
        <v>3</v>
      </c>
      <c r="E238" s="15" t="str">
        <f aca="false" t="array" ref="E238:E238">INDEX(Matériaux!$B$5:$F$12,MATCH(INDEX(Profils!$E$5:$E$34,$AE238),Matériaux!$A$5:$A$12,0),$D238)</f>
        <v>acier</v>
      </c>
      <c r="F238" s="28" t="s">
        <v>115</v>
      </c>
      <c r="G238" s="10" t="str">
        <f aca="false" t="array" ref="G238:G238">INDEX(Profils!$D$5:$D$34,$AE238)&amp;" en "&amp;$E238</f>
        <v>Ceinturon en acier</v>
      </c>
      <c r="H238" s="16" t="n">
        <f aca="false" t="array" ref="H238:H238">INDEX(Matériaux!$B$16:$B$20,$D238)</f>
        <v>30</v>
      </c>
      <c r="I238" s="16" t="n">
        <f aca="false">IF(ISNUMBER($C$3),MIN(MAX(0,ROUND($C$3,0)),$AI238),$AI238)</f>
        <v>0</v>
      </c>
      <c r="J238" s="18" t="n">
        <f aca="false">$H238+$I238</f>
        <v>30</v>
      </c>
      <c r="K238" s="15" t="s">
        <v>109</v>
      </c>
      <c r="L238" s="19" t="n">
        <f aca="false" t="array" ref="L238:L238">IF(AND(INDEX(Profils!$F$5:$F$34,$AE238)&gt;0,INDEX(Profils!$U$5:$U$34,$AE238)&lt;=$AH238),ROUND(INDEX(Profils!$F$5:$F$34,$AE238)*Paramètres!$E$22*$AG238*$AJ238,Paramètres!$F$22),0)</f>
        <v>14</v>
      </c>
      <c r="M238" s="19" t="n">
        <f aca="false" t="array" ref="M238:M238">IF(AND(INDEX(Profils!$G$5:$G$34,$AE238)&gt;0,INDEX(Profils!$V$5:$V$34,$AE238)&lt;=$AH238),ROUND(INDEX(Profils!$G$5:$G$34,$AE238)*Paramètres!$E$23*$AG238*$AJ238,Paramètres!$F$23),0)</f>
        <v>7</v>
      </c>
      <c r="N238" s="19" t="n">
        <f aca="false" t="array" ref="N238:N238">IF(AND(INDEX(Profils!$H$5:$H$34,$AE238)&gt;0,INDEX(Profils!$W$5:$W$34,$AE238)&lt;=$AH238),ROUND(INDEX(Profils!$H$5:$H$34,$AE238)*Paramètres!$E$24*$AG238*$AJ238,Paramètres!$F$24),0)</f>
        <v>6</v>
      </c>
      <c r="O238" s="19" t="n">
        <f aca="false" t="array" ref="O238:O238">IF(AND(INDEX(Profils!$I$5:$I$34,$AE238)&gt;0,INDEX(Profils!$X$5:$X$34,$AE238)&lt;=$AH238),ROUND(INDEX(Profils!$I$5:$I$34,$AE238)*Paramètres!$E$25*$AG238*$AJ238,Paramètres!$F$25),0)</f>
        <v>0</v>
      </c>
      <c r="P238" s="19" t="n">
        <f aca="false" t="array" ref="P238:P238">IF(AND(INDEX(Profils!$J$5:$J$34,$AE238)&gt;0,INDEX(Profils!$Y$5:$Y$34,$AE238)&lt;=$AH238),ROUND(INDEX(Profils!$J$5:$J$34,$AE238)*Paramètres!$E$26*$AG238*$AJ238,Paramètres!$F$26),0)</f>
        <v>0</v>
      </c>
      <c r="Q238" s="19" t="n">
        <f aca="false" t="array" ref="Q238:Q238">IF(AND(INDEX(Profils!$K$5:$K$34,$AE238)&gt;0,INDEX(Profils!$Z$5:$Z$34,$AE238)&lt;=$AH238),ROUND(INDEX(Profils!$K$5:$K$34,$AE238)*Paramètres!$E$27*$AG238*$AJ238,Paramètres!$F$27),0)</f>
        <v>0</v>
      </c>
      <c r="R238" s="20" t="n">
        <f aca="false" t="array" ref="R238:R238">IF(AND(INDEX(Profils!$L$5:$L$34,$AE238)&gt;0,INDEX(Profils!$AA$5:$AA$34,$AE238)&lt;=$AH238),ROUND(INDEX(Profils!$L$5:$L$34,$AE238)*Paramètres!$E$28*$AG238*$AJ238,Paramètres!$F$28),0)</f>
        <v>0</v>
      </c>
      <c r="S238" s="20" t="n">
        <f aca="false" t="array" ref="S238:S238">IF(AND(INDEX(Profils!$M$5:$M$34,$AE238)&gt;0,INDEX(Profils!$AB$5:$AB$34,$AE238)&lt;=$AH238),ROUND(INDEX(Profils!$M$5:$M$34,$AE238)*Paramètres!$E$29*$AG238*$AJ238,Paramètres!$F$29),0)</f>
        <v>0</v>
      </c>
      <c r="T238" s="20" t="n">
        <f aca="false" t="array" ref="T238:T238">IF(AND(INDEX(Profils!$N$5:$N$34,$AE238)&gt;0,INDEX(Profils!$AC$5:$AC$34,$AE238)&lt;=$AH238),ROUND(INDEX(Profils!$N$5:$N$34,$AE238)*Paramètres!$E$30*$AG238*$AJ238,Paramètres!$F$30),0)</f>
        <v>0</v>
      </c>
      <c r="U238" s="19" t="n">
        <f aca="false" t="array" ref="U238:U238">IF(AND(INDEX(Profils!$O$5:$O$34,$AE238)&gt;0,INDEX(Profils!$AD$5:$AD$34,$AE238)&lt;=$AH238),ROUND(INDEX(Profils!$O$5:$O$34,$AE238)*Paramètres!$E$31*$AG238*$AJ238,Paramètres!$F$31),0)</f>
        <v>7</v>
      </c>
      <c r="V238" s="20" t="n">
        <f aca="false" t="array" ref="V238:V238">IF(AND(INDEX(Profils!$P$5:$P$34,$AE238)&gt;0,INDEX(Profils!$AE$5:$AE$34,$AE238)&lt;=$AH238),ROUND(INDEX(Profils!$P$5:$P$34,$AE238)*Paramètres!$E$32*$AG238*$AJ238,Paramètres!$F$32),0)</f>
        <v>0.004</v>
      </c>
      <c r="W238" s="20" t="n">
        <f aca="false" t="array" ref="W238:W238">IF(AND(INDEX(Profils!$Q$5:$Q$34,$AE238)&gt;0,INDEX(Profils!$AF$5:$AF$34,$AE238)&lt;=$AH238),ROUND(INDEX(Profils!$Q$5:$Q$34,$AE238)*Paramètres!$E$33*$AG238*$AJ238,Paramètres!$F$33),0)</f>
        <v>0</v>
      </c>
      <c r="X238" s="20" t="n">
        <f aca="false" t="array" ref="X238:X238">IF(AND(INDEX(Profils!$R$5:$R$34,$AE238)&gt;0,INDEX(Profils!$AG$5:$AG$34,$AE238)&lt;=$AH238),ROUND(INDEX(Profils!$R$5:$R$34,$AE238)*Paramètres!$E$34*$AG238*$AJ238,Paramètres!$F$34),0)</f>
        <v>0</v>
      </c>
      <c r="Y238" s="20" t="n">
        <f aca="false" t="array" ref="Y238:Y238">IF(AND(INDEX(Profils!$S$5:$S$34,$AE238)&gt;0,INDEX(Profils!$AH$5:$AH$34,$AE238)&lt;=$AH238),ROUND(INDEX(Profils!$S$5:$S$34,$AE238)*Paramètres!$E$35*$AG238*$AJ238,Paramètres!$F$35),0)</f>
        <v>0</v>
      </c>
      <c r="Z238" s="21" t="n">
        <f aca="false">ROUND(L238/Paramètres!$E$22+M238/Paramètres!$E$23+N238/Paramètres!$E$24+O238/Paramètres!$E$25+P238/Paramètres!$E$26+Q238/Paramètres!$E$27+R238/Paramètres!$E$28+S238/Paramètres!$E$29+T238/Paramètres!$E$30+U238/Paramètres!$E$31+V238/Paramètres!$E$32+W238/Paramètres!$E$33+X238/Paramètres!$E$34+Y238/Paramètres!$E$35,1)</f>
        <v>2</v>
      </c>
      <c r="AA238" s="22" t="s">
        <v>109</v>
      </c>
      <c r="AB238" s="22" t="s">
        <v>109</v>
      </c>
      <c r="AC238" s="15" t="str">
        <f aca="false">$E238</f>
        <v>acier</v>
      </c>
      <c r="AD238" s="16" t="n">
        <f aca="false" t="array" ref="AD238:AD238">IF($I238&gt;=$AI238,"Max",ROUND(Paramètres!$B$40*($I238+1)^Paramètres!$B$41*INDEX(Paramètres!$H$6:$H$12,$AF238),0))</f>
        <v>5</v>
      </c>
      <c r="AE238" s="23" t="n">
        <f aca="false">MATCH($B238&amp;"|"&amp;$C238,Profils!$A$5:$A$34,0)</f>
        <v>8</v>
      </c>
      <c r="AF238" s="23" t="n">
        <v>4</v>
      </c>
      <c r="AG238" s="24" t="n">
        <f aca="false" t="array" ref="AG238:AG238">INDEX(Paramètres!$C$6:$C$12,$AF238)</f>
        <v>1.75</v>
      </c>
      <c r="AH238" s="23" t="n">
        <f aca="false" t="array" ref="AH238:AH238">INDEX(Paramètres!$D$6:$D$12,$AF238)</f>
        <v>5</v>
      </c>
      <c r="AI238" s="23" t="n">
        <f aca="false" t="array" ref="AI238:AI238">INDEX(Matériaux!$C$16:$C$20,$D238)</f>
        <v>25</v>
      </c>
      <c r="AJ238" s="25" t="n">
        <f aca="false">Paramètres!$B$16+(1-Paramètres!$B$16)*(($J238-Paramètres!$B$14)/(Paramètres!$B$15-Paramètres!$B$14))^Paramètres!$B$17</f>
        <v>0.26769024555533</v>
      </c>
    </row>
    <row r="239" customFormat="false" ht="15.75" hidden="false" customHeight="true" outlineLevel="0" collapsed="false">
      <c r="A239" s="14" t="s">
        <v>353</v>
      </c>
      <c r="B239" s="15" t="s">
        <v>27</v>
      </c>
      <c r="C239" s="15" t="s">
        <v>337</v>
      </c>
      <c r="D239" s="16" t="n">
        <v>3</v>
      </c>
      <c r="E239" s="15" t="str">
        <f aca="false" t="array" ref="E239:E239">INDEX(Matériaux!$B$5:$F$12,MATCH(INDEX(Profils!$E$5:$E$34,$AE239),Matériaux!$A$5:$A$12,0),$D239)</f>
        <v>acier</v>
      </c>
      <c r="F239" s="29" t="s">
        <v>117</v>
      </c>
      <c r="G239" s="10" t="str">
        <f aca="false" t="array" ref="G239:G239">INDEX(Profils!$D$5:$D$34,$AE239)&amp;" en "&amp;$E239</f>
        <v>Ceinturon en acier</v>
      </c>
      <c r="H239" s="16" t="n">
        <f aca="false" t="array" ref="H239:H239">INDEX(Matériaux!$B$16:$B$20,$D239)</f>
        <v>30</v>
      </c>
      <c r="I239" s="16" t="n">
        <f aca="false">IF(ISNUMBER($C$3),MIN(MAX(0,ROUND($C$3,0)),$AI239),$AI239)</f>
        <v>0</v>
      </c>
      <c r="J239" s="18" t="n">
        <f aca="false">$H239+$I239</f>
        <v>30</v>
      </c>
      <c r="K239" s="15" t="s">
        <v>109</v>
      </c>
      <c r="L239" s="19" t="n">
        <f aca="false" t="array" ref="L239:L239">IF(AND(INDEX(Profils!$F$5:$F$34,$AE239)&gt;0,INDEX(Profils!$U$5:$U$34,$AE239)&lt;=$AH239),ROUND(INDEX(Profils!$F$5:$F$34,$AE239)*Paramètres!$E$22*$AG239*$AJ239,Paramètres!$F$22),0)</f>
        <v>17</v>
      </c>
      <c r="M239" s="19" t="n">
        <f aca="false" t="array" ref="M239:M239">IF(AND(INDEX(Profils!$G$5:$G$34,$AE239)&gt;0,INDEX(Profils!$V$5:$V$34,$AE239)&lt;=$AH239),ROUND(INDEX(Profils!$G$5:$G$34,$AE239)*Paramètres!$E$23*$AG239*$AJ239,Paramètres!$F$23),0)</f>
        <v>8</v>
      </c>
      <c r="N239" s="19" t="n">
        <f aca="false" t="array" ref="N239:N239">IF(AND(INDEX(Profils!$H$5:$H$34,$AE239)&gt;0,INDEX(Profils!$W$5:$W$34,$AE239)&lt;=$AH239),ROUND(INDEX(Profils!$H$5:$H$34,$AE239)*Paramètres!$E$24*$AG239*$AJ239,Paramètres!$F$24),0)</f>
        <v>8</v>
      </c>
      <c r="O239" s="19" t="n">
        <f aca="false" t="array" ref="O239:O239">IF(AND(INDEX(Profils!$I$5:$I$34,$AE239)&gt;0,INDEX(Profils!$X$5:$X$34,$AE239)&lt;=$AH239),ROUND(INDEX(Profils!$I$5:$I$34,$AE239)*Paramètres!$E$25*$AG239*$AJ239,Paramètres!$F$25),0)</f>
        <v>0</v>
      </c>
      <c r="P239" s="19" t="n">
        <f aca="false" t="array" ref="P239:P239">IF(AND(INDEX(Profils!$J$5:$J$34,$AE239)&gt;0,INDEX(Profils!$Y$5:$Y$34,$AE239)&lt;=$AH239),ROUND(INDEX(Profils!$J$5:$J$34,$AE239)*Paramètres!$E$26*$AG239*$AJ239,Paramètres!$F$26),0)</f>
        <v>0</v>
      </c>
      <c r="Q239" s="19" t="n">
        <f aca="false" t="array" ref="Q239:Q239">IF(AND(INDEX(Profils!$K$5:$K$34,$AE239)&gt;0,INDEX(Profils!$Z$5:$Z$34,$AE239)&lt;=$AH239),ROUND(INDEX(Profils!$K$5:$K$34,$AE239)*Paramètres!$E$27*$AG239*$AJ239,Paramètres!$F$27),0)</f>
        <v>0</v>
      </c>
      <c r="R239" s="20" t="n">
        <f aca="false" t="array" ref="R239:R239">IF(AND(INDEX(Profils!$L$5:$L$34,$AE239)&gt;0,INDEX(Profils!$AA$5:$AA$34,$AE239)&lt;=$AH239),ROUND(INDEX(Profils!$L$5:$L$34,$AE239)*Paramètres!$E$28*$AG239*$AJ239,Paramètres!$F$28),0)</f>
        <v>0</v>
      </c>
      <c r="S239" s="20" t="n">
        <f aca="false" t="array" ref="S239:S239">IF(AND(INDEX(Profils!$M$5:$M$34,$AE239)&gt;0,INDEX(Profils!$AB$5:$AB$34,$AE239)&lt;=$AH239),ROUND(INDEX(Profils!$M$5:$M$34,$AE239)*Paramètres!$E$29*$AG239*$AJ239,Paramètres!$F$29),0)</f>
        <v>0</v>
      </c>
      <c r="T239" s="20" t="n">
        <f aca="false" t="array" ref="T239:T239">IF(AND(INDEX(Profils!$N$5:$N$34,$AE239)&gt;0,INDEX(Profils!$AC$5:$AC$34,$AE239)&lt;=$AH239),ROUND(INDEX(Profils!$N$5:$N$34,$AE239)*Paramètres!$E$30*$AG239*$AJ239,Paramètres!$F$30),0)</f>
        <v>0</v>
      </c>
      <c r="U239" s="19" t="n">
        <f aca="false" t="array" ref="U239:U239">IF(AND(INDEX(Profils!$O$5:$O$34,$AE239)&gt;0,INDEX(Profils!$AD$5:$AD$34,$AE239)&lt;=$AH239),ROUND(INDEX(Profils!$O$5:$O$34,$AE239)*Paramètres!$E$31*$AG239*$AJ239,Paramètres!$F$31),0)</f>
        <v>9</v>
      </c>
      <c r="V239" s="20" t="n">
        <f aca="false" t="array" ref="V239:V239">IF(AND(INDEX(Profils!$P$5:$P$34,$AE239)&gt;0,INDEX(Profils!$AE$5:$AE$34,$AE239)&lt;=$AH239),ROUND(INDEX(Profils!$P$5:$P$34,$AE239)*Paramètres!$E$32*$AG239*$AJ239,Paramètres!$F$32),0)</f>
        <v>0.005</v>
      </c>
      <c r="W239" s="20" t="n">
        <f aca="false" t="array" ref="W239:W239">IF(AND(INDEX(Profils!$Q$5:$Q$34,$AE239)&gt;0,INDEX(Profils!$AF$5:$AF$34,$AE239)&lt;=$AH239),ROUND(INDEX(Profils!$Q$5:$Q$34,$AE239)*Paramètres!$E$33*$AG239*$AJ239,Paramètres!$F$33),0)</f>
        <v>0</v>
      </c>
      <c r="X239" s="20" t="n">
        <f aca="false" t="array" ref="X239:X239">IF(AND(INDEX(Profils!$R$5:$R$34,$AE239)&gt;0,INDEX(Profils!$AG$5:$AG$34,$AE239)&lt;=$AH239),ROUND(INDEX(Profils!$R$5:$R$34,$AE239)*Paramètres!$E$34*$AG239*$AJ239,Paramètres!$F$34),0)</f>
        <v>0</v>
      </c>
      <c r="Y239" s="20" t="n">
        <f aca="false" t="array" ref="Y239:Y239">IF(AND(INDEX(Profils!$S$5:$S$34,$AE239)&gt;0,INDEX(Profils!$AH$5:$AH$34,$AE239)&lt;=$AH239),ROUND(INDEX(Profils!$S$5:$S$34,$AE239)*Paramètres!$E$35*$AG239*$AJ239,Paramètres!$F$35),0)</f>
        <v>0.005</v>
      </c>
      <c r="Z239" s="21" t="n">
        <f aca="false">ROUND(L239/Paramètres!$E$22+M239/Paramètres!$E$23+N239/Paramètres!$E$24+O239/Paramètres!$E$25+P239/Paramètres!$E$26+Q239/Paramètres!$E$27+R239/Paramètres!$E$28+S239/Paramètres!$E$29+T239/Paramètres!$E$30+U239/Paramètres!$E$31+V239/Paramètres!$E$32+W239/Paramètres!$E$33+X239/Paramètres!$E$34+Y239/Paramètres!$E$35,1)</f>
        <v>2.9</v>
      </c>
      <c r="AA239" s="22" t="s">
        <v>109</v>
      </c>
      <c r="AB239" s="22" t="s">
        <v>109</v>
      </c>
      <c r="AC239" s="15" t="str">
        <f aca="false">$E239</f>
        <v>acier</v>
      </c>
      <c r="AD239" s="16" t="n">
        <f aca="false" t="array" ref="AD239:AD239">IF($I239&gt;=$AI239,"Max",ROUND(Paramètres!$B$40*($I239+1)^Paramètres!$B$41*INDEX(Paramètres!$H$6:$H$12,$AF239),0))</f>
        <v>6</v>
      </c>
      <c r="AE239" s="23" t="n">
        <f aca="false">MATCH($B239&amp;"|"&amp;$C239,Profils!$A$5:$A$34,0)</f>
        <v>8</v>
      </c>
      <c r="AF239" s="23" t="n">
        <v>5</v>
      </c>
      <c r="AG239" s="24" t="n">
        <f aca="false" t="array" ref="AG239:AG239">INDEX(Paramètres!$C$6:$C$12,$AF239)</f>
        <v>2.1</v>
      </c>
      <c r="AH239" s="23" t="n">
        <f aca="false" t="array" ref="AH239:AH239">INDEX(Paramètres!$D$6:$D$12,$AF239)</f>
        <v>6</v>
      </c>
      <c r="AI239" s="23" t="n">
        <f aca="false" t="array" ref="AI239:AI239">INDEX(Matériaux!$C$16:$C$20,$D239)</f>
        <v>25</v>
      </c>
      <c r="AJ239" s="25" t="n">
        <f aca="false">Paramètres!$B$16+(1-Paramètres!$B$16)*(($J239-Paramètres!$B$14)/(Paramètres!$B$15-Paramètres!$B$14))^Paramètres!$B$17</f>
        <v>0.26769024555533</v>
      </c>
    </row>
    <row r="240" customFormat="false" ht="15.75" hidden="false" customHeight="true" outlineLevel="0" collapsed="false">
      <c r="A240" s="14" t="s">
        <v>354</v>
      </c>
      <c r="B240" s="15" t="s">
        <v>27</v>
      </c>
      <c r="C240" s="15" t="s">
        <v>337</v>
      </c>
      <c r="D240" s="16" t="n">
        <v>3</v>
      </c>
      <c r="E240" s="15" t="str">
        <f aca="false" t="array" ref="E240:E240">INDEX(Matériaux!$B$5:$F$12,MATCH(INDEX(Profils!$E$5:$E$34,$AE240),Matériaux!$A$5:$A$12,0),$D240)</f>
        <v>acier</v>
      </c>
      <c r="F240" s="30" t="s">
        <v>119</v>
      </c>
      <c r="G240" s="10" t="str">
        <f aca="false" t="array" ref="G240:G240">INDEX(Profils!$D$5:$D$34,$AE240)&amp;" en "&amp;$E240</f>
        <v>Ceinturon en acier</v>
      </c>
      <c r="H240" s="16" t="n">
        <f aca="false" t="array" ref="H240:H240">INDEX(Matériaux!$B$16:$B$20,$D240)</f>
        <v>30</v>
      </c>
      <c r="I240" s="16" t="n">
        <f aca="false">IF(ISNUMBER($C$3),MIN(MAX(0,ROUND($C$3,0)),$AI240),$AI240)</f>
        <v>0</v>
      </c>
      <c r="J240" s="18" t="n">
        <f aca="false">$H240+$I240</f>
        <v>30</v>
      </c>
      <c r="K240" s="15" t="s">
        <v>109</v>
      </c>
      <c r="L240" s="19" t="n">
        <f aca="false" t="array" ref="L240:L240">IF(AND(INDEX(Profils!$F$5:$F$34,$AE240)&gt;0,INDEX(Profils!$U$5:$U$34,$AE240)&lt;=$AH240),ROUND(INDEX(Profils!$F$5:$F$34,$AE240)*Paramètres!$E$22*$AG240*$AJ240,Paramètres!$F$22),0)</f>
        <v>19</v>
      </c>
      <c r="M240" s="19" t="n">
        <f aca="false" t="array" ref="M240:M240">IF(AND(INDEX(Profils!$G$5:$G$34,$AE240)&gt;0,INDEX(Profils!$V$5:$V$34,$AE240)&lt;=$AH240),ROUND(INDEX(Profils!$G$5:$G$34,$AE240)*Paramètres!$E$23*$AG240*$AJ240,Paramètres!$F$23),0)</f>
        <v>10</v>
      </c>
      <c r="N240" s="19" t="n">
        <f aca="false" t="array" ref="N240:N240">IF(AND(INDEX(Profils!$H$5:$H$34,$AE240)&gt;0,INDEX(Profils!$W$5:$W$34,$AE240)&lt;=$AH240),ROUND(INDEX(Profils!$H$5:$H$34,$AE240)*Paramètres!$E$24*$AG240*$AJ240,Paramètres!$F$24),0)</f>
        <v>9</v>
      </c>
      <c r="O240" s="19" t="n">
        <f aca="false" t="array" ref="O240:O240">IF(AND(INDEX(Profils!$I$5:$I$34,$AE240)&gt;0,INDEX(Profils!$X$5:$X$34,$AE240)&lt;=$AH240),ROUND(INDEX(Profils!$I$5:$I$34,$AE240)*Paramètres!$E$25*$AG240*$AJ240,Paramètres!$F$25),0)</f>
        <v>0</v>
      </c>
      <c r="P240" s="19" t="n">
        <f aca="false" t="array" ref="P240:P240">IF(AND(INDEX(Profils!$J$5:$J$34,$AE240)&gt;0,INDEX(Profils!$Y$5:$Y$34,$AE240)&lt;=$AH240),ROUND(INDEX(Profils!$J$5:$J$34,$AE240)*Paramètres!$E$26*$AG240*$AJ240,Paramètres!$F$26),0)</f>
        <v>0</v>
      </c>
      <c r="Q240" s="19" t="n">
        <f aca="false" t="array" ref="Q240:Q240">IF(AND(INDEX(Profils!$K$5:$K$34,$AE240)&gt;0,INDEX(Profils!$Z$5:$Z$34,$AE240)&lt;=$AH240),ROUND(INDEX(Profils!$K$5:$K$34,$AE240)*Paramètres!$E$27*$AG240*$AJ240,Paramètres!$F$27),0)</f>
        <v>3</v>
      </c>
      <c r="R240" s="20" t="n">
        <f aca="false" t="array" ref="R240:R240">IF(AND(INDEX(Profils!$L$5:$L$34,$AE240)&gt;0,INDEX(Profils!$AA$5:$AA$34,$AE240)&lt;=$AH240),ROUND(INDEX(Profils!$L$5:$L$34,$AE240)*Paramètres!$E$28*$AG240*$AJ240,Paramètres!$F$28),0)</f>
        <v>0</v>
      </c>
      <c r="S240" s="20" t="n">
        <f aca="false" t="array" ref="S240:S240">IF(AND(INDEX(Profils!$M$5:$M$34,$AE240)&gt;0,INDEX(Profils!$AB$5:$AB$34,$AE240)&lt;=$AH240),ROUND(INDEX(Profils!$M$5:$M$34,$AE240)*Paramètres!$E$29*$AG240*$AJ240,Paramètres!$F$29),0)</f>
        <v>0</v>
      </c>
      <c r="T240" s="20" t="n">
        <f aca="false" t="array" ref="T240:T240">IF(AND(INDEX(Profils!$N$5:$N$34,$AE240)&gt;0,INDEX(Profils!$AC$5:$AC$34,$AE240)&lt;=$AH240),ROUND(INDEX(Profils!$N$5:$N$34,$AE240)*Paramètres!$E$30*$AG240*$AJ240,Paramètres!$F$30),0)</f>
        <v>0</v>
      </c>
      <c r="U240" s="19" t="n">
        <f aca="false" t="array" ref="U240:U240">IF(AND(INDEX(Profils!$O$5:$O$34,$AE240)&gt;0,INDEX(Profils!$AD$5:$AD$34,$AE240)&lt;=$AH240),ROUND(INDEX(Profils!$O$5:$O$34,$AE240)*Paramètres!$E$31*$AG240*$AJ240,Paramètres!$F$31),0)</f>
        <v>10</v>
      </c>
      <c r="V240" s="20" t="n">
        <f aca="false" t="array" ref="V240:V240">IF(AND(INDEX(Profils!$P$5:$P$34,$AE240)&gt;0,INDEX(Profils!$AE$5:$AE$34,$AE240)&lt;=$AH240),ROUND(INDEX(Profils!$P$5:$P$34,$AE240)*Paramètres!$E$32*$AG240*$AJ240,Paramètres!$F$32),0)</f>
        <v>0.006</v>
      </c>
      <c r="W240" s="20" t="n">
        <f aca="false" t="array" ref="W240:W240">IF(AND(INDEX(Profils!$Q$5:$Q$34,$AE240)&gt;0,INDEX(Profils!$AF$5:$AF$34,$AE240)&lt;=$AH240),ROUND(INDEX(Profils!$Q$5:$Q$34,$AE240)*Paramètres!$E$33*$AG240*$AJ240,Paramètres!$F$33),0)</f>
        <v>0</v>
      </c>
      <c r="X240" s="20" t="n">
        <f aca="false" t="array" ref="X240:X240">IF(AND(INDEX(Profils!$R$5:$R$34,$AE240)&gt;0,INDEX(Profils!$AG$5:$AG$34,$AE240)&lt;=$AH240),ROUND(INDEX(Profils!$R$5:$R$34,$AE240)*Paramètres!$E$34*$AG240*$AJ240,Paramètres!$F$34),0)</f>
        <v>0</v>
      </c>
      <c r="Y240" s="20" t="n">
        <f aca="false" t="array" ref="Y240:Y240">IF(AND(INDEX(Profils!$S$5:$S$34,$AE240)&gt;0,INDEX(Profils!$AH$5:$AH$34,$AE240)&lt;=$AH240),ROUND(INDEX(Profils!$S$5:$S$34,$AE240)*Paramètres!$E$35*$AG240*$AJ240,Paramètres!$F$35),0)</f>
        <v>0.006</v>
      </c>
      <c r="Z240" s="21" t="n">
        <f aca="false">ROUND(L240/Paramètres!$E$22+M240/Paramètres!$E$23+N240/Paramètres!$E$24+O240/Paramètres!$E$25+P240/Paramètres!$E$26+Q240/Paramètres!$E$27+R240/Paramètres!$E$28+S240/Paramètres!$E$29+T240/Paramètres!$E$30+U240/Paramètres!$E$31+V240/Paramètres!$E$32+W240/Paramètres!$E$33+X240/Paramètres!$E$34+Y240/Paramètres!$E$35,1)</f>
        <v>3.6</v>
      </c>
      <c r="AA240" s="22" t="s">
        <v>109</v>
      </c>
      <c r="AB240" s="22" t="s">
        <v>109</v>
      </c>
      <c r="AC240" s="15" t="str">
        <f aca="false">$E240</f>
        <v>acier</v>
      </c>
      <c r="AD240" s="16" t="n">
        <f aca="false" t="array" ref="AD240:AD240">IF($I240&gt;=$AI240,"Max",ROUND(Paramètres!$B$40*($I240+1)^Paramètres!$B$41*INDEX(Paramètres!$H$6:$H$12,$AF240),0))</f>
        <v>8</v>
      </c>
      <c r="AE240" s="23" t="n">
        <f aca="false">MATCH($B240&amp;"|"&amp;$C240,Profils!$A$5:$A$34,0)</f>
        <v>8</v>
      </c>
      <c r="AF240" s="23" t="n">
        <v>6</v>
      </c>
      <c r="AG240" s="24" t="n">
        <f aca="false" t="array" ref="AG240:AG240">INDEX(Paramètres!$C$6:$C$12,$AF240)</f>
        <v>2.4</v>
      </c>
      <c r="AH240" s="23" t="n">
        <f aca="false" t="array" ref="AH240:AH240">INDEX(Paramètres!$D$6:$D$12,$AF240)</f>
        <v>7</v>
      </c>
      <c r="AI240" s="23" t="n">
        <f aca="false" t="array" ref="AI240:AI240">INDEX(Matériaux!$C$16:$C$20,$D240)</f>
        <v>25</v>
      </c>
      <c r="AJ240" s="25" t="n">
        <f aca="false">Paramètres!$B$16+(1-Paramètres!$B$16)*(($J240-Paramètres!$B$14)/(Paramètres!$B$15-Paramètres!$B$14))^Paramètres!$B$17</f>
        <v>0.26769024555533</v>
      </c>
    </row>
    <row r="241" customFormat="false" ht="15.75" hidden="false" customHeight="true" outlineLevel="0" collapsed="false">
      <c r="A241" s="14" t="s">
        <v>355</v>
      </c>
      <c r="B241" s="15" t="s">
        <v>27</v>
      </c>
      <c r="C241" s="15" t="s">
        <v>337</v>
      </c>
      <c r="D241" s="16" t="n">
        <v>4</v>
      </c>
      <c r="E241" s="15" t="str">
        <f aca="false" t="array" ref="E241:E241">INDEX(Matériaux!$B$5:$F$12,MATCH(INDEX(Profils!$E$5:$E$34,$AE241),Matériaux!$A$5:$A$12,0),$D241)</f>
        <v>mithril</v>
      </c>
      <c r="F241" s="17" t="s">
        <v>108</v>
      </c>
      <c r="G241" s="10" t="str">
        <f aca="false" t="array" ref="G241:G241">INDEX(Profils!$D$5:$D$34,$AE241)&amp;" en "&amp;$E241</f>
        <v>Ceinturon en mithril</v>
      </c>
      <c r="H241" s="16" t="n">
        <f aca="false" t="array" ref="H241:H241">INDEX(Matériaux!$B$16:$B$20,$D241)</f>
        <v>50</v>
      </c>
      <c r="I241" s="16" t="n">
        <f aca="false">IF(ISNUMBER($C$3),MIN(MAX(0,ROUND($C$3,0)),$AI241),$AI241)</f>
        <v>0</v>
      </c>
      <c r="J241" s="18" t="n">
        <f aca="false">$H241+$I241</f>
        <v>50</v>
      </c>
      <c r="K241" s="15" t="s">
        <v>109</v>
      </c>
      <c r="L241" s="19" t="n">
        <f aca="false" t="array" ref="L241:L241">IF(AND(INDEX(Profils!$F$5:$F$34,$AE241)&gt;0,INDEX(Profils!$U$5:$U$34,$AE241)&lt;=$AH241),ROUND(INDEX(Profils!$F$5:$F$34,$AE241)*Paramètres!$E$22*$AG241*$AJ241,Paramètres!$F$22),0)</f>
        <v>14</v>
      </c>
      <c r="M241" s="19" t="n">
        <f aca="false" t="array" ref="M241:M241">IF(AND(INDEX(Profils!$G$5:$G$34,$AE241)&gt;0,INDEX(Profils!$V$5:$V$34,$AE241)&lt;=$AH241),ROUND(INDEX(Profils!$G$5:$G$34,$AE241)*Paramètres!$E$23*$AG241*$AJ241,Paramètres!$F$23),0)</f>
        <v>7</v>
      </c>
      <c r="N241" s="19" t="n">
        <f aca="false" t="array" ref="N241:N241">IF(AND(INDEX(Profils!$H$5:$H$34,$AE241)&gt;0,INDEX(Profils!$W$5:$W$34,$AE241)&lt;=$AH241),ROUND(INDEX(Profils!$H$5:$H$34,$AE241)*Paramètres!$E$24*$AG241*$AJ241,Paramètres!$F$24),0)</f>
        <v>0</v>
      </c>
      <c r="O241" s="19" t="n">
        <f aca="false" t="array" ref="O241:O241">IF(AND(INDEX(Profils!$I$5:$I$34,$AE241)&gt;0,INDEX(Profils!$X$5:$X$34,$AE241)&lt;=$AH241),ROUND(INDEX(Profils!$I$5:$I$34,$AE241)*Paramètres!$E$25*$AG241*$AJ241,Paramètres!$F$25),0)</f>
        <v>0</v>
      </c>
      <c r="P241" s="19" t="n">
        <f aca="false" t="array" ref="P241:P241">IF(AND(INDEX(Profils!$J$5:$J$34,$AE241)&gt;0,INDEX(Profils!$Y$5:$Y$34,$AE241)&lt;=$AH241),ROUND(INDEX(Profils!$J$5:$J$34,$AE241)*Paramètres!$E$26*$AG241*$AJ241,Paramètres!$F$26),0)</f>
        <v>0</v>
      </c>
      <c r="Q241" s="19" t="n">
        <f aca="false" t="array" ref="Q241:Q241">IF(AND(INDEX(Profils!$K$5:$K$34,$AE241)&gt;0,INDEX(Profils!$Z$5:$Z$34,$AE241)&lt;=$AH241),ROUND(INDEX(Profils!$K$5:$K$34,$AE241)*Paramètres!$E$27*$AG241*$AJ241,Paramètres!$F$27),0)</f>
        <v>0</v>
      </c>
      <c r="R241" s="20" t="n">
        <f aca="false" t="array" ref="R241:R241">IF(AND(INDEX(Profils!$L$5:$L$34,$AE241)&gt;0,INDEX(Profils!$AA$5:$AA$34,$AE241)&lt;=$AH241),ROUND(INDEX(Profils!$L$5:$L$34,$AE241)*Paramètres!$E$28*$AG241*$AJ241,Paramètres!$F$28),0)</f>
        <v>0</v>
      </c>
      <c r="S241" s="20" t="n">
        <f aca="false" t="array" ref="S241:S241">IF(AND(INDEX(Profils!$M$5:$M$34,$AE241)&gt;0,INDEX(Profils!$AB$5:$AB$34,$AE241)&lt;=$AH241),ROUND(INDEX(Profils!$M$5:$M$34,$AE241)*Paramètres!$E$29*$AG241*$AJ241,Paramètres!$F$29),0)</f>
        <v>0</v>
      </c>
      <c r="T241" s="20" t="n">
        <f aca="false" t="array" ref="T241:T241">IF(AND(INDEX(Profils!$N$5:$N$34,$AE241)&gt;0,INDEX(Profils!$AC$5:$AC$34,$AE241)&lt;=$AH241),ROUND(INDEX(Profils!$N$5:$N$34,$AE241)*Paramètres!$E$30*$AG241*$AJ241,Paramètres!$F$30),0)</f>
        <v>0</v>
      </c>
      <c r="U241" s="19" t="n">
        <f aca="false" t="array" ref="U241:U241">IF(AND(INDEX(Profils!$O$5:$O$34,$AE241)&gt;0,INDEX(Profils!$AD$5:$AD$34,$AE241)&lt;=$AH241),ROUND(INDEX(Profils!$O$5:$O$34,$AE241)*Paramètres!$E$31*$AG241*$AJ241,Paramètres!$F$31),0)</f>
        <v>0</v>
      </c>
      <c r="V241" s="20" t="n">
        <f aca="false" t="array" ref="V241:V241">IF(AND(INDEX(Profils!$P$5:$P$34,$AE241)&gt;0,INDEX(Profils!$AE$5:$AE$34,$AE241)&lt;=$AH241),ROUND(INDEX(Profils!$P$5:$P$34,$AE241)*Paramètres!$E$32*$AG241*$AJ241,Paramètres!$F$32),0)</f>
        <v>0</v>
      </c>
      <c r="W241" s="20" t="n">
        <f aca="false" t="array" ref="W241:W241">IF(AND(INDEX(Profils!$Q$5:$Q$34,$AE241)&gt;0,INDEX(Profils!$AF$5:$AF$34,$AE241)&lt;=$AH241),ROUND(INDEX(Profils!$Q$5:$Q$34,$AE241)*Paramètres!$E$33*$AG241*$AJ241,Paramètres!$F$33),0)</f>
        <v>0</v>
      </c>
      <c r="X241" s="20" t="n">
        <f aca="false" t="array" ref="X241:X241">IF(AND(INDEX(Profils!$R$5:$R$34,$AE241)&gt;0,INDEX(Profils!$AG$5:$AG$34,$AE241)&lt;=$AH241),ROUND(INDEX(Profils!$R$5:$R$34,$AE241)*Paramètres!$E$34*$AG241*$AJ241,Paramètres!$F$34),0)</f>
        <v>0</v>
      </c>
      <c r="Y241" s="20" t="n">
        <f aca="false" t="array" ref="Y241:Y241">IF(AND(INDEX(Profils!$S$5:$S$34,$AE241)&gt;0,INDEX(Profils!$AH$5:$AH$34,$AE241)&lt;=$AH241),ROUND(INDEX(Profils!$S$5:$S$34,$AE241)*Paramètres!$E$35*$AG241*$AJ241,Paramètres!$F$35),0)</f>
        <v>0</v>
      </c>
      <c r="Z241" s="21" t="n">
        <f aca="false">ROUND(L241/Paramètres!$E$22+M241/Paramètres!$E$23+N241/Paramètres!$E$24+O241/Paramètres!$E$25+P241/Paramètres!$E$26+Q241/Paramètres!$E$27+R241/Paramètres!$E$28+S241/Paramètres!$E$29+T241/Paramètres!$E$30+U241/Paramètres!$E$31+V241/Paramètres!$E$32+W241/Paramètres!$E$33+X241/Paramètres!$E$34+Y241/Paramètres!$E$35,1)</f>
        <v>1</v>
      </c>
      <c r="AA241" s="22" t="s">
        <v>109</v>
      </c>
      <c r="AB241" s="22" t="s">
        <v>109</v>
      </c>
      <c r="AC241" s="15" t="str">
        <f aca="false">$E241</f>
        <v>mithril</v>
      </c>
      <c r="AD241" s="16" t="n">
        <f aca="false" t="array" ref="AD241:AD241">IF($I241&gt;=$AI241,"Max",ROUND(Paramètres!$B$40*($I241+1)^Paramètres!$B$41*INDEX(Paramètres!$H$6:$H$12,$AF241),0))</f>
        <v>3</v>
      </c>
      <c r="AE241" s="23" t="n">
        <f aca="false">MATCH($B241&amp;"|"&amp;$C241,Profils!$A$5:$A$34,0)</f>
        <v>8</v>
      </c>
      <c r="AF241" s="23" t="n">
        <v>1</v>
      </c>
      <c r="AG241" s="24" t="n">
        <f aca="false" t="array" ref="AG241:AG241">INDEX(Paramètres!$C$6:$C$12,$AF241)</f>
        <v>1</v>
      </c>
      <c r="AH241" s="23" t="n">
        <f aca="false" t="array" ref="AH241:AH241">INDEX(Paramètres!$D$6:$D$12,$AF241)</f>
        <v>2</v>
      </c>
      <c r="AI241" s="23" t="n">
        <f aca="false" t="array" ref="AI241:AI241">INDEX(Matériaux!$C$16:$C$20,$D241)</f>
        <v>25</v>
      </c>
      <c r="AJ241" s="25" t="n">
        <f aca="false">Paramètres!$B$16+(1-Paramètres!$B$16)*(($J241-Paramètres!$B$14)/(Paramètres!$B$15-Paramètres!$B$14))^Paramètres!$B$17</f>
        <v>0.458504333336152</v>
      </c>
    </row>
    <row r="242" customFormat="false" ht="15.75" hidden="false" customHeight="true" outlineLevel="0" collapsed="false">
      <c r="A242" s="14" t="s">
        <v>356</v>
      </c>
      <c r="B242" s="15" t="s">
        <v>27</v>
      </c>
      <c r="C242" s="15" t="s">
        <v>337</v>
      </c>
      <c r="D242" s="16" t="n">
        <v>4</v>
      </c>
      <c r="E242" s="15" t="str">
        <f aca="false" t="array" ref="E242:E242">INDEX(Matériaux!$B$5:$F$12,MATCH(INDEX(Profils!$E$5:$E$34,$AE242),Matériaux!$A$5:$A$12,0),$D242)</f>
        <v>mithril</v>
      </c>
      <c r="F242" s="26" t="s">
        <v>111</v>
      </c>
      <c r="G242" s="10" t="str">
        <f aca="false" t="array" ref="G242:G242">INDEX(Profils!$D$5:$D$34,$AE242)&amp;" en "&amp;$E242</f>
        <v>Ceinturon en mithril</v>
      </c>
      <c r="H242" s="16" t="n">
        <f aca="false" t="array" ref="H242:H242">INDEX(Matériaux!$B$16:$B$20,$D242)</f>
        <v>50</v>
      </c>
      <c r="I242" s="16" t="n">
        <f aca="false">IF(ISNUMBER($C$3),MIN(MAX(0,ROUND($C$3,0)),$AI242),$AI242)</f>
        <v>0</v>
      </c>
      <c r="J242" s="18" t="n">
        <f aca="false">$H242+$I242</f>
        <v>50</v>
      </c>
      <c r="K242" s="15" t="s">
        <v>109</v>
      </c>
      <c r="L242" s="19" t="n">
        <f aca="false" t="array" ref="L242:L242">IF(AND(INDEX(Profils!$F$5:$F$34,$AE242)&gt;0,INDEX(Profils!$U$5:$U$34,$AE242)&lt;=$AH242),ROUND(INDEX(Profils!$F$5:$F$34,$AE242)*Paramètres!$E$22*$AG242*$AJ242,Paramètres!$F$22),0)</f>
        <v>17</v>
      </c>
      <c r="M242" s="19" t="n">
        <f aca="false" t="array" ref="M242:M242">IF(AND(INDEX(Profils!$G$5:$G$34,$AE242)&gt;0,INDEX(Profils!$V$5:$V$34,$AE242)&lt;=$AH242),ROUND(INDEX(Profils!$G$5:$G$34,$AE242)*Paramètres!$E$23*$AG242*$AJ242,Paramètres!$F$23),0)</f>
        <v>8</v>
      </c>
      <c r="N242" s="19" t="n">
        <f aca="false" t="array" ref="N242:N242">IF(AND(INDEX(Profils!$H$5:$H$34,$AE242)&gt;0,INDEX(Profils!$W$5:$W$34,$AE242)&lt;=$AH242),ROUND(INDEX(Profils!$H$5:$H$34,$AE242)*Paramètres!$E$24*$AG242*$AJ242,Paramètres!$F$24),0)</f>
        <v>7</v>
      </c>
      <c r="O242" s="19" t="n">
        <f aca="false" t="array" ref="O242:O242">IF(AND(INDEX(Profils!$I$5:$I$34,$AE242)&gt;0,INDEX(Profils!$X$5:$X$34,$AE242)&lt;=$AH242),ROUND(INDEX(Profils!$I$5:$I$34,$AE242)*Paramètres!$E$25*$AG242*$AJ242,Paramètres!$F$25),0)</f>
        <v>0</v>
      </c>
      <c r="P242" s="19" t="n">
        <f aca="false" t="array" ref="P242:P242">IF(AND(INDEX(Profils!$J$5:$J$34,$AE242)&gt;0,INDEX(Profils!$Y$5:$Y$34,$AE242)&lt;=$AH242),ROUND(INDEX(Profils!$J$5:$J$34,$AE242)*Paramètres!$E$26*$AG242*$AJ242,Paramètres!$F$26),0)</f>
        <v>0</v>
      </c>
      <c r="Q242" s="19" t="n">
        <f aca="false" t="array" ref="Q242:Q242">IF(AND(INDEX(Profils!$K$5:$K$34,$AE242)&gt;0,INDEX(Profils!$Z$5:$Z$34,$AE242)&lt;=$AH242),ROUND(INDEX(Profils!$K$5:$K$34,$AE242)*Paramètres!$E$27*$AG242*$AJ242,Paramètres!$F$27),0)</f>
        <v>0</v>
      </c>
      <c r="R242" s="20" t="n">
        <f aca="false" t="array" ref="R242:R242">IF(AND(INDEX(Profils!$L$5:$L$34,$AE242)&gt;0,INDEX(Profils!$AA$5:$AA$34,$AE242)&lt;=$AH242),ROUND(INDEX(Profils!$L$5:$L$34,$AE242)*Paramètres!$E$28*$AG242*$AJ242,Paramètres!$F$28),0)</f>
        <v>0</v>
      </c>
      <c r="S242" s="20" t="n">
        <f aca="false" t="array" ref="S242:S242">IF(AND(INDEX(Profils!$M$5:$M$34,$AE242)&gt;0,INDEX(Profils!$AB$5:$AB$34,$AE242)&lt;=$AH242),ROUND(INDEX(Profils!$M$5:$M$34,$AE242)*Paramètres!$E$29*$AG242*$AJ242,Paramètres!$F$29),0)</f>
        <v>0</v>
      </c>
      <c r="T242" s="20" t="n">
        <f aca="false" t="array" ref="T242:T242">IF(AND(INDEX(Profils!$N$5:$N$34,$AE242)&gt;0,INDEX(Profils!$AC$5:$AC$34,$AE242)&lt;=$AH242),ROUND(INDEX(Profils!$N$5:$N$34,$AE242)*Paramètres!$E$30*$AG242*$AJ242,Paramètres!$F$30),0)</f>
        <v>0</v>
      </c>
      <c r="U242" s="19" t="n">
        <f aca="false" t="array" ref="U242:U242">IF(AND(INDEX(Profils!$O$5:$O$34,$AE242)&gt;0,INDEX(Profils!$AD$5:$AD$34,$AE242)&lt;=$AH242),ROUND(INDEX(Profils!$O$5:$O$34,$AE242)*Paramètres!$E$31*$AG242*$AJ242,Paramètres!$F$31),0)</f>
        <v>0</v>
      </c>
      <c r="V242" s="20" t="n">
        <f aca="false" t="array" ref="V242:V242">IF(AND(INDEX(Profils!$P$5:$P$34,$AE242)&gt;0,INDEX(Profils!$AE$5:$AE$34,$AE242)&lt;=$AH242),ROUND(INDEX(Profils!$P$5:$P$34,$AE242)*Paramètres!$E$32*$AG242*$AJ242,Paramètres!$F$32),0)</f>
        <v>0</v>
      </c>
      <c r="W242" s="20" t="n">
        <f aca="false" t="array" ref="W242:W242">IF(AND(INDEX(Profils!$Q$5:$Q$34,$AE242)&gt;0,INDEX(Profils!$AF$5:$AF$34,$AE242)&lt;=$AH242),ROUND(INDEX(Profils!$Q$5:$Q$34,$AE242)*Paramètres!$E$33*$AG242*$AJ242,Paramètres!$F$33),0)</f>
        <v>0</v>
      </c>
      <c r="X242" s="20" t="n">
        <f aca="false" t="array" ref="X242:X242">IF(AND(INDEX(Profils!$R$5:$R$34,$AE242)&gt;0,INDEX(Profils!$AG$5:$AG$34,$AE242)&lt;=$AH242),ROUND(INDEX(Profils!$R$5:$R$34,$AE242)*Paramètres!$E$34*$AG242*$AJ242,Paramètres!$F$34),0)</f>
        <v>0</v>
      </c>
      <c r="Y242" s="20" t="n">
        <f aca="false" t="array" ref="Y242:Y242">IF(AND(INDEX(Profils!$S$5:$S$34,$AE242)&gt;0,INDEX(Profils!$AH$5:$AH$34,$AE242)&lt;=$AH242),ROUND(INDEX(Profils!$S$5:$S$34,$AE242)*Paramètres!$E$35*$AG242*$AJ242,Paramètres!$F$35),0)</f>
        <v>0</v>
      </c>
      <c r="Z242" s="21" t="n">
        <f aca="false">ROUND(L242/Paramètres!$E$22+M242/Paramètres!$E$23+N242/Paramètres!$E$24+O242/Paramètres!$E$25+P242/Paramètres!$E$26+Q242/Paramètres!$E$27+R242/Paramètres!$E$28+S242/Paramètres!$E$29+T242/Paramètres!$E$30+U242/Paramètres!$E$31+V242/Paramètres!$E$32+W242/Paramètres!$E$33+X242/Paramètres!$E$34+Y242/Paramètres!$E$35,1)</f>
        <v>1.7</v>
      </c>
      <c r="AA242" s="22" t="s">
        <v>109</v>
      </c>
      <c r="AB242" s="22" t="s">
        <v>109</v>
      </c>
      <c r="AC242" s="15" t="str">
        <f aca="false">$E242</f>
        <v>mithril</v>
      </c>
      <c r="AD242" s="16" t="n">
        <f aca="false" t="array" ref="AD242:AD242">IF($I242&gt;=$AI242,"Max",ROUND(Paramètres!$B$40*($I242+1)^Paramètres!$B$41*INDEX(Paramètres!$H$6:$H$12,$AF242),0))</f>
        <v>4</v>
      </c>
      <c r="AE242" s="23" t="n">
        <f aca="false">MATCH($B242&amp;"|"&amp;$C242,Profils!$A$5:$A$34,0)</f>
        <v>8</v>
      </c>
      <c r="AF242" s="23" t="n">
        <v>2</v>
      </c>
      <c r="AG242" s="24" t="n">
        <f aca="false" t="array" ref="AG242:AG242">INDEX(Paramètres!$C$6:$C$12,$AF242)</f>
        <v>1.2</v>
      </c>
      <c r="AH242" s="23" t="n">
        <f aca="false" t="array" ref="AH242:AH242">INDEX(Paramètres!$D$6:$D$12,$AF242)</f>
        <v>3</v>
      </c>
      <c r="AI242" s="23" t="n">
        <f aca="false" t="array" ref="AI242:AI242">INDEX(Matériaux!$C$16:$C$20,$D242)</f>
        <v>25</v>
      </c>
      <c r="AJ242" s="25" t="n">
        <f aca="false">Paramètres!$B$16+(1-Paramètres!$B$16)*(($J242-Paramètres!$B$14)/(Paramètres!$B$15-Paramètres!$B$14))^Paramètres!$B$17</f>
        <v>0.458504333336152</v>
      </c>
    </row>
    <row r="243" customFormat="false" ht="15.75" hidden="false" customHeight="true" outlineLevel="0" collapsed="false">
      <c r="A243" s="14" t="s">
        <v>357</v>
      </c>
      <c r="B243" s="15" t="s">
        <v>27</v>
      </c>
      <c r="C243" s="15" t="s">
        <v>337</v>
      </c>
      <c r="D243" s="16" t="n">
        <v>4</v>
      </c>
      <c r="E243" s="15" t="str">
        <f aca="false" t="array" ref="E243:E243">INDEX(Matériaux!$B$5:$F$12,MATCH(INDEX(Profils!$E$5:$E$34,$AE243),Matériaux!$A$5:$A$12,0),$D243)</f>
        <v>mithril</v>
      </c>
      <c r="F243" s="27" t="s">
        <v>113</v>
      </c>
      <c r="G243" s="10" t="str">
        <f aca="false" t="array" ref="G243:G243">INDEX(Profils!$D$5:$D$34,$AE243)&amp;" en "&amp;$E243</f>
        <v>Ceinturon en mithril</v>
      </c>
      <c r="H243" s="16" t="n">
        <f aca="false" t="array" ref="H243:H243">INDEX(Matériaux!$B$16:$B$20,$D243)</f>
        <v>50</v>
      </c>
      <c r="I243" s="16" t="n">
        <f aca="false">IF(ISNUMBER($C$3),MIN(MAX(0,ROUND($C$3,0)),$AI243),$AI243)</f>
        <v>0</v>
      </c>
      <c r="J243" s="18" t="n">
        <f aca="false">$H243+$I243</f>
        <v>50</v>
      </c>
      <c r="K243" s="15" t="s">
        <v>109</v>
      </c>
      <c r="L243" s="19" t="n">
        <f aca="false" t="array" ref="L243:L243">IF(AND(INDEX(Profils!$F$5:$F$34,$AE243)&gt;0,INDEX(Profils!$U$5:$U$34,$AE243)&lt;=$AH243),ROUND(INDEX(Profils!$F$5:$F$34,$AE243)*Paramètres!$E$22*$AG243*$AJ243,Paramètres!$F$22),0)</f>
        <v>20</v>
      </c>
      <c r="M243" s="19" t="n">
        <f aca="false" t="array" ref="M243:M243">IF(AND(INDEX(Profils!$G$5:$G$34,$AE243)&gt;0,INDEX(Profils!$V$5:$V$34,$AE243)&lt;=$AH243),ROUND(INDEX(Profils!$G$5:$G$34,$AE243)*Paramètres!$E$23*$AG243*$AJ243,Paramètres!$F$23),0)</f>
        <v>10</v>
      </c>
      <c r="N243" s="19" t="n">
        <f aca="false" t="array" ref="N243:N243">IF(AND(INDEX(Profils!$H$5:$H$34,$AE243)&gt;0,INDEX(Profils!$W$5:$W$34,$AE243)&lt;=$AH243),ROUND(INDEX(Profils!$H$5:$H$34,$AE243)*Paramètres!$E$24*$AG243*$AJ243,Paramètres!$F$24),0)</f>
        <v>9</v>
      </c>
      <c r="O243" s="19" t="n">
        <f aca="false" t="array" ref="O243:O243">IF(AND(INDEX(Profils!$I$5:$I$34,$AE243)&gt;0,INDEX(Profils!$X$5:$X$34,$AE243)&lt;=$AH243),ROUND(INDEX(Profils!$I$5:$I$34,$AE243)*Paramètres!$E$25*$AG243*$AJ243,Paramètres!$F$25),0)</f>
        <v>0</v>
      </c>
      <c r="P243" s="19" t="n">
        <f aca="false" t="array" ref="P243:P243">IF(AND(INDEX(Profils!$J$5:$J$34,$AE243)&gt;0,INDEX(Profils!$Y$5:$Y$34,$AE243)&lt;=$AH243),ROUND(INDEX(Profils!$J$5:$J$34,$AE243)*Paramètres!$E$26*$AG243*$AJ243,Paramètres!$F$26),0)</f>
        <v>0</v>
      </c>
      <c r="Q243" s="19" t="n">
        <f aca="false" t="array" ref="Q243:Q243">IF(AND(INDEX(Profils!$K$5:$K$34,$AE243)&gt;0,INDEX(Profils!$Z$5:$Z$34,$AE243)&lt;=$AH243),ROUND(INDEX(Profils!$K$5:$K$34,$AE243)*Paramètres!$E$27*$AG243*$AJ243,Paramètres!$F$27),0)</f>
        <v>0</v>
      </c>
      <c r="R243" s="20" t="n">
        <f aca="false" t="array" ref="R243:R243">IF(AND(INDEX(Profils!$L$5:$L$34,$AE243)&gt;0,INDEX(Profils!$AA$5:$AA$34,$AE243)&lt;=$AH243),ROUND(INDEX(Profils!$L$5:$L$34,$AE243)*Paramètres!$E$28*$AG243*$AJ243,Paramètres!$F$28),0)</f>
        <v>0</v>
      </c>
      <c r="S243" s="20" t="n">
        <f aca="false" t="array" ref="S243:S243">IF(AND(INDEX(Profils!$M$5:$M$34,$AE243)&gt;0,INDEX(Profils!$AB$5:$AB$34,$AE243)&lt;=$AH243),ROUND(INDEX(Profils!$M$5:$M$34,$AE243)*Paramètres!$E$29*$AG243*$AJ243,Paramètres!$F$29),0)</f>
        <v>0</v>
      </c>
      <c r="T243" s="20" t="n">
        <f aca="false" t="array" ref="T243:T243">IF(AND(INDEX(Profils!$N$5:$N$34,$AE243)&gt;0,INDEX(Profils!$AC$5:$AC$34,$AE243)&lt;=$AH243),ROUND(INDEX(Profils!$N$5:$N$34,$AE243)*Paramètres!$E$30*$AG243*$AJ243,Paramètres!$F$30),0)</f>
        <v>0</v>
      </c>
      <c r="U243" s="19" t="n">
        <f aca="false" t="array" ref="U243:U243">IF(AND(INDEX(Profils!$O$5:$O$34,$AE243)&gt;0,INDEX(Profils!$AD$5:$AD$34,$AE243)&lt;=$AH243),ROUND(INDEX(Profils!$O$5:$O$34,$AE243)*Paramètres!$E$31*$AG243*$AJ243,Paramètres!$F$31),0)</f>
        <v>11</v>
      </c>
      <c r="V243" s="20" t="n">
        <f aca="false" t="array" ref="V243:V243">IF(AND(INDEX(Profils!$P$5:$P$34,$AE243)&gt;0,INDEX(Profils!$AE$5:$AE$34,$AE243)&lt;=$AH243),ROUND(INDEX(Profils!$P$5:$P$34,$AE243)*Paramètres!$E$32*$AG243*$AJ243,Paramètres!$F$32),0)</f>
        <v>0</v>
      </c>
      <c r="W243" s="20" t="n">
        <f aca="false" t="array" ref="W243:W243">IF(AND(INDEX(Profils!$Q$5:$Q$34,$AE243)&gt;0,INDEX(Profils!$AF$5:$AF$34,$AE243)&lt;=$AH243),ROUND(INDEX(Profils!$Q$5:$Q$34,$AE243)*Paramètres!$E$33*$AG243*$AJ243,Paramètres!$F$33),0)</f>
        <v>0</v>
      </c>
      <c r="X243" s="20" t="n">
        <f aca="false" t="array" ref="X243:X243">IF(AND(INDEX(Profils!$R$5:$R$34,$AE243)&gt;0,INDEX(Profils!$AG$5:$AG$34,$AE243)&lt;=$AH243),ROUND(INDEX(Profils!$R$5:$R$34,$AE243)*Paramètres!$E$34*$AG243*$AJ243,Paramètres!$F$34),0)</f>
        <v>0</v>
      </c>
      <c r="Y243" s="20" t="n">
        <f aca="false" t="array" ref="Y243:Y243">IF(AND(INDEX(Profils!$S$5:$S$34,$AE243)&gt;0,INDEX(Profils!$AH$5:$AH$34,$AE243)&lt;=$AH243),ROUND(INDEX(Profils!$S$5:$S$34,$AE243)*Paramètres!$E$35*$AG243*$AJ243,Paramètres!$F$35),0)</f>
        <v>0</v>
      </c>
      <c r="Z243" s="21" t="n">
        <f aca="false">ROUND(L243/Paramètres!$E$22+M243/Paramètres!$E$23+N243/Paramètres!$E$24+O243/Paramètres!$E$25+P243/Paramètres!$E$26+Q243/Paramètres!$E$27+R243/Paramètres!$E$28+S243/Paramètres!$E$29+T243/Paramètres!$E$30+U243/Paramètres!$E$31+V243/Paramètres!$E$32+W243/Paramètres!$E$33+X243/Paramètres!$E$34+Y243/Paramètres!$E$35,1)</f>
        <v>2.6</v>
      </c>
      <c r="AA243" s="22" t="s">
        <v>109</v>
      </c>
      <c r="AB243" s="22" t="s">
        <v>109</v>
      </c>
      <c r="AC243" s="15" t="str">
        <f aca="false">$E243</f>
        <v>mithril</v>
      </c>
      <c r="AD243" s="16" t="n">
        <f aca="false" t="array" ref="AD243:AD243">IF($I243&gt;=$AI243,"Max",ROUND(Paramètres!$B$40*($I243+1)^Paramètres!$B$41*INDEX(Paramètres!$H$6:$H$12,$AF243),0))</f>
        <v>4</v>
      </c>
      <c r="AE243" s="23" t="n">
        <f aca="false">MATCH($B243&amp;"|"&amp;$C243,Profils!$A$5:$A$34,0)</f>
        <v>8</v>
      </c>
      <c r="AF243" s="23" t="n">
        <v>3</v>
      </c>
      <c r="AG243" s="24" t="n">
        <f aca="false" t="array" ref="AG243:AG243">INDEX(Paramètres!$C$6:$C$12,$AF243)</f>
        <v>1.45</v>
      </c>
      <c r="AH243" s="23" t="n">
        <f aca="false" t="array" ref="AH243:AH243">INDEX(Paramètres!$D$6:$D$12,$AF243)</f>
        <v>4</v>
      </c>
      <c r="AI243" s="23" t="n">
        <f aca="false" t="array" ref="AI243:AI243">INDEX(Matériaux!$C$16:$C$20,$D243)</f>
        <v>25</v>
      </c>
      <c r="AJ243" s="25" t="n">
        <f aca="false">Paramètres!$B$16+(1-Paramètres!$B$16)*(($J243-Paramètres!$B$14)/(Paramètres!$B$15-Paramètres!$B$14))^Paramètres!$B$17</f>
        <v>0.458504333336152</v>
      </c>
    </row>
    <row r="244" customFormat="false" ht="15.75" hidden="false" customHeight="true" outlineLevel="0" collapsed="false">
      <c r="A244" s="14" t="s">
        <v>358</v>
      </c>
      <c r="B244" s="15" t="s">
        <v>27</v>
      </c>
      <c r="C244" s="15" t="s">
        <v>337</v>
      </c>
      <c r="D244" s="16" t="n">
        <v>4</v>
      </c>
      <c r="E244" s="15" t="str">
        <f aca="false" t="array" ref="E244:E244">INDEX(Matériaux!$B$5:$F$12,MATCH(INDEX(Profils!$E$5:$E$34,$AE244),Matériaux!$A$5:$A$12,0),$D244)</f>
        <v>mithril</v>
      </c>
      <c r="F244" s="28" t="s">
        <v>115</v>
      </c>
      <c r="G244" s="10" t="str">
        <f aca="false" t="array" ref="G244:G244">INDEX(Profils!$D$5:$D$34,$AE244)&amp;" en "&amp;$E244</f>
        <v>Ceinturon en mithril</v>
      </c>
      <c r="H244" s="16" t="n">
        <f aca="false" t="array" ref="H244:H244">INDEX(Matériaux!$B$16:$B$20,$D244)</f>
        <v>50</v>
      </c>
      <c r="I244" s="16" t="n">
        <f aca="false">IF(ISNUMBER($C$3),MIN(MAX(0,ROUND($C$3,0)),$AI244),$AI244)</f>
        <v>0</v>
      </c>
      <c r="J244" s="18" t="n">
        <f aca="false">$H244+$I244</f>
        <v>50</v>
      </c>
      <c r="K244" s="15" t="s">
        <v>109</v>
      </c>
      <c r="L244" s="19" t="n">
        <f aca="false" t="array" ref="L244:L244">IF(AND(INDEX(Profils!$F$5:$F$34,$AE244)&gt;0,INDEX(Profils!$U$5:$U$34,$AE244)&lt;=$AH244),ROUND(INDEX(Profils!$F$5:$F$34,$AE244)*Paramètres!$E$22*$AG244*$AJ244,Paramètres!$F$22),0)</f>
        <v>24</v>
      </c>
      <c r="M244" s="19" t="n">
        <f aca="false" t="array" ref="M244:M244">IF(AND(INDEX(Profils!$G$5:$G$34,$AE244)&gt;0,INDEX(Profils!$V$5:$V$34,$AE244)&lt;=$AH244),ROUND(INDEX(Profils!$G$5:$G$34,$AE244)*Paramètres!$E$23*$AG244*$AJ244,Paramètres!$F$23),0)</f>
        <v>12</v>
      </c>
      <c r="N244" s="19" t="n">
        <f aca="false" t="array" ref="N244:N244">IF(AND(INDEX(Profils!$H$5:$H$34,$AE244)&gt;0,INDEX(Profils!$W$5:$W$34,$AE244)&lt;=$AH244),ROUND(INDEX(Profils!$H$5:$H$34,$AE244)*Paramètres!$E$24*$AG244*$AJ244,Paramètres!$F$24),0)</f>
        <v>11</v>
      </c>
      <c r="O244" s="19" t="n">
        <f aca="false" t="array" ref="O244:O244">IF(AND(INDEX(Profils!$I$5:$I$34,$AE244)&gt;0,INDEX(Profils!$X$5:$X$34,$AE244)&lt;=$AH244),ROUND(INDEX(Profils!$I$5:$I$34,$AE244)*Paramètres!$E$25*$AG244*$AJ244,Paramètres!$F$25),0)</f>
        <v>0</v>
      </c>
      <c r="P244" s="19" t="n">
        <f aca="false" t="array" ref="P244:P244">IF(AND(INDEX(Profils!$J$5:$J$34,$AE244)&gt;0,INDEX(Profils!$Y$5:$Y$34,$AE244)&lt;=$AH244),ROUND(INDEX(Profils!$J$5:$J$34,$AE244)*Paramètres!$E$26*$AG244*$AJ244,Paramètres!$F$26),0)</f>
        <v>0</v>
      </c>
      <c r="Q244" s="19" t="n">
        <f aca="false" t="array" ref="Q244:Q244">IF(AND(INDEX(Profils!$K$5:$K$34,$AE244)&gt;0,INDEX(Profils!$Z$5:$Z$34,$AE244)&lt;=$AH244),ROUND(INDEX(Profils!$K$5:$K$34,$AE244)*Paramètres!$E$27*$AG244*$AJ244,Paramètres!$F$27),0)</f>
        <v>0</v>
      </c>
      <c r="R244" s="20" t="n">
        <f aca="false" t="array" ref="R244:R244">IF(AND(INDEX(Profils!$L$5:$L$34,$AE244)&gt;0,INDEX(Profils!$AA$5:$AA$34,$AE244)&lt;=$AH244),ROUND(INDEX(Profils!$L$5:$L$34,$AE244)*Paramètres!$E$28*$AG244*$AJ244,Paramètres!$F$28),0)</f>
        <v>0</v>
      </c>
      <c r="S244" s="20" t="n">
        <f aca="false" t="array" ref="S244:S244">IF(AND(INDEX(Profils!$M$5:$M$34,$AE244)&gt;0,INDEX(Profils!$AB$5:$AB$34,$AE244)&lt;=$AH244),ROUND(INDEX(Profils!$M$5:$M$34,$AE244)*Paramètres!$E$29*$AG244*$AJ244,Paramètres!$F$29),0)</f>
        <v>0</v>
      </c>
      <c r="T244" s="20" t="n">
        <f aca="false" t="array" ref="T244:T244">IF(AND(INDEX(Profils!$N$5:$N$34,$AE244)&gt;0,INDEX(Profils!$AC$5:$AC$34,$AE244)&lt;=$AH244),ROUND(INDEX(Profils!$N$5:$N$34,$AE244)*Paramètres!$E$30*$AG244*$AJ244,Paramètres!$F$30),0)</f>
        <v>0</v>
      </c>
      <c r="U244" s="19" t="n">
        <f aca="false" t="array" ref="U244:U244">IF(AND(INDEX(Profils!$O$5:$O$34,$AE244)&gt;0,INDEX(Profils!$AD$5:$AD$34,$AE244)&lt;=$AH244),ROUND(INDEX(Profils!$O$5:$O$34,$AE244)*Paramètres!$E$31*$AG244*$AJ244,Paramètres!$F$31),0)</f>
        <v>13</v>
      </c>
      <c r="V244" s="20" t="n">
        <f aca="false" t="array" ref="V244:V244">IF(AND(INDEX(Profils!$P$5:$P$34,$AE244)&gt;0,INDEX(Profils!$AE$5:$AE$34,$AE244)&lt;=$AH244),ROUND(INDEX(Profils!$P$5:$P$34,$AE244)*Paramètres!$E$32*$AG244*$AJ244,Paramètres!$F$32),0)</f>
        <v>0.007</v>
      </c>
      <c r="W244" s="20" t="n">
        <f aca="false" t="array" ref="W244:W244">IF(AND(INDEX(Profils!$Q$5:$Q$34,$AE244)&gt;0,INDEX(Profils!$AF$5:$AF$34,$AE244)&lt;=$AH244),ROUND(INDEX(Profils!$Q$5:$Q$34,$AE244)*Paramètres!$E$33*$AG244*$AJ244,Paramètres!$F$33),0)</f>
        <v>0</v>
      </c>
      <c r="X244" s="20" t="n">
        <f aca="false" t="array" ref="X244:X244">IF(AND(INDEX(Profils!$R$5:$R$34,$AE244)&gt;0,INDEX(Profils!$AG$5:$AG$34,$AE244)&lt;=$AH244),ROUND(INDEX(Profils!$R$5:$R$34,$AE244)*Paramètres!$E$34*$AG244*$AJ244,Paramètres!$F$34),0)</f>
        <v>0</v>
      </c>
      <c r="Y244" s="20" t="n">
        <f aca="false" t="array" ref="Y244:Y244">IF(AND(INDEX(Profils!$S$5:$S$34,$AE244)&gt;0,INDEX(Profils!$AH$5:$AH$34,$AE244)&lt;=$AH244),ROUND(INDEX(Profils!$S$5:$S$34,$AE244)*Paramètres!$E$35*$AG244*$AJ244,Paramètres!$F$35),0)</f>
        <v>0</v>
      </c>
      <c r="Z244" s="21" t="n">
        <f aca="false">ROUND(L244/Paramètres!$E$22+M244/Paramètres!$E$23+N244/Paramètres!$E$24+O244/Paramètres!$E$25+P244/Paramètres!$E$26+Q244/Paramètres!$E$27+R244/Paramètres!$E$28+S244/Paramètres!$E$29+T244/Paramètres!$E$30+U244/Paramètres!$E$31+V244/Paramètres!$E$32+W244/Paramètres!$E$33+X244/Paramètres!$E$34+Y244/Paramètres!$E$35,1)</f>
        <v>3.6</v>
      </c>
      <c r="AA244" s="22" t="s">
        <v>109</v>
      </c>
      <c r="AB244" s="22" t="s">
        <v>109</v>
      </c>
      <c r="AC244" s="15" t="str">
        <f aca="false">$E244</f>
        <v>mithril</v>
      </c>
      <c r="AD244" s="16" t="n">
        <f aca="false" t="array" ref="AD244:AD244">IF($I244&gt;=$AI244,"Max",ROUND(Paramètres!$B$40*($I244+1)^Paramètres!$B$41*INDEX(Paramètres!$H$6:$H$12,$AF244),0))</f>
        <v>5</v>
      </c>
      <c r="AE244" s="23" t="n">
        <f aca="false">MATCH($B244&amp;"|"&amp;$C244,Profils!$A$5:$A$34,0)</f>
        <v>8</v>
      </c>
      <c r="AF244" s="23" t="n">
        <v>4</v>
      </c>
      <c r="AG244" s="24" t="n">
        <f aca="false" t="array" ref="AG244:AG244">INDEX(Paramètres!$C$6:$C$12,$AF244)</f>
        <v>1.75</v>
      </c>
      <c r="AH244" s="23" t="n">
        <f aca="false" t="array" ref="AH244:AH244">INDEX(Paramètres!$D$6:$D$12,$AF244)</f>
        <v>5</v>
      </c>
      <c r="AI244" s="23" t="n">
        <f aca="false" t="array" ref="AI244:AI244">INDEX(Matériaux!$C$16:$C$20,$D244)</f>
        <v>25</v>
      </c>
      <c r="AJ244" s="25" t="n">
        <f aca="false">Paramètres!$B$16+(1-Paramètres!$B$16)*(($J244-Paramètres!$B$14)/(Paramètres!$B$15-Paramètres!$B$14))^Paramètres!$B$17</f>
        <v>0.458504333336152</v>
      </c>
    </row>
    <row r="245" customFormat="false" ht="15.75" hidden="false" customHeight="true" outlineLevel="0" collapsed="false">
      <c r="A245" s="14" t="s">
        <v>359</v>
      </c>
      <c r="B245" s="15" t="s">
        <v>27</v>
      </c>
      <c r="C245" s="15" t="s">
        <v>337</v>
      </c>
      <c r="D245" s="16" t="n">
        <v>4</v>
      </c>
      <c r="E245" s="15" t="str">
        <f aca="false" t="array" ref="E245:E245">INDEX(Matériaux!$B$5:$F$12,MATCH(INDEX(Profils!$E$5:$E$34,$AE245),Matériaux!$A$5:$A$12,0),$D245)</f>
        <v>mithril</v>
      </c>
      <c r="F245" s="29" t="s">
        <v>117</v>
      </c>
      <c r="G245" s="10" t="str">
        <f aca="false" t="array" ref="G245:G245">INDEX(Profils!$D$5:$D$34,$AE245)&amp;" en "&amp;$E245</f>
        <v>Ceinturon en mithril</v>
      </c>
      <c r="H245" s="16" t="n">
        <f aca="false" t="array" ref="H245:H245">INDEX(Matériaux!$B$16:$B$20,$D245)</f>
        <v>50</v>
      </c>
      <c r="I245" s="16" t="n">
        <f aca="false">IF(ISNUMBER($C$3),MIN(MAX(0,ROUND($C$3,0)),$AI245),$AI245)</f>
        <v>0</v>
      </c>
      <c r="J245" s="18" t="n">
        <f aca="false">$H245+$I245</f>
        <v>50</v>
      </c>
      <c r="K245" s="15" t="s">
        <v>109</v>
      </c>
      <c r="L245" s="19" t="n">
        <f aca="false" t="array" ref="L245:L245">IF(AND(INDEX(Profils!$F$5:$F$34,$AE245)&gt;0,INDEX(Profils!$U$5:$U$34,$AE245)&lt;=$AH245),ROUND(INDEX(Profils!$F$5:$F$34,$AE245)*Paramètres!$E$22*$AG245*$AJ245,Paramètres!$F$22),0)</f>
        <v>29</v>
      </c>
      <c r="M245" s="19" t="n">
        <f aca="false" t="array" ref="M245:M245">IF(AND(INDEX(Profils!$G$5:$G$34,$AE245)&gt;0,INDEX(Profils!$V$5:$V$34,$AE245)&lt;=$AH245),ROUND(INDEX(Profils!$G$5:$G$34,$AE245)*Paramètres!$E$23*$AG245*$AJ245,Paramètres!$F$23),0)</f>
        <v>14</v>
      </c>
      <c r="N245" s="19" t="n">
        <f aca="false" t="array" ref="N245:N245">IF(AND(INDEX(Profils!$H$5:$H$34,$AE245)&gt;0,INDEX(Profils!$W$5:$W$34,$AE245)&lt;=$AH245),ROUND(INDEX(Profils!$H$5:$H$34,$AE245)*Paramètres!$E$24*$AG245*$AJ245,Paramètres!$F$24),0)</f>
        <v>13</v>
      </c>
      <c r="O245" s="19" t="n">
        <f aca="false" t="array" ref="O245:O245">IF(AND(INDEX(Profils!$I$5:$I$34,$AE245)&gt;0,INDEX(Profils!$X$5:$X$34,$AE245)&lt;=$AH245),ROUND(INDEX(Profils!$I$5:$I$34,$AE245)*Paramètres!$E$25*$AG245*$AJ245,Paramètres!$F$25),0)</f>
        <v>0</v>
      </c>
      <c r="P245" s="19" t="n">
        <f aca="false" t="array" ref="P245:P245">IF(AND(INDEX(Profils!$J$5:$J$34,$AE245)&gt;0,INDEX(Profils!$Y$5:$Y$34,$AE245)&lt;=$AH245),ROUND(INDEX(Profils!$J$5:$J$34,$AE245)*Paramètres!$E$26*$AG245*$AJ245,Paramètres!$F$26),0)</f>
        <v>0</v>
      </c>
      <c r="Q245" s="19" t="n">
        <f aca="false" t="array" ref="Q245:Q245">IF(AND(INDEX(Profils!$K$5:$K$34,$AE245)&gt;0,INDEX(Profils!$Z$5:$Z$34,$AE245)&lt;=$AH245),ROUND(INDEX(Profils!$K$5:$K$34,$AE245)*Paramètres!$E$27*$AG245*$AJ245,Paramètres!$F$27),0)</f>
        <v>0</v>
      </c>
      <c r="R245" s="20" t="n">
        <f aca="false" t="array" ref="R245:R245">IF(AND(INDEX(Profils!$L$5:$L$34,$AE245)&gt;0,INDEX(Profils!$AA$5:$AA$34,$AE245)&lt;=$AH245),ROUND(INDEX(Profils!$L$5:$L$34,$AE245)*Paramètres!$E$28*$AG245*$AJ245,Paramètres!$F$28),0)</f>
        <v>0</v>
      </c>
      <c r="S245" s="20" t="n">
        <f aca="false" t="array" ref="S245:S245">IF(AND(INDEX(Profils!$M$5:$M$34,$AE245)&gt;0,INDEX(Profils!$AB$5:$AB$34,$AE245)&lt;=$AH245),ROUND(INDEX(Profils!$M$5:$M$34,$AE245)*Paramètres!$E$29*$AG245*$AJ245,Paramètres!$F$29),0)</f>
        <v>0</v>
      </c>
      <c r="T245" s="20" t="n">
        <f aca="false" t="array" ref="T245:T245">IF(AND(INDEX(Profils!$N$5:$N$34,$AE245)&gt;0,INDEX(Profils!$AC$5:$AC$34,$AE245)&lt;=$AH245),ROUND(INDEX(Profils!$N$5:$N$34,$AE245)*Paramètres!$E$30*$AG245*$AJ245,Paramètres!$F$30),0)</f>
        <v>0</v>
      </c>
      <c r="U245" s="19" t="n">
        <f aca="false" t="array" ref="U245:U245">IF(AND(INDEX(Profils!$O$5:$O$34,$AE245)&gt;0,INDEX(Profils!$AD$5:$AD$34,$AE245)&lt;=$AH245),ROUND(INDEX(Profils!$O$5:$O$34,$AE245)*Paramètres!$E$31*$AG245*$AJ245,Paramètres!$F$31),0)</f>
        <v>15</v>
      </c>
      <c r="V245" s="20" t="n">
        <f aca="false" t="array" ref="V245:V245">IF(AND(INDEX(Profils!$P$5:$P$34,$AE245)&gt;0,INDEX(Profils!$AE$5:$AE$34,$AE245)&lt;=$AH245),ROUND(INDEX(Profils!$P$5:$P$34,$AE245)*Paramètres!$E$32*$AG245*$AJ245,Paramètres!$F$32),0)</f>
        <v>0.009</v>
      </c>
      <c r="W245" s="20" t="n">
        <f aca="false" t="array" ref="W245:W245">IF(AND(INDEX(Profils!$Q$5:$Q$34,$AE245)&gt;0,INDEX(Profils!$AF$5:$AF$34,$AE245)&lt;=$AH245),ROUND(INDEX(Profils!$Q$5:$Q$34,$AE245)*Paramètres!$E$33*$AG245*$AJ245,Paramètres!$F$33),0)</f>
        <v>0</v>
      </c>
      <c r="X245" s="20" t="n">
        <f aca="false" t="array" ref="X245:X245">IF(AND(INDEX(Profils!$R$5:$R$34,$AE245)&gt;0,INDEX(Profils!$AG$5:$AG$34,$AE245)&lt;=$AH245),ROUND(INDEX(Profils!$R$5:$R$34,$AE245)*Paramètres!$E$34*$AG245*$AJ245,Paramètres!$F$34),0)</f>
        <v>0</v>
      </c>
      <c r="Y245" s="20" t="n">
        <f aca="false" t="array" ref="Y245:Y245">IF(AND(INDEX(Profils!$S$5:$S$34,$AE245)&gt;0,INDEX(Profils!$AH$5:$AH$34,$AE245)&lt;=$AH245),ROUND(INDEX(Profils!$S$5:$S$34,$AE245)*Paramètres!$E$35*$AG245*$AJ245,Paramètres!$F$35),0)</f>
        <v>0.009</v>
      </c>
      <c r="Z245" s="21" t="n">
        <f aca="false">ROUND(L245/Paramètres!$E$22+M245/Paramètres!$E$23+N245/Paramètres!$E$24+O245/Paramètres!$E$25+P245/Paramètres!$E$26+Q245/Paramètres!$E$27+R245/Paramètres!$E$28+S245/Paramètres!$E$29+T245/Paramètres!$E$30+U245/Paramètres!$E$31+V245/Paramètres!$E$32+W245/Paramètres!$E$33+X245/Paramètres!$E$34+Y245/Paramètres!$E$35,1)</f>
        <v>4.9</v>
      </c>
      <c r="AA245" s="22" t="s">
        <v>109</v>
      </c>
      <c r="AB245" s="22" t="s">
        <v>109</v>
      </c>
      <c r="AC245" s="15" t="str">
        <f aca="false">$E245</f>
        <v>mithril</v>
      </c>
      <c r="AD245" s="16" t="n">
        <f aca="false" t="array" ref="AD245:AD245">IF($I245&gt;=$AI245,"Max",ROUND(Paramètres!$B$40*($I245+1)^Paramètres!$B$41*INDEX(Paramètres!$H$6:$H$12,$AF245),0))</f>
        <v>6</v>
      </c>
      <c r="AE245" s="23" t="n">
        <f aca="false">MATCH($B245&amp;"|"&amp;$C245,Profils!$A$5:$A$34,0)</f>
        <v>8</v>
      </c>
      <c r="AF245" s="23" t="n">
        <v>5</v>
      </c>
      <c r="AG245" s="24" t="n">
        <f aca="false" t="array" ref="AG245:AG245">INDEX(Paramètres!$C$6:$C$12,$AF245)</f>
        <v>2.1</v>
      </c>
      <c r="AH245" s="23" t="n">
        <f aca="false" t="array" ref="AH245:AH245">INDEX(Paramètres!$D$6:$D$12,$AF245)</f>
        <v>6</v>
      </c>
      <c r="AI245" s="23" t="n">
        <f aca="false" t="array" ref="AI245:AI245">INDEX(Matériaux!$C$16:$C$20,$D245)</f>
        <v>25</v>
      </c>
      <c r="AJ245" s="25" t="n">
        <f aca="false">Paramètres!$B$16+(1-Paramètres!$B$16)*(($J245-Paramètres!$B$14)/(Paramètres!$B$15-Paramètres!$B$14))^Paramètres!$B$17</f>
        <v>0.458504333336152</v>
      </c>
    </row>
    <row r="246" customFormat="false" ht="15.75" hidden="false" customHeight="true" outlineLevel="0" collapsed="false">
      <c r="A246" s="14" t="s">
        <v>360</v>
      </c>
      <c r="B246" s="15" t="s">
        <v>27</v>
      </c>
      <c r="C246" s="15" t="s">
        <v>337</v>
      </c>
      <c r="D246" s="16" t="n">
        <v>4</v>
      </c>
      <c r="E246" s="15" t="str">
        <f aca="false" t="array" ref="E246:E246">INDEX(Matériaux!$B$5:$F$12,MATCH(INDEX(Profils!$E$5:$E$34,$AE246),Matériaux!$A$5:$A$12,0),$D246)</f>
        <v>mithril</v>
      </c>
      <c r="F246" s="30" t="s">
        <v>119</v>
      </c>
      <c r="G246" s="10" t="str">
        <f aca="false" t="array" ref="G246:G246">INDEX(Profils!$D$5:$D$34,$AE246)&amp;" en "&amp;$E246</f>
        <v>Ceinturon en mithril</v>
      </c>
      <c r="H246" s="16" t="n">
        <f aca="false" t="array" ref="H246:H246">INDEX(Matériaux!$B$16:$B$20,$D246)</f>
        <v>50</v>
      </c>
      <c r="I246" s="16" t="n">
        <f aca="false">IF(ISNUMBER($C$3),MIN(MAX(0,ROUND($C$3,0)),$AI246),$AI246)</f>
        <v>0</v>
      </c>
      <c r="J246" s="18" t="n">
        <f aca="false">$H246+$I246</f>
        <v>50</v>
      </c>
      <c r="K246" s="15" t="s">
        <v>109</v>
      </c>
      <c r="L246" s="19" t="n">
        <f aca="false" t="array" ref="L246:L246">IF(AND(INDEX(Profils!$F$5:$F$34,$AE246)&gt;0,INDEX(Profils!$U$5:$U$34,$AE246)&lt;=$AH246),ROUND(INDEX(Profils!$F$5:$F$34,$AE246)*Paramètres!$E$22*$AG246*$AJ246,Paramètres!$F$22),0)</f>
        <v>33</v>
      </c>
      <c r="M246" s="19" t="n">
        <f aca="false" t="array" ref="M246:M246">IF(AND(INDEX(Profils!$G$5:$G$34,$AE246)&gt;0,INDEX(Profils!$V$5:$V$34,$AE246)&lt;=$AH246),ROUND(INDEX(Profils!$G$5:$G$34,$AE246)*Paramètres!$E$23*$AG246*$AJ246,Paramètres!$F$23),0)</f>
        <v>17</v>
      </c>
      <c r="N246" s="19" t="n">
        <f aca="false" t="array" ref="N246:N246">IF(AND(INDEX(Profils!$H$5:$H$34,$AE246)&gt;0,INDEX(Profils!$W$5:$W$34,$AE246)&lt;=$AH246),ROUND(INDEX(Profils!$H$5:$H$34,$AE246)*Paramètres!$E$24*$AG246*$AJ246,Paramètres!$F$24),0)</f>
        <v>15</v>
      </c>
      <c r="O246" s="19" t="n">
        <f aca="false" t="array" ref="O246:O246">IF(AND(INDEX(Profils!$I$5:$I$34,$AE246)&gt;0,INDEX(Profils!$X$5:$X$34,$AE246)&lt;=$AH246),ROUND(INDEX(Profils!$I$5:$I$34,$AE246)*Paramètres!$E$25*$AG246*$AJ246,Paramètres!$F$25),0)</f>
        <v>0</v>
      </c>
      <c r="P246" s="19" t="n">
        <f aca="false" t="array" ref="P246:P246">IF(AND(INDEX(Profils!$J$5:$J$34,$AE246)&gt;0,INDEX(Profils!$Y$5:$Y$34,$AE246)&lt;=$AH246),ROUND(INDEX(Profils!$J$5:$J$34,$AE246)*Paramètres!$E$26*$AG246*$AJ246,Paramètres!$F$26),0)</f>
        <v>0</v>
      </c>
      <c r="Q246" s="19" t="n">
        <f aca="false" t="array" ref="Q246:Q246">IF(AND(INDEX(Profils!$K$5:$K$34,$AE246)&gt;0,INDEX(Profils!$Z$5:$Z$34,$AE246)&lt;=$AH246),ROUND(INDEX(Profils!$K$5:$K$34,$AE246)*Paramètres!$E$27*$AG246*$AJ246,Paramètres!$F$27),0)</f>
        <v>6</v>
      </c>
      <c r="R246" s="20" t="n">
        <f aca="false" t="array" ref="R246:R246">IF(AND(INDEX(Profils!$L$5:$L$34,$AE246)&gt;0,INDEX(Profils!$AA$5:$AA$34,$AE246)&lt;=$AH246),ROUND(INDEX(Profils!$L$5:$L$34,$AE246)*Paramètres!$E$28*$AG246*$AJ246,Paramètres!$F$28),0)</f>
        <v>0</v>
      </c>
      <c r="S246" s="20" t="n">
        <f aca="false" t="array" ref="S246:S246">IF(AND(INDEX(Profils!$M$5:$M$34,$AE246)&gt;0,INDEX(Profils!$AB$5:$AB$34,$AE246)&lt;=$AH246),ROUND(INDEX(Profils!$M$5:$M$34,$AE246)*Paramètres!$E$29*$AG246*$AJ246,Paramètres!$F$29),0)</f>
        <v>0</v>
      </c>
      <c r="T246" s="20" t="n">
        <f aca="false" t="array" ref="T246:T246">IF(AND(INDEX(Profils!$N$5:$N$34,$AE246)&gt;0,INDEX(Profils!$AC$5:$AC$34,$AE246)&lt;=$AH246),ROUND(INDEX(Profils!$N$5:$N$34,$AE246)*Paramètres!$E$30*$AG246*$AJ246,Paramètres!$F$30),0)</f>
        <v>0</v>
      </c>
      <c r="U246" s="19" t="n">
        <f aca="false" t="array" ref="U246:U246">IF(AND(INDEX(Profils!$O$5:$O$34,$AE246)&gt;0,INDEX(Profils!$AD$5:$AD$34,$AE246)&lt;=$AH246),ROUND(INDEX(Profils!$O$5:$O$34,$AE246)*Paramètres!$E$31*$AG246*$AJ246,Paramètres!$F$31),0)</f>
        <v>18</v>
      </c>
      <c r="V246" s="20" t="n">
        <f aca="false" t="array" ref="V246:V246">IF(AND(INDEX(Profils!$P$5:$P$34,$AE246)&gt;0,INDEX(Profils!$AE$5:$AE$34,$AE246)&lt;=$AH246),ROUND(INDEX(Profils!$P$5:$P$34,$AE246)*Paramètres!$E$32*$AG246*$AJ246,Paramètres!$F$32),0)</f>
        <v>0.01</v>
      </c>
      <c r="W246" s="20" t="n">
        <f aca="false" t="array" ref="W246:W246">IF(AND(INDEX(Profils!$Q$5:$Q$34,$AE246)&gt;0,INDEX(Profils!$AF$5:$AF$34,$AE246)&lt;=$AH246),ROUND(INDEX(Profils!$Q$5:$Q$34,$AE246)*Paramètres!$E$33*$AG246*$AJ246,Paramètres!$F$33),0)</f>
        <v>0</v>
      </c>
      <c r="X246" s="20" t="n">
        <f aca="false" t="array" ref="X246:X246">IF(AND(INDEX(Profils!$R$5:$R$34,$AE246)&gt;0,INDEX(Profils!$AG$5:$AG$34,$AE246)&lt;=$AH246),ROUND(INDEX(Profils!$R$5:$R$34,$AE246)*Paramètres!$E$34*$AG246*$AJ246,Paramètres!$F$34),0)</f>
        <v>0</v>
      </c>
      <c r="Y246" s="20" t="n">
        <f aca="false" t="array" ref="Y246:Y246">IF(AND(INDEX(Profils!$S$5:$S$34,$AE246)&gt;0,INDEX(Profils!$AH$5:$AH$34,$AE246)&lt;=$AH246),ROUND(INDEX(Profils!$S$5:$S$34,$AE246)*Paramètres!$E$35*$AG246*$AJ246,Paramètres!$F$35),0)</f>
        <v>0.01</v>
      </c>
      <c r="Z246" s="21" t="n">
        <f aca="false">ROUND(L246/Paramètres!$E$22+M246/Paramètres!$E$23+N246/Paramètres!$E$24+O246/Paramètres!$E$25+P246/Paramètres!$E$26+Q246/Paramètres!$E$27+R246/Paramètres!$E$28+S246/Paramètres!$E$29+T246/Paramètres!$E$30+U246/Paramètres!$E$31+V246/Paramètres!$E$32+W246/Paramètres!$E$33+X246/Paramètres!$E$34+Y246/Paramètres!$E$35,1)</f>
        <v>6.3</v>
      </c>
      <c r="AA246" s="22" t="s">
        <v>109</v>
      </c>
      <c r="AB246" s="22" t="s">
        <v>109</v>
      </c>
      <c r="AC246" s="15" t="str">
        <f aca="false">$E246</f>
        <v>mithril</v>
      </c>
      <c r="AD246" s="16" t="n">
        <f aca="false" t="array" ref="AD246:AD246">IF($I246&gt;=$AI246,"Max",ROUND(Paramètres!$B$40*($I246+1)^Paramètres!$B$41*INDEX(Paramètres!$H$6:$H$12,$AF246),0))</f>
        <v>8</v>
      </c>
      <c r="AE246" s="23" t="n">
        <f aca="false">MATCH($B246&amp;"|"&amp;$C246,Profils!$A$5:$A$34,0)</f>
        <v>8</v>
      </c>
      <c r="AF246" s="23" t="n">
        <v>6</v>
      </c>
      <c r="AG246" s="24" t="n">
        <f aca="false" t="array" ref="AG246:AG246">INDEX(Paramètres!$C$6:$C$12,$AF246)</f>
        <v>2.4</v>
      </c>
      <c r="AH246" s="23" t="n">
        <f aca="false" t="array" ref="AH246:AH246">INDEX(Paramètres!$D$6:$D$12,$AF246)</f>
        <v>7</v>
      </c>
      <c r="AI246" s="23" t="n">
        <f aca="false" t="array" ref="AI246:AI246">INDEX(Matériaux!$C$16:$C$20,$D246)</f>
        <v>25</v>
      </c>
      <c r="AJ246" s="25" t="n">
        <f aca="false">Paramètres!$B$16+(1-Paramètres!$B$16)*(($J246-Paramètres!$B$14)/(Paramètres!$B$15-Paramètres!$B$14))^Paramètres!$B$17</f>
        <v>0.458504333336152</v>
      </c>
    </row>
    <row r="247" customFormat="false" ht="15.75" hidden="false" customHeight="true" outlineLevel="0" collapsed="false">
      <c r="A247" s="14" t="s">
        <v>361</v>
      </c>
      <c r="B247" s="15" t="s">
        <v>27</v>
      </c>
      <c r="C247" s="15" t="s">
        <v>337</v>
      </c>
      <c r="D247" s="16" t="n">
        <v>5</v>
      </c>
      <c r="E247" s="15" t="str">
        <f aca="false" t="array" ref="E247:E247">INDEX(Matériaux!$B$5:$F$12,MATCH(INDEX(Profils!$E$5:$E$34,$AE247),Matériaux!$A$5:$A$12,0),$D247)</f>
        <v>adamantite</v>
      </c>
      <c r="F247" s="17" t="s">
        <v>108</v>
      </c>
      <c r="G247" s="10" t="str">
        <f aca="false" t="array" ref="G247:G247">INDEX(Profils!$D$5:$D$34,$AE247)&amp;" en "&amp;$E247</f>
        <v>Ceinturon en adamantite</v>
      </c>
      <c r="H247" s="16" t="n">
        <f aca="false" t="array" ref="H247:H247">INDEX(Matériaux!$B$16:$B$20,$D247)</f>
        <v>70</v>
      </c>
      <c r="I247" s="16" t="n">
        <f aca="false">IF(ISNUMBER($C$3),MIN(MAX(0,ROUND($C$3,0)),$AI247),$AI247)</f>
        <v>0</v>
      </c>
      <c r="J247" s="18" t="n">
        <f aca="false">$H247+$I247</f>
        <v>70</v>
      </c>
      <c r="K247" s="15" t="s">
        <v>109</v>
      </c>
      <c r="L247" s="19" t="n">
        <f aca="false" t="array" ref="L247:L247">IF(AND(INDEX(Profils!$F$5:$F$34,$AE247)&gt;0,INDEX(Profils!$U$5:$U$34,$AE247)&lt;=$AH247),ROUND(INDEX(Profils!$F$5:$F$34,$AE247)*Paramètres!$E$22*$AG247*$AJ247,Paramètres!$F$22),0)</f>
        <v>20</v>
      </c>
      <c r="M247" s="19" t="n">
        <f aca="false" t="array" ref="M247:M247">IF(AND(INDEX(Profils!$G$5:$G$34,$AE247)&gt;0,INDEX(Profils!$V$5:$V$34,$AE247)&lt;=$AH247),ROUND(INDEX(Profils!$G$5:$G$34,$AE247)*Paramètres!$E$23*$AG247*$AJ247,Paramètres!$F$23),0)</f>
        <v>10</v>
      </c>
      <c r="N247" s="19" t="n">
        <f aca="false" t="array" ref="N247:N247">IF(AND(INDEX(Profils!$H$5:$H$34,$AE247)&gt;0,INDEX(Profils!$W$5:$W$34,$AE247)&lt;=$AH247),ROUND(INDEX(Profils!$H$5:$H$34,$AE247)*Paramètres!$E$24*$AG247*$AJ247,Paramètres!$F$24),0)</f>
        <v>0</v>
      </c>
      <c r="O247" s="19" t="n">
        <f aca="false" t="array" ref="O247:O247">IF(AND(INDEX(Profils!$I$5:$I$34,$AE247)&gt;0,INDEX(Profils!$X$5:$X$34,$AE247)&lt;=$AH247),ROUND(INDEX(Profils!$I$5:$I$34,$AE247)*Paramètres!$E$25*$AG247*$AJ247,Paramètres!$F$25),0)</f>
        <v>0</v>
      </c>
      <c r="P247" s="19" t="n">
        <f aca="false" t="array" ref="P247:P247">IF(AND(INDEX(Profils!$J$5:$J$34,$AE247)&gt;0,INDEX(Profils!$Y$5:$Y$34,$AE247)&lt;=$AH247),ROUND(INDEX(Profils!$J$5:$J$34,$AE247)*Paramètres!$E$26*$AG247*$AJ247,Paramètres!$F$26),0)</f>
        <v>0</v>
      </c>
      <c r="Q247" s="19" t="n">
        <f aca="false" t="array" ref="Q247:Q247">IF(AND(INDEX(Profils!$K$5:$K$34,$AE247)&gt;0,INDEX(Profils!$Z$5:$Z$34,$AE247)&lt;=$AH247),ROUND(INDEX(Profils!$K$5:$K$34,$AE247)*Paramètres!$E$27*$AG247*$AJ247,Paramètres!$F$27),0)</f>
        <v>0</v>
      </c>
      <c r="R247" s="20" t="n">
        <f aca="false" t="array" ref="R247:R247">IF(AND(INDEX(Profils!$L$5:$L$34,$AE247)&gt;0,INDEX(Profils!$AA$5:$AA$34,$AE247)&lt;=$AH247),ROUND(INDEX(Profils!$L$5:$L$34,$AE247)*Paramètres!$E$28*$AG247*$AJ247,Paramètres!$F$28),0)</f>
        <v>0</v>
      </c>
      <c r="S247" s="20" t="n">
        <f aca="false" t="array" ref="S247:S247">IF(AND(INDEX(Profils!$M$5:$M$34,$AE247)&gt;0,INDEX(Profils!$AB$5:$AB$34,$AE247)&lt;=$AH247),ROUND(INDEX(Profils!$M$5:$M$34,$AE247)*Paramètres!$E$29*$AG247*$AJ247,Paramètres!$F$29),0)</f>
        <v>0</v>
      </c>
      <c r="T247" s="20" t="n">
        <f aca="false" t="array" ref="T247:T247">IF(AND(INDEX(Profils!$N$5:$N$34,$AE247)&gt;0,INDEX(Profils!$AC$5:$AC$34,$AE247)&lt;=$AH247),ROUND(INDEX(Profils!$N$5:$N$34,$AE247)*Paramètres!$E$30*$AG247*$AJ247,Paramètres!$F$30),0)</f>
        <v>0</v>
      </c>
      <c r="U247" s="19" t="n">
        <f aca="false" t="array" ref="U247:U247">IF(AND(INDEX(Profils!$O$5:$O$34,$AE247)&gt;0,INDEX(Profils!$AD$5:$AD$34,$AE247)&lt;=$AH247),ROUND(INDEX(Profils!$O$5:$O$34,$AE247)*Paramètres!$E$31*$AG247*$AJ247,Paramètres!$F$31),0)</f>
        <v>0</v>
      </c>
      <c r="V247" s="20" t="n">
        <f aca="false" t="array" ref="V247:V247">IF(AND(INDEX(Profils!$P$5:$P$34,$AE247)&gt;0,INDEX(Profils!$AE$5:$AE$34,$AE247)&lt;=$AH247),ROUND(INDEX(Profils!$P$5:$P$34,$AE247)*Paramètres!$E$32*$AG247*$AJ247,Paramètres!$F$32),0)</f>
        <v>0</v>
      </c>
      <c r="W247" s="20" t="n">
        <f aca="false" t="array" ref="W247:W247">IF(AND(INDEX(Profils!$Q$5:$Q$34,$AE247)&gt;0,INDEX(Profils!$AF$5:$AF$34,$AE247)&lt;=$AH247),ROUND(INDEX(Profils!$Q$5:$Q$34,$AE247)*Paramètres!$E$33*$AG247*$AJ247,Paramètres!$F$33),0)</f>
        <v>0</v>
      </c>
      <c r="X247" s="20" t="n">
        <f aca="false" t="array" ref="X247:X247">IF(AND(INDEX(Profils!$R$5:$R$34,$AE247)&gt;0,INDEX(Profils!$AG$5:$AG$34,$AE247)&lt;=$AH247),ROUND(INDEX(Profils!$R$5:$R$34,$AE247)*Paramètres!$E$34*$AG247*$AJ247,Paramètres!$F$34),0)</f>
        <v>0</v>
      </c>
      <c r="Y247" s="20" t="n">
        <f aca="false" t="array" ref="Y247:Y247">IF(AND(INDEX(Profils!$S$5:$S$34,$AE247)&gt;0,INDEX(Profils!$AH$5:$AH$34,$AE247)&lt;=$AH247),ROUND(INDEX(Profils!$S$5:$S$34,$AE247)*Paramètres!$E$35*$AG247*$AJ247,Paramètres!$F$35),0)</f>
        <v>0</v>
      </c>
      <c r="Z247" s="21" t="n">
        <f aca="false">ROUND(L247/Paramètres!$E$22+M247/Paramètres!$E$23+N247/Paramètres!$E$24+O247/Paramètres!$E$25+P247/Paramètres!$E$26+Q247/Paramètres!$E$27+R247/Paramètres!$E$28+S247/Paramètres!$E$29+T247/Paramètres!$E$30+U247/Paramètres!$E$31+V247/Paramètres!$E$32+W247/Paramètres!$E$33+X247/Paramètres!$E$34+Y247/Paramètres!$E$35,1)</f>
        <v>1.5</v>
      </c>
      <c r="AA247" s="22" t="s">
        <v>109</v>
      </c>
      <c r="AB247" s="22" t="s">
        <v>109</v>
      </c>
      <c r="AC247" s="15" t="str">
        <f aca="false">$E247</f>
        <v>adamantite</v>
      </c>
      <c r="AD247" s="16" t="n">
        <f aca="false" t="array" ref="AD247:AD247">IF($I247&gt;=$AI247,"Max",ROUND(Paramètres!$B$40*($I247+1)^Paramètres!$B$41*INDEX(Paramètres!$H$6:$H$12,$AF247),0))</f>
        <v>3</v>
      </c>
      <c r="AE247" s="23" t="n">
        <f aca="false">MATCH($B247&amp;"|"&amp;$C247,Profils!$A$5:$A$34,0)</f>
        <v>8</v>
      </c>
      <c r="AF247" s="23" t="n">
        <v>1</v>
      </c>
      <c r="AG247" s="24" t="n">
        <f aca="false" t="array" ref="AG247:AG247">INDEX(Paramètres!$C$6:$C$12,$AF247)</f>
        <v>1</v>
      </c>
      <c r="AH247" s="23" t="n">
        <f aca="false" t="array" ref="AH247:AH247">INDEX(Paramètres!$D$6:$D$12,$AF247)</f>
        <v>2</v>
      </c>
      <c r="AI247" s="23" t="n">
        <f aca="false" t="array" ref="AI247:AI247">INDEX(Matériaux!$C$16:$C$20,$D247)</f>
        <v>30</v>
      </c>
      <c r="AJ247" s="25" t="n">
        <f aca="false">Paramètres!$B$16+(1-Paramètres!$B$16)*(($J247-Paramètres!$B$14)/(Paramètres!$B$15-Paramètres!$B$14))^Paramètres!$B$17</f>
        <v>0.665999387952727</v>
      </c>
    </row>
    <row r="248" customFormat="false" ht="15.75" hidden="false" customHeight="true" outlineLevel="0" collapsed="false">
      <c r="A248" s="14" t="s">
        <v>362</v>
      </c>
      <c r="B248" s="15" t="s">
        <v>27</v>
      </c>
      <c r="C248" s="15" t="s">
        <v>337</v>
      </c>
      <c r="D248" s="16" t="n">
        <v>5</v>
      </c>
      <c r="E248" s="15" t="str">
        <f aca="false" t="array" ref="E248:E248">INDEX(Matériaux!$B$5:$F$12,MATCH(INDEX(Profils!$E$5:$E$34,$AE248),Matériaux!$A$5:$A$12,0),$D248)</f>
        <v>adamantite</v>
      </c>
      <c r="F248" s="26" t="s">
        <v>111</v>
      </c>
      <c r="G248" s="10" t="str">
        <f aca="false" t="array" ref="G248:G248">INDEX(Profils!$D$5:$D$34,$AE248)&amp;" en "&amp;$E248</f>
        <v>Ceinturon en adamantite</v>
      </c>
      <c r="H248" s="16" t="n">
        <f aca="false" t="array" ref="H248:H248">INDEX(Matériaux!$B$16:$B$20,$D248)</f>
        <v>70</v>
      </c>
      <c r="I248" s="16" t="n">
        <f aca="false">IF(ISNUMBER($C$3),MIN(MAX(0,ROUND($C$3,0)),$AI248),$AI248)</f>
        <v>0</v>
      </c>
      <c r="J248" s="18" t="n">
        <f aca="false">$H248+$I248</f>
        <v>70</v>
      </c>
      <c r="K248" s="15" t="s">
        <v>109</v>
      </c>
      <c r="L248" s="19" t="n">
        <f aca="false" t="array" ref="L248:L248">IF(AND(INDEX(Profils!$F$5:$F$34,$AE248)&gt;0,INDEX(Profils!$U$5:$U$34,$AE248)&lt;=$AH248),ROUND(INDEX(Profils!$F$5:$F$34,$AE248)*Paramètres!$E$22*$AG248*$AJ248,Paramètres!$F$22),0)</f>
        <v>24</v>
      </c>
      <c r="M248" s="19" t="n">
        <f aca="false" t="array" ref="M248:M248">IF(AND(INDEX(Profils!$G$5:$G$34,$AE248)&gt;0,INDEX(Profils!$V$5:$V$34,$AE248)&lt;=$AH248),ROUND(INDEX(Profils!$G$5:$G$34,$AE248)*Paramètres!$E$23*$AG248*$AJ248,Paramètres!$F$23),0)</f>
        <v>12</v>
      </c>
      <c r="N248" s="19" t="n">
        <f aca="false" t="array" ref="N248:N248">IF(AND(INDEX(Profils!$H$5:$H$34,$AE248)&gt;0,INDEX(Profils!$W$5:$W$34,$AE248)&lt;=$AH248),ROUND(INDEX(Profils!$H$5:$H$34,$AE248)*Paramètres!$E$24*$AG248*$AJ248,Paramètres!$F$24),0)</f>
        <v>11</v>
      </c>
      <c r="O248" s="19" t="n">
        <f aca="false" t="array" ref="O248:O248">IF(AND(INDEX(Profils!$I$5:$I$34,$AE248)&gt;0,INDEX(Profils!$X$5:$X$34,$AE248)&lt;=$AH248),ROUND(INDEX(Profils!$I$5:$I$34,$AE248)*Paramètres!$E$25*$AG248*$AJ248,Paramètres!$F$25),0)</f>
        <v>0</v>
      </c>
      <c r="P248" s="19" t="n">
        <f aca="false" t="array" ref="P248:P248">IF(AND(INDEX(Profils!$J$5:$J$34,$AE248)&gt;0,INDEX(Profils!$Y$5:$Y$34,$AE248)&lt;=$AH248),ROUND(INDEX(Profils!$J$5:$J$34,$AE248)*Paramètres!$E$26*$AG248*$AJ248,Paramètres!$F$26),0)</f>
        <v>0</v>
      </c>
      <c r="Q248" s="19" t="n">
        <f aca="false" t="array" ref="Q248:Q248">IF(AND(INDEX(Profils!$K$5:$K$34,$AE248)&gt;0,INDEX(Profils!$Z$5:$Z$34,$AE248)&lt;=$AH248),ROUND(INDEX(Profils!$K$5:$K$34,$AE248)*Paramètres!$E$27*$AG248*$AJ248,Paramètres!$F$27),0)</f>
        <v>0</v>
      </c>
      <c r="R248" s="20" t="n">
        <f aca="false" t="array" ref="R248:R248">IF(AND(INDEX(Profils!$L$5:$L$34,$AE248)&gt;0,INDEX(Profils!$AA$5:$AA$34,$AE248)&lt;=$AH248),ROUND(INDEX(Profils!$L$5:$L$34,$AE248)*Paramètres!$E$28*$AG248*$AJ248,Paramètres!$F$28),0)</f>
        <v>0</v>
      </c>
      <c r="S248" s="20" t="n">
        <f aca="false" t="array" ref="S248:S248">IF(AND(INDEX(Profils!$M$5:$M$34,$AE248)&gt;0,INDEX(Profils!$AB$5:$AB$34,$AE248)&lt;=$AH248),ROUND(INDEX(Profils!$M$5:$M$34,$AE248)*Paramètres!$E$29*$AG248*$AJ248,Paramètres!$F$29),0)</f>
        <v>0</v>
      </c>
      <c r="T248" s="20" t="n">
        <f aca="false" t="array" ref="T248:T248">IF(AND(INDEX(Profils!$N$5:$N$34,$AE248)&gt;0,INDEX(Profils!$AC$5:$AC$34,$AE248)&lt;=$AH248),ROUND(INDEX(Profils!$N$5:$N$34,$AE248)*Paramètres!$E$30*$AG248*$AJ248,Paramètres!$F$30),0)</f>
        <v>0</v>
      </c>
      <c r="U248" s="19" t="n">
        <f aca="false" t="array" ref="U248:U248">IF(AND(INDEX(Profils!$O$5:$O$34,$AE248)&gt;0,INDEX(Profils!$AD$5:$AD$34,$AE248)&lt;=$AH248),ROUND(INDEX(Profils!$O$5:$O$34,$AE248)*Paramètres!$E$31*$AG248*$AJ248,Paramètres!$F$31),0)</f>
        <v>0</v>
      </c>
      <c r="V248" s="20" t="n">
        <f aca="false" t="array" ref="V248:V248">IF(AND(INDEX(Profils!$P$5:$P$34,$AE248)&gt;0,INDEX(Profils!$AE$5:$AE$34,$AE248)&lt;=$AH248),ROUND(INDEX(Profils!$P$5:$P$34,$AE248)*Paramètres!$E$32*$AG248*$AJ248,Paramètres!$F$32),0)</f>
        <v>0</v>
      </c>
      <c r="W248" s="20" t="n">
        <f aca="false" t="array" ref="W248:W248">IF(AND(INDEX(Profils!$Q$5:$Q$34,$AE248)&gt;0,INDEX(Profils!$AF$5:$AF$34,$AE248)&lt;=$AH248),ROUND(INDEX(Profils!$Q$5:$Q$34,$AE248)*Paramètres!$E$33*$AG248*$AJ248,Paramètres!$F$33),0)</f>
        <v>0</v>
      </c>
      <c r="X248" s="20" t="n">
        <f aca="false" t="array" ref="X248:X248">IF(AND(INDEX(Profils!$R$5:$R$34,$AE248)&gt;0,INDEX(Profils!$AG$5:$AG$34,$AE248)&lt;=$AH248),ROUND(INDEX(Profils!$R$5:$R$34,$AE248)*Paramètres!$E$34*$AG248*$AJ248,Paramètres!$F$34),0)</f>
        <v>0</v>
      </c>
      <c r="Y248" s="20" t="n">
        <f aca="false" t="array" ref="Y248:Y248">IF(AND(INDEX(Profils!$S$5:$S$34,$AE248)&gt;0,INDEX(Profils!$AH$5:$AH$34,$AE248)&lt;=$AH248),ROUND(INDEX(Profils!$S$5:$S$34,$AE248)*Paramètres!$E$35*$AG248*$AJ248,Paramètres!$F$35),0)</f>
        <v>0</v>
      </c>
      <c r="Z248" s="21" t="n">
        <f aca="false">ROUND(L248/Paramètres!$E$22+M248/Paramètres!$E$23+N248/Paramètres!$E$24+O248/Paramètres!$E$25+P248/Paramètres!$E$26+Q248/Paramètres!$E$27+R248/Paramètres!$E$28+S248/Paramètres!$E$29+T248/Paramètres!$E$30+U248/Paramètres!$E$31+V248/Paramètres!$E$32+W248/Paramètres!$E$33+X248/Paramètres!$E$34+Y248/Paramètres!$E$35,1)</f>
        <v>2.5</v>
      </c>
      <c r="AA248" s="22" t="s">
        <v>109</v>
      </c>
      <c r="AB248" s="22" t="s">
        <v>109</v>
      </c>
      <c r="AC248" s="15" t="str">
        <f aca="false">$E248</f>
        <v>adamantite</v>
      </c>
      <c r="AD248" s="16" t="n">
        <f aca="false" t="array" ref="AD248:AD248">IF($I248&gt;=$AI248,"Max",ROUND(Paramètres!$B$40*($I248+1)^Paramètres!$B$41*INDEX(Paramètres!$H$6:$H$12,$AF248),0))</f>
        <v>4</v>
      </c>
      <c r="AE248" s="23" t="n">
        <f aca="false">MATCH($B248&amp;"|"&amp;$C248,Profils!$A$5:$A$34,0)</f>
        <v>8</v>
      </c>
      <c r="AF248" s="23" t="n">
        <v>2</v>
      </c>
      <c r="AG248" s="24" t="n">
        <f aca="false" t="array" ref="AG248:AG248">INDEX(Paramètres!$C$6:$C$12,$AF248)</f>
        <v>1.2</v>
      </c>
      <c r="AH248" s="23" t="n">
        <f aca="false" t="array" ref="AH248:AH248">INDEX(Paramètres!$D$6:$D$12,$AF248)</f>
        <v>3</v>
      </c>
      <c r="AI248" s="23" t="n">
        <f aca="false" t="array" ref="AI248:AI248">INDEX(Matériaux!$C$16:$C$20,$D248)</f>
        <v>30</v>
      </c>
      <c r="AJ248" s="25" t="n">
        <f aca="false">Paramètres!$B$16+(1-Paramètres!$B$16)*(($J248-Paramètres!$B$14)/(Paramètres!$B$15-Paramètres!$B$14))^Paramètres!$B$17</f>
        <v>0.665999387952727</v>
      </c>
    </row>
    <row r="249" customFormat="false" ht="15.75" hidden="false" customHeight="true" outlineLevel="0" collapsed="false">
      <c r="A249" s="14" t="s">
        <v>363</v>
      </c>
      <c r="B249" s="15" t="s">
        <v>27</v>
      </c>
      <c r="C249" s="15" t="s">
        <v>337</v>
      </c>
      <c r="D249" s="16" t="n">
        <v>5</v>
      </c>
      <c r="E249" s="15" t="str">
        <f aca="false" t="array" ref="E249:E249">INDEX(Matériaux!$B$5:$F$12,MATCH(INDEX(Profils!$E$5:$E$34,$AE249),Matériaux!$A$5:$A$12,0),$D249)</f>
        <v>adamantite</v>
      </c>
      <c r="F249" s="27" t="s">
        <v>113</v>
      </c>
      <c r="G249" s="10" t="str">
        <f aca="false" t="array" ref="G249:G249">INDEX(Profils!$D$5:$D$34,$AE249)&amp;" en "&amp;$E249</f>
        <v>Ceinturon en adamantite</v>
      </c>
      <c r="H249" s="16" t="n">
        <f aca="false" t="array" ref="H249:H249">INDEX(Matériaux!$B$16:$B$20,$D249)</f>
        <v>70</v>
      </c>
      <c r="I249" s="16" t="n">
        <f aca="false">IF(ISNUMBER($C$3),MIN(MAX(0,ROUND($C$3,0)),$AI249),$AI249)</f>
        <v>0</v>
      </c>
      <c r="J249" s="18" t="n">
        <f aca="false">$H249+$I249</f>
        <v>70</v>
      </c>
      <c r="K249" s="15" t="s">
        <v>109</v>
      </c>
      <c r="L249" s="19" t="n">
        <f aca="false" t="array" ref="L249:L249">IF(AND(INDEX(Profils!$F$5:$F$34,$AE249)&gt;0,INDEX(Profils!$U$5:$U$34,$AE249)&lt;=$AH249),ROUND(INDEX(Profils!$F$5:$F$34,$AE249)*Paramètres!$E$22*$AG249*$AJ249,Paramètres!$F$22),0)</f>
        <v>29</v>
      </c>
      <c r="M249" s="19" t="n">
        <f aca="false" t="array" ref="M249:M249">IF(AND(INDEX(Profils!$G$5:$G$34,$AE249)&gt;0,INDEX(Profils!$V$5:$V$34,$AE249)&lt;=$AH249),ROUND(INDEX(Profils!$G$5:$G$34,$AE249)*Paramètres!$E$23*$AG249*$AJ249,Paramètres!$F$23),0)</f>
        <v>14</v>
      </c>
      <c r="N249" s="19" t="n">
        <f aca="false" t="array" ref="N249:N249">IF(AND(INDEX(Profils!$H$5:$H$34,$AE249)&gt;0,INDEX(Profils!$W$5:$W$34,$AE249)&lt;=$AH249),ROUND(INDEX(Profils!$H$5:$H$34,$AE249)*Paramètres!$E$24*$AG249*$AJ249,Paramètres!$F$24),0)</f>
        <v>13</v>
      </c>
      <c r="O249" s="19" t="n">
        <f aca="false" t="array" ref="O249:O249">IF(AND(INDEX(Profils!$I$5:$I$34,$AE249)&gt;0,INDEX(Profils!$X$5:$X$34,$AE249)&lt;=$AH249),ROUND(INDEX(Profils!$I$5:$I$34,$AE249)*Paramètres!$E$25*$AG249*$AJ249,Paramètres!$F$25),0)</f>
        <v>0</v>
      </c>
      <c r="P249" s="19" t="n">
        <f aca="false" t="array" ref="P249:P249">IF(AND(INDEX(Profils!$J$5:$J$34,$AE249)&gt;0,INDEX(Profils!$Y$5:$Y$34,$AE249)&lt;=$AH249),ROUND(INDEX(Profils!$J$5:$J$34,$AE249)*Paramètres!$E$26*$AG249*$AJ249,Paramètres!$F$26),0)</f>
        <v>0</v>
      </c>
      <c r="Q249" s="19" t="n">
        <f aca="false" t="array" ref="Q249:Q249">IF(AND(INDEX(Profils!$K$5:$K$34,$AE249)&gt;0,INDEX(Profils!$Z$5:$Z$34,$AE249)&lt;=$AH249),ROUND(INDEX(Profils!$K$5:$K$34,$AE249)*Paramètres!$E$27*$AG249*$AJ249,Paramètres!$F$27),0)</f>
        <v>0</v>
      </c>
      <c r="R249" s="20" t="n">
        <f aca="false" t="array" ref="R249:R249">IF(AND(INDEX(Profils!$L$5:$L$34,$AE249)&gt;0,INDEX(Profils!$AA$5:$AA$34,$AE249)&lt;=$AH249),ROUND(INDEX(Profils!$L$5:$L$34,$AE249)*Paramètres!$E$28*$AG249*$AJ249,Paramètres!$F$28),0)</f>
        <v>0</v>
      </c>
      <c r="S249" s="20" t="n">
        <f aca="false" t="array" ref="S249:S249">IF(AND(INDEX(Profils!$M$5:$M$34,$AE249)&gt;0,INDEX(Profils!$AB$5:$AB$34,$AE249)&lt;=$AH249),ROUND(INDEX(Profils!$M$5:$M$34,$AE249)*Paramètres!$E$29*$AG249*$AJ249,Paramètres!$F$29),0)</f>
        <v>0</v>
      </c>
      <c r="T249" s="20" t="n">
        <f aca="false" t="array" ref="T249:T249">IF(AND(INDEX(Profils!$N$5:$N$34,$AE249)&gt;0,INDEX(Profils!$AC$5:$AC$34,$AE249)&lt;=$AH249),ROUND(INDEX(Profils!$N$5:$N$34,$AE249)*Paramètres!$E$30*$AG249*$AJ249,Paramètres!$F$30),0)</f>
        <v>0</v>
      </c>
      <c r="U249" s="19" t="n">
        <f aca="false" t="array" ref="U249:U249">IF(AND(INDEX(Profils!$O$5:$O$34,$AE249)&gt;0,INDEX(Profils!$AD$5:$AD$34,$AE249)&lt;=$AH249),ROUND(INDEX(Profils!$O$5:$O$34,$AE249)*Paramètres!$E$31*$AG249*$AJ249,Paramètres!$F$31),0)</f>
        <v>15</v>
      </c>
      <c r="V249" s="20" t="n">
        <f aca="false" t="array" ref="V249:V249">IF(AND(INDEX(Profils!$P$5:$P$34,$AE249)&gt;0,INDEX(Profils!$AE$5:$AE$34,$AE249)&lt;=$AH249),ROUND(INDEX(Profils!$P$5:$P$34,$AE249)*Paramètres!$E$32*$AG249*$AJ249,Paramètres!$F$32),0)</f>
        <v>0</v>
      </c>
      <c r="W249" s="20" t="n">
        <f aca="false" t="array" ref="W249:W249">IF(AND(INDEX(Profils!$Q$5:$Q$34,$AE249)&gt;0,INDEX(Profils!$AF$5:$AF$34,$AE249)&lt;=$AH249),ROUND(INDEX(Profils!$Q$5:$Q$34,$AE249)*Paramètres!$E$33*$AG249*$AJ249,Paramètres!$F$33),0)</f>
        <v>0</v>
      </c>
      <c r="X249" s="20" t="n">
        <f aca="false" t="array" ref="X249:X249">IF(AND(INDEX(Profils!$R$5:$R$34,$AE249)&gt;0,INDEX(Profils!$AG$5:$AG$34,$AE249)&lt;=$AH249),ROUND(INDEX(Profils!$R$5:$R$34,$AE249)*Paramètres!$E$34*$AG249*$AJ249,Paramètres!$F$34),0)</f>
        <v>0</v>
      </c>
      <c r="Y249" s="20" t="n">
        <f aca="false" t="array" ref="Y249:Y249">IF(AND(INDEX(Profils!$S$5:$S$34,$AE249)&gt;0,INDEX(Profils!$AH$5:$AH$34,$AE249)&lt;=$AH249),ROUND(INDEX(Profils!$S$5:$S$34,$AE249)*Paramètres!$E$35*$AG249*$AJ249,Paramètres!$F$35),0)</f>
        <v>0</v>
      </c>
      <c r="Z249" s="21" t="n">
        <f aca="false">ROUND(L249/Paramètres!$E$22+M249/Paramètres!$E$23+N249/Paramètres!$E$24+O249/Paramètres!$E$25+P249/Paramètres!$E$26+Q249/Paramètres!$E$27+R249/Paramètres!$E$28+S249/Paramètres!$E$29+T249/Paramètres!$E$30+U249/Paramètres!$E$31+V249/Paramètres!$E$32+W249/Paramètres!$E$33+X249/Paramètres!$E$34+Y249/Paramètres!$E$35,1)</f>
        <v>3.7</v>
      </c>
      <c r="AA249" s="22" t="s">
        <v>109</v>
      </c>
      <c r="AB249" s="22" t="s">
        <v>109</v>
      </c>
      <c r="AC249" s="15" t="str">
        <f aca="false">$E249</f>
        <v>adamantite</v>
      </c>
      <c r="AD249" s="16" t="n">
        <f aca="false" t="array" ref="AD249:AD249">IF($I249&gt;=$AI249,"Max",ROUND(Paramètres!$B$40*($I249+1)^Paramètres!$B$41*INDEX(Paramètres!$H$6:$H$12,$AF249),0))</f>
        <v>4</v>
      </c>
      <c r="AE249" s="23" t="n">
        <f aca="false">MATCH($B249&amp;"|"&amp;$C249,Profils!$A$5:$A$34,0)</f>
        <v>8</v>
      </c>
      <c r="AF249" s="23" t="n">
        <v>3</v>
      </c>
      <c r="AG249" s="24" t="n">
        <f aca="false" t="array" ref="AG249:AG249">INDEX(Paramètres!$C$6:$C$12,$AF249)</f>
        <v>1.45</v>
      </c>
      <c r="AH249" s="23" t="n">
        <f aca="false" t="array" ref="AH249:AH249">INDEX(Paramètres!$D$6:$D$12,$AF249)</f>
        <v>4</v>
      </c>
      <c r="AI249" s="23" t="n">
        <f aca="false" t="array" ref="AI249:AI249">INDEX(Matériaux!$C$16:$C$20,$D249)</f>
        <v>30</v>
      </c>
      <c r="AJ249" s="25" t="n">
        <f aca="false">Paramètres!$B$16+(1-Paramètres!$B$16)*(($J249-Paramètres!$B$14)/(Paramètres!$B$15-Paramètres!$B$14))^Paramètres!$B$17</f>
        <v>0.665999387952727</v>
      </c>
    </row>
    <row r="250" customFormat="false" ht="15.75" hidden="false" customHeight="true" outlineLevel="0" collapsed="false">
      <c r="A250" s="14" t="s">
        <v>364</v>
      </c>
      <c r="B250" s="15" t="s">
        <v>27</v>
      </c>
      <c r="C250" s="15" t="s">
        <v>337</v>
      </c>
      <c r="D250" s="16" t="n">
        <v>5</v>
      </c>
      <c r="E250" s="15" t="str">
        <f aca="false" t="array" ref="E250:E250">INDEX(Matériaux!$B$5:$F$12,MATCH(INDEX(Profils!$E$5:$E$34,$AE250),Matériaux!$A$5:$A$12,0),$D250)</f>
        <v>adamantite</v>
      </c>
      <c r="F250" s="28" t="s">
        <v>115</v>
      </c>
      <c r="G250" s="10" t="str">
        <f aca="false" t="array" ref="G250:G250">INDEX(Profils!$D$5:$D$34,$AE250)&amp;" en "&amp;$E250</f>
        <v>Ceinturon en adamantite</v>
      </c>
      <c r="H250" s="16" t="n">
        <f aca="false" t="array" ref="H250:H250">INDEX(Matériaux!$B$16:$B$20,$D250)</f>
        <v>70</v>
      </c>
      <c r="I250" s="16" t="n">
        <f aca="false">IF(ISNUMBER($C$3),MIN(MAX(0,ROUND($C$3,0)),$AI250),$AI250)</f>
        <v>0</v>
      </c>
      <c r="J250" s="18" t="n">
        <f aca="false">$H250+$I250</f>
        <v>70</v>
      </c>
      <c r="K250" s="15" t="s">
        <v>109</v>
      </c>
      <c r="L250" s="19" t="n">
        <f aca="false" t="array" ref="L250:L250">IF(AND(INDEX(Profils!$F$5:$F$34,$AE250)&gt;0,INDEX(Profils!$U$5:$U$34,$AE250)&lt;=$AH250),ROUND(INDEX(Profils!$F$5:$F$34,$AE250)*Paramètres!$E$22*$AG250*$AJ250,Paramètres!$F$22),0)</f>
        <v>35</v>
      </c>
      <c r="M250" s="19" t="n">
        <f aca="false" t="array" ref="M250:M250">IF(AND(INDEX(Profils!$G$5:$G$34,$AE250)&gt;0,INDEX(Profils!$V$5:$V$34,$AE250)&lt;=$AH250),ROUND(INDEX(Profils!$G$5:$G$34,$AE250)*Paramètres!$E$23*$AG250*$AJ250,Paramètres!$F$23),0)</f>
        <v>17</v>
      </c>
      <c r="N250" s="19" t="n">
        <f aca="false" t="array" ref="N250:N250">IF(AND(INDEX(Profils!$H$5:$H$34,$AE250)&gt;0,INDEX(Profils!$W$5:$W$34,$AE250)&lt;=$AH250),ROUND(INDEX(Profils!$H$5:$H$34,$AE250)*Paramètres!$E$24*$AG250*$AJ250,Paramètres!$F$24),0)</f>
        <v>16</v>
      </c>
      <c r="O250" s="19" t="n">
        <f aca="false" t="array" ref="O250:O250">IF(AND(INDEX(Profils!$I$5:$I$34,$AE250)&gt;0,INDEX(Profils!$X$5:$X$34,$AE250)&lt;=$AH250),ROUND(INDEX(Profils!$I$5:$I$34,$AE250)*Paramètres!$E$25*$AG250*$AJ250,Paramètres!$F$25),0)</f>
        <v>0</v>
      </c>
      <c r="P250" s="19" t="n">
        <f aca="false" t="array" ref="P250:P250">IF(AND(INDEX(Profils!$J$5:$J$34,$AE250)&gt;0,INDEX(Profils!$Y$5:$Y$34,$AE250)&lt;=$AH250),ROUND(INDEX(Profils!$J$5:$J$34,$AE250)*Paramètres!$E$26*$AG250*$AJ250,Paramètres!$F$26),0)</f>
        <v>0</v>
      </c>
      <c r="Q250" s="19" t="n">
        <f aca="false" t="array" ref="Q250:Q250">IF(AND(INDEX(Profils!$K$5:$K$34,$AE250)&gt;0,INDEX(Profils!$Z$5:$Z$34,$AE250)&lt;=$AH250),ROUND(INDEX(Profils!$K$5:$K$34,$AE250)*Paramètres!$E$27*$AG250*$AJ250,Paramètres!$F$27),0)</f>
        <v>0</v>
      </c>
      <c r="R250" s="20" t="n">
        <f aca="false" t="array" ref="R250:R250">IF(AND(INDEX(Profils!$L$5:$L$34,$AE250)&gt;0,INDEX(Profils!$AA$5:$AA$34,$AE250)&lt;=$AH250),ROUND(INDEX(Profils!$L$5:$L$34,$AE250)*Paramètres!$E$28*$AG250*$AJ250,Paramètres!$F$28),0)</f>
        <v>0</v>
      </c>
      <c r="S250" s="20" t="n">
        <f aca="false" t="array" ref="S250:S250">IF(AND(INDEX(Profils!$M$5:$M$34,$AE250)&gt;0,INDEX(Profils!$AB$5:$AB$34,$AE250)&lt;=$AH250),ROUND(INDEX(Profils!$M$5:$M$34,$AE250)*Paramètres!$E$29*$AG250*$AJ250,Paramètres!$F$29),0)</f>
        <v>0</v>
      </c>
      <c r="T250" s="20" t="n">
        <f aca="false" t="array" ref="T250:T250">IF(AND(INDEX(Profils!$N$5:$N$34,$AE250)&gt;0,INDEX(Profils!$AC$5:$AC$34,$AE250)&lt;=$AH250),ROUND(INDEX(Profils!$N$5:$N$34,$AE250)*Paramètres!$E$30*$AG250*$AJ250,Paramètres!$F$30),0)</f>
        <v>0</v>
      </c>
      <c r="U250" s="19" t="n">
        <f aca="false" t="array" ref="U250:U250">IF(AND(INDEX(Profils!$O$5:$O$34,$AE250)&gt;0,INDEX(Profils!$AD$5:$AD$34,$AE250)&lt;=$AH250),ROUND(INDEX(Profils!$O$5:$O$34,$AE250)*Paramètres!$E$31*$AG250*$AJ250,Paramètres!$F$31),0)</f>
        <v>19</v>
      </c>
      <c r="V250" s="20" t="n">
        <f aca="false" t="array" ref="V250:V250">IF(AND(INDEX(Profils!$P$5:$P$34,$AE250)&gt;0,INDEX(Profils!$AE$5:$AE$34,$AE250)&lt;=$AH250),ROUND(INDEX(Profils!$P$5:$P$34,$AE250)*Paramètres!$E$32*$AG250*$AJ250,Paramètres!$F$32),0)</f>
        <v>0.01</v>
      </c>
      <c r="W250" s="20" t="n">
        <f aca="false" t="array" ref="W250:W250">IF(AND(INDEX(Profils!$Q$5:$Q$34,$AE250)&gt;0,INDEX(Profils!$AF$5:$AF$34,$AE250)&lt;=$AH250),ROUND(INDEX(Profils!$Q$5:$Q$34,$AE250)*Paramètres!$E$33*$AG250*$AJ250,Paramètres!$F$33),0)</f>
        <v>0</v>
      </c>
      <c r="X250" s="20" t="n">
        <f aca="false" t="array" ref="X250:X250">IF(AND(INDEX(Profils!$R$5:$R$34,$AE250)&gt;0,INDEX(Profils!$AG$5:$AG$34,$AE250)&lt;=$AH250),ROUND(INDEX(Profils!$R$5:$R$34,$AE250)*Paramètres!$E$34*$AG250*$AJ250,Paramètres!$F$34),0)</f>
        <v>0</v>
      </c>
      <c r="Y250" s="20" t="n">
        <f aca="false" t="array" ref="Y250:Y250">IF(AND(INDEX(Profils!$S$5:$S$34,$AE250)&gt;0,INDEX(Profils!$AH$5:$AH$34,$AE250)&lt;=$AH250),ROUND(INDEX(Profils!$S$5:$S$34,$AE250)*Paramètres!$E$35*$AG250*$AJ250,Paramètres!$F$35),0)</f>
        <v>0</v>
      </c>
      <c r="Z250" s="21" t="n">
        <f aca="false">ROUND(L250/Paramètres!$E$22+M250/Paramètres!$E$23+N250/Paramètres!$E$24+O250/Paramètres!$E$25+P250/Paramètres!$E$26+Q250/Paramètres!$E$27+R250/Paramètres!$E$28+S250/Paramètres!$E$29+T250/Paramètres!$E$30+U250/Paramètres!$E$31+V250/Paramètres!$E$32+W250/Paramètres!$E$33+X250/Paramètres!$E$34+Y250/Paramètres!$E$35,1)</f>
        <v>5.2</v>
      </c>
      <c r="AA250" s="22" t="s">
        <v>109</v>
      </c>
      <c r="AB250" s="22" t="s">
        <v>109</v>
      </c>
      <c r="AC250" s="15" t="str">
        <f aca="false">$E250</f>
        <v>adamantite</v>
      </c>
      <c r="AD250" s="16" t="n">
        <f aca="false" t="array" ref="AD250:AD250">IF($I250&gt;=$AI250,"Max",ROUND(Paramètres!$B$40*($I250+1)^Paramètres!$B$41*INDEX(Paramètres!$H$6:$H$12,$AF250),0))</f>
        <v>5</v>
      </c>
      <c r="AE250" s="23" t="n">
        <f aca="false">MATCH($B250&amp;"|"&amp;$C250,Profils!$A$5:$A$34,0)</f>
        <v>8</v>
      </c>
      <c r="AF250" s="23" t="n">
        <v>4</v>
      </c>
      <c r="AG250" s="24" t="n">
        <f aca="false" t="array" ref="AG250:AG250">INDEX(Paramètres!$C$6:$C$12,$AF250)</f>
        <v>1.75</v>
      </c>
      <c r="AH250" s="23" t="n">
        <f aca="false" t="array" ref="AH250:AH250">INDEX(Paramètres!$D$6:$D$12,$AF250)</f>
        <v>5</v>
      </c>
      <c r="AI250" s="23" t="n">
        <f aca="false" t="array" ref="AI250:AI250">INDEX(Matériaux!$C$16:$C$20,$D250)</f>
        <v>30</v>
      </c>
      <c r="AJ250" s="25" t="n">
        <f aca="false">Paramètres!$B$16+(1-Paramètres!$B$16)*(($J250-Paramètres!$B$14)/(Paramètres!$B$15-Paramètres!$B$14))^Paramètres!$B$17</f>
        <v>0.665999387952727</v>
      </c>
    </row>
    <row r="251" customFormat="false" ht="15.75" hidden="false" customHeight="true" outlineLevel="0" collapsed="false">
      <c r="A251" s="14" t="s">
        <v>365</v>
      </c>
      <c r="B251" s="15" t="s">
        <v>27</v>
      </c>
      <c r="C251" s="15" t="s">
        <v>337</v>
      </c>
      <c r="D251" s="16" t="n">
        <v>5</v>
      </c>
      <c r="E251" s="15" t="str">
        <f aca="false" t="array" ref="E251:E251">INDEX(Matériaux!$B$5:$F$12,MATCH(INDEX(Profils!$E$5:$E$34,$AE251),Matériaux!$A$5:$A$12,0),$D251)</f>
        <v>adamantite</v>
      </c>
      <c r="F251" s="29" t="s">
        <v>117</v>
      </c>
      <c r="G251" s="10" t="str">
        <f aca="false" t="array" ref="G251:G251">INDEX(Profils!$D$5:$D$34,$AE251)&amp;" en "&amp;$E251</f>
        <v>Ceinturon en adamantite</v>
      </c>
      <c r="H251" s="16" t="n">
        <f aca="false" t="array" ref="H251:H251">INDEX(Matériaux!$B$16:$B$20,$D251)</f>
        <v>70</v>
      </c>
      <c r="I251" s="16" t="n">
        <f aca="false">IF(ISNUMBER($C$3),MIN(MAX(0,ROUND($C$3,0)),$AI251),$AI251)</f>
        <v>0</v>
      </c>
      <c r="J251" s="18" t="n">
        <f aca="false">$H251+$I251</f>
        <v>70</v>
      </c>
      <c r="K251" s="15" t="s">
        <v>109</v>
      </c>
      <c r="L251" s="19" t="n">
        <f aca="false" t="array" ref="L251:L251">IF(AND(INDEX(Profils!$F$5:$F$34,$AE251)&gt;0,INDEX(Profils!$U$5:$U$34,$AE251)&lt;=$AH251),ROUND(INDEX(Profils!$F$5:$F$34,$AE251)*Paramètres!$E$22*$AG251*$AJ251,Paramètres!$F$22),0)</f>
        <v>42</v>
      </c>
      <c r="M251" s="19" t="n">
        <f aca="false" t="array" ref="M251:M251">IF(AND(INDEX(Profils!$G$5:$G$34,$AE251)&gt;0,INDEX(Profils!$V$5:$V$34,$AE251)&lt;=$AH251),ROUND(INDEX(Profils!$G$5:$G$34,$AE251)*Paramètres!$E$23*$AG251*$AJ251,Paramètres!$F$23),0)</f>
        <v>21</v>
      </c>
      <c r="N251" s="19" t="n">
        <f aca="false" t="array" ref="N251:N251">IF(AND(INDEX(Profils!$H$5:$H$34,$AE251)&gt;0,INDEX(Profils!$W$5:$W$34,$AE251)&lt;=$AH251),ROUND(INDEX(Profils!$H$5:$H$34,$AE251)*Paramètres!$E$24*$AG251*$AJ251,Paramètres!$F$24),0)</f>
        <v>19</v>
      </c>
      <c r="O251" s="19" t="n">
        <f aca="false" t="array" ref="O251:O251">IF(AND(INDEX(Profils!$I$5:$I$34,$AE251)&gt;0,INDEX(Profils!$X$5:$X$34,$AE251)&lt;=$AH251),ROUND(INDEX(Profils!$I$5:$I$34,$AE251)*Paramètres!$E$25*$AG251*$AJ251,Paramètres!$F$25),0)</f>
        <v>0</v>
      </c>
      <c r="P251" s="19" t="n">
        <f aca="false" t="array" ref="P251:P251">IF(AND(INDEX(Profils!$J$5:$J$34,$AE251)&gt;0,INDEX(Profils!$Y$5:$Y$34,$AE251)&lt;=$AH251),ROUND(INDEX(Profils!$J$5:$J$34,$AE251)*Paramètres!$E$26*$AG251*$AJ251,Paramètres!$F$26),0)</f>
        <v>0</v>
      </c>
      <c r="Q251" s="19" t="n">
        <f aca="false" t="array" ref="Q251:Q251">IF(AND(INDEX(Profils!$K$5:$K$34,$AE251)&gt;0,INDEX(Profils!$Z$5:$Z$34,$AE251)&lt;=$AH251),ROUND(INDEX(Profils!$K$5:$K$34,$AE251)*Paramètres!$E$27*$AG251*$AJ251,Paramètres!$F$27),0)</f>
        <v>0</v>
      </c>
      <c r="R251" s="20" t="n">
        <f aca="false" t="array" ref="R251:R251">IF(AND(INDEX(Profils!$L$5:$L$34,$AE251)&gt;0,INDEX(Profils!$AA$5:$AA$34,$AE251)&lt;=$AH251),ROUND(INDEX(Profils!$L$5:$L$34,$AE251)*Paramètres!$E$28*$AG251*$AJ251,Paramètres!$F$28),0)</f>
        <v>0</v>
      </c>
      <c r="S251" s="20" t="n">
        <f aca="false" t="array" ref="S251:S251">IF(AND(INDEX(Profils!$M$5:$M$34,$AE251)&gt;0,INDEX(Profils!$AB$5:$AB$34,$AE251)&lt;=$AH251),ROUND(INDEX(Profils!$M$5:$M$34,$AE251)*Paramètres!$E$29*$AG251*$AJ251,Paramètres!$F$29),0)</f>
        <v>0</v>
      </c>
      <c r="T251" s="20" t="n">
        <f aca="false" t="array" ref="T251:T251">IF(AND(INDEX(Profils!$N$5:$N$34,$AE251)&gt;0,INDEX(Profils!$AC$5:$AC$34,$AE251)&lt;=$AH251),ROUND(INDEX(Profils!$N$5:$N$34,$AE251)*Paramètres!$E$30*$AG251*$AJ251,Paramètres!$F$30),0)</f>
        <v>0</v>
      </c>
      <c r="U251" s="19" t="n">
        <f aca="false" t="array" ref="U251:U251">IF(AND(INDEX(Profils!$O$5:$O$34,$AE251)&gt;0,INDEX(Profils!$AD$5:$AD$34,$AE251)&lt;=$AH251),ROUND(INDEX(Profils!$O$5:$O$34,$AE251)*Paramètres!$E$31*$AG251*$AJ251,Paramètres!$F$31),0)</f>
        <v>22</v>
      </c>
      <c r="V251" s="20" t="n">
        <f aca="false" t="array" ref="V251:V251">IF(AND(INDEX(Profils!$P$5:$P$34,$AE251)&gt;0,INDEX(Profils!$AE$5:$AE$34,$AE251)&lt;=$AH251),ROUND(INDEX(Profils!$P$5:$P$34,$AE251)*Paramètres!$E$32*$AG251*$AJ251,Paramètres!$F$32),0)</f>
        <v>0.013</v>
      </c>
      <c r="W251" s="20" t="n">
        <f aca="false" t="array" ref="W251:W251">IF(AND(INDEX(Profils!$Q$5:$Q$34,$AE251)&gt;0,INDEX(Profils!$AF$5:$AF$34,$AE251)&lt;=$AH251),ROUND(INDEX(Profils!$Q$5:$Q$34,$AE251)*Paramètres!$E$33*$AG251*$AJ251,Paramètres!$F$33),0)</f>
        <v>0</v>
      </c>
      <c r="X251" s="20" t="n">
        <f aca="false" t="array" ref="X251:X251">IF(AND(INDEX(Profils!$R$5:$R$34,$AE251)&gt;0,INDEX(Profils!$AG$5:$AG$34,$AE251)&lt;=$AH251),ROUND(INDEX(Profils!$R$5:$R$34,$AE251)*Paramètres!$E$34*$AG251*$AJ251,Paramètres!$F$34),0)</f>
        <v>0</v>
      </c>
      <c r="Y251" s="20" t="n">
        <f aca="false" t="array" ref="Y251:Y251">IF(AND(INDEX(Profils!$S$5:$S$34,$AE251)&gt;0,INDEX(Profils!$AH$5:$AH$34,$AE251)&lt;=$AH251),ROUND(INDEX(Profils!$S$5:$S$34,$AE251)*Paramètres!$E$35*$AG251*$AJ251,Paramètres!$F$35),0)</f>
        <v>0.013</v>
      </c>
      <c r="Z251" s="21" t="n">
        <f aca="false">ROUND(L251/Paramètres!$E$22+M251/Paramètres!$E$23+N251/Paramètres!$E$24+O251/Paramètres!$E$25+P251/Paramètres!$E$26+Q251/Paramètres!$E$27+R251/Paramètres!$E$28+S251/Paramètres!$E$29+T251/Paramètres!$E$30+U251/Paramètres!$E$31+V251/Paramètres!$E$32+W251/Paramètres!$E$33+X251/Paramètres!$E$34+Y251/Paramètres!$E$35,1)</f>
        <v>7.2</v>
      </c>
      <c r="AA251" s="22" t="s">
        <v>109</v>
      </c>
      <c r="AB251" s="22" t="s">
        <v>109</v>
      </c>
      <c r="AC251" s="15" t="str">
        <f aca="false">$E251</f>
        <v>adamantite</v>
      </c>
      <c r="AD251" s="16" t="n">
        <f aca="false" t="array" ref="AD251:AD251">IF($I251&gt;=$AI251,"Max",ROUND(Paramètres!$B$40*($I251+1)^Paramètres!$B$41*INDEX(Paramètres!$H$6:$H$12,$AF251),0))</f>
        <v>6</v>
      </c>
      <c r="AE251" s="23" t="n">
        <f aca="false">MATCH($B251&amp;"|"&amp;$C251,Profils!$A$5:$A$34,0)</f>
        <v>8</v>
      </c>
      <c r="AF251" s="23" t="n">
        <v>5</v>
      </c>
      <c r="AG251" s="24" t="n">
        <f aca="false" t="array" ref="AG251:AG251">INDEX(Paramètres!$C$6:$C$12,$AF251)</f>
        <v>2.1</v>
      </c>
      <c r="AH251" s="23" t="n">
        <f aca="false" t="array" ref="AH251:AH251">INDEX(Paramètres!$D$6:$D$12,$AF251)</f>
        <v>6</v>
      </c>
      <c r="AI251" s="23" t="n">
        <f aca="false" t="array" ref="AI251:AI251">INDEX(Matériaux!$C$16:$C$20,$D251)</f>
        <v>30</v>
      </c>
      <c r="AJ251" s="25" t="n">
        <f aca="false">Paramètres!$B$16+(1-Paramètres!$B$16)*(($J251-Paramètres!$B$14)/(Paramètres!$B$15-Paramètres!$B$14))^Paramètres!$B$17</f>
        <v>0.665999387952727</v>
      </c>
    </row>
    <row r="252" customFormat="false" ht="15.75" hidden="false" customHeight="true" outlineLevel="0" collapsed="false">
      <c r="A252" s="14" t="s">
        <v>366</v>
      </c>
      <c r="B252" s="15" t="s">
        <v>27</v>
      </c>
      <c r="C252" s="15" t="s">
        <v>337</v>
      </c>
      <c r="D252" s="16" t="n">
        <v>5</v>
      </c>
      <c r="E252" s="15" t="str">
        <f aca="false" t="array" ref="E252:E252">INDEX(Matériaux!$B$5:$F$12,MATCH(INDEX(Profils!$E$5:$E$34,$AE252),Matériaux!$A$5:$A$12,0),$D252)</f>
        <v>adamantite</v>
      </c>
      <c r="F252" s="30" t="s">
        <v>119</v>
      </c>
      <c r="G252" s="10" t="str">
        <f aca="false" t="array" ref="G252:G252">INDEX(Profils!$D$5:$D$34,$AE252)&amp;" en "&amp;$E252</f>
        <v>Ceinturon en adamantite</v>
      </c>
      <c r="H252" s="16" t="n">
        <f aca="false" t="array" ref="H252:H252">INDEX(Matériaux!$B$16:$B$20,$D252)</f>
        <v>70</v>
      </c>
      <c r="I252" s="16" t="n">
        <f aca="false">IF(ISNUMBER($C$3),MIN(MAX(0,ROUND($C$3,0)),$AI252),$AI252)</f>
        <v>0</v>
      </c>
      <c r="J252" s="18" t="n">
        <f aca="false">$H252+$I252</f>
        <v>70</v>
      </c>
      <c r="K252" s="15" t="s">
        <v>109</v>
      </c>
      <c r="L252" s="19" t="n">
        <f aca="false" t="array" ref="L252:L252">IF(AND(INDEX(Profils!$F$5:$F$34,$AE252)&gt;0,INDEX(Profils!$U$5:$U$34,$AE252)&lt;=$AH252),ROUND(INDEX(Profils!$F$5:$F$34,$AE252)*Paramètres!$E$22*$AG252*$AJ252,Paramètres!$F$22),0)</f>
        <v>48</v>
      </c>
      <c r="M252" s="19" t="n">
        <f aca="false" t="array" ref="M252:M252">IF(AND(INDEX(Profils!$G$5:$G$34,$AE252)&gt;0,INDEX(Profils!$V$5:$V$34,$AE252)&lt;=$AH252),ROUND(INDEX(Profils!$G$5:$G$34,$AE252)*Paramètres!$E$23*$AG252*$AJ252,Paramètres!$F$23),0)</f>
        <v>24</v>
      </c>
      <c r="N252" s="19" t="n">
        <f aca="false" t="array" ref="N252:N252">IF(AND(INDEX(Profils!$H$5:$H$34,$AE252)&gt;0,INDEX(Profils!$W$5:$W$34,$AE252)&lt;=$AH252),ROUND(INDEX(Profils!$H$5:$H$34,$AE252)*Paramètres!$E$24*$AG252*$AJ252,Paramètres!$F$24),0)</f>
        <v>22</v>
      </c>
      <c r="O252" s="19" t="n">
        <f aca="false" t="array" ref="O252:O252">IF(AND(INDEX(Profils!$I$5:$I$34,$AE252)&gt;0,INDEX(Profils!$X$5:$X$34,$AE252)&lt;=$AH252),ROUND(INDEX(Profils!$I$5:$I$34,$AE252)*Paramètres!$E$25*$AG252*$AJ252,Paramètres!$F$25),0)</f>
        <v>0</v>
      </c>
      <c r="P252" s="19" t="n">
        <f aca="false" t="array" ref="P252:P252">IF(AND(INDEX(Profils!$J$5:$J$34,$AE252)&gt;0,INDEX(Profils!$Y$5:$Y$34,$AE252)&lt;=$AH252),ROUND(INDEX(Profils!$J$5:$J$34,$AE252)*Paramètres!$E$26*$AG252*$AJ252,Paramètres!$F$26),0)</f>
        <v>0</v>
      </c>
      <c r="Q252" s="19" t="n">
        <f aca="false" t="array" ref="Q252:Q252">IF(AND(INDEX(Profils!$K$5:$K$34,$AE252)&gt;0,INDEX(Profils!$Z$5:$Z$34,$AE252)&lt;=$AH252),ROUND(INDEX(Profils!$K$5:$K$34,$AE252)*Paramètres!$E$27*$AG252*$AJ252,Paramètres!$F$27),0)</f>
        <v>8</v>
      </c>
      <c r="R252" s="20" t="n">
        <f aca="false" t="array" ref="R252:R252">IF(AND(INDEX(Profils!$L$5:$L$34,$AE252)&gt;0,INDEX(Profils!$AA$5:$AA$34,$AE252)&lt;=$AH252),ROUND(INDEX(Profils!$L$5:$L$34,$AE252)*Paramètres!$E$28*$AG252*$AJ252,Paramètres!$F$28),0)</f>
        <v>0</v>
      </c>
      <c r="S252" s="20" t="n">
        <f aca="false" t="array" ref="S252:S252">IF(AND(INDEX(Profils!$M$5:$M$34,$AE252)&gt;0,INDEX(Profils!$AB$5:$AB$34,$AE252)&lt;=$AH252),ROUND(INDEX(Profils!$M$5:$M$34,$AE252)*Paramètres!$E$29*$AG252*$AJ252,Paramètres!$F$29),0)</f>
        <v>0</v>
      </c>
      <c r="T252" s="20" t="n">
        <f aca="false" t="array" ref="T252:T252">IF(AND(INDEX(Profils!$N$5:$N$34,$AE252)&gt;0,INDEX(Profils!$AC$5:$AC$34,$AE252)&lt;=$AH252),ROUND(INDEX(Profils!$N$5:$N$34,$AE252)*Paramètres!$E$30*$AG252*$AJ252,Paramètres!$F$30),0)</f>
        <v>0</v>
      </c>
      <c r="U252" s="19" t="n">
        <f aca="false" t="array" ref="U252:U252">IF(AND(INDEX(Profils!$O$5:$O$34,$AE252)&gt;0,INDEX(Profils!$AD$5:$AD$34,$AE252)&lt;=$AH252),ROUND(INDEX(Profils!$O$5:$O$34,$AE252)*Paramètres!$E$31*$AG252*$AJ252,Paramètres!$F$31),0)</f>
        <v>26</v>
      </c>
      <c r="V252" s="20" t="n">
        <f aca="false" t="array" ref="V252:V252">IF(AND(INDEX(Profils!$P$5:$P$34,$AE252)&gt;0,INDEX(Profils!$AE$5:$AE$34,$AE252)&lt;=$AH252),ROUND(INDEX(Profils!$P$5:$P$34,$AE252)*Paramètres!$E$32*$AG252*$AJ252,Paramètres!$F$32),0)</f>
        <v>0.014</v>
      </c>
      <c r="W252" s="20" t="n">
        <f aca="false" t="array" ref="W252:W252">IF(AND(INDEX(Profils!$Q$5:$Q$34,$AE252)&gt;0,INDEX(Profils!$AF$5:$AF$34,$AE252)&lt;=$AH252),ROUND(INDEX(Profils!$Q$5:$Q$34,$AE252)*Paramètres!$E$33*$AG252*$AJ252,Paramètres!$F$33),0)</f>
        <v>0</v>
      </c>
      <c r="X252" s="20" t="n">
        <f aca="false" t="array" ref="X252:X252">IF(AND(INDEX(Profils!$R$5:$R$34,$AE252)&gt;0,INDEX(Profils!$AG$5:$AG$34,$AE252)&lt;=$AH252),ROUND(INDEX(Profils!$R$5:$R$34,$AE252)*Paramètres!$E$34*$AG252*$AJ252,Paramètres!$F$34),0)</f>
        <v>0</v>
      </c>
      <c r="Y252" s="20" t="n">
        <f aca="false" t="array" ref="Y252:Y252">IF(AND(INDEX(Profils!$S$5:$S$34,$AE252)&gt;0,INDEX(Profils!$AH$5:$AH$34,$AE252)&lt;=$AH252),ROUND(INDEX(Profils!$S$5:$S$34,$AE252)*Paramètres!$E$35*$AG252*$AJ252,Paramètres!$F$35),0)</f>
        <v>0.014</v>
      </c>
      <c r="Z252" s="21" t="n">
        <f aca="false">ROUND(L252/Paramètres!$E$22+M252/Paramètres!$E$23+N252/Paramètres!$E$24+O252/Paramètres!$E$25+P252/Paramètres!$E$26+Q252/Paramètres!$E$27+R252/Paramètres!$E$28+S252/Paramètres!$E$29+T252/Paramètres!$E$30+U252/Paramètres!$E$31+V252/Paramètres!$E$32+W252/Paramètres!$E$33+X252/Paramètres!$E$34+Y252/Paramètres!$E$35,1)</f>
        <v>9</v>
      </c>
      <c r="AA252" s="22" t="s">
        <v>109</v>
      </c>
      <c r="AB252" s="22" t="s">
        <v>109</v>
      </c>
      <c r="AC252" s="15" t="str">
        <f aca="false">$E252</f>
        <v>adamantite</v>
      </c>
      <c r="AD252" s="16" t="n">
        <f aca="false" t="array" ref="AD252:AD252">IF($I252&gt;=$AI252,"Max",ROUND(Paramètres!$B$40*($I252+1)^Paramètres!$B$41*INDEX(Paramètres!$H$6:$H$12,$AF252),0))</f>
        <v>8</v>
      </c>
      <c r="AE252" s="23" t="n">
        <f aca="false">MATCH($B252&amp;"|"&amp;$C252,Profils!$A$5:$A$34,0)</f>
        <v>8</v>
      </c>
      <c r="AF252" s="23" t="n">
        <v>6</v>
      </c>
      <c r="AG252" s="24" t="n">
        <f aca="false" t="array" ref="AG252:AG252">INDEX(Paramètres!$C$6:$C$12,$AF252)</f>
        <v>2.4</v>
      </c>
      <c r="AH252" s="23" t="n">
        <f aca="false" t="array" ref="AH252:AH252">INDEX(Paramètres!$D$6:$D$12,$AF252)</f>
        <v>7</v>
      </c>
      <c r="AI252" s="23" t="n">
        <f aca="false" t="array" ref="AI252:AI252">INDEX(Matériaux!$C$16:$C$20,$D252)</f>
        <v>30</v>
      </c>
      <c r="AJ252" s="25" t="n">
        <f aca="false">Paramètres!$B$16+(1-Paramètres!$B$16)*(($J252-Paramètres!$B$14)/(Paramètres!$B$15-Paramètres!$B$14))^Paramètres!$B$17</f>
        <v>0.665999387952727</v>
      </c>
    </row>
    <row r="253" customFormat="false" ht="15.75" hidden="false" customHeight="true" outlineLevel="0" collapsed="false">
      <c r="A253" s="14" t="s">
        <v>367</v>
      </c>
      <c r="B253" s="15" t="s">
        <v>27</v>
      </c>
      <c r="C253" s="15" t="s">
        <v>337</v>
      </c>
      <c r="D253" s="16" t="s">
        <v>109</v>
      </c>
      <c r="E253" s="15" t="s">
        <v>109</v>
      </c>
      <c r="F253" s="31" t="s">
        <v>38</v>
      </c>
      <c r="G253" s="10" t="str">
        <f aca="false" t="array" ref="G253:G253">INDEX(Uniques!$E$5:$E$34,MATCH($B253&amp;"|"&amp;$C253,Uniques!$A$5:$A$34,0))</f>
        <v>Ceinturon du Tonnerre Rugissant</v>
      </c>
      <c r="H253" s="16" t="n">
        <f aca="false" t="array" ref="H253:H253">INDEX(Uniques!$L$5:$L$34,MATCH($B253&amp;"|"&amp;$C253,Uniques!$A$5:$A$34,0))</f>
        <v>71</v>
      </c>
      <c r="I253" s="16" t="n">
        <f aca="false">IF(ISNUMBER($C$3),MIN(MAX(0,ROUND($C$3,0)),$AI253),$AI253)</f>
        <v>0</v>
      </c>
      <c r="J253" s="18" t="n">
        <f aca="false">$H253+$I253</f>
        <v>71</v>
      </c>
      <c r="K253" s="15" t="str">
        <f aca="false" t="array" ref="K253:K253">INDEX(Uniques!$F$5:$F$34,MATCH($B253&amp;"|"&amp;$C253,Uniques!$A$5:$A$34,0))</f>
        <v>Électricité</v>
      </c>
      <c r="L253" s="19" t="n">
        <f aca="false" t="array" ref="L253:L253">IF(AND(INDEX(Profils!$F$5:$F$34,$AE253)&gt;0,INDEX(Profils!$U$5:$U$34,$AE253)&lt;=$AH253),ROUND(INDEX(Profils!$F$5:$F$34,$AE253)*Paramètres!$E$22*$AG253*$AJ253,Paramètres!$F$22),0)</f>
        <v>51</v>
      </c>
      <c r="M253" s="19" t="n">
        <f aca="false" t="array" ref="M253:M253">IF(AND(INDEX(Profils!$G$5:$G$34,$AE253)&gt;0,INDEX(Profils!$V$5:$V$34,$AE253)&lt;=$AH253),ROUND(INDEX(Profils!$G$5:$G$34,$AE253)*Paramètres!$E$23*$AG253*$AJ253,Paramètres!$F$23),0)</f>
        <v>25</v>
      </c>
      <c r="N253" s="19" t="n">
        <f aca="false" t="array" ref="N253:N253">IF(AND(INDEX(Profils!$H$5:$H$34,$AE253)&gt;0,INDEX(Profils!$W$5:$W$34,$AE253)&lt;=$AH253),ROUND(INDEX(Profils!$H$5:$H$34,$AE253)*Paramètres!$E$24*$AG253*$AJ253,Paramètres!$F$24),0)</f>
        <v>23</v>
      </c>
      <c r="O253" s="19" t="n">
        <f aca="false" t="array" ref="O253:O253">IF(AND(INDEX(Profils!$I$5:$I$34,$AE253)&gt;0,INDEX(Profils!$X$5:$X$34,$AE253)&lt;=$AH253),ROUND(INDEX(Profils!$I$5:$I$34,$AE253)*Paramètres!$E$25*$AG253*$AJ253,Paramètres!$F$25),0)</f>
        <v>0</v>
      </c>
      <c r="P253" s="19" t="n">
        <f aca="false" t="array" ref="P253:P253">IF(AND(INDEX(Profils!$J$5:$J$34,$AE253)&gt;0,INDEX(Profils!$Y$5:$Y$34,$AE253)&lt;=$AH253),ROUND(INDEX(Profils!$J$5:$J$34,$AE253)*Paramètres!$E$26*$AG253*$AJ253,Paramètres!$F$26),0)</f>
        <v>0</v>
      </c>
      <c r="Q253" s="19" t="n">
        <f aca="false" t="array" ref="Q253:Q253">IF(AND(INDEX(Profils!$K$5:$K$34,$AE253)&gt;0,INDEX(Profils!$Z$5:$Z$34,$AE253)&lt;=$AH253),ROUND(INDEX(Profils!$K$5:$K$34,$AE253)*Paramètres!$E$27*$AG253*$AJ253,Paramètres!$F$27),0)</f>
        <v>8</v>
      </c>
      <c r="R253" s="20" t="n">
        <f aca="false" t="array" ref="R253:R253">IF(AND(INDEX(Profils!$L$5:$L$34,$AE253)&gt;0,INDEX(Profils!$AA$5:$AA$34,$AE253)&lt;=$AH253),ROUND(INDEX(Profils!$L$5:$L$34,$AE253)*Paramètres!$E$28*$AG253*$AJ253,Paramètres!$F$28),0)</f>
        <v>0</v>
      </c>
      <c r="S253" s="20" t="n">
        <f aca="false" t="array" ref="S253:S253">IF(AND(INDEX(Profils!$M$5:$M$34,$AE253)&gt;0,INDEX(Profils!$AB$5:$AB$34,$AE253)&lt;=$AH253),ROUND(INDEX(Profils!$M$5:$M$34,$AE253)*Paramètres!$E$29*$AG253*$AJ253,Paramètres!$F$29),0)</f>
        <v>0</v>
      </c>
      <c r="T253" s="20" t="n">
        <f aca="false" t="array" ref="T253:T253">IF(AND(INDEX(Profils!$N$5:$N$34,$AE253)&gt;0,INDEX(Profils!$AC$5:$AC$34,$AE253)&lt;=$AH253),ROUND(INDEX(Profils!$N$5:$N$34,$AE253)*Paramètres!$E$30*$AG253*$AJ253,Paramètres!$F$30),0)</f>
        <v>0</v>
      </c>
      <c r="U253" s="19" t="n">
        <f aca="false" t="array" ref="U253:U253">IF(AND(INDEX(Profils!$O$5:$O$34,$AE253)&gt;0,INDEX(Profils!$AD$5:$AD$34,$AE253)&lt;=$AH253),ROUND(INDEX(Profils!$O$5:$O$34,$AE253)*Paramètres!$E$31*$AG253*$AJ253,Paramètres!$F$31),0)</f>
        <v>27</v>
      </c>
      <c r="V253" s="20" t="n">
        <f aca="false" t="array" ref="V253:V253">IF(AND(INDEX(Profils!$P$5:$P$34,$AE253)&gt;0,INDEX(Profils!$AE$5:$AE$34,$AE253)&lt;=$AH253),ROUND(INDEX(Profils!$P$5:$P$34,$AE253)*Paramètres!$E$32*$AG253*$AJ253,Paramètres!$F$32),0)</f>
        <v>0.015</v>
      </c>
      <c r="W253" s="20" t="n">
        <f aca="false" t="array" ref="W253:W253">IF(AND(INDEX(Profils!$Q$5:$Q$34,$AE253)&gt;0,INDEX(Profils!$AF$5:$AF$34,$AE253)&lt;=$AH253),ROUND(INDEX(Profils!$Q$5:$Q$34,$AE253)*Paramètres!$E$33*$AG253*$AJ253,Paramètres!$F$33),0)</f>
        <v>0</v>
      </c>
      <c r="X253" s="20" t="n">
        <f aca="false" t="array" ref="X253:X253">IF(AND(INDEX(Profils!$R$5:$R$34,$AE253)&gt;0,INDEX(Profils!$AG$5:$AG$34,$AE253)&lt;=$AH253),ROUND(INDEX(Profils!$R$5:$R$34,$AE253)*Paramètres!$E$34*$AG253*$AJ253,Paramètres!$F$34),0)</f>
        <v>0</v>
      </c>
      <c r="Y253" s="20" t="n">
        <f aca="false" t="array" ref="Y253:Y253">IF(AND(INDEX(Profils!$S$5:$S$34,$AE253)&gt;0,INDEX(Profils!$AH$5:$AH$34,$AE253)&lt;=$AH253),ROUND(INDEX(Profils!$S$5:$S$34,$AE253)*Paramètres!$E$35*$AG253*$AJ253,Paramètres!$F$35),0)</f>
        <v>0.015</v>
      </c>
      <c r="Z253" s="21" t="n">
        <f aca="false">ROUND(L253/Paramètres!$E$22+M253/Paramètres!$E$23+N253/Paramètres!$E$24+O253/Paramètres!$E$25+P253/Paramètres!$E$26+Q253/Paramètres!$E$27+R253/Paramètres!$E$28+S253/Paramètres!$E$29+T253/Paramètres!$E$30+U253/Paramètres!$E$31+V253/Paramètres!$E$32+W253/Paramètres!$E$33+X253/Paramètres!$E$34+Y253/Paramètres!$E$35,1)</f>
        <v>9.4</v>
      </c>
      <c r="AA253" s="22" t="str">
        <f aca="false" t="array" ref="AA253:AA253">INDEX(Uniques!$G$5:$G$34,MATCH($B253&amp;"|"&amp;$C253,Uniques!$A$5:$A$34,0))</f>
        <v>Conduction</v>
      </c>
      <c r="AB253" s="22" t="str">
        <f aca="false" t="array" ref="AB253:AB253">INDEX(Uniques!$H$5:$H$34,MATCH($B253&amp;"|"&amp;$C253,Uniques!$A$5:$A$34,0))&amp;" ["&amp;INDEX(Uniques!$I$5:$I$34,MATCH($B253&amp;"|"&amp;$C253,Uniques!$A$5:$A$34,0))&amp;"]"</f>
        <v>Les compétences du porteur ont 15 % de chance de rebondir sur un second ennemi pour 50 % des dégâts. [1 rebond maximum par compétence.]</v>
      </c>
      <c r="AC253" s="15" t="str">
        <f aca="false" t="array" ref="AC253:AC253">INDEX(Matériaux!$B$5:$F$12,MATCH(INDEX(Profils!$E$5:$E$34,$AE253),Matériaux!$A$5:$A$12,0),MATCH(MIN($J253+1,100),Matériaux!$B$16:$B$20,1))</f>
        <v>adamantite</v>
      </c>
      <c r="AD253" s="16" t="n">
        <f aca="false" t="array" ref="AD253:AD253">IF($I253&gt;=$AI253,"Max",ROUND(Paramètres!$B$40*($I253+1)^Paramètres!$B$41*INDEX(Paramètres!$H$6:$H$12,$AF253),0))</f>
        <v>9</v>
      </c>
      <c r="AE253" s="23" t="n">
        <f aca="false">MATCH($B253&amp;"|"&amp;$C253,Profils!$A$5:$A$34,0)</f>
        <v>8</v>
      </c>
      <c r="AF253" s="23" t="n">
        <v>7</v>
      </c>
      <c r="AG253" s="24" t="n">
        <f aca="false" t="array" ref="AG253:AG253">INDEX(Paramètres!$C$6:$C$12,$AF253)</f>
        <v>2.5</v>
      </c>
      <c r="AH253" s="23" t="n">
        <f aca="false" t="array" ref="AH253:AH253">INDEX(Paramètres!$D$6:$D$12,$AF253)</f>
        <v>7</v>
      </c>
      <c r="AI253" s="23" t="n">
        <f aca="false" t="array" ref="AI253:AI253">INDEX(Uniques!$M$5:$M$34,MATCH($B253&amp;"|"&amp;$C253,Uniques!$A$5:$A$34,0))</f>
        <v>29</v>
      </c>
      <c r="AJ253" s="25" t="n">
        <f aca="false">Paramètres!$B$16+(1-Paramètres!$B$16)*(($J253-Paramètres!$B$14)/(Paramètres!$B$15-Paramètres!$B$14))^Paramètres!$B$17</f>
        <v>0.67672788730503</v>
      </c>
    </row>
    <row r="254" customFormat="false" ht="15.75" hidden="false" customHeight="true" outlineLevel="0" collapsed="false">
      <c r="A254" s="14" t="s">
        <v>368</v>
      </c>
      <c r="B254" s="15" t="s">
        <v>27</v>
      </c>
      <c r="C254" s="15" t="s">
        <v>369</v>
      </c>
      <c r="D254" s="16" t="n">
        <v>1</v>
      </c>
      <c r="E254" s="15" t="str">
        <f aca="false" t="array" ref="E254:E254">INDEX(Matériaux!$B$5:$F$12,MATCH(INDEX(Profils!$E$5:$E$34,$AE254),Matériaux!$A$5:$A$12,0),$D254)</f>
        <v>bois</v>
      </c>
      <c r="F254" s="17" t="s">
        <v>108</v>
      </c>
      <c r="G254" s="10" t="str">
        <f aca="false" t="array" ref="G254:G254">INDEX(Profils!$D$5:$D$34,$AE254)&amp;" en "&amp;$E254</f>
        <v>Épée en bois</v>
      </c>
      <c r="H254" s="16" t="n">
        <f aca="false" t="array" ref="H254:H254">INDEX(Matériaux!$B$16:$B$20,$D254)</f>
        <v>1</v>
      </c>
      <c r="I254" s="16" t="n">
        <f aca="false">IF(ISNUMBER($C$3),MIN(MAX(0,ROUND($C$3,0)),$AI254),$AI254)</f>
        <v>0</v>
      </c>
      <c r="J254" s="18" t="n">
        <f aca="false">$H254+$I254</f>
        <v>1</v>
      </c>
      <c r="K254" s="15" t="s">
        <v>109</v>
      </c>
      <c r="L254" s="19" t="n">
        <f aca="false" t="array" ref="L254:L254">IF(AND(INDEX(Profils!$F$5:$F$34,$AE254)&gt;0,INDEX(Profils!$U$5:$U$34,$AE254)&lt;=$AH254),ROUND(INDEX(Profils!$F$5:$F$34,$AE254)*Paramètres!$E$22*$AG254*$AJ254,Paramètres!$F$22),0)</f>
        <v>0</v>
      </c>
      <c r="M254" s="19" t="n">
        <f aca="false" t="array" ref="M254:M254">IF(AND(INDEX(Profils!$G$5:$G$34,$AE254)&gt;0,INDEX(Profils!$V$5:$V$34,$AE254)&lt;=$AH254),ROUND(INDEX(Profils!$G$5:$G$34,$AE254)*Paramètres!$E$23*$AG254*$AJ254,Paramètres!$F$23),0)</f>
        <v>2</v>
      </c>
      <c r="N254" s="19" t="n">
        <f aca="false" t="array" ref="N254:N254">IF(AND(INDEX(Profils!$H$5:$H$34,$AE254)&gt;0,INDEX(Profils!$W$5:$W$34,$AE254)&lt;=$AH254),ROUND(INDEX(Profils!$H$5:$H$34,$AE254)*Paramètres!$E$24*$AG254*$AJ254,Paramètres!$F$24),0)</f>
        <v>0</v>
      </c>
      <c r="O254" s="19" t="n">
        <f aca="false" t="array" ref="O254:O254">IF(AND(INDEX(Profils!$I$5:$I$34,$AE254)&gt;0,INDEX(Profils!$X$5:$X$34,$AE254)&lt;=$AH254),ROUND(INDEX(Profils!$I$5:$I$34,$AE254)*Paramètres!$E$25*$AG254*$AJ254,Paramètres!$F$25),0)</f>
        <v>0</v>
      </c>
      <c r="P254" s="19" t="n">
        <f aca="false" t="array" ref="P254:P254">IF(AND(INDEX(Profils!$J$5:$J$34,$AE254)&gt;0,INDEX(Profils!$Y$5:$Y$34,$AE254)&lt;=$AH254),ROUND(INDEX(Profils!$J$5:$J$34,$AE254)*Paramètres!$E$26*$AG254*$AJ254,Paramètres!$F$26),0)</f>
        <v>0</v>
      </c>
      <c r="Q254" s="19" t="n">
        <f aca="false" t="array" ref="Q254:Q254">IF(AND(INDEX(Profils!$K$5:$K$34,$AE254)&gt;0,INDEX(Profils!$Z$5:$Z$34,$AE254)&lt;=$AH254),ROUND(INDEX(Profils!$K$5:$K$34,$AE254)*Paramètres!$E$27*$AG254*$AJ254,Paramètres!$F$27),0)</f>
        <v>0</v>
      </c>
      <c r="R254" s="20" t="n">
        <f aca="false" t="array" ref="R254:R254">IF(AND(INDEX(Profils!$L$5:$L$34,$AE254)&gt;0,INDEX(Profils!$AA$5:$AA$34,$AE254)&lt;=$AH254),ROUND(INDEX(Profils!$L$5:$L$34,$AE254)*Paramètres!$E$28*$AG254*$AJ254,Paramètres!$F$28),0)</f>
        <v>0.001</v>
      </c>
      <c r="S254" s="20" t="n">
        <f aca="false" t="array" ref="S254:S254">IF(AND(INDEX(Profils!$M$5:$M$34,$AE254)&gt;0,INDEX(Profils!$AB$5:$AB$34,$AE254)&lt;=$AH254),ROUND(INDEX(Profils!$M$5:$M$34,$AE254)*Paramètres!$E$29*$AG254*$AJ254,Paramètres!$F$29),0)</f>
        <v>0</v>
      </c>
      <c r="T254" s="20" t="n">
        <f aca="false" t="array" ref="T254:T254">IF(AND(INDEX(Profils!$N$5:$N$34,$AE254)&gt;0,INDEX(Profils!$AC$5:$AC$34,$AE254)&lt;=$AH254),ROUND(INDEX(Profils!$N$5:$N$34,$AE254)*Paramètres!$E$30*$AG254*$AJ254,Paramètres!$F$30),0)</f>
        <v>0</v>
      </c>
      <c r="U254" s="19" t="n">
        <f aca="false" t="array" ref="U254:U254">IF(AND(INDEX(Profils!$O$5:$O$34,$AE254)&gt;0,INDEX(Profils!$AD$5:$AD$34,$AE254)&lt;=$AH254),ROUND(INDEX(Profils!$O$5:$O$34,$AE254)*Paramètres!$E$31*$AG254*$AJ254,Paramètres!$F$31),0)</f>
        <v>0</v>
      </c>
      <c r="V254" s="20" t="n">
        <f aca="false" t="array" ref="V254:V254">IF(AND(INDEX(Profils!$P$5:$P$34,$AE254)&gt;0,INDEX(Profils!$AE$5:$AE$34,$AE254)&lt;=$AH254),ROUND(INDEX(Profils!$P$5:$P$34,$AE254)*Paramètres!$E$32*$AG254*$AJ254,Paramètres!$F$32),0)</f>
        <v>0</v>
      </c>
      <c r="W254" s="20" t="n">
        <f aca="false" t="array" ref="W254:W254">IF(AND(INDEX(Profils!$Q$5:$Q$34,$AE254)&gt;0,INDEX(Profils!$AF$5:$AF$34,$AE254)&lt;=$AH254),ROUND(INDEX(Profils!$Q$5:$Q$34,$AE254)*Paramètres!$E$33*$AG254*$AJ254,Paramètres!$F$33),0)</f>
        <v>0</v>
      </c>
      <c r="X254" s="20" t="n">
        <f aca="false" t="array" ref="X254:X254">IF(AND(INDEX(Profils!$R$5:$R$34,$AE254)&gt;0,INDEX(Profils!$AG$5:$AG$34,$AE254)&lt;=$AH254),ROUND(INDEX(Profils!$R$5:$R$34,$AE254)*Paramètres!$E$34*$AG254*$AJ254,Paramètres!$F$34),0)</f>
        <v>0</v>
      </c>
      <c r="Y254" s="20" t="n">
        <f aca="false" t="array" ref="Y254:Y254">IF(AND(INDEX(Profils!$S$5:$S$34,$AE254)&gt;0,INDEX(Profils!$AH$5:$AH$34,$AE254)&lt;=$AH254),ROUND(INDEX(Profils!$S$5:$S$34,$AE254)*Paramètres!$E$35*$AG254*$AJ254,Paramètres!$F$35),0)</f>
        <v>0</v>
      </c>
      <c r="Z254" s="21" t="n">
        <f aca="false">ROUND(L254/Paramètres!$E$22+M254/Paramètres!$E$23+N254/Paramètres!$E$24+O254/Paramètres!$E$25+P254/Paramètres!$E$26+Q254/Paramètres!$E$27+R254/Paramètres!$E$28+S254/Paramètres!$E$29+T254/Paramètres!$E$30+U254/Paramètres!$E$31+V254/Paramètres!$E$32+W254/Paramètres!$E$33+X254/Paramètres!$E$34+Y254/Paramètres!$E$35,1)</f>
        <v>0.2</v>
      </c>
      <c r="AA254" s="22" t="s">
        <v>109</v>
      </c>
      <c r="AB254" s="22" t="s">
        <v>109</v>
      </c>
      <c r="AC254" s="15" t="str">
        <f aca="false">$E254</f>
        <v>bois</v>
      </c>
      <c r="AD254" s="16" t="n">
        <f aca="false" t="array" ref="AD254:AD254">IF($I254&gt;=$AI254,"Max",ROUND(Paramètres!$B$40*($I254+1)^Paramètres!$B$41*INDEX(Paramètres!$H$6:$H$12,$AF254),0))</f>
        <v>3</v>
      </c>
      <c r="AE254" s="23" t="n">
        <f aca="false">MATCH($B254&amp;"|"&amp;$C254,Profils!$A$5:$A$34,0)</f>
        <v>9</v>
      </c>
      <c r="AF254" s="23" t="n">
        <v>1</v>
      </c>
      <c r="AG254" s="24" t="n">
        <f aca="false" t="array" ref="AG254:AG254">INDEX(Paramètres!$C$6:$C$12,$AF254)</f>
        <v>1</v>
      </c>
      <c r="AH254" s="23" t="n">
        <f aca="false" t="array" ref="AH254:AH254">INDEX(Paramètres!$D$6:$D$12,$AF254)</f>
        <v>2</v>
      </c>
      <c r="AI254" s="23" t="n">
        <f aca="false" t="array" ref="AI254:AI254">INDEX(Matériaux!$C$16:$C$20,$D254)</f>
        <v>19</v>
      </c>
      <c r="AJ254" s="25" t="n">
        <f aca="false">Paramètres!$B$16+(1-Paramètres!$B$16)*(($J254-Paramètres!$B$14)/(Paramètres!$B$15-Paramètres!$B$14))^Paramètres!$B$17</f>
        <v>0.05</v>
      </c>
    </row>
    <row r="255" customFormat="false" ht="15.75" hidden="false" customHeight="true" outlineLevel="0" collapsed="false">
      <c r="A255" s="14" t="s">
        <v>370</v>
      </c>
      <c r="B255" s="15" t="s">
        <v>27</v>
      </c>
      <c r="C255" s="15" t="s">
        <v>369</v>
      </c>
      <c r="D255" s="16" t="n">
        <v>1</v>
      </c>
      <c r="E255" s="15" t="str">
        <f aca="false" t="array" ref="E255:E255">INDEX(Matériaux!$B$5:$F$12,MATCH(INDEX(Profils!$E$5:$E$34,$AE255),Matériaux!$A$5:$A$12,0),$D255)</f>
        <v>bois</v>
      </c>
      <c r="F255" s="26" t="s">
        <v>111</v>
      </c>
      <c r="G255" s="10" t="str">
        <f aca="false" t="array" ref="G255:G255">INDEX(Profils!$D$5:$D$34,$AE255)&amp;" en "&amp;$E255</f>
        <v>Épée en bois</v>
      </c>
      <c r="H255" s="16" t="n">
        <f aca="false" t="array" ref="H255:H255">INDEX(Matériaux!$B$16:$B$20,$D255)</f>
        <v>1</v>
      </c>
      <c r="I255" s="16" t="n">
        <f aca="false">IF(ISNUMBER($C$3),MIN(MAX(0,ROUND($C$3,0)),$AI255),$AI255)</f>
        <v>0</v>
      </c>
      <c r="J255" s="18" t="n">
        <f aca="false">$H255+$I255</f>
        <v>1</v>
      </c>
      <c r="K255" s="15" t="s">
        <v>109</v>
      </c>
      <c r="L255" s="19" t="n">
        <f aca="false" t="array" ref="L255:L255">IF(AND(INDEX(Profils!$F$5:$F$34,$AE255)&gt;0,INDEX(Profils!$U$5:$U$34,$AE255)&lt;=$AH255),ROUND(INDEX(Profils!$F$5:$F$34,$AE255)*Paramètres!$E$22*$AG255*$AJ255,Paramètres!$F$22),0)</f>
        <v>0</v>
      </c>
      <c r="M255" s="19" t="n">
        <f aca="false" t="array" ref="M255:M255">IF(AND(INDEX(Profils!$G$5:$G$34,$AE255)&gt;0,INDEX(Profils!$V$5:$V$34,$AE255)&lt;=$AH255),ROUND(INDEX(Profils!$G$5:$G$34,$AE255)*Paramètres!$E$23*$AG255*$AJ255,Paramètres!$F$23),0)</f>
        <v>3</v>
      </c>
      <c r="N255" s="19" t="n">
        <f aca="false" t="array" ref="N255:N255">IF(AND(INDEX(Profils!$H$5:$H$34,$AE255)&gt;0,INDEX(Profils!$W$5:$W$34,$AE255)&lt;=$AH255),ROUND(INDEX(Profils!$H$5:$H$34,$AE255)*Paramètres!$E$24*$AG255*$AJ255,Paramètres!$F$24),0)</f>
        <v>0</v>
      </c>
      <c r="O255" s="19" t="n">
        <f aca="false" t="array" ref="O255:O255">IF(AND(INDEX(Profils!$I$5:$I$34,$AE255)&gt;0,INDEX(Profils!$X$5:$X$34,$AE255)&lt;=$AH255),ROUND(INDEX(Profils!$I$5:$I$34,$AE255)*Paramètres!$E$25*$AG255*$AJ255,Paramètres!$F$25),0)</f>
        <v>0</v>
      </c>
      <c r="P255" s="19" t="n">
        <f aca="false" t="array" ref="P255:P255">IF(AND(INDEX(Profils!$J$5:$J$34,$AE255)&gt;0,INDEX(Profils!$Y$5:$Y$34,$AE255)&lt;=$AH255),ROUND(INDEX(Profils!$J$5:$J$34,$AE255)*Paramètres!$E$26*$AG255*$AJ255,Paramètres!$F$26),0)</f>
        <v>0</v>
      </c>
      <c r="Q255" s="19" t="n">
        <f aca="false" t="array" ref="Q255:Q255">IF(AND(INDEX(Profils!$K$5:$K$34,$AE255)&gt;0,INDEX(Profils!$Z$5:$Z$34,$AE255)&lt;=$AH255),ROUND(INDEX(Profils!$K$5:$K$34,$AE255)*Paramètres!$E$27*$AG255*$AJ255,Paramètres!$F$27),0)</f>
        <v>0</v>
      </c>
      <c r="R255" s="20" t="n">
        <f aca="false" t="array" ref="R255:R255">IF(AND(INDEX(Profils!$L$5:$L$34,$AE255)&gt;0,INDEX(Profils!$AA$5:$AA$34,$AE255)&lt;=$AH255),ROUND(INDEX(Profils!$L$5:$L$34,$AE255)*Paramètres!$E$28*$AG255*$AJ255,Paramètres!$F$28),0)</f>
        <v>0.001</v>
      </c>
      <c r="S255" s="20" t="n">
        <f aca="false" t="array" ref="S255:S255">IF(AND(INDEX(Profils!$M$5:$M$34,$AE255)&gt;0,INDEX(Profils!$AB$5:$AB$34,$AE255)&lt;=$AH255),ROUND(INDEX(Profils!$M$5:$M$34,$AE255)*Paramètres!$E$29*$AG255*$AJ255,Paramètres!$F$29),0)</f>
        <v>0</v>
      </c>
      <c r="T255" s="20" t="n">
        <f aca="false" t="array" ref="T255:T255">IF(AND(INDEX(Profils!$N$5:$N$34,$AE255)&gt;0,INDEX(Profils!$AC$5:$AC$34,$AE255)&lt;=$AH255),ROUND(INDEX(Profils!$N$5:$N$34,$AE255)*Paramètres!$E$30*$AG255*$AJ255,Paramètres!$F$30),0)</f>
        <v>0.003</v>
      </c>
      <c r="U255" s="19" t="n">
        <f aca="false" t="array" ref="U255:U255">IF(AND(INDEX(Profils!$O$5:$O$34,$AE255)&gt;0,INDEX(Profils!$AD$5:$AD$34,$AE255)&lt;=$AH255),ROUND(INDEX(Profils!$O$5:$O$34,$AE255)*Paramètres!$E$31*$AG255*$AJ255,Paramètres!$F$31),0)</f>
        <v>0</v>
      </c>
      <c r="V255" s="20" t="n">
        <f aca="false" t="array" ref="V255:V255">IF(AND(INDEX(Profils!$P$5:$P$34,$AE255)&gt;0,INDEX(Profils!$AE$5:$AE$34,$AE255)&lt;=$AH255),ROUND(INDEX(Profils!$P$5:$P$34,$AE255)*Paramètres!$E$32*$AG255*$AJ255,Paramètres!$F$32),0)</f>
        <v>0</v>
      </c>
      <c r="W255" s="20" t="n">
        <f aca="false" t="array" ref="W255:W255">IF(AND(INDEX(Profils!$Q$5:$Q$34,$AE255)&gt;0,INDEX(Profils!$AF$5:$AF$34,$AE255)&lt;=$AH255),ROUND(INDEX(Profils!$Q$5:$Q$34,$AE255)*Paramètres!$E$33*$AG255*$AJ255,Paramètres!$F$33),0)</f>
        <v>0</v>
      </c>
      <c r="X255" s="20" t="n">
        <f aca="false" t="array" ref="X255:X255">IF(AND(INDEX(Profils!$R$5:$R$34,$AE255)&gt;0,INDEX(Profils!$AG$5:$AG$34,$AE255)&lt;=$AH255),ROUND(INDEX(Profils!$R$5:$R$34,$AE255)*Paramètres!$E$34*$AG255*$AJ255,Paramètres!$F$34),0)</f>
        <v>0</v>
      </c>
      <c r="Y255" s="20" t="n">
        <f aca="false" t="array" ref="Y255:Y255">IF(AND(INDEX(Profils!$S$5:$S$34,$AE255)&gt;0,INDEX(Profils!$AH$5:$AH$34,$AE255)&lt;=$AH255),ROUND(INDEX(Profils!$S$5:$S$34,$AE255)*Paramètres!$E$35*$AG255*$AJ255,Paramètres!$F$35),0)</f>
        <v>0</v>
      </c>
      <c r="Z255" s="21" t="n">
        <f aca="false">ROUND(L255/Paramètres!$E$22+M255/Paramètres!$E$23+N255/Paramètres!$E$24+O255/Paramètres!$E$25+P255/Paramètres!$E$26+Q255/Paramètres!$E$27+R255/Paramètres!$E$28+S255/Paramètres!$E$29+T255/Paramètres!$E$30+U255/Paramètres!$E$31+V255/Paramètres!$E$32+W255/Paramètres!$E$33+X255/Paramètres!$E$34+Y255/Paramètres!$E$35,1)</f>
        <v>0.4</v>
      </c>
      <c r="AA255" s="22" t="s">
        <v>109</v>
      </c>
      <c r="AB255" s="22" t="s">
        <v>109</v>
      </c>
      <c r="AC255" s="15" t="str">
        <f aca="false">$E255</f>
        <v>bois</v>
      </c>
      <c r="AD255" s="16" t="n">
        <f aca="false" t="array" ref="AD255:AD255">IF($I255&gt;=$AI255,"Max",ROUND(Paramètres!$B$40*($I255+1)^Paramètres!$B$41*INDEX(Paramètres!$H$6:$H$12,$AF255),0))</f>
        <v>4</v>
      </c>
      <c r="AE255" s="23" t="n">
        <f aca="false">MATCH($B255&amp;"|"&amp;$C255,Profils!$A$5:$A$34,0)</f>
        <v>9</v>
      </c>
      <c r="AF255" s="23" t="n">
        <v>2</v>
      </c>
      <c r="AG255" s="24" t="n">
        <f aca="false" t="array" ref="AG255:AG255">INDEX(Paramètres!$C$6:$C$12,$AF255)</f>
        <v>1.2</v>
      </c>
      <c r="AH255" s="23" t="n">
        <f aca="false" t="array" ref="AH255:AH255">INDEX(Paramètres!$D$6:$D$12,$AF255)</f>
        <v>3</v>
      </c>
      <c r="AI255" s="23" t="n">
        <f aca="false" t="array" ref="AI255:AI255">INDEX(Matériaux!$C$16:$C$20,$D255)</f>
        <v>19</v>
      </c>
      <c r="AJ255" s="25" t="n">
        <f aca="false">Paramètres!$B$16+(1-Paramètres!$B$16)*(($J255-Paramètres!$B$14)/(Paramètres!$B$15-Paramètres!$B$14))^Paramètres!$B$17</f>
        <v>0.05</v>
      </c>
    </row>
    <row r="256" customFormat="false" ht="15.75" hidden="false" customHeight="true" outlineLevel="0" collapsed="false">
      <c r="A256" s="14" t="s">
        <v>371</v>
      </c>
      <c r="B256" s="15" t="s">
        <v>27</v>
      </c>
      <c r="C256" s="15" t="s">
        <v>369</v>
      </c>
      <c r="D256" s="16" t="n">
        <v>1</v>
      </c>
      <c r="E256" s="15" t="str">
        <f aca="false" t="array" ref="E256:E256">INDEX(Matériaux!$B$5:$F$12,MATCH(INDEX(Profils!$E$5:$E$34,$AE256),Matériaux!$A$5:$A$12,0),$D256)</f>
        <v>bois</v>
      </c>
      <c r="F256" s="27" t="s">
        <v>113</v>
      </c>
      <c r="G256" s="10" t="str">
        <f aca="false" t="array" ref="G256:G256">INDEX(Profils!$D$5:$D$34,$AE256)&amp;" en "&amp;$E256</f>
        <v>Épée en bois</v>
      </c>
      <c r="H256" s="16" t="n">
        <f aca="false" t="array" ref="H256:H256">INDEX(Matériaux!$B$16:$B$20,$D256)</f>
        <v>1</v>
      </c>
      <c r="I256" s="16" t="n">
        <f aca="false">IF(ISNUMBER($C$3),MIN(MAX(0,ROUND($C$3,0)),$AI256),$AI256)</f>
        <v>0</v>
      </c>
      <c r="J256" s="18" t="n">
        <f aca="false">$H256+$I256</f>
        <v>1</v>
      </c>
      <c r="K256" s="15" t="s">
        <v>109</v>
      </c>
      <c r="L256" s="19" t="n">
        <f aca="false" t="array" ref="L256:L256">IF(AND(INDEX(Profils!$F$5:$F$34,$AE256)&gt;0,INDEX(Profils!$U$5:$U$34,$AE256)&lt;=$AH256),ROUND(INDEX(Profils!$F$5:$F$34,$AE256)*Paramètres!$E$22*$AG256*$AJ256,Paramètres!$F$22),0)</f>
        <v>0</v>
      </c>
      <c r="M256" s="19" t="n">
        <f aca="false" t="array" ref="M256:M256">IF(AND(INDEX(Profils!$G$5:$G$34,$AE256)&gt;0,INDEX(Profils!$V$5:$V$34,$AE256)&lt;=$AH256),ROUND(INDEX(Profils!$G$5:$G$34,$AE256)*Paramètres!$E$23*$AG256*$AJ256,Paramètres!$F$23),0)</f>
        <v>3</v>
      </c>
      <c r="N256" s="19" t="n">
        <f aca="false" t="array" ref="N256:N256">IF(AND(INDEX(Profils!$H$5:$H$34,$AE256)&gt;0,INDEX(Profils!$W$5:$W$34,$AE256)&lt;=$AH256),ROUND(INDEX(Profils!$H$5:$H$34,$AE256)*Paramètres!$E$24*$AG256*$AJ256,Paramètres!$F$24),0)</f>
        <v>0</v>
      </c>
      <c r="O256" s="19" t="n">
        <f aca="false" t="array" ref="O256:O256">IF(AND(INDEX(Profils!$I$5:$I$34,$AE256)&gt;0,INDEX(Profils!$X$5:$X$34,$AE256)&lt;=$AH256),ROUND(INDEX(Profils!$I$5:$I$34,$AE256)*Paramètres!$E$25*$AG256*$AJ256,Paramètres!$F$25),0)</f>
        <v>0</v>
      </c>
      <c r="P256" s="19" t="n">
        <f aca="false" t="array" ref="P256:P256">IF(AND(INDEX(Profils!$J$5:$J$34,$AE256)&gt;0,INDEX(Profils!$Y$5:$Y$34,$AE256)&lt;=$AH256),ROUND(INDEX(Profils!$J$5:$J$34,$AE256)*Paramètres!$E$26*$AG256*$AJ256,Paramètres!$F$26),0)</f>
        <v>0</v>
      </c>
      <c r="Q256" s="19" t="n">
        <f aca="false" t="array" ref="Q256:Q256">IF(AND(INDEX(Profils!$K$5:$K$34,$AE256)&gt;0,INDEX(Profils!$Z$5:$Z$34,$AE256)&lt;=$AH256),ROUND(INDEX(Profils!$K$5:$K$34,$AE256)*Paramètres!$E$27*$AG256*$AJ256,Paramètres!$F$27),0)</f>
        <v>0</v>
      </c>
      <c r="R256" s="20" t="n">
        <f aca="false" t="array" ref="R256:R256">IF(AND(INDEX(Profils!$L$5:$L$34,$AE256)&gt;0,INDEX(Profils!$AA$5:$AA$34,$AE256)&lt;=$AH256),ROUND(INDEX(Profils!$L$5:$L$34,$AE256)*Paramètres!$E$28*$AG256*$AJ256,Paramètres!$F$28),0)</f>
        <v>0.002</v>
      </c>
      <c r="S256" s="20" t="n">
        <f aca="false" t="array" ref="S256:S256">IF(AND(INDEX(Profils!$M$5:$M$34,$AE256)&gt;0,INDEX(Profils!$AB$5:$AB$34,$AE256)&lt;=$AH256),ROUND(INDEX(Profils!$M$5:$M$34,$AE256)*Paramètres!$E$29*$AG256*$AJ256,Paramètres!$F$29),0)</f>
        <v>0.001</v>
      </c>
      <c r="T256" s="20" t="n">
        <f aca="false" t="array" ref="T256:T256">IF(AND(INDEX(Profils!$N$5:$N$34,$AE256)&gt;0,INDEX(Profils!$AC$5:$AC$34,$AE256)&lt;=$AH256),ROUND(INDEX(Profils!$N$5:$N$34,$AE256)*Paramètres!$E$30*$AG256*$AJ256,Paramètres!$F$30),0)</f>
        <v>0.003</v>
      </c>
      <c r="U256" s="19" t="n">
        <f aca="false" t="array" ref="U256:U256">IF(AND(INDEX(Profils!$O$5:$O$34,$AE256)&gt;0,INDEX(Profils!$AD$5:$AD$34,$AE256)&lt;=$AH256),ROUND(INDEX(Profils!$O$5:$O$34,$AE256)*Paramètres!$E$31*$AG256*$AJ256,Paramètres!$F$31),0)</f>
        <v>0</v>
      </c>
      <c r="V256" s="20" t="n">
        <f aca="false" t="array" ref="V256:V256">IF(AND(INDEX(Profils!$P$5:$P$34,$AE256)&gt;0,INDEX(Profils!$AE$5:$AE$34,$AE256)&lt;=$AH256),ROUND(INDEX(Profils!$P$5:$P$34,$AE256)*Paramètres!$E$32*$AG256*$AJ256,Paramètres!$F$32),0)</f>
        <v>0</v>
      </c>
      <c r="W256" s="20" t="n">
        <f aca="false" t="array" ref="W256:W256">IF(AND(INDEX(Profils!$Q$5:$Q$34,$AE256)&gt;0,INDEX(Profils!$AF$5:$AF$34,$AE256)&lt;=$AH256),ROUND(INDEX(Profils!$Q$5:$Q$34,$AE256)*Paramètres!$E$33*$AG256*$AJ256,Paramètres!$F$33),0)</f>
        <v>0</v>
      </c>
      <c r="X256" s="20" t="n">
        <f aca="false" t="array" ref="X256:X256">IF(AND(INDEX(Profils!$R$5:$R$34,$AE256)&gt;0,INDEX(Profils!$AG$5:$AG$34,$AE256)&lt;=$AH256),ROUND(INDEX(Profils!$R$5:$R$34,$AE256)*Paramètres!$E$34*$AG256*$AJ256,Paramètres!$F$34),0)</f>
        <v>0</v>
      </c>
      <c r="Y256" s="20" t="n">
        <f aca="false" t="array" ref="Y256:Y256">IF(AND(INDEX(Profils!$S$5:$S$34,$AE256)&gt;0,INDEX(Profils!$AH$5:$AH$34,$AE256)&lt;=$AH256),ROUND(INDEX(Profils!$S$5:$S$34,$AE256)*Paramètres!$E$35*$AG256*$AJ256,Paramètres!$F$35),0)</f>
        <v>0</v>
      </c>
      <c r="Z256" s="21" t="n">
        <f aca="false">ROUND(L256/Paramètres!$E$22+M256/Paramètres!$E$23+N256/Paramètres!$E$24+O256/Paramètres!$E$25+P256/Paramètres!$E$26+Q256/Paramètres!$E$27+R256/Paramètres!$E$28+S256/Paramètres!$E$29+T256/Paramètres!$E$30+U256/Paramètres!$E$31+V256/Paramètres!$E$32+W256/Paramètres!$E$33+X256/Paramètres!$E$34+Y256/Paramètres!$E$35,1)</f>
        <v>0.5</v>
      </c>
      <c r="AA256" s="22" t="s">
        <v>109</v>
      </c>
      <c r="AB256" s="22" t="s">
        <v>109</v>
      </c>
      <c r="AC256" s="15" t="str">
        <f aca="false">$E256</f>
        <v>bois</v>
      </c>
      <c r="AD256" s="16" t="n">
        <f aca="false" t="array" ref="AD256:AD256">IF($I256&gt;=$AI256,"Max",ROUND(Paramètres!$B$40*($I256+1)^Paramètres!$B$41*INDEX(Paramètres!$H$6:$H$12,$AF256),0))</f>
        <v>4</v>
      </c>
      <c r="AE256" s="23" t="n">
        <f aca="false">MATCH($B256&amp;"|"&amp;$C256,Profils!$A$5:$A$34,0)</f>
        <v>9</v>
      </c>
      <c r="AF256" s="23" t="n">
        <v>3</v>
      </c>
      <c r="AG256" s="24" t="n">
        <f aca="false" t="array" ref="AG256:AG256">INDEX(Paramètres!$C$6:$C$12,$AF256)</f>
        <v>1.45</v>
      </c>
      <c r="AH256" s="23" t="n">
        <f aca="false" t="array" ref="AH256:AH256">INDEX(Paramètres!$D$6:$D$12,$AF256)</f>
        <v>4</v>
      </c>
      <c r="AI256" s="23" t="n">
        <f aca="false" t="array" ref="AI256:AI256">INDEX(Matériaux!$C$16:$C$20,$D256)</f>
        <v>19</v>
      </c>
      <c r="AJ256" s="25" t="n">
        <f aca="false">Paramètres!$B$16+(1-Paramètres!$B$16)*(($J256-Paramètres!$B$14)/(Paramètres!$B$15-Paramètres!$B$14))^Paramètres!$B$17</f>
        <v>0.05</v>
      </c>
    </row>
    <row r="257" customFormat="false" ht="15.75" hidden="false" customHeight="true" outlineLevel="0" collapsed="false">
      <c r="A257" s="14" t="s">
        <v>372</v>
      </c>
      <c r="B257" s="15" t="s">
        <v>27</v>
      </c>
      <c r="C257" s="15" t="s">
        <v>369</v>
      </c>
      <c r="D257" s="16" t="n">
        <v>1</v>
      </c>
      <c r="E257" s="15" t="str">
        <f aca="false" t="array" ref="E257:E257">INDEX(Matériaux!$B$5:$F$12,MATCH(INDEX(Profils!$E$5:$E$34,$AE257),Matériaux!$A$5:$A$12,0),$D257)</f>
        <v>bois</v>
      </c>
      <c r="F257" s="28" t="s">
        <v>115</v>
      </c>
      <c r="G257" s="10" t="str">
        <f aca="false" t="array" ref="G257:G257">INDEX(Profils!$D$5:$D$34,$AE257)&amp;" en "&amp;$E257</f>
        <v>Épée en bois</v>
      </c>
      <c r="H257" s="16" t="n">
        <f aca="false" t="array" ref="H257:H257">INDEX(Matériaux!$B$16:$B$20,$D257)</f>
        <v>1</v>
      </c>
      <c r="I257" s="16" t="n">
        <f aca="false">IF(ISNUMBER($C$3),MIN(MAX(0,ROUND($C$3,0)),$AI257),$AI257)</f>
        <v>0</v>
      </c>
      <c r="J257" s="18" t="n">
        <f aca="false">$H257+$I257</f>
        <v>1</v>
      </c>
      <c r="K257" s="15" t="s">
        <v>109</v>
      </c>
      <c r="L257" s="19" t="n">
        <f aca="false" t="array" ref="L257:L257">IF(AND(INDEX(Profils!$F$5:$F$34,$AE257)&gt;0,INDEX(Profils!$U$5:$U$34,$AE257)&lt;=$AH257),ROUND(INDEX(Profils!$F$5:$F$34,$AE257)*Paramètres!$E$22*$AG257*$AJ257,Paramètres!$F$22),0)</f>
        <v>0</v>
      </c>
      <c r="M257" s="19" t="n">
        <f aca="false" t="array" ref="M257:M257">IF(AND(INDEX(Profils!$G$5:$G$34,$AE257)&gt;0,INDEX(Profils!$V$5:$V$34,$AE257)&lt;=$AH257),ROUND(INDEX(Profils!$G$5:$G$34,$AE257)*Paramètres!$E$23*$AG257*$AJ257,Paramètres!$F$23),0)</f>
        <v>4</v>
      </c>
      <c r="N257" s="19" t="n">
        <f aca="false" t="array" ref="N257:N257">IF(AND(INDEX(Profils!$H$5:$H$34,$AE257)&gt;0,INDEX(Profils!$W$5:$W$34,$AE257)&lt;=$AH257),ROUND(INDEX(Profils!$H$5:$H$34,$AE257)*Paramètres!$E$24*$AG257*$AJ257,Paramètres!$F$24),0)</f>
        <v>0</v>
      </c>
      <c r="O257" s="19" t="n">
        <f aca="false" t="array" ref="O257:O257">IF(AND(INDEX(Profils!$I$5:$I$34,$AE257)&gt;0,INDEX(Profils!$X$5:$X$34,$AE257)&lt;=$AH257),ROUND(INDEX(Profils!$I$5:$I$34,$AE257)*Paramètres!$E$25*$AG257*$AJ257,Paramètres!$F$25),0)</f>
        <v>0</v>
      </c>
      <c r="P257" s="19" t="n">
        <f aca="false" t="array" ref="P257:P257">IF(AND(INDEX(Profils!$J$5:$J$34,$AE257)&gt;0,INDEX(Profils!$Y$5:$Y$34,$AE257)&lt;=$AH257),ROUND(INDEX(Profils!$J$5:$J$34,$AE257)*Paramètres!$E$26*$AG257*$AJ257,Paramètres!$F$26),0)</f>
        <v>0</v>
      </c>
      <c r="Q257" s="19" t="n">
        <f aca="false" t="array" ref="Q257:Q257">IF(AND(INDEX(Profils!$K$5:$K$34,$AE257)&gt;0,INDEX(Profils!$Z$5:$Z$34,$AE257)&lt;=$AH257),ROUND(INDEX(Profils!$K$5:$K$34,$AE257)*Paramètres!$E$27*$AG257*$AJ257,Paramètres!$F$27),0)</f>
        <v>0</v>
      </c>
      <c r="R257" s="20" t="n">
        <f aca="false" t="array" ref="R257:R257">IF(AND(INDEX(Profils!$L$5:$L$34,$AE257)&gt;0,INDEX(Profils!$AA$5:$AA$34,$AE257)&lt;=$AH257),ROUND(INDEX(Profils!$L$5:$L$34,$AE257)*Paramètres!$E$28*$AG257*$AJ257,Paramètres!$F$28),0)</f>
        <v>0.002</v>
      </c>
      <c r="S257" s="20" t="n">
        <f aca="false" t="array" ref="S257:S257">IF(AND(INDEX(Profils!$M$5:$M$34,$AE257)&gt;0,INDEX(Profils!$AB$5:$AB$34,$AE257)&lt;=$AH257),ROUND(INDEX(Profils!$M$5:$M$34,$AE257)*Paramètres!$E$29*$AG257*$AJ257,Paramètres!$F$29),0)</f>
        <v>0.001</v>
      </c>
      <c r="T257" s="20" t="n">
        <f aca="false" t="array" ref="T257:T257">IF(AND(INDEX(Profils!$N$5:$N$34,$AE257)&gt;0,INDEX(Profils!$AC$5:$AC$34,$AE257)&lt;=$AH257),ROUND(INDEX(Profils!$N$5:$N$34,$AE257)*Paramètres!$E$30*$AG257*$AJ257,Paramètres!$F$30),0)</f>
        <v>0.004</v>
      </c>
      <c r="U257" s="19" t="n">
        <f aca="false" t="array" ref="U257:U257">IF(AND(INDEX(Profils!$O$5:$O$34,$AE257)&gt;0,INDEX(Profils!$AD$5:$AD$34,$AE257)&lt;=$AH257),ROUND(INDEX(Profils!$O$5:$O$34,$AE257)*Paramètres!$E$31*$AG257*$AJ257,Paramètres!$F$31),0)</f>
        <v>0</v>
      </c>
      <c r="V257" s="20" t="n">
        <f aca="false" t="array" ref="V257:V257">IF(AND(INDEX(Profils!$P$5:$P$34,$AE257)&gt;0,INDEX(Profils!$AE$5:$AE$34,$AE257)&lt;=$AH257),ROUND(INDEX(Profils!$P$5:$P$34,$AE257)*Paramètres!$E$32*$AG257*$AJ257,Paramètres!$F$32),0)</f>
        <v>0.002</v>
      </c>
      <c r="W257" s="20" t="n">
        <f aca="false" t="array" ref="W257:W257">IF(AND(INDEX(Profils!$Q$5:$Q$34,$AE257)&gt;0,INDEX(Profils!$AF$5:$AF$34,$AE257)&lt;=$AH257),ROUND(INDEX(Profils!$Q$5:$Q$34,$AE257)*Paramètres!$E$33*$AG257*$AJ257,Paramètres!$F$33),0)</f>
        <v>0</v>
      </c>
      <c r="X257" s="20" t="n">
        <f aca="false" t="array" ref="X257:X257">IF(AND(INDEX(Profils!$R$5:$R$34,$AE257)&gt;0,INDEX(Profils!$AG$5:$AG$34,$AE257)&lt;=$AH257),ROUND(INDEX(Profils!$R$5:$R$34,$AE257)*Paramètres!$E$34*$AG257*$AJ257,Paramètres!$F$34),0)</f>
        <v>0</v>
      </c>
      <c r="Y257" s="20" t="n">
        <f aca="false" t="array" ref="Y257:Y257">IF(AND(INDEX(Profils!$S$5:$S$34,$AE257)&gt;0,INDEX(Profils!$AH$5:$AH$34,$AE257)&lt;=$AH257),ROUND(INDEX(Profils!$S$5:$S$34,$AE257)*Paramètres!$E$35*$AG257*$AJ257,Paramètres!$F$35),0)</f>
        <v>0</v>
      </c>
      <c r="Z257" s="21" t="n">
        <f aca="false">ROUND(L257/Paramètres!$E$22+M257/Paramètres!$E$23+N257/Paramètres!$E$24+O257/Paramètres!$E$25+P257/Paramètres!$E$26+Q257/Paramètres!$E$27+R257/Paramètres!$E$28+S257/Paramètres!$E$29+T257/Paramètres!$E$30+U257/Paramètres!$E$31+V257/Paramètres!$E$32+W257/Paramètres!$E$33+X257/Paramètres!$E$34+Y257/Paramètres!$E$35,1)</f>
        <v>0.8</v>
      </c>
      <c r="AA257" s="22" t="s">
        <v>109</v>
      </c>
      <c r="AB257" s="22" t="s">
        <v>109</v>
      </c>
      <c r="AC257" s="15" t="str">
        <f aca="false">$E257</f>
        <v>bois</v>
      </c>
      <c r="AD257" s="16" t="n">
        <f aca="false" t="array" ref="AD257:AD257">IF($I257&gt;=$AI257,"Max",ROUND(Paramètres!$B$40*($I257+1)^Paramètres!$B$41*INDEX(Paramètres!$H$6:$H$12,$AF257),0))</f>
        <v>5</v>
      </c>
      <c r="AE257" s="23" t="n">
        <f aca="false">MATCH($B257&amp;"|"&amp;$C257,Profils!$A$5:$A$34,0)</f>
        <v>9</v>
      </c>
      <c r="AF257" s="23" t="n">
        <v>4</v>
      </c>
      <c r="AG257" s="24" t="n">
        <f aca="false" t="array" ref="AG257:AG257">INDEX(Paramètres!$C$6:$C$12,$AF257)</f>
        <v>1.75</v>
      </c>
      <c r="AH257" s="23" t="n">
        <f aca="false" t="array" ref="AH257:AH257">INDEX(Paramètres!$D$6:$D$12,$AF257)</f>
        <v>5</v>
      </c>
      <c r="AI257" s="23" t="n">
        <f aca="false" t="array" ref="AI257:AI257">INDEX(Matériaux!$C$16:$C$20,$D257)</f>
        <v>19</v>
      </c>
      <c r="AJ257" s="25" t="n">
        <f aca="false">Paramètres!$B$16+(1-Paramètres!$B$16)*(($J257-Paramètres!$B$14)/(Paramètres!$B$15-Paramètres!$B$14))^Paramètres!$B$17</f>
        <v>0.05</v>
      </c>
    </row>
    <row r="258" customFormat="false" ht="15.75" hidden="false" customHeight="true" outlineLevel="0" collapsed="false">
      <c r="A258" s="14" t="s">
        <v>373</v>
      </c>
      <c r="B258" s="15" t="s">
        <v>27</v>
      </c>
      <c r="C258" s="15" t="s">
        <v>369</v>
      </c>
      <c r="D258" s="16" t="n">
        <v>1</v>
      </c>
      <c r="E258" s="15" t="str">
        <f aca="false" t="array" ref="E258:E258">INDEX(Matériaux!$B$5:$F$12,MATCH(INDEX(Profils!$E$5:$E$34,$AE258),Matériaux!$A$5:$A$12,0),$D258)</f>
        <v>bois</v>
      </c>
      <c r="F258" s="29" t="s">
        <v>117</v>
      </c>
      <c r="G258" s="10" t="str">
        <f aca="false" t="array" ref="G258:G258">INDEX(Profils!$D$5:$D$34,$AE258)&amp;" en "&amp;$E258</f>
        <v>Épée en bois</v>
      </c>
      <c r="H258" s="16" t="n">
        <f aca="false" t="array" ref="H258:H258">INDEX(Matériaux!$B$16:$B$20,$D258)</f>
        <v>1</v>
      </c>
      <c r="I258" s="16" t="n">
        <f aca="false">IF(ISNUMBER($C$3),MIN(MAX(0,ROUND($C$3,0)),$AI258),$AI258)</f>
        <v>0</v>
      </c>
      <c r="J258" s="18" t="n">
        <f aca="false">$H258+$I258</f>
        <v>1</v>
      </c>
      <c r="K258" s="15" t="s">
        <v>109</v>
      </c>
      <c r="L258" s="19" t="n">
        <f aca="false" t="array" ref="L258:L258">IF(AND(INDEX(Profils!$F$5:$F$34,$AE258)&gt;0,INDEX(Profils!$U$5:$U$34,$AE258)&lt;=$AH258),ROUND(INDEX(Profils!$F$5:$F$34,$AE258)*Paramètres!$E$22*$AG258*$AJ258,Paramètres!$F$22),0)</f>
        <v>2</v>
      </c>
      <c r="M258" s="19" t="n">
        <f aca="false" t="array" ref="M258:M258">IF(AND(INDEX(Profils!$G$5:$G$34,$AE258)&gt;0,INDEX(Profils!$V$5:$V$34,$AE258)&lt;=$AH258),ROUND(INDEX(Profils!$G$5:$G$34,$AE258)*Paramètres!$E$23*$AG258*$AJ258,Paramètres!$F$23),0)</f>
        <v>5</v>
      </c>
      <c r="N258" s="19" t="n">
        <f aca="false" t="array" ref="N258:N258">IF(AND(INDEX(Profils!$H$5:$H$34,$AE258)&gt;0,INDEX(Profils!$W$5:$W$34,$AE258)&lt;=$AH258),ROUND(INDEX(Profils!$H$5:$H$34,$AE258)*Paramètres!$E$24*$AG258*$AJ258,Paramètres!$F$24),0)</f>
        <v>0</v>
      </c>
      <c r="O258" s="19" t="n">
        <f aca="false" t="array" ref="O258:O258">IF(AND(INDEX(Profils!$I$5:$I$34,$AE258)&gt;0,INDEX(Profils!$X$5:$X$34,$AE258)&lt;=$AH258),ROUND(INDEX(Profils!$I$5:$I$34,$AE258)*Paramètres!$E$25*$AG258*$AJ258,Paramètres!$F$25),0)</f>
        <v>0</v>
      </c>
      <c r="P258" s="19" t="n">
        <f aca="false" t="array" ref="P258:P258">IF(AND(INDEX(Profils!$J$5:$J$34,$AE258)&gt;0,INDEX(Profils!$Y$5:$Y$34,$AE258)&lt;=$AH258),ROUND(INDEX(Profils!$J$5:$J$34,$AE258)*Paramètres!$E$26*$AG258*$AJ258,Paramètres!$F$26),0)</f>
        <v>0</v>
      </c>
      <c r="Q258" s="19" t="n">
        <f aca="false" t="array" ref="Q258:Q258">IF(AND(INDEX(Profils!$K$5:$K$34,$AE258)&gt;0,INDEX(Profils!$Z$5:$Z$34,$AE258)&lt;=$AH258),ROUND(INDEX(Profils!$K$5:$K$34,$AE258)*Paramètres!$E$27*$AG258*$AJ258,Paramètres!$F$27),0)</f>
        <v>0</v>
      </c>
      <c r="R258" s="20" t="n">
        <f aca="false" t="array" ref="R258:R258">IF(AND(INDEX(Profils!$L$5:$L$34,$AE258)&gt;0,INDEX(Profils!$AA$5:$AA$34,$AE258)&lt;=$AH258),ROUND(INDEX(Profils!$L$5:$L$34,$AE258)*Paramètres!$E$28*$AG258*$AJ258,Paramètres!$F$28),0)</f>
        <v>0.003</v>
      </c>
      <c r="S258" s="20" t="n">
        <f aca="false" t="array" ref="S258:S258">IF(AND(INDEX(Profils!$M$5:$M$34,$AE258)&gt;0,INDEX(Profils!$AB$5:$AB$34,$AE258)&lt;=$AH258),ROUND(INDEX(Profils!$M$5:$M$34,$AE258)*Paramètres!$E$29*$AG258*$AJ258,Paramètres!$F$29),0)</f>
        <v>0.002</v>
      </c>
      <c r="T258" s="20" t="n">
        <f aca="false" t="array" ref="T258:T258">IF(AND(INDEX(Profils!$N$5:$N$34,$AE258)&gt;0,INDEX(Profils!$AC$5:$AC$34,$AE258)&lt;=$AH258),ROUND(INDEX(Profils!$N$5:$N$34,$AE258)*Paramètres!$E$30*$AG258*$AJ258,Paramètres!$F$30),0)</f>
        <v>0.005</v>
      </c>
      <c r="U258" s="19" t="n">
        <f aca="false" t="array" ref="U258:U258">IF(AND(INDEX(Profils!$O$5:$O$34,$AE258)&gt;0,INDEX(Profils!$AD$5:$AD$34,$AE258)&lt;=$AH258),ROUND(INDEX(Profils!$O$5:$O$34,$AE258)*Paramètres!$E$31*$AG258*$AJ258,Paramètres!$F$31),0)</f>
        <v>0</v>
      </c>
      <c r="V258" s="20" t="n">
        <f aca="false" t="array" ref="V258:V258">IF(AND(INDEX(Profils!$P$5:$P$34,$AE258)&gt;0,INDEX(Profils!$AE$5:$AE$34,$AE258)&lt;=$AH258),ROUND(INDEX(Profils!$P$5:$P$34,$AE258)*Paramètres!$E$32*$AG258*$AJ258,Paramètres!$F$32),0)</f>
        <v>0.002</v>
      </c>
      <c r="W258" s="20" t="n">
        <f aca="false" t="array" ref="W258:W258">IF(AND(INDEX(Profils!$Q$5:$Q$34,$AE258)&gt;0,INDEX(Profils!$AF$5:$AF$34,$AE258)&lt;=$AH258),ROUND(INDEX(Profils!$Q$5:$Q$34,$AE258)*Paramètres!$E$33*$AG258*$AJ258,Paramètres!$F$33),0)</f>
        <v>0</v>
      </c>
      <c r="X258" s="20" t="n">
        <f aca="false" t="array" ref="X258:X258">IF(AND(INDEX(Profils!$R$5:$R$34,$AE258)&gt;0,INDEX(Profils!$AG$5:$AG$34,$AE258)&lt;=$AH258),ROUND(INDEX(Profils!$R$5:$R$34,$AE258)*Paramètres!$E$34*$AG258*$AJ258,Paramètres!$F$34),0)</f>
        <v>0</v>
      </c>
      <c r="Y258" s="20" t="n">
        <f aca="false" t="array" ref="Y258:Y258">IF(AND(INDEX(Profils!$S$5:$S$34,$AE258)&gt;0,INDEX(Profils!$AH$5:$AH$34,$AE258)&lt;=$AH258),ROUND(INDEX(Profils!$S$5:$S$34,$AE258)*Paramètres!$E$35*$AG258*$AJ258,Paramètres!$F$35),0)</f>
        <v>0</v>
      </c>
      <c r="Z258" s="21" t="n">
        <f aca="false">ROUND(L258/Paramètres!$E$22+M258/Paramètres!$E$23+N258/Paramètres!$E$24+O258/Paramètres!$E$25+P258/Paramètres!$E$26+Q258/Paramètres!$E$27+R258/Paramètres!$E$28+S258/Paramètres!$E$29+T258/Paramètres!$E$30+U258/Paramètres!$E$31+V258/Paramètres!$E$32+W258/Paramètres!$E$33+X258/Paramètres!$E$34+Y258/Paramètres!$E$35,1)</f>
        <v>1.1</v>
      </c>
      <c r="AA258" s="22" t="s">
        <v>109</v>
      </c>
      <c r="AB258" s="22" t="s">
        <v>109</v>
      </c>
      <c r="AC258" s="15" t="str">
        <f aca="false">$E258</f>
        <v>bois</v>
      </c>
      <c r="AD258" s="16" t="n">
        <f aca="false" t="array" ref="AD258:AD258">IF($I258&gt;=$AI258,"Max",ROUND(Paramètres!$B$40*($I258+1)^Paramètres!$B$41*INDEX(Paramètres!$H$6:$H$12,$AF258),0))</f>
        <v>6</v>
      </c>
      <c r="AE258" s="23" t="n">
        <f aca="false">MATCH($B258&amp;"|"&amp;$C258,Profils!$A$5:$A$34,0)</f>
        <v>9</v>
      </c>
      <c r="AF258" s="23" t="n">
        <v>5</v>
      </c>
      <c r="AG258" s="24" t="n">
        <f aca="false" t="array" ref="AG258:AG258">INDEX(Paramètres!$C$6:$C$12,$AF258)</f>
        <v>2.1</v>
      </c>
      <c r="AH258" s="23" t="n">
        <f aca="false" t="array" ref="AH258:AH258">INDEX(Paramètres!$D$6:$D$12,$AF258)</f>
        <v>6</v>
      </c>
      <c r="AI258" s="23" t="n">
        <f aca="false" t="array" ref="AI258:AI258">INDEX(Matériaux!$C$16:$C$20,$D258)</f>
        <v>19</v>
      </c>
      <c r="AJ258" s="25" t="n">
        <f aca="false">Paramètres!$B$16+(1-Paramètres!$B$16)*(($J258-Paramètres!$B$14)/(Paramètres!$B$15-Paramètres!$B$14))^Paramètres!$B$17</f>
        <v>0.05</v>
      </c>
    </row>
    <row r="259" customFormat="false" ht="15.75" hidden="false" customHeight="true" outlineLevel="0" collapsed="false">
      <c r="A259" s="14" t="s">
        <v>374</v>
      </c>
      <c r="B259" s="15" t="s">
        <v>27</v>
      </c>
      <c r="C259" s="15" t="s">
        <v>369</v>
      </c>
      <c r="D259" s="16" t="n">
        <v>1</v>
      </c>
      <c r="E259" s="15" t="str">
        <f aca="false" t="array" ref="E259:E259">INDEX(Matériaux!$B$5:$F$12,MATCH(INDEX(Profils!$E$5:$E$34,$AE259),Matériaux!$A$5:$A$12,0),$D259)</f>
        <v>bois</v>
      </c>
      <c r="F259" s="30" t="s">
        <v>119</v>
      </c>
      <c r="G259" s="10" t="str">
        <f aca="false" t="array" ref="G259:G259">INDEX(Profils!$D$5:$D$34,$AE259)&amp;" en "&amp;$E259</f>
        <v>Épée en bois</v>
      </c>
      <c r="H259" s="16" t="n">
        <f aca="false" t="array" ref="H259:H259">INDEX(Matériaux!$B$16:$B$20,$D259)</f>
        <v>1</v>
      </c>
      <c r="I259" s="16" t="n">
        <f aca="false">IF(ISNUMBER($C$3),MIN(MAX(0,ROUND($C$3,0)),$AI259),$AI259)</f>
        <v>0</v>
      </c>
      <c r="J259" s="18" t="n">
        <f aca="false">$H259+$I259</f>
        <v>1</v>
      </c>
      <c r="K259" s="15" t="s">
        <v>109</v>
      </c>
      <c r="L259" s="19" t="n">
        <f aca="false" t="array" ref="L259:L259">IF(AND(INDEX(Profils!$F$5:$F$34,$AE259)&gt;0,INDEX(Profils!$U$5:$U$34,$AE259)&lt;=$AH259),ROUND(INDEX(Profils!$F$5:$F$34,$AE259)*Paramètres!$E$22*$AG259*$AJ259,Paramètres!$F$22),0)</f>
        <v>2</v>
      </c>
      <c r="M259" s="19" t="n">
        <f aca="false" t="array" ref="M259:M259">IF(AND(INDEX(Profils!$G$5:$G$34,$AE259)&gt;0,INDEX(Profils!$V$5:$V$34,$AE259)&lt;=$AH259),ROUND(INDEX(Profils!$G$5:$G$34,$AE259)*Paramètres!$E$23*$AG259*$AJ259,Paramètres!$F$23),0)</f>
        <v>6</v>
      </c>
      <c r="N259" s="19" t="n">
        <f aca="false" t="array" ref="N259:N259">IF(AND(INDEX(Profils!$H$5:$H$34,$AE259)&gt;0,INDEX(Profils!$W$5:$W$34,$AE259)&lt;=$AH259),ROUND(INDEX(Profils!$H$5:$H$34,$AE259)*Paramètres!$E$24*$AG259*$AJ259,Paramètres!$F$24),0)</f>
        <v>0</v>
      </c>
      <c r="O259" s="19" t="n">
        <f aca="false" t="array" ref="O259:O259">IF(AND(INDEX(Profils!$I$5:$I$34,$AE259)&gt;0,INDEX(Profils!$X$5:$X$34,$AE259)&lt;=$AH259),ROUND(INDEX(Profils!$I$5:$I$34,$AE259)*Paramètres!$E$25*$AG259*$AJ259,Paramètres!$F$25),0)</f>
        <v>0</v>
      </c>
      <c r="P259" s="19" t="n">
        <f aca="false" t="array" ref="P259:P259">IF(AND(INDEX(Profils!$J$5:$J$34,$AE259)&gt;0,INDEX(Profils!$Y$5:$Y$34,$AE259)&lt;=$AH259),ROUND(INDEX(Profils!$J$5:$J$34,$AE259)*Paramètres!$E$26*$AG259*$AJ259,Paramètres!$F$26),0)</f>
        <v>1</v>
      </c>
      <c r="Q259" s="19" t="n">
        <f aca="false" t="array" ref="Q259:Q259">IF(AND(INDEX(Profils!$K$5:$K$34,$AE259)&gt;0,INDEX(Profils!$Z$5:$Z$34,$AE259)&lt;=$AH259),ROUND(INDEX(Profils!$K$5:$K$34,$AE259)*Paramètres!$E$27*$AG259*$AJ259,Paramètres!$F$27),0)</f>
        <v>0</v>
      </c>
      <c r="R259" s="20" t="n">
        <f aca="false" t="array" ref="R259:R259">IF(AND(INDEX(Profils!$L$5:$L$34,$AE259)&gt;0,INDEX(Profils!$AA$5:$AA$34,$AE259)&lt;=$AH259),ROUND(INDEX(Profils!$L$5:$L$34,$AE259)*Paramètres!$E$28*$AG259*$AJ259,Paramètres!$F$28),0)</f>
        <v>0.003</v>
      </c>
      <c r="S259" s="20" t="n">
        <f aca="false" t="array" ref="S259:S259">IF(AND(INDEX(Profils!$M$5:$M$34,$AE259)&gt;0,INDEX(Profils!$AB$5:$AB$34,$AE259)&lt;=$AH259),ROUND(INDEX(Profils!$M$5:$M$34,$AE259)*Paramètres!$E$29*$AG259*$AJ259,Paramètres!$F$29),0)</f>
        <v>0.002</v>
      </c>
      <c r="T259" s="20" t="n">
        <f aca="false" t="array" ref="T259:T259">IF(AND(INDEX(Profils!$N$5:$N$34,$AE259)&gt;0,INDEX(Profils!$AC$5:$AC$34,$AE259)&lt;=$AH259),ROUND(INDEX(Profils!$N$5:$N$34,$AE259)*Paramètres!$E$30*$AG259*$AJ259,Paramètres!$F$30),0)</f>
        <v>0.005</v>
      </c>
      <c r="U259" s="19" t="n">
        <f aca="false" t="array" ref="U259:U259">IF(AND(INDEX(Profils!$O$5:$O$34,$AE259)&gt;0,INDEX(Profils!$AD$5:$AD$34,$AE259)&lt;=$AH259),ROUND(INDEX(Profils!$O$5:$O$34,$AE259)*Paramètres!$E$31*$AG259*$AJ259,Paramètres!$F$31),0)</f>
        <v>0</v>
      </c>
      <c r="V259" s="20" t="n">
        <f aca="false" t="array" ref="V259:V259">IF(AND(INDEX(Profils!$P$5:$P$34,$AE259)&gt;0,INDEX(Profils!$AE$5:$AE$34,$AE259)&lt;=$AH259),ROUND(INDEX(Profils!$P$5:$P$34,$AE259)*Paramètres!$E$32*$AG259*$AJ259,Paramètres!$F$32),0)</f>
        <v>0.003</v>
      </c>
      <c r="W259" s="20" t="n">
        <f aca="false" t="array" ref="W259:W259">IF(AND(INDEX(Profils!$Q$5:$Q$34,$AE259)&gt;0,INDEX(Profils!$AF$5:$AF$34,$AE259)&lt;=$AH259),ROUND(INDEX(Profils!$Q$5:$Q$34,$AE259)*Paramètres!$E$33*$AG259*$AJ259,Paramètres!$F$33),0)</f>
        <v>0</v>
      </c>
      <c r="X259" s="20" t="n">
        <f aca="false" t="array" ref="X259:X259">IF(AND(INDEX(Profils!$R$5:$R$34,$AE259)&gt;0,INDEX(Profils!$AG$5:$AG$34,$AE259)&lt;=$AH259),ROUND(INDEX(Profils!$R$5:$R$34,$AE259)*Paramètres!$E$34*$AG259*$AJ259,Paramètres!$F$34),0)</f>
        <v>0</v>
      </c>
      <c r="Y259" s="20" t="n">
        <f aca="false" t="array" ref="Y259:Y259">IF(AND(INDEX(Profils!$S$5:$S$34,$AE259)&gt;0,INDEX(Profils!$AH$5:$AH$34,$AE259)&lt;=$AH259),ROUND(INDEX(Profils!$S$5:$S$34,$AE259)*Paramètres!$E$35*$AG259*$AJ259,Paramètres!$F$35),0)</f>
        <v>0</v>
      </c>
      <c r="Z259" s="21" t="n">
        <f aca="false">ROUND(L259/Paramètres!$E$22+M259/Paramètres!$E$23+N259/Paramètres!$E$24+O259/Paramètres!$E$25+P259/Paramètres!$E$26+Q259/Paramètres!$E$27+R259/Paramètres!$E$28+S259/Paramètres!$E$29+T259/Paramètres!$E$30+U259/Paramètres!$E$31+V259/Paramètres!$E$32+W259/Paramètres!$E$33+X259/Paramètres!$E$34+Y259/Paramètres!$E$35,1)</f>
        <v>1.3</v>
      </c>
      <c r="AA259" s="22" t="s">
        <v>109</v>
      </c>
      <c r="AB259" s="22" t="s">
        <v>109</v>
      </c>
      <c r="AC259" s="15" t="str">
        <f aca="false">$E259</f>
        <v>bois</v>
      </c>
      <c r="AD259" s="16" t="n">
        <f aca="false" t="array" ref="AD259:AD259">IF($I259&gt;=$AI259,"Max",ROUND(Paramètres!$B$40*($I259+1)^Paramètres!$B$41*INDEX(Paramètres!$H$6:$H$12,$AF259),0))</f>
        <v>8</v>
      </c>
      <c r="AE259" s="23" t="n">
        <f aca="false">MATCH($B259&amp;"|"&amp;$C259,Profils!$A$5:$A$34,0)</f>
        <v>9</v>
      </c>
      <c r="AF259" s="23" t="n">
        <v>6</v>
      </c>
      <c r="AG259" s="24" t="n">
        <f aca="false" t="array" ref="AG259:AG259">INDEX(Paramètres!$C$6:$C$12,$AF259)</f>
        <v>2.4</v>
      </c>
      <c r="AH259" s="23" t="n">
        <f aca="false" t="array" ref="AH259:AH259">INDEX(Paramètres!$D$6:$D$12,$AF259)</f>
        <v>7</v>
      </c>
      <c r="AI259" s="23" t="n">
        <f aca="false" t="array" ref="AI259:AI259">INDEX(Matériaux!$C$16:$C$20,$D259)</f>
        <v>19</v>
      </c>
      <c r="AJ259" s="25" t="n">
        <f aca="false">Paramètres!$B$16+(1-Paramètres!$B$16)*(($J259-Paramètres!$B$14)/(Paramètres!$B$15-Paramètres!$B$14))^Paramètres!$B$17</f>
        <v>0.05</v>
      </c>
    </row>
    <row r="260" customFormat="false" ht="15.75" hidden="false" customHeight="true" outlineLevel="0" collapsed="false">
      <c r="A260" s="14" t="s">
        <v>375</v>
      </c>
      <c r="B260" s="15" t="s">
        <v>27</v>
      </c>
      <c r="C260" s="15" t="s">
        <v>369</v>
      </c>
      <c r="D260" s="16" t="n">
        <v>2</v>
      </c>
      <c r="E260" s="15" t="str">
        <f aca="false" t="array" ref="E260:E260">INDEX(Matériaux!$B$5:$F$12,MATCH(INDEX(Profils!$E$5:$E$34,$AE260),Matériaux!$A$5:$A$12,0),$D260)</f>
        <v>fer</v>
      </c>
      <c r="F260" s="17" t="s">
        <v>108</v>
      </c>
      <c r="G260" s="10" t="str">
        <f aca="false" t="array" ref="G260:G260">INDEX(Profils!$D$5:$D$34,$AE260)&amp;" en "&amp;$E260</f>
        <v>Épée en fer</v>
      </c>
      <c r="H260" s="16" t="n">
        <f aca="false" t="array" ref="H260:H260">INDEX(Matériaux!$B$16:$B$20,$D260)</f>
        <v>15</v>
      </c>
      <c r="I260" s="16" t="n">
        <f aca="false">IF(ISNUMBER($C$3),MIN(MAX(0,ROUND($C$3,0)),$AI260),$AI260)</f>
        <v>0</v>
      </c>
      <c r="J260" s="18" t="n">
        <f aca="false">$H260+$I260</f>
        <v>15</v>
      </c>
      <c r="K260" s="15" t="s">
        <v>109</v>
      </c>
      <c r="L260" s="19" t="n">
        <f aca="false" t="array" ref="L260:L260">IF(AND(INDEX(Profils!$F$5:$F$34,$AE260)&gt;0,INDEX(Profils!$U$5:$U$34,$AE260)&lt;=$AH260),ROUND(INDEX(Profils!$F$5:$F$34,$AE260)*Paramètres!$E$22*$AG260*$AJ260,Paramètres!$F$22),0)</f>
        <v>0</v>
      </c>
      <c r="M260" s="19" t="n">
        <f aca="false" t="array" ref="M260:M260">IF(AND(INDEX(Profils!$G$5:$G$34,$AE260)&gt;0,INDEX(Profils!$V$5:$V$34,$AE260)&lt;=$AH260),ROUND(INDEX(Profils!$G$5:$G$34,$AE260)*Paramètres!$E$23*$AG260*$AJ260,Paramètres!$F$23),0)</f>
        <v>7</v>
      </c>
      <c r="N260" s="19" t="n">
        <f aca="false" t="array" ref="N260:N260">IF(AND(INDEX(Profils!$H$5:$H$34,$AE260)&gt;0,INDEX(Profils!$W$5:$W$34,$AE260)&lt;=$AH260),ROUND(INDEX(Profils!$H$5:$H$34,$AE260)*Paramètres!$E$24*$AG260*$AJ260,Paramètres!$F$24),0)</f>
        <v>0</v>
      </c>
      <c r="O260" s="19" t="n">
        <f aca="false" t="array" ref="O260:O260">IF(AND(INDEX(Profils!$I$5:$I$34,$AE260)&gt;0,INDEX(Profils!$X$5:$X$34,$AE260)&lt;=$AH260),ROUND(INDEX(Profils!$I$5:$I$34,$AE260)*Paramètres!$E$25*$AG260*$AJ260,Paramètres!$F$25),0)</f>
        <v>0</v>
      </c>
      <c r="P260" s="19" t="n">
        <f aca="false" t="array" ref="P260:P260">IF(AND(INDEX(Profils!$J$5:$J$34,$AE260)&gt;0,INDEX(Profils!$Y$5:$Y$34,$AE260)&lt;=$AH260),ROUND(INDEX(Profils!$J$5:$J$34,$AE260)*Paramètres!$E$26*$AG260*$AJ260,Paramètres!$F$26),0)</f>
        <v>0</v>
      </c>
      <c r="Q260" s="19" t="n">
        <f aca="false" t="array" ref="Q260:Q260">IF(AND(INDEX(Profils!$K$5:$K$34,$AE260)&gt;0,INDEX(Profils!$Z$5:$Z$34,$AE260)&lt;=$AH260),ROUND(INDEX(Profils!$K$5:$K$34,$AE260)*Paramètres!$E$27*$AG260*$AJ260,Paramètres!$F$27),0)</f>
        <v>0</v>
      </c>
      <c r="R260" s="20" t="n">
        <f aca="false" t="array" ref="R260:R260">IF(AND(INDEX(Profils!$L$5:$L$34,$AE260)&gt;0,INDEX(Profils!$AA$5:$AA$34,$AE260)&lt;=$AH260),ROUND(INDEX(Profils!$L$5:$L$34,$AE260)*Paramètres!$E$28*$AG260*$AJ260,Paramètres!$F$28),0)</f>
        <v>0.003</v>
      </c>
      <c r="S260" s="20" t="n">
        <f aca="false" t="array" ref="S260:S260">IF(AND(INDEX(Profils!$M$5:$M$34,$AE260)&gt;0,INDEX(Profils!$AB$5:$AB$34,$AE260)&lt;=$AH260),ROUND(INDEX(Profils!$M$5:$M$34,$AE260)*Paramètres!$E$29*$AG260*$AJ260,Paramètres!$F$29),0)</f>
        <v>0</v>
      </c>
      <c r="T260" s="20" t="n">
        <f aca="false" t="array" ref="T260:T260">IF(AND(INDEX(Profils!$N$5:$N$34,$AE260)&gt;0,INDEX(Profils!$AC$5:$AC$34,$AE260)&lt;=$AH260),ROUND(INDEX(Profils!$N$5:$N$34,$AE260)*Paramètres!$E$30*$AG260*$AJ260,Paramètres!$F$30),0)</f>
        <v>0</v>
      </c>
      <c r="U260" s="19" t="n">
        <f aca="false" t="array" ref="U260:U260">IF(AND(INDEX(Profils!$O$5:$O$34,$AE260)&gt;0,INDEX(Profils!$AD$5:$AD$34,$AE260)&lt;=$AH260),ROUND(INDEX(Profils!$O$5:$O$34,$AE260)*Paramètres!$E$31*$AG260*$AJ260,Paramètres!$F$31),0)</f>
        <v>0</v>
      </c>
      <c r="V260" s="20" t="n">
        <f aca="false" t="array" ref="V260:V260">IF(AND(INDEX(Profils!$P$5:$P$34,$AE260)&gt;0,INDEX(Profils!$AE$5:$AE$34,$AE260)&lt;=$AH260),ROUND(INDEX(Profils!$P$5:$P$34,$AE260)*Paramètres!$E$32*$AG260*$AJ260,Paramètres!$F$32),0)</f>
        <v>0</v>
      </c>
      <c r="W260" s="20" t="n">
        <f aca="false" t="array" ref="W260:W260">IF(AND(INDEX(Profils!$Q$5:$Q$34,$AE260)&gt;0,INDEX(Profils!$AF$5:$AF$34,$AE260)&lt;=$AH260),ROUND(INDEX(Profils!$Q$5:$Q$34,$AE260)*Paramètres!$E$33*$AG260*$AJ260,Paramètres!$F$33),0)</f>
        <v>0</v>
      </c>
      <c r="X260" s="20" t="n">
        <f aca="false" t="array" ref="X260:X260">IF(AND(INDEX(Profils!$R$5:$R$34,$AE260)&gt;0,INDEX(Profils!$AG$5:$AG$34,$AE260)&lt;=$AH260),ROUND(INDEX(Profils!$R$5:$R$34,$AE260)*Paramètres!$E$34*$AG260*$AJ260,Paramètres!$F$34),0)</f>
        <v>0</v>
      </c>
      <c r="Y260" s="20" t="n">
        <f aca="false" t="array" ref="Y260:Y260">IF(AND(INDEX(Profils!$S$5:$S$34,$AE260)&gt;0,INDEX(Profils!$AH$5:$AH$34,$AE260)&lt;=$AH260),ROUND(INDEX(Profils!$S$5:$S$34,$AE260)*Paramètres!$E$35*$AG260*$AJ260,Paramètres!$F$35),0)</f>
        <v>0</v>
      </c>
      <c r="Z260" s="21" t="n">
        <f aca="false">ROUND(L260/Paramètres!$E$22+M260/Paramètres!$E$23+N260/Paramètres!$E$24+O260/Paramètres!$E$25+P260/Paramètres!$E$26+Q260/Paramètres!$E$27+R260/Paramètres!$E$28+S260/Paramètres!$E$29+T260/Paramètres!$E$30+U260/Paramètres!$E$31+V260/Paramètres!$E$32+W260/Paramètres!$E$33+X260/Paramètres!$E$34+Y260/Paramètres!$E$35,1)</f>
        <v>0.7</v>
      </c>
      <c r="AA260" s="22" t="s">
        <v>109</v>
      </c>
      <c r="AB260" s="22" t="s">
        <v>109</v>
      </c>
      <c r="AC260" s="15" t="str">
        <f aca="false">$E260</f>
        <v>fer</v>
      </c>
      <c r="AD260" s="16" t="n">
        <f aca="false" t="array" ref="AD260:AD260">IF($I260&gt;=$AI260,"Max",ROUND(Paramètres!$B$40*($I260+1)^Paramètres!$B$41*INDEX(Paramètres!$H$6:$H$12,$AF260),0))</f>
        <v>3</v>
      </c>
      <c r="AE260" s="23" t="n">
        <f aca="false">MATCH($B260&amp;"|"&amp;$C260,Profils!$A$5:$A$34,0)</f>
        <v>9</v>
      </c>
      <c r="AF260" s="23" t="n">
        <v>1</v>
      </c>
      <c r="AG260" s="24" t="n">
        <f aca="false" t="array" ref="AG260:AG260">INDEX(Paramètres!$C$6:$C$12,$AF260)</f>
        <v>1</v>
      </c>
      <c r="AH260" s="23" t="n">
        <f aca="false" t="array" ref="AH260:AH260">INDEX(Paramètres!$D$6:$D$12,$AF260)</f>
        <v>2</v>
      </c>
      <c r="AI260" s="23" t="n">
        <f aca="false" t="array" ref="AI260:AI260">INDEX(Matériaux!$C$16:$C$20,$D260)</f>
        <v>20</v>
      </c>
      <c r="AJ260" s="25" t="n">
        <f aca="false">Paramètres!$B$16+(1-Paramètres!$B$16)*(($J260-Paramètres!$B$14)/(Paramètres!$B$15-Paramètres!$B$14))^Paramètres!$B$17</f>
        <v>0.140847925475674</v>
      </c>
    </row>
    <row r="261" customFormat="false" ht="15.75" hidden="false" customHeight="true" outlineLevel="0" collapsed="false">
      <c r="A261" s="14" t="s">
        <v>376</v>
      </c>
      <c r="B261" s="15" t="s">
        <v>27</v>
      </c>
      <c r="C261" s="15" t="s">
        <v>369</v>
      </c>
      <c r="D261" s="16" t="n">
        <v>2</v>
      </c>
      <c r="E261" s="15" t="str">
        <f aca="false" t="array" ref="E261:E261">INDEX(Matériaux!$B$5:$F$12,MATCH(INDEX(Profils!$E$5:$E$34,$AE261),Matériaux!$A$5:$A$12,0),$D261)</f>
        <v>fer</v>
      </c>
      <c r="F261" s="26" t="s">
        <v>111</v>
      </c>
      <c r="G261" s="10" t="str">
        <f aca="false" t="array" ref="G261:G261">INDEX(Profils!$D$5:$D$34,$AE261)&amp;" en "&amp;$E261</f>
        <v>Épée en fer</v>
      </c>
      <c r="H261" s="16" t="n">
        <f aca="false" t="array" ref="H261:H261">INDEX(Matériaux!$B$16:$B$20,$D261)</f>
        <v>15</v>
      </c>
      <c r="I261" s="16" t="n">
        <f aca="false">IF(ISNUMBER($C$3),MIN(MAX(0,ROUND($C$3,0)),$AI261),$AI261)</f>
        <v>0</v>
      </c>
      <c r="J261" s="18" t="n">
        <f aca="false">$H261+$I261</f>
        <v>15</v>
      </c>
      <c r="K261" s="15" t="s">
        <v>109</v>
      </c>
      <c r="L261" s="19" t="n">
        <f aca="false" t="array" ref="L261:L261">IF(AND(INDEX(Profils!$F$5:$F$34,$AE261)&gt;0,INDEX(Profils!$U$5:$U$34,$AE261)&lt;=$AH261),ROUND(INDEX(Profils!$F$5:$F$34,$AE261)*Paramètres!$E$22*$AG261*$AJ261,Paramètres!$F$22),0)</f>
        <v>0</v>
      </c>
      <c r="M261" s="19" t="n">
        <f aca="false" t="array" ref="M261:M261">IF(AND(INDEX(Profils!$G$5:$G$34,$AE261)&gt;0,INDEX(Profils!$V$5:$V$34,$AE261)&lt;=$AH261),ROUND(INDEX(Profils!$G$5:$G$34,$AE261)*Paramètres!$E$23*$AG261*$AJ261,Paramètres!$F$23),0)</f>
        <v>8</v>
      </c>
      <c r="N261" s="19" t="n">
        <f aca="false" t="array" ref="N261:N261">IF(AND(INDEX(Profils!$H$5:$H$34,$AE261)&gt;0,INDEX(Profils!$W$5:$W$34,$AE261)&lt;=$AH261),ROUND(INDEX(Profils!$H$5:$H$34,$AE261)*Paramètres!$E$24*$AG261*$AJ261,Paramètres!$F$24),0)</f>
        <v>0</v>
      </c>
      <c r="O261" s="19" t="n">
        <f aca="false" t="array" ref="O261:O261">IF(AND(INDEX(Profils!$I$5:$I$34,$AE261)&gt;0,INDEX(Profils!$X$5:$X$34,$AE261)&lt;=$AH261),ROUND(INDEX(Profils!$I$5:$I$34,$AE261)*Paramètres!$E$25*$AG261*$AJ261,Paramètres!$F$25),0)</f>
        <v>0</v>
      </c>
      <c r="P261" s="19" t="n">
        <f aca="false" t="array" ref="P261:P261">IF(AND(INDEX(Profils!$J$5:$J$34,$AE261)&gt;0,INDEX(Profils!$Y$5:$Y$34,$AE261)&lt;=$AH261),ROUND(INDEX(Profils!$J$5:$J$34,$AE261)*Paramètres!$E$26*$AG261*$AJ261,Paramètres!$F$26),0)</f>
        <v>0</v>
      </c>
      <c r="Q261" s="19" t="n">
        <f aca="false" t="array" ref="Q261:Q261">IF(AND(INDEX(Profils!$K$5:$K$34,$AE261)&gt;0,INDEX(Profils!$Z$5:$Z$34,$AE261)&lt;=$AH261),ROUND(INDEX(Profils!$K$5:$K$34,$AE261)*Paramètres!$E$27*$AG261*$AJ261,Paramètres!$F$27),0)</f>
        <v>0</v>
      </c>
      <c r="R261" s="20" t="n">
        <f aca="false" t="array" ref="R261:R261">IF(AND(INDEX(Profils!$L$5:$L$34,$AE261)&gt;0,INDEX(Profils!$AA$5:$AA$34,$AE261)&lt;=$AH261),ROUND(INDEX(Profils!$L$5:$L$34,$AE261)*Paramètres!$E$28*$AG261*$AJ261,Paramètres!$F$28),0)</f>
        <v>0.004</v>
      </c>
      <c r="S261" s="20" t="n">
        <f aca="false" t="array" ref="S261:S261">IF(AND(INDEX(Profils!$M$5:$M$34,$AE261)&gt;0,INDEX(Profils!$AB$5:$AB$34,$AE261)&lt;=$AH261),ROUND(INDEX(Profils!$M$5:$M$34,$AE261)*Paramètres!$E$29*$AG261*$AJ261,Paramètres!$F$29),0)</f>
        <v>0</v>
      </c>
      <c r="T261" s="20" t="n">
        <f aca="false" t="array" ref="T261:T261">IF(AND(INDEX(Profils!$N$5:$N$34,$AE261)&gt;0,INDEX(Profils!$AC$5:$AC$34,$AE261)&lt;=$AH261),ROUND(INDEX(Profils!$N$5:$N$34,$AE261)*Paramètres!$E$30*$AG261*$AJ261,Paramètres!$F$30),0)</f>
        <v>0.008</v>
      </c>
      <c r="U261" s="19" t="n">
        <f aca="false" t="array" ref="U261:U261">IF(AND(INDEX(Profils!$O$5:$O$34,$AE261)&gt;0,INDEX(Profils!$AD$5:$AD$34,$AE261)&lt;=$AH261),ROUND(INDEX(Profils!$O$5:$O$34,$AE261)*Paramètres!$E$31*$AG261*$AJ261,Paramètres!$F$31),0)</f>
        <v>0</v>
      </c>
      <c r="V261" s="20" t="n">
        <f aca="false" t="array" ref="V261:V261">IF(AND(INDEX(Profils!$P$5:$P$34,$AE261)&gt;0,INDEX(Profils!$AE$5:$AE$34,$AE261)&lt;=$AH261),ROUND(INDEX(Profils!$P$5:$P$34,$AE261)*Paramètres!$E$32*$AG261*$AJ261,Paramètres!$F$32),0)</f>
        <v>0</v>
      </c>
      <c r="W261" s="20" t="n">
        <f aca="false" t="array" ref="W261:W261">IF(AND(INDEX(Profils!$Q$5:$Q$34,$AE261)&gt;0,INDEX(Profils!$AF$5:$AF$34,$AE261)&lt;=$AH261),ROUND(INDEX(Profils!$Q$5:$Q$34,$AE261)*Paramètres!$E$33*$AG261*$AJ261,Paramètres!$F$33),0)</f>
        <v>0</v>
      </c>
      <c r="X261" s="20" t="n">
        <f aca="false" t="array" ref="X261:X261">IF(AND(INDEX(Profils!$R$5:$R$34,$AE261)&gt;0,INDEX(Profils!$AG$5:$AG$34,$AE261)&lt;=$AH261),ROUND(INDEX(Profils!$R$5:$R$34,$AE261)*Paramètres!$E$34*$AG261*$AJ261,Paramètres!$F$34),0)</f>
        <v>0</v>
      </c>
      <c r="Y261" s="20" t="n">
        <f aca="false" t="array" ref="Y261:Y261">IF(AND(INDEX(Profils!$S$5:$S$34,$AE261)&gt;0,INDEX(Profils!$AH$5:$AH$34,$AE261)&lt;=$AH261),ROUND(INDEX(Profils!$S$5:$S$34,$AE261)*Paramètres!$E$35*$AG261*$AJ261,Paramètres!$F$35),0)</f>
        <v>0</v>
      </c>
      <c r="Z261" s="21" t="n">
        <f aca="false">ROUND(L261/Paramètres!$E$22+M261/Paramètres!$E$23+N261/Paramètres!$E$24+O261/Paramètres!$E$25+P261/Paramètres!$E$26+Q261/Paramètres!$E$27+R261/Paramètres!$E$28+S261/Paramètres!$E$29+T261/Paramètres!$E$30+U261/Paramètres!$E$31+V261/Paramètres!$E$32+W261/Paramètres!$E$33+X261/Paramètres!$E$34+Y261/Paramètres!$E$35,1)</f>
        <v>1.1</v>
      </c>
      <c r="AA261" s="22" t="s">
        <v>109</v>
      </c>
      <c r="AB261" s="22" t="s">
        <v>109</v>
      </c>
      <c r="AC261" s="15" t="str">
        <f aca="false">$E261</f>
        <v>fer</v>
      </c>
      <c r="AD261" s="16" t="n">
        <f aca="false" t="array" ref="AD261:AD261">IF($I261&gt;=$AI261,"Max",ROUND(Paramètres!$B$40*($I261+1)^Paramètres!$B$41*INDEX(Paramètres!$H$6:$H$12,$AF261),0))</f>
        <v>4</v>
      </c>
      <c r="AE261" s="23" t="n">
        <f aca="false">MATCH($B261&amp;"|"&amp;$C261,Profils!$A$5:$A$34,0)</f>
        <v>9</v>
      </c>
      <c r="AF261" s="23" t="n">
        <v>2</v>
      </c>
      <c r="AG261" s="24" t="n">
        <f aca="false" t="array" ref="AG261:AG261">INDEX(Paramètres!$C$6:$C$12,$AF261)</f>
        <v>1.2</v>
      </c>
      <c r="AH261" s="23" t="n">
        <f aca="false" t="array" ref="AH261:AH261">INDEX(Paramètres!$D$6:$D$12,$AF261)</f>
        <v>3</v>
      </c>
      <c r="AI261" s="23" t="n">
        <f aca="false" t="array" ref="AI261:AI261">INDEX(Matériaux!$C$16:$C$20,$D261)</f>
        <v>20</v>
      </c>
      <c r="AJ261" s="25" t="n">
        <f aca="false">Paramètres!$B$16+(1-Paramètres!$B$16)*(($J261-Paramètres!$B$14)/(Paramètres!$B$15-Paramètres!$B$14))^Paramètres!$B$17</f>
        <v>0.140847925475674</v>
      </c>
    </row>
    <row r="262" customFormat="false" ht="15.75" hidden="false" customHeight="true" outlineLevel="0" collapsed="false">
      <c r="A262" s="14" t="s">
        <v>377</v>
      </c>
      <c r="B262" s="15" t="s">
        <v>27</v>
      </c>
      <c r="C262" s="15" t="s">
        <v>369</v>
      </c>
      <c r="D262" s="16" t="n">
        <v>2</v>
      </c>
      <c r="E262" s="15" t="str">
        <f aca="false" t="array" ref="E262:E262">INDEX(Matériaux!$B$5:$F$12,MATCH(INDEX(Profils!$E$5:$E$34,$AE262),Matériaux!$A$5:$A$12,0),$D262)</f>
        <v>fer</v>
      </c>
      <c r="F262" s="27" t="s">
        <v>113</v>
      </c>
      <c r="G262" s="10" t="str">
        <f aca="false" t="array" ref="G262:G262">INDEX(Profils!$D$5:$D$34,$AE262)&amp;" en "&amp;$E262</f>
        <v>Épée en fer</v>
      </c>
      <c r="H262" s="16" t="n">
        <f aca="false" t="array" ref="H262:H262">INDEX(Matériaux!$B$16:$B$20,$D262)</f>
        <v>15</v>
      </c>
      <c r="I262" s="16" t="n">
        <f aca="false">IF(ISNUMBER($C$3),MIN(MAX(0,ROUND($C$3,0)),$AI262),$AI262)</f>
        <v>0</v>
      </c>
      <c r="J262" s="18" t="n">
        <f aca="false">$H262+$I262</f>
        <v>15</v>
      </c>
      <c r="K262" s="15" t="s">
        <v>109</v>
      </c>
      <c r="L262" s="19" t="n">
        <f aca="false" t="array" ref="L262:L262">IF(AND(INDEX(Profils!$F$5:$F$34,$AE262)&gt;0,INDEX(Profils!$U$5:$U$34,$AE262)&lt;=$AH262),ROUND(INDEX(Profils!$F$5:$F$34,$AE262)*Paramètres!$E$22*$AG262*$AJ262,Paramètres!$F$22),0)</f>
        <v>0</v>
      </c>
      <c r="M262" s="19" t="n">
        <f aca="false" t="array" ref="M262:M262">IF(AND(INDEX(Profils!$G$5:$G$34,$AE262)&gt;0,INDEX(Profils!$V$5:$V$34,$AE262)&lt;=$AH262),ROUND(INDEX(Profils!$G$5:$G$34,$AE262)*Paramètres!$E$23*$AG262*$AJ262,Paramètres!$F$23),0)</f>
        <v>10</v>
      </c>
      <c r="N262" s="19" t="n">
        <f aca="false" t="array" ref="N262:N262">IF(AND(INDEX(Profils!$H$5:$H$34,$AE262)&gt;0,INDEX(Profils!$W$5:$W$34,$AE262)&lt;=$AH262),ROUND(INDEX(Profils!$H$5:$H$34,$AE262)*Paramètres!$E$24*$AG262*$AJ262,Paramètres!$F$24),0)</f>
        <v>0</v>
      </c>
      <c r="O262" s="19" t="n">
        <f aca="false" t="array" ref="O262:O262">IF(AND(INDEX(Profils!$I$5:$I$34,$AE262)&gt;0,INDEX(Profils!$X$5:$X$34,$AE262)&lt;=$AH262),ROUND(INDEX(Profils!$I$5:$I$34,$AE262)*Paramètres!$E$25*$AG262*$AJ262,Paramètres!$F$25),0)</f>
        <v>0</v>
      </c>
      <c r="P262" s="19" t="n">
        <f aca="false" t="array" ref="P262:P262">IF(AND(INDEX(Profils!$J$5:$J$34,$AE262)&gt;0,INDEX(Profils!$Y$5:$Y$34,$AE262)&lt;=$AH262),ROUND(INDEX(Profils!$J$5:$J$34,$AE262)*Paramètres!$E$26*$AG262*$AJ262,Paramètres!$F$26),0)</f>
        <v>0</v>
      </c>
      <c r="Q262" s="19" t="n">
        <f aca="false" t="array" ref="Q262:Q262">IF(AND(INDEX(Profils!$K$5:$K$34,$AE262)&gt;0,INDEX(Profils!$Z$5:$Z$34,$AE262)&lt;=$AH262),ROUND(INDEX(Profils!$K$5:$K$34,$AE262)*Paramètres!$E$27*$AG262*$AJ262,Paramètres!$F$27),0)</f>
        <v>0</v>
      </c>
      <c r="R262" s="20" t="n">
        <f aca="false" t="array" ref="R262:R262">IF(AND(INDEX(Profils!$L$5:$L$34,$AE262)&gt;0,INDEX(Profils!$AA$5:$AA$34,$AE262)&lt;=$AH262),ROUND(INDEX(Profils!$L$5:$L$34,$AE262)*Paramètres!$E$28*$AG262*$AJ262,Paramètres!$F$28),0)</f>
        <v>0.005</v>
      </c>
      <c r="S262" s="20" t="n">
        <f aca="false" t="array" ref="S262:S262">IF(AND(INDEX(Profils!$M$5:$M$34,$AE262)&gt;0,INDEX(Profils!$AB$5:$AB$34,$AE262)&lt;=$AH262),ROUND(INDEX(Profils!$M$5:$M$34,$AE262)*Paramètres!$E$29*$AG262*$AJ262,Paramètres!$F$29),0)</f>
        <v>0.003</v>
      </c>
      <c r="T262" s="20" t="n">
        <f aca="false" t="array" ref="T262:T262">IF(AND(INDEX(Profils!$N$5:$N$34,$AE262)&gt;0,INDEX(Profils!$AC$5:$AC$34,$AE262)&lt;=$AH262),ROUND(INDEX(Profils!$N$5:$N$34,$AE262)*Paramètres!$E$30*$AG262*$AJ262,Paramètres!$F$30),0)</f>
        <v>0.009</v>
      </c>
      <c r="U262" s="19" t="n">
        <f aca="false" t="array" ref="U262:U262">IF(AND(INDEX(Profils!$O$5:$O$34,$AE262)&gt;0,INDEX(Profils!$AD$5:$AD$34,$AE262)&lt;=$AH262),ROUND(INDEX(Profils!$O$5:$O$34,$AE262)*Paramètres!$E$31*$AG262*$AJ262,Paramètres!$F$31),0)</f>
        <v>0</v>
      </c>
      <c r="V262" s="20" t="n">
        <f aca="false" t="array" ref="V262:V262">IF(AND(INDEX(Profils!$P$5:$P$34,$AE262)&gt;0,INDEX(Profils!$AE$5:$AE$34,$AE262)&lt;=$AH262),ROUND(INDEX(Profils!$P$5:$P$34,$AE262)*Paramètres!$E$32*$AG262*$AJ262,Paramètres!$F$32),0)</f>
        <v>0</v>
      </c>
      <c r="W262" s="20" t="n">
        <f aca="false" t="array" ref="W262:W262">IF(AND(INDEX(Profils!$Q$5:$Q$34,$AE262)&gt;0,INDEX(Profils!$AF$5:$AF$34,$AE262)&lt;=$AH262),ROUND(INDEX(Profils!$Q$5:$Q$34,$AE262)*Paramètres!$E$33*$AG262*$AJ262,Paramètres!$F$33),0)</f>
        <v>0</v>
      </c>
      <c r="X262" s="20" t="n">
        <f aca="false" t="array" ref="X262:X262">IF(AND(INDEX(Profils!$R$5:$R$34,$AE262)&gt;0,INDEX(Profils!$AG$5:$AG$34,$AE262)&lt;=$AH262),ROUND(INDEX(Profils!$R$5:$R$34,$AE262)*Paramètres!$E$34*$AG262*$AJ262,Paramètres!$F$34),0)</f>
        <v>0</v>
      </c>
      <c r="Y262" s="20" t="n">
        <f aca="false" t="array" ref="Y262:Y262">IF(AND(INDEX(Profils!$S$5:$S$34,$AE262)&gt;0,INDEX(Profils!$AH$5:$AH$34,$AE262)&lt;=$AH262),ROUND(INDEX(Profils!$S$5:$S$34,$AE262)*Paramètres!$E$35*$AG262*$AJ262,Paramètres!$F$35),0)</f>
        <v>0</v>
      </c>
      <c r="Z262" s="21" t="n">
        <f aca="false">ROUND(L262/Paramètres!$E$22+M262/Paramètres!$E$23+N262/Paramètres!$E$24+O262/Paramètres!$E$25+P262/Paramètres!$E$26+Q262/Paramètres!$E$27+R262/Paramètres!$E$28+S262/Paramètres!$E$29+T262/Paramètres!$E$30+U262/Paramètres!$E$31+V262/Paramètres!$E$32+W262/Paramètres!$E$33+X262/Paramètres!$E$34+Y262/Paramètres!$E$35,1)</f>
        <v>1.6</v>
      </c>
      <c r="AA262" s="22" t="s">
        <v>109</v>
      </c>
      <c r="AB262" s="22" t="s">
        <v>109</v>
      </c>
      <c r="AC262" s="15" t="str">
        <f aca="false">$E262</f>
        <v>fer</v>
      </c>
      <c r="AD262" s="16" t="n">
        <f aca="false" t="array" ref="AD262:AD262">IF($I262&gt;=$AI262,"Max",ROUND(Paramètres!$B$40*($I262+1)^Paramètres!$B$41*INDEX(Paramètres!$H$6:$H$12,$AF262),0))</f>
        <v>4</v>
      </c>
      <c r="AE262" s="23" t="n">
        <f aca="false">MATCH($B262&amp;"|"&amp;$C262,Profils!$A$5:$A$34,0)</f>
        <v>9</v>
      </c>
      <c r="AF262" s="23" t="n">
        <v>3</v>
      </c>
      <c r="AG262" s="24" t="n">
        <f aca="false" t="array" ref="AG262:AG262">INDEX(Paramètres!$C$6:$C$12,$AF262)</f>
        <v>1.45</v>
      </c>
      <c r="AH262" s="23" t="n">
        <f aca="false" t="array" ref="AH262:AH262">INDEX(Paramètres!$D$6:$D$12,$AF262)</f>
        <v>4</v>
      </c>
      <c r="AI262" s="23" t="n">
        <f aca="false" t="array" ref="AI262:AI262">INDEX(Matériaux!$C$16:$C$20,$D262)</f>
        <v>20</v>
      </c>
      <c r="AJ262" s="25" t="n">
        <f aca="false">Paramètres!$B$16+(1-Paramètres!$B$16)*(($J262-Paramètres!$B$14)/(Paramètres!$B$15-Paramètres!$B$14))^Paramètres!$B$17</f>
        <v>0.140847925475674</v>
      </c>
    </row>
    <row r="263" customFormat="false" ht="15.75" hidden="false" customHeight="true" outlineLevel="0" collapsed="false">
      <c r="A263" s="14" t="s">
        <v>378</v>
      </c>
      <c r="B263" s="15" t="s">
        <v>27</v>
      </c>
      <c r="C263" s="15" t="s">
        <v>369</v>
      </c>
      <c r="D263" s="16" t="n">
        <v>2</v>
      </c>
      <c r="E263" s="15" t="str">
        <f aca="false" t="array" ref="E263:E263">INDEX(Matériaux!$B$5:$F$12,MATCH(INDEX(Profils!$E$5:$E$34,$AE263),Matériaux!$A$5:$A$12,0),$D263)</f>
        <v>fer</v>
      </c>
      <c r="F263" s="28" t="s">
        <v>115</v>
      </c>
      <c r="G263" s="10" t="str">
        <f aca="false" t="array" ref="G263:G263">INDEX(Profils!$D$5:$D$34,$AE263)&amp;" en "&amp;$E263</f>
        <v>Épée en fer</v>
      </c>
      <c r="H263" s="16" t="n">
        <f aca="false" t="array" ref="H263:H263">INDEX(Matériaux!$B$16:$B$20,$D263)</f>
        <v>15</v>
      </c>
      <c r="I263" s="16" t="n">
        <f aca="false">IF(ISNUMBER($C$3),MIN(MAX(0,ROUND($C$3,0)),$AI263),$AI263)</f>
        <v>0</v>
      </c>
      <c r="J263" s="18" t="n">
        <f aca="false">$H263+$I263</f>
        <v>15</v>
      </c>
      <c r="K263" s="15" t="s">
        <v>109</v>
      </c>
      <c r="L263" s="19" t="n">
        <f aca="false" t="array" ref="L263:L263">IF(AND(INDEX(Profils!$F$5:$F$34,$AE263)&gt;0,INDEX(Profils!$U$5:$U$34,$AE263)&lt;=$AH263),ROUND(INDEX(Profils!$F$5:$F$34,$AE263)*Paramètres!$E$22*$AG263*$AJ263,Paramètres!$F$22),0)</f>
        <v>0</v>
      </c>
      <c r="M263" s="19" t="n">
        <f aca="false" t="array" ref="M263:M263">IF(AND(INDEX(Profils!$G$5:$G$34,$AE263)&gt;0,INDEX(Profils!$V$5:$V$34,$AE263)&lt;=$AH263),ROUND(INDEX(Profils!$G$5:$G$34,$AE263)*Paramètres!$E$23*$AG263*$AJ263,Paramètres!$F$23),0)</f>
        <v>12</v>
      </c>
      <c r="N263" s="19" t="n">
        <f aca="false" t="array" ref="N263:N263">IF(AND(INDEX(Profils!$H$5:$H$34,$AE263)&gt;0,INDEX(Profils!$W$5:$W$34,$AE263)&lt;=$AH263),ROUND(INDEX(Profils!$H$5:$H$34,$AE263)*Paramètres!$E$24*$AG263*$AJ263,Paramètres!$F$24),0)</f>
        <v>0</v>
      </c>
      <c r="O263" s="19" t="n">
        <f aca="false" t="array" ref="O263:O263">IF(AND(INDEX(Profils!$I$5:$I$34,$AE263)&gt;0,INDEX(Profils!$X$5:$X$34,$AE263)&lt;=$AH263),ROUND(INDEX(Profils!$I$5:$I$34,$AE263)*Paramètres!$E$25*$AG263*$AJ263,Paramètres!$F$25),0)</f>
        <v>0</v>
      </c>
      <c r="P263" s="19" t="n">
        <f aca="false" t="array" ref="P263:P263">IF(AND(INDEX(Profils!$J$5:$J$34,$AE263)&gt;0,INDEX(Profils!$Y$5:$Y$34,$AE263)&lt;=$AH263),ROUND(INDEX(Profils!$J$5:$J$34,$AE263)*Paramètres!$E$26*$AG263*$AJ263,Paramètres!$F$26),0)</f>
        <v>0</v>
      </c>
      <c r="Q263" s="19" t="n">
        <f aca="false" t="array" ref="Q263:Q263">IF(AND(INDEX(Profils!$K$5:$K$34,$AE263)&gt;0,INDEX(Profils!$Z$5:$Z$34,$AE263)&lt;=$AH263),ROUND(INDEX(Profils!$K$5:$K$34,$AE263)*Paramètres!$E$27*$AG263*$AJ263,Paramètres!$F$27),0)</f>
        <v>0</v>
      </c>
      <c r="R263" s="20" t="n">
        <f aca="false" t="array" ref="R263:R263">IF(AND(INDEX(Profils!$L$5:$L$34,$AE263)&gt;0,INDEX(Profils!$AA$5:$AA$34,$AE263)&lt;=$AH263),ROUND(INDEX(Profils!$L$5:$L$34,$AE263)*Paramètres!$E$28*$AG263*$AJ263,Paramètres!$F$28),0)</f>
        <v>0.006</v>
      </c>
      <c r="S263" s="20" t="n">
        <f aca="false" t="array" ref="S263:S263">IF(AND(INDEX(Profils!$M$5:$M$34,$AE263)&gt;0,INDEX(Profils!$AB$5:$AB$34,$AE263)&lt;=$AH263),ROUND(INDEX(Profils!$M$5:$M$34,$AE263)*Paramètres!$E$29*$AG263*$AJ263,Paramètres!$F$29),0)</f>
        <v>0.004</v>
      </c>
      <c r="T263" s="20" t="n">
        <f aca="false" t="array" ref="T263:T263">IF(AND(INDEX(Profils!$N$5:$N$34,$AE263)&gt;0,INDEX(Profils!$AC$5:$AC$34,$AE263)&lt;=$AH263),ROUND(INDEX(Profils!$N$5:$N$34,$AE263)*Paramètres!$E$30*$AG263*$AJ263,Paramètres!$F$30),0)</f>
        <v>0.011</v>
      </c>
      <c r="U263" s="19" t="n">
        <f aca="false" t="array" ref="U263:U263">IF(AND(INDEX(Profils!$O$5:$O$34,$AE263)&gt;0,INDEX(Profils!$AD$5:$AD$34,$AE263)&lt;=$AH263),ROUND(INDEX(Profils!$O$5:$O$34,$AE263)*Paramètres!$E$31*$AG263*$AJ263,Paramètres!$F$31),0)</f>
        <v>0</v>
      </c>
      <c r="V263" s="20" t="n">
        <f aca="false" t="array" ref="V263:V263">IF(AND(INDEX(Profils!$P$5:$P$34,$AE263)&gt;0,INDEX(Profils!$AE$5:$AE$34,$AE263)&lt;=$AH263),ROUND(INDEX(Profils!$P$5:$P$34,$AE263)*Paramètres!$E$32*$AG263*$AJ263,Paramètres!$F$32),0)</f>
        <v>0.005</v>
      </c>
      <c r="W263" s="20" t="n">
        <f aca="false" t="array" ref="W263:W263">IF(AND(INDEX(Profils!$Q$5:$Q$34,$AE263)&gt;0,INDEX(Profils!$AF$5:$AF$34,$AE263)&lt;=$AH263),ROUND(INDEX(Profils!$Q$5:$Q$34,$AE263)*Paramètres!$E$33*$AG263*$AJ263,Paramètres!$F$33),0)</f>
        <v>0</v>
      </c>
      <c r="X263" s="20" t="n">
        <f aca="false" t="array" ref="X263:X263">IF(AND(INDEX(Profils!$R$5:$R$34,$AE263)&gt;0,INDEX(Profils!$AG$5:$AG$34,$AE263)&lt;=$AH263),ROUND(INDEX(Profils!$R$5:$R$34,$AE263)*Paramètres!$E$34*$AG263*$AJ263,Paramètres!$F$34),0)</f>
        <v>0</v>
      </c>
      <c r="Y263" s="20" t="n">
        <f aca="false" t="array" ref="Y263:Y263">IF(AND(INDEX(Profils!$S$5:$S$34,$AE263)&gt;0,INDEX(Profils!$AH$5:$AH$34,$AE263)&lt;=$AH263),ROUND(INDEX(Profils!$S$5:$S$34,$AE263)*Paramètres!$E$35*$AG263*$AJ263,Paramètres!$F$35),0)</f>
        <v>0</v>
      </c>
      <c r="Z263" s="21" t="n">
        <f aca="false">ROUND(L263/Paramètres!$E$22+M263/Paramètres!$E$23+N263/Paramètres!$E$24+O263/Paramètres!$E$25+P263/Paramètres!$E$26+Q263/Paramètres!$E$27+R263/Paramètres!$E$28+S263/Paramètres!$E$29+T263/Paramètres!$E$30+U263/Paramètres!$E$31+V263/Paramètres!$E$32+W263/Paramètres!$E$33+X263/Paramètres!$E$34+Y263/Paramètres!$E$35,1)</f>
        <v>2.2</v>
      </c>
      <c r="AA263" s="22" t="s">
        <v>109</v>
      </c>
      <c r="AB263" s="22" t="s">
        <v>109</v>
      </c>
      <c r="AC263" s="15" t="str">
        <f aca="false">$E263</f>
        <v>fer</v>
      </c>
      <c r="AD263" s="16" t="n">
        <f aca="false" t="array" ref="AD263:AD263">IF($I263&gt;=$AI263,"Max",ROUND(Paramètres!$B$40*($I263+1)^Paramètres!$B$41*INDEX(Paramètres!$H$6:$H$12,$AF263),0))</f>
        <v>5</v>
      </c>
      <c r="AE263" s="23" t="n">
        <f aca="false">MATCH($B263&amp;"|"&amp;$C263,Profils!$A$5:$A$34,0)</f>
        <v>9</v>
      </c>
      <c r="AF263" s="23" t="n">
        <v>4</v>
      </c>
      <c r="AG263" s="24" t="n">
        <f aca="false" t="array" ref="AG263:AG263">INDEX(Paramètres!$C$6:$C$12,$AF263)</f>
        <v>1.75</v>
      </c>
      <c r="AH263" s="23" t="n">
        <f aca="false" t="array" ref="AH263:AH263">INDEX(Paramètres!$D$6:$D$12,$AF263)</f>
        <v>5</v>
      </c>
      <c r="AI263" s="23" t="n">
        <f aca="false" t="array" ref="AI263:AI263">INDEX(Matériaux!$C$16:$C$20,$D263)</f>
        <v>20</v>
      </c>
      <c r="AJ263" s="25" t="n">
        <f aca="false">Paramètres!$B$16+(1-Paramètres!$B$16)*(($J263-Paramètres!$B$14)/(Paramètres!$B$15-Paramètres!$B$14))^Paramètres!$B$17</f>
        <v>0.140847925475674</v>
      </c>
    </row>
    <row r="264" customFormat="false" ht="15.75" hidden="false" customHeight="true" outlineLevel="0" collapsed="false">
      <c r="A264" s="14" t="s">
        <v>379</v>
      </c>
      <c r="B264" s="15" t="s">
        <v>27</v>
      </c>
      <c r="C264" s="15" t="s">
        <v>369</v>
      </c>
      <c r="D264" s="16" t="n">
        <v>2</v>
      </c>
      <c r="E264" s="15" t="str">
        <f aca="false" t="array" ref="E264:E264">INDEX(Matériaux!$B$5:$F$12,MATCH(INDEX(Profils!$E$5:$E$34,$AE264),Matériaux!$A$5:$A$12,0),$D264)</f>
        <v>fer</v>
      </c>
      <c r="F264" s="29" t="s">
        <v>117</v>
      </c>
      <c r="G264" s="10" t="str">
        <f aca="false" t="array" ref="G264:G264">INDEX(Profils!$D$5:$D$34,$AE264)&amp;" en "&amp;$E264</f>
        <v>Épée en fer</v>
      </c>
      <c r="H264" s="16" t="n">
        <f aca="false" t="array" ref="H264:H264">INDEX(Matériaux!$B$16:$B$20,$D264)</f>
        <v>15</v>
      </c>
      <c r="I264" s="16" t="n">
        <f aca="false">IF(ISNUMBER($C$3),MIN(MAX(0,ROUND($C$3,0)),$AI264),$AI264)</f>
        <v>0</v>
      </c>
      <c r="J264" s="18" t="n">
        <f aca="false">$H264+$I264</f>
        <v>15</v>
      </c>
      <c r="K264" s="15" t="s">
        <v>109</v>
      </c>
      <c r="L264" s="19" t="n">
        <f aca="false" t="array" ref="L264:L264">IF(AND(INDEX(Profils!$F$5:$F$34,$AE264)&gt;0,INDEX(Profils!$U$5:$U$34,$AE264)&lt;=$AH264),ROUND(INDEX(Profils!$F$5:$F$34,$AE264)*Paramètres!$E$22*$AG264*$AJ264,Paramètres!$F$22),0)</f>
        <v>6</v>
      </c>
      <c r="M264" s="19" t="n">
        <f aca="false" t="array" ref="M264:M264">IF(AND(INDEX(Profils!$G$5:$G$34,$AE264)&gt;0,INDEX(Profils!$V$5:$V$34,$AE264)&lt;=$AH264),ROUND(INDEX(Profils!$G$5:$G$34,$AE264)*Paramètres!$E$23*$AG264*$AJ264,Paramètres!$F$23),0)</f>
        <v>14</v>
      </c>
      <c r="N264" s="19" t="n">
        <f aca="false" t="array" ref="N264:N264">IF(AND(INDEX(Profils!$H$5:$H$34,$AE264)&gt;0,INDEX(Profils!$W$5:$W$34,$AE264)&lt;=$AH264),ROUND(INDEX(Profils!$H$5:$H$34,$AE264)*Paramètres!$E$24*$AG264*$AJ264,Paramètres!$F$24),0)</f>
        <v>0</v>
      </c>
      <c r="O264" s="19" t="n">
        <f aca="false" t="array" ref="O264:O264">IF(AND(INDEX(Profils!$I$5:$I$34,$AE264)&gt;0,INDEX(Profils!$X$5:$X$34,$AE264)&lt;=$AH264),ROUND(INDEX(Profils!$I$5:$I$34,$AE264)*Paramètres!$E$25*$AG264*$AJ264,Paramètres!$F$25),0)</f>
        <v>0</v>
      </c>
      <c r="P264" s="19" t="n">
        <f aca="false" t="array" ref="P264:P264">IF(AND(INDEX(Profils!$J$5:$J$34,$AE264)&gt;0,INDEX(Profils!$Y$5:$Y$34,$AE264)&lt;=$AH264),ROUND(INDEX(Profils!$J$5:$J$34,$AE264)*Paramètres!$E$26*$AG264*$AJ264,Paramètres!$F$26),0)</f>
        <v>0</v>
      </c>
      <c r="Q264" s="19" t="n">
        <f aca="false" t="array" ref="Q264:Q264">IF(AND(INDEX(Profils!$K$5:$K$34,$AE264)&gt;0,INDEX(Profils!$Z$5:$Z$34,$AE264)&lt;=$AH264),ROUND(INDEX(Profils!$K$5:$K$34,$AE264)*Paramètres!$E$27*$AG264*$AJ264,Paramètres!$F$27),0)</f>
        <v>0</v>
      </c>
      <c r="R264" s="20" t="n">
        <f aca="false" t="array" ref="R264:R264">IF(AND(INDEX(Profils!$L$5:$L$34,$AE264)&gt;0,INDEX(Profils!$AA$5:$AA$34,$AE264)&lt;=$AH264),ROUND(INDEX(Profils!$L$5:$L$34,$AE264)*Paramètres!$E$28*$AG264*$AJ264,Paramètres!$F$28),0)</f>
        <v>0.007</v>
      </c>
      <c r="S264" s="20" t="n">
        <f aca="false" t="array" ref="S264:S264">IF(AND(INDEX(Profils!$M$5:$M$34,$AE264)&gt;0,INDEX(Profils!$AB$5:$AB$34,$AE264)&lt;=$AH264),ROUND(INDEX(Profils!$M$5:$M$34,$AE264)*Paramètres!$E$29*$AG264*$AJ264,Paramètres!$F$29),0)</f>
        <v>0.005</v>
      </c>
      <c r="T264" s="20" t="n">
        <f aca="false" t="array" ref="T264:T264">IF(AND(INDEX(Profils!$N$5:$N$34,$AE264)&gt;0,INDEX(Profils!$AC$5:$AC$34,$AE264)&lt;=$AH264),ROUND(INDEX(Profils!$N$5:$N$34,$AE264)*Paramètres!$E$30*$AG264*$AJ264,Paramètres!$F$30),0)</f>
        <v>0.013</v>
      </c>
      <c r="U264" s="19" t="n">
        <f aca="false" t="array" ref="U264:U264">IF(AND(INDEX(Profils!$O$5:$O$34,$AE264)&gt;0,INDEX(Profils!$AD$5:$AD$34,$AE264)&lt;=$AH264),ROUND(INDEX(Profils!$O$5:$O$34,$AE264)*Paramètres!$E$31*$AG264*$AJ264,Paramètres!$F$31),0)</f>
        <v>0</v>
      </c>
      <c r="V264" s="20" t="n">
        <f aca="false" t="array" ref="V264:V264">IF(AND(INDEX(Profils!$P$5:$P$34,$AE264)&gt;0,INDEX(Profils!$AE$5:$AE$34,$AE264)&lt;=$AH264),ROUND(INDEX(Profils!$P$5:$P$34,$AE264)*Paramètres!$E$32*$AG264*$AJ264,Paramètres!$F$32),0)</f>
        <v>0.006</v>
      </c>
      <c r="W264" s="20" t="n">
        <f aca="false" t="array" ref="W264:W264">IF(AND(INDEX(Profils!$Q$5:$Q$34,$AE264)&gt;0,INDEX(Profils!$AF$5:$AF$34,$AE264)&lt;=$AH264),ROUND(INDEX(Profils!$Q$5:$Q$34,$AE264)*Paramètres!$E$33*$AG264*$AJ264,Paramètres!$F$33),0)</f>
        <v>0</v>
      </c>
      <c r="X264" s="20" t="n">
        <f aca="false" t="array" ref="X264:X264">IF(AND(INDEX(Profils!$R$5:$R$34,$AE264)&gt;0,INDEX(Profils!$AG$5:$AG$34,$AE264)&lt;=$AH264),ROUND(INDEX(Profils!$R$5:$R$34,$AE264)*Paramètres!$E$34*$AG264*$AJ264,Paramètres!$F$34),0)</f>
        <v>0</v>
      </c>
      <c r="Y264" s="20" t="n">
        <f aca="false" t="array" ref="Y264:Y264">IF(AND(INDEX(Profils!$S$5:$S$34,$AE264)&gt;0,INDEX(Profils!$AH$5:$AH$34,$AE264)&lt;=$AH264),ROUND(INDEX(Profils!$S$5:$S$34,$AE264)*Paramètres!$E$35*$AG264*$AJ264,Paramètres!$F$35),0)</f>
        <v>0</v>
      </c>
      <c r="Z264" s="21" t="n">
        <f aca="false">ROUND(L264/Paramètres!$E$22+M264/Paramètres!$E$23+N264/Paramètres!$E$24+O264/Paramètres!$E$25+P264/Paramètres!$E$26+Q264/Paramètres!$E$27+R264/Paramètres!$E$28+S264/Paramètres!$E$29+T264/Paramètres!$E$30+U264/Paramètres!$E$31+V264/Paramètres!$E$32+W264/Paramètres!$E$33+X264/Paramètres!$E$34+Y264/Paramètres!$E$35,1)</f>
        <v>2.9</v>
      </c>
      <c r="AA264" s="22" t="s">
        <v>109</v>
      </c>
      <c r="AB264" s="22" t="s">
        <v>109</v>
      </c>
      <c r="AC264" s="15" t="str">
        <f aca="false">$E264</f>
        <v>fer</v>
      </c>
      <c r="AD264" s="16" t="n">
        <f aca="false" t="array" ref="AD264:AD264">IF($I264&gt;=$AI264,"Max",ROUND(Paramètres!$B$40*($I264+1)^Paramètres!$B$41*INDEX(Paramètres!$H$6:$H$12,$AF264),0))</f>
        <v>6</v>
      </c>
      <c r="AE264" s="23" t="n">
        <f aca="false">MATCH($B264&amp;"|"&amp;$C264,Profils!$A$5:$A$34,0)</f>
        <v>9</v>
      </c>
      <c r="AF264" s="23" t="n">
        <v>5</v>
      </c>
      <c r="AG264" s="24" t="n">
        <f aca="false" t="array" ref="AG264:AG264">INDEX(Paramètres!$C$6:$C$12,$AF264)</f>
        <v>2.1</v>
      </c>
      <c r="AH264" s="23" t="n">
        <f aca="false" t="array" ref="AH264:AH264">INDEX(Paramètres!$D$6:$D$12,$AF264)</f>
        <v>6</v>
      </c>
      <c r="AI264" s="23" t="n">
        <f aca="false" t="array" ref="AI264:AI264">INDEX(Matériaux!$C$16:$C$20,$D264)</f>
        <v>20</v>
      </c>
      <c r="AJ264" s="25" t="n">
        <f aca="false">Paramètres!$B$16+(1-Paramètres!$B$16)*(($J264-Paramètres!$B$14)/(Paramètres!$B$15-Paramètres!$B$14))^Paramètres!$B$17</f>
        <v>0.140847925475674</v>
      </c>
    </row>
    <row r="265" customFormat="false" ht="15.75" hidden="false" customHeight="true" outlineLevel="0" collapsed="false">
      <c r="A265" s="14" t="s">
        <v>380</v>
      </c>
      <c r="B265" s="15" t="s">
        <v>27</v>
      </c>
      <c r="C265" s="15" t="s">
        <v>369</v>
      </c>
      <c r="D265" s="16" t="n">
        <v>2</v>
      </c>
      <c r="E265" s="15" t="str">
        <f aca="false" t="array" ref="E265:E265">INDEX(Matériaux!$B$5:$F$12,MATCH(INDEX(Profils!$E$5:$E$34,$AE265),Matériaux!$A$5:$A$12,0),$D265)</f>
        <v>fer</v>
      </c>
      <c r="F265" s="30" t="s">
        <v>119</v>
      </c>
      <c r="G265" s="10" t="str">
        <f aca="false" t="array" ref="G265:G265">INDEX(Profils!$D$5:$D$34,$AE265)&amp;" en "&amp;$E265</f>
        <v>Épée en fer</v>
      </c>
      <c r="H265" s="16" t="n">
        <f aca="false" t="array" ref="H265:H265">INDEX(Matériaux!$B$16:$B$20,$D265)</f>
        <v>15</v>
      </c>
      <c r="I265" s="16" t="n">
        <f aca="false">IF(ISNUMBER($C$3),MIN(MAX(0,ROUND($C$3,0)),$AI265),$AI265)</f>
        <v>0</v>
      </c>
      <c r="J265" s="18" t="n">
        <f aca="false">$H265+$I265</f>
        <v>15</v>
      </c>
      <c r="K265" s="15" t="s">
        <v>109</v>
      </c>
      <c r="L265" s="19" t="n">
        <f aca="false" t="array" ref="L265:L265">IF(AND(INDEX(Profils!$F$5:$F$34,$AE265)&gt;0,INDEX(Profils!$U$5:$U$34,$AE265)&lt;=$AH265),ROUND(INDEX(Profils!$F$5:$F$34,$AE265)*Paramètres!$E$22*$AG265*$AJ265,Paramètres!$F$22),0)</f>
        <v>7</v>
      </c>
      <c r="M265" s="19" t="n">
        <f aca="false" t="array" ref="M265:M265">IF(AND(INDEX(Profils!$G$5:$G$34,$AE265)&gt;0,INDEX(Profils!$V$5:$V$34,$AE265)&lt;=$AH265),ROUND(INDEX(Profils!$G$5:$G$34,$AE265)*Paramètres!$E$23*$AG265*$AJ265,Paramètres!$F$23),0)</f>
        <v>16</v>
      </c>
      <c r="N265" s="19" t="n">
        <f aca="false" t="array" ref="N265:N265">IF(AND(INDEX(Profils!$H$5:$H$34,$AE265)&gt;0,INDEX(Profils!$W$5:$W$34,$AE265)&lt;=$AH265),ROUND(INDEX(Profils!$H$5:$H$34,$AE265)*Paramètres!$E$24*$AG265*$AJ265,Paramètres!$F$24),0)</f>
        <v>0</v>
      </c>
      <c r="O265" s="19" t="n">
        <f aca="false" t="array" ref="O265:O265">IF(AND(INDEX(Profils!$I$5:$I$34,$AE265)&gt;0,INDEX(Profils!$X$5:$X$34,$AE265)&lt;=$AH265),ROUND(INDEX(Profils!$I$5:$I$34,$AE265)*Paramètres!$E$25*$AG265*$AJ265,Paramètres!$F$25),0)</f>
        <v>0</v>
      </c>
      <c r="P265" s="19" t="n">
        <f aca="false" t="array" ref="P265:P265">IF(AND(INDEX(Profils!$J$5:$J$34,$AE265)&gt;0,INDEX(Profils!$Y$5:$Y$34,$AE265)&lt;=$AH265),ROUND(INDEX(Profils!$J$5:$J$34,$AE265)*Paramètres!$E$26*$AG265*$AJ265,Paramètres!$F$26),0)</f>
        <v>2</v>
      </c>
      <c r="Q265" s="19" t="n">
        <f aca="false" t="array" ref="Q265:Q265">IF(AND(INDEX(Profils!$K$5:$K$34,$AE265)&gt;0,INDEX(Profils!$Z$5:$Z$34,$AE265)&lt;=$AH265),ROUND(INDEX(Profils!$K$5:$K$34,$AE265)*Paramètres!$E$27*$AG265*$AJ265,Paramètres!$F$27),0)</f>
        <v>0</v>
      </c>
      <c r="R265" s="20" t="n">
        <f aca="false" t="array" ref="R265:R265">IF(AND(INDEX(Profils!$L$5:$L$34,$AE265)&gt;0,INDEX(Profils!$AA$5:$AA$34,$AE265)&lt;=$AH265),ROUND(INDEX(Profils!$L$5:$L$34,$AE265)*Paramètres!$E$28*$AG265*$AJ265,Paramètres!$F$28),0)</f>
        <v>0.008</v>
      </c>
      <c r="S265" s="20" t="n">
        <f aca="false" t="array" ref="S265:S265">IF(AND(INDEX(Profils!$M$5:$M$34,$AE265)&gt;0,INDEX(Profils!$AB$5:$AB$34,$AE265)&lt;=$AH265),ROUND(INDEX(Profils!$M$5:$M$34,$AE265)*Paramètres!$E$29*$AG265*$AJ265,Paramètres!$F$29),0)</f>
        <v>0.006</v>
      </c>
      <c r="T265" s="20" t="n">
        <f aca="false" t="array" ref="T265:T265">IF(AND(INDEX(Profils!$N$5:$N$34,$AE265)&gt;0,INDEX(Profils!$AC$5:$AC$34,$AE265)&lt;=$AH265),ROUND(INDEX(Profils!$N$5:$N$34,$AE265)*Paramètres!$E$30*$AG265*$AJ265,Paramètres!$F$30),0)</f>
        <v>0.015</v>
      </c>
      <c r="U265" s="19" t="n">
        <f aca="false" t="array" ref="U265:U265">IF(AND(INDEX(Profils!$O$5:$O$34,$AE265)&gt;0,INDEX(Profils!$AD$5:$AD$34,$AE265)&lt;=$AH265),ROUND(INDEX(Profils!$O$5:$O$34,$AE265)*Paramètres!$E$31*$AG265*$AJ265,Paramètres!$F$31),0)</f>
        <v>0</v>
      </c>
      <c r="V265" s="20" t="n">
        <f aca="false" t="array" ref="V265:V265">IF(AND(INDEX(Profils!$P$5:$P$34,$AE265)&gt;0,INDEX(Profils!$AE$5:$AE$34,$AE265)&lt;=$AH265),ROUND(INDEX(Profils!$P$5:$P$34,$AE265)*Paramètres!$E$32*$AG265*$AJ265,Paramètres!$F$32),0)</f>
        <v>0.007</v>
      </c>
      <c r="W265" s="20" t="n">
        <f aca="false" t="array" ref="W265:W265">IF(AND(INDEX(Profils!$Q$5:$Q$34,$AE265)&gt;0,INDEX(Profils!$AF$5:$AF$34,$AE265)&lt;=$AH265),ROUND(INDEX(Profils!$Q$5:$Q$34,$AE265)*Paramètres!$E$33*$AG265*$AJ265,Paramètres!$F$33),0)</f>
        <v>0</v>
      </c>
      <c r="X265" s="20" t="n">
        <f aca="false" t="array" ref="X265:X265">IF(AND(INDEX(Profils!$R$5:$R$34,$AE265)&gt;0,INDEX(Profils!$AG$5:$AG$34,$AE265)&lt;=$AH265),ROUND(INDEX(Profils!$R$5:$R$34,$AE265)*Paramètres!$E$34*$AG265*$AJ265,Paramètres!$F$34),0)</f>
        <v>0</v>
      </c>
      <c r="Y265" s="20" t="n">
        <f aca="false" t="array" ref="Y265:Y265">IF(AND(INDEX(Profils!$S$5:$S$34,$AE265)&gt;0,INDEX(Profils!$AH$5:$AH$34,$AE265)&lt;=$AH265),ROUND(INDEX(Profils!$S$5:$S$34,$AE265)*Paramètres!$E$35*$AG265*$AJ265,Paramètres!$F$35),0)</f>
        <v>0</v>
      </c>
      <c r="Z265" s="21" t="n">
        <f aca="false">ROUND(L265/Paramètres!$E$22+M265/Paramètres!$E$23+N265/Paramètres!$E$24+O265/Paramètres!$E$25+P265/Paramètres!$E$26+Q265/Paramètres!$E$27+R265/Paramètres!$E$28+S265/Paramètres!$E$29+T265/Paramètres!$E$30+U265/Paramètres!$E$31+V265/Paramètres!$E$32+W265/Paramètres!$E$33+X265/Paramètres!$E$34+Y265/Paramètres!$E$35,1)</f>
        <v>3.5</v>
      </c>
      <c r="AA265" s="22" t="s">
        <v>109</v>
      </c>
      <c r="AB265" s="22" t="s">
        <v>109</v>
      </c>
      <c r="AC265" s="15" t="str">
        <f aca="false">$E265</f>
        <v>fer</v>
      </c>
      <c r="AD265" s="16" t="n">
        <f aca="false" t="array" ref="AD265:AD265">IF($I265&gt;=$AI265,"Max",ROUND(Paramètres!$B$40*($I265+1)^Paramètres!$B$41*INDEX(Paramètres!$H$6:$H$12,$AF265),0))</f>
        <v>8</v>
      </c>
      <c r="AE265" s="23" t="n">
        <f aca="false">MATCH($B265&amp;"|"&amp;$C265,Profils!$A$5:$A$34,0)</f>
        <v>9</v>
      </c>
      <c r="AF265" s="23" t="n">
        <v>6</v>
      </c>
      <c r="AG265" s="24" t="n">
        <f aca="false" t="array" ref="AG265:AG265">INDEX(Paramètres!$C$6:$C$12,$AF265)</f>
        <v>2.4</v>
      </c>
      <c r="AH265" s="23" t="n">
        <f aca="false" t="array" ref="AH265:AH265">INDEX(Paramètres!$D$6:$D$12,$AF265)</f>
        <v>7</v>
      </c>
      <c r="AI265" s="23" t="n">
        <f aca="false" t="array" ref="AI265:AI265">INDEX(Matériaux!$C$16:$C$20,$D265)</f>
        <v>20</v>
      </c>
      <c r="AJ265" s="25" t="n">
        <f aca="false">Paramètres!$B$16+(1-Paramètres!$B$16)*(($J265-Paramètres!$B$14)/(Paramètres!$B$15-Paramètres!$B$14))^Paramètres!$B$17</f>
        <v>0.140847925475674</v>
      </c>
    </row>
    <row r="266" customFormat="false" ht="15.75" hidden="false" customHeight="true" outlineLevel="0" collapsed="false">
      <c r="A266" s="14" t="s">
        <v>381</v>
      </c>
      <c r="B266" s="15" t="s">
        <v>27</v>
      </c>
      <c r="C266" s="15" t="s">
        <v>369</v>
      </c>
      <c r="D266" s="16" t="n">
        <v>3</v>
      </c>
      <c r="E266" s="15" t="str">
        <f aca="false" t="array" ref="E266:E266">INDEX(Matériaux!$B$5:$F$12,MATCH(INDEX(Profils!$E$5:$E$34,$AE266),Matériaux!$A$5:$A$12,0),$D266)</f>
        <v>acier</v>
      </c>
      <c r="F266" s="17" t="s">
        <v>108</v>
      </c>
      <c r="G266" s="10" t="str">
        <f aca="false" t="array" ref="G266:G266">INDEX(Profils!$D$5:$D$34,$AE266)&amp;" en "&amp;$E266</f>
        <v>Épée en acier</v>
      </c>
      <c r="H266" s="16" t="n">
        <f aca="false" t="array" ref="H266:H266">INDEX(Matériaux!$B$16:$B$20,$D266)</f>
        <v>30</v>
      </c>
      <c r="I266" s="16" t="n">
        <f aca="false">IF(ISNUMBER($C$3),MIN(MAX(0,ROUND($C$3,0)),$AI266),$AI266)</f>
        <v>0</v>
      </c>
      <c r="J266" s="18" t="n">
        <f aca="false">$H266+$I266</f>
        <v>30</v>
      </c>
      <c r="K266" s="15" t="s">
        <v>109</v>
      </c>
      <c r="L266" s="19" t="n">
        <f aca="false" t="array" ref="L266:L266">IF(AND(INDEX(Profils!$F$5:$F$34,$AE266)&gt;0,INDEX(Profils!$U$5:$U$34,$AE266)&lt;=$AH266),ROUND(INDEX(Profils!$F$5:$F$34,$AE266)*Paramètres!$E$22*$AG266*$AJ266,Paramètres!$F$22),0)</f>
        <v>0</v>
      </c>
      <c r="M266" s="19" t="n">
        <f aca="false" t="array" ref="M266:M266">IF(AND(INDEX(Profils!$G$5:$G$34,$AE266)&gt;0,INDEX(Profils!$V$5:$V$34,$AE266)&lt;=$AH266),ROUND(INDEX(Profils!$G$5:$G$34,$AE266)*Paramètres!$E$23*$AG266*$AJ266,Paramètres!$F$23),0)</f>
        <v>13</v>
      </c>
      <c r="N266" s="19" t="n">
        <f aca="false" t="array" ref="N266:N266">IF(AND(INDEX(Profils!$H$5:$H$34,$AE266)&gt;0,INDEX(Profils!$W$5:$W$34,$AE266)&lt;=$AH266),ROUND(INDEX(Profils!$H$5:$H$34,$AE266)*Paramètres!$E$24*$AG266*$AJ266,Paramètres!$F$24),0)</f>
        <v>0</v>
      </c>
      <c r="O266" s="19" t="n">
        <f aca="false" t="array" ref="O266:O266">IF(AND(INDEX(Profils!$I$5:$I$34,$AE266)&gt;0,INDEX(Profils!$X$5:$X$34,$AE266)&lt;=$AH266),ROUND(INDEX(Profils!$I$5:$I$34,$AE266)*Paramètres!$E$25*$AG266*$AJ266,Paramètres!$F$25),0)</f>
        <v>0</v>
      </c>
      <c r="P266" s="19" t="n">
        <f aca="false" t="array" ref="P266:P266">IF(AND(INDEX(Profils!$J$5:$J$34,$AE266)&gt;0,INDEX(Profils!$Y$5:$Y$34,$AE266)&lt;=$AH266),ROUND(INDEX(Profils!$J$5:$J$34,$AE266)*Paramètres!$E$26*$AG266*$AJ266,Paramètres!$F$26),0)</f>
        <v>0</v>
      </c>
      <c r="Q266" s="19" t="n">
        <f aca="false" t="array" ref="Q266:Q266">IF(AND(INDEX(Profils!$K$5:$K$34,$AE266)&gt;0,INDEX(Profils!$Z$5:$Z$34,$AE266)&lt;=$AH266),ROUND(INDEX(Profils!$K$5:$K$34,$AE266)*Paramètres!$E$27*$AG266*$AJ266,Paramètres!$F$27),0)</f>
        <v>0</v>
      </c>
      <c r="R266" s="20" t="n">
        <f aca="false" t="array" ref="R266:R266">IF(AND(INDEX(Profils!$L$5:$L$34,$AE266)&gt;0,INDEX(Profils!$AA$5:$AA$34,$AE266)&lt;=$AH266),ROUND(INDEX(Profils!$L$5:$L$34,$AE266)*Paramètres!$E$28*$AG266*$AJ266,Paramètres!$F$28),0)</f>
        <v>0.006</v>
      </c>
      <c r="S266" s="20" t="n">
        <f aca="false" t="array" ref="S266:S266">IF(AND(INDEX(Profils!$M$5:$M$34,$AE266)&gt;0,INDEX(Profils!$AB$5:$AB$34,$AE266)&lt;=$AH266),ROUND(INDEX(Profils!$M$5:$M$34,$AE266)*Paramètres!$E$29*$AG266*$AJ266,Paramètres!$F$29),0)</f>
        <v>0</v>
      </c>
      <c r="T266" s="20" t="n">
        <f aca="false" t="array" ref="T266:T266">IF(AND(INDEX(Profils!$N$5:$N$34,$AE266)&gt;0,INDEX(Profils!$AC$5:$AC$34,$AE266)&lt;=$AH266),ROUND(INDEX(Profils!$N$5:$N$34,$AE266)*Paramètres!$E$30*$AG266*$AJ266,Paramètres!$F$30),0)</f>
        <v>0</v>
      </c>
      <c r="U266" s="19" t="n">
        <f aca="false" t="array" ref="U266:U266">IF(AND(INDEX(Profils!$O$5:$O$34,$AE266)&gt;0,INDEX(Profils!$AD$5:$AD$34,$AE266)&lt;=$AH266),ROUND(INDEX(Profils!$O$5:$O$34,$AE266)*Paramètres!$E$31*$AG266*$AJ266,Paramètres!$F$31),0)</f>
        <v>0</v>
      </c>
      <c r="V266" s="20" t="n">
        <f aca="false" t="array" ref="V266:V266">IF(AND(INDEX(Profils!$P$5:$P$34,$AE266)&gt;0,INDEX(Profils!$AE$5:$AE$34,$AE266)&lt;=$AH266),ROUND(INDEX(Profils!$P$5:$P$34,$AE266)*Paramètres!$E$32*$AG266*$AJ266,Paramètres!$F$32),0)</f>
        <v>0</v>
      </c>
      <c r="W266" s="20" t="n">
        <f aca="false" t="array" ref="W266:W266">IF(AND(INDEX(Profils!$Q$5:$Q$34,$AE266)&gt;0,INDEX(Profils!$AF$5:$AF$34,$AE266)&lt;=$AH266),ROUND(INDEX(Profils!$Q$5:$Q$34,$AE266)*Paramètres!$E$33*$AG266*$AJ266,Paramètres!$F$33),0)</f>
        <v>0</v>
      </c>
      <c r="X266" s="20" t="n">
        <f aca="false" t="array" ref="X266:X266">IF(AND(INDEX(Profils!$R$5:$R$34,$AE266)&gt;0,INDEX(Profils!$AG$5:$AG$34,$AE266)&lt;=$AH266),ROUND(INDEX(Profils!$R$5:$R$34,$AE266)*Paramètres!$E$34*$AG266*$AJ266,Paramètres!$F$34),0)</f>
        <v>0</v>
      </c>
      <c r="Y266" s="20" t="n">
        <f aca="false" t="array" ref="Y266:Y266">IF(AND(INDEX(Profils!$S$5:$S$34,$AE266)&gt;0,INDEX(Profils!$AH$5:$AH$34,$AE266)&lt;=$AH266),ROUND(INDEX(Profils!$S$5:$S$34,$AE266)*Paramètres!$E$35*$AG266*$AJ266,Paramètres!$F$35),0)</f>
        <v>0</v>
      </c>
      <c r="Z266" s="21" t="n">
        <f aca="false">ROUND(L266/Paramètres!$E$22+M266/Paramètres!$E$23+N266/Paramètres!$E$24+O266/Paramètres!$E$25+P266/Paramètres!$E$26+Q266/Paramètres!$E$27+R266/Paramètres!$E$28+S266/Paramètres!$E$29+T266/Paramètres!$E$30+U266/Paramètres!$E$31+V266/Paramètres!$E$32+W266/Paramètres!$E$33+X266/Paramètres!$E$34+Y266/Paramètres!$E$35,1)</f>
        <v>1.3</v>
      </c>
      <c r="AA266" s="22" t="s">
        <v>109</v>
      </c>
      <c r="AB266" s="22" t="s">
        <v>109</v>
      </c>
      <c r="AC266" s="15" t="str">
        <f aca="false">$E266</f>
        <v>acier</v>
      </c>
      <c r="AD266" s="16" t="n">
        <f aca="false" t="array" ref="AD266:AD266">IF($I266&gt;=$AI266,"Max",ROUND(Paramètres!$B$40*($I266+1)^Paramètres!$B$41*INDEX(Paramètres!$H$6:$H$12,$AF266),0))</f>
        <v>3</v>
      </c>
      <c r="AE266" s="23" t="n">
        <f aca="false">MATCH($B266&amp;"|"&amp;$C266,Profils!$A$5:$A$34,0)</f>
        <v>9</v>
      </c>
      <c r="AF266" s="23" t="n">
        <v>1</v>
      </c>
      <c r="AG266" s="24" t="n">
        <f aca="false" t="array" ref="AG266:AG266">INDEX(Paramètres!$C$6:$C$12,$AF266)</f>
        <v>1</v>
      </c>
      <c r="AH266" s="23" t="n">
        <f aca="false" t="array" ref="AH266:AH266">INDEX(Paramètres!$D$6:$D$12,$AF266)</f>
        <v>2</v>
      </c>
      <c r="AI266" s="23" t="n">
        <f aca="false" t="array" ref="AI266:AI266">INDEX(Matériaux!$C$16:$C$20,$D266)</f>
        <v>25</v>
      </c>
      <c r="AJ266" s="25" t="n">
        <f aca="false">Paramètres!$B$16+(1-Paramètres!$B$16)*(($J266-Paramètres!$B$14)/(Paramètres!$B$15-Paramètres!$B$14))^Paramètres!$B$17</f>
        <v>0.26769024555533</v>
      </c>
    </row>
    <row r="267" customFormat="false" ht="15.75" hidden="false" customHeight="true" outlineLevel="0" collapsed="false">
      <c r="A267" s="14" t="s">
        <v>382</v>
      </c>
      <c r="B267" s="15" t="s">
        <v>27</v>
      </c>
      <c r="C267" s="15" t="s">
        <v>369</v>
      </c>
      <c r="D267" s="16" t="n">
        <v>3</v>
      </c>
      <c r="E267" s="15" t="str">
        <f aca="false" t="array" ref="E267:E267">INDEX(Matériaux!$B$5:$F$12,MATCH(INDEX(Profils!$E$5:$E$34,$AE267),Matériaux!$A$5:$A$12,0),$D267)</f>
        <v>acier</v>
      </c>
      <c r="F267" s="26" t="s">
        <v>111</v>
      </c>
      <c r="G267" s="10" t="str">
        <f aca="false" t="array" ref="G267:G267">INDEX(Profils!$D$5:$D$34,$AE267)&amp;" en "&amp;$E267</f>
        <v>Épée en acier</v>
      </c>
      <c r="H267" s="16" t="n">
        <f aca="false" t="array" ref="H267:H267">INDEX(Matériaux!$B$16:$B$20,$D267)</f>
        <v>30</v>
      </c>
      <c r="I267" s="16" t="n">
        <f aca="false">IF(ISNUMBER($C$3),MIN(MAX(0,ROUND($C$3,0)),$AI267),$AI267)</f>
        <v>0</v>
      </c>
      <c r="J267" s="18" t="n">
        <f aca="false">$H267+$I267</f>
        <v>30</v>
      </c>
      <c r="K267" s="15" t="s">
        <v>109</v>
      </c>
      <c r="L267" s="19" t="n">
        <f aca="false" t="array" ref="L267:L267">IF(AND(INDEX(Profils!$F$5:$F$34,$AE267)&gt;0,INDEX(Profils!$U$5:$U$34,$AE267)&lt;=$AH267),ROUND(INDEX(Profils!$F$5:$F$34,$AE267)*Paramètres!$E$22*$AG267*$AJ267,Paramètres!$F$22),0)</f>
        <v>0</v>
      </c>
      <c r="M267" s="19" t="n">
        <f aca="false" t="array" ref="M267:M267">IF(AND(INDEX(Profils!$G$5:$G$34,$AE267)&gt;0,INDEX(Profils!$V$5:$V$34,$AE267)&lt;=$AH267),ROUND(INDEX(Profils!$G$5:$G$34,$AE267)*Paramètres!$E$23*$AG267*$AJ267,Paramètres!$F$23),0)</f>
        <v>15</v>
      </c>
      <c r="N267" s="19" t="n">
        <f aca="false" t="array" ref="N267:N267">IF(AND(INDEX(Profils!$H$5:$H$34,$AE267)&gt;0,INDEX(Profils!$W$5:$W$34,$AE267)&lt;=$AH267),ROUND(INDEX(Profils!$H$5:$H$34,$AE267)*Paramètres!$E$24*$AG267*$AJ267,Paramètres!$F$24),0)</f>
        <v>0</v>
      </c>
      <c r="O267" s="19" t="n">
        <f aca="false" t="array" ref="O267:O267">IF(AND(INDEX(Profils!$I$5:$I$34,$AE267)&gt;0,INDEX(Profils!$X$5:$X$34,$AE267)&lt;=$AH267),ROUND(INDEX(Profils!$I$5:$I$34,$AE267)*Paramètres!$E$25*$AG267*$AJ267,Paramètres!$F$25),0)</f>
        <v>0</v>
      </c>
      <c r="P267" s="19" t="n">
        <f aca="false" t="array" ref="P267:P267">IF(AND(INDEX(Profils!$J$5:$J$34,$AE267)&gt;0,INDEX(Profils!$Y$5:$Y$34,$AE267)&lt;=$AH267),ROUND(INDEX(Profils!$J$5:$J$34,$AE267)*Paramètres!$E$26*$AG267*$AJ267,Paramètres!$F$26),0)</f>
        <v>0</v>
      </c>
      <c r="Q267" s="19" t="n">
        <f aca="false" t="array" ref="Q267:Q267">IF(AND(INDEX(Profils!$K$5:$K$34,$AE267)&gt;0,INDEX(Profils!$Z$5:$Z$34,$AE267)&lt;=$AH267),ROUND(INDEX(Profils!$K$5:$K$34,$AE267)*Paramètres!$E$27*$AG267*$AJ267,Paramètres!$F$27),0)</f>
        <v>0</v>
      </c>
      <c r="R267" s="20" t="n">
        <f aca="false" t="array" ref="R267:R267">IF(AND(INDEX(Profils!$L$5:$L$34,$AE267)&gt;0,INDEX(Profils!$AA$5:$AA$34,$AE267)&lt;=$AH267),ROUND(INDEX(Profils!$L$5:$L$34,$AE267)*Paramètres!$E$28*$AG267*$AJ267,Paramètres!$F$28),0)</f>
        <v>0.008</v>
      </c>
      <c r="S267" s="20" t="n">
        <f aca="false" t="array" ref="S267:S267">IF(AND(INDEX(Profils!$M$5:$M$34,$AE267)&gt;0,INDEX(Profils!$AB$5:$AB$34,$AE267)&lt;=$AH267),ROUND(INDEX(Profils!$M$5:$M$34,$AE267)*Paramètres!$E$29*$AG267*$AJ267,Paramètres!$F$29),0)</f>
        <v>0</v>
      </c>
      <c r="T267" s="20" t="n">
        <f aca="false" t="array" ref="T267:T267">IF(AND(INDEX(Profils!$N$5:$N$34,$AE267)&gt;0,INDEX(Profils!$AC$5:$AC$34,$AE267)&lt;=$AH267),ROUND(INDEX(Profils!$N$5:$N$34,$AE267)*Paramètres!$E$30*$AG267*$AJ267,Paramètres!$F$30),0)</f>
        <v>0.014</v>
      </c>
      <c r="U267" s="19" t="n">
        <f aca="false" t="array" ref="U267:U267">IF(AND(INDEX(Profils!$O$5:$O$34,$AE267)&gt;0,INDEX(Profils!$AD$5:$AD$34,$AE267)&lt;=$AH267),ROUND(INDEX(Profils!$O$5:$O$34,$AE267)*Paramètres!$E$31*$AG267*$AJ267,Paramètres!$F$31),0)</f>
        <v>0</v>
      </c>
      <c r="V267" s="20" t="n">
        <f aca="false" t="array" ref="V267:V267">IF(AND(INDEX(Profils!$P$5:$P$34,$AE267)&gt;0,INDEX(Profils!$AE$5:$AE$34,$AE267)&lt;=$AH267),ROUND(INDEX(Profils!$P$5:$P$34,$AE267)*Paramètres!$E$32*$AG267*$AJ267,Paramètres!$F$32),0)</f>
        <v>0</v>
      </c>
      <c r="W267" s="20" t="n">
        <f aca="false" t="array" ref="W267:W267">IF(AND(INDEX(Profils!$Q$5:$Q$34,$AE267)&gt;0,INDEX(Profils!$AF$5:$AF$34,$AE267)&lt;=$AH267),ROUND(INDEX(Profils!$Q$5:$Q$34,$AE267)*Paramètres!$E$33*$AG267*$AJ267,Paramètres!$F$33),0)</f>
        <v>0</v>
      </c>
      <c r="X267" s="20" t="n">
        <f aca="false" t="array" ref="X267:X267">IF(AND(INDEX(Profils!$R$5:$R$34,$AE267)&gt;0,INDEX(Profils!$AG$5:$AG$34,$AE267)&lt;=$AH267),ROUND(INDEX(Profils!$R$5:$R$34,$AE267)*Paramètres!$E$34*$AG267*$AJ267,Paramètres!$F$34),0)</f>
        <v>0</v>
      </c>
      <c r="Y267" s="20" t="n">
        <f aca="false" t="array" ref="Y267:Y267">IF(AND(INDEX(Profils!$S$5:$S$34,$AE267)&gt;0,INDEX(Profils!$AH$5:$AH$34,$AE267)&lt;=$AH267),ROUND(INDEX(Profils!$S$5:$S$34,$AE267)*Paramètres!$E$35*$AG267*$AJ267,Paramètres!$F$35),0)</f>
        <v>0</v>
      </c>
      <c r="Z267" s="21" t="n">
        <f aca="false">ROUND(L267/Paramètres!$E$22+M267/Paramètres!$E$23+N267/Paramètres!$E$24+O267/Paramètres!$E$25+P267/Paramètres!$E$26+Q267/Paramètres!$E$27+R267/Paramètres!$E$28+S267/Paramètres!$E$29+T267/Paramètres!$E$30+U267/Paramètres!$E$31+V267/Paramètres!$E$32+W267/Paramètres!$E$33+X267/Paramètres!$E$34+Y267/Paramètres!$E$35,1)</f>
        <v>2</v>
      </c>
      <c r="AA267" s="22" t="s">
        <v>109</v>
      </c>
      <c r="AB267" s="22" t="s">
        <v>109</v>
      </c>
      <c r="AC267" s="15" t="str">
        <f aca="false">$E267</f>
        <v>acier</v>
      </c>
      <c r="AD267" s="16" t="n">
        <f aca="false" t="array" ref="AD267:AD267">IF($I267&gt;=$AI267,"Max",ROUND(Paramètres!$B$40*($I267+1)^Paramètres!$B$41*INDEX(Paramètres!$H$6:$H$12,$AF267),0))</f>
        <v>4</v>
      </c>
      <c r="AE267" s="23" t="n">
        <f aca="false">MATCH($B267&amp;"|"&amp;$C267,Profils!$A$5:$A$34,0)</f>
        <v>9</v>
      </c>
      <c r="AF267" s="23" t="n">
        <v>2</v>
      </c>
      <c r="AG267" s="24" t="n">
        <f aca="false" t="array" ref="AG267:AG267">INDEX(Paramètres!$C$6:$C$12,$AF267)</f>
        <v>1.2</v>
      </c>
      <c r="AH267" s="23" t="n">
        <f aca="false" t="array" ref="AH267:AH267">INDEX(Paramètres!$D$6:$D$12,$AF267)</f>
        <v>3</v>
      </c>
      <c r="AI267" s="23" t="n">
        <f aca="false" t="array" ref="AI267:AI267">INDEX(Matériaux!$C$16:$C$20,$D267)</f>
        <v>25</v>
      </c>
      <c r="AJ267" s="25" t="n">
        <f aca="false">Paramètres!$B$16+(1-Paramètres!$B$16)*(($J267-Paramètres!$B$14)/(Paramètres!$B$15-Paramètres!$B$14))^Paramètres!$B$17</f>
        <v>0.26769024555533</v>
      </c>
    </row>
    <row r="268" customFormat="false" ht="15.75" hidden="false" customHeight="true" outlineLevel="0" collapsed="false">
      <c r="A268" s="14" t="s">
        <v>383</v>
      </c>
      <c r="B268" s="15" t="s">
        <v>27</v>
      </c>
      <c r="C268" s="15" t="s">
        <v>369</v>
      </c>
      <c r="D268" s="16" t="n">
        <v>3</v>
      </c>
      <c r="E268" s="15" t="str">
        <f aca="false" t="array" ref="E268:E268">INDEX(Matériaux!$B$5:$F$12,MATCH(INDEX(Profils!$E$5:$E$34,$AE268),Matériaux!$A$5:$A$12,0),$D268)</f>
        <v>acier</v>
      </c>
      <c r="F268" s="27" t="s">
        <v>113</v>
      </c>
      <c r="G268" s="10" t="str">
        <f aca="false" t="array" ref="G268:G268">INDEX(Profils!$D$5:$D$34,$AE268)&amp;" en "&amp;$E268</f>
        <v>Épée en acier</v>
      </c>
      <c r="H268" s="16" t="n">
        <f aca="false" t="array" ref="H268:H268">INDEX(Matériaux!$B$16:$B$20,$D268)</f>
        <v>30</v>
      </c>
      <c r="I268" s="16" t="n">
        <f aca="false">IF(ISNUMBER($C$3),MIN(MAX(0,ROUND($C$3,0)),$AI268),$AI268)</f>
        <v>0</v>
      </c>
      <c r="J268" s="18" t="n">
        <f aca="false">$H268+$I268</f>
        <v>30</v>
      </c>
      <c r="K268" s="15" t="s">
        <v>109</v>
      </c>
      <c r="L268" s="19" t="n">
        <f aca="false" t="array" ref="L268:L268">IF(AND(INDEX(Profils!$F$5:$F$34,$AE268)&gt;0,INDEX(Profils!$U$5:$U$34,$AE268)&lt;=$AH268),ROUND(INDEX(Profils!$F$5:$F$34,$AE268)*Paramètres!$E$22*$AG268*$AJ268,Paramètres!$F$22),0)</f>
        <v>0</v>
      </c>
      <c r="M268" s="19" t="n">
        <f aca="false" t="array" ref="M268:M268">IF(AND(INDEX(Profils!$G$5:$G$34,$AE268)&gt;0,INDEX(Profils!$V$5:$V$34,$AE268)&lt;=$AH268),ROUND(INDEX(Profils!$G$5:$G$34,$AE268)*Paramètres!$E$23*$AG268*$AJ268,Paramètres!$F$23),0)</f>
        <v>19</v>
      </c>
      <c r="N268" s="19" t="n">
        <f aca="false" t="array" ref="N268:N268">IF(AND(INDEX(Profils!$H$5:$H$34,$AE268)&gt;0,INDEX(Profils!$W$5:$W$34,$AE268)&lt;=$AH268),ROUND(INDEX(Profils!$H$5:$H$34,$AE268)*Paramètres!$E$24*$AG268*$AJ268,Paramètres!$F$24),0)</f>
        <v>0</v>
      </c>
      <c r="O268" s="19" t="n">
        <f aca="false" t="array" ref="O268:O268">IF(AND(INDEX(Profils!$I$5:$I$34,$AE268)&gt;0,INDEX(Profils!$X$5:$X$34,$AE268)&lt;=$AH268),ROUND(INDEX(Profils!$I$5:$I$34,$AE268)*Paramètres!$E$25*$AG268*$AJ268,Paramètres!$F$25),0)</f>
        <v>0</v>
      </c>
      <c r="P268" s="19" t="n">
        <f aca="false" t="array" ref="P268:P268">IF(AND(INDEX(Profils!$J$5:$J$34,$AE268)&gt;0,INDEX(Profils!$Y$5:$Y$34,$AE268)&lt;=$AH268),ROUND(INDEX(Profils!$J$5:$J$34,$AE268)*Paramètres!$E$26*$AG268*$AJ268,Paramètres!$F$26),0)</f>
        <v>0</v>
      </c>
      <c r="Q268" s="19" t="n">
        <f aca="false" t="array" ref="Q268:Q268">IF(AND(INDEX(Profils!$K$5:$K$34,$AE268)&gt;0,INDEX(Profils!$Z$5:$Z$34,$AE268)&lt;=$AH268),ROUND(INDEX(Profils!$K$5:$K$34,$AE268)*Paramètres!$E$27*$AG268*$AJ268,Paramètres!$F$27),0)</f>
        <v>0</v>
      </c>
      <c r="R268" s="20" t="n">
        <f aca="false" t="array" ref="R268:R268">IF(AND(INDEX(Profils!$L$5:$L$34,$AE268)&gt;0,INDEX(Profils!$AA$5:$AA$34,$AE268)&lt;=$AH268),ROUND(INDEX(Profils!$L$5:$L$34,$AE268)*Paramètres!$E$28*$AG268*$AJ268,Paramètres!$F$28),0)</f>
        <v>0.009</v>
      </c>
      <c r="S268" s="20" t="n">
        <f aca="false" t="array" ref="S268:S268">IF(AND(INDEX(Profils!$M$5:$M$34,$AE268)&gt;0,INDEX(Profils!$AB$5:$AB$34,$AE268)&lt;=$AH268),ROUND(INDEX(Profils!$M$5:$M$34,$AE268)*Paramètres!$E$29*$AG268*$AJ268,Paramètres!$F$29),0)</f>
        <v>0.007</v>
      </c>
      <c r="T268" s="20" t="n">
        <f aca="false" t="array" ref="T268:T268">IF(AND(INDEX(Profils!$N$5:$N$34,$AE268)&gt;0,INDEX(Profils!$AC$5:$AC$34,$AE268)&lt;=$AH268),ROUND(INDEX(Profils!$N$5:$N$34,$AE268)*Paramètres!$E$30*$AG268*$AJ268,Paramètres!$F$30),0)</f>
        <v>0.017</v>
      </c>
      <c r="U268" s="19" t="n">
        <f aca="false" t="array" ref="U268:U268">IF(AND(INDEX(Profils!$O$5:$O$34,$AE268)&gt;0,INDEX(Profils!$AD$5:$AD$34,$AE268)&lt;=$AH268),ROUND(INDEX(Profils!$O$5:$O$34,$AE268)*Paramètres!$E$31*$AG268*$AJ268,Paramètres!$F$31),0)</f>
        <v>0</v>
      </c>
      <c r="V268" s="20" t="n">
        <f aca="false" t="array" ref="V268:V268">IF(AND(INDEX(Profils!$P$5:$P$34,$AE268)&gt;0,INDEX(Profils!$AE$5:$AE$34,$AE268)&lt;=$AH268),ROUND(INDEX(Profils!$P$5:$P$34,$AE268)*Paramètres!$E$32*$AG268*$AJ268,Paramètres!$F$32),0)</f>
        <v>0</v>
      </c>
      <c r="W268" s="20" t="n">
        <f aca="false" t="array" ref="W268:W268">IF(AND(INDEX(Profils!$Q$5:$Q$34,$AE268)&gt;0,INDEX(Profils!$AF$5:$AF$34,$AE268)&lt;=$AH268),ROUND(INDEX(Profils!$Q$5:$Q$34,$AE268)*Paramètres!$E$33*$AG268*$AJ268,Paramètres!$F$33),0)</f>
        <v>0</v>
      </c>
      <c r="X268" s="20" t="n">
        <f aca="false" t="array" ref="X268:X268">IF(AND(INDEX(Profils!$R$5:$R$34,$AE268)&gt;0,INDEX(Profils!$AG$5:$AG$34,$AE268)&lt;=$AH268),ROUND(INDEX(Profils!$R$5:$R$34,$AE268)*Paramètres!$E$34*$AG268*$AJ268,Paramètres!$F$34),0)</f>
        <v>0</v>
      </c>
      <c r="Y268" s="20" t="n">
        <f aca="false" t="array" ref="Y268:Y268">IF(AND(INDEX(Profils!$S$5:$S$34,$AE268)&gt;0,INDEX(Profils!$AH$5:$AH$34,$AE268)&lt;=$AH268),ROUND(INDEX(Profils!$S$5:$S$34,$AE268)*Paramètres!$E$35*$AG268*$AJ268,Paramètres!$F$35),0)</f>
        <v>0</v>
      </c>
      <c r="Z268" s="21" t="n">
        <f aca="false">ROUND(L268/Paramètres!$E$22+M268/Paramètres!$E$23+N268/Paramètres!$E$24+O268/Paramètres!$E$25+P268/Paramètres!$E$26+Q268/Paramètres!$E$27+R268/Paramètres!$E$28+S268/Paramètres!$E$29+T268/Paramètres!$E$30+U268/Paramètres!$E$31+V268/Paramètres!$E$32+W268/Paramètres!$E$33+X268/Paramètres!$E$34+Y268/Paramètres!$E$35,1)</f>
        <v>3</v>
      </c>
      <c r="AA268" s="22" t="s">
        <v>109</v>
      </c>
      <c r="AB268" s="22" t="s">
        <v>109</v>
      </c>
      <c r="AC268" s="15" t="str">
        <f aca="false">$E268</f>
        <v>acier</v>
      </c>
      <c r="AD268" s="16" t="n">
        <f aca="false" t="array" ref="AD268:AD268">IF($I268&gt;=$AI268,"Max",ROUND(Paramètres!$B$40*($I268+1)^Paramètres!$B$41*INDEX(Paramètres!$H$6:$H$12,$AF268),0))</f>
        <v>4</v>
      </c>
      <c r="AE268" s="23" t="n">
        <f aca="false">MATCH($B268&amp;"|"&amp;$C268,Profils!$A$5:$A$34,0)</f>
        <v>9</v>
      </c>
      <c r="AF268" s="23" t="n">
        <v>3</v>
      </c>
      <c r="AG268" s="24" t="n">
        <f aca="false" t="array" ref="AG268:AG268">INDEX(Paramètres!$C$6:$C$12,$AF268)</f>
        <v>1.45</v>
      </c>
      <c r="AH268" s="23" t="n">
        <f aca="false" t="array" ref="AH268:AH268">INDEX(Paramètres!$D$6:$D$12,$AF268)</f>
        <v>4</v>
      </c>
      <c r="AI268" s="23" t="n">
        <f aca="false" t="array" ref="AI268:AI268">INDEX(Matériaux!$C$16:$C$20,$D268)</f>
        <v>25</v>
      </c>
      <c r="AJ268" s="25" t="n">
        <f aca="false">Paramètres!$B$16+(1-Paramètres!$B$16)*(($J268-Paramètres!$B$14)/(Paramètres!$B$15-Paramètres!$B$14))^Paramètres!$B$17</f>
        <v>0.26769024555533</v>
      </c>
    </row>
    <row r="269" customFormat="false" ht="15.75" hidden="false" customHeight="true" outlineLevel="0" collapsed="false">
      <c r="A269" s="14" t="s">
        <v>384</v>
      </c>
      <c r="B269" s="15" t="s">
        <v>27</v>
      </c>
      <c r="C269" s="15" t="s">
        <v>369</v>
      </c>
      <c r="D269" s="16" t="n">
        <v>3</v>
      </c>
      <c r="E269" s="15" t="str">
        <f aca="false" t="array" ref="E269:E269">INDEX(Matériaux!$B$5:$F$12,MATCH(INDEX(Profils!$E$5:$E$34,$AE269),Matériaux!$A$5:$A$12,0),$D269)</f>
        <v>acier</v>
      </c>
      <c r="F269" s="28" t="s">
        <v>115</v>
      </c>
      <c r="G269" s="10" t="str">
        <f aca="false" t="array" ref="G269:G269">INDEX(Profils!$D$5:$D$34,$AE269)&amp;" en "&amp;$E269</f>
        <v>Épée en acier</v>
      </c>
      <c r="H269" s="16" t="n">
        <f aca="false" t="array" ref="H269:H269">INDEX(Matériaux!$B$16:$B$20,$D269)</f>
        <v>30</v>
      </c>
      <c r="I269" s="16" t="n">
        <f aca="false">IF(ISNUMBER($C$3),MIN(MAX(0,ROUND($C$3,0)),$AI269),$AI269)</f>
        <v>0</v>
      </c>
      <c r="J269" s="18" t="n">
        <f aca="false">$H269+$I269</f>
        <v>30</v>
      </c>
      <c r="K269" s="15" t="s">
        <v>109</v>
      </c>
      <c r="L269" s="19" t="n">
        <f aca="false" t="array" ref="L269:L269">IF(AND(INDEX(Profils!$F$5:$F$34,$AE269)&gt;0,INDEX(Profils!$U$5:$U$34,$AE269)&lt;=$AH269),ROUND(INDEX(Profils!$F$5:$F$34,$AE269)*Paramètres!$E$22*$AG269*$AJ269,Paramètres!$F$22),0)</f>
        <v>0</v>
      </c>
      <c r="M269" s="19" t="n">
        <f aca="false" t="array" ref="M269:M269">IF(AND(INDEX(Profils!$G$5:$G$34,$AE269)&gt;0,INDEX(Profils!$V$5:$V$34,$AE269)&lt;=$AH269),ROUND(INDEX(Profils!$G$5:$G$34,$AE269)*Paramètres!$E$23*$AG269*$AJ269,Paramètres!$F$23),0)</f>
        <v>22</v>
      </c>
      <c r="N269" s="19" t="n">
        <f aca="false" t="array" ref="N269:N269">IF(AND(INDEX(Profils!$H$5:$H$34,$AE269)&gt;0,INDEX(Profils!$W$5:$W$34,$AE269)&lt;=$AH269),ROUND(INDEX(Profils!$H$5:$H$34,$AE269)*Paramètres!$E$24*$AG269*$AJ269,Paramètres!$F$24),0)</f>
        <v>0</v>
      </c>
      <c r="O269" s="19" t="n">
        <f aca="false" t="array" ref="O269:O269">IF(AND(INDEX(Profils!$I$5:$I$34,$AE269)&gt;0,INDEX(Profils!$X$5:$X$34,$AE269)&lt;=$AH269),ROUND(INDEX(Profils!$I$5:$I$34,$AE269)*Paramètres!$E$25*$AG269*$AJ269,Paramètres!$F$25),0)</f>
        <v>0</v>
      </c>
      <c r="P269" s="19" t="n">
        <f aca="false" t="array" ref="P269:P269">IF(AND(INDEX(Profils!$J$5:$J$34,$AE269)&gt;0,INDEX(Profils!$Y$5:$Y$34,$AE269)&lt;=$AH269),ROUND(INDEX(Profils!$J$5:$J$34,$AE269)*Paramètres!$E$26*$AG269*$AJ269,Paramètres!$F$26),0)</f>
        <v>0</v>
      </c>
      <c r="Q269" s="19" t="n">
        <f aca="false" t="array" ref="Q269:Q269">IF(AND(INDEX(Profils!$K$5:$K$34,$AE269)&gt;0,INDEX(Profils!$Z$5:$Z$34,$AE269)&lt;=$AH269),ROUND(INDEX(Profils!$K$5:$K$34,$AE269)*Paramètres!$E$27*$AG269*$AJ269,Paramètres!$F$27),0)</f>
        <v>0</v>
      </c>
      <c r="R269" s="20" t="n">
        <f aca="false" t="array" ref="R269:R269">IF(AND(INDEX(Profils!$L$5:$L$34,$AE269)&gt;0,INDEX(Profils!$AA$5:$AA$34,$AE269)&lt;=$AH269),ROUND(INDEX(Profils!$L$5:$L$34,$AE269)*Paramètres!$E$28*$AG269*$AJ269,Paramètres!$F$28),0)</f>
        <v>0.011</v>
      </c>
      <c r="S269" s="20" t="n">
        <f aca="false" t="array" ref="S269:S269">IF(AND(INDEX(Profils!$M$5:$M$34,$AE269)&gt;0,INDEX(Profils!$AB$5:$AB$34,$AE269)&lt;=$AH269),ROUND(INDEX(Profils!$M$5:$M$34,$AE269)*Paramètres!$E$29*$AG269*$AJ269,Paramètres!$F$29),0)</f>
        <v>0.008</v>
      </c>
      <c r="T269" s="20" t="n">
        <f aca="false" t="array" ref="T269:T269">IF(AND(INDEX(Profils!$N$5:$N$34,$AE269)&gt;0,INDEX(Profils!$AC$5:$AC$34,$AE269)&lt;=$AH269),ROUND(INDEX(Profils!$N$5:$N$34,$AE269)*Paramètres!$E$30*$AG269*$AJ269,Paramètres!$F$30),0)</f>
        <v>0.021</v>
      </c>
      <c r="U269" s="19" t="n">
        <f aca="false" t="array" ref="U269:U269">IF(AND(INDEX(Profils!$O$5:$O$34,$AE269)&gt;0,INDEX(Profils!$AD$5:$AD$34,$AE269)&lt;=$AH269),ROUND(INDEX(Profils!$O$5:$O$34,$AE269)*Paramètres!$E$31*$AG269*$AJ269,Paramètres!$F$31),0)</f>
        <v>0</v>
      </c>
      <c r="V269" s="20" t="n">
        <f aca="false" t="array" ref="V269:V269">IF(AND(INDEX(Profils!$P$5:$P$34,$AE269)&gt;0,INDEX(Profils!$AE$5:$AE$34,$AE269)&lt;=$AH269),ROUND(INDEX(Profils!$P$5:$P$34,$AE269)*Paramètres!$E$32*$AG269*$AJ269,Paramètres!$F$32),0)</f>
        <v>0.01</v>
      </c>
      <c r="W269" s="20" t="n">
        <f aca="false" t="array" ref="W269:W269">IF(AND(INDEX(Profils!$Q$5:$Q$34,$AE269)&gt;0,INDEX(Profils!$AF$5:$AF$34,$AE269)&lt;=$AH269),ROUND(INDEX(Profils!$Q$5:$Q$34,$AE269)*Paramètres!$E$33*$AG269*$AJ269,Paramètres!$F$33),0)</f>
        <v>0</v>
      </c>
      <c r="X269" s="20" t="n">
        <f aca="false" t="array" ref="X269:X269">IF(AND(INDEX(Profils!$R$5:$R$34,$AE269)&gt;0,INDEX(Profils!$AG$5:$AG$34,$AE269)&lt;=$AH269),ROUND(INDEX(Profils!$R$5:$R$34,$AE269)*Paramètres!$E$34*$AG269*$AJ269,Paramètres!$F$34),0)</f>
        <v>0</v>
      </c>
      <c r="Y269" s="20" t="n">
        <f aca="false" t="array" ref="Y269:Y269">IF(AND(INDEX(Profils!$S$5:$S$34,$AE269)&gt;0,INDEX(Profils!$AH$5:$AH$34,$AE269)&lt;=$AH269),ROUND(INDEX(Profils!$S$5:$S$34,$AE269)*Paramètres!$E$35*$AG269*$AJ269,Paramètres!$F$35),0)</f>
        <v>0</v>
      </c>
      <c r="Z269" s="21" t="n">
        <f aca="false">ROUND(L269/Paramètres!$E$22+M269/Paramètres!$E$23+N269/Paramètres!$E$24+O269/Paramètres!$E$25+P269/Paramètres!$E$26+Q269/Paramètres!$E$27+R269/Paramètres!$E$28+S269/Paramètres!$E$29+T269/Paramètres!$E$30+U269/Paramètres!$E$31+V269/Paramètres!$E$32+W269/Paramètres!$E$33+X269/Paramètres!$E$34+Y269/Paramètres!$E$35,1)</f>
        <v>4.2</v>
      </c>
      <c r="AA269" s="22" t="s">
        <v>109</v>
      </c>
      <c r="AB269" s="22" t="s">
        <v>109</v>
      </c>
      <c r="AC269" s="15" t="str">
        <f aca="false">$E269</f>
        <v>acier</v>
      </c>
      <c r="AD269" s="16" t="n">
        <f aca="false" t="array" ref="AD269:AD269">IF($I269&gt;=$AI269,"Max",ROUND(Paramètres!$B$40*($I269+1)^Paramètres!$B$41*INDEX(Paramètres!$H$6:$H$12,$AF269),0))</f>
        <v>5</v>
      </c>
      <c r="AE269" s="23" t="n">
        <f aca="false">MATCH($B269&amp;"|"&amp;$C269,Profils!$A$5:$A$34,0)</f>
        <v>9</v>
      </c>
      <c r="AF269" s="23" t="n">
        <v>4</v>
      </c>
      <c r="AG269" s="24" t="n">
        <f aca="false" t="array" ref="AG269:AG269">INDEX(Paramètres!$C$6:$C$12,$AF269)</f>
        <v>1.75</v>
      </c>
      <c r="AH269" s="23" t="n">
        <f aca="false" t="array" ref="AH269:AH269">INDEX(Paramètres!$D$6:$D$12,$AF269)</f>
        <v>5</v>
      </c>
      <c r="AI269" s="23" t="n">
        <f aca="false" t="array" ref="AI269:AI269">INDEX(Matériaux!$C$16:$C$20,$D269)</f>
        <v>25</v>
      </c>
      <c r="AJ269" s="25" t="n">
        <f aca="false">Paramètres!$B$16+(1-Paramètres!$B$16)*(($J269-Paramètres!$B$14)/(Paramètres!$B$15-Paramètres!$B$14))^Paramètres!$B$17</f>
        <v>0.26769024555533</v>
      </c>
    </row>
    <row r="270" customFormat="false" ht="15.75" hidden="false" customHeight="true" outlineLevel="0" collapsed="false">
      <c r="A270" s="14" t="s">
        <v>385</v>
      </c>
      <c r="B270" s="15" t="s">
        <v>27</v>
      </c>
      <c r="C270" s="15" t="s">
        <v>369</v>
      </c>
      <c r="D270" s="16" t="n">
        <v>3</v>
      </c>
      <c r="E270" s="15" t="str">
        <f aca="false" t="array" ref="E270:E270">INDEX(Matériaux!$B$5:$F$12,MATCH(INDEX(Profils!$E$5:$E$34,$AE270),Matériaux!$A$5:$A$12,0),$D270)</f>
        <v>acier</v>
      </c>
      <c r="F270" s="29" t="s">
        <v>117</v>
      </c>
      <c r="G270" s="10" t="str">
        <f aca="false" t="array" ref="G270:G270">INDEX(Profils!$D$5:$D$34,$AE270)&amp;" en "&amp;$E270</f>
        <v>Épée en acier</v>
      </c>
      <c r="H270" s="16" t="n">
        <f aca="false" t="array" ref="H270:H270">INDEX(Matériaux!$B$16:$B$20,$D270)</f>
        <v>30</v>
      </c>
      <c r="I270" s="16" t="n">
        <f aca="false">IF(ISNUMBER($C$3),MIN(MAX(0,ROUND($C$3,0)),$AI270),$AI270)</f>
        <v>0</v>
      </c>
      <c r="J270" s="18" t="n">
        <f aca="false">$H270+$I270</f>
        <v>30</v>
      </c>
      <c r="K270" s="15" t="s">
        <v>109</v>
      </c>
      <c r="L270" s="19" t="n">
        <f aca="false" t="array" ref="L270:L270">IF(AND(INDEX(Profils!$F$5:$F$34,$AE270)&gt;0,INDEX(Profils!$U$5:$U$34,$AE270)&lt;=$AH270),ROUND(INDEX(Profils!$F$5:$F$34,$AE270)*Paramètres!$E$22*$AG270*$AJ270,Paramètres!$F$22),0)</f>
        <v>11</v>
      </c>
      <c r="M270" s="19" t="n">
        <f aca="false" t="array" ref="M270:M270">IF(AND(INDEX(Profils!$G$5:$G$34,$AE270)&gt;0,INDEX(Profils!$V$5:$V$34,$AE270)&lt;=$AH270),ROUND(INDEX(Profils!$G$5:$G$34,$AE270)*Paramètres!$E$23*$AG270*$AJ270,Paramètres!$F$23),0)</f>
        <v>27</v>
      </c>
      <c r="N270" s="19" t="n">
        <f aca="false" t="array" ref="N270:N270">IF(AND(INDEX(Profils!$H$5:$H$34,$AE270)&gt;0,INDEX(Profils!$W$5:$W$34,$AE270)&lt;=$AH270),ROUND(INDEX(Profils!$H$5:$H$34,$AE270)*Paramètres!$E$24*$AG270*$AJ270,Paramètres!$F$24),0)</f>
        <v>0</v>
      </c>
      <c r="O270" s="19" t="n">
        <f aca="false" t="array" ref="O270:O270">IF(AND(INDEX(Profils!$I$5:$I$34,$AE270)&gt;0,INDEX(Profils!$X$5:$X$34,$AE270)&lt;=$AH270),ROUND(INDEX(Profils!$I$5:$I$34,$AE270)*Paramètres!$E$25*$AG270*$AJ270,Paramètres!$F$25),0)</f>
        <v>0</v>
      </c>
      <c r="P270" s="19" t="n">
        <f aca="false" t="array" ref="P270:P270">IF(AND(INDEX(Profils!$J$5:$J$34,$AE270)&gt;0,INDEX(Profils!$Y$5:$Y$34,$AE270)&lt;=$AH270),ROUND(INDEX(Profils!$J$5:$J$34,$AE270)*Paramètres!$E$26*$AG270*$AJ270,Paramètres!$F$26),0)</f>
        <v>0</v>
      </c>
      <c r="Q270" s="19" t="n">
        <f aca="false" t="array" ref="Q270:Q270">IF(AND(INDEX(Profils!$K$5:$K$34,$AE270)&gt;0,INDEX(Profils!$Z$5:$Z$34,$AE270)&lt;=$AH270),ROUND(INDEX(Profils!$K$5:$K$34,$AE270)*Paramètres!$E$27*$AG270*$AJ270,Paramètres!$F$27),0)</f>
        <v>0</v>
      </c>
      <c r="R270" s="20" t="n">
        <f aca="false" t="array" ref="R270:R270">IF(AND(INDEX(Profils!$L$5:$L$34,$AE270)&gt;0,INDEX(Profils!$AA$5:$AA$34,$AE270)&lt;=$AH270),ROUND(INDEX(Profils!$L$5:$L$34,$AE270)*Paramètres!$E$28*$AG270*$AJ270,Paramètres!$F$28),0)</f>
        <v>0.013</v>
      </c>
      <c r="S270" s="20" t="n">
        <f aca="false" t="array" ref="S270:S270">IF(AND(INDEX(Profils!$M$5:$M$34,$AE270)&gt;0,INDEX(Profils!$AB$5:$AB$34,$AE270)&lt;=$AH270),ROUND(INDEX(Profils!$M$5:$M$34,$AE270)*Paramètres!$E$29*$AG270*$AJ270,Paramètres!$F$29),0)</f>
        <v>0.009</v>
      </c>
      <c r="T270" s="20" t="n">
        <f aca="false" t="array" ref="T270:T270">IF(AND(INDEX(Profils!$N$5:$N$34,$AE270)&gt;0,INDEX(Profils!$AC$5:$AC$34,$AE270)&lt;=$AH270),ROUND(INDEX(Profils!$N$5:$N$34,$AE270)*Paramètres!$E$30*$AG270*$AJ270,Paramètres!$F$30),0)</f>
        <v>0.025</v>
      </c>
      <c r="U270" s="19" t="n">
        <f aca="false" t="array" ref="U270:U270">IF(AND(INDEX(Profils!$O$5:$O$34,$AE270)&gt;0,INDEX(Profils!$AD$5:$AD$34,$AE270)&lt;=$AH270),ROUND(INDEX(Profils!$O$5:$O$34,$AE270)*Paramètres!$E$31*$AG270*$AJ270,Paramètres!$F$31),0)</f>
        <v>0</v>
      </c>
      <c r="V270" s="20" t="n">
        <f aca="false" t="array" ref="V270:V270">IF(AND(INDEX(Profils!$P$5:$P$34,$AE270)&gt;0,INDEX(Profils!$AE$5:$AE$34,$AE270)&lt;=$AH270),ROUND(INDEX(Profils!$P$5:$P$34,$AE270)*Paramètres!$E$32*$AG270*$AJ270,Paramètres!$F$32),0)</f>
        <v>0.012</v>
      </c>
      <c r="W270" s="20" t="n">
        <f aca="false" t="array" ref="W270:W270">IF(AND(INDEX(Profils!$Q$5:$Q$34,$AE270)&gt;0,INDEX(Profils!$AF$5:$AF$34,$AE270)&lt;=$AH270),ROUND(INDEX(Profils!$Q$5:$Q$34,$AE270)*Paramètres!$E$33*$AG270*$AJ270,Paramètres!$F$33),0)</f>
        <v>0</v>
      </c>
      <c r="X270" s="20" t="n">
        <f aca="false" t="array" ref="X270:X270">IF(AND(INDEX(Profils!$R$5:$R$34,$AE270)&gt;0,INDEX(Profils!$AG$5:$AG$34,$AE270)&lt;=$AH270),ROUND(INDEX(Profils!$R$5:$R$34,$AE270)*Paramètres!$E$34*$AG270*$AJ270,Paramètres!$F$34),0)</f>
        <v>0</v>
      </c>
      <c r="Y270" s="20" t="n">
        <f aca="false" t="array" ref="Y270:Y270">IF(AND(INDEX(Profils!$S$5:$S$34,$AE270)&gt;0,INDEX(Profils!$AH$5:$AH$34,$AE270)&lt;=$AH270),ROUND(INDEX(Profils!$S$5:$S$34,$AE270)*Paramètres!$E$35*$AG270*$AJ270,Paramètres!$F$35),0)</f>
        <v>0</v>
      </c>
      <c r="Z270" s="21" t="n">
        <f aca="false">ROUND(L270/Paramètres!$E$22+M270/Paramètres!$E$23+N270/Paramètres!$E$24+O270/Paramètres!$E$25+P270/Paramètres!$E$26+Q270/Paramètres!$E$27+R270/Paramètres!$E$28+S270/Paramètres!$E$29+T270/Paramètres!$E$30+U270/Paramètres!$E$31+V270/Paramètres!$E$32+W270/Paramètres!$E$33+X270/Paramètres!$E$34+Y270/Paramètres!$E$35,1)</f>
        <v>5.5</v>
      </c>
      <c r="AA270" s="22" t="s">
        <v>109</v>
      </c>
      <c r="AB270" s="22" t="s">
        <v>109</v>
      </c>
      <c r="AC270" s="15" t="str">
        <f aca="false">$E270</f>
        <v>acier</v>
      </c>
      <c r="AD270" s="16" t="n">
        <f aca="false" t="array" ref="AD270:AD270">IF($I270&gt;=$AI270,"Max",ROUND(Paramètres!$B$40*($I270+1)^Paramètres!$B$41*INDEX(Paramètres!$H$6:$H$12,$AF270),0))</f>
        <v>6</v>
      </c>
      <c r="AE270" s="23" t="n">
        <f aca="false">MATCH($B270&amp;"|"&amp;$C270,Profils!$A$5:$A$34,0)</f>
        <v>9</v>
      </c>
      <c r="AF270" s="23" t="n">
        <v>5</v>
      </c>
      <c r="AG270" s="24" t="n">
        <f aca="false" t="array" ref="AG270:AG270">INDEX(Paramètres!$C$6:$C$12,$AF270)</f>
        <v>2.1</v>
      </c>
      <c r="AH270" s="23" t="n">
        <f aca="false" t="array" ref="AH270:AH270">INDEX(Paramètres!$D$6:$D$12,$AF270)</f>
        <v>6</v>
      </c>
      <c r="AI270" s="23" t="n">
        <f aca="false" t="array" ref="AI270:AI270">INDEX(Matériaux!$C$16:$C$20,$D270)</f>
        <v>25</v>
      </c>
      <c r="AJ270" s="25" t="n">
        <f aca="false">Paramètres!$B$16+(1-Paramètres!$B$16)*(($J270-Paramètres!$B$14)/(Paramètres!$B$15-Paramètres!$B$14))^Paramètres!$B$17</f>
        <v>0.26769024555533</v>
      </c>
    </row>
    <row r="271" customFormat="false" ht="15.75" hidden="false" customHeight="true" outlineLevel="0" collapsed="false">
      <c r="A271" s="14" t="s">
        <v>386</v>
      </c>
      <c r="B271" s="15" t="s">
        <v>27</v>
      </c>
      <c r="C271" s="15" t="s">
        <v>369</v>
      </c>
      <c r="D271" s="16" t="n">
        <v>3</v>
      </c>
      <c r="E271" s="15" t="str">
        <f aca="false" t="array" ref="E271:E271">INDEX(Matériaux!$B$5:$F$12,MATCH(INDEX(Profils!$E$5:$E$34,$AE271),Matériaux!$A$5:$A$12,0),$D271)</f>
        <v>acier</v>
      </c>
      <c r="F271" s="30" t="s">
        <v>119</v>
      </c>
      <c r="G271" s="10" t="str">
        <f aca="false" t="array" ref="G271:G271">INDEX(Profils!$D$5:$D$34,$AE271)&amp;" en "&amp;$E271</f>
        <v>Épée en acier</v>
      </c>
      <c r="H271" s="16" t="n">
        <f aca="false" t="array" ref="H271:H271">INDEX(Matériaux!$B$16:$B$20,$D271)</f>
        <v>30</v>
      </c>
      <c r="I271" s="16" t="n">
        <f aca="false">IF(ISNUMBER($C$3),MIN(MAX(0,ROUND($C$3,0)),$AI271),$AI271)</f>
        <v>0</v>
      </c>
      <c r="J271" s="18" t="n">
        <f aca="false">$H271+$I271</f>
        <v>30</v>
      </c>
      <c r="K271" s="15" t="s">
        <v>109</v>
      </c>
      <c r="L271" s="19" t="n">
        <f aca="false" t="array" ref="L271:L271">IF(AND(INDEX(Profils!$F$5:$F$34,$AE271)&gt;0,INDEX(Profils!$U$5:$U$34,$AE271)&lt;=$AH271),ROUND(INDEX(Profils!$F$5:$F$34,$AE271)*Paramètres!$E$22*$AG271*$AJ271,Paramètres!$F$22),0)</f>
        <v>13</v>
      </c>
      <c r="M271" s="19" t="n">
        <f aca="false" t="array" ref="M271:M271">IF(AND(INDEX(Profils!$G$5:$G$34,$AE271)&gt;0,INDEX(Profils!$V$5:$V$34,$AE271)&lt;=$AH271),ROUND(INDEX(Profils!$G$5:$G$34,$AE271)*Paramètres!$E$23*$AG271*$AJ271,Paramètres!$F$23),0)</f>
        <v>31</v>
      </c>
      <c r="N271" s="19" t="n">
        <f aca="false" t="array" ref="N271:N271">IF(AND(INDEX(Profils!$H$5:$H$34,$AE271)&gt;0,INDEX(Profils!$W$5:$W$34,$AE271)&lt;=$AH271),ROUND(INDEX(Profils!$H$5:$H$34,$AE271)*Paramètres!$E$24*$AG271*$AJ271,Paramètres!$F$24),0)</f>
        <v>0</v>
      </c>
      <c r="O271" s="19" t="n">
        <f aca="false" t="array" ref="O271:O271">IF(AND(INDEX(Profils!$I$5:$I$34,$AE271)&gt;0,INDEX(Profils!$X$5:$X$34,$AE271)&lt;=$AH271),ROUND(INDEX(Profils!$I$5:$I$34,$AE271)*Paramètres!$E$25*$AG271*$AJ271,Paramètres!$F$25),0)</f>
        <v>0</v>
      </c>
      <c r="P271" s="19" t="n">
        <f aca="false" t="array" ref="P271:P271">IF(AND(INDEX(Profils!$J$5:$J$34,$AE271)&gt;0,INDEX(Profils!$Y$5:$Y$34,$AE271)&lt;=$AH271),ROUND(INDEX(Profils!$J$5:$J$34,$AE271)*Paramètres!$E$26*$AG271*$AJ271,Paramètres!$F$26),0)</f>
        <v>5</v>
      </c>
      <c r="Q271" s="19" t="n">
        <f aca="false" t="array" ref="Q271:Q271">IF(AND(INDEX(Profils!$K$5:$K$34,$AE271)&gt;0,INDEX(Profils!$Z$5:$Z$34,$AE271)&lt;=$AH271),ROUND(INDEX(Profils!$K$5:$K$34,$AE271)*Paramètres!$E$27*$AG271*$AJ271,Paramètres!$F$27),0)</f>
        <v>0</v>
      </c>
      <c r="R271" s="20" t="n">
        <f aca="false" t="array" ref="R271:R271">IF(AND(INDEX(Profils!$L$5:$L$34,$AE271)&gt;0,INDEX(Profils!$AA$5:$AA$34,$AE271)&lt;=$AH271),ROUND(INDEX(Profils!$L$5:$L$34,$AE271)*Paramètres!$E$28*$AG271*$AJ271,Paramètres!$F$28),0)</f>
        <v>0.015</v>
      </c>
      <c r="S271" s="20" t="n">
        <f aca="false" t="array" ref="S271:S271">IF(AND(INDEX(Profils!$M$5:$M$34,$AE271)&gt;0,INDEX(Profils!$AB$5:$AB$34,$AE271)&lt;=$AH271),ROUND(INDEX(Profils!$M$5:$M$34,$AE271)*Paramètres!$E$29*$AG271*$AJ271,Paramètres!$F$29),0)</f>
        <v>0.011</v>
      </c>
      <c r="T271" s="20" t="n">
        <f aca="false" t="array" ref="T271:T271">IF(AND(INDEX(Profils!$N$5:$N$34,$AE271)&gt;0,INDEX(Profils!$AC$5:$AC$34,$AE271)&lt;=$AH271),ROUND(INDEX(Profils!$N$5:$N$34,$AE271)*Paramètres!$E$30*$AG271*$AJ271,Paramètres!$F$30),0)</f>
        <v>0.029</v>
      </c>
      <c r="U271" s="19" t="n">
        <f aca="false" t="array" ref="U271:U271">IF(AND(INDEX(Profils!$O$5:$O$34,$AE271)&gt;0,INDEX(Profils!$AD$5:$AD$34,$AE271)&lt;=$AH271),ROUND(INDEX(Profils!$O$5:$O$34,$AE271)*Paramètres!$E$31*$AG271*$AJ271,Paramètres!$F$31),0)</f>
        <v>0</v>
      </c>
      <c r="V271" s="20" t="n">
        <f aca="false" t="array" ref="V271:V271">IF(AND(INDEX(Profils!$P$5:$P$34,$AE271)&gt;0,INDEX(Profils!$AE$5:$AE$34,$AE271)&lt;=$AH271),ROUND(INDEX(Profils!$P$5:$P$34,$AE271)*Paramètres!$E$32*$AG271*$AJ271,Paramètres!$F$32),0)</f>
        <v>0.013</v>
      </c>
      <c r="W271" s="20" t="n">
        <f aca="false" t="array" ref="W271:W271">IF(AND(INDEX(Profils!$Q$5:$Q$34,$AE271)&gt;0,INDEX(Profils!$AF$5:$AF$34,$AE271)&lt;=$AH271),ROUND(INDEX(Profils!$Q$5:$Q$34,$AE271)*Paramètres!$E$33*$AG271*$AJ271,Paramètres!$F$33),0)</f>
        <v>0</v>
      </c>
      <c r="X271" s="20" t="n">
        <f aca="false" t="array" ref="X271:X271">IF(AND(INDEX(Profils!$R$5:$R$34,$AE271)&gt;0,INDEX(Profils!$AG$5:$AG$34,$AE271)&lt;=$AH271),ROUND(INDEX(Profils!$R$5:$R$34,$AE271)*Paramètres!$E$34*$AG271*$AJ271,Paramètres!$F$34),0)</f>
        <v>0</v>
      </c>
      <c r="Y271" s="20" t="n">
        <f aca="false" t="array" ref="Y271:Y271">IF(AND(INDEX(Profils!$S$5:$S$34,$AE271)&gt;0,INDEX(Profils!$AH$5:$AH$34,$AE271)&lt;=$AH271),ROUND(INDEX(Profils!$S$5:$S$34,$AE271)*Paramètres!$E$35*$AG271*$AJ271,Paramètres!$F$35),0)</f>
        <v>0</v>
      </c>
      <c r="Z271" s="21" t="n">
        <f aca="false">ROUND(L271/Paramètres!$E$22+M271/Paramètres!$E$23+N271/Paramètres!$E$24+O271/Paramètres!$E$25+P271/Paramètres!$E$26+Q271/Paramètres!$E$27+R271/Paramètres!$E$28+S271/Paramètres!$E$29+T271/Paramètres!$E$30+U271/Paramètres!$E$31+V271/Paramètres!$E$32+W271/Paramètres!$E$33+X271/Paramètres!$E$34+Y271/Paramètres!$E$35,1)</f>
        <v>6.8</v>
      </c>
      <c r="AA271" s="22" t="s">
        <v>109</v>
      </c>
      <c r="AB271" s="22" t="s">
        <v>109</v>
      </c>
      <c r="AC271" s="15" t="str">
        <f aca="false">$E271</f>
        <v>acier</v>
      </c>
      <c r="AD271" s="16" t="n">
        <f aca="false" t="array" ref="AD271:AD271">IF($I271&gt;=$AI271,"Max",ROUND(Paramètres!$B$40*($I271+1)^Paramètres!$B$41*INDEX(Paramètres!$H$6:$H$12,$AF271),0))</f>
        <v>8</v>
      </c>
      <c r="AE271" s="23" t="n">
        <f aca="false">MATCH($B271&amp;"|"&amp;$C271,Profils!$A$5:$A$34,0)</f>
        <v>9</v>
      </c>
      <c r="AF271" s="23" t="n">
        <v>6</v>
      </c>
      <c r="AG271" s="24" t="n">
        <f aca="false" t="array" ref="AG271:AG271">INDEX(Paramètres!$C$6:$C$12,$AF271)</f>
        <v>2.4</v>
      </c>
      <c r="AH271" s="23" t="n">
        <f aca="false" t="array" ref="AH271:AH271">INDEX(Paramètres!$D$6:$D$12,$AF271)</f>
        <v>7</v>
      </c>
      <c r="AI271" s="23" t="n">
        <f aca="false" t="array" ref="AI271:AI271">INDEX(Matériaux!$C$16:$C$20,$D271)</f>
        <v>25</v>
      </c>
      <c r="AJ271" s="25" t="n">
        <f aca="false">Paramètres!$B$16+(1-Paramètres!$B$16)*(($J271-Paramètres!$B$14)/(Paramètres!$B$15-Paramètres!$B$14))^Paramètres!$B$17</f>
        <v>0.26769024555533</v>
      </c>
    </row>
    <row r="272" customFormat="false" ht="15.75" hidden="false" customHeight="true" outlineLevel="0" collapsed="false">
      <c r="A272" s="14" t="s">
        <v>387</v>
      </c>
      <c r="B272" s="15" t="s">
        <v>27</v>
      </c>
      <c r="C272" s="15" t="s">
        <v>369</v>
      </c>
      <c r="D272" s="16" t="n">
        <v>4</v>
      </c>
      <c r="E272" s="15" t="str">
        <f aca="false" t="array" ref="E272:E272">INDEX(Matériaux!$B$5:$F$12,MATCH(INDEX(Profils!$E$5:$E$34,$AE272),Matériaux!$A$5:$A$12,0),$D272)</f>
        <v>mithril</v>
      </c>
      <c r="F272" s="17" t="s">
        <v>108</v>
      </c>
      <c r="G272" s="10" t="str">
        <f aca="false" t="array" ref="G272:G272">INDEX(Profils!$D$5:$D$34,$AE272)&amp;" en "&amp;$E272</f>
        <v>Épée en mithril</v>
      </c>
      <c r="H272" s="16" t="n">
        <f aca="false" t="array" ref="H272:H272">INDEX(Matériaux!$B$16:$B$20,$D272)</f>
        <v>50</v>
      </c>
      <c r="I272" s="16" t="n">
        <f aca="false">IF(ISNUMBER($C$3),MIN(MAX(0,ROUND($C$3,0)),$AI272),$AI272)</f>
        <v>0</v>
      </c>
      <c r="J272" s="18" t="n">
        <f aca="false">$H272+$I272</f>
        <v>50</v>
      </c>
      <c r="K272" s="15" t="s">
        <v>109</v>
      </c>
      <c r="L272" s="19" t="n">
        <f aca="false" t="array" ref="L272:L272">IF(AND(INDEX(Profils!$F$5:$F$34,$AE272)&gt;0,INDEX(Profils!$U$5:$U$34,$AE272)&lt;=$AH272),ROUND(INDEX(Profils!$F$5:$F$34,$AE272)*Paramètres!$E$22*$AG272*$AJ272,Paramètres!$F$22),0)</f>
        <v>0</v>
      </c>
      <c r="M272" s="19" t="n">
        <f aca="false" t="array" ref="M272:M272">IF(AND(INDEX(Profils!$G$5:$G$34,$AE272)&gt;0,INDEX(Profils!$V$5:$V$34,$AE272)&lt;=$AH272),ROUND(INDEX(Profils!$G$5:$G$34,$AE272)*Paramètres!$E$23*$AG272*$AJ272,Paramètres!$F$23),0)</f>
        <v>22</v>
      </c>
      <c r="N272" s="19" t="n">
        <f aca="false" t="array" ref="N272:N272">IF(AND(INDEX(Profils!$H$5:$H$34,$AE272)&gt;0,INDEX(Profils!$W$5:$W$34,$AE272)&lt;=$AH272),ROUND(INDEX(Profils!$H$5:$H$34,$AE272)*Paramètres!$E$24*$AG272*$AJ272,Paramètres!$F$24),0)</f>
        <v>0</v>
      </c>
      <c r="O272" s="19" t="n">
        <f aca="false" t="array" ref="O272:O272">IF(AND(INDEX(Profils!$I$5:$I$34,$AE272)&gt;0,INDEX(Profils!$X$5:$X$34,$AE272)&lt;=$AH272),ROUND(INDEX(Profils!$I$5:$I$34,$AE272)*Paramètres!$E$25*$AG272*$AJ272,Paramètres!$F$25),0)</f>
        <v>0</v>
      </c>
      <c r="P272" s="19" t="n">
        <f aca="false" t="array" ref="P272:P272">IF(AND(INDEX(Profils!$J$5:$J$34,$AE272)&gt;0,INDEX(Profils!$Y$5:$Y$34,$AE272)&lt;=$AH272),ROUND(INDEX(Profils!$J$5:$J$34,$AE272)*Paramètres!$E$26*$AG272*$AJ272,Paramètres!$F$26),0)</f>
        <v>0</v>
      </c>
      <c r="Q272" s="19" t="n">
        <f aca="false" t="array" ref="Q272:Q272">IF(AND(INDEX(Profils!$K$5:$K$34,$AE272)&gt;0,INDEX(Profils!$Z$5:$Z$34,$AE272)&lt;=$AH272),ROUND(INDEX(Profils!$K$5:$K$34,$AE272)*Paramètres!$E$27*$AG272*$AJ272,Paramètres!$F$27),0)</f>
        <v>0</v>
      </c>
      <c r="R272" s="20" t="n">
        <f aca="false" t="array" ref="R272:R272">IF(AND(INDEX(Profils!$L$5:$L$34,$AE272)&gt;0,INDEX(Profils!$AA$5:$AA$34,$AE272)&lt;=$AH272),ROUND(INDEX(Profils!$L$5:$L$34,$AE272)*Paramètres!$E$28*$AG272*$AJ272,Paramètres!$F$28),0)</f>
        <v>0.011</v>
      </c>
      <c r="S272" s="20" t="n">
        <f aca="false" t="array" ref="S272:S272">IF(AND(INDEX(Profils!$M$5:$M$34,$AE272)&gt;0,INDEX(Profils!$AB$5:$AB$34,$AE272)&lt;=$AH272),ROUND(INDEX(Profils!$M$5:$M$34,$AE272)*Paramètres!$E$29*$AG272*$AJ272,Paramètres!$F$29),0)</f>
        <v>0</v>
      </c>
      <c r="T272" s="20" t="n">
        <f aca="false" t="array" ref="T272:T272">IF(AND(INDEX(Profils!$N$5:$N$34,$AE272)&gt;0,INDEX(Profils!$AC$5:$AC$34,$AE272)&lt;=$AH272),ROUND(INDEX(Profils!$N$5:$N$34,$AE272)*Paramètres!$E$30*$AG272*$AJ272,Paramètres!$F$30),0)</f>
        <v>0</v>
      </c>
      <c r="U272" s="19" t="n">
        <f aca="false" t="array" ref="U272:U272">IF(AND(INDEX(Profils!$O$5:$O$34,$AE272)&gt;0,INDEX(Profils!$AD$5:$AD$34,$AE272)&lt;=$AH272),ROUND(INDEX(Profils!$O$5:$O$34,$AE272)*Paramètres!$E$31*$AG272*$AJ272,Paramètres!$F$31),0)</f>
        <v>0</v>
      </c>
      <c r="V272" s="20" t="n">
        <f aca="false" t="array" ref="V272:V272">IF(AND(INDEX(Profils!$P$5:$P$34,$AE272)&gt;0,INDEX(Profils!$AE$5:$AE$34,$AE272)&lt;=$AH272),ROUND(INDEX(Profils!$P$5:$P$34,$AE272)*Paramètres!$E$32*$AG272*$AJ272,Paramètres!$F$32),0)</f>
        <v>0</v>
      </c>
      <c r="W272" s="20" t="n">
        <f aca="false" t="array" ref="W272:W272">IF(AND(INDEX(Profils!$Q$5:$Q$34,$AE272)&gt;0,INDEX(Profils!$AF$5:$AF$34,$AE272)&lt;=$AH272),ROUND(INDEX(Profils!$Q$5:$Q$34,$AE272)*Paramètres!$E$33*$AG272*$AJ272,Paramètres!$F$33),0)</f>
        <v>0</v>
      </c>
      <c r="X272" s="20" t="n">
        <f aca="false" t="array" ref="X272:X272">IF(AND(INDEX(Profils!$R$5:$R$34,$AE272)&gt;0,INDEX(Profils!$AG$5:$AG$34,$AE272)&lt;=$AH272),ROUND(INDEX(Profils!$R$5:$R$34,$AE272)*Paramètres!$E$34*$AG272*$AJ272,Paramètres!$F$34),0)</f>
        <v>0</v>
      </c>
      <c r="Y272" s="20" t="n">
        <f aca="false" t="array" ref="Y272:Y272">IF(AND(INDEX(Profils!$S$5:$S$34,$AE272)&gt;0,INDEX(Profils!$AH$5:$AH$34,$AE272)&lt;=$AH272),ROUND(INDEX(Profils!$S$5:$S$34,$AE272)*Paramètres!$E$35*$AG272*$AJ272,Paramètres!$F$35),0)</f>
        <v>0</v>
      </c>
      <c r="Z272" s="21" t="n">
        <f aca="false">ROUND(L272/Paramètres!$E$22+M272/Paramètres!$E$23+N272/Paramètres!$E$24+O272/Paramètres!$E$25+P272/Paramètres!$E$26+Q272/Paramètres!$E$27+R272/Paramètres!$E$28+S272/Paramètres!$E$29+T272/Paramètres!$E$30+U272/Paramètres!$E$31+V272/Paramètres!$E$32+W272/Paramètres!$E$33+X272/Paramètres!$E$34+Y272/Paramètres!$E$35,1)</f>
        <v>2.2</v>
      </c>
      <c r="AA272" s="22" t="s">
        <v>109</v>
      </c>
      <c r="AB272" s="22" t="s">
        <v>109</v>
      </c>
      <c r="AC272" s="15" t="str">
        <f aca="false">$E272</f>
        <v>mithril</v>
      </c>
      <c r="AD272" s="16" t="n">
        <f aca="false" t="array" ref="AD272:AD272">IF($I272&gt;=$AI272,"Max",ROUND(Paramètres!$B$40*($I272+1)^Paramètres!$B$41*INDEX(Paramètres!$H$6:$H$12,$AF272),0))</f>
        <v>3</v>
      </c>
      <c r="AE272" s="23" t="n">
        <f aca="false">MATCH($B272&amp;"|"&amp;$C272,Profils!$A$5:$A$34,0)</f>
        <v>9</v>
      </c>
      <c r="AF272" s="23" t="n">
        <v>1</v>
      </c>
      <c r="AG272" s="24" t="n">
        <f aca="false" t="array" ref="AG272:AG272">INDEX(Paramètres!$C$6:$C$12,$AF272)</f>
        <v>1</v>
      </c>
      <c r="AH272" s="23" t="n">
        <f aca="false" t="array" ref="AH272:AH272">INDEX(Paramètres!$D$6:$D$12,$AF272)</f>
        <v>2</v>
      </c>
      <c r="AI272" s="23" t="n">
        <f aca="false" t="array" ref="AI272:AI272">INDEX(Matériaux!$C$16:$C$20,$D272)</f>
        <v>25</v>
      </c>
      <c r="AJ272" s="25" t="n">
        <f aca="false">Paramètres!$B$16+(1-Paramètres!$B$16)*(($J272-Paramètres!$B$14)/(Paramètres!$B$15-Paramètres!$B$14))^Paramètres!$B$17</f>
        <v>0.458504333336152</v>
      </c>
    </row>
    <row r="273" customFormat="false" ht="15.75" hidden="false" customHeight="true" outlineLevel="0" collapsed="false">
      <c r="A273" s="14" t="s">
        <v>388</v>
      </c>
      <c r="B273" s="15" t="s">
        <v>27</v>
      </c>
      <c r="C273" s="15" t="s">
        <v>369</v>
      </c>
      <c r="D273" s="16" t="n">
        <v>4</v>
      </c>
      <c r="E273" s="15" t="str">
        <f aca="false" t="array" ref="E273:E273">INDEX(Matériaux!$B$5:$F$12,MATCH(INDEX(Profils!$E$5:$E$34,$AE273),Matériaux!$A$5:$A$12,0),$D273)</f>
        <v>mithril</v>
      </c>
      <c r="F273" s="26" t="s">
        <v>111</v>
      </c>
      <c r="G273" s="10" t="str">
        <f aca="false" t="array" ref="G273:G273">INDEX(Profils!$D$5:$D$34,$AE273)&amp;" en "&amp;$E273</f>
        <v>Épée en mithril</v>
      </c>
      <c r="H273" s="16" t="n">
        <f aca="false" t="array" ref="H273:H273">INDEX(Matériaux!$B$16:$B$20,$D273)</f>
        <v>50</v>
      </c>
      <c r="I273" s="16" t="n">
        <f aca="false">IF(ISNUMBER($C$3),MIN(MAX(0,ROUND($C$3,0)),$AI273),$AI273)</f>
        <v>0</v>
      </c>
      <c r="J273" s="18" t="n">
        <f aca="false">$H273+$I273</f>
        <v>50</v>
      </c>
      <c r="K273" s="15" t="s">
        <v>109</v>
      </c>
      <c r="L273" s="19" t="n">
        <f aca="false" t="array" ref="L273:L273">IF(AND(INDEX(Profils!$F$5:$F$34,$AE273)&gt;0,INDEX(Profils!$U$5:$U$34,$AE273)&lt;=$AH273),ROUND(INDEX(Profils!$F$5:$F$34,$AE273)*Paramètres!$E$22*$AG273*$AJ273,Paramètres!$F$22),0)</f>
        <v>0</v>
      </c>
      <c r="M273" s="19" t="n">
        <f aca="false" t="array" ref="M273:M273">IF(AND(INDEX(Profils!$G$5:$G$34,$AE273)&gt;0,INDEX(Profils!$V$5:$V$34,$AE273)&lt;=$AH273),ROUND(INDEX(Profils!$G$5:$G$34,$AE273)*Paramètres!$E$23*$AG273*$AJ273,Paramètres!$F$23),0)</f>
        <v>26</v>
      </c>
      <c r="N273" s="19" t="n">
        <f aca="false" t="array" ref="N273:N273">IF(AND(INDEX(Profils!$H$5:$H$34,$AE273)&gt;0,INDEX(Profils!$W$5:$W$34,$AE273)&lt;=$AH273),ROUND(INDEX(Profils!$H$5:$H$34,$AE273)*Paramètres!$E$24*$AG273*$AJ273,Paramètres!$F$24),0)</f>
        <v>0</v>
      </c>
      <c r="O273" s="19" t="n">
        <f aca="false" t="array" ref="O273:O273">IF(AND(INDEX(Profils!$I$5:$I$34,$AE273)&gt;0,INDEX(Profils!$X$5:$X$34,$AE273)&lt;=$AH273),ROUND(INDEX(Profils!$I$5:$I$34,$AE273)*Paramètres!$E$25*$AG273*$AJ273,Paramètres!$F$25),0)</f>
        <v>0</v>
      </c>
      <c r="P273" s="19" t="n">
        <f aca="false" t="array" ref="P273:P273">IF(AND(INDEX(Profils!$J$5:$J$34,$AE273)&gt;0,INDEX(Profils!$Y$5:$Y$34,$AE273)&lt;=$AH273),ROUND(INDEX(Profils!$J$5:$J$34,$AE273)*Paramètres!$E$26*$AG273*$AJ273,Paramètres!$F$26),0)</f>
        <v>0</v>
      </c>
      <c r="Q273" s="19" t="n">
        <f aca="false" t="array" ref="Q273:Q273">IF(AND(INDEX(Profils!$K$5:$K$34,$AE273)&gt;0,INDEX(Profils!$Z$5:$Z$34,$AE273)&lt;=$AH273),ROUND(INDEX(Profils!$K$5:$K$34,$AE273)*Paramètres!$E$27*$AG273*$AJ273,Paramètres!$F$27),0)</f>
        <v>0</v>
      </c>
      <c r="R273" s="20" t="n">
        <f aca="false" t="array" ref="R273:R273">IF(AND(INDEX(Profils!$L$5:$L$34,$AE273)&gt;0,INDEX(Profils!$AA$5:$AA$34,$AE273)&lt;=$AH273),ROUND(INDEX(Profils!$L$5:$L$34,$AE273)*Paramètres!$E$28*$AG273*$AJ273,Paramètres!$F$28),0)</f>
        <v>0.013</v>
      </c>
      <c r="S273" s="20" t="n">
        <f aca="false" t="array" ref="S273:S273">IF(AND(INDEX(Profils!$M$5:$M$34,$AE273)&gt;0,INDEX(Profils!$AB$5:$AB$34,$AE273)&lt;=$AH273),ROUND(INDEX(Profils!$M$5:$M$34,$AE273)*Paramètres!$E$29*$AG273*$AJ273,Paramètres!$F$29),0)</f>
        <v>0</v>
      </c>
      <c r="T273" s="20" t="n">
        <f aca="false" t="array" ref="T273:T273">IF(AND(INDEX(Profils!$N$5:$N$34,$AE273)&gt;0,INDEX(Profils!$AC$5:$AC$34,$AE273)&lt;=$AH273),ROUND(INDEX(Profils!$N$5:$N$34,$AE273)*Paramètres!$E$30*$AG273*$AJ273,Paramètres!$F$30),0)</f>
        <v>0.025</v>
      </c>
      <c r="U273" s="19" t="n">
        <f aca="false" t="array" ref="U273:U273">IF(AND(INDEX(Profils!$O$5:$O$34,$AE273)&gt;0,INDEX(Profils!$AD$5:$AD$34,$AE273)&lt;=$AH273),ROUND(INDEX(Profils!$O$5:$O$34,$AE273)*Paramètres!$E$31*$AG273*$AJ273,Paramètres!$F$31),0)</f>
        <v>0</v>
      </c>
      <c r="V273" s="20" t="n">
        <f aca="false" t="array" ref="V273:V273">IF(AND(INDEX(Profils!$P$5:$P$34,$AE273)&gt;0,INDEX(Profils!$AE$5:$AE$34,$AE273)&lt;=$AH273),ROUND(INDEX(Profils!$P$5:$P$34,$AE273)*Paramètres!$E$32*$AG273*$AJ273,Paramètres!$F$32),0)</f>
        <v>0</v>
      </c>
      <c r="W273" s="20" t="n">
        <f aca="false" t="array" ref="W273:W273">IF(AND(INDEX(Profils!$Q$5:$Q$34,$AE273)&gt;0,INDEX(Profils!$AF$5:$AF$34,$AE273)&lt;=$AH273),ROUND(INDEX(Profils!$Q$5:$Q$34,$AE273)*Paramètres!$E$33*$AG273*$AJ273,Paramètres!$F$33),0)</f>
        <v>0</v>
      </c>
      <c r="X273" s="20" t="n">
        <f aca="false" t="array" ref="X273:X273">IF(AND(INDEX(Profils!$R$5:$R$34,$AE273)&gt;0,INDEX(Profils!$AG$5:$AG$34,$AE273)&lt;=$AH273),ROUND(INDEX(Profils!$R$5:$R$34,$AE273)*Paramètres!$E$34*$AG273*$AJ273,Paramètres!$F$34),0)</f>
        <v>0</v>
      </c>
      <c r="Y273" s="20" t="n">
        <f aca="false" t="array" ref="Y273:Y273">IF(AND(INDEX(Profils!$S$5:$S$34,$AE273)&gt;0,INDEX(Profils!$AH$5:$AH$34,$AE273)&lt;=$AH273),ROUND(INDEX(Profils!$S$5:$S$34,$AE273)*Paramètres!$E$35*$AG273*$AJ273,Paramètres!$F$35),0)</f>
        <v>0</v>
      </c>
      <c r="Z273" s="21" t="n">
        <f aca="false">ROUND(L273/Paramètres!$E$22+M273/Paramètres!$E$23+N273/Paramètres!$E$24+O273/Paramètres!$E$25+P273/Paramètres!$E$26+Q273/Paramètres!$E$27+R273/Paramètres!$E$28+S273/Paramètres!$E$29+T273/Paramètres!$E$30+U273/Paramètres!$E$31+V273/Paramètres!$E$32+W273/Paramètres!$E$33+X273/Paramètres!$E$34+Y273/Paramètres!$E$35,1)</f>
        <v>3.4</v>
      </c>
      <c r="AA273" s="22" t="s">
        <v>109</v>
      </c>
      <c r="AB273" s="22" t="s">
        <v>109</v>
      </c>
      <c r="AC273" s="15" t="str">
        <f aca="false">$E273</f>
        <v>mithril</v>
      </c>
      <c r="AD273" s="16" t="n">
        <f aca="false" t="array" ref="AD273:AD273">IF($I273&gt;=$AI273,"Max",ROUND(Paramètres!$B$40*($I273+1)^Paramètres!$B$41*INDEX(Paramètres!$H$6:$H$12,$AF273),0))</f>
        <v>4</v>
      </c>
      <c r="AE273" s="23" t="n">
        <f aca="false">MATCH($B273&amp;"|"&amp;$C273,Profils!$A$5:$A$34,0)</f>
        <v>9</v>
      </c>
      <c r="AF273" s="23" t="n">
        <v>2</v>
      </c>
      <c r="AG273" s="24" t="n">
        <f aca="false" t="array" ref="AG273:AG273">INDEX(Paramètres!$C$6:$C$12,$AF273)</f>
        <v>1.2</v>
      </c>
      <c r="AH273" s="23" t="n">
        <f aca="false" t="array" ref="AH273:AH273">INDEX(Paramètres!$D$6:$D$12,$AF273)</f>
        <v>3</v>
      </c>
      <c r="AI273" s="23" t="n">
        <f aca="false" t="array" ref="AI273:AI273">INDEX(Matériaux!$C$16:$C$20,$D273)</f>
        <v>25</v>
      </c>
      <c r="AJ273" s="25" t="n">
        <f aca="false">Paramètres!$B$16+(1-Paramètres!$B$16)*(($J273-Paramètres!$B$14)/(Paramètres!$B$15-Paramètres!$B$14))^Paramètres!$B$17</f>
        <v>0.458504333336152</v>
      </c>
    </row>
    <row r="274" customFormat="false" ht="15.75" hidden="false" customHeight="true" outlineLevel="0" collapsed="false">
      <c r="A274" s="14" t="s">
        <v>389</v>
      </c>
      <c r="B274" s="15" t="s">
        <v>27</v>
      </c>
      <c r="C274" s="15" t="s">
        <v>369</v>
      </c>
      <c r="D274" s="16" t="n">
        <v>4</v>
      </c>
      <c r="E274" s="15" t="str">
        <f aca="false" t="array" ref="E274:E274">INDEX(Matériaux!$B$5:$F$12,MATCH(INDEX(Profils!$E$5:$E$34,$AE274),Matériaux!$A$5:$A$12,0),$D274)</f>
        <v>mithril</v>
      </c>
      <c r="F274" s="27" t="s">
        <v>113</v>
      </c>
      <c r="G274" s="10" t="str">
        <f aca="false" t="array" ref="G274:G274">INDEX(Profils!$D$5:$D$34,$AE274)&amp;" en "&amp;$E274</f>
        <v>Épée en mithril</v>
      </c>
      <c r="H274" s="16" t="n">
        <f aca="false" t="array" ref="H274:H274">INDEX(Matériaux!$B$16:$B$20,$D274)</f>
        <v>50</v>
      </c>
      <c r="I274" s="16" t="n">
        <f aca="false">IF(ISNUMBER($C$3),MIN(MAX(0,ROUND($C$3,0)),$AI274),$AI274)</f>
        <v>0</v>
      </c>
      <c r="J274" s="18" t="n">
        <f aca="false">$H274+$I274</f>
        <v>50</v>
      </c>
      <c r="K274" s="15" t="s">
        <v>109</v>
      </c>
      <c r="L274" s="19" t="n">
        <f aca="false" t="array" ref="L274:L274">IF(AND(INDEX(Profils!$F$5:$F$34,$AE274)&gt;0,INDEX(Profils!$U$5:$U$34,$AE274)&lt;=$AH274),ROUND(INDEX(Profils!$F$5:$F$34,$AE274)*Paramètres!$E$22*$AG274*$AJ274,Paramètres!$F$22),0)</f>
        <v>0</v>
      </c>
      <c r="M274" s="19" t="n">
        <f aca="false" t="array" ref="M274:M274">IF(AND(INDEX(Profils!$G$5:$G$34,$AE274)&gt;0,INDEX(Profils!$V$5:$V$34,$AE274)&lt;=$AH274),ROUND(INDEX(Profils!$G$5:$G$34,$AE274)*Paramètres!$E$23*$AG274*$AJ274,Paramètres!$F$23),0)</f>
        <v>32</v>
      </c>
      <c r="N274" s="19" t="n">
        <f aca="false" t="array" ref="N274:N274">IF(AND(INDEX(Profils!$H$5:$H$34,$AE274)&gt;0,INDEX(Profils!$W$5:$W$34,$AE274)&lt;=$AH274),ROUND(INDEX(Profils!$H$5:$H$34,$AE274)*Paramètres!$E$24*$AG274*$AJ274,Paramètres!$F$24),0)</f>
        <v>0</v>
      </c>
      <c r="O274" s="19" t="n">
        <f aca="false" t="array" ref="O274:O274">IF(AND(INDEX(Profils!$I$5:$I$34,$AE274)&gt;0,INDEX(Profils!$X$5:$X$34,$AE274)&lt;=$AH274),ROUND(INDEX(Profils!$I$5:$I$34,$AE274)*Paramètres!$E$25*$AG274*$AJ274,Paramètres!$F$25),0)</f>
        <v>0</v>
      </c>
      <c r="P274" s="19" t="n">
        <f aca="false" t="array" ref="P274:P274">IF(AND(INDEX(Profils!$J$5:$J$34,$AE274)&gt;0,INDEX(Profils!$Y$5:$Y$34,$AE274)&lt;=$AH274),ROUND(INDEX(Profils!$J$5:$J$34,$AE274)*Paramètres!$E$26*$AG274*$AJ274,Paramètres!$F$26),0)</f>
        <v>0</v>
      </c>
      <c r="Q274" s="19" t="n">
        <f aca="false" t="array" ref="Q274:Q274">IF(AND(INDEX(Profils!$K$5:$K$34,$AE274)&gt;0,INDEX(Profils!$Z$5:$Z$34,$AE274)&lt;=$AH274),ROUND(INDEX(Profils!$K$5:$K$34,$AE274)*Paramètres!$E$27*$AG274*$AJ274,Paramètres!$F$27),0)</f>
        <v>0</v>
      </c>
      <c r="R274" s="20" t="n">
        <f aca="false" t="array" ref="R274:R274">IF(AND(INDEX(Profils!$L$5:$L$34,$AE274)&gt;0,INDEX(Profils!$AA$5:$AA$34,$AE274)&lt;=$AH274),ROUND(INDEX(Profils!$L$5:$L$34,$AE274)*Paramètres!$E$28*$AG274*$AJ274,Paramètres!$F$28),0)</f>
        <v>0.016</v>
      </c>
      <c r="S274" s="20" t="n">
        <f aca="false" t="array" ref="S274:S274">IF(AND(INDEX(Profils!$M$5:$M$34,$AE274)&gt;0,INDEX(Profils!$AB$5:$AB$34,$AE274)&lt;=$AH274),ROUND(INDEX(Profils!$M$5:$M$34,$AE274)*Paramètres!$E$29*$AG274*$AJ274,Paramètres!$F$29),0)</f>
        <v>0.011</v>
      </c>
      <c r="T274" s="20" t="n">
        <f aca="false" t="array" ref="T274:T274">IF(AND(INDEX(Profils!$N$5:$N$34,$AE274)&gt;0,INDEX(Profils!$AC$5:$AC$34,$AE274)&lt;=$AH274),ROUND(INDEX(Profils!$N$5:$N$34,$AE274)*Paramètres!$E$30*$AG274*$AJ274,Paramètres!$F$30),0)</f>
        <v>0.03</v>
      </c>
      <c r="U274" s="19" t="n">
        <f aca="false" t="array" ref="U274:U274">IF(AND(INDEX(Profils!$O$5:$O$34,$AE274)&gt;0,INDEX(Profils!$AD$5:$AD$34,$AE274)&lt;=$AH274),ROUND(INDEX(Profils!$O$5:$O$34,$AE274)*Paramètres!$E$31*$AG274*$AJ274,Paramètres!$F$31),0)</f>
        <v>0</v>
      </c>
      <c r="V274" s="20" t="n">
        <f aca="false" t="array" ref="V274:V274">IF(AND(INDEX(Profils!$P$5:$P$34,$AE274)&gt;0,INDEX(Profils!$AE$5:$AE$34,$AE274)&lt;=$AH274),ROUND(INDEX(Profils!$P$5:$P$34,$AE274)*Paramètres!$E$32*$AG274*$AJ274,Paramètres!$F$32),0)</f>
        <v>0</v>
      </c>
      <c r="W274" s="20" t="n">
        <f aca="false" t="array" ref="W274:W274">IF(AND(INDEX(Profils!$Q$5:$Q$34,$AE274)&gt;0,INDEX(Profils!$AF$5:$AF$34,$AE274)&lt;=$AH274),ROUND(INDEX(Profils!$Q$5:$Q$34,$AE274)*Paramètres!$E$33*$AG274*$AJ274,Paramètres!$F$33),0)</f>
        <v>0</v>
      </c>
      <c r="X274" s="20" t="n">
        <f aca="false" t="array" ref="X274:X274">IF(AND(INDEX(Profils!$R$5:$R$34,$AE274)&gt;0,INDEX(Profils!$AG$5:$AG$34,$AE274)&lt;=$AH274),ROUND(INDEX(Profils!$R$5:$R$34,$AE274)*Paramètres!$E$34*$AG274*$AJ274,Paramètres!$F$34),0)</f>
        <v>0</v>
      </c>
      <c r="Y274" s="20" t="n">
        <f aca="false" t="array" ref="Y274:Y274">IF(AND(INDEX(Profils!$S$5:$S$34,$AE274)&gt;0,INDEX(Profils!$AH$5:$AH$34,$AE274)&lt;=$AH274),ROUND(INDEX(Profils!$S$5:$S$34,$AE274)*Paramètres!$E$35*$AG274*$AJ274,Paramètres!$F$35),0)</f>
        <v>0</v>
      </c>
      <c r="Z274" s="21" t="n">
        <f aca="false">ROUND(L274/Paramètres!$E$22+M274/Paramètres!$E$23+N274/Paramètres!$E$24+O274/Paramètres!$E$25+P274/Paramètres!$E$26+Q274/Paramètres!$E$27+R274/Paramètres!$E$28+S274/Paramètres!$E$29+T274/Paramètres!$E$30+U274/Paramètres!$E$31+V274/Paramètres!$E$32+W274/Paramètres!$E$33+X274/Paramètres!$E$34+Y274/Paramètres!$E$35,1)</f>
        <v>5.1</v>
      </c>
      <c r="AA274" s="22" t="s">
        <v>109</v>
      </c>
      <c r="AB274" s="22" t="s">
        <v>109</v>
      </c>
      <c r="AC274" s="15" t="str">
        <f aca="false">$E274</f>
        <v>mithril</v>
      </c>
      <c r="AD274" s="16" t="n">
        <f aca="false" t="array" ref="AD274:AD274">IF($I274&gt;=$AI274,"Max",ROUND(Paramètres!$B$40*($I274+1)^Paramètres!$B$41*INDEX(Paramètres!$H$6:$H$12,$AF274),0))</f>
        <v>4</v>
      </c>
      <c r="AE274" s="23" t="n">
        <f aca="false">MATCH($B274&amp;"|"&amp;$C274,Profils!$A$5:$A$34,0)</f>
        <v>9</v>
      </c>
      <c r="AF274" s="23" t="n">
        <v>3</v>
      </c>
      <c r="AG274" s="24" t="n">
        <f aca="false" t="array" ref="AG274:AG274">INDEX(Paramètres!$C$6:$C$12,$AF274)</f>
        <v>1.45</v>
      </c>
      <c r="AH274" s="23" t="n">
        <f aca="false" t="array" ref="AH274:AH274">INDEX(Paramètres!$D$6:$D$12,$AF274)</f>
        <v>4</v>
      </c>
      <c r="AI274" s="23" t="n">
        <f aca="false" t="array" ref="AI274:AI274">INDEX(Matériaux!$C$16:$C$20,$D274)</f>
        <v>25</v>
      </c>
      <c r="AJ274" s="25" t="n">
        <f aca="false">Paramètres!$B$16+(1-Paramètres!$B$16)*(($J274-Paramètres!$B$14)/(Paramètres!$B$15-Paramètres!$B$14))^Paramètres!$B$17</f>
        <v>0.458504333336152</v>
      </c>
    </row>
    <row r="275" customFormat="false" ht="15.75" hidden="false" customHeight="true" outlineLevel="0" collapsed="false">
      <c r="A275" s="14" t="s">
        <v>390</v>
      </c>
      <c r="B275" s="15" t="s">
        <v>27</v>
      </c>
      <c r="C275" s="15" t="s">
        <v>369</v>
      </c>
      <c r="D275" s="16" t="n">
        <v>4</v>
      </c>
      <c r="E275" s="15" t="str">
        <f aca="false" t="array" ref="E275:E275">INDEX(Matériaux!$B$5:$F$12,MATCH(INDEX(Profils!$E$5:$E$34,$AE275),Matériaux!$A$5:$A$12,0),$D275)</f>
        <v>mithril</v>
      </c>
      <c r="F275" s="28" t="s">
        <v>115</v>
      </c>
      <c r="G275" s="10" t="str">
        <f aca="false" t="array" ref="G275:G275">INDEX(Profils!$D$5:$D$34,$AE275)&amp;" en "&amp;$E275</f>
        <v>Épée en mithril</v>
      </c>
      <c r="H275" s="16" t="n">
        <f aca="false" t="array" ref="H275:H275">INDEX(Matériaux!$B$16:$B$20,$D275)</f>
        <v>50</v>
      </c>
      <c r="I275" s="16" t="n">
        <f aca="false">IF(ISNUMBER($C$3),MIN(MAX(0,ROUND($C$3,0)),$AI275),$AI275)</f>
        <v>0</v>
      </c>
      <c r="J275" s="18" t="n">
        <f aca="false">$H275+$I275</f>
        <v>50</v>
      </c>
      <c r="K275" s="15" t="s">
        <v>109</v>
      </c>
      <c r="L275" s="19" t="n">
        <f aca="false" t="array" ref="L275:L275">IF(AND(INDEX(Profils!$F$5:$F$34,$AE275)&gt;0,INDEX(Profils!$U$5:$U$34,$AE275)&lt;=$AH275),ROUND(INDEX(Profils!$F$5:$F$34,$AE275)*Paramètres!$E$22*$AG275*$AJ275,Paramètres!$F$22),0)</f>
        <v>0</v>
      </c>
      <c r="M275" s="19" t="n">
        <f aca="false" t="array" ref="M275:M275">IF(AND(INDEX(Profils!$G$5:$G$34,$AE275)&gt;0,INDEX(Profils!$V$5:$V$34,$AE275)&lt;=$AH275),ROUND(INDEX(Profils!$G$5:$G$34,$AE275)*Paramètres!$E$23*$AG275*$AJ275,Paramètres!$F$23),0)</f>
        <v>39</v>
      </c>
      <c r="N275" s="19" t="n">
        <f aca="false" t="array" ref="N275:N275">IF(AND(INDEX(Profils!$H$5:$H$34,$AE275)&gt;0,INDEX(Profils!$W$5:$W$34,$AE275)&lt;=$AH275),ROUND(INDEX(Profils!$H$5:$H$34,$AE275)*Paramètres!$E$24*$AG275*$AJ275,Paramètres!$F$24),0)</f>
        <v>0</v>
      </c>
      <c r="O275" s="19" t="n">
        <f aca="false" t="array" ref="O275:O275">IF(AND(INDEX(Profils!$I$5:$I$34,$AE275)&gt;0,INDEX(Profils!$X$5:$X$34,$AE275)&lt;=$AH275),ROUND(INDEX(Profils!$I$5:$I$34,$AE275)*Paramètres!$E$25*$AG275*$AJ275,Paramètres!$F$25),0)</f>
        <v>0</v>
      </c>
      <c r="P275" s="19" t="n">
        <f aca="false" t="array" ref="P275:P275">IF(AND(INDEX(Profils!$J$5:$J$34,$AE275)&gt;0,INDEX(Profils!$Y$5:$Y$34,$AE275)&lt;=$AH275),ROUND(INDEX(Profils!$J$5:$J$34,$AE275)*Paramètres!$E$26*$AG275*$AJ275,Paramètres!$F$26),0)</f>
        <v>0</v>
      </c>
      <c r="Q275" s="19" t="n">
        <f aca="false" t="array" ref="Q275:Q275">IF(AND(INDEX(Profils!$K$5:$K$34,$AE275)&gt;0,INDEX(Profils!$Z$5:$Z$34,$AE275)&lt;=$AH275),ROUND(INDEX(Profils!$K$5:$K$34,$AE275)*Paramètres!$E$27*$AG275*$AJ275,Paramètres!$F$27),0)</f>
        <v>0</v>
      </c>
      <c r="R275" s="20" t="n">
        <f aca="false" t="array" ref="R275:R275">IF(AND(INDEX(Profils!$L$5:$L$34,$AE275)&gt;0,INDEX(Profils!$AA$5:$AA$34,$AE275)&lt;=$AH275),ROUND(INDEX(Profils!$L$5:$L$34,$AE275)*Paramètres!$E$28*$AG275*$AJ275,Paramètres!$F$28),0)</f>
        <v>0.019</v>
      </c>
      <c r="S275" s="20" t="n">
        <f aca="false" t="array" ref="S275:S275">IF(AND(INDEX(Profils!$M$5:$M$34,$AE275)&gt;0,INDEX(Profils!$AB$5:$AB$34,$AE275)&lt;=$AH275),ROUND(INDEX(Profils!$M$5:$M$34,$AE275)*Paramètres!$E$29*$AG275*$AJ275,Paramètres!$F$29),0)</f>
        <v>0.013</v>
      </c>
      <c r="T275" s="20" t="n">
        <f aca="false" t="array" ref="T275:T275">IF(AND(INDEX(Profils!$N$5:$N$34,$AE275)&gt;0,INDEX(Profils!$AC$5:$AC$34,$AE275)&lt;=$AH275),ROUND(INDEX(Profils!$N$5:$N$34,$AE275)*Paramètres!$E$30*$AG275*$AJ275,Paramètres!$F$30),0)</f>
        <v>0.036</v>
      </c>
      <c r="U275" s="19" t="n">
        <f aca="false" t="array" ref="U275:U275">IF(AND(INDEX(Profils!$O$5:$O$34,$AE275)&gt;0,INDEX(Profils!$AD$5:$AD$34,$AE275)&lt;=$AH275),ROUND(INDEX(Profils!$O$5:$O$34,$AE275)*Paramètres!$E$31*$AG275*$AJ275,Paramètres!$F$31),0)</f>
        <v>0</v>
      </c>
      <c r="V275" s="20" t="n">
        <f aca="false" t="array" ref="V275:V275">IF(AND(INDEX(Profils!$P$5:$P$34,$AE275)&gt;0,INDEX(Profils!$AE$5:$AE$34,$AE275)&lt;=$AH275),ROUND(INDEX(Profils!$P$5:$P$34,$AE275)*Paramètres!$E$32*$AG275*$AJ275,Paramètres!$F$32),0)</f>
        <v>0.017</v>
      </c>
      <c r="W275" s="20" t="n">
        <f aca="false" t="array" ref="W275:W275">IF(AND(INDEX(Profils!$Q$5:$Q$34,$AE275)&gt;0,INDEX(Profils!$AF$5:$AF$34,$AE275)&lt;=$AH275),ROUND(INDEX(Profils!$Q$5:$Q$34,$AE275)*Paramètres!$E$33*$AG275*$AJ275,Paramètres!$F$33),0)</f>
        <v>0</v>
      </c>
      <c r="X275" s="20" t="n">
        <f aca="false" t="array" ref="X275:X275">IF(AND(INDEX(Profils!$R$5:$R$34,$AE275)&gt;0,INDEX(Profils!$AG$5:$AG$34,$AE275)&lt;=$AH275),ROUND(INDEX(Profils!$R$5:$R$34,$AE275)*Paramètres!$E$34*$AG275*$AJ275,Paramètres!$F$34),0)</f>
        <v>0</v>
      </c>
      <c r="Y275" s="20" t="n">
        <f aca="false" t="array" ref="Y275:Y275">IF(AND(INDEX(Profils!$S$5:$S$34,$AE275)&gt;0,INDEX(Profils!$AH$5:$AH$34,$AE275)&lt;=$AH275),ROUND(INDEX(Profils!$S$5:$S$34,$AE275)*Paramètres!$E$35*$AG275*$AJ275,Paramètres!$F$35),0)</f>
        <v>0</v>
      </c>
      <c r="Z275" s="21" t="n">
        <f aca="false">ROUND(L275/Paramètres!$E$22+M275/Paramètres!$E$23+N275/Paramètres!$E$24+O275/Paramètres!$E$25+P275/Paramètres!$E$26+Q275/Paramètres!$E$27+R275/Paramètres!$E$28+S275/Paramètres!$E$29+T275/Paramètres!$E$30+U275/Paramètres!$E$31+V275/Paramètres!$E$32+W275/Paramètres!$E$33+X275/Paramètres!$E$34+Y275/Paramètres!$E$35,1)</f>
        <v>7.3</v>
      </c>
      <c r="AA275" s="22" t="s">
        <v>109</v>
      </c>
      <c r="AB275" s="22" t="s">
        <v>109</v>
      </c>
      <c r="AC275" s="15" t="str">
        <f aca="false">$E275</f>
        <v>mithril</v>
      </c>
      <c r="AD275" s="16" t="n">
        <f aca="false" t="array" ref="AD275:AD275">IF($I275&gt;=$AI275,"Max",ROUND(Paramètres!$B$40*($I275+1)^Paramètres!$B$41*INDEX(Paramètres!$H$6:$H$12,$AF275),0))</f>
        <v>5</v>
      </c>
      <c r="AE275" s="23" t="n">
        <f aca="false">MATCH($B275&amp;"|"&amp;$C275,Profils!$A$5:$A$34,0)</f>
        <v>9</v>
      </c>
      <c r="AF275" s="23" t="n">
        <v>4</v>
      </c>
      <c r="AG275" s="24" t="n">
        <f aca="false" t="array" ref="AG275:AG275">INDEX(Paramètres!$C$6:$C$12,$AF275)</f>
        <v>1.75</v>
      </c>
      <c r="AH275" s="23" t="n">
        <f aca="false" t="array" ref="AH275:AH275">INDEX(Paramètres!$D$6:$D$12,$AF275)</f>
        <v>5</v>
      </c>
      <c r="AI275" s="23" t="n">
        <f aca="false" t="array" ref="AI275:AI275">INDEX(Matériaux!$C$16:$C$20,$D275)</f>
        <v>25</v>
      </c>
      <c r="AJ275" s="25" t="n">
        <f aca="false">Paramètres!$B$16+(1-Paramètres!$B$16)*(($J275-Paramètres!$B$14)/(Paramètres!$B$15-Paramètres!$B$14))^Paramètres!$B$17</f>
        <v>0.458504333336152</v>
      </c>
    </row>
    <row r="276" customFormat="false" ht="15.75" hidden="false" customHeight="true" outlineLevel="0" collapsed="false">
      <c r="A276" s="14" t="s">
        <v>391</v>
      </c>
      <c r="B276" s="15" t="s">
        <v>27</v>
      </c>
      <c r="C276" s="15" t="s">
        <v>369</v>
      </c>
      <c r="D276" s="16" t="n">
        <v>4</v>
      </c>
      <c r="E276" s="15" t="str">
        <f aca="false" t="array" ref="E276:E276">INDEX(Matériaux!$B$5:$F$12,MATCH(INDEX(Profils!$E$5:$E$34,$AE276),Matériaux!$A$5:$A$12,0),$D276)</f>
        <v>mithril</v>
      </c>
      <c r="F276" s="29" t="s">
        <v>117</v>
      </c>
      <c r="G276" s="10" t="str">
        <f aca="false" t="array" ref="G276:G276">INDEX(Profils!$D$5:$D$34,$AE276)&amp;" en "&amp;$E276</f>
        <v>Épée en mithril</v>
      </c>
      <c r="H276" s="16" t="n">
        <f aca="false" t="array" ref="H276:H276">INDEX(Matériaux!$B$16:$B$20,$D276)</f>
        <v>50</v>
      </c>
      <c r="I276" s="16" t="n">
        <f aca="false">IF(ISNUMBER($C$3),MIN(MAX(0,ROUND($C$3,0)),$AI276),$AI276)</f>
        <v>0</v>
      </c>
      <c r="J276" s="18" t="n">
        <f aca="false">$H276+$I276</f>
        <v>50</v>
      </c>
      <c r="K276" s="15" t="s">
        <v>109</v>
      </c>
      <c r="L276" s="19" t="n">
        <f aca="false" t="array" ref="L276:L276">IF(AND(INDEX(Profils!$F$5:$F$34,$AE276)&gt;0,INDEX(Profils!$U$5:$U$34,$AE276)&lt;=$AH276),ROUND(INDEX(Profils!$F$5:$F$34,$AE276)*Paramètres!$E$22*$AG276*$AJ276,Paramètres!$F$22),0)</f>
        <v>19</v>
      </c>
      <c r="M276" s="19" t="n">
        <f aca="false" t="array" ref="M276:M276">IF(AND(INDEX(Profils!$G$5:$G$34,$AE276)&gt;0,INDEX(Profils!$V$5:$V$34,$AE276)&lt;=$AH276),ROUND(INDEX(Profils!$G$5:$G$34,$AE276)*Paramètres!$E$23*$AG276*$AJ276,Paramètres!$F$23),0)</f>
        <v>46</v>
      </c>
      <c r="N276" s="19" t="n">
        <f aca="false" t="array" ref="N276:N276">IF(AND(INDEX(Profils!$H$5:$H$34,$AE276)&gt;0,INDEX(Profils!$W$5:$W$34,$AE276)&lt;=$AH276),ROUND(INDEX(Profils!$H$5:$H$34,$AE276)*Paramètres!$E$24*$AG276*$AJ276,Paramètres!$F$24),0)</f>
        <v>0</v>
      </c>
      <c r="O276" s="19" t="n">
        <f aca="false" t="array" ref="O276:O276">IF(AND(INDEX(Profils!$I$5:$I$34,$AE276)&gt;0,INDEX(Profils!$X$5:$X$34,$AE276)&lt;=$AH276),ROUND(INDEX(Profils!$I$5:$I$34,$AE276)*Paramètres!$E$25*$AG276*$AJ276,Paramètres!$F$25),0)</f>
        <v>0</v>
      </c>
      <c r="P276" s="19" t="n">
        <f aca="false" t="array" ref="P276:P276">IF(AND(INDEX(Profils!$J$5:$J$34,$AE276)&gt;0,INDEX(Profils!$Y$5:$Y$34,$AE276)&lt;=$AH276),ROUND(INDEX(Profils!$J$5:$J$34,$AE276)*Paramètres!$E$26*$AG276*$AJ276,Paramètres!$F$26),0)</f>
        <v>0</v>
      </c>
      <c r="Q276" s="19" t="n">
        <f aca="false" t="array" ref="Q276:Q276">IF(AND(INDEX(Profils!$K$5:$K$34,$AE276)&gt;0,INDEX(Profils!$Z$5:$Z$34,$AE276)&lt;=$AH276),ROUND(INDEX(Profils!$K$5:$K$34,$AE276)*Paramètres!$E$27*$AG276*$AJ276,Paramètres!$F$27),0)</f>
        <v>0</v>
      </c>
      <c r="R276" s="20" t="n">
        <f aca="false" t="array" ref="R276:R276">IF(AND(INDEX(Profils!$L$5:$L$34,$AE276)&gt;0,INDEX(Profils!$AA$5:$AA$34,$AE276)&lt;=$AH276),ROUND(INDEX(Profils!$L$5:$L$34,$AE276)*Paramètres!$E$28*$AG276*$AJ276,Paramètres!$F$28),0)</f>
        <v>0.023</v>
      </c>
      <c r="S276" s="20" t="n">
        <f aca="false" t="array" ref="S276:S276">IF(AND(INDEX(Profils!$M$5:$M$34,$AE276)&gt;0,INDEX(Profils!$AB$5:$AB$34,$AE276)&lt;=$AH276),ROUND(INDEX(Profils!$M$5:$M$34,$AE276)*Paramètres!$E$29*$AG276*$AJ276,Paramètres!$F$29),0)</f>
        <v>0.016</v>
      </c>
      <c r="T276" s="20" t="n">
        <f aca="false" t="array" ref="T276:T276">IF(AND(INDEX(Profils!$N$5:$N$34,$AE276)&gt;0,INDEX(Profils!$AC$5:$AC$34,$AE276)&lt;=$AH276),ROUND(INDEX(Profils!$N$5:$N$34,$AE276)*Paramètres!$E$30*$AG276*$AJ276,Paramètres!$F$30),0)</f>
        <v>0.043</v>
      </c>
      <c r="U276" s="19" t="n">
        <f aca="false" t="array" ref="U276:U276">IF(AND(INDEX(Profils!$O$5:$O$34,$AE276)&gt;0,INDEX(Profils!$AD$5:$AD$34,$AE276)&lt;=$AH276),ROUND(INDEX(Profils!$O$5:$O$34,$AE276)*Paramètres!$E$31*$AG276*$AJ276,Paramètres!$F$31),0)</f>
        <v>0</v>
      </c>
      <c r="V276" s="20" t="n">
        <f aca="false" t="array" ref="V276:V276">IF(AND(INDEX(Profils!$P$5:$P$34,$AE276)&gt;0,INDEX(Profils!$AE$5:$AE$34,$AE276)&lt;=$AH276),ROUND(INDEX(Profils!$P$5:$P$34,$AE276)*Paramètres!$E$32*$AG276*$AJ276,Paramètres!$F$32),0)</f>
        <v>0.02</v>
      </c>
      <c r="W276" s="20" t="n">
        <f aca="false" t="array" ref="W276:W276">IF(AND(INDEX(Profils!$Q$5:$Q$34,$AE276)&gt;0,INDEX(Profils!$AF$5:$AF$34,$AE276)&lt;=$AH276),ROUND(INDEX(Profils!$Q$5:$Q$34,$AE276)*Paramètres!$E$33*$AG276*$AJ276,Paramètres!$F$33),0)</f>
        <v>0</v>
      </c>
      <c r="X276" s="20" t="n">
        <f aca="false" t="array" ref="X276:X276">IF(AND(INDEX(Profils!$R$5:$R$34,$AE276)&gt;0,INDEX(Profils!$AG$5:$AG$34,$AE276)&lt;=$AH276),ROUND(INDEX(Profils!$R$5:$R$34,$AE276)*Paramètres!$E$34*$AG276*$AJ276,Paramètres!$F$34),0)</f>
        <v>0</v>
      </c>
      <c r="Y276" s="20" t="n">
        <f aca="false" t="array" ref="Y276:Y276">IF(AND(INDEX(Profils!$S$5:$S$34,$AE276)&gt;0,INDEX(Profils!$AH$5:$AH$34,$AE276)&lt;=$AH276),ROUND(INDEX(Profils!$S$5:$S$34,$AE276)*Paramètres!$E$35*$AG276*$AJ276,Paramètres!$F$35),0)</f>
        <v>0</v>
      </c>
      <c r="Z276" s="21" t="n">
        <f aca="false">ROUND(L276/Paramètres!$E$22+M276/Paramètres!$E$23+N276/Paramètres!$E$24+O276/Paramètres!$E$25+P276/Paramètres!$E$26+Q276/Paramètres!$E$27+R276/Paramètres!$E$28+S276/Paramètres!$E$29+T276/Paramètres!$E$30+U276/Paramètres!$E$31+V276/Paramètres!$E$32+W276/Paramètres!$E$33+X276/Paramètres!$E$34+Y276/Paramètres!$E$35,1)</f>
        <v>9.5</v>
      </c>
      <c r="AA276" s="22" t="s">
        <v>109</v>
      </c>
      <c r="AB276" s="22" t="s">
        <v>109</v>
      </c>
      <c r="AC276" s="15" t="str">
        <f aca="false">$E276</f>
        <v>mithril</v>
      </c>
      <c r="AD276" s="16" t="n">
        <f aca="false" t="array" ref="AD276:AD276">IF($I276&gt;=$AI276,"Max",ROUND(Paramètres!$B$40*($I276+1)^Paramètres!$B$41*INDEX(Paramètres!$H$6:$H$12,$AF276),0))</f>
        <v>6</v>
      </c>
      <c r="AE276" s="23" t="n">
        <f aca="false">MATCH($B276&amp;"|"&amp;$C276,Profils!$A$5:$A$34,0)</f>
        <v>9</v>
      </c>
      <c r="AF276" s="23" t="n">
        <v>5</v>
      </c>
      <c r="AG276" s="24" t="n">
        <f aca="false" t="array" ref="AG276:AG276">INDEX(Paramètres!$C$6:$C$12,$AF276)</f>
        <v>2.1</v>
      </c>
      <c r="AH276" s="23" t="n">
        <f aca="false" t="array" ref="AH276:AH276">INDEX(Paramètres!$D$6:$D$12,$AF276)</f>
        <v>6</v>
      </c>
      <c r="AI276" s="23" t="n">
        <f aca="false" t="array" ref="AI276:AI276">INDEX(Matériaux!$C$16:$C$20,$D276)</f>
        <v>25</v>
      </c>
      <c r="AJ276" s="25" t="n">
        <f aca="false">Paramètres!$B$16+(1-Paramètres!$B$16)*(($J276-Paramètres!$B$14)/(Paramètres!$B$15-Paramètres!$B$14))^Paramètres!$B$17</f>
        <v>0.458504333336152</v>
      </c>
    </row>
    <row r="277" customFormat="false" ht="15.75" hidden="false" customHeight="true" outlineLevel="0" collapsed="false">
      <c r="A277" s="14" t="s">
        <v>392</v>
      </c>
      <c r="B277" s="15" t="s">
        <v>27</v>
      </c>
      <c r="C277" s="15" t="s">
        <v>369</v>
      </c>
      <c r="D277" s="16" t="n">
        <v>4</v>
      </c>
      <c r="E277" s="15" t="str">
        <f aca="false" t="array" ref="E277:E277">INDEX(Matériaux!$B$5:$F$12,MATCH(INDEX(Profils!$E$5:$E$34,$AE277),Matériaux!$A$5:$A$12,0),$D277)</f>
        <v>mithril</v>
      </c>
      <c r="F277" s="30" t="s">
        <v>119</v>
      </c>
      <c r="G277" s="10" t="str">
        <f aca="false" t="array" ref="G277:G277">INDEX(Profils!$D$5:$D$34,$AE277)&amp;" en "&amp;$E277</f>
        <v>Épée en mithril</v>
      </c>
      <c r="H277" s="16" t="n">
        <f aca="false" t="array" ref="H277:H277">INDEX(Matériaux!$B$16:$B$20,$D277)</f>
        <v>50</v>
      </c>
      <c r="I277" s="16" t="n">
        <f aca="false">IF(ISNUMBER($C$3),MIN(MAX(0,ROUND($C$3,0)),$AI277),$AI277)</f>
        <v>0</v>
      </c>
      <c r="J277" s="18" t="n">
        <f aca="false">$H277+$I277</f>
        <v>50</v>
      </c>
      <c r="K277" s="15" t="s">
        <v>109</v>
      </c>
      <c r="L277" s="19" t="n">
        <f aca="false" t="array" ref="L277:L277">IF(AND(INDEX(Profils!$F$5:$F$34,$AE277)&gt;0,INDEX(Profils!$U$5:$U$34,$AE277)&lt;=$AH277),ROUND(INDEX(Profils!$F$5:$F$34,$AE277)*Paramètres!$E$22*$AG277*$AJ277,Paramètres!$F$22),0)</f>
        <v>22</v>
      </c>
      <c r="M277" s="19" t="n">
        <f aca="false" t="array" ref="M277:M277">IF(AND(INDEX(Profils!$G$5:$G$34,$AE277)&gt;0,INDEX(Profils!$V$5:$V$34,$AE277)&lt;=$AH277),ROUND(INDEX(Profils!$G$5:$G$34,$AE277)*Paramètres!$E$23*$AG277*$AJ277,Paramètres!$F$23),0)</f>
        <v>53</v>
      </c>
      <c r="N277" s="19" t="n">
        <f aca="false" t="array" ref="N277:N277">IF(AND(INDEX(Profils!$H$5:$H$34,$AE277)&gt;0,INDEX(Profils!$W$5:$W$34,$AE277)&lt;=$AH277),ROUND(INDEX(Profils!$H$5:$H$34,$AE277)*Paramètres!$E$24*$AG277*$AJ277,Paramètres!$F$24),0)</f>
        <v>0</v>
      </c>
      <c r="O277" s="19" t="n">
        <f aca="false" t="array" ref="O277:O277">IF(AND(INDEX(Profils!$I$5:$I$34,$AE277)&gt;0,INDEX(Profils!$X$5:$X$34,$AE277)&lt;=$AH277),ROUND(INDEX(Profils!$I$5:$I$34,$AE277)*Paramètres!$E$25*$AG277*$AJ277,Paramètres!$F$25),0)</f>
        <v>0</v>
      </c>
      <c r="P277" s="19" t="n">
        <f aca="false" t="array" ref="P277:P277">IF(AND(INDEX(Profils!$J$5:$J$34,$AE277)&gt;0,INDEX(Profils!$Y$5:$Y$34,$AE277)&lt;=$AH277),ROUND(INDEX(Profils!$J$5:$J$34,$AE277)*Paramètres!$E$26*$AG277*$AJ277,Paramètres!$F$26),0)</f>
        <v>8</v>
      </c>
      <c r="Q277" s="19" t="n">
        <f aca="false" t="array" ref="Q277:Q277">IF(AND(INDEX(Profils!$K$5:$K$34,$AE277)&gt;0,INDEX(Profils!$Z$5:$Z$34,$AE277)&lt;=$AH277),ROUND(INDEX(Profils!$K$5:$K$34,$AE277)*Paramètres!$E$27*$AG277*$AJ277,Paramètres!$F$27),0)</f>
        <v>0</v>
      </c>
      <c r="R277" s="20" t="n">
        <f aca="false" t="array" ref="R277:R277">IF(AND(INDEX(Profils!$L$5:$L$34,$AE277)&gt;0,INDEX(Profils!$AA$5:$AA$34,$AE277)&lt;=$AH277),ROUND(INDEX(Profils!$L$5:$L$34,$AE277)*Paramètres!$E$28*$AG277*$AJ277,Paramètres!$F$28),0)</f>
        <v>0.026</v>
      </c>
      <c r="S277" s="20" t="n">
        <f aca="false" t="array" ref="S277:S277">IF(AND(INDEX(Profils!$M$5:$M$34,$AE277)&gt;0,INDEX(Profils!$AB$5:$AB$34,$AE277)&lt;=$AH277),ROUND(INDEX(Profils!$M$5:$M$34,$AE277)*Paramètres!$E$29*$AG277*$AJ277,Paramètres!$F$29),0)</f>
        <v>0.018</v>
      </c>
      <c r="T277" s="20" t="n">
        <f aca="false" t="array" ref="T277:T277">IF(AND(INDEX(Profils!$N$5:$N$34,$AE277)&gt;0,INDEX(Profils!$AC$5:$AC$34,$AE277)&lt;=$AH277),ROUND(INDEX(Profils!$N$5:$N$34,$AE277)*Paramètres!$E$30*$AG277*$AJ277,Paramètres!$F$30),0)</f>
        <v>0.05</v>
      </c>
      <c r="U277" s="19" t="n">
        <f aca="false" t="array" ref="U277:U277">IF(AND(INDEX(Profils!$O$5:$O$34,$AE277)&gt;0,INDEX(Profils!$AD$5:$AD$34,$AE277)&lt;=$AH277),ROUND(INDEX(Profils!$O$5:$O$34,$AE277)*Paramètres!$E$31*$AG277*$AJ277,Paramètres!$F$31),0)</f>
        <v>0</v>
      </c>
      <c r="V277" s="20" t="n">
        <f aca="false" t="array" ref="V277:V277">IF(AND(INDEX(Profils!$P$5:$P$34,$AE277)&gt;0,INDEX(Profils!$AE$5:$AE$34,$AE277)&lt;=$AH277),ROUND(INDEX(Profils!$P$5:$P$34,$AE277)*Paramètres!$E$32*$AG277*$AJ277,Paramètres!$F$32),0)</f>
        <v>0.023</v>
      </c>
      <c r="W277" s="20" t="n">
        <f aca="false" t="array" ref="W277:W277">IF(AND(INDEX(Profils!$Q$5:$Q$34,$AE277)&gt;0,INDEX(Profils!$AF$5:$AF$34,$AE277)&lt;=$AH277),ROUND(INDEX(Profils!$Q$5:$Q$34,$AE277)*Paramètres!$E$33*$AG277*$AJ277,Paramètres!$F$33),0)</f>
        <v>0</v>
      </c>
      <c r="X277" s="20" t="n">
        <f aca="false" t="array" ref="X277:X277">IF(AND(INDEX(Profils!$R$5:$R$34,$AE277)&gt;0,INDEX(Profils!$AG$5:$AG$34,$AE277)&lt;=$AH277),ROUND(INDEX(Profils!$R$5:$R$34,$AE277)*Paramètres!$E$34*$AG277*$AJ277,Paramètres!$F$34),0)</f>
        <v>0</v>
      </c>
      <c r="Y277" s="20" t="n">
        <f aca="false" t="array" ref="Y277:Y277">IF(AND(INDEX(Profils!$S$5:$S$34,$AE277)&gt;0,INDEX(Profils!$AH$5:$AH$34,$AE277)&lt;=$AH277),ROUND(INDEX(Profils!$S$5:$S$34,$AE277)*Paramètres!$E$35*$AG277*$AJ277,Paramètres!$F$35),0)</f>
        <v>0</v>
      </c>
      <c r="Z277" s="21" t="n">
        <f aca="false">ROUND(L277/Paramètres!$E$22+M277/Paramètres!$E$23+N277/Paramètres!$E$24+O277/Paramètres!$E$25+P277/Paramètres!$E$26+Q277/Paramètres!$E$27+R277/Paramètres!$E$28+S277/Paramètres!$E$29+T277/Paramètres!$E$30+U277/Paramètres!$E$31+V277/Paramètres!$E$32+W277/Paramètres!$E$33+X277/Paramètres!$E$34+Y277/Paramètres!$E$35,1)</f>
        <v>11.5</v>
      </c>
      <c r="AA277" s="22" t="s">
        <v>109</v>
      </c>
      <c r="AB277" s="22" t="s">
        <v>109</v>
      </c>
      <c r="AC277" s="15" t="str">
        <f aca="false">$E277</f>
        <v>mithril</v>
      </c>
      <c r="AD277" s="16" t="n">
        <f aca="false" t="array" ref="AD277:AD277">IF($I277&gt;=$AI277,"Max",ROUND(Paramètres!$B$40*($I277+1)^Paramètres!$B$41*INDEX(Paramètres!$H$6:$H$12,$AF277),0))</f>
        <v>8</v>
      </c>
      <c r="AE277" s="23" t="n">
        <f aca="false">MATCH($B277&amp;"|"&amp;$C277,Profils!$A$5:$A$34,0)</f>
        <v>9</v>
      </c>
      <c r="AF277" s="23" t="n">
        <v>6</v>
      </c>
      <c r="AG277" s="24" t="n">
        <f aca="false" t="array" ref="AG277:AG277">INDEX(Paramètres!$C$6:$C$12,$AF277)</f>
        <v>2.4</v>
      </c>
      <c r="AH277" s="23" t="n">
        <f aca="false" t="array" ref="AH277:AH277">INDEX(Paramètres!$D$6:$D$12,$AF277)</f>
        <v>7</v>
      </c>
      <c r="AI277" s="23" t="n">
        <f aca="false" t="array" ref="AI277:AI277">INDEX(Matériaux!$C$16:$C$20,$D277)</f>
        <v>25</v>
      </c>
      <c r="AJ277" s="25" t="n">
        <f aca="false">Paramètres!$B$16+(1-Paramètres!$B$16)*(($J277-Paramètres!$B$14)/(Paramètres!$B$15-Paramètres!$B$14))^Paramètres!$B$17</f>
        <v>0.458504333336152</v>
      </c>
    </row>
    <row r="278" customFormat="false" ht="15.75" hidden="false" customHeight="true" outlineLevel="0" collapsed="false">
      <c r="A278" s="14" t="s">
        <v>393</v>
      </c>
      <c r="B278" s="15" t="s">
        <v>27</v>
      </c>
      <c r="C278" s="15" t="s">
        <v>369</v>
      </c>
      <c r="D278" s="16" t="n">
        <v>5</v>
      </c>
      <c r="E278" s="15" t="str">
        <f aca="false" t="array" ref="E278:E278">INDEX(Matériaux!$B$5:$F$12,MATCH(INDEX(Profils!$E$5:$E$34,$AE278),Matériaux!$A$5:$A$12,0),$D278)</f>
        <v>adamantite</v>
      </c>
      <c r="F278" s="17" t="s">
        <v>108</v>
      </c>
      <c r="G278" s="10" t="str">
        <f aca="false" t="array" ref="G278:G278">INDEX(Profils!$D$5:$D$34,$AE278)&amp;" en "&amp;$E278</f>
        <v>Épée en adamantite</v>
      </c>
      <c r="H278" s="16" t="n">
        <f aca="false" t="array" ref="H278:H278">INDEX(Matériaux!$B$16:$B$20,$D278)</f>
        <v>70</v>
      </c>
      <c r="I278" s="16" t="n">
        <f aca="false">IF(ISNUMBER($C$3),MIN(MAX(0,ROUND($C$3,0)),$AI278),$AI278)</f>
        <v>0</v>
      </c>
      <c r="J278" s="18" t="n">
        <f aca="false">$H278+$I278</f>
        <v>70</v>
      </c>
      <c r="K278" s="15" t="s">
        <v>109</v>
      </c>
      <c r="L278" s="19" t="n">
        <f aca="false" t="array" ref="L278:L278">IF(AND(INDEX(Profils!$F$5:$F$34,$AE278)&gt;0,INDEX(Profils!$U$5:$U$34,$AE278)&lt;=$AH278),ROUND(INDEX(Profils!$F$5:$F$34,$AE278)*Paramètres!$E$22*$AG278*$AJ278,Paramètres!$F$22),0)</f>
        <v>0</v>
      </c>
      <c r="M278" s="19" t="n">
        <f aca="false" t="array" ref="M278:M278">IF(AND(INDEX(Profils!$G$5:$G$34,$AE278)&gt;0,INDEX(Profils!$V$5:$V$34,$AE278)&lt;=$AH278),ROUND(INDEX(Profils!$G$5:$G$34,$AE278)*Paramètres!$E$23*$AG278*$AJ278,Paramètres!$F$23),0)</f>
        <v>32</v>
      </c>
      <c r="N278" s="19" t="n">
        <f aca="false" t="array" ref="N278:N278">IF(AND(INDEX(Profils!$H$5:$H$34,$AE278)&gt;0,INDEX(Profils!$W$5:$W$34,$AE278)&lt;=$AH278),ROUND(INDEX(Profils!$H$5:$H$34,$AE278)*Paramètres!$E$24*$AG278*$AJ278,Paramètres!$F$24),0)</f>
        <v>0</v>
      </c>
      <c r="O278" s="19" t="n">
        <f aca="false" t="array" ref="O278:O278">IF(AND(INDEX(Profils!$I$5:$I$34,$AE278)&gt;0,INDEX(Profils!$X$5:$X$34,$AE278)&lt;=$AH278),ROUND(INDEX(Profils!$I$5:$I$34,$AE278)*Paramètres!$E$25*$AG278*$AJ278,Paramètres!$F$25),0)</f>
        <v>0</v>
      </c>
      <c r="P278" s="19" t="n">
        <f aca="false" t="array" ref="P278:P278">IF(AND(INDEX(Profils!$J$5:$J$34,$AE278)&gt;0,INDEX(Profils!$Y$5:$Y$34,$AE278)&lt;=$AH278),ROUND(INDEX(Profils!$J$5:$J$34,$AE278)*Paramètres!$E$26*$AG278*$AJ278,Paramètres!$F$26),0)</f>
        <v>0</v>
      </c>
      <c r="Q278" s="19" t="n">
        <f aca="false" t="array" ref="Q278:Q278">IF(AND(INDEX(Profils!$K$5:$K$34,$AE278)&gt;0,INDEX(Profils!$Z$5:$Z$34,$AE278)&lt;=$AH278),ROUND(INDEX(Profils!$K$5:$K$34,$AE278)*Paramètres!$E$27*$AG278*$AJ278,Paramètres!$F$27),0)</f>
        <v>0</v>
      </c>
      <c r="R278" s="20" t="n">
        <f aca="false" t="array" ref="R278:R278">IF(AND(INDEX(Profils!$L$5:$L$34,$AE278)&gt;0,INDEX(Profils!$AA$5:$AA$34,$AE278)&lt;=$AH278),ROUND(INDEX(Profils!$L$5:$L$34,$AE278)*Paramètres!$E$28*$AG278*$AJ278,Paramètres!$F$28),0)</f>
        <v>0.016</v>
      </c>
      <c r="S278" s="20" t="n">
        <f aca="false" t="array" ref="S278:S278">IF(AND(INDEX(Profils!$M$5:$M$34,$AE278)&gt;0,INDEX(Profils!$AB$5:$AB$34,$AE278)&lt;=$AH278),ROUND(INDEX(Profils!$M$5:$M$34,$AE278)*Paramètres!$E$29*$AG278*$AJ278,Paramètres!$F$29),0)</f>
        <v>0</v>
      </c>
      <c r="T278" s="20" t="n">
        <f aca="false" t="array" ref="T278:T278">IF(AND(INDEX(Profils!$N$5:$N$34,$AE278)&gt;0,INDEX(Profils!$AC$5:$AC$34,$AE278)&lt;=$AH278),ROUND(INDEX(Profils!$N$5:$N$34,$AE278)*Paramètres!$E$30*$AG278*$AJ278,Paramètres!$F$30),0)</f>
        <v>0</v>
      </c>
      <c r="U278" s="19" t="n">
        <f aca="false" t="array" ref="U278:U278">IF(AND(INDEX(Profils!$O$5:$O$34,$AE278)&gt;0,INDEX(Profils!$AD$5:$AD$34,$AE278)&lt;=$AH278),ROUND(INDEX(Profils!$O$5:$O$34,$AE278)*Paramètres!$E$31*$AG278*$AJ278,Paramètres!$F$31),0)</f>
        <v>0</v>
      </c>
      <c r="V278" s="20" t="n">
        <f aca="false" t="array" ref="V278:V278">IF(AND(INDEX(Profils!$P$5:$P$34,$AE278)&gt;0,INDEX(Profils!$AE$5:$AE$34,$AE278)&lt;=$AH278),ROUND(INDEX(Profils!$P$5:$P$34,$AE278)*Paramètres!$E$32*$AG278*$AJ278,Paramètres!$F$32),0)</f>
        <v>0</v>
      </c>
      <c r="W278" s="20" t="n">
        <f aca="false" t="array" ref="W278:W278">IF(AND(INDEX(Profils!$Q$5:$Q$34,$AE278)&gt;0,INDEX(Profils!$AF$5:$AF$34,$AE278)&lt;=$AH278),ROUND(INDEX(Profils!$Q$5:$Q$34,$AE278)*Paramètres!$E$33*$AG278*$AJ278,Paramètres!$F$33),0)</f>
        <v>0</v>
      </c>
      <c r="X278" s="20" t="n">
        <f aca="false" t="array" ref="X278:X278">IF(AND(INDEX(Profils!$R$5:$R$34,$AE278)&gt;0,INDEX(Profils!$AG$5:$AG$34,$AE278)&lt;=$AH278),ROUND(INDEX(Profils!$R$5:$R$34,$AE278)*Paramètres!$E$34*$AG278*$AJ278,Paramètres!$F$34),0)</f>
        <v>0</v>
      </c>
      <c r="Y278" s="20" t="n">
        <f aca="false" t="array" ref="Y278:Y278">IF(AND(INDEX(Profils!$S$5:$S$34,$AE278)&gt;0,INDEX(Profils!$AH$5:$AH$34,$AE278)&lt;=$AH278),ROUND(INDEX(Profils!$S$5:$S$34,$AE278)*Paramètres!$E$35*$AG278*$AJ278,Paramètres!$F$35),0)</f>
        <v>0</v>
      </c>
      <c r="Z278" s="21" t="n">
        <f aca="false">ROUND(L278/Paramètres!$E$22+M278/Paramètres!$E$23+N278/Paramètres!$E$24+O278/Paramètres!$E$25+P278/Paramètres!$E$26+Q278/Paramètres!$E$27+R278/Paramètres!$E$28+S278/Paramètres!$E$29+T278/Paramètres!$E$30+U278/Paramètres!$E$31+V278/Paramètres!$E$32+W278/Paramètres!$E$33+X278/Paramètres!$E$34+Y278/Paramètres!$E$35,1)</f>
        <v>3.2</v>
      </c>
      <c r="AA278" s="22" t="s">
        <v>109</v>
      </c>
      <c r="AB278" s="22" t="s">
        <v>109</v>
      </c>
      <c r="AC278" s="15" t="str">
        <f aca="false">$E278</f>
        <v>adamantite</v>
      </c>
      <c r="AD278" s="16" t="n">
        <f aca="false" t="array" ref="AD278:AD278">IF($I278&gt;=$AI278,"Max",ROUND(Paramètres!$B$40*($I278+1)^Paramètres!$B$41*INDEX(Paramètres!$H$6:$H$12,$AF278),0))</f>
        <v>3</v>
      </c>
      <c r="AE278" s="23" t="n">
        <f aca="false">MATCH($B278&amp;"|"&amp;$C278,Profils!$A$5:$A$34,0)</f>
        <v>9</v>
      </c>
      <c r="AF278" s="23" t="n">
        <v>1</v>
      </c>
      <c r="AG278" s="24" t="n">
        <f aca="false" t="array" ref="AG278:AG278">INDEX(Paramètres!$C$6:$C$12,$AF278)</f>
        <v>1</v>
      </c>
      <c r="AH278" s="23" t="n">
        <f aca="false" t="array" ref="AH278:AH278">INDEX(Paramètres!$D$6:$D$12,$AF278)</f>
        <v>2</v>
      </c>
      <c r="AI278" s="23" t="n">
        <f aca="false" t="array" ref="AI278:AI278">INDEX(Matériaux!$C$16:$C$20,$D278)</f>
        <v>30</v>
      </c>
      <c r="AJ278" s="25" t="n">
        <f aca="false">Paramètres!$B$16+(1-Paramètres!$B$16)*(($J278-Paramètres!$B$14)/(Paramètres!$B$15-Paramètres!$B$14))^Paramètres!$B$17</f>
        <v>0.665999387952727</v>
      </c>
    </row>
    <row r="279" customFormat="false" ht="15.75" hidden="false" customHeight="true" outlineLevel="0" collapsed="false">
      <c r="A279" s="14" t="s">
        <v>394</v>
      </c>
      <c r="B279" s="15" t="s">
        <v>27</v>
      </c>
      <c r="C279" s="15" t="s">
        <v>369</v>
      </c>
      <c r="D279" s="16" t="n">
        <v>5</v>
      </c>
      <c r="E279" s="15" t="str">
        <f aca="false" t="array" ref="E279:E279">INDEX(Matériaux!$B$5:$F$12,MATCH(INDEX(Profils!$E$5:$E$34,$AE279),Matériaux!$A$5:$A$12,0),$D279)</f>
        <v>adamantite</v>
      </c>
      <c r="F279" s="26" t="s">
        <v>111</v>
      </c>
      <c r="G279" s="10" t="str">
        <f aca="false" t="array" ref="G279:G279">INDEX(Profils!$D$5:$D$34,$AE279)&amp;" en "&amp;$E279</f>
        <v>Épée en adamantite</v>
      </c>
      <c r="H279" s="16" t="n">
        <f aca="false" t="array" ref="H279:H279">INDEX(Matériaux!$B$16:$B$20,$D279)</f>
        <v>70</v>
      </c>
      <c r="I279" s="16" t="n">
        <f aca="false">IF(ISNUMBER($C$3),MIN(MAX(0,ROUND($C$3,0)),$AI279),$AI279)</f>
        <v>0</v>
      </c>
      <c r="J279" s="18" t="n">
        <f aca="false">$H279+$I279</f>
        <v>70</v>
      </c>
      <c r="K279" s="15" t="s">
        <v>109</v>
      </c>
      <c r="L279" s="19" t="n">
        <f aca="false" t="array" ref="L279:L279">IF(AND(INDEX(Profils!$F$5:$F$34,$AE279)&gt;0,INDEX(Profils!$U$5:$U$34,$AE279)&lt;=$AH279),ROUND(INDEX(Profils!$F$5:$F$34,$AE279)*Paramètres!$E$22*$AG279*$AJ279,Paramètres!$F$22),0)</f>
        <v>0</v>
      </c>
      <c r="M279" s="19" t="n">
        <f aca="false" t="array" ref="M279:M279">IF(AND(INDEX(Profils!$G$5:$G$34,$AE279)&gt;0,INDEX(Profils!$V$5:$V$34,$AE279)&lt;=$AH279),ROUND(INDEX(Profils!$G$5:$G$34,$AE279)*Paramètres!$E$23*$AG279*$AJ279,Paramètres!$F$23),0)</f>
        <v>38</v>
      </c>
      <c r="N279" s="19" t="n">
        <f aca="false" t="array" ref="N279:N279">IF(AND(INDEX(Profils!$H$5:$H$34,$AE279)&gt;0,INDEX(Profils!$W$5:$W$34,$AE279)&lt;=$AH279),ROUND(INDEX(Profils!$H$5:$H$34,$AE279)*Paramètres!$E$24*$AG279*$AJ279,Paramètres!$F$24),0)</f>
        <v>0</v>
      </c>
      <c r="O279" s="19" t="n">
        <f aca="false" t="array" ref="O279:O279">IF(AND(INDEX(Profils!$I$5:$I$34,$AE279)&gt;0,INDEX(Profils!$X$5:$X$34,$AE279)&lt;=$AH279),ROUND(INDEX(Profils!$I$5:$I$34,$AE279)*Paramètres!$E$25*$AG279*$AJ279,Paramètres!$F$25),0)</f>
        <v>0</v>
      </c>
      <c r="P279" s="19" t="n">
        <f aca="false" t="array" ref="P279:P279">IF(AND(INDEX(Profils!$J$5:$J$34,$AE279)&gt;0,INDEX(Profils!$Y$5:$Y$34,$AE279)&lt;=$AH279),ROUND(INDEX(Profils!$J$5:$J$34,$AE279)*Paramètres!$E$26*$AG279*$AJ279,Paramètres!$F$26),0)</f>
        <v>0</v>
      </c>
      <c r="Q279" s="19" t="n">
        <f aca="false" t="array" ref="Q279:Q279">IF(AND(INDEX(Profils!$K$5:$K$34,$AE279)&gt;0,INDEX(Profils!$Z$5:$Z$34,$AE279)&lt;=$AH279),ROUND(INDEX(Profils!$K$5:$K$34,$AE279)*Paramètres!$E$27*$AG279*$AJ279,Paramètres!$F$27),0)</f>
        <v>0</v>
      </c>
      <c r="R279" s="20" t="n">
        <f aca="false" t="array" ref="R279:R279">IF(AND(INDEX(Profils!$L$5:$L$34,$AE279)&gt;0,INDEX(Profils!$AA$5:$AA$34,$AE279)&lt;=$AH279),ROUND(INDEX(Profils!$L$5:$L$34,$AE279)*Paramètres!$E$28*$AG279*$AJ279,Paramètres!$F$28),0)</f>
        <v>0.019</v>
      </c>
      <c r="S279" s="20" t="n">
        <f aca="false" t="array" ref="S279:S279">IF(AND(INDEX(Profils!$M$5:$M$34,$AE279)&gt;0,INDEX(Profils!$AB$5:$AB$34,$AE279)&lt;=$AH279),ROUND(INDEX(Profils!$M$5:$M$34,$AE279)*Paramètres!$E$29*$AG279*$AJ279,Paramètres!$F$29),0)</f>
        <v>0</v>
      </c>
      <c r="T279" s="20" t="n">
        <f aca="false" t="array" ref="T279:T279">IF(AND(INDEX(Profils!$N$5:$N$34,$AE279)&gt;0,INDEX(Profils!$AC$5:$AC$34,$AE279)&lt;=$AH279),ROUND(INDEX(Profils!$N$5:$N$34,$AE279)*Paramètres!$E$30*$AG279*$AJ279,Paramètres!$F$30),0)</f>
        <v>0.036</v>
      </c>
      <c r="U279" s="19" t="n">
        <f aca="false" t="array" ref="U279:U279">IF(AND(INDEX(Profils!$O$5:$O$34,$AE279)&gt;0,INDEX(Profils!$AD$5:$AD$34,$AE279)&lt;=$AH279),ROUND(INDEX(Profils!$O$5:$O$34,$AE279)*Paramètres!$E$31*$AG279*$AJ279,Paramètres!$F$31),0)</f>
        <v>0</v>
      </c>
      <c r="V279" s="20" t="n">
        <f aca="false" t="array" ref="V279:V279">IF(AND(INDEX(Profils!$P$5:$P$34,$AE279)&gt;0,INDEX(Profils!$AE$5:$AE$34,$AE279)&lt;=$AH279),ROUND(INDEX(Profils!$P$5:$P$34,$AE279)*Paramètres!$E$32*$AG279*$AJ279,Paramètres!$F$32),0)</f>
        <v>0</v>
      </c>
      <c r="W279" s="20" t="n">
        <f aca="false" t="array" ref="W279:W279">IF(AND(INDEX(Profils!$Q$5:$Q$34,$AE279)&gt;0,INDEX(Profils!$AF$5:$AF$34,$AE279)&lt;=$AH279),ROUND(INDEX(Profils!$Q$5:$Q$34,$AE279)*Paramètres!$E$33*$AG279*$AJ279,Paramètres!$F$33),0)</f>
        <v>0</v>
      </c>
      <c r="X279" s="20" t="n">
        <f aca="false" t="array" ref="X279:X279">IF(AND(INDEX(Profils!$R$5:$R$34,$AE279)&gt;0,INDEX(Profils!$AG$5:$AG$34,$AE279)&lt;=$AH279),ROUND(INDEX(Profils!$R$5:$R$34,$AE279)*Paramètres!$E$34*$AG279*$AJ279,Paramètres!$F$34),0)</f>
        <v>0</v>
      </c>
      <c r="Y279" s="20" t="n">
        <f aca="false" t="array" ref="Y279:Y279">IF(AND(INDEX(Profils!$S$5:$S$34,$AE279)&gt;0,INDEX(Profils!$AH$5:$AH$34,$AE279)&lt;=$AH279),ROUND(INDEX(Profils!$S$5:$S$34,$AE279)*Paramètres!$E$35*$AG279*$AJ279,Paramètres!$F$35),0)</f>
        <v>0</v>
      </c>
      <c r="Z279" s="21" t="n">
        <f aca="false">ROUND(L279/Paramètres!$E$22+M279/Paramètres!$E$23+N279/Paramètres!$E$24+O279/Paramètres!$E$25+P279/Paramètres!$E$26+Q279/Paramètres!$E$27+R279/Paramètres!$E$28+S279/Paramètres!$E$29+T279/Paramètres!$E$30+U279/Paramètres!$E$31+V279/Paramètres!$E$32+W279/Paramètres!$E$33+X279/Paramètres!$E$34+Y279/Paramètres!$E$35,1)</f>
        <v>5</v>
      </c>
      <c r="AA279" s="22" t="s">
        <v>109</v>
      </c>
      <c r="AB279" s="22" t="s">
        <v>109</v>
      </c>
      <c r="AC279" s="15" t="str">
        <f aca="false">$E279</f>
        <v>adamantite</v>
      </c>
      <c r="AD279" s="16" t="n">
        <f aca="false" t="array" ref="AD279:AD279">IF($I279&gt;=$AI279,"Max",ROUND(Paramètres!$B$40*($I279+1)^Paramètres!$B$41*INDEX(Paramètres!$H$6:$H$12,$AF279),0))</f>
        <v>4</v>
      </c>
      <c r="AE279" s="23" t="n">
        <f aca="false">MATCH($B279&amp;"|"&amp;$C279,Profils!$A$5:$A$34,0)</f>
        <v>9</v>
      </c>
      <c r="AF279" s="23" t="n">
        <v>2</v>
      </c>
      <c r="AG279" s="24" t="n">
        <f aca="false" t="array" ref="AG279:AG279">INDEX(Paramètres!$C$6:$C$12,$AF279)</f>
        <v>1.2</v>
      </c>
      <c r="AH279" s="23" t="n">
        <f aca="false" t="array" ref="AH279:AH279">INDEX(Paramètres!$D$6:$D$12,$AF279)</f>
        <v>3</v>
      </c>
      <c r="AI279" s="23" t="n">
        <f aca="false" t="array" ref="AI279:AI279">INDEX(Matériaux!$C$16:$C$20,$D279)</f>
        <v>30</v>
      </c>
      <c r="AJ279" s="25" t="n">
        <f aca="false">Paramètres!$B$16+(1-Paramètres!$B$16)*(($J279-Paramètres!$B$14)/(Paramètres!$B$15-Paramètres!$B$14))^Paramètres!$B$17</f>
        <v>0.665999387952727</v>
      </c>
    </row>
    <row r="280" customFormat="false" ht="15.75" hidden="false" customHeight="true" outlineLevel="0" collapsed="false">
      <c r="A280" s="14" t="s">
        <v>395</v>
      </c>
      <c r="B280" s="15" t="s">
        <v>27</v>
      </c>
      <c r="C280" s="15" t="s">
        <v>369</v>
      </c>
      <c r="D280" s="16" t="n">
        <v>5</v>
      </c>
      <c r="E280" s="15" t="str">
        <f aca="false" t="array" ref="E280:E280">INDEX(Matériaux!$B$5:$F$12,MATCH(INDEX(Profils!$E$5:$E$34,$AE280),Matériaux!$A$5:$A$12,0),$D280)</f>
        <v>adamantite</v>
      </c>
      <c r="F280" s="27" t="s">
        <v>113</v>
      </c>
      <c r="G280" s="10" t="str">
        <f aca="false" t="array" ref="G280:G280">INDEX(Profils!$D$5:$D$34,$AE280)&amp;" en "&amp;$E280</f>
        <v>Épée en adamantite</v>
      </c>
      <c r="H280" s="16" t="n">
        <f aca="false" t="array" ref="H280:H280">INDEX(Matériaux!$B$16:$B$20,$D280)</f>
        <v>70</v>
      </c>
      <c r="I280" s="16" t="n">
        <f aca="false">IF(ISNUMBER($C$3),MIN(MAX(0,ROUND($C$3,0)),$AI280),$AI280)</f>
        <v>0</v>
      </c>
      <c r="J280" s="18" t="n">
        <f aca="false">$H280+$I280</f>
        <v>70</v>
      </c>
      <c r="K280" s="15" t="s">
        <v>109</v>
      </c>
      <c r="L280" s="19" t="n">
        <f aca="false" t="array" ref="L280:L280">IF(AND(INDEX(Profils!$F$5:$F$34,$AE280)&gt;0,INDEX(Profils!$U$5:$U$34,$AE280)&lt;=$AH280),ROUND(INDEX(Profils!$F$5:$F$34,$AE280)*Paramètres!$E$22*$AG280*$AJ280,Paramètres!$F$22),0)</f>
        <v>0</v>
      </c>
      <c r="M280" s="19" t="n">
        <f aca="false" t="array" ref="M280:M280">IF(AND(INDEX(Profils!$G$5:$G$34,$AE280)&gt;0,INDEX(Profils!$V$5:$V$34,$AE280)&lt;=$AH280),ROUND(INDEX(Profils!$G$5:$G$34,$AE280)*Paramètres!$E$23*$AG280*$AJ280,Paramètres!$F$23),0)</f>
        <v>46</v>
      </c>
      <c r="N280" s="19" t="n">
        <f aca="false" t="array" ref="N280:N280">IF(AND(INDEX(Profils!$H$5:$H$34,$AE280)&gt;0,INDEX(Profils!$W$5:$W$34,$AE280)&lt;=$AH280),ROUND(INDEX(Profils!$H$5:$H$34,$AE280)*Paramètres!$E$24*$AG280*$AJ280,Paramètres!$F$24),0)</f>
        <v>0</v>
      </c>
      <c r="O280" s="19" t="n">
        <f aca="false" t="array" ref="O280:O280">IF(AND(INDEX(Profils!$I$5:$I$34,$AE280)&gt;0,INDEX(Profils!$X$5:$X$34,$AE280)&lt;=$AH280),ROUND(INDEX(Profils!$I$5:$I$34,$AE280)*Paramètres!$E$25*$AG280*$AJ280,Paramètres!$F$25),0)</f>
        <v>0</v>
      </c>
      <c r="P280" s="19" t="n">
        <f aca="false" t="array" ref="P280:P280">IF(AND(INDEX(Profils!$J$5:$J$34,$AE280)&gt;0,INDEX(Profils!$Y$5:$Y$34,$AE280)&lt;=$AH280),ROUND(INDEX(Profils!$J$5:$J$34,$AE280)*Paramètres!$E$26*$AG280*$AJ280,Paramètres!$F$26),0)</f>
        <v>0</v>
      </c>
      <c r="Q280" s="19" t="n">
        <f aca="false" t="array" ref="Q280:Q280">IF(AND(INDEX(Profils!$K$5:$K$34,$AE280)&gt;0,INDEX(Profils!$Z$5:$Z$34,$AE280)&lt;=$AH280),ROUND(INDEX(Profils!$K$5:$K$34,$AE280)*Paramètres!$E$27*$AG280*$AJ280,Paramètres!$F$27),0)</f>
        <v>0</v>
      </c>
      <c r="R280" s="20" t="n">
        <f aca="false" t="array" ref="R280:R280">IF(AND(INDEX(Profils!$L$5:$L$34,$AE280)&gt;0,INDEX(Profils!$AA$5:$AA$34,$AE280)&lt;=$AH280),ROUND(INDEX(Profils!$L$5:$L$34,$AE280)*Paramètres!$E$28*$AG280*$AJ280,Paramètres!$F$28),0)</f>
        <v>0.023</v>
      </c>
      <c r="S280" s="20" t="n">
        <f aca="false" t="array" ref="S280:S280">IF(AND(INDEX(Profils!$M$5:$M$34,$AE280)&gt;0,INDEX(Profils!$AB$5:$AB$34,$AE280)&lt;=$AH280),ROUND(INDEX(Profils!$M$5:$M$34,$AE280)*Paramètres!$E$29*$AG280*$AJ280,Paramètres!$F$29),0)</f>
        <v>0.016</v>
      </c>
      <c r="T280" s="20" t="n">
        <f aca="false" t="array" ref="T280:T280">IF(AND(INDEX(Profils!$N$5:$N$34,$AE280)&gt;0,INDEX(Profils!$AC$5:$AC$34,$AE280)&lt;=$AH280),ROUND(INDEX(Profils!$N$5:$N$34,$AE280)*Paramètres!$E$30*$AG280*$AJ280,Paramètres!$F$30),0)</f>
        <v>0.043</v>
      </c>
      <c r="U280" s="19" t="n">
        <f aca="false" t="array" ref="U280:U280">IF(AND(INDEX(Profils!$O$5:$O$34,$AE280)&gt;0,INDEX(Profils!$AD$5:$AD$34,$AE280)&lt;=$AH280),ROUND(INDEX(Profils!$O$5:$O$34,$AE280)*Paramètres!$E$31*$AG280*$AJ280,Paramètres!$F$31),0)</f>
        <v>0</v>
      </c>
      <c r="V280" s="20" t="n">
        <f aca="false" t="array" ref="V280:V280">IF(AND(INDEX(Profils!$P$5:$P$34,$AE280)&gt;0,INDEX(Profils!$AE$5:$AE$34,$AE280)&lt;=$AH280),ROUND(INDEX(Profils!$P$5:$P$34,$AE280)*Paramètres!$E$32*$AG280*$AJ280,Paramètres!$F$32),0)</f>
        <v>0</v>
      </c>
      <c r="W280" s="20" t="n">
        <f aca="false" t="array" ref="W280:W280">IF(AND(INDEX(Profils!$Q$5:$Q$34,$AE280)&gt;0,INDEX(Profils!$AF$5:$AF$34,$AE280)&lt;=$AH280),ROUND(INDEX(Profils!$Q$5:$Q$34,$AE280)*Paramètres!$E$33*$AG280*$AJ280,Paramètres!$F$33),0)</f>
        <v>0</v>
      </c>
      <c r="X280" s="20" t="n">
        <f aca="false" t="array" ref="X280:X280">IF(AND(INDEX(Profils!$R$5:$R$34,$AE280)&gt;0,INDEX(Profils!$AG$5:$AG$34,$AE280)&lt;=$AH280),ROUND(INDEX(Profils!$R$5:$R$34,$AE280)*Paramètres!$E$34*$AG280*$AJ280,Paramètres!$F$34),0)</f>
        <v>0</v>
      </c>
      <c r="Y280" s="20" t="n">
        <f aca="false" t="array" ref="Y280:Y280">IF(AND(INDEX(Profils!$S$5:$S$34,$AE280)&gt;0,INDEX(Profils!$AH$5:$AH$34,$AE280)&lt;=$AH280),ROUND(INDEX(Profils!$S$5:$S$34,$AE280)*Paramètres!$E$35*$AG280*$AJ280,Paramètres!$F$35),0)</f>
        <v>0</v>
      </c>
      <c r="Z280" s="21" t="n">
        <f aca="false">ROUND(L280/Paramètres!$E$22+M280/Paramètres!$E$23+N280/Paramètres!$E$24+O280/Paramètres!$E$25+P280/Paramètres!$E$26+Q280/Paramètres!$E$27+R280/Paramètres!$E$28+S280/Paramètres!$E$29+T280/Paramètres!$E$30+U280/Paramètres!$E$31+V280/Paramètres!$E$32+W280/Paramètres!$E$33+X280/Paramètres!$E$34+Y280/Paramètres!$E$35,1)</f>
        <v>7.4</v>
      </c>
      <c r="AA280" s="22" t="s">
        <v>109</v>
      </c>
      <c r="AB280" s="22" t="s">
        <v>109</v>
      </c>
      <c r="AC280" s="15" t="str">
        <f aca="false">$E280</f>
        <v>adamantite</v>
      </c>
      <c r="AD280" s="16" t="n">
        <f aca="false" t="array" ref="AD280:AD280">IF($I280&gt;=$AI280,"Max",ROUND(Paramètres!$B$40*($I280+1)^Paramètres!$B$41*INDEX(Paramètres!$H$6:$H$12,$AF280),0))</f>
        <v>4</v>
      </c>
      <c r="AE280" s="23" t="n">
        <f aca="false">MATCH($B280&amp;"|"&amp;$C280,Profils!$A$5:$A$34,0)</f>
        <v>9</v>
      </c>
      <c r="AF280" s="23" t="n">
        <v>3</v>
      </c>
      <c r="AG280" s="24" t="n">
        <f aca="false" t="array" ref="AG280:AG280">INDEX(Paramètres!$C$6:$C$12,$AF280)</f>
        <v>1.45</v>
      </c>
      <c r="AH280" s="23" t="n">
        <f aca="false" t="array" ref="AH280:AH280">INDEX(Paramètres!$D$6:$D$12,$AF280)</f>
        <v>4</v>
      </c>
      <c r="AI280" s="23" t="n">
        <f aca="false" t="array" ref="AI280:AI280">INDEX(Matériaux!$C$16:$C$20,$D280)</f>
        <v>30</v>
      </c>
      <c r="AJ280" s="25" t="n">
        <f aca="false">Paramètres!$B$16+(1-Paramètres!$B$16)*(($J280-Paramètres!$B$14)/(Paramètres!$B$15-Paramètres!$B$14))^Paramètres!$B$17</f>
        <v>0.665999387952727</v>
      </c>
    </row>
    <row r="281" customFormat="false" ht="15.75" hidden="false" customHeight="true" outlineLevel="0" collapsed="false">
      <c r="A281" s="14" t="s">
        <v>396</v>
      </c>
      <c r="B281" s="15" t="s">
        <v>27</v>
      </c>
      <c r="C281" s="15" t="s">
        <v>369</v>
      </c>
      <c r="D281" s="16" t="n">
        <v>5</v>
      </c>
      <c r="E281" s="15" t="str">
        <f aca="false" t="array" ref="E281:E281">INDEX(Matériaux!$B$5:$F$12,MATCH(INDEX(Profils!$E$5:$E$34,$AE281),Matériaux!$A$5:$A$12,0),$D281)</f>
        <v>adamantite</v>
      </c>
      <c r="F281" s="28" t="s">
        <v>115</v>
      </c>
      <c r="G281" s="10" t="str">
        <f aca="false" t="array" ref="G281:G281">INDEX(Profils!$D$5:$D$34,$AE281)&amp;" en "&amp;$E281</f>
        <v>Épée en adamantite</v>
      </c>
      <c r="H281" s="16" t="n">
        <f aca="false" t="array" ref="H281:H281">INDEX(Matériaux!$B$16:$B$20,$D281)</f>
        <v>70</v>
      </c>
      <c r="I281" s="16" t="n">
        <f aca="false">IF(ISNUMBER($C$3),MIN(MAX(0,ROUND($C$3,0)),$AI281),$AI281)</f>
        <v>0</v>
      </c>
      <c r="J281" s="18" t="n">
        <f aca="false">$H281+$I281</f>
        <v>70</v>
      </c>
      <c r="K281" s="15" t="s">
        <v>109</v>
      </c>
      <c r="L281" s="19" t="n">
        <f aca="false" t="array" ref="L281:L281">IF(AND(INDEX(Profils!$F$5:$F$34,$AE281)&gt;0,INDEX(Profils!$U$5:$U$34,$AE281)&lt;=$AH281),ROUND(INDEX(Profils!$F$5:$F$34,$AE281)*Paramètres!$E$22*$AG281*$AJ281,Paramètres!$F$22),0)</f>
        <v>0</v>
      </c>
      <c r="M281" s="19" t="n">
        <f aca="false" t="array" ref="M281:M281">IF(AND(INDEX(Profils!$G$5:$G$34,$AE281)&gt;0,INDEX(Profils!$V$5:$V$34,$AE281)&lt;=$AH281),ROUND(INDEX(Profils!$G$5:$G$34,$AE281)*Paramètres!$E$23*$AG281*$AJ281,Paramètres!$F$23),0)</f>
        <v>56</v>
      </c>
      <c r="N281" s="19" t="n">
        <f aca="false" t="array" ref="N281:N281">IF(AND(INDEX(Profils!$H$5:$H$34,$AE281)&gt;0,INDEX(Profils!$W$5:$W$34,$AE281)&lt;=$AH281),ROUND(INDEX(Profils!$H$5:$H$34,$AE281)*Paramètres!$E$24*$AG281*$AJ281,Paramètres!$F$24),0)</f>
        <v>0</v>
      </c>
      <c r="O281" s="19" t="n">
        <f aca="false" t="array" ref="O281:O281">IF(AND(INDEX(Profils!$I$5:$I$34,$AE281)&gt;0,INDEX(Profils!$X$5:$X$34,$AE281)&lt;=$AH281),ROUND(INDEX(Profils!$I$5:$I$34,$AE281)*Paramètres!$E$25*$AG281*$AJ281,Paramètres!$F$25),0)</f>
        <v>0</v>
      </c>
      <c r="P281" s="19" t="n">
        <f aca="false" t="array" ref="P281:P281">IF(AND(INDEX(Profils!$J$5:$J$34,$AE281)&gt;0,INDEX(Profils!$Y$5:$Y$34,$AE281)&lt;=$AH281),ROUND(INDEX(Profils!$J$5:$J$34,$AE281)*Paramètres!$E$26*$AG281*$AJ281,Paramètres!$F$26),0)</f>
        <v>0</v>
      </c>
      <c r="Q281" s="19" t="n">
        <f aca="false" t="array" ref="Q281:Q281">IF(AND(INDEX(Profils!$K$5:$K$34,$AE281)&gt;0,INDEX(Profils!$Z$5:$Z$34,$AE281)&lt;=$AH281),ROUND(INDEX(Profils!$K$5:$K$34,$AE281)*Paramètres!$E$27*$AG281*$AJ281,Paramètres!$F$27),0)</f>
        <v>0</v>
      </c>
      <c r="R281" s="20" t="n">
        <f aca="false" t="array" ref="R281:R281">IF(AND(INDEX(Profils!$L$5:$L$34,$AE281)&gt;0,INDEX(Profils!$AA$5:$AA$34,$AE281)&lt;=$AH281),ROUND(INDEX(Profils!$L$5:$L$34,$AE281)*Paramètres!$E$28*$AG281*$AJ281,Paramètres!$F$28),0)</f>
        <v>0.028</v>
      </c>
      <c r="S281" s="20" t="n">
        <f aca="false" t="array" ref="S281:S281">IF(AND(INDEX(Profils!$M$5:$M$34,$AE281)&gt;0,INDEX(Profils!$AB$5:$AB$34,$AE281)&lt;=$AH281),ROUND(INDEX(Profils!$M$5:$M$34,$AE281)*Paramètres!$E$29*$AG281*$AJ281,Paramètres!$F$29),0)</f>
        <v>0.02</v>
      </c>
      <c r="T281" s="20" t="n">
        <f aca="false" t="array" ref="T281:T281">IF(AND(INDEX(Profils!$N$5:$N$34,$AE281)&gt;0,INDEX(Profils!$AC$5:$AC$34,$AE281)&lt;=$AH281),ROUND(INDEX(Profils!$N$5:$N$34,$AE281)*Paramètres!$E$30*$AG281*$AJ281,Paramètres!$F$30),0)</f>
        <v>0.052</v>
      </c>
      <c r="U281" s="19" t="n">
        <f aca="false" t="array" ref="U281:U281">IF(AND(INDEX(Profils!$O$5:$O$34,$AE281)&gt;0,INDEX(Profils!$AD$5:$AD$34,$AE281)&lt;=$AH281),ROUND(INDEX(Profils!$O$5:$O$34,$AE281)*Paramètres!$E$31*$AG281*$AJ281,Paramètres!$F$31),0)</f>
        <v>0</v>
      </c>
      <c r="V281" s="20" t="n">
        <f aca="false" t="array" ref="V281:V281">IF(AND(INDEX(Profils!$P$5:$P$34,$AE281)&gt;0,INDEX(Profils!$AE$5:$AE$34,$AE281)&lt;=$AH281),ROUND(INDEX(Profils!$P$5:$P$34,$AE281)*Paramètres!$E$32*$AG281*$AJ281,Paramètres!$F$32),0)</f>
        <v>0.024</v>
      </c>
      <c r="W281" s="20" t="n">
        <f aca="false" t="array" ref="W281:W281">IF(AND(INDEX(Profils!$Q$5:$Q$34,$AE281)&gt;0,INDEX(Profils!$AF$5:$AF$34,$AE281)&lt;=$AH281),ROUND(INDEX(Profils!$Q$5:$Q$34,$AE281)*Paramètres!$E$33*$AG281*$AJ281,Paramètres!$F$33),0)</f>
        <v>0</v>
      </c>
      <c r="X281" s="20" t="n">
        <f aca="false" t="array" ref="X281:X281">IF(AND(INDEX(Profils!$R$5:$R$34,$AE281)&gt;0,INDEX(Profils!$AG$5:$AG$34,$AE281)&lt;=$AH281),ROUND(INDEX(Profils!$R$5:$R$34,$AE281)*Paramètres!$E$34*$AG281*$AJ281,Paramètres!$F$34),0)</f>
        <v>0</v>
      </c>
      <c r="Y281" s="20" t="n">
        <f aca="false" t="array" ref="Y281:Y281">IF(AND(INDEX(Profils!$S$5:$S$34,$AE281)&gt;0,INDEX(Profils!$AH$5:$AH$34,$AE281)&lt;=$AH281),ROUND(INDEX(Profils!$S$5:$S$34,$AE281)*Paramètres!$E$35*$AG281*$AJ281,Paramètres!$F$35),0)</f>
        <v>0</v>
      </c>
      <c r="Z281" s="21" t="n">
        <f aca="false">ROUND(L281/Paramètres!$E$22+M281/Paramètres!$E$23+N281/Paramètres!$E$24+O281/Paramètres!$E$25+P281/Paramètres!$E$26+Q281/Paramètres!$E$27+R281/Paramètres!$E$28+S281/Paramètres!$E$29+T281/Paramètres!$E$30+U281/Paramètres!$E$31+V281/Paramètres!$E$32+W281/Paramètres!$E$33+X281/Paramètres!$E$34+Y281/Paramètres!$E$35,1)</f>
        <v>10.6</v>
      </c>
      <c r="AA281" s="22" t="s">
        <v>109</v>
      </c>
      <c r="AB281" s="22" t="s">
        <v>109</v>
      </c>
      <c r="AC281" s="15" t="str">
        <f aca="false">$E281</f>
        <v>adamantite</v>
      </c>
      <c r="AD281" s="16" t="n">
        <f aca="false" t="array" ref="AD281:AD281">IF($I281&gt;=$AI281,"Max",ROUND(Paramètres!$B$40*($I281+1)^Paramètres!$B$41*INDEX(Paramètres!$H$6:$H$12,$AF281),0))</f>
        <v>5</v>
      </c>
      <c r="AE281" s="23" t="n">
        <f aca="false">MATCH($B281&amp;"|"&amp;$C281,Profils!$A$5:$A$34,0)</f>
        <v>9</v>
      </c>
      <c r="AF281" s="23" t="n">
        <v>4</v>
      </c>
      <c r="AG281" s="24" t="n">
        <f aca="false" t="array" ref="AG281:AG281">INDEX(Paramètres!$C$6:$C$12,$AF281)</f>
        <v>1.75</v>
      </c>
      <c r="AH281" s="23" t="n">
        <f aca="false" t="array" ref="AH281:AH281">INDEX(Paramètres!$D$6:$D$12,$AF281)</f>
        <v>5</v>
      </c>
      <c r="AI281" s="23" t="n">
        <f aca="false" t="array" ref="AI281:AI281">INDEX(Matériaux!$C$16:$C$20,$D281)</f>
        <v>30</v>
      </c>
      <c r="AJ281" s="25" t="n">
        <f aca="false">Paramètres!$B$16+(1-Paramètres!$B$16)*(($J281-Paramètres!$B$14)/(Paramètres!$B$15-Paramètres!$B$14))^Paramètres!$B$17</f>
        <v>0.665999387952727</v>
      </c>
    </row>
    <row r="282" customFormat="false" ht="15.75" hidden="false" customHeight="true" outlineLevel="0" collapsed="false">
      <c r="A282" s="14" t="s">
        <v>397</v>
      </c>
      <c r="B282" s="15" t="s">
        <v>27</v>
      </c>
      <c r="C282" s="15" t="s">
        <v>369</v>
      </c>
      <c r="D282" s="16" t="n">
        <v>5</v>
      </c>
      <c r="E282" s="15" t="str">
        <f aca="false" t="array" ref="E282:E282">INDEX(Matériaux!$B$5:$F$12,MATCH(INDEX(Profils!$E$5:$E$34,$AE282),Matériaux!$A$5:$A$12,0),$D282)</f>
        <v>adamantite</v>
      </c>
      <c r="F282" s="29" t="s">
        <v>117</v>
      </c>
      <c r="G282" s="10" t="str">
        <f aca="false" t="array" ref="G282:G282">INDEX(Profils!$D$5:$D$34,$AE282)&amp;" en "&amp;$E282</f>
        <v>Épée en adamantite</v>
      </c>
      <c r="H282" s="16" t="n">
        <f aca="false" t="array" ref="H282:H282">INDEX(Matériaux!$B$16:$B$20,$D282)</f>
        <v>70</v>
      </c>
      <c r="I282" s="16" t="n">
        <f aca="false">IF(ISNUMBER($C$3),MIN(MAX(0,ROUND($C$3,0)),$AI282),$AI282)</f>
        <v>0</v>
      </c>
      <c r="J282" s="18" t="n">
        <f aca="false">$H282+$I282</f>
        <v>70</v>
      </c>
      <c r="K282" s="15" t="s">
        <v>109</v>
      </c>
      <c r="L282" s="19" t="n">
        <f aca="false" t="array" ref="L282:L282">IF(AND(INDEX(Profils!$F$5:$F$34,$AE282)&gt;0,INDEX(Profils!$U$5:$U$34,$AE282)&lt;=$AH282),ROUND(INDEX(Profils!$F$5:$F$34,$AE282)*Paramètres!$E$22*$AG282*$AJ282,Paramètres!$F$22),0)</f>
        <v>28</v>
      </c>
      <c r="M282" s="19" t="n">
        <f aca="false" t="array" ref="M282:M282">IF(AND(INDEX(Profils!$G$5:$G$34,$AE282)&gt;0,INDEX(Profils!$V$5:$V$34,$AE282)&lt;=$AH282),ROUND(INDEX(Profils!$G$5:$G$34,$AE282)*Paramètres!$E$23*$AG282*$AJ282,Paramètres!$F$23),0)</f>
        <v>67</v>
      </c>
      <c r="N282" s="19" t="n">
        <f aca="false" t="array" ref="N282:N282">IF(AND(INDEX(Profils!$H$5:$H$34,$AE282)&gt;0,INDEX(Profils!$W$5:$W$34,$AE282)&lt;=$AH282),ROUND(INDEX(Profils!$H$5:$H$34,$AE282)*Paramètres!$E$24*$AG282*$AJ282,Paramètres!$F$24),0)</f>
        <v>0</v>
      </c>
      <c r="O282" s="19" t="n">
        <f aca="false" t="array" ref="O282:O282">IF(AND(INDEX(Profils!$I$5:$I$34,$AE282)&gt;0,INDEX(Profils!$X$5:$X$34,$AE282)&lt;=$AH282),ROUND(INDEX(Profils!$I$5:$I$34,$AE282)*Paramètres!$E$25*$AG282*$AJ282,Paramètres!$F$25),0)</f>
        <v>0</v>
      </c>
      <c r="P282" s="19" t="n">
        <f aca="false" t="array" ref="P282:P282">IF(AND(INDEX(Profils!$J$5:$J$34,$AE282)&gt;0,INDEX(Profils!$Y$5:$Y$34,$AE282)&lt;=$AH282),ROUND(INDEX(Profils!$J$5:$J$34,$AE282)*Paramètres!$E$26*$AG282*$AJ282,Paramètres!$F$26),0)</f>
        <v>0</v>
      </c>
      <c r="Q282" s="19" t="n">
        <f aca="false" t="array" ref="Q282:Q282">IF(AND(INDEX(Profils!$K$5:$K$34,$AE282)&gt;0,INDEX(Profils!$Z$5:$Z$34,$AE282)&lt;=$AH282),ROUND(INDEX(Profils!$K$5:$K$34,$AE282)*Paramètres!$E$27*$AG282*$AJ282,Paramètres!$F$27),0)</f>
        <v>0</v>
      </c>
      <c r="R282" s="20" t="n">
        <f aca="false" t="array" ref="R282:R282">IF(AND(INDEX(Profils!$L$5:$L$34,$AE282)&gt;0,INDEX(Profils!$AA$5:$AA$34,$AE282)&lt;=$AH282),ROUND(INDEX(Profils!$L$5:$L$34,$AE282)*Paramètres!$E$28*$AG282*$AJ282,Paramètres!$F$28),0)</f>
        <v>0.034</v>
      </c>
      <c r="S282" s="20" t="n">
        <f aca="false" t="array" ref="S282:S282">IF(AND(INDEX(Profils!$M$5:$M$34,$AE282)&gt;0,INDEX(Profils!$AB$5:$AB$34,$AE282)&lt;=$AH282),ROUND(INDEX(Profils!$M$5:$M$34,$AE282)*Paramètres!$E$29*$AG282*$AJ282,Paramètres!$F$29),0)</f>
        <v>0.023</v>
      </c>
      <c r="T282" s="20" t="n">
        <f aca="false" t="array" ref="T282:T282">IF(AND(INDEX(Profils!$N$5:$N$34,$AE282)&gt;0,INDEX(Profils!$AC$5:$AC$34,$AE282)&lt;=$AH282),ROUND(INDEX(Profils!$N$5:$N$34,$AE282)*Paramètres!$E$30*$AG282*$AJ282,Paramètres!$F$30),0)</f>
        <v>0.063</v>
      </c>
      <c r="U282" s="19" t="n">
        <f aca="false" t="array" ref="U282:U282">IF(AND(INDEX(Profils!$O$5:$O$34,$AE282)&gt;0,INDEX(Profils!$AD$5:$AD$34,$AE282)&lt;=$AH282),ROUND(INDEX(Profils!$O$5:$O$34,$AE282)*Paramètres!$E$31*$AG282*$AJ282,Paramètres!$F$31),0)</f>
        <v>0</v>
      </c>
      <c r="V282" s="20" t="n">
        <f aca="false" t="array" ref="V282:V282">IF(AND(INDEX(Profils!$P$5:$P$34,$AE282)&gt;0,INDEX(Profils!$AE$5:$AE$34,$AE282)&lt;=$AH282),ROUND(INDEX(Profils!$P$5:$P$34,$AE282)*Paramètres!$E$32*$AG282*$AJ282,Paramètres!$F$32),0)</f>
        <v>0.029</v>
      </c>
      <c r="W282" s="20" t="n">
        <f aca="false" t="array" ref="W282:W282">IF(AND(INDEX(Profils!$Q$5:$Q$34,$AE282)&gt;0,INDEX(Profils!$AF$5:$AF$34,$AE282)&lt;=$AH282),ROUND(INDEX(Profils!$Q$5:$Q$34,$AE282)*Paramètres!$E$33*$AG282*$AJ282,Paramètres!$F$33),0)</f>
        <v>0</v>
      </c>
      <c r="X282" s="20" t="n">
        <f aca="false" t="array" ref="X282:X282">IF(AND(INDEX(Profils!$R$5:$R$34,$AE282)&gt;0,INDEX(Profils!$AG$5:$AG$34,$AE282)&lt;=$AH282),ROUND(INDEX(Profils!$R$5:$R$34,$AE282)*Paramètres!$E$34*$AG282*$AJ282,Paramètres!$F$34),0)</f>
        <v>0</v>
      </c>
      <c r="Y282" s="20" t="n">
        <f aca="false" t="array" ref="Y282:Y282">IF(AND(INDEX(Profils!$S$5:$S$34,$AE282)&gt;0,INDEX(Profils!$AH$5:$AH$34,$AE282)&lt;=$AH282),ROUND(INDEX(Profils!$S$5:$S$34,$AE282)*Paramètres!$E$35*$AG282*$AJ282,Paramètres!$F$35),0)</f>
        <v>0</v>
      </c>
      <c r="Z282" s="21" t="n">
        <f aca="false">ROUND(L282/Paramètres!$E$22+M282/Paramètres!$E$23+N282/Paramètres!$E$24+O282/Paramètres!$E$25+P282/Paramètres!$E$26+Q282/Paramètres!$E$27+R282/Paramètres!$E$28+S282/Paramètres!$E$29+T282/Paramètres!$E$30+U282/Paramètres!$E$31+V282/Paramètres!$E$32+W282/Paramètres!$E$33+X282/Paramètres!$E$34+Y282/Paramètres!$E$35,1)</f>
        <v>13.8</v>
      </c>
      <c r="AA282" s="22" t="s">
        <v>109</v>
      </c>
      <c r="AB282" s="22" t="s">
        <v>109</v>
      </c>
      <c r="AC282" s="15" t="str">
        <f aca="false">$E282</f>
        <v>adamantite</v>
      </c>
      <c r="AD282" s="16" t="n">
        <f aca="false" t="array" ref="AD282:AD282">IF($I282&gt;=$AI282,"Max",ROUND(Paramètres!$B$40*($I282+1)^Paramètres!$B$41*INDEX(Paramètres!$H$6:$H$12,$AF282),0))</f>
        <v>6</v>
      </c>
      <c r="AE282" s="23" t="n">
        <f aca="false">MATCH($B282&amp;"|"&amp;$C282,Profils!$A$5:$A$34,0)</f>
        <v>9</v>
      </c>
      <c r="AF282" s="23" t="n">
        <v>5</v>
      </c>
      <c r="AG282" s="24" t="n">
        <f aca="false" t="array" ref="AG282:AG282">INDEX(Paramètres!$C$6:$C$12,$AF282)</f>
        <v>2.1</v>
      </c>
      <c r="AH282" s="23" t="n">
        <f aca="false" t="array" ref="AH282:AH282">INDEX(Paramètres!$D$6:$D$12,$AF282)</f>
        <v>6</v>
      </c>
      <c r="AI282" s="23" t="n">
        <f aca="false" t="array" ref="AI282:AI282">INDEX(Matériaux!$C$16:$C$20,$D282)</f>
        <v>30</v>
      </c>
      <c r="AJ282" s="25" t="n">
        <f aca="false">Paramètres!$B$16+(1-Paramètres!$B$16)*(($J282-Paramètres!$B$14)/(Paramètres!$B$15-Paramètres!$B$14))^Paramètres!$B$17</f>
        <v>0.665999387952727</v>
      </c>
    </row>
    <row r="283" customFormat="false" ht="15.75" hidden="false" customHeight="true" outlineLevel="0" collapsed="false">
      <c r="A283" s="14" t="s">
        <v>398</v>
      </c>
      <c r="B283" s="15" t="s">
        <v>27</v>
      </c>
      <c r="C283" s="15" t="s">
        <v>369</v>
      </c>
      <c r="D283" s="16" t="n">
        <v>5</v>
      </c>
      <c r="E283" s="15" t="str">
        <f aca="false" t="array" ref="E283:E283">INDEX(Matériaux!$B$5:$F$12,MATCH(INDEX(Profils!$E$5:$E$34,$AE283),Matériaux!$A$5:$A$12,0),$D283)</f>
        <v>adamantite</v>
      </c>
      <c r="F283" s="30" t="s">
        <v>119</v>
      </c>
      <c r="G283" s="10" t="str">
        <f aca="false" t="array" ref="G283:G283">INDEX(Profils!$D$5:$D$34,$AE283)&amp;" en "&amp;$E283</f>
        <v>Épée en adamantite</v>
      </c>
      <c r="H283" s="16" t="n">
        <f aca="false" t="array" ref="H283:H283">INDEX(Matériaux!$B$16:$B$20,$D283)</f>
        <v>70</v>
      </c>
      <c r="I283" s="16" t="n">
        <f aca="false">IF(ISNUMBER($C$3),MIN(MAX(0,ROUND($C$3,0)),$AI283),$AI283)</f>
        <v>0</v>
      </c>
      <c r="J283" s="18" t="n">
        <f aca="false">$H283+$I283</f>
        <v>70</v>
      </c>
      <c r="K283" s="15" t="s">
        <v>109</v>
      </c>
      <c r="L283" s="19" t="n">
        <f aca="false" t="array" ref="L283:L283">IF(AND(INDEX(Profils!$F$5:$F$34,$AE283)&gt;0,INDEX(Profils!$U$5:$U$34,$AE283)&lt;=$AH283),ROUND(INDEX(Profils!$F$5:$F$34,$AE283)*Paramètres!$E$22*$AG283*$AJ283,Paramètres!$F$22),0)</f>
        <v>32</v>
      </c>
      <c r="M283" s="19" t="n">
        <f aca="false" t="array" ref="M283:M283">IF(AND(INDEX(Profils!$G$5:$G$34,$AE283)&gt;0,INDEX(Profils!$V$5:$V$34,$AE283)&lt;=$AH283),ROUND(INDEX(Profils!$G$5:$G$34,$AE283)*Paramètres!$E$23*$AG283*$AJ283,Paramètres!$F$23),0)</f>
        <v>77</v>
      </c>
      <c r="N283" s="19" t="n">
        <f aca="false" t="array" ref="N283:N283">IF(AND(INDEX(Profils!$H$5:$H$34,$AE283)&gt;0,INDEX(Profils!$W$5:$W$34,$AE283)&lt;=$AH283),ROUND(INDEX(Profils!$H$5:$H$34,$AE283)*Paramètres!$E$24*$AG283*$AJ283,Paramètres!$F$24),0)</f>
        <v>0</v>
      </c>
      <c r="O283" s="19" t="n">
        <f aca="false" t="array" ref="O283:O283">IF(AND(INDEX(Profils!$I$5:$I$34,$AE283)&gt;0,INDEX(Profils!$X$5:$X$34,$AE283)&lt;=$AH283),ROUND(INDEX(Profils!$I$5:$I$34,$AE283)*Paramètres!$E$25*$AG283*$AJ283,Paramètres!$F$25),0)</f>
        <v>0</v>
      </c>
      <c r="P283" s="19" t="n">
        <f aca="false" t="array" ref="P283:P283">IF(AND(INDEX(Profils!$J$5:$J$34,$AE283)&gt;0,INDEX(Profils!$Y$5:$Y$34,$AE283)&lt;=$AH283),ROUND(INDEX(Profils!$J$5:$J$34,$AE283)*Paramètres!$E$26*$AG283*$AJ283,Paramètres!$F$26),0)</f>
        <v>12</v>
      </c>
      <c r="Q283" s="19" t="n">
        <f aca="false" t="array" ref="Q283:Q283">IF(AND(INDEX(Profils!$K$5:$K$34,$AE283)&gt;0,INDEX(Profils!$Z$5:$Z$34,$AE283)&lt;=$AH283),ROUND(INDEX(Profils!$K$5:$K$34,$AE283)*Paramètres!$E$27*$AG283*$AJ283,Paramètres!$F$27),0)</f>
        <v>0</v>
      </c>
      <c r="R283" s="20" t="n">
        <f aca="false" t="array" ref="R283:R283">IF(AND(INDEX(Profils!$L$5:$L$34,$AE283)&gt;0,INDEX(Profils!$AA$5:$AA$34,$AE283)&lt;=$AH283),ROUND(INDEX(Profils!$L$5:$L$34,$AE283)*Paramètres!$E$28*$AG283*$AJ283,Paramètres!$F$28),0)</f>
        <v>0.038</v>
      </c>
      <c r="S283" s="20" t="n">
        <f aca="false" t="array" ref="S283:S283">IF(AND(INDEX(Profils!$M$5:$M$34,$AE283)&gt;0,INDEX(Profils!$AB$5:$AB$34,$AE283)&lt;=$AH283),ROUND(INDEX(Profils!$M$5:$M$34,$AE283)*Paramètres!$E$29*$AG283*$AJ283,Paramètres!$F$29),0)</f>
        <v>0.027</v>
      </c>
      <c r="T283" s="20" t="n">
        <f aca="false" t="array" ref="T283:T283">IF(AND(INDEX(Profils!$N$5:$N$34,$AE283)&gt;0,INDEX(Profils!$AC$5:$AC$34,$AE283)&lt;=$AH283),ROUND(INDEX(Profils!$N$5:$N$34,$AE283)*Paramètres!$E$30*$AG283*$AJ283,Paramètres!$F$30),0)</f>
        <v>0.072</v>
      </c>
      <c r="U283" s="19" t="n">
        <f aca="false" t="array" ref="U283:U283">IF(AND(INDEX(Profils!$O$5:$O$34,$AE283)&gt;0,INDEX(Profils!$AD$5:$AD$34,$AE283)&lt;=$AH283),ROUND(INDEX(Profils!$O$5:$O$34,$AE283)*Paramètres!$E$31*$AG283*$AJ283,Paramètres!$F$31),0)</f>
        <v>0</v>
      </c>
      <c r="V283" s="20" t="n">
        <f aca="false" t="array" ref="V283:V283">IF(AND(INDEX(Profils!$P$5:$P$34,$AE283)&gt;0,INDEX(Profils!$AE$5:$AE$34,$AE283)&lt;=$AH283),ROUND(INDEX(Profils!$P$5:$P$34,$AE283)*Paramètres!$E$32*$AG283*$AJ283,Paramètres!$F$32),0)</f>
        <v>0.034</v>
      </c>
      <c r="W283" s="20" t="n">
        <f aca="false" t="array" ref="W283:W283">IF(AND(INDEX(Profils!$Q$5:$Q$34,$AE283)&gt;0,INDEX(Profils!$AF$5:$AF$34,$AE283)&lt;=$AH283),ROUND(INDEX(Profils!$Q$5:$Q$34,$AE283)*Paramètres!$E$33*$AG283*$AJ283,Paramètres!$F$33),0)</f>
        <v>0</v>
      </c>
      <c r="X283" s="20" t="n">
        <f aca="false" t="array" ref="X283:X283">IF(AND(INDEX(Profils!$R$5:$R$34,$AE283)&gt;0,INDEX(Profils!$AG$5:$AG$34,$AE283)&lt;=$AH283),ROUND(INDEX(Profils!$R$5:$R$34,$AE283)*Paramètres!$E$34*$AG283*$AJ283,Paramètres!$F$34),0)</f>
        <v>0</v>
      </c>
      <c r="Y283" s="20" t="n">
        <f aca="false" t="array" ref="Y283:Y283">IF(AND(INDEX(Profils!$S$5:$S$34,$AE283)&gt;0,INDEX(Profils!$AH$5:$AH$34,$AE283)&lt;=$AH283),ROUND(INDEX(Profils!$S$5:$S$34,$AE283)*Paramètres!$E$35*$AG283*$AJ283,Paramètres!$F$35),0)</f>
        <v>0</v>
      </c>
      <c r="Z283" s="21" t="n">
        <f aca="false">ROUND(L283/Paramètres!$E$22+M283/Paramètres!$E$23+N283/Paramètres!$E$24+O283/Paramètres!$E$25+P283/Paramètres!$E$26+Q283/Paramètres!$E$27+R283/Paramètres!$E$28+S283/Paramètres!$E$29+T283/Paramètres!$E$30+U283/Paramètres!$E$31+V283/Paramètres!$E$32+W283/Paramètres!$E$33+X283/Paramètres!$E$34+Y283/Paramètres!$E$35,1)</f>
        <v>16.9</v>
      </c>
      <c r="AA283" s="22" t="s">
        <v>109</v>
      </c>
      <c r="AB283" s="22" t="s">
        <v>109</v>
      </c>
      <c r="AC283" s="15" t="str">
        <f aca="false">$E283</f>
        <v>adamantite</v>
      </c>
      <c r="AD283" s="16" t="n">
        <f aca="false" t="array" ref="AD283:AD283">IF($I283&gt;=$AI283,"Max",ROUND(Paramètres!$B$40*($I283+1)^Paramètres!$B$41*INDEX(Paramètres!$H$6:$H$12,$AF283),0))</f>
        <v>8</v>
      </c>
      <c r="AE283" s="23" t="n">
        <f aca="false">MATCH($B283&amp;"|"&amp;$C283,Profils!$A$5:$A$34,0)</f>
        <v>9</v>
      </c>
      <c r="AF283" s="23" t="n">
        <v>6</v>
      </c>
      <c r="AG283" s="24" t="n">
        <f aca="false" t="array" ref="AG283:AG283">INDEX(Paramètres!$C$6:$C$12,$AF283)</f>
        <v>2.4</v>
      </c>
      <c r="AH283" s="23" t="n">
        <f aca="false" t="array" ref="AH283:AH283">INDEX(Paramètres!$D$6:$D$12,$AF283)</f>
        <v>7</v>
      </c>
      <c r="AI283" s="23" t="n">
        <f aca="false" t="array" ref="AI283:AI283">INDEX(Matériaux!$C$16:$C$20,$D283)</f>
        <v>30</v>
      </c>
      <c r="AJ283" s="25" t="n">
        <f aca="false">Paramètres!$B$16+(1-Paramètres!$B$16)*(($J283-Paramètres!$B$14)/(Paramètres!$B$15-Paramètres!$B$14))^Paramètres!$B$17</f>
        <v>0.665999387952727</v>
      </c>
    </row>
    <row r="284" customFormat="false" ht="15.75" hidden="false" customHeight="true" outlineLevel="0" collapsed="false">
      <c r="A284" s="14" t="s">
        <v>399</v>
      </c>
      <c r="B284" s="15" t="s">
        <v>27</v>
      </c>
      <c r="C284" s="15" t="s">
        <v>369</v>
      </c>
      <c r="D284" s="16" t="s">
        <v>109</v>
      </c>
      <c r="E284" s="15" t="s">
        <v>109</v>
      </c>
      <c r="F284" s="31" t="s">
        <v>38</v>
      </c>
      <c r="G284" s="10" t="str">
        <f aca="false" t="array" ref="G284:G284">INDEX(Uniques!$E$5:$E$34,MATCH($B284&amp;"|"&amp;$C284,Uniques!$A$5:$A$34,0))</f>
        <v>Épée de la Mort</v>
      </c>
      <c r="H284" s="16" t="n">
        <f aca="false" t="array" ref="H284:H284">INDEX(Uniques!$L$5:$L$34,MATCH($B284&amp;"|"&amp;$C284,Uniques!$A$5:$A$34,0))</f>
        <v>91</v>
      </c>
      <c r="I284" s="16" t="n">
        <f aca="false">IF(ISNUMBER($C$3),MIN(MAX(0,ROUND($C$3,0)),$AI284),$AI284)</f>
        <v>0</v>
      </c>
      <c r="J284" s="18" t="n">
        <f aca="false">$H284+$I284</f>
        <v>91</v>
      </c>
      <c r="K284" s="15" t="str">
        <f aca="false" t="array" ref="K284:K284">INDEX(Uniques!$F$5:$F$34,MATCH($B284&amp;"|"&amp;$C284,Uniques!$A$5:$A$34,0))</f>
        <v>Ombre</v>
      </c>
      <c r="L284" s="19" t="n">
        <f aca="false" t="array" ref="L284:L284">IF(AND(INDEX(Profils!$F$5:$F$34,$AE284)&gt;0,INDEX(Profils!$U$5:$U$34,$AE284)&lt;=$AH284),ROUND(INDEX(Profils!$F$5:$F$34,$AE284)*Paramètres!$E$22*$AG284*$AJ284,Paramètres!$F$22),0)</f>
        <v>45</v>
      </c>
      <c r="M284" s="19" t="n">
        <f aca="false" t="array" ref="M284:M284">IF(AND(INDEX(Profils!$G$5:$G$34,$AE284)&gt;0,INDEX(Profils!$V$5:$V$34,$AE284)&lt;=$AH284),ROUND(INDEX(Profils!$G$5:$G$34,$AE284)*Paramètres!$E$23*$AG284*$AJ284,Paramètres!$F$23),0)</f>
        <v>108</v>
      </c>
      <c r="N284" s="19" t="n">
        <f aca="false" t="array" ref="N284:N284">IF(AND(INDEX(Profils!$H$5:$H$34,$AE284)&gt;0,INDEX(Profils!$W$5:$W$34,$AE284)&lt;=$AH284),ROUND(INDEX(Profils!$H$5:$H$34,$AE284)*Paramètres!$E$24*$AG284*$AJ284,Paramètres!$F$24),0)</f>
        <v>0</v>
      </c>
      <c r="O284" s="19" t="n">
        <f aca="false" t="array" ref="O284:O284">IF(AND(INDEX(Profils!$I$5:$I$34,$AE284)&gt;0,INDEX(Profils!$X$5:$X$34,$AE284)&lt;=$AH284),ROUND(INDEX(Profils!$I$5:$I$34,$AE284)*Paramètres!$E$25*$AG284*$AJ284,Paramètres!$F$25),0)</f>
        <v>0</v>
      </c>
      <c r="P284" s="19" t="n">
        <f aca="false" t="array" ref="P284:P284">IF(AND(INDEX(Profils!$J$5:$J$34,$AE284)&gt;0,INDEX(Profils!$Y$5:$Y$34,$AE284)&lt;=$AH284),ROUND(INDEX(Profils!$J$5:$J$34,$AE284)*Paramètres!$E$26*$AG284*$AJ284,Paramètres!$F$26),0)</f>
        <v>16</v>
      </c>
      <c r="Q284" s="19" t="n">
        <f aca="false" t="array" ref="Q284:Q284">IF(AND(INDEX(Profils!$K$5:$K$34,$AE284)&gt;0,INDEX(Profils!$Z$5:$Z$34,$AE284)&lt;=$AH284),ROUND(INDEX(Profils!$K$5:$K$34,$AE284)*Paramètres!$E$27*$AG284*$AJ284,Paramètres!$F$27),0)</f>
        <v>0</v>
      </c>
      <c r="R284" s="20" t="n">
        <f aca="false" t="array" ref="R284:R284">IF(AND(INDEX(Profils!$L$5:$L$34,$AE284)&gt;0,INDEX(Profils!$AA$5:$AA$34,$AE284)&lt;=$AH284),ROUND(INDEX(Profils!$L$5:$L$34,$AE284)*Paramètres!$E$28*$AG284*$AJ284,Paramètres!$F$28),0)</f>
        <v>0.054</v>
      </c>
      <c r="S284" s="20" t="n">
        <f aca="false" t="array" ref="S284:S284">IF(AND(INDEX(Profils!$M$5:$M$34,$AE284)&gt;0,INDEX(Profils!$AB$5:$AB$34,$AE284)&lt;=$AH284),ROUND(INDEX(Profils!$M$5:$M$34,$AE284)*Paramètres!$E$29*$AG284*$AJ284,Paramètres!$F$29),0)</f>
        <v>0.038</v>
      </c>
      <c r="T284" s="20" t="n">
        <f aca="false" t="array" ref="T284:T284">IF(AND(INDEX(Profils!$N$5:$N$34,$AE284)&gt;0,INDEX(Profils!$AC$5:$AC$34,$AE284)&lt;=$AH284),ROUND(INDEX(Profils!$N$5:$N$34,$AE284)*Paramètres!$E$30*$AG284*$AJ284,Paramètres!$F$30),0)</f>
        <v>0.101</v>
      </c>
      <c r="U284" s="19" t="n">
        <f aca="false" t="array" ref="U284:U284">IF(AND(INDEX(Profils!$O$5:$O$34,$AE284)&gt;0,INDEX(Profils!$AD$5:$AD$34,$AE284)&lt;=$AH284),ROUND(INDEX(Profils!$O$5:$O$34,$AE284)*Paramètres!$E$31*$AG284*$AJ284,Paramètres!$F$31),0)</f>
        <v>0</v>
      </c>
      <c r="V284" s="20" t="n">
        <f aca="false" t="array" ref="V284:V284">IF(AND(INDEX(Profils!$P$5:$P$34,$AE284)&gt;0,INDEX(Profils!$AE$5:$AE$34,$AE284)&lt;=$AH284),ROUND(INDEX(Profils!$P$5:$P$34,$AE284)*Paramètres!$E$32*$AG284*$AJ284,Paramètres!$F$32),0)</f>
        <v>0.047</v>
      </c>
      <c r="W284" s="20" t="n">
        <f aca="false" t="array" ref="W284:W284">IF(AND(INDEX(Profils!$Q$5:$Q$34,$AE284)&gt;0,INDEX(Profils!$AF$5:$AF$34,$AE284)&lt;=$AH284),ROUND(INDEX(Profils!$Q$5:$Q$34,$AE284)*Paramètres!$E$33*$AG284*$AJ284,Paramètres!$F$33),0)</f>
        <v>0</v>
      </c>
      <c r="X284" s="20" t="n">
        <f aca="false" t="array" ref="X284:X284">IF(AND(INDEX(Profils!$R$5:$R$34,$AE284)&gt;0,INDEX(Profils!$AG$5:$AG$34,$AE284)&lt;=$AH284),ROUND(INDEX(Profils!$R$5:$R$34,$AE284)*Paramètres!$E$34*$AG284*$AJ284,Paramètres!$F$34),0)</f>
        <v>0</v>
      </c>
      <c r="Y284" s="20" t="n">
        <f aca="false" t="array" ref="Y284:Y284">IF(AND(INDEX(Profils!$S$5:$S$34,$AE284)&gt;0,INDEX(Profils!$AH$5:$AH$34,$AE284)&lt;=$AH284),ROUND(INDEX(Profils!$S$5:$S$34,$AE284)*Paramètres!$E$35*$AG284*$AJ284,Paramètres!$F$35),0)</f>
        <v>0</v>
      </c>
      <c r="Z284" s="21" t="n">
        <f aca="false">ROUND(L284/Paramètres!$E$22+M284/Paramètres!$E$23+N284/Paramètres!$E$24+O284/Paramètres!$E$25+P284/Paramètres!$E$26+Q284/Paramètres!$E$27+R284/Paramètres!$E$28+S284/Paramètres!$E$29+T284/Paramètres!$E$30+U284/Paramètres!$E$31+V284/Paramètres!$E$32+W284/Paramètres!$E$33+X284/Paramètres!$E$34+Y284/Paramètres!$E$35,1)</f>
        <v>23.6</v>
      </c>
      <c r="AA284" s="22" t="str">
        <f aca="false" t="array" ref="AA284:AA284">INDEX(Uniques!$G$5:$G$34,MATCH($B284&amp;"|"&amp;$C284,Uniques!$A$5:$A$34,0))</f>
        <v>Moisson funeste</v>
      </c>
      <c r="AB284" s="22" t="str">
        <f aca="false" t="array" ref="AB284:AB284">INDEX(Uniques!$H$5:$H$34,MATCH($B284&amp;"|"&amp;$C284,Uniques!$A$5:$A$34,0))&amp;" ["&amp;INDEX(Uniques!$I$5:$I$34,MATCH($B284&amp;"|"&amp;$C284,Uniques!$A$5:$A$34,0))&amp;"]"</f>
        <v>Quand une attaque du porteur vainc un ennemi, il récupère 8 % de ses PV max et applique Corruption (Ombre) aux ennemis restants pendant 2 tours. [1 fois par tour ; Corruption non cumulable (+10 % de dégâts subis, 1 pile max).]</v>
      </c>
      <c r="AC284" s="15" t="str">
        <f aca="false" t="array" ref="AC284:AC284">INDEX(Matériaux!$B$5:$F$12,MATCH(INDEX(Profils!$E$5:$E$34,$AE284),Matériaux!$A$5:$A$12,0),MATCH(MIN($J284+1,100),Matériaux!$B$16:$B$20,1))</f>
        <v>adamantite</v>
      </c>
      <c r="AD284" s="16" t="n">
        <f aca="false" t="array" ref="AD284:AD284">IF($I284&gt;=$AI284,"Max",ROUND(Paramètres!$B$40*($I284+1)^Paramètres!$B$41*INDEX(Paramètres!$H$6:$H$12,$AF284),0))</f>
        <v>9</v>
      </c>
      <c r="AE284" s="23" t="n">
        <f aca="false">MATCH($B284&amp;"|"&amp;$C284,Profils!$A$5:$A$34,0)</f>
        <v>9</v>
      </c>
      <c r="AF284" s="23" t="n">
        <v>7</v>
      </c>
      <c r="AG284" s="24" t="n">
        <f aca="false" t="array" ref="AG284:AG284">INDEX(Paramètres!$C$6:$C$12,$AF284)</f>
        <v>2.5</v>
      </c>
      <c r="AH284" s="23" t="n">
        <f aca="false" t="array" ref="AH284:AH284">INDEX(Paramètres!$D$6:$D$12,$AF284)</f>
        <v>7</v>
      </c>
      <c r="AI284" s="23" t="n">
        <f aca="false" t="array" ref="AI284:AI284">INDEX(Uniques!$M$5:$M$34,MATCH($B284&amp;"|"&amp;$C284,Uniques!$A$5:$A$34,0))</f>
        <v>9</v>
      </c>
      <c r="AJ284" s="25" t="n">
        <f aca="false">Paramètres!$B$16+(1-Paramètres!$B$16)*(($J284-Paramètres!$B$14)/(Paramètres!$B$15-Paramètres!$B$14))^Paramètres!$B$17</f>
        <v>0.89732960994541</v>
      </c>
    </row>
    <row r="285" customFormat="false" ht="15.75" hidden="false" customHeight="true" outlineLevel="0" collapsed="false">
      <c r="A285" s="14" t="s">
        <v>400</v>
      </c>
      <c r="B285" s="15" t="s">
        <v>27</v>
      </c>
      <c r="C285" s="15" t="s">
        <v>401</v>
      </c>
      <c r="D285" s="16" t="n">
        <v>1</v>
      </c>
      <c r="E285" s="15" t="str">
        <f aca="false" t="array" ref="E285:E285">INDEX(Matériaux!$B$5:$F$12,MATCH(INDEX(Profils!$E$5:$E$34,$AE285),Matériaux!$A$5:$A$12,0),$D285)</f>
        <v>bois</v>
      </c>
      <c r="F285" s="17" t="s">
        <v>108</v>
      </c>
      <c r="G285" s="10" t="str">
        <f aca="false" t="array" ref="G285:G285">INDEX(Profils!$D$5:$D$34,$AE285)&amp;" en "&amp;$E285</f>
        <v>Bouclier en bois</v>
      </c>
      <c r="H285" s="16" t="n">
        <f aca="false" t="array" ref="H285:H285">INDEX(Matériaux!$B$16:$B$20,$D285)</f>
        <v>1</v>
      </c>
      <c r="I285" s="16" t="n">
        <f aca="false">IF(ISNUMBER($C$3),MIN(MAX(0,ROUND($C$3,0)),$AI285),$AI285)</f>
        <v>0</v>
      </c>
      <c r="J285" s="18" t="n">
        <f aca="false">$H285+$I285</f>
        <v>1</v>
      </c>
      <c r="K285" s="15" t="s">
        <v>109</v>
      </c>
      <c r="L285" s="19" t="n">
        <f aca="false" t="array" ref="L285:L285">IF(AND(INDEX(Profils!$F$5:$F$34,$AE285)&gt;0,INDEX(Profils!$U$5:$U$34,$AE285)&lt;=$AH285),ROUND(INDEX(Profils!$F$5:$F$34,$AE285)*Paramètres!$E$22*$AG285*$AJ285,Paramètres!$F$22),0)</f>
        <v>0</v>
      </c>
      <c r="M285" s="19" t="n">
        <f aca="false" t="array" ref="M285:M285">IF(AND(INDEX(Profils!$G$5:$G$34,$AE285)&gt;0,INDEX(Profils!$V$5:$V$34,$AE285)&lt;=$AH285),ROUND(INDEX(Profils!$G$5:$G$34,$AE285)*Paramètres!$E$23*$AG285*$AJ285,Paramètres!$F$23),0)</f>
        <v>0</v>
      </c>
      <c r="N285" s="19" t="n">
        <f aca="false" t="array" ref="N285:N285">IF(AND(INDEX(Profils!$H$5:$H$34,$AE285)&gt;0,INDEX(Profils!$W$5:$W$34,$AE285)&lt;=$AH285),ROUND(INDEX(Profils!$H$5:$H$34,$AE285)*Paramètres!$E$24*$AG285*$AJ285,Paramètres!$F$24),0)</f>
        <v>2</v>
      </c>
      <c r="O285" s="19" t="n">
        <f aca="false" t="array" ref="O285:O285">IF(AND(INDEX(Profils!$I$5:$I$34,$AE285)&gt;0,INDEX(Profils!$X$5:$X$34,$AE285)&lt;=$AH285),ROUND(INDEX(Profils!$I$5:$I$34,$AE285)*Paramètres!$E$25*$AG285*$AJ285,Paramètres!$F$25),0)</f>
        <v>0</v>
      </c>
      <c r="P285" s="19" t="n">
        <f aca="false" t="array" ref="P285:P285">IF(AND(INDEX(Profils!$J$5:$J$34,$AE285)&gt;0,INDEX(Profils!$Y$5:$Y$34,$AE285)&lt;=$AH285),ROUND(INDEX(Profils!$J$5:$J$34,$AE285)*Paramètres!$E$26*$AG285*$AJ285,Paramètres!$F$26),0)</f>
        <v>0</v>
      </c>
      <c r="Q285" s="19" t="n">
        <f aca="false" t="array" ref="Q285:Q285">IF(AND(INDEX(Profils!$K$5:$K$34,$AE285)&gt;0,INDEX(Profils!$Z$5:$Z$34,$AE285)&lt;=$AH285),ROUND(INDEX(Profils!$K$5:$K$34,$AE285)*Paramètres!$E$27*$AG285*$AJ285,Paramètres!$F$27),0)</f>
        <v>0</v>
      </c>
      <c r="R285" s="20" t="n">
        <f aca="false" t="array" ref="R285:R285">IF(AND(INDEX(Profils!$L$5:$L$34,$AE285)&gt;0,INDEX(Profils!$AA$5:$AA$34,$AE285)&lt;=$AH285),ROUND(INDEX(Profils!$L$5:$L$34,$AE285)*Paramètres!$E$28*$AG285*$AJ285,Paramètres!$F$28),0)</f>
        <v>0</v>
      </c>
      <c r="S285" s="20" t="n">
        <f aca="false" t="array" ref="S285:S285">IF(AND(INDEX(Profils!$M$5:$M$34,$AE285)&gt;0,INDEX(Profils!$AB$5:$AB$34,$AE285)&lt;=$AH285),ROUND(INDEX(Profils!$M$5:$M$34,$AE285)*Paramètres!$E$29*$AG285*$AJ285,Paramètres!$F$29),0)</f>
        <v>0</v>
      </c>
      <c r="T285" s="20" t="n">
        <f aca="false" t="array" ref="T285:T285">IF(AND(INDEX(Profils!$N$5:$N$34,$AE285)&gt;0,INDEX(Profils!$AC$5:$AC$34,$AE285)&lt;=$AH285),ROUND(INDEX(Profils!$N$5:$N$34,$AE285)*Paramètres!$E$30*$AG285*$AJ285,Paramètres!$F$30),0)</f>
        <v>0</v>
      </c>
      <c r="U285" s="19" t="n">
        <f aca="false" t="array" ref="U285:U285">IF(AND(INDEX(Profils!$O$5:$O$34,$AE285)&gt;0,INDEX(Profils!$AD$5:$AD$34,$AE285)&lt;=$AH285),ROUND(INDEX(Profils!$O$5:$O$34,$AE285)*Paramètres!$E$31*$AG285*$AJ285,Paramètres!$F$31),0)</f>
        <v>2</v>
      </c>
      <c r="V285" s="20" t="n">
        <f aca="false" t="array" ref="V285:V285">IF(AND(INDEX(Profils!$P$5:$P$34,$AE285)&gt;0,INDEX(Profils!$AE$5:$AE$34,$AE285)&lt;=$AH285),ROUND(INDEX(Profils!$P$5:$P$34,$AE285)*Paramètres!$E$32*$AG285*$AJ285,Paramètres!$F$32),0)</f>
        <v>0</v>
      </c>
      <c r="W285" s="20" t="n">
        <f aca="false" t="array" ref="W285:W285">IF(AND(INDEX(Profils!$Q$5:$Q$34,$AE285)&gt;0,INDEX(Profils!$AF$5:$AF$34,$AE285)&lt;=$AH285),ROUND(INDEX(Profils!$Q$5:$Q$34,$AE285)*Paramètres!$E$33*$AG285*$AJ285,Paramètres!$F$33),0)</f>
        <v>0</v>
      </c>
      <c r="X285" s="20" t="n">
        <f aca="false" t="array" ref="X285:X285">IF(AND(INDEX(Profils!$R$5:$R$34,$AE285)&gt;0,INDEX(Profils!$AG$5:$AG$34,$AE285)&lt;=$AH285),ROUND(INDEX(Profils!$R$5:$R$34,$AE285)*Paramètres!$E$34*$AG285*$AJ285,Paramètres!$F$34),0)</f>
        <v>0</v>
      </c>
      <c r="Y285" s="20" t="n">
        <f aca="false" t="array" ref="Y285:Y285">IF(AND(INDEX(Profils!$S$5:$S$34,$AE285)&gt;0,INDEX(Profils!$AH$5:$AH$34,$AE285)&lt;=$AH285),ROUND(INDEX(Profils!$S$5:$S$34,$AE285)*Paramètres!$E$35*$AG285*$AJ285,Paramètres!$F$35),0)</f>
        <v>0</v>
      </c>
      <c r="Z285" s="21" t="n">
        <f aca="false">ROUND(L285/Paramètres!$E$22+M285/Paramètres!$E$23+N285/Paramètres!$E$24+O285/Paramètres!$E$25+P285/Paramètres!$E$26+Q285/Paramètres!$E$27+R285/Paramètres!$E$28+S285/Paramètres!$E$29+T285/Paramètres!$E$30+U285/Paramètres!$E$31+V285/Paramètres!$E$32+W285/Paramètres!$E$33+X285/Paramètres!$E$34+Y285/Paramètres!$E$35,1)</f>
        <v>0.2</v>
      </c>
      <c r="AA285" s="22" t="s">
        <v>109</v>
      </c>
      <c r="AB285" s="22" t="s">
        <v>109</v>
      </c>
      <c r="AC285" s="15" t="str">
        <f aca="false">$E285</f>
        <v>bois</v>
      </c>
      <c r="AD285" s="16" t="n">
        <f aca="false" t="array" ref="AD285:AD285">IF($I285&gt;=$AI285,"Max",ROUND(Paramètres!$B$40*($I285+1)^Paramètres!$B$41*INDEX(Paramètres!$H$6:$H$12,$AF285),0))</f>
        <v>3</v>
      </c>
      <c r="AE285" s="23" t="n">
        <f aca="false">MATCH($B285&amp;"|"&amp;$C285,Profils!$A$5:$A$34,0)</f>
        <v>10</v>
      </c>
      <c r="AF285" s="23" t="n">
        <v>1</v>
      </c>
      <c r="AG285" s="24" t="n">
        <f aca="false" t="array" ref="AG285:AG285">INDEX(Paramètres!$C$6:$C$12,$AF285)</f>
        <v>1</v>
      </c>
      <c r="AH285" s="23" t="n">
        <f aca="false" t="array" ref="AH285:AH285">INDEX(Paramètres!$D$6:$D$12,$AF285)</f>
        <v>2</v>
      </c>
      <c r="AI285" s="23" t="n">
        <f aca="false" t="array" ref="AI285:AI285">INDEX(Matériaux!$C$16:$C$20,$D285)</f>
        <v>19</v>
      </c>
      <c r="AJ285" s="25" t="n">
        <f aca="false">Paramètres!$B$16+(1-Paramètres!$B$16)*(($J285-Paramètres!$B$14)/(Paramètres!$B$15-Paramètres!$B$14))^Paramètres!$B$17</f>
        <v>0.05</v>
      </c>
    </row>
    <row r="286" customFormat="false" ht="15.75" hidden="false" customHeight="true" outlineLevel="0" collapsed="false">
      <c r="A286" s="14" t="s">
        <v>402</v>
      </c>
      <c r="B286" s="15" t="s">
        <v>27</v>
      </c>
      <c r="C286" s="15" t="s">
        <v>401</v>
      </c>
      <c r="D286" s="16" t="n">
        <v>1</v>
      </c>
      <c r="E286" s="15" t="str">
        <f aca="false" t="array" ref="E286:E286">INDEX(Matériaux!$B$5:$F$12,MATCH(INDEX(Profils!$E$5:$E$34,$AE286),Matériaux!$A$5:$A$12,0),$D286)</f>
        <v>bois</v>
      </c>
      <c r="F286" s="26" t="s">
        <v>111</v>
      </c>
      <c r="G286" s="10" t="str">
        <f aca="false" t="array" ref="G286:G286">INDEX(Profils!$D$5:$D$34,$AE286)&amp;" en "&amp;$E286</f>
        <v>Bouclier en bois</v>
      </c>
      <c r="H286" s="16" t="n">
        <f aca="false" t="array" ref="H286:H286">INDEX(Matériaux!$B$16:$B$20,$D286)</f>
        <v>1</v>
      </c>
      <c r="I286" s="16" t="n">
        <f aca="false">IF(ISNUMBER($C$3),MIN(MAX(0,ROUND($C$3,0)),$AI286),$AI286)</f>
        <v>0</v>
      </c>
      <c r="J286" s="18" t="n">
        <f aca="false">$H286+$I286</f>
        <v>1</v>
      </c>
      <c r="K286" s="15" t="s">
        <v>109</v>
      </c>
      <c r="L286" s="19" t="n">
        <f aca="false" t="array" ref="L286:L286">IF(AND(INDEX(Profils!$F$5:$F$34,$AE286)&gt;0,INDEX(Profils!$U$5:$U$34,$AE286)&lt;=$AH286),ROUND(INDEX(Profils!$F$5:$F$34,$AE286)*Paramètres!$E$22*$AG286*$AJ286,Paramètres!$F$22),0)</f>
        <v>2</v>
      </c>
      <c r="M286" s="19" t="n">
        <f aca="false" t="array" ref="M286:M286">IF(AND(INDEX(Profils!$G$5:$G$34,$AE286)&gt;0,INDEX(Profils!$V$5:$V$34,$AE286)&lt;=$AH286),ROUND(INDEX(Profils!$G$5:$G$34,$AE286)*Paramètres!$E$23*$AG286*$AJ286,Paramètres!$F$23),0)</f>
        <v>0</v>
      </c>
      <c r="N286" s="19" t="n">
        <f aca="false" t="array" ref="N286:N286">IF(AND(INDEX(Profils!$H$5:$H$34,$AE286)&gt;0,INDEX(Profils!$W$5:$W$34,$AE286)&lt;=$AH286),ROUND(INDEX(Profils!$H$5:$H$34,$AE286)*Paramètres!$E$24*$AG286*$AJ286,Paramètres!$F$24),0)</f>
        <v>2</v>
      </c>
      <c r="O286" s="19" t="n">
        <f aca="false" t="array" ref="O286:O286">IF(AND(INDEX(Profils!$I$5:$I$34,$AE286)&gt;0,INDEX(Profils!$X$5:$X$34,$AE286)&lt;=$AH286),ROUND(INDEX(Profils!$I$5:$I$34,$AE286)*Paramètres!$E$25*$AG286*$AJ286,Paramètres!$F$25),0)</f>
        <v>0</v>
      </c>
      <c r="P286" s="19" t="n">
        <f aca="false" t="array" ref="P286:P286">IF(AND(INDEX(Profils!$J$5:$J$34,$AE286)&gt;0,INDEX(Profils!$Y$5:$Y$34,$AE286)&lt;=$AH286),ROUND(INDEX(Profils!$J$5:$J$34,$AE286)*Paramètres!$E$26*$AG286*$AJ286,Paramètres!$F$26),0)</f>
        <v>0</v>
      </c>
      <c r="Q286" s="19" t="n">
        <f aca="false" t="array" ref="Q286:Q286">IF(AND(INDEX(Profils!$K$5:$K$34,$AE286)&gt;0,INDEX(Profils!$Z$5:$Z$34,$AE286)&lt;=$AH286),ROUND(INDEX(Profils!$K$5:$K$34,$AE286)*Paramètres!$E$27*$AG286*$AJ286,Paramètres!$F$27),0)</f>
        <v>0</v>
      </c>
      <c r="R286" s="20" t="n">
        <f aca="false" t="array" ref="R286:R286">IF(AND(INDEX(Profils!$L$5:$L$34,$AE286)&gt;0,INDEX(Profils!$AA$5:$AA$34,$AE286)&lt;=$AH286),ROUND(INDEX(Profils!$L$5:$L$34,$AE286)*Paramètres!$E$28*$AG286*$AJ286,Paramètres!$F$28),0)</f>
        <v>0</v>
      </c>
      <c r="S286" s="20" t="n">
        <f aca="false" t="array" ref="S286:S286">IF(AND(INDEX(Profils!$M$5:$M$34,$AE286)&gt;0,INDEX(Profils!$AB$5:$AB$34,$AE286)&lt;=$AH286),ROUND(INDEX(Profils!$M$5:$M$34,$AE286)*Paramètres!$E$29*$AG286*$AJ286,Paramètres!$F$29),0)</f>
        <v>0</v>
      </c>
      <c r="T286" s="20" t="n">
        <f aca="false" t="array" ref="T286:T286">IF(AND(INDEX(Profils!$N$5:$N$34,$AE286)&gt;0,INDEX(Profils!$AC$5:$AC$34,$AE286)&lt;=$AH286),ROUND(INDEX(Profils!$N$5:$N$34,$AE286)*Paramètres!$E$30*$AG286*$AJ286,Paramètres!$F$30),0)</f>
        <v>0</v>
      </c>
      <c r="U286" s="19" t="n">
        <f aca="false" t="array" ref="U286:U286">IF(AND(INDEX(Profils!$O$5:$O$34,$AE286)&gt;0,INDEX(Profils!$AD$5:$AD$34,$AE286)&lt;=$AH286),ROUND(INDEX(Profils!$O$5:$O$34,$AE286)*Paramètres!$E$31*$AG286*$AJ286,Paramètres!$F$31),0)</f>
        <v>3</v>
      </c>
      <c r="V286" s="20" t="n">
        <f aca="false" t="array" ref="V286:V286">IF(AND(INDEX(Profils!$P$5:$P$34,$AE286)&gt;0,INDEX(Profils!$AE$5:$AE$34,$AE286)&lt;=$AH286),ROUND(INDEX(Profils!$P$5:$P$34,$AE286)*Paramètres!$E$32*$AG286*$AJ286,Paramètres!$F$32),0)</f>
        <v>0</v>
      </c>
      <c r="W286" s="20" t="n">
        <f aca="false" t="array" ref="W286:W286">IF(AND(INDEX(Profils!$Q$5:$Q$34,$AE286)&gt;0,INDEX(Profils!$AF$5:$AF$34,$AE286)&lt;=$AH286),ROUND(INDEX(Profils!$Q$5:$Q$34,$AE286)*Paramètres!$E$33*$AG286*$AJ286,Paramètres!$F$33),0)</f>
        <v>0</v>
      </c>
      <c r="X286" s="20" t="n">
        <f aca="false" t="array" ref="X286:X286">IF(AND(INDEX(Profils!$R$5:$R$34,$AE286)&gt;0,INDEX(Profils!$AG$5:$AG$34,$AE286)&lt;=$AH286),ROUND(INDEX(Profils!$R$5:$R$34,$AE286)*Paramètres!$E$34*$AG286*$AJ286,Paramètres!$F$34),0)</f>
        <v>0</v>
      </c>
      <c r="Y286" s="20" t="n">
        <f aca="false" t="array" ref="Y286:Y286">IF(AND(INDEX(Profils!$S$5:$S$34,$AE286)&gt;0,INDEX(Profils!$AH$5:$AH$34,$AE286)&lt;=$AH286),ROUND(INDEX(Profils!$S$5:$S$34,$AE286)*Paramètres!$E$35*$AG286*$AJ286,Paramètres!$F$35),0)</f>
        <v>0</v>
      </c>
      <c r="Z286" s="21" t="n">
        <f aca="false">ROUND(L286/Paramètres!$E$22+M286/Paramètres!$E$23+N286/Paramètres!$E$24+O286/Paramètres!$E$25+P286/Paramètres!$E$26+Q286/Paramètres!$E$27+R286/Paramètres!$E$28+S286/Paramètres!$E$29+T286/Paramètres!$E$30+U286/Paramètres!$E$31+V286/Paramètres!$E$32+W286/Paramètres!$E$33+X286/Paramètres!$E$34+Y286/Paramètres!$E$35,1)</f>
        <v>0.4</v>
      </c>
      <c r="AA286" s="22" t="s">
        <v>109</v>
      </c>
      <c r="AB286" s="22" t="s">
        <v>109</v>
      </c>
      <c r="AC286" s="15" t="str">
        <f aca="false">$E286</f>
        <v>bois</v>
      </c>
      <c r="AD286" s="16" t="n">
        <f aca="false" t="array" ref="AD286:AD286">IF($I286&gt;=$AI286,"Max",ROUND(Paramètres!$B$40*($I286+1)^Paramètres!$B$41*INDEX(Paramètres!$H$6:$H$12,$AF286),0))</f>
        <v>4</v>
      </c>
      <c r="AE286" s="23" t="n">
        <f aca="false">MATCH($B286&amp;"|"&amp;$C286,Profils!$A$5:$A$34,0)</f>
        <v>10</v>
      </c>
      <c r="AF286" s="23" t="n">
        <v>2</v>
      </c>
      <c r="AG286" s="24" t="n">
        <f aca="false" t="array" ref="AG286:AG286">INDEX(Paramètres!$C$6:$C$12,$AF286)</f>
        <v>1.2</v>
      </c>
      <c r="AH286" s="23" t="n">
        <f aca="false" t="array" ref="AH286:AH286">INDEX(Paramètres!$D$6:$D$12,$AF286)</f>
        <v>3</v>
      </c>
      <c r="AI286" s="23" t="n">
        <f aca="false" t="array" ref="AI286:AI286">INDEX(Matériaux!$C$16:$C$20,$D286)</f>
        <v>19</v>
      </c>
      <c r="AJ286" s="25" t="n">
        <f aca="false">Paramètres!$B$16+(1-Paramètres!$B$16)*(($J286-Paramètres!$B$14)/(Paramètres!$B$15-Paramètres!$B$14))^Paramètres!$B$17</f>
        <v>0.05</v>
      </c>
    </row>
    <row r="287" customFormat="false" ht="15.75" hidden="false" customHeight="true" outlineLevel="0" collapsed="false">
      <c r="A287" s="14" t="s">
        <v>403</v>
      </c>
      <c r="B287" s="15" t="s">
        <v>27</v>
      </c>
      <c r="C287" s="15" t="s">
        <v>401</v>
      </c>
      <c r="D287" s="16" t="n">
        <v>1</v>
      </c>
      <c r="E287" s="15" t="str">
        <f aca="false" t="array" ref="E287:E287">INDEX(Matériaux!$B$5:$F$12,MATCH(INDEX(Profils!$E$5:$E$34,$AE287),Matériaux!$A$5:$A$12,0),$D287)</f>
        <v>bois</v>
      </c>
      <c r="F287" s="27" t="s">
        <v>113</v>
      </c>
      <c r="G287" s="10" t="str">
        <f aca="false" t="array" ref="G287:G287">INDEX(Profils!$D$5:$D$34,$AE287)&amp;" en "&amp;$E287</f>
        <v>Bouclier en bois</v>
      </c>
      <c r="H287" s="16" t="n">
        <f aca="false" t="array" ref="H287:H287">INDEX(Matériaux!$B$16:$B$20,$D287)</f>
        <v>1</v>
      </c>
      <c r="I287" s="16" t="n">
        <f aca="false">IF(ISNUMBER($C$3),MIN(MAX(0,ROUND($C$3,0)),$AI287),$AI287)</f>
        <v>0</v>
      </c>
      <c r="J287" s="18" t="n">
        <f aca="false">$H287+$I287</f>
        <v>1</v>
      </c>
      <c r="K287" s="15" t="s">
        <v>109</v>
      </c>
      <c r="L287" s="19" t="n">
        <f aca="false" t="array" ref="L287:L287">IF(AND(INDEX(Profils!$F$5:$F$34,$AE287)&gt;0,INDEX(Profils!$U$5:$U$34,$AE287)&lt;=$AH287),ROUND(INDEX(Profils!$F$5:$F$34,$AE287)*Paramètres!$E$22*$AG287*$AJ287,Paramètres!$F$22),0)</f>
        <v>3</v>
      </c>
      <c r="M287" s="19" t="n">
        <f aca="false" t="array" ref="M287:M287">IF(AND(INDEX(Profils!$G$5:$G$34,$AE287)&gt;0,INDEX(Profils!$V$5:$V$34,$AE287)&lt;=$AH287),ROUND(INDEX(Profils!$G$5:$G$34,$AE287)*Paramètres!$E$23*$AG287*$AJ287,Paramètres!$F$23),0)</f>
        <v>0</v>
      </c>
      <c r="N287" s="19" t="n">
        <f aca="false" t="array" ref="N287:N287">IF(AND(INDEX(Profils!$H$5:$H$34,$AE287)&gt;0,INDEX(Profils!$W$5:$W$34,$AE287)&lt;=$AH287),ROUND(INDEX(Profils!$H$5:$H$34,$AE287)*Paramètres!$E$24*$AG287*$AJ287,Paramètres!$F$24),0)</f>
        <v>3</v>
      </c>
      <c r="O287" s="19" t="n">
        <f aca="false" t="array" ref="O287:O287">IF(AND(INDEX(Profils!$I$5:$I$34,$AE287)&gt;0,INDEX(Profils!$X$5:$X$34,$AE287)&lt;=$AH287),ROUND(INDEX(Profils!$I$5:$I$34,$AE287)*Paramètres!$E$25*$AG287*$AJ287,Paramètres!$F$25),0)</f>
        <v>0</v>
      </c>
      <c r="P287" s="19" t="n">
        <f aca="false" t="array" ref="P287:P287">IF(AND(INDEX(Profils!$J$5:$J$34,$AE287)&gt;0,INDEX(Profils!$Y$5:$Y$34,$AE287)&lt;=$AH287),ROUND(INDEX(Profils!$J$5:$J$34,$AE287)*Paramètres!$E$26*$AG287*$AJ287,Paramètres!$F$26),0)</f>
        <v>0</v>
      </c>
      <c r="Q287" s="19" t="n">
        <f aca="false" t="array" ref="Q287:Q287">IF(AND(INDEX(Profils!$K$5:$K$34,$AE287)&gt;0,INDEX(Profils!$Z$5:$Z$34,$AE287)&lt;=$AH287),ROUND(INDEX(Profils!$K$5:$K$34,$AE287)*Paramètres!$E$27*$AG287*$AJ287,Paramètres!$F$27),0)</f>
        <v>0</v>
      </c>
      <c r="R287" s="20" t="n">
        <f aca="false" t="array" ref="R287:R287">IF(AND(INDEX(Profils!$L$5:$L$34,$AE287)&gt;0,INDEX(Profils!$AA$5:$AA$34,$AE287)&lt;=$AH287),ROUND(INDEX(Profils!$L$5:$L$34,$AE287)*Paramètres!$E$28*$AG287*$AJ287,Paramètres!$F$28),0)</f>
        <v>0</v>
      </c>
      <c r="S287" s="20" t="n">
        <f aca="false" t="array" ref="S287:S287">IF(AND(INDEX(Profils!$M$5:$M$34,$AE287)&gt;0,INDEX(Profils!$AB$5:$AB$34,$AE287)&lt;=$AH287),ROUND(INDEX(Profils!$M$5:$M$34,$AE287)*Paramètres!$E$29*$AG287*$AJ287,Paramètres!$F$29),0)</f>
        <v>0</v>
      </c>
      <c r="T287" s="20" t="n">
        <f aca="false" t="array" ref="T287:T287">IF(AND(INDEX(Profils!$N$5:$N$34,$AE287)&gt;0,INDEX(Profils!$AC$5:$AC$34,$AE287)&lt;=$AH287),ROUND(INDEX(Profils!$N$5:$N$34,$AE287)*Paramètres!$E$30*$AG287*$AJ287,Paramètres!$F$30),0)</f>
        <v>0</v>
      </c>
      <c r="U287" s="19" t="n">
        <f aca="false" t="array" ref="U287:U287">IF(AND(INDEX(Profils!$O$5:$O$34,$AE287)&gt;0,INDEX(Profils!$AD$5:$AD$34,$AE287)&lt;=$AH287),ROUND(INDEX(Profils!$O$5:$O$34,$AE287)*Paramètres!$E$31*$AG287*$AJ287,Paramètres!$F$31),0)</f>
        <v>3</v>
      </c>
      <c r="V287" s="20" t="n">
        <f aca="false" t="array" ref="V287:V287">IF(AND(INDEX(Profils!$P$5:$P$34,$AE287)&gt;0,INDEX(Profils!$AE$5:$AE$34,$AE287)&lt;=$AH287),ROUND(INDEX(Profils!$P$5:$P$34,$AE287)*Paramètres!$E$32*$AG287*$AJ287,Paramètres!$F$32),0)</f>
        <v>0</v>
      </c>
      <c r="W287" s="20" t="n">
        <f aca="false" t="array" ref="W287:W287">IF(AND(INDEX(Profils!$Q$5:$Q$34,$AE287)&gt;0,INDEX(Profils!$AF$5:$AF$34,$AE287)&lt;=$AH287),ROUND(INDEX(Profils!$Q$5:$Q$34,$AE287)*Paramètres!$E$33*$AG287*$AJ287,Paramètres!$F$33),0)</f>
        <v>0.001</v>
      </c>
      <c r="X287" s="20" t="n">
        <f aca="false" t="array" ref="X287:X287">IF(AND(INDEX(Profils!$R$5:$R$34,$AE287)&gt;0,INDEX(Profils!$AG$5:$AG$34,$AE287)&lt;=$AH287),ROUND(INDEX(Profils!$R$5:$R$34,$AE287)*Paramètres!$E$34*$AG287*$AJ287,Paramètres!$F$34),0)</f>
        <v>0</v>
      </c>
      <c r="Y287" s="20" t="n">
        <f aca="false" t="array" ref="Y287:Y287">IF(AND(INDEX(Profils!$S$5:$S$34,$AE287)&gt;0,INDEX(Profils!$AH$5:$AH$34,$AE287)&lt;=$AH287),ROUND(INDEX(Profils!$S$5:$S$34,$AE287)*Paramètres!$E$35*$AG287*$AJ287,Paramètres!$F$35),0)</f>
        <v>0</v>
      </c>
      <c r="Z287" s="21" t="n">
        <f aca="false">ROUND(L287/Paramètres!$E$22+M287/Paramètres!$E$23+N287/Paramètres!$E$24+O287/Paramètres!$E$25+P287/Paramètres!$E$26+Q287/Paramètres!$E$27+R287/Paramètres!$E$28+S287/Paramètres!$E$29+T287/Paramètres!$E$30+U287/Paramètres!$E$31+V287/Paramètres!$E$32+W287/Paramètres!$E$33+X287/Paramètres!$E$34+Y287/Paramètres!$E$35,1)</f>
        <v>0.5</v>
      </c>
      <c r="AA287" s="22" t="s">
        <v>109</v>
      </c>
      <c r="AB287" s="22" t="s">
        <v>109</v>
      </c>
      <c r="AC287" s="15" t="str">
        <f aca="false">$E287</f>
        <v>bois</v>
      </c>
      <c r="AD287" s="16" t="n">
        <f aca="false" t="array" ref="AD287:AD287">IF($I287&gt;=$AI287,"Max",ROUND(Paramètres!$B$40*($I287+1)^Paramètres!$B$41*INDEX(Paramètres!$H$6:$H$12,$AF287),0))</f>
        <v>4</v>
      </c>
      <c r="AE287" s="23" t="n">
        <f aca="false">MATCH($B287&amp;"|"&amp;$C287,Profils!$A$5:$A$34,0)</f>
        <v>10</v>
      </c>
      <c r="AF287" s="23" t="n">
        <v>3</v>
      </c>
      <c r="AG287" s="24" t="n">
        <f aca="false" t="array" ref="AG287:AG287">INDEX(Paramètres!$C$6:$C$12,$AF287)</f>
        <v>1.45</v>
      </c>
      <c r="AH287" s="23" t="n">
        <f aca="false" t="array" ref="AH287:AH287">INDEX(Paramètres!$D$6:$D$12,$AF287)</f>
        <v>4</v>
      </c>
      <c r="AI287" s="23" t="n">
        <f aca="false" t="array" ref="AI287:AI287">INDEX(Matériaux!$C$16:$C$20,$D287)</f>
        <v>19</v>
      </c>
      <c r="AJ287" s="25" t="n">
        <f aca="false">Paramètres!$B$16+(1-Paramètres!$B$16)*(($J287-Paramètres!$B$14)/(Paramètres!$B$15-Paramètres!$B$14))^Paramètres!$B$17</f>
        <v>0.05</v>
      </c>
    </row>
    <row r="288" customFormat="false" ht="15.75" hidden="false" customHeight="true" outlineLevel="0" collapsed="false">
      <c r="A288" s="14" t="s">
        <v>404</v>
      </c>
      <c r="B288" s="15" t="s">
        <v>27</v>
      </c>
      <c r="C288" s="15" t="s">
        <v>401</v>
      </c>
      <c r="D288" s="16" t="n">
        <v>1</v>
      </c>
      <c r="E288" s="15" t="str">
        <f aca="false" t="array" ref="E288:E288">INDEX(Matériaux!$B$5:$F$12,MATCH(INDEX(Profils!$E$5:$E$34,$AE288),Matériaux!$A$5:$A$12,0),$D288)</f>
        <v>bois</v>
      </c>
      <c r="F288" s="28" t="s">
        <v>115</v>
      </c>
      <c r="G288" s="10" t="str">
        <f aca="false" t="array" ref="G288:G288">INDEX(Profils!$D$5:$D$34,$AE288)&amp;" en "&amp;$E288</f>
        <v>Bouclier en bois</v>
      </c>
      <c r="H288" s="16" t="n">
        <f aca="false" t="array" ref="H288:H288">INDEX(Matériaux!$B$16:$B$20,$D288)</f>
        <v>1</v>
      </c>
      <c r="I288" s="16" t="n">
        <f aca="false">IF(ISNUMBER($C$3),MIN(MAX(0,ROUND($C$3,0)),$AI288),$AI288)</f>
        <v>0</v>
      </c>
      <c r="J288" s="18" t="n">
        <f aca="false">$H288+$I288</f>
        <v>1</v>
      </c>
      <c r="K288" s="15" t="s">
        <v>109</v>
      </c>
      <c r="L288" s="19" t="n">
        <f aca="false" t="array" ref="L288:L288">IF(AND(INDEX(Profils!$F$5:$F$34,$AE288)&gt;0,INDEX(Profils!$U$5:$U$34,$AE288)&lt;=$AH288),ROUND(INDEX(Profils!$F$5:$F$34,$AE288)*Paramètres!$E$22*$AG288*$AJ288,Paramètres!$F$22),0)</f>
        <v>4</v>
      </c>
      <c r="M288" s="19" t="n">
        <f aca="false" t="array" ref="M288:M288">IF(AND(INDEX(Profils!$G$5:$G$34,$AE288)&gt;0,INDEX(Profils!$V$5:$V$34,$AE288)&lt;=$AH288),ROUND(INDEX(Profils!$G$5:$G$34,$AE288)*Paramètres!$E$23*$AG288*$AJ288,Paramètres!$F$23),0)</f>
        <v>0</v>
      </c>
      <c r="N288" s="19" t="n">
        <f aca="false" t="array" ref="N288:N288">IF(AND(INDEX(Profils!$H$5:$H$34,$AE288)&gt;0,INDEX(Profils!$W$5:$W$34,$AE288)&lt;=$AH288),ROUND(INDEX(Profils!$H$5:$H$34,$AE288)*Paramètres!$E$24*$AG288*$AJ288,Paramètres!$F$24),0)</f>
        <v>3</v>
      </c>
      <c r="O288" s="19" t="n">
        <f aca="false" t="array" ref="O288:O288">IF(AND(INDEX(Profils!$I$5:$I$34,$AE288)&gt;0,INDEX(Profils!$X$5:$X$34,$AE288)&lt;=$AH288),ROUND(INDEX(Profils!$I$5:$I$34,$AE288)*Paramètres!$E$25*$AG288*$AJ288,Paramètres!$F$25),0)</f>
        <v>0</v>
      </c>
      <c r="P288" s="19" t="n">
        <f aca="false" t="array" ref="P288:P288">IF(AND(INDEX(Profils!$J$5:$J$34,$AE288)&gt;0,INDEX(Profils!$Y$5:$Y$34,$AE288)&lt;=$AH288),ROUND(INDEX(Profils!$J$5:$J$34,$AE288)*Paramètres!$E$26*$AG288*$AJ288,Paramètres!$F$26),0)</f>
        <v>0</v>
      </c>
      <c r="Q288" s="19" t="n">
        <f aca="false" t="array" ref="Q288:Q288">IF(AND(INDEX(Profils!$K$5:$K$34,$AE288)&gt;0,INDEX(Profils!$Z$5:$Z$34,$AE288)&lt;=$AH288),ROUND(INDEX(Profils!$K$5:$K$34,$AE288)*Paramètres!$E$27*$AG288*$AJ288,Paramètres!$F$27),0)</f>
        <v>0</v>
      </c>
      <c r="R288" s="20" t="n">
        <f aca="false" t="array" ref="R288:R288">IF(AND(INDEX(Profils!$L$5:$L$34,$AE288)&gt;0,INDEX(Profils!$AA$5:$AA$34,$AE288)&lt;=$AH288),ROUND(INDEX(Profils!$L$5:$L$34,$AE288)*Paramètres!$E$28*$AG288*$AJ288,Paramètres!$F$28),0)</f>
        <v>0</v>
      </c>
      <c r="S288" s="20" t="n">
        <f aca="false" t="array" ref="S288:S288">IF(AND(INDEX(Profils!$M$5:$M$34,$AE288)&gt;0,INDEX(Profils!$AB$5:$AB$34,$AE288)&lt;=$AH288),ROUND(INDEX(Profils!$M$5:$M$34,$AE288)*Paramètres!$E$29*$AG288*$AJ288,Paramètres!$F$29),0)</f>
        <v>0</v>
      </c>
      <c r="T288" s="20" t="n">
        <f aca="false" t="array" ref="T288:T288">IF(AND(INDEX(Profils!$N$5:$N$34,$AE288)&gt;0,INDEX(Profils!$AC$5:$AC$34,$AE288)&lt;=$AH288),ROUND(INDEX(Profils!$N$5:$N$34,$AE288)*Paramètres!$E$30*$AG288*$AJ288,Paramètres!$F$30),0)</f>
        <v>0</v>
      </c>
      <c r="U288" s="19" t="n">
        <f aca="false" t="array" ref="U288:U288">IF(AND(INDEX(Profils!$O$5:$O$34,$AE288)&gt;0,INDEX(Profils!$AD$5:$AD$34,$AE288)&lt;=$AH288),ROUND(INDEX(Profils!$O$5:$O$34,$AE288)*Paramètres!$E$31*$AG288*$AJ288,Paramètres!$F$31),0)</f>
        <v>4</v>
      </c>
      <c r="V288" s="20" t="n">
        <f aca="false" t="array" ref="V288:V288">IF(AND(INDEX(Profils!$P$5:$P$34,$AE288)&gt;0,INDEX(Profils!$AE$5:$AE$34,$AE288)&lt;=$AH288),ROUND(INDEX(Profils!$P$5:$P$34,$AE288)*Paramètres!$E$32*$AG288*$AJ288,Paramètres!$F$32),0)</f>
        <v>0</v>
      </c>
      <c r="W288" s="20" t="n">
        <f aca="false" t="array" ref="W288:W288">IF(AND(INDEX(Profils!$Q$5:$Q$34,$AE288)&gt;0,INDEX(Profils!$AF$5:$AF$34,$AE288)&lt;=$AH288),ROUND(INDEX(Profils!$Q$5:$Q$34,$AE288)*Paramètres!$E$33*$AG288*$AJ288,Paramètres!$F$33),0)</f>
        <v>0.002</v>
      </c>
      <c r="X288" s="20" t="n">
        <f aca="false" t="array" ref="X288:X288">IF(AND(INDEX(Profils!$R$5:$R$34,$AE288)&gt;0,INDEX(Profils!$AG$5:$AG$34,$AE288)&lt;=$AH288),ROUND(INDEX(Profils!$R$5:$R$34,$AE288)*Paramètres!$E$34*$AG288*$AJ288,Paramètres!$F$34),0)</f>
        <v>0</v>
      </c>
      <c r="Y288" s="20" t="n">
        <f aca="false" t="array" ref="Y288:Y288">IF(AND(INDEX(Profils!$S$5:$S$34,$AE288)&gt;0,INDEX(Profils!$AH$5:$AH$34,$AE288)&lt;=$AH288),ROUND(INDEX(Profils!$S$5:$S$34,$AE288)*Paramètres!$E$35*$AG288*$AJ288,Paramètres!$F$35),0)</f>
        <v>0.002</v>
      </c>
      <c r="Z288" s="21" t="n">
        <f aca="false">ROUND(L288/Paramètres!$E$22+M288/Paramètres!$E$23+N288/Paramètres!$E$24+O288/Paramètres!$E$25+P288/Paramètres!$E$26+Q288/Paramètres!$E$27+R288/Paramètres!$E$28+S288/Paramètres!$E$29+T288/Paramètres!$E$30+U288/Paramètres!$E$31+V288/Paramètres!$E$32+W288/Paramètres!$E$33+X288/Paramètres!$E$34+Y288/Paramètres!$E$35,1)</f>
        <v>0.8</v>
      </c>
      <c r="AA288" s="22" t="s">
        <v>109</v>
      </c>
      <c r="AB288" s="22" t="s">
        <v>109</v>
      </c>
      <c r="AC288" s="15" t="str">
        <f aca="false">$E288</f>
        <v>bois</v>
      </c>
      <c r="AD288" s="16" t="n">
        <f aca="false" t="array" ref="AD288:AD288">IF($I288&gt;=$AI288,"Max",ROUND(Paramètres!$B$40*($I288+1)^Paramètres!$B$41*INDEX(Paramètres!$H$6:$H$12,$AF288),0))</f>
        <v>5</v>
      </c>
      <c r="AE288" s="23" t="n">
        <f aca="false">MATCH($B288&amp;"|"&amp;$C288,Profils!$A$5:$A$34,0)</f>
        <v>10</v>
      </c>
      <c r="AF288" s="23" t="n">
        <v>4</v>
      </c>
      <c r="AG288" s="24" t="n">
        <f aca="false" t="array" ref="AG288:AG288">INDEX(Paramètres!$C$6:$C$12,$AF288)</f>
        <v>1.75</v>
      </c>
      <c r="AH288" s="23" t="n">
        <f aca="false" t="array" ref="AH288:AH288">INDEX(Paramètres!$D$6:$D$12,$AF288)</f>
        <v>5</v>
      </c>
      <c r="AI288" s="23" t="n">
        <f aca="false" t="array" ref="AI288:AI288">INDEX(Matériaux!$C$16:$C$20,$D288)</f>
        <v>19</v>
      </c>
      <c r="AJ288" s="25" t="n">
        <f aca="false">Paramètres!$B$16+(1-Paramètres!$B$16)*(($J288-Paramètres!$B$14)/(Paramètres!$B$15-Paramètres!$B$14))^Paramètres!$B$17</f>
        <v>0.05</v>
      </c>
    </row>
    <row r="289" customFormat="false" ht="15.75" hidden="false" customHeight="true" outlineLevel="0" collapsed="false">
      <c r="A289" s="14" t="s">
        <v>405</v>
      </c>
      <c r="B289" s="15" t="s">
        <v>27</v>
      </c>
      <c r="C289" s="15" t="s">
        <v>401</v>
      </c>
      <c r="D289" s="16" t="n">
        <v>1</v>
      </c>
      <c r="E289" s="15" t="str">
        <f aca="false" t="array" ref="E289:E289">INDEX(Matériaux!$B$5:$F$12,MATCH(INDEX(Profils!$E$5:$E$34,$AE289),Matériaux!$A$5:$A$12,0),$D289)</f>
        <v>bois</v>
      </c>
      <c r="F289" s="29" t="s">
        <v>117</v>
      </c>
      <c r="G289" s="10" t="str">
        <f aca="false" t="array" ref="G289:G289">INDEX(Profils!$D$5:$D$34,$AE289)&amp;" en "&amp;$E289</f>
        <v>Bouclier en bois</v>
      </c>
      <c r="H289" s="16" t="n">
        <f aca="false" t="array" ref="H289:H289">INDEX(Matériaux!$B$16:$B$20,$D289)</f>
        <v>1</v>
      </c>
      <c r="I289" s="16" t="n">
        <f aca="false">IF(ISNUMBER($C$3),MIN(MAX(0,ROUND($C$3,0)),$AI289),$AI289)</f>
        <v>0</v>
      </c>
      <c r="J289" s="18" t="n">
        <f aca="false">$H289+$I289</f>
        <v>1</v>
      </c>
      <c r="K289" s="15" t="s">
        <v>109</v>
      </c>
      <c r="L289" s="19" t="n">
        <f aca="false" t="array" ref="L289:L289">IF(AND(INDEX(Profils!$F$5:$F$34,$AE289)&gt;0,INDEX(Profils!$U$5:$U$34,$AE289)&lt;=$AH289),ROUND(INDEX(Profils!$F$5:$F$34,$AE289)*Paramètres!$E$22*$AG289*$AJ289,Paramètres!$F$22),0)</f>
        <v>4</v>
      </c>
      <c r="M289" s="19" t="n">
        <f aca="false" t="array" ref="M289:M289">IF(AND(INDEX(Profils!$G$5:$G$34,$AE289)&gt;0,INDEX(Profils!$V$5:$V$34,$AE289)&lt;=$AH289),ROUND(INDEX(Profils!$G$5:$G$34,$AE289)*Paramètres!$E$23*$AG289*$AJ289,Paramètres!$F$23),0)</f>
        <v>1</v>
      </c>
      <c r="N289" s="19" t="n">
        <f aca="false" t="array" ref="N289:N289">IF(AND(INDEX(Profils!$H$5:$H$34,$AE289)&gt;0,INDEX(Profils!$W$5:$W$34,$AE289)&lt;=$AH289),ROUND(INDEX(Profils!$H$5:$H$34,$AE289)*Paramètres!$E$24*$AG289*$AJ289,Paramètres!$F$24),0)</f>
        <v>4</v>
      </c>
      <c r="O289" s="19" t="n">
        <f aca="false" t="array" ref="O289:O289">IF(AND(INDEX(Profils!$I$5:$I$34,$AE289)&gt;0,INDEX(Profils!$X$5:$X$34,$AE289)&lt;=$AH289),ROUND(INDEX(Profils!$I$5:$I$34,$AE289)*Paramètres!$E$25*$AG289*$AJ289,Paramètres!$F$25),0)</f>
        <v>0</v>
      </c>
      <c r="P289" s="19" t="n">
        <f aca="false" t="array" ref="P289:P289">IF(AND(INDEX(Profils!$J$5:$J$34,$AE289)&gt;0,INDEX(Profils!$Y$5:$Y$34,$AE289)&lt;=$AH289),ROUND(INDEX(Profils!$J$5:$J$34,$AE289)*Paramètres!$E$26*$AG289*$AJ289,Paramètres!$F$26),0)</f>
        <v>0</v>
      </c>
      <c r="Q289" s="19" t="n">
        <f aca="false" t="array" ref="Q289:Q289">IF(AND(INDEX(Profils!$K$5:$K$34,$AE289)&gt;0,INDEX(Profils!$Z$5:$Z$34,$AE289)&lt;=$AH289),ROUND(INDEX(Profils!$K$5:$K$34,$AE289)*Paramètres!$E$27*$AG289*$AJ289,Paramètres!$F$27),0)</f>
        <v>0</v>
      </c>
      <c r="R289" s="20" t="n">
        <f aca="false" t="array" ref="R289:R289">IF(AND(INDEX(Profils!$L$5:$L$34,$AE289)&gt;0,INDEX(Profils!$AA$5:$AA$34,$AE289)&lt;=$AH289),ROUND(INDEX(Profils!$L$5:$L$34,$AE289)*Paramètres!$E$28*$AG289*$AJ289,Paramètres!$F$28),0)</f>
        <v>0</v>
      </c>
      <c r="S289" s="20" t="n">
        <f aca="false" t="array" ref="S289:S289">IF(AND(INDEX(Profils!$M$5:$M$34,$AE289)&gt;0,INDEX(Profils!$AB$5:$AB$34,$AE289)&lt;=$AH289),ROUND(INDEX(Profils!$M$5:$M$34,$AE289)*Paramètres!$E$29*$AG289*$AJ289,Paramètres!$F$29),0)</f>
        <v>0</v>
      </c>
      <c r="T289" s="20" t="n">
        <f aca="false" t="array" ref="T289:T289">IF(AND(INDEX(Profils!$N$5:$N$34,$AE289)&gt;0,INDEX(Profils!$AC$5:$AC$34,$AE289)&lt;=$AH289),ROUND(INDEX(Profils!$N$5:$N$34,$AE289)*Paramètres!$E$30*$AG289*$AJ289,Paramètres!$F$30),0)</f>
        <v>0</v>
      </c>
      <c r="U289" s="19" t="n">
        <f aca="false" t="array" ref="U289:U289">IF(AND(INDEX(Profils!$O$5:$O$34,$AE289)&gt;0,INDEX(Profils!$AD$5:$AD$34,$AE289)&lt;=$AH289),ROUND(INDEX(Profils!$O$5:$O$34,$AE289)*Paramètres!$E$31*$AG289*$AJ289,Paramètres!$F$31),0)</f>
        <v>5</v>
      </c>
      <c r="V289" s="20" t="n">
        <f aca="false" t="array" ref="V289:V289">IF(AND(INDEX(Profils!$P$5:$P$34,$AE289)&gt;0,INDEX(Profils!$AE$5:$AE$34,$AE289)&lt;=$AH289),ROUND(INDEX(Profils!$P$5:$P$34,$AE289)*Paramètres!$E$32*$AG289*$AJ289,Paramètres!$F$32),0)</f>
        <v>0</v>
      </c>
      <c r="W289" s="20" t="n">
        <f aca="false" t="array" ref="W289:W289">IF(AND(INDEX(Profils!$Q$5:$Q$34,$AE289)&gt;0,INDEX(Profils!$AF$5:$AF$34,$AE289)&lt;=$AH289),ROUND(INDEX(Profils!$Q$5:$Q$34,$AE289)*Paramètres!$E$33*$AG289*$AJ289,Paramètres!$F$33),0)</f>
        <v>0.002</v>
      </c>
      <c r="X289" s="20" t="n">
        <f aca="false" t="array" ref="X289:X289">IF(AND(INDEX(Profils!$R$5:$R$34,$AE289)&gt;0,INDEX(Profils!$AG$5:$AG$34,$AE289)&lt;=$AH289),ROUND(INDEX(Profils!$R$5:$R$34,$AE289)*Paramètres!$E$34*$AG289*$AJ289,Paramètres!$F$34),0)</f>
        <v>0</v>
      </c>
      <c r="Y289" s="20" t="n">
        <f aca="false" t="array" ref="Y289:Y289">IF(AND(INDEX(Profils!$S$5:$S$34,$AE289)&gt;0,INDEX(Profils!$AH$5:$AH$34,$AE289)&lt;=$AH289),ROUND(INDEX(Profils!$S$5:$S$34,$AE289)*Paramètres!$E$35*$AG289*$AJ289,Paramètres!$F$35),0)</f>
        <v>0.002</v>
      </c>
      <c r="Z289" s="21" t="n">
        <f aca="false">ROUND(L289/Paramètres!$E$22+M289/Paramètres!$E$23+N289/Paramètres!$E$24+O289/Paramètres!$E$25+P289/Paramètres!$E$26+Q289/Paramètres!$E$27+R289/Paramètres!$E$28+S289/Paramètres!$E$29+T289/Paramètres!$E$30+U289/Paramètres!$E$31+V289/Paramètres!$E$32+W289/Paramètres!$E$33+X289/Paramètres!$E$34+Y289/Paramètres!$E$35,1)</f>
        <v>1</v>
      </c>
      <c r="AA289" s="22" t="s">
        <v>109</v>
      </c>
      <c r="AB289" s="22" t="s">
        <v>109</v>
      </c>
      <c r="AC289" s="15" t="str">
        <f aca="false">$E289</f>
        <v>bois</v>
      </c>
      <c r="AD289" s="16" t="n">
        <f aca="false" t="array" ref="AD289:AD289">IF($I289&gt;=$AI289,"Max",ROUND(Paramètres!$B$40*($I289+1)^Paramètres!$B$41*INDEX(Paramètres!$H$6:$H$12,$AF289),0))</f>
        <v>6</v>
      </c>
      <c r="AE289" s="23" t="n">
        <f aca="false">MATCH($B289&amp;"|"&amp;$C289,Profils!$A$5:$A$34,0)</f>
        <v>10</v>
      </c>
      <c r="AF289" s="23" t="n">
        <v>5</v>
      </c>
      <c r="AG289" s="24" t="n">
        <f aca="false" t="array" ref="AG289:AG289">INDEX(Paramètres!$C$6:$C$12,$AF289)</f>
        <v>2.1</v>
      </c>
      <c r="AH289" s="23" t="n">
        <f aca="false" t="array" ref="AH289:AH289">INDEX(Paramètres!$D$6:$D$12,$AF289)</f>
        <v>6</v>
      </c>
      <c r="AI289" s="23" t="n">
        <f aca="false" t="array" ref="AI289:AI289">INDEX(Matériaux!$C$16:$C$20,$D289)</f>
        <v>19</v>
      </c>
      <c r="AJ289" s="25" t="n">
        <f aca="false">Paramètres!$B$16+(1-Paramètres!$B$16)*(($J289-Paramètres!$B$14)/(Paramètres!$B$15-Paramètres!$B$14))^Paramètres!$B$17</f>
        <v>0.05</v>
      </c>
    </row>
    <row r="290" customFormat="false" ht="15.75" hidden="false" customHeight="true" outlineLevel="0" collapsed="false">
      <c r="A290" s="14" t="s">
        <v>406</v>
      </c>
      <c r="B290" s="15" t="s">
        <v>27</v>
      </c>
      <c r="C290" s="15" t="s">
        <v>401</v>
      </c>
      <c r="D290" s="16" t="n">
        <v>1</v>
      </c>
      <c r="E290" s="15" t="str">
        <f aca="false" t="array" ref="E290:E290">INDEX(Matériaux!$B$5:$F$12,MATCH(INDEX(Profils!$E$5:$E$34,$AE290),Matériaux!$A$5:$A$12,0),$D290)</f>
        <v>bois</v>
      </c>
      <c r="F290" s="30" t="s">
        <v>119</v>
      </c>
      <c r="G290" s="10" t="str">
        <f aca="false" t="array" ref="G290:G290">INDEX(Profils!$D$5:$D$34,$AE290)&amp;" en "&amp;$E290</f>
        <v>Bouclier en bois</v>
      </c>
      <c r="H290" s="16" t="n">
        <f aca="false" t="array" ref="H290:H290">INDEX(Matériaux!$B$16:$B$20,$D290)</f>
        <v>1</v>
      </c>
      <c r="I290" s="16" t="n">
        <f aca="false">IF(ISNUMBER($C$3),MIN(MAX(0,ROUND($C$3,0)),$AI290),$AI290)</f>
        <v>0</v>
      </c>
      <c r="J290" s="18" t="n">
        <f aca="false">$H290+$I290</f>
        <v>1</v>
      </c>
      <c r="K290" s="15" t="s">
        <v>109</v>
      </c>
      <c r="L290" s="19" t="n">
        <f aca="false" t="array" ref="L290:L290">IF(AND(INDEX(Profils!$F$5:$F$34,$AE290)&gt;0,INDEX(Profils!$U$5:$U$34,$AE290)&lt;=$AH290),ROUND(INDEX(Profils!$F$5:$F$34,$AE290)*Paramètres!$E$22*$AG290*$AJ290,Paramètres!$F$22),0)</f>
        <v>5</v>
      </c>
      <c r="M290" s="19" t="n">
        <f aca="false" t="array" ref="M290:M290">IF(AND(INDEX(Profils!$G$5:$G$34,$AE290)&gt;0,INDEX(Profils!$V$5:$V$34,$AE290)&lt;=$AH290),ROUND(INDEX(Profils!$G$5:$G$34,$AE290)*Paramètres!$E$23*$AG290*$AJ290,Paramètres!$F$23),0)</f>
        <v>1</v>
      </c>
      <c r="N290" s="19" t="n">
        <f aca="false" t="array" ref="N290:N290">IF(AND(INDEX(Profils!$H$5:$H$34,$AE290)&gt;0,INDEX(Profils!$W$5:$W$34,$AE290)&lt;=$AH290),ROUND(INDEX(Profils!$H$5:$H$34,$AE290)*Paramètres!$E$24*$AG290*$AJ290,Paramètres!$F$24),0)</f>
        <v>4</v>
      </c>
      <c r="O290" s="19" t="n">
        <f aca="false" t="array" ref="O290:O290">IF(AND(INDEX(Profils!$I$5:$I$34,$AE290)&gt;0,INDEX(Profils!$X$5:$X$34,$AE290)&lt;=$AH290),ROUND(INDEX(Profils!$I$5:$I$34,$AE290)*Paramètres!$E$25*$AG290*$AJ290,Paramètres!$F$25),0)</f>
        <v>0</v>
      </c>
      <c r="P290" s="19" t="n">
        <f aca="false" t="array" ref="P290:P290">IF(AND(INDEX(Profils!$J$5:$J$34,$AE290)&gt;0,INDEX(Profils!$Y$5:$Y$34,$AE290)&lt;=$AH290),ROUND(INDEX(Profils!$J$5:$J$34,$AE290)*Paramètres!$E$26*$AG290*$AJ290,Paramètres!$F$26),0)</f>
        <v>0</v>
      </c>
      <c r="Q290" s="19" t="n">
        <f aca="false" t="array" ref="Q290:Q290">IF(AND(INDEX(Profils!$K$5:$K$34,$AE290)&gt;0,INDEX(Profils!$Z$5:$Z$34,$AE290)&lt;=$AH290),ROUND(INDEX(Profils!$K$5:$K$34,$AE290)*Paramètres!$E$27*$AG290*$AJ290,Paramètres!$F$27),0)</f>
        <v>0</v>
      </c>
      <c r="R290" s="20" t="n">
        <f aca="false" t="array" ref="R290:R290">IF(AND(INDEX(Profils!$L$5:$L$34,$AE290)&gt;0,INDEX(Profils!$AA$5:$AA$34,$AE290)&lt;=$AH290),ROUND(INDEX(Profils!$L$5:$L$34,$AE290)*Paramètres!$E$28*$AG290*$AJ290,Paramètres!$F$28),0)</f>
        <v>0.001</v>
      </c>
      <c r="S290" s="20" t="n">
        <f aca="false" t="array" ref="S290:S290">IF(AND(INDEX(Profils!$M$5:$M$34,$AE290)&gt;0,INDEX(Profils!$AB$5:$AB$34,$AE290)&lt;=$AH290),ROUND(INDEX(Profils!$M$5:$M$34,$AE290)*Paramètres!$E$29*$AG290*$AJ290,Paramètres!$F$29),0)</f>
        <v>0</v>
      </c>
      <c r="T290" s="20" t="n">
        <f aca="false" t="array" ref="T290:T290">IF(AND(INDEX(Profils!$N$5:$N$34,$AE290)&gt;0,INDEX(Profils!$AC$5:$AC$34,$AE290)&lt;=$AH290),ROUND(INDEX(Profils!$N$5:$N$34,$AE290)*Paramètres!$E$30*$AG290*$AJ290,Paramètres!$F$30),0)</f>
        <v>0</v>
      </c>
      <c r="U290" s="19" t="n">
        <f aca="false" t="array" ref="U290:U290">IF(AND(INDEX(Profils!$O$5:$O$34,$AE290)&gt;0,INDEX(Profils!$AD$5:$AD$34,$AE290)&lt;=$AH290),ROUND(INDEX(Profils!$O$5:$O$34,$AE290)*Paramètres!$E$31*$AG290*$AJ290,Paramètres!$F$31),0)</f>
        <v>5</v>
      </c>
      <c r="V290" s="20" t="n">
        <f aca="false" t="array" ref="V290:V290">IF(AND(INDEX(Profils!$P$5:$P$34,$AE290)&gt;0,INDEX(Profils!$AE$5:$AE$34,$AE290)&lt;=$AH290),ROUND(INDEX(Profils!$P$5:$P$34,$AE290)*Paramètres!$E$32*$AG290*$AJ290,Paramètres!$F$32),0)</f>
        <v>0</v>
      </c>
      <c r="W290" s="20" t="n">
        <f aca="false" t="array" ref="W290:W290">IF(AND(INDEX(Profils!$Q$5:$Q$34,$AE290)&gt;0,INDEX(Profils!$AF$5:$AF$34,$AE290)&lt;=$AH290),ROUND(INDEX(Profils!$Q$5:$Q$34,$AE290)*Paramètres!$E$33*$AG290*$AJ290,Paramètres!$F$33),0)</f>
        <v>0.002</v>
      </c>
      <c r="X290" s="20" t="n">
        <f aca="false" t="array" ref="X290:X290">IF(AND(INDEX(Profils!$R$5:$R$34,$AE290)&gt;0,INDEX(Profils!$AG$5:$AG$34,$AE290)&lt;=$AH290),ROUND(INDEX(Profils!$R$5:$R$34,$AE290)*Paramètres!$E$34*$AG290*$AJ290,Paramètres!$F$34),0)</f>
        <v>0</v>
      </c>
      <c r="Y290" s="20" t="n">
        <f aca="false" t="array" ref="Y290:Y290">IF(AND(INDEX(Profils!$S$5:$S$34,$AE290)&gt;0,INDEX(Profils!$AH$5:$AH$34,$AE290)&lt;=$AH290),ROUND(INDEX(Profils!$S$5:$S$34,$AE290)*Paramètres!$E$35*$AG290*$AJ290,Paramètres!$F$35),0)</f>
        <v>0.002</v>
      </c>
      <c r="Z290" s="21" t="n">
        <f aca="false">ROUND(L290/Paramètres!$E$22+M290/Paramètres!$E$23+N290/Paramètres!$E$24+O290/Paramètres!$E$25+P290/Paramètres!$E$26+Q290/Paramètres!$E$27+R290/Paramètres!$E$28+S290/Paramètres!$E$29+T290/Paramètres!$E$30+U290/Paramètres!$E$31+V290/Paramètres!$E$32+W290/Paramètres!$E$33+X290/Paramètres!$E$34+Y290/Paramètres!$E$35,1)</f>
        <v>1.1</v>
      </c>
      <c r="AA290" s="22" t="s">
        <v>109</v>
      </c>
      <c r="AB290" s="22" t="s">
        <v>109</v>
      </c>
      <c r="AC290" s="15" t="str">
        <f aca="false">$E290</f>
        <v>bois</v>
      </c>
      <c r="AD290" s="16" t="n">
        <f aca="false" t="array" ref="AD290:AD290">IF($I290&gt;=$AI290,"Max",ROUND(Paramètres!$B$40*($I290+1)^Paramètres!$B$41*INDEX(Paramètres!$H$6:$H$12,$AF290),0))</f>
        <v>8</v>
      </c>
      <c r="AE290" s="23" t="n">
        <f aca="false">MATCH($B290&amp;"|"&amp;$C290,Profils!$A$5:$A$34,0)</f>
        <v>10</v>
      </c>
      <c r="AF290" s="23" t="n">
        <v>6</v>
      </c>
      <c r="AG290" s="24" t="n">
        <f aca="false" t="array" ref="AG290:AG290">INDEX(Paramètres!$C$6:$C$12,$AF290)</f>
        <v>2.4</v>
      </c>
      <c r="AH290" s="23" t="n">
        <f aca="false" t="array" ref="AH290:AH290">INDEX(Paramètres!$D$6:$D$12,$AF290)</f>
        <v>7</v>
      </c>
      <c r="AI290" s="23" t="n">
        <f aca="false" t="array" ref="AI290:AI290">INDEX(Matériaux!$C$16:$C$20,$D290)</f>
        <v>19</v>
      </c>
      <c r="AJ290" s="25" t="n">
        <f aca="false">Paramètres!$B$16+(1-Paramètres!$B$16)*(($J290-Paramètres!$B$14)/(Paramètres!$B$15-Paramètres!$B$14))^Paramètres!$B$17</f>
        <v>0.05</v>
      </c>
    </row>
    <row r="291" customFormat="false" ht="15.75" hidden="false" customHeight="true" outlineLevel="0" collapsed="false">
      <c r="A291" s="14" t="s">
        <v>407</v>
      </c>
      <c r="B291" s="15" t="s">
        <v>27</v>
      </c>
      <c r="C291" s="15" t="s">
        <v>401</v>
      </c>
      <c r="D291" s="16" t="n">
        <v>2</v>
      </c>
      <c r="E291" s="15" t="str">
        <f aca="false" t="array" ref="E291:E291">INDEX(Matériaux!$B$5:$F$12,MATCH(INDEX(Profils!$E$5:$E$34,$AE291),Matériaux!$A$5:$A$12,0),$D291)</f>
        <v>fer</v>
      </c>
      <c r="F291" s="17" t="s">
        <v>108</v>
      </c>
      <c r="G291" s="10" t="str">
        <f aca="false" t="array" ref="G291:G291">INDEX(Profils!$D$5:$D$34,$AE291)&amp;" en "&amp;$E291</f>
        <v>Bouclier en fer</v>
      </c>
      <c r="H291" s="16" t="n">
        <f aca="false" t="array" ref="H291:H291">INDEX(Matériaux!$B$16:$B$20,$D291)</f>
        <v>15</v>
      </c>
      <c r="I291" s="16" t="n">
        <f aca="false">IF(ISNUMBER($C$3),MIN(MAX(0,ROUND($C$3,0)),$AI291),$AI291)</f>
        <v>0</v>
      </c>
      <c r="J291" s="18" t="n">
        <f aca="false">$H291+$I291</f>
        <v>15</v>
      </c>
      <c r="K291" s="15" t="s">
        <v>109</v>
      </c>
      <c r="L291" s="19" t="n">
        <f aca="false" t="array" ref="L291:L291">IF(AND(INDEX(Profils!$F$5:$F$34,$AE291)&gt;0,INDEX(Profils!$U$5:$U$34,$AE291)&lt;=$AH291),ROUND(INDEX(Profils!$F$5:$F$34,$AE291)*Paramètres!$E$22*$AG291*$AJ291,Paramètres!$F$22),0)</f>
        <v>0</v>
      </c>
      <c r="M291" s="19" t="n">
        <f aca="false" t="array" ref="M291:M291">IF(AND(INDEX(Profils!$G$5:$G$34,$AE291)&gt;0,INDEX(Profils!$V$5:$V$34,$AE291)&lt;=$AH291),ROUND(INDEX(Profils!$G$5:$G$34,$AE291)*Paramètres!$E$23*$AG291*$AJ291,Paramètres!$F$23),0)</f>
        <v>0</v>
      </c>
      <c r="N291" s="19" t="n">
        <f aca="false" t="array" ref="N291:N291">IF(AND(INDEX(Profils!$H$5:$H$34,$AE291)&gt;0,INDEX(Profils!$W$5:$W$34,$AE291)&lt;=$AH291),ROUND(INDEX(Profils!$H$5:$H$34,$AE291)*Paramètres!$E$24*$AG291*$AJ291,Paramètres!$F$24),0)</f>
        <v>5</v>
      </c>
      <c r="O291" s="19" t="n">
        <f aca="false" t="array" ref="O291:O291">IF(AND(INDEX(Profils!$I$5:$I$34,$AE291)&gt;0,INDEX(Profils!$X$5:$X$34,$AE291)&lt;=$AH291),ROUND(INDEX(Profils!$I$5:$I$34,$AE291)*Paramètres!$E$25*$AG291*$AJ291,Paramètres!$F$25),0)</f>
        <v>0</v>
      </c>
      <c r="P291" s="19" t="n">
        <f aca="false" t="array" ref="P291:P291">IF(AND(INDEX(Profils!$J$5:$J$34,$AE291)&gt;0,INDEX(Profils!$Y$5:$Y$34,$AE291)&lt;=$AH291),ROUND(INDEX(Profils!$J$5:$J$34,$AE291)*Paramètres!$E$26*$AG291*$AJ291,Paramètres!$F$26),0)</f>
        <v>0</v>
      </c>
      <c r="Q291" s="19" t="n">
        <f aca="false" t="array" ref="Q291:Q291">IF(AND(INDEX(Profils!$K$5:$K$34,$AE291)&gt;0,INDEX(Profils!$Z$5:$Z$34,$AE291)&lt;=$AH291),ROUND(INDEX(Profils!$K$5:$K$34,$AE291)*Paramètres!$E$27*$AG291*$AJ291,Paramètres!$F$27),0)</f>
        <v>0</v>
      </c>
      <c r="R291" s="20" t="n">
        <f aca="false" t="array" ref="R291:R291">IF(AND(INDEX(Profils!$L$5:$L$34,$AE291)&gt;0,INDEX(Profils!$AA$5:$AA$34,$AE291)&lt;=$AH291),ROUND(INDEX(Profils!$L$5:$L$34,$AE291)*Paramètres!$E$28*$AG291*$AJ291,Paramètres!$F$28),0)</f>
        <v>0</v>
      </c>
      <c r="S291" s="20" t="n">
        <f aca="false" t="array" ref="S291:S291">IF(AND(INDEX(Profils!$M$5:$M$34,$AE291)&gt;0,INDEX(Profils!$AB$5:$AB$34,$AE291)&lt;=$AH291),ROUND(INDEX(Profils!$M$5:$M$34,$AE291)*Paramètres!$E$29*$AG291*$AJ291,Paramètres!$F$29),0)</f>
        <v>0</v>
      </c>
      <c r="T291" s="20" t="n">
        <f aca="false" t="array" ref="T291:T291">IF(AND(INDEX(Profils!$N$5:$N$34,$AE291)&gt;0,INDEX(Profils!$AC$5:$AC$34,$AE291)&lt;=$AH291),ROUND(INDEX(Profils!$N$5:$N$34,$AE291)*Paramètres!$E$30*$AG291*$AJ291,Paramètres!$F$30),0)</f>
        <v>0</v>
      </c>
      <c r="U291" s="19" t="n">
        <f aca="false" t="array" ref="U291:U291">IF(AND(INDEX(Profils!$O$5:$O$34,$AE291)&gt;0,INDEX(Profils!$AD$5:$AD$34,$AE291)&lt;=$AH291),ROUND(INDEX(Profils!$O$5:$O$34,$AE291)*Paramètres!$E$31*$AG291*$AJ291,Paramètres!$F$31),0)</f>
        <v>6</v>
      </c>
      <c r="V291" s="20" t="n">
        <f aca="false" t="array" ref="V291:V291">IF(AND(INDEX(Profils!$P$5:$P$34,$AE291)&gt;0,INDEX(Profils!$AE$5:$AE$34,$AE291)&lt;=$AH291),ROUND(INDEX(Profils!$P$5:$P$34,$AE291)*Paramètres!$E$32*$AG291*$AJ291,Paramètres!$F$32),0)</f>
        <v>0</v>
      </c>
      <c r="W291" s="20" t="n">
        <f aca="false" t="array" ref="W291:W291">IF(AND(INDEX(Profils!$Q$5:$Q$34,$AE291)&gt;0,INDEX(Profils!$AF$5:$AF$34,$AE291)&lt;=$AH291),ROUND(INDEX(Profils!$Q$5:$Q$34,$AE291)*Paramètres!$E$33*$AG291*$AJ291,Paramètres!$F$33),0)</f>
        <v>0</v>
      </c>
      <c r="X291" s="20" t="n">
        <f aca="false" t="array" ref="X291:X291">IF(AND(INDEX(Profils!$R$5:$R$34,$AE291)&gt;0,INDEX(Profils!$AG$5:$AG$34,$AE291)&lt;=$AH291),ROUND(INDEX(Profils!$R$5:$R$34,$AE291)*Paramètres!$E$34*$AG291*$AJ291,Paramètres!$F$34),0)</f>
        <v>0</v>
      </c>
      <c r="Y291" s="20" t="n">
        <f aca="false" t="array" ref="Y291:Y291">IF(AND(INDEX(Profils!$S$5:$S$34,$AE291)&gt;0,INDEX(Profils!$AH$5:$AH$34,$AE291)&lt;=$AH291),ROUND(INDEX(Profils!$S$5:$S$34,$AE291)*Paramètres!$E$35*$AG291*$AJ291,Paramètres!$F$35),0)</f>
        <v>0</v>
      </c>
      <c r="Z291" s="21" t="n">
        <f aca="false">ROUND(L291/Paramètres!$E$22+M291/Paramètres!$E$23+N291/Paramètres!$E$24+O291/Paramètres!$E$25+P291/Paramètres!$E$26+Q291/Paramètres!$E$27+R291/Paramètres!$E$28+S291/Paramètres!$E$29+T291/Paramètres!$E$30+U291/Paramètres!$E$31+V291/Paramètres!$E$32+W291/Paramètres!$E$33+X291/Paramètres!$E$34+Y291/Paramètres!$E$35,1)</f>
        <v>0.6</v>
      </c>
      <c r="AA291" s="22" t="s">
        <v>109</v>
      </c>
      <c r="AB291" s="22" t="s">
        <v>109</v>
      </c>
      <c r="AC291" s="15" t="str">
        <f aca="false">$E291</f>
        <v>fer</v>
      </c>
      <c r="AD291" s="16" t="n">
        <f aca="false" t="array" ref="AD291:AD291">IF($I291&gt;=$AI291,"Max",ROUND(Paramètres!$B$40*($I291+1)^Paramètres!$B$41*INDEX(Paramètres!$H$6:$H$12,$AF291),0))</f>
        <v>3</v>
      </c>
      <c r="AE291" s="23" t="n">
        <f aca="false">MATCH($B291&amp;"|"&amp;$C291,Profils!$A$5:$A$34,0)</f>
        <v>10</v>
      </c>
      <c r="AF291" s="23" t="n">
        <v>1</v>
      </c>
      <c r="AG291" s="24" t="n">
        <f aca="false" t="array" ref="AG291:AG291">INDEX(Paramètres!$C$6:$C$12,$AF291)</f>
        <v>1</v>
      </c>
      <c r="AH291" s="23" t="n">
        <f aca="false" t="array" ref="AH291:AH291">INDEX(Paramètres!$D$6:$D$12,$AF291)</f>
        <v>2</v>
      </c>
      <c r="AI291" s="23" t="n">
        <f aca="false" t="array" ref="AI291:AI291">INDEX(Matériaux!$C$16:$C$20,$D291)</f>
        <v>20</v>
      </c>
      <c r="AJ291" s="25" t="n">
        <f aca="false">Paramètres!$B$16+(1-Paramètres!$B$16)*(($J291-Paramètres!$B$14)/(Paramètres!$B$15-Paramètres!$B$14))^Paramètres!$B$17</f>
        <v>0.140847925475674</v>
      </c>
    </row>
    <row r="292" customFormat="false" ht="15.75" hidden="false" customHeight="true" outlineLevel="0" collapsed="false">
      <c r="A292" s="14" t="s">
        <v>408</v>
      </c>
      <c r="B292" s="15" t="s">
        <v>27</v>
      </c>
      <c r="C292" s="15" t="s">
        <v>401</v>
      </c>
      <c r="D292" s="16" t="n">
        <v>2</v>
      </c>
      <c r="E292" s="15" t="str">
        <f aca="false" t="array" ref="E292:E292">INDEX(Matériaux!$B$5:$F$12,MATCH(INDEX(Profils!$E$5:$E$34,$AE292),Matériaux!$A$5:$A$12,0),$D292)</f>
        <v>fer</v>
      </c>
      <c r="F292" s="26" t="s">
        <v>111</v>
      </c>
      <c r="G292" s="10" t="str">
        <f aca="false" t="array" ref="G292:G292">INDEX(Profils!$D$5:$D$34,$AE292)&amp;" en "&amp;$E292</f>
        <v>Bouclier en fer</v>
      </c>
      <c r="H292" s="16" t="n">
        <f aca="false" t="array" ref="H292:H292">INDEX(Matériaux!$B$16:$B$20,$D292)</f>
        <v>15</v>
      </c>
      <c r="I292" s="16" t="n">
        <f aca="false">IF(ISNUMBER($C$3),MIN(MAX(0,ROUND($C$3,0)),$AI292),$AI292)</f>
        <v>0</v>
      </c>
      <c r="J292" s="18" t="n">
        <f aca="false">$H292+$I292</f>
        <v>15</v>
      </c>
      <c r="K292" s="15" t="s">
        <v>109</v>
      </c>
      <c r="L292" s="19" t="n">
        <f aca="false" t="array" ref="L292:L292">IF(AND(INDEX(Profils!$F$5:$F$34,$AE292)&gt;0,INDEX(Profils!$U$5:$U$34,$AE292)&lt;=$AH292),ROUND(INDEX(Profils!$F$5:$F$34,$AE292)*Paramètres!$E$22*$AG292*$AJ292,Paramètres!$F$22),0)</f>
        <v>7</v>
      </c>
      <c r="M292" s="19" t="n">
        <f aca="false" t="array" ref="M292:M292">IF(AND(INDEX(Profils!$G$5:$G$34,$AE292)&gt;0,INDEX(Profils!$V$5:$V$34,$AE292)&lt;=$AH292),ROUND(INDEX(Profils!$G$5:$G$34,$AE292)*Paramètres!$E$23*$AG292*$AJ292,Paramètres!$F$23),0)</f>
        <v>0</v>
      </c>
      <c r="N292" s="19" t="n">
        <f aca="false" t="array" ref="N292:N292">IF(AND(INDEX(Profils!$H$5:$H$34,$AE292)&gt;0,INDEX(Profils!$W$5:$W$34,$AE292)&lt;=$AH292),ROUND(INDEX(Profils!$H$5:$H$34,$AE292)*Paramètres!$E$24*$AG292*$AJ292,Paramètres!$F$24),0)</f>
        <v>6</v>
      </c>
      <c r="O292" s="19" t="n">
        <f aca="false" t="array" ref="O292:O292">IF(AND(INDEX(Profils!$I$5:$I$34,$AE292)&gt;0,INDEX(Profils!$X$5:$X$34,$AE292)&lt;=$AH292),ROUND(INDEX(Profils!$I$5:$I$34,$AE292)*Paramètres!$E$25*$AG292*$AJ292,Paramètres!$F$25),0)</f>
        <v>0</v>
      </c>
      <c r="P292" s="19" t="n">
        <f aca="false" t="array" ref="P292:P292">IF(AND(INDEX(Profils!$J$5:$J$34,$AE292)&gt;0,INDEX(Profils!$Y$5:$Y$34,$AE292)&lt;=$AH292),ROUND(INDEX(Profils!$J$5:$J$34,$AE292)*Paramètres!$E$26*$AG292*$AJ292,Paramètres!$F$26),0)</f>
        <v>0</v>
      </c>
      <c r="Q292" s="19" t="n">
        <f aca="false" t="array" ref="Q292:Q292">IF(AND(INDEX(Profils!$K$5:$K$34,$AE292)&gt;0,INDEX(Profils!$Z$5:$Z$34,$AE292)&lt;=$AH292),ROUND(INDEX(Profils!$K$5:$K$34,$AE292)*Paramètres!$E$27*$AG292*$AJ292,Paramètres!$F$27),0)</f>
        <v>0</v>
      </c>
      <c r="R292" s="20" t="n">
        <f aca="false" t="array" ref="R292:R292">IF(AND(INDEX(Profils!$L$5:$L$34,$AE292)&gt;0,INDEX(Profils!$AA$5:$AA$34,$AE292)&lt;=$AH292),ROUND(INDEX(Profils!$L$5:$L$34,$AE292)*Paramètres!$E$28*$AG292*$AJ292,Paramètres!$F$28),0)</f>
        <v>0</v>
      </c>
      <c r="S292" s="20" t="n">
        <f aca="false" t="array" ref="S292:S292">IF(AND(INDEX(Profils!$M$5:$M$34,$AE292)&gt;0,INDEX(Profils!$AB$5:$AB$34,$AE292)&lt;=$AH292),ROUND(INDEX(Profils!$M$5:$M$34,$AE292)*Paramètres!$E$29*$AG292*$AJ292,Paramètres!$F$29),0)</f>
        <v>0</v>
      </c>
      <c r="T292" s="20" t="n">
        <f aca="false" t="array" ref="T292:T292">IF(AND(INDEX(Profils!$N$5:$N$34,$AE292)&gt;0,INDEX(Profils!$AC$5:$AC$34,$AE292)&lt;=$AH292),ROUND(INDEX(Profils!$N$5:$N$34,$AE292)*Paramètres!$E$30*$AG292*$AJ292,Paramètres!$F$30),0)</f>
        <v>0</v>
      </c>
      <c r="U292" s="19" t="n">
        <f aca="false" t="array" ref="U292:U292">IF(AND(INDEX(Profils!$O$5:$O$34,$AE292)&gt;0,INDEX(Profils!$AD$5:$AD$34,$AE292)&lt;=$AH292),ROUND(INDEX(Profils!$O$5:$O$34,$AE292)*Paramètres!$E$31*$AG292*$AJ292,Paramètres!$F$31),0)</f>
        <v>7</v>
      </c>
      <c r="V292" s="20" t="n">
        <f aca="false" t="array" ref="V292:V292">IF(AND(INDEX(Profils!$P$5:$P$34,$AE292)&gt;0,INDEX(Profils!$AE$5:$AE$34,$AE292)&lt;=$AH292),ROUND(INDEX(Profils!$P$5:$P$34,$AE292)*Paramètres!$E$32*$AG292*$AJ292,Paramètres!$F$32),0)</f>
        <v>0</v>
      </c>
      <c r="W292" s="20" t="n">
        <f aca="false" t="array" ref="W292:W292">IF(AND(INDEX(Profils!$Q$5:$Q$34,$AE292)&gt;0,INDEX(Profils!$AF$5:$AF$34,$AE292)&lt;=$AH292),ROUND(INDEX(Profils!$Q$5:$Q$34,$AE292)*Paramètres!$E$33*$AG292*$AJ292,Paramètres!$F$33),0)</f>
        <v>0</v>
      </c>
      <c r="X292" s="20" t="n">
        <f aca="false" t="array" ref="X292:X292">IF(AND(INDEX(Profils!$R$5:$R$34,$AE292)&gt;0,INDEX(Profils!$AG$5:$AG$34,$AE292)&lt;=$AH292),ROUND(INDEX(Profils!$R$5:$R$34,$AE292)*Paramètres!$E$34*$AG292*$AJ292,Paramètres!$F$34),0)</f>
        <v>0</v>
      </c>
      <c r="Y292" s="20" t="n">
        <f aca="false" t="array" ref="Y292:Y292">IF(AND(INDEX(Profils!$S$5:$S$34,$AE292)&gt;0,INDEX(Profils!$AH$5:$AH$34,$AE292)&lt;=$AH292),ROUND(INDEX(Profils!$S$5:$S$34,$AE292)*Paramètres!$E$35*$AG292*$AJ292,Paramètres!$F$35),0)</f>
        <v>0</v>
      </c>
      <c r="Z292" s="21" t="n">
        <f aca="false">ROUND(L292/Paramètres!$E$22+M292/Paramètres!$E$23+N292/Paramètres!$E$24+O292/Paramètres!$E$25+P292/Paramètres!$E$26+Q292/Paramètres!$E$27+R292/Paramètres!$E$28+S292/Paramètres!$E$29+T292/Paramètres!$E$30+U292/Paramètres!$E$31+V292/Paramètres!$E$32+W292/Paramètres!$E$33+X292/Paramètres!$E$34+Y292/Paramètres!$E$35,1)</f>
        <v>1</v>
      </c>
      <c r="AA292" s="22" t="s">
        <v>109</v>
      </c>
      <c r="AB292" s="22" t="s">
        <v>109</v>
      </c>
      <c r="AC292" s="15" t="str">
        <f aca="false">$E292</f>
        <v>fer</v>
      </c>
      <c r="AD292" s="16" t="n">
        <f aca="false" t="array" ref="AD292:AD292">IF($I292&gt;=$AI292,"Max",ROUND(Paramètres!$B$40*($I292+1)^Paramètres!$B$41*INDEX(Paramètres!$H$6:$H$12,$AF292),0))</f>
        <v>4</v>
      </c>
      <c r="AE292" s="23" t="n">
        <f aca="false">MATCH($B292&amp;"|"&amp;$C292,Profils!$A$5:$A$34,0)</f>
        <v>10</v>
      </c>
      <c r="AF292" s="23" t="n">
        <v>2</v>
      </c>
      <c r="AG292" s="24" t="n">
        <f aca="false" t="array" ref="AG292:AG292">INDEX(Paramètres!$C$6:$C$12,$AF292)</f>
        <v>1.2</v>
      </c>
      <c r="AH292" s="23" t="n">
        <f aca="false" t="array" ref="AH292:AH292">INDEX(Paramètres!$D$6:$D$12,$AF292)</f>
        <v>3</v>
      </c>
      <c r="AI292" s="23" t="n">
        <f aca="false" t="array" ref="AI292:AI292">INDEX(Matériaux!$C$16:$C$20,$D292)</f>
        <v>20</v>
      </c>
      <c r="AJ292" s="25" t="n">
        <f aca="false">Paramètres!$B$16+(1-Paramètres!$B$16)*(($J292-Paramètres!$B$14)/(Paramètres!$B$15-Paramètres!$B$14))^Paramètres!$B$17</f>
        <v>0.140847925475674</v>
      </c>
    </row>
    <row r="293" customFormat="false" ht="15.75" hidden="false" customHeight="true" outlineLevel="0" collapsed="false">
      <c r="A293" s="14" t="s">
        <v>409</v>
      </c>
      <c r="B293" s="15" t="s">
        <v>27</v>
      </c>
      <c r="C293" s="15" t="s">
        <v>401</v>
      </c>
      <c r="D293" s="16" t="n">
        <v>2</v>
      </c>
      <c r="E293" s="15" t="str">
        <f aca="false" t="array" ref="E293:E293">INDEX(Matériaux!$B$5:$F$12,MATCH(INDEX(Profils!$E$5:$E$34,$AE293),Matériaux!$A$5:$A$12,0),$D293)</f>
        <v>fer</v>
      </c>
      <c r="F293" s="27" t="s">
        <v>113</v>
      </c>
      <c r="G293" s="10" t="str">
        <f aca="false" t="array" ref="G293:G293">INDEX(Profils!$D$5:$D$34,$AE293)&amp;" en "&amp;$E293</f>
        <v>Bouclier en fer</v>
      </c>
      <c r="H293" s="16" t="n">
        <f aca="false" t="array" ref="H293:H293">INDEX(Matériaux!$B$16:$B$20,$D293)</f>
        <v>15</v>
      </c>
      <c r="I293" s="16" t="n">
        <f aca="false">IF(ISNUMBER($C$3),MIN(MAX(0,ROUND($C$3,0)),$AI293),$AI293)</f>
        <v>0</v>
      </c>
      <c r="J293" s="18" t="n">
        <f aca="false">$H293+$I293</f>
        <v>15</v>
      </c>
      <c r="K293" s="15" t="s">
        <v>109</v>
      </c>
      <c r="L293" s="19" t="n">
        <f aca="false" t="array" ref="L293:L293">IF(AND(INDEX(Profils!$F$5:$F$34,$AE293)&gt;0,INDEX(Profils!$U$5:$U$34,$AE293)&lt;=$AH293),ROUND(INDEX(Profils!$F$5:$F$34,$AE293)*Paramètres!$E$22*$AG293*$AJ293,Paramètres!$F$22),0)</f>
        <v>8</v>
      </c>
      <c r="M293" s="19" t="n">
        <f aca="false" t="array" ref="M293:M293">IF(AND(INDEX(Profils!$G$5:$G$34,$AE293)&gt;0,INDEX(Profils!$V$5:$V$34,$AE293)&lt;=$AH293),ROUND(INDEX(Profils!$G$5:$G$34,$AE293)*Paramètres!$E$23*$AG293*$AJ293,Paramètres!$F$23),0)</f>
        <v>0</v>
      </c>
      <c r="N293" s="19" t="n">
        <f aca="false" t="array" ref="N293:N293">IF(AND(INDEX(Profils!$H$5:$H$34,$AE293)&gt;0,INDEX(Profils!$W$5:$W$34,$AE293)&lt;=$AH293),ROUND(INDEX(Profils!$H$5:$H$34,$AE293)*Paramètres!$E$24*$AG293*$AJ293,Paramètres!$F$24),0)</f>
        <v>7</v>
      </c>
      <c r="O293" s="19" t="n">
        <f aca="false" t="array" ref="O293:O293">IF(AND(INDEX(Profils!$I$5:$I$34,$AE293)&gt;0,INDEX(Profils!$X$5:$X$34,$AE293)&lt;=$AH293),ROUND(INDEX(Profils!$I$5:$I$34,$AE293)*Paramètres!$E$25*$AG293*$AJ293,Paramètres!$F$25),0)</f>
        <v>0</v>
      </c>
      <c r="P293" s="19" t="n">
        <f aca="false" t="array" ref="P293:P293">IF(AND(INDEX(Profils!$J$5:$J$34,$AE293)&gt;0,INDEX(Profils!$Y$5:$Y$34,$AE293)&lt;=$AH293),ROUND(INDEX(Profils!$J$5:$J$34,$AE293)*Paramètres!$E$26*$AG293*$AJ293,Paramètres!$F$26),0)</f>
        <v>0</v>
      </c>
      <c r="Q293" s="19" t="n">
        <f aca="false" t="array" ref="Q293:Q293">IF(AND(INDEX(Profils!$K$5:$K$34,$AE293)&gt;0,INDEX(Profils!$Z$5:$Z$34,$AE293)&lt;=$AH293),ROUND(INDEX(Profils!$K$5:$K$34,$AE293)*Paramètres!$E$27*$AG293*$AJ293,Paramètres!$F$27),0)</f>
        <v>0</v>
      </c>
      <c r="R293" s="20" t="n">
        <f aca="false" t="array" ref="R293:R293">IF(AND(INDEX(Profils!$L$5:$L$34,$AE293)&gt;0,INDEX(Profils!$AA$5:$AA$34,$AE293)&lt;=$AH293),ROUND(INDEX(Profils!$L$5:$L$34,$AE293)*Paramètres!$E$28*$AG293*$AJ293,Paramètres!$F$28),0)</f>
        <v>0</v>
      </c>
      <c r="S293" s="20" t="n">
        <f aca="false" t="array" ref="S293:S293">IF(AND(INDEX(Profils!$M$5:$M$34,$AE293)&gt;0,INDEX(Profils!$AB$5:$AB$34,$AE293)&lt;=$AH293),ROUND(INDEX(Profils!$M$5:$M$34,$AE293)*Paramètres!$E$29*$AG293*$AJ293,Paramètres!$F$29),0)</f>
        <v>0</v>
      </c>
      <c r="T293" s="20" t="n">
        <f aca="false" t="array" ref="T293:T293">IF(AND(INDEX(Profils!$N$5:$N$34,$AE293)&gt;0,INDEX(Profils!$AC$5:$AC$34,$AE293)&lt;=$AH293),ROUND(INDEX(Profils!$N$5:$N$34,$AE293)*Paramètres!$E$30*$AG293*$AJ293,Paramètres!$F$30),0)</f>
        <v>0</v>
      </c>
      <c r="U293" s="19" t="n">
        <f aca="false" t="array" ref="U293:U293">IF(AND(INDEX(Profils!$O$5:$O$34,$AE293)&gt;0,INDEX(Profils!$AD$5:$AD$34,$AE293)&lt;=$AH293),ROUND(INDEX(Profils!$O$5:$O$34,$AE293)*Paramètres!$E$31*$AG293*$AJ293,Paramètres!$F$31),0)</f>
        <v>9</v>
      </c>
      <c r="V293" s="20" t="n">
        <f aca="false" t="array" ref="V293:V293">IF(AND(INDEX(Profils!$P$5:$P$34,$AE293)&gt;0,INDEX(Profils!$AE$5:$AE$34,$AE293)&lt;=$AH293),ROUND(INDEX(Profils!$P$5:$P$34,$AE293)*Paramètres!$E$32*$AG293*$AJ293,Paramètres!$F$32),0)</f>
        <v>0</v>
      </c>
      <c r="W293" s="20" t="n">
        <f aca="false" t="array" ref="W293:W293">IF(AND(INDEX(Profils!$Q$5:$Q$34,$AE293)&gt;0,INDEX(Profils!$AF$5:$AF$34,$AE293)&lt;=$AH293),ROUND(INDEX(Profils!$Q$5:$Q$34,$AE293)*Paramètres!$E$33*$AG293*$AJ293,Paramètres!$F$33),0)</f>
        <v>0.004</v>
      </c>
      <c r="X293" s="20" t="n">
        <f aca="false" t="array" ref="X293:X293">IF(AND(INDEX(Profils!$R$5:$R$34,$AE293)&gt;0,INDEX(Profils!$AG$5:$AG$34,$AE293)&lt;=$AH293),ROUND(INDEX(Profils!$R$5:$R$34,$AE293)*Paramètres!$E$34*$AG293*$AJ293,Paramètres!$F$34),0)</f>
        <v>0</v>
      </c>
      <c r="Y293" s="20" t="n">
        <f aca="false" t="array" ref="Y293:Y293">IF(AND(INDEX(Profils!$S$5:$S$34,$AE293)&gt;0,INDEX(Profils!$AH$5:$AH$34,$AE293)&lt;=$AH293),ROUND(INDEX(Profils!$S$5:$S$34,$AE293)*Paramètres!$E$35*$AG293*$AJ293,Paramètres!$F$35),0)</f>
        <v>0</v>
      </c>
      <c r="Z293" s="21" t="n">
        <f aca="false">ROUND(L293/Paramètres!$E$22+M293/Paramètres!$E$23+N293/Paramètres!$E$24+O293/Paramètres!$E$25+P293/Paramètres!$E$26+Q293/Paramètres!$E$27+R293/Paramètres!$E$28+S293/Paramètres!$E$29+T293/Paramètres!$E$30+U293/Paramètres!$E$31+V293/Paramètres!$E$32+W293/Paramètres!$E$33+X293/Paramètres!$E$34+Y293/Paramètres!$E$35,1)</f>
        <v>1.5</v>
      </c>
      <c r="AA293" s="22" t="s">
        <v>109</v>
      </c>
      <c r="AB293" s="22" t="s">
        <v>109</v>
      </c>
      <c r="AC293" s="15" t="str">
        <f aca="false">$E293</f>
        <v>fer</v>
      </c>
      <c r="AD293" s="16" t="n">
        <f aca="false" t="array" ref="AD293:AD293">IF($I293&gt;=$AI293,"Max",ROUND(Paramètres!$B$40*($I293+1)^Paramètres!$B$41*INDEX(Paramètres!$H$6:$H$12,$AF293),0))</f>
        <v>4</v>
      </c>
      <c r="AE293" s="23" t="n">
        <f aca="false">MATCH($B293&amp;"|"&amp;$C293,Profils!$A$5:$A$34,0)</f>
        <v>10</v>
      </c>
      <c r="AF293" s="23" t="n">
        <v>3</v>
      </c>
      <c r="AG293" s="24" t="n">
        <f aca="false" t="array" ref="AG293:AG293">INDEX(Paramètres!$C$6:$C$12,$AF293)</f>
        <v>1.45</v>
      </c>
      <c r="AH293" s="23" t="n">
        <f aca="false" t="array" ref="AH293:AH293">INDEX(Paramètres!$D$6:$D$12,$AF293)</f>
        <v>4</v>
      </c>
      <c r="AI293" s="23" t="n">
        <f aca="false" t="array" ref="AI293:AI293">INDEX(Matériaux!$C$16:$C$20,$D293)</f>
        <v>20</v>
      </c>
      <c r="AJ293" s="25" t="n">
        <f aca="false">Paramètres!$B$16+(1-Paramètres!$B$16)*(($J293-Paramètres!$B$14)/(Paramètres!$B$15-Paramètres!$B$14))^Paramètres!$B$17</f>
        <v>0.140847925475674</v>
      </c>
    </row>
    <row r="294" customFormat="false" ht="15.75" hidden="false" customHeight="true" outlineLevel="0" collapsed="false">
      <c r="A294" s="14" t="s">
        <v>410</v>
      </c>
      <c r="B294" s="15" t="s">
        <v>27</v>
      </c>
      <c r="C294" s="15" t="s">
        <v>401</v>
      </c>
      <c r="D294" s="16" t="n">
        <v>2</v>
      </c>
      <c r="E294" s="15" t="str">
        <f aca="false" t="array" ref="E294:E294">INDEX(Matériaux!$B$5:$F$12,MATCH(INDEX(Profils!$E$5:$E$34,$AE294),Matériaux!$A$5:$A$12,0),$D294)</f>
        <v>fer</v>
      </c>
      <c r="F294" s="28" t="s">
        <v>115</v>
      </c>
      <c r="G294" s="10" t="str">
        <f aca="false" t="array" ref="G294:G294">INDEX(Profils!$D$5:$D$34,$AE294)&amp;" en "&amp;$E294</f>
        <v>Bouclier en fer</v>
      </c>
      <c r="H294" s="16" t="n">
        <f aca="false" t="array" ref="H294:H294">INDEX(Matériaux!$B$16:$B$20,$D294)</f>
        <v>15</v>
      </c>
      <c r="I294" s="16" t="n">
        <f aca="false">IF(ISNUMBER($C$3),MIN(MAX(0,ROUND($C$3,0)),$AI294),$AI294)</f>
        <v>0</v>
      </c>
      <c r="J294" s="18" t="n">
        <f aca="false">$H294+$I294</f>
        <v>15</v>
      </c>
      <c r="K294" s="15" t="s">
        <v>109</v>
      </c>
      <c r="L294" s="19" t="n">
        <f aca="false" t="array" ref="L294:L294">IF(AND(INDEX(Profils!$F$5:$F$34,$AE294)&gt;0,INDEX(Profils!$U$5:$U$34,$AE294)&lt;=$AH294),ROUND(INDEX(Profils!$F$5:$F$34,$AE294)*Paramètres!$E$22*$AG294*$AJ294,Paramètres!$F$22),0)</f>
        <v>10</v>
      </c>
      <c r="M294" s="19" t="n">
        <f aca="false" t="array" ref="M294:M294">IF(AND(INDEX(Profils!$G$5:$G$34,$AE294)&gt;0,INDEX(Profils!$V$5:$V$34,$AE294)&lt;=$AH294),ROUND(INDEX(Profils!$G$5:$G$34,$AE294)*Paramètres!$E$23*$AG294*$AJ294,Paramètres!$F$23),0)</f>
        <v>0</v>
      </c>
      <c r="N294" s="19" t="n">
        <f aca="false" t="array" ref="N294:N294">IF(AND(INDEX(Profils!$H$5:$H$34,$AE294)&gt;0,INDEX(Profils!$W$5:$W$34,$AE294)&lt;=$AH294),ROUND(INDEX(Profils!$H$5:$H$34,$AE294)*Paramètres!$E$24*$AG294*$AJ294,Paramètres!$F$24),0)</f>
        <v>9</v>
      </c>
      <c r="O294" s="19" t="n">
        <f aca="false" t="array" ref="O294:O294">IF(AND(INDEX(Profils!$I$5:$I$34,$AE294)&gt;0,INDEX(Profils!$X$5:$X$34,$AE294)&lt;=$AH294),ROUND(INDEX(Profils!$I$5:$I$34,$AE294)*Paramètres!$E$25*$AG294*$AJ294,Paramètres!$F$25),0)</f>
        <v>0</v>
      </c>
      <c r="P294" s="19" t="n">
        <f aca="false" t="array" ref="P294:P294">IF(AND(INDEX(Profils!$J$5:$J$34,$AE294)&gt;0,INDEX(Profils!$Y$5:$Y$34,$AE294)&lt;=$AH294),ROUND(INDEX(Profils!$J$5:$J$34,$AE294)*Paramètres!$E$26*$AG294*$AJ294,Paramètres!$F$26),0)</f>
        <v>0</v>
      </c>
      <c r="Q294" s="19" t="n">
        <f aca="false" t="array" ref="Q294:Q294">IF(AND(INDEX(Profils!$K$5:$K$34,$AE294)&gt;0,INDEX(Profils!$Z$5:$Z$34,$AE294)&lt;=$AH294),ROUND(INDEX(Profils!$K$5:$K$34,$AE294)*Paramètres!$E$27*$AG294*$AJ294,Paramètres!$F$27),0)</f>
        <v>0</v>
      </c>
      <c r="R294" s="20" t="n">
        <f aca="false" t="array" ref="R294:R294">IF(AND(INDEX(Profils!$L$5:$L$34,$AE294)&gt;0,INDEX(Profils!$AA$5:$AA$34,$AE294)&lt;=$AH294),ROUND(INDEX(Profils!$L$5:$L$34,$AE294)*Paramètres!$E$28*$AG294*$AJ294,Paramètres!$F$28),0)</f>
        <v>0</v>
      </c>
      <c r="S294" s="20" t="n">
        <f aca="false" t="array" ref="S294:S294">IF(AND(INDEX(Profils!$M$5:$M$34,$AE294)&gt;0,INDEX(Profils!$AB$5:$AB$34,$AE294)&lt;=$AH294),ROUND(INDEX(Profils!$M$5:$M$34,$AE294)*Paramètres!$E$29*$AG294*$AJ294,Paramètres!$F$29),0)</f>
        <v>0</v>
      </c>
      <c r="T294" s="20" t="n">
        <f aca="false" t="array" ref="T294:T294">IF(AND(INDEX(Profils!$N$5:$N$34,$AE294)&gt;0,INDEX(Profils!$AC$5:$AC$34,$AE294)&lt;=$AH294),ROUND(INDEX(Profils!$N$5:$N$34,$AE294)*Paramètres!$E$30*$AG294*$AJ294,Paramètres!$F$30),0)</f>
        <v>0</v>
      </c>
      <c r="U294" s="19" t="n">
        <f aca="false" t="array" ref="U294:U294">IF(AND(INDEX(Profils!$O$5:$O$34,$AE294)&gt;0,INDEX(Profils!$AD$5:$AD$34,$AE294)&lt;=$AH294),ROUND(INDEX(Profils!$O$5:$O$34,$AE294)*Paramètres!$E$31*$AG294*$AJ294,Paramètres!$F$31),0)</f>
        <v>11</v>
      </c>
      <c r="V294" s="20" t="n">
        <f aca="false" t="array" ref="V294:V294">IF(AND(INDEX(Profils!$P$5:$P$34,$AE294)&gt;0,INDEX(Profils!$AE$5:$AE$34,$AE294)&lt;=$AH294),ROUND(INDEX(Profils!$P$5:$P$34,$AE294)*Paramètres!$E$32*$AG294*$AJ294,Paramètres!$F$32),0)</f>
        <v>0</v>
      </c>
      <c r="W294" s="20" t="n">
        <f aca="false" t="array" ref="W294:W294">IF(AND(INDEX(Profils!$Q$5:$Q$34,$AE294)&gt;0,INDEX(Profils!$AF$5:$AF$34,$AE294)&lt;=$AH294),ROUND(INDEX(Profils!$Q$5:$Q$34,$AE294)*Paramètres!$E$33*$AG294*$AJ294,Paramètres!$F$33),0)</f>
        <v>0.004</v>
      </c>
      <c r="X294" s="20" t="n">
        <f aca="false" t="array" ref="X294:X294">IF(AND(INDEX(Profils!$R$5:$R$34,$AE294)&gt;0,INDEX(Profils!$AG$5:$AG$34,$AE294)&lt;=$AH294),ROUND(INDEX(Profils!$R$5:$R$34,$AE294)*Paramètres!$E$34*$AG294*$AJ294,Paramètres!$F$34),0)</f>
        <v>0</v>
      </c>
      <c r="Y294" s="20" t="n">
        <f aca="false" t="array" ref="Y294:Y294">IF(AND(INDEX(Profils!$S$5:$S$34,$AE294)&gt;0,INDEX(Profils!$AH$5:$AH$34,$AE294)&lt;=$AH294),ROUND(INDEX(Profils!$S$5:$S$34,$AE294)*Paramètres!$E$35*$AG294*$AJ294,Paramètres!$F$35),0)</f>
        <v>0.004</v>
      </c>
      <c r="Z294" s="21" t="n">
        <f aca="false">ROUND(L294/Paramètres!$E$22+M294/Paramètres!$E$23+N294/Paramètres!$E$24+O294/Paramètres!$E$25+P294/Paramètres!$E$26+Q294/Paramètres!$E$27+R294/Paramètres!$E$28+S294/Paramètres!$E$29+T294/Paramètres!$E$30+U294/Paramètres!$E$31+V294/Paramètres!$E$32+W294/Paramètres!$E$33+X294/Paramètres!$E$34+Y294/Paramètres!$E$35,1)</f>
        <v>2.1</v>
      </c>
      <c r="AA294" s="22" t="s">
        <v>109</v>
      </c>
      <c r="AB294" s="22" t="s">
        <v>109</v>
      </c>
      <c r="AC294" s="15" t="str">
        <f aca="false">$E294</f>
        <v>fer</v>
      </c>
      <c r="AD294" s="16" t="n">
        <f aca="false" t="array" ref="AD294:AD294">IF($I294&gt;=$AI294,"Max",ROUND(Paramètres!$B$40*($I294+1)^Paramètres!$B$41*INDEX(Paramètres!$H$6:$H$12,$AF294),0))</f>
        <v>5</v>
      </c>
      <c r="AE294" s="23" t="n">
        <f aca="false">MATCH($B294&amp;"|"&amp;$C294,Profils!$A$5:$A$34,0)</f>
        <v>10</v>
      </c>
      <c r="AF294" s="23" t="n">
        <v>4</v>
      </c>
      <c r="AG294" s="24" t="n">
        <f aca="false" t="array" ref="AG294:AG294">INDEX(Paramètres!$C$6:$C$12,$AF294)</f>
        <v>1.75</v>
      </c>
      <c r="AH294" s="23" t="n">
        <f aca="false" t="array" ref="AH294:AH294">INDEX(Paramètres!$D$6:$D$12,$AF294)</f>
        <v>5</v>
      </c>
      <c r="AI294" s="23" t="n">
        <f aca="false" t="array" ref="AI294:AI294">INDEX(Matériaux!$C$16:$C$20,$D294)</f>
        <v>20</v>
      </c>
      <c r="AJ294" s="25" t="n">
        <f aca="false">Paramètres!$B$16+(1-Paramètres!$B$16)*(($J294-Paramètres!$B$14)/(Paramètres!$B$15-Paramètres!$B$14))^Paramètres!$B$17</f>
        <v>0.140847925475674</v>
      </c>
    </row>
    <row r="295" customFormat="false" ht="15.75" hidden="false" customHeight="true" outlineLevel="0" collapsed="false">
      <c r="A295" s="14" t="s">
        <v>411</v>
      </c>
      <c r="B295" s="15" t="s">
        <v>27</v>
      </c>
      <c r="C295" s="15" t="s">
        <v>401</v>
      </c>
      <c r="D295" s="16" t="n">
        <v>2</v>
      </c>
      <c r="E295" s="15" t="str">
        <f aca="false" t="array" ref="E295:E295">INDEX(Matériaux!$B$5:$F$12,MATCH(INDEX(Profils!$E$5:$E$34,$AE295),Matériaux!$A$5:$A$12,0),$D295)</f>
        <v>fer</v>
      </c>
      <c r="F295" s="29" t="s">
        <v>117</v>
      </c>
      <c r="G295" s="10" t="str">
        <f aca="false" t="array" ref="G295:G295">INDEX(Profils!$D$5:$D$34,$AE295)&amp;" en "&amp;$E295</f>
        <v>Bouclier en fer</v>
      </c>
      <c r="H295" s="16" t="n">
        <f aca="false" t="array" ref="H295:H295">INDEX(Matériaux!$B$16:$B$20,$D295)</f>
        <v>15</v>
      </c>
      <c r="I295" s="16" t="n">
        <f aca="false">IF(ISNUMBER($C$3),MIN(MAX(0,ROUND($C$3,0)),$AI295),$AI295)</f>
        <v>0</v>
      </c>
      <c r="J295" s="18" t="n">
        <f aca="false">$H295+$I295</f>
        <v>15</v>
      </c>
      <c r="K295" s="15" t="s">
        <v>109</v>
      </c>
      <c r="L295" s="19" t="n">
        <f aca="false" t="array" ref="L295:L295">IF(AND(INDEX(Profils!$F$5:$F$34,$AE295)&gt;0,INDEX(Profils!$U$5:$U$34,$AE295)&lt;=$AH295),ROUND(INDEX(Profils!$F$5:$F$34,$AE295)*Paramètres!$E$22*$AG295*$AJ295,Paramètres!$F$22),0)</f>
        <v>12</v>
      </c>
      <c r="M295" s="19" t="n">
        <f aca="false" t="array" ref="M295:M295">IF(AND(INDEX(Profils!$G$5:$G$34,$AE295)&gt;0,INDEX(Profils!$V$5:$V$34,$AE295)&lt;=$AH295),ROUND(INDEX(Profils!$G$5:$G$34,$AE295)*Paramètres!$E$23*$AG295*$AJ295,Paramètres!$F$23),0)</f>
        <v>3</v>
      </c>
      <c r="N295" s="19" t="n">
        <f aca="false" t="array" ref="N295:N295">IF(AND(INDEX(Profils!$H$5:$H$34,$AE295)&gt;0,INDEX(Profils!$W$5:$W$34,$AE295)&lt;=$AH295),ROUND(INDEX(Profils!$H$5:$H$34,$AE295)*Paramètres!$E$24*$AG295*$AJ295,Paramètres!$F$24),0)</f>
        <v>11</v>
      </c>
      <c r="O295" s="19" t="n">
        <f aca="false" t="array" ref="O295:O295">IF(AND(INDEX(Profils!$I$5:$I$34,$AE295)&gt;0,INDEX(Profils!$X$5:$X$34,$AE295)&lt;=$AH295),ROUND(INDEX(Profils!$I$5:$I$34,$AE295)*Paramètres!$E$25*$AG295*$AJ295,Paramètres!$F$25),0)</f>
        <v>0</v>
      </c>
      <c r="P295" s="19" t="n">
        <f aca="false" t="array" ref="P295:P295">IF(AND(INDEX(Profils!$J$5:$J$34,$AE295)&gt;0,INDEX(Profils!$Y$5:$Y$34,$AE295)&lt;=$AH295),ROUND(INDEX(Profils!$J$5:$J$34,$AE295)*Paramètres!$E$26*$AG295*$AJ295,Paramètres!$F$26),0)</f>
        <v>0</v>
      </c>
      <c r="Q295" s="19" t="n">
        <f aca="false" t="array" ref="Q295:Q295">IF(AND(INDEX(Profils!$K$5:$K$34,$AE295)&gt;0,INDEX(Profils!$Z$5:$Z$34,$AE295)&lt;=$AH295),ROUND(INDEX(Profils!$K$5:$K$34,$AE295)*Paramètres!$E$27*$AG295*$AJ295,Paramètres!$F$27),0)</f>
        <v>0</v>
      </c>
      <c r="R295" s="20" t="n">
        <f aca="false" t="array" ref="R295:R295">IF(AND(INDEX(Profils!$L$5:$L$34,$AE295)&gt;0,INDEX(Profils!$AA$5:$AA$34,$AE295)&lt;=$AH295),ROUND(INDEX(Profils!$L$5:$L$34,$AE295)*Paramètres!$E$28*$AG295*$AJ295,Paramètres!$F$28),0)</f>
        <v>0</v>
      </c>
      <c r="S295" s="20" t="n">
        <f aca="false" t="array" ref="S295:S295">IF(AND(INDEX(Profils!$M$5:$M$34,$AE295)&gt;0,INDEX(Profils!$AB$5:$AB$34,$AE295)&lt;=$AH295),ROUND(INDEX(Profils!$M$5:$M$34,$AE295)*Paramètres!$E$29*$AG295*$AJ295,Paramètres!$F$29),0)</f>
        <v>0</v>
      </c>
      <c r="T295" s="20" t="n">
        <f aca="false" t="array" ref="T295:T295">IF(AND(INDEX(Profils!$N$5:$N$34,$AE295)&gt;0,INDEX(Profils!$AC$5:$AC$34,$AE295)&lt;=$AH295),ROUND(INDEX(Profils!$N$5:$N$34,$AE295)*Paramètres!$E$30*$AG295*$AJ295,Paramètres!$F$30),0)</f>
        <v>0</v>
      </c>
      <c r="U295" s="19" t="n">
        <f aca="false" t="array" ref="U295:U295">IF(AND(INDEX(Profils!$O$5:$O$34,$AE295)&gt;0,INDEX(Profils!$AD$5:$AD$34,$AE295)&lt;=$AH295),ROUND(INDEX(Profils!$O$5:$O$34,$AE295)*Paramètres!$E$31*$AG295*$AJ295,Paramètres!$F$31),0)</f>
        <v>13</v>
      </c>
      <c r="V295" s="20" t="n">
        <f aca="false" t="array" ref="V295:V295">IF(AND(INDEX(Profils!$P$5:$P$34,$AE295)&gt;0,INDEX(Profils!$AE$5:$AE$34,$AE295)&lt;=$AH295),ROUND(INDEX(Profils!$P$5:$P$34,$AE295)*Paramètres!$E$32*$AG295*$AJ295,Paramètres!$F$32),0)</f>
        <v>0</v>
      </c>
      <c r="W295" s="20" t="n">
        <f aca="false" t="array" ref="W295:W295">IF(AND(INDEX(Profils!$Q$5:$Q$34,$AE295)&gt;0,INDEX(Profils!$AF$5:$AF$34,$AE295)&lt;=$AH295),ROUND(INDEX(Profils!$Q$5:$Q$34,$AE295)*Paramètres!$E$33*$AG295*$AJ295,Paramètres!$F$33),0)</f>
        <v>0.005</v>
      </c>
      <c r="X295" s="20" t="n">
        <f aca="false" t="array" ref="X295:X295">IF(AND(INDEX(Profils!$R$5:$R$34,$AE295)&gt;0,INDEX(Profils!$AG$5:$AG$34,$AE295)&lt;=$AH295),ROUND(INDEX(Profils!$R$5:$R$34,$AE295)*Paramètres!$E$34*$AG295*$AJ295,Paramètres!$F$34),0)</f>
        <v>0</v>
      </c>
      <c r="Y295" s="20" t="n">
        <f aca="false" t="array" ref="Y295:Y295">IF(AND(INDEX(Profils!$S$5:$S$34,$AE295)&gt;0,INDEX(Profils!$AH$5:$AH$34,$AE295)&lt;=$AH295),ROUND(INDEX(Profils!$S$5:$S$34,$AE295)*Paramètres!$E$35*$AG295*$AJ295,Paramètres!$F$35),0)</f>
        <v>0.005</v>
      </c>
      <c r="Z295" s="21" t="n">
        <f aca="false">ROUND(L295/Paramètres!$E$22+M295/Paramètres!$E$23+N295/Paramètres!$E$24+O295/Paramètres!$E$25+P295/Paramètres!$E$26+Q295/Paramètres!$E$27+R295/Paramètres!$E$28+S295/Paramètres!$E$29+T295/Paramètres!$E$30+U295/Paramètres!$E$31+V295/Paramètres!$E$32+W295/Paramètres!$E$33+X295/Paramètres!$E$34+Y295/Paramètres!$E$35,1)</f>
        <v>2.7</v>
      </c>
      <c r="AA295" s="22" t="s">
        <v>109</v>
      </c>
      <c r="AB295" s="22" t="s">
        <v>109</v>
      </c>
      <c r="AC295" s="15" t="str">
        <f aca="false">$E295</f>
        <v>fer</v>
      </c>
      <c r="AD295" s="16" t="n">
        <f aca="false" t="array" ref="AD295:AD295">IF($I295&gt;=$AI295,"Max",ROUND(Paramètres!$B$40*($I295+1)^Paramètres!$B$41*INDEX(Paramètres!$H$6:$H$12,$AF295),0))</f>
        <v>6</v>
      </c>
      <c r="AE295" s="23" t="n">
        <f aca="false">MATCH($B295&amp;"|"&amp;$C295,Profils!$A$5:$A$34,0)</f>
        <v>10</v>
      </c>
      <c r="AF295" s="23" t="n">
        <v>5</v>
      </c>
      <c r="AG295" s="24" t="n">
        <f aca="false" t="array" ref="AG295:AG295">INDEX(Paramètres!$C$6:$C$12,$AF295)</f>
        <v>2.1</v>
      </c>
      <c r="AH295" s="23" t="n">
        <f aca="false" t="array" ref="AH295:AH295">INDEX(Paramètres!$D$6:$D$12,$AF295)</f>
        <v>6</v>
      </c>
      <c r="AI295" s="23" t="n">
        <f aca="false" t="array" ref="AI295:AI295">INDEX(Matériaux!$C$16:$C$20,$D295)</f>
        <v>20</v>
      </c>
      <c r="AJ295" s="25" t="n">
        <f aca="false">Paramètres!$B$16+(1-Paramètres!$B$16)*(($J295-Paramètres!$B$14)/(Paramètres!$B$15-Paramètres!$B$14))^Paramètres!$B$17</f>
        <v>0.140847925475674</v>
      </c>
    </row>
    <row r="296" customFormat="false" ht="15.75" hidden="false" customHeight="true" outlineLevel="0" collapsed="false">
      <c r="A296" s="14" t="s">
        <v>412</v>
      </c>
      <c r="B296" s="15" t="s">
        <v>27</v>
      </c>
      <c r="C296" s="15" t="s">
        <v>401</v>
      </c>
      <c r="D296" s="16" t="n">
        <v>2</v>
      </c>
      <c r="E296" s="15" t="str">
        <f aca="false" t="array" ref="E296:E296">INDEX(Matériaux!$B$5:$F$12,MATCH(INDEX(Profils!$E$5:$E$34,$AE296),Matériaux!$A$5:$A$12,0),$D296)</f>
        <v>fer</v>
      </c>
      <c r="F296" s="30" t="s">
        <v>119</v>
      </c>
      <c r="G296" s="10" t="str">
        <f aca="false" t="array" ref="G296:G296">INDEX(Profils!$D$5:$D$34,$AE296)&amp;" en "&amp;$E296</f>
        <v>Bouclier en fer</v>
      </c>
      <c r="H296" s="16" t="n">
        <f aca="false" t="array" ref="H296:H296">INDEX(Matériaux!$B$16:$B$20,$D296)</f>
        <v>15</v>
      </c>
      <c r="I296" s="16" t="n">
        <f aca="false">IF(ISNUMBER($C$3),MIN(MAX(0,ROUND($C$3,0)),$AI296),$AI296)</f>
        <v>0</v>
      </c>
      <c r="J296" s="18" t="n">
        <f aca="false">$H296+$I296</f>
        <v>15</v>
      </c>
      <c r="K296" s="15" t="s">
        <v>109</v>
      </c>
      <c r="L296" s="19" t="n">
        <f aca="false" t="array" ref="L296:L296">IF(AND(INDEX(Profils!$F$5:$F$34,$AE296)&gt;0,INDEX(Profils!$U$5:$U$34,$AE296)&lt;=$AH296),ROUND(INDEX(Profils!$F$5:$F$34,$AE296)*Paramètres!$E$22*$AG296*$AJ296,Paramètres!$F$22),0)</f>
        <v>14</v>
      </c>
      <c r="M296" s="19" t="n">
        <f aca="false" t="array" ref="M296:M296">IF(AND(INDEX(Profils!$G$5:$G$34,$AE296)&gt;0,INDEX(Profils!$V$5:$V$34,$AE296)&lt;=$AH296),ROUND(INDEX(Profils!$G$5:$G$34,$AE296)*Paramètres!$E$23*$AG296*$AJ296,Paramètres!$F$23),0)</f>
        <v>3</v>
      </c>
      <c r="N296" s="19" t="n">
        <f aca="false" t="array" ref="N296:N296">IF(AND(INDEX(Profils!$H$5:$H$34,$AE296)&gt;0,INDEX(Profils!$W$5:$W$34,$AE296)&lt;=$AH296),ROUND(INDEX(Profils!$H$5:$H$34,$AE296)*Paramètres!$E$24*$AG296*$AJ296,Paramètres!$F$24),0)</f>
        <v>12</v>
      </c>
      <c r="O296" s="19" t="n">
        <f aca="false" t="array" ref="O296:O296">IF(AND(INDEX(Profils!$I$5:$I$34,$AE296)&gt;0,INDEX(Profils!$X$5:$X$34,$AE296)&lt;=$AH296),ROUND(INDEX(Profils!$I$5:$I$34,$AE296)*Paramètres!$E$25*$AG296*$AJ296,Paramètres!$F$25),0)</f>
        <v>0</v>
      </c>
      <c r="P296" s="19" t="n">
        <f aca="false" t="array" ref="P296:P296">IF(AND(INDEX(Profils!$J$5:$J$34,$AE296)&gt;0,INDEX(Profils!$Y$5:$Y$34,$AE296)&lt;=$AH296),ROUND(INDEX(Profils!$J$5:$J$34,$AE296)*Paramètres!$E$26*$AG296*$AJ296,Paramètres!$F$26),0)</f>
        <v>0</v>
      </c>
      <c r="Q296" s="19" t="n">
        <f aca="false" t="array" ref="Q296:Q296">IF(AND(INDEX(Profils!$K$5:$K$34,$AE296)&gt;0,INDEX(Profils!$Z$5:$Z$34,$AE296)&lt;=$AH296),ROUND(INDEX(Profils!$K$5:$K$34,$AE296)*Paramètres!$E$27*$AG296*$AJ296,Paramètres!$F$27),0)</f>
        <v>0</v>
      </c>
      <c r="R296" s="20" t="n">
        <f aca="false" t="array" ref="R296:R296">IF(AND(INDEX(Profils!$L$5:$L$34,$AE296)&gt;0,INDEX(Profils!$AA$5:$AA$34,$AE296)&lt;=$AH296),ROUND(INDEX(Profils!$L$5:$L$34,$AE296)*Paramètres!$E$28*$AG296*$AJ296,Paramètres!$F$28),0)</f>
        <v>0.002</v>
      </c>
      <c r="S296" s="20" t="n">
        <f aca="false" t="array" ref="S296:S296">IF(AND(INDEX(Profils!$M$5:$M$34,$AE296)&gt;0,INDEX(Profils!$AB$5:$AB$34,$AE296)&lt;=$AH296),ROUND(INDEX(Profils!$M$5:$M$34,$AE296)*Paramètres!$E$29*$AG296*$AJ296,Paramètres!$F$29),0)</f>
        <v>0</v>
      </c>
      <c r="T296" s="20" t="n">
        <f aca="false" t="array" ref="T296:T296">IF(AND(INDEX(Profils!$N$5:$N$34,$AE296)&gt;0,INDEX(Profils!$AC$5:$AC$34,$AE296)&lt;=$AH296),ROUND(INDEX(Profils!$N$5:$N$34,$AE296)*Paramètres!$E$30*$AG296*$AJ296,Paramètres!$F$30),0)</f>
        <v>0</v>
      </c>
      <c r="U296" s="19" t="n">
        <f aca="false" t="array" ref="U296:U296">IF(AND(INDEX(Profils!$O$5:$O$34,$AE296)&gt;0,INDEX(Profils!$AD$5:$AD$34,$AE296)&lt;=$AH296),ROUND(INDEX(Profils!$O$5:$O$34,$AE296)*Paramètres!$E$31*$AG296*$AJ296,Paramètres!$F$31),0)</f>
        <v>15</v>
      </c>
      <c r="V296" s="20" t="n">
        <f aca="false" t="array" ref="V296:V296">IF(AND(INDEX(Profils!$P$5:$P$34,$AE296)&gt;0,INDEX(Profils!$AE$5:$AE$34,$AE296)&lt;=$AH296),ROUND(INDEX(Profils!$P$5:$P$34,$AE296)*Paramètres!$E$32*$AG296*$AJ296,Paramètres!$F$32),0)</f>
        <v>0</v>
      </c>
      <c r="W296" s="20" t="n">
        <f aca="false" t="array" ref="W296:W296">IF(AND(INDEX(Profils!$Q$5:$Q$34,$AE296)&gt;0,INDEX(Profils!$AF$5:$AF$34,$AE296)&lt;=$AH296),ROUND(INDEX(Profils!$Q$5:$Q$34,$AE296)*Paramètres!$E$33*$AG296*$AJ296,Paramètres!$F$33),0)</f>
        <v>0.006</v>
      </c>
      <c r="X296" s="20" t="n">
        <f aca="false" t="array" ref="X296:X296">IF(AND(INDEX(Profils!$R$5:$R$34,$AE296)&gt;0,INDEX(Profils!$AG$5:$AG$34,$AE296)&lt;=$AH296),ROUND(INDEX(Profils!$R$5:$R$34,$AE296)*Paramètres!$E$34*$AG296*$AJ296,Paramètres!$F$34),0)</f>
        <v>0</v>
      </c>
      <c r="Y296" s="20" t="n">
        <f aca="false" t="array" ref="Y296:Y296">IF(AND(INDEX(Profils!$S$5:$S$34,$AE296)&gt;0,INDEX(Profils!$AH$5:$AH$34,$AE296)&lt;=$AH296),ROUND(INDEX(Profils!$S$5:$S$34,$AE296)*Paramètres!$E$35*$AG296*$AJ296,Paramètres!$F$35),0)</f>
        <v>0.006</v>
      </c>
      <c r="Z296" s="21" t="n">
        <f aca="false">ROUND(L296/Paramètres!$E$22+M296/Paramètres!$E$23+N296/Paramètres!$E$24+O296/Paramètres!$E$25+P296/Paramètres!$E$26+Q296/Paramètres!$E$27+R296/Paramètres!$E$28+S296/Paramètres!$E$29+T296/Paramètres!$E$30+U296/Paramètres!$E$31+V296/Paramètres!$E$32+W296/Paramètres!$E$33+X296/Paramètres!$E$34+Y296/Paramètres!$E$35,1)</f>
        <v>3.2</v>
      </c>
      <c r="AA296" s="22" t="s">
        <v>109</v>
      </c>
      <c r="AB296" s="22" t="s">
        <v>109</v>
      </c>
      <c r="AC296" s="15" t="str">
        <f aca="false">$E296</f>
        <v>fer</v>
      </c>
      <c r="AD296" s="16" t="n">
        <f aca="false" t="array" ref="AD296:AD296">IF($I296&gt;=$AI296,"Max",ROUND(Paramètres!$B$40*($I296+1)^Paramètres!$B$41*INDEX(Paramètres!$H$6:$H$12,$AF296),0))</f>
        <v>8</v>
      </c>
      <c r="AE296" s="23" t="n">
        <f aca="false">MATCH($B296&amp;"|"&amp;$C296,Profils!$A$5:$A$34,0)</f>
        <v>10</v>
      </c>
      <c r="AF296" s="23" t="n">
        <v>6</v>
      </c>
      <c r="AG296" s="24" t="n">
        <f aca="false" t="array" ref="AG296:AG296">INDEX(Paramètres!$C$6:$C$12,$AF296)</f>
        <v>2.4</v>
      </c>
      <c r="AH296" s="23" t="n">
        <f aca="false" t="array" ref="AH296:AH296">INDEX(Paramètres!$D$6:$D$12,$AF296)</f>
        <v>7</v>
      </c>
      <c r="AI296" s="23" t="n">
        <f aca="false" t="array" ref="AI296:AI296">INDEX(Matériaux!$C$16:$C$20,$D296)</f>
        <v>20</v>
      </c>
      <c r="AJ296" s="25" t="n">
        <f aca="false">Paramètres!$B$16+(1-Paramètres!$B$16)*(($J296-Paramètres!$B$14)/(Paramètres!$B$15-Paramètres!$B$14))^Paramètres!$B$17</f>
        <v>0.140847925475674</v>
      </c>
    </row>
    <row r="297" customFormat="false" ht="15.75" hidden="false" customHeight="true" outlineLevel="0" collapsed="false">
      <c r="A297" s="14" t="s">
        <v>413</v>
      </c>
      <c r="B297" s="15" t="s">
        <v>27</v>
      </c>
      <c r="C297" s="15" t="s">
        <v>401</v>
      </c>
      <c r="D297" s="16" t="n">
        <v>3</v>
      </c>
      <c r="E297" s="15" t="str">
        <f aca="false" t="array" ref="E297:E297">INDEX(Matériaux!$B$5:$F$12,MATCH(INDEX(Profils!$E$5:$E$34,$AE297),Matériaux!$A$5:$A$12,0),$D297)</f>
        <v>acier</v>
      </c>
      <c r="F297" s="17" t="s">
        <v>108</v>
      </c>
      <c r="G297" s="10" t="str">
        <f aca="false" t="array" ref="G297:G297">INDEX(Profils!$D$5:$D$34,$AE297)&amp;" en "&amp;$E297</f>
        <v>Bouclier en acier</v>
      </c>
      <c r="H297" s="16" t="n">
        <f aca="false" t="array" ref="H297:H297">INDEX(Matériaux!$B$16:$B$20,$D297)</f>
        <v>30</v>
      </c>
      <c r="I297" s="16" t="n">
        <f aca="false">IF(ISNUMBER($C$3),MIN(MAX(0,ROUND($C$3,0)),$AI297),$AI297)</f>
        <v>0</v>
      </c>
      <c r="J297" s="18" t="n">
        <f aca="false">$H297+$I297</f>
        <v>30</v>
      </c>
      <c r="K297" s="15" t="s">
        <v>109</v>
      </c>
      <c r="L297" s="19" t="n">
        <f aca="false" t="array" ref="L297:L297">IF(AND(INDEX(Profils!$F$5:$F$34,$AE297)&gt;0,INDEX(Profils!$U$5:$U$34,$AE297)&lt;=$AH297),ROUND(INDEX(Profils!$F$5:$F$34,$AE297)*Paramètres!$E$22*$AG297*$AJ297,Paramètres!$F$22),0)</f>
        <v>0</v>
      </c>
      <c r="M297" s="19" t="n">
        <f aca="false" t="array" ref="M297:M297">IF(AND(INDEX(Profils!$G$5:$G$34,$AE297)&gt;0,INDEX(Profils!$V$5:$V$34,$AE297)&lt;=$AH297),ROUND(INDEX(Profils!$G$5:$G$34,$AE297)*Paramètres!$E$23*$AG297*$AJ297,Paramètres!$F$23),0)</f>
        <v>0</v>
      </c>
      <c r="N297" s="19" t="n">
        <f aca="false" t="array" ref="N297:N297">IF(AND(INDEX(Profils!$H$5:$H$34,$AE297)&gt;0,INDEX(Profils!$W$5:$W$34,$AE297)&lt;=$AH297),ROUND(INDEX(Profils!$H$5:$H$34,$AE297)*Paramètres!$E$24*$AG297*$AJ297,Paramètres!$F$24),0)</f>
        <v>10</v>
      </c>
      <c r="O297" s="19" t="n">
        <f aca="false" t="array" ref="O297:O297">IF(AND(INDEX(Profils!$I$5:$I$34,$AE297)&gt;0,INDEX(Profils!$X$5:$X$34,$AE297)&lt;=$AH297),ROUND(INDEX(Profils!$I$5:$I$34,$AE297)*Paramètres!$E$25*$AG297*$AJ297,Paramètres!$F$25),0)</f>
        <v>0</v>
      </c>
      <c r="P297" s="19" t="n">
        <f aca="false" t="array" ref="P297:P297">IF(AND(INDEX(Profils!$J$5:$J$34,$AE297)&gt;0,INDEX(Profils!$Y$5:$Y$34,$AE297)&lt;=$AH297),ROUND(INDEX(Profils!$J$5:$J$34,$AE297)*Paramètres!$E$26*$AG297*$AJ297,Paramètres!$F$26),0)</f>
        <v>0</v>
      </c>
      <c r="Q297" s="19" t="n">
        <f aca="false" t="array" ref="Q297:Q297">IF(AND(INDEX(Profils!$K$5:$K$34,$AE297)&gt;0,INDEX(Profils!$Z$5:$Z$34,$AE297)&lt;=$AH297),ROUND(INDEX(Profils!$K$5:$K$34,$AE297)*Paramètres!$E$27*$AG297*$AJ297,Paramètres!$F$27),0)</f>
        <v>0</v>
      </c>
      <c r="R297" s="20" t="n">
        <f aca="false" t="array" ref="R297:R297">IF(AND(INDEX(Profils!$L$5:$L$34,$AE297)&gt;0,INDEX(Profils!$AA$5:$AA$34,$AE297)&lt;=$AH297),ROUND(INDEX(Profils!$L$5:$L$34,$AE297)*Paramètres!$E$28*$AG297*$AJ297,Paramètres!$F$28),0)</f>
        <v>0</v>
      </c>
      <c r="S297" s="20" t="n">
        <f aca="false" t="array" ref="S297:S297">IF(AND(INDEX(Profils!$M$5:$M$34,$AE297)&gt;0,INDEX(Profils!$AB$5:$AB$34,$AE297)&lt;=$AH297),ROUND(INDEX(Profils!$M$5:$M$34,$AE297)*Paramètres!$E$29*$AG297*$AJ297,Paramètres!$F$29),0)</f>
        <v>0</v>
      </c>
      <c r="T297" s="20" t="n">
        <f aca="false" t="array" ref="T297:T297">IF(AND(INDEX(Profils!$N$5:$N$34,$AE297)&gt;0,INDEX(Profils!$AC$5:$AC$34,$AE297)&lt;=$AH297),ROUND(INDEX(Profils!$N$5:$N$34,$AE297)*Paramètres!$E$30*$AG297*$AJ297,Paramètres!$F$30),0)</f>
        <v>0</v>
      </c>
      <c r="U297" s="19" t="n">
        <f aca="false" t="array" ref="U297:U297">IF(AND(INDEX(Profils!$O$5:$O$34,$AE297)&gt;0,INDEX(Profils!$AD$5:$AD$34,$AE297)&lt;=$AH297),ROUND(INDEX(Profils!$O$5:$O$34,$AE297)*Paramètres!$E$31*$AG297*$AJ297,Paramètres!$F$31),0)</f>
        <v>12</v>
      </c>
      <c r="V297" s="20" t="n">
        <f aca="false" t="array" ref="V297:V297">IF(AND(INDEX(Profils!$P$5:$P$34,$AE297)&gt;0,INDEX(Profils!$AE$5:$AE$34,$AE297)&lt;=$AH297),ROUND(INDEX(Profils!$P$5:$P$34,$AE297)*Paramètres!$E$32*$AG297*$AJ297,Paramètres!$F$32),0)</f>
        <v>0</v>
      </c>
      <c r="W297" s="20" t="n">
        <f aca="false" t="array" ref="W297:W297">IF(AND(INDEX(Profils!$Q$5:$Q$34,$AE297)&gt;0,INDEX(Profils!$AF$5:$AF$34,$AE297)&lt;=$AH297),ROUND(INDEX(Profils!$Q$5:$Q$34,$AE297)*Paramètres!$E$33*$AG297*$AJ297,Paramètres!$F$33),0)</f>
        <v>0</v>
      </c>
      <c r="X297" s="20" t="n">
        <f aca="false" t="array" ref="X297:X297">IF(AND(INDEX(Profils!$R$5:$R$34,$AE297)&gt;0,INDEX(Profils!$AG$5:$AG$34,$AE297)&lt;=$AH297),ROUND(INDEX(Profils!$R$5:$R$34,$AE297)*Paramètres!$E$34*$AG297*$AJ297,Paramètres!$F$34),0)</f>
        <v>0</v>
      </c>
      <c r="Y297" s="20" t="n">
        <f aca="false" t="array" ref="Y297:Y297">IF(AND(INDEX(Profils!$S$5:$S$34,$AE297)&gt;0,INDEX(Profils!$AH$5:$AH$34,$AE297)&lt;=$AH297),ROUND(INDEX(Profils!$S$5:$S$34,$AE297)*Paramètres!$E$35*$AG297*$AJ297,Paramètres!$F$35),0)</f>
        <v>0</v>
      </c>
      <c r="Z297" s="21" t="n">
        <f aca="false">ROUND(L297/Paramètres!$E$22+M297/Paramètres!$E$23+N297/Paramètres!$E$24+O297/Paramètres!$E$25+P297/Paramètres!$E$26+Q297/Paramètres!$E$27+R297/Paramètres!$E$28+S297/Paramètres!$E$29+T297/Paramètres!$E$30+U297/Paramètres!$E$31+V297/Paramètres!$E$32+W297/Paramètres!$E$33+X297/Paramètres!$E$34+Y297/Paramètres!$E$35,1)</f>
        <v>1.3</v>
      </c>
      <c r="AA297" s="22" t="s">
        <v>109</v>
      </c>
      <c r="AB297" s="22" t="s">
        <v>109</v>
      </c>
      <c r="AC297" s="15" t="str">
        <f aca="false">$E297</f>
        <v>acier</v>
      </c>
      <c r="AD297" s="16" t="n">
        <f aca="false" t="array" ref="AD297:AD297">IF($I297&gt;=$AI297,"Max",ROUND(Paramètres!$B$40*($I297+1)^Paramètres!$B$41*INDEX(Paramètres!$H$6:$H$12,$AF297),0))</f>
        <v>3</v>
      </c>
      <c r="AE297" s="23" t="n">
        <f aca="false">MATCH($B297&amp;"|"&amp;$C297,Profils!$A$5:$A$34,0)</f>
        <v>10</v>
      </c>
      <c r="AF297" s="23" t="n">
        <v>1</v>
      </c>
      <c r="AG297" s="24" t="n">
        <f aca="false" t="array" ref="AG297:AG297">INDEX(Paramètres!$C$6:$C$12,$AF297)</f>
        <v>1</v>
      </c>
      <c r="AH297" s="23" t="n">
        <f aca="false" t="array" ref="AH297:AH297">INDEX(Paramètres!$D$6:$D$12,$AF297)</f>
        <v>2</v>
      </c>
      <c r="AI297" s="23" t="n">
        <f aca="false" t="array" ref="AI297:AI297">INDEX(Matériaux!$C$16:$C$20,$D297)</f>
        <v>25</v>
      </c>
      <c r="AJ297" s="25" t="n">
        <f aca="false">Paramètres!$B$16+(1-Paramètres!$B$16)*(($J297-Paramètres!$B$14)/(Paramètres!$B$15-Paramètres!$B$14))^Paramètres!$B$17</f>
        <v>0.26769024555533</v>
      </c>
    </row>
    <row r="298" customFormat="false" ht="15.75" hidden="false" customHeight="true" outlineLevel="0" collapsed="false">
      <c r="A298" s="14" t="s">
        <v>414</v>
      </c>
      <c r="B298" s="15" t="s">
        <v>27</v>
      </c>
      <c r="C298" s="15" t="s">
        <v>401</v>
      </c>
      <c r="D298" s="16" t="n">
        <v>3</v>
      </c>
      <c r="E298" s="15" t="str">
        <f aca="false" t="array" ref="E298:E298">INDEX(Matériaux!$B$5:$F$12,MATCH(INDEX(Profils!$E$5:$E$34,$AE298),Matériaux!$A$5:$A$12,0),$D298)</f>
        <v>acier</v>
      </c>
      <c r="F298" s="26" t="s">
        <v>111</v>
      </c>
      <c r="G298" s="10" t="str">
        <f aca="false" t="array" ref="G298:G298">INDEX(Profils!$D$5:$D$34,$AE298)&amp;" en "&amp;$E298</f>
        <v>Bouclier en acier</v>
      </c>
      <c r="H298" s="16" t="n">
        <f aca="false" t="array" ref="H298:H298">INDEX(Matériaux!$B$16:$B$20,$D298)</f>
        <v>30</v>
      </c>
      <c r="I298" s="16" t="n">
        <f aca="false">IF(ISNUMBER($C$3),MIN(MAX(0,ROUND($C$3,0)),$AI298),$AI298)</f>
        <v>0</v>
      </c>
      <c r="J298" s="18" t="n">
        <f aca="false">$H298+$I298</f>
        <v>30</v>
      </c>
      <c r="K298" s="15" t="s">
        <v>109</v>
      </c>
      <c r="L298" s="19" t="n">
        <f aca="false" t="array" ref="L298:L298">IF(AND(INDEX(Profils!$F$5:$F$34,$AE298)&gt;0,INDEX(Profils!$U$5:$U$34,$AE298)&lt;=$AH298),ROUND(INDEX(Profils!$F$5:$F$34,$AE298)*Paramètres!$E$22*$AG298*$AJ298,Paramètres!$F$22),0)</f>
        <v>13</v>
      </c>
      <c r="M298" s="19" t="n">
        <f aca="false" t="array" ref="M298:M298">IF(AND(INDEX(Profils!$G$5:$G$34,$AE298)&gt;0,INDEX(Profils!$V$5:$V$34,$AE298)&lt;=$AH298),ROUND(INDEX(Profils!$G$5:$G$34,$AE298)*Paramètres!$E$23*$AG298*$AJ298,Paramètres!$F$23),0)</f>
        <v>0</v>
      </c>
      <c r="N298" s="19" t="n">
        <f aca="false" t="array" ref="N298:N298">IF(AND(INDEX(Profils!$H$5:$H$34,$AE298)&gt;0,INDEX(Profils!$W$5:$W$34,$AE298)&lt;=$AH298),ROUND(INDEX(Profils!$H$5:$H$34,$AE298)*Paramètres!$E$24*$AG298*$AJ298,Paramètres!$F$24),0)</f>
        <v>12</v>
      </c>
      <c r="O298" s="19" t="n">
        <f aca="false" t="array" ref="O298:O298">IF(AND(INDEX(Profils!$I$5:$I$34,$AE298)&gt;0,INDEX(Profils!$X$5:$X$34,$AE298)&lt;=$AH298),ROUND(INDEX(Profils!$I$5:$I$34,$AE298)*Paramètres!$E$25*$AG298*$AJ298,Paramètres!$F$25),0)</f>
        <v>0</v>
      </c>
      <c r="P298" s="19" t="n">
        <f aca="false" t="array" ref="P298:P298">IF(AND(INDEX(Profils!$J$5:$J$34,$AE298)&gt;0,INDEX(Profils!$Y$5:$Y$34,$AE298)&lt;=$AH298),ROUND(INDEX(Profils!$J$5:$J$34,$AE298)*Paramètres!$E$26*$AG298*$AJ298,Paramètres!$F$26),0)</f>
        <v>0</v>
      </c>
      <c r="Q298" s="19" t="n">
        <f aca="false" t="array" ref="Q298:Q298">IF(AND(INDEX(Profils!$K$5:$K$34,$AE298)&gt;0,INDEX(Profils!$Z$5:$Z$34,$AE298)&lt;=$AH298),ROUND(INDEX(Profils!$K$5:$K$34,$AE298)*Paramètres!$E$27*$AG298*$AJ298,Paramètres!$F$27),0)</f>
        <v>0</v>
      </c>
      <c r="R298" s="20" t="n">
        <f aca="false" t="array" ref="R298:R298">IF(AND(INDEX(Profils!$L$5:$L$34,$AE298)&gt;0,INDEX(Profils!$AA$5:$AA$34,$AE298)&lt;=$AH298),ROUND(INDEX(Profils!$L$5:$L$34,$AE298)*Paramètres!$E$28*$AG298*$AJ298,Paramètres!$F$28),0)</f>
        <v>0</v>
      </c>
      <c r="S298" s="20" t="n">
        <f aca="false" t="array" ref="S298:S298">IF(AND(INDEX(Profils!$M$5:$M$34,$AE298)&gt;0,INDEX(Profils!$AB$5:$AB$34,$AE298)&lt;=$AH298),ROUND(INDEX(Profils!$M$5:$M$34,$AE298)*Paramètres!$E$29*$AG298*$AJ298,Paramètres!$F$29),0)</f>
        <v>0</v>
      </c>
      <c r="T298" s="20" t="n">
        <f aca="false" t="array" ref="T298:T298">IF(AND(INDEX(Profils!$N$5:$N$34,$AE298)&gt;0,INDEX(Profils!$AC$5:$AC$34,$AE298)&lt;=$AH298),ROUND(INDEX(Profils!$N$5:$N$34,$AE298)*Paramètres!$E$30*$AG298*$AJ298,Paramètres!$F$30),0)</f>
        <v>0</v>
      </c>
      <c r="U298" s="19" t="n">
        <f aca="false" t="array" ref="U298:U298">IF(AND(INDEX(Profils!$O$5:$O$34,$AE298)&gt;0,INDEX(Profils!$AD$5:$AD$34,$AE298)&lt;=$AH298),ROUND(INDEX(Profils!$O$5:$O$34,$AE298)*Paramètres!$E$31*$AG298*$AJ298,Paramètres!$F$31),0)</f>
        <v>14</v>
      </c>
      <c r="V298" s="20" t="n">
        <f aca="false" t="array" ref="V298:V298">IF(AND(INDEX(Profils!$P$5:$P$34,$AE298)&gt;0,INDEX(Profils!$AE$5:$AE$34,$AE298)&lt;=$AH298),ROUND(INDEX(Profils!$P$5:$P$34,$AE298)*Paramètres!$E$32*$AG298*$AJ298,Paramètres!$F$32),0)</f>
        <v>0</v>
      </c>
      <c r="W298" s="20" t="n">
        <f aca="false" t="array" ref="W298:W298">IF(AND(INDEX(Profils!$Q$5:$Q$34,$AE298)&gt;0,INDEX(Profils!$AF$5:$AF$34,$AE298)&lt;=$AH298),ROUND(INDEX(Profils!$Q$5:$Q$34,$AE298)*Paramètres!$E$33*$AG298*$AJ298,Paramètres!$F$33),0)</f>
        <v>0</v>
      </c>
      <c r="X298" s="20" t="n">
        <f aca="false" t="array" ref="X298:X298">IF(AND(INDEX(Profils!$R$5:$R$34,$AE298)&gt;0,INDEX(Profils!$AG$5:$AG$34,$AE298)&lt;=$AH298),ROUND(INDEX(Profils!$R$5:$R$34,$AE298)*Paramètres!$E$34*$AG298*$AJ298,Paramètres!$F$34),0)</f>
        <v>0</v>
      </c>
      <c r="Y298" s="20" t="n">
        <f aca="false" t="array" ref="Y298:Y298">IF(AND(INDEX(Profils!$S$5:$S$34,$AE298)&gt;0,INDEX(Profils!$AH$5:$AH$34,$AE298)&lt;=$AH298),ROUND(INDEX(Profils!$S$5:$S$34,$AE298)*Paramètres!$E$35*$AG298*$AJ298,Paramètres!$F$35),0)</f>
        <v>0</v>
      </c>
      <c r="Z298" s="21" t="n">
        <f aca="false">ROUND(L298/Paramètres!$E$22+M298/Paramètres!$E$23+N298/Paramètres!$E$24+O298/Paramètres!$E$25+P298/Paramètres!$E$26+Q298/Paramètres!$E$27+R298/Paramètres!$E$28+S298/Paramètres!$E$29+T298/Paramètres!$E$30+U298/Paramètres!$E$31+V298/Paramètres!$E$32+W298/Paramètres!$E$33+X298/Paramètres!$E$34+Y298/Paramètres!$E$35,1)</f>
        <v>2</v>
      </c>
      <c r="AA298" s="22" t="s">
        <v>109</v>
      </c>
      <c r="AB298" s="22" t="s">
        <v>109</v>
      </c>
      <c r="AC298" s="15" t="str">
        <f aca="false">$E298</f>
        <v>acier</v>
      </c>
      <c r="AD298" s="16" t="n">
        <f aca="false" t="array" ref="AD298:AD298">IF($I298&gt;=$AI298,"Max",ROUND(Paramètres!$B$40*($I298+1)^Paramètres!$B$41*INDEX(Paramètres!$H$6:$H$12,$AF298),0))</f>
        <v>4</v>
      </c>
      <c r="AE298" s="23" t="n">
        <f aca="false">MATCH($B298&amp;"|"&amp;$C298,Profils!$A$5:$A$34,0)</f>
        <v>10</v>
      </c>
      <c r="AF298" s="23" t="n">
        <v>2</v>
      </c>
      <c r="AG298" s="24" t="n">
        <f aca="false" t="array" ref="AG298:AG298">INDEX(Paramètres!$C$6:$C$12,$AF298)</f>
        <v>1.2</v>
      </c>
      <c r="AH298" s="23" t="n">
        <f aca="false" t="array" ref="AH298:AH298">INDEX(Paramètres!$D$6:$D$12,$AF298)</f>
        <v>3</v>
      </c>
      <c r="AI298" s="23" t="n">
        <f aca="false" t="array" ref="AI298:AI298">INDEX(Matériaux!$C$16:$C$20,$D298)</f>
        <v>25</v>
      </c>
      <c r="AJ298" s="25" t="n">
        <f aca="false">Paramètres!$B$16+(1-Paramètres!$B$16)*(($J298-Paramètres!$B$14)/(Paramètres!$B$15-Paramètres!$B$14))^Paramètres!$B$17</f>
        <v>0.26769024555533</v>
      </c>
    </row>
    <row r="299" customFormat="false" ht="15.75" hidden="false" customHeight="true" outlineLevel="0" collapsed="false">
      <c r="A299" s="14" t="s">
        <v>415</v>
      </c>
      <c r="B299" s="15" t="s">
        <v>27</v>
      </c>
      <c r="C299" s="15" t="s">
        <v>401</v>
      </c>
      <c r="D299" s="16" t="n">
        <v>3</v>
      </c>
      <c r="E299" s="15" t="str">
        <f aca="false" t="array" ref="E299:E299">INDEX(Matériaux!$B$5:$F$12,MATCH(INDEX(Profils!$E$5:$E$34,$AE299),Matériaux!$A$5:$A$12,0),$D299)</f>
        <v>acier</v>
      </c>
      <c r="F299" s="27" t="s">
        <v>113</v>
      </c>
      <c r="G299" s="10" t="str">
        <f aca="false" t="array" ref="G299:G299">INDEX(Profils!$D$5:$D$34,$AE299)&amp;" en "&amp;$E299</f>
        <v>Bouclier en acier</v>
      </c>
      <c r="H299" s="16" t="n">
        <f aca="false" t="array" ref="H299:H299">INDEX(Matériaux!$B$16:$B$20,$D299)</f>
        <v>30</v>
      </c>
      <c r="I299" s="16" t="n">
        <f aca="false">IF(ISNUMBER($C$3),MIN(MAX(0,ROUND($C$3,0)),$AI299),$AI299)</f>
        <v>0</v>
      </c>
      <c r="J299" s="18" t="n">
        <f aca="false">$H299+$I299</f>
        <v>30</v>
      </c>
      <c r="K299" s="15" t="s">
        <v>109</v>
      </c>
      <c r="L299" s="19" t="n">
        <f aca="false" t="array" ref="L299:L299">IF(AND(INDEX(Profils!$F$5:$F$34,$AE299)&gt;0,INDEX(Profils!$U$5:$U$34,$AE299)&lt;=$AH299),ROUND(INDEX(Profils!$F$5:$F$34,$AE299)*Paramètres!$E$22*$AG299*$AJ299,Paramètres!$F$22),0)</f>
        <v>16</v>
      </c>
      <c r="M299" s="19" t="n">
        <f aca="false" t="array" ref="M299:M299">IF(AND(INDEX(Profils!$G$5:$G$34,$AE299)&gt;0,INDEX(Profils!$V$5:$V$34,$AE299)&lt;=$AH299),ROUND(INDEX(Profils!$G$5:$G$34,$AE299)*Paramètres!$E$23*$AG299*$AJ299,Paramètres!$F$23),0)</f>
        <v>0</v>
      </c>
      <c r="N299" s="19" t="n">
        <f aca="false" t="array" ref="N299:N299">IF(AND(INDEX(Profils!$H$5:$H$34,$AE299)&gt;0,INDEX(Profils!$W$5:$W$34,$AE299)&lt;=$AH299),ROUND(INDEX(Profils!$H$5:$H$34,$AE299)*Paramètres!$E$24*$AG299*$AJ299,Paramètres!$F$24),0)</f>
        <v>14</v>
      </c>
      <c r="O299" s="19" t="n">
        <f aca="false" t="array" ref="O299:O299">IF(AND(INDEX(Profils!$I$5:$I$34,$AE299)&gt;0,INDEX(Profils!$X$5:$X$34,$AE299)&lt;=$AH299),ROUND(INDEX(Profils!$I$5:$I$34,$AE299)*Paramètres!$E$25*$AG299*$AJ299,Paramètres!$F$25),0)</f>
        <v>0</v>
      </c>
      <c r="P299" s="19" t="n">
        <f aca="false" t="array" ref="P299:P299">IF(AND(INDEX(Profils!$J$5:$J$34,$AE299)&gt;0,INDEX(Profils!$Y$5:$Y$34,$AE299)&lt;=$AH299),ROUND(INDEX(Profils!$J$5:$J$34,$AE299)*Paramètres!$E$26*$AG299*$AJ299,Paramètres!$F$26),0)</f>
        <v>0</v>
      </c>
      <c r="Q299" s="19" t="n">
        <f aca="false" t="array" ref="Q299:Q299">IF(AND(INDEX(Profils!$K$5:$K$34,$AE299)&gt;0,INDEX(Profils!$Z$5:$Z$34,$AE299)&lt;=$AH299),ROUND(INDEX(Profils!$K$5:$K$34,$AE299)*Paramètres!$E$27*$AG299*$AJ299,Paramètres!$F$27),0)</f>
        <v>0</v>
      </c>
      <c r="R299" s="20" t="n">
        <f aca="false" t="array" ref="R299:R299">IF(AND(INDEX(Profils!$L$5:$L$34,$AE299)&gt;0,INDEX(Profils!$AA$5:$AA$34,$AE299)&lt;=$AH299),ROUND(INDEX(Profils!$L$5:$L$34,$AE299)*Paramètres!$E$28*$AG299*$AJ299,Paramètres!$F$28),0)</f>
        <v>0</v>
      </c>
      <c r="S299" s="20" t="n">
        <f aca="false" t="array" ref="S299:S299">IF(AND(INDEX(Profils!$M$5:$M$34,$AE299)&gt;0,INDEX(Profils!$AB$5:$AB$34,$AE299)&lt;=$AH299),ROUND(INDEX(Profils!$M$5:$M$34,$AE299)*Paramètres!$E$29*$AG299*$AJ299,Paramètres!$F$29),0)</f>
        <v>0</v>
      </c>
      <c r="T299" s="20" t="n">
        <f aca="false" t="array" ref="T299:T299">IF(AND(INDEX(Profils!$N$5:$N$34,$AE299)&gt;0,INDEX(Profils!$AC$5:$AC$34,$AE299)&lt;=$AH299),ROUND(INDEX(Profils!$N$5:$N$34,$AE299)*Paramètres!$E$30*$AG299*$AJ299,Paramètres!$F$30),0)</f>
        <v>0</v>
      </c>
      <c r="U299" s="19" t="n">
        <f aca="false" t="array" ref="U299:U299">IF(AND(INDEX(Profils!$O$5:$O$34,$AE299)&gt;0,INDEX(Profils!$AD$5:$AD$34,$AE299)&lt;=$AH299),ROUND(INDEX(Profils!$O$5:$O$34,$AE299)*Paramètres!$E$31*$AG299*$AJ299,Paramètres!$F$31),0)</f>
        <v>17</v>
      </c>
      <c r="V299" s="20" t="n">
        <f aca="false" t="array" ref="V299:V299">IF(AND(INDEX(Profils!$P$5:$P$34,$AE299)&gt;0,INDEX(Profils!$AE$5:$AE$34,$AE299)&lt;=$AH299),ROUND(INDEX(Profils!$P$5:$P$34,$AE299)*Paramètres!$E$32*$AG299*$AJ299,Paramètres!$F$32),0)</f>
        <v>0</v>
      </c>
      <c r="W299" s="20" t="n">
        <f aca="false" t="array" ref="W299:W299">IF(AND(INDEX(Profils!$Q$5:$Q$34,$AE299)&gt;0,INDEX(Profils!$AF$5:$AF$34,$AE299)&lt;=$AH299),ROUND(INDEX(Profils!$Q$5:$Q$34,$AE299)*Paramètres!$E$33*$AG299*$AJ299,Paramètres!$F$33),0)</f>
        <v>0.007</v>
      </c>
      <c r="X299" s="20" t="n">
        <f aca="false" t="array" ref="X299:X299">IF(AND(INDEX(Profils!$R$5:$R$34,$AE299)&gt;0,INDEX(Profils!$AG$5:$AG$34,$AE299)&lt;=$AH299),ROUND(INDEX(Profils!$R$5:$R$34,$AE299)*Paramètres!$E$34*$AG299*$AJ299,Paramètres!$F$34),0)</f>
        <v>0</v>
      </c>
      <c r="Y299" s="20" t="n">
        <f aca="false" t="array" ref="Y299:Y299">IF(AND(INDEX(Profils!$S$5:$S$34,$AE299)&gt;0,INDEX(Profils!$AH$5:$AH$34,$AE299)&lt;=$AH299),ROUND(INDEX(Profils!$S$5:$S$34,$AE299)*Paramètres!$E$35*$AG299*$AJ299,Paramètres!$F$35),0)</f>
        <v>0</v>
      </c>
      <c r="Z299" s="21" t="n">
        <f aca="false">ROUND(L299/Paramètres!$E$22+M299/Paramètres!$E$23+N299/Paramètres!$E$24+O299/Paramètres!$E$25+P299/Paramètres!$E$26+Q299/Paramètres!$E$27+R299/Paramètres!$E$28+S299/Paramètres!$E$29+T299/Paramètres!$E$30+U299/Paramètres!$E$31+V299/Paramètres!$E$32+W299/Paramètres!$E$33+X299/Paramètres!$E$34+Y299/Paramètres!$E$35,1)</f>
        <v>2.9</v>
      </c>
      <c r="AA299" s="22" t="s">
        <v>109</v>
      </c>
      <c r="AB299" s="22" t="s">
        <v>109</v>
      </c>
      <c r="AC299" s="15" t="str">
        <f aca="false">$E299</f>
        <v>acier</v>
      </c>
      <c r="AD299" s="16" t="n">
        <f aca="false" t="array" ref="AD299:AD299">IF($I299&gt;=$AI299,"Max",ROUND(Paramètres!$B$40*($I299+1)^Paramètres!$B$41*INDEX(Paramètres!$H$6:$H$12,$AF299),0))</f>
        <v>4</v>
      </c>
      <c r="AE299" s="23" t="n">
        <f aca="false">MATCH($B299&amp;"|"&amp;$C299,Profils!$A$5:$A$34,0)</f>
        <v>10</v>
      </c>
      <c r="AF299" s="23" t="n">
        <v>3</v>
      </c>
      <c r="AG299" s="24" t="n">
        <f aca="false" t="array" ref="AG299:AG299">INDEX(Paramètres!$C$6:$C$12,$AF299)</f>
        <v>1.45</v>
      </c>
      <c r="AH299" s="23" t="n">
        <f aca="false" t="array" ref="AH299:AH299">INDEX(Paramètres!$D$6:$D$12,$AF299)</f>
        <v>4</v>
      </c>
      <c r="AI299" s="23" t="n">
        <f aca="false" t="array" ref="AI299:AI299">INDEX(Matériaux!$C$16:$C$20,$D299)</f>
        <v>25</v>
      </c>
      <c r="AJ299" s="25" t="n">
        <f aca="false">Paramètres!$B$16+(1-Paramètres!$B$16)*(($J299-Paramètres!$B$14)/(Paramètres!$B$15-Paramètres!$B$14))^Paramètres!$B$17</f>
        <v>0.26769024555533</v>
      </c>
    </row>
    <row r="300" customFormat="false" ht="15.75" hidden="false" customHeight="true" outlineLevel="0" collapsed="false">
      <c r="A300" s="14" t="s">
        <v>416</v>
      </c>
      <c r="B300" s="15" t="s">
        <v>27</v>
      </c>
      <c r="C300" s="15" t="s">
        <v>401</v>
      </c>
      <c r="D300" s="16" t="n">
        <v>3</v>
      </c>
      <c r="E300" s="15" t="str">
        <f aca="false" t="array" ref="E300:E300">INDEX(Matériaux!$B$5:$F$12,MATCH(INDEX(Profils!$E$5:$E$34,$AE300),Matériaux!$A$5:$A$12,0),$D300)</f>
        <v>acier</v>
      </c>
      <c r="F300" s="28" t="s">
        <v>115</v>
      </c>
      <c r="G300" s="10" t="str">
        <f aca="false" t="array" ref="G300:G300">INDEX(Profils!$D$5:$D$34,$AE300)&amp;" en "&amp;$E300</f>
        <v>Bouclier en acier</v>
      </c>
      <c r="H300" s="16" t="n">
        <f aca="false" t="array" ref="H300:H300">INDEX(Matériaux!$B$16:$B$20,$D300)</f>
        <v>30</v>
      </c>
      <c r="I300" s="16" t="n">
        <f aca="false">IF(ISNUMBER($C$3),MIN(MAX(0,ROUND($C$3,0)),$AI300),$AI300)</f>
        <v>0</v>
      </c>
      <c r="J300" s="18" t="n">
        <f aca="false">$H300+$I300</f>
        <v>30</v>
      </c>
      <c r="K300" s="15" t="s">
        <v>109</v>
      </c>
      <c r="L300" s="19" t="n">
        <f aca="false" t="array" ref="L300:L300">IF(AND(INDEX(Profils!$F$5:$F$34,$AE300)&gt;0,INDEX(Profils!$U$5:$U$34,$AE300)&lt;=$AH300),ROUND(INDEX(Profils!$F$5:$F$34,$AE300)*Paramètres!$E$22*$AG300*$AJ300,Paramètres!$F$22),0)</f>
        <v>19</v>
      </c>
      <c r="M300" s="19" t="n">
        <f aca="false" t="array" ref="M300:M300">IF(AND(INDEX(Profils!$G$5:$G$34,$AE300)&gt;0,INDEX(Profils!$V$5:$V$34,$AE300)&lt;=$AH300),ROUND(INDEX(Profils!$G$5:$G$34,$AE300)*Paramètres!$E$23*$AG300*$AJ300,Paramètres!$F$23),0)</f>
        <v>0</v>
      </c>
      <c r="N300" s="19" t="n">
        <f aca="false" t="array" ref="N300:N300">IF(AND(INDEX(Profils!$H$5:$H$34,$AE300)&gt;0,INDEX(Profils!$W$5:$W$34,$AE300)&lt;=$AH300),ROUND(INDEX(Profils!$H$5:$H$34,$AE300)*Paramètres!$E$24*$AG300*$AJ300,Paramètres!$F$24),0)</f>
        <v>17</v>
      </c>
      <c r="O300" s="19" t="n">
        <f aca="false" t="array" ref="O300:O300">IF(AND(INDEX(Profils!$I$5:$I$34,$AE300)&gt;0,INDEX(Profils!$X$5:$X$34,$AE300)&lt;=$AH300),ROUND(INDEX(Profils!$I$5:$I$34,$AE300)*Paramètres!$E$25*$AG300*$AJ300,Paramètres!$F$25),0)</f>
        <v>0</v>
      </c>
      <c r="P300" s="19" t="n">
        <f aca="false" t="array" ref="P300:P300">IF(AND(INDEX(Profils!$J$5:$J$34,$AE300)&gt;0,INDEX(Profils!$Y$5:$Y$34,$AE300)&lt;=$AH300),ROUND(INDEX(Profils!$J$5:$J$34,$AE300)*Paramètres!$E$26*$AG300*$AJ300,Paramètres!$F$26),0)</f>
        <v>0</v>
      </c>
      <c r="Q300" s="19" t="n">
        <f aca="false" t="array" ref="Q300:Q300">IF(AND(INDEX(Profils!$K$5:$K$34,$AE300)&gt;0,INDEX(Profils!$Z$5:$Z$34,$AE300)&lt;=$AH300),ROUND(INDEX(Profils!$K$5:$K$34,$AE300)*Paramètres!$E$27*$AG300*$AJ300,Paramètres!$F$27),0)</f>
        <v>0</v>
      </c>
      <c r="R300" s="20" t="n">
        <f aca="false" t="array" ref="R300:R300">IF(AND(INDEX(Profils!$L$5:$L$34,$AE300)&gt;0,INDEX(Profils!$AA$5:$AA$34,$AE300)&lt;=$AH300),ROUND(INDEX(Profils!$L$5:$L$34,$AE300)*Paramètres!$E$28*$AG300*$AJ300,Paramètres!$F$28),0)</f>
        <v>0</v>
      </c>
      <c r="S300" s="20" t="n">
        <f aca="false" t="array" ref="S300:S300">IF(AND(INDEX(Profils!$M$5:$M$34,$AE300)&gt;0,INDEX(Profils!$AB$5:$AB$34,$AE300)&lt;=$AH300),ROUND(INDEX(Profils!$M$5:$M$34,$AE300)*Paramètres!$E$29*$AG300*$AJ300,Paramètres!$F$29),0)</f>
        <v>0</v>
      </c>
      <c r="T300" s="20" t="n">
        <f aca="false" t="array" ref="T300:T300">IF(AND(INDEX(Profils!$N$5:$N$34,$AE300)&gt;0,INDEX(Profils!$AC$5:$AC$34,$AE300)&lt;=$AH300),ROUND(INDEX(Profils!$N$5:$N$34,$AE300)*Paramètres!$E$30*$AG300*$AJ300,Paramètres!$F$30),0)</f>
        <v>0</v>
      </c>
      <c r="U300" s="19" t="n">
        <f aca="false" t="array" ref="U300:U300">IF(AND(INDEX(Profils!$O$5:$O$34,$AE300)&gt;0,INDEX(Profils!$AD$5:$AD$34,$AE300)&lt;=$AH300),ROUND(INDEX(Profils!$O$5:$O$34,$AE300)*Paramètres!$E$31*$AG300*$AJ300,Paramètres!$F$31),0)</f>
        <v>21</v>
      </c>
      <c r="V300" s="20" t="n">
        <f aca="false" t="array" ref="V300:V300">IF(AND(INDEX(Profils!$P$5:$P$34,$AE300)&gt;0,INDEX(Profils!$AE$5:$AE$34,$AE300)&lt;=$AH300),ROUND(INDEX(Profils!$P$5:$P$34,$AE300)*Paramètres!$E$32*$AG300*$AJ300,Paramètres!$F$32),0)</f>
        <v>0</v>
      </c>
      <c r="W300" s="20" t="n">
        <f aca="false" t="array" ref="W300:W300">IF(AND(INDEX(Profils!$Q$5:$Q$34,$AE300)&gt;0,INDEX(Profils!$AF$5:$AF$34,$AE300)&lt;=$AH300),ROUND(INDEX(Profils!$Q$5:$Q$34,$AE300)*Paramètres!$E$33*$AG300*$AJ300,Paramètres!$F$33),0)</f>
        <v>0.008</v>
      </c>
      <c r="X300" s="20" t="n">
        <f aca="false" t="array" ref="X300:X300">IF(AND(INDEX(Profils!$R$5:$R$34,$AE300)&gt;0,INDEX(Profils!$AG$5:$AG$34,$AE300)&lt;=$AH300),ROUND(INDEX(Profils!$R$5:$R$34,$AE300)*Paramètres!$E$34*$AG300*$AJ300,Paramètres!$F$34),0)</f>
        <v>0</v>
      </c>
      <c r="Y300" s="20" t="n">
        <f aca="false" t="array" ref="Y300:Y300">IF(AND(INDEX(Profils!$S$5:$S$34,$AE300)&gt;0,INDEX(Profils!$AH$5:$AH$34,$AE300)&lt;=$AH300),ROUND(INDEX(Profils!$S$5:$S$34,$AE300)*Paramètres!$E$35*$AG300*$AJ300,Paramètres!$F$35),0)</f>
        <v>0.008</v>
      </c>
      <c r="Z300" s="21" t="n">
        <f aca="false">ROUND(L300/Paramètres!$E$22+M300/Paramètres!$E$23+N300/Paramètres!$E$24+O300/Paramètres!$E$25+P300/Paramètres!$E$26+Q300/Paramètres!$E$27+R300/Paramètres!$E$28+S300/Paramètres!$E$29+T300/Paramètres!$E$30+U300/Paramètres!$E$31+V300/Paramètres!$E$32+W300/Paramètres!$E$33+X300/Paramètres!$E$34+Y300/Paramètres!$E$35,1)</f>
        <v>4</v>
      </c>
      <c r="AA300" s="22" t="s">
        <v>109</v>
      </c>
      <c r="AB300" s="22" t="s">
        <v>109</v>
      </c>
      <c r="AC300" s="15" t="str">
        <f aca="false">$E300</f>
        <v>acier</v>
      </c>
      <c r="AD300" s="16" t="n">
        <f aca="false" t="array" ref="AD300:AD300">IF($I300&gt;=$AI300,"Max",ROUND(Paramètres!$B$40*($I300+1)^Paramètres!$B$41*INDEX(Paramètres!$H$6:$H$12,$AF300),0))</f>
        <v>5</v>
      </c>
      <c r="AE300" s="23" t="n">
        <f aca="false">MATCH($B300&amp;"|"&amp;$C300,Profils!$A$5:$A$34,0)</f>
        <v>10</v>
      </c>
      <c r="AF300" s="23" t="n">
        <v>4</v>
      </c>
      <c r="AG300" s="24" t="n">
        <f aca="false" t="array" ref="AG300:AG300">INDEX(Paramètres!$C$6:$C$12,$AF300)</f>
        <v>1.75</v>
      </c>
      <c r="AH300" s="23" t="n">
        <f aca="false" t="array" ref="AH300:AH300">INDEX(Paramètres!$D$6:$D$12,$AF300)</f>
        <v>5</v>
      </c>
      <c r="AI300" s="23" t="n">
        <f aca="false" t="array" ref="AI300:AI300">INDEX(Matériaux!$C$16:$C$20,$D300)</f>
        <v>25</v>
      </c>
      <c r="AJ300" s="25" t="n">
        <f aca="false">Paramètres!$B$16+(1-Paramètres!$B$16)*(($J300-Paramètres!$B$14)/(Paramètres!$B$15-Paramètres!$B$14))^Paramètres!$B$17</f>
        <v>0.26769024555533</v>
      </c>
    </row>
    <row r="301" customFormat="false" ht="15.75" hidden="false" customHeight="true" outlineLevel="0" collapsed="false">
      <c r="A301" s="14" t="s">
        <v>417</v>
      </c>
      <c r="B301" s="15" t="s">
        <v>27</v>
      </c>
      <c r="C301" s="15" t="s">
        <v>401</v>
      </c>
      <c r="D301" s="16" t="n">
        <v>3</v>
      </c>
      <c r="E301" s="15" t="str">
        <f aca="false" t="array" ref="E301:E301">INDEX(Matériaux!$B$5:$F$12,MATCH(INDEX(Profils!$E$5:$E$34,$AE301),Matériaux!$A$5:$A$12,0),$D301)</f>
        <v>acier</v>
      </c>
      <c r="F301" s="29" t="s">
        <v>117</v>
      </c>
      <c r="G301" s="10" t="str">
        <f aca="false" t="array" ref="G301:G301">INDEX(Profils!$D$5:$D$34,$AE301)&amp;" en "&amp;$E301</f>
        <v>Bouclier en acier</v>
      </c>
      <c r="H301" s="16" t="n">
        <f aca="false" t="array" ref="H301:H301">INDEX(Matériaux!$B$16:$B$20,$D301)</f>
        <v>30</v>
      </c>
      <c r="I301" s="16" t="n">
        <f aca="false">IF(ISNUMBER($C$3),MIN(MAX(0,ROUND($C$3,0)),$AI301),$AI301)</f>
        <v>0</v>
      </c>
      <c r="J301" s="18" t="n">
        <f aca="false">$H301+$I301</f>
        <v>30</v>
      </c>
      <c r="K301" s="15" t="s">
        <v>109</v>
      </c>
      <c r="L301" s="19" t="n">
        <f aca="false" t="array" ref="L301:L301">IF(AND(INDEX(Profils!$F$5:$F$34,$AE301)&gt;0,INDEX(Profils!$U$5:$U$34,$AE301)&lt;=$AH301),ROUND(INDEX(Profils!$F$5:$F$34,$AE301)*Paramètres!$E$22*$AG301*$AJ301,Paramètres!$F$22),0)</f>
        <v>22</v>
      </c>
      <c r="M301" s="19" t="n">
        <f aca="false" t="array" ref="M301:M301">IF(AND(INDEX(Profils!$G$5:$G$34,$AE301)&gt;0,INDEX(Profils!$V$5:$V$34,$AE301)&lt;=$AH301),ROUND(INDEX(Profils!$G$5:$G$34,$AE301)*Paramètres!$E$23*$AG301*$AJ301,Paramètres!$F$23),0)</f>
        <v>5</v>
      </c>
      <c r="N301" s="19" t="n">
        <f aca="false" t="array" ref="N301:N301">IF(AND(INDEX(Profils!$H$5:$H$34,$AE301)&gt;0,INDEX(Profils!$W$5:$W$34,$AE301)&lt;=$AH301),ROUND(INDEX(Profils!$H$5:$H$34,$AE301)*Paramètres!$E$24*$AG301*$AJ301,Paramètres!$F$24),0)</f>
        <v>20</v>
      </c>
      <c r="O301" s="19" t="n">
        <f aca="false" t="array" ref="O301:O301">IF(AND(INDEX(Profils!$I$5:$I$34,$AE301)&gt;0,INDEX(Profils!$X$5:$X$34,$AE301)&lt;=$AH301),ROUND(INDEX(Profils!$I$5:$I$34,$AE301)*Paramètres!$E$25*$AG301*$AJ301,Paramètres!$F$25),0)</f>
        <v>0</v>
      </c>
      <c r="P301" s="19" t="n">
        <f aca="false" t="array" ref="P301:P301">IF(AND(INDEX(Profils!$J$5:$J$34,$AE301)&gt;0,INDEX(Profils!$Y$5:$Y$34,$AE301)&lt;=$AH301),ROUND(INDEX(Profils!$J$5:$J$34,$AE301)*Paramètres!$E$26*$AG301*$AJ301,Paramètres!$F$26),0)</f>
        <v>0</v>
      </c>
      <c r="Q301" s="19" t="n">
        <f aca="false" t="array" ref="Q301:Q301">IF(AND(INDEX(Profils!$K$5:$K$34,$AE301)&gt;0,INDEX(Profils!$Z$5:$Z$34,$AE301)&lt;=$AH301),ROUND(INDEX(Profils!$K$5:$K$34,$AE301)*Paramètres!$E$27*$AG301*$AJ301,Paramètres!$F$27),0)</f>
        <v>0</v>
      </c>
      <c r="R301" s="20" t="n">
        <f aca="false" t="array" ref="R301:R301">IF(AND(INDEX(Profils!$L$5:$L$34,$AE301)&gt;0,INDEX(Profils!$AA$5:$AA$34,$AE301)&lt;=$AH301),ROUND(INDEX(Profils!$L$5:$L$34,$AE301)*Paramètres!$E$28*$AG301*$AJ301,Paramètres!$F$28),0)</f>
        <v>0</v>
      </c>
      <c r="S301" s="20" t="n">
        <f aca="false" t="array" ref="S301:S301">IF(AND(INDEX(Profils!$M$5:$M$34,$AE301)&gt;0,INDEX(Profils!$AB$5:$AB$34,$AE301)&lt;=$AH301),ROUND(INDEX(Profils!$M$5:$M$34,$AE301)*Paramètres!$E$29*$AG301*$AJ301,Paramètres!$F$29),0)</f>
        <v>0</v>
      </c>
      <c r="T301" s="20" t="n">
        <f aca="false" t="array" ref="T301:T301">IF(AND(INDEX(Profils!$N$5:$N$34,$AE301)&gt;0,INDEX(Profils!$AC$5:$AC$34,$AE301)&lt;=$AH301),ROUND(INDEX(Profils!$N$5:$N$34,$AE301)*Paramètres!$E$30*$AG301*$AJ301,Paramètres!$F$30),0)</f>
        <v>0</v>
      </c>
      <c r="U301" s="19" t="n">
        <f aca="false" t="array" ref="U301:U301">IF(AND(INDEX(Profils!$O$5:$O$34,$AE301)&gt;0,INDEX(Profils!$AD$5:$AD$34,$AE301)&lt;=$AH301),ROUND(INDEX(Profils!$O$5:$O$34,$AE301)*Paramètres!$E$31*$AG301*$AJ301,Paramètres!$F$31),0)</f>
        <v>25</v>
      </c>
      <c r="V301" s="20" t="n">
        <f aca="false" t="array" ref="V301:V301">IF(AND(INDEX(Profils!$P$5:$P$34,$AE301)&gt;0,INDEX(Profils!$AE$5:$AE$34,$AE301)&lt;=$AH301),ROUND(INDEX(Profils!$P$5:$P$34,$AE301)*Paramètres!$E$32*$AG301*$AJ301,Paramètres!$F$32),0)</f>
        <v>0</v>
      </c>
      <c r="W301" s="20" t="n">
        <f aca="false" t="array" ref="W301:W301">IF(AND(INDEX(Profils!$Q$5:$Q$34,$AE301)&gt;0,INDEX(Profils!$AF$5:$AF$34,$AE301)&lt;=$AH301),ROUND(INDEX(Profils!$Q$5:$Q$34,$AE301)*Paramètres!$E$33*$AG301*$AJ301,Paramètres!$F$33),0)</f>
        <v>0.01</v>
      </c>
      <c r="X301" s="20" t="n">
        <f aca="false" t="array" ref="X301:X301">IF(AND(INDEX(Profils!$R$5:$R$34,$AE301)&gt;0,INDEX(Profils!$AG$5:$AG$34,$AE301)&lt;=$AH301),ROUND(INDEX(Profils!$R$5:$R$34,$AE301)*Paramètres!$E$34*$AG301*$AJ301,Paramètres!$F$34),0)</f>
        <v>0</v>
      </c>
      <c r="Y301" s="20" t="n">
        <f aca="false" t="array" ref="Y301:Y301">IF(AND(INDEX(Profils!$S$5:$S$34,$AE301)&gt;0,INDEX(Profils!$AH$5:$AH$34,$AE301)&lt;=$AH301),ROUND(INDEX(Profils!$S$5:$S$34,$AE301)*Paramètres!$E$35*$AG301*$AJ301,Paramètres!$F$35),0)</f>
        <v>0.01</v>
      </c>
      <c r="Z301" s="21" t="n">
        <f aca="false">ROUND(L301/Paramètres!$E$22+M301/Paramètres!$E$23+N301/Paramètres!$E$24+O301/Paramètres!$E$25+P301/Paramètres!$E$26+Q301/Paramètres!$E$27+R301/Paramètres!$E$28+S301/Paramètres!$E$29+T301/Paramètres!$E$30+U301/Paramètres!$E$31+V301/Paramètres!$E$32+W301/Paramètres!$E$33+X301/Paramètres!$E$34+Y301/Paramètres!$E$35,1)</f>
        <v>5.1</v>
      </c>
      <c r="AA301" s="22" t="s">
        <v>109</v>
      </c>
      <c r="AB301" s="22" t="s">
        <v>109</v>
      </c>
      <c r="AC301" s="15" t="str">
        <f aca="false">$E301</f>
        <v>acier</v>
      </c>
      <c r="AD301" s="16" t="n">
        <f aca="false" t="array" ref="AD301:AD301">IF($I301&gt;=$AI301,"Max",ROUND(Paramètres!$B$40*($I301+1)^Paramètres!$B$41*INDEX(Paramètres!$H$6:$H$12,$AF301),0))</f>
        <v>6</v>
      </c>
      <c r="AE301" s="23" t="n">
        <f aca="false">MATCH($B301&amp;"|"&amp;$C301,Profils!$A$5:$A$34,0)</f>
        <v>10</v>
      </c>
      <c r="AF301" s="23" t="n">
        <v>5</v>
      </c>
      <c r="AG301" s="24" t="n">
        <f aca="false" t="array" ref="AG301:AG301">INDEX(Paramètres!$C$6:$C$12,$AF301)</f>
        <v>2.1</v>
      </c>
      <c r="AH301" s="23" t="n">
        <f aca="false" t="array" ref="AH301:AH301">INDEX(Paramètres!$D$6:$D$12,$AF301)</f>
        <v>6</v>
      </c>
      <c r="AI301" s="23" t="n">
        <f aca="false" t="array" ref="AI301:AI301">INDEX(Matériaux!$C$16:$C$20,$D301)</f>
        <v>25</v>
      </c>
      <c r="AJ301" s="25" t="n">
        <f aca="false">Paramètres!$B$16+(1-Paramètres!$B$16)*(($J301-Paramètres!$B$14)/(Paramètres!$B$15-Paramètres!$B$14))^Paramètres!$B$17</f>
        <v>0.26769024555533</v>
      </c>
    </row>
    <row r="302" customFormat="false" ht="15.75" hidden="false" customHeight="true" outlineLevel="0" collapsed="false">
      <c r="A302" s="14" t="s">
        <v>418</v>
      </c>
      <c r="B302" s="15" t="s">
        <v>27</v>
      </c>
      <c r="C302" s="15" t="s">
        <v>401</v>
      </c>
      <c r="D302" s="16" t="n">
        <v>3</v>
      </c>
      <c r="E302" s="15" t="str">
        <f aca="false" t="array" ref="E302:E302">INDEX(Matériaux!$B$5:$F$12,MATCH(INDEX(Profils!$E$5:$E$34,$AE302),Matériaux!$A$5:$A$12,0),$D302)</f>
        <v>acier</v>
      </c>
      <c r="F302" s="30" t="s">
        <v>119</v>
      </c>
      <c r="G302" s="10" t="str">
        <f aca="false" t="array" ref="G302:G302">INDEX(Profils!$D$5:$D$34,$AE302)&amp;" en "&amp;$E302</f>
        <v>Bouclier en acier</v>
      </c>
      <c r="H302" s="16" t="n">
        <f aca="false" t="array" ref="H302:H302">INDEX(Matériaux!$B$16:$B$20,$D302)</f>
        <v>30</v>
      </c>
      <c r="I302" s="16" t="n">
        <f aca="false">IF(ISNUMBER($C$3),MIN(MAX(0,ROUND($C$3,0)),$AI302),$AI302)</f>
        <v>0</v>
      </c>
      <c r="J302" s="18" t="n">
        <f aca="false">$H302+$I302</f>
        <v>30</v>
      </c>
      <c r="K302" s="15" t="s">
        <v>109</v>
      </c>
      <c r="L302" s="19" t="n">
        <f aca="false" t="array" ref="L302:L302">IF(AND(INDEX(Profils!$F$5:$F$34,$AE302)&gt;0,INDEX(Profils!$U$5:$U$34,$AE302)&lt;=$AH302),ROUND(INDEX(Profils!$F$5:$F$34,$AE302)*Paramètres!$E$22*$AG302*$AJ302,Paramètres!$F$22),0)</f>
        <v>26</v>
      </c>
      <c r="M302" s="19" t="n">
        <f aca="false" t="array" ref="M302:M302">IF(AND(INDEX(Profils!$G$5:$G$34,$AE302)&gt;0,INDEX(Profils!$V$5:$V$34,$AE302)&lt;=$AH302),ROUND(INDEX(Profils!$G$5:$G$34,$AE302)*Paramètres!$E$23*$AG302*$AJ302,Paramètres!$F$23),0)</f>
        <v>6</v>
      </c>
      <c r="N302" s="19" t="n">
        <f aca="false" t="array" ref="N302:N302">IF(AND(INDEX(Profils!$H$5:$H$34,$AE302)&gt;0,INDEX(Profils!$W$5:$W$34,$AE302)&lt;=$AH302),ROUND(INDEX(Profils!$H$5:$H$34,$AE302)*Paramètres!$E$24*$AG302*$AJ302,Paramètres!$F$24),0)</f>
        <v>23</v>
      </c>
      <c r="O302" s="19" t="n">
        <f aca="false" t="array" ref="O302:O302">IF(AND(INDEX(Profils!$I$5:$I$34,$AE302)&gt;0,INDEX(Profils!$X$5:$X$34,$AE302)&lt;=$AH302),ROUND(INDEX(Profils!$I$5:$I$34,$AE302)*Paramètres!$E$25*$AG302*$AJ302,Paramètres!$F$25),0)</f>
        <v>0</v>
      </c>
      <c r="P302" s="19" t="n">
        <f aca="false" t="array" ref="P302:P302">IF(AND(INDEX(Profils!$J$5:$J$34,$AE302)&gt;0,INDEX(Profils!$Y$5:$Y$34,$AE302)&lt;=$AH302),ROUND(INDEX(Profils!$J$5:$J$34,$AE302)*Paramètres!$E$26*$AG302*$AJ302,Paramètres!$F$26),0)</f>
        <v>0</v>
      </c>
      <c r="Q302" s="19" t="n">
        <f aca="false" t="array" ref="Q302:Q302">IF(AND(INDEX(Profils!$K$5:$K$34,$AE302)&gt;0,INDEX(Profils!$Z$5:$Z$34,$AE302)&lt;=$AH302),ROUND(INDEX(Profils!$K$5:$K$34,$AE302)*Paramètres!$E$27*$AG302*$AJ302,Paramètres!$F$27),0)</f>
        <v>0</v>
      </c>
      <c r="R302" s="20" t="n">
        <f aca="false" t="array" ref="R302:R302">IF(AND(INDEX(Profils!$L$5:$L$34,$AE302)&gt;0,INDEX(Profils!$AA$5:$AA$34,$AE302)&lt;=$AH302),ROUND(INDEX(Profils!$L$5:$L$34,$AE302)*Paramètres!$E$28*$AG302*$AJ302,Paramètres!$F$28),0)</f>
        <v>0.003</v>
      </c>
      <c r="S302" s="20" t="n">
        <f aca="false" t="array" ref="S302:S302">IF(AND(INDEX(Profils!$M$5:$M$34,$AE302)&gt;0,INDEX(Profils!$AB$5:$AB$34,$AE302)&lt;=$AH302),ROUND(INDEX(Profils!$M$5:$M$34,$AE302)*Paramètres!$E$29*$AG302*$AJ302,Paramètres!$F$29),0)</f>
        <v>0</v>
      </c>
      <c r="T302" s="20" t="n">
        <f aca="false" t="array" ref="T302:T302">IF(AND(INDEX(Profils!$N$5:$N$34,$AE302)&gt;0,INDEX(Profils!$AC$5:$AC$34,$AE302)&lt;=$AH302),ROUND(INDEX(Profils!$N$5:$N$34,$AE302)*Paramètres!$E$30*$AG302*$AJ302,Paramètres!$F$30),0)</f>
        <v>0</v>
      </c>
      <c r="U302" s="19" t="n">
        <f aca="false" t="array" ref="U302:U302">IF(AND(INDEX(Profils!$O$5:$O$34,$AE302)&gt;0,INDEX(Profils!$AD$5:$AD$34,$AE302)&lt;=$AH302),ROUND(INDEX(Profils!$O$5:$O$34,$AE302)*Paramètres!$E$31*$AG302*$AJ302,Paramètres!$F$31),0)</f>
        <v>28</v>
      </c>
      <c r="V302" s="20" t="n">
        <f aca="false" t="array" ref="V302:V302">IF(AND(INDEX(Profils!$P$5:$P$34,$AE302)&gt;0,INDEX(Profils!$AE$5:$AE$34,$AE302)&lt;=$AH302),ROUND(INDEX(Profils!$P$5:$P$34,$AE302)*Paramètres!$E$32*$AG302*$AJ302,Paramètres!$F$32),0)</f>
        <v>0</v>
      </c>
      <c r="W302" s="20" t="n">
        <f aca="false" t="array" ref="W302:W302">IF(AND(INDEX(Profils!$Q$5:$Q$34,$AE302)&gt;0,INDEX(Profils!$AF$5:$AF$34,$AE302)&lt;=$AH302),ROUND(INDEX(Profils!$Q$5:$Q$34,$AE302)*Paramètres!$E$33*$AG302*$AJ302,Paramètres!$F$33),0)</f>
        <v>0.012</v>
      </c>
      <c r="X302" s="20" t="n">
        <f aca="false" t="array" ref="X302:X302">IF(AND(INDEX(Profils!$R$5:$R$34,$AE302)&gt;0,INDEX(Profils!$AG$5:$AG$34,$AE302)&lt;=$AH302),ROUND(INDEX(Profils!$R$5:$R$34,$AE302)*Paramètres!$E$34*$AG302*$AJ302,Paramètres!$F$34),0)</f>
        <v>0</v>
      </c>
      <c r="Y302" s="20" t="n">
        <f aca="false" t="array" ref="Y302:Y302">IF(AND(INDEX(Profils!$S$5:$S$34,$AE302)&gt;0,INDEX(Profils!$AH$5:$AH$34,$AE302)&lt;=$AH302),ROUND(INDEX(Profils!$S$5:$S$34,$AE302)*Paramètres!$E$35*$AG302*$AJ302,Paramètres!$F$35),0)</f>
        <v>0.012</v>
      </c>
      <c r="Z302" s="21" t="n">
        <f aca="false">ROUND(L302/Paramètres!$E$22+M302/Paramètres!$E$23+N302/Paramètres!$E$24+O302/Paramètres!$E$25+P302/Paramètres!$E$26+Q302/Paramètres!$E$27+R302/Paramètres!$E$28+S302/Paramètres!$E$29+T302/Paramètres!$E$30+U302/Paramètres!$E$31+V302/Paramètres!$E$32+W302/Paramètres!$E$33+X302/Paramètres!$E$34+Y302/Paramètres!$E$35,1)</f>
        <v>6.2</v>
      </c>
      <c r="AA302" s="22" t="s">
        <v>109</v>
      </c>
      <c r="AB302" s="22" t="s">
        <v>109</v>
      </c>
      <c r="AC302" s="15" t="str">
        <f aca="false">$E302</f>
        <v>acier</v>
      </c>
      <c r="AD302" s="16" t="n">
        <f aca="false" t="array" ref="AD302:AD302">IF($I302&gt;=$AI302,"Max",ROUND(Paramètres!$B$40*($I302+1)^Paramètres!$B$41*INDEX(Paramètres!$H$6:$H$12,$AF302),0))</f>
        <v>8</v>
      </c>
      <c r="AE302" s="23" t="n">
        <f aca="false">MATCH($B302&amp;"|"&amp;$C302,Profils!$A$5:$A$34,0)</f>
        <v>10</v>
      </c>
      <c r="AF302" s="23" t="n">
        <v>6</v>
      </c>
      <c r="AG302" s="24" t="n">
        <f aca="false" t="array" ref="AG302:AG302">INDEX(Paramètres!$C$6:$C$12,$AF302)</f>
        <v>2.4</v>
      </c>
      <c r="AH302" s="23" t="n">
        <f aca="false" t="array" ref="AH302:AH302">INDEX(Paramètres!$D$6:$D$12,$AF302)</f>
        <v>7</v>
      </c>
      <c r="AI302" s="23" t="n">
        <f aca="false" t="array" ref="AI302:AI302">INDEX(Matériaux!$C$16:$C$20,$D302)</f>
        <v>25</v>
      </c>
      <c r="AJ302" s="25" t="n">
        <f aca="false">Paramètres!$B$16+(1-Paramètres!$B$16)*(($J302-Paramètres!$B$14)/(Paramètres!$B$15-Paramètres!$B$14))^Paramètres!$B$17</f>
        <v>0.26769024555533</v>
      </c>
    </row>
    <row r="303" customFormat="false" ht="15.75" hidden="false" customHeight="true" outlineLevel="0" collapsed="false">
      <c r="A303" s="14" t="s">
        <v>419</v>
      </c>
      <c r="B303" s="15" t="s">
        <v>27</v>
      </c>
      <c r="C303" s="15" t="s">
        <v>401</v>
      </c>
      <c r="D303" s="16" t="n">
        <v>4</v>
      </c>
      <c r="E303" s="15" t="str">
        <f aca="false" t="array" ref="E303:E303">INDEX(Matériaux!$B$5:$F$12,MATCH(INDEX(Profils!$E$5:$E$34,$AE303),Matériaux!$A$5:$A$12,0),$D303)</f>
        <v>mithril</v>
      </c>
      <c r="F303" s="17" t="s">
        <v>108</v>
      </c>
      <c r="G303" s="10" t="str">
        <f aca="false" t="array" ref="G303:G303">INDEX(Profils!$D$5:$D$34,$AE303)&amp;" en "&amp;$E303</f>
        <v>Bouclier en mithril</v>
      </c>
      <c r="H303" s="16" t="n">
        <f aca="false" t="array" ref="H303:H303">INDEX(Matériaux!$B$16:$B$20,$D303)</f>
        <v>50</v>
      </c>
      <c r="I303" s="16" t="n">
        <f aca="false">IF(ISNUMBER($C$3),MIN(MAX(0,ROUND($C$3,0)),$AI303),$AI303)</f>
        <v>0</v>
      </c>
      <c r="J303" s="18" t="n">
        <f aca="false">$H303+$I303</f>
        <v>50</v>
      </c>
      <c r="K303" s="15" t="s">
        <v>109</v>
      </c>
      <c r="L303" s="19" t="n">
        <f aca="false" t="array" ref="L303:L303">IF(AND(INDEX(Profils!$F$5:$F$34,$AE303)&gt;0,INDEX(Profils!$U$5:$U$34,$AE303)&lt;=$AH303),ROUND(INDEX(Profils!$F$5:$F$34,$AE303)*Paramètres!$E$22*$AG303*$AJ303,Paramètres!$F$22),0)</f>
        <v>0</v>
      </c>
      <c r="M303" s="19" t="n">
        <f aca="false" t="array" ref="M303:M303">IF(AND(INDEX(Profils!$G$5:$G$34,$AE303)&gt;0,INDEX(Profils!$V$5:$V$34,$AE303)&lt;=$AH303),ROUND(INDEX(Profils!$G$5:$G$34,$AE303)*Paramètres!$E$23*$AG303*$AJ303,Paramètres!$F$23),0)</f>
        <v>0</v>
      </c>
      <c r="N303" s="19" t="n">
        <f aca="false" t="array" ref="N303:N303">IF(AND(INDEX(Profils!$H$5:$H$34,$AE303)&gt;0,INDEX(Profils!$W$5:$W$34,$AE303)&lt;=$AH303),ROUND(INDEX(Profils!$H$5:$H$34,$AE303)*Paramètres!$E$24*$AG303*$AJ303,Paramètres!$F$24),0)</f>
        <v>17</v>
      </c>
      <c r="O303" s="19" t="n">
        <f aca="false" t="array" ref="O303:O303">IF(AND(INDEX(Profils!$I$5:$I$34,$AE303)&gt;0,INDEX(Profils!$X$5:$X$34,$AE303)&lt;=$AH303),ROUND(INDEX(Profils!$I$5:$I$34,$AE303)*Paramètres!$E$25*$AG303*$AJ303,Paramètres!$F$25),0)</f>
        <v>0</v>
      </c>
      <c r="P303" s="19" t="n">
        <f aca="false" t="array" ref="P303:P303">IF(AND(INDEX(Profils!$J$5:$J$34,$AE303)&gt;0,INDEX(Profils!$Y$5:$Y$34,$AE303)&lt;=$AH303),ROUND(INDEX(Profils!$J$5:$J$34,$AE303)*Paramètres!$E$26*$AG303*$AJ303,Paramètres!$F$26),0)</f>
        <v>0</v>
      </c>
      <c r="Q303" s="19" t="n">
        <f aca="false" t="array" ref="Q303:Q303">IF(AND(INDEX(Profils!$K$5:$K$34,$AE303)&gt;0,INDEX(Profils!$Z$5:$Z$34,$AE303)&lt;=$AH303),ROUND(INDEX(Profils!$K$5:$K$34,$AE303)*Paramètres!$E$27*$AG303*$AJ303,Paramètres!$F$27),0)</f>
        <v>0</v>
      </c>
      <c r="R303" s="20" t="n">
        <f aca="false" t="array" ref="R303:R303">IF(AND(INDEX(Profils!$L$5:$L$34,$AE303)&gt;0,INDEX(Profils!$AA$5:$AA$34,$AE303)&lt;=$AH303),ROUND(INDEX(Profils!$L$5:$L$34,$AE303)*Paramètres!$E$28*$AG303*$AJ303,Paramètres!$F$28),0)</f>
        <v>0</v>
      </c>
      <c r="S303" s="20" t="n">
        <f aca="false" t="array" ref="S303:S303">IF(AND(INDEX(Profils!$M$5:$M$34,$AE303)&gt;0,INDEX(Profils!$AB$5:$AB$34,$AE303)&lt;=$AH303),ROUND(INDEX(Profils!$M$5:$M$34,$AE303)*Paramètres!$E$29*$AG303*$AJ303,Paramètres!$F$29),0)</f>
        <v>0</v>
      </c>
      <c r="T303" s="20" t="n">
        <f aca="false" t="array" ref="T303:T303">IF(AND(INDEX(Profils!$N$5:$N$34,$AE303)&gt;0,INDEX(Profils!$AC$5:$AC$34,$AE303)&lt;=$AH303),ROUND(INDEX(Profils!$N$5:$N$34,$AE303)*Paramètres!$E$30*$AG303*$AJ303,Paramètres!$F$30),0)</f>
        <v>0</v>
      </c>
      <c r="U303" s="19" t="n">
        <f aca="false" t="array" ref="U303:U303">IF(AND(INDEX(Profils!$O$5:$O$34,$AE303)&gt;0,INDEX(Profils!$AD$5:$AD$34,$AE303)&lt;=$AH303),ROUND(INDEX(Profils!$O$5:$O$34,$AE303)*Paramètres!$E$31*$AG303*$AJ303,Paramètres!$F$31),0)</f>
        <v>20</v>
      </c>
      <c r="V303" s="20" t="n">
        <f aca="false" t="array" ref="V303:V303">IF(AND(INDEX(Profils!$P$5:$P$34,$AE303)&gt;0,INDEX(Profils!$AE$5:$AE$34,$AE303)&lt;=$AH303),ROUND(INDEX(Profils!$P$5:$P$34,$AE303)*Paramètres!$E$32*$AG303*$AJ303,Paramètres!$F$32),0)</f>
        <v>0</v>
      </c>
      <c r="W303" s="20" t="n">
        <f aca="false" t="array" ref="W303:W303">IF(AND(INDEX(Profils!$Q$5:$Q$34,$AE303)&gt;0,INDEX(Profils!$AF$5:$AF$34,$AE303)&lt;=$AH303),ROUND(INDEX(Profils!$Q$5:$Q$34,$AE303)*Paramètres!$E$33*$AG303*$AJ303,Paramètres!$F$33),0)</f>
        <v>0</v>
      </c>
      <c r="X303" s="20" t="n">
        <f aca="false" t="array" ref="X303:X303">IF(AND(INDEX(Profils!$R$5:$R$34,$AE303)&gt;0,INDEX(Profils!$AG$5:$AG$34,$AE303)&lt;=$AH303),ROUND(INDEX(Profils!$R$5:$R$34,$AE303)*Paramètres!$E$34*$AG303*$AJ303,Paramètres!$F$34),0)</f>
        <v>0</v>
      </c>
      <c r="Y303" s="20" t="n">
        <f aca="false" t="array" ref="Y303:Y303">IF(AND(INDEX(Profils!$S$5:$S$34,$AE303)&gt;0,INDEX(Profils!$AH$5:$AH$34,$AE303)&lt;=$AH303),ROUND(INDEX(Profils!$S$5:$S$34,$AE303)*Paramètres!$E$35*$AG303*$AJ303,Paramètres!$F$35),0)</f>
        <v>0</v>
      </c>
      <c r="Z303" s="21" t="n">
        <f aca="false">ROUND(L303/Paramètres!$E$22+M303/Paramètres!$E$23+N303/Paramètres!$E$24+O303/Paramètres!$E$25+P303/Paramètres!$E$26+Q303/Paramètres!$E$27+R303/Paramètres!$E$28+S303/Paramètres!$E$29+T303/Paramètres!$E$30+U303/Paramètres!$E$31+V303/Paramètres!$E$32+W303/Paramètres!$E$33+X303/Paramètres!$E$34+Y303/Paramètres!$E$35,1)</f>
        <v>2.1</v>
      </c>
      <c r="AA303" s="22" t="s">
        <v>109</v>
      </c>
      <c r="AB303" s="22" t="s">
        <v>109</v>
      </c>
      <c r="AC303" s="15" t="str">
        <f aca="false">$E303</f>
        <v>mithril</v>
      </c>
      <c r="AD303" s="16" t="n">
        <f aca="false" t="array" ref="AD303:AD303">IF($I303&gt;=$AI303,"Max",ROUND(Paramètres!$B$40*($I303+1)^Paramètres!$B$41*INDEX(Paramètres!$H$6:$H$12,$AF303),0))</f>
        <v>3</v>
      </c>
      <c r="AE303" s="23" t="n">
        <f aca="false">MATCH($B303&amp;"|"&amp;$C303,Profils!$A$5:$A$34,0)</f>
        <v>10</v>
      </c>
      <c r="AF303" s="23" t="n">
        <v>1</v>
      </c>
      <c r="AG303" s="24" t="n">
        <f aca="false" t="array" ref="AG303:AG303">INDEX(Paramètres!$C$6:$C$12,$AF303)</f>
        <v>1</v>
      </c>
      <c r="AH303" s="23" t="n">
        <f aca="false" t="array" ref="AH303:AH303">INDEX(Paramètres!$D$6:$D$12,$AF303)</f>
        <v>2</v>
      </c>
      <c r="AI303" s="23" t="n">
        <f aca="false" t="array" ref="AI303:AI303">INDEX(Matériaux!$C$16:$C$20,$D303)</f>
        <v>25</v>
      </c>
      <c r="AJ303" s="25" t="n">
        <f aca="false">Paramètres!$B$16+(1-Paramètres!$B$16)*(($J303-Paramètres!$B$14)/(Paramètres!$B$15-Paramètres!$B$14))^Paramètres!$B$17</f>
        <v>0.458504333336152</v>
      </c>
    </row>
    <row r="304" customFormat="false" ht="15.75" hidden="false" customHeight="true" outlineLevel="0" collapsed="false">
      <c r="A304" s="14" t="s">
        <v>420</v>
      </c>
      <c r="B304" s="15" t="s">
        <v>27</v>
      </c>
      <c r="C304" s="15" t="s">
        <v>401</v>
      </c>
      <c r="D304" s="16" t="n">
        <v>4</v>
      </c>
      <c r="E304" s="15" t="str">
        <f aca="false" t="array" ref="E304:E304">INDEX(Matériaux!$B$5:$F$12,MATCH(INDEX(Profils!$E$5:$E$34,$AE304),Matériaux!$A$5:$A$12,0),$D304)</f>
        <v>mithril</v>
      </c>
      <c r="F304" s="26" t="s">
        <v>111</v>
      </c>
      <c r="G304" s="10" t="str">
        <f aca="false" t="array" ref="G304:G304">INDEX(Profils!$D$5:$D$34,$AE304)&amp;" en "&amp;$E304</f>
        <v>Bouclier en mithril</v>
      </c>
      <c r="H304" s="16" t="n">
        <f aca="false" t="array" ref="H304:H304">INDEX(Matériaux!$B$16:$B$20,$D304)</f>
        <v>50</v>
      </c>
      <c r="I304" s="16" t="n">
        <f aca="false">IF(ISNUMBER($C$3),MIN(MAX(0,ROUND($C$3,0)),$AI304),$AI304)</f>
        <v>0</v>
      </c>
      <c r="J304" s="18" t="n">
        <f aca="false">$H304+$I304</f>
        <v>50</v>
      </c>
      <c r="K304" s="15" t="s">
        <v>109</v>
      </c>
      <c r="L304" s="19" t="n">
        <f aca="false" t="array" ref="L304:L304">IF(AND(INDEX(Profils!$F$5:$F$34,$AE304)&gt;0,INDEX(Profils!$U$5:$U$34,$AE304)&lt;=$AH304),ROUND(INDEX(Profils!$F$5:$F$34,$AE304)*Paramètres!$E$22*$AG304*$AJ304,Paramètres!$F$22),0)</f>
        <v>22</v>
      </c>
      <c r="M304" s="19" t="n">
        <f aca="false" t="array" ref="M304:M304">IF(AND(INDEX(Profils!$G$5:$G$34,$AE304)&gt;0,INDEX(Profils!$V$5:$V$34,$AE304)&lt;=$AH304),ROUND(INDEX(Profils!$G$5:$G$34,$AE304)*Paramètres!$E$23*$AG304*$AJ304,Paramètres!$F$23),0)</f>
        <v>0</v>
      </c>
      <c r="N304" s="19" t="n">
        <f aca="false" t="array" ref="N304:N304">IF(AND(INDEX(Profils!$H$5:$H$34,$AE304)&gt;0,INDEX(Profils!$W$5:$W$34,$AE304)&lt;=$AH304),ROUND(INDEX(Profils!$H$5:$H$34,$AE304)*Paramètres!$E$24*$AG304*$AJ304,Paramètres!$F$24),0)</f>
        <v>20</v>
      </c>
      <c r="O304" s="19" t="n">
        <f aca="false" t="array" ref="O304:O304">IF(AND(INDEX(Profils!$I$5:$I$34,$AE304)&gt;0,INDEX(Profils!$X$5:$X$34,$AE304)&lt;=$AH304),ROUND(INDEX(Profils!$I$5:$I$34,$AE304)*Paramètres!$E$25*$AG304*$AJ304,Paramètres!$F$25),0)</f>
        <v>0</v>
      </c>
      <c r="P304" s="19" t="n">
        <f aca="false" t="array" ref="P304:P304">IF(AND(INDEX(Profils!$J$5:$J$34,$AE304)&gt;0,INDEX(Profils!$Y$5:$Y$34,$AE304)&lt;=$AH304),ROUND(INDEX(Profils!$J$5:$J$34,$AE304)*Paramètres!$E$26*$AG304*$AJ304,Paramètres!$F$26),0)</f>
        <v>0</v>
      </c>
      <c r="Q304" s="19" t="n">
        <f aca="false" t="array" ref="Q304:Q304">IF(AND(INDEX(Profils!$K$5:$K$34,$AE304)&gt;0,INDEX(Profils!$Z$5:$Z$34,$AE304)&lt;=$AH304),ROUND(INDEX(Profils!$K$5:$K$34,$AE304)*Paramètres!$E$27*$AG304*$AJ304,Paramètres!$F$27),0)</f>
        <v>0</v>
      </c>
      <c r="R304" s="20" t="n">
        <f aca="false" t="array" ref="R304:R304">IF(AND(INDEX(Profils!$L$5:$L$34,$AE304)&gt;0,INDEX(Profils!$AA$5:$AA$34,$AE304)&lt;=$AH304),ROUND(INDEX(Profils!$L$5:$L$34,$AE304)*Paramètres!$E$28*$AG304*$AJ304,Paramètres!$F$28),0)</f>
        <v>0</v>
      </c>
      <c r="S304" s="20" t="n">
        <f aca="false" t="array" ref="S304:S304">IF(AND(INDEX(Profils!$M$5:$M$34,$AE304)&gt;0,INDEX(Profils!$AB$5:$AB$34,$AE304)&lt;=$AH304),ROUND(INDEX(Profils!$M$5:$M$34,$AE304)*Paramètres!$E$29*$AG304*$AJ304,Paramètres!$F$29),0)</f>
        <v>0</v>
      </c>
      <c r="T304" s="20" t="n">
        <f aca="false" t="array" ref="T304:T304">IF(AND(INDEX(Profils!$N$5:$N$34,$AE304)&gt;0,INDEX(Profils!$AC$5:$AC$34,$AE304)&lt;=$AH304),ROUND(INDEX(Profils!$N$5:$N$34,$AE304)*Paramètres!$E$30*$AG304*$AJ304,Paramètres!$F$30),0)</f>
        <v>0</v>
      </c>
      <c r="U304" s="19" t="n">
        <f aca="false" t="array" ref="U304:U304">IF(AND(INDEX(Profils!$O$5:$O$34,$AE304)&gt;0,INDEX(Profils!$AD$5:$AD$34,$AE304)&lt;=$AH304),ROUND(INDEX(Profils!$O$5:$O$34,$AE304)*Paramètres!$E$31*$AG304*$AJ304,Paramètres!$F$31),0)</f>
        <v>24</v>
      </c>
      <c r="V304" s="20" t="n">
        <f aca="false" t="array" ref="V304:V304">IF(AND(INDEX(Profils!$P$5:$P$34,$AE304)&gt;0,INDEX(Profils!$AE$5:$AE$34,$AE304)&lt;=$AH304),ROUND(INDEX(Profils!$P$5:$P$34,$AE304)*Paramètres!$E$32*$AG304*$AJ304,Paramètres!$F$32),0)</f>
        <v>0</v>
      </c>
      <c r="W304" s="20" t="n">
        <f aca="false" t="array" ref="W304:W304">IF(AND(INDEX(Profils!$Q$5:$Q$34,$AE304)&gt;0,INDEX(Profils!$AF$5:$AF$34,$AE304)&lt;=$AH304),ROUND(INDEX(Profils!$Q$5:$Q$34,$AE304)*Paramètres!$E$33*$AG304*$AJ304,Paramètres!$F$33),0)</f>
        <v>0</v>
      </c>
      <c r="X304" s="20" t="n">
        <f aca="false" t="array" ref="X304:X304">IF(AND(INDEX(Profils!$R$5:$R$34,$AE304)&gt;0,INDEX(Profils!$AG$5:$AG$34,$AE304)&lt;=$AH304),ROUND(INDEX(Profils!$R$5:$R$34,$AE304)*Paramètres!$E$34*$AG304*$AJ304,Paramètres!$F$34),0)</f>
        <v>0</v>
      </c>
      <c r="Y304" s="20" t="n">
        <f aca="false" t="array" ref="Y304:Y304">IF(AND(INDEX(Profils!$S$5:$S$34,$AE304)&gt;0,INDEX(Profils!$AH$5:$AH$34,$AE304)&lt;=$AH304),ROUND(INDEX(Profils!$S$5:$S$34,$AE304)*Paramètres!$E$35*$AG304*$AJ304,Paramètres!$F$35),0)</f>
        <v>0</v>
      </c>
      <c r="Z304" s="21" t="n">
        <f aca="false">ROUND(L304/Paramètres!$E$22+M304/Paramètres!$E$23+N304/Paramètres!$E$24+O304/Paramètres!$E$25+P304/Paramètres!$E$26+Q304/Paramètres!$E$27+R304/Paramètres!$E$28+S304/Paramètres!$E$29+T304/Paramètres!$E$30+U304/Paramètres!$E$31+V304/Paramètres!$E$32+W304/Paramètres!$E$33+X304/Paramètres!$E$34+Y304/Paramètres!$E$35,1)</f>
        <v>3.4</v>
      </c>
      <c r="AA304" s="22" t="s">
        <v>109</v>
      </c>
      <c r="AB304" s="22" t="s">
        <v>109</v>
      </c>
      <c r="AC304" s="15" t="str">
        <f aca="false">$E304</f>
        <v>mithril</v>
      </c>
      <c r="AD304" s="16" t="n">
        <f aca="false" t="array" ref="AD304:AD304">IF($I304&gt;=$AI304,"Max",ROUND(Paramètres!$B$40*($I304+1)^Paramètres!$B$41*INDEX(Paramètres!$H$6:$H$12,$AF304),0))</f>
        <v>4</v>
      </c>
      <c r="AE304" s="23" t="n">
        <f aca="false">MATCH($B304&amp;"|"&amp;$C304,Profils!$A$5:$A$34,0)</f>
        <v>10</v>
      </c>
      <c r="AF304" s="23" t="n">
        <v>2</v>
      </c>
      <c r="AG304" s="24" t="n">
        <f aca="false" t="array" ref="AG304:AG304">INDEX(Paramètres!$C$6:$C$12,$AF304)</f>
        <v>1.2</v>
      </c>
      <c r="AH304" s="23" t="n">
        <f aca="false" t="array" ref="AH304:AH304">INDEX(Paramètres!$D$6:$D$12,$AF304)</f>
        <v>3</v>
      </c>
      <c r="AI304" s="23" t="n">
        <f aca="false" t="array" ref="AI304:AI304">INDEX(Matériaux!$C$16:$C$20,$D304)</f>
        <v>25</v>
      </c>
      <c r="AJ304" s="25" t="n">
        <f aca="false">Paramètres!$B$16+(1-Paramètres!$B$16)*(($J304-Paramètres!$B$14)/(Paramètres!$B$15-Paramètres!$B$14))^Paramètres!$B$17</f>
        <v>0.458504333336152</v>
      </c>
    </row>
    <row r="305" customFormat="false" ht="15.75" hidden="false" customHeight="true" outlineLevel="0" collapsed="false">
      <c r="A305" s="14" t="s">
        <v>421</v>
      </c>
      <c r="B305" s="15" t="s">
        <v>27</v>
      </c>
      <c r="C305" s="15" t="s">
        <v>401</v>
      </c>
      <c r="D305" s="16" t="n">
        <v>4</v>
      </c>
      <c r="E305" s="15" t="str">
        <f aca="false" t="array" ref="E305:E305">INDEX(Matériaux!$B$5:$F$12,MATCH(INDEX(Profils!$E$5:$E$34,$AE305),Matériaux!$A$5:$A$12,0),$D305)</f>
        <v>mithril</v>
      </c>
      <c r="F305" s="27" t="s">
        <v>113</v>
      </c>
      <c r="G305" s="10" t="str">
        <f aca="false" t="array" ref="G305:G305">INDEX(Profils!$D$5:$D$34,$AE305)&amp;" en "&amp;$E305</f>
        <v>Bouclier en mithril</v>
      </c>
      <c r="H305" s="16" t="n">
        <f aca="false" t="array" ref="H305:H305">INDEX(Matériaux!$B$16:$B$20,$D305)</f>
        <v>50</v>
      </c>
      <c r="I305" s="16" t="n">
        <f aca="false">IF(ISNUMBER($C$3),MIN(MAX(0,ROUND($C$3,0)),$AI305),$AI305)</f>
        <v>0</v>
      </c>
      <c r="J305" s="18" t="n">
        <f aca="false">$H305+$I305</f>
        <v>50</v>
      </c>
      <c r="K305" s="15" t="s">
        <v>109</v>
      </c>
      <c r="L305" s="19" t="n">
        <f aca="false" t="array" ref="L305:L305">IF(AND(INDEX(Profils!$F$5:$F$34,$AE305)&gt;0,INDEX(Profils!$U$5:$U$34,$AE305)&lt;=$AH305),ROUND(INDEX(Profils!$F$5:$F$34,$AE305)*Paramètres!$E$22*$AG305*$AJ305,Paramètres!$F$22),0)</f>
        <v>27</v>
      </c>
      <c r="M305" s="19" t="n">
        <f aca="false" t="array" ref="M305:M305">IF(AND(INDEX(Profils!$G$5:$G$34,$AE305)&gt;0,INDEX(Profils!$V$5:$V$34,$AE305)&lt;=$AH305),ROUND(INDEX(Profils!$G$5:$G$34,$AE305)*Paramètres!$E$23*$AG305*$AJ305,Paramètres!$F$23),0)</f>
        <v>0</v>
      </c>
      <c r="N305" s="19" t="n">
        <f aca="false" t="array" ref="N305:N305">IF(AND(INDEX(Profils!$H$5:$H$34,$AE305)&gt;0,INDEX(Profils!$W$5:$W$34,$AE305)&lt;=$AH305),ROUND(INDEX(Profils!$H$5:$H$34,$AE305)*Paramètres!$E$24*$AG305*$AJ305,Paramètres!$F$24),0)</f>
        <v>24</v>
      </c>
      <c r="O305" s="19" t="n">
        <f aca="false" t="array" ref="O305:O305">IF(AND(INDEX(Profils!$I$5:$I$34,$AE305)&gt;0,INDEX(Profils!$X$5:$X$34,$AE305)&lt;=$AH305),ROUND(INDEX(Profils!$I$5:$I$34,$AE305)*Paramètres!$E$25*$AG305*$AJ305,Paramètres!$F$25),0)</f>
        <v>0</v>
      </c>
      <c r="P305" s="19" t="n">
        <f aca="false" t="array" ref="P305:P305">IF(AND(INDEX(Profils!$J$5:$J$34,$AE305)&gt;0,INDEX(Profils!$Y$5:$Y$34,$AE305)&lt;=$AH305),ROUND(INDEX(Profils!$J$5:$J$34,$AE305)*Paramètres!$E$26*$AG305*$AJ305,Paramètres!$F$26),0)</f>
        <v>0</v>
      </c>
      <c r="Q305" s="19" t="n">
        <f aca="false" t="array" ref="Q305:Q305">IF(AND(INDEX(Profils!$K$5:$K$34,$AE305)&gt;0,INDEX(Profils!$Z$5:$Z$34,$AE305)&lt;=$AH305),ROUND(INDEX(Profils!$K$5:$K$34,$AE305)*Paramètres!$E$27*$AG305*$AJ305,Paramètres!$F$27),0)</f>
        <v>0</v>
      </c>
      <c r="R305" s="20" t="n">
        <f aca="false" t="array" ref="R305:R305">IF(AND(INDEX(Profils!$L$5:$L$34,$AE305)&gt;0,INDEX(Profils!$AA$5:$AA$34,$AE305)&lt;=$AH305),ROUND(INDEX(Profils!$L$5:$L$34,$AE305)*Paramètres!$E$28*$AG305*$AJ305,Paramètres!$F$28),0)</f>
        <v>0</v>
      </c>
      <c r="S305" s="20" t="n">
        <f aca="false" t="array" ref="S305:S305">IF(AND(INDEX(Profils!$M$5:$M$34,$AE305)&gt;0,INDEX(Profils!$AB$5:$AB$34,$AE305)&lt;=$AH305),ROUND(INDEX(Profils!$M$5:$M$34,$AE305)*Paramètres!$E$29*$AG305*$AJ305,Paramètres!$F$29),0)</f>
        <v>0</v>
      </c>
      <c r="T305" s="20" t="n">
        <f aca="false" t="array" ref="T305:T305">IF(AND(INDEX(Profils!$N$5:$N$34,$AE305)&gt;0,INDEX(Profils!$AC$5:$AC$34,$AE305)&lt;=$AH305),ROUND(INDEX(Profils!$N$5:$N$34,$AE305)*Paramètres!$E$30*$AG305*$AJ305,Paramètres!$F$30),0)</f>
        <v>0</v>
      </c>
      <c r="U305" s="19" t="n">
        <f aca="false" t="array" ref="U305:U305">IF(AND(INDEX(Profils!$O$5:$O$34,$AE305)&gt;0,INDEX(Profils!$AD$5:$AD$34,$AE305)&lt;=$AH305),ROUND(INDEX(Profils!$O$5:$O$34,$AE305)*Paramètres!$E$31*$AG305*$AJ305,Paramètres!$F$31),0)</f>
        <v>29</v>
      </c>
      <c r="V305" s="20" t="n">
        <f aca="false" t="array" ref="V305:V305">IF(AND(INDEX(Profils!$P$5:$P$34,$AE305)&gt;0,INDEX(Profils!$AE$5:$AE$34,$AE305)&lt;=$AH305),ROUND(INDEX(Profils!$P$5:$P$34,$AE305)*Paramètres!$E$32*$AG305*$AJ305,Paramètres!$F$32),0)</f>
        <v>0</v>
      </c>
      <c r="W305" s="20" t="n">
        <f aca="false" t="array" ref="W305:W305">IF(AND(INDEX(Profils!$Q$5:$Q$34,$AE305)&gt;0,INDEX(Profils!$AF$5:$AF$34,$AE305)&lt;=$AH305),ROUND(INDEX(Profils!$Q$5:$Q$34,$AE305)*Paramètres!$E$33*$AG305*$AJ305,Paramètres!$F$33),0)</f>
        <v>0.012</v>
      </c>
      <c r="X305" s="20" t="n">
        <f aca="false" t="array" ref="X305:X305">IF(AND(INDEX(Profils!$R$5:$R$34,$AE305)&gt;0,INDEX(Profils!$AG$5:$AG$34,$AE305)&lt;=$AH305),ROUND(INDEX(Profils!$R$5:$R$34,$AE305)*Paramètres!$E$34*$AG305*$AJ305,Paramètres!$F$34),0)</f>
        <v>0</v>
      </c>
      <c r="Y305" s="20" t="n">
        <f aca="false" t="array" ref="Y305:Y305">IF(AND(INDEX(Profils!$S$5:$S$34,$AE305)&gt;0,INDEX(Profils!$AH$5:$AH$34,$AE305)&lt;=$AH305),ROUND(INDEX(Profils!$S$5:$S$34,$AE305)*Paramètres!$E$35*$AG305*$AJ305,Paramètres!$F$35),0)</f>
        <v>0</v>
      </c>
      <c r="Z305" s="21" t="n">
        <f aca="false">ROUND(L305/Paramètres!$E$22+M305/Paramètres!$E$23+N305/Paramètres!$E$24+O305/Paramètres!$E$25+P305/Paramètres!$E$26+Q305/Paramètres!$E$27+R305/Paramètres!$E$28+S305/Paramètres!$E$29+T305/Paramètres!$E$30+U305/Paramètres!$E$31+V305/Paramètres!$E$32+W305/Paramètres!$E$33+X305/Paramètres!$E$34+Y305/Paramètres!$E$35,1)</f>
        <v>4.9</v>
      </c>
      <c r="AA305" s="22" t="s">
        <v>109</v>
      </c>
      <c r="AB305" s="22" t="s">
        <v>109</v>
      </c>
      <c r="AC305" s="15" t="str">
        <f aca="false">$E305</f>
        <v>mithril</v>
      </c>
      <c r="AD305" s="16" t="n">
        <f aca="false" t="array" ref="AD305:AD305">IF($I305&gt;=$AI305,"Max",ROUND(Paramètres!$B$40*($I305+1)^Paramètres!$B$41*INDEX(Paramètres!$H$6:$H$12,$AF305),0))</f>
        <v>4</v>
      </c>
      <c r="AE305" s="23" t="n">
        <f aca="false">MATCH($B305&amp;"|"&amp;$C305,Profils!$A$5:$A$34,0)</f>
        <v>10</v>
      </c>
      <c r="AF305" s="23" t="n">
        <v>3</v>
      </c>
      <c r="AG305" s="24" t="n">
        <f aca="false" t="array" ref="AG305:AG305">INDEX(Paramètres!$C$6:$C$12,$AF305)</f>
        <v>1.45</v>
      </c>
      <c r="AH305" s="23" t="n">
        <f aca="false" t="array" ref="AH305:AH305">INDEX(Paramètres!$D$6:$D$12,$AF305)</f>
        <v>4</v>
      </c>
      <c r="AI305" s="23" t="n">
        <f aca="false" t="array" ref="AI305:AI305">INDEX(Matériaux!$C$16:$C$20,$D305)</f>
        <v>25</v>
      </c>
      <c r="AJ305" s="25" t="n">
        <f aca="false">Paramètres!$B$16+(1-Paramètres!$B$16)*(($J305-Paramètres!$B$14)/(Paramètres!$B$15-Paramètres!$B$14))^Paramètres!$B$17</f>
        <v>0.458504333336152</v>
      </c>
    </row>
    <row r="306" customFormat="false" ht="15.75" hidden="false" customHeight="true" outlineLevel="0" collapsed="false">
      <c r="A306" s="14" t="s">
        <v>422</v>
      </c>
      <c r="B306" s="15" t="s">
        <v>27</v>
      </c>
      <c r="C306" s="15" t="s">
        <v>401</v>
      </c>
      <c r="D306" s="16" t="n">
        <v>4</v>
      </c>
      <c r="E306" s="15" t="str">
        <f aca="false" t="array" ref="E306:E306">INDEX(Matériaux!$B$5:$F$12,MATCH(INDEX(Profils!$E$5:$E$34,$AE306),Matériaux!$A$5:$A$12,0),$D306)</f>
        <v>mithril</v>
      </c>
      <c r="F306" s="28" t="s">
        <v>115</v>
      </c>
      <c r="G306" s="10" t="str">
        <f aca="false" t="array" ref="G306:G306">INDEX(Profils!$D$5:$D$34,$AE306)&amp;" en "&amp;$E306</f>
        <v>Bouclier en mithril</v>
      </c>
      <c r="H306" s="16" t="n">
        <f aca="false" t="array" ref="H306:H306">INDEX(Matériaux!$B$16:$B$20,$D306)</f>
        <v>50</v>
      </c>
      <c r="I306" s="16" t="n">
        <f aca="false">IF(ISNUMBER($C$3),MIN(MAX(0,ROUND($C$3,0)),$AI306),$AI306)</f>
        <v>0</v>
      </c>
      <c r="J306" s="18" t="n">
        <f aca="false">$H306+$I306</f>
        <v>50</v>
      </c>
      <c r="K306" s="15" t="s">
        <v>109</v>
      </c>
      <c r="L306" s="19" t="n">
        <f aca="false" t="array" ref="L306:L306">IF(AND(INDEX(Profils!$F$5:$F$34,$AE306)&gt;0,INDEX(Profils!$U$5:$U$34,$AE306)&lt;=$AH306),ROUND(INDEX(Profils!$F$5:$F$34,$AE306)*Paramètres!$E$22*$AG306*$AJ306,Paramètres!$F$22),0)</f>
        <v>32</v>
      </c>
      <c r="M306" s="19" t="n">
        <f aca="false" t="array" ref="M306:M306">IF(AND(INDEX(Profils!$G$5:$G$34,$AE306)&gt;0,INDEX(Profils!$V$5:$V$34,$AE306)&lt;=$AH306),ROUND(INDEX(Profils!$G$5:$G$34,$AE306)*Paramètres!$E$23*$AG306*$AJ306,Paramètres!$F$23),0)</f>
        <v>0</v>
      </c>
      <c r="N306" s="19" t="n">
        <f aca="false" t="array" ref="N306:N306">IF(AND(INDEX(Profils!$H$5:$H$34,$AE306)&gt;0,INDEX(Profils!$W$5:$W$34,$AE306)&lt;=$AH306),ROUND(INDEX(Profils!$H$5:$H$34,$AE306)*Paramètres!$E$24*$AG306*$AJ306,Paramètres!$F$24),0)</f>
        <v>29</v>
      </c>
      <c r="O306" s="19" t="n">
        <f aca="false" t="array" ref="O306:O306">IF(AND(INDEX(Profils!$I$5:$I$34,$AE306)&gt;0,INDEX(Profils!$X$5:$X$34,$AE306)&lt;=$AH306),ROUND(INDEX(Profils!$I$5:$I$34,$AE306)*Paramètres!$E$25*$AG306*$AJ306,Paramètres!$F$25),0)</f>
        <v>0</v>
      </c>
      <c r="P306" s="19" t="n">
        <f aca="false" t="array" ref="P306:P306">IF(AND(INDEX(Profils!$J$5:$J$34,$AE306)&gt;0,INDEX(Profils!$Y$5:$Y$34,$AE306)&lt;=$AH306),ROUND(INDEX(Profils!$J$5:$J$34,$AE306)*Paramètres!$E$26*$AG306*$AJ306,Paramètres!$F$26),0)</f>
        <v>0</v>
      </c>
      <c r="Q306" s="19" t="n">
        <f aca="false" t="array" ref="Q306:Q306">IF(AND(INDEX(Profils!$K$5:$K$34,$AE306)&gt;0,INDEX(Profils!$Z$5:$Z$34,$AE306)&lt;=$AH306),ROUND(INDEX(Profils!$K$5:$K$34,$AE306)*Paramètres!$E$27*$AG306*$AJ306,Paramètres!$F$27),0)</f>
        <v>0</v>
      </c>
      <c r="R306" s="20" t="n">
        <f aca="false" t="array" ref="R306:R306">IF(AND(INDEX(Profils!$L$5:$L$34,$AE306)&gt;0,INDEX(Profils!$AA$5:$AA$34,$AE306)&lt;=$AH306),ROUND(INDEX(Profils!$L$5:$L$34,$AE306)*Paramètres!$E$28*$AG306*$AJ306,Paramètres!$F$28),0)</f>
        <v>0</v>
      </c>
      <c r="S306" s="20" t="n">
        <f aca="false" t="array" ref="S306:S306">IF(AND(INDEX(Profils!$M$5:$M$34,$AE306)&gt;0,INDEX(Profils!$AB$5:$AB$34,$AE306)&lt;=$AH306),ROUND(INDEX(Profils!$M$5:$M$34,$AE306)*Paramètres!$E$29*$AG306*$AJ306,Paramètres!$F$29),0)</f>
        <v>0</v>
      </c>
      <c r="T306" s="20" t="n">
        <f aca="false" t="array" ref="T306:T306">IF(AND(INDEX(Profils!$N$5:$N$34,$AE306)&gt;0,INDEX(Profils!$AC$5:$AC$34,$AE306)&lt;=$AH306),ROUND(INDEX(Profils!$N$5:$N$34,$AE306)*Paramètres!$E$30*$AG306*$AJ306,Paramètres!$F$30),0)</f>
        <v>0</v>
      </c>
      <c r="U306" s="19" t="n">
        <f aca="false" t="array" ref="U306:U306">IF(AND(INDEX(Profils!$O$5:$O$34,$AE306)&gt;0,INDEX(Profils!$AD$5:$AD$34,$AE306)&lt;=$AH306),ROUND(INDEX(Profils!$O$5:$O$34,$AE306)*Paramètres!$E$31*$AG306*$AJ306,Paramètres!$F$31),0)</f>
        <v>35</v>
      </c>
      <c r="V306" s="20" t="n">
        <f aca="false" t="array" ref="V306:V306">IF(AND(INDEX(Profils!$P$5:$P$34,$AE306)&gt;0,INDEX(Profils!$AE$5:$AE$34,$AE306)&lt;=$AH306),ROUND(INDEX(Profils!$P$5:$P$34,$AE306)*Paramètres!$E$32*$AG306*$AJ306,Paramètres!$F$32),0)</f>
        <v>0</v>
      </c>
      <c r="W306" s="20" t="n">
        <f aca="false" t="array" ref="W306:W306">IF(AND(INDEX(Profils!$Q$5:$Q$34,$AE306)&gt;0,INDEX(Profils!$AF$5:$AF$34,$AE306)&lt;=$AH306),ROUND(INDEX(Profils!$Q$5:$Q$34,$AE306)*Paramètres!$E$33*$AG306*$AJ306,Paramètres!$F$33),0)</f>
        <v>0.014</v>
      </c>
      <c r="X306" s="20" t="n">
        <f aca="false" t="array" ref="X306:X306">IF(AND(INDEX(Profils!$R$5:$R$34,$AE306)&gt;0,INDEX(Profils!$AG$5:$AG$34,$AE306)&lt;=$AH306),ROUND(INDEX(Profils!$R$5:$R$34,$AE306)*Paramètres!$E$34*$AG306*$AJ306,Paramètres!$F$34),0)</f>
        <v>0</v>
      </c>
      <c r="Y306" s="20" t="n">
        <f aca="false" t="array" ref="Y306:Y306">IF(AND(INDEX(Profils!$S$5:$S$34,$AE306)&gt;0,INDEX(Profils!$AH$5:$AH$34,$AE306)&lt;=$AH306),ROUND(INDEX(Profils!$S$5:$S$34,$AE306)*Paramètres!$E$35*$AG306*$AJ306,Paramètres!$F$35),0)</f>
        <v>0.014</v>
      </c>
      <c r="Z306" s="21" t="n">
        <f aca="false">ROUND(L306/Paramètres!$E$22+M306/Paramètres!$E$23+N306/Paramètres!$E$24+O306/Paramètres!$E$25+P306/Paramètres!$E$26+Q306/Paramètres!$E$27+R306/Paramètres!$E$28+S306/Paramètres!$E$29+T306/Paramètres!$E$30+U306/Paramètres!$E$31+V306/Paramètres!$E$32+W306/Paramètres!$E$33+X306/Paramètres!$E$34+Y306/Paramètres!$E$35,1)</f>
        <v>6.8</v>
      </c>
      <c r="AA306" s="22" t="s">
        <v>109</v>
      </c>
      <c r="AB306" s="22" t="s">
        <v>109</v>
      </c>
      <c r="AC306" s="15" t="str">
        <f aca="false">$E306</f>
        <v>mithril</v>
      </c>
      <c r="AD306" s="16" t="n">
        <f aca="false" t="array" ref="AD306:AD306">IF($I306&gt;=$AI306,"Max",ROUND(Paramètres!$B$40*($I306+1)^Paramètres!$B$41*INDEX(Paramètres!$H$6:$H$12,$AF306),0))</f>
        <v>5</v>
      </c>
      <c r="AE306" s="23" t="n">
        <f aca="false">MATCH($B306&amp;"|"&amp;$C306,Profils!$A$5:$A$34,0)</f>
        <v>10</v>
      </c>
      <c r="AF306" s="23" t="n">
        <v>4</v>
      </c>
      <c r="AG306" s="24" t="n">
        <f aca="false" t="array" ref="AG306:AG306">INDEX(Paramètres!$C$6:$C$12,$AF306)</f>
        <v>1.75</v>
      </c>
      <c r="AH306" s="23" t="n">
        <f aca="false" t="array" ref="AH306:AH306">INDEX(Paramètres!$D$6:$D$12,$AF306)</f>
        <v>5</v>
      </c>
      <c r="AI306" s="23" t="n">
        <f aca="false" t="array" ref="AI306:AI306">INDEX(Matériaux!$C$16:$C$20,$D306)</f>
        <v>25</v>
      </c>
      <c r="AJ306" s="25" t="n">
        <f aca="false">Paramètres!$B$16+(1-Paramètres!$B$16)*(($J306-Paramètres!$B$14)/(Paramètres!$B$15-Paramètres!$B$14))^Paramètres!$B$17</f>
        <v>0.458504333336152</v>
      </c>
    </row>
    <row r="307" customFormat="false" ht="15.75" hidden="false" customHeight="true" outlineLevel="0" collapsed="false">
      <c r="A307" s="14" t="s">
        <v>423</v>
      </c>
      <c r="B307" s="15" t="s">
        <v>27</v>
      </c>
      <c r="C307" s="15" t="s">
        <v>401</v>
      </c>
      <c r="D307" s="16" t="n">
        <v>4</v>
      </c>
      <c r="E307" s="15" t="str">
        <f aca="false" t="array" ref="E307:E307">INDEX(Matériaux!$B$5:$F$12,MATCH(INDEX(Profils!$E$5:$E$34,$AE307),Matériaux!$A$5:$A$12,0),$D307)</f>
        <v>mithril</v>
      </c>
      <c r="F307" s="29" t="s">
        <v>117</v>
      </c>
      <c r="G307" s="10" t="str">
        <f aca="false" t="array" ref="G307:G307">INDEX(Profils!$D$5:$D$34,$AE307)&amp;" en "&amp;$E307</f>
        <v>Bouclier en mithril</v>
      </c>
      <c r="H307" s="16" t="n">
        <f aca="false" t="array" ref="H307:H307">INDEX(Matériaux!$B$16:$B$20,$D307)</f>
        <v>50</v>
      </c>
      <c r="I307" s="16" t="n">
        <f aca="false">IF(ISNUMBER($C$3),MIN(MAX(0,ROUND($C$3,0)),$AI307),$AI307)</f>
        <v>0</v>
      </c>
      <c r="J307" s="18" t="n">
        <f aca="false">$H307+$I307</f>
        <v>50</v>
      </c>
      <c r="K307" s="15" t="s">
        <v>109</v>
      </c>
      <c r="L307" s="19" t="n">
        <f aca="false" t="array" ref="L307:L307">IF(AND(INDEX(Profils!$F$5:$F$34,$AE307)&gt;0,INDEX(Profils!$U$5:$U$34,$AE307)&lt;=$AH307),ROUND(INDEX(Profils!$F$5:$F$34,$AE307)*Paramètres!$E$22*$AG307*$AJ307,Paramètres!$F$22),0)</f>
        <v>39</v>
      </c>
      <c r="M307" s="19" t="n">
        <f aca="false" t="array" ref="M307:M307">IF(AND(INDEX(Profils!$G$5:$G$34,$AE307)&gt;0,INDEX(Profils!$V$5:$V$34,$AE307)&lt;=$AH307),ROUND(INDEX(Profils!$G$5:$G$34,$AE307)*Paramètres!$E$23*$AG307*$AJ307,Paramètres!$F$23),0)</f>
        <v>9</v>
      </c>
      <c r="N307" s="19" t="n">
        <f aca="false" t="array" ref="N307:N307">IF(AND(INDEX(Profils!$H$5:$H$34,$AE307)&gt;0,INDEX(Profils!$W$5:$W$34,$AE307)&lt;=$AH307),ROUND(INDEX(Profils!$H$5:$H$34,$AE307)*Paramètres!$E$24*$AG307*$AJ307,Paramètres!$F$24),0)</f>
        <v>35</v>
      </c>
      <c r="O307" s="19" t="n">
        <f aca="false" t="array" ref="O307:O307">IF(AND(INDEX(Profils!$I$5:$I$34,$AE307)&gt;0,INDEX(Profils!$X$5:$X$34,$AE307)&lt;=$AH307),ROUND(INDEX(Profils!$I$5:$I$34,$AE307)*Paramètres!$E$25*$AG307*$AJ307,Paramètres!$F$25),0)</f>
        <v>0</v>
      </c>
      <c r="P307" s="19" t="n">
        <f aca="false" t="array" ref="P307:P307">IF(AND(INDEX(Profils!$J$5:$J$34,$AE307)&gt;0,INDEX(Profils!$Y$5:$Y$34,$AE307)&lt;=$AH307),ROUND(INDEX(Profils!$J$5:$J$34,$AE307)*Paramètres!$E$26*$AG307*$AJ307,Paramètres!$F$26),0)</f>
        <v>0</v>
      </c>
      <c r="Q307" s="19" t="n">
        <f aca="false" t="array" ref="Q307:Q307">IF(AND(INDEX(Profils!$K$5:$K$34,$AE307)&gt;0,INDEX(Profils!$Z$5:$Z$34,$AE307)&lt;=$AH307),ROUND(INDEX(Profils!$K$5:$K$34,$AE307)*Paramètres!$E$27*$AG307*$AJ307,Paramètres!$F$27),0)</f>
        <v>0</v>
      </c>
      <c r="R307" s="20" t="n">
        <f aca="false" t="array" ref="R307:R307">IF(AND(INDEX(Profils!$L$5:$L$34,$AE307)&gt;0,INDEX(Profils!$AA$5:$AA$34,$AE307)&lt;=$AH307),ROUND(INDEX(Profils!$L$5:$L$34,$AE307)*Paramètres!$E$28*$AG307*$AJ307,Paramètres!$F$28),0)</f>
        <v>0</v>
      </c>
      <c r="S307" s="20" t="n">
        <f aca="false" t="array" ref="S307:S307">IF(AND(INDEX(Profils!$M$5:$M$34,$AE307)&gt;0,INDEX(Profils!$AB$5:$AB$34,$AE307)&lt;=$AH307),ROUND(INDEX(Profils!$M$5:$M$34,$AE307)*Paramètres!$E$29*$AG307*$AJ307,Paramètres!$F$29),0)</f>
        <v>0</v>
      </c>
      <c r="T307" s="20" t="n">
        <f aca="false" t="array" ref="T307:T307">IF(AND(INDEX(Profils!$N$5:$N$34,$AE307)&gt;0,INDEX(Profils!$AC$5:$AC$34,$AE307)&lt;=$AH307),ROUND(INDEX(Profils!$N$5:$N$34,$AE307)*Paramètres!$E$30*$AG307*$AJ307,Paramètres!$F$30),0)</f>
        <v>0</v>
      </c>
      <c r="U307" s="19" t="n">
        <f aca="false" t="array" ref="U307:U307">IF(AND(INDEX(Profils!$O$5:$O$34,$AE307)&gt;0,INDEX(Profils!$AD$5:$AD$34,$AE307)&lt;=$AH307),ROUND(INDEX(Profils!$O$5:$O$34,$AE307)*Paramètres!$E$31*$AG307*$AJ307,Paramètres!$F$31),0)</f>
        <v>42</v>
      </c>
      <c r="V307" s="20" t="n">
        <f aca="false" t="array" ref="V307:V307">IF(AND(INDEX(Profils!$P$5:$P$34,$AE307)&gt;0,INDEX(Profils!$AE$5:$AE$34,$AE307)&lt;=$AH307),ROUND(INDEX(Profils!$P$5:$P$34,$AE307)*Paramètres!$E$32*$AG307*$AJ307,Paramètres!$F$32),0)</f>
        <v>0</v>
      </c>
      <c r="W307" s="20" t="n">
        <f aca="false" t="array" ref="W307:W307">IF(AND(INDEX(Profils!$Q$5:$Q$34,$AE307)&gt;0,INDEX(Profils!$AF$5:$AF$34,$AE307)&lt;=$AH307),ROUND(INDEX(Profils!$Q$5:$Q$34,$AE307)*Paramètres!$E$33*$AG307*$AJ307,Paramètres!$F$33),0)</f>
        <v>0.017</v>
      </c>
      <c r="X307" s="20" t="n">
        <f aca="false" t="array" ref="X307:X307">IF(AND(INDEX(Profils!$R$5:$R$34,$AE307)&gt;0,INDEX(Profils!$AG$5:$AG$34,$AE307)&lt;=$AH307),ROUND(INDEX(Profils!$R$5:$R$34,$AE307)*Paramètres!$E$34*$AG307*$AJ307,Paramètres!$F$34),0)</f>
        <v>0</v>
      </c>
      <c r="Y307" s="20" t="n">
        <f aca="false" t="array" ref="Y307:Y307">IF(AND(INDEX(Profils!$S$5:$S$34,$AE307)&gt;0,INDEX(Profils!$AH$5:$AH$34,$AE307)&lt;=$AH307),ROUND(INDEX(Profils!$S$5:$S$34,$AE307)*Paramètres!$E$35*$AG307*$AJ307,Paramètres!$F$35),0)</f>
        <v>0.017</v>
      </c>
      <c r="Z307" s="21" t="n">
        <f aca="false">ROUND(L307/Paramètres!$E$22+M307/Paramètres!$E$23+N307/Paramètres!$E$24+O307/Paramètres!$E$25+P307/Paramètres!$E$26+Q307/Paramètres!$E$27+R307/Paramètres!$E$28+S307/Paramètres!$E$29+T307/Paramètres!$E$30+U307/Paramètres!$E$31+V307/Paramètres!$E$32+W307/Paramètres!$E$33+X307/Paramètres!$E$34+Y307/Paramètres!$E$35,1)</f>
        <v>8.9</v>
      </c>
      <c r="AA307" s="22" t="s">
        <v>109</v>
      </c>
      <c r="AB307" s="22" t="s">
        <v>109</v>
      </c>
      <c r="AC307" s="15" t="str">
        <f aca="false">$E307</f>
        <v>mithril</v>
      </c>
      <c r="AD307" s="16" t="n">
        <f aca="false" t="array" ref="AD307:AD307">IF($I307&gt;=$AI307,"Max",ROUND(Paramètres!$B$40*($I307+1)^Paramètres!$B$41*INDEX(Paramètres!$H$6:$H$12,$AF307),0))</f>
        <v>6</v>
      </c>
      <c r="AE307" s="23" t="n">
        <f aca="false">MATCH($B307&amp;"|"&amp;$C307,Profils!$A$5:$A$34,0)</f>
        <v>10</v>
      </c>
      <c r="AF307" s="23" t="n">
        <v>5</v>
      </c>
      <c r="AG307" s="24" t="n">
        <f aca="false" t="array" ref="AG307:AG307">INDEX(Paramètres!$C$6:$C$12,$AF307)</f>
        <v>2.1</v>
      </c>
      <c r="AH307" s="23" t="n">
        <f aca="false" t="array" ref="AH307:AH307">INDEX(Paramètres!$D$6:$D$12,$AF307)</f>
        <v>6</v>
      </c>
      <c r="AI307" s="23" t="n">
        <f aca="false" t="array" ref="AI307:AI307">INDEX(Matériaux!$C$16:$C$20,$D307)</f>
        <v>25</v>
      </c>
      <c r="AJ307" s="25" t="n">
        <f aca="false">Paramètres!$B$16+(1-Paramètres!$B$16)*(($J307-Paramètres!$B$14)/(Paramètres!$B$15-Paramètres!$B$14))^Paramètres!$B$17</f>
        <v>0.458504333336152</v>
      </c>
    </row>
    <row r="308" customFormat="false" ht="15.75" hidden="false" customHeight="true" outlineLevel="0" collapsed="false">
      <c r="A308" s="14" t="s">
        <v>424</v>
      </c>
      <c r="B308" s="15" t="s">
        <v>27</v>
      </c>
      <c r="C308" s="15" t="s">
        <v>401</v>
      </c>
      <c r="D308" s="16" t="n">
        <v>4</v>
      </c>
      <c r="E308" s="15" t="str">
        <f aca="false" t="array" ref="E308:E308">INDEX(Matériaux!$B$5:$F$12,MATCH(INDEX(Profils!$E$5:$E$34,$AE308),Matériaux!$A$5:$A$12,0),$D308)</f>
        <v>mithril</v>
      </c>
      <c r="F308" s="30" t="s">
        <v>119</v>
      </c>
      <c r="G308" s="10" t="str">
        <f aca="false" t="array" ref="G308:G308">INDEX(Profils!$D$5:$D$34,$AE308)&amp;" en "&amp;$E308</f>
        <v>Bouclier en mithril</v>
      </c>
      <c r="H308" s="16" t="n">
        <f aca="false" t="array" ref="H308:H308">INDEX(Matériaux!$B$16:$B$20,$D308)</f>
        <v>50</v>
      </c>
      <c r="I308" s="16" t="n">
        <f aca="false">IF(ISNUMBER($C$3),MIN(MAX(0,ROUND($C$3,0)),$AI308),$AI308)</f>
        <v>0</v>
      </c>
      <c r="J308" s="18" t="n">
        <f aca="false">$H308+$I308</f>
        <v>50</v>
      </c>
      <c r="K308" s="15" t="s">
        <v>109</v>
      </c>
      <c r="L308" s="19" t="n">
        <f aca="false" t="array" ref="L308:L308">IF(AND(INDEX(Profils!$F$5:$F$34,$AE308)&gt;0,INDEX(Profils!$U$5:$U$34,$AE308)&lt;=$AH308),ROUND(INDEX(Profils!$F$5:$F$34,$AE308)*Paramètres!$E$22*$AG308*$AJ308,Paramètres!$F$22),0)</f>
        <v>44</v>
      </c>
      <c r="M308" s="19" t="n">
        <f aca="false" t="array" ref="M308:M308">IF(AND(INDEX(Profils!$G$5:$G$34,$AE308)&gt;0,INDEX(Profils!$V$5:$V$34,$AE308)&lt;=$AH308),ROUND(INDEX(Profils!$G$5:$G$34,$AE308)*Paramètres!$E$23*$AG308*$AJ308,Paramètres!$F$23),0)</f>
        <v>10</v>
      </c>
      <c r="N308" s="19" t="n">
        <f aca="false" t="array" ref="N308:N308">IF(AND(INDEX(Profils!$H$5:$H$34,$AE308)&gt;0,INDEX(Profils!$W$5:$W$34,$AE308)&lt;=$AH308),ROUND(INDEX(Profils!$H$5:$H$34,$AE308)*Paramètres!$E$24*$AG308*$AJ308,Paramètres!$F$24),0)</f>
        <v>40</v>
      </c>
      <c r="O308" s="19" t="n">
        <f aca="false" t="array" ref="O308:O308">IF(AND(INDEX(Profils!$I$5:$I$34,$AE308)&gt;0,INDEX(Profils!$X$5:$X$34,$AE308)&lt;=$AH308),ROUND(INDEX(Profils!$I$5:$I$34,$AE308)*Paramètres!$E$25*$AG308*$AJ308,Paramètres!$F$25),0)</f>
        <v>0</v>
      </c>
      <c r="P308" s="19" t="n">
        <f aca="false" t="array" ref="P308:P308">IF(AND(INDEX(Profils!$J$5:$J$34,$AE308)&gt;0,INDEX(Profils!$Y$5:$Y$34,$AE308)&lt;=$AH308),ROUND(INDEX(Profils!$J$5:$J$34,$AE308)*Paramètres!$E$26*$AG308*$AJ308,Paramètres!$F$26),0)</f>
        <v>0</v>
      </c>
      <c r="Q308" s="19" t="n">
        <f aca="false" t="array" ref="Q308:Q308">IF(AND(INDEX(Profils!$K$5:$K$34,$AE308)&gt;0,INDEX(Profils!$Z$5:$Z$34,$AE308)&lt;=$AH308),ROUND(INDEX(Profils!$K$5:$K$34,$AE308)*Paramètres!$E$27*$AG308*$AJ308,Paramètres!$F$27),0)</f>
        <v>0</v>
      </c>
      <c r="R308" s="20" t="n">
        <f aca="false" t="array" ref="R308:R308">IF(AND(INDEX(Profils!$L$5:$L$34,$AE308)&gt;0,INDEX(Profils!$AA$5:$AA$34,$AE308)&lt;=$AH308),ROUND(INDEX(Profils!$L$5:$L$34,$AE308)*Paramètres!$E$28*$AG308*$AJ308,Paramètres!$F$28),0)</f>
        <v>0.005</v>
      </c>
      <c r="S308" s="20" t="n">
        <f aca="false" t="array" ref="S308:S308">IF(AND(INDEX(Profils!$M$5:$M$34,$AE308)&gt;0,INDEX(Profils!$AB$5:$AB$34,$AE308)&lt;=$AH308),ROUND(INDEX(Profils!$M$5:$M$34,$AE308)*Paramètres!$E$29*$AG308*$AJ308,Paramètres!$F$29),0)</f>
        <v>0</v>
      </c>
      <c r="T308" s="20" t="n">
        <f aca="false" t="array" ref="T308:T308">IF(AND(INDEX(Profils!$N$5:$N$34,$AE308)&gt;0,INDEX(Profils!$AC$5:$AC$34,$AE308)&lt;=$AH308),ROUND(INDEX(Profils!$N$5:$N$34,$AE308)*Paramètres!$E$30*$AG308*$AJ308,Paramètres!$F$30),0)</f>
        <v>0</v>
      </c>
      <c r="U308" s="19" t="n">
        <f aca="false" t="array" ref="U308:U308">IF(AND(INDEX(Profils!$O$5:$O$34,$AE308)&gt;0,INDEX(Profils!$AD$5:$AD$34,$AE308)&lt;=$AH308),ROUND(INDEX(Profils!$O$5:$O$34,$AE308)*Paramètres!$E$31*$AG308*$AJ308,Paramètres!$F$31),0)</f>
        <v>48</v>
      </c>
      <c r="V308" s="20" t="n">
        <f aca="false" t="array" ref="V308:V308">IF(AND(INDEX(Profils!$P$5:$P$34,$AE308)&gt;0,INDEX(Profils!$AE$5:$AE$34,$AE308)&lt;=$AH308),ROUND(INDEX(Profils!$P$5:$P$34,$AE308)*Paramètres!$E$32*$AG308*$AJ308,Paramètres!$F$32),0)</f>
        <v>0</v>
      </c>
      <c r="W308" s="20" t="n">
        <f aca="false" t="array" ref="W308:W308">IF(AND(INDEX(Profils!$Q$5:$Q$34,$AE308)&gt;0,INDEX(Profils!$AF$5:$AF$34,$AE308)&lt;=$AH308),ROUND(INDEX(Profils!$Q$5:$Q$34,$AE308)*Paramètres!$E$33*$AG308*$AJ308,Paramètres!$F$33),0)</f>
        <v>0.02</v>
      </c>
      <c r="X308" s="20" t="n">
        <f aca="false" t="array" ref="X308:X308">IF(AND(INDEX(Profils!$R$5:$R$34,$AE308)&gt;0,INDEX(Profils!$AG$5:$AG$34,$AE308)&lt;=$AH308),ROUND(INDEX(Profils!$R$5:$R$34,$AE308)*Paramètres!$E$34*$AG308*$AJ308,Paramètres!$F$34),0)</f>
        <v>0</v>
      </c>
      <c r="Y308" s="20" t="n">
        <f aca="false" t="array" ref="Y308:Y308">IF(AND(INDEX(Profils!$S$5:$S$34,$AE308)&gt;0,INDEX(Profils!$AH$5:$AH$34,$AE308)&lt;=$AH308),ROUND(INDEX(Profils!$S$5:$S$34,$AE308)*Paramètres!$E$35*$AG308*$AJ308,Paramètres!$F$35),0)</f>
        <v>0.02</v>
      </c>
      <c r="Z308" s="21" t="n">
        <f aca="false">ROUND(L308/Paramètres!$E$22+M308/Paramètres!$E$23+N308/Paramètres!$E$24+O308/Paramètres!$E$25+P308/Paramètres!$E$26+Q308/Paramètres!$E$27+R308/Paramètres!$E$28+S308/Paramètres!$E$29+T308/Paramètres!$E$30+U308/Paramètres!$E$31+V308/Paramètres!$E$32+W308/Paramètres!$E$33+X308/Paramètres!$E$34+Y308/Paramètres!$E$35,1)</f>
        <v>10.5</v>
      </c>
      <c r="AA308" s="22" t="s">
        <v>109</v>
      </c>
      <c r="AB308" s="22" t="s">
        <v>109</v>
      </c>
      <c r="AC308" s="15" t="str">
        <f aca="false">$E308</f>
        <v>mithril</v>
      </c>
      <c r="AD308" s="16" t="n">
        <f aca="false" t="array" ref="AD308:AD308">IF($I308&gt;=$AI308,"Max",ROUND(Paramètres!$B$40*($I308+1)^Paramètres!$B$41*INDEX(Paramètres!$H$6:$H$12,$AF308),0))</f>
        <v>8</v>
      </c>
      <c r="AE308" s="23" t="n">
        <f aca="false">MATCH($B308&amp;"|"&amp;$C308,Profils!$A$5:$A$34,0)</f>
        <v>10</v>
      </c>
      <c r="AF308" s="23" t="n">
        <v>6</v>
      </c>
      <c r="AG308" s="24" t="n">
        <f aca="false" t="array" ref="AG308:AG308">INDEX(Paramètres!$C$6:$C$12,$AF308)</f>
        <v>2.4</v>
      </c>
      <c r="AH308" s="23" t="n">
        <f aca="false" t="array" ref="AH308:AH308">INDEX(Paramètres!$D$6:$D$12,$AF308)</f>
        <v>7</v>
      </c>
      <c r="AI308" s="23" t="n">
        <f aca="false" t="array" ref="AI308:AI308">INDEX(Matériaux!$C$16:$C$20,$D308)</f>
        <v>25</v>
      </c>
      <c r="AJ308" s="25" t="n">
        <f aca="false">Paramètres!$B$16+(1-Paramètres!$B$16)*(($J308-Paramètres!$B$14)/(Paramètres!$B$15-Paramètres!$B$14))^Paramètres!$B$17</f>
        <v>0.458504333336152</v>
      </c>
    </row>
    <row r="309" customFormat="false" ht="15.75" hidden="false" customHeight="true" outlineLevel="0" collapsed="false">
      <c r="A309" s="14" t="s">
        <v>425</v>
      </c>
      <c r="B309" s="15" t="s">
        <v>27</v>
      </c>
      <c r="C309" s="15" t="s">
        <v>401</v>
      </c>
      <c r="D309" s="16" t="n">
        <v>5</v>
      </c>
      <c r="E309" s="15" t="str">
        <f aca="false" t="array" ref="E309:E309">INDEX(Matériaux!$B$5:$F$12,MATCH(INDEX(Profils!$E$5:$E$34,$AE309),Matériaux!$A$5:$A$12,0),$D309)</f>
        <v>adamantite</v>
      </c>
      <c r="F309" s="17" t="s">
        <v>108</v>
      </c>
      <c r="G309" s="10" t="str">
        <f aca="false" t="array" ref="G309:G309">INDEX(Profils!$D$5:$D$34,$AE309)&amp;" en "&amp;$E309</f>
        <v>Bouclier en adamantite</v>
      </c>
      <c r="H309" s="16" t="n">
        <f aca="false" t="array" ref="H309:H309">INDEX(Matériaux!$B$16:$B$20,$D309)</f>
        <v>70</v>
      </c>
      <c r="I309" s="16" t="n">
        <f aca="false">IF(ISNUMBER($C$3),MIN(MAX(0,ROUND($C$3,0)),$AI309),$AI309)</f>
        <v>0</v>
      </c>
      <c r="J309" s="18" t="n">
        <f aca="false">$H309+$I309</f>
        <v>70</v>
      </c>
      <c r="K309" s="15" t="s">
        <v>109</v>
      </c>
      <c r="L309" s="19" t="n">
        <f aca="false" t="array" ref="L309:L309">IF(AND(INDEX(Profils!$F$5:$F$34,$AE309)&gt;0,INDEX(Profils!$U$5:$U$34,$AE309)&lt;=$AH309),ROUND(INDEX(Profils!$F$5:$F$34,$AE309)*Paramètres!$E$22*$AG309*$AJ309,Paramètres!$F$22),0)</f>
        <v>0</v>
      </c>
      <c r="M309" s="19" t="n">
        <f aca="false" t="array" ref="M309:M309">IF(AND(INDEX(Profils!$G$5:$G$34,$AE309)&gt;0,INDEX(Profils!$V$5:$V$34,$AE309)&lt;=$AH309),ROUND(INDEX(Profils!$G$5:$G$34,$AE309)*Paramètres!$E$23*$AG309*$AJ309,Paramètres!$F$23),0)</f>
        <v>0</v>
      </c>
      <c r="N309" s="19" t="n">
        <f aca="false" t="array" ref="N309:N309">IF(AND(INDEX(Profils!$H$5:$H$34,$AE309)&gt;0,INDEX(Profils!$W$5:$W$34,$AE309)&lt;=$AH309),ROUND(INDEX(Profils!$H$5:$H$34,$AE309)*Paramètres!$E$24*$AG309*$AJ309,Paramètres!$F$24),0)</f>
        <v>24</v>
      </c>
      <c r="O309" s="19" t="n">
        <f aca="false" t="array" ref="O309:O309">IF(AND(INDEX(Profils!$I$5:$I$34,$AE309)&gt;0,INDEX(Profils!$X$5:$X$34,$AE309)&lt;=$AH309),ROUND(INDEX(Profils!$I$5:$I$34,$AE309)*Paramètres!$E$25*$AG309*$AJ309,Paramètres!$F$25),0)</f>
        <v>0</v>
      </c>
      <c r="P309" s="19" t="n">
        <f aca="false" t="array" ref="P309:P309">IF(AND(INDEX(Profils!$J$5:$J$34,$AE309)&gt;0,INDEX(Profils!$Y$5:$Y$34,$AE309)&lt;=$AH309),ROUND(INDEX(Profils!$J$5:$J$34,$AE309)*Paramètres!$E$26*$AG309*$AJ309,Paramètres!$F$26),0)</f>
        <v>0</v>
      </c>
      <c r="Q309" s="19" t="n">
        <f aca="false" t="array" ref="Q309:Q309">IF(AND(INDEX(Profils!$K$5:$K$34,$AE309)&gt;0,INDEX(Profils!$Z$5:$Z$34,$AE309)&lt;=$AH309),ROUND(INDEX(Profils!$K$5:$K$34,$AE309)*Paramètres!$E$27*$AG309*$AJ309,Paramètres!$F$27),0)</f>
        <v>0</v>
      </c>
      <c r="R309" s="20" t="n">
        <f aca="false" t="array" ref="R309:R309">IF(AND(INDEX(Profils!$L$5:$L$34,$AE309)&gt;0,INDEX(Profils!$AA$5:$AA$34,$AE309)&lt;=$AH309),ROUND(INDEX(Profils!$L$5:$L$34,$AE309)*Paramètres!$E$28*$AG309*$AJ309,Paramètres!$F$28),0)</f>
        <v>0</v>
      </c>
      <c r="S309" s="20" t="n">
        <f aca="false" t="array" ref="S309:S309">IF(AND(INDEX(Profils!$M$5:$M$34,$AE309)&gt;0,INDEX(Profils!$AB$5:$AB$34,$AE309)&lt;=$AH309),ROUND(INDEX(Profils!$M$5:$M$34,$AE309)*Paramètres!$E$29*$AG309*$AJ309,Paramètres!$F$29),0)</f>
        <v>0</v>
      </c>
      <c r="T309" s="20" t="n">
        <f aca="false" t="array" ref="T309:T309">IF(AND(INDEX(Profils!$N$5:$N$34,$AE309)&gt;0,INDEX(Profils!$AC$5:$AC$34,$AE309)&lt;=$AH309),ROUND(INDEX(Profils!$N$5:$N$34,$AE309)*Paramètres!$E$30*$AG309*$AJ309,Paramètres!$F$30),0)</f>
        <v>0</v>
      </c>
      <c r="U309" s="19" t="n">
        <f aca="false" t="array" ref="U309:U309">IF(AND(INDEX(Profils!$O$5:$O$34,$AE309)&gt;0,INDEX(Profils!$AD$5:$AD$34,$AE309)&lt;=$AH309),ROUND(INDEX(Profils!$O$5:$O$34,$AE309)*Paramètres!$E$31*$AG309*$AJ309,Paramètres!$F$31),0)</f>
        <v>29</v>
      </c>
      <c r="V309" s="20" t="n">
        <f aca="false" t="array" ref="V309:V309">IF(AND(INDEX(Profils!$P$5:$P$34,$AE309)&gt;0,INDEX(Profils!$AE$5:$AE$34,$AE309)&lt;=$AH309),ROUND(INDEX(Profils!$P$5:$P$34,$AE309)*Paramètres!$E$32*$AG309*$AJ309,Paramètres!$F$32),0)</f>
        <v>0</v>
      </c>
      <c r="W309" s="20" t="n">
        <f aca="false" t="array" ref="W309:W309">IF(AND(INDEX(Profils!$Q$5:$Q$34,$AE309)&gt;0,INDEX(Profils!$AF$5:$AF$34,$AE309)&lt;=$AH309),ROUND(INDEX(Profils!$Q$5:$Q$34,$AE309)*Paramètres!$E$33*$AG309*$AJ309,Paramètres!$F$33),0)</f>
        <v>0</v>
      </c>
      <c r="X309" s="20" t="n">
        <f aca="false" t="array" ref="X309:X309">IF(AND(INDEX(Profils!$R$5:$R$34,$AE309)&gt;0,INDEX(Profils!$AG$5:$AG$34,$AE309)&lt;=$AH309),ROUND(INDEX(Profils!$R$5:$R$34,$AE309)*Paramètres!$E$34*$AG309*$AJ309,Paramètres!$F$34),0)</f>
        <v>0</v>
      </c>
      <c r="Y309" s="20" t="n">
        <f aca="false" t="array" ref="Y309:Y309">IF(AND(INDEX(Profils!$S$5:$S$34,$AE309)&gt;0,INDEX(Profils!$AH$5:$AH$34,$AE309)&lt;=$AH309),ROUND(INDEX(Profils!$S$5:$S$34,$AE309)*Paramètres!$E$35*$AG309*$AJ309,Paramètres!$F$35),0)</f>
        <v>0</v>
      </c>
      <c r="Z309" s="21" t="n">
        <f aca="false">ROUND(L309/Paramètres!$E$22+M309/Paramètres!$E$23+N309/Paramètres!$E$24+O309/Paramètres!$E$25+P309/Paramètres!$E$26+Q309/Paramètres!$E$27+R309/Paramètres!$E$28+S309/Paramètres!$E$29+T309/Paramètres!$E$30+U309/Paramètres!$E$31+V309/Paramètres!$E$32+W309/Paramètres!$E$33+X309/Paramètres!$E$34+Y309/Paramètres!$E$35,1)</f>
        <v>3.1</v>
      </c>
      <c r="AA309" s="22" t="s">
        <v>109</v>
      </c>
      <c r="AB309" s="22" t="s">
        <v>109</v>
      </c>
      <c r="AC309" s="15" t="str">
        <f aca="false">$E309</f>
        <v>adamantite</v>
      </c>
      <c r="AD309" s="16" t="n">
        <f aca="false" t="array" ref="AD309:AD309">IF($I309&gt;=$AI309,"Max",ROUND(Paramètres!$B$40*($I309+1)^Paramètres!$B$41*INDEX(Paramètres!$H$6:$H$12,$AF309),0))</f>
        <v>3</v>
      </c>
      <c r="AE309" s="23" t="n">
        <f aca="false">MATCH($B309&amp;"|"&amp;$C309,Profils!$A$5:$A$34,0)</f>
        <v>10</v>
      </c>
      <c r="AF309" s="23" t="n">
        <v>1</v>
      </c>
      <c r="AG309" s="24" t="n">
        <f aca="false" t="array" ref="AG309:AG309">INDEX(Paramètres!$C$6:$C$12,$AF309)</f>
        <v>1</v>
      </c>
      <c r="AH309" s="23" t="n">
        <f aca="false" t="array" ref="AH309:AH309">INDEX(Paramètres!$D$6:$D$12,$AF309)</f>
        <v>2</v>
      </c>
      <c r="AI309" s="23" t="n">
        <f aca="false" t="array" ref="AI309:AI309">INDEX(Matériaux!$C$16:$C$20,$D309)</f>
        <v>30</v>
      </c>
      <c r="AJ309" s="25" t="n">
        <f aca="false">Paramètres!$B$16+(1-Paramètres!$B$16)*(($J309-Paramètres!$B$14)/(Paramètres!$B$15-Paramètres!$B$14))^Paramètres!$B$17</f>
        <v>0.665999387952727</v>
      </c>
    </row>
    <row r="310" customFormat="false" ht="15.75" hidden="false" customHeight="true" outlineLevel="0" collapsed="false">
      <c r="A310" s="14" t="s">
        <v>426</v>
      </c>
      <c r="B310" s="15" t="s">
        <v>27</v>
      </c>
      <c r="C310" s="15" t="s">
        <v>401</v>
      </c>
      <c r="D310" s="16" t="n">
        <v>5</v>
      </c>
      <c r="E310" s="15" t="str">
        <f aca="false" t="array" ref="E310:E310">INDEX(Matériaux!$B$5:$F$12,MATCH(INDEX(Profils!$E$5:$E$34,$AE310),Matériaux!$A$5:$A$12,0),$D310)</f>
        <v>adamantite</v>
      </c>
      <c r="F310" s="26" t="s">
        <v>111</v>
      </c>
      <c r="G310" s="10" t="str">
        <f aca="false" t="array" ref="G310:G310">INDEX(Profils!$D$5:$D$34,$AE310)&amp;" en "&amp;$E310</f>
        <v>Bouclier en adamantite</v>
      </c>
      <c r="H310" s="16" t="n">
        <f aca="false" t="array" ref="H310:H310">INDEX(Matériaux!$B$16:$B$20,$D310)</f>
        <v>70</v>
      </c>
      <c r="I310" s="16" t="n">
        <f aca="false">IF(ISNUMBER($C$3),MIN(MAX(0,ROUND($C$3,0)),$AI310),$AI310)</f>
        <v>0</v>
      </c>
      <c r="J310" s="18" t="n">
        <f aca="false">$H310+$I310</f>
        <v>70</v>
      </c>
      <c r="K310" s="15" t="s">
        <v>109</v>
      </c>
      <c r="L310" s="19" t="n">
        <f aca="false" t="array" ref="L310:L310">IF(AND(INDEX(Profils!$F$5:$F$34,$AE310)&gt;0,INDEX(Profils!$U$5:$U$34,$AE310)&lt;=$AH310),ROUND(INDEX(Profils!$F$5:$F$34,$AE310)*Paramètres!$E$22*$AG310*$AJ310,Paramètres!$F$22),0)</f>
        <v>32</v>
      </c>
      <c r="M310" s="19" t="n">
        <f aca="false" t="array" ref="M310:M310">IF(AND(INDEX(Profils!$G$5:$G$34,$AE310)&gt;0,INDEX(Profils!$V$5:$V$34,$AE310)&lt;=$AH310),ROUND(INDEX(Profils!$G$5:$G$34,$AE310)*Paramètres!$E$23*$AG310*$AJ310,Paramètres!$F$23),0)</f>
        <v>0</v>
      </c>
      <c r="N310" s="19" t="n">
        <f aca="false" t="array" ref="N310:N310">IF(AND(INDEX(Profils!$H$5:$H$34,$AE310)&gt;0,INDEX(Profils!$W$5:$W$34,$AE310)&lt;=$AH310),ROUND(INDEX(Profils!$H$5:$H$34,$AE310)*Paramètres!$E$24*$AG310*$AJ310,Paramètres!$F$24),0)</f>
        <v>29</v>
      </c>
      <c r="O310" s="19" t="n">
        <f aca="false" t="array" ref="O310:O310">IF(AND(INDEX(Profils!$I$5:$I$34,$AE310)&gt;0,INDEX(Profils!$X$5:$X$34,$AE310)&lt;=$AH310),ROUND(INDEX(Profils!$I$5:$I$34,$AE310)*Paramètres!$E$25*$AG310*$AJ310,Paramètres!$F$25),0)</f>
        <v>0</v>
      </c>
      <c r="P310" s="19" t="n">
        <f aca="false" t="array" ref="P310:P310">IF(AND(INDEX(Profils!$J$5:$J$34,$AE310)&gt;0,INDEX(Profils!$Y$5:$Y$34,$AE310)&lt;=$AH310),ROUND(INDEX(Profils!$J$5:$J$34,$AE310)*Paramètres!$E$26*$AG310*$AJ310,Paramètres!$F$26),0)</f>
        <v>0</v>
      </c>
      <c r="Q310" s="19" t="n">
        <f aca="false" t="array" ref="Q310:Q310">IF(AND(INDEX(Profils!$K$5:$K$34,$AE310)&gt;0,INDEX(Profils!$Z$5:$Z$34,$AE310)&lt;=$AH310),ROUND(INDEX(Profils!$K$5:$K$34,$AE310)*Paramètres!$E$27*$AG310*$AJ310,Paramètres!$F$27),0)</f>
        <v>0</v>
      </c>
      <c r="R310" s="20" t="n">
        <f aca="false" t="array" ref="R310:R310">IF(AND(INDEX(Profils!$L$5:$L$34,$AE310)&gt;0,INDEX(Profils!$AA$5:$AA$34,$AE310)&lt;=$AH310),ROUND(INDEX(Profils!$L$5:$L$34,$AE310)*Paramètres!$E$28*$AG310*$AJ310,Paramètres!$F$28),0)</f>
        <v>0</v>
      </c>
      <c r="S310" s="20" t="n">
        <f aca="false" t="array" ref="S310:S310">IF(AND(INDEX(Profils!$M$5:$M$34,$AE310)&gt;0,INDEX(Profils!$AB$5:$AB$34,$AE310)&lt;=$AH310),ROUND(INDEX(Profils!$M$5:$M$34,$AE310)*Paramètres!$E$29*$AG310*$AJ310,Paramètres!$F$29),0)</f>
        <v>0</v>
      </c>
      <c r="T310" s="20" t="n">
        <f aca="false" t="array" ref="T310:T310">IF(AND(INDEX(Profils!$N$5:$N$34,$AE310)&gt;0,INDEX(Profils!$AC$5:$AC$34,$AE310)&lt;=$AH310),ROUND(INDEX(Profils!$N$5:$N$34,$AE310)*Paramètres!$E$30*$AG310*$AJ310,Paramètres!$F$30),0)</f>
        <v>0</v>
      </c>
      <c r="U310" s="19" t="n">
        <f aca="false" t="array" ref="U310:U310">IF(AND(INDEX(Profils!$O$5:$O$34,$AE310)&gt;0,INDEX(Profils!$AD$5:$AD$34,$AE310)&lt;=$AH310),ROUND(INDEX(Profils!$O$5:$O$34,$AE310)*Paramètres!$E$31*$AG310*$AJ310,Paramètres!$F$31),0)</f>
        <v>35</v>
      </c>
      <c r="V310" s="20" t="n">
        <f aca="false" t="array" ref="V310:V310">IF(AND(INDEX(Profils!$P$5:$P$34,$AE310)&gt;0,INDEX(Profils!$AE$5:$AE$34,$AE310)&lt;=$AH310),ROUND(INDEX(Profils!$P$5:$P$34,$AE310)*Paramètres!$E$32*$AG310*$AJ310,Paramètres!$F$32),0)</f>
        <v>0</v>
      </c>
      <c r="W310" s="20" t="n">
        <f aca="false" t="array" ref="W310:W310">IF(AND(INDEX(Profils!$Q$5:$Q$34,$AE310)&gt;0,INDEX(Profils!$AF$5:$AF$34,$AE310)&lt;=$AH310),ROUND(INDEX(Profils!$Q$5:$Q$34,$AE310)*Paramètres!$E$33*$AG310*$AJ310,Paramètres!$F$33),0)</f>
        <v>0</v>
      </c>
      <c r="X310" s="20" t="n">
        <f aca="false" t="array" ref="X310:X310">IF(AND(INDEX(Profils!$R$5:$R$34,$AE310)&gt;0,INDEX(Profils!$AG$5:$AG$34,$AE310)&lt;=$AH310),ROUND(INDEX(Profils!$R$5:$R$34,$AE310)*Paramètres!$E$34*$AG310*$AJ310,Paramètres!$F$34),0)</f>
        <v>0</v>
      </c>
      <c r="Y310" s="20" t="n">
        <f aca="false" t="array" ref="Y310:Y310">IF(AND(INDEX(Profils!$S$5:$S$34,$AE310)&gt;0,INDEX(Profils!$AH$5:$AH$34,$AE310)&lt;=$AH310),ROUND(INDEX(Profils!$S$5:$S$34,$AE310)*Paramètres!$E$35*$AG310*$AJ310,Paramètres!$F$35),0)</f>
        <v>0</v>
      </c>
      <c r="Z310" s="21" t="n">
        <f aca="false">ROUND(L310/Paramètres!$E$22+M310/Paramètres!$E$23+N310/Paramètres!$E$24+O310/Paramètres!$E$25+P310/Paramètres!$E$26+Q310/Paramètres!$E$27+R310/Paramètres!$E$28+S310/Paramètres!$E$29+T310/Paramètres!$E$30+U310/Paramètres!$E$31+V310/Paramètres!$E$32+W310/Paramètres!$E$33+X310/Paramètres!$E$34+Y310/Paramètres!$E$35,1)</f>
        <v>5</v>
      </c>
      <c r="AA310" s="22" t="s">
        <v>109</v>
      </c>
      <c r="AB310" s="22" t="s">
        <v>109</v>
      </c>
      <c r="AC310" s="15" t="str">
        <f aca="false">$E310</f>
        <v>adamantite</v>
      </c>
      <c r="AD310" s="16" t="n">
        <f aca="false" t="array" ref="AD310:AD310">IF($I310&gt;=$AI310,"Max",ROUND(Paramètres!$B$40*($I310+1)^Paramètres!$B$41*INDEX(Paramètres!$H$6:$H$12,$AF310),0))</f>
        <v>4</v>
      </c>
      <c r="AE310" s="23" t="n">
        <f aca="false">MATCH($B310&amp;"|"&amp;$C310,Profils!$A$5:$A$34,0)</f>
        <v>10</v>
      </c>
      <c r="AF310" s="23" t="n">
        <v>2</v>
      </c>
      <c r="AG310" s="24" t="n">
        <f aca="false" t="array" ref="AG310:AG310">INDEX(Paramètres!$C$6:$C$12,$AF310)</f>
        <v>1.2</v>
      </c>
      <c r="AH310" s="23" t="n">
        <f aca="false" t="array" ref="AH310:AH310">INDEX(Paramètres!$D$6:$D$12,$AF310)</f>
        <v>3</v>
      </c>
      <c r="AI310" s="23" t="n">
        <f aca="false" t="array" ref="AI310:AI310">INDEX(Matériaux!$C$16:$C$20,$D310)</f>
        <v>30</v>
      </c>
      <c r="AJ310" s="25" t="n">
        <f aca="false">Paramètres!$B$16+(1-Paramètres!$B$16)*(($J310-Paramètres!$B$14)/(Paramètres!$B$15-Paramètres!$B$14))^Paramètres!$B$17</f>
        <v>0.665999387952727</v>
      </c>
    </row>
    <row r="311" customFormat="false" ht="15.75" hidden="false" customHeight="true" outlineLevel="0" collapsed="false">
      <c r="A311" s="14" t="s">
        <v>427</v>
      </c>
      <c r="B311" s="15" t="s">
        <v>27</v>
      </c>
      <c r="C311" s="15" t="s">
        <v>401</v>
      </c>
      <c r="D311" s="16" t="n">
        <v>5</v>
      </c>
      <c r="E311" s="15" t="str">
        <f aca="false" t="array" ref="E311:E311">INDEX(Matériaux!$B$5:$F$12,MATCH(INDEX(Profils!$E$5:$E$34,$AE311),Matériaux!$A$5:$A$12,0),$D311)</f>
        <v>adamantite</v>
      </c>
      <c r="F311" s="27" t="s">
        <v>113</v>
      </c>
      <c r="G311" s="10" t="str">
        <f aca="false" t="array" ref="G311:G311">INDEX(Profils!$D$5:$D$34,$AE311)&amp;" en "&amp;$E311</f>
        <v>Bouclier en adamantite</v>
      </c>
      <c r="H311" s="16" t="n">
        <f aca="false" t="array" ref="H311:H311">INDEX(Matériaux!$B$16:$B$20,$D311)</f>
        <v>70</v>
      </c>
      <c r="I311" s="16" t="n">
        <f aca="false">IF(ISNUMBER($C$3),MIN(MAX(0,ROUND($C$3,0)),$AI311),$AI311)</f>
        <v>0</v>
      </c>
      <c r="J311" s="18" t="n">
        <f aca="false">$H311+$I311</f>
        <v>70</v>
      </c>
      <c r="K311" s="15" t="s">
        <v>109</v>
      </c>
      <c r="L311" s="19" t="n">
        <f aca="false" t="array" ref="L311:L311">IF(AND(INDEX(Profils!$F$5:$F$34,$AE311)&gt;0,INDEX(Profils!$U$5:$U$34,$AE311)&lt;=$AH311),ROUND(INDEX(Profils!$F$5:$F$34,$AE311)*Paramètres!$E$22*$AG311*$AJ311,Paramètres!$F$22),0)</f>
        <v>39</v>
      </c>
      <c r="M311" s="19" t="n">
        <f aca="false" t="array" ref="M311:M311">IF(AND(INDEX(Profils!$G$5:$G$34,$AE311)&gt;0,INDEX(Profils!$V$5:$V$34,$AE311)&lt;=$AH311),ROUND(INDEX(Profils!$G$5:$G$34,$AE311)*Paramètres!$E$23*$AG311*$AJ311,Paramètres!$F$23),0)</f>
        <v>0</v>
      </c>
      <c r="N311" s="19" t="n">
        <f aca="false" t="array" ref="N311:N311">IF(AND(INDEX(Profils!$H$5:$H$34,$AE311)&gt;0,INDEX(Profils!$W$5:$W$34,$AE311)&lt;=$AH311),ROUND(INDEX(Profils!$H$5:$H$34,$AE311)*Paramètres!$E$24*$AG311*$AJ311,Paramètres!$F$24),0)</f>
        <v>35</v>
      </c>
      <c r="O311" s="19" t="n">
        <f aca="false" t="array" ref="O311:O311">IF(AND(INDEX(Profils!$I$5:$I$34,$AE311)&gt;0,INDEX(Profils!$X$5:$X$34,$AE311)&lt;=$AH311),ROUND(INDEX(Profils!$I$5:$I$34,$AE311)*Paramètres!$E$25*$AG311*$AJ311,Paramètres!$F$25),0)</f>
        <v>0</v>
      </c>
      <c r="P311" s="19" t="n">
        <f aca="false" t="array" ref="P311:P311">IF(AND(INDEX(Profils!$J$5:$J$34,$AE311)&gt;0,INDEX(Profils!$Y$5:$Y$34,$AE311)&lt;=$AH311),ROUND(INDEX(Profils!$J$5:$J$34,$AE311)*Paramètres!$E$26*$AG311*$AJ311,Paramètres!$F$26),0)</f>
        <v>0</v>
      </c>
      <c r="Q311" s="19" t="n">
        <f aca="false" t="array" ref="Q311:Q311">IF(AND(INDEX(Profils!$K$5:$K$34,$AE311)&gt;0,INDEX(Profils!$Z$5:$Z$34,$AE311)&lt;=$AH311),ROUND(INDEX(Profils!$K$5:$K$34,$AE311)*Paramètres!$E$27*$AG311*$AJ311,Paramètres!$F$27),0)</f>
        <v>0</v>
      </c>
      <c r="R311" s="20" t="n">
        <f aca="false" t="array" ref="R311:R311">IF(AND(INDEX(Profils!$L$5:$L$34,$AE311)&gt;0,INDEX(Profils!$AA$5:$AA$34,$AE311)&lt;=$AH311),ROUND(INDEX(Profils!$L$5:$L$34,$AE311)*Paramètres!$E$28*$AG311*$AJ311,Paramètres!$F$28),0)</f>
        <v>0</v>
      </c>
      <c r="S311" s="20" t="n">
        <f aca="false" t="array" ref="S311:S311">IF(AND(INDEX(Profils!$M$5:$M$34,$AE311)&gt;0,INDEX(Profils!$AB$5:$AB$34,$AE311)&lt;=$AH311),ROUND(INDEX(Profils!$M$5:$M$34,$AE311)*Paramètres!$E$29*$AG311*$AJ311,Paramètres!$F$29),0)</f>
        <v>0</v>
      </c>
      <c r="T311" s="20" t="n">
        <f aca="false" t="array" ref="T311:T311">IF(AND(INDEX(Profils!$N$5:$N$34,$AE311)&gt;0,INDEX(Profils!$AC$5:$AC$34,$AE311)&lt;=$AH311),ROUND(INDEX(Profils!$N$5:$N$34,$AE311)*Paramètres!$E$30*$AG311*$AJ311,Paramètres!$F$30),0)</f>
        <v>0</v>
      </c>
      <c r="U311" s="19" t="n">
        <f aca="false" t="array" ref="U311:U311">IF(AND(INDEX(Profils!$O$5:$O$34,$AE311)&gt;0,INDEX(Profils!$AD$5:$AD$34,$AE311)&lt;=$AH311),ROUND(INDEX(Profils!$O$5:$O$34,$AE311)*Paramètres!$E$31*$AG311*$AJ311,Paramètres!$F$31),0)</f>
        <v>42</v>
      </c>
      <c r="V311" s="20" t="n">
        <f aca="false" t="array" ref="V311:V311">IF(AND(INDEX(Profils!$P$5:$P$34,$AE311)&gt;0,INDEX(Profils!$AE$5:$AE$34,$AE311)&lt;=$AH311),ROUND(INDEX(Profils!$P$5:$P$34,$AE311)*Paramètres!$E$32*$AG311*$AJ311,Paramètres!$F$32),0)</f>
        <v>0</v>
      </c>
      <c r="W311" s="20" t="n">
        <f aca="false" t="array" ref="W311:W311">IF(AND(INDEX(Profils!$Q$5:$Q$34,$AE311)&gt;0,INDEX(Profils!$AF$5:$AF$34,$AE311)&lt;=$AH311),ROUND(INDEX(Profils!$Q$5:$Q$34,$AE311)*Paramètres!$E$33*$AG311*$AJ311,Paramètres!$F$33),0)</f>
        <v>0.017</v>
      </c>
      <c r="X311" s="20" t="n">
        <f aca="false" t="array" ref="X311:X311">IF(AND(INDEX(Profils!$R$5:$R$34,$AE311)&gt;0,INDEX(Profils!$AG$5:$AG$34,$AE311)&lt;=$AH311),ROUND(INDEX(Profils!$R$5:$R$34,$AE311)*Paramètres!$E$34*$AG311*$AJ311,Paramètres!$F$34),0)</f>
        <v>0</v>
      </c>
      <c r="Y311" s="20" t="n">
        <f aca="false" t="array" ref="Y311:Y311">IF(AND(INDEX(Profils!$S$5:$S$34,$AE311)&gt;0,INDEX(Profils!$AH$5:$AH$34,$AE311)&lt;=$AH311),ROUND(INDEX(Profils!$S$5:$S$34,$AE311)*Paramètres!$E$35*$AG311*$AJ311,Paramètres!$F$35),0)</f>
        <v>0</v>
      </c>
      <c r="Z311" s="21" t="n">
        <f aca="false">ROUND(L311/Paramètres!$E$22+M311/Paramètres!$E$23+N311/Paramètres!$E$24+O311/Paramètres!$E$25+P311/Paramètres!$E$26+Q311/Paramètres!$E$27+R311/Paramètres!$E$28+S311/Paramètres!$E$29+T311/Paramètres!$E$30+U311/Paramètres!$E$31+V311/Paramètres!$E$32+W311/Paramètres!$E$33+X311/Paramètres!$E$34+Y311/Paramètres!$E$35,1)</f>
        <v>7.1</v>
      </c>
      <c r="AA311" s="22" t="s">
        <v>109</v>
      </c>
      <c r="AB311" s="22" t="s">
        <v>109</v>
      </c>
      <c r="AC311" s="15" t="str">
        <f aca="false">$E311</f>
        <v>adamantite</v>
      </c>
      <c r="AD311" s="16" t="n">
        <f aca="false" t="array" ref="AD311:AD311">IF($I311&gt;=$AI311,"Max",ROUND(Paramètres!$B$40*($I311+1)^Paramètres!$B$41*INDEX(Paramètres!$H$6:$H$12,$AF311),0))</f>
        <v>4</v>
      </c>
      <c r="AE311" s="23" t="n">
        <f aca="false">MATCH($B311&amp;"|"&amp;$C311,Profils!$A$5:$A$34,0)</f>
        <v>10</v>
      </c>
      <c r="AF311" s="23" t="n">
        <v>3</v>
      </c>
      <c r="AG311" s="24" t="n">
        <f aca="false" t="array" ref="AG311:AG311">INDEX(Paramètres!$C$6:$C$12,$AF311)</f>
        <v>1.45</v>
      </c>
      <c r="AH311" s="23" t="n">
        <f aca="false" t="array" ref="AH311:AH311">INDEX(Paramètres!$D$6:$D$12,$AF311)</f>
        <v>4</v>
      </c>
      <c r="AI311" s="23" t="n">
        <f aca="false" t="array" ref="AI311:AI311">INDEX(Matériaux!$C$16:$C$20,$D311)</f>
        <v>30</v>
      </c>
      <c r="AJ311" s="25" t="n">
        <f aca="false">Paramètres!$B$16+(1-Paramètres!$B$16)*(($J311-Paramètres!$B$14)/(Paramètres!$B$15-Paramètres!$B$14))^Paramètres!$B$17</f>
        <v>0.665999387952727</v>
      </c>
    </row>
    <row r="312" customFormat="false" ht="15.75" hidden="false" customHeight="true" outlineLevel="0" collapsed="false">
      <c r="A312" s="14" t="s">
        <v>428</v>
      </c>
      <c r="B312" s="15" t="s">
        <v>27</v>
      </c>
      <c r="C312" s="15" t="s">
        <v>401</v>
      </c>
      <c r="D312" s="16" t="n">
        <v>5</v>
      </c>
      <c r="E312" s="15" t="str">
        <f aca="false" t="array" ref="E312:E312">INDEX(Matériaux!$B$5:$F$12,MATCH(INDEX(Profils!$E$5:$E$34,$AE312),Matériaux!$A$5:$A$12,0),$D312)</f>
        <v>adamantite</v>
      </c>
      <c r="F312" s="28" t="s">
        <v>115</v>
      </c>
      <c r="G312" s="10" t="str">
        <f aca="false" t="array" ref="G312:G312">INDEX(Profils!$D$5:$D$34,$AE312)&amp;" en "&amp;$E312</f>
        <v>Bouclier en adamantite</v>
      </c>
      <c r="H312" s="16" t="n">
        <f aca="false" t="array" ref="H312:H312">INDEX(Matériaux!$B$16:$B$20,$D312)</f>
        <v>70</v>
      </c>
      <c r="I312" s="16" t="n">
        <f aca="false">IF(ISNUMBER($C$3),MIN(MAX(0,ROUND($C$3,0)),$AI312),$AI312)</f>
        <v>0</v>
      </c>
      <c r="J312" s="18" t="n">
        <f aca="false">$H312+$I312</f>
        <v>70</v>
      </c>
      <c r="K312" s="15" t="s">
        <v>109</v>
      </c>
      <c r="L312" s="19" t="n">
        <f aca="false" t="array" ref="L312:L312">IF(AND(INDEX(Profils!$F$5:$F$34,$AE312)&gt;0,INDEX(Profils!$U$5:$U$34,$AE312)&lt;=$AH312),ROUND(INDEX(Profils!$F$5:$F$34,$AE312)*Paramètres!$E$22*$AG312*$AJ312,Paramètres!$F$22),0)</f>
        <v>47</v>
      </c>
      <c r="M312" s="19" t="n">
        <f aca="false" t="array" ref="M312:M312">IF(AND(INDEX(Profils!$G$5:$G$34,$AE312)&gt;0,INDEX(Profils!$V$5:$V$34,$AE312)&lt;=$AH312),ROUND(INDEX(Profils!$G$5:$G$34,$AE312)*Paramètres!$E$23*$AG312*$AJ312,Paramètres!$F$23),0)</f>
        <v>0</v>
      </c>
      <c r="N312" s="19" t="n">
        <f aca="false" t="array" ref="N312:N312">IF(AND(INDEX(Profils!$H$5:$H$34,$AE312)&gt;0,INDEX(Profils!$W$5:$W$34,$AE312)&lt;=$AH312),ROUND(INDEX(Profils!$H$5:$H$34,$AE312)*Paramètres!$E$24*$AG312*$AJ312,Paramètres!$F$24),0)</f>
        <v>42</v>
      </c>
      <c r="O312" s="19" t="n">
        <f aca="false" t="array" ref="O312:O312">IF(AND(INDEX(Profils!$I$5:$I$34,$AE312)&gt;0,INDEX(Profils!$X$5:$X$34,$AE312)&lt;=$AH312),ROUND(INDEX(Profils!$I$5:$I$34,$AE312)*Paramètres!$E$25*$AG312*$AJ312,Paramètres!$F$25),0)</f>
        <v>0</v>
      </c>
      <c r="P312" s="19" t="n">
        <f aca="false" t="array" ref="P312:P312">IF(AND(INDEX(Profils!$J$5:$J$34,$AE312)&gt;0,INDEX(Profils!$Y$5:$Y$34,$AE312)&lt;=$AH312),ROUND(INDEX(Profils!$J$5:$J$34,$AE312)*Paramètres!$E$26*$AG312*$AJ312,Paramètres!$F$26),0)</f>
        <v>0</v>
      </c>
      <c r="Q312" s="19" t="n">
        <f aca="false" t="array" ref="Q312:Q312">IF(AND(INDEX(Profils!$K$5:$K$34,$AE312)&gt;0,INDEX(Profils!$Z$5:$Z$34,$AE312)&lt;=$AH312),ROUND(INDEX(Profils!$K$5:$K$34,$AE312)*Paramètres!$E$27*$AG312*$AJ312,Paramètres!$F$27),0)</f>
        <v>0</v>
      </c>
      <c r="R312" s="20" t="n">
        <f aca="false" t="array" ref="R312:R312">IF(AND(INDEX(Profils!$L$5:$L$34,$AE312)&gt;0,INDEX(Profils!$AA$5:$AA$34,$AE312)&lt;=$AH312),ROUND(INDEX(Profils!$L$5:$L$34,$AE312)*Paramètres!$E$28*$AG312*$AJ312,Paramètres!$F$28),0)</f>
        <v>0</v>
      </c>
      <c r="S312" s="20" t="n">
        <f aca="false" t="array" ref="S312:S312">IF(AND(INDEX(Profils!$M$5:$M$34,$AE312)&gt;0,INDEX(Profils!$AB$5:$AB$34,$AE312)&lt;=$AH312),ROUND(INDEX(Profils!$M$5:$M$34,$AE312)*Paramètres!$E$29*$AG312*$AJ312,Paramètres!$F$29),0)</f>
        <v>0</v>
      </c>
      <c r="T312" s="20" t="n">
        <f aca="false" t="array" ref="T312:T312">IF(AND(INDEX(Profils!$N$5:$N$34,$AE312)&gt;0,INDEX(Profils!$AC$5:$AC$34,$AE312)&lt;=$AH312),ROUND(INDEX(Profils!$N$5:$N$34,$AE312)*Paramètres!$E$30*$AG312*$AJ312,Paramètres!$F$30),0)</f>
        <v>0</v>
      </c>
      <c r="U312" s="19" t="n">
        <f aca="false" t="array" ref="U312:U312">IF(AND(INDEX(Profils!$O$5:$O$34,$AE312)&gt;0,INDEX(Profils!$AD$5:$AD$34,$AE312)&lt;=$AH312),ROUND(INDEX(Profils!$O$5:$O$34,$AE312)*Paramètres!$E$31*$AG312*$AJ312,Paramètres!$F$31),0)</f>
        <v>51</v>
      </c>
      <c r="V312" s="20" t="n">
        <f aca="false" t="array" ref="V312:V312">IF(AND(INDEX(Profils!$P$5:$P$34,$AE312)&gt;0,INDEX(Profils!$AE$5:$AE$34,$AE312)&lt;=$AH312),ROUND(INDEX(Profils!$P$5:$P$34,$AE312)*Paramètres!$E$32*$AG312*$AJ312,Paramètres!$F$32),0)</f>
        <v>0</v>
      </c>
      <c r="W312" s="20" t="n">
        <f aca="false" t="array" ref="W312:W312">IF(AND(INDEX(Profils!$Q$5:$Q$34,$AE312)&gt;0,INDEX(Profils!$AF$5:$AF$34,$AE312)&lt;=$AH312),ROUND(INDEX(Profils!$Q$5:$Q$34,$AE312)*Paramètres!$E$33*$AG312*$AJ312,Paramètres!$F$33),0)</f>
        <v>0.021</v>
      </c>
      <c r="X312" s="20" t="n">
        <f aca="false" t="array" ref="X312:X312">IF(AND(INDEX(Profils!$R$5:$R$34,$AE312)&gt;0,INDEX(Profils!$AG$5:$AG$34,$AE312)&lt;=$AH312),ROUND(INDEX(Profils!$R$5:$R$34,$AE312)*Paramètres!$E$34*$AG312*$AJ312,Paramètres!$F$34),0)</f>
        <v>0</v>
      </c>
      <c r="Y312" s="20" t="n">
        <f aca="false" t="array" ref="Y312:Y312">IF(AND(INDEX(Profils!$S$5:$S$34,$AE312)&gt;0,INDEX(Profils!$AH$5:$AH$34,$AE312)&lt;=$AH312),ROUND(INDEX(Profils!$S$5:$S$34,$AE312)*Paramètres!$E$35*$AG312*$AJ312,Paramètres!$F$35),0)</f>
        <v>0.021</v>
      </c>
      <c r="Z312" s="21" t="n">
        <f aca="false">ROUND(L312/Paramètres!$E$22+M312/Paramètres!$E$23+N312/Paramètres!$E$24+O312/Paramètres!$E$25+P312/Paramètres!$E$26+Q312/Paramètres!$E$27+R312/Paramètres!$E$28+S312/Paramètres!$E$29+T312/Paramètres!$E$30+U312/Paramètres!$E$31+V312/Paramètres!$E$32+W312/Paramètres!$E$33+X312/Paramètres!$E$34+Y312/Paramètres!$E$35,1)</f>
        <v>10</v>
      </c>
      <c r="AA312" s="22" t="s">
        <v>109</v>
      </c>
      <c r="AB312" s="22" t="s">
        <v>109</v>
      </c>
      <c r="AC312" s="15" t="str">
        <f aca="false">$E312</f>
        <v>adamantite</v>
      </c>
      <c r="AD312" s="16" t="n">
        <f aca="false" t="array" ref="AD312:AD312">IF($I312&gt;=$AI312,"Max",ROUND(Paramètres!$B$40*($I312+1)^Paramètres!$B$41*INDEX(Paramètres!$H$6:$H$12,$AF312),0))</f>
        <v>5</v>
      </c>
      <c r="AE312" s="23" t="n">
        <f aca="false">MATCH($B312&amp;"|"&amp;$C312,Profils!$A$5:$A$34,0)</f>
        <v>10</v>
      </c>
      <c r="AF312" s="23" t="n">
        <v>4</v>
      </c>
      <c r="AG312" s="24" t="n">
        <f aca="false" t="array" ref="AG312:AG312">INDEX(Paramètres!$C$6:$C$12,$AF312)</f>
        <v>1.75</v>
      </c>
      <c r="AH312" s="23" t="n">
        <f aca="false" t="array" ref="AH312:AH312">INDEX(Paramètres!$D$6:$D$12,$AF312)</f>
        <v>5</v>
      </c>
      <c r="AI312" s="23" t="n">
        <f aca="false" t="array" ref="AI312:AI312">INDEX(Matériaux!$C$16:$C$20,$D312)</f>
        <v>30</v>
      </c>
      <c r="AJ312" s="25" t="n">
        <f aca="false">Paramètres!$B$16+(1-Paramètres!$B$16)*(($J312-Paramètres!$B$14)/(Paramètres!$B$15-Paramètres!$B$14))^Paramètres!$B$17</f>
        <v>0.665999387952727</v>
      </c>
    </row>
    <row r="313" customFormat="false" ht="15.75" hidden="false" customHeight="true" outlineLevel="0" collapsed="false">
      <c r="A313" s="14" t="s">
        <v>429</v>
      </c>
      <c r="B313" s="15" t="s">
        <v>27</v>
      </c>
      <c r="C313" s="15" t="s">
        <v>401</v>
      </c>
      <c r="D313" s="16" t="n">
        <v>5</v>
      </c>
      <c r="E313" s="15" t="str">
        <f aca="false" t="array" ref="E313:E313">INDEX(Matériaux!$B$5:$F$12,MATCH(INDEX(Profils!$E$5:$E$34,$AE313),Matériaux!$A$5:$A$12,0),$D313)</f>
        <v>adamantite</v>
      </c>
      <c r="F313" s="29" t="s">
        <v>117</v>
      </c>
      <c r="G313" s="10" t="str">
        <f aca="false" t="array" ref="G313:G313">INDEX(Profils!$D$5:$D$34,$AE313)&amp;" en "&amp;$E313</f>
        <v>Bouclier en adamantite</v>
      </c>
      <c r="H313" s="16" t="n">
        <f aca="false" t="array" ref="H313:H313">INDEX(Matériaux!$B$16:$B$20,$D313)</f>
        <v>70</v>
      </c>
      <c r="I313" s="16" t="n">
        <f aca="false">IF(ISNUMBER($C$3),MIN(MAX(0,ROUND($C$3,0)),$AI313),$AI313)</f>
        <v>0</v>
      </c>
      <c r="J313" s="18" t="n">
        <f aca="false">$H313+$I313</f>
        <v>70</v>
      </c>
      <c r="K313" s="15" t="s">
        <v>109</v>
      </c>
      <c r="L313" s="19" t="n">
        <f aca="false" t="array" ref="L313:L313">IF(AND(INDEX(Profils!$F$5:$F$34,$AE313)&gt;0,INDEX(Profils!$U$5:$U$34,$AE313)&lt;=$AH313),ROUND(INDEX(Profils!$F$5:$F$34,$AE313)*Paramètres!$E$22*$AG313*$AJ313,Paramètres!$F$22),0)</f>
        <v>56</v>
      </c>
      <c r="M313" s="19" t="n">
        <f aca="false" t="array" ref="M313:M313">IF(AND(INDEX(Profils!$G$5:$G$34,$AE313)&gt;0,INDEX(Profils!$V$5:$V$34,$AE313)&lt;=$AH313),ROUND(INDEX(Profils!$G$5:$G$34,$AE313)*Paramètres!$E$23*$AG313*$AJ313,Paramètres!$F$23),0)</f>
        <v>13</v>
      </c>
      <c r="N313" s="19" t="n">
        <f aca="false" t="array" ref="N313:N313">IF(AND(INDEX(Profils!$H$5:$H$34,$AE313)&gt;0,INDEX(Profils!$W$5:$W$34,$AE313)&lt;=$AH313),ROUND(INDEX(Profils!$H$5:$H$34,$AE313)*Paramètres!$E$24*$AG313*$AJ313,Paramètres!$F$24),0)</f>
        <v>50</v>
      </c>
      <c r="O313" s="19" t="n">
        <f aca="false" t="array" ref="O313:O313">IF(AND(INDEX(Profils!$I$5:$I$34,$AE313)&gt;0,INDEX(Profils!$X$5:$X$34,$AE313)&lt;=$AH313),ROUND(INDEX(Profils!$I$5:$I$34,$AE313)*Paramètres!$E$25*$AG313*$AJ313,Paramètres!$F$25),0)</f>
        <v>0</v>
      </c>
      <c r="P313" s="19" t="n">
        <f aca="false" t="array" ref="P313:P313">IF(AND(INDEX(Profils!$J$5:$J$34,$AE313)&gt;0,INDEX(Profils!$Y$5:$Y$34,$AE313)&lt;=$AH313),ROUND(INDEX(Profils!$J$5:$J$34,$AE313)*Paramètres!$E$26*$AG313*$AJ313,Paramètres!$F$26),0)</f>
        <v>0</v>
      </c>
      <c r="Q313" s="19" t="n">
        <f aca="false" t="array" ref="Q313:Q313">IF(AND(INDEX(Profils!$K$5:$K$34,$AE313)&gt;0,INDEX(Profils!$Z$5:$Z$34,$AE313)&lt;=$AH313),ROUND(INDEX(Profils!$K$5:$K$34,$AE313)*Paramètres!$E$27*$AG313*$AJ313,Paramètres!$F$27),0)</f>
        <v>0</v>
      </c>
      <c r="R313" s="20" t="n">
        <f aca="false" t="array" ref="R313:R313">IF(AND(INDEX(Profils!$L$5:$L$34,$AE313)&gt;0,INDEX(Profils!$AA$5:$AA$34,$AE313)&lt;=$AH313),ROUND(INDEX(Profils!$L$5:$L$34,$AE313)*Paramètres!$E$28*$AG313*$AJ313,Paramètres!$F$28),0)</f>
        <v>0</v>
      </c>
      <c r="S313" s="20" t="n">
        <f aca="false" t="array" ref="S313:S313">IF(AND(INDEX(Profils!$M$5:$M$34,$AE313)&gt;0,INDEX(Profils!$AB$5:$AB$34,$AE313)&lt;=$AH313),ROUND(INDEX(Profils!$M$5:$M$34,$AE313)*Paramètres!$E$29*$AG313*$AJ313,Paramètres!$F$29),0)</f>
        <v>0</v>
      </c>
      <c r="T313" s="20" t="n">
        <f aca="false" t="array" ref="T313:T313">IF(AND(INDEX(Profils!$N$5:$N$34,$AE313)&gt;0,INDEX(Profils!$AC$5:$AC$34,$AE313)&lt;=$AH313),ROUND(INDEX(Profils!$N$5:$N$34,$AE313)*Paramètres!$E$30*$AG313*$AJ313,Paramètres!$F$30),0)</f>
        <v>0</v>
      </c>
      <c r="U313" s="19" t="n">
        <f aca="false" t="array" ref="U313:U313">IF(AND(INDEX(Profils!$O$5:$O$34,$AE313)&gt;0,INDEX(Profils!$AD$5:$AD$34,$AE313)&lt;=$AH313),ROUND(INDEX(Profils!$O$5:$O$34,$AE313)*Paramètres!$E$31*$AG313*$AJ313,Paramètres!$F$31),0)</f>
        <v>62</v>
      </c>
      <c r="V313" s="20" t="n">
        <f aca="false" t="array" ref="V313:V313">IF(AND(INDEX(Profils!$P$5:$P$34,$AE313)&gt;0,INDEX(Profils!$AE$5:$AE$34,$AE313)&lt;=$AH313),ROUND(INDEX(Profils!$P$5:$P$34,$AE313)*Paramètres!$E$32*$AG313*$AJ313,Paramètres!$F$32),0)</f>
        <v>0</v>
      </c>
      <c r="W313" s="20" t="n">
        <f aca="false" t="array" ref="W313:W313">IF(AND(INDEX(Profils!$Q$5:$Q$34,$AE313)&gt;0,INDEX(Profils!$AF$5:$AF$34,$AE313)&lt;=$AH313),ROUND(INDEX(Profils!$Q$5:$Q$34,$AE313)*Paramètres!$E$33*$AG313*$AJ313,Paramètres!$F$33),0)</f>
        <v>0.025</v>
      </c>
      <c r="X313" s="20" t="n">
        <f aca="false" t="array" ref="X313:X313">IF(AND(INDEX(Profils!$R$5:$R$34,$AE313)&gt;0,INDEX(Profils!$AG$5:$AG$34,$AE313)&lt;=$AH313),ROUND(INDEX(Profils!$R$5:$R$34,$AE313)*Paramètres!$E$34*$AG313*$AJ313,Paramètres!$F$34),0)</f>
        <v>0</v>
      </c>
      <c r="Y313" s="20" t="n">
        <f aca="false" t="array" ref="Y313:Y313">IF(AND(INDEX(Profils!$S$5:$S$34,$AE313)&gt;0,INDEX(Profils!$AH$5:$AH$34,$AE313)&lt;=$AH313),ROUND(INDEX(Profils!$S$5:$S$34,$AE313)*Paramètres!$E$35*$AG313*$AJ313,Paramètres!$F$35),0)</f>
        <v>0.025</v>
      </c>
      <c r="Z313" s="21" t="n">
        <f aca="false">ROUND(L313/Paramètres!$E$22+M313/Paramètres!$E$23+N313/Paramètres!$E$24+O313/Paramètres!$E$25+P313/Paramètres!$E$26+Q313/Paramètres!$E$27+R313/Paramètres!$E$28+S313/Paramètres!$E$29+T313/Paramètres!$E$30+U313/Paramètres!$E$31+V313/Paramètres!$E$32+W313/Paramètres!$E$33+X313/Paramètres!$E$34+Y313/Paramètres!$E$35,1)</f>
        <v>12.9</v>
      </c>
      <c r="AA313" s="22" t="s">
        <v>109</v>
      </c>
      <c r="AB313" s="22" t="s">
        <v>109</v>
      </c>
      <c r="AC313" s="15" t="str">
        <f aca="false">$E313</f>
        <v>adamantite</v>
      </c>
      <c r="AD313" s="16" t="n">
        <f aca="false" t="array" ref="AD313:AD313">IF($I313&gt;=$AI313,"Max",ROUND(Paramètres!$B$40*($I313+1)^Paramètres!$B$41*INDEX(Paramètres!$H$6:$H$12,$AF313),0))</f>
        <v>6</v>
      </c>
      <c r="AE313" s="23" t="n">
        <f aca="false">MATCH($B313&amp;"|"&amp;$C313,Profils!$A$5:$A$34,0)</f>
        <v>10</v>
      </c>
      <c r="AF313" s="23" t="n">
        <v>5</v>
      </c>
      <c r="AG313" s="24" t="n">
        <f aca="false" t="array" ref="AG313:AG313">INDEX(Paramètres!$C$6:$C$12,$AF313)</f>
        <v>2.1</v>
      </c>
      <c r="AH313" s="23" t="n">
        <f aca="false" t="array" ref="AH313:AH313">INDEX(Paramètres!$D$6:$D$12,$AF313)</f>
        <v>6</v>
      </c>
      <c r="AI313" s="23" t="n">
        <f aca="false" t="array" ref="AI313:AI313">INDEX(Matériaux!$C$16:$C$20,$D313)</f>
        <v>30</v>
      </c>
      <c r="AJ313" s="25" t="n">
        <f aca="false">Paramètres!$B$16+(1-Paramètres!$B$16)*(($J313-Paramètres!$B$14)/(Paramètres!$B$15-Paramètres!$B$14))^Paramètres!$B$17</f>
        <v>0.665999387952727</v>
      </c>
    </row>
    <row r="314" customFormat="false" ht="15.75" hidden="false" customHeight="true" outlineLevel="0" collapsed="false">
      <c r="A314" s="14" t="s">
        <v>430</v>
      </c>
      <c r="B314" s="15" t="s">
        <v>27</v>
      </c>
      <c r="C314" s="15" t="s">
        <v>401</v>
      </c>
      <c r="D314" s="16" t="n">
        <v>5</v>
      </c>
      <c r="E314" s="15" t="str">
        <f aca="false" t="array" ref="E314:E314">INDEX(Matériaux!$B$5:$F$12,MATCH(INDEX(Profils!$E$5:$E$34,$AE314),Matériaux!$A$5:$A$12,0),$D314)</f>
        <v>adamantite</v>
      </c>
      <c r="F314" s="30" t="s">
        <v>119</v>
      </c>
      <c r="G314" s="10" t="str">
        <f aca="false" t="array" ref="G314:G314">INDEX(Profils!$D$5:$D$34,$AE314)&amp;" en "&amp;$E314</f>
        <v>Bouclier en adamantite</v>
      </c>
      <c r="H314" s="16" t="n">
        <f aca="false" t="array" ref="H314:H314">INDEX(Matériaux!$B$16:$B$20,$D314)</f>
        <v>70</v>
      </c>
      <c r="I314" s="16" t="n">
        <f aca="false">IF(ISNUMBER($C$3),MIN(MAX(0,ROUND($C$3,0)),$AI314),$AI314)</f>
        <v>0</v>
      </c>
      <c r="J314" s="18" t="n">
        <f aca="false">$H314+$I314</f>
        <v>70</v>
      </c>
      <c r="K314" s="15" t="s">
        <v>109</v>
      </c>
      <c r="L314" s="19" t="n">
        <f aca="false" t="array" ref="L314:L314">IF(AND(INDEX(Profils!$F$5:$F$34,$AE314)&gt;0,INDEX(Profils!$U$5:$U$34,$AE314)&lt;=$AH314),ROUND(INDEX(Profils!$F$5:$F$34,$AE314)*Paramètres!$E$22*$AG314*$AJ314,Paramètres!$F$22),0)</f>
        <v>64</v>
      </c>
      <c r="M314" s="19" t="n">
        <f aca="false" t="array" ref="M314:M314">IF(AND(INDEX(Profils!$G$5:$G$34,$AE314)&gt;0,INDEX(Profils!$V$5:$V$34,$AE314)&lt;=$AH314),ROUND(INDEX(Profils!$G$5:$G$34,$AE314)*Paramètres!$E$23*$AG314*$AJ314,Paramètres!$F$23),0)</f>
        <v>14</v>
      </c>
      <c r="N314" s="19" t="n">
        <f aca="false" t="array" ref="N314:N314">IF(AND(INDEX(Profils!$H$5:$H$34,$AE314)&gt;0,INDEX(Profils!$W$5:$W$34,$AE314)&lt;=$AH314),ROUND(INDEX(Profils!$H$5:$H$34,$AE314)*Paramètres!$E$24*$AG314*$AJ314,Paramètres!$F$24),0)</f>
        <v>58</v>
      </c>
      <c r="O314" s="19" t="n">
        <f aca="false" t="array" ref="O314:O314">IF(AND(INDEX(Profils!$I$5:$I$34,$AE314)&gt;0,INDEX(Profils!$X$5:$X$34,$AE314)&lt;=$AH314),ROUND(INDEX(Profils!$I$5:$I$34,$AE314)*Paramètres!$E$25*$AG314*$AJ314,Paramètres!$F$25),0)</f>
        <v>0</v>
      </c>
      <c r="P314" s="19" t="n">
        <f aca="false" t="array" ref="P314:P314">IF(AND(INDEX(Profils!$J$5:$J$34,$AE314)&gt;0,INDEX(Profils!$Y$5:$Y$34,$AE314)&lt;=$AH314),ROUND(INDEX(Profils!$J$5:$J$34,$AE314)*Paramètres!$E$26*$AG314*$AJ314,Paramètres!$F$26),0)</f>
        <v>0</v>
      </c>
      <c r="Q314" s="19" t="n">
        <f aca="false" t="array" ref="Q314:Q314">IF(AND(INDEX(Profils!$K$5:$K$34,$AE314)&gt;0,INDEX(Profils!$Z$5:$Z$34,$AE314)&lt;=$AH314),ROUND(INDEX(Profils!$K$5:$K$34,$AE314)*Paramètres!$E$27*$AG314*$AJ314,Paramètres!$F$27),0)</f>
        <v>0</v>
      </c>
      <c r="R314" s="20" t="n">
        <f aca="false" t="array" ref="R314:R314">IF(AND(INDEX(Profils!$L$5:$L$34,$AE314)&gt;0,INDEX(Profils!$AA$5:$AA$34,$AE314)&lt;=$AH314),ROUND(INDEX(Profils!$L$5:$L$34,$AE314)*Paramètres!$E$28*$AG314*$AJ314,Paramètres!$F$28),0)</f>
        <v>0.007</v>
      </c>
      <c r="S314" s="20" t="n">
        <f aca="false" t="array" ref="S314:S314">IF(AND(INDEX(Profils!$M$5:$M$34,$AE314)&gt;0,INDEX(Profils!$AB$5:$AB$34,$AE314)&lt;=$AH314),ROUND(INDEX(Profils!$M$5:$M$34,$AE314)*Paramètres!$E$29*$AG314*$AJ314,Paramètres!$F$29),0)</f>
        <v>0</v>
      </c>
      <c r="T314" s="20" t="n">
        <f aca="false" t="array" ref="T314:T314">IF(AND(INDEX(Profils!$N$5:$N$34,$AE314)&gt;0,INDEX(Profils!$AC$5:$AC$34,$AE314)&lt;=$AH314),ROUND(INDEX(Profils!$N$5:$N$34,$AE314)*Paramètres!$E$30*$AG314*$AJ314,Paramètres!$F$30),0)</f>
        <v>0</v>
      </c>
      <c r="U314" s="19" t="n">
        <f aca="false" t="array" ref="U314:U314">IF(AND(INDEX(Profils!$O$5:$O$34,$AE314)&gt;0,INDEX(Profils!$AD$5:$AD$34,$AE314)&lt;=$AH314),ROUND(INDEX(Profils!$O$5:$O$34,$AE314)*Paramètres!$E$31*$AG314*$AJ314,Paramètres!$F$31),0)</f>
        <v>70</v>
      </c>
      <c r="V314" s="20" t="n">
        <f aca="false" t="array" ref="V314:V314">IF(AND(INDEX(Profils!$P$5:$P$34,$AE314)&gt;0,INDEX(Profils!$AE$5:$AE$34,$AE314)&lt;=$AH314),ROUND(INDEX(Profils!$P$5:$P$34,$AE314)*Paramètres!$E$32*$AG314*$AJ314,Paramètres!$F$32),0)</f>
        <v>0</v>
      </c>
      <c r="W314" s="20" t="n">
        <f aca="false" t="array" ref="W314:W314">IF(AND(INDEX(Profils!$Q$5:$Q$34,$AE314)&gt;0,INDEX(Profils!$AF$5:$AF$34,$AE314)&lt;=$AH314),ROUND(INDEX(Profils!$Q$5:$Q$34,$AE314)*Paramètres!$E$33*$AG314*$AJ314,Paramètres!$F$33),0)</f>
        <v>0.029</v>
      </c>
      <c r="X314" s="20" t="n">
        <f aca="false" t="array" ref="X314:X314">IF(AND(INDEX(Profils!$R$5:$R$34,$AE314)&gt;0,INDEX(Profils!$AG$5:$AG$34,$AE314)&lt;=$AH314),ROUND(INDEX(Profils!$R$5:$R$34,$AE314)*Paramètres!$E$34*$AG314*$AJ314,Paramètres!$F$34),0)</f>
        <v>0</v>
      </c>
      <c r="Y314" s="20" t="n">
        <f aca="false" t="array" ref="Y314:Y314">IF(AND(INDEX(Profils!$S$5:$S$34,$AE314)&gt;0,INDEX(Profils!$AH$5:$AH$34,$AE314)&lt;=$AH314),ROUND(INDEX(Profils!$S$5:$S$34,$AE314)*Paramètres!$E$35*$AG314*$AJ314,Paramètres!$F$35),0)</f>
        <v>0.029</v>
      </c>
      <c r="Z314" s="21" t="n">
        <f aca="false">ROUND(L314/Paramètres!$E$22+M314/Paramètres!$E$23+N314/Paramètres!$E$24+O314/Paramètres!$E$25+P314/Paramètres!$E$26+Q314/Paramètres!$E$27+R314/Paramètres!$E$28+S314/Paramètres!$E$29+T314/Paramètres!$E$30+U314/Paramètres!$E$31+V314/Paramètres!$E$32+W314/Paramètres!$E$33+X314/Paramètres!$E$34+Y314/Paramètres!$E$35,1)</f>
        <v>15.2</v>
      </c>
      <c r="AA314" s="22" t="s">
        <v>109</v>
      </c>
      <c r="AB314" s="22" t="s">
        <v>109</v>
      </c>
      <c r="AC314" s="15" t="str">
        <f aca="false">$E314</f>
        <v>adamantite</v>
      </c>
      <c r="AD314" s="16" t="n">
        <f aca="false" t="array" ref="AD314:AD314">IF($I314&gt;=$AI314,"Max",ROUND(Paramètres!$B$40*($I314+1)^Paramètres!$B$41*INDEX(Paramètres!$H$6:$H$12,$AF314),0))</f>
        <v>8</v>
      </c>
      <c r="AE314" s="23" t="n">
        <f aca="false">MATCH($B314&amp;"|"&amp;$C314,Profils!$A$5:$A$34,0)</f>
        <v>10</v>
      </c>
      <c r="AF314" s="23" t="n">
        <v>6</v>
      </c>
      <c r="AG314" s="24" t="n">
        <f aca="false" t="array" ref="AG314:AG314">INDEX(Paramètres!$C$6:$C$12,$AF314)</f>
        <v>2.4</v>
      </c>
      <c r="AH314" s="23" t="n">
        <f aca="false" t="array" ref="AH314:AH314">INDEX(Paramètres!$D$6:$D$12,$AF314)</f>
        <v>7</v>
      </c>
      <c r="AI314" s="23" t="n">
        <f aca="false" t="array" ref="AI314:AI314">INDEX(Matériaux!$C$16:$C$20,$D314)</f>
        <v>30</v>
      </c>
      <c r="AJ314" s="25" t="n">
        <f aca="false">Paramètres!$B$16+(1-Paramètres!$B$16)*(($J314-Paramètres!$B$14)/(Paramètres!$B$15-Paramètres!$B$14))^Paramètres!$B$17</f>
        <v>0.665999387952727</v>
      </c>
    </row>
    <row r="315" customFormat="false" ht="15.75" hidden="false" customHeight="true" outlineLevel="0" collapsed="false">
      <c r="A315" s="14" t="s">
        <v>431</v>
      </c>
      <c r="B315" s="15" t="s">
        <v>27</v>
      </c>
      <c r="C315" s="15" t="s">
        <v>401</v>
      </c>
      <c r="D315" s="16" t="s">
        <v>109</v>
      </c>
      <c r="E315" s="15" t="s">
        <v>109</v>
      </c>
      <c r="F315" s="31" t="s">
        <v>38</v>
      </c>
      <c r="G315" s="10" t="str">
        <f aca="false" t="array" ref="G315:G315">INDEX(Uniques!$E$5:$E$34,MATCH($B315&amp;"|"&amp;$C315,Uniques!$A$5:$A$34,0))</f>
        <v>Rempart de l'Aube Éternelle</v>
      </c>
      <c r="H315" s="16" t="n">
        <f aca="false" t="array" ref="H315:H315">INDEX(Uniques!$L$5:$L$34,MATCH($B315&amp;"|"&amp;$C315,Uniques!$A$5:$A$34,0))</f>
        <v>81</v>
      </c>
      <c r="I315" s="16" t="n">
        <f aca="false">IF(ISNUMBER($C$3),MIN(MAX(0,ROUND($C$3,0)),$AI315),$AI315)</f>
        <v>0</v>
      </c>
      <c r="J315" s="18" t="n">
        <f aca="false">$H315+$I315</f>
        <v>81</v>
      </c>
      <c r="K315" s="15" t="str">
        <f aca="false" t="array" ref="K315:K315">INDEX(Uniques!$F$5:$F$34,MATCH($B315&amp;"|"&amp;$C315,Uniques!$A$5:$A$34,0))</f>
        <v>Lumière</v>
      </c>
      <c r="L315" s="19" t="n">
        <f aca="false" t="array" ref="L315:L315">IF(AND(INDEX(Profils!$F$5:$F$34,$AE315)&gt;0,INDEX(Profils!$U$5:$U$34,$AE315)&lt;=$AH315),ROUND(INDEX(Profils!$F$5:$F$34,$AE315)*Paramètres!$E$22*$AG315*$AJ315,Paramètres!$F$22),0)</f>
        <v>79</v>
      </c>
      <c r="M315" s="19" t="n">
        <f aca="false" t="array" ref="M315:M315">IF(AND(INDEX(Profils!$G$5:$G$34,$AE315)&gt;0,INDEX(Profils!$V$5:$V$34,$AE315)&lt;=$AH315),ROUND(INDEX(Profils!$G$5:$G$34,$AE315)*Paramètres!$E$23*$AG315*$AJ315,Paramètres!$F$23),0)</f>
        <v>18</v>
      </c>
      <c r="N315" s="19" t="n">
        <f aca="false" t="array" ref="N315:N315">IF(AND(INDEX(Profils!$H$5:$H$34,$AE315)&gt;0,INDEX(Profils!$W$5:$W$34,$AE315)&lt;=$AH315),ROUND(INDEX(Profils!$H$5:$H$34,$AE315)*Paramètres!$E$24*$AG315*$AJ315,Paramètres!$F$24),0)</f>
        <v>71</v>
      </c>
      <c r="O315" s="19" t="n">
        <f aca="false" t="array" ref="O315:O315">IF(AND(INDEX(Profils!$I$5:$I$34,$AE315)&gt;0,INDEX(Profils!$X$5:$X$34,$AE315)&lt;=$AH315),ROUND(INDEX(Profils!$I$5:$I$34,$AE315)*Paramètres!$E$25*$AG315*$AJ315,Paramètres!$F$25),0)</f>
        <v>0</v>
      </c>
      <c r="P315" s="19" t="n">
        <f aca="false" t="array" ref="P315:P315">IF(AND(INDEX(Profils!$J$5:$J$34,$AE315)&gt;0,INDEX(Profils!$Y$5:$Y$34,$AE315)&lt;=$AH315),ROUND(INDEX(Profils!$J$5:$J$34,$AE315)*Paramètres!$E$26*$AG315*$AJ315,Paramètres!$F$26),0)</f>
        <v>0</v>
      </c>
      <c r="Q315" s="19" t="n">
        <f aca="false" t="array" ref="Q315:Q315">IF(AND(INDEX(Profils!$K$5:$K$34,$AE315)&gt;0,INDEX(Profils!$Z$5:$Z$34,$AE315)&lt;=$AH315),ROUND(INDEX(Profils!$K$5:$K$34,$AE315)*Paramètres!$E$27*$AG315*$AJ315,Paramètres!$F$27),0)</f>
        <v>0</v>
      </c>
      <c r="R315" s="20" t="n">
        <f aca="false" t="array" ref="R315:R315">IF(AND(INDEX(Profils!$L$5:$L$34,$AE315)&gt;0,INDEX(Profils!$AA$5:$AA$34,$AE315)&lt;=$AH315),ROUND(INDEX(Profils!$L$5:$L$34,$AE315)*Paramètres!$E$28*$AG315*$AJ315,Paramètres!$F$28),0)</f>
        <v>0.009</v>
      </c>
      <c r="S315" s="20" t="n">
        <f aca="false" t="array" ref="S315:S315">IF(AND(INDEX(Profils!$M$5:$M$34,$AE315)&gt;0,INDEX(Profils!$AB$5:$AB$34,$AE315)&lt;=$AH315),ROUND(INDEX(Profils!$M$5:$M$34,$AE315)*Paramètres!$E$29*$AG315*$AJ315,Paramètres!$F$29),0)</f>
        <v>0</v>
      </c>
      <c r="T315" s="20" t="n">
        <f aca="false" t="array" ref="T315:T315">IF(AND(INDEX(Profils!$N$5:$N$34,$AE315)&gt;0,INDEX(Profils!$AC$5:$AC$34,$AE315)&lt;=$AH315),ROUND(INDEX(Profils!$N$5:$N$34,$AE315)*Paramètres!$E$30*$AG315*$AJ315,Paramètres!$F$30),0)</f>
        <v>0</v>
      </c>
      <c r="U315" s="19" t="n">
        <f aca="false" t="array" ref="U315:U315">IF(AND(INDEX(Profils!$O$5:$O$34,$AE315)&gt;0,INDEX(Profils!$AD$5:$AD$34,$AE315)&lt;=$AH315),ROUND(INDEX(Profils!$O$5:$O$34,$AE315)*Paramètres!$E$31*$AG315*$AJ315,Paramètres!$F$31),0)</f>
        <v>86</v>
      </c>
      <c r="V315" s="20" t="n">
        <f aca="false" t="array" ref="V315:V315">IF(AND(INDEX(Profils!$P$5:$P$34,$AE315)&gt;0,INDEX(Profils!$AE$5:$AE$34,$AE315)&lt;=$AH315),ROUND(INDEX(Profils!$P$5:$P$34,$AE315)*Paramètres!$E$32*$AG315*$AJ315,Paramètres!$F$32),0)</f>
        <v>0</v>
      </c>
      <c r="W315" s="20" t="n">
        <f aca="false" t="array" ref="W315:W315">IF(AND(INDEX(Profils!$Q$5:$Q$34,$AE315)&gt;0,INDEX(Profils!$AF$5:$AF$34,$AE315)&lt;=$AH315),ROUND(INDEX(Profils!$Q$5:$Q$34,$AE315)*Paramètres!$E$33*$AG315*$AJ315,Paramètres!$F$33),0)</f>
        <v>0.035</v>
      </c>
      <c r="X315" s="20" t="n">
        <f aca="false" t="array" ref="X315:X315">IF(AND(INDEX(Profils!$R$5:$R$34,$AE315)&gt;0,INDEX(Profils!$AG$5:$AG$34,$AE315)&lt;=$AH315),ROUND(INDEX(Profils!$R$5:$R$34,$AE315)*Paramètres!$E$34*$AG315*$AJ315,Paramètres!$F$34),0)</f>
        <v>0</v>
      </c>
      <c r="Y315" s="20" t="n">
        <f aca="false" t="array" ref="Y315:Y315">IF(AND(INDEX(Profils!$S$5:$S$34,$AE315)&gt;0,INDEX(Profils!$AH$5:$AH$34,$AE315)&lt;=$AH315),ROUND(INDEX(Profils!$S$5:$S$34,$AE315)*Paramètres!$E$35*$AG315*$AJ315,Paramètres!$F$35),0)</f>
        <v>0.035</v>
      </c>
      <c r="Z315" s="21" t="n">
        <f aca="false">ROUND(L315/Paramètres!$E$22+M315/Paramètres!$E$23+N315/Paramètres!$E$24+O315/Paramètres!$E$25+P315/Paramètres!$E$26+Q315/Paramètres!$E$27+R315/Paramètres!$E$28+S315/Paramètres!$E$29+T315/Paramètres!$E$30+U315/Paramètres!$E$31+V315/Paramètres!$E$32+W315/Paramètres!$E$33+X315/Paramètres!$E$34+Y315/Paramètres!$E$35,1)</f>
        <v>18.7</v>
      </c>
      <c r="AA315" s="22" t="str">
        <f aca="false" t="array" ref="AA315:AA315">INDEX(Uniques!$G$5:$G$34,MATCH($B315&amp;"|"&amp;$C315,Uniques!$A$5:$A$34,0))</f>
        <v>Dernier rempart</v>
      </c>
      <c r="AB315" s="22" t="str">
        <f aca="false" t="array" ref="AB315:AB315">INDEX(Uniques!$H$5:$H$34,MATCH($B315&amp;"|"&amp;$C315,Uniques!$A$5:$A$34,0))&amp;" ["&amp;INDEX(Uniques!$I$5:$I$34,MATCH($B315&amp;"|"&amp;$C315,Uniques!$A$5:$A$34,0))&amp;"]"</f>
        <v>Quand les PV du porteur passent sous 30 %, il gagne un bouclier égal à 20 % de ses PV max pendant 3 tours et se purifie d'un effet négatif. [1 fois par combat.]</v>
      </c>
      <c r="AC315" s="15" t="str">
        <f aca="false" t="array" ref="AC315:AC315">INDEX(Matériaux!$B$5:$F$12,MATCH(INDEX(Profils!$E$5:$E$34,$AE315),Matériaux!$A$5:$A$12,0),MATCH(MIN($J315+1,100),Matériaux!$B$16:$B$20,1))</f>
        <v>adamantite</v>
      </c>
      <c r="AD315" s="16" t="n">
        <f aca="false" t="array" ref="AD315:AD315">IF($I315&gt;=$AI315,"Max",ROUND(Paramètres!$B$40*($I315+1)^Paramètres!$B$41*INDEX(Paramètres!$H$6:$H$12,$AF315),0))</f>
        <v>9</v>
      </c>
      <c r="AE315" s="23" t="n">
        <f aca="false">MATCH($B315&amp;"|"&amp;$C315,Profils!$A$5:$A$34,0)</f>
        <v>10</v>
      </c>
      <c r="AF315" s="23" t="n">
        <v>7</v>
      </c>
      <c r="AG315" s="24" t="n">
        <f aca="false" t="array" ref="AG315:AG315">INDEX(Paramètres!$C$6:$C$12,$AF315)</f>
        <v>2.5</v>
      </c>
      <c r="AH315" s="23" t="n">
        <f aca="false" t="array" ref="AH315:AH315">INDEX(Paramètres!$D$6:$D$12,$AF315)</f>
        <v>7</v>
      </c>
      <c r="AI315" s="23" t="n">
        <f aca="false" t="array" ref="AI315:AI315">INDEX(Uniques!$M$5:$M$34,MATCH($B315&amp;"|"&amp;$C315,Uniques!$A$5:$A$34,0))</f>
        <v>19</v>
      </c>
      <c r="AJ315" s="25" t="n">
        <f aca="false">Paramètres!$B$16+(1-Paramètres!$B$16)*(($J315-Paramètres!$B$14)/(Paramètres!$B$15-Paramètres!$B$14))^Paramètres!$B$17</f>
        <v>0.785646810153318</v>
      </c>
    </row>
    <row r="316" customFormat="false" ht="15.75" hidden="false" customHeight="true" outlineLevel="0" collapsed="false">
      <c r="A316" s="14" t="s">
        <v>432</v>
      </c>
      <c r="B316" s="15" t="s">
        <v>29</v>
      </c>
      <c r="C316" s="15" t="s">
        <v>107</v>
      </c>
      <c r="D316" s="16" t="n">
        <v>1</v>
      </c>
      <c r="E316" s="15" t="str">
        <f aca="false" t="array" ref="E316:E316">INDEX(Matériaux!$B$5:$F$12,MATCH(INDEX(Profils!$E$5:$E$34,$AE316),Matériaux!$A$5:$A$12,0),$D316)</f>
        <v>lin</v>
      </c>
      <c r="F316" s="17" t="s">
        <v>108</v>
      </c>
      <c r="G316" s="10" t="str">
        <f aca="false" t="array" ref="G316:G316">INDEX(Profils!$D$5:$D$34,$AE316)&amp;" en "&amp;$E316</f>
        <v>Chapeau en lin</v>
      </c>
      <c r="H316" s="16" t="n">
        <f aca="false" t="array" ref="H316:H316">INDEX(Matériaux!$B$16:$B$20,$D316)</f>
        <v>1</v>
      </c>
      <c r="I316" s="16" t="n">
        <f aca="false">IF(ISNUMBER($C$3),MIN(MAX(0,ROUND($C$3,0)),$AI316),$AI316)</f>
        <v>0</v>
      </c>
      <c r="J316" s="18" t="n">
        <f aca="false">$H316+$I316</f>
        <v>1</v>
      </c>
      <c r="K316" s="15" t="s">
        <v>109</v>
      </c>
      <c r="L316" s="19" t="n">
        <f aca="false" t="array" ref="L316:L316">IF(AND(INDEX(Profils!$F$5:$F$34,$AE316)&gt;0,INDEX(Profils!$U$5:$U$34,$AE316)&lt;=$AH316),ROUND(INDEX(Profils!$F$5:$F$34,$AE316)*Paramètres!$E$22*$AG316*$AJ316,Paramètres!$F$22),0)</f>
        <v>2</v>
      </c>
      <c r="M316" s="19" t="n">
        <f aca="false" t="array" ref="M316:M316">IF(AND(INDEX(Profils!$G$5:$G$34,$AE316)&gt;0,INDEX(Profils!$V$5:$V$34,$AE316)&lt;=$AH316),ROUND(INDEX(Profils!$G$5:$G$34,$AE316)*Paramètres!$E$23*$AG316*$AJ316,Paramètres!$F$23),0)</f>
        <v>0</v>
      </c>
      <c r="N316" s="19" t="n">
        <f aca="false" t="array" ref="N316:N316">IF(AND(INDEX(Profils!$H$5:$H$34,$AE316)&gt;0,INDEX(Profils!$W$5:$W$34,$AE316)&lt;=$AH316),ROUND(INDEX(Profils!$H$5:$H$34,$AE316)*Paramètres!$E$24*$AG316*$AJ316,Paramètres!$F$24),0)</f>
        <v>0</v>
      </c>
      <c r="O316" s="19" t="n">
        <f aca="false" t="array" ref="O316:O316">IF(AND(INDEX(Profils!$I$5:$I$34,$AE316)&gt;0,INDEX(Profils!$X$5:$X$34,$AE316)&lt;=$AH316),ROUND(INDEX(Profils!$I$5:$I$34,$AE316)*Paramètres!$E$25*$AG316*$AJ316,Paramètres!$F$25),0)</f>
        <v>1</v>
      </c>
      <c r="P316" s="19" t="n">
        <f aca="false" t="array" ref="P316:P316">IF(AND(INDEX(Profils!$J$5:$J$34,$AE316)&gt;0,INDEX(Profils!$Y$5:$Y$34,$AE316)&lt;=$AH316),ROUND(INDEX(Profils!$J$5:$J$34,$AE316)*Paramètres!$E$26*$AG316*$AJ316,Paramètres!$F$26),0)</f>
        <v>0</v>
      </c>
      <c r="Q316" s="19" t="n">
        <f aca="false" t="array" ref="Q316:Q316">IF(AND(INDEX(Profils!$K$5:$K$34,$AE316)&gt;0,INDEX(Profils!$Z$5:$Z$34,$AE316)&lt;=$AH316),ROUND(INDEX(Profils!$K$5:$K$34,$AE316)*Paramètres!$E$27*$AG316*$AJ316,Paramètres!$F$27),0)</f>
        <v>0</v>
      </c>
      <c r="R316" s="20" t="n">
        <f aca="false" t="array" ref="R316:R316">IF(AND(INDEX(Profils!$L$5:$L$34,$AE316)&gt;0,INDEX(Profils!$AA$5:$AA$34,$AE316)&lt;=$AH316),ROUND(INDEX(Profils!$L$5:$L$34,$AE316)*Paramètres!$E$28*$AG316*$AJ316,Paramètres!$F$28),0)</f>
        <v>0</v>
      </c>
      <c r="S316" s="20" t="n">
        <f aca="false" t="array" ref="S316:S316">IF(AND(INDEX(Profils!$M$5:$M$34,$AE316)&gt;0,INDEX(Profils!$AB$5:$AB$34,$AE316)&lt;=$AH316),ROUND(INDEX(Profils!$M$5:$M$34,$AE316)*Paramètres!$E$29*$AG316*$AJ316,Paramètres!$F$29),0)</f>
        <v>0</v>
      </c>
      <c r="T316" s="20" t="n">
        <f aca="false" t="array" ref="T316:T316">IF(AND(INDEX(Profils!$N$5:$N$34,$AE316)&gt;0,INDEX(Profils!$AC$5:$AC$34,$AE316)&lt;=$AH316),ROUND(INDEX(Profils!$N$5:$N$34,$AE316)*Paramètres!$E$30*$AG316*$AJ316,Paramètres!$F$30),0)</f>
        <v>0</v>
      </c>
      <c r="U316" s="19" t="n">
        <f aca="false" t="array" ref="U316:U316">IF(AND(INDEX(Profils!$O$5:$O$34,$AE316)&gt;0,INDEX(Profils!$AD$5:$AD$34,$AE316)&lt;=$AH316),ROUND(INDEX(Profils!$O$5:$O$34,$AE316)*Paramètres!$E$31*$AG316*$AJ316,Paramètres!$F$31),0)</f>
        <v>0</v>
      </c>
      <c r="V316" s="20" t="n">
        <f aca="false" t="array" ref="V316:V316">IF(AND(INDEX(Profils!$P$5:$P$34,$AE316)&gt;0,INDEX(Profils!$AE$5:$AE$34,$AE316)&lt;=$AH316),ROUND(INDEX(Profils!$P$5:$P$34,$AE316)*Paramètres!$E$32*$AG316*$AJ316,Paramètres!$F$32),0)</f>
        <v>0</v>
      </c>
      <c r="W316" s="20" t="n">
        <f aca="false" t="array" ref="W316:W316">IF(AND(INDEX(Profils!$Q$5:$Q$34,$AE316)&gt;0,INDEX(Profils!$AF$5:$AF$34,$AE316)&lt;=$AH316),ROUND(INDEX(Profils!$Q$5:$Q$34,$AE316)*Paramètres!$E$33*$AG316*$AJ316,Paramètres!$F$33),0)</f>
        <v>0</v>
      </c>
      <c r="X316" s="20" t="n">
        <f aca="false" t="array" ref="X316:X316">IF(AND(INDEX(Profils!$R$5:$R$34,$AE316)&gt;0,INDEX(Profils!$AG$5:$AG$34,$AE316)&lt;=$AH316),ROUND(INDEX(Profils!$R$5:$R$34,$AE316)*Paramètres!$E$34*$AG316*$AJ316,Paramètres!$F$34),0)</f>
        <v>0</v>
      </c>
      <c r="Y316" s="20" t="n">
        <f aca="false" t="array" ref="Y316:Y316">IF(AND(INDEX(Profils!$S$5:$S$34,$AE316)&gt;0,INDEX(Profils!$AH$5:$AH$34,$AE316)&lt;=$AH316),ROUND(INDEX(Profils!$S$5:$S$34,$AE316)*Paramètres!$E$35*$AG316*$AJ316,Paramètres!$F$35),0)</f>
        <v>0</v>
      </c>
      <c r="Z316" s="21" t="n">
        <f aca="false">ROUND(L316/Paramètres!$E$22+M316/Paramètres!$E$23+N316/Paramètres!$E$24+O316/Paramètres!$E$25+P316/Paramètres!$E$26+Q316/Paramètres!$E$27+R316/Paramètres!$E$28+S316/Paramètres!$E$29+T316/Paramètres!$E$30+U316/Paramètres!$E$31+V316/Paramètres!$E$32+W316/Paramètres!$E$33+X316/Paramètres!$E$34+Y316/Paramètres!$E$35,1)</f>
        <v>0.1</v>
      </c>
      <c r="AA316" s="22" t="s">
        <v>109</v>
      </c>
      <c r="AB316" s="22" t="s">
        <v>109</v>
      </c>
      <c r="AC316" s="15" t="str">
        <f aca="false">$E316</f>
        <v>lin</v>
      </c>
      <c r="AD316" s="16" t="n">
        <f aca="false" t="array" ref="AD316:AD316">IF($I316&gt;=$AI316,"Max",ROUND(Paramètres!$B$40*($I316+1)^Paramètres!$B$41*INDEX(Paramètres!$H$6:$H$12,$AF316),0))</f>
        <v>3</v>
      </c>
      <c r="AE316" s="23" t="n">
        <f aca="false">MATCH($B316&amp;"|"&amp;$C316,Profils!$A$5:$A$34,0)</f>
        <v>11</v>
      </c>
      <c r="AF316" s="23" t="n">
        <v>1</v>
      </c>
      <c r="AG316" s="24" t="n">
        <f aca="false" t="array" ref="AG316:AG316">INDEX(Paramètres!$C$6:$C$12,$AF316)</f>
        <v>1</v>
      </c>
      <c r="AH316" s="23" t="n">
        <f aca="false" t="array" ref="AH316:AH316">INDEX(Paramètres!$D$6:$D$12,$AF316)</f>
        <v>2</v>
      </c>
      <c r="AI316" s="23" t="n">
        <f aca="false" t="array" ref="AI316:AI316">INDEX(Matériaux!$C$16:$C$20,$D316)</f>
        <v>19</v>
      </c>
      <c r="AJ316" s="25" t="n">
        <f aca="false">Paramètres!$B$16+(1-Paramètres!$B$16)*(($J316-Paramètres!$B$14)/(Paramètres!$B$15-Paramètres!$B$14))^Paramètres!$B$17</f>
        <v>0.05</v>
      </c>
    </row>
    <row r="317" customFormat="false" ht="15.75" hidden="false" customHeight="true" outlineLevel="0" collapsed="false">
      <c r="A317" s="14" t="s">
        <v>433</v>
      </c>
      <c r="B317" s="15" t="s">
        <v>29</v>
      </c>
      <c r="C317" s="15" t="s">
        <v>107</v>
      </c>
      <c r="D317" s="16" t="n">
        <v>1</v>
      </c>
      <c r="E317" s="15" t="str">
        <f aca="false" t="array" ref="E317:E317">INDEX(Matériaux!$B$5:$F$12,MATCH(INDEX(Profils!$E$5:$E$34,$AE317),Matériaux!$A$5:$A$12,0),$D317)</f>
        <v>lin</v>
      </c>
      <c r="F317" s="26" t="s">
        <v>111</v>
      </c>
      <c r="G317" s="10" t="str">
        <f aca="false" t="array" ref="G317:G317">INDEX(Profils!$D$5:$D$34,$AE317)&amp;" en "&amp;$E317</f>
        <v>Chapeau en lin</v>
      </c>
      <c r="H317" s="16" t="n">
        <f aca="false" t="array" ref="H317:H317">INDEX(Matériaux!$B$16:$B$20,$D317)</f>
        <v>1</v>
      </c>
      <c r="I317" s="16" t="n">
        <f aca="false">IF(ISNUMBER($C$3),MIN(MAX(0,ROUND($C$3,0)),$AI317),$AI317)</f>
        <v>0</v>
      </c>
      <c r="J317" s="18" t="n">
        <f aca="false">$H317+$I317</f>
        <v>1</v>
      </c>
      <c r="K317" s="15" t="s">
        <v>109</v>
      </c>
      <c r="L317" s="19" t="n">
        <f aca="false" t="array" ref="L317:L317">IF(AND(INDEX(Profils!$F$5:$F$34,$AE317)&gt;0,INDEX(Profils!$U$5:$U$34,$AE317)&lt;=$AH317),ROUND(INDEX(Profils!$F$5:$F$34,$AE317)*Paramètres!$E$22*$AG317*$AJ317,Paramètres!$F$22),0)</f>
        <v>2</v>
      </c>
      <c r="M317" s="19" t="n">
        <f aca="false" t="array" ref="M317:M317">IF(AND(INDEX(Profils!$G$5:$G$34,$AE317)&gt;0,INDEX(Profils!$V$5:$V$34,$AE317)&lt;=$AH317),ROUND(INDEX(Profils!$G$5:$G$34,$AE317)*Paramètres!$E$23*$AG317*$AJ317,Paramètres!$F$23),0)</f>
        <v>0</v>
      </c>
      <c r="N317" s="19" t="n">
        <f aca="false" t="array" ref="N317:N317">IF(AND(INDEX(Profils!$H$5:$H$34,$AE317)&gt;0,INDEX(Profils!$W$5:$W$34,$AE317)&lt;=$AH317),ROUND(INDEX(Profils!$H$5:$H$34,$AE317)*Paramètres!$E$24*$AG317*$AJ317,Paramètres!$F$24),0)</f>
        <v>0</v>
      </c>
      <c r="O317" s="19" t="n">
        <f aca="false" t="array" ref="O317:O317">IF(AND(INDEX(Profils!$I$5:$I$34,$AE317)&gt;0,INDEX(Profils!$X$5:$X$34,$AE317)&lt;=$AH317),ROUND(INDEX(Profils!$I$5:$I$34,$AE317)*Paramètres!$E$25*$AG317*$AJ317,Paramètres!$F$25),0)</f>
        <v>1</v>
      </c>
      <c r="P317" s="19" t="n">
        <f aca="false" t="array" ref="P317:P317">IF(AND(INDEX(Profils!$J$5:$J$34,$AE317)&gt;0,INDEX(Profils!$Y$5:$Y$34,$AE317)&lt;=$AH317),ROUND(INDEX(Profils!$J$5:$J$34,$AE317)*Paramètres!$E$26*$AG317*$AJ317,Paramètres!$F$26),0)</f>
        <v>0</v>
      </c>
      <c r="Q317" s="19" t="n">
        <f aca="false" t="array" ref="Q317:Q317">IF(AND(INDEX(Profils!$K$5:$K$34,$AE317)&gt;0,INDEX(Profils!$Z$5:$Z$34,$AE317)&lt;=$AH317),ROUND(INDEX(Profils!$K$5:$K$34,$AE317)*Paramètres!$E$27*$AG317*$AJ317,Paramètres!$F$27),0)</f>
        <v>0</v>
      </c>
      <c r="R317" s="20" t="n">
        <f aca="false" t="array" ref="R317:R317">IF(AND(INDEX(Profils!$L$5:$L$34,$AE317)&gt;0,INDEX(Profils!$AA$5:$AA$34,$AE317)&lt;=$AH317),ROUND(INDEX(Profils!$L$5:$L$34,$AE317)*Paramètres!$E$28*$AG317*$AJ317,Paramètres!$F$28),0)</f>
        <v>0</v>
      </c>
      <c r="S317" s="20" t="n">
        <f aca="false" t="array" ref="S317:S317">IF(AND(INDEX(Profils!$M$5:$M$34,$AE317)&gt;0,INDEX(Profils!$AB$5:$AB$34,$AE317)&lt;=$AH317),ROUND(INDEX(Profils!$M$5:$M$34,$AE317)*Paramètres!$E$29*$AG317*$AJ317,Paramètres!$F$29),0)</f>
        <v>0</v>
      </c>
      <c r="T317" s="20" t="n">
        <f aca="false" t="array" ref="T317:T317">IF(AND(INDEX(Profils!$N$5:$N$34,$AE317)&gt;0,INDEX(Profils!$AC$5:$AC$34,$AE317)&lt;=$AH317),ROUND(INDEX(Profils!$N$5:$N$34,$AE317)*Paramètres!$E$30*$AG317*$AJ317,Paramètres!$F$30),0)</f>
        <v>0</v>
      </c>
      <c r="U317" s="19" t="n">
        <f aca="false" t="array" ref="U317:U317">IF(AND(INDEX(Profils!$O$5:$O$34,$AE317)&gt;0,INDEX(Profils!$AD$5:$AD$34,$AE317)&lt;=$AH317),ROUND(INDEX(Profils!$O$5:$O$34,$AE317)*Paramètres!$E$31*$AG317*$AJ317,Paramètres!$F$31),0)</f>
        <v>0</v>
      </c>
      <c r="V317" s="20" t="n">
        <f aca="false" t="array" ref="V317:V317">IF(AND(INDEX(Profils!$P$5:$P$34,$AE317)&gt;0,INDEX(Profils!$AE$5:$AE$34,$AE317)&lt;=$AH317),ROUND(INDEX(Profils!$P$5:$P$34,$AE317)*Paramètres!$E$32*$AG317*$AJ317,Paramètres!$F$32),0)</f>
        <v>0</v>
      </c>
      <c r="W317" s="20" t="n">
        <f aca="false" t="array" ref="W317:W317">IF(AND(INDEX(Profils!$Q$5:$Q$34,$AE317)&gt;0,INDEX(Profils!$AF$5:$AF$34,$AE317)&lt;=$AH317),ROUND(INDEX(Profils!$Q$5:$Q$34,$AE317)*Paramètres!$E$33*$AG317*$AJ317,Paramètres!$F$33),0)</f>
        <v>0</v>
      </c>
      <c r="X317" s="20" t="n">
        <f aca="false" t="array" ref="X317:X317">IF(AND(INDEX(Profils!$R$5:$R$34,$AE317)&gt;0,INDEX(Profils!$AG$5:$AG$34,$AE317)&lt;=$AH317),ROUND(INDEX(Profils!$R$5:$R$34,$AE317)*Paramètres!$E$34*$AG317*$AJ317,Paramètres!$F$34),0)</f>
        <v>0</v>
      </c>
      <c r="Y317" s="20" t="n">
        <f aca="false" t="array" ref="Y317:Y317">IF(AND(INDEX(Profils!$S$5:$S$34,$AE317)&gt;0,INDEX(Profils!$AH$5:$AH$34,$AE317)&lt;=$AH317),ROUND(INDEX(Profils!$S$5:$S$34,$AE317)*Paramètres!$E$35*$AG317*$AJ317,Paramètres!$F$35),0)</f>
        <v>0.001</v>
      </c>
      <c r="Z317" s="21" t="n">
        <f aca="false">ROUND(L317/Paramètres!$E$22+M317/Paramètres!$E$23+N317/Paramètres!$E$24+O317/Paramètres!$E$25+P317/Paramètres!$E$26+Q317/Paramètres!$E$27+R317/Paramètres!$E$28+S317/Paramètres!$E$29+T317/Paramètres!$E$30+U317/Paramètres!$E$31+V317/Paramètres!$E$32+W317/Paramètres!$E$33+X317/Paramètres!$E$34+Y317/Paramètres!$E$35,1)</f>
        <v>0.2</v>
      </c>
      <c r="AA317" s="22" t="s">
        <v>109</v>
      </c>
      <c r="AB317" s="22" t="s">
        <v>109</v>
      </c>
      <c r="AC317" s="15" t="str">
        <f aca="false">$E317</f>
        <v>lin</v>
      </c>
      <c r="AD317" s="16" t="n">
        <f aca="false" t="array" ref="AD317:AD317">IF($I317&gt;=$AI317,"Max",ROUND(Paramètres!$B$40*($I317+1)^Paramètres!$B$41*INDEX(Paramètres!$H$6:$H$12,$AF317),0))</f>
        <v>4</v>
      </c>
      <c r="AE317" s="23" t="n">
        <f aca="false">MATCH($B317&amp;"|"&amp;$C317,Profils!$A$5:$A$34,0)</f>
        <v>11</v>
      </c>
      <c r="AF317" s="23" t="n">
        <v>2</v>
      </c>
      <c r="AG317" s="24" t="n">
        <f aca="false" t="array" ref="AG317:AG317">INDEX(Paramètres!$C$6:$C$12,$AF317)</f>
        <v>1.2</v>
      </c>
      <c r="AH317" s="23" t="n">
        <f aca="false" t="array" ref="AH317:AH317">INDEX(Paramètres!$D$6:$D$12,$AF317)</f>
        <v>3</v>
      </c>
      <c r="AI317" s="23" t="n">
        <f aca="false" t="array" ref="AI317:AI317">INDEX(Matériaux!$C$16:$C$20,$D317)</f>
        <v>19</v>
      </c>
      <c r="AJ317" s="25" t="n">
        <f aca="false">Paramètres!$B$16+(1-Paramètres!$B$16)*(($J317-Paramètres!$B$14)/(Paramètres!$B$15-Paramètres!$B$14))^Paramètres!$B$17</f>
        <v>0.05</v>
      </c>
    </row>
    <row r="318" customFormat="false" ht="15.75" hidden="false" customHeight="true" outlineLevel="0" collapsed="false">
      <c r="A318" s="14" t="s">
        <v>434</v>
      </c>
      <c r="B318" s="15" t="s">
        <v>29</v>
      </c>
      <c r="C318" s="15" t="s">
        <v>107</v>
      </c>
      <c r="D318" s="16" t="n">
        <v>1</v>
      </c>
      <c r="E318" s="15" t="str">
        <f aca="false" t="array" ref="E318:E318">INDEX(Matériaux!$B$5:$F$12,MATCH(INDEX(Profils!$E$5:$E$34,$AE318),Matériaux!$A$5:$A$12,0),$D318)</f>
        <v>lin</v>
      </c>
      <c r="F318" s="27" t="s">
        <v>113</v>
      </c>
      <c r="G318" s="10" t="str">
        <f aca="false" t="array" ref="G318:G318">INDEX(Profils!$D$5:$D$34,$AE318)&amp;" en "&amp;$E318</f>
        <v>Chapeau en lin</v>
      </c>
      <c r="H318" s="16" t="n">
        <f aca="false" t="array" ref="H318:H318">INDEX(Matériaux!$B$16:$B$20,$D318)</f>
        <v>1</v>
      </c>
      <c r="I318" s="16" t="n">
        <f aca="false">IF(ISNUMBER($C$3),MIN(MAX(0,ROUND($C$3,0)),$AI318),$AI318)</f>
        <v>0</v>
      </c>
      <c r="J318" s="18" t="n">
        <f aca="false">$H318+$I318</f>
        <v>1</v>
      </c>
      <c r="K318" s="15" t="s">
        <v>109</v>
      </c>
      <c r="L318" s="19" t="n">
        <f aca="false" t="array" ref="L318:L318">IF(AND(INDEX(Profils!$F$5:$F$34,$AE318)&gt;0,INDEX(Profils!$U$5:$U$34,$AE318)&lt;=$AH318),ROUND(INDEX(Profils!$F$5:$F$34,$AE318)*Paramètres!$E$22*$AG318*$AJ318,Paramètres!$F$22),0)</f>
        <v>2</v>
      </c>
      <c r="M318" s="19" t="n">
        <f aca="false" t="array" ref="M318:M318">IF(AND(INDEX(Profils!$G$5:$G$34,$AE318)&gt;0,INDEX(Profils!$V$5:$V$34,$AE318)&lt;=$AH318),ROUND(INDEX(Profils!$G$5:$G$34,$AE318)*Paramètres!$E$23*$AG318*$AJ318,Paramètres!$F$23),0)</f>
        <v>0</v>
      </c>
      <c r="N318" s="19" t="n">
        <f aca="false" t="array" ref="N318:N318">IF(AND(INDEX(Profils!$H$5:$H$34,$AE318)&gt;0,INDEX(Profils!$W$5:$W$34,$AE318)&lt;=$AH318),ROUND(INDEX(Profils!$H$5:$H$34,$AE318)*Paramètres!$E$24*$AG318*$AJ318,Paramètres!$F$24),0)</f>
        <v>0</v>
      </c>
      <c r="O318" s="19" t="n">
        <f aca="false" t="array" ref="O318:O318">IF(AND(INDEX(Profils!$I$5:$I$34,$AE318)&gt;0,INDEX(Profils!$X$5:$X$34,$AE318)&lt;=$AH318),ROUND(INDEX(Profils!$I$5:$I$34,$AE318)*Paramètres!$E$25*$AG318*$AJ318,Paramètres!$F$25),0)</f>
        <v>1</v>
      </c>
      <c r="P318" s="19" t="n">
        <f aca="false" t="array" ref="P318:P318">IF(AND(INDEX(Profils!$J$5:$J$34,$AE318)&gt;0,INDEX(Profils!$Y$5:$Y$34,$AE318)&lt;=$AH318),ROUND(INDEX(Profils!$J$5:$J$34,$AE318)*Paramètres!$E$26*$AG318*$AJ318,Paramètres!$F$26),0)</f>
        <v>0</v>
      </c>
      <c r="Q318" s="19" t="n">
        <f aca="false" t="array" ref="Q318:Q318">IF(AND(INDEX(Profils!$K$5:$K$34,$AE318)&gt;0,INDEX(Profils!$Z$5:$Z$34,$AE318)&lt;=$AH318),ROUND(INDEX(Profils!$K$5:$K$34,$AE318)*Paramètres!$E$27*$AG318*$AJ318,Paramètres!$F$27),0)</f>
        <v>0</v>
      </c>
      <c r="R318" s="20" t="n">
        <f aca="false" t="array" ref="R318:R318">IF(AND(INDEX(Profils!$L$5:$L$34,$AE318)&gt;0,INDEX(Profils!$AA$5:$AA$34,$AE318)&lt;=$AH318),ROUND(INDEX(Profils!$L$5:$L$34,$AE318)*Paramètres!$E$28*$AG318*$AJ318,Paramètres!$F$28),0)</f>
        <v>0</v>
      </c>
      <c r="S318" s="20" t="n">
        <f aca="false" t="array" ref="S318:S318">IF(AND(INDEX(Profils!$M$5:$M$34,$AE318)&gt;0,INDEX(Profils!$AB$5:$AB$34,$AE318)&lt;=$AH318),ROUND(INDEX(Profils!$M$5:$M$34,$AE318)*Paramètres!$E$29*$AG318*$AJ318,Paramètres!$F$29),0)</f>
        <v>0</v>
      </c>
      <c r="T318" s="20" t="n">
        <f aca="false" t="array" ref="T318:T318">IF(AND(INDEX(Profils!$N$5:$N$34,$AE318)&gt;0,INDEX(Profils!$AC$5:$AC$34,$AE318)&lt;=$AH318),ROUND(INDEX(Profils!$N$5:$N$34,$AE318)*Paramètres!$E$30*$AG318*$AJ318,Paramètres!$F$30),0)</f>
        <v>0</v>
      </c>
      <c r="U318" s="19" t="n">
        <f aca="false" t="array" ref="U318:U318">IF(AND(INDEX(Profils!$O$5:$O$34,$AE318)&gt;0,INDEX(Profils!$AD$5:$AD$34,$AE318)&lt;=$AH318),ROUND(INDEX(Profils!$O$5:$O$34,$AE318)*Paramètres!$E$31*$AG318*$AJ318,Paramètres!$F$31),0)</f>
        <v>0</v>
      </c>
      <c r="V318" s="20" t="n">
        <f aca="false" t="array" ref="V318:V318">IF(AND(INDEX(Profils!$P$5:$P$34,$AE318)&gt;0,INDEX(Profils!$AE$5:$AE$34,$AE318)&lt;=$AH318),ROUND(INDEX(Profils!$P$5:$P$34,$AE318)*Paramètres!$E$32*$AG318*$AJ318,Paramètres!$F$32),0)</f>
        <v>0</v>
      </c>
      <c r="W318" s="20" t="n">
        <f aca="false" t="array" ref="W318:W318">IF(AND(INDEX(Profils!$Q$5:$Q$34,$AE318)&gt;0,INDEX(Profils!$AF$5:$AF$34,$AE318)&lt;=$AH318),ROUND(INDEX(Profils!$Q$5:$Q$34,$AE318)*Paramètres!$E$33*$AG318*$AJ318,Paramètres!$F$33),0)</f>
        <v>0.001</v>
      </c>
      <c r="X318" s="20" t="n">
        <f aca="false" t="array" ref="X318:X318">IF(AND(INDEX(Profils!$R$5:$R$34,$AE318)&gt;0,INDEX(Profils!$AG$5:$AG$34,$AE318)&lt;=$AH318),ROUND(INDEX(Profils!$R$5:$R$34,$AE318)*Paramètres!$E$34*$AG318*$AJ318,Paramètres!$F$34),0)</f>
        <v>0</v>
      </c>
      <c r="Y318" s="20" t="n">
        <f aca="false" t="array" ref="Y318:Y318">IF(AND(INDEX(Profils!$S$5:$S$34,$AE318)&gt;0,INDEX(Profils!$AH$5:$AH$34,$AE318)&lt;=$AH318),ROUND(INDEX(Profils!$S$5:$S$34,$AE318)*Paramètres!$E$35*$AG318*$AJ318,Paramètres!$F$35),0)</f>
        <v>0.001</v>
      </c>
      <c r="Z318" s="21" t="n">
        <f aca="false">ROUND(L318/Paramètres!$E$22+M318/Paramètres!$E$23+N318/Paramètres!$E$24+O318/Paramètres!$E$25+P318/Paramètres!$E$26+Q318/Paramètres!$E$27+R318/Paramètres!$E$28+S318/Paramètres!$E$29+T318/Paramètres!$E$30+U318/Paramètres!$E$31+V318/Paramètres!$E$32+W318/Paramètres!$E$33+X318/Paramètres!$E$34+Y318/Paramètres!$E$35,1)</f>
        <v>0.3</v>
      </c>
      <c r="AA318" s="22" t="s">
        <v>109</v>
      </c>
      <c r="AB318" s="22" t="s">
        <v>109</v>
      </c>
      <c r="AC318" s="15" t="str">
        <f aca="false">$E318</f>
        <v>lin</v>
      </c>
      <c r="AD318" s="16" t="n">
        <f aca="false" t="array" ref="AD318:AD318">IF($I318&gt;=$AI318,"Max",ROUND(Paramètres!$B$40*($I318+1)^Paramètres!$B$41*INDEX(Paramètres!$H$6:$H$12,$AF318),0))</f>
        <v>4</v>
      </c>
      <c r="AE318" s="23" t="n">
        <f aca="false">MATCH($B318&amp;"|"&amp;$C318,Profils!$A$5:$A$34,0)</f>
        <v>11</v>
      </c>
      <c r="AF318" s="23" t="n">
        <v>3</v>
      </c>
      <c r="AG318" s="24" t="n">
        <f aca="false" t="array" ref="AG318:AG318">INDEX(Paramètres!$C$6:$C$12,$AF318)</f>
        <v>1.45</v>
      </c>
      <c r="AH318" s="23" t="n">
        <f aca="false" t="array" ref="AH318:AH318">INDEX(Paramètres!$D$6:$D$12,$AF318)</f>
        <v>4</v>
      </c>
      <c r="AI318" s="23" t="n">
        <f aca="false" t="array" ref="AI318:AI318">INDEX(Matériaux!$C$16:$C$20,$D318)</f>
        <v>19</v>
      </c>
      <c r="AJ318" s="25" t="n">
        <f aca="false">Paramètres!$B$16+(1-Paramètres!$B$16)*(($J318-Paramètres!$B$14)/(Paramètres!$B$15-Paramètres!$B$14))^Paramètres!$B$17</f>
        <v>0.05</v>
      </c>
    </row>
    <row r="319" customFormat="false" ht="15.75" hidden="false" customHeight="true" outlineLevel="0" collapsed="false">
      <c r="A319" s="14" t="s">
        <v>435</v>
      </c>
      <c r="B319" s="15" t="s">
        <v>29</v>
      </c>
      <c r="C319" s="15" t="s">
        <v>107</v>
      </c>
      <c r="D319" s="16" t="n">
        <v>1</v>
      </c>
      <c r="E319" s="15" t="str">
        <f aca="false" t="array" ref="E319:E319">INDEX(Matériaux!$B$5:$F$12,MATCH(INDEX(Profils!$E$5:$E$34,$AE319),Matériaux!$A$5:$A$12,0),$D319)</f>
        <v>lin</v>
      </c>
      <c r="F319" s="28" t="s">
        <v>115</v>
      </c>
      <c r="G319" s="10" t="str">
        <f aca="false" t="array" ref="G319:G319">INDEX(Profils!$D$5:$D$34,$AE319)&amp;" en "&amp;$E319</f>
        <v>Chapeau en lin</v>
      </c>
      <c r="H319" s="16" t="n">
        <f aca="false" t="array" ref="H319:H319">INDEX(Matériaux!$B$16:$B$20,$D319)</f>
        <v>1</v>
      </c>
      <c r="I319" s="16" t="n">
        <f aca="false">IF(ISNUMBER($C$3),MIN(MAX(0,ROUND($C$3,0)),$AI319),$AI319)</f>
        <v>0</v>
      </c>
      <c r="J319" s="18" t="n">
        <f aca="false">$H319+$I319</f>
        <v>1</v>
      </c>
      <c r="K319" s="15" t="s">
        <v>109</v>
      </c>
      <c r="L319" s="19" t="n">
        <f aca="false" t="array" ref="L319:L319">IF(AND(INDEX(Profils!$F$5:$F$34,$AE319)&gt;0,INDEX(Profils!$U$5:$U$34,$AE319)&lt;=$AH319),ROUND(INDEX(Profils!$F$5:$F$34,$AE319)*Paramètres!$E$22*$AG319*$AJ319,Paramètres!$F$22),0)</f>
        <v>3</v>
      </c>
      <c r="M319" s="19" t="n">
        <f aca="false" t="array" ref="M319:M319">IF(AND(INDEX(Profils!$G$5:$G$34,$AE319)&gt;0,INDEX(Profils!$V$5:$V$34,$AE319)&lt;=$AH319),ROUND(INDEX(Profils!$G$5:$G$34,$AE319)*Paramètres!$E$23*$AG319*$AJ319,Paramètres!$F$23),0)</f>
        <v>0</v>
      </c>
      <c r="N319" s="19" t="n">
        <f aca="false" t="array" ref="N319:N319">IF(AND(INDEX(Profils!$H$5:$H$34,$AE319)&gt;0,INDEX(Profils!$W$5:$W$34,$AE319)&lt;=$AH319),ROUND(INDEX(Profils!$H$5:$H$34,$AE319)*Paramètres!$E$24*$AG319*$AJ319,Paramètres!$F$24),0)</f>
        <v>0</v>
      </c>
      <c r="O319" s="19" t="n">
        <f aca="false" t="array" ref="O319:O319">IF(AND(INDEX(Profils!$I$5:$I$34,$AE319)&gt;0,INDEX(Profils!$X$5:$X$34,$AE319)&lt;=$AH319),ROUND(INDEX(Profils!$I$5:$I$34,$AE319)*Paramètres!$E$25*$AG319*$AJ319,Paramètres!$F$25),0)</f>
        <v>1</v>
      </c>
      <c r="P319" s="19" t="n">
        <f aca="false" t="array" ref="P319:P319">IF(AND(INDEX(Profils!$J$5:$J$34,$AE319)&gt;0,INDEX(Profils!$Y$5:$Y$34,$AE319)&lt;=$AH319),ROUND(INDEX(Profils!$J$5:$J$34,$AE319)*Paramètres!$E$26*$AG319*$AJ319,Paramètres!$F$26),0)</f>
        <v>0</v>
      </c>
      <c r="Q319" s="19" t="n">
        <f aca="false" t="array" ref="Q319:Q319">IF(AND(INDEX(Profils!$K$5:$K$34,$AE319)&gt;0,INDEX(Profils!$Z$5:$Z$34,$AE319)&lt;=$AH319),ROUND(INDEX(Profils!$K$5:$K$34,$AE319)*Paramètres!$E$27*$AG319*$AJ319,Paramètres!$F$27),0)</f>
        <v>0</v>
      </c>
      <c r="R319" s="20" t="n">
        <f aca="false" t="array" ref="R319:R319">IF(AND(INDEX(Profils!$L$5:$L$34,$AE319)&gt;0,INDEX(Profils!$AA$5:$AA$34,$AE319)&lt;=$AH319),ROUND(INDEX(Profils!$L$5:$L$34,$AE319)*Paramètres!$E$28*$AG319*$AJ319,Paramètres!$F$28),0)</f>
        <v>0</v>
      </c>
      <c r="S319" s="20" t="n">
        <f aca="false" t="array" ref="S319:S319">IF(AND(INDEX(Profils!$M$5:$M$34,$AE319)&gt;0,INDEX(Profils!$AB$5:$AB$34,$AE319)&lt;=$AH319),ROUND(INDEX(Profils!$M$5:$M$34,$AE319)*Paramètres!$E$29*$AG319*$AJ319,Paramètres!$F$29),0)</f>
        <v>0</v>
      </c>
      <c r="T319" s="20" t="n">
        <f aca="false" t="array" ref="T319:T319">IF(AND(INDEX(Profils!$N$5:$N$34,$AE319)&gt;0,INDEX(Profils!$AC$5:$AC$34,$AE319)&lt;=$AH319),ROUND(INDEX(Profils!$N$5:$N$34,$AE319)*Paramètres!$E$30*$AG319*$AJ319,Paramètres!$F$30),0)</f>
        <v>0</v>
      </c>
      <c r="U319" s="19" t="n">
        <f aca="false" t="array" ref="U319:U319">IF(AND(INDEX(Profils!$O$5:$O$34,$AE319)&gt;0,INDEX(Profils!$AD$5:$AD$34,$AE319)&lt;=$AH319),ROUND(INDEX(Profils!$O$5:$O$34,$AE319)*Paramètres!$E$31*$AG319*$AJ319,Paramètres!$F$31),0)</f>
        <v>0</v>
      </c>
      <c r="V319" s="20" t="n">
        <f aca="false" t="array" ref="V319:V319">IF(AND(INDEX(Profils!$P$5:$P$34,$AE319)&gt;0,INDEX(Profils!$AE$5:$AE$34,$AE319)&lt;=$AH319),ROUND(INDEX(Profils!$P$5:$P$34,$AE319)*Paramètres!$E$32*$AG319*$AJ319,Paramètres!$F$32),0)</f>
        <v>0</v>
      </c>
      <c r="W319" s="20" t="n">
        <f aca="false" t="array" ref="W319:W319">IF(AND(INDEX(Profils!$Q$5:$Q$34,$AE319)&gt;0,INDEX(Profils!$AF$5:$AF$34,$AE319)&lt;=$AH319),ROUND(INDEX(Profils!$Q$5:$Q$34,$AE319)*Paramètres!$E$33*$AG319*$AJ319,Paramètres!$F$33),0)</f>
        <v>0.001</v>
      </c>
      <c r="X319" s="20" t="n">
        <f aca="false" t="array" ref="X319:X319">IF(AND(INDEX(Profils!$R$5:$R$34,$AE319)&gt;0,INDEX(Profils!$AG$5:$AG$34,$AE319)&lt;=$AH319),ROUND(INDEX(Profils!$R$5:$R$34,$AE319)*Paramètres!$E$34*$AG319*$AJ319,Paramètres!$F$34),0)</f>
        <v>0.001</v>
      </c>
      <c r="Y319" s="20" t="n">
        <f aca="false" t="array" ref="Y319:Y319">IF(AND(INDEX(Profils!$S$5:$S$34,$AE319)&gt;0,INDEX(Profils!$AH$5:$AH$34,$AE319)&lt;=$AH319),ROUND(INDEX(Profils!$S$5:$S$34,$AE319)*Paramètres!$E$35*$AG319*$AJ319,Paramètres!$F$35),0)</f>
        <v>0.001</v>
      </c>
      <c r="Z319" s="21" t="n">
        <f aca="false">ROUND(L319/Paramètres!$E$22+M319/Paramètres!$E$23+N319/Paramètres!$E$24+O319/Paramètres!$E$25+P319/Paramètres!$E$26+Q319/Paramètres!$E$27+R319/Paramètres!$E$28+S319/Paramètres!$E$29+T319/Paramètres!$E$30+U319/Paramètres!$E$31+V319/Paramètres!$E$32+W319/Paramètres!$E$33+X319/Paramètres!$E$34+Y319/Paramètres!$E$35,1)</f>
        <v>0.4</v>
      </c>
      <c r="AA319" s="22" t="s">
        <v>109</v>
      </c>
      <c r="AB319" s="22" t="s">
        <v>109</v>
      </c>
      <c r="AC319" s="15" t="str">
        <f aca="false">$E319</f>
        <v>lin</v>
      </c>
      <c r="AD319" s="16" t="n">
        <f aca="false" t="array" ref="AD319:AD319">IF($I319&gt;=$AI319,"Max",ROUND(Paramètres!$B$40*($I319+1)^Paramètres!$B$41*INDEX(Paramètres!$H$6:$H$12,$AF319),0))</f>
        <v>5</v>
      </c>
      <c r="AE319" s="23" t="n">
        <f aca="false">MATCH($B319&amp;"|"&amp;$C319,Profils!$A$5:$A$34,0)</f>
        <v>11</v>
      </c>
      <c r="AF319" s="23" t="n">
        <v>4</v>
      </c>
      <c r="AG319" s="24" t="n">
        <f aca="false" t="array" ref="AG319:AG319">INDEX(Paramètres!$C$6:$C$12,$AF319)</f>
        <v>1.75</v>
      </c>
      <c r="AH319" s="23" t="n">
        <f aca="false" t="array" ref="AH319:AH319">INDEX(Paramètres!$D$6:$D$12,$AF319)</f>
        <v>5</v>
      </c>
      <c r="AI319" s="23" t="n">
        <f aca="false" t="array" ref="AI319:AI319">INDEX(Matériaux!$C$16:$C$20,$D319)</f>
        <v>19</v>
      </c>
      <c r="AJ319" s="25" t="n">
        <f aca="false">Paramètres!$B$16+(1-Paramètres!$B$16)*(($J319-Paramètres!$B$14)/(Paramètres!$B$15-Paramètres!$B$14))^Paramètres!$B$17</f>
        <v>0.05</v>
      </c>
    </row>
    <row r="320" customFormat="false" ht="15.75" hidden="false" customHeight="true" outlineLevel="0" collapsed="false">
      <c r="A320" s="14" t="s">
        <v>436</v>
      </c>
      <c r="B320" s="15" t="s">
        <v>29</v>
      </c>
      <c r="C320" s="15" t="s">
        <v>107</v>
      </c>
      <c r="D320" s="16" t="n">
        <v>1</v>
      </c>
      <c r="E320" s="15" t="str">
        <f aca="false" t="array" ref="E320:E320">INDEX(Matériaux!$B$5:$F$12,MATCH(INDEX(Profils!$E$5:$E$34,$AE320),Matériaux!$A$5:$A$12,0),$D320)</f>
        <v>lin</v>
      </c>
      <c r="F320" s="29" t="s">
        <v>117</v>
      </c>
      <c r="G320" s="10" t="str">
        <f aca="false" t="array" ref="G320:G320">INDEX(Profils!$D$5:$D$34,$AE320)&amp;" en "&amp;$E320</f>
        <v>Chapeau en lin</v>
      </c>
      <c r="H320" s="16" t="n">
        <f aca="false" t="array" ref="H320:H320">INDEX(Matériaux!$B$16:$B$20,$D320)</f>
        <v>1</v>
      </c>
      <c r="I320" s="16" t="n">
        <f aca="false">IF(ISNUMBER($C$3),MIN(MAX(0,ROUND($C$3,0)),$AI320),$AI320)</f>
        <v>0</v>
      </c>
      <c r="J320" s="18" t="n">
        <f aca="false">$H320+$I320</f>
        <v>1</v>
      </c>
      <c r="K320" s="15" t="s">
        <v>109</v>
      </c>
      <c r="L320" s="19" t="n">
        <f aca="false" t="array" ref="L320:L320">IF(AND(INDEX(Profils!$F$5:$F$34,$AE320)&gt;0,INDEX(Profils!$U$5:$U$34,$AE320)&lt;=$AH320),ROUND(INDEX(Profils!$F$5:$F$34,$AE320)*Paramètres!$E$22*$AG320*$AJ320,Paramètres!$F$22),0)</f>
        <v>3</v>
      </c>
      <c r="M320" s="19" t="n">
        <f aca="false" t="array" ref="M320:M320">IF(AND(INDEX(Profils!$G$5:$G$34,$AE320)&gt;0,INDEX(Profils!$V$5:$V$34,$AE320)&lt;=$AH320),ROUND(INDEX(Profils!$G$5:$G$34,$AE320)*Paramètres!$E$23*$AG320*$AJ320,Paramètres!$F$23),0)</f>
        <v>0</v>
      </c>
      <c r="N320" s="19" t="n">
        <f aca="false" t="array" ref="N320:N320">IF(AND(INDEX(Profils!$H$5:$H$34,$AE320)&gt;0,INDEX(Profils!$W$5:$W$34,$AE320)&lt;=$AH320),ROUND(INDEX(Profils!$H$5:$H$34,$AE320)*Paramètres!$E$24*$AG320*$AJ320,Paramètres!$F$24),0)</f>
        <v>0</v>
      </c>
      <c r="O320" s="19" t="n">
        <f aca="false" t="array" ref="O320:O320">IF(AND(INDEX(Profils!$I$5:$I$34,$AE320)&gt;0,INDEX(Profils!$X$5:$X$34,$AE320)&lt;=$AH320),ROUND(INDEX(Profils!$I$5:$I$34,$AE320)*Paramètres!$E$25*$AG320*$AJ320,Paramètres!$F$25),0)</f>
        <v>2</v>
      </c>
      <c r="P320" s="19" t="n">
        <f aca="false" t="array" ref="P320:P320">IF(AND(INDEX(Profils!$J$5:$J$34,$AE320)&gt;0,INDEX(Profils!$Y$5:$Y$34,$AE320)&lt;=$AH320),ROUND(INDEX(Profils!$J$5:$J$34,$AE320)*Paramètres!$E$26*$AG320*$AJ320,Paramètres!$F$26),0)</f>
        <v>1</v>
      </c>
      <c r="Q320" s="19" t="n">
        <f aca="false" t="array" ref="Q320:Q320">IF(AND(INDEX(Profils!$K$5:$K$34,$AE320)&gt;0,INDEX(Profils!$Z$5:$Z$34,$AE320)&lt;=$AH320),ROUND(INDEX(Profils!$K$5:$K$34,$AE320)*Paramètres!$E$27*$AG320*$AJ320,Paramètres!$F$27),0)</f>
        <v>0</v>
      </c>
      <c r="R320" s="20" t="n">
        <f aca="false" t="array" ref="R320:R320">IF(AND(INDEX(Profils!$L$5:$L$34,$AE320)&gt;0,INDEX(Profils!$AA$5:$AA$34,$AE320)&lt;=$AH320),ROUND(INDEX(Profils!$L$5:$L$34,$AE320)*Paramètres!$E$28*$AG320*$AJ320,Paramètres!$F$28),0)</f>
        <v>0</v>
      </c>
      <c r="S320" s="20" t="n">
        <f aca="false" t="array" ref="S320:S320">IF(AND(INDEX(Profils!$M$5:$M$34,$AE320)&gt;0,INDEX(Profils!$AB$5:$AB$34,$AE320)&lt;=$AH320),ROUND(INDEX(Profils!$M$5:$M$34,$AE320)*Paramètres!$E$29*$AG320*$AJ320,Paramètres!$F$29),0)</f>
        <v>0</v>
      </c>
      <c r="T320" s="20" t="n">
        <f aca="false" t="array" ref="T320:T320">IF(AND(INDEX(Profils!$N$5:$N$34,$AE320)&gt;0,INDEX(Profils!$AC$5:$AC$34,$AE320)&lt;=$AH320),ROUND(INDEX(Profils!$N$5:$N$34,$AE320)*Paramètres!$E$30*$AG320*$AJ320,Paramètres!$F$30),0)</f>
        <v>0</v>
      </c>
      <c r="U320" s="19" t="n">
        <f aca="false" t="array" ref="U320:U320">IF(AND(INDEX(Profils!$O$5:$O$34,$AE320)&gt;0,INDEX(Profils!$AD$5:$AD$34,$AE320)&lt;=$AH320),ROUND(INDEX(Profils!$O$5:$O$34,$AE320)*Paramètres!$E$31*$AG320*$AJ320,Paramètres!$F$31),0)</f>
        <v>0</v>
      </c>
      <c r="V320" s="20" t="n">
        <f aca="false" t="array" ref="V320:V320">IF(AND(INDEX(Profils!$P$5:$P$34,$AE320)&gt;0,INDEX(Profils!$AE$5:$AE$34,$AE320)&lt;=$AH320),ROUND(INDEX(Profils!$P$5:$P$34,$AE320)*Paramètres!$E$32*$AG320*$AJ320,Paramètres!$F$32),0)</f>
        <v>0</v>
      </c>
      <c r="W320" s="20" t="n">
        <f aca="false" t="array" ref="W320:W320">IF(AND(INDEX(Profils!$Q$5:$Q$34,$AE320)&gt;0,INDEX(Profils!$AF$5:$AF$34,$AE320)&lt;=$AH320),ROUND(INDEX(Profils!$Q$5:$Q$34,$AE320)*Paramètres!$E$33*$AG320*$AJ320,Paramètres!$F$33),0)</f>
        <v>0.001</v>
      </c>
      <c r="X320" s="20" t="n">
        <f aca="false" t="array" ref="X320:X320">IF(AND(INDEX(Profils!$R$5:$R$34,$AE320)&gt;0,INDEX(Profils!$AG$5:$AG$34,$AE320)&lt;=$AH320),ROUND(INDEX(Profils!$R$5:$R$34,$AE320)*Paramètres!$E$34*$AG320*$AJ320,Paramètres!$F$34),0)</f>
        <v>0.002</v>
      </c>
      <c r="Y320" s="20" t="n">
        <f aca="false" t="array" ref="Y320:Y320">IF(AND(INDEX(Profils!$S$5:$S$34,$AE320)&gt;0,INDEX(Profils!$AH$5:$AH$34,$AE320)&lt;=$AH320),ROUND(INDEX(Profils!$S$5:$S$34,$AE320)*Paramètres!$E$35*$AG320*$AJ320,Paramètres!$F$35),0)</f>
        <v>0.002</v>
      </c>
      <c r="Z320" s="21" t="n">
        <f aca="false">ROUND(L320/Paramètres!$E$22+M320/Paramètres!$E$23+N320/Paramètres!$E$24+O320/Paramètres!$E$25+P320/Paramètres!$E$26+Q320/Paramètres!$E$27+R320/Paramètres!$E$28+S320/Paramètres!$E$29+T320/Paramètres!$E$30+U320/Paramètres!$E$31+V320/Paramètres!$E$32+W320/Paramètres!$E$33+X320/Paramètres!$E$34+Y320/Paramètres!$E$35,1)</f>
        <v>0.6</v>
      </c>
      <c r="AA320" s="22" t="s">
        <v>109</v>
      </c>
      <c r="AB320" s="22" t="s">
        <v>109</v>
      </c>
      <c r="AC320" s="15" t="str">
        <f aca="false">$E320</f>
        <v>lin</v>
      </c>
      <c r="AD320" s="16" t="n">
        <f aca="false" t="array" ref="AD320:AD320">IF($I320&gt;=$AI320,"Max",ROUND(Paramètres!$B$40*($I320+1)^Paramètres!$B$41*INDEX(Paramètres!$H$6:$H$12,$AF320),0))</f>
        <v>6</v>
      </c>
      <c r="AE320" s="23" t="n">
        <f aca="false">MATCH($B320&amp;"|"&amp;$C320,Profils!$A$5:$A$34,0)</f>
        <v>11</v>
      </c>
      <c r="AF320" s="23" t="n">
        <v>5</v>
      </c>
      <c r="AG320" s="24" t="n">
        <f aca="false" t="array" ref="AG320:AG320">INDEX(Paramètres!$C$6:$C$12,$AF320)</f>
        <v>2.1</v>
      </c>
      <c r="AH320" s="23" t="n">
        <f aca="false" t="array" ref="AH320:AH320">INDEX(Paramètres!$D$6:$D$12,$AF320)</f>
        <v>6</v>
      </c>
      <c r="AI320" s="23" t="n">
        <f aca="false" t="array" ref="AI320:AI320">INDEX(Matériaux!$C$16:$C$20,$D320)</f>
        <v>19</v>
      </c>
      <c r="AJ320" s="25" t="n">
        <f aca="false">Paramètres!$B$16+(1-Paramètres!$B$16)*(($J320-Paramètres!$B$14)/(Paramètres!$B$15-Paramètres!$B$14))^Paramètres!$B$17</f>
        <v>0.05</v>
      </c>
    </row>
    <row r="321" customFormat="false" ht="15.75" hidden="false" customHeight="true" outlineLevel="0" collapsed="false">
      <c r="A321" s="14" t="s">
        <v>437</v>
      </c>
      <c r="B321" s="15" t="s">
        <v>29</v>
      </c>
      <c r="C321" s="15" t="s">
        <v>107</v>
      </c>
      <c r="D321" s="16" t="n">
        <v>1</v>
      </c>
      <c r="E321" s="15" t="str">
        <f aca="false" t="array" ref="E321:E321">INDEX(Matériaux!$B$5:$F$12,MATCH(INDEX(Profils!$E$5:$E$34,$AE321),Matériaux!$A$5:$A$12,0),$D321)</f>
        <v>lin</v>
      </c>
      <c r="F321" s="30" t="s">
        <v>119</v>
      </c>
      <c r="G321" s="10" t="str">
        <f aca="false" t="array" ref="G321:G321">INDEX(Profils!$D$5:$D$34,$AE321)&amp;" en "&amp;$E321</f>
        <v>Chapeau en lin</v>
      </c>
      <c r="H321" s="16" t="n">
        <f aca="false" t="array" ref="H321:H321">INDEX(Matériaux!$B$16:$B$20,$D321)</f>
        <v>1</v>
      </c>
      <c r="I321" s="16" t="n">
        <f aca="false">IF(ISNUMBER($C$3),MIN(MAX(0,ROUND($C$3,0)),$AI321),$AI321)</f>
        <v>0</v>
      </c>
      <c r="J321" s="18" t="n">
        <f aca="false">$H321+$I321</f>
        <v>1</v>
      </c>
      <c r="K321" s="15" t="s">
        <v>109</v>
      </c>
      <c r="L321" s="19" t="n">
        <f aca="false" t="array" ref="L321:L321">IF(AND(INDEX(Profils!$F$5:$F$34,$AE321)&gt;0,INDEX(Profils!$U$5:$U$34,$AE321)&lt;=$AH321),ROUND(INDEX(Profils!$F$5:$F$34,$AE321)*Paramètres!$E$22*$AG321*$AJ321,Paramètres!$F$22),0)</f>
        <v>4</v>
      </c>
      <c r="M321" s="19" t="n">
        <f aca="false" t="array" ref="M321:M321">IF(AND(INDEX(Profils!$G$5:$G$34,$AE321)&gt;0,INDEX(Profils!$V$5:$V$34,$AE321)&lt;=$AH321),ROUND(INDEX(Profils!$G$5:$G$34,$AE321)*Paramètres!$E$23*$AG321*$AJ321,Paramètres!$F$23),0)</f>
        <v>0</v>
      </c>
      <c r="N321" s="19" t="n">
        <f aca="false" t="array" ref="N321:N321">IF(AND(INDEX(Profils!$H$5:$H$34,$AE321)&gt;0,INDEX(Profils!$W$5:$W$34,$AE321)&lt;=$AH321),ROUND(INDEX(Profils!$H$5:$H$34,$AE321)*Paramètres!$E$24*$AG321*$AJ321,Paramètres!$F$24),0)</f>
        <v>0</v>
      </c>
      <c r="O321" s="19" t="n">
        <f aca="false" t="array" ref="O321:O321">IF(AND(INDEX(Profils!$I$5:$I$34,$AE321)&gt;0,INDEX(Profils!$X$5:$X$34,$AE321)&lt;=$AH321),ROUND(INDEX(Profils!$I$5:$I$34,$AE321)*Paramètres!$E$25*$AG321*$AJ321,Paramètres!$F$25),0)</f>
        <v>2</v>
      </c>
      <c r="P321" s="19" t="n">
        <f aca="false" t="array" ref="P321:P321">IF(AND(INDEX(Profils!$J$5:$J$34,$AE321)&gt;0,INDEX(Profils!$Y$5:$Y$34,$AE321)&lt;=$AH321),ROUND(INDEX(Profils!$J$5:$J$34,$AE321)*Paramètres!$E$26*$AG321*$AJ321,Paramètres!$F$26),0)</f>
        <v>1</v>
      </c>
      <c r="Q321" s="19" t="n">
        <f aca="false" t="array" ref="Q321:Q321">IF(AND(INDEX(Profils!$K$5:$K$34,$AE321)&gt;0,INDEX(Profils!$Z$5:$Z$34,$AE321)&lt;=$AH321),ROUND(INDEX(Profils!$K$5:$K$34,$AE321)*Paramètres!$E$27*$AG321*$AJ321,Paramètres!$F$27),0)</f>
        <v>0</v>
      </c>
      <c r="R321" s="20" t="n">
        <f aca="false" t="array" ref="R321:R321">IF(AND(INDEX(Profils!$L$5:$L$34,$AE321)&gt;0,INDEX(Profils!$AA$5:$AA$34,$AE321)&lt;=$AH321),ROUND(INDEX(Profils!$L$5:$L$34,$AE321)*Paramètres!$E$28*$AG321*$AJ321,Paramètres!$F$28),0)</f>
        <v>0.001</v>
      </c>
      <c r="S321" s="20" t="n">
        <f aca="false" t="array" ref="S321:S321">IF(AND(INDEX(Profils!$M$5:$M$34,$AE321)&gt;0,INDEX(Profils!$AB$5:$AB$34,$AE321)&lt;=$AH321),ROUND(INDEX(Profils!$M$5:$M$34,$AE321)*Paramètres!$E$29*$AG321*$AJ321,Paramètres!$F$29),0)</f>
        <v>0</v>
      </c>
      <c r="T321" s="20" t="n">
        <f aca="false" t="array" ref="T321:T321">IF(AND(INDEX(Profils!$N$5:$N$34,$AE321)&gt;0,INDEX(Profils!$AC$5:$AC$34,$AE321)&lt;=$AH321),ROUND(INDEX(Profils!$N$5:$N$34,$AE321)*Paramètres!$E$30*$AG321*$AJ321,Paramètres!$F$30),0)</f>
        <v>0</v>
      </c>
      <c r="U321" s="19" t="n">
        <f aca="false" t="array" ref="U321:U321">IF(AND(INDEX(Profils!$O$5:$O$34,$AE321)&gt;0,INDEX(Profils!$AD$5:$AD$34,$AE321)&lt;=$AH321),ROUND(INDEX(Profils!$O$5:$O$34,$AE321)*Paramètres!$E$31*$AG321*$AJ321,Paramètres!$F$31),0)</f>
        <v>0</v>
      </c>
      <c r="V321" s="20" t="n">
        <f aca="false" t="array" ref="V321:V321">IF(AND(INDEX(Profils!$P$5:$P$34,$AE321)&gt;0,INDEX(Profils!$AE$5:$AE$34,$AE321)&lt;=$AH321),ROUND(INDEX(Profils!$P$5:$P$34,$AE321)*Paramètres!$E$32*$AG321*$AJ321,Paramètres!$F$32),0)</f>
        <v>0</v>
      </c>
      <c r="W321" s="20" t="n">
        <f aca="false" t="array" ref="W321:W321">IF(AND(INDEX(Profils!$Q$5:$Q$34,$AE321)&gt;0,INDEX(Profils!$AF$5:$AF$34,$AE321)&lt;=$AH321),ROUND(INDEX(Profils!$Q$5:$Q$34,$AE321)*Paramètres!$E$33*$AG321*$AJ321,Paramètres!$F$33),0)</f>
        <v>0.001</v>
      </c>
      <c r="X321" s="20" t="n">
        <f aca="false" t="array" ref="X321:X321">IF(AND(INDEX(Profils!$R$5:$R$34,$AE321)&gt;0,INDEX(Profils!$AG$5:$AG$34,$AE321)&lt;=$AH321),ROUND(INDEX(Profils!$R$5:$R$34,$AE321)*Paramètres!$E$34*$AG321*$AJ321,Paramètres!$F$34),0)</f>
        <v>0.002</v>
      </c>
      <c r="Y321" s="20" t="n">
        <f aca="false" t="array" ref="Y321:Y321">IF(AND(INDEX(Profils!$S$5:$S$34,$AE321)&gt;0,INDEX(Profils!$AH$5:$AH$34,$AE321)&lt;=$AH321),ROUND(INDEX(Profils!$S$5:$S$34,$AE321)*Paramètres!$E$35*$AG321*$AJ321,Paramètres!$F$35),0)</f>
        <v>0.002</v>
      </c>
      <c r="Z321" s="21" t="n">
        <f aca="false">ROUND(L321/Paramètres!$E$22+M321/Paramètres!$E$23+N321/Paramètres!$E$24+O321/Paramètres!$E$25+P321/Paramètres!$E$26+Q321/Paramètres!$E$27+R321/Paramètres!$E$28+S321/Paramètres!$E$29+T321/Paramètres!$E$30+U321/Paramètres!$E$31+V321/Paramètres!$E$32+W321/Paramètres!$E$33+X321/Paramètres!$E$34+Y321/Paramètres!$E$35,1)</f>
        <v>0.7</v>
      </c>
      <c r="AA321" s="22" t="s">
        <v>109</v>
      </c>
      <c r="AB321" s="22" t="s">
        <v>109</v>
      </c>
      <c r="AC321" s="15" t="str">
        <f aca="false">$E321</f>
        <v>lin</v>
      </c>
      <c r="AD321" s="16" t="n">
        <f aca="false" t="array" ref="AD321:AD321">IF($I321&gt;=$AI321,"Max",ROUND(Paramètres!$B$40*($I321+1)^Paramètres!$B$41*INDEX(Paramètres!$H$6:$H$12,$AF321),0))</f>
        <v>8</v>
      </c>
      <c r="AE321" s="23" t="n">
        <f aca="false">MATCH($B321&amp;"|"&amp;$C321,Profils!$A$5:$A$34,0)</f>
        <v>11</v>
      </c>
      <c r="AF321" s="23" t="n">
        <v>6</v>
      </c>
      <c r="AG321" s="24" t="n">
        <f aca="false" t="array" ref="AG321:AG321">INDEX(Paramètres!$C$6:$C$12,$AF321)</f>
        <v>2.4</v>
      </c>
      <c r="AH321" s="23" t="n">
        <f aca="false" t="array" ref="AH321:AH321">INDEX(Paramètres!$D$6:$D$12,$AF321)</f>
        <v>7</v>
      </c>
      <c r="AI321" s="23" t="n">
        <f aca="false" t="array" ref="AI321:AI321">INDEX(Matériaux!$C$16:$C$20,$D321)</f>
        <v>19</v>
      </c>
      <c r="AJ321" s="25" t="n">
        <f aca="false">Paramètres!$B$16+(1-Paramètres!$B$16)*(($J321-Paramètres!$B$14)/(Paramètres!$B$15-Paramètres!$B$14))^Paramètres!$B$17</f>
        <v>0.05</v>
      </c>
    </row>
    <row r="322" customFormat="false" ht="15.75" hidden="false" customHeight="true" outlineLevel="0" collapsed="false">
      <c r="A322" s="14" t="s">
        <v>438</v>
      </c>
      <c r="B322" s="15" t="s">
        <v>29</v>
      </c>
      <c r="C322" s="15" t="s">
        <v>107</v>
      </c>
      <c r="D322" s="16" t="n">
        <v>2</v>
      </c>
      <c r="E322" s="15" t="str">
        <f aca="false" t="array" ref="E322:E322">INDEX(Matériaux!$B$5:$F$12,MATCH(INDEX(Profils!$E$5:$E$34,$AE322),Matériaux!$A$5:$A$12,0),$D322)</f>
        <v>laine</v>
      </c>
      <c r="F322" s="17" t="s">
        <v>108</v>
      </c>
      <c r="G322" s="10" t="str">
        <f aca="false" t="array" ref="G322:G322">INDEX(Profils!$D$5:$D$34,$AE322)&amp;" en "&amp;$E322</f>
        <v>Chapeau en laine</v>
      </c>
      <c r="H322" s="16" t="n">
        <f aca="false" t="array" ref="H322:H322">INDEX(Matériaux!$B$16:$B$20,$D322)</f>
        <v>15</v>
      </c>
      <c r="I322" s="16" t="n">
        <f aca="false">IF(ISNUMBER($C$3),MIN(MAX(0,ROUND($C$3,0)),$AI322),$AI322)</f>
        <v>0</v>
      </c>
      <c r="J322" s="18" t="n">
        <f aca="false">$H322+$I322</f>
        <v>15</v>
      </c>
      <c r="K322" s="15" t="s">
        <v>109</v>
      </c>
      <c r="L322" s="19" t="n">
        <f aca="false" t="array" ref="L322:L322">IF(AND(INDEX(Profils!$F$5:$F$34,$AE322)&gt;0,INDEX(Profils!$U$5:$U$34,$AE322)&lt;=$AH322),ROUND(INDEX(Profils!$F$5:$F$34,$AE322)*Paramètres!$E$22*$AG322*$AJ322,Paramètres!$F$22),0)</f>
        <v>4</v>
      </c>
      <c r="M322" s="19" t="n">
        <f aca="false" t="array" ref="M322:M322">IF(AND(INDEX(Profils!$G$5:$G$34,$AE322)&gt;0,INDEX(Profils!$V$5:$V$34,$AE322)&lt;=$AH322),ROUND(INDEX(Profils!$G$5:$G$34,$AE322)*Paramètres!$E$23*$AG322*$AJ322,Paramètres!$F$23),0)</f>
        <v>0</v>
      </c>
      <c r="N322" s="19" t="n">
        <f aca="false" t="array" ref="N322:N322">IF(AND(INDEX(Profils!$H$5:$H$34,$AE322)&gt;0,INDEX(Profils!$W$5:$W$34,$AE322)&lt;=$AH322),ROUND(INDEX(Profils!$H$5:$H$34,$AE322)*Paramètres!$E$24*$AG322*$AJ322,Paramètres!$F$24),0)</f>
        <v>0</v>
      </c>
      <c r="O322" s="19" t="n">
        <f aca="false" t="array" ref="O322:O322">IF(AND(INDEX(Profils!$I$5:$I$34,$AE322)&gt;0,INDEX(Profils!$X$5:$X$34,$AE322)&lt;=$AH322),ROUND(INDEX(Profils!$I$5:$I$34,$AE322)*Paramètres!$E$25*$AG322*$AJ322,Paramètres!$F$25),0)</f>
        <v>2</v>
      </c>
      <c r="P322" s="19" t="n">
        <f aca="false" t="array" ref="P322:P322">IF(AND(INDEX(Profils!$J$5:$J$34,$AE322)&gt;0,INDEX(Profils!$Y$5:$Y$34,$AE322)&lt;=$AH322),ROUND(INDEX(Profils!$J$5:$J$34,$AE322)*Paramètres!$E$26*$AG322*$AJ322,Paramètres!$F$26),0)</f>
        <v>0</v>
      </c>
      <c r="Q322" s="19" t="n">
        <f aca="false" t="array" ref="Q322:Q322">IF(AND(INDEX(Profils!$K$5:$K$34,$AE322)&gt;0,INDEX(Profils!$Z$5:$Z$34,$AE322)&lt;=$AH322),ROUND(INDEX(Profils!$K$5:$K$34,$AE322)*Paramètres!$E$27*$AG322*$AJ322,Paramètres!$F$27),0)</f>
        <v>0</v>
      </c>
      <c r="R322" s="20" t="n">
        <f aca="false" t="array" ref="R322:R322">IF(AND(INDEX(Profils!$L$5:$L$34,$AE322)&gt;0,INDEX(Profils!$AA$5:$AA$34,$AE322)&lt;=$AH322),ROUND(INDEX(Profils!$L$5:$L$34,$AE322)*Paramètres!$E$28*$AG322*$AJ322,Paramètres!$F$28),0)</f>
        <v>0</v>
      </c>
      <c r="S322" s="20" t="n">
        <f aca="false" t="array" ref="S322:S322">IF(AND(INDEX(Profils!$M$5:$M$34,$AE322)&gt;0,INDEX(Profils!$AB$5:$AB$34,$AE322)&lt;=$AH322),ROUND(INDEX(Profils!$M$5:$M$34,$AE322)*Paramètres!$E$29*$AG322*$AJ322,Paramètres!$F$29),0)</f>
        <v>0</v>
      </c>
      <c r="T322" s="20" t="n">
        <f aca="false" t="array" ref="T322:T322">IF(AND(INDEX(Profils!$N$5:$N$34,$AE322)&gt;0,INDEX(Profils!$AC$5:$AC$34,$AE322)&lt;=$AH322),ROUND(INDEX(Profils!$N$5:$N$34,$AE322)*Paramètres!$E$30*$AG322*$AJ322,Paramètres!$F$30),0)</f>
        <v>0</v>
      </c>
      <c r="U322" s="19" t="n">
        <f aca="false" t="array" ref="U322:U322">IF(AND(INDEX(Profils!$O$5:$O$34,$AE322)&gt;0,INDEX(Profils!$AD$5:$AD$34,$AE322)&lt;=$AH322),ROUND(INDEX(Profils!$O$5:$O$34,$AE322)*Paramètres!$E$31*$AG322*$AJ322,Paramètres!$F$31),0)</f>
        <v>0</v>
      </c>
      <c r="V322" s="20" t="n">
        <f aca="false" t="array" ref="V322:V322">IF(AND(INDEX(Profils!$P$5:$P$34,$AE322)&gt;0,INDEX(Profils!$AE$5:$AE$34,$AE322)&lt;=$AH322),ROUND(INDEX(Profils!$P$5:$P$34,$AE322)*Paramètres!$E$32*$AG322*$AJ322,Paramètres!$F$32),0)</f>
        <v>0</v>
      </c>
      <c r="W322" s="20" t="n">
        <f aca="false" t="array" ref="W322:W322">IF(AND(INDEX(Profils!$Q$5:$Q$34,$AE322)&gt;0,INDEX(Profils!$AF$5:$AF$34,$AE322)&lt;=$AH322),ROUND(INDEX(Profils!$Q$5:$Q$34,$AE322)*Paramètres!$E$33*$AG322*$AJ322,Paramètres!$F$33),0)</f>
        <v>0</v>
      </c>
      <c r="X322" s="20" t="n">
        <f aca="false" t="array" ref="X322:X322">IF(AND(INDEX(Profils!$R$5:$R$34,$AE322)&gt;0,INDEX(Profils!$AG$5:$AG$34,$AE322)&lt;=$AH322),ROUND(INDEX(Profils!$R$5:$R$34,$AE322)*Paramètres!$E$34*$AG322*$AJ322,Paramètres!$F$34),0)</f>
        <v>0</v>
      </c>
      <c r="Y322" s="20" t="n">
        <f aca="false" t="array" ref="Y322:Y322">IF(AND(INDEX(Profils!$S$5:$S$34,$AE322)&gt;0,INDEX(Profils!$AH$5:$AH$34,$AE322)&lt;=$AH322),ROUND(INDEX(Profils!$S$5:$S$34,$AE322)*Paramètres!$E$35*$AG322*$AJ322,Paramètres!$F$35),0)</f>
        <v>0</v>
      </c>
      <c r="Z322" s="21" t="n">
        <f aca="false">ROUND(L322/Paramètres!$E$22+M322/Paramètres!$E$23+N322/Paramètres!$E$24+O322/Paramètres!$E$25+P322/Paramètres!$E$26+Q322/Paramètres!$E$27+R322/Paramètres!$E$28+S322/Paramètres!$E$29+T322/Paramètres!$E$30+U322/Paramètres!$E$31+V322/Paramètres!$E$32+W322/Paramètres!$E$33+X322/Paramètres!$E$34+Y322/Paramètres!$E$35,1)</f>
        <v>0.3</v>
      </c>
      <c r="AA322" s="22" t="s">
        <v>109</v>
      </c>
      <c r="AB322" s="22" t="s">
        <v>109</v>
      </c>
      <c r="AC322" s="15" t="str">
        <f aca="false">$E322</f>
        <v>laine</v>
      </c>
      <c r="AD322" s="16" t="n">
        <f aca="false" t="array" ref="AD322:AD322">IF($I322&gt;=$AI322,"Max",ROUND(Paramètres!$B$40*($I322+1)^Paramètres!$B$41*INDEX(Paramètres!$H$6:$H$12,$AF322),0))</f>
        <v>3</v>
      </c>
      <c r="AE322" s="23" t="n">
        <f aca="false">MATCH($B322&amp;"|"&amp;$C322,Profils!$A$5:$A$34,0)</f>
        <v>11</v>
      </c>
      <c r="AF322" s="23" t="n">
        <v>1</v>
      </c>
      <c r="AG322" s="24" t="n">
        <f aca="false" t="array" ref="AG322:AG322">INDEX(Paramètres!$C$6:$C$12,$AF322)</f>
        <v>1</v>
      </c>
      <c r="AH322" s="23" t="n">
        <f aca="false" t="array" ref="AH322:AH322">INDEX(Paramètres!$D$6:$D$12,$AF322)</f>
        <v>2</v>
      </c>
      <c r="AI322" s="23" t="n">
        <f aca="false" t="array" ref="AI322:AI322">INDEX(Matériaux!$C$16:$C$20,$D322)</f>
        <v>20</v>
      </c>
      <c r="AJ322" s="25" t="n">
        <f aca="false">Paramètres!$B$16+(1-Paramètres!$B$16)*(($J322-Paramètres!$B$14)/(Paramètres!$B$15-Paramètres!$B$14))^Paramètres!$B$17</f>
        <v>0.140847925475674</v>
      </c>
    </row>
    <row r="323" customFormat="false" ht="15.75" hidden="false" customHeight="true" outlineLevel="0" collapsed="false">
      <c r="A323" s="14" t="s">
        <v>439</v>
      </c>
      <c r="B323" s="15" t="s">
        <v>29</v>
      </c>
      <c r="C323" s="15" t="s">
        <v>107</v>
      </c>
      <c r="D323" s="16" t="n">
        <v>2</v>
      </c>
      <c r="E323" s="15" t="str">
        <f aca="false" t="array" ref="E323:E323">INDEX(Matériaux!$B$5:$F$12,MATCH(INDEX(Profils!$E$5:$E$34,$AE323),Matériaux!$A$5:$A$12,0),$D323)</f>
        <v>laine</v>
      </c>
      <c r="F323" s="26" t="s">
        <v>111</v>
      </c>
      <c r="G323" s="10" t="str">
        <f aca="false" t="array" ref="G323:G323">INDEX(Profils!$D$5:$D$34,$AE323)&amp;" en "&amp;$E323</f>
        <v>Chapeau en laine</v>
      </c>
      <c r="H323" s="16" t="n">
        <f aca="false" t="array" ref="H323:H323">INDEX(Matériaux!$B$16:$B$20,$D323)</f>
        <v>15</v>
      </c>
      <c r="I323" s="16" t="n">
        <f aca="false">IF(ISNUMBER($C$3),MIN(MAX(0,ROUND($C$3,0)),$AI323),$AI323)</f>
        <v>0</v>
      </c>
      <c r="J323" s="18" t="n">
        <f aca="false">$H323+$I323</f>
        <v>15</v>
      </c>
      <c r="K323" s="15" t="s">
        <v>109</v>
      </c>
      <c r="L323" s="19" t="n">
        <f aca="false" t="array" ref="L323:L323">IF(AND(INDEX(Profils!$F$5:$F$34,$AE323)&gt;0,INDEX(Profils!$U$5:$U$34,$AE323)&lt;=$AH323),ROUND(INDEX(Profils!$F$5:$F$34,$AE323)*Paramètres!$E$22*$AG323*$AJ323,Paramètres!$F$22),0)</f>
        <v>5</v>
      </c>
      <c r="M323" s="19" t="n">
        <f aca="false" t="array" ref="M323:M323">IF(AND(INDEX(Profils!$G$5:$G$34,$AE323)&gt;0,INDEX(Profils!$V$5:$V$34,$AE323)&lt;=$AH323),ROUND(INDEX(Profils!$G$5:$G$34,$AE323)*Paramètres!$E$23*$AG323*$AJ323,Paramètres!$F$23),0)</f>
        <v>0</v>
      </c>
      <c r="N323" s="19" t="n">
        <f aca="false" t="array" ref="N323:N323">IF(AND(INDEX(Profils!$H$5:$H$34,$AE323)&gt;0,INDEX(Profils!$W$5:$W$34,$AE323)&lt;=$AH323),ROUND(INDEX(Profils!$H$5:$H$34,$AE323)*Paramètres!$E$24*$AG323*$AJ323,Paramètres!$F$24),0)</f>
        <v>0</v>
      </c>
      <c r="O323" s="19" t="n">
        <f aca="false" t="array" ref="O323:O323">IF(AND(INDEX(Profils!$I$5:$I$34,$AE323)&gt;0,INDEX(Profils!$X$5:$X$34,$AE323)&lt;=$AH323),ROUND(INDEX(Profils!$I$5:$I$34,$AE323)*Paramètres!$E$25*$AG323*$AJ323,Paramètres!$F$25),0)</f>
        <v>3</v>
      </c>
      <c r="P323" s="19" t="n">
        <f aca="false" t="array" ref="P323:P323">IF(AND(INDEX(Profils!$J$5:$J$34,$AE323)&gt;0,INDEX(Profils!$Y$5:$Y$34,$AE323)&lt;=$AH323),ROUND(INDEX(Profils!$J$5:$J$34,$AE323)*Paramètres!$E$26*$AG323*$AJ323,Paramètres!$F$26),0)</f>
        <v>0</v>
      </c>
      <c r="Q323" s="19" t="n">
        <f aca="false" t="array" ref="Q323:Q323">IF(AND(INDEX(Profils!$K$5:$K$34,$AE323)&gt;0,INDEX(Profils!$Z$5:$Z$34,$AE323)&lt;=$AH323),ROUND(INDEX(Profils!$K$5:$K$34,$AE323)*Paramètres!$E$27*$AG323*$AJ323,Paramètres!$F$27),0)</f>
        <v>0</v>
      </c>
      <c r="R323" s="20" t="n">
        <f aca="false" t="array" ref="R323:R323">IF(AND(INDEX(Profils!$L$5:$L$34,$AE323)&gt;0,INDEX(Profils!$AA$5:$AA$34,$AE323)&lt;=$AH323),ROUND(INDEX(Profils!$L$5:$L$34,$AE323)*Paramètres!$E$28*$AG323*$AJ323,Paramètres!$F$28),0)</f>
        <v>0</v>
      </c>
      <c r="S323" s="20" t="n">
        <f aca="false" t="array" ref="S323:S323">IF(AND(INDEX(Profils!$M$5:$M$34,$AE323)&gt;0,INDEX(Profils!$AB$5:$AB$34,$AE323)&lt;=$AH323),ROUND(INDEX(Profils!$M$5:$M$34,$AE323)*Paramètres!$E$29*$AG323*$AJ323,Paramètres!$F$29),0)</f>
        <v>0</v>
      </c>
      <c r="T323" s="20" t="n">
        <f aca="false" t="array" ref="T323:T323">IF(AND(INDEX(Profils!$N$5:$N$34,$AE323)&gt;0,INDEX(Profils!$AC$5:$AC$34,$AE323)&lt;=$AH323),ROUND(INDEX(Profils!$N$5:$N$34,$AE323)*Paramètres!$E$30*$AG323*$AJ323,Paramètres!$F$30),0)</f>
        <v>0</v>
      </c>
      <c r="U323" s="19" t="n">
        <f aca="false" t="array" ref="U323:U323">IF(AND(INDEX(Profils!$O$5:$O$34,$AE323)&gt;0,INDEX(Profils!$AD$5:$AD$34,$AE323)&lt;=$AH323),ROUND(INDEX(Profils!$O$5:$O$34,$AE323)*Paramètres!$E$31*$AG323*$AJ323,Paramètres!$F$31),0)</f>
        <v>0</v>
      </c>
      <c r="V323" s="20" t="n">
        <f aca="false" t="array" ref="V323:V323">IF(AND(INDEX(Profils!$P$5:$P$34,$AE323)&gt;0,INDEX(Profils!$AE$5:$AE$34,$AE323)&lt;=$AH323),ROUND(INDEX(Profils!$P$5:$P$34,$AE323)*Paramètres!$E$32*$AG323*$AJ323,Paramètres!$F$32),0)</f>
        <v>0</v>
      </c>
      <c r="W323" s="20" t="n">
        <f aca="false" t="array" ref="W323:W323">IF(AND(INDEX(Profils!$Q$5:$Q$34,$AE323)&gt;0,INDEX(Profils!$AF$5:$AF$34,$AE323)&lt;=$AH323),ROUND(INDEX(Profils!$Q$5:$Q$34,$AE323)*Paramètres!$E$33*$AG323*$AJ323,Paramètres!$F$33),0)</f>
        <v>0</v>
      </c>
      <c r="X323" s="20" t="n">
        <f aca="false" t="array" ref="X323:X323">IF(AND(INDEX(Profils!$R$5:$R$34,$AE323)&gt;0,INDEX(Profils!$AG$5:$AG$34,$AE323)&lt;=$AH323),ROUND(INDEX(Profils!$R$5:$R$34,$AE323)*Paramètres!$E$34*$AG323*$AJ323,Paramètres!$F$34),0)</f>
        <v>0</v>
      </c>
      <c r="Y323" s="20" t="n">
        <f aca="false" t="array" ref="Y323:Y323">IF(AND(INDEX(Profils!$S$5:$S$34,$AE323)&gt;0,INDEX(Profils!$AH$5:$AH$34,$AE323)&lt;=$AH323),ROUND(INDEX(Profils!$S$5:$S$34,$AE323)*Paramètres!$E$35*$AG323*$AJ323,Paramètres!$F$35),0)</f>
        <v>0.003</v>
      </c>
      <c r="Z323" s="21" t="n">
        <f aca="false">ROUND(L323/Paramètres!$E$22+M323/Paramètres!$E$23+N323/Paramètres!$E$24+O323/Paramètres!$E$25+P323/Paramètres!$E$26+Q323/Paramètres!$E$27+R323/Paramètres!$E$28+S323/Paramètres!$E$29+T323/Paramètres!$E$30+U323/Paramètres!$E$31+V323/Paramètres!$E$32+W323/Paramètres!$E$33+X323/Paramètres!$E$34+Y323/Paramètres!$E$35,1)</f>
        <v>0.6</v>
      </c>
      <c r="AA323" s="22" t="s">
        <v>109</v>
      </c>
      <c r="AB323" s="22" t="s">
        <v>109</v>
      </c>
      <c r="AC323" s="15" t="str">
        <f aca="false">$E323</f>
        <v>laine</v>
      </c>
      <c r="AD323" s="16" t="n">
        <f aca="false" t="array" ref="AD323:AD323">IF($I323&gt;=$AI323,"Max",ROUND(Paramètres!$B$40*($I323+1)^Paramètres!$B$41*INDEX(Paramètres!$H$6:$H$12,$AF323),0))</f>
        <v>4</v>
      </c>
      <c r="AE323" s="23" t="n">
        <f aca="false">MATCH($B323&amp;"|"&amp;$C323,Profils!$A$5:$A$34,0)</f>
        <v>11</v>
      </c>
      <c r="AF323" s="23" t="n">
        <v>2</v>
      </c>
      <c r="AG323" s="24" t="n">
        <f aca="false" t="array" ref="AG323:AG323">INDEX(Paramètres!$C$6:$C$12,$AF323)</f>
        <v>1.2</v>
      </c>
      <c r="AH323" s="23" t="n">
        <f aca="false" t="array" ref="AH323:AH323">INDEX(Paramètres!$D$6:$D$12,$AF323)</f>
        <v>3</v>
      </c>
      <c r="AI323" s="23" t="n">
        <f aca="false" t="array" ref="AI323:AI323">INDEX(Matériaux!$C$16:$C$20,$D323)</f>
        <v>20</v>
      </c>
      <c r="AJ323" s="25" t="n">
        <f aca="false">Paramètres!$B$16+(1-Paramètres!$B$16)*(($J323-Paramètres!$B$14)/(Paramètres!$B$15-Paramètres!$B$14))^Paramètres!$B$17</f>
        <v>0.140847925475674</v>
      </c>
    </row>
    <row r="324" customFormat="false" ht="15.75" hidden="false" customHeight="true" outlineLevel="0" collapsed="false">
      <c r="A324" s="14" t="s">
        <v>440</v>
      </c>
      <c r="B324" s="15" t="s">
        <v>29</v>
      </c>
      <c r="C324" s="15" t="s">
        <v>107</v>
      </c>
      <c r="D324" s="16" t="n">
        <v>2</v>
      </c>
      <c r="E324" s="15" t="str">
        <f aca="false" t="array" ref="E324:E324">INDEX(Matériaux!$B$5:$F$12,MATCH(INDEX(Profils!$E$5:$E$34,$AE324),Matériaux!$A$5:$A$12,0),$D324)</f>
        <v>laine</v>
      </c>
      <c r="F324" s="27" t="s">
        <v>113</v>
      </c>
      <c r="G324" s="10" t="str">
        <f aca="false" t="array" ref="G324:G324">INDEX(Profils!$D$5:$D$34,$AE324)&amp;" en "&amp;$E324</f>
        <v>Chapeau en laine</v>
      </c>
      <c r="H324" s="16" t="n">
        <f aca="false" t="array" ref="H324:H324">INDEX(Matériaux!$B$16:$B$20,$D324)</f>
        <v>15</v>
      </c>
      <c r="I324" s="16" t="n">
        <f aca="false">IF(ISNUMBER($C$3),MIN(MAX(0,ROUND($C$3,0)),$AI324),$AI324)</f>
        <v>0</v>
      </c>
      <c r="J324" s="18" t="n">
        <f aca="false">$H324+$I324</f>
        <v>15</v>
      </c>
      <c r="K324" s="15" t="s">
        <v>109</v>
      </c>
      <c r="L324" s="19" t="n">
        <f aca="false" t="array" ref="L324:L324">IF(AND(INDEX(Profils!$F$5:$F$34,$AE324)&gt;0,INDEX(Profils!$U$5:$U$34,$AE324)&lt;=$AH324),ROUND(INDEX(Profils!$F$5:$F$34,$AE324)*Paramètres!$E$22*$AG324*$AJ324,Paramètres!$F$22),0)</f>
        <v>6</v>
      </c>
      <c r="M324" s="19" t="n">
        <f aca="false" t="array" ref="M324:M324">IF(AND(INDEX(Profils!$G$5:$G$34,$AE324)&gt;0,INDEX(Profils!$V$5:$V$34,$AE324)&lt;=$AH324),ROUND(INDEX(Profils!$G$5:$G$34,$AE324)*Paramètres!$E$23*$AG324*$AJ324,Paramètres!$F$23),0)</f>
        <v>0</v>
      </c>
      <c r="N324" s="19" t="n">
        <f aca="false" t="array" ref="N324:N324">IF(AND(INDEX(Profils!$H$5:$H$34,$AE324)&gt;0,INDEX(Profils!$W$5:$W$34,$AE324)&lt;=$AH324),ROUND(INDEX(Profils!$H$5:$H$34,$AE324)*Paramètres!$E$24*$AG324*$AJ324,Paramètres!$F$24),0)</f>
        <v>0</v>
      </c>
      <c r="O324" s="19" t="n">
        <f aca="false" t="array" ref="O324:O324">IF(AND(INDEX(Profils!$I$5:$I$34,$AE324)&gt;0,INDEX(Profils!$X$5:$X$34,$AE324)&lt;=$AH324),ROUND(INDEX(Profils!$I$5:$I$34,$AE324)*Paramètres!$E$25*$AG324*$AJ324,Paramètres!$F$25),0)</f>
        <v>3</v>
      </c>
      <c r="P324" s="19" t="n">
        <f aca="false" t="array" ref="P324:P324">IF(AND(INDEX(Profils!$J$5:$J$34,$AE324)&gt;0,INDEX(Profils!$Y$5:$Y$34,$AE324)&lt;=$AH324),ROUND(INDEX(Profils!$J$5:$J$34,$AE324)*Paramètres!$E$26*$AG324*$AJ324,Paramètres!$F$26),0)</f>
        <v>0</v>
      </c>
      <c r="Q324" s="19" t="n">
        <f aca="false" t="array" ref="Q324:Q324">IF(AND(INDEX(Profils!$K$5:$K$34,$AE324)&gt;0,INDEX(Profils!$Z$5:$Z$34,$AE324)&lt;=$AH324),ROUND(INDEX(Profils!$K$5:$K$34,$AE324)*Paramètres!$E$27*$AG324*$AJ324,Paramètres!$F$27),0)</f>
        <v>0</v>
      </c>
      <c r="R324" s="20" t="n">
        <f aca="false" t="array" ref="R324:R324">IF(AND(INDEX(Profils!$L$5:$L$34,$AE324)&gt;0,INDEX(Profils!$AA$5:$AA$34,$AE324)&lt;=$AH324),ROUND(INDEX(Profils!$L$5:$L$34,$AE324)*Paramètres!$E$28*$AG324*$AJ324,Paramètres!$F$28),0)</f>
        <v>0</v>
      </c>
      <c r="S324" s="20" t="n">
        <f aca="false" t="array" ref="S324:S324">IF(AND(INDEX(Profils!$M$5:$M$34,$AE324)&gt;0,INDEX(Profils!$AB$5:$AB$34,$AE324)&lt;=$AH324),ROUND(INDEX(Profils!$M$5:$M$34,$AE324)*Paramètres!$E$29*$AG324*$AJ324,Paramètres!$F$29),0)</f>
        <v>0</v>
      </c>
      <c r="T324" s="20" t="n">
        <f aca="false" t="array" ref="T324:T324">IF(AND(INDEX(Profils!$N$5:$N$34,$AE324)&gt;0,INDEX(Profils!$AC$5:$AC$34,$AE324)&lt;=$AH324),ROUND(INDEX(Profils!$N$5:$N$34,$AE324)*Paramètres!$E$30*$AG324*$AJ324,Paramètres!$F$30),0)</f>
        <v>0</v>
      </c>
      <c r="U324" s="19" t="n">
        <f aca="false" t="array" ref="U324:U324">IF(AND(INDEX(Profils!$O$5:$O$34,$AE324)&gt;0,INDEX(Profils!$AD$5:$AD$34,$AE324)&lt;=$AH324),ROUND(INDEX(Profils!$O$5:$O$34,$AE324)*Paramètres!$E$31*$AG324*$AJ324,Paramètres!$F$31),0)</f>
        <v>0</v>
      </c>
      <c r="V324" s="20" t="n">
        <f aca="false" t="array" ref="V324:V324">IF(AND(INDEX(Profils!$P$5:$P$34,$AE324)&gt;0,INDEX(Profils!$AE$5:$AE$34,$AE324)&lt;=$AH324),ROUND(INDEX(Profils!$P$5:$P$34,$AE324)*Paramètres!$E$32*$AG324*$AJ324,Paramètres!$F$32),0)</f>
        <v>0</v>
      </c>
      <c r="W324" s="20" t="n">
        <f aca="false" t="array" ref="W324:W324">IF(AND(INDEX(Profils!$Q$5:$Q$34,$AE324)&gt;0,INDEX(Profils!$AF$5:$AF$34,$AE324)&lt;=$AH324),ROUND(INDEX(Profils!$Q$5:$Q$34,$AE324)*Paramètres!$E$33*$AG324*$AJ324,Paramètres!$F$33),0)</f>
        <v>0.002</v>
      </c>
      <c r="X324" s="20" t="n">
        <f aca="false" t="array" ref="X324:X324">IF(AND(INDEX(Profils!$R$5:$R$34,$AE324)&gt;0,INDEX(Profils!$AG$5:$AG$34,$AE324)&lt;=$AH324),ROUND(INDEX(Profils!$R$5:$R$34,$AE324)*Paramètres!$E$34*$AG324*$AJ324,Paramètres!$F$34),0)</f>
        <v>0</v>
      </c>
      <c r="Y324" s="20" t="n">
        <f aca="false" t="array" ref="Y324:Y324">IF(AND(INDEX(Profils!$S$5:$S$34,$AE324)&gt;0,INDEX(Profils!$AH$5:$AH$34,$AE324)&lt;=$AH324),ROUND(INDEX(Profils!$S$5:$S$34,$AE324)*Paramètres!$E$35*$AG324*$AJ324,Paramètres!$F$35),0)</f>
        <v>0.003</v>
      </c>
      <c r="Z324" s="21" t="n">
        <f aca="false">ROUND(L324/Paramètres!$E$22+M324/Paramètres!$E$23+N324/Paramètres!$E$24+O324/Paramètres!$E$25+P324/Paramètres!$E$26+Q324/Paramètres!$E$27+R324/Paramètres!$E$28+S324/Paramètres!$E$29+T324/Paramètres!$E$30+U324/Paramètres!$E$31+V324/Paramètres!$E$32+W324/Paramètres!$E$33+X324/Paramètres!$E$34+Y324/Paramètres!$E$35,1)</f>
        <v>0.8</v>
      </c>
      <c r="AA324" s="22" t="s">
        <v>109</v>
      </c>
      <c r="AB324" s="22" t="s">
        <v>109</v>
      </c>
      <c r="AC324" s="15" t="str">
        <f aca="false">$E324</f>
        <v>laine</v>
      </c>
      <c r="AD324" s="16" t="n">
        <f aca="false" t="array" ref="AD324:AD324">IF($I324&gt;=$AI324,"Max",ROUND(Paramètres!$B$40*($I324+1)^Paramètres!$B$41*INDEX(Paramètres!$H$6:$H$12,$AF324),0))</f>
        <v>4</v>
      </c>
      <c r="AE324" s="23" t="n">
        <f aca="false">MATCH($B324&amp;"|"&amp;$C324,Profils!$A$5:$A$34,0)</f>
        <v>11</v>
      </c>
      <c r="AF324" s="23" t="n">
        <v>3</v>
      </c>
      <c r="AG324" s="24" t="n">
        <f aca="false" t="array" ref="AG324:AG324">INDEX(Paramètres!$C$6:$C$12,$AF324)</f>
        <v>1.45</v>
      </c>
      <c r="AH324" s="23" t="n">
        <f aca="false" t="array" ref="AH324:AH324">INDEX(Paramètres!$D$6:$D$12,$AF324)</f>
        <v>4</v>
      </c>
      <c r="AI324" s="23" t="n">
        <f aca="false" t="array" ref="AI324:AI324">INDEX(Matériaux!$C$16:$C$20,$D324)</f>
        <v>20</v>
      </c>
      <c r="AJ324" s="25" t="n">
        <f aca="false">Paramètres!$B$16+(1-Paramètres!$B$16)*(($J324-Paramètres!$B$14)/(Paramètres!$B$15-Paramètres!$B$14))^Paramètres!$B$17</f>
        <v>0.140847925475674</v>
      </c>
    </row>
    <row r="325" customFormat="false" ht="15.75" hidden="false" customHeight="true" outlineLevel="0" collapsed="false">
      <c r="A325" s="14" t="s">
        <v>441</v>
      </c>
      <c r="B325" s="15" t="s">
        <v>29</v>
      </c>
      <c r="C325" s="15" t="s">
        <v>107</v>
      </c>
      <c r="D325" s="16" t="n">
        <v>2</v>
      </c>
      <c r="E325" s="15" t="str">
        <f aca="false" t="array" ref="E325:E325">INDEX(Matériaux!$B$5:$F$12,MATCH(INDEX(Profils!$E$5:$E$34,$AE325),Matériaux!$A$5:$A$12,0),$D325)</f>
        <v>laine</v>
      </c>
      <c r="F325" s="28" t="s">
        <v>115</v>
      </c>
      <c r="G325" s="10" t="str">
        <f aca="false" t="array" ref="G325:G325">INDEX(Profils!$D$5:$D$34,$AE325)&amp;" en "&amp;$E325</f>
        <v>Chapeau en laine</v>
      </c>
      <c r="H325" s="16" t="n">
        <f aca="false" t="array" ref="H325:H325">INDEX(Matériaux!$B$16:$B$20,$D325)</f>
        <v>15</v>
      </c>
      <c r="I325" s="16" t="n">
        <f aca="false">IF(ISNUMBER($C$3),MIN(MAX(0,ROUND($C$3,0)),$AI325),$AI325)</f>
        <v>0</v>
      </c>
      <c r="J325" s="18" t="n">
        <f aca="false">$H325+$I325</f>
        <v>15</v>
      </c>
      <c r="K325" s="15" t="s">
        <v>109</v>
      </c>
      <c r="L325" s="19" t="n">
        <f aca="false" t="array" ref="L325:L325">IF(AND(INDEX(Profils!$F$5:$F$34,$AE325)&gt;0,INDEX(Profils!$U$5:$U$34,$AE325)&lt;=$AH325),ROUND(INDEX(Profils!$F$5:$F$34,$AE325)*Paramètres!$E$22*$AG325*$AJ325,Paramètres!$F$22),0)</f>
        <v>7</v>
      </c>
      <c r="M325" s="19" t="n">
        <f aca="false" t="array" ref="M325:M325">IF(AND(INDEX(Profils!$G$5:$G$34,$AE325)&gt;0,INDEX(Profils!$V$5:$V$34,$AE325)&lt;=$AH325),ROUND(INDEX(Profils!$G$5:$G$34,$AE325)*Paramètres!$E$23*$AG325*$AJ325,Paramètres!$F$23),0)</f>
        <v>0</v>
      </c>
      <c r="N325" s="19" t="n">
        <f aca="false" t="array" ref="N325:N325">IF(AND(INDEX(Profils!$H$5:$H$34,$AE325)&gt;0,INDEX(Profils!$W$5:$W$34,$AE325)&lt;=$AH325),ROUND(INDEX(Profils!$H$5:$H$34,$AE325)*Paramètres!$E$24*$AG325*$AJ325,Paramètres!$F$24),0)</f>
        <v>0</v>
      </c>
      <c r="O325" s="19" t="n">
        <f aca="false" t="array" ref="O325:O325">IF(AND(INDEX(Profils!$I$5:$I$34,$AE325)&gt;0,INDEX(Profils!$X$5:$X$34,$AE325)&lt;=$AH325),ROUND(INDEX(Profils!$I$5:$I$34,$AE325)*Paramètres!$E$25*$AG325*$AJ325,Paramètres!$F$25),0)</f>
        <v>4</v>
      </c>
      <c r="P325" s="19" t="n">
        <f aca="false" t="array" ref="P325:P325">IF(AND(INDEX(Profils!$J$5:$J$34,$AE325)&gt;0,INDEX(Profils!$Y$5:$Y$34,$AE325)&lt;=$AH325),ROUND(INDEX(Profils!$J$5:$J$34,$AE325)*Paramètres!$E$26*$AG325*$AJ325,Paramètres!$F$26),0)</f>
        <v>0</v>
      </c>
      <c r="Q325" s="19" t="n">
        <f aca="false" t="array" ref="Q325:Q325">IF(AND(INDEX(Profils!$K$5:$K$34,$AE325)&gt;0,INDEX(Profils!$Z$5:$Z$34,$AE325)&lt;=$AH325),ROUND(INDEX(Profils!$K$5:$K$34,$AE325)*Paramètres!$E$27*$AG325*$AJ325,Paramètres!$F$27),0)</f>
        <v>0</v>
      </c>
      <c r="R325" s="20" t="n">
        <f aca="false" t="array" ref="R325:R325">IF(AND(INDEX(Profils!$L$5:$L$34,$AE325)&gt;0,INDEX(Profils!$AA$5:$AA$34,$AE325)&lt;=$AH325),ROUND(INDEX(Profils!$L$5:$L$34,$AE325)*Paramètres!$E$28*$AG325*$AJ325,Paramètres!$F$28),0)</f>
        <v>0</v>
      </c>
      <c r="S325" s="20" t="n">
        <f aca="false" t="array" ref="S325:S325">IF(AND(INDEX(Profils!$M$5:$M$34,$AE325)&gt;0,INDEX(Profils!$AB$5:$AB$34,$AE325)&lt;=$AH325),ROUND(INDEX(Profils!$M$5:$M$34,$AE325)*Paramètres!$E$29*$AG325*$AJ325,Paramètres!$F$29),0)</f>
        <v>0</v>
      </c>
      <c r="T325" s="20" t="n">
        <f aca="false" t="array" ref="T325:T325">IF(AND(INDEX(Profils!$N$5:$N$34,$AE325)&gt;0,INDEX(Profils!$AC$5:$AC$34,$AE325)&lt;=$AH325),ROUND(INDEX(Profils!$N$5:$N$34,$AE325)*Paramètres!$E$30*$AG325*$AJ325,Paramètres!$F$30),0)</f>
        <v>0</v>
      </c>
      <c r="U325" s="19" t="n">
        <f aca="false" t="array" ref="U325:U325">IF(AND(INDEX(Profils!$O$5:$O$34,$AE325)&gt;0,INDEX(Profils!$AD$5:$AD$34,$AE325)&lt;=$AH325),ROUND(INDEX(Profils!$O$5:$O$34,$AE325)*Paramètres!$E$31*$AG325*$AJ325,Paramètres!$F$31),0)</f>
        <v>0</v>
      </c>
      <c r="V325" s="20" t="n">
        <f aca="false" t="array" ref="V325:V325">IF(AND(INDEX(Profils!$P$5:$P$34,$AE325)&gt;0,INDEX(Profils!$AE$5:$AE$34,$AE325)&lt;=$AH325),ROUND(INDEX(Profils!$P$5:$P$34,$AE325)*Paramètres!$E$32*$AG325*$AJ325,Paramètres!$F$32),0)</f>
        <v>0</v>
      </c>
      <c r="W325" s="20" t="n">
        <f aca="false" t="array" ref="W325:W325">IF(AND(INDEX(Profils!$Q$5:$Q$34,$AE325)&gt;0,INDEX(Profils!$AF$5:$AF$34,$AE325)&lt;=$AH325),ROUND(INDEX(Profils!$Q$5:$Q$34,$AE325)*Paramètres!$E$33*$AG325*$AJ325,Paramètres!$F$33),0)</f>
        <v>0.003</v>
      </c>
      <c r="X325" s="20" t="n">
        <f aca="false" t="array" ref="X325:X325">IF(AND(INDEX(Profils!$R$5:$R$34,$AE325)&gt;0,INDEX(Profils!$AG$5:$AG$34,$AE325)&lt;=$AH325),ROUND(INDEX(Profils!$R$5:$R$34,$AE325)*Paramètres!$E$34*$AG325*$AJ325,Paramètres!$F$34),0)</f>
        <v>0.004</v>
      </c>
      <c r="Y325" s="20" t="n">
        <f aca="false" t="array" ref="Y325:Y325">IF(AND(INDEX(Profils!$S$5:$S$34,$AE325)&gt;0,INDEX(Profils!$AH$5:$AH$34,$AE325)&lt;=$AH325),ROUND(INDEX(Profils!$S$5:$S$34,$AE325)*Paramètres!$E$35*$AG325*$AJ325,Paramètres!$F$35),0)</f>
        <v>0.004</v>
      </c>
      <c r="Z325" s="21" t="n">
        <f aca="false">ROUND(L325/Paramètres!$E$22+M325/Paramètres!$E$23+N325/Paramètres!$E$24+O325/Paramètres!$E$25+P325/Paramètres!$E$26+Q325/Paramètres!$E$27+R325/Paramètres!$E$28+S325/Paramètres!$E$29+T325/Paramètres!$E$30+U325/Paramètres!$E$31+V325/Paramètres!$E$32+W325/Paramètres!$E$33+X325/Paramètres!$E$34+Y325/Paramètres!$E$35,1)</f>
        <v>1.2</v>
      </c>
      <c r="AA325" s="22" t="s">
        <v>109</v>
      </c>
      <c r="AB325" s="22" t="s">
        <v>109</v>
      </c>
      <c r="AC325" s="15" t="str">
        <f aca="false">$E325</f>
        <v>laine</v>
      </c>
      <c r="AD325" s="16" t="n">
        <f aca="false" t="array" ref="AD325:AD325">IF($I325&gt;=$AI325,"Max",ROUND(Paramètres!$B$40*($I325+1)^Paramètres!$B$41*INDEX(Paramètres!$H$6:$H$12,$AF325),0))</f>
        <v>5</v>
      </c>
      <c r="AE325" s="23" t="n">
        <f aca="false">MATCH($B325&amp;"|"&amp;$C325,Profils!$A$5:$A$34,0)</f>
        <v>11</v>
      </c>
      <c r="AF325" s="23" t="n">
        <v>4</v>
      </c>
      <c r="AG325" s="24" t="n">
        <f aca="false" t="array" ref="AG325:AG325">INDEX(Paramètres!$C$6:$C$12,$AF325)</f>
        <v>1.75</v>
      </c>
      <c r="AH325" s="23" t="n">
        <f aca="false" t="array" ref="AH325:AH325">INDEX(Paramètres!$D$6:$D$12,$AF325)</f>
        <v>5</v>
      </c>
      <c r="AI325" s="23" t="n">
        <f aca="false" t="array" ref="AI325:AI325">INDEX(Matériaux!$C$16:$C$20,$D325)</f>
        <v>20</v>
      </c>
      <c r="AJ325" s="25" t="n">
        <f aca="false">Paramètres!$B$16+(1-Paramètres!$B$16)*(($J325-Paramètres!$B$14)/(Paramètres!$B$15-Paramètres!$B$14))^Paramètres!$B$17</f>
        <v>0.140847925475674</v>
      </c>
    </row>
    <row r="326" customFormat="false" ht="15.75" hidden="false" customHeight="true" outlineLevel="0" collapsed="false">
      <c r="A326" s="14" t="s">
        <v>442</v>
      </c>
      <c r="B326" s="15" t="s">
        <v>29</v>
      </c>
      <c r="C326" s="15" t="s">
        <v>107</v>
      </c>
      <c r="D326" s="16" t="n">
        <v>2</v>
      </c>
      <c r="E326" s="15" t="str">
        <f aca="false" t="array" ref="E326:E326">INDEX(Matériaux!$B$5:$F$12,MATCH(INDEX(Profils!$E$5:$E$34,$AE326),Matériaux!$A$5:$A$12,0),$D326)</f>
        <v>laine</v>
      </c>
      <c r="F326" s="29" t="s">
        <v>117</v>
      </c>
      <c r="G326" s="10" t="str">
        <f aca="false" t="array" ref="G326:G326">INDEX(Profils!$D$5:$D$34,$AE326)&amp;" en "&amp;$E326</f>
        <v>Chapeau en laine</v>
      </c>
      <c r="H326" s="16" t="n">
        <f aca="false" t="array" ref="H326:H326">INDEX(Matériaux!$B$16:$B$20,$D326)</f>
        <v>15</v>
      </c>
      <c r="I326" s="16" t="n">
        <f aca="false">IF(ISNUMBER($C$3),MIN(MAX(0,ROUND($C$3,0)),$AI326),$AI326)</f>
        <v>0</v>
      </c>
      <c r="J326" s="18" t="n">
        <f aca="false">$H326+$I326</f>
        <v>15</v>
      </c>
      <c r="K326" s="15" t="s">
        <v>109</v>
      </c>
      <c r="L326" s="19" t="n">
        <f aca="false" t="array" ref="L326:L326">IF(AND(INDEX(Profils!$F$5:$F$34,$AE326)&gt;0,INDEX(Profils!$U$5:$U$34,$AE326)&lt;=$AH326),ROUND(INDEX(Profils!$F$5:$F$34,$AE326)*Paramètres!$E$22*$AG326*$AJ326,Paramètres!$F$22),0)</f>
        <v>9</v>
      </c>
      <c r="M326" s="19" t="n">
        <f aca="false" t="array" ref="M326:M326">IF(AND(INDEX(Profils!$G$5:$G$34,$AE326)&gt;0,INDEX(Profils!$V$5:$V$34,$AE326)&lt;=$AH326),ROUND(INDEX(Profils!$G$5:$G$34,$AE326)*Paramètres!$E$23*$AG326*$AJ326,Paramètres!$F$23),0)</f>
        <v>0</v>
      </c>
      <c r="N326" s="19" t="n">
        <f aca="false" t="array" ref="N326:N326">IF(AND(INDEX(Profils!$H$5:$H$34,$AE326)&gt;0,INDEX(Profils!$W$5:$W$34,$AE326)&lt;=$AH326),ROUND(INDEX(Profils!$H$5:$H$34,$AE326)*Paramètres!$E$24*$AG326*$AJ326,Paramètres!$F$24),0)</f>
        <v>0</v>
      </c>
      <c r="O326" s="19" t="n">
        <f aca="false" t="array" ref="O326:O326">IF(AND(INDEX(Profils!$I$5:$I$34,$AE326)&gt;0,INDEX(Profils!$X$5:$X$34,$AE326)&lt;=$AH326),ROUND(INDEX(Profils!$I$5:$I$34,$AE326)*Paramètres!$E$25*$AG326*$AJ326,Paramètres!$F$25),0)</f>
        <v>4</v>
      </c>
      <c r="P326" s="19" t="n">
        <f aca="false" t="array" ref="P326:P326">IF(AND(INDEX(Profils!$J$5:$J$34,$AE326)&gt;0,INDEX(Profils!$Y$5:$Y$34,$AE326)&lt;=$AH326),ROUND(INDEX(Profils!$J$5:$J$34,$AE326)*Paramètres!$E$26*$AG326*$AJ326,Paramètres!$F$26),0)</f>
        <v>2</v>
      </c>
      <c r="Q326" s="19" t="n">
        <f aca="false" t="array" ref="Q326:Q326">IF(AND(INDEX(Profils!$K$5:$K$34,$AE326)&gt;0,INDEX(Profils!$Z$5:$Z$34,$AE326)&lt;=$AH326),ROUND(INDEX(Profils!$K$5:$K$34,$AE326)*Paramètres!$E$27*$AG326*$AJ326,Paramètres!$F$27),0)</f>
        <v>0</v>
      </c>
      <c r="R326" s="20" t="n">
        <f aca="false" t="array" ref="R326:R326">IF(AND(INDEX(Profils!$L$5:$L$34,$AE326)&gt;0,INDEX(Profils!$AA$5:$AA$34,$AE326)&lt;=$AH326),ROUND(INDEX(Profils!$L$5:$L$34,$AE326)*Paramètres!$E$28*$AG326*$AJ326,Paramètres!$F$28),0)</f>
        <v>0</v>
      </c>
      <c r="S326" s="20" t="n">
        <f aca="false" t="array" ref="S326:S326">IF(AND(INDEX(Profils!$M$5:$M$34,$AE326)&gt;0,INDEX(Profils!$AB$5:$AB$34,$AE326)&lt;=$AH326),ROUND(INDEX(Profils!$M$5:$M$34,$AE326)*Paramètres!$E$29*$AG326*$AJ326,Paramètres!$F$29),0)</f>
        <v>0</v>
      </c>
      <c r="T326" s="20" t="n">
        <f aca="false" t="array" ref="T326:T326">IF(AND(INDEX(Profils!$N$5:$N$34,$AE326)&gt;0,INDEX(Profils!$AC$5:$AC$34,$AE326)&lt;=$AH326),ROUND(INDEX(Profils!$N$5:$N$34,$AE326)*Paramètres!$E$30*$AG326*$AJ326,Paramètres!$F$30),0)</f>
        <v>0</v>
      </c>
      <c r="U326" s="19" t="n">
        <f aca="false" t="array" ref="U326:U326">IF(AND(INDEX(Profils!$O$5:$O$34,$AE326)&gt;0,INDEX(Profils!$AD$5:$AD$34,$AE326)&lt;=$AH326),ROUND(INDEX(Profils!$O$5:$O$34,$AE326)*Paramètres!$E$31*$AG326*$AJ326,Paramètres!$F$31),0)</f>
        <v>0</v>
      </c>
      <c r="V326" s="20" t="n">
        <f aca="false" t="array" ref="V326:V326">IF(AND(INDEX(Profils!$P$5:$P$34,$AE326)&gt;0,INDEX(Profils!$AE$5:$AE$34,$AE326)&lt;=$AH326),ROUND(INDEX(Profils!$P$5:$P$34,$AE326)*Paramètres!$E$32*$AG326*$AJ326,Paramètres!$F$32),0)</f>
        <v>0</v>
      </c>
      <c r="W326" s="20" t="n">
        <f aca="false" t="array" ref="W326:W326">IF(AND(INDEX(Profils!$Q$5:$Q$34,$AE326)&gt;0,INDEX(Profils!$AF$5:$AF$34,$AE326)&lt;=$AH326),ROUND(INDEX(Profils!$Q$5:$Q$34,$AE326)*Paramètres!$E$33*$AG326*$AJ326,Paramètres!$F$33),0)</f>
        <v>0.004</v>
      </c>
      <c r="X326" s="20" t="n">
        <f aca="false" t="array" ref="X326:X326">IF(AND(INDEX(Profils!$R$5:$R$34,$AE326)&gt;0,INDEX(Profils!$AG$5:$AG$34,$AE326)&lt;=$AH326),ROUND(INDEX(Profils!$R$5:$R$34,$AE326)*Paramètres!$E$34*$AG326*$AJ326,Paramètres!$F$34),0)</f>
        <v>0.005</v>
      </c>
      <c r="Y326" s="20" t="n">
        <f aca="false" t="array" ref="Y326:Y326">IF(AND(INDEX(Profils!$S$5:$S$34,$AE326)&gt;0,INDEX(Profils!$AH$5:$AH$34,$AE326)&lt;=$AH326),ROUND(INDEX(Profils!$S$5:$S$34,$AE326)*Paramètres!$E$35*$AG326*$AJ326,Paramètres!$F$35),0)</f>
        <v>0.004</v>
      </c>
      <c r="Z326" s="21" t="n">
        <f aca="false">ROUND(L326/Paramètres!$E$22+M326/Paramètres!$E$23+N326/Paramètres!$E$24+O326/Paramètres!$E$25+P326/Paramètres!$E$26+Q326/Paramètres!$E$27+R326/Paramètres!$E$28+S326/Paramètres!$E$29+T326/Paramètres!$E$30+U326/Paramètres!$E$31+V326/Paramètres!$E$32+W326/Paramètres!$E$33+X326/Paramètres!$E$34+Y326/Paramètres!$E$35,1)</f>
        <v>1.6</v>
      </c>
      <c r="AA326" s="22" t="s">
        <v>109</v>
      </c>
      <c r="AB326" s="22" t="s">
        <v>109</v>
      </c>
      <c r="AC326" s="15" t="str">
        <f aca="false">$E326</f>
        <v>laine</v>
      </c>
      <c r="AD326" s="16" t="n">
        <f aca="false" t="array" ref="AD326:AD326">IF($I326&gt;=$AI326,"Max",ROUND(Paramètres!$B$40*($I326+1)^Paramètres!$B$41*INDEX(Paramètres!$H$6:$H$12,$AF326),0))</f>
        <v>6</v>
      </c>
      <c r="AE326" s="23" t="n">
        <f aca="false">MATCH($B326&amp;"|"&amp;$C326,Profils!$A$5:$A$34,0)</f>
        <v>11</v>
      </c>
      <c r="AF326" s="23" t="n">
        <v>5</v>
      </c>
      <c r="AG326" s="24" t="n">
        <f aca="false" t="array" ref="AG326:AG326">INDEX(Paramètres!$C$6:$C$12,$AF326)</f>
        <v>2.1</v>
      </c>
      <c r="AH326" s="23" t="n">
        <f aca="false" t="array" ref="AH326:AH326">INDEX(Paramètres!$D$6:$D$12,$AF326)</f>
        <v>6</v>
      </c>
      <c r="AI326" s="23" t="n">
        <f aca="false" t="array" ref="AI326:AI326">INDEX(Matériaux!$C$16:$C$20,$D326)</f>
        <v>20</v>
      </c>
      <c r="AJ326" s="25" t="n">
        <f aca="false">Paramètres!$B$16+(1-Paramètres!$B$16)*(($J326-Paramètres!$B$14)/(Paramètres!$B$15-Paramètres!$B$14))^Paramètres!$B$17</f>
        <v>0.140847925475674</v>
      </c>
    </row>
    <row r="327" customFormat="false" ht="15.75" hidden="false" customHeight="true" outlineLevel="0" collapsed="false">
      <c r="A327" s="14" t="s">
        <v>443</v>
      </c>
      <c r="B327" s="15" t="s">
        <v>29</v>
      </c>
      <c r="C327" s="15" t="s">
        <v>107</v>
      </c>
      <c r="D327" s="16" t="n">
        <v>2</v>
      </c>
      <c r="E327" s="15" t="str">
        <f aca="false" t="array" ref="E327:E327">INDEX(Matériaux!$B$5:$F$12,MATCH(INDEX(Profils!$E$5:$E$34,$AE327),Matériaux!$A$5:$A$12,0),$D327)</f>
        <v>laine</v>
      </c>
      <c r="F327" s="30" t="s">
        <v>119</v>
      </c>
      <c r="G327" s="10" t="str">
        <f aca="false" t="array" ref="G327:G327">INDEX(Profils!$D$5:$D$34,$AE327)&amp;" en "&amp;$E327</f>
        <v>Chapeau en laine</v>
      </c>
      <c r="H327" s="16" t="n">
        <f aca="false" t="array" ref="H327:H327">INDEX(Matériaux!$B$16:$B$20,$D327)</f>
        <v>15</v>
      </c>
      <c r="I327" s="16" t="n">
        <f aca="false">IF(ISNUMBER($C$3),MIN(MAX(0,ROUND($C$3,0)),$AI327),$AI327)</f>
        <v>0</v>
      </c>
      <c r="J327" s="18" t="n">
        <f aca="false">$H327+$I327</f>
        <v>15</v>
      </c>
      <c r="K327" s="15" t="s">
        <v>109</v>
      </c>
      <c r="L327" s="19" t="n">
        <f aca="false" t="array" ref="L327:L327">IF(AND(INDEX(Profils!$F$5:$F$34,$AE327)&gt;0,INDEX(Profils!$U$5:$U$34,$AE327)&lt;=$AH327),ROUND(INDEX(Profils!$F$5:$F$34,$AE327)*Paramètres!$E$22*$AG327*$AJ327,Paramètres!$F$22),0)</f>
        <v>10</v>
      </c>
      <c r="M327" s="19" t="n">
        <f aca="false" t="array" ref="M327:M327">IF(AND(INDEX(Profils!$G$5:$G$34,$AE327)&gt;0,INDEX(Profils!$V$5:$V$34,$AE327)&lt;=$AH327),ROUND(INDEX(Profils!$G$5:$G$34,$AE327)*Paramètres!$E$23*$AG327*$AJ327,Paramètres!$F$23),0)</f>
        <v>0</v>
      </c>
      <c r="N327" s="19" t="n">
        <f aca="false" t="array" ref="N327:N327">IF(AND(INDEX(Profils!$H$5:$H$34,$AE327)&gt;0,INDEX(Profils!$W$5:$W$34,$AE327)&lt;=$AH327),ROUND(INDEX(Profils!$H$5:$H$34,$AE327)*Paramètres!$E$24*$AG327*$AJ327,Paramètres!$F$24),0)</f>
        <v>0</v>
      </c>
      <c r="O327" s="19" t="n">
        <f aca="false" t="array" ref="O327:O327">IF(AND(INDEX(Profils!$I$5:$I$34,$AE327)&gt;0,INDEX(Profils!$X$5:$X$34,$AE327)&lt;=$AH327),ROUND(INDEX(Profils!$I$5:$I$34,$AE327)*Paramètres!$E$25*$AG327*$AJ327,Paramètres!$F$25),0)</f>
        <v>5</v>
      </c>
      <c r="P327" s="19" t="n">
        <f aca="false" t="array" ref="P327:P327">IF(AND(INDEX(Profils!$J$5:$J$34,$AE327)&gt;0,INDEX(Profils!$Y$5:$Y$34,$AE327)&lt;=$AH327),ROUND(INDEX(Profils!$J$5:$J$34,$AE327)*Paramètres!$E$26*$AG327*$AJ327,Paramètres!$F$26),0)</f>
        <v>2</v>
      </c>
      <c r="Q327" s="19" t="n">
        <f aca="false" t="array" ref="Q327:Q327">IF(AND(INDEX(Profils!$K$5:$K$34,$AE327)&gt;0,INDEX(Profils!$Z$5:$Z$34,$AE327)&lt;=$AH327),ROUND(INDEX(Profils!$K$5:$K$34,$AE327)*Paramètres!$E$27*$AG327*$AJ327,Paramètres!$F$27),0)</f>
        <v>0</v>
      </c>
      <c r="R327" s="20" t="n">
        <f aca="false" t="array" ref="R327:R327">IF(AND(INDEX(Profils!$L$5:$L$34,$AE327)&gt;0,INDEX(Profils!$AA$5:$AA$34,$AE327)&lt;=$AH327),ROUND(INDEX(Profils!$L$5:$L$34,$AE327)*Paramètres!$E$28*$AG327*$AJ327,Paramètres!$F$28),0)</f>
        <v>0.003</v>
      </c>
      <c r="S327" s="20" t="n">
        <f aca="false" t="array" ref="S327:S327">IF(AND(INDEX(Profils!$M$5:$M$34,$AE327)&gt;0,INDEX(Profils!$AB$5:$AB$34,$AE327)&lt;=$AH327),ROUND(INDEX(Profils!$M$5:$M$34,$AE327)*Paramètres!$E$29*$AG327*$AJ327,Paramètres!$F$29),0)</f>
        <v>0</v>
      </c>
      <c r="T327" s="20" t="n">
        <f aca="false" t="array" ref="T327:T327">IF(AND(INDEX(Profils!$N$5:$N$34,$AE327)&gt;0,INDEX(Profils!$AC$5:$AC$34,$AE327)&lt;=$AH327),ROUND(INDEX(Profils!$N$5:$N$34,$AE327)*Paramètres!$E$30*$AG327*$AJ327,Paramètres!$F$30),0)</f>
        <v>0</v>
      </c>
      <c r="U327" s="19" t="n">
        <f aca="false" t="array" ref="U327:U327">IF(AND(INDEX(Profils!$O$5:$O$34,$AE327)&gt;0,INDEX(Profils!$AD$5:$AD$34,$AE327)&lt;=$AH327),ROUND(INDEX(Profils!$O$5:$O$34,$AE327)*Paramètres!$E$31*$AG327*$AJ327,Paramètres!$F$31),0)</f>
        <v>0</v>
      </c>
      <c r="V327" s="20" t="n">
        <f aca="false" t="array" ref="V327:V327">IF(AND(INDEX(Profils!$P$5:$P$34,$AE327)&gt;0,INDEX(Profils!$AE$5:$AE$34,$AE327)&lt;=$AH327),ROUND(INDEX(Profils!$P$5:$P$34,$AE327)*Paramètres!$E$32*$AG327*$AJ327,Paramètres!$F$32),0)</f>
        <v>0</v>
      </c>
      <c r="W327" s="20" t="n">
        <f aca="false" t="array" ref="W327:W327">IF(AND(INDEX(Profils!$Q$5:$Q$34,$AE327)&gt;0,INDEX(Profils!$AF$5:$AF$34,$AE327)&lt;=$AH327),ROUND(INDEX(Profils!$Q$5:$Q$34,$AE327)*Paramètres!$E$33*$AG327*$AJ327,Paramètres!$F$33),0)</f>
        <v>0.004</v>
      </c>
      <c r="X327" s="20" t="n">
        <f aca="false" t="array" ref="X327:X327">IF(AND(INDEX(Profils!$R$5:$R$34,$AE327)&gt;0,INDEX(Profils!$AG$5:$AG$34,$AE327)&lt;=$AH327),ROUND(INDEX(Profils!$R$5:$R$34,$AE327)*Paramètres!$E$34*$AG327*$AJ327,Paramètres!$F$34),0)</f>
        <v>0.005</v>
      </c>
      <c r="Y327" s="20" t="n">
        <f aca="false" t="array" ref="Y327:Y327">IF(AND(INDEX(Profils!$S$5:$S$34,$AE327)&gt;0,INDEX(Profils!$AH$5:$AH$34,$AE327)&lt;=$AH327),ROUND(INDEX(Profils!$S$5:$S$34,$AE327)*Paramètres!$E$35*$AG327*$AJ327,Paramètres!$F$35),0)</f>
        <v>0.005</v>
      </c>
      <c r="Z327" s="21" t="n">
        <f aca="false">ROUND(L327/Paramètres!$E$22+M327/Paramètres!$E$23+N327/Paramètres!$E$24+O327/Paramètres!$E$25+P327/Paramètres!$E$26+Q327/Paramètres!$E$27+R327/Paramètres!$E$28+S327/Paramètres!$E$29+T327/Paramètres!$E$30+U327/Paramètres!$E$31+V327/Paramètres!$E$32+W327/Paramètres!$E$33+X327/Paramètres!$E$34+Y327/Paramètres!$E$35,1)</f>
        <v>2</v>
      </c>
      <c r="AA327" s="22" t="s">
        <v>109</v>
      </c>
      <c r="AB327" s="22" t="s">
        <v>109</v>
      </c>
      <c r="AC327" s="15" t="str">
        <f aca="false">$E327</f>
        <v>laine</v>
      </c>
      <c r="AD327" s="16" t="n">
        <f aca="false" t="array" ref="AD327:AD327">IF($I327&gt;=$AI327,"Max",ROUND(Paramètres!$B$40*($I327+1)^Paramètres!$B$41*INDEX(Paramètres!$H$6:$H$12,$AF327),0))</f>
        <v>8</v>
      </c>
      <c r="AE327" s="23" t="n">
        <f aca="false">MATCH($B327&amp;"|"&amp;$C327,Profils!$A$5:$A$34,0)</f>
        <v>11</v>
      </c>
      <c r="AF327" s="23" t="n">
        <v>6</v>
      </c>
      <c r="AG327" s="24" t="n">
        <f aca="false" t="array" ref="AG327:AG327">INDEX(Paramètres!$C$6:$C$12,$AF327)</f>
        <v>2.4</v>
      </c>
      <c r="AH327" s="23" t="n">
        <f aca="false" t="array" ref="AH327:AH327">INDEX(Paramètres!$D$6:$D$12,$AF327)</f>
        <v>7</v>
      </c>
      <c r="AI327" s="23" t="n">
        <f aca="false" t="array" ref="AI327:AI327">INDEX(Matériaux!$C$16:$C$20,$D327)</f>
        <v>20</v>
      </c>
      <c r="AJ327" s="25" t="n">
        <f aca="false">Paramètres!$B$16+(1-Paramètres!$B$16)*(($J327-Paramètres!$B$14)/(Paramètres!$B$15-Paramètres!$B$14))^Paramètres!$B$17</f>
        <v>0.140847925475674</v>
      </c>
    </row>
    <row r="328" customFormat="false" ht="15.75" hidden="false" customHeight="true" outlineLevel="0" collapsed="false">
      <c r="A328" s="14" t="s">
        <v>444</v>
      </c>
      <c r="B328" s="15" t="s">
        <v>29</v>
      </c>
      <c r="C328" s="15" t="s">
        <v>107</v>
      </c>
      <c r="D328" s="16" t="n">
        <v>3</v>
      </c>
      <c r="E328" s="15" t="str">
        <f aca="false" t="array" ref="E328:E328">INDEX(Matériaux!$B$5:$F$12,MATCH(INDEX(Profils!$E$5:$E$34,$AE328),Matériaux!$A$5:$A$12,0),$D328)</f>
        <v>soie</v>
      </c>
      <c r="F328" s="17" t="s">
        <v>108</v>
      </c>
      <c r="G328" s="10" t="str">
        <f aca="false" t="array" ref="G328:G328">INDEX(Profils!$D$5:$D$34,$AE328)&amp;" en "&amp;$E328</f>
        <v>Chapeau en soie</v>
      </c>
      <c r="H328" s="16" t="n">
        <f aca="false" t="array" ref="H328:H328">INDEX(Matériaux!$B$16:$B$20,$D328)</f>
        <v>30</v>
      </c>
      <c r="I328" s="16" t="n">
        <f aca="false">IF(ISNUMBER($C$3),MIN(MAX(0,ROUND($C$3,0)),$AI328),$AI328)</f>
        <v>0</v>
      </c>
      <c r="J328" s="18" t="n">
        <f aca="false">$H328+$I328</f>
        <v>30</v>
      </c>
      <c r="K328" s="15" t="s">
        <v>109</v>
      </c>
      <c r="L328" s="19" t="n">
        <f aca="false" t="array" ref="L328:L328">IF(AND(INDEX(Profils!$F$5:$F$34,$AE328)&gt;0,INDEX(Profils!$U$5:$U$34,$AE328)&lt;=$AH328),ROUND(INDEX(Profils!$F$5:$F$34,$AE328)*Paramètres!$E$22*$AG328*$AJ328,Paramètres!$F$22),0)</f>
        <v>8</v>
      </c>
      <c r="M328" s="19" t="n">
        <f aca="false" t="array" ref="M328:M328">IF(AND(INDEX(Profils!$G$5:$G$34,$AE328)&gt;0,INDEX(Profils!$V$5:$V$34,$AE328)&lt;=$AH328),ROUND(INDEX(Profils!$G$5:$G$34,$AE328)*Paramètres!$E$23*$AG328*$AJ328,Paramètres!$F$23),0)</f>
        <v>0</v>
      </c>
      <c r="N328" s="19" t="n">
        <f aca="false" t="array" ref="N328:N328">IF(AND(INDEX(Profils!$H$5:$H$34,$AE328)&gt;0,INDEX(Profils!$W$5:$W$34,$AE328)&lt;=$AH328),ROUND(INDEX(Profils!$H$5:$H$34,$AE328)*Paramètres!$E$24*$AG328*$AJ328,Paramètres!$F$24),0)</f>
        <v>0</v>
      </c>
      <c r="O328" s="19" t="n">
        <f aca="false" t="array" ref="O328:O328">IF(AND(INDEX(Profils!$I$5:$I$34,$AE328)&gt;0,INDEX(Profils!$X$5:$X$34,$AE328)&lt;=$AH328),ROUND(INDEX(Profils!$I$5:$I$34,$AE328)*Paramètres!$E$25*$AG328*$AJ328,Paramètres!$F$25),0)</f>
        <v>4</v>
      </c>
      <c r="P328" s="19" t="n">
        <f aca="false" t="array" ref="P328:P328">IF(AND(INDEX(Profils!$J$5:$J$34,$AE328)&gt;0,INDEX(Profils!$Y$5:$Y$34,$AE328)&lt;=$AH328),ROUND(INDEX(Profils!$J$5:$J$34,$AE328)*Paramètres!$E$26*$AG328*$AJ328,Paramètres!$F$26),0)</f>
        <v>0</v>
      </c>
      <c r="Q328" s="19" t="n">
        <f aca="false" t="array" ref="Q328:Q328">IF(AND(INDEX(Profils!$K$5:$K$34,$AE328)&gt;0,INDEX(Profils!$Z$5:$Z$34,$AE328)&lt;=$AH328),ROUND(INDEX(Profils!$K$5:$K$34,$AE328)*Paramètres!$E$27*$AG328*$AJ328,Paramètres!$F$27),0)</f>
        <v>0</v>
      </c>
      <c r="R328" s="20" t="n">
        <f aca="false" t="array" ref="R328:R328">IF(AND(INDEX(Profils!$L$5:$L$34,$AE328)&gt;0,INDEX(Profils!$AA$5:$AA$34,$AE328)&lt;=$AH328),ROUND(INDEX(Profils!$L$5:$L$34,$AE328)*Paramètres!$E$28*$AG328*$AJ328,Paramètres!$F$28),0)</f>
        <v>0</v>
      </c>
      <c r="S328" s="20" t="n">
        <f aca="false" t="array" ref="S328:S328">IF(AND(INDEX(Profils!$M$5:$M$34,$AE328)&gt;0,INDEX(Profils!$AB$5:$AB$34,$AE328)&lt;=$AH328),ROUND(INDEX(Profils!$M$5:$M$34,$AE328)*Paramètres!$E$29*$AG328*$AJ328,Paramètres!$F$29),0)</f>
        <v>0</v>
      </c>
      <c r="T328" s="20" t="n">
        <f aca="false" t="array" ref="T328:T328">IF(AND(INDEX(Profils!$N$5:$N$34,$AE328)&gt;0,INDEX(Profils!$AC$5:$AC$34,$AE328)&lt;=$AH328),ROUND(INDEX(Profils!$N$5:$N$34,$AE328)*Paramètres!$E$30*$AG328*$AJ328,Paramètres!$F$30),0)</f>
        <v>0</v>
      </c>
      <c r="U328" s="19" t="n">
        <f aca="false" t="array" ref="U328:U328">IF(AND(INDEX(Profils!$O$5:$O$34,$AE328)&gt;0,INDEX(Profils!$AD$5:$AD$34,$AE328)&lt;=$AH328),ROUND(INDEX(Profils!$O$5:$O$34,$AE328)*Paramètres!$E$31*$AG328*$AJ328,Paramètres!$F$31),0)</f>
        <v>0</v>
      </c>
      <c r="V328" s="20" t="n">
        <f aca="false" t="array" ref="V328:V328">IF(AND(INDEX(Profils!$P$5:$P$34,$AE328)&gt;0,INDEX(Profils!$AE$5:$AE$34,$AE328)&lt;=$AH328),ROUND(INDEX(Profils!$P$5:$P$34,$AE328)*Paramètres!$E$32*$AG328*$AJ328,Paramètres!$F$32),0)</f>
        <v>0</v>
      </c>
      <c r="W328" s="20" t="n">
        <f aca="false" t="array" ref="W328:W328">IF(AND(INDEX(Profils!$Q$5:$Q$34,$AE328)&gt;0,INDEX(Profils!$AF$5:$AF$34,$AE328)&lt;=$AH328),ROUND(INDEX(Profils!$Q$5:$Q$34,$AE328)*Paramètres!$E$33*$AG328*$AJ328,Paramètres!$F$33),0)</f>
        <v>0</v>
      </c>
      <c r="X328" s="20" t="n">
        <f aca="false" t="array" ref="X328:X328">IF(AND(INDEX(Profils!$R$5:$R$34,$AE328)&gt;0,INDEX(Profils!$AG$5:$AG$34,$AE328)&lt;=$AH328),ROUND(INDEX(Profils!$R$5:$R$34,$AE328)*Paramètres!$E$34*$AG328*$AJ328,Paramètres!$F$34),0)</f>
        <v>0</v>
      </c>
      <c r="Y328" s="20" t="n">
        <f aca="false" t="array" ref="Y328:Y328">IF(AND(INDEX(Profils!$S$5:$S$34,$AE328)&gt;0,INDEX(Profils!$AH$5:$AH$34,$AE328)&lt;=$AH328),ROUND(INDEX(Profils!$S$5:$S$34,$AE328)*Paramètres!$E$35*$AG328*$AJ328,Paramètres!$F$35),0)</f>
        <v>0</v>
      </c>
      <c r="Z328" s="21" t="n">
        <f aca="false">ROUND(L328/Paramètres!$E$22+M328/Paramètres!$E$23+N328/Paramètres!$E$24+O328/Paramètres!$E$25+P328/Paramètres!$E$26+Q328/Paramètres!$E$27+R328/Paramètres!$E$28+S328/Paramètres!$E$29+T328/Paramètres!$E$30+U328/Paramètres!$E$31+V328/Paramètres!$E$32+W328/Paramètres!$E$33+X328/Paramètres!$E$34+Y328/Paramètres!$E$35,1)</f>
        <v>0.6</v>
      </c>
      <c r="AA328" s="22" t="s">
        <v>109</v>
      </c>
      <c r="AB328" s="22" t="s">
        <v>109</v>
      </c>
      <c r="AC328" s="15" t="str">
        <f aca="false">$E328</f>
        <v>soie</v>
      </c>
      <c r="AD328" s="16" t="n">
        <f aca="false" t="array" ref="AD328:AD328">IF($I328&gt;=$AI328,"Max",ROUND(Paramètres!$B$40*($I328+1)^Paramètres!$B$41*INDEX(Paramètres!$H$6:$H$12,$AF328),0))</f>
        <v>3</v>
      </c>
      <c r="AE328" s="23" t="n">
        <f aca="false">MATCH($B328&amp;"|"&amp;$C328,Profils!$A$5:$A$34,0)</f>
        <v>11</v>
      </c>
      <c r="AF328" s="23" t="n">
        <v>1</v>
      </c>
      <c r="AG328" s="24" t="n">
        <f aca="false" t="array" ref="AG328:AG328">INDEX(Paramètres!$C$6:$C$12,$AF328)</f>
        <v>1</v>
      </c>
      <c r="AH328" s="23" t="n">
        <f aca="false" t="array" ref="AH328:AH328">INDEX(Paramètres!$D$6:$D$12,$AF328)</f>
        <v>2</v>
      </c>
      <c r="AI328" s="23" t="n">
        <f aca="false" t="array" ref="AI328:AI328">INDEX(Matériaux!$C$16:$C$20,$D328)</f>
        <v>25</v>
      </c>
      <c r="AJ328" s="25" t="n">
        <f aca="false">Paramètres!$B$16+(1-Paramètres!$B$16)*(($J328-Paramètres!$B$14)/(Paramètres!$B$15-Paramètres!$B$14))^Paramètres!$B$17</f>
        <v>0.26769024555533</v>
      </c>
    </row>
    <row r="329" customFormat="false" ht="15.75" hidden="false" customHeight="true" outlineLevel="0" collapsed="false">
      <c r="A329" s="14" t="s">
        <v>445</v>
      </c>
      <c r="B329" s="15" t="s">
        <v>29</v>
      </c>
      <c r="C329" s="15" t="s">
        <v>107</v>
      </c>
      <c r="D329" s="16" t="n">
        <v>3</v>
      </c>
      <c r="E329" s="15" t="str">
        <f aca="false" t="array" ref="E329:E329">INDEX(Matériaux!$B$5:$F$12,MATCH(INDEX(Profils!$E$5:$E$34,$AE329),Matériaux!$A$5:$A$12,0),$D329)</f>
        <v>soie</v>
      </c>
      <c r="F329" s="26" t="s">
        <v>111</v>
      </c>
      <c r="G329" s="10" t="str">
        <f aca="false" t="array" ref="G329:G329">INDEX(Profils!$D$5:$D$34,$AE329)&amp;" en "&amp;$E329</f>
        <v>Chapeau en soie</v>
      </c>
      <c r="H329" s="16" t="n">
        <f aca="false" t="array" ref="H329:H329">INDEX(Matériaux!$B$16:$B$20,$D329)</f>
        <v>30</v>
      </c>
      <c r="I329" s="16" t="n">
        <f aca="false">IF(ISNUMBER($C$3),MIN(MAX(0,ROUND($C$3,0)),$AI329),$AI329)</f>
        <v>0</v>
      </c>
      <c r="J329" s="18" t="n">
        <f aca="false">$H329+$I329</f>
        <v>30</v>
      </c>
      <c r="K329" s="15" t="s">
        <v>109</v>
      </c>
      <c r="L329" s="19" t="n">
        <f aca="false" t="array" ref="L329:L329">IF(AND(INDEX(Profils!$F$5:$F$34,$AE329)&gt;0,INDEX(Profils!$U$5:$U$34,$AE329)&lt;=$AH329),ROUND(INDEX(Profils!$F$5:$F$34,$AE329)*Paramètres!$E$22*$AG329*$AJ329,Paramètres!$F$22),0)</f>
        <v>10</v>
      </c>
      <c r="M329" s="19" t="n">
        <f aca="false" t="array" ref="M329:M329">IF(AND(INDEX(Profils!$G$5:$G$34,$AE329)&gt;0,INDEX(Profils!$V$5:$V$34,$AE329)&lt;=$AH329),ROUND(INDEX(Profils!$G$5:$G$34,$AE329)*Paramètres!$E$23*$AG329*$AJ329,Paramètres!$F$23),0)</f>
        <v>0</v>
      </c>
      <c r="N329" s="19" t="n">
        <f aca="false" t="array" ref="N329:N329">IF(AND(INDEX(Profils!$H$5:$H$34,$AE329)&gt;0,INDEX(Profils!$W$5:$W$34,$AE329)&lt;=$AH329),ROUND(INDEX(Profils!$H$5:$H$34,$AE329)*Paramètres!$E$24*$AG329*$AJ329,Paramètres!$F$24),0)</f>
        <v>0</v>
      </c>
      <c r="O329" s="19" t="n">
        <f aca="false" t="array" ref="O329:O329">IF(AND(INDEX(Profils!$I$5:$I$34,$AE329)&gt;0,INDEX(Profils!$X$5:$X$34,$AE329)&lt;=$AH329),ROUND(INDEX(Profils!$I$5:$I$34,$AE329)*Paramètres!$E$25*$AG329*$AJ329,Paramètres!$F$25),0)</f>
        <v>5</v>
      </c>
      <c r="P329" s="19" t="n">
        <f aca="false" t="array" ref="P329:P329">IF(AND(INDEX(Profils!$J$5:$J$34,$AE329)&gt;0,INDEX(Profils!$Y$5:$Y$34,$AE329)&lt;=$AH329),ROUND(INDEX(Profils!$J$5:$J$34,$AE329)*Paramètres!$E$26*$AG329*$AJ329,Paramètres!$F$26),0)</f>
        <v>0</v>
      </c>
      <c r="Q329" s="19" t="n">
        <f aca="false" t="array" ref="Q329:Q329">IF(AND(INDEX(Profils!$K$5:$K$34,$AE329)&gt;0,INDEX(Profils!$Z$5:$Z$34,$AE329)&lt;=$AH329),ROUND(INDEX(Profils!$K$5:$K$34,$AE329)*Paramètres!$E$27*$AG329*$AJ329,Paramètres!$F$27),0)</f>
        <v>0</v>
      </c>
      <c r="R329" s="20" t="n">
        <f aca="false" t="array" ref="R329:R329">IF(AND(INDEX(Profils!$L$5:$L$34,$AE329)&gt;0,INDEX(Profils!$AA$5:$AA$34,$AE329)&lt;=$AH329),ROUND(INDEX(Profils!$L$5:$L$34,$AE329)*Paramètres!$E$28*$AG329*$AJ329,Paramètres!$F$28),0)</f>
        <v>0</v>
      </c>
      <c r="S329" s="20" t="n">
        <f aca="false" t="array" ref="S329:S329">IF(AND(INDEX(Profils!$M$5:$M$34,$AE329)&gt;0,INDEX(Profils!$AB$5:$AB$34,$AE329)&lt;=$AH329),ROUND(INDEX(Profils!$M$5:$M$34,$AE329)*Paramètres!$E$29*$AG329*$AJ329,Paramètres!$F$29),0)</f>
        <v>0</v>
      </c>
      <c r="T329" s="20" t="n">
        <f aca="false" t="array" ref="T329:T329">IF(AND(INDEX(Profils!$N$5:$N$34,$AE329)&gt;0,INDEX(Profils!$AC$5:$AC$34,$AE329)&lt;=$AH329),ROUND(INDEX(Profils!$N$5:$N$34,$AE329)*Paramètres!$E$30*$AG329*$AJ329,Paramètres!$F$30),0)</f>
        <v>0</v>
      </c>
      <c r="U329" s="19" t="n">
        <f aca="false" t="array" ref="U329:U329">IF(AND(INDEX(Profils!$O$5:$O$34,$AE329)&gt;0,INDEX(Profils!$AD$5:$AD$34,$AE329)&lt;=$AH329),ROUND(INDEX(Profils!$O$5:$O$34,$AE329)*Paramètres!$E$31*$AG329*$AJ329,Paramètres!$F$31),0)</f>
        <v>0</v>
      </c>
      <c r="V329" s="20" t="n">
        <f aca="false" t="array" ref="V329:V329">IF(AND(INDEX(Profils!$P$5:$P$34,$AE329)&gt;0,INDEX(Profils!$AE$5:$AE$34,$AE329)&lt;=$AH329),ROUND(INDEX(Profils!$P$5:$P$34,$AE329)*Paramètres!$E$32*$AG329*$AJ329,Paramètres!$F$32),0)</f>
        <v>0</v>
      </c>
      <c r="W329" s="20" t="n">
        <f aca="false" t="array" ref="W329:W329">IF(AND(INDEX(Profils!$Q$5:$Q$34,$AE329)&gt;0,INDEX(Profils!$AF$5:$AF$34,$AE329)&lt;=$AH329),ROUND(INDEX(Profils!$Q$5:$Q$34,$AE329)*Paramètres!$E$33*$AG329*$AJ329,Paramètres!$F$33),0)</f>
        <v>0</v>
      </c>
      <c r="X329" s="20" t="n">
        <f aca="false" t="array" ref="X329:X329">IF(AND(INDEX(Profils!$R$5:$R$34,$AE329)&gt;0,INDEX(Profils!$AG$5:$AG$34,$AE329)&lt;=$AH329),ROUND(INDEX(Profils!$R$5:$R$34,$AE329)*Paramètres!$E$34*$AG329*$AJ329,Paramètres!$F$34),0)</f>
        <v>0</v>
      </c>
      <c r="Y329" s="20" t="n">
        <f aca="false" t="array" ref="Y329:Y329">IF(AND(INDEX(Profils!$S$5:$S$34,$AE329)&gt;0,INDEX(Profils!$AH$5:$AH$34,$AE329)&lt;=$AH329),ROUND(INDEX(Profils!$S$5:$S$34,$AE329)*Paramètres!$E$35*$AG329*$AJ329,Paramètres!$F$35),0)</f>
        <v>0.005</v>
      </c>
      <c r="Z329" s="21" t="n">
        <f aca="false">ROUND(L329/Paramètres!$E$22+M329/Paramètres!$E$23+N329/Paramètres!$E$24+O329/Paramètres!$E$25+P329/Paramètres!$E$26+Q329/Paramètres!$E$27+R329/Paramètres!$E$28+S329/Paramètres!$E$29+T329/Paramètres!$E$30+U329/Paramètres!$E$31+V329/Paramètres!$E$32+W329/Paramètres!$E$33+X329/Paramètres!$E$34+Y329/Paramètres!$E$35,1)</f>
        <v>1.1</v>
      </c>
      <c r="AA329" s="22" t="s">
        <v>109</v>
      </c>
      <c r="AB329" s="22" t="s">
        <v>109</v>
      </c>
      <c r="AC329" s="15" t="str">
        <f aca="false">$E329</f>
        <v>soie</v>
      </c>
      <c r="AD329" s="16" t="n">
        <f aca="false" t="array" ref="AD329:AD329">IF($I329&gt;=$AI329,"Max",ROUND(Paramètres!$B$40*($I329+1)^Paramètres!$B$41*INDEX(Paramètres!$H$6:$H$12,$AF329),0))</f>
        <v>4</v>
      </c>
      <c r="AE329" s="23" t="n">
        <f aca="false">MATCH($B329&amp;"|"&amp;$C329,Profils!$A$5:$A$34,0)</f>
        <v>11</v>
      </c>
      <c r="AF329" s="23" t="n">
        <v>2</v>
      </c>
      <c r="AG329" s="24" t="n">
        <f aca="false" t="array" ref="AG329:AG329">INDEX(Paramètres!$C$6:$C$12,$AF329)</f>
        <v>1.2</v>
      </c>
      <c r="AH329" s="23" t="n">
        <f aca="false" t="array" ref="AH329:AH329">INDEX(Paramètres!$D$6:$D$12,$AF329)</f>
        <v>3</v>
      </c>
      <c r="AI329" s="23" t="n">
        <f aca="false" t="array" ref="AI329:AI329">INDEX(Matériaux!$C$16:$C$20,$D329)</f>
        <v>25</v>
      </c>
      <c r="AJ329" s="25" t="n">
        <f aca="false">Paramètres!$B$16+(1-Paramètres!$B$16)*(($J329-Paramètres!$B$14)/(Paramètres!$B$15-Paramètres!$B$14))^Paramètres!$B$17</f>
        <v>0.26769024555533</v>
      </c>
    </row>
    <row r="330" customFormat="false" ht="15.75" hidden="false" customHeight="true" outlineLevel="0" collapsed="false">
      <c r="A330" s="14" t="s">
        <v>446</v>
      </c>
      <c r="B330" s="15" t="s">
        <v>29</v>
      </c>
      <c r="C330" s="15" t="s">
        <v>107</v>
      </c>
      <c r="D330" s="16" t="n">
        <v>3</v>
      </c>
      <c r="E330" s="15" t="str">
        <f aca="false" t="array" ref="E330:E330">INDEX(Matériaux!$B$5:$F$12,MATCH(INDEX(Profils!$E$5:$E$34,$AE330),Matériaux!$A$5:$A$12,0),$D330)</f>
        <v>soie</v>
      </c>
      <c r="F330" s="27" t="s">
        <v>113</v>
      </c>
      <c r="G330" s="10" t="str">
        <f aca="false" t="array" ref="G330:G330">INDEX(Profils!$D$5:$D$34,$AE330)&amp;" en "&amp;$E330</f>
        <v>Chapeau en soie</v>
      </c>
      <c r="H330" s="16" t="n">
        <f aca="false" t="array" ref="H330:H330">INDEX(Matériaux!$B$16:$B$20,$D330)</f>
        <v>30</v>
      </c>
      <c r="I330" s="16" t="n">
        <f aca="false">IF(ISNUMBER($C$3),MIN(MAX(0,ROUND($C$3,0)),$AI330),$AI330)</f>
        <v>0</v>
      </c>
      <c r="J330" s="18" t="n">
        <f aca="false">$H330+$I330</f>
        <v>30</v>
      </c>
      <c r="K330" s="15" t="s">
        <v>109</v>
      </c>
      <c r="L330" s="19" t="n">
        <f aca="false" t="array" ref="L330:L330">IF(AND(INDEX(Profils!$F$5:$F$34,$AE330)&gt;0,INDEX(Profils!$U$5:$U$34,$AE330)&lt;=$AH330),ROUND(INDEX(Profils!$F$5:$F$34,$AE330)*Paramètres!$E$22*$AG330*$AJ330,Paramètres!$F$22),0)</f>
        <v>12</v>
      </c>
      <c r="M330" s="19" t="n">
        <f aca="false" t="array" ref="M330:M330">IF(AND(INDEX(Profils!$G$5:$G$34,$AE330)&gt;0,INDEX(Profils!$V$5:$V$34,$AE330)&lt;=$AH330),ROUND(INDEX(Profils!$G$5:$G$34,$AE330)*Paramètres!$E$23*$AG330*$AJ330,Paramètres!$F$23),0)</f>
        <v>0</v>
      </c>
      <c r="N330" s="19" t="n">
        <f aca="false" t="array" ref="N330:N330">IF(AND(INDEX(Profils!$H$5:$H$34,$AE330)&gt;0,INDEX(Profils!$W$5:$W$34,$AE330)&lt;=$AH330),ROUND(INDEX(Profils!$H$5:$H$34,$AE330)*Paramètres!$E$24*$AG330*$AJ330,Paramètres!$F$24),0)</f>
        <v>0</v>
      </c>
      <c r="O330" s="19" t="n">
        <f aca="false" t="array" ref="O330:O330">IF(AND(INDEX(Profils!$I$5:$I$34,$AE330)&gt;0,INDEX(Profils!$X$5:$X$34,$AE330)&lt;=$AH330),ROUND(INDEX(Profils!$I$5:$I$34,$AE330)*Paramètres!$E$25*$AG330*$AJ330,Paramètres!$F$25),0)</f>
        <v>6</v>
      </c>
      <c r="P330" s="19" t="n">
        <f aca="false" t="array" ref="P330:P330">IF(AND(INDEX(Profils!$J$5:$J$34,$AE330)&gt;0,INDEX(Profils!$Y$5:$Y$34,$AE330)&lt;=$AH330),ROUND(INDEX(Profils!$J$5:$J$34,$AE330)*Paramètres!$E$26*$AG330*$AJ330,Paramètres!$F$26),0)</f>
        <v>0</v>
      </c>
      <c r="Q330" s="19" t="n">
        <f aca="false" t="array" ref="Q330:Q330">IF(AND(INDEX(Profils!$K$5:$K$34,$AE330)&gt;0,INDEX(Profils!$Z$5:$Z$34,$AE330)&lt;=$AH330),ROUND(INDEX(Profils!$K$5:$K$34,$AE330)*Paramètres!$E$27*$AG330*$AJ330,Paramètres!$F$27),0)</f>
        <v>0</v>
      </c>
      <c r="R330" s="20" t="n">
        <f aca="false" t="array" ref="R330:R330">IF(AND(INDEX(Profils!$L$5:$L$34,$AE330)&gt;0,INDEX(Profils!$AA$5:$AA$34,$AE330)&lt;=$AH330),ROUND(INDEX(Profils!$L$5:$L$34,$AE330)*Paramètres!$E$28*$AG330*$AJ330,Paramètres!$F$28),0)</f>
        <v>0</v>
      </c>
      <c r="S330" s="20" t="n">
        <f aca="false" t="array" ref="S330:S330">IF(AND(INDEX(Profils!$M$5:$M$34,$AE330)&gt;0,INDEX(Profils!$AB$5:$AB$34,$AE330)&lt;=$AH330),ROUND(INDEX(Profils!$M$5:$M$34,$AE330)*Paramètres!$E$29*$AG330*$AJ330,Paramètres!$F$29),0)</f>
        <v>0</v>
      </c>
      <c r="T330" s="20" t="n">
        <f aca="false" t="array" ref="T330:T330">IF(AND(INDEX(Profils!$N$5:$N$34,$AE330)&gt;0,INDEX(Profils!$AC$5:$AC$34,$AE330)&lt;=$AH330),ROUND(INDEX(Profils!$N$5:$N$34,$AE330)*Paramètres!$E$30*$AG330*$AJ330,Paramètres!$F$30),0)</f>
        <v>0</v>
      </c>
      <c r="U330" s="19" t="n">
        <f aca="false" t="array" ref="U330:U330">IF(AND(INDEX(Profils!$O$5:$O$34,$AE330)&gt;0,INDEX(Profils!$AD$5:$AD$34,$AE330)&lt;=$AH330),ROUND(INDEX(Profils!$O$5:$O$34,$AE330)*Paramètres!$E$31*$AG330*$AJ330,Paramètres!$F$31),0)</f>
        <v>0</v>
      </c>
      <c r="V330" s="20" t="n">
        <f aca="false" t="array" ref="V330:V330">IF(AND(INDEX(Profils!$P$5:$P$34,$AE330)&gt;0,INDEX(Profils!$AE$5:$AE$34,$AE330)&lt;=$AH330),ROUND(INDEX(Profils!$P$5:$P$34,$AE330)*Paramètres!$E$32*$AG330*$AJ330,Paramètres!$F$32),0)</f>
        <v>0</v>
      </c>
      <c r="W330" s="20" t="n">
        <f aca="false" t="array" ref="W330:W330">IF(AND(INDEX(Profils!$Q$5:$Q$34,$AE330)&gt;0,INDEX(Profils!$AF$5:$AF$34,$AE330)&lt;=$AH330),ROUND(INDEX(Profils!$Q$5:$Q$34,$AE330)*Paramètres!$E$33*$AG330*$AJ330,Paramètres!$F$33),0)</f>
        <v>0.005</v>
      </c>
      <c r="X330" s="20" t="n">
        <f aca="false" t="array" ref="X330:X330">IF(AND(INDEX(Profils!$R$5:$R$34,$AE330)&gt;0,INDEX(Profils!$AG$5:$AG$34,$AE330)&lt;=$AH330),ROUND(INDEX(Profils!$R$5:$R$34,$AE330)*Paramètres!$E$34*$AG330*$AJ330,Paramètres!$F$34),0)</f>
        <v>0</v>
      </c>
      <c r="Y330" s="20" t="n">
        <f aca="false" t="array" ref="Y330:Y330">IF(AND(INDEX(Profils!$S$5:$S$34,$AE330)&gt;0,INDEX(Profils!$AH$5:$AH$34,$AE330)&lt;=$AH330),ROUND(INDEX(Profils!$S$5:$S$34,$AE330)*Paramètres!$E$35*$AG330*$AJ330,Paramètres!$F$35),0)</f>
        <v>0.006</v>
      </c>
      <c r="Z330" s="21" t="n">
        <f aca="false">ROUND(L330/Paramètres!$E$22+M330/Paramètres!$E$23+N330/Paramètres!$E$24+O330/Paramètres!$E$25+P330/Paramètres!$E$26+Q330/Paramètres!$E$27+R330/Paramètres!$E$28+S330/Paramètres!$E$29+T330/Paramètres!$E$30+U330/Paramètres!$E$31+V330/Paramètres!$E$32+W330/Paramètres!$E$33+X330/Paramètres!$E$34+Y330/Paramètres!$E$35,1)</f>
        <v>1.6</v>
      </c>
      <c r="AA330" s="22" t="s">
        <v>109</v>
      </c>
      <c r="AB330" s="22" t="s">
        <v>109</v>
      </c>
      <c r="AC330" s="15" t="str">
        <f aca="false">$E330</f>
        <v>soie</v>
      </c>
      <c r="AD330" s="16" t="n">
        <f aca="false" t="array" ref="AD330:AD330">IF($I330&gt;=$AI330,"Max",ROUND(Paramètres!$B$40*($I330+1)^Paramètres!$B$41*INDEX(Paramètres!$H$6:$H$12,$AF330),0))</f>
        <v>4</v>
      </c>
      <c r="AE330" s="23" t="n">
        <f aca="false">MATCH($B330&amp;"|"&amp;$C330,Profils!$A$5:$A$34,0)</f>
        <v>11</v>
      </c>
      <c r="AF330" s="23" t="n">
        <v>3</v>
      </c>
      <c r="AG330" s="24" t="n">
        <f aca="false" t="array" ref="AG330:AG330">INDEX(Paramètres!$C$6:$C$12,$AF330)</f>
        <v>1.45</v>
      </c>
      <c r="AH330" s="23" t="n">
        <f aca="false" t="array" ref="AH330:AH330">INDEX(Paramètres!$D$6:$D$12,$AF330)</f>
        <v>4</v>
      </c>
      <c r="AI330" s="23" t="n">
        <f aca="false" t="array" ref="AI330:AI330">INDEX(Matériaux!$C$16:$C$20,$D330)</f>
        <v>25</v>
      </c>
      <c r="AJ330" s="25" t="n">
        <f aca="false">Paramètres!$B$16+(1-Paramètres!$B$16)*(($J330-Paramètres!$B$14)/(Paramètres!$B$15-Paramètres!$B$14))^Paramètres!$B$17</f>
        <v>0.26769024555533</v>
      </c>
    </row>
    <row r="331" customFormat="false" ht="15.75" hidden="false" customHeight="true" outlineLevel="0" collapsed="false">
      <c r="A331" s="14" t="s">
        <v>447</v>
      </c>
      <c r="B331" s="15" t="s">
        <v>29</v>
      </c>
      <c r="C331" s="15" t="s">
        <v>107</v>
      </c>
      <c r="D331" s="16" t="n">
        <v>3</v>
      </c>
      <c r="E331" s="15" t="str">
        <f aca="false" t="array" ref="E331:E331">INDEX(Matériaux!$B$5:$F$12,MATCH(INDEX(Profils!$E$5:$E$34,$AE331),Matériaux!$A$5:$A$12,0),$D331)</f>
        <v>soie</v>
      </c>
      <c r="F331" s="28" t="s">
        <v>115</v>
      </c>
      <c r="G331" s="10" t="str">
        <f aca="false" t="array" ref="G331:G331">INDEX(Profils!$D$5:$D$34,$AE331)&amp;" en "&amp;$E331</f>
        <v>Chapeau en soie</v>
      </c>
      <c r="H331" s="16" t="n">
        <f aca="false" t="array" ref="H331:H331">INDEX(Matériaux!$B$16:$B$20,$D331)</f>
        <v>30</v>
      </c>
      <c r="I331" s="16" t="n">
        <f aca="false">IF(ISNUMBER($C$3),MIN(MAX(0,ROUND($C$3,0)),$AI331),$AI331)</f>
        <v>0</v>
      </c>
      <c r="J331" s="18" t="n">
        <f aca="false">$H331+$I331</f>
        <v>30</v>
      </c>
      <c r="K331" s="15" t="s">
        <v>109</v>
      </c>
      <c r="L331" s="19" t="n">
        <f aca="false" t="array" ref="L331:L331">IF(AND(INDEX(Profils!$F$5:$F$34,$AE331)&gt;0,INDEX(Profils!$U$5:$U$34,$AE331)&lt;=$AH331),ROUND(INDEX(Profils!$F$5:$F$34,$AE331)*Paramètres!$E$22*$AG331*$AJ331,Paramètres!$F$22),0)</f>
        <v>14</v>
      </c>
      <c r="M331" s="19" t="n">
        <f aca="false" t="array" ref="M331:M331">IF(AND(INDEX(Profils!$G$5:$G$34,$AE331)&gt;0,INDEX(Profils!$V$5:$V$34,$AE331)&lt;=$AH331),ROUND(INDEX(Profils!$G$5:$G$34,$AE331)*Paramètres!$E$23*$AG331*$AJ331,Paramètres!$F$23),0)</f>
        <v>0</v>
      </c>
      <c r="N331" s="19" t="n">
        <f aca="false" t="array" ref="N331:N331">IF(AND(INDEX(Profils!$H$5:$H$34,$AE331)&gt;0,INDEX(Profils!$W$5:$W$34,$AE331)&lt;=$AH331),ROUND(INDEX(Profils!$H$5:$H$34,$AE331)*Paramètres!$E$24*$AG331*$AJ331,Paramètres!$F$24),0)</f>
        <v>0</v>
      </c>
      <c r="O331" s="19" t="n">
        <f aca="false" t="array" ref="O331:O331">IF(AND(INDEX(Profils!$I$5:$I$34,$AE331)&gt;0,INDEX(Profils!$X$5:$X$34,$AE331)&lt;=$AH331),ROUND(INDEX(Profils!$I$5:$I$34,$AE331)*Paramètres!$E$25*$AG331*$AJ331,Paramètres!$F$25),0)</f>
        <v>7</v>
      </c>
      <c r="P331" s="19" t="n">
        <f aca="false" t="array" ref="P331:P331">IF(AND(INDEX(Profils!$J$5:$J$34,$AE331)&gt;0,INDEX(Profils!$Y$5:$Y$34,$AE331)&lt;=$AH331),ROUND(INDEX(Profils!$J$5:$J$34,$AE331)*Paramètres!$E$26*$AG331*$AJ331,Paramètres!$F$26),0)</f>
        <v>0</v>
      </c>
      <c r="Q331" s="19" t="n">
        <f aca="false" t="array" ref="Q331:Q331">IF(AND(INDEX(Profils!$K$5:$K$34,$AE331)&gt;0,INDEX(Profils!$Z$5:$Z$34,$AE331)&lt;=$AH331),ROUND(INDEX(Profils!$K$5:$K$34,$AE331)*Paramètres!$E$27*$AG331*$AJ331,Paramètres!$F$27),0)</f>
        <v>0</v>
      </c>
      <c r="R331" s="20" t="n">
        <f aca="false" t="array" ref="R331:R331">IF(AND(INDEX(Profils!$L$5:$L$34,$AE331)&gt;0,INDEX(Profils!$AA$5:$AA$34,$AE331)&lt;=$AH331),ROUND(INDEX(Profils!$L$5:$L$34,$AE331)*Paramètres!$E$28*$AG331*$AJ331,Paramètres!$F$28),0)</f>
        <v>0</v>
      </c>
      <c r="S331" s="20" t="n">
        <f aca="false" t="array" ref="S331:S331">IF(AND(INDEX(Profils!$M$5:$M$34,$AE331)&gt;0,INDEX(Profils!$AB$5:$AB$34,$AE331)&lt;=$AH331),ROUND(INDEX(Profils!$M$5:$M$34,$AE331)*Paramètres!$E$29*$AG331*$AJ331,Paramètres!$F$29),0)</f>
        <v>0</v>
      </c>
      <c r="T331" s="20" t="n">
        <f aca="false" t="array" ref="T331:T331">IF(AND(INDEX(Profils!$N$5:$N$34,$AE331)&gt;0,INDEX(Profils!$AC$5:$AC$34,$AE331)&lt;=$AH331),ROUND(INDEX(Profils!$N$5:$N$34,$AE331)*Paramètres!$E$30*$AG331*$AJ331,Paramètres!$F$30),0)</f>
        <v>0</v>
      </c>
      <c r="U331" s="19" t="n">
        <f aca="false" t="array" ref="U331:U331">IF(AND(INDEX(Profils!$O$5:$O$34,$AE331)&gt;0,INDEX(Profils!$AD$5:$AD$34,$AE331)&lt;=$AH331),ROUND(INDEX(Profils!$O$5:$O$34,$AE331)*Paramètres!$E$31*$AG331*$AJ331,Paramètres!$F$31),0)</f>
        <v>0</v>
      </c>
      <c r="V331" s="20" t="n">
        <f aca="false" t="array" ref="V331:V331">IF(AND(INDEX(Profils!$P$5:$P$34,$AE331)&gt;0,INDEX(Profils!$AE$5:$AE$34,$AE331)&lt;=$AH331),ROUND(INDEX(Profils!$P$5:$P$34,$AE331)*Paramètres!$E$32*$AG331*$AJ331,Paramètres!$F$32),0)</f>
        <v>0</v>
      </c>
      <c r="W331" s="20" t="n">
        <f aca="false" t="array" ref="W331:W331">IF(AND(INDEX(Profils!$Q$5:$Q$34,$AE331)&gt;0,INDEX(Profils!$AF$5:$AF$34,$AE331)&lt;=$AH331),ROUND(INDEX(Profils!$Q$5:$Q$34,$AE331)*Paramètres!$E$33*$AG331*$AJ331,Paramètres!$F$33),0)</f>
        <v>0.006</v>
      </c>
      <c r="X331" s="20" t="n">
        <f aca="false" t="array" ref="X331:X331">IF(AND(INDEX(Profils!$R$5:$R$34,$AE331)&gt;0,INDEX(Profils!$AG$5:$AG$34,$AE331)&lt;=$AH331),ROUND(INDEX(Profils!$R$5:$R$34,$AE331)*Paramètres!$E$34*$AG331*$AJ331,Paramètres!$F$34),0)</f>
        <v>0.007</v>
      </c>
      <c r="Y331" s="20" t="n">
        <f aca="false" t="array" ref="Y331:Y331">IF(AND(INDEX(Profils!$S$5:$S$34,$AE331)&gt;0,INDEX(Profils!$AH$5:$AH$34,$AE331)&lt;=$AH331),ROUND(INDEX(Profils!$S$5:$S$34,$AE331)*Paramètres!$E$35*$AG331*$AJ331,Paramètres!$F$35),0)</f>
        <v>0.007</v>
      </c>
      <c r="Z331" s="21" t="n">
        <f aca="false">ROUND(L331/Paramètres!$E$22+M331/Paramètres!$E$23+N331/Paramètres!$E$24+O331/Paramètres!$E$25+P331/Paramètres!$E$26+Q331/Paramètres!$E$27+R331/Paramètres!$E$28+S331/Paramètres!$E$29+T331/Paramètres!$E$30+U331/Paramètres!$E$31+V331/Paramètres!$E$32+W331/Paramètres!$E$33+X331/Paramètres!$E$34+Y331/Paramètres!$E$35,1)</f>
        <v>2.2</v>
      </c>
      <c r="AA331" s="22" t="s">
        <v>109</v>
      </c>
      <c r="AB331" s="22" t="s">
        <v>109</v>
      </c>
      <c r="AC331" s="15" t="str">
        <f aca="false">$E331</f>
        <v>soie</v>
      </c>
      <c r="AD331" s="16" t="n">
        <f aca="false" t="array" ref="AD331:AD331">IF($I331&gt;=$AI331,"Max",ROUND(Paramètres!$B$40*($I331+1)^Paramètres!$B$41*INDEX(Paramètres!$H$6:$H$12,$AF331),0))</f>
        <v>5</v>
      </c>
      <c r="AE331" s="23" t="n">
        <f aca="false">MATCH($B331&amp;"|"&amp;$C331,Profils!$A$5:$A$34,0)</f>
        <v>11</v>
      </c>
      <c r="AF331" s="23" t="n">
        <v>4</v>
      </c>
      <c r="AG331" s="24" t="n">
        <f aca="false" t="array" ref="AG331:AG331">INDEX(Paramètres!$C$6:$C$12,$AF331)</f>
        <v>1.75</v>
      </c>
      <c r="AH331" s="23" t="n">
        <f aca="false" t="array" ref="AH331:AH331">INDEX(Paramètres!$D$6:$D$12,$AF331)</f>
        <v>5</v>
      </c>
      <c r="AI331" s="23" t="n">
        <f aca="false" t="array" ref="AI331:AI331">INDEX(Matériaux!$C$16:$C$20,$D331)</f>
        <v>25</v>
      </c>
      <c r="AJ331" s="25" t="n">
        <f aca="false">Paramètres!$B$16+(1-Paramètres!$B$16)*(($J331-Paramètres!$B$14)/(Paramètres!$B$15-Paramètres!$B$14))^Paramètres!$B$17</f>
        <v>0.26769024555533</v>
      </c>
    </row>
    <row r="332" customFormat="false" ht="15.75" hidden="false" customHeight="true" outlineLevel="0" collapsed="false">
      <c r="A332" s="14" t="s">
        <v>448</v>
      </c>
      <c r="B332" s="15" t="s">
        <v>29</v>
      </c>
      <c r="C332" s="15" t="s">
        <v>107</v>
      </c>
      <c r="D332" s="16" t="n">
        <v>3</v>
      </c>
      <c r="E332" s="15" t="str">
        <f aca="false" t="array" ref="E332:E332">INDEX(Matériaux!$B$5:$F$12,MATCH(INDEX(Profils!$E$5:$E$34,$AE332),Matériaux!$A$5:$A$12,0),$D332)</f>
        <v>soie</v>
      </c>
      <c r="F332" s="29" t="s">
        <v>117</v>
      </c>
      <c r="G332" s="10" t="str">
        <f aca="false" t="array" ref="G332:G332">INDEX(Profils!$D$5:$D$34,$AE332)&amp;" en "&amp;$E332</f>
        <v>Chapeau en soie</v>
      </c>
      <c r="H332" s="16" t="n">
        <f aca="false" t="array" ref="H332:H332">INDEX(Matériaux!$B$16:$B$20,$D332)</f>
        <v>30</v>
      </c>
      <c r="I332" s="16" t="n">
        <f aca="false">IF(ISNUMBER($C$3),MIN(MAX(0,ROUND($C$3,0)),$AI332),$AI332)</f>
        <v>0</v>
      </c>
      <c r="J332" s="18" t="n">
        <f aca="false">$H332+$I332</f>
        <v>30</v>
      </c>
      <c r="K332" s="15" t="s">
        <v>109</v>
      </c>
      <c r="L332" s="19" t="n">
        <f aca="false" t="array" ref="L332:L332">IF(AND(INDEX(Profils!$F$5:$F$34,$AE332)&gt;0,INDEX(Profils!$U$5:$U$34,$AE332)&lt;=$AH332),ROUND(INDEX(Profils!$F$5:$F$34,$AE332)*Paramètres!$E$22*$AG332*$AJ332,Paramètres!$F$22),0)</f>
        <v>17</v>
      </c>
      <c r="M332" s="19" t="n">
        <f aca="false" t="array" ref="M332:M332">IF(AND(INDEX(Profils!$G$5:$G$34,$AE332)&gt;0,INDEX(Profils!$V$5:$V$34,$AE332)&lt;=$AH332),ROUND(INDEX(Profils!$G$5:$G$34,$AE332)*Paramètres!$E$23*$AG332*$AJ332,Paramètres!$F$23),0)</f>
        <v>0</v>
      </c>
      <c r="N332" s="19" t="n">
        <f aca="false" t="array" ref="N332:N332">IF(AND(INDEX(Profils!$H$5:$H$34,$AE332)&gt;0,INDEX(Profils!$W$5:$W$34,$AE332)&lt;=$AH332),ROUND(INDEX(Profils!$H$5:$H$34,$AE332)*Paramètres!$E$24*$AG332*$AJ332,Paramètres!$F$24),0)</f>
        <v>0</v>
      </c>
      <c r="O332" s="19" t="n">
        <f aca="false" t="array" ref="O332:O332">IF(AND(INDEX(Profils!$I$5:$I$34,$AE332)&gt;0,INDEX(Profils!$X$5:$X$34,$AE332)&lt;=$AH332),ROUND(INDEX(Profils!$I$5:$I$34,$AE332)*Paramètres!$E$25*$AG332*$AJ332,Paramètres!$F$25),0)</f>
        <v>8</v>
      </c>
      <c r="P332" s="19" t="n">
        <f aca="false" t="array" ref="P332:P332">IF(AND(INDEX(Profils!$J$5:$J$34,$AE332)&gt;0,INDEX(Profils!$Y$5:$Y$34,$AE332)&lt;=$AH332),ROUND(INDEX(Profils!$J$5:$J$34,$AE332)*Paramètres!$E$26*$AG332*$AJ332,Paramètres!$F$26),0)</f>
        <v>4</v>
      </c>
      <c r="Q332" s="19" t="n">
        <f aca="false" t="array" ref="Q332:Q332">IF(AND(INDEX(Profils!$K$5:$K$34,$AE332)&gt;0,INDEX(Profils!$Z$5:$Z$34,$AE332)&lt;=$AH332),ROUND(INDEX(Profils!$K$5:$K$34,$AE332)*Paramètres!$E$27*$AG332*$AJ332,Paramètres!$F$27),0)</f>
        <v>0</v>
      </c>
      <c r="R332" s="20" t="n">
        <f aca="false" t="array" ref="R332:R332">IF(AND(INDEX(Profils!$L$5:$L$34,$AE332)&gt;0,INDEX(Profils!$AA$5:$AA$34,$AE332)&lt;=$AH332),ROUND(INDEX(Profils!$L$5:$L$34,$AE332)*Paramètres!$E$28*$AG332*$AJ332,Paramètres!$F$28),0)</f>
        <v>0</v>
      </c>
      <c r="S332" s="20" t="n">
        <f aca="false" t="array" ref="S332:S332">IF(AND(INDEX(Profils!$M$5:$M$34,$AE332)&gt;0,INDEX(Profils!$AB$5:$AB$34,$AE332)&lt;=$AH332),ROUND(INDEX(Profils!$M$5:$M$34,$AE332)*Paramètres!$E$29*$AG332*$AJ332,Paramètres!$F$29),0)</f>
        <v>0</v>
      </c>
      <c r="T332" s="20" t="n">
        <f aca="false" t="array" ref="T332:T332">IF(AND(INDEX(Profils!$N$5:$N$34,$AE332)&gt;0,INDEX(Profils!$AC$5:$AC$34,$AE332)&lt;=$AH332),ROUND(INDEX(Profils!$N$5:$N$34,$AE332)*Paramètres!$E$30*$AG332*$AJ332,Paramètres!$F$30),0)</f>
        <v>0</v>
      </c>
      <c r="U332" s="19" t="n">
        <f aca="false" t="array" ref="U332:U332">IF(AND(INDEX(Profils!$O$5:$O$34,$AE332)&gt;0,INDEX(Profils!$AD$5:$AD$34,$AE332)&lt;=$AH332),ROUND(INDEX(Profils!$O$5:$O$34,$AE332)*Paramètres!$E$31*$AG332*$AJ332,Paramètres!$F$31),0)</f>
        <v>0</v>
      </c>
      <c r="V332" s="20" t="n">
        <f aca="false" t="array" ref="V332:V332">IF(AND(INDEX(Profils!$P$5:$P$34,$AE332)&gt;0,INDEX(Profils!$AE$5:$AE$34,$AE332)&lt;=$AH332),ROUND(INDEX(Profils!$P$5:$P$34,$AE332)*Paramètres!$E$32*$AG332*$AJ332,Paramètres!$F$32),0)</f>
        <v>0</v>
      </c>
      <c r="W332" s="20" t="n">
        <f aca="false" t="array" ref="W332:W332">IF(AND(INDEX(Profils!$Q$5:$Q$34,$AE332)&gt;0,INDEX(Profils!$AF$5:$AF$34,$AE332)&lt;=$AH332),ROUND(INDEX(Profils!$Q$5:$Q$34,$AE332)*Paramètres!$E$33*$AG332*$AJ332,Paramètres!$F$33),0)</f>
        <v>0.007</v>
      </c>
      <c r="X332" s="20" t="n">
        <f aca="false" t="array" ref="X332:X332">IF(AND(INDEX(Profils!$R$5:$R$34,$AE332)&gt;0,INDEX(Profils!$AG$5:$AG$34,$AE332)&lt;=$AH332),ROUND(INDEX(Profils!$R$5:$R$34,$AE332)*Paramètres!$E$34*$AG332*$AJ332,Paramètres!$F$34),0)</f>
        <v>0.009</v>
      </c>
      <c r="Y332" s="20" t="n">
        <f aca="false" t="array" ref="Y332:Y332">IF(AND(INDEX(Profils!$S$5:$S$34,$AE332)&gt;0,INDEX(Profils!$AH$5:$AH$34,$AE332)&lt;=$AH332),ROUND(INDEX(Profils!$S$5:$S$34,$AE332)*Paramètres!$E$35*$AG332*$AJ332,Paramètres!$F$35),0)</f>
        <v>0.008</v>
      </c>
      <c r="Z332" s="21" t="n">
        <f aca="false">ROUND(L332/Paramètres!$E$22+M332/Paramètres!$E$23+N332/Paramètres!$E$24+O332/Paramètres!$E$25+P332/Paramètres!$E$26+Q332/Paramètres!$E$27+R332/Paramètres!$E$28+S332/Paramètres!$E$29+T332/Paramètres!$E$30+U332/Paramètres!$E$31+V332/Paramètres!$E$32+W332/Paramètres!$E$33+X332/Paramètres!$E$34+Y332/Paramètres!$E$35,1)</f>
        <v>3</v>
      </c>
      <c r="AA332" s="22" t="s">
        <v>109</v>
      </c>
      <c r="AB332" s="22" t="s">
        <v>109</v>
      </c>
      <c r="AC332" s="15" t="str">
        <f aca="false">$E332</f>
        <v>soie</v>
      </c>
      <c r="AD332" s="16" t="n">
        <f aca="false" t="array" ref="AD332:AD332">IF($I332&gt;=$AI332,"Max",ROUND(Paramètres!$B$40*($I332+1)^Paramètres!$B$41*INDEX(Paramètres!$H$6:$H$12,$AF332),0))</f>
        <v>6</v>
      </c>
      <c r="AE332" s="23" t="n">
        <f aca="false">MATCH($B332&amp;"|"&amp;$C332,Profils!$A$5:$A$34,0)</f>
        <v>11</v>
      </c>
      <c r="AF332" s="23" t="n">
        <v>5</v>
      </c>
      <c r="AG332" s="24" t="n">
        <f aca="false" t="array" ref="AG332:AG332">INDEX(Paramètres!$C$6:$C$12,$AF332)</f>
        <v>2.1</v>
      </c>
      <c r="AH332" s="23" t="n">
        <f aca="false" t="array" ref="AH332:AH332">INDEX(Paramètres!$D$6:$D$12,$AF332)</f>
        <v>6</v>
      </c>
      <c r="AI332" s="23" t="n">
        <f aca="false" t="array" ref="AI332:AI332">INDEX(Matériaux!$C$16:$C$20,$D332)</f>
        <v>25</v>
      </c>
      <c r="AJ332" s="25" t="n">
        <f aca="false">Paramètres!$B$16+(1-Paramètres!$B$16)*(($J332-Paramètres!$B$14)/(Paramètres!$B$15-Paramètres!$B$14))^Paramètres!$B$17</f>
        <v>0.26769024555533</v>
      </c>
    </row>
    <row r="333" customFormat="false" ht="15.75" hidden="false" customHeight="true" outlineLevel="0" collapsed="false">
      <c r="A333" s="14" t="s">
        <v>449</v>
      </c>
      <c r="B333" s="15" t="s">
        <v>29</v>
      </c>
      <c r="C333" s="15" t="s">
        <v>107</v>
      </c>
      <c r="D333" s="16" t="n">
        <v>3</v>
      </c>
      <c r="E333" s="15" t="str">
        <f aca="false" t="array" ref="E333:E333">INDEX(Matériaux!$B$5:$F$12,MATCH(INDEX(Profils!$E$5:$E$34,$AE333),Matériaux!$A$5:$A$12,0),$D333)</f>
        <v>soie</v>
      </c>
      <c r="F333" s="30" t="s">
        <v>119</v>
      </c>
      <c r="G333" s="10" t="str">
        <f aca="false" t="array" ref="G333:G333">INDEX(Profils!$D$5:$D$34,$AE333)&amp;" en "&amp;$E333</f>
        <v>Chapeau en soie</v>
      </c>
      <c r="H333" s="16" t="n">
        <f aca="false" t="array" ref="H333:H333">INDEX(Matériaux!$B$16:$B$20,$D333)</f>
        <v>30</v>
      </c>
      <c r="I333" s="16" t="n">
        <f aca="false">IF(ISNUMBER($C$3),MIN(MAX(0,ROUND($C$3,0)),$AI333),$AI333)</f>
        <v>0</v>
      </c>
      <c r="J333" s="18" t="n">
        <f aca="false">$H333+$I333</f>
        <v>30</v>
      </c>
      <c r="K333" s="15" t="s">
        <v>109</v>
      </c>
      <c r="L333" s="19" t="n">
        <f aca="false" t="array" ref="L333:L333">IF(AND(INDEX(Profils!$F$5:$F$34,$AE333)&gt;0,INDEX(Profils!$U$5:$U$34,$AE333)&lt;=$AH333),ROUND(INDEX(Profils!$F$5:$F$34,$AE333)*Paramètres!$E$22*$AG333*$AJ333,Paramètres!$F$22),0)</f>
        <v>19</v>
      </c>
      <c r="M333" s="19" t="n">
        <f aca="false" t="array" ref="M333:M333">IF(AND(INDEX(Profils!$G$5:$G$34,$AE333)&gt;0,INDEX(Profils!$V$5:$V$34,$AE333)&lt;=$AH333),ROUND(INDEX(Profils!$G$5:$G$34,$AE333)*Paramètres!$E$23*$AG333*$AJ333,Paramètres!$F$23),0)</f>
        <v>0</v>
      </c>
      <c r="N333" s="19" t="n">
        <f aca="false" t="array" ref="N333:N333">IF(AND(INDEX(Profils!$H$5:$H$34,$AE333)&gt;0,INDEX(Profils!$W$5:$W$34,$AE333)&lt;=$AH333),ROUND(INDEX(Profils!$H$5:$H$34,$AE333)*Paramètres!$E$24*$AG333*$AJ333,Paramètres!$F$24),0)</f>
        <v>0</v>
      </c>
      <c r="O333" s="19" t="n">
        <f aca="false" t="array" ref="O333:O333">IF(AND(INDEX(Profils!$I$5:$I$34,$AE333)&gt;0,INDEX(Profils!$X$5:$X$34,$AE333)&lt;=$AH333),ROUND(INDEX(Profils!$I$5:$I$34,$AE333)*Paramètres!$E$25*$AG333*$AJ333,Paramètres!$F$25),0)</f>
        <v>10</v>
      </c>
      <c r="P333" s="19" t="n">
        <f aca="false" t="array" ref="P333:P333">IF(AND(INDEX(Profils!$J$5:$J$34,$AE333)&gt;0,INDEX(Profils!$Y$5:$Y$34,$AE333)&lt;=$AH333),ROUND(INDEX(Profils!$J$5:$J$34,$AE333)*Paramètres!$E$26*$AG333*$AJ333,Paramètres!$F$26),0)</f>
        <v>5</v>
      </c>
      <c r="Q333" s="19" t="n">
        <f aca="false" t="array" ref="Q333:Q333">IF(AND(INDEX(Profils!$K$5:$K$34,$AE333)&gt;0,INDEX(Profils!$Z$5:$Z$34,$AE333)&lt;=$AH333),ROUND(INDEX(Profils!$K$5:$K$34,$AE333)*Paramètres!$E$27*$AG333*$AJ333,Paramètres!$F$27),0)</f>
        <v>0</v>
      </c>
      <c r="R333" s="20" t="n">
        <f aca="false" t="array" ref="R333:R333">IF(AND(INDEX(Profils!$L$5:$L$34,$AE333)&gt;0,INDEX(Profils!$AA$5:$AA$34,$AE333)&lt;=$AH333),ROUND(INDEX(Profils!$L$5:$L$34,$AE333)*Paramètres!$E$28*$AG333*$AJ333,Paramètres!$F$28),0)</f>
        <v>0.005</v>
      </c>
      <c r="S333" s="20" t="n">
        <f aca="false" t="array" ref="S333:S333">IF(AND(INDEX(Profils!$M$5:$M$34,$AE333)&gt;0,INDEX(Profils!$AB$5:$AB$34,$AE333)&lt;=$AH333),ROUND(INDEX(Profils!$M$5:$M$34,$AE333)*Paramètres!$E$29*$AG333*$AJ333,Paramètres!$F$29),0)</f>
        <v>0</v>
      </c>
      <c r="T333" s="20" t="n">
        <f aca="false" t="array" ref="T333:T333">IF(AND(INDEX(Profils!$N$5:$N$34,$AE333)&gt;0,INDEX(Profils!$AC$5:$AC$34,$AE333)&lt;=$AH333),ROUND(INDEX(Profils!$N$5:$N$34,$AE333)*Paramètres!$E$30*$AG333*$AJ333,Paramètres!$F$30),0)</f>
        <v>0</v>
      </c>
      <c r="U333" s="19" t="n">
        <f aca="false" t="array" ref="U333:U333">IF(AND(INDEX(Profils!$O$5:$O$34,$AE333)&gt;0,INDEX(Profils!$AD$5:$AD$34,$AE333)&lt;=$AH333),ROUND(INDEX(Profils!$O$5:$O$34,$AE333)*Paramètres!$E$31*$AG333*$AJ333,Paramètres!$F$31),0)</f>
        <v>0</v>
      </c>
      <c r="V333" s="20" t="n">
        <f aca="false" t="array" ref="V333:V333">IF(AND(INDEX(Profils!$P$5:$P$34,$AE333)&gt;0,INDEX(Profils!$AE$5:$AE$34,$AE333)&lt;=$AH333),ROUND(INDEX(Profils!$P$5:$P$34,$AE333)*Paramètres!$E$32*$AG333*$AJ333,Paramètres!$F$32),0)</f>
        <v>0</v>
      </c>
      <c r="W333" s="20" t="n">
        <f aca="false" t="array" ref="W333:W333">IF(AND(INDEX(Profils!$Q$5:$Q$34,$AE333)&gt;0,INDEX(Profils!$AF$5:$AF$34,$AE333)&lt;=$AH333),ROUND(INDEX(Profils!$Q$5:$Q$34,$AE333)*Paramètres!$E$33*$AG333*$AJ333,Paramètres!$F$33),0)</f>
        <v>0.008</v>
      </c>
      <c r="X333" s="20" t="n">
        <f aca="false" t="array" ref="X333:X333">IF(AND(INDEX(Profils!$R$5:$R$34,$AE333)&gt;0,INDEX(Profils!$AG$5:$AG$34,$AE333)&lt;=$AH333),ROUND(INDEX(Profils!$R$5:$R$34,$AE333)*Paramètres!$E$34*$AG333*$AJ333,Paramètres!$F$34),0)</f>
        <v>0.01</v>
      </c>
      <c r="Y333" s="20" t="n">
        <f aca="false" t="array" ref="Y333:Y333">IF(AND(INDEX(Profils!$S$5:$S$34,$AE333)&gt;0,INDEX(Profils!$AH$5:$AH$34,$AE333)&lt;=$AH333),ROUND(INDEX(Profils!$S$5:$S$34,$AE333)*Paramètres!$E$35*$AG333*$AJ333,Paramètres!$F$35),0)</f>
        <v>0.01</v>
      </c>
      <c r="Z333" s="21" t="n">
        <f aca="false">ROUND(L333/Paramètres!$E$22+M333/Paramètres!$E$23+N333/Paramètres!$E$24+O333/Paramètres!$E$25+P333/Paramètres!$E$26+Q333/Paramètres!$E$27+R333/Paramètres!$E$28+S333/Paramètres!$E$29+T333/Paramètres!$E$30+U333/Paramètres!$E$31+V333/Paramètres!$E$32+W333/Paramètres!$E$33+X333/Paramètres!$E$34+Y333/Paramètres!$E$35,1)</f>
        <v>3.9</v>
      </c>
      <c r="AA333" s="22" t="s">
        <v>109</v>
      </c>
      <c r="AB333" s="22" t="s">
        <v>109</v>
      </c>
      <c r="AC333" s="15" t="str">
        <f aca="false">$E333</f>
        <v>soie</v>
      </c>
      <c r="AD333" s="16" t="n">
        <f aca="false" t="array" ref="AD333:AD333">IF($I333&gt;=$AI333,"Max",ROUND(Paramètres!$B$40*($I333+1)^Paramètres!$B$41*INDEX(Paramètres!$H$6:$H$12,$AF333),0))</f>
        <v>8</v>
      </c>
      <c r="AE333" s="23" t="n">
        <f aca="false">MATCH($B333&amp;"|"&amp;$C333,Profils!$A$5:$A$34,0)</f>
        <v>11</v>
      </c>
      <c r="AF333" s="23" t="n">
        <v>6</v>
      </c>
      <c r="AG333" s="24" t="n">
        <f aca="false" t="array" ref="AG333:AG333">INDEX(Paramètres!$C$6:$C$12,$AF333)</f>
        <v>2.4</v>
      </c>
      <c r="AH333" s="23" t="n">
        <f aca="false" t="array" ref="AH333:AH333">INDEX(Paramètres!$D$6:$D$12,$AF333)</f>
        <v>7</v>
      </c>
      <c r="AI333" s="23" t="n">
        <f aca="false" t="array" ref="AI333:AI333">INDEX(Matériaux!$C$16:$C$20,$D333)</f>
        <v>25</v>
      </c>
      <c r="AJ333" s="25" t="n">
        <f aca="false">Paramètres!$B$16+(1-Paramètres!$B$16)*(($J333-Paramètres!$B$14)/(Paramètres!$B$15-Paramètres!$B$14))^Paramètres!$B$17</f>
        <v>0.26769024555533</v>
      </c>
    </row>
    <row r="334" customFormat="false" ht="15.75" hidden="false" customHeight="true" outlineLevel="0" collapsed="false">
      <c r="A334" s="14" t="s">
        <v>450</v>
      </c>
      <c r="B334" s="15" t="s">
        <v>29</v>
      </c>
      <c r="C334" s="15" t="s">
        <v>107</v>
      </c>
      <c r="D334" s="16" t="n">
        <v>4</v>
      </c>
      <c r="E334" s="15" t="str">
        <f aca="false" t="array" ref="E334:E334">INDEX(Matériaux!$B$5:$F$12,MATCH(INDEX(Profils!$E$5:$E$34,$AE334),Matériaux!$A$5:$A$12,0),$D334)</f>
        <v>velours enchanté</v>
      </c>
      <c r="F334" s="17" t="s">
        <v>108</v>
      </c>
      <c r="G334" s="10" t="str">
        <f aca="false" t="array" ref="G334:G334">INDEX(Profils!$D$5:$D$34,$AE334)&amp;" en "&amp;$E334</f>
        <v>Chapeau en velours enchanté</v>
      </c>
      <c r="H334" s="16" t="n">
        <f aca="false" t="array" ref="H334:H334">INDEX(Matériaux!$B$16:$B$20,$D334)</f>
        <v>50</v>
      </c>
      <c r="I334" s="16" t="n">
        <f aca="false">IF(ISNUMBER($C$3),MIN(MAX(0,ROUND($C$3,0)),$AI334),$AI334)</f>
        <v>0</v>
      </c>
      <c r="J334" s="18" t="n">
        <f aca="false">$H334+$I334</f>
        <v>50</v>
      </c>
      <c r="K334" s="15" t="s">
        <v>109</v>
      </c>
      <c r="L334" s="19" t="n">
        <f aca="false" t="array" ref="L334:L334">IF(AND(INDEX(Profils!$F$5:$F$34,$AE334)&gt;0,INDEX(Profils!$U$5:$U$34,$AE334)&lt;=$AH334),ROUND(INDEX(Profils!$F$5:$F$34,$AE334)*Paramètres!$E$22*$AG334*$AJ334,Paramètres!$F$22),0)</f>
        <v>14</v>
      </c>
      <c r="M334" s="19" t="n">
        <f aca="false" t="array" ref="M334:M334">IF(AND(INDEX(Profils!$G$5:$G$34,$AE334)&gt;0,INDEX(Profils!$V$5:$V$34,$AE334)&lt;=$AH334),ROUND(INDEX(Profils!$G$5:$G$34,$AE334)*Paramètres!$E$23*$AG334*$AJ334,Paramètres!$F$23),0)</f>
        <v>0</v>
      </c>
      <c r="N334" s="19" t="n">
        <f aca="false" t="array" ref="N334:N334">IF(AND(INDEX(Profils!$H$5:$H$34,$AE334)&gt;0,INDEX(Profils!$W$5:$W$34,$AE334)&lt;=$AH334),ROUND(INDEX(Profils!$H$5:$H$34,$AE334)*Paramètres!$E$24*$AG334*$AJ334,Paramètres!$F$24),0)</f>
        <v>0</v>
      </c>
      <c r="O334" s="19" t="n">
        <f aca="false" t="array" ref="O334:O334">IF(AND(INDEX(Profils!$I$5:$I$34,$AE334)&gt;0,INDEX(Profils!$X$5:$X$34,$AE334)&lt;=$AH334),ROUND(INDEX(Profils!$I$5:$I$34,$AE334)*Paramètres!$E$25*$AG334*$AJ334,Paramètres!$F$25),0)</f>
        <v>7</v>
      </c>
      <c r="P334" s="19" t="n">
        <f aca="false" t="array" ref="P334:P334">IF(AND(INDEX(Profils!$J$5:$J$34,$AE334)&gt;0,INDEX(Profils!$Y$5:$Y$34,$AE334)&lt;=$AH334),ROUND(INDEX(Profils!$J$5:$J$34,$AE334)*Paramètres!$E$26*$AG334*$AJ334,Paramètres!$F$26),0)</f>
        <v>0</v>
      </c>
      <c r="Q334" s="19" t="n">
        <f aca="false" t="array" ref="Q334:Q334">IF(AND(INDEX(Profils!$K$5:$K$34,$AE334)&gt;0,INDEX(Profils!$Z$5:$Z$34,$AE334)&lt;=$AH334),ROUND(INDEX(Profils!$K$5:$K$34,$AE334)*Paramètres!$E$27*$AG334*$AJ334,Paramètres!$F$27),0)</f>
        <v>0</v>
      </c>
      <c r="R334" s="20" t="n">
        <f aca="false" t="array" ref="R334:R334">IF(AND(INDEX(Profils!$L$5:$L$34,$AE334)&gt;0,INDEX(Profils!$AA$5:$AA$34,$AE334)&lt;=$AH334),ROUND(INDEX(Profils!$L$5:$L$34,$AE334)*Paramètres!$E$28*$AG334*$AJ334,Paramètres!$F$28),0)</f>
        <v>0</v>
      </c>
      <c r="S334" s="20" t="n">
        <f aca="false" t="array" ref="S334:S334">IF(AND(INDEX(Profils!$M$5:$M$34,$AE334)&gt;0,INDEX(Profils!$AB$5:$AB$34,$AE334)&lt;=$AH334),ROUND(INDEX(Profils!$M$5:$M$34,$AE334)*Paramètres!$E$29*$AG334*$AJ334,Paramètres!$F$29),0)</f>
        <v>0</v>
      </c>
      <c r="T334" s="20" t="n">
        <f aca="false" t="array" ref="T334:T334">IF(AND(INDEX(Profils!$N$5:$N$34,$AE334)&gt;0,INDEX(Profils!$AC$5:$AC$34,$AE334)&lt;=$AH334),ROUND(INDEX(Profils!$N$5:$N$34,$AE334)*Paramètres!$E$30*$AG334*$AJ334,Paramètres!$F$30),0)</f>
        <v>0</v>
      </c>
      <c r="U334" s="19" t="n">
        <f aca="false" t="array" ref="U334:U334">IF(AND(INDEX(Profils!$O$5:$O$34,$AE334)&gt;0,INDEX(Profils!$AD$5:$AD$34,$AE334)&lt;=$AH334),ROUND(INDEX(Profils!$O$5:$O$34,$AE334)*Paramètres!$E$31*$AG334*$AJ334,Paramètres!$F$31),0)</f>
        <v>0</v>
      </c>
      <c r="V334" s="20" t="n">
        <f aca="false" t="array" ref="V334:V334">IF(AND(INDEX(Profils!$P$5:$P$34,$AE334)&gt;0,INDEX(Profils!$AE$5:$AE$34,$AE334)&lt;=$AH334),ROUND(INDEX(Profils!$P$5:$P$34,$AE334)*Paramètres!$E$32*$AG334*$AJ334,Paramètres!$F$32),0)</f>
        <v>0</v>
      </c>
      <c r="W334" s="20" t="n">
        <f aca="false" t="array" ref="W334:W334">IF(AND(INDEX(Profils!$Q$5:$Q$34,$AE334)&gt;0,INDEX(Profils!$AF$5:$AF$34,$AE334)&lt;=$AH334),ROUND(INDEX(Profils!$Q$5:$Q$34,$AE334)*Paramètres!$E$33*$AG334*$AJ334,Paramètres!$F$33),0)</f>
        <v>0</v>
      </c>
      <c r="X334" s="20" t="n">
        <f aca="false" t="array" ref="X334:X334">IF(AND(INDEX(Profils!$R$5:$R$34,$AE334)&gt;0,INDEX(Profils!$AG$5:$AG$34,$AE334)&lt;=$AH334),ROUND(INDEX(Profils!$R$5:$R$34,$AE334)*Paramètres!$E$34*$AG334*$AJ334,Paramètres!$F$34),0)</f>
        <v>0</v>
      </c>
      <c r="Y334" s="20" t="n">
        <f aca="false" t="array" ref="Y334:Y334">IF(AND(INDEX(Profils!$S$5:$S$34,$AE334)&gt;0,INDEX(Profils!$AH$5:$AH$34,$AE334)&lt;=$AH334),ROUND(INDEX(Profils!$S$5:$S$34,$AE334)*Paramètres!$E$35*$AG334*$AJ334,Paramètres!$F$35),0)</f>
        <v>0</v>
      </c>
      <c r="Z334" s="21" t="n">
        <f aca="false">ROUND(L334/Paramètres!$E$22+M334/Paramètres!$E$23+N334/Paramètres!$E$24+O334/Paramètres!$E$25+P334/Paramètres!$E$26+Q334/Paramètres!$E$27+R334/Paramètres!$E$28+S334/Paramètres!$E$29+T334/Paramètres!$E$30+U334/Paramètres!$E$31+V334/Paramètres!$E$32+W334/Paramètres!$E$33+X334/Paramètres!$E$34+Y334/Paramètres!$E$35,1)</f>
        <v>1</v>
      </c>
      <c r="AA334" s="22" t="s">
        <v>109</v>
      </c>
      <c r="AB334" s="22" t="s">
        <v>109</v>
      </c>
      <c r="AC334" s="15" t="str">
        <f aca="false">$E334</f>
        <v>velours enchanté</v>
      </c>
      <c r="AD334" s="16" t="n">
        <f aca="false" t="array" ref="AD334:AD334">IF($I334&gt;=$AI334,"Max",ROUND(Paramètres!$B$40*($I334+1)^Paramètres!$B$41*INDEX(Paramètres!$H$6:$H$12,$AF334),0))</f>
        <v>3</v>
      </c>
      <c r="AE334" s="23" t="n">
        <f aca="false">MATCH($B334&amp;"|"&amp;$C334,Profils!$A$5:$A$34,0)</f>
        <v>11</v>
      </c>
      <c r="AF334" s="23" t="n">
        <v>1</v>
      </c>
      <c r="AG334" s="24" t="n">
        <f aca="false" t="array" ref="AG334:AG334">INDEX(Paramètres!$C$6:$C$12,$AF334)</f>
        <v>1</v>
      </c>
      <c r="AH334" s="23" t="n">
        <f aca="false" t="array" ref="AH334:AH334">INDEX(Paramètres!$D$6:$D$12,$AF334)</f>
        <v>2</v>
      </c>
      <c r="AI334" s="23" t="n">
        <f aca="false" t="array" ref="AI334:AI334">INDEX(Matériaux!$C$16:$C$20,$D334)</f>
        <v>25</v>
      </c>
      <c r="AJ334" s="25" t="n">
        <f aca="false">Paramètres!$B$16+(1-Paramètres!$B$16)*(($J334-Paramètres!$B$14)/(Paramètres!$B$15-Paramètres!$B$14))^Paramètres!$B$17</f>
        <v>0.458504333336152</v>
      </c>
    </row>
    <row r="335" customFormat="false" ht="15.75" hidden="false" customHeight="true" outlineLevel="0" collapsed="false">
      <c r="A335" s="14" t="s">
        <v>451</v>
      </c>
      <c r="B335" s="15" t="s">
        <v>29</v>
      </c>
      <c r="C335" s="15" t="s">
        <v>107</v>
      </c>
      <c r="D335" s="16" t="n">
        <v>4</v>
      </c>
      <c r="E335" s="15" t="str">
        <f aca="false" t="array" ref="E335:E335">INDEX(Matériaux!$B$5:$F$12,MATCH(INDEX(Profils!$E$5:$E$34,$AE335),Matériaux!$A$5:$A$12,0),$D335)</f>
        <v>velours enchanté</v>
      </c>
      <c r="F335" s="26" t="s">
        <v>111</v>
      </c>
      <c r="G335" s="10" t="str">
        <f aca="false" t="array" ref="G335:G335">INDEX(Profils!$D$5:$D$34,$AE335)&amp;" en "&amp;$E335</f>
        <v>Chapeau en velours enchanté</v>
      </c>
      <c r="H335" s="16" t="n">
        <f aca="false" t="array" ref="H335:H335">INDEX(Matériaux!$B$16:$B$20,$D335)</f>
        <v>50</v>
      </c>
      <c r="I335" s="16" t="n">
        <f aca="false">IF(ISNUMBER($C$3),MIN(MAX(0,ROUND($C$3,0)),$AI335),$AI335)</f>
        <v>0</v>
      </c>
      <c r="J335" s="18" t="n">
        <f aca="false">$H335+$I335</f>
        <v>50</v>
      </c>
      <c r="K335" s="15" t="s">
        <v>109</v>
      </c>
      <c r="L335" s="19" t="n">
        <f aca="false" t="array" ref="L335:L335">IF(AND(INDEX(Profils!$F$5:$F$34,$AE335)&gt;0,INDEX(Profils!$U$5:$U$34,$AE335)&lt;=$AH335),ROUND(INDEX(Profils!$F$5:$F$34,$AE335)*Paramètres!$E$22*$AG335*$AJ335,Paramètres!$F$22),0)</f>
        <v>17</v>
      </c>
      <c r="M335" s="19" t="n">
        <f aca="false" t="array" ref="M335:M335">IF(AND(INDEX(Profils!$G$5:$G$34,$AE335)&gt;0,INDEX(Profils!$V$5:$V$34,$AE335)&lt;=$AH335),ROUND(INDEX(Profils!$G$5:$G$34,$AE335)*Paramètres!$E$23*$AG335*$AJ335,Paramètres!$F$23),0)</f>
        <v>0</v>
      </c>
      <c r="N335" s="19" t="n">
        <f aca="false" t="array" ref="N335:N335">IF(AND(INDEX(Profils!$H$5:$H$34,$AE335)&gt;0,INDEX(Profils!$W$5:$W$34,$AE335)&lt;=$AH335),ROUND(INDEX(Profils!$H$5:$H$34,$AE335)*Paramètres!$E$24*$AG335*$AJ335,Paramètres!$F$24),0)</f>
        <v>0</v>
      </c>
      <c r="O335" s="19" t="n">
        <f aca="false" t="array" ref="O335:O335">IF(AND(INDEX(Profils!$I$5:$I$34,$AE335)&gt;0,INDEX(Profils!$X$5:$X$34,$AE335)&lt;=$AH335),ROUND(INDEX(Profils!$I$5:$I$34,$AE335)*Paramètres!$E$25*$AG335*$AJ335,Paramètres!$F$25),0)</f>
        <v>8</v>
      </c>
      <c r="P335" s="19" t="n">
        <f aca="false" t="array" ref="P335:P335">IF(AND(INDEX(Profils!$J$5:$J$34,$AE335)&gt;0,INDEX(Profils!$Y$5:$Y$34,$AE335)&lt;=$AH335),ROUND(INDEX(Profils!$J$5:$J$34,$AE335)*Paramètres!$E$26*$AG335*$AJ335,Paramètres!$F$26),0)</f>
        <v>0</v>
      </c>
      <c r="Q335" s="19" t="n">
        <f aca="false" t="array" ref="Q335:Q335">IF(AND(INDEX(Profils!$K$5:$K$34,$AE335)&gt;0,INDEX(Profils!$Z$5:$Z$34,$AE335)&lt;=$AH335),ROUND(INDEX(Profils!$K$5:$K$34,$AE335)*Paramètres!$E$27*$AG335*$AJ335,Paramètres!$F$27),0)</f>
        <v>0</v>
      </c>
      <c r="R335" s="20" t="n">
        <f aca="false" t="array" ref="R335:R335">IF(AND(INDEX(Profils!$L$5:$L$34,$AE335)&gt;0,INDEX(Profils!$AA$5:$AA$34,$AE335)&lt;=$AH335),ROUND(INDEX(Profils!$L$5:$L$34,$AE335)*Paramètres!$E$28*$AG335*$AJ335,Paramètres!$F$28),0)</f>
        <v>0</v>
      </c>
      <c r="S335" s="20" t="n">
        <f aca="false" t="array" ref="S335:S335">IF(AND(INDEX(Profils!$M$5:$M$34,$AE335)&gt;0,INDEX(Profils!$AB$5:$AB$34,$AE335)&lt;=$AH335),ROUND(INDEX(Profils!$M$5:$M$34,$AE335)*Paramètres!$E$29*$AG335*$AJ335,Paramètres!$F$29),0)</f>
        <v>0</v>
      </c>
      <c r="T335" s="20" t="n">
        <f aca="false" t="array" ref="T335:T335">IF(AND(INDEX(Profils!$N$5:$N$34,$AE335)&gt;0,INDEX(Profils!$AC$5:$AC$34,$AE335)&lt;=$AH335),ROUND(INDEX(Profils!$N$5:$N$34,$AE335)*Paramètres!$E$30*$AG335*$AJ335,Paramètres!$F$30),0)</f>
        <v>0</v>
      </c>
      <c r="U335" s="19" t="n">
        <f aca="false" t="array" ref="U335:U335">IF(AND(INDEX(Profils!$O$5:$O$34,$AE335)&gt;0,INDEX(Profils!$AD$5:$AD$34,$AE335)&lt;=$AH335),ROUND(INDEX(Profils!$O$5:$O$34,$AE335)*Paramètres!$E$31*$AG335*$AJ335,Paramètres!$F$31),0)</f>
        <v>0</v>
      </c>
      <c r="V335" s="20" t="n">
        <f aca="false" t="array" ref="V335:V335">IF(AND(INDEX(Profils!$P$5:$P$34,$AE335)&gt;0,INDEX(Profils!$AE$5:$AE$34,$AE335)&lt;=$AH335),ROUND(INDEX(Profils!$P$5:$P$34,$AE335)*Paramètres!$E$32*$AG335*$AJ335,Paramètres!$F$32),0)</f>
        <v>0</v>
      </c>
      <c r="W335" s="20" t="n">
        <f aca="false" t="array" ref="W335:W335">IF(AND(INDEX(Profils!$Q$5:$Q$34,$AE335)&gt;0,INDEX(Profils!$AF$5:$AF$34,$AE335)&lt;=$AH335),ROUND(INDEX(Profils!$Q$5:$Q$34,$AE335)*Paramètres!$E$33*$AG335*$AJ335,Paramètres!$F$33),0)</f>
        <v>0</v>
      </c>
      <c r="X335" s="20" t="n">
        <f aca="false" t="array" ref="X335:X335">IF(AND(INDEX(Profils!$R$5:$R$34,$AE335)&gt;0,INDEX(Profils!$AG$5:$AG$34,$AE335)&lt;=$AH335),ROUND(INDEX(Profils!$R$5:$R$34,$AE335)*Paramètres!$E$34*$AG335*$AJ335,Paramètres!$F$34),0)</f>
        <v>0</v>
      </c>
      <c r="Y335" s="20" t="n">
        <f aca="false" t="array" ref="Y335:Y335">IF(AND(INDEX(Profils!$S$5:$S$34,$AE335)&gt;0,INDEX(Profils!$AH$5:$AH$34,$AE335)&lt;=$AH335),ROUND(INDEX(Profils!$S$5:$S$34,$AE335)*Paramètres!$E$35*$AG335*$AJ335,Paramètres!$F$35),0)</f>
        <v>0.008</v>
      </c>
      <c r="Z335" s="21" t="n">
        <f aca="false">ROUND(L335/Paramètres!$E$22+M335/Paramètres!$E$23+N335/Paramètres!$E$24+O335/Paramètres!$E$25+P335/Paramètres!$E$26+Q335/Paramètres!$E$27+R335/Paramètres!$E$28+S335/Paramètres!$E$29+T335/Paramètres!$E$30+U335/Paramètres!$E$31+V335/Paramètres!$E$32+W335/Paramètres!$E$33+X335/Paramètres!$E$34+Y335/Paramètres!$E$35,1)</f>
        <v>1.7</v>
      </c>
      <c r="AA335" s="22" t="s">
        <v>109</v>
      </c>
      <c r="AB335" s="22" t="s">
        <v>109</v>
      </c>
      <c r="AC335" s="15" t="str">
        <f aca="false">$E335</f>
        <v>velours enchanté</v>
      </c>
      <c r="AD335" s="16" t="n">
        <f aca="false" t="array" ref="AD335:AD335">IF($I335&gt;=$AI335,"Max",ROUND(Paramètres!$B$40*($I335+1)^Paramètres!$B$41*INDEX(Paramètres!$H$6:$H$12,$AF335),0))</f>
        <v>4</v>
      </c>
      <c r="AE335" s="23" t="n">
        <f aca="false">MATCH($B335&amp;"|"&amp;$C335,Profils!$A$5:$A$34,0)</f>
        <v>11</v>
      </c>
      <c r="AF335" s="23" t="n">
        <v>2</v>
      </c>
      <c r="AG335" s="24" t="n">
        <f aca="false" t="array" ref="AG335:AG335">INDEX(Paramètres!$C$6:$C$12,$AF335)</f>
        <v>1.2</v>
      </c>
      <c r="AH335" s="23" t="n">
        <f aca="false" t="array" ref="AH335:AH335">INDEX(Paramètres!$D$6:$D$12,$AF335)</f>
        <v>3</v>
      </c>
      <c r="AI335" s="23" t="n">
        <f aca="false" t="array" ref="AI335:AI335">INDEX(Matériaux!$C$16:$C$20,$D335)</f>
        <v>25</v>
      </c>
      <c r="AJ335" s="25" t="n">
        <f aca="false">Paramètres!$B$16+(1-Paramètres!$B$16)*(($J335-Paramètres!$B$14)/(Paramètres!$B$15-Paramètres!$B$14))^Paramètres!$B$17</f>
        <v>0.458504333336152</v>
      </c>
    </row>
    <row r="336" customFormat="false" ht="15.75" hidden="false" customHeight="true" outlineLevel="0" collapsed="false">
      <c r="A336" s="14" t="s">
        <v>452</v>
      </c>
      <c r="B336" s="15" t="s">
        <v>29</v>
      </c>
      <c r="C336" s="15" t="s">
        <v>107</v>
      </c>
      <c r="D336" s="16" t="n">
        <v>4</v>
      </c>
      <c r="E336" s="15" t="str">
        <f aca="false" t="array" ref="E336:E336">INDEX(Matériaux!$B$5:$F$12,MATCH(INDEX(Profils!$E$5:$E$34,$AE336),Matériaux!$A$5:$A$12,0),$D336)</f>
        <v>velours enchanté</v>
      </c>
      <c r="F336" s="27" t="s">
        <v>113</v>
      </c>
      <c r="G336" s="10" t="str">
        <f aca="false" t="array" ref="G336:G336">INDEX(Profils!$D$5:$D$34,$AE336)&amp;" en "&amp;$E336</f>
        <v>Chapeau en velours enchanté</v>
      </c>
      <c r="H336" s="16" t="n">
        <f aca="false" t="array" ref="H336:H336">INDEX(Matériaux!$B$16:$B$20,$D336)</f>
        <v>50</v>
      </c>
      <c r="I336" s="16" t="n">
        <f aca="false">IF(ISNUMBER($C$3),MIN(MAX(0,ROUND($C$3,0)),$AI336),$AI336)</f>
        <v>0</v>
      </c>
      <c r="J336" s="18" t="n">
        <f aca="false">$H336+$I336</f>
        <v>50</v>
      </c>
      <c r="K336" s="15" t="s">
        <v>109</v>
      </c>
      <c r="L336" s="19" t="n">
        <f aca="false" t="array" ref="L336:L336">IF(AND(INDEX(Profils!$F$5:$F$34,$AE336)&gt;0,INDEX(Profils!$U$5:$U$34,$AE336)&lt;=$AH336),ROUND(INDEX(Profils!$F$5:$F$34,$AE336)*Paramètres!$E$22*$AG336*$AJ336,Paramètres!$F$22),0)</f>
        <v>20</v>
      </c>
      <c r="M336" s="19" t="n">
        <f aca="false" t="array" ref="M336:M336">IF(AND(INDEX(Profils!$G$5:$G$34,$AE336)&gt;0,INDEX(Profils!$V$5:$V$34,$AE336)&lt;=$AH336),ROUND(INDEX(Profils!$G$5:$G$34,$AE336)*Paramètres!$E$23*$AG336*$AJ336,Paramètres!$F$23),0)</f>
        <v>0</v>
      </c>
      <c r="N336" s="19" t="n">
        <f aca="false" t="array" ref="N336:N336">IF(AND(INDEX(Profils!$H$5:$H$34,$AE336)&gt;0,INDEX(Profils!$W$5:$W$34,$AE336)&lt;=$AH336),ROUND(INDEX(Profils!$H$5:$H$34,$AE336)*Paramètres!$E$24*$AG336*$AJ336,Paramètres!$F$24),0)</f>
        <v>0</v>
      </c>
      <c r="O336" s="19" t="n">
        <f aca="false" t="array" ref="O336:O336">IF(AND(INDEX(Profils!$I$5:$I$34,$AE336)&gt;0,INDEX(Profils!$X$5:$X$34,$AE336)&lt;=$AH336),ROUND(INDEX(Profils!$I$5:$I$34,$AE336)*Paramètres!$E$25*$AG336*$AJ336,Paramètres!$F$25),0)</f>
        <v>10</v>
      </c>
      <c r="P336" s="19" t="n">
        <f aca="false" t="array" ref="P336:P336">IF(AND(INDEX(Profils!$J$5:$J$34,$AE336)&gt;0,INDEX(Profils!$Y$5:$Y$34,$AE336)&lt;=$AH336),ROUND(INDEX(Profils!$J$5:$J$34,$AE336)*Paramètres!$E$26*$AG336*$AJ336,Paramètres!$F$26),0)</f>
        <v>0</v>
      </c>
      <c r="Q336" s="19" t="n">
        <f aca="false" t="array" ref="Q336:Q336">IF(AND(INDEX(Profils!$K$5:$K$34,$AE336)&gt;0,INDEX(Profils!$Z$5:$Z$34,$AE336)&lt;=$AH336),ROUND(INDEX(Profils!$K$5:$K$34,$AE336)*Paramètres!$E$27*$AG336*$AJ336,Paramètres!$F$27),0)</f>
        <v>0</v>
      </c>
      <c r="R336" s="20" t="n">
        <f aca="false" t="array" ref="R336:R336">IF(AND(INDEX(Profils!$L$5:$L$34,$AE336)&gt;0,INDEX(Profils!$AA$5:$AA$34,$AE336)&lt;=$AH336),ROUND(INDEX(Profils!$L$5:$L$34,$AE336)*Paramètres!$E$28*$AG336*$AJ336,Paramètres!$F$28),0)</f>
        <v>0</v>
      </c>
      <c r="S336" s="20" t="n">
        <f aca="false" t="array" ref="S336:S336">IF(AND(INDEX(Profils!$M$5:$M$34,$AE336)&gt;0,INDEX(Profils!$AB$5:$AB$34,$AE336)&lt;=$AH336),ROUND(INDEX(Profils!$M$5:$M$34,$AE336)*Paramètres!$E$29*$AG336*$AJ336,Paramètres!$F$29),0)</f>
        <v>0</v>
      </c>
      <c r="T336" s="20" t="n">
        <f aca="false" t="array" ref="T336:T336">IF(AND(INDEX(Profils!$N$5:$N$34,$AE336)&gt;0,INDEX(Profils!$AC$5:$AC$34,$AE336)&lt;=$AH336),ROUND(INDEX(Profils!$N$5:$N$34,$AE336)*Paramètres!$E$30*$AG336*$AJ336,Paramètres!$F$30),0)</f>
        <v>0</v>
      </c>
      <c r="U336" s="19" t="n">
        <f aca="false" t="array" ref="U336:U336">IF(AND(INDEX(Profils!$O$5:$O$34,$AE336)&gt;0,INDEX(Profils!$AD$5:$AD$34,$AE336)&lt;=$AH336),ROUND(INDEX(Profils!$O$5:$O$34,$AE336)*Paramètres!$E$31*$AG336*$AJ336,Paramètres!$F$31),0)</f>
        <v>0</v>
      </c>
      <c r="V336" s="20" t="n">
        <f aca="false" t="array" ref="V336:V336">IF(AND(INDEX(Profils!$P$5:$P$34,$AE336)&gt;0,INDEX(Profils!$AE$5:$AE$34,$AE336)&lt;=$AH336),ROUND(INDEX(Profils!$P$5:$P$34,$AE336)*Paramètres!$E$32*$AG336*$AJ336,Paramètres!$F$32),0)</f>
        <v>0</v>
      </c>
      <c r="W336" s="20" t="n">
        <f aca="false" t="array" ref="W336:W336">IF(AND(INDEX(Profils!$Q$5:$Q$34,$AE336)&gt;0,INDEX(Profils!$AF$5:$AF$34,$AE336)&lt;=$AH336),ROUND(INDEX(Profils!$Q$5:$Q$34,$AE336)*Paramètres!$E$33*$AG336*$AJ336,Paramètres!$F$33),0)</f>
        <v>0.008</v>
      </c>
      <c r="X336" s="20" t="n">
        <f aca="false" t="array" ref="X336:X336">IF(AND(INDEX(Profils!$R$5:$R$34,$AE336)&gt;0,INDEX(Profils!$AG$5:$AG$34,$AE336)&lt;=$AH336),ROUND(INDEX(Profils!$R$5:$R$34,$AE336)*Paramètres!$E$34*$AG336*$AJ336,Paramètres!$F$34),0)</f>
        <v>0</v>
      </c>
      <c r="Y336" s="20" t="n">
        <f aca="false" t="array" ref="Y336:Y336">IF(AND(INDEX(Profils!$S$5:$S$34,$AE336)&gt;0,INDEX(Profils!$AH$5:$AH$34,$AE336)&lt;=$AH336),ROUND(INDEX(Profils!$S$5:$S$34,$AE336)*Paramètres!$E$35*$AG336*$AJ336,Paramètres!$F$35),0)</f>
        <v>0.01</v>
      </c>
      <c r="Z336" s="21" t="n">
        <f aca="false">ROUND(L336/Paramètres!$E$22+M336/Paramètres!$E$23+N336/Paramètres!$E$24+O336/Paramètres!$E$25+P336/Paramètres!$E$26+Q336/Paramètres!$E$27+R336/Paramètres!$E$28+S336/Paramètres!$E$29+T336/Paramètres!$E$30+U336/Paramètres!$E$31+V336/Paramètres!$E$32+W336/Paramètres!$E$33+X336/Paramètres!$E$34+Y336/Paramètres!$E$35,1)</f>
        <v>2.7</v>
      </c>
      <c r="AA336" s="22" t="s">
        <v>109</v>
      </c>
      <c r="AB336" s="22" t="s">
        <v>109</v>
      </c>
      <c r="AC336" s="15" t="str">
        <f aca="false">$E336</f>
        <v>velours enchanté</v>
      </c>
      <c r="AD336" s="16" t="n">
        <f aca="false" t="array" ref="AD336:AD336">IF($I336&gt;=$AI336,"Max",ROUND(Paramètres!$B$40*($I336+1)^Paramètres!$B$41*INDEX(Paramètres!$H$6:$H$12,$AF336),0))</f>
        <v>4</v>
      </c>
      <c r="AE336" s="23" t="n">
        <f aca="false">MATCH($B336&amp;"|"&amp;$C336,Profils!$A$5:$A$34,0)</f>
        <v>11</v>
      </c>
      <c r="AF336" s="23" t="n">
        <v>3</v>
      </c>
      <c r="AG336" s="24" t="n">
        <f aca="false" t="array" ref="AG336:AG336">INDEX(Paramètres!$C$6:$C$12,$AF336)</f>
        <v>1.45</v>
      </c>
      <c r="AH336" s="23" t="n">
        <f aca="false" t="array" ref="AH336:AH336">INDEX(Paramètres!$D$6:$D$12,$AF336)</f>
        <v>4</v>
      </c>
      <c r="AI336" s="23" t="n">
        <f aca="false" t="array" ref="AI336:AI336">INDEX(Matériaux!$C$16:$C$20,$D336)</f>
        <v>25</v>
      </c>
      <c r="AJ336" s="25" t="n">
        <f aca="false">Paramètres!$B$16+(1-Paramètres!$B$16)*(($J336-Paramètres!$B$14)/(Paramètres!$B$15-Paramètres!$B$14))^Paramètres!$B$17</f>
        <v>0.458504333336152</v>
      </c>
    </row>
    <row r="337" customFormat="false" ht="15.75" hidden="false" customHeight="true" outlineLevel="0" collapsed="false">
      <c r="A337" s="14" t="s">
        <v>453</v>
      </c>
      <c r="B337" s="15" t="s">
        <v>29</v>
      </c>
      <c r="C337" s="15" t="s">
        <v>107</v>
      </c>
      <c r="D337" s="16" t="n">
        <v>4</v>
      </c>
      <c r="E337" s="15" t="str">
        <f aca="false" t="array" ref="E337:E337">INDEX(Matériaux!$B$5:$F$12,MATCH(INDEX(Profils!$E$5:$E$34,$AE337),Matériaux!$A$5:$A$12,0),$D337)</f>
        <v>velours enchanté</v>
      </c>
      <c r="F337" s="28" t="s">
        <v>115</v>
      </c>
      <c r="G337" s="10" t="str">
        <f aca="false" t="array" ref="G337:G337">INDEX(Profils!$D$5:$D$34,$AE337)&amp;" en "&amp;$E337</f>
        <v>Chapeau en velours enchanté</v>
      </c>
      <c r="H337" s="16" t="n">
        <f aca="false" t="array" ref="H337:H337">INDEX(Matériaux!$B$16:$B$20,$D337)</f>
        <v>50</v>
      </c>
      <c r="I337" s="16" t="n">
        <f aca="false">IF(ISNUMBER($C$3),MIN(MAX(0,ROUND($C$3,0)),$AI337),$AI337)</f>
        <v>0</v>
      </c>
      <c r="J337" s="18" t="n">
        <f aca="false">$H337+$I337</f>
        <v>50</v>
      </c>
      <c r="K337" s="15" t="s">
        <v>109</v>
      </c>
      <c r="L337" s="19" t="n">
        <f aca="false" t="array" ref="L337:L337">IF(AND(INDEX(Profils!$F$5:$F$34,$AE337)&gt;0,INDEX(Profils!$U$5:$U$34,$AE337)&lt;=$AH337),ROUND(INDEX(Profils!$F$5:$F$34,$AE337)*Paramètres!$E$22*$AG337*$AJ337,Paramètres!$F$22),0)</f>
        <v>24</v>
      </c>
      <c r="M337" s="19" t="n">
        <f aca="false" t="array" ref="M337:M337">IF(AND(INDEX(Profils!$G$5:$G$34,$AE337)&gt;0,INDEX(Profils!$V$5:$V$34,$AE337)&lt;=$AH337),ROUND(INDEX(Profils!$G$5:$G$34,$AE337)*Paramètres!$E$23*$AG337*$AJ337,Paramètres!$F$23),0)</f>
        <v>0</v>
      </c>
      <c r="N337" s="19" t="n">
        <f aca="false" t="array" ref="N337:N337">IF(AND(INDEX(Profils!$H$5:$H$34,$AE337)&gt;0,INDEX(Profils!$W$5:$W$34,$AE337)&lt;=$AH337),ROUND(INDEX(Profils!$H$5:$H$34,$AE337)*Paramètres!$E$24*$AG337*$AJ337,Paramètres!$F$24),0)</f>
        <v>0</v>
      </c>
      <c r="O337" s="19" t="n">
        <f aca="false" t="array" ref="O337:O337">IF(AND(INDEX(Profils!$I$5:$I$34,$AE337)&gt;0,INDEX(Profils!$X$5:$X$34,$AE337)&lt;=$AH337),ROUND(INDEX(Profils!$I$5:$I$34,$AE337)*Paramètres!$E$25*$AG337*$AJ337,Paramètres!$F$25),0)</f>
        <v>12</v>
      </c>
      <c r="P337" s="19" t="n">
        <f aca="false" t="array" ref="P337:P337">IF(AND(INDEX(Profils!$J$5:$J$34,$AE337)&gt;0,INDEX(Profils!$Y$5:$Y$34,$AE337)&lt;=$AH337),ROUND(INDEX(Profils!$J$5:$J$34,$AE337)*Paramètres!$E$26*$AG337*$AJ337,Paramètres!$F$26),0)</f>
        <v>0</v>
      </c>
      <c r="Q337" s="19" t="n">
        <f aca="false" t="array" ref="Q337:Q337">IF(AND(INDEX(Profils!$K$5:$K$34,$AE337)&gt;0,INDEX(Profils!$Z$5:$Z$34,$AE337)&lt;=$AH337),ROUND(INDEX(Profils!$K$5:$K$34,$AE337)*Paramètres!$E$27*$AG337*$AJ337,Paramètres!$F$27),0)</f>
        <v>0</v>
      </c>
      <c r="R337" s="20" t="n">
        <f aca="false" t="array" ref="R337:R337">IF(AND(INDEX(Profils!$L$5:$L$34,$AE337)&gt;0,INDEX(Profils!$AA$5:$AA$34,$AE337)&lt;=$AH337),ROUND(INDEX(Profils!$L$5:$L$34,$AE337)*Paramètres!$E$28*$AG337*$AJ337,Paramètres!$F$28),0)</f>
        <v>0</v>
      </c>
      <c r="S337" s="20" t="n">
        <f aca="false" t="array" ref="S337:S337">IF(AND(INDEX(Profils!$M$5:$M$34,$AE337)&gt;0,INDEX(Profils!$AB$5:$AB$34,$AE337)&lt;=$AH337),ROUND(INDEX(Profils!$M$5:$M$34,$AE337)*Paramètres!$E$29*$AG337*$AJ337,Paramètres!$F$29),0)</f>
        <v>0</v>
      </c>
      <c r="T337" s="20" t="n">
        <f aca="false" t="array" ref="T337:T337">IF(AND(INDEX(Profils!$N$5:$N$34,$AE337)&gt;0,INDEX(Profils!$AC$5:$AC$34,$AE337)&lt;=$AH337),ROUND(INDEX(Profils!$N$5:$N$34,$AE337)*Paramètres!$E$30*$AG337*$AJ337,Paramètres!$F$30),0)</f>
        <v>0</v>
      </c>
      <c r="U337" s="19" t="n">
        <f aca="false" t="array" ref="U337:U337">IF(AND(INDEX(Profils!$O$5:$O$34,$AE337)&gt;0,INDEX(Profils!$AD$5:$AD$34,$AE337)&lt;=$AH337),ROUND(INDEX(Profils!$O$5:$O$34,$AE337)*Paramètres!$E$31*$AG337*$AJ337,Paramètres!$F$31),0)</f>
        <v>0</v>
      </c>
      <c r="V337" s="20" t="n">
        <f aca="false" t="array" ref="V337:V337">IF(AND(INDEX(Profils!$P$5:$P$34,$AE337)&gt;0,INDEX(Profils!$AE$5:$AE$34,$AE337)&lt;=$AH337),ROUND(INDEX(Profils!$P$5:$P$34,$AE337)*Paramètres!$E$32*$AG337*$AJ337,Paramètres!$F$32),0)</f>
        <v>0</v>
      </c>
      <c r="W337" s="20" t="n">
        <f aca="false" t="array" ref="W337:W337">IF(AND(INDEX(Profils!$Q$5:$Q$34,$AE337)&gt;0,INDEX(Profils!$AF$5:$AF$34,$AE337)&lt;=$AH337),ROUND(INDEX(Profils!$Q$5:$Q$34,$AE337)*Paramètres!$E$33*$AG337*$AJ337,Paramètres!$F$33),0)</f>
        <v>0.01</v>
      </c>
      <c r="X337" s="20" t="n">
        <f aca="false" t="array" ref="X337:X337">IF(AND(INDEX(Profils!$R$5:$R$34,$AE337)&gt;0,INDEX(Profils!$AG$5:$AG$34,$AE337)&lt;=$AH337),ROUND(INDEX(Profils!$R$5:$R$34,$AE337)*Paramètres!$E$34*$AG337*$AJ337,Paramètres!$F$34),0)</f>
        <v>0.013</v>
      </c>
      <c r="Y337" s="20" t="n">
        <f aca="false" t="array" ref="Y337:Y337">IF(AND(INDEX(Profils!$S$5:$S$34,$AE337)&gt;0,INDEX(Profils!$AH$5:$AH$34,$AE337)&lt;=$AH337),ROUND(INDEX(Profils!$S$5:$S$34,$AE337)*Paramètres!$E$35*$AG337*$AJ337,Paramètres!$F$35),0)</f>
        <v>0.012</v>
      </c>
      <c r="Z337" s="21" t="n">
        <f aca="false">ROUND(L337/Paramètres!$E$22+M337/Paramètres!$E$23+N337/Paramètres!$E$24+O337/Paramètres!$E$25+P337/Paramètres!$E$26+Q337/Paramètres!$E$27+R337/Paramètres!$E$28+S337/Paramètres!$E$29+T337/Paramètres!$E$30+U337/Paramètres!$E$31+V337/Paramètres!$E$32+W337/Paramètres!$E$33+X337/Paramètres!$E$34+Y337/Paramètres!$E$35,1)</f>
        <v>3.9</v>
      </c>
      <c r="AA337" s="22" t="s">
        <v>109</v>
      </c>
      <c r="AB337" s="22" t="s">
        <v>109</v>
      </c>
      <c r="AC337" s="15" t="str">
        <f aca="false">$E337</f>
        <v>velours enchanté</v>
      </c>
      <c r="AD337" s="16" t="n">
        <f aca="false" t="array" ref="AD337:AD337">IF($I337&gt;=$AI337,"Max",ROUND(Paramètres!$B$40*($I337+1)^Paramètres!$B$41*INDEX(Paramètres!$H$6:$H$12,$AF337),0))</f>
        <v>5</v>
      </c>
      <c r="AE337" s="23" t="n">
        <f aca="false">MATCH($B337&amp;"|"&amp;$C337,Profils!$A$5:$A$34,0)</f>
        <v>11</v>
      </c>
      <c r="AF337" s="23" t="n">
        <v>4</v>
      </c>
      <c r="AG337" s="24" t="n">
        <f aca="false" t="array" ref="AG337:AG337">INDEX(Paramètres!$C$6:$C$12,$AF337)</f>
        <v>1.75</v>
      </c>
      <c r="AH337" s="23" t="n">
        <f aca="false" t="array" ref="AH337:AH337">INDEX(Paramètres!$D$6:$D$12,$AF337)</f>
        <v>5</v>
      </c>
      <c r="AI337" s="23" t="n">
        <f aca="false" t="array" ref="AI337:AI337">INDEX(Matériaux!$C$16:$C$20,$D337)</f>
        <v>25</v>
      </c>
      <c r="AJ337" s="25" t="n">
        <f aca="false">Paramètres!$B$16+(1-Paramètres!$B$16)*(($J337-Paramètres!$B$14)/(Paramètres!$B$15-Paramètres!$B$14))^Paramètres!$B$17</f>
        <v>0.458504333336152</v>
      </c>
    </row>
    <row r="338" customFormat="false" ht="15.75" hidden="false" customHeight="true" outlineLevel="0" collapsed="false">
      <c r="A338" s="14" t="s">
        <v>454</v>
      </c>
      <c r="B338" s="15" t="s">
        <v>29</v>
      </c>
      <c r="C338" s="15" t="s">
        <v>107</v>
      </c>
      <c r="D338" s="16" t="n">
        <v>4</v>
      </c>
      <c r="E338" s="15" t="str">
        <f aca="false" t="array" ref="E338:E338">INDEX(Matériaux!$B$5:$F$12,MATCH(INDEX(Profils!$E$5:$E$34,$AE338),Matériaux!$A$5:$A$12,0),$D338)</f>
        <v>velours enchanté</v>
      </c>
      <c r="F338" s="29" t="s">
        <v>117</v>
      </c>
      <c r="G338" s="10" t="str">
        <f aca="false" t="array" ref="G338:G338">INDEX(Profils!$D$5:$D$34,$AE338)&amp;" en "&amp;$E338</f>
        <v>Chapeau en velours enchanté</v>
      </c>
      <c r="H338" s="16" t="n">
        <f aca="false" t="array" ref="H338:H338">INDEX(Matériaux!$B$16:$B$20,$D338)</f>
        <v>50</v>
      </c>
      <c r="I338" s="16" t="n">
        <f aca="false">IF(ISNUMBER($C$3),MIN(MAX(0,ROUND($C$3,0)),$AI338),$AI338)</f>
        <v>0</v>
      </c>
      <c r="J338" s="18" t="n">
        <f aca="false">$H338+$I338</f>
        <v>50</v>
      </c>
      <c r="K338" s="15" t="s">
        <v>109</v>
      </c>
      <c r="L338" s="19" t="n">
        <f aca="false" t="array" ref="L338:L338">IF(AND(INDEX(Profils!$F$5:$F$34,$AE338)&gt;0,INDEX(Profils!$U$5:$U$34,$AE338)&lt;=$AH338),ROUND(INDEX(Profils!$F$5:$F$34,$AE338)*Paramètres!$E$22*$AG338*$AJ338,Paramètres!$F$22),0)</f>
        <v>29</v>
      </c>
      <c r="M338" s="19" t="n">
        <f aca="false" t="array" ref="M338:M338">IF(AND(INDEX(Profils!$G$5:$G$34,$AE338)&gt;0,INDEX(Profils!$V$5:$V$34,$AE338)&lt;=$AH338),ROUND(INDEX(Profils!$G$5:$G$34,$AE338)*Paramètres!$E$23*$AG338*$AJ338,Paramètres!$F$23),0)</f>
        <v>0</v>
      </c>
      <c r="N338" s="19" t="n">
        <f aca="false" t="array" ref="N338:N338">IF(AND(INDEX(Profils!$H$5:$H$34,$AE338)&gt;0,INDEX(Profils!$W$5:$W$34,$AE338)&lt;=$AH338),ROUND(INDEX(Profils!$H$5:$H$34,$AE338)*Paramètres!$E$24*$AG338*$AJ338,Paramètres!$F$24),0)</f>
        <v>0</v>
      </c>
      <c r="O338" s="19" t="n">
        <f aca="false" t="array" ref="O338:O338">IF(AND(INDEX(Profils!$I$5:$I$34,$AE338)&gt;0,INDEX(Profils!$X$5:$X$34,$AE338)&lt;=$AH338),ROUND(INDEX(Profils!$I$5:$I$34,$AE338)*Paramètres!$E$25*$AG338*$AJ338,Paramètres!$F$25),0)</f>
        <v>14</v>
      </c>
      <c r="P338" s="19" t="n">
        <f aca="false" t="array" ref="P338:P338">IF(AND(INDEX(Profils!$J$5:$J$34,$AE338)&gt;0,INDEX(Profils!$Y$5:$Y$34,$AE338)&lt;=$AH338),ROUND(INDEX(Profils!$J$5:$J$34,$AE338)*Paramètres!$E$26*$AG338*$AJ338,Paramètres!$F$26),0)</f>
        <v>7</v>
      </c>
      <c r="Q338" s="19" t="n">
        <f aca="false" t="array" ref="Q338:Q338">IF(AND(INDEX(Profils!$K$5:$K$34,$AE338)&gt;0,INDEX(Profils!$Z$5:$Z$34,$AE338)&lt;=$AH338),ROUND(INDEX(Profils!$K$5:$K$34,$AE338)*Paramètres!$E$27*$AG338*$AJ338,Paramètres!$F$27),0)</f>
        <v>0</v>
      </c>
      <c r="R338" s="20" t="n">
        <f aca="false" t="array" ref="R338:R338">IF(AND(INDEX(Profils!$L$5:$L$34,$AE338)&gt;0,INDEX(Profils!$AA$5:$AA$34,$AE338)&lt;=$AH338),ROUND(INDEX(Profils!$L$5:$L$34,$AE338)*Paramètres!$E$28*$AG338*$AJ338,Paramètres!$F$28),0)</f>
        <v>0</v>
      </c>
      <c r="S338" s="20" t="n">
        <f aca="false" t="array" ref="S338:S338">IF(AND(INDEX(Profils!$M$5:$M$34,$AE338)&gt;0,INDEX(Profils!$AB$5:$AB$34,$AE338)&lt;=$AH338),ROUND(INDEX(Profils!$M$5:$M$34,$AE338)*Paramètres!$E$29*$AG338*$AJ338,Paramètres!$F$29),0)</f>
        <v>0</v>
      </c>
      <c r="T338" s="20" t="n">
        <f aca="false" t="array" ref="T338:T338">IF(AND(INDEX(Profils!$N$5:$N$34,$AE338)&gt;0,INDEX(Profils!$AC$5:$AC$34,$AE338)&lt;=$AH338),ROUND(INDEX(Profils!$N$5:$N$34,$AE338)*Paramètres!$E$30*$AG338*$AJ338,Paramètres!$F$30),0)</f>
        <v>0</v>
      </c>
      <c r="U338" s="19" t="n">
        <f aca="false" t="array" ref="U338:U338">IF(AND(INDEX(Profils!$O$5:$O$34,$AE338)&gt;0,INDEX(Profils!$AD$5:$AD$34,$AE338)&lt;=$AH338),ROUND(INDEX(Profils!$O$5:$O$34,$AE338)*Paramètres!$E$31*$AG338*$AJ338,Paramètres!$F$31),0)</f>
        <v>0</v>
      </c>
      <c r="V338" s="20" t="n">
        <f aca="false" t="array" ref="V338:V338">IF(AND(INDEX(Profils!$P$5:$P$34,$AE338)&gt;0,INDEX(Profils!$AE$5:$AE$34,$AE338)&lt;=$AH338),ROUND(INDEX(Profils!$P$5:$P$34,$AE338)*Paramètres!$E$32*$AG338*$AJ338,Paramètres!$F$32),0)</f>
        <v>0</v>
      </c>
      <c r="W338" s="20" t="n">
        <f aca="false" t="array" ref="W338:W338">IF(AND(INDEX(Profils!$Q$5:$Q$34,$AE338)&gt;0,INDEX(Profils!$AF$5:$AF$34,$AE338)&lt;=$AH338),ROUND(INDEX(Profils!$Q$5:$Q$34,$AE338)*Paramètres!$E$33*$AG338*$AJ338,Paramètres!$F$33),0)</f>
        <v>0.012</v>
      </c>
      <c r="X338" s="20" t="n">
        <f aca="false" t="array" ref="X338:X338">IF(AND(INDEX(Profils!$R$5:$R$34,$AE338)&gt;0,INDEX(Profils!$AG$5:$AG$34,$AE338)&lt;=$AH338),ROUND(INDEX(Profils!$R$5:$R$34,$AE338)*Paramètres!$E$34*$AG338*$AJ338,Paramètres!$F$34),0)</f>
        <v>0.015</v>
      </c>
      <c r="Y338" s="20" t="n">
        <f aca="false" t="array" ref="Y338:Y338">IF(AND(INDEX(Profils!$S$5:$S$34,$AE338)&gt;0,INDEX(Profils!$AH$5:$AH$34,$AE338)&lt;=$AH338),ROUND(INDEX(Profils!$S$5:$S$34,$AE338)*Paramètres!$E$35*$AG338*$AJ338,Paramètres!$F$35),0)</f>
        <v>0.014</v>
      </c>
      <c r="Z338" s="21" t="n">
        <f aca="false">ROUND(L338/Paramètres!$E$22+M338/Paramètres!$E$23+N338/Paramètres!$E$24+O338/Paramètres!$E$25+P338/Paramètres!$E$26+Q338/Paramètres!$E$27+R338/Paramètres!$E$28+S338/Paramètres!$E$29+T338/Paramètres!$E$30+U338/Paramètres!$E$31+V338/Paramètres!$E$32+W338/Paramètres!$E$33+X338/Paramètres!$E$34+Y338/Paramètres!$E$35,1)</f>
        <v>5.2</v>
      </c>
      <c r="AA338" s="22" t="s">
        <v>109</v>
      </c>
      <c r="AB338" s="22" t="s">
        <v>109</v>
      </c>
      <c r="AC338" s="15" t="str">
        <f aca="false">$E338</f>
        <v>velours enchanté</v>
      </c>
      <c r="AD338" s="16" t="n">
        <f aca="false" t="array" ref="AD338:AD338">IF($I338&gt;=$AI338,"Max",ROUND(Paramètres!$B$40*($I338+1)^Paramètres!$B$41*INDEX(Paramètres!$H$6:$H$12,$AF338),0))</f>
        <v>6</v>
      </c>
      <c r="AE338" s="23" t="n">
        <f aca="false">MATCH($B338&amp;"|"&amp;$C338,Profils!$A$5:$A$34,0)</f>
        <v>11</v>
      </c>
      <c r="AF338" s="23" t="n">
        <v>5</v>
      </c>
      <c r="AG338" s="24" t="n">
        <f aca="false" t="array" ref="AG338:AG338">INDEX(Paramètres!$C$6:$C$12,$AF338)</f>
        <v>2.1</v>
      </c>
      <c r="AH338" s="23" t="n">
        <f aca="false" t="array" ref="AH338:AH338">INDEX(Paramètres!$D$6:$D$12,$AF338)</f>
        <v>6</v>
      </c>
      <c r="AI338" s="23" t="n">
        <f aca="false" t="array" ref="AI338:AI338">INDEX(Matériaux!$C$16:$C$20,$D338)</f>
        <v>25</v>
      </c>
      <c r="AJ338" s="25" t="n">
        <f aca="false">Paramètres!$B$16+(1-Paramètres!$B$16)*(($J338-Paramètres!$B$14)/(Paramètres!$B$15-Paramètres!$B$14))^Paramètres!$B$17</f>
        <v>0.458504333336152</v>
      </c>
    </row>
    <row r="339" customFormat="false" ht="15.75" hidden="false" customHeight="true" outlineLevel="0" collapsed="false">
      <c r="A339" s="14" t="s">
        <v>455</v>
      </c>
      <c r="B339" s="15" t="s">
        <v>29</v>
      </c>
      <c r="C339" s="15" t="s">
        <v>107</v>
      </c>
      <c r="D339" s="16" t="n">
        <v>4</v>
      </c>
      <c r="E339" s="15" t="str">
        <f aca="false" t="array" ref="E339:E339">INDEX(Matériaux!$B$5:$F$12,MATCH(INDEX(Profils!$E$5:$E$34,$AE339),Matériaux!$A$5:$A$12,0),$D339)</f>
        <v>velours enchanté</v>
      </c>
      <c r="F339" s="30" t="s">
        <v>119</v>
      </c>
      <c r="G339" s="10" t="str">
        <f aca="false" t="array" ref="G339:G339">INDEX(Profils!$D$5:$D$34,$AE339)&amp;" en "&amp;$E339</f>
        <v>Chapeau en velours enchanté</v>
      </c>
      <c r="H339" s="16" t="n">
        <f aca="false" t="array" ref="H339:H339">INDEX(Matériaux!$B$16:$B$20,$D339)</f>
        <v>50</v>
      </c>
      <c r="I339" s="16" t="n">
        <f aca="false">IF(ISNUMBER($C$3),MIN(MAX(0,ROUND($C$3,0)),$AI339),$AI339)</f>
        <v>0</v>
      </c>
      <c r="J339" s="18" t="n">
        <f aca="false">$H339+$I339</f>
        <v>50</v>
      </c>
      <c r="K339" s="15" t="s">
        <v>109</v>
      </c>
      <c r="L339" s="19" t="n">
        <f aca="false" t="array" ref="L339:L339">IF(AND(INDEX(Profils!$F$5:$F$34,$AE339)&gt;0,INDEX(Profils!$U$5:$U$34,$AE339)&lt;=$AH339),ROUND(INDEX(Profils!$F$5:$F$34,$AE339)*Paramètres!$E$22*$AG339*$AJ339,Paramètres!$F$22),0)</f>
        <v>33</v>
      </c>
      <c r="M339" s="19" t="n">
        <f aca="false" t="array" ref="M339:M339">IF(AND(INDEX(Profils!$G$5:$G$34,$AE339)&gt;0,INDEX(Profils!$V$5:$V$34,$AE339)&lt;=$AH339),ROUND(INDEX(Profils!$G$5:$G$34,$AE339)*Paramètres!$E$23*$AG339*$AJ339,Paramètres!$F$23),0)</f>
        <v>0</v>
      </c>
      <c r="N339" s="19" t="n">
        <f aca="false" t="array" ref="N339:N339">IF(AND(INDEX(Profils!$H$5:$H$34,$AE339)&gt;0,INDEX(Profils!$W$5:$W$34,$AE339)&lt;=$AH339),ROUND(INDEX(Profils!$H$5:$H$34,$AE339)*Paramètres!$E$24*$AG339*$AJ339,Paramètres!$F$24),0)</f>
        <v>0</v>
      </c>
      <c r="O339" s="19" t="n">
        <f aca="false" t="array" ref="O339:O339">IF(AND(INDEX(Profils!$I$5:$I$34,$AE339)&gt;0,INDEX(Profils!$X$5:$X$34,$AE339)&lt;=$AH339),ROUND(INDEX(Profils!$I$5:$I$34,$AE339)*Paramètres!$E$25*$AG339*$AJ339,Paramètres!$F$25),0)</f>
        <v>17</v>
      </c>
      <c r="P339" s="19" t="n">
        <f aca="false" t="array" ref="P339:P339">IF(AND(INDEX(Profils!$J$5:$J$34,$AE339)&gt;0,INDEX(Profils!$Y$5:$Y$34,$AE339)&lt;=$AH339),ROUND(INDEX(Profils!$J$5:$J$34,$AE339)*Paramètres!$E$26*$AG339*$AJ339,Paramètres!$F$26),0)</f>
        <v>8</v>
      </c>
      <c r="Q339" s="19" t="n">
        <f aca="false" t="array" ref="Q339:Q339">IF(AND(INDEX(Profils!$K$5:$K$34,$AE339)&gt;0,INDEX(Profils!$Z$5:$Z$34,$AE339)&lt;=$AH339),ROUND(INDEX(Profils!$K$5:$K$34,$AE339)*Paramètres!$E$27*$AG339*$AJ339,Paramètres!$F$27),0)</f>
        <v>0</v>
      </c>
      <c r="R339" s="20" t="n">
        <f aca="false" t="array" ref="R339:R339">IF(AND(INDEX(Profils!$L$5:$L$34,$AE339)&gt;0,INDEX(Profils!$AA$5:$AA$34,$AE339)&lt;=$AH339),ROUND(INDEX(Profils!$L$5:$L$34,$AE339)*Paramètres!$E$28*$AG339*$AJ339,Paramètres!$F$28),0)</f>
        <v>0.008</v>
      </c>
      <c r="S339" s="20" t="n">
        <f aca="false" t="array" ref="S339:S339">IF(AND(INDEX(Profils!$M$5:$M$34,$AE339)&gt;0,INDEX(Profils!$AB$5:$AB$34,$AE339)&lt;=$AH339),ROUND(INDEX(Profils!$M$5:$M$34,$AE339)*Paramètres!$E$29*$AG339*$AJ339,Paramètres!$F$29),0)</f>
        <v>0</v>
      </c>
      <c r="T339" s="20" t="n">
        <f aca="false" t="array" ref="T339:T339">IF(AND(INDEX(Profils!$N$5:$N$34,$AE339)&gt;0,INDEX(Profils!$AC$5:$AC$34,$AE339)&lt;=$AH339),ROUND(INDEX(Profils!$N$5:$N$34,$AE339)*Paramètres!$E$30*$AG339*$AJ339,Paramètres!$F$30),0)</f>
        <v>0</v>
      </c>
      <c r="U339" s="19" t="n">
        <f aca="false" t="array" ref="U339:U339">IF(AND(INDEX(Profils!$O$5:$O$34,$AE339)&gt;0,INDEX(Profils!$AD$5:$AD$34,$AE339)&lt;=$AH339),ROUND(INDEX(Profils!$O$5:$O$34,$AE339)*Paramètres!$E$31*$AG339*$AJ339,Paramètres!$F$31),0)</f>
        <v>0</v>
      </c>
      <c r="V339" s="20" t="n">
        <f aca="false" t="array" ref="V339:V339">IF(AND(INDEX(Profils!$P$5:$P$34,$AE339)&gt;0,INDEX(Profils!$AE$5:$AE$34,$AE339)&lt;=$AH339),ROUND(INDEX(Profils!$P$5:$P$34,$AE339)*Paramètres!$E$32*$AG339*$AJ339,Paramètres!$F$32),0)</f>
        <v>0</v>
      </c>
      <c r="W339" s="20" t="n">
        <f aca="false" t="array" ref="W339:W339">IF(AND(INDEX(Profils!$Q$5:$Q$34,$AE339)&gt;0,INDEX(Profils!$AF$5:$AF$34,$AE339)&lt;=$AH339),ROUND(INDEX(Profils!$Q$5:$Q$34,$AE339)*Paramètres!$E$33*$AG339*$AJ339,Paramètres!$F$33),0)</f>
        <v>0.013</v>
      </c>
      <c r="X339" s="20" t="n">
        <f aca="false" t="array" ref="X339:X339">IF(AND(INDEX(Profils!$R$5:$R$34,$AE339)&gt;0,INDEX(Profils!$AG$5:$AG$34,$AE339)&lt;=$AH339),ROUND(INDEX(Profils!$R$5:$R$34,$AE339)*Paramètres!$E$34*$AG339*$AJ339,Paramètres!$F$34),0)</f>
        <v>0.018</v>
      </c>
      <c r="Y339" s="20" t="n">
        <f aca="false" t="array" ref="Y339:Y339">IF(AND(INDEX(Profils!$S$5:$S$34,$AE339)&gt;0,INDEX(Profils!$AH$5:$AH$34,$AE339)&lt;=$AH339),ROUND(INDEX(Profils!$S$5:$S$34,$AE339)*Paramètres!$E$35*$AG339*$AJ339,Paramètres!$F$35),0)</f>
        <v>0.017</v>
      </c>
      <c r="Z339" s="21" t="n">
        <f aca="false">ROUND(L339/Paramètres!$E$22+M339/Paramètres!$E$23+N339/Paramètres!$E$24+O339/Paramètres!$E$25+P339/Paramètres!$E$26+Q339/Paramètres!$E$27+R339/Paramètres!$E$28+S339/Paramètres!$E$29+T339/Paramètres!$E$30+U339/Paramètres!$E$31+V339/Paramètres!$E$32+W339/Paramètres!$E$33+X339/Paramètres!$E$34+Y339/Paramètres!$E$35,1)</f>
        <v>6.6</v>
      </c>
      <c r="AA339" s="22" t="s">
        <v>109</v>
      </c>
      <c r="AB339" s="22" t="s">
        <v>109</v>
      </c>
      <c r="AC339" s="15" t="str">
        <f aca="false">$E339</f>
        <v>velours enchanté</v>
      </c>
      <c r="AD339" s="16" t="n">
        <f aca="false" t="array" ref="AD339:AD339">IF($I339&gt;=$AI339,"Max",ROUND(Paramètres!$B$40*($I339+1)^Paramètres!$B$41*INDEX(Paramètres!$H$6:$H$12,$AF339),0))</f>
        <v>8</v>
      </c>
      <c r="AE339" s="23" t="n">
        <f aca="false">MATCH($B339&amp;"|"&amp;$C339,Profils!$A$5:$A$34,0)</f>
        <v>11</v>
      </c>
      <c r="AF339" s="23" t="n">
        <v>6</v>
      </c>
      <c r="AG339" s="24" t="n">
        <f aca="false" t="array" ref="AG339:AG339">INDEX(Paramètres!$C$6:$C$12,$AF339)</f>
        <v>2.4</v>
      </c>
      <c r="AH339" s="23" t="n">
        <f aca="false" t="array" ref="AH339:AH339">INDEX(Paramètres!$D$6:$D$12,$AF339)</f>
        <v>7</v>
      </c>
      <c r="AI339" s="23" t="n">
        <f aca="false" t="array" ref="AI339:AI339">INDEX(Matériaux!$C$16:$C$20,$D339)</f>
        <v>25</v>
      </c>
      <c r="AJ339" s="25" t="n">
        <f aca="false">Paramètres!$B$16+(1-Paramètres!$B$16)*(($J339-Paramètres!$B$14)/(Paramètres!$B$15-Paramètres!$B$14))^Paramètres!$B$17</f>
        <v>0.458504333336152</v>
      </c>
    </row>
    <row r="340" customFormat="false" ht="15.75" hidden="false" customHeight="true" outlineLevel="0" collapsed="false">
      <c r="A340" s="14" t="s">
        <v>456</v>
      </c>
      <c r="B340" s="15" t="s">
        <v>29</v>
      </c>
      <c r="C340" s="15" t="s">
        <v>107</v>
      </c>
      <c r="D340" s="16" t="n">
        <v>5</v>
      </c>
      <c r="E340" s="15" t="str">
        <f aca="false" t="array" ref="E340:E340">INDEX(Matériaux!$B$5:$F$12,MATCH(INDEX(Profils!$E$5:$E$34,$AE340),Matériaux!$A$5:$A$12,0),$D340)</f>
        <v>étoffe astrale</v>
      </c>
      <c r="F340" s="17" t="s">
        <v>108</v>
      </c>
      <c r="G340" s="10" t="str">
        <f aca="false" t="array" ref="G340:G340">INDEX(Profils!$D$5:$D$34,$AE340)&amp;" en "&amp;$E340</f>
        <v>Chapeau en étoffe astrale</v>
      </c>
      <c r="H340" s="16" t="n">
        <f aca="false" t="array" ref="H340:H340">INDEX(Matériaux!$B$16:$B$20,$D340)</f>
        <v>70</v>
      </c>
      <c r="I340" s="16" t="n">
        <f aca="false">IF(ISNUMBER($C$3),MIN(MAX(0,ROUND($C$3,0)),$AI340),$AI340)</f>
        <v>0</v>
      </c>
      <c r="J340" s="18" t="n">
        <f aca="false">$H340+$I340</f>
        <v>70</v>
      </c>
      <c r="K340" s="15" t="s">
        <v>109</v>
      </c>
      <c r="L340" s="19" t="n">
        <f aca="false" t="array" ref="L340:L340">IF(AND(INDEX(Profils!$F$5:$F$34,$AE340)&gt;0,INDEX(Profils!$U$5:$U$34,$AE340)&lt;=$AH340),ROUND(INDEX(Profils!$F$5:$F$34,$AE340)*Paramètres!$E$22*$AG340*$AJ340,Paramètres!$F$22),0)</f>
        <v>20</v>
      </c>
      <c r="M340" s="19" t="n">
        <f aca="false" t="array" ref="M340:M340">IF(AND(INDEX(Profils!$G$5:$G$34,$AE340)&gt;0,INDEX(Profils!$V$5:$V$34,$AE340)&lt;=$AH340),ROUND(INDEX(Profils!$G$5:$G$34,$AE340)*Paramètres!$E$23*$AG340*$AJ340,Paramètres!$F$23),0)</f>
        <v>0</v>
      </c>
      <c r="N340" s="19" t="n">
        <f aca="false" t="array" ref="N340:N340">IF(AND(INDEX(Profils!$H$5:$H$34,$AE340)&gt;0,INDEX(Profils!$W$5:$W$34,$AE340)&lt;=$AH340),ROUND(INDEX(Profils!$H$5:$H$34,$AE340)*Paramètres!$E$24*$AG340*$AJ340,Paramètres!$F$24),0)</f>
        <v>0</v>
      </c>
      <c r="O340" s="19" t="n">
        <f aca="false" t="array" ref="O340:O340">IF(AND(INDEX(Profils!$I$5:$I$34,$AE340)&gt;0,INDEX(Profils!$X$5:$X$34,$AE340)&lt;=$AH340),ROUND(INDEX(Profils!$I$5:$I$34,$AE340)*Paramètres!$E$25*$AG340*$AJ340,Paramètres!$F$25),0)</f>
        <v>10</v>
      </c>
      <c r="P340" s="19" t="n">
        <f aca="false" t="array" ref="P340:P340">IF(AND(INDEX(Profils!$J$5:$J$34,$AE340)&gt;0,INDEX(Profils!$Y$5:$Y$34,$AE340)&lt;=$AH340),ROUND(INDEX(Profils!$J$5:$J$34,$AE340)*Paramètres!$E$26*$AG340*$AJ340,Paramètres!$F$26),0)</f>
        <v>0</v>
      </c>
      <c r="Q340" s="19" t="n">
        <f aca="false" t="array" ref="Q340:Q340">IF(AND(INDEX(Profils!$K$5:$K$34,$AE340)&gt;0,INDEX(Profils!$Z$5:$Z$34,$AE340)&lt;=$AH340),ROUND(INDEX(Profils!$K$5:$K$34,$AE340)*Paramètres!$E$27*$AG340*$AJ340,Paramètres!$F$27),0)</f>
        <v>0</v>
      </c>
      <c r="R340" s="20" t="n">
        <f aca="false" t="array" ref="R340:R340">IF(AND(INDEX(Profils!$L$5:$L$34,$AE340)&gt;0,INDEX(Profils!$AA$5:$AA$34,$AE340)&lt;=$AH340),ROUND(INDEX(Profils!$L$5:$L$34,$AE340)*Paramètres!$E$28*$AG340*$AJ340,Paramètres!$F$28),0)</f>
        <v>0</v>
      </c>
      <c r="S340" s="20" t="n">
        <f aca="false" t="array" ref="S340:S340">IF(AND(INDEX(Profils!$M$5:$M$34,$AE340)&gt;0,INDEX(Profils!$AB$5:$AB$34,$AE340)&lt;=$AH340),ROUND(INDEX(Profils!$M$5:$M$34,$AE340)*Paramètres!$E$29*$AG340*$AJ340,Paramètres!$F$29),0)</f>
        <v>0</v>
      </c>
      <c r="T340" s="20" t="n">
        <f aca="false" t="array" ref="T340:T340">IF(AND(INDEX(Profils!$N$5:$N$34,$AE340)&gt;0,INDEX(Profils!$AC$5:$AC$34,$AE340)&lt;=$AH340),ROUND(INDEX(Profils!$N$5:$N$34,$AE340)*Paramètres!$E$30*$AG340*$AJ340,Paramètres!$F$30),0)</f>
        <v>0</v>
      </c>
      <c r="U340" s="19" t="n">
        <f aca="false" t="array" ref="U340:U340">IF(AND(INDEX(Profils!$O$5:$O$34,$AE340)&gt;0,INDEX(Profils!$AD$5:$AD$34,$AE340)&lt;=$AH340),ROUND(INDEX(Profils!$O$5:$O$34,$AE340)*Paramètres!$E$31*$AG340*$AJ340,Paramètres!$F$31),0)</f>
        <v>0</v>
      </c>
      <c r="V340" s="20" t="n">
        <f aca="false" t="array" ref="V340:V340">IF(AND(INDEX(Profils!$P$5:$P$34,$AE340)&gt;0,INDEX(Profils!$AE$5:$AE$34,$AE340)&lt;=$AH340),ROUND(INDEX(Profils!$P$5:$P$34,$AE340)*Paramètres!$E$32*$AG340*$AJ340,Paramètres!$F$32),0)</f>
        <v>0</v>
      </c>
      <c r="W340" s="20" t="n">
        <f aca="false" t="array" ref="W340:W340">IF(AND(INDEX(Profils!$Q$5:$Q$34,$AE340)&gt;0,INDEX(Profils!$AF$5:$AF$34,$AE340)&lt;=$AH340),ROUND(INDEX(Profils!$Q$5:$Q$34,$AE340)*Paramètres!$E$33*$AG340*$AJ340,Paramètres!$F$33),0)</f>
        <v>0</v>
      </c>
      <c r="X340" s="20" t="n">
        <f aca="false" t="array" ref="X340:X340">IF(AND(INDEX(Profils!$R$5:$R$34,$AE340)&gt;0,INDEX(Profils!$AG$5:$AG$34,$AE340)&lt;=$AH340),ROUND(INDEX(Profils!$R$5:$R$34,$AE340)*Paramètres!$E$34*$AG340*$AJ340,Paramètres!$F$34),0)</f>
        <v>0</v>
      </c>
      <c r="Y340" s="20" t="n">
        <f aca="false" t="array" ref="Y340:Y340">IF(AND(INDEX(Profils!$S$5:$S$34,$AE340)&gt;0,INDEX(Profils!$AH$5:$AH$34,$AE340)&lt;=$AH340),ROUND(INDEX(Profils!$S$5:$S$34,$AE340)*Paramètres!$E$35*$AG340*$AJ340,Paramètres!$F$35),0)</f>
        <v>0</v>
      </c>
      <c r="Z340" s="21" t="n">
        <f aca="false">ROUND(L340/Paramètres!$E$22+M340/Paramètres!$E$23+N340/Paramètres!$E$24+O340/Paramètres!$E$25+P340/Paramètres!$E$26+Q340/Paramètres!$E$27+R340/Paramètres!$E$28+S340/Paramètres!$E$29+T340/Paramètres!$E$30+U340/Paramètres!$E$31+V340/Paramètres!$E$32+W340/Paramètres!$E$33+X340/Paramètres!$E$34+Y340/Paramètres!$E$35,1)</f>
        <v>1.5</v>
      </c>
      <c r="AA340" s="22" t="s">
        <v>109</v>
      </c>
      <c r="AB340" s="22" t="s">
        <v>109</v>
      </c>
      <c r="AC340" s="15" t="str">
        <f aca="false">$E340</f>
        <v>étoffe astrale</v>
      </c>
      <c r="AD340" s="16" t="n">
        <f aca="false" t="array" ref="AD340:AD340">IF($I340&gt;=$AI340,"Max",ROUND(Paramètres!$B$40*($I340+1)^Paramètres!$B$41*INDEX(Paramètres!$H$6:$H$12,$AF340),0))</f>
        <v>3</v>
      </c>
      <c r="AE340" s="23" t="n">
        <f aca="false">MATCH($B340&amp;"|"&amp;$C340,Profils!$A$5:$A$34,0)</f>
        <v>11</v>
      </c>
      <c r="AF340" s="23" t="n">
        <v>1</v>
      </c>
      <c r="AG340" s="24" t="n">
        <f aca="false" t="array" ref="AG340:AG340">INDEX(Paramètres!$C$6:$C$12,$AF340)</f>
        <v>1</v>
      </c>
      <c r="AH340" s="23" t="n">
        <f aca="false" t="array" ref="AH340:AH340">INDEX(Paramètres!$D$6:$D$12,$AF340)</f>
        <v>2</v>
      </c>
      <c r="AI340" s="23" t="n">
        <f aca="false" t="array" ref="AI340:AI340">INDEX(Matériaux!$C$16:$C$20,$D340)</f>
        <v>30</v>
      </c>
      <c r="AJ340" s="25" t="n">
        <f aca="false">Paramètres!$B$16+(1-Paramètres!$B$16)*(($J340-Paramètres!$B$14)/(Paramètres!$B$15-Paramètres!$B$14))^Paramètres!$B$17</f>
        <v>0.665999387952727</v>
      </c>
    </row>
    <row r="341" customFormat="false" ht="15.75" hidden="false" customHeight="true" outlineLevel="0" collapsed="false">
      <c r="A341" s="14" t="s">
        <v>457</v>
      </c>
      <c r="B341" s="15" t="s">
        <v>29</v>
      </c>
      <c r="C341" s="15" t="s">
        <v>107</v>
      </c>
      <c r="D341" s="16" t="n">
        <v>5</v>
      </c>
      <c r="E341" s="15" t="str">
        <f aca="false" t="array" ref="E341:E341">INDEX(Matériaux!$B$5:$F$12,MATCH(INDEX(Profils!$E$5:$E$34,$AE341),Matériaux!$A$5:$A$12,0),$D341)</f>
        <v>étoffe astrale</v>
      </c>
      <c r="F341" s="26" t="s">
        <v>111</v>
      </c>
      <c r="G341" s="10" t="str">
        <f aca="false" t="array" ref="G341:G341">INDEX(Profils!$D$5:$D$34,$AE341)&amp;" en "&amp;$E341</f>
        <v>Chapeau en étoffe astrale</v>
      </c>
      <c r="H341" s="16" t="n">
        <f aca="false" t="array" ref="H341:H341">INDEX(Matériaux!$B$16:$B$20,$D341)</f>
        <v>70</v>
      </c>
      <c r="I341" s="16" t="n">
        <f aca="false">IF(ISNUMBER($C$3),MIN(MAX(0,ROUND($C$3,0)),$AI341),$AI341)</f>
        <v>0</v>
      </c>
      <c r="J341" s="18" t="n">
        <f aca="false">$H341+$I341</f>
        <v>70</v>
      </c>
      <c r="K341" s="15" t="s">
        <v>109</v>
      </c>
      <c r="L341" s="19" t="n">
        <f aca="false" t="array" ref="L341:L341">IF(AND(INDEX(Profils!$F$5:$F$34,$AE341)&gt;0,INDEX(Profils!$U$5:$U$34,$AE341)&lt;=$AH341),ROUND(INDEX(Profils!$F$5:$F$34,$AE341)*Paramètres!$E$22*$AG341*$AJ341,Paramètres!$F$22),0)</f>
        <v>24</v>
      </c>
      <c r="M341" s="19" t="n">
        <f aca="false" t="array" ref="M341:M341">IF(AND(INDEX(Profils!$G$5:$G$34,$AE341)&gt;0,INDEX(Profils!$V$5:$V$34,$AE341)&lt;=$AH341),ROUND(INDEX(Profils!$G$5:$G$34,$AE341)*Paramètres!$E$23*$AG341*$AJ341,Paramètres!$F$23),0)</f>
        <v>0</v>
      </c>
      <c r="N341" s="19" t="n">
        <f aca="false" t="array" ref="N341:N341">IF(AND(INDEX(Profils!$H$5:$H$34,$AE341)&gt;0,INDEX(Profils!$W$5:$W$34,$AE341)&lt;=$AH341),ROUND(INDEX(Profils!$H$5:$H$34,$AE341)*Paramètres!$E$24*$AG341*$AJ341,Paramètres!$F$24),0)</f>
        <v>0</v>
      </c>
      <c r="O341" s="19" t="n">
        <f aca="false" t="array" ref="O341:O341">IF(AND(INDEX(Profils!$I$5:$I$34,$AE341)&gt;0,INDEX(Profils!$X$5:$X$34,$AE341)&lt;=$AH341),ROUND(INDEX(Profils!$I$5:$I$34,$AE341)*Paramètres!$E$25*$AG341*$AJ341,Paramètres!$F$25),0)</f>
        <v>12</v>
      </c>
      <c r="P341" s="19" t="n">
        <f aca="false" t="array" ref="P341:P341">IF(AND(INDEX(Profils!$J$5:$J$34,$AE341)&gt;0,INDEX(Profils!$Y$5:$Y$34,$AE341)&lt;=$AH341),ROUND(INDEX(Profils!$J$5:$J$34,$AE341)*Paramètres!$E$26*$AG341*$AJ341,Paramètres!$F$26),0)</f>
        <v>0</v>
      </c>
      <c r="Q341" s="19" t="n">
        <f aca="false" t="array" ref="Q341:Q341">IF(AND(INDEX(Profils!$K$5:$K$34,$AE341)&gt;0,INDEX(Profils!$Z$5:$Z$34,$AE341)&lt;=$AH341),ROUND(INDEX(Profils!$K$5:$K$34,$AE341)*Paramètres!$E$27*$AG341*$AJ341,Paramètres!$F$27),0)</f>
        <v>0</v>
      </c>
      <c r="R341" s="20" t="n">
        <f aca="false" t="array" ref="R341:R341">IF(AND(INDEX(Profils!$L$5:$L$34,$AE341)&gt;0,INDEX(Profils!$AA$5:$AA$34,$AE341)&lt;=$AH341),ROUND(INDEX(Profils!$L$5:$L$34,$AE341)*Paramètres!$E$28*$AG341*$AJ341,Paramètres!$F$28),0)</f>
        <v>0</v>
      </c>
      <c r="S341" s="20" t="n">
        <f aca="false" t="array" ref="S341:S341">IF(AND(INDEX(Profils!$M$5:$M$34,$AE341)&gt;0,INDEX(Profils!$AB$5:$AB$34,$AE341)&lt;=$AH341),ROUND(INDEX(Profils!$M$5:$M$34,$AE341)*Paramètres!$E$29*$AG341*$AJ341,Paramètres!$F$29),0)</f>
        <v>0</v>
      </c>
      <c r="T341" s="20" t="n">
        <f aca="false" t="array" ref="T341:T341">IF(AND(INDEX(Profils!$N$5:$N$34,$AE341)&gt;0,INDEX(Profils!$AC$5:$AC$34,$AE341)&lt;=$AH341),ROUND(INDEX(Profils!$N$5:$N$34,$AE341)*Paramètres!$E$30*$AG341*$AJ341,Paramètres!$F$30),0)</f>
        <v>0</v>
      </c>
      <c r="U341" s="19" t="n">
        <f aca="false" t="array" ref="U341:U341">IF(AND(INDEX(Profils!$O$5:$O$34,$AE341)&gt;0,INDEX(Profils!$AD$5:$AD$34,$AE341)&lt;=$AH341),ROUND(INDEX(Profils!$O$5:$O$34,$AE341)*Paramètres!$E$31*$AG341*$AJ341,Paramètres!$F$31),0)</f>
        <v>0</v>
      </c>
      <c r="V341" s="20" t="n">
        <f aca="false" t="array" ref="V341:V341">IF(AND(INDEX(Profils!$P$5:$P$34,$AE341)&gt;0,INDEX(Profils!$AE$5:$AE$34,$AE341)&lt;=$AH341),ROUND(INDEX(Profils!$P$5:$P$34,$AE341)*Paramètres!$E$32*$AG341*$AJ341,Paramètres!$F$32),0)</f>
        <v>0</v>
      </c>
      <c r="W341" s="20" t="n">
        <f aca="false" t="array" ref="W341:W341">IF(AND(INDEX(Profils!$Q$5:$Q$34,$AE341)&gt;0,INDEX(Profils!$AF$5:$AF$34,$AE341)&lt;=$AH341),ROUND(INDEX(Profils!$Q$5:$Q$34,$AE341)*Paramètres!$E$33*$AG341*$AJ341,Paramètres!$F$33),0)</f>
        <v>0</v>
      </c>
      <c r="X341" s="20" t="n">
        <f aca="false" t="array" ref="X341:X341">IF(AND(INDEX(Profils!$R$5:$R$34,$AE341)&gt;0,INDEX(Profils!$AG$5:$AG$34,$AE341)&lt;=$AH341),ROUND(INDEX(Profils!$R$5:$R$34,$AE341)*Paramètres!$E$34*$AG341*$AJ341,Paramètres!$F$34),0)</f>
        <v>0</v>
      </c>
      <c r="Y341" s="20" t="n">
        <f aca="false" t="array" ref="Y341:Y341">IF(AND(INDEX(Profils!$S$5:$S$34,$AE341)&gt;0,INDEX(Profils!$AH$5:$AH$34,$AE341)&lt;=$AH341),ROUND(INDEX(Profils!$S$5:$S$34,$AE341)*Paramètres!$E$35*$AG341*$AJ341,Paramètres!$F$35),0)</f>
        <v>0.012</v>
      </c>
      <c r="Z341" s="21" t="n">
        <f aca="false">ROUND(L341/Paramètres!$E$22+M341/Paramètres!$E$23+N341/Paramètres!$E$24+O341/Paramètres!$E$25+P341/Paramètres!$E$26+Q341/Paramètres!$E$27+R341/Paramètres!$E$28+S341/Paramètres!$E$29+T341/Paramètres!$E$30+U341/Paramètres!$E$31+V341/Paramètres!$E$32+W341/Paramètres!$E$33+X341/Paramètres!$E$34+Y341/Paramètres!$E$35,1)</f>
        <v>2.6</v>
      </c>
      <c r="AA341" s="22" t="s">
        <v>109</v>
      </c>
      <c r="AB341" s="22" t="s">
        <v>109</v>
      </c>
      <c r="AC341" s="15" t="str">
        <f aca="false">$E341</f>
        <v>étoffe astrale</v>
      </c>
      <c r="AD341" s="16" t="n">
        <f aca="false" t="array" ref="AD341:AD341">IF($I341&gt;=$AI341,"Max",ROUND(Paramètres!$B$40*($I341+1)^Paramètres!$B$41*INDEX(Paramètres!$H$6:$H$12,$AF341),0))</f>
        <v>4</v>
      </c>
      <c r="AE341" s="23" t="n">
        <f aca="false">MATCH($B341&amp;"|"&amp;$C341,Profils!$A$5:$A$34,0)</f>
        <v>11</v>
      </c>
      <c r="AF341" s="23" t="n">
        <v>2</v>
      </c>
      <c r="AG341" s="24" t="n">
        <f aca="false" t="array" ref="AG341:AG341">INDEX(Paramètres!$C$6:$C$12,$AF341)</f>
        <v>1.2</v>
      </c>
      <c r="AH341" s="23" t="n">
        <f aca="false" t="array" ref="AH341:AH341">INDEX(Paramètres!$D$6:$D$12,$AF341)</f>
        <v>3</v>
      </c>
      <c r="AI341" s="23" t="n">
        <f aca="false" t="array" ref="AI341:AI341">INDEX(Matériaux!$C$16:$C$20,$D341)</f>
        <v>30</v>
      </c>
      <c r="AJ341" s="25" t="n">
        <f aca="false">Paramètres!$B$16+(1-Paramètres!$B$16)*(($J341-Paramètres!$B$14)/(Paramètres!$B$15-Paramètres!$B$14))^Paramètres!$B$17</f>
        <v>0.665999387952727</v>
      </c>
    </row>
    <row r="342" customFormat="false" ht="15.75" hidden="false" customHeight="true" outlineLevel="0" collapsed="false">
      <c r="A342" s="14" t="s">
        <v>458</v>
      </c>
      <c r="B342" s="15" t="s">
        <v>29</v>
      </c>
      <c r="C342" s="15" t="s">
        <v>107</v>
      </c>
      <c r="D342" s="16" t="n">
        <v>5</v>
      </c>
      <c r="E342" s="15" t="str">
        <f aca="false" t="array" ref="E342:E342">INDEX(Matériaux!$B$5:$F$12,MATCH(INDEX(Profils!$E$5:$E$34,$AE342),Matériaux!$A$5:$A$12,0),$D342)</f>
        <v>étoffe astrale</v>
      </c>
      <c r="F342" s="27" t="s">
        <v>113</v>
      </c>
      <c r="G342" s="10" t="str">
        <f aca="false" t="array" ref="G342:G342">INDEX(Profils!$D$5:$D$34,$AE342)&amp;" en "&amp;$E342</f>
        <v>Chapeau en étoffe astrale</v>
      </c>
      <c r="H342" s="16" t="n">
        <f aca="false" t="array" ref="H342:H342">INDEX(Matériaux!$B$16:$B$20,$D342)</f>
        <v>70</v>
      </c>
      <c r="I342" s="16" t="n">
        <f aca="false">IF(ISNUMBER($C$3),MIN(MAX(0,ROUND($C$3,0)),$AI342),$AI342)</f>
        <v>0</v>
      </c>
      <c r="J342" s="18" t="n">
        <f aca="false">$H342+$I342</f>
        <v>70</v>
      </c>
      <c r="K342" s="15" t="s">
        <v>109</v>
      </c>
      <c r="L342" s="19" t="n">
        <f aca="false" t="array" ref="L342:L342">IF(AND(INDEX(Profils!$F$5:$F$34,$AE342)&gt;0,INDEX(Profils!$U$5:$U$34,$AE342)&lt;=$AH342),ROUND(INDEX(Profils!$F$5:$F$34,$AE342)*Paramètres!$E$22*$AG342*$AJ342,Paramètres!$F$22),0)</f>
        <v>29</v>
      </c>
      <c r="M342" s="19" t="n">
        <f aca="false" t="array" ref="M342:M342">IF(AND(INDEX(Profils!$G$5:$G$34,$AE342)&gt;0,INDEX(Profils!$V$5:$V$34,$AE342)&lt;=$AH342),ROUND(INDEX(Profils!$G$5:$G$34,$AE342)*Paramètres!$E$23*$AG342*$AJ342,Paramètres!$F$23),0)</f>
        <v>0</v>
      </c>
      <c r="N342" s="19" t="n">
        <f aca="false" t="array" ref="N342:N342">IF(AND(INDEX(Profils!$H$5:$H$34,$AE342)&gt;0,INDEX(Profils!$W$5:$W$34,$AE342)&lt;=$AH342),ROUND(INDEX(Profils!$H$5:$H$34,$AE342)*Paramètres!$E$24*$AG342*$AJ342,Paramètres!$F$24),0)</f>
        <v>0</v>
      </c>
      <c r="O342" s="19" t="n">
        <f aca="false" t="array" ref="O342:O342">IF(AND(INDEX(Profils!$I$5:$I$34,$AE342)&gt;0,INDEX(Profils!$X$5:$X$34,$AE342)&lt;=$AH342),ROUND(INDEX(Profils!$I$5:$I$34,$AE342)*Paramètres!$E$25*$AG342*$AJ342,Paramètres!$F$25),0)</f>
        <v>14</v>
      </c>
      <c r="P342" s="19" t="n">
        <f aca="false" t="array" ref="P342:P342">IF(AND(INDEX(Profils!$J$5:$J$34,$AE342)&gt;0,INDEX(Profils!$Y$5:$Y$34,$AE342)&lt;=$AH342),ROUND(INDEX(Profils!$J$5:$J$34,$AE342)*Paramètres!$E$26*$AG342*$AJ342,Paramètres!$F$26),0)</f>
        <v>0</v>
      </c>
      <c r="Q342" s="19" t="n">
        <f aca="false" t="array" ref="Q342:Q342">IF(AND(INDEX(Profils!$K$5:$K$34,$AE342)&gt;0,INDEX(Profils!$Z$5:$Z$34,$AE342)&lt;=$AH342),ROUND(INDEX(Profils!$K$5:$K$34,$AE342)*Paramètres!$E$27*$AG342*$AJ342,Paramètres!$F$27),0)</f>
        <v>0</v>
      </c>
      <c r="R342" s="20" t="n">
        <f aca="false" t="array" ref="R342:R342">IF(AND(INDEX(Profils!$L$5:$L$34,$AE342)&gt;0,INDEX(Profils!$AA$5:$AA$34,$AE342)&lt;=$AH342),ROUND(INDEX(Profils!$L$5:$L$34,$AE342)*Paramètres!$E$28*$AG342*$AJ342,Paramètres!$F$28),0)</f>
        <v>0</v>
      </c>
      <c r="S342" s="20" t="n">
        <f aca="false" t="array" ref="S342:S342">IF(AND(INDEX(Profils!$M$5:$M$34,$AE342)&gt;0,INDEX(Profils!$AB$5:$AB$34,$AE342)&lt;=$AH342),ROUND(INDEX(Profils!$M$5:$M$34,$AE342)*Paramètres!$E$29*$AG342*$AJ342,Paramètres!$F$29),0)</f>
        <v>0</v>
      </c>
      <c r="T342" s="20" t="n">
        <f aca="false" t="array" ref="T342:T342">IF(AND(INDEX(Profils!$N$5:$N$34,$AE342)&gt;0,INDEX(Profils!$AC$5:$AC$34,$AE342)&lt;=$AH342),ROUND(INDEX(Profils!$N$5:$N$34,$AE342)*Paramètres!$E$30*$AG342*$AJ342,Paramètres!$F$30),0)</f>
        <v>0</v>
      </c>
      <c r="U342" s="19" t="n">
        <f aca="false" t="array" ref="U342:U342">IF(AND(INDEX(Profils!$O$5:$O$34,$AE342)&gt;0,INDEX(Profils!$AD$5:$AD$34,$AE342)&lt;=$AH342),ROUND(INDEX(Profils!$O$5:$O$34,$AE342)*Paramètres!$E$31*$AG342*$AJ342,Paramètres!$F$31),0)</f>
        <v>0</v>
      </c>
      <c r="V342" s="20" t="n">
        <f aca="false" t="array" ref="V342:V342">IF(AND(INDEX(Profils!$P$5:$P$34,$AE342)&gt;0,INDEX(Profils!$AE$5:$AE$34,$AE342)&lt;=$AH342),ROUND(INDEX(Profils!$P$5:$P$34,$AE342)*Paramètres!$E$32*$AG342*$AJ342,Paramètres!$F$32),0)</f>
        <v>0</v>
      </c>
      <c r="W342" s="20" t="n">
        <f aca="false" t="array" ref="W342:W342">IF(AND(INDEX(Profils!$Q$5:$Q$34,$AE342)&gt;0,INDEX(Profils!$AF$5:$AF$34,$AE342)&lt;=$AH342),ROUND(INDEX(Profils!$Q$5:$Q$34,$AE342)*Paramètres!$E$33*$AG342*$AJ342,Paramètres!$F$33),0)</f>
        <v>0.012</v>
      </c>
      <c r="X342" s="20" t="n">
        <f aca="false" t="array" ref="X342:X342">IF(AND(INDEX(Profils!$R$5:$R$34,$AE342)&gt;0,INDEX(Profils!$AG$5:$AG$34,$AE342)&lt;=$AH342),ROUND(INDEX(Profils!$R$5:$R$34,$AE342)*Paramètres!$E$34*$AG342*$AJ342,Paramètres!$F$34),0)</f>
        <v>0</v>
      </c>
      <c r="Y342" s="20" t="n">
        <f aca="false" t="array" ref="Y342:Y342">IF(AND(INDEX(Profils!$S$5:$S$34,$AE342)&gt;0,INDEX(Profils!$AH$5:$AH$34,$AE342)&lt;=$AH342),ROUND(INDEX(Profils!$S$5:$S$34,$AE342)*Paramètres!$E$35*$AG342*$AJ342,Paramètres!$F$35),0)</f>
        <v>0.014</v>
      </c>
      <c r="Z342" s="21" t="n">
        <f aca="false">ROUND(L342/Paramètres!$E$22+M342/Paramètres!$E$23+N342/Paramètres!$E$24+O342/Paramètres!$E$25+P342/Paramètres!$E$26+Q342/Paramètres!$E$27+R342/Paramètres!$E$28+S342/Paramètres!$E$29+T342/Paramètres!$E$30+U342/Paramètres!$E$31+V342/Paramètres!$E$32+W342/Paramètres!$E$33+X342/Paramètres!$E$34+Y342/Paramètres!$E$35,1)</f>
        <v>3.8</v>
      </c>
      <c r="AA342" s="22" t="s">
        <v>109</v>
      </c>
      <c r="AB342" s="22" t="s">
        <v>109</v>
      </c>
      <c r="AC342" s="15" t="str">
        <f aca="false">$E342</f>
        <v>étoffe astrale</v>
      </c>
      <c r="AD342" s="16" t="n">
        <f aca="false" t="array" ref="AD342:AD342">IF($I342&gt;=$AI342,"Max",ROUND(Paramètres!$B$40*($I342+1)^Paramètres!$B$41*INDEX(Paramètres!$H$6:$H$12,$AF342),0))</f>
        <v>4</v>
      </c>
      <c r="AE342" s="23" t="n">
        <f aca="false">MATCH($B342&amp;"|"&amp;$C342,Profils!$A$5:$A$34,0)</f>
        <v>11</v>
      </c>
      <c r="AF342" s="23" t="n">
        <v>3</v>
      </c>
      <c r="AG342" s="24" t="n">
        <f aca="false" t="array" ref="AG342:AG342">INDEX(Paramètres!$C$6:$C$12,$AF342)</f>
        <v>1.45</v>
      </c>
      <c r="AH342" s="23" t="n">
        <f aca="false" t="array" ref="AH342:AH342">INDEX(Paramètres!$D$6:$D$12,$AF342)</f>
        <v>4</v>
      </c>
      <c r="AI342" s="23" t="n">
        <f aca="false" t="array" ref="AI342:AI342">INDEX(Matériaux!$C$16:$C$20,$D342)</f>
        <v>30</v>
      </c>
      <c r="AJ342" s="25" t="n">
        <f aca="false">Paramètres!$B$16+(1-Paramètres!$B$16)*(($J342-Paramètres!$B$14)/(Paramètres!$B$15-Paramètres!$B$14))^Paramètres!$B$17</f>
        <v>0.665999387952727</v>
      </c>
    </row>
    <row r="343" customFormat="false" ht="15.75" hidden="false" customHeight="true" outlineLevel="0" collapsed="false">
      <c r="A343" s="14" t="s">
        <v>459</v>
      </c>
      <c r="B343" s="15" t="s">
        <v>29</v>
      </c>
      <c r="C343" s="15" t="s">
        <v>107</v>
      </c>
      <c r="D343" s="16" t="n">
        <v>5</v>
      </c>
      <c r="E343" s="15" t="str">
        <f aca="false" t="array" ref="E343:E343">INDEX(Matériaux!$B$5:$F$12,MATCH(INDEX(Profils!$E$5:$E$34,$AE343),Matériaux!$A$5:$A$12,0),$D343)</f>
        <v>étoffe astrale</v>
      </c>
      <c r="F343" s="28" t="s">
        <v>115</v>
      </c>
      <c r="G343" s="10" t="str">
        <f aca="false" t="array" ref="G343:G343">INDEX(Profils!$D$5:$D$34,$AE343)&amp;" en "&amp;$E343</f>
        <v>Chapeau en étoffe astrale</v>
      </c>
      <c r="H343" s="16" t="n">
        <f aca="false" t="array" ref="H343:H343">INDEX(Matériaux!$B$16:$B$20,$D343)</f>
        <v>70</v>
      </c>
      <c r="I343" s="16" t="n">
        <f aca="false">IF(ISNUMBER($C$3),MIN(MAX(0,ROUND($C$3,0)),$AI343),$AI343)</f>
        <v>0</v>
      </c>
      <c r="J343" s="18" t="n">
        <f aca="false">$H343+$I343</f>
        <v>70</v>
      </c>
      <c r="K343" s="15" t="s">
        <v>109</v>
      </c>
      <c r="L343" s="19" t="n">
        <f aca="false" t="array" ref="L343:L343">IF(AND(INDEX(Profils!$F$5:$F$34,$AE343)&gt;0,INDEX(Profils!$U$5:$U$34,$AE343)&lt;=$AH343),ROUND(INDEX(Profils!$F$5:$F$34,$AE343)*Paramètres!$E$22*$AG343*$AJ343,Paramètres!$F$22),0)</f>
        <v>35</v>
      </c>
      <c r="M343" s="19" t="n">
        <f aca="false" t="array" ref="M343:M343">IF(AND(INDEX(Profils!$G$5:$G$34,$AE343)&gt;0,INDEX(Profils!$V$5:$V$34,$AE343)&lt;=$AH343),ROUND(INDEX(Profils!$G$5:$G$34,$AE343)*Paramètres!$E$23*$AG343*$AJ343,Paramètres!$F$23),0)</f>
        <v>0</v>
      </c>
      <c r="N343" s="19" t="n">
        <f aca="false" t="array" ref="N343:N343">IF(AND(INDEX(Profils!$H$5:$H$34,$AE343)&gt;0,INDEX(Profils!$W$5:$W$34,$AE343)&lt;=$AH343),ROUND(INDEX(Profils!$H$5:$H$34,$AE343)*Paramètres!$E$24*$AG343*$AJ343,Paramètres!$F$24),0)</f>
        <v>0</v>
      </c>
      <c r="O343" s="19" t="n">
        <f aca="false" t="array" ref="O343:O343">IF(AND(INDEX(Profils!$I$5:$I$34,$AE343)&gt;0,INDEX(Profils!$X$5:$X$34,$AE343)&lt;=$AH343),ROUND(INDEX(Profils!$I$5:$I$34,$AE343)*Paramètres!$E$25*$AG343*$AJ343,Paramètres!$F$25),0)</f>
        <v>17</v>
      </c>
      <c r="P343" s="19" t="n">
        <f aca="false" t="array" ref="P343:P343">IF(AND(INDEX(Profils!$J$5:$J$34,$AE343)&gt;0,INDEX(Profils!$Y$5:$Y$34,$AE343)&lt;=$AH343),ROUND(INDEX(Profils!$J$5:$J$34,$AE343)*Paramètres!$E$26*$AG343*$AJ343,Paramètres!$F$26),0)</f>
        <v>0</v>
      </c>
      <c r="Q343" s="19" t="n">
        <f aca="false" t="array" ref="Q343:Q343">IF(AND(INDEX(Profils!$K$5:$K$34,$AE343)&gt;0,INDEX(Profils!$Z$5:$Z$34,$AE343)&lt;=$AH343),ROUND(INDEX(Profils!$K$5:$K$34,$AE343)*Paramètres!$E$27*$AG343*$AJ343,Paramètres!$F$27),0)</f>
        <v>0</v>
      </c>
      <c r="R343" s="20" t="n">
        <f aca="false" t="array" ref="R343:R343">IF(AND(INDEX(Profils!$L$5:$L$34,$AE343)&gt;0,INDEX(Profils!$AA$5:$AA$34,$AE343)&lt;=$AH343),ROUND(INDEX(Profils!$L$5:$L$34,$AE343)*Paramètres!$E$28*$AG343*$AJ343,Paramètres!$F$28),0)</f>
        <v>0</v>
      </c>
      <c r="S343" s="20" t="n">
        <f aca="false" t="array" ref="S343:S343">IF(AND(INDEX(Profils!$M$5:$M$34,$AE343)&gt;0,INDEX(Profils!$AB$5:$AB$34,$AE343)&lt;=$AH343),ROUND(INDEX(Profils!$M$5:$M$34,$AE343)*Paramètres!$E$29*$AG343*$AJ343,Paramètres!$F$29),0)</f>
        <v>0</v>
      </c>
      <c r="T343" s="20" t="n">
        <f aca="false" t="array" ref="T343:T343">IF(AND(INDEX(Profils!$N$5:$N$34,$AE343)&gt;0,INDEX(Profils!$AC$5:$AC$34,$AE343)&lt;=$AH343),ROUND(INDEX(Profils!$N$5:$N$34,$AE343)*Paramètres!$E$30*$AG343*$AJ343,Paramètres!$F$30),0)</f>
        <v>0</v>
      </c>
      <c r="U343" s="19" t="n">
        <f aca="false" t="array" ref="U343:U343">IF(AND(INDEX(Profils!$O$5:$O$34,$AE343)&gt;0,INDEX(Profils!$AD$5:$AD$34,$AE343)&lt;=$AH343),ROUND(INDEX(Profils!$O$5:$O$34,$AE343)*Paramètres!$E$31*$AG343*$AJ343,Paramètres!$F$31),0)</f>
        <v>0</v>
      </c>
      <c r="V343" s="20" t="n">
        <f aca="false" t="array" ref="V343:V343">IF(AND(INDEX(Profils!$P$5:$P$34,$AE343)&gt;0,INDEX(Profils!$AE$5:$AE$34,$AE343)&lt;=$AH343),ROUND(INDEX(Profils!$P$5:$P$34,$AE343)*Paramètres!$E$32*$AG343*$AJ343,Paramètres!$F$32),0)</f>
        <v>0</v>
      </c>
      <c r="W343" s="20" t="n">
        <f aca="false" t="array" ref="W343:W343">IF(AND(INDEX(Profils!$Q$5:$Q$34,$AE343)&gt;0,INDEX(Profils!$AF$5:$AF$34,$AE343)&lt;=$AH343),ROUND(INDEX(Profils!$Q$5:$Q$34,$AE343)*Paramètres!$E$33*$AG343*$AJ343,Paramètres!$F$33),0)</f>
        <v>0.014</v>
      </c>
      <c r="X343" s="20" t="n">
        <f aca="false" t="array" ref="X343:X343">IF(AND(INDEX(Profils!$R$5:$R$34,$AE343)&gt;0,INDEX(Profils!$AG$5:$AG$34,$AE343)&lt;=$AH343),ROUND(INDEX(Profils!$R$5:$R$34,$AE343)*Paramètres!$E$34*$AG343*$AJ343,Paramètres!$F$34),0)</f>
        <v>0.019</v>
      </c>
      <c r="Y343" s="20" t="n">
        <f aca="false" t="array" ref="Y343:Y343">IF(AND(INDEX(Profils!$S$5:$S$34,$AE343)&gt;0,INDEX(Profils!$AH$5:$AH$34,$AE343)&lt;=$AH343),ROUND(INDEX(Profils!$S$5:$S$34,$AE343)*Paramètres!$E$35*$AG343*$AJ343,Paramètres!$F$35),0)</f>
        <v>0.017</v>
      </c>
      <c r="Z343" s="21" t="n">
        <f aca="false">ROUND(L343/Paramètres!$E$22+M343/Paramètres!$E$23+N343/Paramètres!$E$24+O343/Paramètres!$E$25+P343/Paramètres!$E$26+Q343/Paramètres!$E$27+R343/Paramètres!$E$28+S343/Paramètres!$E$29+T343/Paramètres!$E$30+U343/Paramètres!$E$31+V343/Paramètres!$E$32+W343/Paramètres!$E$33+X343/Paramètres!$E$34+Y343/Paramètres!$E$35,1)</f>
        <v>5.6</v>
      </c>
      <c r="AA343" s="22" t="s">
        <v>109</v>
      </c>
      <c r="AB343" s="22" t="s">
        <v>109</v>
      </c>
      <c r="AC343" s="15" t="str">
        <f aca="false">$E343</f>
        <v>étoffe astrale</v>
      </c>
      <c r="AD343" s="16" t="n">
        <f aca="false" t="array" ref="AD343:AD343">IF($I343&gt;=$AI343,"Max",ROUND(Paramètres!$B$40*($I343+1)^Paramètres!$B$41*INDEX(Paramètres!$H$6:$H$12,$AF343),0))</f>
        <v>5</v>
      </c>
      <c r="AE343" s="23" t="n">
        <f aca="false">MATCH($B343&amp;"|"&amp;$C343,Profils!$A$5:$A$34,0)</f>
        <v>11</v>
      </c>
      <c r="AF343" s="23" t="n">
        <v>4</v>
      </c>
      <c r="AG343" s="24" t="n">
        <f aca="false" t="array" ref="AG343:AG343">INDEX(Paramètres!$C$6:$C$12,$AF343)</f>
        <v>1.75</v>
      </c>
      <c r="AH343" s="23" t="n">
        <f aca="false" t="array" ref="AH343:AH343">INDEX(Paramètres!$D$6:$D$12,$AF343)</f>
        <v>5</v>
      </c>
      <c r="AI343" s="23" t="n">
        <f aca="false" t="array" ref="AI343:AI343">INDEX(Matériaux!$C$16:$C$20,$D343)</f>
        <v>30</v>
      </c>
      <c r="AJ343" s="25" t="n">
        <f aca="false">Paramètres!$B$16+(1-Paramètres!$B$16)*(($J343-Paramètres!$B$14)/(Paramètres!$B$15-Paramètres!$B$14))^Paramètres!$B$17</f>
        <v>0.665999387952727</v>
      </c>
    </row>
    <row r="344" customFormat="false" ht="15.75" hidden="false" customHeight="true" outlineLevel="0" collapsed="false">
      <c r="A344" s="14" t="s">
        <v>460</v>
      </c>
      <c r="B344" s="15" t="s">
        <v>29</v>
      </c>
      <c r="C344" s="15" t="s">
        <v>107</v>
      </c>
      <c r="D344" s="16" t="n">
        <v>5</v>
      </c>
      <c r="E344" s="15" t="str">
        <f aca="false" t="array" ref="E344:E344">INDEX(Matériaux!$B$5:$F$12,MATCH(INDEX(Profils!$E$5:$E$34,$AE344),Matériaux!$A$5:$A$12,0),$D344)</f>
        <v>étoffe astrale</v>
      </c>
      <c r="F344" s="29" t="s">
        <v>117</v>
      </c>
      <c r="G344" s="10" t="str">
        <f aca="false" t="array" ref="G344:G344">INDEX(Profils!$D$5:$D$34,$AE344)&amp;" en "&amp;$E344</f>
        <v>Chapeau en étoffe astrale</v>
      </c>
      <c r="H344" s="16" t="n">
        <f aca="false" t="array" ref="H344:H344">INDEX(Matériaux!$B$16:$B$20,$D344)</f>
        <v>70</v>
      </c>
      <c r="I344" s="16" t="n">
        <f aca="false">IF(ISNUMBER($C$3),MIN(MAX(0,ROUND($C$3,0)),$AI344),$AI344)</f>
        <v>0</v>
      </c>
      <c r="J344" s="18" t="n">
        <f aca="false">$H344+$I344</f>
        <v>70</v>
      </c>
      <c r="K344" s="15" t="s">
        <v>109</v>
      </c>
      <c r="L344" s="19" t="n">
        <f aca="false" t="array" ref="L344:L344">IF(AND(INDEX(Profils!$F$5:$F$34,$AE344)&gt;0,INDEX(Profils!$U$5:$U$34,$AE344)&lt;=$AH344),ROUND(INDEX(Profils!$F$5:$F$34,$AE344)*Paramètres!$E$22*$AG344*$AJ344,Paramètres!$F$22),0)</f>
        <v>42</v>
      </c>
      <c r="M344" s="19" t="n">
        <f aca="false" t="array" ref="M344:M344">IF(AND(INDEX(Profils!$G$5:$G$34,$AE344)&gt;0,INDEX(Profils!$V$5:$V$34,$AE344)&lt;=$AH344),ROUND(INDEX(Profils!$G$5:$G$34,$AE344)*Paramètres!$E$23*$AG344*$AJ344,Paramètres!$F$23),0)</f>
        <v>0</v>
      </c>
      <c r="N344" s="19" t="n">
        <f aca="false" t="array" ref="N344:N344">IF(AND(INDEX(Profils!$H$5:$H$34,$AE344)&gt;0,INDEX(Profils!$W$5:$W$34,$AE344)&lt;=$AH344),ROUND(INDEX(Profils!$H$5:$H$34,$AE344)*Paramètres!$E$24*$AG344*$AJ344,Paramètres!$F$24),0)</f>
        <v>0</v>
      </c>
      <c r="O344" s="19" t="n">
        <f aca="false" t="array" ref="O344:O344">IF(AND(INDEX(Profils!$I$5:$I$34,$AE344)&gt;0,INDEX(Profils!$X$5:$X$34,$AE344)&lt;=$AH344),ROUND(INDEX(Profils!$I$5:$I$34,$AE344)*Paramètres!$E$25*$AG344*$AJ344,Paramètres!$F$25),0)</f>
        <v>21</v>
      </c>
      <c r="P344" s="19" t="n">
        <f aca="false" t="array" ref="P344:P344">IF(AND(INDEX(Profils!$J$5:$J$34,$AE344)&gt;0,INDEX(Profils!$Y$5:$Y$34,$AE344)&lt;=$AH344),ROUND(INDEX(Profils!$J$5:$J$34,$AE344)*Paramètres!$E$26*$AG344*$AJ344,Paramètres!$F$26),0)</f>
        <v>10</v>
      </c>
      <c r="Q344" s="19" t="n">
        <f aca="false" t="array" ref="Q344:Q344">IF(AND(INDEX(Profils!$K$5:$K$34,$AE344)&gt;0,INDEX(Profils!$Z$5:$Z$34,$AE344)&lt;=$AH344),ROUND(INDEX(Profils!$K$5:$K$34,$AE344)*Paramètres!$E$27*$AG344*$AJ344,Paramètres!$F$27),0)</f>
        <v>0</v>
      </c>
      <c r="R344" s="20" t="n">
        <f aca="false" t="array" ref="R344:R344">IF(AND(INDEX(Profils!$L$5:$L$34,$AE344)&gt;0,INDEX(Profils!$AA$5:$AA$34,$AE344)&lt;=$AH344),ROUND(INDEX(Profils!$L$5:$L$34,$AE344)*Paramètres!$E$28*$AG344*$AJ344,Paramètres!$F$28),0)</f>
        <v>0</v>
      </c>
      <c r="S344" s="20" t="n">
        <f aca="false" t="array" ref="S344:S344">IF(AND(INDEX(Profils!$M$5:$M$34,$AE344)&gt;0,INDEX(Profils!$AB$5:$AB$34,$AE344)&lt;=$AH344),ROUND(INDEX(Profils!$M$5:$M$34,$AE344)*Paramètres!$E$29*$AG344*$AJ344,Paramètres!$F$29),0)</f>
        <v>0</v>
      </c>
      <c r="T344" s="20" t="n">
        <f aca="false" t="array" ref="T344:T344">IF(AND(INDEX(Profils!$N$5:$N$34,$AE344)&gt;0,INDEX(Profils!$AC$5:$AC$34,$AE344)&lt;=$AH344),ROUND(INDEX(Profils!$N$5:$N$34,$AE344)*Paramètres!$E$30*$AG344*$AJ344,Paramètres!$F$30),0)</f>
        <v>0</v>
      </c>
      <c r="U344" s="19" t="n">
        <f aca="false" t="array" ref="U344:U344">IF(AND(INDEX(Profils!$O$5:$O$34,$AE344)&gt;0,INDEX(Profils!$AD$5:$AD$34,$AE344)&lt;=$AH344),ROUND(INDEX(Profils!$O$5:$O$34,$AE344)*Paramètres!$E$31*$AG344*$AJ344,Paramètres!$F$31),0)</f>
        <v>0</v>
      </c>
      <c r="V344" s="20" t="n">
        <f aca="false" t="array" ref="V344:V344">IF(AND(INDEX(Profils!$P$5:$P$34,$AE344)&gt;0,INDEX(Profils!$AE$5:$AE$34,$AE344)&lt;=$AH344),ROUND(INDEX(Profils!$P$5:$P$34,$AE344)*Paramètres!$E$32*$AG344*$AJ344,Paramètres!$F$32),0)</f>
        <v>0</v>
      </c>
      <c r="W344" s="20" t="n">
        <f aca="false" t="array" ref="W344:W344">IF(AND(INDEX(Profils!$Q$5:$Q$34,$AE344)&gt;0,INDEX(Profils!$AF$5:$AF$34,$AE344)&lt;=$AH344),ROUND(INDEX(Profils!$Q$5:$Q$34,$AE344)*Paramètres!$E$33*$AG344*$AJ344,Paramètres!$F$33),0)</f>
        <v>0.017</v>
      </c>
      <c r="X344" s="20" t="n">
        <f aca="false" t="array" ref="X344:X344">IF(AND(INDEX(Profils!$R$5:$R$34,$AE344)&gt;0,INDEX(Profils!$AG$5:$AG$34,$AE344)&lt;=$AH344),ROUND(INDEX(Profils!$R$5:$R$34,$AE344)*Paramètres!$E$34*$AG344*$AJ344,Paramètres!$F$34),0)</f>
        <v>0.022</v>
      </c>
      <c r="Y344" s="20" t="n">
        <f aca="false" t="array" ref="Y344:Y344">IF(AND(INDEX(Profils!$S$5:$S$34,$AE344)&gt;0,INDEX(Profils!$AH$5:$AH$34,$AE344)&lt;=$AH344),ROUND(INDEX(Profils!$S$5:$S$34,$AE344)*Paramètres!$E$35*$AG344*$AJ344,Paramètres!$F$35),0)</f>
        <v>0.021</v>
      </c>
      <c r="Z344" s="21" t="n">
        <f aca="false">ROUND(L344/Paramètres!$E$22+M344/Paramètres!$E$23+N344/Paramètres!$E$24+O344/Paramètres!$E$25+P344/Paramètres!$E$26+Q344/Paramètres!$E$27+R344/Paramètres!$E$28+S344/Paramètres!$E$29+T344/Paramètres!$E$30+U344/Paramètres!$E$31+V344/Paramètres!$E$32+W344/Paramètres!$E$33+X344/Paramètres!$E$34+Y344/Paramètres!$E$35,1)</f>
        <v>7.5</v>
      </c>
      <c r="AA344" s="22" t="s">
        <v>109</v>
      </c>
      <c r="AB344" s="22" t="s">
        <v>109</v>
      </c>
      <c r="AC344" s="15" t="str">
        <f aca="false">$E344</f>
        <v>étoffe astrale</v>
      </c>
      <c r="AD344" s="16" t="n">
        <f aca="false" t="array" ref="AD344:AD344">IF($I344&gt;=$AI344,"Max",ROUND(Paramètres!$B$40*($I344+1)^Paramètres!$B$41*INDEX(Paramètres!$H$6:$H$12,$AF344),0))</f>
        <v>6</v>
      </c>
      <c r="AE344" s="23" t="n">
        <f aca="false">MATCH($B344&amp;"|"&amp;$C344,Profils!$A$5:$A$34,0)</f>
        <v>11</v>
      </c>
      <c r="AF344" s="23" t="n">
        <v>5</v>
      </c>
      <c r="AG344" s="24" t="n">
        <f aca="false" t="array" ref="AG344:AG344">INDEX(Paramètres!$C$6:$C$12,$AF344)</f>
        <v>2.1</v>
      </c>
      <c r="AH344" s="23" t="n">
        <f aca="false" t="array" ref="AH344:AH344">INDEX(Paramètres!$D$6:$D$12,$AF344)</f>
        <v>6</v>
      </c>
      <c r="AI344" s="23" t="n">
        <f aca="false" t="array" ref="AI344:AI344">INDEX(Matériaux!$C$16:$C$20,$D344)</f>
        <v>30</v>
      </c>
      <c r="AJ344" s="25" t="n">
        <f aca="false">Paramètres!$B$16+(1-Paramètres!$B$16)*(($J344-Paramètres!$B$14)/(Paramètres!$B$15-Paramètres!$B$14))^Paramètres!$B$17</f>
        <v>0.665999387952727</v>
      </c>
    </row>
    <row r="345" customFormat="false" ht="15.75" hidden="false" customHeight="true" outlineLevel="0" collapsed="false">
      <c r="A345" s="14" t="s">
        <v>461</v>
      </c>
      <c r="B345" s="15" t="s">
        <v>29</v>
      </c>
      <c r="C345" s="15" t="s">
        <v>107</v>
      </c>
      <c r="D345" s="16" t="n">
        <v>5</v>
      </c>
      <c r="E345" s="15" t="str">
        <f aca="false" t="array" ref="E345:E345">INDEX(Matériaux!$B$5:$F$12,MATCH(INDEX(Profils!$E$5:$E$34,$AE345),Matériaux!$A$5:$A$12,0),$D345)</f>
        <v>étoffe astrale</v>
      </c>
      <c r="F345" s="30" t="s">
        <v>119</v>
      </c>
      <c r="G345" s="10" t="str">
        <f aca="false" t="array" ref="G345:G345">INDEX(Profils!$D$5:$D$34,$AE345)&amp;" en "&amp;$E345</f>
        <v>Chapeau en étoffe astrale</v>
      </c>
      <c r="H345" s="16" t="n">
        <f aca="false" t="array" ref="H345:H345">INDEX(Matériaux!$B$16:$B$20,$D345)</f>
        <v>70</v>
      </c>
      <c r="I345" s="16" t="n">
        <f aca="false">IF(ISNUMBER($C$3),MIN(MAX(0,ROUND($C$3,0)),$AI345),$AI345)</f>
        <v>0</v>
      </c>
      <c r="J345" s="18" t="n">
        <f aca="false">$H345+$I345</f>
        <v>70</v>
      </c>
      <c r="K345" s="15" t="s">
        <v>109</v>
      </c>
      <c r="L345" s="19" t="n">
        <f aca="false" t="array" ref="L345:L345">IF(AND(INDEX(Profils!$F$5:$F$34,$AE345)&gt;0,INDEX(Profils!$U$5:$U$34,$AE345)&lt;=$AH345),ROUND(INDEX(Profils!$F$5:$F$34,$AE345)*Paramètres!$E$22*$AG345*$AJ345,Paramètres!$F$22),0)</f>
        <v>48</v>
      </c>
      <c r="M345" s="19" t="n">
        <f aca="false" t="array" ref="M345:M345">IF(AND(INDEX(Profils!$G$5:$G$34,$AE345)&gt;0,INDEX(Profils!$V$5:$V$34,$AE345)&lt;=$AH345),ROUND(INDEX(Profils!$G$5:$G$34,$AE345)*Paramètres!$E$23*$AG345*$AJ345,Paramètres!$F$23),0)</f>
        <v>0</v>
      </c>
      <c r="N345" s="19" t="n">
        <f aca="false" t="array" ref="N345:N345">IF(AND(INDEX(Profils!$H$5:$H$34,$AE345)&gt;0,INDEX(Profils!$W$5:$W$34,$AE345)&lt;=$AH345),ROUND(INDEX(Profils!$H$5:$H$34,$AE345)*Paramètres!$E$24*$AG345*$AJ345,Paramètres!$F$24),0)</f>
        <v>0</v>
      </c>
      <c r="O345" s="19" t="n">
        <f aca="false" t="array" ref="O345:O345">IF(AND(INDEX(Profils!$I$5:$I$34,$AE345)&gt;0,INDEX(Profils!$X$5:$X$34,$AE345)&lt;=$AH345),ROUND(INDEX(Profils!$I$5:$I$34,$AE345)*Paramètres!$E$25*$AG345*$AJ345,Paramètres!$F$25),0)</f>
        <v>24</v>
      </c>
      <c r="P345" s="19" t="n">
        <f aca="false" t="array" ref="P345:P345">IF(AND(INDEX(Profils!$J$5:$J$34,$AE345)&gt;0,INDEX(Profils!$Y$5:$Y$34,$AE345)&lt;=$AH345),ROUND(INDEX(Profils!$J$5:$J$34,$AE345)*Paramètres!$E$26*$AG345*$AJ345,Paramètres!$F$26),0)</f>
        <v>12</v>
      </c>
      <c r="Q345" s="19" t="n">
        <f aca="false" t="array" ref="Q345:Q345">IF(AND(INDEX(Profils!$K$5:$K$34,$AE345)&gt;0,INDEX(Profils!$Z$5:$Z$34,$AE345)&lt;=$AH345),ROUND(INDEX(Profils!$K$5:$K$34,$AE345)*Paramètres!$E$27*$AG345*$AJ345,Paramètres!$F$27),0)</f>
        <v>0</v>
      </c>
      <c r="R345" s="20" t="n">
        <f aca="false" t="array" ref="R345:R345">IF(AND(INDEX(Profils!$L$5:$L$34,$AE345)&gt;0,INDEX(Profils!$AA$5:$AA$34,$AE345)&lt;=$AH345),ROUND(INDEX(Profils!$L$5:$L$34,$AE345)*Paramètres!$E$28*$AG345*$AJ345,Paramètres!$F$28),0)</f>
        <v>0.012</v>
      </c>
      <c r="S345" s="20" t="n">
        <f aca="false" t="array" ref="S345:S345">IF(AND(INDEX(Profils!$M$5:$M$34,$AE345)&gt;0,INDEX(Profils!$AB$5:$AB$34,$AE345)&lt;=$AH345),ROUND(INDEX(Profils!$M$5:$M$34,$AE345)*Paramètres!$E$29*$AG345*$AJ345,Paramètres!$F$29),0)</f>
        <v>0</v>
      </c>
      <c r="T345" s="20" t="n">
        <f aca="false" t="array" ref="T345:T345">IF(AND(INDEX(Profils!$N$5:$N$34,$AE345)&gt;0,INDEX(Profils!$AC$5:$AC$34,$AE345)&lt;=$AH345),ROUND(INDEX(Profils!$N$5:$N$34,$AE345)*Paramètres!$E$30*$AG345*$AJ345,Paramètres!$F$30),0)</f>
        <v>0</v>
      </c>
      <c r="U345" s="19" t="n">
        <f aca="false" t="array" ref="U345:U345">IF(AND(INDEX(Profils!$O$5:$O$34,$AE345)&gt;0,INDEX(Profils!$AD$5:$AD$34,$AE345)&lt;=$AH345),ROUND(INDEX(Profils!$O$5:$O$34,$AE345)*Paramètres!$E$31*$AG345*$AJ345,Paramètres!$F$31),0)</f>
        <v>0</v>
      </c>
      <c r="V345" s="20" t="n">
        <f aca="false" t="array" ref="V345:V345">IF(AND(INDEX(Profils!$P$5:$P$34,$AE345)&gt;0,INDEX(Profils!$AE$5:$AE$34,$AE345)&lt;=$AH345),ROUND(INDEX(Profils!$P$5:$P$34,$AE345)*Paramètres!$E$32*$AG345*$AJ345,Paramètres!$F$32),0)</f>
        <v>0</v>
      </c>
      <c r="W345" s="20" t="n">
        <f aca="false" t="array" ref="W345:W345">IF(AND(INDEX(Profils!$Q$5:$Q$34,$AE345)&gt;0,INDEX(Profils!$AF$5:$AF$34,$AE345)&lt;=$AH345),ROUND(INDEX(Profils!$Q$5:$Q$34,$AE345)*Paramètres!$E$33*$AG345*$AJ345,Paramètres!$F$33),0)</f>
        <v>0.019</v>
      </c>
      <c r="X345" s="20" t="n">
        <f aca="false" t="array" ref="X345:X345">IF(AND(INDEX(Profils!$R$5:$R$34,$AE345)&gt;0,INDEX(Profils!$AG$5:$AG$34,$AE345)&lt;=$AH345),ROUND(INDEX(Profils!$R$5:$R$34,$AE345)*Paramètres!$E$34*$AG345*$AJ345,Paramètres!$F$34),0)</f>
        <v>0.026</v>
      </c>
      <c r="Y345" s="20" t="n">
        <f aca="false" t="array" ref="Y345:Y345">IF(AND(INDEX(Profils!$S$5:$S$34,$AE345)&gt;0,INDEX(Profils!$AH$5:$AH$34,$AE345)&lt;=$AH345),ROUND(INDEX(Profils!$S$5:$S$34,$AE345)*Paramètres!$E$35*$AG345*$AJ345,Paramètres!$F$35),0)</f>
        <v>0.024</v>
      </c>
      <c r="Z345" s="21" t="n">
        <f aca="false">ROUND(L345/Paramètres!$E$22+M345/Paramètres!$E$23+N345/Paramètres!$E$24+O345/Paramètres!$E$25+P345/Paramètres!$E$26+Q345/Paramètres!$E$27+R345/Paramètres!$E$28+S345/Paramètres!$E$29+T345/Paramètres!$E$30+U345/Paramètres!$E$31+V345/Paramètres!$E$32+W345/Paramètres!$E$33+X345/Paramètres!$E$34+Y345/Paramètres!$E$35,1)</f>
        <v>9.5</v>
      </c>
      <c r="AA345" s="22" t="s">
        <v>109</v>
      </c>
      <c r="AB345" s="22" t="s">
        <v>109</v>
      </c>
      <c r="AC345" s="15" t="str">
        <f aca="false">$E345</f>
        <v>étoffe astrale</v>
      </c>
      <c r="AD345" s="16" t="n">
        <f aca="false" t="array" ref="AD345:AD345">IF($I345&gt;=$AI345,"Max",ROUND(Paramètres!$B$40*($I345+1)^Paramètres!$B$41*INDEX(Paramètres!$H$6:$H$12,$AF345),0))</f>
        <v>8</v>
      </c>
      <c r="AE345" s="23" t="n">
        <f aca="false">MATCH($B345&amp;"|"&amp;$C345,Profils!$A$5:$A$34,0)</f>
        <v>11</v>
      </c>
      <c r="AF345" s="23" t="n">
        <v>6</v>
      </c>
      <c r="AG345" s="24" t="n">
        <f aca="false" t="array" ref="AG345:AG345">INDEX(Paramètres!$C$6:$C$12,$AF345)</f>
        <v>2.4</v>
      </c>
      <c r="AH345" s="23" t="n">
        <f aca="false" t="array" ref="AH345:AH345">INDEX(Paramètres!$D$6:$D$12,$AF345)</f>
        <v>7</v>
      </c>
      <c r="AI345" s="23" t="n">
        <f aca="false" t="array" ref="AI345:AI345">INDEX(Matériaux!$C$16:$C$20,$D345)</f>
        <v>30</v>
      </c>
      <c r="AJ345" s="25" t="n">
        <f aca="false">Paramètres!$B$16+(1-Paramètres!$B$16)*(($J345-Paramètres!$B$14)/(Paramètres!$B$15-Paramètres!$B$14))^Paramètres!$B$17</f>
        <v>0.665999387952727</v>
      </c>
    </row>
    <row r="346" customFormat="false" ht="15.75" hidden="false" customHeight="true" outlineLevel="0" collapsed="false">
      <c r="A346" s="14" t="s">
        <v>462</v>
      </c>
      <c r="B346" s="15" t="s">
        <v>29</v>
      </c>
      <c r="C346" s="15" t="s">
        <v>107</v>
      </c>
      <c r="D346" s="16" t="s">
        <v>109</v>
      </c>
      <c r="E346" s="15" t="s">
        <v>109</v>
      </c>
      <c r="F346" s="31" t="s">
        <v>38</v>
      </c>
      <c r="G346" s="10" t="str">
        <f aca="false" t="array" ref="G346:G346">INDEX(Uniques!$E$5:$E$34,MATCH($B346&amp;"|"&amp;$C346,Uniques!$A$5:$A$34,0))</f>
        <v>Chapeau du Sage des Cieux</v>
      </c>
      <c r="H346" s="16" t="n">
        <f aca="false" t="array" ref="H346:H346">INDEX(Uniques!$L$5:$L$34,MATCH($B346&amp;"|"&amp;$C346,Uniques!$A$5:$A$34,0))</f>
        <v>31</v>
      </c>
      <c r="I346" s="16" t="n">
        <f aca="false">IF(ISNUMBER($C$3),MIN(MAX(0,ROUND($C$3,0)),$AI346),$AI346)</f>
        <v>0</v>
      </c>
      <c r="J346" s="18" t="n">
        <f aca="false">$H346+$I346</f>
        <v>31</v>
      </c>
      <c r="K346" s="15" t="str">
        <f aca="false" t="array" ref="K346:K346">INDEX(Uniques!$F$5:$F$34,MATCH($B346&amp;"|"&amp;$C346,Uniques!$A$5:$A$34,0))</f>
        <v>Vent</v>
      </c>
      <c r="L346" s="19" t="n">
        <f aca="false" t="array" ref="L346:L346">IF(AND(INDEX(Profils!$F$5:$F$34,$AE346)&gt;0,INDEX(Profils!$U$5:$U$34,$AE346)&lt;=$AH346),ROUND(INDEX(Profils!$F$5:$F$34,$AE346)*Paramètres!$E$22*$AG346*$AJ346,Paramètres!$F$22),0)</f>
        <v>21</v>
      </c>
      <c r="M346" s="19" t="n">
        <f aca="false" t="array" ref="M346:M346">IF(AND(INDEX(Profils!$G$5:$G$34,$AE346)&gt;0,INDEX(Profils!$V$5:$V$34,$AE346)&lt;=$AH346),ROUND(INDEX(Profils!$G$5:$G$34,$AE346)*Paramètres!$E$23*$AG346*$AJ346,Paramètres!$F$23),0)</f>
        <v>0</v>
      </c>
      <c r="N346" s="19" t="n">
        <f aca="false" t="array" ref="N346:N346">IF(AND(INDEX(Profils!$H$5:$H$34,$AE346)&gt;0,INDEX(Profils!$W$5:$W$34,$AE346)&lt;=$AH346),ROUND(INDEX(Profils!$H$5:$H$34,$AE346)*Paramètres!$E$24*$AG346*$AJ346,Paramètres!$F$24),0)</f>
        <v>0</v>
      </c>
      <c r="O346" s="19" t="n">
        <f aca="false" t="array" ref="O346:O346">IF(AND(INDEX(Profils!$I$5:$I$34,$AE346)&gt;0,INDEX(Profils!$X$5:$X$34,$AE346)&lt;=$AH346),ROUND(INDEX(Profils!$I$5:$I$34,$AE346)*Paramètres!$E$25*$AG346*$AJ346,Paramètres!$F$25),0)</f>
        <v>10</v>
      </c>
      <c r="P346" s="19" t="n">
        <f aca="false" t="array" ref="P346:P346">IF(AND(INDEX(Profils!$J$5:$J$34,$AE346)&gt;0,INDEX(Profils!$Y$5:$Y$34,$AE346)&lt;=$AH346),ROUND(INDEX(Profils!$J$5:$J$34,$AE346)*Paramètres!$E$26*$AG346*$AJ346,Paramètres!$F$26),0)</f>
        <v>5</v>
      </c>
      <c r="Q346" s="19" t="n">
        <f aca="false" t="array" ref="Q346:Q346">IF(AND(INDEX(Profils!$K$5:$K$34,$AE346)&gt;0,INDEX(Profils!$Z$5:$Z$34,$AE346)&lt;=$AH346),ROUND(INDEX(Profils!$K$5:$K$34,$AE346)*Paramètres!$E$27*$AG346*$AJ346,Paramètres!$F$27),0)</f>
        <v>0</v>
      </c>
      <c r="R346" s="20" t="n">
        <f aca="false" t="array" ref="R346:R346">IF(AND(INDEX(Profils!$L$5:$L$34,$AE346)&gt;0,INDEX(Profils!$AA$5:$AA$34,$AE346)&lt;=$AH346),ROUND(INDEX(Profils!$L$5:$L$34,$AE346)*Paramètres!$E$28*$AG346*$AJ346,Paramètres!$F$28),0)</f>
        <v>0.005</v>
      </c>
      <c r="S346" s="20" t="n">
        <f aca="false" t="array" ref="S346:S346">IF(AND(INDEX(Profils!$M$5:$M$34,$AE346)&gt;0,INDEX(Profils!$AB$5:$AB$34,$AE346)&lt;=$AH346),ROUND(INDEX(Profils!$M$5:$M$34,$AE346)*Paramètres!$E$29*$AG346*$AJ346,Paramètres!$F$29),0)</f>
        <v>0</v>
      </c>
      <c r="T346" s="20" t="n">
        <f aca="false" t="array" ref="T346:T346">IF(AND(INDEX(Profils!$N$5:$N$34,$AE346)&gt;0,INDEX(Profils!$AC$5:$AC$34,$AE346)&lt;=$AH346),ROUND(INDEX(Profils!$N$5:$N$34,$AE346)*Paramètres!$E$30*$AG346*$AJ346,Paramètres!$F$30),0)</f>
        <v>0</v>
      </c>
      <c r="U346" s="19" t="n">
        <f aca="false" t="array" ref="U346:U346">IF(AND(INDEX(Profils!$O$5:$O$34,$AE346)&gt;0,INDEX(Profils!$AD$5:$AD$34,$AE346)&lt;=$AH346),ROUND(INDEX(Profils!$O$5:$O$34,$AE346)*Paramètres!$E$31*$AG346*$AJ346,Paramètres!$F$31),0)</f>
        <v>0</v>
      </c>
      <c r="V346" s="20" t="n">
        <f aca="false" t="array" ref="V346:V346">IF(AND(INDEX(Profils!$P$5:$P$34,$AE346)&gt;0,INDEX(Profils!$AE$5:$AE$34,$AE346)&lt;=$AH346),ROUND(INDEX(Profils!$P$5:$P$34,$AE346)*Paramètres!$E$32*$AG346*$AJ346,Paramètres!$F$32),0)</f>
        <v>0</v>
      </c>
      <c r="W346" s="20" t="n">
        <f aca="false" t="array" ref="W346:W346">IF(AND(INDEX(Profils!$Q$5:$Q$34,$AE346)&gt;0,INDEX(Profils!$AF$5:$AF$34,$AE346)&lt;=$AH346),ROUND(INDEX(Profils!$Q$5:$Q$34,$AE346)*Paramètres!$E$33*$AG346*$AJ346,Paramètres!$F$33),0)</f>
        <v>0.008</v>
      </c>
      <c r="X346" s="20" t="n">
        <f aca="false" t="array" ref="X346:X346">IF(AND(INDEX(Profils!$R$5:$R$34,$AE346)&gt;0,INDEX(Profils!$AG$5:$AG$34,$AE346)&lt;=$AH346),ROUND(INDEX(Profils!$R$5:$R$34,$AE346)*Paramètres!$E$34*$AG346*$AJ346,Paramètres!$F$34),0)</f>
        <v>0.011</v>
      </c>
      <c r="Y346" s="20" t="n">
        <f aca="false" t="array" ref="Y346:Y346">IF(AND(INDEX(Profils!$S$5:$S$34,$AE346)&gt;0,INDEX(Profils!$AH$5:$AH$34,$AE346)&lt;=$AH346),ROUND(INDEX(Profils!$S$5:$S$34,$AE346)*Paramètres!$E$35*$AG346*$AJ346,Paramètres!$F$35),0)</f>
        <v>0.01</v>
      </c>
      <c r="Z346" s="21" t="n">
        <f aca="false">ROUND(L346/Paramètres!$E$22+M346/Paramètres!$E$23+N346/Paramètres!$E$24+O346/Paramètres!$E$25+P346/Paramètres!$E$26+Q346/Paramètres!$E$27+R346/Paramètres!$E$28+S346/Paramètres!$E$29+T346/Paramètres!$E$30+U346/Paramètres!$E$31+V346/Paramètres!$E$32+W346/Paramètres!$E$33+X346/Paramètres!$E$34+Y346/Paramètres!$E$35,1)</f>
        <v>4</v>
      </c>
      <c r="AA346" s="22" t="str">
        <f aca="false" t="array" ref="AA346:AA346">INDEX(Uniques!$G$5:$G$34,MATCH($B346&amp;"|"&amp;$C346,Uniques!$A$5:$A$34,0))</f>
        <v>Pensée vive</v>
      </c>
      <c r="AB346" s="22" t="str">
        <f aca="false" t="array" ref="AB346:AB346">INDEX(Uniques!$H$5:$H$34,MATCH($B346&amp;"|"&amp;$C346,Uniques!$A$5:$A$34,0))&amp;" ["&amp;INDEX(Uniques!$I$5:$I$34,MATCH($B346&amp;"|"&amp;$C346,Uniques!$A$5:$A$34,0))&amp;"]"</f>
        <v>Après une compétence, 15 % de chance de réduire sa recharge de 1 manche. [Recharge minimale 1 ; ultimes exclues.]</v>
      </c>
      <c r="AC346" s="15" t="str">
        <f aca="false" t="array" ref="AC346:AC346">INDEX(Matériaux!$B$5:$F$12,MATCH(INDEX(Profils!$E$5:$E$34,$AE346),Matériaux!$A$5:$A$12,0),MATCH(MIN($J346+1,100),Matériaux!$B$16:$B$20,1))</f>
        <v>soie</v>
      </c>
      <c r="AD346" s="16" t="n">
        <f aca="false" t="array" ref="AD346:AD346">IF($I346&gt;=$AI346,"Max",ROUND(Paramètres!$B$40*($I346+1)^Paramètres!$B$41*INDEX(Paramètres!$H$6:$H$12,$AF346),0))</f>
        <v>9</v>
      </c>
      <c r="AE346" s="23" t="n">
        <f aca="false">MATCH($B346&amp;"|"&amp;$C346,Profils!$A$5:$A$34,0)</f>
        <v>11</v>
      </c>
      <c r="AF346" s="23" t="n">
        <v>7</v>
      </c>
      <c r="AG346" s="24" t="n">
        <f aca="false" t="array" ref="AG346:AG346">INDEX(Paramètres!$C$6:$C$12,$AF346)</f>
        <v>2.5</v>
      </c>
      <c r="AH346" s="23" t="n">
        <f aca="false" t="array" ref="AH346:AH346">INDEX(Paramètres!$D$6:$D$12,$AF346)</f>
        <v>7</v>
      </c>
      <c r="AI346" s="23" t="n">
        <f aca="false" t="array" ref="AI346:AI346">INDEX(Uniques!$M$5:$M$34,MATCH($B346&amp;"|"&amp;$C346,Uniques!$A$5:$A$34,0))</f>
        <v>69</v>
      </c>
      <c r="AJ346" s="25" t="n">
        <f aca="false">Paramètres!$B$16+(1-Paramètres!$B$16)*(($J346-Paramètres!$B$14)/(Paramètres!$B$15-Paramètres!$B$14))^Paramètres!$B$17</f>
        <v>0.276728898137755</v>
      </c>
    </row>
    <row r="347" customFormat="false" ht="15.75" hidden="false" customHeight="true" outlineLevel="0" collapsed="false">
      <c r="A347" s="14" t="s">
        <v>463</v>
      </c>
      <c r="B347" s="15" t="s">
        <v>29</v>
      </c>
      <c r="C347" s="15" t="s">
        <v>90</v>
      </c>
      <c r="D347" s="16" t="n">
        <v>1</v>
      </c>
      <c r="E347" s="15" t="str">
        <f aca="false" t="array" ref="E347:E347">INDEX(Matériaux!$B$5:$F$12,MATCH(INDEX(Profils!$E$5:$E$34,$AE347),Matériaux!$A$5:$A$12,0),$D347)</f>
        <v>lin</v>
      </c>
      <c r="F347" s="17" t="s">
        <v>108</v>
      </c>
      <c r="G347" s="10" t="str">
        <f aca="false" t="array" ref="G347:G347">INDEX(Profils!$D$5:$D$34,$AE347)&amp;" en "&amp;$E347</f>
        <v>Robe en lin</v>
      </c>
      <c r="H347" s="16" t="n">
        <f aca="false" t="array" ref="H347:H347">INDEX(Matériaux!$B$16:$B$20,$D347)</f>
        <v>1</v>
      </c>
      <c r="I347" s="16" t="n">
        <f aca="false">IF(ISNUMBER($C$3),MIN(MAX(0,ROUND($C$3,0)),$AI347),$AI347)</f>
        <v>0</v>
      </c>
      <c r="J347" s="18" t="n">
        <f aca="false">$H347+$I347</f>
        <v>1</v>
      </c>
      <c r="K347" s="15" t="s">
        <v>109</v>
      </c>
      <c r="L347" s="19" t="n">
        <f aca="false" t="array" ref="L347:L347">IF(AND(INDEX(Profils!$F$5:$F$34,$AE347)&gt;0,INDEX(Profils!$U$5:$U$34,$AE347)&lt;=$AH347),ROUND(INDEX(Profils!$F$5:$F$34,$AE347)*Paramètres!$E$22*$AG347*$AJ347,Paramètres!$F$22),0)</f>
        <v>3</v>
      </c>
      <c r="M347" s="19" t="n">
        <f aca="false" t="array" ref="M347:M347">IF(AND(INDEX(Profils!$G$5:$G$34,$AE347)&gt;0,INDEX(Profils!$V$5:$V$34,$AE347)&lt;=$AH347),ROUND(INDEX(Profils!$G$5:$G$34,$AE347)*Paramètres!$E$23*$AG347*$AJ347,Paramètres!$F$23),0)</f>
        <v>0</v>
      </c>
      <c r="N347" s="19" t="n">
        <f aca="false" t="array" ref="N347:N347">IF(AND(INDEX(Profils!$H$5:$H$34,$AE347)&gt;0,INDEX(Profils!$W$5:$W$34,$AE347)&lt;=$AH347),ROUND(INDEX(Profils!$H$5:$H$34,$AE347)*Paramètres!$E$24*$AG347*$AJ347,Paramètres!$F$24),0)</f>
        <v>0</v>
      </c>
      <c r="O347" s="19" t="n">
        <f aca="false" t="array" ref="O347:O347">IF(AND(INDEX(Profils!$I$5:$I$34,$AE347)&gt;0,INDEX(Profils!$X$5:$X$34,$AE347)&lt;=$AH347),ROUND(INDEX(Profils!$I$5:$I$34,$AE347)*Paramètres!$E$25*$AG347*$AJ347,Paramètres!$F$25),0)</f>
        <v>1</v>
      </c>
      <c r="P347" s="19" t="n">
        <f aca="false" t="array" ref="P347:P347">IF(AND(INDEX(Profils!$J$5:$J$34,$AE347)&gt;0,INDEX(Profils!$Y$5:$Y$34,$AE347)&lt;=$AH347),ROUND(INDEX(Profils!$J$5:$J$34,$AE347)*Paramètres!$E$26*$AG347*$AJ347,Paramètres!$F$26),0)</f>
        <v>0</v>
      </c>
      <c r="Q347" s="19" t="n">
        <f aca="false" t="array" ref="Q347:Q347">IF(AND(INDEX(Profils!$K$5:$K$34,$AE347)&gt;0,INDEX(Profils!$Z$5:$Z$34,$AE347)&lt;=$AH347),ROUND(INDEX(Profils!$K$5:$K$34,$AE347)*Paramètres!$E$27*$AG347*$AJ347,Paramètres!$F$27),0)</f>
        <v>0</v>
      </c>
      <c r="R347" s="20" t="n">
        <f aca="false" t="array" ref="R347:R347">IF(AND(INDEX(Profils!$L$5:$L$34,$AE347)&gt;0,INDEX(Profils!$AA$5:$AA$34,$AE347)&lt;=$AH347),ROUND(INDEX(Profils!$L$5:$L$34,$AE347)*Paramètres!$E$28*$AG347*$AJ347,Paramètres!$F$28),0)</f>
        <v>0</v>
      </c>
      <c r="S347" s="20" t="n">
        <f aca="false" t="array" ref="S347:S347">IF(AND(INDEX(Profils!$M$5:$M$34,$AE347)&gt;0,INDEX(Profils!$AB$5:$AB$34,$AE347)&lt;=$AH347),ROUND(INDEX(Profils!$M$5:$M$34,$AE347)*Paramètres!$E$29*$AG347*$AJ347,Paramètres!$F$29),0)</f>
        <v>0</v>
      </c>
      <c r="T347" s="20" t="n">
        <f aca="false" t="array" ref="T347:T347">IF(AND(INDEX(Profils!$N$5:$N$34,$AE347)&gt;0,INDEX(Profils!$AC$5:$AC$34,$AE347)&lt;=$AH347),ROUND(INDEX(Profils!$N$5:$N$34,$AE347)*Paramètres!$E$30*$AG347*$AJ347,Paramètres!$F$30),0)</f>
        <v>0</v>
      </c>
      <c r="U347" s="19" t="n">
        <f aca="false" t="array" ref="U347:U347">IF(AND(INDEX(Profils!$O$5:$O$34,$AE347)&gt;0,INDEX(Profils!$AD$5:$AD$34,$AE347)&lt;=$AH347),ROUND(INDEX(Profils!$O$5:$O$34,$AE347)*Paramètres!$E$31*$AG347*$AJ347,Paramètres!$F$31),0)</f>
        <v>0</v>
      </c>
      <c r="V347" s="20" t="n">
        <f aca="false" t="array" ref="V347:V347">IF(AND(INDEX(Profils!$P$5:$P$34,$AE347)&gt;0,INDEX(Profils!$AE$5:$AE$34,$AE347)&lt;=$AH347),ROUND(INDEX(Profils!$P$5:$P$34,$AE347)*Paramètres!$E$32*$AG347*$AJ347,Paramètres!$F$32),0)</f>
        <v>0</v>
      </c>
      <c r="W347" s="20" t="n">
        <f aca="false" t="array" ref="W347:W347">IF(AND(INDEX(Profils!$Q$5:$Q$34,$AE347)&gt;0,INDEX(Profils!$AF$5:$AF$34,$AE347)&lt;=$AH347),ROUND(INDEX(Profils!$Q$5:$Q$34,$AE347)*Paramètres!$E$33*$AG347*$AJ347,Paramètres!$F$33),0)</f>
        <v>0</v>
      </c>
      <c r="X347" s="20" t="n">
        <f aca="false" t="array" ref="X347:X347">IF(AND(INDEX(Profils!$R$5:$R$34,$AE347)&gt;0,INDEX(Profils!$AG$5:$AG$34,$AE347)&lt;=$AH347),ROUND(INDEX(Profils!$R$5:$R$34,$AE347)*Paramètres!$E$34*$AG347*$AJ347,Paramètres!$F$34),0)</f>
        <v>0</v>
      </c>
      <c r="Y347" s="20" t="n">
        <f aca="false" t="array" ref="Y347:Y347">IF(AND(INDEX(Profils!$S$5:$S$34,$AE347)&gt;0,INDEX(Profils!$AH$5:$AH$34,$AE347)&lt;=$AH347),ROUND(INDEX(Profils!$S$5:$S$34,$AE347)*Paramètres!$E$35*$AG347*$AJ347,Paramètres!$F$35),0)</f>
        <v>0</v>
      </c>
      <c r="Z347" s="21" t="n">
        <f aca="false">ROUND(L347/Paramètres!$E$22+M347/Paramètres!$E$23+N347/Paramètres!$E$24+O347/Paramètres!$E$25+P347/Paramètres!$E$26+Q347/Paramètres!$E$27+R347/Paramètres!$E$28+S347/Paramètres!$E$29+T347/Paramètres!$E$30+U347/Paramètres!$E$31+V347/Paramètres!$E$32+W347/Paramètres!$E$33+X347/Paramètres!$E$34+Y347/Paramètres!$E$35,1)</f>
        <v>0.2</v>
      </c>
      <c r="AA347" s="22" t="s">
        <v>109</v>
      </c>
      <c r="AB347" s="22" t="s">
        <v>109</v>
      </c>
      <c r="AC347" s="15" t="str">
        <f aca="false">$E347</f>
        <v>lin</v>
      </c>
      <c r="AD347" s="16" t="n">
        <f aca="false" t="array" ref="AD347:AD347">IF($I347&gt;=$AI347,"Max",ROUND(Paramètres!$B$40*($I347+1)^Paramètres!$B$41*INDEX(Paramètres!$H$6:$H$12,$AF347),0))</f>
        <v>3</v>
      </c>
      <c r="AE347" s="23" t="n">
        <f aca="false">MATCH($B347&amp;"|"&amp;$C347,Profils!$A$5:$A$34,0)</f>
        <v>12</v>
      </c>
      <c r="AF347" s="23" t="n">
        <v>1</v>
      </c>
      <c r="AG347" s="24" t="n">
        <f aca="false" t="array" ref="AG347:AG347">INDEX(Paramètres!$C$6:$C$12,$AF347)</f>
        <v>1</v>
      </c>
      <c r="AH347" s="23" t="n">
        <f aca="false" t="array" ref="AH347:AH347">INDEX(Paramètres!$D$6:$D$12,$AF347)</f>
        <v>2</v>
      </c>
      <c r="AI347" s="23" t="n">
        <f aca="false" t="array" ref="AI347:AI347">INDEX(Matériaux!$C$16:$C$20,$D347)</f>
        <v>19</v>
      </c>
      <c r="AJ347" s="25" t="n">
        <f aca="false">Paramètres!$B$16+(1-Paramètres!$B$16)*(($J347-Paramètres!$B$14)/(Paramètres!$B$15-Paramètres!$B$14))^Paramètres!$B$17</f>
        <v>0.05</v>
      </c>
    </row>
    <row r="348" customFormat="false" ht="15.75" hidden="false" customHeight="true" outlineLevel="0" collapsed="false">
      <c r="A348" s="14" t="s">
        <v>464</v>
      </c>
      <c r="B348" s="15" t="s">
        <v>29</v>
      </c>
      <c r="C348" s="15" t="s">
        <v>90</v>
      </c>
      <c r="D348" s="16" t="n">
        <v>1</v>
      </c>
      <c r="E348" s="15" t="str">
        <f aca="false" t="array" ref="E348:E348">INDEX(Matériaux!$B$5:$F$12,MATCH(INDEX(Profils!$E$5:$E$34,$AE348),Matériaux!$A$5:$A$12,0),$D348)</f>
        <v>lin</v>
      </c>
      <c r="F348" s="26" t="s">
        <v>111</v>
      </c>
      <c r="G348" s="10" t="str">
        <f aca="false" t="array" ref="G348:G348">INDEX(Profils!$D$5:$D$34,$AE348)&amp;" en "&amp;$E348</f>
        <v>Robe en lin</v>
      </c>
      <c r="H348" s="16" t="n">
        <f aca="false" t="array" ref="H348:H348">INDEX(Matériaux!$B$16:$B$20,$D348)</f>
        <v>1</v>
      </c>
      <c r="I348" s="16" t="n">
        <f aca="false">IF(ISNUMBER($C$3),MIN(MAX(0,ROUND($C$3,0)),$AI348),$AI348)</f>
        <v>0</v>
      </c>
      <c r="J348" s="18" t="n">
        <f aca="false">$H348+$I348</f>
        <v>1</v>
      </c>
      <c r="K348" s="15" t="s">
        <v>109</v>
      </c>
      <c r="L348" s="19" t="n">
        <f aca="false" t="array" ref="L348:L348">IF(AND(INDEX(Profils!$F$5:$F$34,$AE348)&gt;0,INDEX(Profils!$U$5:$U$34,$AE348)&lt;=$AH348),ROUND(INDEX(Profils!$F$5:$F$34,$AE348)*Paramètres!$E$22*$AG348*$AJ348,Paramètres!$F$22),0)</f>
        <v>3</v>
      </c>
      <c r="M348" s="19" t="n">
        <f aca="false" t="array" ref="M348:M348">IF(AND(INDEX(Profils!$G$5:$G$34,$AE348)&gt;0,INDEX(Profils!$V$5:$V$34,$AE348)&lt;=$AH348),ROUND(INDEX(Profils!$G$5:$G$34,$AE348)*Paramètres!$E$23*$AG348*$AJ348,Paramètres!$F$23),0)</f>
        <v>0</v>
      </c>
      <c r="N348" s="19" t="n">
        <f aca="false" t="array" ref="N348:N348">IF(AND(INDEX(Profils!$H$5:$H$34,$AE348)&gt;0,INDEX(Profils!$W$5:$W$34,$AE348)&lt;=$AH348),ROUND(INDEX(Profils!$H$5:$H$34,$AE348)*Paramètres!$E$24*$AG348*$AJ348,Paramètres!$F$24),0)</f>
        <v>0</v>
      </c>
      <c r="O348" s="19" t="n">
        <f aca="false" t="array" ref="O348:O348">IF(AND(INDEX(Profils!$I$5:$I$34,$AE348)&gt;0,INDEX(Profils!$X$5:$X$34,$AE348)&lt;=$AH348),ROUND(INDEX(Profils!$I$5:$I$34,$AE348)*Paramètres!$E$25*$AG348*$AJ348,Paramètres!$F$25),0)</f>
        <v>1</v>
      </c>
      <c r="P348" s="19" t="n">
        <f aca="false" t="array" ref="P348:P348">IF(AND(INDEX(Profils!$J$5:$J$34,$AE348)&gt;0,INDEX(Profils!$Y$5:$Y$34,$AE348)&lt;=$AH348),ROUND(INDEX(Profils!$J$5:$J$34,$AE348)*Paramètres!$E$26*$AG348*$AJ348,Paramètres!$F$26),0)</f>
        <v>0</v>
      </c>
      <c r="Q348" s="19" t="n">
        <f aca="false" t="array" ref="Q348:Q348">IF(AND(INDEX(Profils!$K$5:$K$34,$AE348)&gt;0,INDEX(Profils!$Z$5:$Z$34,$AE348)&lt;=$AH348),ROUND(INDEX(Profils!$K$5:$K$34,$AE348)*Paramètres!$E$27*$AG348*$AJ348,Paramètres!$F$27),0)</f>
        <v>0</v>
      </c>
      <c r="R348" s="20" t="n">
        <f aca="false" t="array" ref="R348:R348">IF(AND(INDEX(Profils!$L$5:$L$34,$AE348)&gt;0,INDEX(Profils!$AA$5:$AA$34,$AE348)&lt;=$AH348),ROUND(INDEX(Profils!$L$5:$L$34,$AE348)*Paramètres!$E$28*$AG348*$AJ348,Paramètres!$F$28),0)</f>
        <v>0</v>
      </c>
      <c r="S348" s="20" t="n">
        <f aca="false" t="array" ref="S348:S348">IF(AND(INDEX(Profils!$M$5:$M$34,$AE348)&gt;0,INDEX(Profils!$AB$5:$AB$34,$AE348)&lt;=$AH348),ROUND(INDEX(Profils!$M$5:$M$34,$AE348)*Paramètres!$E$29*$AG348*$AJ348,Paramètres!$F$29),0)</f>
        <v>0</v>
      </c>
      <c r="T348" s="20" t="n">
        <f aca="false" t="array" ref="T348:T348">IF(AND(INDEX(Profils!$N$5:$N$34,$AE348)&gt;0,INDEX(Profils!$AC$5:$AC$34,$AE348)&lt;=$AH348),ROUND(INDEX(Profils!$N$5:$N$34,$AE348)*Paramètres!$E$30*$AG348*$AJ348,Paramètres!$F$30),0)</f>
        <v>0</v>
      </c>
      <c r="U348" s="19" t="n">
        <f aca="false" t="array" ref="U348:U348">IF(AND(INDEX(Profils!$O$5:$O$34,$AE348)&gt;0,INDEX(Profils!$AD$5:$AD$34,$AE348)&lt;=$AH348),ROUND(INDEX(Profils!$O$5:$O$34,$AE348)*Paramètres!$E$31*$AG348*$AJ348,Paramètres!$F$31),0)</f>
        <v>0</v>
      </c>
      <c r="V348" s="20" t="n">
        <f aca="false" t="array" ref="V348:V348">IF(AND(INDEX(Profils!$P$5:$P$34,$AE348)&gt;0,INDEX(Profils!$AE$5:$AE$34,$AE348)&lt;=$AH348),ROUND(INDEX(Profils!$P$5:$P$34,$AE348)*Paramètres!$E$32*$AG348*$AJ348,Paramètres!$F$32),0)</f>
        <v>0</v>
      </c>
      <c r="W348" s="20" t="n">
        <f aca="false" t="array" ref="W348:W348">IF(AND(INDEX(Profils!$Q$5:$Q$34,$AE348)&gt;0,INDEX(Profils!$AF$5:$AF$34,$AE348)&lt;=$AH348),ROUND(INDEX(Profils!$Q$5:$Q$34,$AE348)*Paramètres!$E$33*$AG348*$AJ348,Paramètres!$F$33),0)</f>
        <v>0.001</v>
      </c>
      <c r="X348" s="20" t="n">
        <f aca="false" t="array" ref="X348:X348">IF(AND(INDEX(Profils!$R$5:$R$34,$AE348)&gt;0,INDEX(Profils!$AG$5:$AG$34,$AE348)&lt;=$AH348),ROUND(INDEX(Profils!$R$5:$R$34,$AE348)*Paramètres!$E$34*$AG348*$AJ348,Paramètres!$F$34),0)</f>
        <v>0</v>
      </c>
      <c r="Y348" s="20" t="n">
        <f aca="false" t="array" ref="Y348:Y348">IF(AND(INDEX(Profils!$S$5:$S$34,$AE348)&gt;0,INDEX(Profils!$AH$5:$AH$34,$AE348)&lt;=$AH348),ROUND(INDEX(Profils!$S$5:$S$34,$AE348)*Paramètres!$E$35*$AG348*$AJ348,Paramètres!$F$35),0)</f>
        <v>0</v>
      </c>
      <c r="Z348" s="21" t="n">
        <f aca="false">ROUND(L348/Paramètres!$E$22+M348/Paramètres!$E$23+N348/Paramètres!$E$24+O348/Paramètres!$E$25+P348/Paramètres!$E$26+Q348/Paramètres!$E$27+R348/Paramètres!$E$28+S348/Paramètres!$E$29+T348/Paramètres!$E$30+U348/Paramètres!$E$31+V348/Paramètres!$E$32+W348/Paramètres!$E$33+X348/Paramètres!$E$34+Y348/Paramètres!$E$35,1)</f>
        <v>0.3</v>
      </c>
      <c r="AA348" s="22" t="s">
        <v>109</v>
      </c>
      <c r="AB348" s="22" t="s">
        <v>109</v>
      </c>
      <c r="AC348" s="15" t="str">
        <f aca="false">$E348</f>
        <v>lin</v>
      </c>
      <c r="AD348" s="16" t="n">
        <f aca="false" t="array" ref="AD348:AD348">IF($I348&gt;=$AI348,"Max",ROUND(Paramètres!$B$40*($I348+1)^Paramètres!$B$41*INDEX(Paramètres!$H$6:$H$12,$AF348),0))</f>
        <v>4</v>
      </c>
      <c r="AE348" s="23" t="n">
        <f aca="false">MATCH($B348&amp;"|"&amp;$C348,Profils!$A$5:$A$34,0)</f>
        <v>12</v>
      </c>
      <c r="AF348" s="23" t="n">
        <v>2</v>
      </c>
      <c r="AG348" s="24" t="n">
        <f aca="false" t="array" ref="AG348:AG348">INDEX(Paramètres!$C$6:$C$12,$AF348)</f>
        <v>1.2</v>
      </c>
      <c r="AH348" s="23" t="n">
        <f aca="false" t="array" ref="AH348:AH348">INDEX(Paramètres!$D$6:$D$12,$AF348)</f>
        <v>3</v>
      </c>
      <c r="AI348" s="23" t="n">
        <f aca="false" t="array" ref="AI348:AI348">INDEX(Matériaux!$C$16:$C$20,$D348)</f>
        <v>19</v>
      </c>
      <c r="AJ348" s="25" t="n">
        <f aca="false">Paramètres!$B$16+(1-Paramètres!$B$16)*(($J348-Paramètres!$B$14)/(Paramètres!$B$15-Paramètres!$B$14))^Paramètres!$B$17</f>
        <v>0.05</v>
      </c>
    </row>
    <row r="349" customFormat="false" ht="15.75" hidden="false" customHeight="true" outlineLevel="0" collapsed="false">
      <c r="A349" s="14" t="s">
        <v>465</v>
      </c>
      <c r="B349" s="15" t="s">
        <v>29</v>
      </c>
      <c r="C349" s="15" t="s">
        <v>90</v>
      </c>
      <c r="D349" s="16" t="n">
        <v>1</v>
      </c>
      <c r="E349" s="15" t="str">
        <f aca="false" t="array" ref="E349:E349">INDEX(Matériaux!$B$5:$F$12,MATCH(INDEX(Profils!$E$5:$E$34,$AE349),Matériaux!$A$5:$A$12,0),$D349)</f>
        <v>lin</v>
      </c>
      <c r="F349" s="27" t="s">
        <v>113</v>
      </c>
      <c r="G349" s="10" t="str">
        <f aca="false" t="array" ref="G349:G349">INDEX(Profils!$D$5:$D$34,$AE349)&amp;" en "&amp;$E349</f>
        <v>Robe en lin</v>
      </c>
      <c r="H349" s="16" t="n">
        <f aca="false" t="array" ref="H349:H349">INDEX(Matériaux!$B$16:$B$20,$D349)</f>
        <v>1</v>
      </c>
      <c r="I349" s="16" t="n">
        <f aca="false">IF(ISNUMBER($C$3),MIN(MAX(0,ROUND($C$3,0)),$AI349),$AI349)</f>
        <v>0</v>
      </c>
      <c r="J349" s="18" t="n">
        <f aca="false">$H349+$I349</f>
        <v>1</v>
      </c>
      <c r="K349" s="15" t="s">
        <v>109</v>
      </c>
      <c r="L349" s="19" t="n">
        <f aca="false" t="array" ref="L349:L349">IF(AND(INDEX(Profils!$F$5:$F$34,$AE349)&gt;0,INDEX(Profils!$U$5:$U$34,$AE349)&lt;=$AH349),ROUND(INDEX(Profils!$F$5:$F$34,$AE349)*Paramètres!$E$22*$AG349*$AJ349,Paramètres!$F$22),0)</f>
        <v>4</v>
      </c>
      <c r="M349" s="19" t="n">
        <f aca="false" t="array" ref="M349:M349">IF(AND(INDEX(Profils!$G$5:$G$34,$AE349)&gt;0,INDEX(Profils!$V$5:$V$34,$AE349)&lt;=$AH349),ROUND(INDEX(Profils!$G$5:$G$34,$AE349)*Paramètres!$E$23*$AG349*$AJ349,Paramètres!$F$23),0)</f>
        <v>0</v>
      </c>
      <c r="N349" s="19" t="n">
        <f aca="false" t="array" ref="N349:N349">IF(AND(INDEX(Profils!$H$5:$H$34,$AE349)&gt;0,INDEX(Profils!$W$5:$W$34,$AE349)&lt;=$AH349),ROUND(INDEX(Profils!$H$5:$H$34,$AE349)*Paramètres!$E$24*$AG349*$AJ349,Paramètres!$F$24),0)</f>
        <v>0</v>
      </c>
      <c r="O349" s="19" t="n">
        <f aca="false" t="array" ref="O349:O349">IF(AND(INDEX(Profils!$I$5:$I$34,$AE349)&gt;0,INDEX(Profils!$X$5:$X$34,$AE349)&lt;=$AH349),ROUND(INDEX(Profils!$I$5:$I$34,$AE349)*Paramètres!$E$25*$AG349*$AJ349,Paramètres!$F$25),0)</f>
        <v>2</v>
      </c>
      <c r="P349" s="19" t="n">
        <f aca="false" t="array" ref="P349:P349">IF(AND(INDEX(Profils!$J$5:$J$34,$AE349)&gt;0,INDEX(Profils!$Y$5:$Y$34,$AE349)&lt;=$AH349),ROUND(INDEX(Profils!$J$5:$J$34,$AE349)*Paramètres!$E$26*$AG349*$AJ349,Paramètres!$F$26),0)</f>
        <v>0</v>
      </c>
      <c r="Q349" s="19" t="n">
        <f aca="false" t="array" ref="Q349:Q349">IF(AND(INDEX(Profils!$K$5:$K$34,$AE349)&gt;0,INDEX(Profils!$Z$5:$Z$34,$AE349)&lt;=$AH349),ROUND(INDEX(Profils!$K$5:$K$34,$AE349)*Paramètres!$E$27*$AG349*$AJ349,Paramètres!$F$27),0)</f>
        <v>0</v>
      </c>
      <c r="R349" s="20" t="n">
        <f aca="false" t="array" ref="R349:R349">IF(AND(INDEX(Profils!$L$5:$L$34,$AE349)&gt;0,INDEX(Profils!$AA$5:$AA$34,$AE349)&lt;=$AH349),ROUND(INDEX(Profils!$L$5:$L$34,$AE349)*Paramètres!$E$28*$AG349*$AJ349,Paramètres!$F$28),0)</f>
        <v>0</v>
      </c>
      <c r="S349" s="20" t="n">
        <f aca="false" t="array" ref="S349:S349">IF(AND(INDEX(Profils!$M$5:$M$34,$AE349)&gt;0,INDEX(Profils!$AB$5:$AB$34,$AE349)&lt;=$AH349),ROUND(INDEX(Profils!$M$5:$M$34,$AE349)*Paramètres!$E$29*$AG349*$AJ349,Paramètres!$F$29),0)</f>
        <v>0</v>
      </c>
      <c r="T349" s="20" t="n">
        <f aca="false" t="array" ref="T349:T349">IF(AND(INDEX(Profils!$N$5:$N$34,$AE349)&gt;0,INDEX(Profils!$AC$5:$AC$34,$AE349)&lt;=$AH349),ROUND(INDEX(Profils!$N$5:$N$34,$AE349)*Paramètres!$E$30*$AG349*$AJ349,Paramètres!$F$30),0)</f>
        <v>0</v>
      </c>
      <c r="U349" s="19" t="n">
        <f aca="false" t="array" ref="U349:U349">IF(AND(INDEX(Profils!$O$5:$O$34,$AE349)&gt;0,INDEX(Profils!$AD$5:$AD$34,$AE349)&lt;=$AH349),ROUND(INDEX(Profils!$O$5:$O$34,$AE349)*Paramètres!$E$31*$AG349*$AJ349,Paramètres!$F$31),0)</f>
        <v>0</v>
      </c>
      <c r="V349" s="20" t="n">
        <f aca="false" t="array" ref="V349:V349">IF(AND(INDEX(Profils!$P$5:$P$34,$AE349)&gt;0,INDEX(Profils!$AE$5:$AE$34,$AE349)&lt;=$AH349),ROUND(INDEX(Profils!$P$5:$P$34,$AE349)*Paramètres!$E$32*$AG349*$AJ349,Paramètres!$F$32),0)</f>
        <v>0</v>
      </c>
      <c r="W349" s="20" t="n">
        <f aca="false" t="array" ref="W349:W349">IF(AND(INDEX(Profils!$Q$5:$Q$34,$AE349)&gt;0,INDEX(Profils!$AF$5:$AF$34,$AE349)&lt;=$AH349),ROUND(INDEX(Profils!$Q$5:$Q$34,$AE349)*Paramètres!$E$33*$AG349*$AJ349,Paramètres!$F$33),0)</f>
        <v>0.002</v>
      </c>
      <c r="X349" s="20" t="n">
        <f aca="false" t="array" ref="X349:X349">IF(AND(INDEX(Profils!$R$5:$R$34,$AE349)&gt;0,INDEX(Profils!$AG$5:$AG$34,$AE349)&lt;=$AH349),ROUND(INDEX(Profils!$R$5:$R$34,$AE349)*Paramètres!$E$34*$AG349*$AJ349,Paramètres!$F$34),0)</f>
        <v>0</v>
      </c>
      <c r="Y349" s="20" t="n">
        <f aca="false" t="array" ref="Y349:Y349">IF(AND(INDEX(Profils!$S$5:$S$34,$AE349)&gt;0,INDEX(Profils!$AH$5:$AH$34,$AE349)&lt;=$AH349),ROUND(INDEX(Profils!$S$5:$S$34,$AE349)*Paramètres!$E$35*$AG349*$AJ349,Paramètres!$F$35),0)</f>
        <v>0.001</v>
      </c>
      <c r="Z349" s="21" t="n">
        <f aca="false">ROUND(L349/Paramètres!$E$22+M349/Paramètres!$E$23+N349/Paramètres!$E$24+O349/Paramètres!$E$25+P349/Paramètres!$E$26+Q349/Paramètres!$E$27+R349/Paramètres!$E$28+S349/Paramètres!$E$29+T349/Paramètres!$E$30+U349/Paramètres!$E$31+V349/Paramètres!$E$32+W349/Paramètres!$E$33+X349/Paramètres!$E$34+Y349/Paramètres!$E$35,1)</f>
        <v>0.5</v>
      </c>
      <c r="AA349" s="22" t="s">
        <v>109</v>
      </c>
      <c r="AB349" s="22" t="s">
        <v>109</v>
      </c>
      <c r="AC349" s="15" t="str">
        <f aca="false">$E349</f>
        <v>lin</v>
      </c>
      <c r="AD349" s="16" t="n">
        <f aca="false" t="array" ref="AD349:AD349">IF($I349&gt;=$AI349,"Max",ROUND(Paramètres!$B$40*($I349+1)^Paramètres!$B$41*INDEX(Paramètres!$H$6:$H$12,$AF349),0))</f>
        <v>4</v>
      </c>
      <c r="AE349" s="23" t="n">
        <f aca="false">MATCH($B349&amp;"|"&amp;$C349,Profils!$A$5:$A$34,0)</f>
        <v>12</v>
      </c>
      <c r="AF349" s="23" t="n">
        <v>3</v>
      </c>
      <c r="AG349" s="24" t="n">
        <f aca="false" t="array" ref="AG349:AG349">INDEX(Paramètres!$C$6:$C$12,$AF349)</f>
        <v>1.45</v>
      </c>
      <c r="AH349" s="23" t="n">
        <f aca="false" t="array" ref="AH349:AH349">INDEX(Paramètres!$D$6:$D$12,$AF349)</f>
        <v>4</v>
      </c>
      <c r="AI349" s="23" t="n">
        <f aca="false" t="array" ref="AI349:AI349">INDEX(Matériaux!$C$16:$C$20,$D349)</f>
        <v>19</v>
      </c>
      <c r="AJ349" s="25" t="n">
        <f aca="false">Paramètres!$B$16+(1-Paramètres!$B$16)*(($J349-Paramètres!$B$14)/(Paramètres!$B$15-Paramètres!$B$14))^Paramètres!$B$17</f>
        <v>0.05</v>
      </c>
    </row>
    <row r="350" customFormat="false" ht="15.75" hidden="false" customHeight="true" outlineLevel="0" collapsed="false">
      <c r="A350" s="14" t="s">
        <v>466</v>
      </c>
      <c r="B350" s="15" t="s">
        <v>29</v>
      </c>
      <c r="C350" s="15" t="s">
        <v>90</v>
      </c>
      <c r="D350" s="16" t="n">
        <v>1</v>
      </c>
      <c r="E350" s="15" t="str">
        <f aca="false" t="array" ref="E350:E350">INDEX(Matériaux!$B$5:$F$12,MATCH(INDEX(Profils!$E$5:$E$34,$AE350),Matériaux!$A$5:$A$12,0),$D350)</f>
        <v>lin</v>
      </c>
      <c r="F350" s="28" t="s">
        <v>115</v>
      </c>
      <c r="G350" s="10" t="str">
        <f aca="false" t="array" ref="G350:G350">INDEX(Profils!$D$5:$D$34,$AE350)&amp;" en "&amp;$E350</f>
        <v>Robe en lin</v>
      </c>
      <c r="H350" s="16" t="n">
        <f aca="false" t="array" ref="H350:H350">INDEX(Matériaux!$B$16:$B$20,$D350)</f>
        <v>1</v>
      </c>
      <c r="I350" s="16" t="n">
        <f aca="false">IF(ISNUMBER($C$3),MIN(MAX(0,ROUND($C$3,0)),$AI350),$AI350)</f>
        <v>0</v>
      </c>
      <c r="J350" s="18" t="n">
        <f aca="false">$H350+$I350</f>
        <v>1</v>
      </c>
      <c r="K350" s="15" t="s">
        <v>109</v>
      </c>
      <c r="L350" s="19" t="n">
        <f aca="false" t="array" ref="L350:L350">IF(AND(INDEX(Profils!$F$5:$F$34,$AE350)&gt;0,INDEX(Profils!$U$5:$U$34,$AE350)&lt;=$AH350),ROUND(INDEX(Profils!$F$5:$F$34,$AE350)*Paramètres!$E$22*$AG350*$AJ350,Paramètres!$F$22),0)</f>
        <v>4</v>
      </c>
      <c r="M350" s="19" t="n">
        <f aca="false" t="array" ref="M350:M350">IF(AND(INDEX(Profils!$G$5:$G$34,$AE350)&gt;0,INDEX(Profils!$V$5:$V$34,$AE350)&lt;=$AH350),ROUND(INDEX(Profils!$G$5:$G$34,$AE350)*Paramètres!$E$23*$AG350*$AJ350,Paramètres!$F$23),0)</f>
        <v>0</v>
      </c>
      <c r="N350" s="19" t="n">
        <f aca="false" t="array" ref="N350:N350">IF(AND(INDEX(Profils!$H$5:$H$34,$AE350)&gt;0,INDEX(Profils!$W$5:$W$34,$AE350)&lt;=$AH350),ROUND(INDEX(Profils!$H$5:$H$34,$AE350)*Paramètres!$E$24*$AG350*$AJ350,Paramètres!$F$24),0)</f>
        <v>0</v>
      </c>
      <c r="O350" s="19" t="n">
        <f aca="false" t="array" ref="O350:O350">IF(AND(INDEX(Profils!$I$5:$I$34,$AE350)&gt;0,INDEX(Profils!$X$5:$X$34,$AE350)&lt;=$AH350),ROUND(INDEX(Profils!$I$5:$I$34,$AE350)*Paramètres!$E$25*$AG350*$AJ350,Paramètres!$F$25),0)</f>
        <v>2</v>
      </c>
      <c r="P350" s="19" t="n">
        <f aca="false" t="array" ref="P350:P350">IF(AND(INDEX(Profils!$J$5:$J$34,$AE350)&gt;0,INDEX(Profils!$Y$5:$Y$34,$AE350)&lt;=$AH350),ROUND(INDEX(Profils!$J$5:$J$34,$AE350)*Paramètres!$E$26*$AG350*$AJ350,Paramètres!$F$26),0)</f>
        <v>0</v>
      </c>
      <c r="Q350" s="19" t="n">
        <f aca="false" t="array" ref="Q350:Q350">IF(AND(INDEX(Profils!$K$5:$K$34,$AE350)&gt;0,INDEX(Profils!$Z$5:$Z$34,$AE350)&lt;=$AH350),ROUND(INDEX(Profils!$K$5:$K$34,$AE350)*Paramètres!$E$27*$AG350*$AJ350,Paramètres!$F$27),0)</f>
        <v>0</v>
      </c>
      <c r="R350" s="20" t="n">
        <f aca="false" t="array" ref="R350:R350">IF(AND(INDEX(Profils!$L$5:$L$34,$AE350)&gt;0,INDEX(Profils!$AA$5:$AA$34,$AE350)&lt;=$AH350),ROUND(INDEX(Profils!$L$5:$L$34,$AE350)*Paramètres!$E$28*$AG350*$AJ350,Paramètres!$F$28),0)</f>
        <v>0</v>
      </c>
      <c r="S350" s="20" t="n">
        <f aca="false" t="array" ref="S350:S350">IF(AND(INDEX(Profils!$M$5:$M$34,$AE350)&gt;0,INDEX(Profils!$AB$5:$AB$34,$AE350)&lt;=$AH350),ROUND(INDEX(Profils!$M$5:$M$34,$AE350)*Paramètres!$E$29*$AG350*$AJ350,Paramètres!$F$29),0)</f>
        <v>0</v>
      </c>
      <c r="T350" s="20" t="n">
        <f aca="false" t="array" ref="T350:T350">IF(AND(INDEX(Profils!$N$5:$N$34,$AE350)&gt;0,INDEX(Profils!$AC$5:$AC$34,$AE350)&lt;=$AH350),ROUND(INDEX(Profils!$N$5:$N$34,$AE350)*Paramètres!$E$30*$AG350*$AJ350,Paramètres!$F$30),0)</f>
        <v>0</v>
      </c>
      <c r="U350" s="19" t="n">
        <f aca="false" t="array" ref="U350:U350">IF(AND(INDEX(Profils!$O$5:$O$34,$AE350)&gt;0,INDEX(Profils!$AD$5:$AD$34,$AE350)&lt;=$AH350),ROUND(INDEX(Profils!$O$5:$O$34,$AE350)*Paramètres!$E$31*$AG350*$AJ350,Paramètres!$F$31),0)</f>
        <v>2</v>
      </c>
      <c r="V350" s="20" t="n">
        <f aca="false" t="array" ref="V350:V350">IF(AND(INDEX(Profils!$P$5:$P$34,$AE350)&gt;0,INDEX(Profils!$AE$5:$AE$34,$AE350)&lt;=$AH350),ROUND(INDEX(Profils!$P$5:$P$34,$AE350)*Paramètres!$E$32*$AG350*$AJ350,Paramètres!$F$32),0)</f>
        <v>0</v>
      </c>
      <c r="W350" s="20" t="n">
        <f aca="false" t="array" ref="W350:W350">IF(AND(INDEX(Profils!$Q$5:$Q$34,$AE350)&gt;0,INDEX(Profils!$AF$5:$AF$34,$AE350)&lt;=$AH350),ROUND(INDEX(Profils!$Q$5:$Q$34,$AE350)*Paramètres!$E$33*$AG350*$AJ350,Paramètres!$F$33),0)</f>
        <v>0.002</v>
      </c>
      <c r="X350" s="20" t="n">
        <f aca="false" t="array" ref="X350:X350">IF(AND(INDEX(Profils!$R$5:$R$34,$AE350)&gt;0,INDEX(Profils!$AG$5:$AG$34,$AE350)&lt;=$AH350),ROUND(INDEX(Profils!$R$5:$R$34,$AE350)*Paramètres!$E$34*$AG350*$AJ350,Paramètres!$F$34),0)</f>
        <v>0</v>
      </c>
      <c r="Y350" s="20" t="n">
        <f aca="false" t="array" ref="Y350:Y350">IF(AND(INDEX(Profils!$S$5:$S$34,$AE350)&gt;0,INDEX(Profils!$AH$5:$AH$34,$AE350)&lt;=$AH350),ROUND(INDEX(Profils!$S$5:$S$34,$AE350)*Paramètres!$E$35*$AG350*$AJ350,Paramètres!$F$35),0)</f>
        <v>0.001</v>
      </c>
      <c r="Z350" s="21" t="n">
        <f aca="false">ROUND(L350/Paramètres!$E$22+M350/Paramètres!$E$23+N350/Paramètres!$E$24+O350/Paramètres!$E$25+P350/Paramètres!$E$26+Q350/Paramètres!$E$27+R350/Paramètres!$E$28+S350/Paramètres!$E$29+T350/Paramètres!$E$30+U350/Paramètres!$E$31+V350/Paramètres!$E$32+W350/Paramètres!$E$33+X350/Paramètres!$E$34+Y350/Paramètres!$E$35,1)</f>
        <v>0.6</v>
      </c>
      <c r="AA350" s="22" t="s">
        <v>109</v>
      </c>
      <c r="AB350" s="22" t="s">
        <v>109</v>
      </c>
      <c r="AC350" s="15" t="str">
        <f aca="false">$E350</f>
        <v>lin</v>
      </c>
      <c r="AD350" s="16" t="n">
        <f aca="false" t="array" ref="AD350:AD350">IF($I350&gt;=$AI350,"Max",ROUND(Paramètres!$B$40*($I350+1)^Paramètres!$B$41*INDEX(Paramètres!$H$6:$H$12,$AF350),0))</f>
        <v>5</v>
      </c>
      <c r="AE350" s="23" t="n">
        <f aca="false">MATCH($B350&amp;"|"&amp;$C350,Profils!$A$5:$A$34,0)</f>
        <v>12</v>
      </c>
      <c r="AF350" s="23" t="n">
        <v>4</v>
      </c>
      <c r="AG350" s="24" t="n">
        <f aca="false" t="array" ref="AG350:AG350">INDEX(Paramètres!$C$6:$C$12,$AF350)</f>
        <v>1.75</v>
      </c>
      <c r="AH350" s="23" t="n">
        <f aca="false" t="array" ref="AH350:AH350">INDEX(Paramètres!$D$6:$D$12,$AF350)</f>
        <v>5</v>
      </c>
      <c r="AI350" s="23" t="n">
        <f aca="false" t="array" ref="AI350:AI350">INDEX(Matériaux!$C$16:$C$20,$D350)</f>
        <v>19</v>
      </c>
      <c r="AJ350" s="25" t="n">
        <f aca="false">Paramètres!$B$16+(1-Paramètres!$B$16)*(($J350-Paramètres!$B$14)/(Paramètres!$B$15-Paramètres!$B$14))^Paramètres!$B$17</f>
        <v>0.05</v>
      </c>
    </row>
    <row r="351" customFormat="false" ht="15.75" hidden="false" customHeight="true" outlineLevel="0" collapsed="false">
      <c r="A351" s="14" t="s">
        <v>467</v>
      </c>
      <c r="B351" s="15" t="s">
        <v>29</v>
      </c>
      <c r="C351" s="15" t="s">
        <v>90</v>
      </c>
      <c r="D351" s="16" t="n">
        <v>1</v>
      </c>
      <c r="E351" s="15" t="str">
        <f aca="false" t="array" ref="E351:E351">INDEX(Matériaux!$B$5:$F$12,MATCH(INDEX(Profils!$E$5:$E$34,$AE351),Matériaux!$A$5:$A$12,0),$D351)</f>
        <v>lin</v>
      </c>
      <c r="F351" s="29" t="s">
        <v>117</v>
      </c>
      <c r="G351" s="10" t="str">
        <f aca="false" t="array" ref="G351:G351">INDEX(Profils!$D$5:$D$34,$AE351)&amp;" en "&amp;$E351</f>
        <v>Robe en lin</v>
      </c>
      <c r="H351" s="16" t="n">
        <f aca="false" t="array" ref="H351:H351">INDEX(Matériaux!$B$16:$B$20,$D351)</f>
        <v>1</v>
      </c>
      <c r="I351" s="16" t="n">
        <f aca="false">IF(ISNUMBER($C$3),MIN(MAX(0,ROUND($C$3,0)),$AI351),$AI351)</f>
        <v>0</v>
      </c>
      <c r="J351" s="18" t="n">
        <f aca="false">$H351+$I351</f>
        <v>1</v>
      </c>
      <c r="K351" s="15" t="s">
        <v>109</v>
      </c>
      <c r="L351" s="19" t="n">
        <f aca="false" t="array" ref="L351:L351">IF(AND(INDEX(Profils!$F$5:$F$34,$AE351)&gt;0,INDEX(Profils!$U$5:$U$34,$AE351)&lt;=$AH351),ROUND(INDEX(Profils!$F$5:$F$34,$AE351)*Paramètres!$E$22*$AG351*$AJ351,Paramètres!$F$22),0)</f>
        <v>5</v>
      </c>
      <c r="M351" s="19" t="n">
        <f aca="false" t="array" ref="M351:M351">IF(AND(INDEX(Profils!$G$5:$G$34,$AE351)&gt;0,INDEX(Profils!$V$5:$V$34,$AE351)&lt;=$AH351),ROUND(INDEX(Profils!$G$5:$G$34,$AE351)*Paramètres!$E$23*$AG351*$AJ351,Paramètres!$F$23),0)</f>
        <v>0</v>
      </c>
      <c r="N351" s="19" t="n">
        <f aca="false" t="array" ref="N351:N351">IF(AND(INDEX(Profils!$H$5:$H$34,$AE351)&gt;0,INDEX(Profils!$W$5:$W$34,$AE351)&lt;=$AH351),ROUND(INDEX(Profils!$H$5:$H$34,$AE351)*Paramètres!$E$24*$AG351*$AJ351,Paramètres!$F$24),0)</f>
        <v>0</v>
      </c>
      <c r="O351" s="19" t="n">
        <f aca="false" t="array" ref="O351:O351">IF(AND(INDEX(Profils!$I$5:$I$34,$AE351)&gt;0,INDEX(Profils!$X$5:$X$34,$AE351)&lt;=$AH351),ROUND(INDEX(Profils!$I$5:$I$34,$AE351)*Paramètres!$E$25*$AG351*$AJ351,Paramètres!$F$25),0)</f>
        <v>2</v>
      </c>
      <c r="P351" s="19" t="n">
        <f aca="false" t="array" ref="P351:P351">IF(AND(INDEX(Profils!$J$5:$J$34,$AE351)&gt;0,INDEX(Profils!$Y$5:$Y$34,$AE351)&lt;=$AH351),ROUND(INDEX(Profils!$J$5:$J$34,$AE351)*Paramètres!$E$26*$AG351*$AJ351,Paramètres!$F$26),0)</f>
        <v>1</v>
      </c>
      <c r="Q351" s="19" t="n">
        <f aca="false" t="array" ref="Q351:Q351">IF(AND(INDEX(Profils!$K$5:$K$34,$AE351)&gt;0,INDEX(Profils!$Z$5:$Z$34,$AE351)&lt;=$AH351),ROUND(INDEX(Profils!$K$5:$K$34,$AE351)*Paramètres!$E$27*$AG351*$AJ351,Paramètres!$F$27),0)</f>
        <v>0</v>
      </c>
      <c r="R351" s="20" t="n">
        <f aca="false" t="array" ref="R351:R351">IF(AND(INDEX(Profils!$L$5:$L$34,$AE351)&gt;0,INDEX(Profils!$AA$5:$AA$34,$AE351)&lt;=$AH351),ROUND(INDEX(Profils!$L$5:$L$34,$AE351)*Paramètres!$E$28*$AG351*$AJ351,Paramètres!$F$28),0)</f>
        <v>0</v>
      </c>
      <c r="S351" s="20" t="n">
        <f aca="false" t="array" ref="S351:S351">IF(AND(INDEX(Profils!$M$5:$M$34,$AE351)&gt;0,INDEX(Profils!$AB$5:$AB$34,$AE351)&lt;=$AH351),ROUND(INDEX(Profils!$M$5:$M$34,$AE351)*Paramètres!$E$29*$AG351*$AJ351,Paramètres!$F$29),0)</f>
        <v>0</v>
      </c>
      <c r="T351" s="20" t="n">
        <f aca="false" t="array" ref="T351:T351">IF(AND(INDEX(Profils!$N$5:$N$34,$AE351)&gt;0,INDEX(Profils!$AC$5:$AC$34,$AE351)&lt;=$AH351),ROUND(INDEX(Profils!$N$5:$N$34,$AE351)*Paramètres!$E$30*$AG351*$AJ351,Paramètres!$F$30),0)</f>
        <v>0</v>
      </c>
      <c r="U351" s="19" t="n">
        <f aca="false" t="array" ref="U351:U351">IF(AND(INDEX(Profils!$O$5:$O$34,$AE351)&gt;0,INDEX(Profils!$AD$5:$AD$34,$AE351)&lt;=$AH351),ROUND(INDEX(Profils!$O$5:$O$34,$AE351)*Paramètres!$E$31*$AG351*$AJ351,Paramètres!$F$31),0)</f>
        <v>2</v>
      </c>
      <c r="V351" s="20" t="n">
        <f aca="false" t="array" ref="V351:V351">IF(AND(INDEX(Profils!$P$5:$P$34,$AE351)&gt;0,INDEX(Profils!$AE$5:$AE$34,$AE351)&lt;=$AH351),ROUND(INDEX(Profils!$P$5:$P$34,$AE351)*Paramètres!$E$32*$AG351*$AJ351,Paramètres!$F$32),0)</f>
        <v>0</v>
      </c>
      <c r="W351" s="20" t="n">
        <f aca="false" t="array" ref="W351:W351">IF(AND(INDEX(Profils!$Q$5:$Q$34,$AE351)&gt;0,INDEX(Profils!$AF$5:$AF$34,$AE351)&lt;=$AH351),ROUND(INDEX(Profils!$Q$5:$Q$34,$AE351)*Paramètres!$E$33*$AG351*$AJ351,Paramètres!$F$33),0)</f>
        <v>0.002</v>
      </c>
      <c r="X351" s="20" t="n">
        <f aca="false" t="array" ref="X351:X351">IF(AND(INDEX(Profils!$R$5:$R$34,$AE351)&gt;0,INDEX(Profils!$AG$5:$AG$34,$AE351)&lt;=$AH351),ROUND(INDEX(Profils!$R$5:$R$34,$AE351)*Paramètres!$E$34*$AG351*$AJ351,Paramètres!$F$34),0)</f>
        <v>0</v>
      </c>
      <c r="Y351" s="20" t="n">
        <f aca="false" t="array" ref="Y351:Y351">IF(AND(INDEX(Profils!$S$5:$S$34,$AE351)&gt;0,INDEX(Profils!$AH$5:$AH$34,$AE351)&lt;=$AH351),ROUND(INDEX(Profils!$S$5:$S$34,$AE351)*Paramètres!$E$35*$AG351*$AJ351,Paramètres!$F$35),0)</f>
        <v>0.002</v>
      </c>
      <c r="Z351" s="21" t="n">
        <f aca="false">ROUND(L351/Paramètres!$E$22+M351/Paramètres!$E$23+N351/Paramètres!$E$24+O351/Paramètres!$E$25+P351/Paramètres!$E$26+Q351/Paramètres!$E$27+R351/Paramètres!$E$28+S351/Paramètres!$E$29+T351/Paramètres!$E$30+U351/Paramètres!$E$31+V351/Paramètres!$E$32+W351/Paramètres!$E$33+X351/Paramètres!$E$34+Y351/Paramètres!$E$35,1)</f>
        <v>0.8</v>
      </c>
      <c r="AA351" s="22" t="s">
        <v>109</v>
      </c>
      <c r="AB351" s="22" t="s">
        <v>109</v>
      </c>
      <c r="AC351" s="15" t="str">
        <f aca="false">$E351</f>
        <v>lin</v>
      </c>
      <c r="AD351" s="16" t="n">
        <f aca="false" t="array" ref="AD351:AD351">IF($I351&gt;=$AI351,"Max",ROUND(Paramètres!$B$40*($I351+1)^Paramètres!$B$41*INDEX(Paramètres!$H$6:$H$12,$AF351),0))</f>
        <v>6</v>
      </c>
      <c r="AE351" s="23" t="n">
        <f aca="false">MATCH($B351&amp;"|"&amp;$C351,Profils!$A$5:$A$34,0)</f>
        <v>12</v>
      </c>
      <c r="AF351" s="23" t="n">
        <v>5</v>
      </c>
      <c r="AG351" s="24" t="n">
        <f aca="false" t="array" ref="AG351:AG351">INDEX(Paramètres!$C$6:$C$12,$AF351)</f>
        <v>2.1</v>
      </c>
      <c r="AH351" s="23" t="n">
        <f aca="false" t="array" ref="AH351:AH351">INDEX(Paramètres!$D$6:$D$12,$AF351)</f>
        <v>6</v>
      </c>
      <c r="AI351" s="23" t="n">
        <f aca="false" t="array" ref="AI351:AI351">INDEX(Matériaux!$C$16:$C$20,$D351)</f>
        <v>19</v>
      </c>
      <c r="AJ351" s="25" t="n">
        <f aca="false">Paramètres!$B$16+(1-Paramètres!$B$16)*(($J351-Paramètres!$B$14)/(Paramètres!$B$15-Paramètres!$B$14))^Paramètres!$B$17</f>
        <v>0.05</v>
      </c>
    </row>
    <row r="352" customFormat="false" ht="15.75" hidden="false" customHeight="true" outlineLevel="0" collapsed="false">
      <c r="A352" s="14" t="s">
        <v>468</v>
      </c>
      <c r="B352" s="15" t="s">
        <v>29</v>
      </c>
      <c r="C352" s="15" t="s">
        <v>90</v>
      </c>
      <c r="D352" s="16" t="n">
        <v>1</v>
      </c>
      <c r="E352" s="15" t="str">
        <f aca="false" t="array" ref="E352:E352">INDEX(Matériaux!$B$5:$F$12,MATCH(INDEX(Profils!$E$5:$E$34,$AE352),Matériaux!$A$5:$A$12,0),$D352)</f>
        <v>lin</v>
      </c>
      <c r="F352" s="30" t="s">
        <v>119</v>
      </c>
      <c r="G352" s="10" t="str">
        <f aca="false" t="array" ref="G352:G352">INDEX(Profils!$D$5:$D$34,$AE352)&amp;" en "&amp;$E352</f>
        <v>Robe en lin</v>
      </c>
      <c r="H352" s="16" t="n">
        <f aca="false" t="array" ref="H352:H352">INDEX(Matériaux!$B$16:$B$20,$D352)</f>
        <v>1</v>
      </c>
      <c r="I352" s="16" t="n">
        <f aca="false">IF(ISNUMBER($C$3),MIN(MAX(0,ROUND($C$3,0)),$AI352),$AI352)</f>
        <v>0</v>
      </c>
      <c r="J352" s="18" t="n">
        <f aca="false">$H352+$I352</f>
        <v>1</v>
      </c>
      <c r="K352" s="15" t="s">
        <v>109</v>
      </c>
      <c r="L352" s="19" t="n">
        <f aca="false" t="array" ref="L352:L352">IF(AND(INDEX(Profils!$F$5:$F$34,$AE352)&gt;0,INDEX(Profils!$U$5:$U$34,$AE352)&lt;=$AH352),ROUND(INDEX(Profils!$F$5:$F$34,$AE352)*Paramètres!$E$22*$AG352*$AJ352,Paramètres!$F$22),0)</f>
        <v>6</v>
      </c>
      <c r="M352" s="19" t="n">
        <f aca="false" t="array" ref="M352:M352">IF(AND(INDEX(Profils!$G$5:$G$34,$AE352)&gt;0,INDEX(Profils!$V$5:$V$34,$AE352)&lt;=$AH352),ROUND(INDEX(Profils!$G$5:$G$34,$AE352)*Paramètres!$E$23*$AG352*$AJ352,Paramètres!$F$23),0)</f>
        <v>0</v>
      </c>
      <c r="N352" s="19" t="n">
        <f aca="false" t="array" ref="N352:N352">IF(AND(INDEX(Profils!$H$5:$H$34,$AE352)&gt;0,INDEX(Profils!$W$5:$W$34,$AE352)&lt;=$AH352),ROUND(INDEX(Profils!$H$5:$H$34,$AE352)*Paramètres!$E$24*$AG352*$AJ352,Paramètres!$F$24),0)</f>
        <v>1</v>
      </c>
      <c r="O352" s="19" t="n">
        <f aca="false" t="array" ref="O352:O352">IF(AND(INDEX(Profils!$I$5:$I$34,$AE352)&gt;0,INDEX(Profils!$X$5:$X$34,$AE352)&lt;=$AH352),ROUND(INDEX(Profils!$I$5:$I$34,$AE352)*Paramètres!$E$25*$AG352*$AJ352,Paramètres!$F$25),0)</f>
        <v>3</v>
      </c>
      <c r="P352" s="19" t="n">
        <f aca="false" t="array" ref="P352:P352">IF(AND(INDEX(Profils!$J$5:$J$34,$AE352)&gt;0,INDEX(Profils!$Y$5:$Y$34,$AE352)&lt;=$AH352),ROUND(INDEX(Profils!$J$5:$J$34,$AE352)*Paramètres!$E$26*$AG352*$AJ352,Paramètres!$F$26),0)</f>
        <v>1</v>
      </c>
      <c r="Q352" s="19" t="n">
        <f aca="false" t="array" ref="Q352:Q352">IF(AND(INDEX(Profils!$K$5:$K$34,$AE352)&gt;0,INDEX(Profils!$Z$5:$Z$34,$AE352)&lt;=$AH352),ROUND(INDEX(Profils!$K$5:$K$34,$AE352)*Paramètres!$E$27*$AG352*$AJ352,Paramètres!$F$27),0)</f>
        <v>0</v>
      </c>
      <c r="R352" s="20" t="n">
        <f aca="false" t="array" ref="R352:R352">IF(AND(INDEX(Profils!$L$5:$L$34,$AE352)&gt;0,INDEX(Profils!$AA$5:$AA$34,$AE352)&lt;=$AH352),ROUND(INDEX(Profils!$L$5:$L$34,$AE352)*Paramètres!$E$28*$AG352*$AJ352,Paramètres!$F$28),0)</f>
        <v>0</v>
      </c>
      <c r="S352" s="20" t="n">
        <f aca="false" t="array" ref="S352:S352">IF(AND(INDEX(Profils!$M$5:$M$34,$AE352)&gt;0,INDEX(Profils!$AB$5:$AB$34,$AE352)&lt;=$AH352),ROUND(INDEX(Profils!$M$5:$M$34,$AE352)*Paramètres!$E$29*$AG352*$AJ352,Paramètres!$F$29),0)</f>
        <v>0</v>
      </c>
      <c r="T352" s="20" t="n">
        <f aca="false" t="array" ref="T352:T352">IF(AND(INDEX(Profils!$N$5:$N$34,$AE352)&gt;0,INDEX(Profils!$AC$5:$AC$34,$AE352)&lt;=$AH352),ROUND(INDEX(Profils!$N$5:$N$34,$AE352)*Paramètres!$E$30*$AG352*$AJ352,Paramètres!$F$30),0)</f>
        <v>0</v>
      </c>
      <c r="U352" s="19" t="n">
        <f aca="false" t="array" ref="U352:U352">IF(AND(INDEX(Profils!$O$5:$O$34,$AE352)&gt;0,INDEX(Profils!$AD$5:$AD$34,$AE352)&lt;=$AH352),ROUND(INDEX(Profils!$O$5:$O$34,$AE352)*Paramètres!$E$31*$AG352*$AJ352,Paramètres!$F$31),0)</f>
        <v>2</v>
      </c>
      <c r="V352" s="20" t="n">
        <f aca="false" t="array" ref="V352:V352">IF(AND(INDEX(Profils!$P$5:$P$34,$AE352)&gt;0,INDEX(Profils!$AE$5:$AE$34,$AE352)&lt;=$AH352),ROUND(INDEX(Profils!$P$5:$P$34,$AE352)*Paramètres!$E$32*$AG352*$AJ352,Paramètres!$F$32),0)</f>
        <v>0</v>
      </c>
      <c r="W352" s="20" t="n">
        <f aca="false" t="array" ref="W352:W352">IF(AND(INDEX(Profils!$Q$5:$Q$34,$AE352)&gt;0,INDEX(Profils!$AF$5:$AF$34,$AE352)&lt;=$AH352),ROUND(INDEX(Profils!$Q$5:$Q$34,$AE352)*Paramètres!$E$33*$AG352*$AJ352,Paramètres!$F$33),0)</f>
        <v>0.003</v>
      </c>
      <c r="X352" s="20" t="n">
        <f aca="false" t="array" ref="X352:X352">IF(AND(INDEX(Profils!$R$5:$R$34,$AE352)&gt;0,INDEX(Profils!$AG$5:$AG$34,$AE352)&lt;=$AH352),ROUND(INDEX(Profils!$R$5:$R$34,$AE352)*Paramètres!$E$34*$AG352*$AJ352,Paramètres!$F$34),0)</f>
        <v>0</v>
      </c>
      <c r="Y352" s="20" t="n">
        <f aca="false" t="array" ref="Y352:Y352">IF(AND(INDEX(Profils!$S$5:$S$34,$AE352)&gt;0,INDEX(Profils!$AH$5:$AH$34,$AE352)&lt;=$AH352),ROUND(INDEX(Profils!$S$5:$S$34,$AE352)*Paramètres!$E$35*$AG352*$AJ352,Paramètres!$F$35),0)</f>
        <v>0.002</v>
      </c>
      <c r="Z352" s="21" t="n">
        <f aca="false">ROUND(L352/Paramètres!$E$22+M352/Paramètres!$E$23+N352/Paramètres!$E$24+O352/Paramètres!$E$25+P352/Paramètres!$E$26+Q352/Paramètres!$E$27+R352/Paramètres!$E$28+S352/Paramètres!$E$29+T352/Paramètres!$E$30+U352/Paramètres!$E$31+V352/Paramètres!$E$32+W352/Paramètres!$E$33+X352/Paramètres!$E$34+Y352/Paramètres!$E$35,1)</f>
        <v>1</v>
      </c>
      <c r="AA352" s="22" t="s">
        <v>109</v>
      </c>
      <c r="AB352" s="22" t="s">
        <v>109</v>
      </c>
      <c r="AC352" s="15" t="str">
        <f aca="false">$E352</f>
        <v>lin</v>
      </c>
      <c r="AD352" s="16" t="n">
        <f aca="false" t="array" ref="AD352:AD352">IF($I352&gt;=$AI352,"Max",ROUND(Paramètres!$B$40*($I352+1)^Paramètres!$B$41*INDEX(Paramètres!$H$6:$H$12,$AF352),0))</f>
        <v>8</v>
      </c>
      <c r="AE352" s="23" t="n">
        <f aca="false">MATCH($B352&amp;"|"&amp;$C352,Profils!$A$5:$A$34,0)</f>
        <v>12</v>
      </c>
      <c r="AF352" s="23" t="n">
        <v>6</v>
      </c>
      <c r="AG352" s="24" t="n">
        <f aca="false" t="array" ref="AG352:AG352">INDEX(Paramètres!$C$6:$C$12,$AF352)</f>
        <v>2.4</v>
      </c>
      <c r="AH352" s="23" t="n">
        <f aca="false" t="array" ref="AH352:AH352">INDEX(Paramètres!$D$6:$D$12,$AF352)</f>
        <v>7</v>
      </c>
      <c r="AI352" s="23" t="n">
        <f aca="false" t="array" ref="AI352:AI352">INDEX(Matériaux!$C$16:$C$20,$D352)</f>
        <v>19</v>
      </c>
      <c r="AJ352" s="25" t="n">
        <f aca="false">Paramètres!$B$16+(1-Paramètres!$B$16)*(($J352-Paramètres!$B$14)/(Paramètres!$B$15-Paramètres!$B$14))^Paramètres!$B$17</f>
        <v>0.05</v>
      </c>
    </row>
    <row r="353" customFormat="false" ht="15.75" hidden="false" customHeight="true" outlineLevel="0" collapsed="false">
      <c r="A353" s="14" t="s">
        <v>469</v>
      </c>
      <c r="B353" s="15" t="s">
        <v>29</v>
      </c>
      <c r="C353" s="15" t="s">
        <v>90</v>
      </c>
      <c r="D353" s="16" t="n">
        <v>2</v>
      </c>
      <c r="E353" s="15" t="str">
        <f aca="false" t="array" ref="E353:E353">INDEX(Matériaux!$B$5:$F$12,MATCH(INDEX(Profils!$E$5:$E$34,$AE353),Matériaux!$A$5:$A$12,0),$D353)</f>
        <v>laine</v>
      </c>
      <c r="F353" s="17" t="s">
        <v>108</v>
      </c>
      <c r="G353" s="10" t="str">
        <f aca="false" t="array" ref="G353:G353">INDEX(Profils!$D$5:$D$34,$AE353)&amp;" en "&amp;$E353</f>
        <v>Robe en laine</v>
      </c>
      <c r="H353" s="16" t="n">
        <f aca="false" t="array" ref="H353:H353">INDEX(Matériaux!$B$16:$B$20,$D353)</f>
        <v>15</v>
      </c>
      <c r="I353" s="16" t="n">
        <f aca="false">IF(ISNUMBER($C$3),MIN(MAX(0,ROUND($C$3,0)),$AI353),$AI353)</f>
        <v>0</v>
      </c>
      <c r="J353" s="18" t="n">
        <f aca="false">$H353+$I353</f>
        <v>15</v>
      </c>
      <c r="K353" s="15" t="s">
        <v>109</v>
      </c>
      <c r="L353" s="19" t="n">
        <f aca="false" t="array" ref="L353:L353">IF(AND(INDEX(Profils!$F$5:$F$34,$AE353)&gt;0,INDEX(Profils!$U$5:$U$34,$AE353)&lt;=$AH353),ROUND(INDEX(Profils!$F$5:$F$34,$AE353)*Paramètres!$E$22*$AG353*$AJ353,Paramètres!$F$22),0)</f>
        <v>7</v>
      </c>
      <c r="M353" s="19" t="n">
        <f aca="false" t="array" ref="M353:M353">IF(AND(INDEX(Profils!$G$5:$G$34,$AE353)&gt;0,INDEX(Profils!$V$5:$V$34,$AE353)&lt;=$AH353),ROUND(INDEX(Profils!$G$5:$G$34,$AE353)*Paramètres!$E$23*$AG353*$AJ353,Paramètres!$F$23),0)</f>
        <v>0</v>
      </c>
      <c r="N353" s="19" t="n">
        <f aca="false" t="array" ref="N353:N353">IF(AND(INDEX(Profils!$H$5:$H$34,$AE353)&gt;0,INDEX(Profils!$W$5:$W$34,$AE353)&lt;=$AH353),ROUND(INDEX(Profils!$H$5:$H$34,$AE353)*Paramètres!$E$24*$AG353*$AJ353,Paramètres!$F$24),0)</f>
        <v>0</v>
      </c>
      <c r="O353" s="19" t="n">
        <f aca="false" t="array" ref="O353:O353">IF(AND(INDEX(Profils!$I$5:$I$34,$AE353)&gt;0,INDEX(Profils!$X$5:$X$34,$AE353)&lt;=$AH353),ROUND(INDEX(Profils!$I$5:$I$34,$AE353)*Paramètres!$E$25*$AG353*$AJ353,Paramètres!$F$25),0)</f>
        <v>3</v>
      </c>
      <c r="P353" s="19" t="n">
        <f aca="false" t="array" ref="P353:P353">IF(AND(INDEX(Profils!$J$5:$J$34,$AE353)&gt;0,INDEX(Profils!$Y$5:$Y$34,$AE353)&lt;=$AH353),ROUND(INDEX(Profils!$J$5:$J$34,$AE353)*Paramètres!$E$26*$AG353*$AJ353,Paramètres!$F$26),0)</f>
        <v>0</v>
      </c>
      <c r="Q353" s="19" t="n">
        <f aca="false" t="array" ref="Q353:Q353">IF(AND(INDEX(Profils!$K$5:$K$34,$AE353)&gt;0,INDEX(Profils!$Z$5:$Z$34,$AE353)&lt;=$AH353),ROUND(INDEX(Profils!$K$5:$K$34,$AE353)*Paramètres!$E$27*$AG353*$AJ353,Paramètres!$F$27),0)</f>
        <v>0</v>
      </c>
      <c r="R353" s="20" t="n">
        <f aca="false" t="array" ref="R353:R353">IF(AND(INDEX(Profils!$L$5:$L$34,$AE353)&gt;0,INDEX(Profils!$AA$5:$AA$34,$AE353)&lt;=$AH353),ROUND(INDEX(Profils!$L$5:$L$34,$AE353)*Paramètres!$E$28*$AG353*$AJ353,Paramètres!$F$28),0)</f>
        <v>0</v>
      </c>
      <c r="S353" s="20" t="n">
        <f aca="false" t="array" ref="S353:S353">IF(AND(INDEX(Profils!$M$5:$M$34,$AE353)&gt;0,INDEX(Profils!$AB$5:$AB$34,$AE353)&lt;=$AH353),ROUND(INDEX(Profils!$M$5:$M$34,$AE353)*Paramètres!$E$29*$AG353*$AJ353,Paramètres!$F$29),0)</f>
        <v>0</v>
      </c>
      <c r="T353" s="20" t="n">
        <f aca="false" t="array" ref="T353:T353">IF(AND(INDEX(Profils!$N$5:$N$34,$AE353)&gt;0,INDEX(Profils!$AC$5:$AC$34,$AE353)&lt;=$AH353),ROUND(INDEX(Profils!$N$5:$N$34,$AE353)*Paramètres!$E$30*$AG353*$AJ353,Paramètres!$F$30),0)</f>
        <v>0</v>
      </c>
      <c r="U353" s="19" t="n">
        <f aca="false" t="array" ref="U353:U353">IF(AND(INDEX(Profils!$O$5:$O$34,$AE353)&gt;0,INDEX(Profils!$AD$5:$AD$34,$AE353)&lt;=$AH353),ROUND(INDEX(Profils!$O$5:$O$34,$AE353)*Paramètres!$E$31*$AG353*$AJ353,Paramètres!$F$31),0)</f>
        <v>0</v>
      </c>
      <c r="V353" s="20" t="n">
        <f aca="false" t="array" ref="V353:V353">IF(AND(INDEX(Profils!$P$5:$P$34,$AE353)&gt;0,INDEX(Profils!$AE$5:$AE$34,$AE353)&lt;=$AH353),ROUND(INDEX(Profils!$P$5:$P$34,$AE353)*Paramètres!$E$32*$AG353*$AJ353,Paramètres!$F$32),0)</f>
        <v>0</v>
      </c>
      <c r="W353" s="20" t="n">
        <f aca="false" t="array" ref="W353:W353">IF(AND(INDEX(Profils!$Q$5:$Q$34,$AE353)&gt;0,INDEX(Profils!$AF$5:$AF$34,$AE353)&lt;=$AH353),ROUND(INDEX(Profils!$Q$5:$Q$34,$AE353)*Paramètres!$E$33*$AG353*$AJ353,Paramètres!$F$33),0)</f>
        <v>0</v>
      </c>
      <c r="X353" s="20" t="n">
        <f aca="false" t="array" ref="X353:X353">IF(AND(INDEX(Profils!$R$5:$R$34,$AE353)&gt;0,INDEX(Profils!$AG$5:$AG$34,$AE353)&lt;=$AH353),ROUND(INDEX(Profils!$R$5:$R$34,$AE353)*Paramètres!$E$34*$AG353*$AJ353,Paramètres!$F$34),0)</f>
        <v>0</v>
      </c>
      <c r="Y353" s="20" t="n">
        <f aca="false" t="array" ref="Y353:Y353">IF(AND(INDEX(Profils!$S$5:$S$34,$AE353)&gt;0,INDEX(Profils!$AH$5:$AH$34,$AE353)&lt;=$AH353),ROUND(INDEX(Profils!$S$5:$S$34,$AE353)*Paramètres!$E$35*$AG353*$AJ353,Paramètres!$F$35),0)</f>
        <v>0</v>
      </c>
      <c r="Z353" s="21" t="n">
        <f aca="false">ROUND(L353/Paramètres!$E$22+M353/Paramètres!$E$23+N353/Paramètres!$E$24+O353/Paramètres!$E$25+P353/Paramètres!$E$26+Q353/Paramètres!$E$27+R353/Paramètres!$E$28+S353/Paramètres!$E$29+T353/Paramètres!$E$30+U353/Paramètres!$E$31+V353/Paramètres!$E$32+W353/Paramètres!$E$33+X353/Paramètres!$E$34+Y353/Paramètres!$E$35,1)</f>
        <v>0.5</v>
      </c>
      <c r="AA353" s="22" t="s">
        <v>109</v>
      </c>
      <c r="AB353" s="22" t="s">
        <v>109</v>
      </c>
      <c r="AC353" s="15" t="str">
        <f aca="false">$E353</f>
        <v>laine</v>
      </c>
      <c r="AD353" s="16" t="n">
        <f aca="false" t="array" ref="AD353:AD353">IF($I353&gt;=$AI353,"Max",ROUND(Paramètres!$B$40*($I353+1)^Paramètres!$B$41*INDEX(Paramètres!$H$6:$H$12,$AF353),0))</f>
        <v>3</v>
      </c>
      <c r="AE353" s="23" t="n">
        <f aca="false">MATCH($B353&amp;"|"&amp;$C353,Profils!$A$5:$A$34,0)</f>
        <v>12</v>
      </c>
      <c r="AF353" s="23" t="n">
        <v>1</v>
      </c>
      <c r="AG353" s="24" t="n">
        <f aca="false" t="array" ref="AG353:AG353">INDEX(Paramètres!$C$6:$C$12,$AF353)</f>
        <v>1</v>
      </c>
      <c r="AH353" s="23" t="n">
        <f aca="false" t="array" ref="AH353:AH353">INDEX(Paramètres!$D$6:$D$12,$AF353)</f>
        <v>2</v>
      </c>
      <c r="AI353" s="23" t="n">
        <f aca="false" t="array" ref="AI353:AI353">INDEX(Matériaux!$C$16:$C$20,$D353)</f>
        <v>20</v>
      </c>
      <c r="AJ353" s="25" t="n">
        <f aca="false">Paramètres!$B$16+(1-Paramètres!$B$16)*(($J353-Paramètres!$B$14)/(Paramètres!$B$15-Paramètres!$B$14))^Paramètres!$B$17</f>
        <v>0.140847925475674</v>
      </c>
    </row>
    <row r="354" customFormat="false" ht="15.75" hidden="false" customHeight="true" outlineLevel="0" collapsed="false">
      <c r="A354" s="14" t="s">
        <v>470</v>
      </c>
      <c r="B354" s="15" t="s">
        <v>29</v>
      </c>
      <c r="C354" s="15" t="s">
        <v>90</v>
      </c>
      <c r="D354" s="16" t="n">
        <v>2</v>
      </c>
      <c r="E354" s="15" t="str">
        <f aca="false" t="array" ref="E354:E354">INDEX(Matériaux!$B$5:$F$12,MATCH(INDEX(Profils!$E$5:$E$34,$AE354),Matériaux!$A$5:$A$12,0),$D354)</f>
        <v>laine</v>
      </c>
      <c r="F354" s="26" t="s">
        <v>111</v>
      </c>
      <c r="G354" s="10" t="str">
        <f aca="false" t="array" ref="G354:G354">INDEX(Profils!$D$5:$D$34,$AE354)&amp;" en "&amp;$E354</f>
        <v>Robe en laine</v>
      </c>
      <c r="H354" s="16" t="n">
        <f aca="false" t="array" ref="H354:H354">INDEX(Matériaux!$B$16:$B$20,$D354)</f>
        <v>15</v>
      </c>
      <c r="I354" s="16" t="n">
        <f aca="false">IF(ISNUMBER($C$3),MIN(MAX(0,ROUND($C$3,0)),$AI354),$AI354)</f>
        <v>0</v>
      </c>
      <c r="J354" s="18" t="n">
        <f aca="false">$H354+$I354</f>
        <v>15</v>
      </c>
      <c r="K354" s="15" t="s">
        <v>109</v>
      </c>
      <c r="L354" s="19" t="n">
        <f aca="false" t="array" ref="L354:L354">IF(AND(INDEX(Profils!$F$5:$F$34,$AE354)&gt;0,INDEX(Profils!$U$5:$U$34,$AE354)&lt;=$AH354),ROUND(INDEX(Profils!$F$5:$F$34,$AE354)*Paramètres!$E$22*$AG354*$AJ354,Paramètres!$F$22),0)</f>
        <v>8</v>
      </c>
      <c r="M354" s="19" t="n">
        <f aca="false" t="array" ref="M354:M354">IF(AND(INDEX(Profils!$G$5:$G$34,$AE354)&gt;0,INDEX(Profils!$V$5:$V$34,$AE354)&lt;=$AH354),ROUND(INDEX(Profils!$G$5:$G$34,$AE354)*Paramètres!$E$23*$AG354*$AJ354,Paramètres!$F$23),0)</f>
        <v>0</v>
      </c>
      <c r="N354" s="19" t="n">
        <f aca="false" t="array" ref="N354:N354">IF(AND(INDEX(Profils!$H$5:$H$34,$AE354)&gt;0,INDEX(Profils!$W$5:$W$34,$AE354)&lt;=$AH354),ROUND(INDEX(Profils!$H$5:$H$34,$AE354)*Paramètres!$E$24*$AG354*$AJ354,Paramètres!$F$24),0)</f>
        <v>0</v>
      </c>
      <c r="O354" s="19" t="n">
        <f aca="false" t="array" ref="O354:O354">IF(AND(INDEX(Profils!$I$5:$I$34,$AE354)&gt;0,INDEX(Profils!$X$5:$X$34,$AE354)&lt;=$AH354),ROUND(INDEX(Profils!$I$5:$I$34,$AE354)*Paramètres!$E$25*$AG354*$AJ354,Paramètres!$F$25),0)</f>
        <v>4</v>
      </c>
      <c r="P354" s="19" t="n">
        <f aca="false" t="array" ref="P354:P354">IF(AND(INDEX(Profils!$J$5:$J$34,$AE354)&gt;0,INDEX(Profils!$Y$5:$Y$34,$AE354)&lt;=$AH354),ROUND(INDEX(Profils!$J$5:$J$34,$AE354)*Paramètres!$E$26*$AG354*$AJ354,Paramètres!$F$26),0)</f>
        <v>0</v>
      </c>
      <c r="Q354" s="19" t="n">
        <f aca="false" t="array" ref="Q354:Q354">IF(AND(INDEX(Profils!$K$5:$K$34,$AE354)&gt;0,INDEX(Profils!$Z$5:$Z$34,$AE354)&lt;=$AH354),ROUND(INDEX(Profils!$K$5:$K$34,$AE354)*Paramètres!$E$27*$AG354*$AJ354,Paramètres!$F$27),0)</f>
        <v>0</v>
      </c>
      <c r="R354" s="20" t="n">
        <f aca="false" t="array" ref="R354:R354">IF(AND(INDEX(Profils!$L$5:$L$34,$AE354)&gt;0,INDEX(Profils!$AA$5:$AA$34,$AE354)&lt;=$AH354),ROUND(INDEX(Profils!$L$5:$L$34,$AE354)*Paramètres!$E$28*$AG354*$AJ354,Paramètres!$F$28),0)</f>
        <v>0</v>
      </c>
      <c r="S354" s="20" t="n">
        <f aca="false" t="array" ref="S354:S354">IF(AND(INDEX(Profils!$M$5:$M$34,$AE354)&gt;0,INDEX(Profils!$AB$5:$AB$34,$AE354)&lt;=$AH354),ROUND(INDEX(Profils!$M$5:$M$34,$AE354)*Paramètres!$E$29*$AG354*$AJ354,Paramètres!$F$29),0)</f>
        <v>0</v>
      </c>
      <c r="T354" s="20" t="n">
        <f aca="false" t="array" ref="T354:T354">IF(AND(INDEX(Profils!$N$5:$N$34,$AE354)&gt;0,INDEX(Profils!$AC$5:$AC$34,$AE354)&lt;=$AH354),ROUND(INDEX(Profils!$N$5:$N$34,$AE354)*Paramètres!$E$30*$AG354*$AJ354,Paramètres!$F$30),0)</f>
        <v>0</v>
      </c>
      <c r="U354" s="19" t="n">
        <f aca="false" t="array" ref="U354:U354">IF(AND(INDEX(Profils!$O$5:$O$34,$AE354)&gt;0,INDEX(Profils!$AD$5:$AD$34,$AE354)&lt;=$AH354),ROUND(INDEX(Profils!$O$5:$O$34,$AE354)*Paramètres!$E$31*$AG354*$AJ354,Paramètres!$F$31),0)</f>
        <v>0</v>
      </c>
      <c r="V354" s="20" t="n">
        <f aca="false" t="array" ref="V354:V354">IF(AND(INDEX(Profils!$P$5:$P$34,$AE354)&gt;0,INDEX(Profils!$AE$5:$AE$34,$AE354)&lt;=$AH354),ROUND(INDEX(Profils!$P$5:$P$34,$AE354)*Paramètres!$E$32*$AG354*$AJ354,Paramètres!$F$32),0)</f>
        <v>0</v>
      </c>
      <c r="W354" s="20" t="n">
        <f aca="false" t="array" ref="W354:W354">IF(AND(INDEX(Profils!$Q$5:$Q$34,$AE354)&gt;0,INDEX(Profils!$AF$5:$AF$34,$AE354)&lt;=$AH354),ROUND(INDEX(Profils!$Q$5:$Q$34,$AE354)*Paramètres!$E$33*$AG354*$AJ354,Paramètres!$F$33),0)</f>
        <v>0.004</v>
      </c>
      <c r="X354" s="20" t="n">
        <f aca="false" t="array" ref="X354:X354">IF(AND(INDEX(Profils!$R$5:$R$34,$AE354)&gt;0,INDEX(Profils!$AG$5:$AG$34,$AE354)&lt;=$AH354),ROUND(INDEX(Profils!$R$5:$R$34,$AE354)*Paramètres!$E$34*$AG354*$AJ354,Paramètres!$F$34),0)</f>
        <v>0</v>
      </c>
      <c r="Y354" s="20" t="n">
        <f aca="false" t="array" ref="Y354:Y354">IF(AND(INDEX(Profils!$S$5:$S$34,$AE354)&gt;0,INDEX(Profils!$AH$5:$AH$34,$AE354)&lt;=$AH354),ROUND(INDEX(Profils!$S$5:$S$34,$AE354)*Paramètres!$E$35*$AG354*$AJ354,Paramètres!$F$35),0)</f>
        <v>0</v>
      </c>
      <c r="Z354" s="21" t="n">
        <f aca="false">ROUND(L354/Paramètres!$E$22+M354/Paramètres!$E$23+N354/Paramètres!$E$24+O354/Paramètres!$E$25+P354/Paramètres!$E$26+Q354/Paramètres!$E$27+R354/Paramètres!$E$28+S354/Paramètres!$E$29+T354/Paramètres!$E$30+U354/Paramètres!$E$31+V354/Paramètres!$E$32+W354/Paramètres!$E$33+X354/Paramètres!$E$34+Y354/Paramètres!$E$35,1)</f>
        <v>0.9</v>
      </c>
      <c r="AA354" s="22" t="s">
        <v>109</v>
      </c>
      <c r="AB354" s="22" t="s">
        <v>109</v>
      </c>
      <c r="AC354" s="15" t="str">
        <f aca="false">$E354</f>
        <v>laine</v>
      </c>
      <c r="AD354" s="16" t="n">
        <f aca="false" t="array" ref="AD354:AD354">IF($I354&gt;=$AI354,"Max",ROUND(Paramètres!$B$40*($I354+1)^Paramètres!$B$41*INDEX(Paramètres!$H$6:$H$12,$AF354),0))</f>
        <v>4</v>
      </c>
      <c r="AE354" s="23" t="n">
        <f aca="false">MATCH($B354&amp;"|"&amp;$C354,Profils!$A$5:$A$34,0)</f>
        <v>12</v>
      </c>
      <c r="AF354" s="23" t="n">
        <v>2</v>
      </c>
      <c r="AG354" s="24" t="n">
        <f aca="false" t="array" ref="AG354:AG354">INDEX(Paramètres!$C$6:$C$12,$AF354)</f>
        <v>1.2</v>
      </c>
      <c r="AH354" s="23" t="n">
        <f aca="false" t="array" ref="AH354:AH354">INDEX(Paramètres!$D$6:$D$12,$AF354)</f>
        <v>3</v>
      </c>
      <c r="AI354" s="23" t="n">
        <f aca="false" t="array" ref="AI354:AI354">INDEX(Matériaux!$C$16:$C$20,$D354)</f>
        <v>20</v>
      </c>
      <c r="AJ354" s="25" t="n">
        <f aca="false">Paramètres!$B$16+(1-Paramètres!$B$16)*(($J354-Paramètres!$B$14)/(Paramètres!$B$15-Paramètres!$B$14))^Paramètres!$B$17</f>
        <v>0.140847925475674</v>
      </c>
    </row>
    <row r="355" customFormat="false" ht="15.75" hidden="false" customHeight="true" outlineLevel="0" collapsed="false">
      <c r="A355" s="14" t="s">
        <v>471</v>
      </c>
      <c r="B355" s="15" t="s">
        <v>29</v>
      </c>
      <c r="C355" s="15" t="s">
        <v>90</v>
      </c>
      <c r="D355" s="16" t="n">
        <v>2</v>
      </c>
      <c r="E355" s="15" t="str">
        <f aca="false" t="array" ref="E355:E355">INDEX(Matériaux!$B$5:$F$12,MATCH(INDEX(Profils!$E$5:$E$34,$AE355),Matériaux!$A$5:$A$12,0),$D355)</f>
        <v>laine</v>
      </c>
      <c r="F355" s="27" t="s">
        <v>113</v>
      </c>
      <c r="G355" s="10" t="str">
        <f aca="false" t="array" ref="G355:G355">INDEX(Profils!$D$5:$D$34,$AE355)&amp;" en "&amp;$E355</f>
        <v>Robe en laine</v>
      </c>
      <c r="H355" s="16" t="n">
        <f aca="false" t="array" ref="H355:H355">INDEX(Matériaux!$B$16:$B$20,$D355)</f>
        <v>15</v>
      </c>
      <c r="I355" s="16" t="n">
        <f aca="false">IF(ISNUMBER($C$3),MIN(MAX(0,ROUND($C$3,0)),$AI355),$AI355)</f>
        <v>0</v>
      </c>
      <c r="J355" s="18" t="n">
        <f aca="false">$H355+$I355</f>
        <v>15</v>
      </c>
      <c r="K355" s="15" t="s">
        <v>109</v>
      </c>
      <c r="L355" s="19" t="n">
        <f aca="false" t="array" ref="L355:L355">IF(AND(INDEX(Profils!$F$5:$F$34,$AE355)&gt;0,INDEX(Profils!$U$5:$U$34,$AE355)&lt;=$AH355),ROUND(INDEX(Profils!$F$5:$F$34,$AE355)*Paramètres!$E$22*$AG355*$AJ355,Paramètres!$F$22),0)</f>
        <v>10</v>
      </c>
      <c r="M355" s="19" t="n">
        <f aca="false" t="array" ref="M355:M355">IF(AND(INDEX(Profils!$G$5:$G$34,$AE355)&gt;0,INDEX(Profils!$V$5:$V$34,$AE355)&lt;=$AH355),ROUND(INDEX(Profils!$G$5:$G$34,$AE355)*Paramètres!$E$23*$AG355*$AJ355,Paramètres!$F$23),0)</f>
        <v>0</v>
      </c>
      <c r="N355" s="19" t="n">
        <f aca="false" t="array" ref="N355:N355">IF(AND(INDEX(Profils!$H$5:$H$34,$AE355)&gt;0,INDEX(Profils!$W$5:$W$34,$AE355)&lt;=$AH355),ROUND(INDEX(Profils!$H$5:$H$34,$AE355)*Paramètres!$E$24*$AG355*$AJ355,Paramètres!$F$24),0)</f>
        <v>0</v>
      </c>
      <c r="O355" s="19" t="n">
        <f aca="false" t="array" ref="O355:O355">IF(AND(INDEX(Profils!$I$5:$I$34,$AE355)&gt;0,INDEX(Profils!$X$5:$X$34,$AE355)&lt;=$AH355),ROUND(INDEX(Profils!$I$5:$I$34,$AE355)*Paramètres!$E$25*$AG355*$AJ355,Paramètres!$F$25),0)</f>
        <v>4</v>
      </c>
      <c r="P355" s="19" t="n">
        <f aca="false" t="array" ref="P355:P355">IF(AND(INDEX(Profils!$J$5:$J$34,$AE355)&gt;0,INDEX(Profils!$Y$5:$Y$34,$AE355)&lt;=$AH355),ROUND(INDEX(Profils!$J$5:$J$34,$AE355)*Paramètres!$E$26*$AG355*$AJ355,Paramètres!$F$26),0)</f>
        <v>0</v>
      </c>
      <c r="Q355" s="19" t="n">
        <f aca="false" t="array" ref="Q355:Q355">IF(AND(INDEX(Profils!$K$5:$K$34,$AE355)&gt;0,INDEX(Profils!$Z$5:$Z$34,$AE355)&lt;=$AH355),ROUND(INDEX(Profils!$K$5:$K$34,$AE355)*Paramètres!$E$27*$AG355*$AJ355,Paramètres!$F$27),0)</f>
        <v>0</v>
      </c>
      <c r="R355" s="20" t="n">
        <f aca="false" t="array" ref="R355:R355">IF(AND(INDEX(Profils!$L$5:$L$34,$AE355)&gt;0,INDEX(Profils!$AA$5:$AA$34,$AE355)&lt;=$AH355),ROUND(INDEX(Profils!$L$5:$L$34,$AE355)*Paramètres!$E$28*$AG355*$AJ355,Paramètres!$F$28),0)</f>
        <v>0</v>
      </c>
      <c r="S355" s="20" t="n">
        <f aca="false" t="array" ref="S355:S355">IF(AND(INDEX(Profils!$M$5:$M$34,$AE355)&gt;0,INDEX(Profils!$AB$5:$AB$34,$AE355)&lt;=$AH355),ROUND(INDEX(Profils!$M$5:$M$34,$AE355)*Paramètres!$E$29*$AG355*$AJ355,Paramètres!$F$29),0)</f>
        <v>0</v>
      </c>
      <c r="T355" s="20" t="n">
        <f aca="false" t="array" ref="T355:T355">IF(AND(INDEX(Profils!$N$5:$N$34,$AE355)&gt;0,INDEX(Profils!$AC$5:$AC$34,$AE355)&lt;=$AH355),ROUND(INDEX(Profils!$N$5:$N$34,$AE355)*Paramètres!$E$30*$AG355*$AJ355,Paramètres!$F$30),0)</f>
        <v>0</v>
      </c>
      <c r="U355" s="19" t="n">
        <f aca="false" t="array" ref="U355:U355">IF(AND(INDEX(Profils!$O$5:$O$34,$AE355)&gt;0,INDEX(Profils!$AD$5:$AD$34,$AE355)&lt;=$AH355),ROUND(INDEX(Profils!$O$5:$O$34,$AE355)*Paramètres!$E$31*$AG355*$AJ355,Paramètres!$F$31),0)</f>
        <v>0</v>
      </c>
      <c r="V355" s="20" t="n">
        <f aca="false" t="array" ref="V355:V355">IF(AND(INDEX(Profils!$P$5:$P$34,$AE355)&gt;0,INDEX(Profils!$AE$5:$AE$34,$AE355)&lt;=$AH355),ROUND(INDEX(Profils!$P$5:$P$34,$AE355)*Paramètres!$E$32*$AG355*$AJ355,Paramètres!$F$32),0)</f>
        <v>0</v>
      </c>
      <c r="W355" s="20" t="n">
        <f aca="false" t="array" ref="W355:W355">IF(AND(INDEX(Profils!$Q$5:$Q$34,$AE355)&gt;0,INDEX(Profils!$AF$5:$AF$34,$AE355)&lt;=$AH355),ROUND(INDEX(Profils!$Q$5:$Q$34,$AE355)*Paramètres!$E$33*$AG355*$AJ355,Paramètres!$F$33),0)</f>
        <v>0.004</v>
      </c>
      <c r="X355" s="20" t="n">
        <f aca="false" t="array" ref="X355:X355">IF(AND(INDEX(Profils!$R$5:$R$34,$AE355)&gt;0,INDEX(Profils!$AG$5:$AG$34,$AE355)&lt;=$AH355),ROUND(INDEX(Profils!$R$5:$R$34,$AE355)*Paramètres!$E$34*$AG355*$AJ355,Paramètres!$F$34),0)</f>
        <v>0</v>
      </c>
      <c r="Y355" s="20" t="n">
        <f aca="false" t="array" ref="Y355:Y355">IF(AND(INDEX(Profils!$S$5:$S$34,$AE355)&gt;0,INDEX(Profils!$AH$5:$AH$34,$AE355)&lt;=$AH355),ROUND(INDEX(Profils!$S$5:$S$34,$AE355)*Paramètres!$E$35*$AG355*$AJ355,Paramètres!$F$35),0)</f>
        <v>0.003</v>
      </c>
      <c r="Z355" s="21" t="n">
        <f aca="false">ROUND(L355/Paramètres!$E$22+M355/Paramètres!$E$23+N355/Paramètres!$E$24+O355/Paramètres!$E$25+P355/Paramètres!$E$26+Q355/Paramètres!$E$27+R355/Paramètres!$E$28+S355/Paramètres!$E$29+T355/Paramètres!$E$30+U355/Paramètres!$E$31+V355/Paramètres!$E$32+W355/Paramètres!$E$33+X355/Paramètres!$E$34+Y355/Paramètres!$E$35,1)</f>
        <v>1.1</v>
      </c>
      <c r="AA355" s="22" t="s">
        <v>109</v>
      </c>
      <c r="AB355" s="22" t="s">
        <v>109</v>
      </c>
      <c r="AC355" s="15" t="str">
        <f aca="false">$E355</f>
        <v>laine</v>
      </c>
      <c r="AD355" s="16" t="n">
        <f aca="false" t="array" ref="AD355:AD355">IF($I355&gt;=$AI355,"Max",ROUND(Paramètres!$B$40*($I355+1)^Paramètres!$B$41*INDEX(Paramètres!$H$6:$H$12,$AF355),0))</f>
        <v>4</v>
      </c>
      <c r="AE355" s="23" t="n">
        <f aca="false">MATCH($B355&amp;"|"&amp;$C355,Profils!$A$5:$A$34,0)</f>
        <v>12</v>
      </c>
      <c r="AF355" s="23" t="n">
        <v>3</v>
      </c>
      <c r="AG355" s="24" t="n">
        <f aca="false" t="array" ref="AG355:AG355">INDEX(Paramètres!$C$6:$C$12,$AF355)</f>
        <v>1.45</v>
      </c>
      <c r="AH355" s="23" t="n">
        <f aca="false" t="array" ref="AH355:AH355">INDEX(Paramètres!$D$6:$D$12,$AF355)</f>
        <v>4</v>
      </c>
      <c r="AI355" s="23" t="n">
        <f aca="false" t="array" ref="AI355:AI355">INDEX(Matériaux!$C$16:$C$20,$D355)</f>
        <v>20</v>
      </c>
      <c r="AJ355" s="25" t="n">
        <f aca="false">Paramètres!$B$16+(1-Paramètres!$B$16)*(($J355-Paramètres!$B$14)/(Paramètres!$B$15-Paramètres!$B$14))^Paramètres!$B$17</f>
        <v>0.140847925475674</v>
      </c>
    </row>
    <row r="356" customFormat="false" ht="15.75" hidden="false" customHeight="true" outlineLevel="0" collapsed="false">
      <c r="A356" s="14" t="s">
        <v>472</v>
      </c>
      <c r="B356" s="15" t="s">
        <v>29</v>
      </c>
      <c r="C356" s="15" t="s">
        <v>90</v>
      </c>
      <c r="D356" s="16" t="n">
        <v>2</v>
      </c>
      <c r="E356" s="15" t="str">
        <f aca="false" t="array" ref="E356:E356">INDEX(Matériaux!$B$5:$F$12,MATCH(INDEX(Profils!$E$5:$E$34,$AE356),Matériaux!$A$5:$A$12,0),$D356)</f>
        <v>laine</v>
      </c>
      <c r="F356" s="28" t="s">
        <v>115</v>
      </c>
      <c r="G356" s="10" t="str">
        <f aca="false" t="array" ref="G356:G356">INDEX(Profils!$D$5:$D$34,$AE356)&amp;" en "&amp;$E356</f>
        <v>Robe en laine</v>
      </c>
      <c r="H356" s="16" t="n">
        <f aca="false" t="array" ref="H356:H356">INDEX(Matériaux!$B$16:$B$20,$D356)</f>
        <v>15</v>
      </c>
      <c r="I356" s="16" t="n">
        <f aca="false">IF(ISNUMBER($C$3),MIN(MAX(0,ROUND($C$3,0)),$AI356),$AI356)</f>
        <v>0</v>
      </c>
      <c r="J356" s="18" t="n">
        <f aca="false">$H356+$I356</f>
        <v>15</v>
      </c>
      <c r="K356" s="15" t="s">
        <v>109</v>
      </c>
      <c r="L356" s="19" t="n">
        <f aca="false" t="array" ref="L356:L356">IF(AND(INDEX(Profils!$F$5:$F$34,$AE356)&gt;0,INDEX(Profils!$U$5:$U$34,$AE356)&lt;=$AH356),ROUND(INDEX(Profils!$F$5:$F$34,$AE356)*Paramètres!$E$22*$AG356*$AJ356,Paramètres!$F$22),0)</f>
        <v>12</v>
      </c>
      <c r="M356" s="19" t="n">
        <f aca="false" t="array" ref="M356:M356">IF(AND(INDEX(Profils!$G$5:$G$34,$AE356)&gt;0,INDEX(Profils!$V$5:$V$34,$AE356)&lt;=$AH356),ROUND(INDEX(Profils!$G$5:$G$34,$AE356)*Paramètres!$E$23*$AG356*$AJ356,Paramètres!$F$23),0)</f>
        <v>0</v>
      </c>
      <c r="N356" s="19" t="n">
        <f aca="false" t="array" ref="N356:N356">IF(AND(INDEX(Profils!$H$5:$H$34,$AE356)&gt;0,INDEX(Profils!$W$5:$W$34,$AE356)&lt;=$AH356),ROUND(INDEX(Profils!$H$5:$H$34,$AE356)*Paramètres!$E$24*$AG356*$AJ356,Paramètres!$F$24),0)</f>
        <v>0</v>
      </c>
      <c r="O356" s="19" t="n">
        <f aca="false" t="array" ref="O356:O356">IF(AND(INDEX(Profils!$I$5:$I$34,$AE356)&gt;0,INDEX(Profils!$X$5:$X$34,$AE356)&lt;=$AH356),ROUND(INDEX(Profils!$I$5:$I$34,$AE356)*Paramètres!$E$25*$AG356*$AJ356,Paramètres!$F$25),0)</f>
        <v>5</v>
      </c>
      <c r="P356" s="19" t="n">
        <f aca="false" t="array" ref="P356:P356">IF(AND(INDEX(Profils!$J$5:$J$34,$AE356)&gt;0,INDEX(Profils!$Y$5:$Y$34,$AE356)&lt;=$AH356),ROUND(INDEX(Profils!$J$5:$J$34,$AE356)*Paramètres!$E$26*$AG356*$AJ356,Paramètres!$F$26),0)</f>
        <v>0</v>
      </c>
      <c r="Q356" s="19" t="n">
        <f aca="false" t="array" ref="Q356:Q356">IF(AND(INDEX(Profils!$K$5:$K$34,$AE356)&gt;0,INDEX(Profils!$Z$5:$Z$34,$AE356)&lt;=$AH356),ROUND(INDEX(Profils!$K$5:$K$34,$AE356)*Paramètres!$E$27*$AG356*$AJ356,Paramètres!$F$27),0)</f>
        <v>0</v>
      </c>
      <c r="R356" s="20" t="n">
        <f aca="false" t="array" ref="R356:R356">IF(AND(INDEX(Profils!$L$5:$L$34,$AE356)&gt;0,INDEX(Profils!$AA$5:$AA$34,$AE356)&lt;=$AH356),ROUND(INDEX(Profils!$L$5:$L$34,$AE356)*Paramètres!$E$28*$AG356*$AJ356,Paramètres!$F$28),0)</f>
        <v>0</v>
      </c>
      <c r="S356" s="20" t="n">
        <f aca="false" t="array" ref="S356:S356">IF(AND(INDEX(Profils!$M$5:$M$34,$AE356)&gt;0,INDEX(Profils!$AB$5:$AB$34,$AE356)&lt;=$AH356),ROUND(INDEX(Profils!$M$5:$M$34,$AE356)*Paramètres!$E$29*$AG356*$AJ356,Paramètres!$F$29),0)</f>
        <v>0</v>
      </c>
      <c r="T356" s="20" t="n">
        <f aca="false" t="array" ref="T356:T356">IF(AND(INDEX(Profils!$N$5:$N$34,$AE356)&gt;0,INDEX(Profils!$AC$5:$AC$34,$AE356)&lt;=$AH356),ROUND(INDEX(Profils!$N$5:$N$34,$AE356)*Paramètres!$E$30*$AG356*$AJ356,Paramètres!$F$30),0)</f>
        <v>0</v>
      </c>
      <c r="U356" s="19" t="n">
        <f aca="false" t="array" ref="U356:U356">IF(AND(INDEX(Profils!$O$5:$O$34,$AE356)&gt;0,INDEX(Profils!$AD$5:$AD$34,$AE356)&lt;=$AH356),ROUND(INDEX(Profils!$O$5:$O$34,$AE356)*Paramètres!$E$31*$AG356*$AJ356,Paramètres!$F$31),0)</f>
        <v>4</v>
      </c>
      <c r="V356" s="20" t="n">
        <f aca="false" t="array" ref="V356:V356">IF(AND(INDEX(Profils!$P$5:$P$34,$AE356)&gt;0,INDEX(Profils!$AE$5:$AE$34,$AE356)&lt;=$AH356),ROUND(INDEX(Profils!$P$5:$P$34,$AE356)*Paramètres!$E$32*$AG356*$AJ356,Paramètres!$F$32),0)</f>
        <v>0</v>
      </c>
      <c r="W356" s="20" t="n">
        <f aca="false" t="array" ref="W356:W356">IF(AND(INDEX(Profils!$Q$5:$Q$34,$AE356)&gt;0,INDEX(Profils!$AF$5:$AF$34,$AE356)&lt;=$AH356),ROUND(INDEX(Profils!$Q$5:$Q$34,$AE356)*Paramètres!$E$33*$AG356*$AJ356,Paramètres!$F$33),0)</f>
        <v>0.005</v>
      </c>
      <c r="X356" s="20" t="n">
        <f aca="false" t="array" ref="X356:X356">IF(AND(INDEX(Profils!$R$5:$R$34,$AE356)&gt;0,INDEX(Profils!$AG$5:$AG$34,$AE356)&lt;=$AH356),ROUND(INDEX(Profils!$R$5:$R$34,$AE356)*Paramètres!$E$34*$AG356*$AJ356,Paramètres!$F$34),0)</f>
        <v>0</v>
      </c>
      <c r="Y356" s="20" t="n">
        <f aca="false" t="array" ref="Y356:Y356">IF(AND(INDEX(Profils!$S$5:$S$34,$AE356)&gt;0,INDEX(Profils!$AH$5:$AH$34,$AE356)&lt;=$AH356),ROUND(INDEX(Profils!$S$5:$S$34,$AE356)*Paramètres!$E$35*$AG356*$AJ356,Paramètres!$F$35),0)</f>
        <v>0.004</v>
      </c>
      <c r="Z356" s="21" t="n">
        <f aca="false">ROUND(L356/Paramètres!$E$22+M356/Paramètres!$E$23+N356/Paramètres!$E$24+O356/Paramètres!$E$25+P356/Paramètres!$E$26+Q356/Paramètres!$E$27+R356/Paramètres!$E$28+S356/Paramètres!$E$29+T356/Paramètres!$E$30+U356/Paramètres!$E$31+V356/Paramètres!$E$32+W356/Paramètres!$E$33+X356/Paramètres!$E$34+Y356/Paramètres!$E$35,1)</f>
        <v>1.6</v>
      </c>
      <c r="AA356" s="22" t="s">
        <v>109</v>
      </c>
      <c r="AB356" s="22" t="s">
        <v>109</v>
      </c>
      <c r="AC356" s="15" t="str">
        <f aca="false">$E356</f>
        <v>laine</v>
      </c>
      <c r="AD356" s="16" t="n">
        <f aca="false" t="array" ref="AD356:AD356">IF($I356&gt;=$AI356,"Max",ROUND(Paramètres!$B$40*($I356+1)^Paramètres!$B$41*INDEX(Paramètres!$H$6:$H$12,$AF356),0))</f>
        <v>5</v>
      </c>
      <c r="AE356" s="23" t="n">
        <f aca="false">MATCH($B356&amp;"|"&amp;$C356,Profils!$A$5:$A$34,0)</f>
        <v>12</v>
      </c>
      <c r="AF356" s="23" t="n">
        <v>4</v>
      </c>
      <c r="AG356" s="24" t="n">
        <f aca="false" t="array" ref="AG356:AG356">INDEX(Paramètres!$C$6:$C$12,$AF356)</f>
        <v>1.75</v>
      </c>
      <c r="AH356" s="23" t="n">
        <f aca="false" t="array" ref="AH356:AH356">INDEX(Paramètres!$D$6:$D$12,$AF356)</f>
        <v>5</v>
      </c>
      <c r="AI356" s="23" t="n">
        <f aca="false" t="array" ref="AI356:AI356">INDEX(Matériaux!$C$16:$C$20,$D356)</f>
        <v>20</v>
      </c>
      <c r="AJ356" s="25" t="n">
        <f aca="false">Paramètres!$B$16+(1-Paramètres!$B$16)*(($J356-Paramètres!$B$14)/(Paramètres!$B$15-Paramètres!$B$14))^Paramètres!$B$17</f>
        <v>0.140847925475674</v>
      </c>
    </row>
    <row r="357" customFormat="false" ht="15.75" hidden="false" customHeight="true" outlineLevel="0" collapsed="false">
      <c r="A357" s="14" t="s">
        <v>473</v>
      </c>
      <c r="B357" s="15" t="s">
        <v>29</v>
      </c>
      <c r="C357" s="15" t="s">
        <v>90</v>
      </c>
      <c r="D357" s="16" t="n">
        <v>2</v>
      </c>
      <c r="E357" s="15" t="str">
        <f aca="false" t="array" ref="E357:E357">INDEX(Matériaux!$B$5:$F$12,MATCH(INDEX(Profils!$E$5:$E$34,$AE357),Matériaux!$A$5:$A$12,0),$D357)</f>
        <v>laine</v>
      </c>
      <c r="F357" s="29" t="s">
        <v>117</v>
      </c>
      <c r="G357" s="10" t="str">
        <f aca="false" t="array" ref="G357:G357">INDEX(Profils!$D$5:$D$34,$AE357)&amp;" en "&amp;$E357</f>
        <v>Robe en laine</v>
      </c>
      <c r="H357" s="16" t="n">
        <f aca="false" t="array" ref="H357:H357">INDEX(Matériaux!$B$16:$B$20,$D357)</f>
        <v>15</v>
      </c>
      <c r="I357" s="16" t="n">
        <f aca="false">IF(ISNUMBER($C$3),MIN(MAX(0,ROUND($C$3,0)),$AI357),$AI357)</f>
        <v>0</v>
      </c>
      <c r="J357" s="18" t="n">
        <f aca="false">$H357+$I357</f>
        <v>15</v>
      </c>
      <c r="K357" s="15" t="s">
        <v>109</v>
      </c>
      <c r="L357" s="19" t="n">
        <f aca="false" t="array" ref="L357:L357">IF(AND(INDEX(Profils!$F$5:$F$34,$AE357)&gt;0,INDEX(Profils!$U$5:$U$34,$AE357)&lt;=$AH357),ROUND(INDEX(Profils!$F$5:$F$34,$AE357)*Paramètres!$E$22*$AG357*$AJ357,Paramètres!$F$22),0)</f>
        <v>15</v>
      </c>
      <c r="M357" s="19" t="n">
        <f aca="false" t="array" ref="M357:M357">IF(AND(INDEX(Profils!$G$5:$G$34,$AE357)&gt;0,INDEX(Profils!$V$5:$V$34,$AE357)&lt;=$AH357),ROUND(INDEX(Profils!$G$5:$G$34,$AE357)*Paramètres!$E$23*$AG357*$AJ357,Paramètres!$F$23),0)</f>
        <v>0</v>
      </c>
      <c r="N357" s="19" t="n">
        <f aca="false" t="array" ref="N357:N357">IF(AND(INDEX(Profils!$H$5:$H$34,$AE357)&gt;0,INDEX(Profils!$W$5:$W$34,$AE357)&lt;=$AH357),ROUND(INDEX(Profils!$H$5:$H$34,$AE357)*Paramètres!$E$24*$AG357*$AJ357,Paramètres!$F$24),0)</f>
        <v>0</v>
      </c>
      <c r="O357" s="19" t="n">
        <f aca="false" t="array" ref="O357:O357">IF(AND(INDEX(Profils!$I$5:$I$34,$AE357)&gt;0,INDEX(Profils!$X$5:$X$34,$AE357)&lt;=$AH357),ROUND(INDEX(Profils!$I$5:$I$34,$AE357)*Paramètres!$E$25*$AG357*$AJ357,Paramètres!$F$25),0)</f>
        <v>6</v>
      </c>
      <c r="P357" s="19" t="n">
        <f aca="false" t="array" ref="P357:P357">IF(AND(INDEX(Profils!$J$5:$J$34,$AE357)&gt;0,INDEX(Profils!$Y$5:$Y$34,$AE357)&lt;=$AH357),ROUND(INDEX(Profils!$J$5:$J$34,$AE357)*Paramètres!$E$26*$AG357*$AJ357,Paramètres!$F$26),0)</f>
        <v>2</v>
      </c>
      <c r="Q357" s="19" t="n">
        <f aca="false" t="array" ref="Q357:Q357">IF(AND(INDEX(Profils!$K$5:$K$34,$AE357)&gt;0,INDEX(Profils!$Z$5:$Z$34,$AE357)&lt;=$AH357),ROUND(INDEX(Profils!$K$5:$K$34,$AE357)*Paramètres!$E$27*$AG357*$AJ357,Paramètres!$F$27),0)</f>
        <v>0</v>
      </c>
      <c r="R357" s="20" t="n">
        <f aca="false" t="array" ref="R357:R357">IF(AND(INDEX(Profils!$L$5:$L$34,$AE357)&gt;0,INDEX(Profils!$AA$5:$AA$34,$AE357)&lt;=$AH357),ROUND(INDEX(Profils!$L$5:$L$34,$AE357)*Paramètres!$E$28*$AG357*$AJ357,Paramètres!$F$28),0)</f>
        <v>0</v>
      </c>
      <c r="S357" s="20" t="n">
        <f aca="false" t="array" ref="S357:S357">IF(AND(INDEX(Profils!$M$5:$M$34,$AE357)&gt;0,INDEX(Profils!$AB$5:$AB$34,$AE357)&lt;=$AH357),ROUND(INDEX(Profils!$M$5:$M$34,$AE357)*Paramètres!$E$29*$AG357*$AJ357,Paramètres!$F$29),0)</f>
        <v>0</v>
      </c>
      <c r="T357" s="20" t="n">
        <f aca="false" t="array" ref="T357:T357">IF(AND(INDEX(Profils!$N$5:$N$34,$AE357)&gt;0,INDEX(Profils!$AC$5:$AC$34,$AE357)&lt;=$AH357),ROUND(INDEX(Profils!$N$5:$N$34,$AE357)*Paramètres!$E$30*$AG357*$AJ357,Paramètres!$F$30),0)</f>
        <v>0</v>
      </c>
      <c r="U357" s="19" t="n">
        <f aca="false" t="array" ref="U357:U357">IF(AND(INDEX(Profils!$O$5:$O$34,$AE357)&gt;0,INDEX(Profils!$AD$5:$AD$34,$AE357)&lt;=$AH357),ROUND(INDEX(Profils!$O$5:$O$34,$AE357)*Paramètres!$E$31*$AG357*$AJ357,Paramètres!$F$31),0)</f>
        <v>5</v>
      </c>
      <c r="V357" s="20" t="n">
        <f aca="false" t="array" ref="V357:V357">IF(AND(INDEX(Profils!$P$5:$P$34,$AE357)&gt;0,INDEX(Profils!$AE$5:$AE$34,$AE357)&lt;=$AH357),ROUND(INDEX(Profils!$P$5:$P$34,$AE357)*Paramètres!$E$32*$AG357*$AJ357,Paramètres!$F$32),0)</f>
        <v>0</v>
      </c>
      <c r="W357" s="20" t="n">
        <f aca="false" t="array" ref="W357:W357">IF(AND(INDEX(Profils!$Q$5:$Q$34,$AE357)&gt;0,INDEX(Profils!$AF$5:$AF$34,$AE357)&lt;=$AH357),ROUND(INDEX(Profils!$Q$5:$Q$34,$AE357)*Paramètres!$E$33*$AG357*$AJ357,Paramètres!$F$33),0)</f>
        <v>0.006</v>
      </c>
      <c r="X357" s="20" t="n">
        <f aca="false" t="array" ref="X357:X357">IF(AND(INDEX(Profils!$R$5:$R$34,$AE357)&gt;0,INDEX(Profils!$AG$5:$AG$34,$AE357)&lt;=$AH357),ROUND(INDEX(Profils!$R$5:$R$34,$AE357)*Paramètres!$E$34*$AG357*$AJ357,Paramètres!$F$34),0)</f>
        <v>0</v>
      </c>
      <c r="Y357" s="20" t="n">
        <f aca="false" t="array" ref="Y357:Y357">IF(AND(INDEX(Profils!$S$5:$S$34,$AE357)&gt;0,INDEX(Profils!$AH$5:$AH$34,$AE357)&lt;=$AH357),ROUND(INDEX(Profils!$S$5:$S$34,$AE357)*Paramètres!$E$35*$AG357*$AJ357,Paramètres!$F$35),0)</f>
        <v>0.004</v>
      </c>
      <c r="Z357" s="21" t="n">
        <f aca="false">ROUND(L357/Paramètres!$E$22+M357/Paramètres!$E$23+N357/Paramètres!$E$24+O357/Paramètres!$E$25+P357/Paramètres!$E$26+Q357/Paramètres!$E$27+R357/Paramètres!$E$28+S357/Paramètres!$E$29+T357/Paramètres!$E$30+U357/Paramètres!$E$31+V357/Paramètres!$E$32+W357/Paramètres!$E$33+X357/Paramètres!$E$34+Y357/Paramètres!$E$35,1)</f>
        <v>2.1</v>
      </c>
      <c r="AA357" s="22" t="s">
        <v>109</v>
      </c>
      <c r="AB357" s="22" t="s">
        <v>109</v>
      </c>
      <c r="AC357" s="15" t="str">
        <f aca="false">$E357</f>
        <v>laine</v>
      </c>
      <c r="AD357" s="16" t="n">
        <f aca="false" t="array" ref="AD357:AD357">IF($I357&gt;=$AI357,"Max",ROUND(Paramètres!$B$40*($I357+1)^Paramètres!$B$41*INDEX(Paramètres!$H$6:$H$12,$AF357),0))</f>
        <v>6</v>
      </c>
      <c r="AE357" s="23" t="n">
        <f aca="false">MATCH($B357&amp;"|"&amp;$C357,Profils!$A$5:$A$34,0)</f>
        <v>12</v>
      </c>
      <c r="AF357" s="23" t="n">
        <v>5</v>
      </c>
      <c r="AG357" s="24" t="n">
        <f aca="false" t="array" ref="AG357:AG357">INDEX(Paramètres!$C$6:$C$12,$AF357)</f>
        <v>2.1</v>
      </c>
      <c r="AH357" s="23" t="n">
        <f aca="false" t="array" ref="AH357:AH357">INDEX(Paramètres!$D$6:$D$12,$AF357)</f>
        <v>6</v>
      </c>
      <c r="AI357" s="23" t="n">
        <f aca="false" t="array" ref="AI357:AI357">INDEX(Matériaux!$C$16:$C$20,$D357)</f>
        <v>20</v>
      </c>
      <c r="AJ357" s="25" t="n">
        <f aca="false">Paramètres!$B$16+(1-Paramètres!$B$16)*(($J357-Paramètres!$B$14)/(Paramètres!$B$15-Paramètres!$B$14))^Paramètres!$B$17</f>
        <v>0.140847925475674</v>
      </c>
    </row>
    <row r="358" customFormat="false" ht="15.75" hidden="false" customHeight="true" outlineLevel="0" collapsed="false">
      <c r="A358" s="14" t="s">
        <v>474</v>
      </c>
      <c r="B358" s="15" t="s">
        <v>29</v>
      </c>
      <c r="C358" s="15" t="s">
        <v>90</v>
      </c>
      <c r="D358" s="16" t="n">
        <v>2</v>
      </c>
      <c r="E358" s="15" t="str">
        <f aca="false" t="array" ref="E358:E358">INDEX(Matériaux!$B$5:$F$12,MATCH(INDEX(Profils!$E$5:$E$34,$AE358),Matériaux!$A$5:$A$12,0),$D358)</f>
        <v>laine</v>
      </c>
      <c r="F358" s="30" t="s">
        <v>119</v>
      </c>
      <c r="G358" s="10" t="str">
        <f aca="false" t="array" ref="G358:G358">INDEX(Profils!$D$5:$D$34,$AE358)&amp;" en "&amp;$E358</f>
        <v>Robe en laine</v>
      </c>
      <c r="H358" s="16" t="n">
        <f aca="false" t="array" ref="H358:H358">INDEX(Matériaux!$B$16:$B$20,$D358)</f>
        <v>15</v>
      </c>
      <c r="I358" s="16" t="n">
        <f aca="false">IF(ISNUMBER($C$3),MIN(MAX(0,ROUND($C$3,0)),$AI358),$AI358)</f>
        <v>0</v>
      </c>
      <c r="J358" s="18" t="n">
        <f aca="false">$H358+$I358</f>
        <v>15</v>
      </c>
      <c r="K358" s="15" t="s">
        <v>109</v>
      </c>
      <c r="L358" s="19" t="n">
        <f aca="false" t="array" ref="L358:L358">IF(AND(INDEX(Profils!$F$5:$F$34,$AE358)&gt;0,INDEX(Profils!$U$5:$U$34,$AE358)&lt;=$AH358),ROUND(INDEX(Profils!$F$5:$F$34,$AE358)*Paramètres!$E$22*$AG358*$AJ358,Paramètres!$F$22),0)</f>
        <v>17</v>
      </c>
      <c r="M358" s="19" t="n">
        <f aca="false" t="array" ref="M358:M358">IF(AND(INDEX(Profils!$G$5:$G$34,$AE358)&gt;0,INDEX(Profils!$V$5:$V$34,$AE358)&lt;=$AH358),ROUND(INDEX(Profils!$G$5:$G$34,$AE358)*Paramètres!$E$23*$AG358*$AJ358,Paramètres!$F$23),0)</f>
        <v>0</v>
      </c>
      <c r="N358" s="19" t="n">
        <f aca="false" t="array" ref="N358:N358">IF(AND(INDEX(Profils!$H$5:$H$34,$AE358)&gt;0,INDEX(Profils!$W$5:$W$34,$AE358)&lt;=$AH358),ROUND(INDEX(Profils!$H$5:$H$34,$AE358)*Paramètres!$E$24*$AG358*$AJ358,Paramètres!$F$24),0)</f>
        <v>3</v>
      </c>
      <c r="O358" s="19" t="n">
        <f aca="false" t="array" ref="O358:O358">IF(AND(INDEX(Profils!$I$5:$I$34,$AE358)&gt;0,INDEX(Profils!$X$5:$X$34,$AE358)&lt;=$AH358),ROUND(INDEX(Profils!$I$5:$I$34,$AE358)*Paramètres!$E$25*$AG358*$AJ358,Paramètres!$F$25),0)</f>
        <v>7</v>
      </c>
      <c r="P358" s="19" t="n">
        <f aca="false" t="array" ref="P358:P358">IF(AND(INDEX(Profils!$J$5:$J$34,$AE358)&gt;0,INDEX(Profils!$Y$5:$Y$34,$AE358)&lt;=$AH358),ROUND(INDEX(Profils!$J$5:$J$34,$AE358)*Paramètres!$E$26*$AG358*$AJ358,Paramètres!$F$26),0)</f>
        <v>3</v>
      </c>
      <c r="Q358" s="19" t="n">
        <f aca="false" t="array" ref="Q358:Q358">IF(AND(INDEX(Profils!$K$5:$K$34,$AE358)&gt;0,INDEX(Profils!$Z$5:$Z$34,$AE358)&lt;=$AH358),ROUND(INDEX(Profils!$K$5:$K$34,$AE358)*Paramètres!$E$27*$AG358*$AJ358,Paramètres!$F$27),0)</f>
        <v>0</v>
      </c>
      <c r="R358" s="20" t="n">
        <f aca="false" t="array" ref="R358:R358">IF(AND(INDEX(Profils!$L$5:$L$34,$AE358)&gt;0,INDEX(Profils!$AA$5:$AA$34,$AE358)&lt;=$AH358),ROUND(INDEX(Profils!$L$5:$L$34,$AE358)*Paramètres!$E$28*$AG358*$AJ358,Paramètres!$F$28),0)</f>
        <v>0</v>
      </c>
      <c r="S358" s="20" t="n">
        <f aca="false" t="array" ref="S358:S358">IF(AND(INDEX(Profils!$M$5:$M$34,$AE358)&gt;0,INDEX(Profils!$AB$5:$AB$34,$AE358)&lt;=$AH358),ROUND(INDEX(Profils!$M$5:$M$34,$AE358)*Paramètres!$E$29*$AG358*$AJ358,Paramètres!$F$29),0)</f>
        <v>0</v>
      </c>
      <c r="T358" s="20" t="n">
        <f aca="false" t="array" ref="T358:T358">IF(AND(INDEX(Profils!$N$5:$N$34,$AE358)&gt;0,INDEX(Profils!$AC$5:$AC$34,$AE358)&lt;=$AH358),ROUND(INDEX(Profils!$N$5:$N$34,$AE358)*Paramètres!$E$30*$AG358*$AJ358,Paramètres!$F$30),0)</f>
        <v>0</v>
      </c>
      <c r="U358" s="19" t="n">
        <f aca="false" t="array" ref="U358:U358">IF(AND(INDEX(Profils!$O$5:$O$34,$AE358)&gt;0,INDEX(Profils!$AD$5:$AD$34,$AE358)&lt;=$AH358),ROUND(INDEX(Profils!$O$5:$O$34,$AE358)*Paramètres!$E$31*$AG358*$AJ358,Paramètres!$F$31),0)</f>
        <v>6</v>
      </c>
      <c r="V358" s="20" t="n">
        <f aca="false" t="array" ref="V358:V358">IF(AND(INDEX(Profils!$P$5:$P$34,$AE358)&gt;0,INDEX(Profils!$AE$5:$AE$34,$AE358)&lt;=$AH358),ROUND(INDEX(Profils!$P$5:$P$34,$AE358)*Paramètres!$E$32*$AG358*$AJ358,Paramètres!$F$32),0)</f>
        <v>0</v>
      </c>
      <c r="W358" s="20" t="n">
        <f aca="false" t="array" ref="W358:W358">IF(AND(INDEX(Profils!$Q$5:$Q$34,$AE358)&gt;0,INDEX(Profils!$AF$5:$AF$34,$AE358)&lt;=$AH358),ROUND(INDEX(Profils!$Q$5:$Q$34,$AE358)*Paramètres!$E$33*$AG358*$AJ358,Paramètres!$F$33),0)</f>
        <v>0.007</v>
      </c>
      <c r="X358" s="20" t="n">
        <f aca="false" t="array" ref="X358:X358">IF(AND(INDEX(Profils!$R$5:$R$34,$AE358)&gt;0,INDEX(Profils!$AG$5:$AG$34,$AE358)&lt;=$AH358),ROUND(INDEX(Profils!$R$5:$R$34,$AE358)*Paramètres!$E$34*$AG358*$AJ358,Paramètres!$F$34),0)</f>
        <v>0</v>
      </c>
      <c r="Y358" s="20" t="n">
        <f aca="false" t="array" ref="Y358:Y358">IF(AND(INDEX(Profils!$S$5:$S$34,$AE358)&gt;0,INDEX(Profils!$AH$5:$AH$34,$AE358)&lt;=$AH358),ROUND(INDEX(Profils!$S$5:$S$34,$AE358)*Paramètres!$E$35*$AG358*$AJ358,Paramètres!$F$35),0)</f>
        <v>0.005</v>
      </c>
      <c r="Z358" s="21" t="n">
        <f aca="false">ROUND(L358/Paramètres!$E$22+M358/Paramètres!$E$23+N358/Paramètres!$E$24+O358/Paramètres!$E$25+P358/Paramètres!$E$26+Q358/Paramètres!$E$27+R358/Paramètres!$E$28+S358/Paramètres!$E$29+T358/Paramètres!$E$30+U358/Paramètres!$E$31+V358/Paramètres!$E$32+W358/Paramètres!$E$33+X358/Paramètres!$E$34+Y358/Paramètres!$E$35,1)</f>
        <v>2.7</v>
      </c>
      <c r="AA358" s="22" t="s">
        <v>109</v>
      </c>
      <c r="AB358" s="22" t="s">
        <v>109</v>
      </c>
      <c r="AC358" s="15" t="str">
        <f aca="false">$E358</f>
        <v>laine</v>
      </c>
      <c r="AD358" s="16" t="n">
        <f aca="false" t="array" ref="AD358:AD358">IF($I358&gt;=$AI358,"Max",ROUND(Paramètres!$B$40*($I358+1)^Paramètres!$B$41*INDEX(Paramètres!$H$6:$H$12,$AF358),0))</f>
        <v>8</v>
      </c>
      <c r="AE358" s="23" t="n">
        <f aca="false">MATCH($B358&amp;"|"&amp;$C358,Profils!$A$5:$A$34,0)</f>
        <v>12</v>
      </c>
      <c r="AF358" s="23" t="n">
        <v>6</v>
      </c>
      <c r="AG358" s="24" t="n">
        <f aca="false" t="array" ref="AG358:AG358">INDEX(Paramètres!$C$6:$C$12,$AF358)</f>
        <v>2.4</v>
      </c>
      <c r="AH358" s="23" t="n">
        <f aca="false" t="array" ref="AH358:AH358">INDEX(Paramètres!$D$6:$D$12,$AF358)</f>
        <v>7</v>
      </c>
      <c r="AI358" s="23" t="n">
        <f aca="false" t="array" ref="AI358:AI358">INDEX(Matériaux!$C$16:$C$20,$D358)</f>
        <v>20</v>
      </c>
      <c r="AJ358" s="25" t="n">
        <f aca="false">Paramètres!$B$16+(1-Paramètres!$B$16)*(($J358-Paramètres!$B$14)/(Paramètres!$B$15-Paramètres!$B$14))^Paramètres!$B$17</f>
        <v>0.140847925475674</v>
      </c>
    </row>
    <row r="359" customFormat="false" ht="15.75" hidden="false" customHeight="true" outlineLevel="0" collapsed="false">
      <c r="A359" s="14" t="s">
        <v>475</v>
      </c>
      <c r="B359" s="15" t="s">
        <v>29</v>
      </c>
      <c r="C359" s="15" t="s">
        <v>90</v>
      </c>
      <c r="D359" s="16" t="n">
        <v>3</v>
      </c>
      <c r="E359" s="15" t="str">
        <f aca="false" t="array" ref="E359:E359">INDEX(Matériaux!$B$5:$F$12,MATCH(INDEX(Profils!$E$5:$E$34,$AE359),Matériaux!$A$5:$A$12,0),$D359)</f>
        <v>soie</v>
      </c>
      <c r="F359" s="17" t="s">
        <v>108</v>
      </c>
      <c r="G359" s="10" t="str">
        <f aca="false" t="array" ref="G359:G359">INDEX(Profils!$D$5:$D$34,$AE359)&amp;" en "&amp;$E359</f>
        <v>Robe en soie</v>
      </c>
      <c r="H359" s="16" t="n">
        <f aca="false" t="array" ref="H359:H359">INDEX(Matériaux!$B$16:$B$20,$D359)</f>
        <v>30</v>
      </c>
      <c r="I359" s="16" t="n">
        <f aca="false">IF(ISNUMBER($C$3),MIN(MAX(0,ROUND($C$3,0)),$AI359),$AI359)</f>
        <v>0</v>
      </c>
      <c r="J359" s="18" t="n">
        <f aca="false">$H359+$I359</f>
        <v>30</v>
      </c>
      <c r="K359" s="15" t="s">
        <v>109</v>
      </c>
      <c r="L359" s="19" t="n">
        <f aca="false" t="array" ref="L359:L359">IF(AND(INDEX(Profils!$F$5:$F$34,$AE359)&gt;0,INDEX(Profils!$U$5:$U$34,$AE359)&lt;=$AH359),ROUND(INDEX(Profils!$F$5:$F$34,$AE359)*Paramètres!$E$22*$AG359*$AJ359,Paramètres!$F$22),0)</f>
        <v>13</v>
      </c>
      <c r="M359" s="19" t="n">
        <f aca="false" t="array" ref="M359:M359">IF(AND(INDEX(Profils!$G$5:$G$34,$AE359)&gt;0,INDEX(Profils!$V$5:$V$34,$AE359)&lt;=$AH359),ROUND(INDEX(Profils!$G$5:$G$34,$AE359)*Paramètres!$E$23*$AG359*$AJ359,Paramètres!$F$23),0)</f>
        <v>0</v>
      </c>
      <c r="N359" s="19" t="n">
        <f aca="false" t="array" ref="N359:N359">IF(AND(INDEX(Profils!$H$5:$H$34,$AE359)&gt;0,INDEX(Profils!$W$5:$W$34,$AE359)&lt;=$AH359),ROUND(INDEX(Profils!$H$5:$H$34,$AE359)*Paramètres!$E$24*$AG359*$AJ359,Paramètres!$F$24),0)</f>
        <v>0</v>
      </c>
      <c r="O359" s="19" t="n">
        <f aca="false" t="array" ref="O359:O359">IF(AND(INDEX(Profils!$I$5:$I$34,$AE359)&gt;0,INDEX(Profils!$X$5:$X$34,$AE359)&lt;=$AH359),ROUND(INDEX(Profils!$I$5:$I$34,$AE359)*Paramètres!$E$25*$AG359*$AJ359,Paramètres!$F$25),0)</f>
        <v>6</v>
      </c>
      <c r="P359" s="19" t="n">
        <f aca="false" t="array" ref="P359:P359">IF(AND(INDEX(Profils!$J$5:$J$34,$AE359)&gt;0,INDEX(Profils!$Y$5:$Y$34,$AE359)&lt;=$AH359),ROUND(INDEX(Profils!$J$5:$J$34,$AE359)*Paramètres!$E$26*$AG359*$AJ359,Paramètres!$F$26),0)</f>
        <v>0</v>
      </c>
      <c r="Q359" s="19" t="n">
        <f aca="false" t="array" ref="Q359:Q359">IF(AND(INDEX(Profils!$K$5:$K$34,$AE359)&gt;0,INDEX(Profils!$Z$5:$Z$34,$AE359)&lt;=$AH359),ROUND(INDEX(Profils!$K$5:$K$34,$AE359)*Paramètres!$E$27*$AG359*$AJ359,Paramètres!$F$27),0)</f>
        <v>0</v>
      </c>
      <c r="R359" s="20" t="n">
        <f aca="false" t="array" ref="R359:R359">IF(AND(INDEX(Profils!$L$5:$L$34,$AE359)&gt;0,INDEX(Profils!$AA$5:$AA$34,$AE359)&lt;=$AH359),ROUND(INDEX(Profils!$L$5:$L$34,$AE359)*Paramètres!$E$28*$AG359*$AJ359,Paramètres!$F$28),0)</f>
        <v>0</v>
      </c>
      <c r="S359" s="20" t="n">
        <f aca="false" t="array" ref="S359:S359">IF(AND(INDEX(Profils!$M$5:$M$34,$AE359)&gt;0,INDEX(Profils!$AB$5:$AB$34,$AE359)&lt;=$AH359),ROUND(INDEX(Profils!$M$5:$M$34,$AE359)*Paramètres!$E$29*$AG359*$AJ359,Paramètres!$F$29),0)</f>
        <v>0</v>
      </c>
      <c r="T359" s="20" t="n">
        <f aca="false" t="array" ref="T359:T359">IF(AND(INDEX(Profils!$N$5:$N$34,$AE359)&gt;0,INDEX(Profils!$AC$5:$AC$34,$AE359)&lt;=$AH359),ROUND(INDEX(Profils!$N$5:$N$34,$AE359)*Paramètres!$E$30*$AG359*$AJ359,Paramètres!$F$30),0)</f>
        <v>0</v>
      </c>
      <c r="U359" s="19" t="n">
        <f aca="false" t="array" ref="U359:U359">IF(AND(INDEX(Profils!$O$5:$O$34,$AE359)&gt;0,INDEX(Profils!$AD$5:$AD$34,$AE359)&lt;=$AH359),ROUND(INDEX(Profils!$O$5:$O$34,$AE359)*Paramètres!$E$31*$AG359*$AJ359,Paramètres!$F$31),0)</f>
        <v>0</v>
      </c>
      <c r="V359" s="20" t="n">
        <f aca="false" t="array" ref="V359:V359">IF(AND(INDEX(Profils!$P$5:$P$34,$AE359)&gt;0,INDEX(Profils!$AE$5:$AE$34,$AE359)&lt;=$AH359),ROUND(INDEX(Profils!$P$5:$P$34,$AE359)*Paramètres!$E$32*$AG359*$AJ359,Paramètres!$F$32),0)</f>
        <v>0</v>
      </c>
      <c r="W359" s="20" t="n">
        <f aca="false" t="array" ref="W359:W359">IF(AND(INDEX(Profils!$Q$5:$Q$34,$AE359)&gt;0,INDEX(Profils!$AF$5:$AF$34,$AE359)&lt;=$AH359),ROUND(INDEX(Profils!$Q$5:$Q$34,$AE359)*Paramètres!$E$33*$AG359*$AJ359,Paramètres!$F$33),0)</f>
        <v>0</v>
      </c>
      <c r="X359" s="20" t="n">
        <f aca="false" t="array" ref="X359:X359">IF(AND(INDEX(Profils!$R$5:$R$34,$AE359)&gt;0,INDEX(Profils!$AG$5:$AG$34,$AE359)&lt;=$AH359),ROUND(INDEX(Profils!$R$5:$R$34,$AE359)*Paramètres!$E$34*$AG359*$AJ359,Paramètres!$F$34),0)</f>
        <v>0</v>
      </c>
      <c r="Y359" s="20" t="n">
        <f aca="false" t="array" ref="Y359:Y359">IF(AND(INDEX(Profils!$S$5:$S$34,$AE359)&gt;0,INDEX(Profils!$AH$5:$AH$34,$AE359)&lt;=$AH359),ROUND(INDEX(Profils!$S$5:$S$34,$AE359)*Paramètres!$E$35*$AG359*$AJ359,Paramètres!$F$35),0)</f>
        <v>0</v>
      </c>
      <c r="Z359" s="21" t="n">
        <f aca="false">ROUND(L359/Paramètres!$E$22+M359/Paramètres!$E$23+N359/Paramètres!$E$24+O359/Paramètres!$E$25+P359/Paramètres!$E$26+Q359/Paramètres!$E$27+R359/Paramètres!$E$28+S359/Paramètres!$E$29+T359/Paramètres!$E$30+U359/Paramètres!$E$31+V359/Paramètres!$E$32+W359/Paramètres!$E$33+X359/Paramètres!$E$34+Y359/Paramètres!$E$35,1)</f>
        <v>0.9</v>
      </c>
      <c r="AA359" s="22" t="s">
        <v>109</v>
      </c>
      <c r="AB359" s="22" t="s">
        <v>109</v>
      </c>
      <c r="AC359" s="15" t="str">
        <f aca="false">$E359</f>
        <v>soie</v>
      </c>
      <c r="AD359" s="16" t="n">
        <f aca="false" t="array" ref="AD359:AD359">IF($I359&gt;=$AI359,"Max",ROUND(Paramètres!$B$40*($I359+1)^Paramètres!$B$41*INDEX(Paramètres!$H$6:$H$12,$AF359),0))</f>
        <v>3</v>
      </c>
      <c r="AE359" s="23" t="n">
        <f aca="false">MATCH($B359&amp;"|"&amp;$C359,Profils!$A$5:$A$34,0)</f>
        <v>12</v>
      </c>
      <c r="AF359" s="23" t="n">
        <v>1</v>
      </c>
      <c r="AG359" s="24" t="n">
        <f aca="false" t="array" ref="AG359:AG359">INDEX(Paramètres!$C$6:$C$12,$AF359)</f>
        <v>1</v>
      </c>
      <c r="AH359" s="23" t="n">
        <f aca="false" t="array" ref="AH359:AH359">INDEX(Paramètres!$D$6:$D$12,$AF359)</f>
        <v>2</v>
      </c>
      <c r="AI359" s="23" t="n">
        <f aca="false" t="array" ref="AI359:AI359">INDEX(Matériaux!$C$16:$C$20,$D359)</f>
        <v>25</v>
      </c>
      <c r="AJ359" s="25" t="n">
        <f aca="false">Paramètres!$B$16+(1-Paramètres!$B$16)*(($J359-Paramètres!$B$14)/(Paramètres!$B$15-Paramètres!$B$14))^Paramètres!$B$17</f>
        <v>0.26769024555533</v>
      </c>
    </row>
    <row r="360" customFormat="false" ht="15.75" hidden="false" customHeight="true" outlineLevel="0" collapsed="false">
      <c r="A360" s="14" t="s">
        <v>476</v>
      </c>
      <c r="B360" s="15" t="s">
        <v>29</v>
      </c>
      <c r="C360" s="15" t="s">
        <v>90</v>
      </c>
      <c r="D360" s="16" t="n">
        <v>3</v>
      </c>
      <c r="E360" s="15" t="str">
        <f aca="false" t="array" ref="E360:E360">INDEX(Matériaux!$B$5:$F$12,MATCH(INDEX(Profils!$E$5:$E$34,$AE360),Matériaux!$A$5:$A$12,0),$D360)</f>
        <v>soie</v>
      </c>
      <c r="F360" s="26" t="s">
        <v>111</v>
      </c>
      <c r="G360" s="10" t="str">
        <f aca="false" t="array" ref="G360:G360">INDEX(Profils!$D$5:$D$34,$AE360)&amp;" en "&amp;$E360</f>
        <v>Robe en soie</v>
      </c>
      <c r="H360" s="16" t="n">
        <f aca="false" t="array" ref="H360:H360">INDEX(Matériaux!$B$16:$B$20,$D360)</f>
        <v>30</v>
      </c>
      <c r="I360" s="16" t="n">
        <f aca="false">IF(ISNUMBER($C$3),MIN(MAX(0,ROUND($C$3,0)),$AI360),$AI360)</f>
        <v>0</v>
      </c>
      <c r="J360" s="18" t="n">
        <f aca="false">$H360+$I360</f>
        <v>30</v>
      </c>
      <c r="K360" s="15" t="s">
        <v>109</v>
      </c>
      <c r="L360" s="19" t="n">
        <f aca="false" t="array" ref="L360:L360">IF(AND(INDEX(Profils!$F$5:$F$34,$AE360)&gt;0,INDEX(Profils!$U$5:$U$34,$AE360)&lt;=$AH360),ROUND(INDEX(Profils!$F$5:$F$34,$AE360)*Paramètres!$E$22*$AG360*$AJ360,Paramètres!$F$22),0)</f>
        <v>16</v>
      </c>
      <c r="M360" s="19" t="n">
        <f aca="false" t="array" ref="M360:M360">IF(AND(INDEX(Profils!$G$5:$G$34,$AE360)&gt;0,INDEX(Profils!$V$5:$V$34,$AE360)&lt;=$AH360),ROUND(INDEX(Profils!$G$5:$G$34,$AE360)*Paramètres!$E$23*$AG360*$AJ360,Paramètres!$F$23),0)</f>
        <v>0</v>
      </c>
      <c r="N360" s="19" t="n">
        <f aca="false" t="array" ref="N360:N360">IF(AND(INDEX(Profils!$H$5:$H$34,$AE360)&gt;0,INDEX(Profils!$W$5:$W$34,$AE360)&lt;=$AH360),ROUND(INDEX(Profils!$H$5:$H$34,$AE360)*Paramètres!$E$24*$AG360*$AJ360,Paramètres!$F$24),0)</f>
        <v>0</v>
      </c>
      <c r="O360" s="19" t="n">
        <f aca="false" t="array" ref="O360:O360">IF(AND(INDEX(Profils!$I$5:$I$34,$AE360)&gt;0,INDEX(Profils!$X$5:$X$34,$AE360)&lt;=$AH360),ROUND(INDEX(Profils!$I$5:$I$34,$AE360)*Paramètres!$E$25*$AG360*$AJ360,Paramètres!$F$25),0)</f>
        <v>7</v>
      </c>
      <c r="P360" s="19" t="n">
        <f aca="false" t="array" ref="P360:P360">IF(AND(INDEX(Profils!$J$5:$J$34,$AE360)&gt;0,INDEX(Profils!$Y$5:$Y$34,$AE360)&lt;=$AH360),ROUND(INDEX(Profils!$J$5:$J$34,$AE360)*Paramètres!$E$26*$AG360*$AJ360,Paramètres!$F$26),0)</f>
        <v>0</v>
      </c>
      <c r="Q360" s="19" t="n">
        <f aca="false" t="array" ref="Q360:Q360">IF(AND(INDEX(Profils!$K$5:$K$34,$AE360)&gt;0,INDEX(Profils!$Z$5:$Z$34,$AE360)&lt;=$AH360),ROUND(INDEX(Profils!$K$5:$K$34,$AE360)*Paramètres!$E$27*$AG360*$AJ360,Paramètres!$F$27),0)</f>
        <v>0</v>
      </c>
      <c r="R360" s="20" t="n">
        <f aca="false" t="array" ref="R360:R360">IF(AND(INDEX(Profils!$L$5:$L$34,$AE360)&gt;0,INDEX(Profils!$AA$5:$AA$34,$AE360)&lt;=$AH360),ROUND(INDEX(Profils!$L$5:$L$34,$AE360)*Paramètres!$E$28*$AG360*$AJ360,Paramètres!$F$28),0)</f>
        <v>0</v>
      </c>
      <c r="S360" s="20" t="n">
        <f aca="false" t="array" ref="S360:S360">IF(AND(INDEX(Profils!$M$5:$M$34,$AE360)&gt;0,INDEX(Profils!$AB$5:$AB$34,$AE360)&lt;=$AH360),ROUND(INDEX(Profils!$M$5:$M$34,$AE360)*Paramètres!$E$29*$AG360*$AJ360,Paramètres!$F$29),0)</f>
        <v>0</v>
      </c>
      <c r="T360" s="20" t="n">
        <f aca="false" t="array" ref="T360:T360">IF(AND(INDEX(Profils!$N$5:$N$34,$AE360)&gt;0,INDEX(Profils!$AC$5:$AC$34,$AE360)&lt;=$AH360),ROUND(INDEX(Profils!$N$5:$N$34,$AE360)*Paramètres!$E$30*$AG360*$AJ360,Paramètres!$F$30),0)</f>
        <v>0</v>
      </c>
      <c r="U360" s="19" t="n">
        <f aca="false" t="array" ref="U360:U360">IF(AND(INDEX(Profils!$O$5:$O$34,$AE360)&gt;0,INDEX(Profils!$AD$5:$AD$34,$AE360)&lt;=$AH360),ROUND(INDEX(Profils!$O$5:$O$34,$AE360)*Paramètres!$E$31*$AG360*$AJ360,Paramètres!$F$31),0)</f>
        <v>0</v>
      </c>
      <c r="V360" s="20" t="n">
        <f aca="false" t="array" ref="V360:V360">IF(AND(INDEX(Profils!$P$5:$P$34,$AE360)&gt;0,INDEX(Profils!$AE$5:$AE$34,$AE360)&lt;=$AH360),ROUND(INDEX(Profils!$P$5:$P$34,$AE360)*Paramètres!$E$32*$AG360*$AJ360,Paramètres!$F$32),0)</f>
        <v>0</v>
      </c>
      <c r="W360" s="20" t="n">
        <f aca="false" t="array" ref="W360:W360">IF(AND(INDEX(Profils!$Q$5:$Q$34,$AE360)&gt;0,INDEX(Profils!$AF$5:$AF$34,$AE360)&lt;=$AH360),ROUND(INDEX(Profils!$Q$5:$Q$34,$AE360)*Paramètres!$E$33*$AG360*$AJ360,Paramètres!$F$33),0)</f>
        <v>0.007</v>
      </c>
      <c r="X360" s="20" t="n">
        <f aca="false" t="array" ref="X360:X360">IF(AND(INDEX(Profils!$R$5:$R$34,$AE360)&gt;0,INDEX(Profils!$AG$5:$AG$34,$AE360)&lt;=$AH360),ROUND(INDEX(Profils!$R$5:$R$34,$AE360)*Paramètres!$E$34*$AG360*$AJ360,Paramètres!$F$34),0)</f>
        <v>0</v>
      </c>
      <c r="Y360" s="20" t="n">
        <f aca="false" t="array" ref="Y360:Y360">IF(AND(INDEX(Profils!$S$5:$S$34,$AE360)&gt;0,INDEX(Profils!$AH$5:$AH$34,$AE360)&lt;=$AH360),ROUND(INDEX(Profils!$S$5:$S$34,$AE360)*Paramètres!$E$35*$AG360*$AJ360,Paramètres!$F$35),0)</f>
        <v>0</v>
      </c>
      <c r="Z360" s="21" t="n">
        <f aca="false">ROUND(L360/Paramètres!$E$22+M360/Paramètres!$E$23+N360/Paramètres!$E$24+O360/Paramètres!$E$25+P360/Paramètres!$E$26+Q360/Paramètres!$E$27+R360/Paramètres!$E$28+S360/Paramètres!$E$29+T360/Paramètres!$E$30+U360/Paramètres!$E$31+V360/Paramètres!$E$32+W360/Paramètres!$E$33+X360/Paramètres!$E$34+Y360/Paramètres!$E$35,1)</f>
        <v>1.6</v>
      </c>
      <c r="AA360" s="22" t="s">
        <v>109</v>
      </c>
      <c r="AB360" s="22" t="s">
        <v>109</v>
      </c>
      <c r="AC360" s="15" t="str">
        <f aca="false">$E360</f>
        <v>soie</v>
      </c>
      <c r="AD360" s="16" t="n">
        <f aca="false" t="array" ref="AD360:AD360">IF($I360&gt;=$AI360,"Max",ROUND(Paramètres!$B$40*($I360+1)^Paramètres!$B$41*INDEX(Paramètres!$H$6:$H$12,$AF360),0))</f>
        <v>4</v>
      </c>
      <c r="AE360" s="23" t="n">
        <f aca="false">MATCH($B360&amp;"|"&amp;$C360,Profils!$A$5:$A$34,0)</f>
        <v>12</v>
      </c>
      <c r="AF360" s="23" t="n">
        <v>2</v>
      </c>
      <c r="AG360" s="24" t="n">
        <f aca="false" t="array" ref="AG360:AG360">INDEX(Paramètres!$C$6:$C$12,$AF360)</f>
        <v>1.2</v>
      </c>
      <c r="AH360" s="23" t="n">
        <f aca="false" t="array" ref="AH360:AH360">INDEX(Paramètres!$D$6:$D$12,$AF360)</f>
        <v>3</v>
      </c>
      <c r="AI360" s="23" t="n">
        <f aca="false" t="array" ref="AI360:AI360">INDEX(Matériaux!$C$16:$C$20,$D360)</f>
        <v>25</v>
      </c>
      <c r="AJ360" s="25" t="n">
        <f aca="false">Paramètres!$B$16+(1-Paramètres!$B$16)*(($J360-Paramètres!$B$14)/(Paramètres!$B$15-Paramètres!$B$14))^Paramètres!$B$17</f>
        <v>0.26769024555533</v>
      </c>
    </row>
    <row r="361" customFormat="false" ht="15.75" hidden="false" customHeight="true" outlineLevel="0" collapsed="false">
      <c r="A361" s="14" t="s">
        <v>477</v>
      </c>
      <c r="B361" s="15" t="s">
        <v>29</v>
      </c>
      <c r="C361" s="15" t="s">
        <v>90</v>
      </c>
      <c r="D361" s="16" t="n">
        <v>3</v>
      </c>
      <c r="E361" s="15" t="str">
        <f aca="false" t="array" ref="E361:E361">INDEX(Matériaux!$B$5:$F$12,MATCH(INDEX(Profils!$E$5:$E$34,$AE361),Matériaux!$A$5:$A$12,0),$D361)</f>
        <v>soie</v>
      </c>
      <c r="F361" s="27" t="s">
        <v>113</v>
      </c>
      <c r="G361" s="10" t="str">
        <f aca="false" t="array" ref="G361:G361">INDEX(Profils!$D$5:$D$34,$AE361)&amp;" en "&amp;$E361</f>
        <v>Robe en soie</v>
      </c>
      <c r="H361" s="16" t="n">
        <f aca="false" t="array" ref="H361:H361">INDEX(Matériaux!$B$16:$B$20,$D361)</f>
        <v>30</v>
      </c>
      <c r="I361" s="16" t="n">
        <f aca="false">IF(ISNUMBER($C$3),MIN(MAX(0,ROUND($C$3,0)),$AI361),$AI361)</f>
        <v>0</v>
      </c>
      <c r="J361" s="18" t="n">
        <f aca="false">$H361+$I361</f>
        <v>30</v>
      </c>
      <c r="K361" s="15" t="s">
        <v>109</v>
      </c>
      <c r="L361" s="19" t="n">
        <f aca="false" t="array" ref="L361:L361">IF(AND(INDEX(Profils!$F$5:$F$34,$AE361)&gt;0,INDEX(Profils!$U$5:$U$34,$AE361)&lt;=$AH361),ROUND(INDEX(Profils!$F$5:$F$34,$AE361)*Paramètres!$E$22*$AG361*$AJ361,Paramètres!$F$22),0)</f>
        <v>19</v>
      </c>
      <c r="M361" s="19" t="n">
        <f aca="false" t="array" ref="M361:M361">IF(AND(INDEX(Profils!$G$5:$G$34,$AE361)&gt;0,INDEX(Profils!$V$5:$V$34,$AE361)&lt;=$AH361),ROUND(INDEX(Profils!$G$5:$G$34,$AE361)*Paramètres!$E$23*$AG361*$AJ361,Paramètres!$F$23),0)</f>
        <v>0</v>
      </c>
      <c r="N361" s="19" t="n">
        <f aca="false" t="array" ref="N361:N361">IF(AND(INDEX(Profils!$H$5:$H$34,$AE361)&gt;0,INDEX(Profils!$W$5:$W$34,$AE361)&lt;=$AH361),ROUND(INDEX(Profils!$H$5:$H$34,$AE361)*Paramètres!$E$24*$AG361*$AJ361,Paramètres!$F$24),0)</f>
        <v>0</v>
      </c>
      <c r="O361" s="19" t="n">
        <f aca="false" t="array" ref="O361:O361">IF(AND(INDEX(Profils!$I$5:$I$34,$AE361)&gt;0,INDEX(Profils!$X$5:$X$34,$AE361)&lt;=$AH361),ROUND(INDEX(Profils!$I$5:$I$34,$AE361)*Paramètres!$E$25*$AG361*$AJ361,Paramètres!$F$25),0)</f>
        <v>8</v>
      </c>
      <c r="P361" s="19" t="n">
        <f aca="false" t="array" ref="P361:P361">IF(AND(INDEX(Profils!$J$5:$J$34,$AE361)&gt;0,INDEX(Profils!$Y$5:$Y$34,$AE361)&lt;=$AH361),ROUND(INDEX(Profils!$J$5:$J$34,$AE361)*Paramètres!$E$26*$AG361*$AJ361,Paramètres!$F$26),0)</f>
        <v>0</v>
      </c>
      <c r="Q361" s="19" t="n">
        <f aca="false" t="array" ref="Q361:Q361">IF(AND(INDEX(Profils!$K$5:$K$34,$AE361)&gt;0,INDEX(Profils!$Z$5:$Z$34,$AE361)&lt;=$AH361),ROUND(INDEX(Profils!$K$5:$K$34,$AE361)*Paramètres!$E$27*$AG361*$AJ361,Paramètres!$F$27),0)</f>
        <v>0</v>
      </c>
      <c r="R361" s="20" t="n">
        <f aca="false" t="array" ref="R361:R361">IF(AND(INDEX(Profils!$L$5:$L$34,$AE361)&gt;0,INDEX(Profils!$AA$5:$AA$34,$AE361)&lt;=$AH361),ROUND(INDEX(Profils!$L$5:$L$34,$AE361)*Paramètres!$E$28*$AG361*$AJ361,Paramètres!$F$28),0)</f>
        <v>0</v>
      </c>
      <c r="S361" s="20" t="n">
        <f aca="false" t="array" ref="S361:S361">IF(AND(INDEX(Profils!$M$5:$M$34,$AE361)&gt;0,INDEX(Profils!$AB$5:$AB$34,$AE361)&lt;=$AH361),ROUND(INDEX(Profils!$M$5:$M$34,$AE361)*Paramètres!$E$29*$AG361*$AJ361,Paramètres!$F$29),0)</f>
        <v>0</v>
      </c>
      <c r="T361" s="20" t="n">
        <f aca="false" t="array" ref="T361:T361">IF(AND(INDEX(Profils!$N$5:$N$34,$AE361)&gt;0,INDEX(Profils!$AC$5:$AC$34,$AE361)&lt;=$AH361),ROUND(INDEX(Profils!$N$5:$N$34,$AE361)*Paramètres!$E$30*$AG361*$AJ361,Paramètres!$F$30),0)</f>
        <v>0</v>
      </c>
      <c r="U361" s="19" t="n">
        <f aca="false" t="array" ref="U361:U361">IF(AND(INDEX(Profils!$O$5:$O$34,$AE361)&gt;0,INDEX(Profils!$AD$5:$AD$34,$AE361)&lt;=$AH361),ROUND(INDEX(Profils!$O$5:$O$34,$AE361)*Paramètres!$E$31*$AG361*$AJ361,Paramètres!$F$31),0)</f>
        <v>0</v>
      </c>
      <c r="V361" s="20" t="n">
        <f aca="false" t="array" ref="V361:V361">IF(AND(INDEX(Profils!$P$5:$P$34,$AE361)&gt;0,INDEX(Profils!$AE$5:$AE$34,$AE361)&lt;=$AH361),ROUND(INDEX(Profils!$P$5:$P$34,$AE361)*Paramètres!$E$32*$AG361*$AJ361,Paramètres!$F$32),0)</f>
        <v>0</v>
      </c>
      <c r="W361" s="20" t="n">
        <f aca="false" t="array" ref="W361:W361">IF(AND(INDEX(Profils!$Q$5:$Q$34,$AE361)&gt;0,INDEX(Profils!$AF$5:$AF$34,$AE361)&lt;=$AH361),ROUND(INDEX(Profils!$Q$5:$Q$34,$AE361)*Paramètres!$E$33*$AG361*$AJ361,Paramètres!$F$33),0)</f>
        <v>0.008</v>
      </c>
      <c r="X361" s="20" t="n">
        <f aca="false" t="array" ref="X361:X361">IF(AND(INDEX(Profils!$R$5:$R$34,$AE361)&gt;0,INDEX(Profils!$AG$5:$AG$34,$AE361)&lt;=$AH361),ROUND(INDEX(Profils!$R$5:$R$34,$AE361)*Paramètres!$E$34*$AG361*$AJ361,Paramètres!$F$34),0)</f>
        <v>0</v>
      </c>
      <c r="Y361" s="20" t="n">
        <f aca="false" t="array" ref="Y361:Y361">IF(AND(INDEX(Profils!$S$5:$S$34,$AE361)&gt;0,INDEX(Profils!$AH$5:$AH$34,$AE361)&lt;=$AH361),ROUND(INDEX(Profils!$S$5:$S$34,$AE361)*Paramètres!$E$35*$AG361*$AJ361,Paramètres!$F$35),0)</f>
        <v>0.006</v>
      </c>
      <c r="Z361" s="21" t="n">
        <f aca="false">ROUND(L361/Paramètres!$E$22+M361/Paramètres!$E$23+N361/Paramètres!$E$24+O361/Paramètres!$E$25+P361/Paramètres!$E$26+Q361/Paramètres!$E$27+R361/Paramètres!$E$28+S361/Paramètres!$E$29+T361/Paramètres!$E$30+U361/Paramètres!$E$31+V361/Paramètres!$E$32+W361/Paramètres!$E$33+X361/Paramètres!$E$34+Y361/Paramètres!$E$35,1)</f>
        <v>2.2</v>
      </c>
      <c r="AA361" s="22" t="s">
        <v>109</v>
      </c>
      <c r="AB361" s="22" t="s">
        <v>109</v>
      </c>
      <c r="AC361" s="15" t="str">
        <f aca="false">$E361</f>
        <v>soie</v>
      </c>
      <c r="AD361" s="16" t="n">
        <f aca="false" t="array" ref="AD361:AD361">IF($I361&gt;=$AI361,"Max",ROUND(Paramètres!$B$40*($I361+1)^Paramètres!$B$41*INDEX(Paramètres!$H$6:$H$12,$AF361),0))</f>
        <v>4</v>
      </c>
      <c r="AE361" s="23" t="n">
        <f aca="false">MATCH($B361&amp;"|"&amp;$C361,Profils!$A$5:$A$34,0)</f>
        <v>12</v>
      </c>
      <c r="AF361" s="23" t="n">
        <v>3</v>
      </c>
      <c r="AG361" s="24" t="n">
        <f aca="false" t="array" ref="AG361:AG361">INDEX(Paramètres!$C$6:$C$12,$AF361)</f>
        <v>1.45</v>
      </c>
      <c r="AH361" s="23" t="n">
        <f aca="false" t="array" ref="AH361:AH361">INDEX(Paramètres!$D$6:$D$12,$AF361)</f>
        <v>4</v>
      </c>
      <c r="AI361" s="23" t="n">
        <f aca="false" t="array" ref="AI361:AI361">INDEX(Matériaux!$C$16:$C$20,$D361)</f>
        <v>25</v>
      </c>
      <c r="AJ361" s="25" t="n">
        <f aca="false">Paramètres!$B$16+(1-Paramètres!$B$16)*(($J361-Paramètres!$B$14)/(Paramètres!$B$15-Paramètres!$B$14))^Paramètres!$B$17</f>
        <v>0.26769024555533</v>
      </c>
    </row>
    <row r="362" customFormat="false" ht="15.75" hidden="false" customHeight="true" outlineLevel="0" collapsed="false">
      <c r="A362" s="14" t="s">
        <v>478</v>
      </c>
      <c r="B362" s="15" t="s">
        <v>29</v>
      </c>
      <c r="C362" s="15" t="s">
        <v>90</v>
      </c>
      <c r="D362" s="16" t="n">
        <v>3</v>
      </c>
      <c r="E362" s="15" t="str">
        <f aca="false" t="array" ref="E362:E362">INDEX(Matériaux!$B$5:$F$12,MATCH(INDEX(Profils!$E$5:$E$34,$AE362),Matériaux!$A$5:$A$12,0),$D362)</f>
        <v>soie</v>
      </c>
      <c r="F362" s="28" t="s">
        <v>115</v>
      </c>
      <c r="G362" s="10" t="str">
        <f aca="false" t="array" ref="G362:G362">INDEX(Profils!$D$5:$D$34,$AE362)&amp;" en "&amp;$E362</f>
        <v>Robe en soie</v>
      </c>
      <c r="H362" s="16" t="n">
        <f aca="false" t="array" ref="H362:H362">INDEX(Matériaux!$B$16:$B$20,$D362)</f>
        <v>30</v>
      </c>
      <c r="I362" s="16" t="n">
        <f aca="false">IF(ISNUMBER($C$3),MIN(MAX(0,ROUND($C$3,0)),$AI362),$AI362)</f>
        <v>0</v>
      </c>
      <c r="J362" s="18" t="n">
        <f aca="false">$H362+$I362</f>
        <v>30</v>
      </c>
      <c r="K362" s="15" t="s">
        <v>109</v>
      </c>
      <c r="L362" s="19" t="n">
        <f aca="false" t="array" ref="L362:L362">IF(AND(INDEX(Profils!$F$5:$F$34,$AE362)&gt;0,INDEX(Profils!$U$5:$U$34,$AE362)&lt;=$AH362),ROUND(INDEX(Profils!$F$5:$F$34,$AE362)*Paramètres!$E$22*$AG362*$AJ362,Paramètres!$F$22),0)</f>
        <v>23</v>
      </c>
      <c r="M362" s="19" t="n">
        <f aca="false" t="array" ref="M362:M362">IF(AND(INDEX(Profils!$G$5:$G$34,$AE362)&gt;0,INDEX(Profils!$V$5:$V$34,$AE362)&lt;=$AH362),ROUND(INDEX(Profils!$G$5:$G$34,$AE362)*Paramètres!$E$23*$AG362*$AJ362,Paramètres!$F$23),0)</f>
        <v>0</v>
      </c>
      <c r="N362" s="19" t="n">
        <f aca="false" t="array" ref="N362:N362">IF(AND(INDEX(Profils!$H$5:$H$34,$AE362)&gt;0,INDEX(Profils!$W$5:$W$34,$AE362)&lt;=$AH362),ROUND(INDEX(Profils!$H$5:$H$34,$AE362)*Paramètres!$E$24*$AG362*$AJ362,Paramètres!$F$24),0)</f>
        <v>0</v>
      </c>
      <c r="O362" s="19" t="n">
        <f aca="false" t="array" ref="O362:O362">IF(AND(INDEX(Profils!$I$5:$I$34,$AE362)&gt;0,INDEX(Profils!$X$5:$X$34,$AE362)&lt;=$AH362),ROUND(INDEX(Profils!$I$5:$I$34,$AE362)*Paramètres!$E$25*$AG362*$AJ362,Paramètres!$F$25),0)</f>
        <v>10</v>
      </c>
      <c r="P362" s="19" t="n">
        <f aca="false" t="array" ref="P362:P362">IF(AND(INDEX(Profils!$J$5:$J$34,$AE362)&gt;0,INDEX(Profils!$Y$5:$Y$34,$AE362)&lt;=$AH362),ROUND(INDEX(Profils!$J$5:$J$34,$AE362)*Paramètres!$E$26*$AG362*$AJ362,Paramètres!$F$26),0)</f>
        <v>0</v>
      </c>
      <c r="Q362" s="19" t="n">
        <f aca="false" t="array" ref="Q362:Q362">IF(AND(INDEX(Profils!$K$5:$K$34,$AE362)&gt;0,INDEX(Profils!$Z$5:$Z$34,$AE362)&lt;=$AH362),ROUND(INDEX(Profils!$K$5:$K$34,$AE362)*Paramètres!$E$27*$AG362*$AJ362,Paramètres!$F$27),0)</f>
        <v>0</v>
      </c>
      <c r="R362" s="20" t="n">
        <f aca="false" t="array" ref="R362:R362">IF(AND(INDEX(Profils!$L$5:$L$34,$AE362)&gt;0,INDEX(Profils!$AA$5:$AA$34,$AE362)&lt;=$AH362),ROUND(INDEX(Profils!$L$5:$L$34,$AE362)*Paramètres!$E$28*$AG362*$AJ362,Paramètres!$F$28),0)</f>
        <v>0</v>
      </c>
      <c r="S362" s="20" t="n">
        <f aca="false" t="array" ref="S362:S362">IF(AND(INDEX(Profils!$M$5:$M$34,$AE362)&gt;0,INDEX(Profils!$AB$5:$AB$34,$AE362)&lt;=$AH362),ROUND(INDEX(Profils!$M$5:$M$34,$AE362)*Paramètres!$E$29*$AG362*$AJ362,Paramètres!$F$29),0)</f>
        <v>0</v>
      </c>
      <c r="T362" s="20" t="n">
        <f aca="false" t="array" ref="T362:T362">IF(AND(INDEX(Profils!$N$5:$N$34,$AE362)&gt;0,INDEX(Profils!$AC$5:$AC$34,$AE362)&lt;=$AH362),ROUND(INDEX(Profils!$N$5:$N$34,$AE362)*Paramètres!$E$30*$AG362*$AJ362,Paramètres!$F$30),0)</f>
        <v>0</v>
      </c>
      <c r="U362" s="19" t="n">
        <f aca="false" t="array" ref="U362:U362">IF(AND(INDEX(Profils!$O$5:$O$34,$AE362)&gt;0,INDEX(Profils!$AD$5:$AD$34,$AE362)&lt;=$AH362),ROUND(INDEX(Profils!$O$5:$O$34,$AE362)*Paramètres!$E$31*$AG362*$AJ362,Paramètres!$F$31),0)</f>
        <v>8</v>
      </c>
      <c r="V362" s="20" t="n">
        <f aca="false" t="array" ref="V362:V362">IF(AND(INDEX(Profils!$P$5:$P$34,$AE362)&gt;0,INDEX(Profils!$AE$5:$AE$34,$AE362)&lt;=$AH362),ROUND(INDEX(Profils!$P$5:$P$34,$AE362)*Paramètres!$E$32*$AG362*$AJ362,Paramètres!$F$32),0)</f>
        <v>0</v>
      </c>
      <c r="W362" s="20" t="n">
        <f aca="false" t="array" ref="W362:W362">IF(AND(INDEX(Profils!$Q$5:$Q$34,$AE362)&gt;0,INDEX(Profils!$AF$5:$AF$34,$AE362)&lt;=$AH362),ROUND(INDEX(Profils!$Q$5:$Q$34,$AE362)*Paramètres!$E$33*$AG362*$AJ362,Paramètres!$F$33),0)</f>
        <v>0.01</v>
      </c>
      <c r="X362" s="20" t="n">
        <f aca="false" t="array" ref="X362:X362">IF(AND(INDEX(Profils!$R$5:$R$34,$AE362)&gt;0,INDEX(Profils!$AG$5:$AG$34,$AE362)&lt;=$AH362),ROUND(INDEX(Profils!$R$5:$R$34,$AE362)*Paramètres!$E$34*$AG362*$AJ362,Paramètres!$F$34),0)</f>
        <v>0</v>
      </c>
      <c r="Y362" s="20" t="n">
        <f aca="false" t="array" ref="Y362:Y362">IF(AND(INDEX(Profils!$S$5:$S$34,$AE362)&gt;0,INDEX(Profils!$AH$5:$AH$34,$AE362)&lt;=$AH362),ROUND(INDEX(Profils!$S$5:$S$34,$AE362)*Paramètres!$E$35*$AG362*$AJ362,Paramètres!$F$35),0)</f>
        <v>0.007</v>
      </c>
      <c r="Z362" s="21" t="n">
        <f aca="false">ROUND(L362/Paramètres!$E$22+M362/Paramètres!$E$23+N362/Paramètres!$E$24+O362/Paramètres!$E$25+P362/Paramètres!$E$26+Q362/Paramètres!$E$27+R362/Paramètres!$E$28+S362/Paramètres!$E$29+T362/Paramètres!$E$30+U362/Paramètres!$E$31+V362/Paramètres!$E$32+W362/Paramètres!$E$33+X362/Paramètres!$E$34+Y362/Paramètres!$E$35,1)</f>
        <v>3.1</v>
      </c>
      <c r="AA362" s="22" t="s">
        <v>109</v>
      </c>
      <c r="AB362" s="22" t="s">
        <v>109</v>
      </c>
      <c r="AC362" s="15" t="str">
        <f aca="false">$E362</f>
        <v>soie</v>
      </c>
      <c r="AD362" s="16" t="n">
        <f aca="false" t="array" ref="AD362:AD362">IF($I362&gt;=$AI362,"Max",ROUND(Paramètres!$B$40*($I362+1)^Paramètres!$B$41*INDEX(Paramètres!$H$6:$H$12,$AF362),0))</f>
        <v>5</v>
      </c>
      <c r="AE362" s="23" t="n">
        <f aca="false">MATCH($B362&amp;"|"&amp;$C362,Profils!$A$5:$A$34,0)</f>
        <v>12</v>
      </c>
      <c r="AF362" s="23" t="n">
        <v>4</v>
      </c>
      <c r="AG362" s="24" t="n">
        <f aca="false" t="array" ref="AG362:AG362">INDEX(Paramètres!$C$6:$C$12,$AF362)</f>
        <v>1.75</v>
      </c>
      <c r="AH362" s="23" t="n">
        <f aca="false" t="array" ref="AH362:AH362">INDEX(Paramètres!$D$6:$D$12,$AF362)</f>
        <v>5</v>
      </c>
      <c r="AI362" s="23" t="n">
        <f aca="false" t="array" ref="AI362:AI362">INDEX(Matériaux!$C$16:$C$20,$D362)</f>
        <v>25</v>
      </c>
      <c r="AJ362" s="25" t="n">
        <f aca="false">Paramètres!$B$16+(1-Paramètres!$B$16)*(($J362-Paramètres!$B$14)/(Paramètres!$B$15-Paramètres!$B$14))^Paramètres!$B$17</f>
        <v>0.26769024555533</v>
      </c>
    </row>
    <row r="363" customFormat="false" ht="15.75" hidden="false" customHeight="true" outlineLevel="0" collapsed="false">
      <c r="A363" s="14" t="s">
        <v>479</v>
      </c>
      <c r="B363" s="15" t="s">
        <v>29</v>
      </c>
      <c r="C363" s="15" t="s">
        <v>90</v>
      </c>
      <c r="D363" s="16" t="n">
        <v>3</v>
      </c>
      <c r="E363" s="15" t="str">
        <f aca="false" t="array" ref="E363:E363">INDEX(Matériaux!$B$5:$F$12,MATCH(INDEX(Profils!$E$5:$E$34,$AE363),Matériaux!$A$5:$A$12,0),$D363)</f>
        <v>soie</v>
      </c>
      <c r="F363" s="29" t="s">
        <v>117</v>
      </c>
      <c r="G363" s="10" t="str">
        <f aca="false" t="array" ref="G363:G363">INDEX(Profils!$D$5:$D$34,$AE363)&amp;" en "&amp;$E363</f>
        <v>Robe en soie</v>
      </c>
      <c r="H363" s="16" t="n">
        <f aca="false" t="array" ref="H363:H363">INDEX(Matériaux!$B$16:$B$20,$D363)</f>
        <v>30</v>
      </c>
      <c r="I363" s="16" t="n">
        <f aca="false">IF(ISNUMBER($C$3),MIN(MAX(0,ROUND($C$3,0)),$AI363),$AI363)</f>
        <v>0</v>
      </c>
      <c r="J363" s="18" t="n">
        <f aca="false">$H363+$I363</f>
        <v>30</v>
      </c>
      <c r="K363" s="15" t="s">
        <v>109</v>
      </c>
      <c r="L363" s="19" t="n">
        <f aca="false" t="array" ref="L363:L363">IF(AND(INDEX(Profils!$F$5:$F$34,$AE363)&gt;0,INDEX(Profils!$U$5:$U$34,$AE363)&lt;=$AH363),ROUND(INDEX(Profils!$F$5:$F$34,$AE363)*Paramètres!$E$22*$AG363*$AJ363,Paramètres!$F$22),0)</f>
        <v>28</v>
      </c>
      <c r="M363" s="19" t="n">
        <f aca="false" t="array" ref="M363:M363">IF(AND(INDEX(Profils!$G$5:$G$34,$AE363)&gt;0,INDEX(Profils!$V$5:$V$34,$AE363)&lt;=$AH363),ROUND(INDEX(Profils!$G$5:$G$34,$AE363)*Paramètres!$E$23*$AG363*$AJ363,Paramètres!$F$23),0)</f>
        <v>0</v>
      </c>
      <c r="N363" s="19" t="n">
        <f aca="false" t="array" ref="N363:N363">IF(AND(INDEX(Profils!$H$5:$H$34,$AE363)&gt;0,INDEX(Profils!$W$5:$W$34,$AE363)&lt;=$AH363),ROUND(INDEX(Profils!$H$5:$H$34,$AE363)*Paramètres!$E$24*$AG363*$AJ363,Paramètres!$F$24),0)</f>
        <v>0</v>
      </c>
      <c r="O363" s="19" t="n">
        <f aca="false" t="array" ref="O363:O363">IF(AND(INDEX(Profils!$I$5:$I$34,$AE363)&gt;0,INDEX(Profils!$X$5:$X$34,$AE363)&lt;=$AH363),ROUND(INDEX(Profils!$I$5:$I$34,$AE363)*Paramètres!$E$25*$AG363*$AJ363,Paramètres!$F$25),0)</f>
        <v>12</v>
      </c>
      <c r="P363" s="19" t="n">
        <f aca="false" t="array" ref="P363:P363">IF(AND(INDEX(Profils!$J$5:$J$34,$AE363)&gt;0,INDEX(Profils!$Y$5:$Y$34,$AE363)&lt;=$AH363),ROUND(INDEX(Profils!$J$5:$J$34,$AE363)*Paramètres!$E$26*$AG363*$AJ363,Paramètres!$F$26),0)</f>
        <v>5</v>
      </c>
      <c r="Q363" s="19" t="n">
        <f aca="false" t="array" ref="Q363:Q363">IF(AND(INDEX(Profils!$K$5:$K$34,$AE363)&gt;0,INDEX(Profils!$Z$5:$Z$34,$AE363)&lt;=$AH363),ROUND(INDEX(Profils!$K$5:$K$34,$AE363)*Paramètres!$E$27*$AG363*$AJ363,Paramètres!$F$27),0)</f>
        <v>0</v>
      </c>
      <c r="R363" s="20" t="n">
        <f aca="false" t="array" ref="R363:R363">IF(AND(INDEX(Profils!$L$5:$L$34,$AE363)&gt;0,INDEX(Profils!$AA$5:$AA$34,$AE363)&lt;=$AH363),ROUND(INDEX(Profils!$L$5:$L$34,$AE363)*Paramètres!$E$28*$AG363*$AJ363,Paramètres!$F$28),0)</f>
        <v>0</v>
      </c>
      <c r="S363" s="20" t="n">
        <f aca="false" t="array" ref="S363:S363">IF(AND(INDEX(Profils!$M$5:$M$34,$AE363)&gt;0,INDEX(Profils!$AB$5:$AB$34,$AE363)&lt;=$AH363),ROUND(INDEX(Profils!$M$5:$M$34,$AE363)*Paramètres!$E$29*$AG363*$AJ363,Paramètres!$F$29),0)</f>
        <v>0</v>
      </c>
      <c r="T363" s="20" t="n">
        <f aca="false" t="array" ref="T363:T363">IF(AND(INDEX(Profils!$N$5:$N$34,$AE363)&gt;0,INDEX(Profils!$AC$5:$AC$34,$AE363)&lt;=$AH363),ROUND(INDEX(Profils!$N$5:$N$34,$AE363)*Paramètres!$E$30*$AG363*$AJ363,Paramètres!$F$30),0)</f>
        <v>0</v>
      </c>
      <c r="U363" s="19" t="n">
        <f aca="false" t="array" ref="U363:U363">IF(AND(INDEX(Profils!$O$5:$O$34,$AE363)&gt;0,INDEX(Profils!$AD$5:$AD$34,$AE363)&lt;=$AH363),ROUND(INDEX(Profils!$O$5:$O$34,$AE363)*Paramètres!$E$31*$AG363*$AJ363,Paramètres!$F$31),0)</f>
        <v>10</v>
      </c>
      <c r="V363" s="20" t="n">
        <f aca="false" t="array" ref="V363:V363">IF(AND(INDEX(Profils!$P$5:$P$34,$AE363)&gt;0,INDEX(Profils!$AE$5:$AE$34,$AE363)&lt;=$AH363),ROUND(INDEX(Profils!$P$5:$P$34,$AE363)*Paramètres!$E$32*$AG363*$AJ363,Paramètres!$F$32),0)</f>
        <v>0</v>
      </c>
      <c r="W363" s="20" t="n">
        <f aca="false" t="array" ref="W363:W363">IF(AND(INDEX(Profils!$Q$5:$Q$34,$AE363)&gt;0,INDEX(Profils!$AF$5:$AF$34,$AE363)&lt;=$AH363),ROUND(INDEX(Profils!$Q$5:$Q$34,$AE363)*Paramètres!$E$33*$AG363*$AJ363,Paramètres!$F$33),0)</f>
        <v>0.012</v>
      </c>
      <c r="X363" s="20" t="n">
        <f aca="false" t="array" ref="X363:X363">IF(AND(INDEX(Profils!$R$5:$R$34,$AE363)&gt;0,INDEX(Profils!$AG$5:$AG$34,$AE363)&lt;=$AH363),ROUND(INDEX(Profils!$R$5:$R$34,$AE363)*Paramètres!$E$34*$AG363*$AJ363,Paramètres!$F$34),0)</f>
        <v>0</v>
      </c>
      <c r="Y363" s="20" t="n">
        <f aca="false" t="array" ref="Y363:Y363">IF(AND(INDEX(Profils!$S$5:$S$34,$AE363)&gt;0,INDEX(Profils!$AH$5:$AH$34,$AE363)&lt;=$AH363),ROUND(INDEX(Profils!$S$5:$S$34,$AE363)*Paramètres!$E$35*$AG363*$AJ363,Paramètres!$F$35),0)</f>
        <v>0.008</v>
      </c>
      <c r="Z363" s="21" t="n">
        <f aca="false">ROUND(L363/Paramètres!$E$22+M363/Paramètres!$E$23+N363/Paramètres!$E$24+O363/Paramètres!$E$25+P363/Paramètres!$E$26+Q363/Paramètres!$E$27+R363/Paramètres!$E$28+S363/Paramètres!$E$29+T363/Paramètres!$E$30+U363/Paramètres!$E$31+V363/Paramètres!$E$32+W363/Paramètres!$E$33+X363/Paramètres!$E$34+Y363/Paramètres!$E$35,1)</f>
        <v>4.2</v>
      </c>
      <c r="AA363" s="22" t="s">
        <v>109</v>
      </c>
      <c r="AB363" s="22" t="s">
        <v>109</v>
      </c>
      <c r="AC363" s="15" t="str">
        <f aca="false">$E363</f>
        <v>soie</v>
      </c>
      <c r="AD363" s="16" t="n">
        <f aca="false" t="array" ref="AD363:AD363">IF($I363&gt;=$AI363,"Max",ROUND(Paramètres!$B$40*($I363+1)^Paramètres!$B$41*INDEX(Paramètres!$H$6:$H$12,$AF363),0))</f>
        <v>6</v>
      </c>
      <c r="AE363" s="23" t="n">
        <f aca="false">MATCH($B363&amp;"|"&amp;$C363,Profils!$A$5:$A$34,0)</f>
        <v>12</v>
      </c>
      <c r="AF363" s="23" t="n">
        <v>5</v>
      </c>
      <c r="AG363" s="24" t="n">
        <f aca="false" t="array" ref="AG363:AG363">INDEX(Paramètres!$C$6:$C$12,$AF363)</f>
        <v>2.1</v>
      </c>
      <c r="AH363" s="23" t="n">
        <f aca="false" t="array" ref="AH363:AH363">INDEX(Paramètres!$D$6:$D$12,$AF363)</f>
        <v>6</v>
      </c>
      <c r="AI363" s="23" t="n">
        <f aca="false" t="array" ref="AI363:AI363">INDEX(Matériaux!$C$16:$C$20,$D363)</f>
        <v>25</v>
      </c>
      <c r="AJ363" s="25" t="n">
        <f aca="false">Paramètres!$B$16+(1-Paramètres!$B$16)*(($J363-Paramètres!$B$14)/(Paramètres!$B$15-Paramètres!$B$14))^Paramètres!$B$17</f>
        <v>0.26769024555533</v>
      </c>
    </row>
    <row r="364" customFormat="false" ht="15.75" hidden="false" customHeight="true" outlineLevel="0" collapsed="false">
      <c r="A364" s="14" t="s">
        <v>480</v>
      </c>
      <c r="B364" s="15" t="s">
        <v>29</v>
      </c>
      <c r="C364" s="15" t="s">
        <v>90</v>
      </c>
      <c r="D364" s="16" t="n">
        <v>3</v>
      </c>
      <c r="E364" s="15" t="str">
        <f aca="false" t="array" ref="E364:E364">INDEX(Matériaux!$B$5:$F$12,MATCH(INDEX(Profils!$E$5:$E$34,$AE364),Matériaux!$A$5:$A$12,0),$D364)</f>
        <v>soie</v>
      </c>
      <c r="F364" s="30" t="s">
        <v>119</v>
      </c>
      <c r="G364" s="10" t="str">
        <f aca="false" t="array" ref="G364:G364">INDEX(Profils!$D$5:$D$34,$AE364)&amp;" en "&amp;$E364</f>
        <v>Robe en soie</v>
      </c>
      <c r="H364" s="16" t="n">
        <f aca="false" t="array" ref="H364:H364">INDEX(Matériaux!$B$16:$B$20,$D364)</f>
        <v>30</v>
      </c>
      <c r="I364" s="16" t="n">
        <f aca="false">IF(ISNUMBER($C$3),MIN(MAX(0,ROUND($C$3,0)),$AI364),$AI364)</f>
        <v>0</v>
      </c>
      <c r="J364" s="18" t="n">
        <f aca="false">$H364+$I364</f>
        <v>30</v>
      </c>
      <c r="K364" s="15" t="s">
        <v>109</v>
      </c>
      <c r="L364" s="19" t="n">
        <f aca="false" t="array" ref="L364:L364">IF(AND(INDEX(Profils!$F$5:$F$34,$AE364)&gt;0,INDEX(Profils!$U$5:$U$34,$AE364)&lt;=$AH364),ROUND(INDEX(Profils!$F$5:$F$34,$AE364)*Paramètres!$E$22*$AG364*$AJ364,Paramètres!$F$22),0)</f>
        <v>32</v>
      </c>
      <c r="M364" s="19" t="n">
        <f aca="false" t="array" ref="M364:M364">IF(AND(INDEX(Profils!$G$5:$G$34,$AE364)&gt;0,INDEX(Profils!$V$5:$V$34,$AE364)&lt;=$AH364),ROUND(INDEX(Profils!$G$5:$G$34,$AE364)*Paramètres!$E$23*$AG364*$AJ364,Paramètres!$F$23),0)</f>
        <v>0</v>
      </c>
      <c r="N364" s="19" t="n">
        <f aca="false" t="array" ref="N364:N364">IF(AND(INDEX(Profils!$H$5:$H$34,$AE364)&gt;0,INDEX(Profils!$W$5:$W$34,$AE364)&lt;=$AH364),ROUND(INDEX(Profils!$H$5:$H$34,$AE364)*Paramètres!$E$24*$AG364*$AJ364,Paramètres!$F$24),0)</f>
        <v>6</v>
      </c>
      <c r="O364" s="19" t="n">
        <f aca="false" t="array" ref="O364:O364">IF(AND(INDEX(Profils!$I$5:$I$34,$AE364)&gt;0,INDEX(Profils!$X$5:$X$34,$AE364)&lt;=$AH364),ROUND(INDEX(Profils!$I$5:$I$34,$AE364)*Paramètres!$E$25*$AG364*$AJ364,Paramètres!$F$25),0)</f>
        <v>13</v>
      </c>
      <c r="P364" s="19" t="n">
        <f aca="false" t="array" ref="P364:P364">IF(AND(INDEX(Profils!$J$5:$J$34,$AE364)&gt;0,INDEX(Profils!$Y$5:$Y$34,$AE364)&lt;=$AH364),ROUND(INDEX(Profils!$J$5:$J$34,$AE364)*Paramètres!$E$26*$AG364*$AJ364,Paramètres!$F$26),0)</f>
        <v>5</v>
      </c>
      <c r="Q364" s="19" t="n">
        <f aca="false" t="array" ref="Q364:Q364">IF(AND(INDEX(Profils!$K$5:$K$34,$AE364)&gt;0,INDEX(Profils!$Z$5:$Z$34,$AE364)&lt;=$AH364),ROUND(INDEX(Profils!$K$5:$K$34,$AE364)*Paramètres!$E$27*$AG364*$AJ364,Paramètres!$F$27),0)</f>
        <v>0</v>
      </c>
      <c r="R364" s="20" t="n">
        <f aca="false" t="array" ref="R364:R364">IF(AND(INDEX(Profils!$L$5:$L$34,$AE364)&gt;0,INDEX(Profils!$AA$5:$AA$34,$AE364)&lt;=$AH364),ROUND(INDEX(Profils!$L$5:$L$34,$AE364)*Paramètres!$E$28*$AG364*$AJ364,Paramètres!$F$28),0)</f>
        <v>0</v>
      </c>
      <c r="S364" s="20" t="n">
        <f aca="false" t="array" ref="S364:S364">IF(AND(INDEX(Profils!$M$5:$M$34,$AE364)&gt;0,INDEX(Profils!$AB$5:$AB$34,$AE364)&lt;=$AH364),ROUND(INDEX(Profils!$M$5:$M$34,$AE364)*Paramètres!$E$29*$AG364*$AJ364,Paramètres!$F$29),0)</f>
        <v>0</v>
      </c>
      <c r="T364" s="20" t="n">
        <f aca="false" t="array" ref="T364:T364">IF(AND(INDEX(Profils!$N$5:$N$34,$AE364)&gt;0,INDEX(Profils!$AC$5:$AC$34,$AE364)&lt;=$AH364),ROUND(INDEX(Profils!$N$5:$N$34,$AE364)*Paramètres!$E$30*$AG364*$AJ364,Paramètres!$F$30),0)</f>
        <v>0</v>
      </c>
      <c r="U364" s="19" t="n">
        <f aca="false" t="array" ref="U364:U364">IF(AND(INDEX(Profils!$O$5:$O$34,$AE364)&gt;0,INDEX(Profils!$AD$5:$AD$34,$AE364)&lt;=$AH364),ROUND(INDEX(Profils!$O$5:$O$34,$AE364)*Paramètres!$E$31*$AG364*$AJ364,Paramètres!$F$31),0)</f>
        <v>12</v>
      </c>
      <c r="V364" s="20" t="n">
        <f aca="false" t="array" ref="V364:V364">IF(AND(INDEX(Profils!$P$5:$P$34,$AE364)&gt;0,INDEX(Profils!$AE$5:$AE$34,$AE364)&lt;=$AH364),ROUND(INDEX(Profils!$P$5:$P$34,$AE364)*Paramètres!$E$32*$AG364*$AJ364,Paramètres!$F$32),0)</f>
        <v>0</v>
      </c>
      <c r="W364" s="20" t="n">
        <f aca="false" t="array" ref="W364:W364">IF(AND(INDEX(Profils!$Q$5:$Q$34,$AE364)&gt;0,INDEX(Profils!$AF$5:$AF$34,$AE364)&lt;=$AH364),ROUND(INDEX(Profils!$Q$5:$Q$34,$AE364)*Paramètres!$E$33*$AG364*$AJ364,Paramètres!$F$33),0)</f>
        <v>0.013</v>
      </c>
      <c r="X364" s="20" t="n">
        <f aca="false" t="array" ref="X364:X364">IF(AND(INDEX(Profils!$R$5:$R$34,$AE364)&gt;0,INDEX(Profils!$AG$5:$AG$34,$AE364)&lt;=$AH364),ROUND(INDEX(Profils!$R$5:$R$34,$AE364)*Paramètres!$E$34*$AG364*$AJ364,Paramètres!$F$34),0)</f>
        <v>0</v>
      </c>
      <c r="Y364" s="20" t="n">
        <f aca="false" t="array" ref="Y364:Y364">IF(AND(INDEX(Profils!$S$5:$S$34,$AE364)&gt;0,INDEX(Profils!$AH$5:$AH$34,$AE364)&lt;=$AH364),ROUND(INDEX(Profils!$S$5:$S$34,$AE364)*Paramètres!$E$35*$AG364*$AJ364,Paramètres!$F$35),0)</f>
        <v>0.01</v>
      </c>
      <c r="Z364" s="21" t="n">
        <f aca="false">ROUND(L364/Paramètres!$E$22+M364/Paramètres!$E$23+N364/Paramètres!$E$24+O364/Paramètres!$E$25+P364/Paramètres!$E$26+Q364/Paramètres!$E$27+R364/Paramètres!$E$28+S364/Paramètres!$E$29+T364/Paramètres!$E$30+U364/Paramètres!$E$31+V364/Paramètres!$E$32+W364/Paramètres!$E$33+X364/Paramètres!$E$34+Y364/Paramètres!$E$35,1)</f>
        <v>5.1</v>
      </c>
      <c r="AA364" s="22" t="s">
        <v>109</v>
      </c>
      <c r="AB364" s="22" t="s">
        <v>109</v>
      </c>
      <c r="AC364" s="15" t="str">
        <f aca="false">$E364</f>
        <v>soie</v>
      </c>
      <c r="AD364" s="16" t="n">
        <f aca="false" t="array" ref="AD364:AD364">IF($I364&gt;=$AI364,"Max",ROUND(Paramètres!$B$40*($I364+1)^Paramètres!$B$41*INDEX(Paramètres!$H$6:$H$12,$AF364),0))</f>
        <v>8</v>
      </c>
      <c r="AE364" s="23" t="n">
        <f aca="false">MATCH($B364&amp;"|"&amp;$C364,Profils!$A$5:$A$34,0)</f>
        <v>12</v>
      </c>
      <c r="AF364" s="23" t="n">
        <v>6</v>
      </c>
      <c r="AG364" s="24" t="n">
        <f aca="false" t="array" ref="AG364:AG364">INDEX(Paramètres!$C$6:$C$12,$AF364)</f>
        <v>2.4</v>
      </c>
      <c r="AH364" s="23" t="n">
        <f aca="false" t="array" ref="AH364:AH364">INDEX(Paramètres!$D$6:$D$12,$AF364)</f>
        <v>7</v>
      </c>
      <c r="AI364" s="23" t="n">
        <f aca="false" t="array" ref="AI364:AI364">INDEX(Matériaux!$C$16:$C$20,$D364)</f>
        <v>25</v>
      </c>
      <c r="AJ364" s="25" t="n">
        <f aca="false">Paramètres!$B$16+(1-Paramètres!$B$16)*(($J364-Paramètres!$B$14)/(Paramètres!$B$15-Paramètres!$B$14))^Paramètres!$B$17</f>
        <v>0.26769024555533</v>
      </c>
    </row>
    <row r="365" customFormat="false" ht="15.75" hidden="false" customHeight="true" outlineLevel="0" collapsed="false">
      <c r="A365" s="14" t="s">
        <v>481</v>
      </c>
      <c r="B365" s="15" t="s">
        <v>29</v>
      </c>
      <c r="C365" s="15" t="s">
        <v>90</v>
      </c>
      <c r="D365" s="16" t="n">
        <v>4</v>
      </c>
      <c r="E365" s="15" t="str">
        <f aca="false" t="array" ref="E365:E365">INDEX(Matériaux!$B$5:$F$12,MATCH(INDEX(Profils!$E$5:$E$34,$AE365),Matériaux!$A$5:$A$12,0),$D365)</f>
        <v>velours enchanté</v>
      </c>
      <c r="F365" s="17" t="s">
        <v>108</v>
      </c>
      <c r="G365" s="10" t="str">
        <f aca="false" t="array" ref="G365:G365">INDEX(Profils!$D$5:$D$34,$AE365)&amp;" en "&amp;$E365</f>
        <v>Robe en velours enchanté</v>
      </c>
      <c r="H365" s="16" t="n">
        <f aca="false" t="array" ref="H365:H365">INDEX(Matériaux!$B$16:$B$20,$D365)</f>
        <v>50</v>
      </c>
      <c r="I365" s="16" t="n">
        <f aca="false">IF(ISNUMBER($C$3),MIN(MAX(0,ROUND($C$3,0)),$AI365),$AI365)</f>
        <v>0</v>
      </c>
      <c r="J365" s="18" t="n">
        <f aca="false">$H365+$I365</f>
        <v>50</v>
      </c>
      <c r="K365" s="15" t="s">
        <v>109</v>
      </c>
      <c r="L365" s="19" t="n">
        <f aca="false" t="array" ref="L365:L365">IF(AND(INDEX(Profils!$F$5:$F$34,$AE365)&gt;0,INDEX(Profils!$U$5:$U$34,$AE365)&lt;=$AH365),ROUND(INDEX(Profils!$F$5:$F$34,$AE365)*Paramètres!$E$22*$AG365*$AJ365,Paramètres!$F$22),0)</f>
        <v>23</v>
      </c>
      <c r="M365" s="19" t="n">
        <f aca="false" t="array" ref="M365:M365">IF(AND(INDEX(Profils!$G$5:$G$34,$AE365)&gt;0,INDEX(Profils!$V$5:$V$34,$AE365)&lt;=$AH365),ROUND(INDEX(Profils!$G$5:$G$34,$AE365)*Paramètres!$E$23*$AG365*$AJ365,Paramètres!$F$23),0)</f>
        <v>0</v>
      </c>
      <c r="N365" s="19" t="n">
        <f aca="false" t="array" ref="N365:N365">IF(AND(INDEX(Profils!$H$5:$H$34,$AE365)&gt;0,INDEX(Profils!$W$5:$W$34,$AE365)&lt;=$AH365),ROUND(INDEX(Profils!$H$5:$H$34,$AE365)*Paramètres!$E$24*$AG365*$AJ365,Paramètres!$F$24),0)</f>
        <v>0</v>
      </c>
      <c r="O365" s="19" t="n">
        <f aca="false" t="array" ref="O365:O365">IF(AND(INDEX(Profils!$I$5:$I$34,$AE365)&gt;0,INDEX(Profils!$X$5:$X$34,$AE365)&lt;=$AH365),ROUND(INDEX(Profils!$I$5:$I$34,$AE365)*Paramètres!$E$25*$AG365*$AJ365,Paramètres!$F$25),0)</f>
        <v>10</v>
      </c>
      <c r="P365" s="19" t="n">
        <f aca="false" t="array" ref="P365:P365">IF(AND(INDEX(Profils!$J$5:$J$34,$AE365)&gt;0,INDEX(Profils!$Y$5:$Y$34,$AE365)&lt;=$AH365),ROUND(INDEX(Profils!$J$5:$J$34,$AE365)*Paramètres!$E$26*$AG365*$AJ365,Paramètres!$F$26),0)</f>
        <v>0</v>
      </c>
      <c r="Q365" s="19" t="n">
        <f aca="false" t="array" ref="Q365:Q365">IF(AND(INDEX(Profils!$K$5:$K$34,$AE365)&gt;0,INDEX(Profils!$Z$5:$Z$34,$AE365)&lt;=$AH365),ROUND(INDEX(Profils!$K$5:$K$34,$AE365)*Paramètres!$E$27*$AG365*$AJ365,Paramètres!$F$27),0)</f>
        <v>0</v>
      </c>
      <c r="R365" s="20" t="n">
        <f aca="false" t="array" ref="R365:R365">IF(AND(INDEX(Profils!$L$5:$L$34,$AE365)&gt;0,INDEX(Profils!$AA$5:$AA$34,$AE365)&lt;=$AH365),ROUND(INDEX(Profils!$L$5:$L$34,$AE365)*Paramètres!$E$28*$AG365*$AJ365,Paramètres!$F$28),0)</f>
        <v>0</v>
      </c>
      <c r="S365" s="20" t="n">
        <f aca="false" t="array" ref="S365:S365">IF(AND(INDEX(Profils!$M$5:$M$34,$AE365)&gt;0,INDEX(Profils!$AB$5:$AB$34,$AE365)&lt;=$AH365),ROUND(INDEX(Profils!$M$5:$M$34,$AE365)*Paramètres!$E$29*$AG365*$AJ365,Paramètres!$F$29),0)</f>
        <v>0</v>
      </c>
      <c r="T365" s="20" t="n">
        <f aca="false" t="array" ref="T365:T365">IF(AND(INDEX(Profils!$N$5:$N$34,$AE365)&gt;0,INDEX(Profils!$AC$5:$AC$34,$AE365)&lt;=$AH365),ROUND(INDEX(Profils!$N$5:$N$34,$AE365)*Paramètres!$E$30*$AG365*$AJ365,Paramètres!$F$30),0)</f>
        <v>0</v>
      </c>
      <c r="U365" s="19" t="n">
        <f aca="false" t="array" ref="U365:U365">IF(AND(INDEX(Profils!$O$5:$O$34,$AE365)&gt;0,INDEX(Profils!$AD$5:$AD$34,$AE365)&lt;=$AH365),ROUND(INDEX(Profils!$O$5:$O$34,$AE365)*Paramètres!$E$31*$AG365*$AJ365,Paramètres!$F$31),0)</f>
        <v>0</v>
      </c>
      <c r="V365" s="20" t="n">
        <f aca="false" t="array" ref="V365:V365">IF(AND(INDEX(Profils!$P$5:$P$34,$AE365)&gt;0,INDEX(Profils!$AE$5:$AE$34,$AE365)&lt;=$AH365),ROUND(INDEX(Profils!$P$5:$P$34,$AE365)*Paramètres!$E$32*$AG365*$AJ365,Paramètres!$F$32),0)</f>
        <v>0</v>
      </c>
      <c r="W365" s="20" t="n">
        <f aca="false" t="array" ref="W365:W365">IF(AND(INDEX(Profils!$Q$5:$Q$34,$AE365)&gt;0,INDEX(Profils!$AF$5:$AF$34,$AE365)&lt;=$AH365),ROUND(INDEX(Profils!$Q$5:$Q$34,$AE365)*Paramètres!$E$33*$AG365*$AJ365,Paramètres!$F$33),0)</f>
        <v>0</v>
      </c>
      <c r="X365" s="20" t="n">
        <f aca="false" t="array" ref="X365:X365">IF(AND(INDEX(Profils!$R$5:$R$34,$AE365)&gt;0,INDEX(Profils!$AG$5:$AG$34,$AE365)&lt;=$AH365),ROUND(INDEX(Profils!$R$5:$R$34,$AE365)*Paramètres!$E$34*$AG365*$AJ365,Paramètres!$F$34),0)</f>
        <v>0</v>
      </c>
      <c r="Y365" s="20" t="n">
        <f aca="false" t="array" ref="Y365:Y365">IF(AND(INDEX(Profils!$S$5:$S$34,$AE365)&gt;0,INDEX(Profils!$AH$5:$AH$34,$AE365)&lt;=$AH365),ROUND(INDEX(Profils!$S$5:$S$34,$AE365)*Paramètres!$E$35*$AG365*$AJ365,Paramètres!$F$35),0)</f>
        <v>0</v>
      </c>
      <c r="Z365" s="21" t="n">
        <f aca="false">ROUND(L365/Paramètres!$E$22+M365/Paramètres!$E$23+N365/Paramètres!$E$24+O365/Paramètres!$E$25+P365/Paramètres!$E$26+Q365/Paramètres!$E$27+R365/Paramètres!$E$28+S365/Paramètres!$E$29+T365/Paramètres!$E$30+U365/Paramètres!$E$31+V365/Paramètres!$E$32+W365/Paramètres!$E$33+X365/Paramètres!$E$34+Y365/Paramètres!$E$35,1)</f>
        <v>1.6</v>
      </c>
      <c r="AA365" s="22" t="s">
        <v>109</v>
      </c>
      <c r="AB365" s="22" t="s">
        <v>109</v>
      </c>
      <c r="AC365" s="15" t="str">
        <f aca="false">$E365</f>
        <v>velours enchanté</v>
      </c>
      <c r="AD365" s="16" t="n">
        <f aca="false" t="array" ref="AD365:AD365">IF($I365&gt;=$AI365,"Max",ROUND(Paramètres!$B$40*($I365+1)^Paramètres!$B$41*INDEX(Paramètres!$H$6:$H$12,$AF365),0))</f>
        <v>3</v>
      </c>
      <c r="AE365" s="23" t="n">
        <f aca="false">MATCH($B365&amp;"|"&amp;$C365,Profils!$A$5:$A$34,0)</f>
        <v>12</v>
      </c>
      <c r="AF365" s="23" t="n">
        <v>1</v>
      </c>
      <c r="AG365" s="24" t="n">
        <f aca="false" t="array" ref="AG365:AG365">INDEX(Paramètres!$C$6:$C$12,$AF365)</f>
        <v>1</v>
      </c>
      <c r="AH365" s="23" t="n">
        <f aca="false" t="array" ref="AH365:AH365">INDEX(Paramètres!$D$6:$D$12,$AF365)</f>
        <v>2</v>
      </c>
      <c r="AI365" s="23" t="n">
        <f aca="false" t="array" ref="AI365:AI365">INDEX(Matériaux!$C$16:$C$20,$D365)</f>
        <v>25</v>
      </c>
      <c r="AJ365" s="25" t="n">
        <f aca="false">Paramètres!$B$16+(1-Paramètres!$B$16)*(($J365-Paramètres!$B$14)/(Paramètres!$B$15-Paramètres!$B$14))^Paramètres!$B$17</f>
        <v>0.458504333336152</v>
      </c>
    </row>
    <row r="366" customFormat="false" ht="15.75" hidden="false" customHeight="true" outlineLevel="0" collapsed="false">
      <c r="A366" s="14" t="s">
        <v>482</v>
      </c>
      <c r="B366" s="15" t="s">
        <v>29</v>
      </c>
      <c r="C366" s="15" t="s">
        <v>90</v>
      </c>
      <c r="D366" s="16" t="n">
        <v>4</v>
      </c>
      <c r="E366" s="15" t="str">
        <f aca="false" t="array" ref="E366:E366">INDEX(Matériaux!$B$5:$F$12,MATCH(INDEX(Profils!$E$5:$E$34,$AE366),Matériaux!$A$5:$A$12,0),$D366)</f>
        <v>velours enchanté</v>
      </c>
      <c r="F366" s="26" t="s">
        <v>111</v>
      </c>
      <c r="G366" s="10" t="str">
        <f aca="false" t="array" ref="G366:G366">INDEX(Profils!$D$5:$D$34,$AE366)&amp;" en "&amp;$E366</f>
        <v>Robe en velours enchanté</v>
      </c>
      <c r="H366" s="16" t="n">
        <f aca="false" t="array" ref="H366:H366">INDEX(Matériaux!$B$16:$B$20,$D366)</f>
        <v>50</v>
      </c>
      <c r="I366" s="16" t="n">
        <f aca="false">IF(ISNUMBER($C$3),MIN(MAX(0,ROUND($C$3,0)),$AI366),$AI366)</f>
        <v>0</v>
      </c>
      <c r="J366" s="18" t="n">
        <f aca="false">$H366+$I366</f>
        <v>50</v>
      </c>
      <c r="K366" s="15" t="s">
        <v>109</v>
      </c>
      <c r="L366" s="19" t="n">
        <f aca="false" t="array" ref="L366:L366">IF(AND(INDEX(Profils!$F$5:$F$34,$AE366)&gt;0,INDEX(Profils!$U$5:$U$34,$AE366)&lt;=$AH366),ROUND(INDEX(Profils!$F$5:$F$34,$AE366)*Paramètres!$E$22*$AG366*$AJ366,Paramètres!$F$22),0)</f>
        <v>28</v>
      </c>
      <c r="M366" s="19" t="n">
        <f aca="false" t="array" ref="M366:M366">IF(AND(INDEX(Profils!$G$5:$G$34,$AE366)&gt;0,INDEX(Profils!$V$5:$V$34,$AE366)&lt;=$AH366),ROUND(INDEX(Profils!$G$5:$G$34,$AE366)*Paramètres!$E$23*$AG366*$AJ366,Paramètres!$F$23),0)</f>
        <v>0</v>
      </c>
      <c r="N366" s="19" t="n">
        <f aca="false" t="array" ref="N366:N366">IF(AND(INDEX(Profils!$H$5:$H$34,$AE366)&gt;0,INDEX(Profils!$W$5:$W$34,$AE366)&lt;=$AH366),ROUND(INDEX(Profils!$H$5:$H$34,$AE366)*Paramètres!$E$24*$AG366*$AJ366,Paramètres!$F$24),0)</f>
        <v>0</v>
      </c>
      <c r="O366" s="19" t="n">
        <f aca="false" t="array" ref="O366:O366">IF(AND(INDEX(Profils!$I$5:$I$34,$AE366)&gt;0,INDEX(Profils!$X$5:$X$34,$AE366)&lt;=$AH366),ROUND(INDEX(Profils!$I$5:$I$34,$AE366)*Paramètres!$E$25*$AG366*$AJ366,Paramètres!$F$25),0)</f>
        <v>12</v>
      </c>
      <c r="P366" s="19" t="n">
        <f aca="false" t="array" ref="P366:P366">IF(AND(INDEX(Profils!$J$5:$J$34,$AE366)&gt;0,INDEX(Profils!$Y$5:$Y$34,$AE366)&lt;=$AH366),ROUND(INDEX(Profils!$J$5:$J$34,$AE366)*Paramètres!$E$26*$AG366*$AJ366,Paramètres!$F$26),0)</f>
        <v>0</v>
      </c>
      <c r="Q366" s="19" t="n">
        <f aca="false" t="array" ref="Q366:Q366">IF(AND(INDEX(Profils!$K$5:$K$34,$AE366)&gt;0,INDEX(Profils!$Z$5:$Z$34,$AE366)&lt;=$AH366),ROUND(INDEX(Profils!$K$5:$K$34,$AE366)*Paramètres!$E$27*$AG366*$AJ366,Paramètres!$F$27),0)</f>
        <v>0</v>
      </c>
      <c r="R366" s="20" t="n">
        <f aca="false" t="array" ref="R366:R366">IF(AND(INDEX(Profils!$L$5:$L$34,$AE366)&gt;0,INDEX(Profils!$AA$5:$AA$34,$AE366)&lt;=$AH366),ROUND(INDEX(Profils!$L$5:$L$34,$AE366)*Paramètres!$E$28*$AG366*$AJ366,Paramètres!$F$28),0)</f>
        <v>0</v>
      </c>
      <c r="S366" s="20" t="n">
        <f aca="false" t="array" ref="S366:S366">IF(AND(INDEX(Profils!$M$5:$M$34,$AE366)&gt;0,INDEX(Profils!$AB$5:$AB$34,$AE366)&lt;=$AH366),ROUND(INDEX(Profils!$M$5:$M$34,$AE366)*Paramètres!$E$29*$AG366*$AJ366,Paramètres!$F$29),0)</f>
        <v>0</v>
      </c>
      <c r="T366" s="20" t="n">
        <f aca="false" t="array" ref="T366:T366">IF(AND(INDEX(Profils!$N$5:$N$34,$AE366)&gt;0,INDEX(Profils!$AC$5:$AC$34,$AE366)&lt;=$AH366),ROUND(INDEX(Profils!$N$5:$N$34,$AE366)*Paramètres!$E$30*$AG366*$AJ366,Paramètres!$F$30),0)</f>
        <v>0</v>
      </c>
      <c r="U366" s="19" t="n">
        <f aca="false" t="array" ref="U366:U366">IF(AND(INDEX(Profils!$O$5:$O$34,$AE366)&gt;0,INDEX(Profils!$AD$5:$AD$34,$AE366)&lt;=$AH366),ROUND(INDEX(Profils!$O$5:$O$34,$AE366)*Paramètres!$E$31*$AG366*$AJ366,Paramètres!$F$31),0)</f>
        <v>0</v>
      </c>
      <c r="V366" s="20" t="n">
        <f aca="false" t="array" ref="V366:V366">IF(AND(INDEX(Profils!$P$5:$P$34,$AE366)&gt;0,INDEX(Profils!$AE$5:$AE$34,$AE366)&lt;=$AH366),ROUND(INDEX(Profils!$P$5:$P$34,$AE366)*Paramètres!$E$32*$AG366*$AJ366,Paramètres!$F$32),0)</f>
        <v>0</v>
      </c>
      <c r="W366" s="20" t="n">
        <f aca="false" t="array" ref="W366:W366">IF(AND(INDEX(Profils!$Q$5:$Q$34,$AE366)&gt;0,INDEX(Profils!$AF$5:$AF$34,$AE366)&lt;=$AH366),ROUND(INDEX(Profils!$Q$5:$Q$34,$AE366)*Paramètres!$E$33*$AG366*$AJ366,Paramètres!$F$33),0)</f>
        <v>0.012</v>
      </c>
      <c r="X366" s="20" t="n">
        <f aca="false" t="array" ref="X366:X366">IF(AND(INDEX(Profils!$R$5:$R$34,$AE366)&gt;0,INDEX(Profils!$AG$5:$AG$34,$AE366)&lt;=$AH366),ROUND(INDEX(Profils!$R$5:$R$34,$AE366)*Paramètres!$E$34*$AG366*$AJ366,Paramètres!$F$34),0)</f>
        <v>0</v>
      </c>
      <c r="Y366" s="20" t="n">
        <f aca="false" t="array" ref="Y366:Y366">IF(AND(INDEX(Profils!$S$5:$S$34,$AE366)&gt;0,INDEX(Profils!$AH$5:$AH$34,$AE366)&lt;=$AH366),ROUND(INDEX(Profils!$S$5:$S$34,$AE366)*Paramètres!$E$35*$AG366*$AJ366,Paramètres!$F$35),0)</f>
        <v>0</v>
      </c>
      <c r="Z366" s="21" t="n">
        <f aca="false">ROUND(L366/Paramètres!$E$22+M366/Paramètres!$E$23+N366/Paramètres!$E$24+O366/Paramètres!$E$25+P366/Paramètres!$E$26+Q366/Paramètres!$E$27+R366/Paramètres!$E$28+S366/Paramètres!$E$29+T366/Paramètres!$E$30+U366/Paramètres!$E$31+V366/Paramètres!$E$32+W366/Paramètres!$E$33+X366/Paramètres!$E$34+Y366/Paramètres!$E$35,1)</f>
        <v>2.7</v>
      </c>
      <c r="AA366" s="22" t="s">
        <v>109</v>
      </c>
      <c r="AB366" s="22" t="s">
        <v>109</v>
      </c>
      <c r="AC366" s="15" t="str">
        <f aca="false">$E366</f>
        <v>velours enchanté</v>
      </c>
      <c r="AD366" s="16" t="n">
        <f aca="false" t="array" ref="AD366:AD366">IF($I366&gt;=$AI366,"Max",ROUND(Paramètres!$B$40*($I366+1)^Paramètres!$B$41*INDEX(Paramètres!$H$6:$H$12,$AF366),0))</f>
        <v>4</v>
      </c>
      <c r="AE366" s="23" t="n">
        <f aca="false">MATCH($B366&amp;"|"&amp;$C366,Profils!$A$5:$A$34,0)</f>
        <v>12</v>
      </c>
      <c r="AF366" s="23" t="n">
        <v>2</v>
      </c>
      <c r="AG366" s="24" t="n">
        <f aca="false" t="array" ref="AG366:AG366">INDEX(Paramètres!$C$6:$C$12,$AF366)</f>
        <v>1.2</v>
      </c>
      <c r="AH366" s="23" t="n">
        <f aca="false" t="array" ref="AH366:AH366">INDEX(Paramètres!$D$6:$D$12,$AF366)</f>
        <v>3</v>
      </c>
      <c r="AI366" s="23" t="n">
        <f aca="false" t="array" ref="AI366:AI366">INDEX(Matériaux!$C$16:$C$20,$D366)</f>
        <v>25</v>
      </c>
      <c r="AJ366" s="25" t="n">
        <f aca="false">Paramètres!$B$16+(1-Paramètres!$B$16)*(($J366-Paramètres!$B$14)/(Paramètres!$B$15-Paramètres!$B$14))^Paramètres!$B$17</f>
        <v>0.458504333336152</v>
      </c>
    </row>
    <row r="367" customFormat="false" ht="15.75" hidden="false" customHeight="true" outlineLevel="0" collapsed="false">
      <c r="A367" s="14" t="s">
        <v>483</v>
      </c>
      <c r="B367" s="15" t="s">
        <v>29</v>
      </c>
      <c r="C367" s="15" t="s">
        <v>90</v>
      </c>
      <c r="D367" s="16" t="n">
        <v>4</v>
      </c>
      <c r="E367" s="15" t="str">
        <f aca="false" t="array" ref="E367:E367">INDEX(Matériaux!$B$5:$F$12,MATCH(INDEX(Profils!$E$5:$E$34,$AE367),Matériaux!$A$5:$A$12,0),$D367)</f>
        <v>velours enchanté</v>
      </c>
      <c r="F367" s="27" t="s">
        <v>113</v>
      </c>
      <c r="G367" s="10" t="str">
        <f aca="false" t="array" ref="G367:G367">INDEX(Profils!$D$5:$D$34,$AE367)&amp;" en "&amp;$E367</f>
        <v>Robe en velours enchanté</v>
      </c>
      <c r="H367" s="16" t="n">
        <f aca="false" t="array" ref="H367:H367">INDEX(Matériaux!$B$16:$B$20,$D367)</f>
        <v>50</v>
      </c>
      <c r="I367" s="16" t="n">
        <f aca="false">IF(ISNUMBER($C$3),MIN(MAX(0,ROUND($C$3,0)),$AI367),$AI367)</f>
        <v>0</v>
      </c>
      <c r="J367" s="18" t="n">
        <f aca="false">$H367+$I367</f>
        <v>50</v>
      </c>
      <c r="K367" s="15" t="s">
        <v>109</v>
      </c>
      <c r="L367" s="19" t="n">
        <f aca="false" t="array" ref="L367:L367">IF(AND(INDEX(Profils!$F$5:$F$34,$AE367)&gt;0,INDEX(Profils!$U$5:$U$34,$AE367)&lt;=$AH367),ROUND(INDEX(Profils!$F$5:$F$34,$AE367)*Paramètres!$E$22*$AG367*$AJ367,Paramètres!$F$22),0)</f>
        <v>33</v>
      </c>
      <c r="M367" s="19" t="n">
        <f aca="false" t="array" ref="M367:M367">IF(AND(INDEX(Profils!$G$5:$G$34,$AE367)&gt;0,INDEX(Profils!$V$5:$V$34,$AE367)&lt;=$AH367),ROUND(INDEX(Profils!$G$5:$G$34,$AE367)*Paramètres!$E$23*$AG367*$AJ367,Paramètres!$F$23),0)</f>
        <v>0</v>
      </c>
      <c r="N367" s="19" t="n">
        <f aca="false" t="array" ref="N367:N367">IF(AND(INDEX(Profils!$H$5:$H$34,$AE367)&gt;0,INDEX(Profils!$W$5:$W$34,$AE367)&lt;=$AH367),ROUND(INDEX(Profils!$H$5:$H$34,$AE367)*Paramètres!$E$24*$AG367*$AJ367,Paramètres!$F$24),0)</f>
        <v>0</v>
      </c>
      <c r="O367" s="19" t="n">
        <f aca="false" t="array" ref="O367:O367">IF(AND(INDEX(Profils!$I$5:$I$34,$AE367)&gt;0,INDEX(Profils!$X$5:$X$34,$AE367)&lt;=$AH367),ROUND(INDEX(Profils!$I$5:$I$34,$AE367)*Paramètres!$E$25*$AG367*$AJ367,Paramètres!$F$25),0)</f>
        <v>14</v>
      </c>
      <c r="P367" s="19" t="n">
        <f aca="false" t="array" ref="P367:P367">IF(AND(INDEX(Profils!$J$5:$J$34,$AE367)&gt;0,INDEX(Profils!$Y$5:$Y$34,$AE367)&lt;=$AH367),ROUND(INDEX(Profils!$J$5:$J$34,$AE367)*Paramètres!$E$26*$AG367*$AJ367,Paramètres!$F$26),0)</f>
        <v>0</v>
      </c>
      <c r="Q367" s="19" t="n">
        <f aca="false" t="array" ref="Q367:Q367">IF(AND(INDEX(Profils!$K$5:$K$34,$AE367)&gt;0,INDEX(Profils!$Z$5:$Z$34,$AE367)&lt;=$AH367),ROUND(INDEX(Profils!$K$5:$K$34,$AE367)*Paramètres!$E$27*$AG367*$AJ367,Paramètres!$F$27),0)</f>
        <v>0</v>
      </c>
      <c r="R367" s="20" t="n">
        <f aca="false" t="array" ref="R367:R367">IF(AND(INDEX(Profils!$L$5:$L$34,$AE367)&gt;0,INDEX(Profils!$AA$5:$AA$34,$AE367)&lt;=$AH367),ROUND(INDEX(Profils!$L$5:$L$34,$AE367)*Paramètres!$E$28*$AG367*$AJ367,Paramètres!$F$28),0)</f>
        <v>0</v>
      </c>
      <c r="S367" s="20" t="n">
        <f aca="false" t="array" ref="S367:S367">IF(AND(INDEX(Profils!$M$5:$M$34,$AE367)&gt;0,INDEX(Profils!$AB$5:$AB$34,$AE367)&lt;=$AH367),ROUND(INDEX(Profils!$M$5:$M$34,$AE367)*Paramètres!$E$29*$AG367*$AJ367,Paramètres!$F$29),0)</f>
        <v>0</v>
      </c>
      <c r="T367" s="20" t="n">
        <f aca="false" t="array" ref="T367:T367">IF(AND(INDEX(Profils!$N$5:$N$34,$AE367)&gt;0,INDEX(Profils!$AC$5:$AC$34,$AE367)&lt;=$AH367),ROUND(INDEX(Profils!$N$5:$N$34,$AE367)*Paramètres!$E$30*$AG367*$AJ367,Paramètres!$F$30),0)</f>
        <v>0</v>
      </c>
      <c r="U367" s="19" t="n">
        <f aca="false" t="array" ref="U367:U367">IF(AND(INDEX(Profils!$O$5:$O$34,$AE367)&gt;0,INDEX(Profils!$AD$5:$AD$34,$AE367)&lt;=$AH367),ROUND(INDEX(Profils!$O$5:$O$34,$AE367)*Paramètres!$E$31*$AG367*$AJ367,Paramètres!$F$31),0)</f>
        <v>0</v>
      </c>
      <c r="V367" s="20" t="n">
        <f aca="false" t="array" ref="V367:V367">IF(AND(INDEX(Profils!$P$5:$P$34,$AE367)&gt;0,INDEX(Profils!$AE$5:$AE$34,$AE367)&lt;=$AH367),ROUND(INDEX(Profils!$P$5:$P$34,$AE367)*Paramètres!$E$32*$AG367*$AJ367,Paramètres!$F$32),0)</f>
        <v>0</v>
      </c>
      <c r="W367" s="20" t="n">
        <f aca="false" t="array" ref="W367:W367">IF(AND(INDEX(Profils!$Q$5:$Q$34,$AE367)&gt;0,INDEX(Profils!$AF$5:$AF$34,$AE367)&lt;=$AH367),ROUND(INDEX(Profils!$Q$5:$Q$34,$AE367)*Paramètres!$E$33*$AG367*$AJ367,Paramètres!$F$33),0)</f>
        <v>0.014</v>
      </c>
      <c r="X367" s="20" t="n">
        <f aca="false" t="array" ref="X367:X367">IF(AND(INDEX(Profils!$R$5:$R$34,$AE367)&gt;0,INDEX(Profils!$AG$5:$AG$34,$AE367)&lt;=$AH367),ROUND(INDEX(Profils!$R$5:$R$34,$AE367)*Paramètres!$E$34*$AG367*$AJ367,Paramètres!$F$34),0)</f>
        <v>0</v>
      </c>
      <c r="Y367" s="20" t="n">
        <f aca="false" t="array" ref="Y367:Y367">IF(AND(INDEX(Profils!$S$5:$S$34,$AE367)&gt;0,INDEX(Profils!$AH$5:$AH$34,$AE367)&lt;=$AH367),ROUND(INDEX(Profils!$S$5:$S$34,$AE367)*Paramètres!$E$35*$AG367*$AJ367,Paramètres!$F$35),0)</f>
        <v>0.01</v>
      </c>
      <c r="Z367" s="21" t="n">
        <f aca="false">ROUND(L367/Paramètres!$E$22+M367/Paramètres!$E$23+N367/Paramètres!$E$24+O367/Paramètres!$E$25+P367/Paramètres!$E$26+Q367/Paramètres!$E$27+R367/Paramètres!$E$28+S367/Paramètres!$E$29+T367/Paramètres!$E$30+U367/Paramètres!$E$31+V367/Paramètres!$E$32+W367/Paramètres!$E$33+X367/Paramètres!$E$34+Y367/Paramètres!$E$35,1)</f>
        <v>3.9</v>
      </c>
      <c r="AA367" s="22" t="s">
        <v>109</v>
      </c>
      <c r="AB367" s="22" t="s">
        <v>109</v>
      </c>
      <c r="AC367" s="15" t="str">
        <f aca="false">$E367</f>
        <v>velours enchanté</v>
      </c>
      <c r="AD367" s="16" t="n">
        <f aca="false" t="array" ref="AD367:AD367">IF($I367&gt;=$AI367,"Max",ROUND(Paramètres!$B$40*($I367+1)^Paramètres!$B$41*INDEX(Paramètres!$H$6:$H$12,$AF367),0))</f>
        <v>4</v>
      </c>
      <c r="AE367" s="23" t="n">
        <f aca="false">MATCH($B367&amp;"|"&amp;$C367,Profils!$A$5:$A$34,0)</f>
        <v>12</v>
      </c>
      <c r="AF367" s="23" t="n">
        <v>3</v>
      </c>
      <c r="AG367" s="24" t="n">
        <f aca="false" t="array" ref="AG367:AG367">INDEX(Paramètres!$C$6:$C$12,$AF367)</f>
        <v>1.45</v>
      </c>
      <c r="AH367" s="23" t="n">
        <f aca="false" t="array" ref="AH367:AH367">INDEX(Paramètres!$D$6:$D$12,$AF367)</f>
        <v>4</v>
      </c>
      <c r="AI367" s="23" t="n">
        <f aca="false" t="array" ref="AI367:AI367">INDEX(Matériaux!$C$16:$C$20,$D367)</f>
        <v>25</v>
      </c>
      <c r="AJ367" s="25" t="n">
        <f aca="false">Paramètres!$B$16+(1-Paramètres!$B$16)*(($J367-Paramètres!$B$14)/(Paramètres!$B$15-Paramètres!$B$14))^Paramètres!$B$17</f>
        <v>0.458504333336152</v>
      </c>
    </row>
    <row r="368" customFormat="false" ht="15.75" hidden="false" customHeight="true" outlineLevel="0" collapsed="false">
      <c r="A368" s="14" t="s">
        <v>484</v>
      </c>
      <c r="B368" s="15" t="s">
        <v>29</v>
      </c>
      <c r="C368" s="15" t="s">
        <v>90</v>
      </c>
      <c r="D368" s="16" t="n">
        <v>4</v>
      </c>
      <c r="E368" s="15" t="str">
        <f aca="false" t="array" ref="E368:E368">INDEX(Matériaux!$B$5:$F$12,MATCH(INDEX(Profils!$E$5:$E$34,$AE368),Matériaux!$A$5:$A$12,0),$D368)</f>
        <v>velours enchanté</v>
      </c>
      <c r="F368" s="28" t="s">
        <v>115</v>
      </c>
      <c r="G368" s="10" t="str">
        <f aca="false" t="array" ref="G368:G368">INDEX(Profils!$D$5:$D$34,$AE368)&amp;" en "&amp;$E368</f>
        <v>Robe en velours enchanté</v>
      </c>
      <c r="H368" s="16" t="n">
        <f aca="false" t="array" ref="H368:H368">INDEX(Matériaux!$B$16:$B$20,$D368)</f>
        <v>50</v>
      </c>
      <c r="I368" s="16" t="n">
        <f aca="false">IF(ISNUMBER($C$3),MIN(MAX(0,ROUND($C$3,0)),$AI368),$AI368)</f>
        <v>0</v>
      </c>
      <c r="J368" s="18" t="n">
        <f aca="false">$H368+$I368</f>
        <v>50</v>
      </c>
      <c r="K368" s="15" t="s">
        <v>109</v>
      </c>
      <c r="L368" s="19" t="n">
        <f aca="false" t="array" ref="L368:L368">IF(AND(INDEX(Profils!$F$5:$F$34,$AE368)&gt;0,INDEX(Profils!$U$5:$U$34,$AE368)&lt;=$AH368),ROUND(INDEX(Profils!$F$5:$F$34,$AE368)*Paramètres!$E$22*$AG368*$AJ368,Paramètres!$F$22),0)</f>
        <v>40</v>
      </c>
      <c r="M368" s="19" t="n">
        <f aca="false" t="array" ref="M368:M368">IF(AND(INDEX(Profils!$G$5:$G$34,$AE368)&gt;0,INDEX(Profils!$V$5:$V$34,$AE368)&lt;=$AH368),ROUND(INDEX(Profils!$G$5:$G$34,$AE368)*Paramètres!$E$23*$AG368*$AJ368,Paramètres!$F$23),0)</f>
        <v>0</v>
      </c>
      <c r="N368" s="19" t="n">
        <f aca="false" t="array" ref="N368:N368">IF(AND(INDEX(Profils!$H$5:$H$34,$AE368)&gt;0,INDEX(Profils!$W$5:$W$34,$AE368)&lt;=$AH368),ROUND(INDEX(Profils!$H$5:$H$34,$AE368)*Paramètres!$E$24*$AG368*$AJ368,Paramètres!$F$24),0)</f>
        <v>0</v>
      </c>
      <c r="O368" s="19" t="n">
        <f aca="false" t="array" ref="O368:O368">IF(AND(INDEX(Profils!$I$5:$I$34,$AE368)&gt;0,INDEX(Profils!$X$5:$X$34,$AE368)&lt;=$AH368),ROUND(INDEX(Profils!$I$5:$I$34,$AE368)*Paramètres!$E$25*$AG368*$AJ368,Paramètres!$F$25),0)</f>
        <v>17</v>
      </c>
      <c r="P368" s="19" t="n">
        <f aca="false" t="array" ref="P368:P368">IF(AND(INDEX(Profils!$J$5:$J$34,$AE368)&gt;0,INDEX(Profils!$Y$5:$Y$34,$AE368)&lt;=$AH368),ROUND(INDEX(Profils!$J$5:$J$34,$AE368)*Paramètres!$E$26*$AG368*$AJ368,Paramètres!$F$26),0)</f>
        <v>0</v>
      </c>
      <c r="Q368" s="19" t="n">
        <f aca="false" t="array" ref="Q368:Q368">IF(AND(INDEX(Profils!$K$5:$K$34,$AE368)&gt;0,INDEX(Profils!$Z$5:$Z$34,$AE368)&lt;=$AH368),ROUND(INDEX(Profils!$K$5:$K$34,$AE368)*Paramètres!$E$27*$AG368*$AJ368,Paramètres!$F$27),0)</f>
        <v>0</v>
      </c>
      <c r="R368" s="20" t="n">
        <f aca="false" t="array" ref="R368:R368">IF(AND(INDEX(Profils!$L$5:$L$34,$AE368)&gt;0,INDEX(Profils!$AA$5:$AA$34,$AE368)&lt;=$AH368),ROUND(INDEX(Profils!$L$5:$L$34,$AE368)*Paramètres!$E$28*$AG368*$AJ368,Paramètres!$F$28),0)</f>
        <v>0</v>
      </c>
      <c r="S368" s="20" t="n">
        <f aca="false" t="array" ref="S368:S368">IF(AND(INDEX(Profils!$M$5:$M$34,$AE368)&gt;0,INDEX(Profils!$AB$5:$AB$34,$AE368)&lt;=$AH368),ROUND(INDEX(Profils!$M$5:$M$34,$AE368)*Paramètres!$E$29*$AG368*$AJ368,Paramètres!$F$29),0)</f>
        <v>0</v>
      </c>
      <c r="T368" s="20" t="n">
        <f aca="false" t="array" ref="T368:T368">IF(AND(INDEX(Profils!$N$5:$N$34,$AE368)&gt;0,INDEX(Profils!$AC$5:$AC$34,$AE368)&lt;=$AH368),ROUND(INDEX(Profils!$N$5:$N$34,$AE368)*Paramètres!$E$30*$AG368*$AJ368,Paramètres!$F$30),0)</f>
        <v>0</v>
      </c>
      <c r="U368" s="19" t="n">
        <f aca="false" t="array" ref="U368:U368">IF(AND(INDEX(Profils!$O$5:$O$34,$AE368)&gt;0,INDEX(Profils!$AD$5:$AD$34,$AE368)&lt;=$AH368),ROUND(INDEX(Profils!$O$5:$O$34,$AE368)*Paramètres!$E$31*$AG368*$AJ368,Paramètres!$F$31),0)</f>
        <v>14</v>
      </c>
      <c r="V368" s="20" t="n">
        <f aca="false" t="array" ref="V368:V368">IF(AND(INDEX(Profils!$P$5:$P$34,$AE368)&gt;0,INDEX(Profils!$AE$5:$AE$34,$AE368)&lt;=$AH368),ROUND(INDEX(Profils!$P$5:$P$34,$AE368)*Paramètres!$E$32*$AG368*$AJ368,Paramètres!$F$32),0)</f>
        <v>0</v>
      </c>
      <c r="W368" s="20" t="n">
        <f aca="false" t="array" ref="W368:W368">IF(AND(INDEX(Profils!$Q$5:$Q$34,$AE368)&gt;0,INDEX(Profils!$AF$5:$AF$34,$AE368)&lt;=$AH368),ROUND(INDEX(Profils!$Q$5:$Q$34,$AE368)*Paramètres!$E$33*$AG368*$AJ368,Paramètres!$F$33),0)</f>
        <v>0.017</v>
      </c>
      <c r="X368" s="20" t="n">
        <f aca="false" t="array" ref="X368:X368">IF(AND(INDEX(Profils!$R$5:$R$34,$AE368)&gt;0,INDEX(Profils!$AG$5:$AG$34,$AE368)&lt;=$AH368),ROUND(INDEX(Profils!$R$5:$R$34,$AE368)*Paramètres!$E$34*$AG368*$AJ368,Paramètres!$F$34),0)</f>
        <v>0</v>
      </c>
      <c r="Y368" s="20" t="n">
        <f aca="false" t="array" ref="Y368:Y368">IF(AND(INDEX(Profils!$S$5:$S$34,$AE368)&gt;0,INDEX(Profils!$AH$5:$AH$34,$AE368)&lt;=$AH368),ROUND(INDEX(Profils!$S$5:$S$34,$AE368)*Paramètres!$E$35*$AG368*$AJ368,Paramètres!$F$35),0)</f>
        <v>0.012</v>
      </c>
      <c r="Z368" s="21" t="n">
        <f aca="false">ROUND(L368/Paramètres!$E$22+M368/Paramètres!$E$23+N368/Paramètres!$E$24+O368/Paramètres!$E$25+P368/Paramètres!$E$26+Q368/Paramètres!$E$27+R368/Paramètres!$E$28+S368/Paramètres!$E$29+T368/Paramètres!$E$30+U368/Paramètres!$E$31+V368/Paramètres!$E$32+W368/Paramètres!$E$33+X368/Paramètres!$E$34+Y368/Paramètres!$E$35,1)</f>
        <v>5.4</v>
      </c>
      <c r="AA368" s="22" t="s">
        <v>109</v>
      </c>
      <c r="AB368" s="22" t="s">
        <v>109</v>
      </c>
      <c r="AC368" s="15" t="str">
        <f aca="false">$E368</f>
        <v>velours enchanté</v>
      </c>
      <c r="AD368" s="16" t="n">
        <f aca="false" t="array" ref="AD368:AD368">IF($I368&gt;=$AI368,"Max",ROUND(Paramètres!$B$40*($I368+1)^Paramètres!$B$41*INDEX(Paramètres!$H$6:$H$12,$AF368),0))</f>
        <v>5</v>
      </c>
      <c r="AE368" s="23" t="n">
        <f aca="false">MATCH($B368&amp;"|"&amp;$C368,Profils!$A$5:$A$34,0)</f>
        <v>12</v>
      </c>
      <c r="AF368" s="23" t="n">
        <v>4</v>
      </c>
      <c r="AG368" s="24" t="n">
        <f aca="false" t="array" ref="AG368:AG368">INDEX(Paramètres!$C$6:$C$12,$AF368)</f>
        <v>1.75</v>
      </c>
      <c r="AH368" s="23" t="n">
        <f aca="false" t="array" ref="AH368:AH368">INDEX(Paramètres!$D$6:$D$12,$AF368)</f>
        <v>5</v>
      </c>
      <c r="AI368" s="23" t="n">
        <f aca="false" t="array" ref="AI368:AI368">INDEX(Matériaux!$C$16:$C$20,$D368)</f>
        <v>25</v>
      </c>
      <c r="AJ368" s="25" t="n">
        <f aca="false">Paramètres!$B$16+(1-Paramètres!$B$16)*(($J368-Paramètres!$B$14)/(Paramètres!$B$15-Paramètres!$B$14))^Paramètres!$B$17</f>
        <v>0.458504333336152</v>
      </c>
    </row>
    <row r="369" customFormat="false" ht="15.75" hidden="false" customHeight="true" outlineLevel="0" collapsed="false">
      <c r="A369" s="14" t="s">
        <v>485</v>
      </c>
      <c r="B369" s="15" t="s">
        <v>29</v>
      </c>
      <c r="C369" s="15" t="s">
        <v>90</v>
      </c>
      <c r="D369" s="16" t="n">
        <v>4</v>
      </c>
      <c r="E369" s="15" t="str">
        <f aca="false" t="array" ref="E369:E369">INDEX(Matériaux!$B$5:$F$12,MATCH(INDEX(Profils!$E$5:$E$34,$AE369),Matériaux!$A$5:$A$12,0),$D369)</f>
        <v>velours enchanté</v>
      </c>
      <c r="F369" s="29" t="s">
        <v>117</v>
      </c>
      <c r="G369" s="10" t="str">
        <f aca="false" t="array" ref="G369:G369">INDEX(Profils!$D$5:$D$34,$AE369)&amp;" en "&amp;$E369</f>
        <v>Robe en velours enchanté</v>
      </c>
      <c r="H369" s="16" t="n">
        <f aca="false" t="array" ref="H369:H369">INDEX(Matériaux!$B$16:$B$20,$D369)</f>
        <v>50</v>
      </c>
      <c r="I369" s="16" t="n">
        <f aca="false">IF(ISNUMBER($C$3),MIN(MAX(0,ROUND($C$3,0)),$AI369),$AI369)</f>
        <v>0</v>
      </c>
      <c r="J369" s="18" t="n">
        <f aca="false">$H369+$I369</f>
        <v>50</v>
      </c>
      <c r="K369" s="15" t="s">
        <v>109</v>
      </c>
      <c r="L369" s="19" t="n">
        <f aca="false" t="array" ref="L369:L369">IF(AND(INDEX(Profils!$F$5:$F$34,$AE369)&gt;0,INDEX(Profils!$U$5:$U$34,$AE369)&lt;=$AH369),ROUND(INDEX(Profils!$F$5:$F$34,$AE369)*Paramètres!$E$22*$AG369*$AJ369,Paramètres!$F$22),0)</f>
        <v>48</v>
      </c>
      <c r="M369" s="19" t="n">
        <f aca="false" t="array" ref="M369:M369">IF(AND(INDEX(Profils!$G$5:$G$34,$AE369)&gt;0,INDEX(Profils!$V$5:$V$34,$AE369)&lt;=$AH369),ROUND(INDEX(Profils!$G$5:$G$34,$AE369)*Paramètres!$E$23*$AG369*$AJ369,Paramètres!$F$23),0)</f>
        <v>0</v>
      </c>
      <c r="N369" s="19" t="n">
        <f aca="false" t="array" ref="N369:N369">IF(AND(INDEX(Profils!$H$5:$H$34,$AE369)&gt;0,INDEX(Profils!$W$5:$W$34,$AE369)&lt;=$AH369),ROUND(INDEX(Profils!$H$5:$H$34,$AE369)*Paramètres!$E$24*$AG369*$AJ369,Paramètres!$F$24),0)</f>
        <v>0</v>
      </c>
      <c r="O369" s="19" t="n">
        <f aca="false" t="array" ref="O369:O369">IF(AND(INDEX(Profils!$I$5:$I$34,$AE369)&gt;0,INDEX(Profils!$X$5:$X$34,$AE369)&lt;=$AH369),ROUND(INDEX(Profils!$I$5:$I$34,$AE369)*Paramètres!$E$25*$AG369*$AJ369,Paramètres!$F$25),0)</f>
        <v>20</v>
      </c>
      <c r="P369" s="19" t="n">
        <f aca="false" t="array" ref="P369:P369">IF(AND(INDEX(Profils!$J$5:$J$34,$AE369)&gt;0,INDEX(Profils!$Y$5:$Y$34,$AE369)&lt;=$AH369),ROUND(INDEX(Profils!$J$5:$J$34,$AE369)*Paramètres!$E$26*$AG369*$AJ369,Paramètres!$F$26),0)</f>
        <v>8</v>
      </c>
      <c r="Q369" s="19" t="n">
        <f aca="false" t="array" ref="Q369:Q369">IF(AND(INDEX(Profils!$K$5:$K$34,$AE369)&gt;0,INDEX(Profils!$Z$5:$Z$34,$AE369)&lt;=$AH369),ROUND(INDEX(Profils!$K$5:$K$34,$AE369)*Paramètres!$E$27*$AG369*$AJ369,Paramètres!$F$27),0)</f>
        <v>0</v>
      </c>
      <c r="R369" s="20" t="n">
        <f aca="false" t="array" ref="R369:R369">IF(AND(INDEX(Profils!$L$5:$L$34,$AE369)&gt;0,INDEX(Profils!$AA$5:$AA$34,$AE369)&lt;=$AH369),ROUND(INDEX(Profils!$L$5:$L$34,$AE369)*Paramètres!$E$28*$AG369*$AJ369,Paramètres!$F$28),0)</f>
        <v>0</v>
      </c>
      <c r="S369" s="20" t="n">
        <f aca="false" t="array" ref="S369:S369">IF(AND(INDEX(Profils!$M$5:$M$34,$AE369)&gt;0,INDEX(Profils!$AB$5:$AB$34,$AE369)&lt;=$AH369),ROUND(INDEX(Profils!$M$5:$M$34,$AE369)*Paramètres!$E$29*$AG369*$AJ369,Paramètres!$F$29),0)</f>
        <v>0</v>
      </c>
      <c r="T369" s="20" t="n">
        <f aca="false" t="array" ref="T369:T369">IF(AND(INDEX(Profils!$N$5:$N$34,$AE369)&gt;0,INDEX(Profils!$AC$5:$AC$34,$AE369)&lt;=$AH369),ROUND(INDEX(Profils!$N$5:$N$34,$AE369)*Paramètres!$E$30*$AG369*$AJ369,Paramètres!$F$30),0)</f>
        <v>0</v>
      </c>
      <c r="U369" s="19" t="n">
        <f aca="false" t="array" ref="U369:U369">IF(AND(INDEX(Profils!$O$5:$O$34,$AE369)&gt;0,INDEX(Profils!$AD$5:$AD$34,$AE369)&lt;=$AH369),ROUND(INDEX(Profils!$O$5:$O$34,$AE369)*Paramètres!$E$31*$AG369*$AJ369,Paramètres!$F$31),0)</f>
        <v>17</v>
      </c>
      <c r="V369" s="20" t="n">
        <f aca="false" t="array" ref="V369:V369">IF(AND(INDEX(Profils!$P$5:$P$34,$AE369)&gt;0,INDEX(Profils!$AE$5:$AE$34,$AE369)&lt;=$AH369),ROUND(INDEX(Profils!$P$5:$P$34,$AE369)*Paramètres!$E$32*$AG369*$AJ369,Paramètres!$F$32),0)</f>
        <v>0</v>
      </c>
      <c r="W369" s="20" t="n">
        <f aca="false" t="array" ref="W369:W369">IF(AND(INDEX(Profils!$Q$5:$Q$34,$AE369)&gt;0,INDEX(Profils!$AF$5:$AF$34,$AE369)&lt;=$AH369),ROUND(INDEX(Profils!$Q$5:$Q$34,$AE369)*Paramètres!$E$33*$AG369*$AJ369,Paramètres!$F$33),0)</f>
        <v>0.02</v>
      </c>
      <c r="X369" s="20" t="n">
        <f aca="false" t="array" ref="X369:X369">IF(AND(INDEX(Profils!$R$5:$R$34,$AE369)&gt;0,INDEX(Profils!$AG$5:$AG$34,$AE369)&lt;=$AH369),ROUND(INDEX(Profils!$R$5:$R$34,$AE369)*Paramètres!$E$34*$AG369*$AJ369,Paramètres!$F$34),0)</f>
        <v>0</v>
      </c>
      <c r="Y369" s="20" t="n">
        <f aca="false" t="array" ref="Y369:Y369">IF(AND(INDEX(Profils!$S$5:$S$34,$AE369)&gt;0,INDEX(Profils!$AH$5:$AH$34,$AE369)&lt;=$AH369),ROUND(INDEX(Profils!$S$5:$S$34,$AE369)*Paramètres!$E$35*$AG369*$AJ369,Paramètres!$F$35),0)</f>
        <v>0.014</v>
      </c>
      <c r="Z369" s="21" t="n">
        <f aca="false">ROUND(L369/Paramètres!$E$22+M369/Paramètres!$E$23+N369/Paramètres!$E$24+O369/Paramètres!$E$25+P369/Paramètres!$E$26+Q369/Paramètres!$E$27+R369/Paramètres!$E$28+S369/Paramètres!$E$29+T369/Paramètres!$E$30+U369/Paramètres!$E$31+V369/Paramètres!$E$32+W369/Paramètres!$E$33+X369/Paramètres!$E$34+Y369/Paramètres!$E$35,1)</f>
        <v>7</v>
      </c>
      <c r="AA369" s="22" t="s">
        <v>109</v>
      </c>
      <c r="AB369" s="22" t="s">
        <v>109</v>
      </c>
      <c r="AC369" s="15" t="str">
        <f aca="false">$E369</f>
        <v>velours enchanté</v>
      </c>
      <c r="AD369" s="16" t="n">
        <f aca="false" t="array" ref="AD369:AD369">IF($I369&gt;=$AI369,"Max",ROUND(Paramètres!$B$40*($I369+1)^Paramètres!$B$41*INDEX(Paramètres!$H$6:$H$12,$AF369),0))</f>
        <v>6</v>
      </c>
      <c r="AE369" s="23" t="n">
        <f aca="false">MATCH($B369&amp;"|"&amp;$C369,Profils!$A$5:$A$34,0)</f>
        <v>12</v>
      </c>
      <c r="AF369" s="23" t="n">
        <v>5</v>
      </c>
      <c r="AG369" s="24" t="n">
        <f aca="false" t="array" ref="AG369:AG369">INDEX(Paramètres!$C$6:$C$12,$AF369)</f>
        <v>2.1</v>
      </c>
      <c r="AH369" s="23" t="n">
        <f aca="false" t="array" ref="AH369:AH369">INDEX(Paramètres!$D$6:$D$12,$AF369)</f>
        <v>6</v>
      </c>
      <c r="AI369" s="23" t="n">
        <f aca="false" t="array" ref="AI369:AI369">INDEX(Matériaux!$C$16:$C$20,$D369)</f>
        <v>25</v>
      </c>
      <c r="AJ369" s="25" t="n">
        <f aca="false">Paramètres!$B$16+(1-Paramètres!$B$16)*(($J369-Paramètres!$B$14)/(Paramètres!$B$15-Paramètres!$B$14))^Paramètres!$B$17</f>
        <v>0.458504333336152</v>
      </c>
    </row>
    <row r="370" customFormat="false" ht="15.75" hidden="false" customHeight="true" outlineLevel="0" collapsed="false">
      <c r="A370" s="14" t="s">
        <v>486</v>
      </c>
      <c r="B370" s="15" t="s">
        <v>29</v>
      </c>
      <c r="C370" s="15" t="s">
        <v>90</v>
      </c>
      <c r="D370" s="16" t="n">
        <v>4</v>
      </c>
      <c r="E370" s="15" t="str">
        <f aca="false" t="array" ref="E370:E370">INDEX(Matériaux!$B$5:$F$12,MATCH(INDEX(Profils!$E$5:$E$34,$AE370),Matériaux!$A$5:$A$12,0),$D370)</f>
        <v>velours enchanté</v>
      </c>
      <c r="F370" s="30" t="s">
        <v>119</v>
      </c>
      <c r="G370" s="10" t="str">
        <f aca="false" t="array" ref="G370:G370">INDEX(Profils!$D$5:$D$34,$AE370)&amp;" en "&amp;$E370</f>
        <v>Robe en velours enchanté</v>
      </c>
      <c r="H370" s="16" t="n">
        <f aca="false" t="array" ref="H370:H370">INDEX(Matériaux!$B$16:$B$20,$D370)</f>
        <v>50</v>
      </c>
      <c r="I370" s="16" t="n">
        <f aca="false">IF(ISNUMBER($C$3),MIN(MAX(0,ROUND($C$3,0)),$AI370),$AI370)</f>
        <v>0</v>
      </c>
      <c r="J370" s="18" t="n">
        <f aca="false">$H370+$I370</f>
        <v>50</v>
      </c>
      <c r="K370" s="15" t="s">
        <v>109</v>
      </c>
      <c r="L370" s="19" t="n">
        <f aca="false" t="array" ref="L370:L370">IF(AND(INDEX(Profils!$F$5:$F$34,$AE370)&gt;0,INDEX(Profils!$U$5:$U$34,$AE370)&lt;=$AH370),ROUND(INDEX(Profils!$F$5:$F$34,$AE370)*Paramètres!$E$22*$AG370*$AJ370,Paramètres!$F$22),0)</f>
        <v>55</v>
      </c>
      <c r="M370" s="19" t="n">
        <f aca="false" t="array" ref="M370:M370">IF(AND(INDEX(Profils!$G$5:$G$34,$AE370)&gt;0,INDEX(Profils!$V$5:$V$34,$AE370)&lt;=$AH370),ROUND(INDEX(Profils!$G$5:$G$34,$AE370)*Paramètres!$E$23*$AG370*$AJ370,Paramètres!$F$23),0)</f>
        <v>0</v>
      </c>
      <c r="N370" s="19" t="n">
        <f aca="false" t="array" ref="N370:N370">IF(AND(INDEX(Profils!$H$5:$H$34,$AE370)&gt;0,INDEX(Profils!$W$5:$W$34,$AE370)&lt;=$AH370),ROUND(INDEX(Profils!$H$5:$H$34,$AE370)*Paramètres!$E$24*$AG370*$AJ370,Paramètres!$F$24),0)</f>
        <v>10</v>
      </c>
      <c r="O370" s="19" t="n">
        <f aca="false" t="array" ref="O370:O370">IF(AND(INDEX(Profils!$I$5:$I$34,$AE370)&gt;0,INDEX(Profils!$X$5:$X$34,$AE370)&lt;=$AH370),ROUND(INDEX(Profils!$I$5:$I$34,$AE370)*Paramètres!$E$25*$AG370*$AJ370,Paramètres!$F$25),0)</f>
        <v>23</v>
      </c>
      <c r="P370" s="19" t="n">
        <f aca="false" t="array" ref="P370:P370">IF(AND(INDEX(Profils!$J$5:$J$34,$AE370)&gt;0,INDEX(Profils!$Y$5:$Y$34,$AE370)&lt;=$AH370),ROUND(INDEX(Profils!$J$5:$J$34,$AE370)*Paramètres!$E$26*$AG370*$AJ370,Paramètres!$F$26),0)</f>
        <v>9</v>
      </c>
      <c r="Q370" s="19" t="n">
        <f aca="false" t="array" ref="Q370:Q370">IF(AND(INDEX(Profils!$K$5:$K$34,$AE370)&gt;0,INDEX(Profils!$Z$5:$Z$34,$AE370)&lt;=$AH370),ROUND(INDEX(Profils!$K$5:$K$34,$AE370)*Paramètres!$E$27*$AG370*$AJ370,Paramètres!$F$27),0)</f>
        <v>0</v>
      </c>
      <c r="R370" s="20" t="n">
        <f aca="false" t="array" ref="R370:R370">IF(AND(INDEX(Profils!$L$5:$L$34,$AE370)&gt;0,INDEX(Profils!$AA$5:$AA$34,$AE370)&lt;=$AH370),ROUND(INDEX(Profils!$L$5:$L$34,$AE370)*Paramètres!$E$28*$AG370*$AJ370,Paramètres!$F$28),0)</f>
        <v>0</v>
      </c>
      <c r="S370" s="20" t="n">
        <f aca="false" t="array" ref="S370:S370">IF(AND(INDEX(Profils!$M$5:$M$34,$AE370)&gt;0,INDEX(Profils!$AB$5:$AB$34,$AE370)&lt;=$AH370),ROUND(INDEX(Profils!$M$5:$M$34,$AE370)*Paramètres!$E$29*$AG370*$AJ370,Paramètres!$F$29),0)</f>
        <v>0</v>
      </c>
      <c r="T370" s="20" t="n">
        <f aca="false" t="array" ref="T370:T370">IF(AND(INDEX(Profils!$N$5:$N$34,$AE370)&gt;0,INDEX(Profils!$AC$5:$AC$34,$AE370)&lt;=$AH370),ROUND(INDEX(Profils!$N$5:$N$34,$AE370)*Paramètres!$E$30*$AG370*$AJ370,Paramètres!$F$30),0)</f>
        <v>0</v>
      </c>
      <c r="U370" s="19" t="n">
        <f aca="false" t="array" ref="U370:U370">IF(AND(INDEX(Profils!$O$5:$O$34,$AE370)&gt;0,INDEX(Profils!$AD$5:$AD$34,$AE370)&lt;=$AH370),ROUND(INDEX(Profils!$O$5:$O$34,$AE370)*Paramètres!$E$31*$AG370*$AJ370,Paramètres!$F$31),0)</f>
        <v>20</v>
      </c>
      <c r="V370" s="20" t="n">
        <f aca="false" t="array" ref="V370:V370">IF(AND(INDEX(Profils!$P$5:$P$34,$AE370)&gt;0,INDEX(Profils!$AE$5:$AE$34,$AE370)&lt;=$AH370),ROUND(INDEX(Profils!$P$5:$P$34,$AE370)*Paramètres!$E$32*$AG370*$AJ370,Paramètres!$F$32),0)</f>
        <v>0</v>
      </c>
      <c r="W370" s="20" t="n">
        <f aca="false" t="array" ref="W370:W370">IF(AND(INDEX(Profils!$Q$5:$Q$34,$AE370)&gt;0,INDEX(Profils!$AF$5:$AF$34,$AE370)&lt;=$AH370),ROUND(INDEX(Profils!$Q$5:$Q$34,$AE370)*Paramètres!$E$33*$AG370*$AJ370,Paramètres!$F$33),0)</f>
        <v>0.023</v>
      </c>
      <c r="X370" s="20" t="n">
        <f aca="false" t="array" ref="X370:X370">IF(AND(INDEX(Profils!$R$5:$R$34,$AE370)&gt;0,INDEX(Profils!$AG$5:$AG$34,$AE370)&lt;=$AH370),ROUND(INDEX(Profils!$R$5:$R$34,$AE370)*Paramètres!$E$34*$AG370*$AJ370,Paramètres!$F$34),0)</f>
        <v>0</v>
      </c>
      <c r="Y370" s="20" t="n">
        <f aca="false" t="array" ref="Y370:Y370">IF(AND(INDEX(Profils!$S$5:$S$34,$AE370)&gt;0,INDEX(Profils!$AH$5:$AH$34,$AE370)&lt;=$AH370),ROUND(INDEX(Profils!$S$5:$S$34,$AE370)*Paramètres!$E$35*$AG370*$AJ370,Paramètres!$F$35),0)</f>
        <v>0.017</v>
      </c>
      <c r="Z370" s="21" t="n">
        <f aca="false">ROUND(L370/Paramètres!$E$22+M370/Paramètres!$E$23+N370/Paramètres!$E$24+O370/Paramètres!$E$25+P370/Paramètres!$E$26+Q370/Paramètres!$E$27+R370/Paramètres!$E$28+S370/Paramètres!$E$29+T370/Paramètres!$E$30+U370/Paramètres!$E$31+V370/Paramètres!$E$32+W370/Paramètres!$E$33+X370/Paramètres!$E$34+Y370/Paramètres!$E$35,1)</f>
        <v>8.8</v>
      </c>
      <c r="AA370" s="22" t="s">
        <v>109</v>
      </c>
      <c r="AB370" s="22" t="s">
        <v>109</v>
      </c>
      <c r="AC370" s="15" t="str">
        <f aca="false">$E370</f>
        <v>velours enchanté</v>
      </c>
      <c r="AD370" s="16" t="n">
        <f aca="false" t="array" ref="AD370:AD370">IF($I370&gt;=$AI370,"Max",ROUND(Paramètres!$B$40*($I370+1)^Paramètres!$B$41*INDEX(Paramètres!$H$6:$H$12,$AF370),0))</f>
        <v>8</v>
      </c>
      <c r="AE370" s="23" t="n">
        <f aca="false">MATCH($B370&amp;"|"&amp;$C370,Profils!$A$5:$A$34,0)</f>
        <v>12</v>
      </c>
      <c r="AF370" s="23" t="n">
        <v>6</v>
      </c>
      <c r="AG370" s="24" t="n">
        <f aca="false" t="array" ref="AG370:AG370">INDEX(Paramètres!$C$6:$C$12,$AF370)</f>
        <v>2.4</v>
      </c>
      <c r="AH370" s="23" t="n">
        <f aca="false" t="array" ref="AH370:AH370">INDEX(Paramètres!$D$6:$D$12,$AF370)</f>
        <v>7</v>
      </c>
      <c r="AI370" s="23" t="n">
        <f aca="false" t="array" ref="AI370:AI370">INDEX(Matériaux!$C$16:$C$20,$D370)</f>
        <v>25</v>
      </c>
      <c r="AJ370" s="25" t="n">
        <f aca="false">Paramètres!$B$16+(1-Paramètres!$B$16)*(($J370-Paramètres!$B$14)/(Paramètres!$B$15-Paramètres!$B$14))^Paramètres!$B$17</f>
        <v>0.458504333336152</v>
      </c>
    </row>
    <row r="371" customFormat="false" ht="15.75" hidden="false" customHeight="true" outlineLevel="0" collapsed="false">
      <c r="A371" s="14" t="s">
        <v>487</v>
      </c>
      <c r="B371" s="15" t="s">
        <v>29</v>
      </c>
      <c r="C371" s="15" t="s">
        <v>90</v>
      </c>
      <c r="D371" s="16" t="n">
        <v>5</v>
      </c>
      <c r="E371" s="15" t="str">
        <f aca="false" t="array" ref="E371:E371">INDEX(Matériaux!$B$5:$F$12,MATCH(INDEX(Profils!$E$5:$E$34,$AE371),Matériaux!$A$5:$A$12,0),$D371)</f>
        <v>étoffe astrale</v>
      </c>
      <c r="F371" s="17" t="s">
        <v>108</v>
      </c>
      <c r="G371" s="10" t="str">
        <f aca="false" t="array" ref="G371:G371">INDEX(Profils!$D$5:$D$34,$AE371)&amp;" en "&amp;$E371</f>
        <v>Robe en étoffe astrale</v>
      </c>
      <c r="H371" s="16" t="n">
        <f aca="false" t="array" ref="H371:H371">INDEX(Matériaux!$B$16:$B$20,$D371)</f>
        <v>70</v>
      </c>
      <c r="I371" s="16" t="n">
        <f aca="false">IF(ISNUMBER($C$3),MIN(MAX(0,ROUND($C$3,0)),$AI371),$AI371)</f>
        <v>0</v>
      </c>
      <c r="J371" s="18" t="n">
        <f aca="false">$H371+$I371</f>
        <v>70</v>
      </c>
      <c r="K371" s="15" t="s">
        <v>109</v>
      </c>
      <c r="L371" s="19" t="n">
        <f aca="false" t="array" ref="L371:L371">IF(AND(INDEX(Profils!$F$5:$F$34,$AE371)&gt;0,INDEX(Profils!$U$5:$U$34,$AE371)&lt;=$AH371),ROUND(INDEX(Profils!$F$5:$F$34,$AE371)*Paramètres!$E$22*$AG371*$AJ371,Paramètres!$F$22),0)</f>
        <v>33</v>
      </c>
      <c r="M371" s="19" t="n">
        <f aca="false" t="array" ref="M371:M371">IF(AND(INDEX(Profils!$G$5:$G$34,$AE371)&gt;0,INDEX(Profils!$V$5:$V$34,$AE371)&lt;=$AH371),ROUND(INDEX(Profils!$G$5:$G$34,$AE371)*Paramètres!$E$23*$AG371*$AJ371,Paramètres!$F$23),0)</f>
        <v>0</v>
      </c>
      <c r="N371" s="19" t="n">
        <f aca="false" t="array" ref="N371:N371">IF(AND(INDEX(Profils!$H$5:$H$34,$AE371)&gt;0,INDEX(Profils!$W$5:$W$34,$AE371)&lt;=$AH371),ROUND(INDEX(Profils!$H$5:$H$34,$AE371)*Paramètres!$E$24*$AG371*$AJ371,Paramètres!$F$24),0)</f>
        <v>0</v>
      </c>
      <c r="O371" s="19" t="n">
        <f aca="false" t="array" ref="O371:O371">IF(AND(INDEX(Profils!$I$5:$I$34,$AE371)&gt;0,INDEX(Profils!$X$5:$X$34,$AE371)&lt;=$AH371),ROUND(INDEX(Profils!$I$5:$I$34,$AE371)*Paramètres!$E$25*$AG371*$AJ371,Paramètres!$F$25),0)</f>
        <v>14</v>
      </c>
      <c r="P371" s="19" t="n">
        <f aca="false" t="array" ref="P371:P371">IF(AND(INDEX(Profils!$J$5:$J$34,$AE371)&gt;0,INDEX(Profils!$Y$5:$Y$34,$AE371)&lt;=$AH371),ROUND(INDEX(Profils!$J$5:$J$34,$AE371)*Paramètres!$E$26*$AG371*$AJ371,Paramètres!$F$26),0)</f>
        <v>0</v>
      </c>
      <c r="Q371" s="19" t="n">
        <f aca="false" t="array" ref="Q371:Q371">IF(AND(INDEX(Profils!$K$5:$K$34,$AE371)&gt;0,INDEX(Profils!$Z$5:$Z$34,$AE371)&lt;=$AH371),ROUND(INDEX(Profils!$K$5:$K$34,$AE371)*Paramètres!$E$27*$AG371*$AJ371,Paramètres!$F$27),0)</f>
        <v>0</v>
      </c>
      <c r="R371" s="20" t="n">
        <f aca="false" t="array" ref="R371:R371">IF(AND(INDEX(Profils!$L$5:$L$34,$AE371)&gt;0,INDEX(Profils!$AA$5:$AA$34,$AE371)&lt;=$AH371),ROUND(INDEX(Profils!$L$5:$L$34,$AE371)*Paramètres!$E$28*$AG371*$AJ371,Paramètres!$F$28),0)</f>
        <v>0</v>
      </c>
      <c r="S371" s="20" t="n">
        <f aca="false" t="array" ref="S371:S371">IF(AND(INDEX(Profils!$M$5:$M$34,$AE371)&gt;0,INDEX(Profils!$AB$5:$AB$34,$AE371)&lt;=$AH371),ROUND(INDEX(Profils!$M$5:$M$34,$AE371)*Paramètres!$E$29*$AG371*$AJ371,Paramètres!$F$29),0)</f>
        <v>0</v>
      </c>
      <c r="T371" s="20" t="n">
        <f aca="false" t="array" ref="T371:T371">IF(AND(INDEX(Profils!$N$5:$N$34,$AE371)&gt;0,INDEX(Profils!$AC$5:$AC$34,$AE371)&lt;=$AH371),ROUND(INDEX(Profils!$N$5:$N$34,$AE371)*Paramètres!$E$30*$AG371*$AJ371,Paramètres!$F$30),0)</f>
        <v>0</v>
      </c>
      <c r="U371" s="19" t="n">
        <f aca="false" t="array" ref="U371:U371">IF(AND(INDEX(Profils!$O$5:$O$34,$AE371)&gt;0,INDEX(Profils!$AD$5:$AD$34,$AE371)&lt;=$AH371),ROUND(INDEX(Profils!$O$5:$O$34,$AE371)*Paramètres!$E$31*$AG371*$AJ371,Paramètres!$F$31),0)</f>
        <v>0</v>
      </c>
      <c r="V371" s="20" t="n">
        <f aca="false" t="array" ref="V371:V371">IF(AND(INDEX(Profils!$P$5:$P$34,$AE371)&gt;0,INDEX(Profils!$AE$5:$AE$34,$AE371)&lt;=$AH371),ROUND(INDEX(Profils!$P$5:$P$34,$AE371)*Paramètres!$E$32*$AG371*$AJ371,Paramètres!$F$32),0)</f>
        <v>0</v>
      </c>
      <c r="W371" s="20" t="n">
        <f aca="false" t="array" ref="W371:W371">IF(AND(INDEX(Profils!$Q$5:$Q$34,$AE371)&gt;0,INDEX(Profils!$AF$5:$AF$34,$AE371)&lt;=$AH371),ROUND(INDEX(Profils!$Q$5:$Q$34,$AE371)*Paramètres!$E$33*$AG371*$AJ371,Paramètres!$F$33),0)</f>
        <v>0</v>
      </c>
      <c r="X371" s="20" t="n">
        <f aca="false" t="array" ref="X371:X371">IF(AND(INDEX(Profils!$R$5:$R$34,$AE371)&gt;0,INDEX(Profils!$AG$5:$AG$34,$AE371)&lt;=$AH371),ROUND(INDEX(Profils!$R$5:$R$34,$AE371)*Paramètres!$E$34*$AG371*$AJ371,Paramètres!$F$34),0)</f>
        <v>0</v>
      </c>
      <c r="Y371" s="20" t="n">
        <f aca="false" t="array" ref="Y371:Y371">IF(AND(INDEX(Profils!$S$5:$S$34,$AE371)&gt;0,INDEX(Profils!$AH$5:$AH$34,$AE371)&lt;=$AH371),ROUND(INDEX(Profils!$S$5:$S$34,$AE371)*Paramètres!$E$35*$AG371*$AJ371,Paramètres!$F$35),0)</f>
        <v>0</v>
      </c>
      <c r="Z371" s="21" t="n">
        <f aca="false">ROUND(L371/Paramètres!$E$22+M371/Paramètres!$E$23+N371/Paramètres!$E$24+O371/Paramètres!$E$25+P371/Paramètres!$E$26+Q371/Paramètres!$E$27+R371/Paramètres!$E$28+S371/Paramètres!$E$29+T371/Paramètres!$E$30+U371/Paramètres!$E$31+V371/Paramètres!$E$32+W371/Paramètres!$E$33+X371/Paramètres!$E$34+Y371/Paramètres!$E$35,1)</f>
        <v>2.3</v>
      </c>
      <c r="AA371" s="22" t="s">
        <v>109</v>
      </c>
      <c r="AB371" s="22" t="s">
        <v>109</v>
      </c>
      <c r="AC371" s="15" t="str">
        <f aca="false">$E371</f>
        <v>étoffe astrale</v>
      </c>
      <c r="AD371" s="16" t="n">
        <f aca="false" t="array" ref="AD371:AD371">IF($I371&gt;=$AI371,"Max",ROUND(Paramètres!$B$40*($I371+1)^Paramètres!$B$41*INDEX(Paramètres!$H$6:$H$12,$AF371),0))</f>
        <v>3</v>
      </c>
      <c r="AE371" s="23" t="n">
        <f aca="false">MATCH($B371&amp;"|"&amp;$C371,Profils!$A$5:$A$34,0)</f>
        <v>12</v>
      </c>
      <c r="AF371" s="23" t="n">
        <v>1</v>
      </c>
      <c r="AG371" s="24" t="n">
        <f aca="false" t="array" ref="AG371:AG371">INDEX(Paramètres!$C$6:$C$12,$AF371)</f>
        <v>1</v>
      </c>
      <c r="AH371" s="23" t="n">
        <f aca="false" t="array" ref="AH371:AH371">INDEX(Paramètres!$D$6:$D$12,$AF371)</f>
        <v>2</v>
      </c>
      <c r="AI371" s="23" t="n">
        <f aca="false" t="array" ref="AI371:AI371">INDEX(Matériaux!$C$16:$C$20,$D371)</f>
        <v>30</v>
      </c>
      <c r="AJ371" s="25" t="n">
        <f aca="false">Paramètres!$B$16+(1-Paramètres!$B$16)*(($J371-Paramètres!$B$14)/(Paramètres!$B$15-Paramètres!$B$14))^Paramètres!$B$17</f>
        <v>0.665999387952727</v>
      </c>
    </row>
    <row r="372" customFormat="false" ht="15.75" hidden="false" customHeight="true" outlineLevel="0" collapsed="false">
      <c r="A372" s="14" t="s">
        <v>488</v>
      </c>
      <c r="B372" s="15" t="s">
        <v>29</v>
      </c>
      <c r="C372" s="15" t="s">
        <v>90</v>
      </c>
      <c r="D372" s="16" t="n">
        <v>5</v>
      </c>
      <c r="E372" s="15" t="str">
        <f aca="false" t="array" ref="E372:E372">INDEX(Matériaux!$B$5:$F$12,MATCH(INDEX(Profils!$E$5:$E$34,$AE372),Matériaux!$A$5:$A$12,0),$D372)</f>
        <v>étoffe astrale</v>
      </c>
      <c r="F372" s="26" t="s">
        <v>111</v>
      </c>
      <c r="G372" s="10" t="str">
        <f aca="false" t="array" ref="G372:G372">INDEX(Profils!$D$5:$D$34,$AE372)&amp;" en "&amp;$E372</f>
        <v>Robe en étoffe astrale</v>
      </c>
      <c r="H372" s="16" t="n">
        <f aca="false" t="array" ref="H372:H372">INDEX(Matériaux!$B$16:$B$20,$D372)</f>
        <v>70</v>
      </c>
      <c r="I372" s="16" t="n">
        <f aca="false">IF(ISNUMBER($C$3),MIN(MAX(0,ROUND($C$3,0)),$AI372),$AI372)</f>
        <v>0</v>
      </c>
      <c r="J372" s="18" t="n">
        <f aca="false">$H372+$I372</f>
        <v>70</v>
      </c>
      <c r="K372" s="15" t="s">
        <v>109</v>
      </c>
      <c r="L372" s="19" t="n">
        <f aca="false" t="array" ref="L372:L372">IF(AND(INDEX(Profils!$F$5:$F$34,$AE372)&gt;0,INDEX(Profils!$U$5:$U$34,$AE372)&lt;=$AH372),ROUND(INDEX(Profils!$F$5:$F$34,$AE372)*Paramètres!$E$22*$AG372*$AJ372,Paramètres!$F$22),0)</f>
        <v>40</v>
      </c>
      <c r="M372" s="19" t="n">
        <f aca="false" t="array" ref="M372:M372">IF(AND(INDEX(Profils!$G$5:$G$34,$AE372)&gt;0,INDEX(Profils!$V$5:$V$34,$AE372)&lt;=$AH372),ROUND(INDEX(Profils!$G$5:$G$34,$AE372)*Paramètres!$E$23*$AG372*$AJ372,Paramètres!$F$23),0)</f>
        <v>0</v>
      </c>
      <c r="N372" s="19" t="n">
        <f aca="false" t="array" ref="N372:N372">IF(AND(INDEX(Profils!$H$5:$H$34,$AE372)&gt;0,INDEX(Profils!$W$5:$W$34,$AE372)&lt;=$AH372),ROUND(INDEX(Profils!$H$5:$H$34,$AE372)*Paramètres!$E$24*$AG372*$AJ372,Paramètres!$F$24),0)</f>
        <v>0</v>
      </c>
      <c r="O372" s="19" t="n">
        <f aca="false" t="array" ref="O372:O372">IF(AND(INDEX(Profils!$I$5:$I$34,$AE372)&gt;0,INDEX(Profils!$X$5:$X$34,$AE372)&lt;=$AH372),ROUND(INDEX(Profils!$I$5:$I$34,$AE372)*Paramètres!$E$25*$AG372*$AJ372,Paramètres!$F$25),0)</f>
        <v>17</v>
      </c>
      <c r="P372" s="19" t="n">
        <f aca="false" t="array" ref="P372:P372">IF(AND(INDEX(Profils!$J$5:$J$34,$AE372)&gt;0,INDEX(Profils!$Y$5:$Y$34,$AE372)&lt;=$AH372),ROUND(INDEX(Profils!$J$5:$J$34,$AE372)*Paramètres!$E$26*$AG372*$AJ372,Paramètres!$F$26),0)</f>
        <v>0</v>
      </c>
      <c r="Q372" s="19" t="n">
        <f aca="false" t="array" ref="Q372:Q372">IF(AND(INDEX(Profils!$K$5:$K$34,$AE372)&gt;0,INDEX(Profils!$Z$5:$Z$34,$AE372)&lt;=$AH372),ROUND(INDEX(Profils!$K$5:$K$34,$AE372)*Paramètres!$E$27*$AG372*$AJ372,Paramètres!$F$27),0)</f>
        <v>0</v>
      </c>
      <c r="R372" s="20" t="n">
        <f aca="false" t="array" ref="R372:R372">IF(AND(INDEX(Profils!$L$5:$L$34,$AE372)&gt;0,INDEX(Profils!$AA$5:$AA$34,$AE372)&lt;=$AH372),ROUND(INDEX(Profils!$L$5:$L$34,$AE372)*Paramètres!$E$28*$AG372*$AJ372,Paramètres!$F$28),0)</f>
        <v>0</v>
      </c>
      <c r="S372" s="20" t="n">
        <f aca="false" t="array" ref="S372:S372">IF(AND(INDEX(Profils!$M$5:$M$34,$AE372)&gt;0,INDEX(Profils!$AB$5:$AB$34,$AE372)&lt;=$AH372),ROUND(INDEX(Profils!$M$5:$M$34,$AE372)*Paramètres!$E$29*$AG372*$AJ372,Paramètres!$F$29),0)</f>
        <v>0</v>
      </c>
      <c r="T372" s="20" t="n">
        <f aca="false" t="array" ref="T372:T372">IF(AND(INDEX(Profils!$N$5:$N$34,$AE372)&gt;0,INDEX(Profils!$AC$5:$AC$34,$AE372)&lt;=$AH372),ROUND(INDEX(Profils!$N$5:$N$34,$AE372)*Paramètres!$E$30*$AG372*$AJ372,Paramètres!$F$30),0)</f>
        <v>0</v>
      </c>
      <c r="U372" s="19" t="n">
        <f aca="false" t="array" ref="U372:U372">IF(AND(INDEX(Profils!$O$5:$O$34,$AE372)&gt;0,INDEX(Profils!$AD$5:$AD$34,$AE372)&lt;=$AH372),ROUND(INDEX(Profils!$O$5:$O$34,$AE372)*Paramètres!$E$31*$AG372*$AJ372,Paramètres!$F$31),0)</f>
        <v>0</v>
      </c>
      <c r="V372" s="20" t="n">
        <f aca="false" t="array" ref="V372:V372">IF(AND(INDEX(Profils!$P$5:$P$34,$AE372)&gt;0,INDEX(Profils!$AE$5:$AE$34,$AE372)&lt;=$AH372),ROUND(INDEX(Profils!$P$5:$P$34,$AE372)*Paramètres!$E$32*$AG372*$AJ372,Paramètres!$F$32),0)</f>
        <v>0</v>
      </c>
      <c r="W372" s="20" t="n">
        <f aca="false" t="array" ref="W372:W372">IF(AND(INDEX(Profils!$Q$5:$Q$34,$AE372)&gt;0,INDEX(Profils!$AF$5:$AF$34,$AE372)&lt;=$AH372),ROUND(INDEX(Profils!$Q$5:$Q$34,$AE372)*Paramètres!$E$33*$AG372*$AJ372,Paramètres!$F$33),0)</f>
        <v>0.017</v>
      </c>
      <c r="X372" s="20" t="n">
        <f aca="false" t="array" ref="X372:X372">IF(AND(INDEX(Profils!$R$5:$R$34,$AE372)&gt;0,INDEX(Profils!$AG$5:$AG$34,$AE372)&lt;=$AH372),ROUND(INDEX(Profils!$R$5:$R$34,$AE372)*Paramètres!$E$34*$AG372*$AJ372,Paramètres!$F$34),0)</f>
        <v>0</v>
      </c>
      <c r="Y372" s="20" t="n">
        <f aca="false" t="array" ref="Y372:Y372">IF(AND(INDEX(Profils!$S$5:$S$34,$AE372)&gt;0,INDEX(Profils!$AH$5:$AH$34,$AE372)&lt;=$AH372),ROUND(INDEX(Profils!$S$5:$S$34,$AE372)*Paramètres!$E$35*$AG372*$AJ372,Paramètres!$F$35),0)</f>
        <v>0</v>
      </c>
      <c r="Z372" s="21" t="n">
        <f aca="false">ROUND(L372/Paramètres!$E$22+M372/Paramètres!$E$23+N372/Paramètres!$E$24+O372/Paramètres!$E$25+P372/Paramètres!$E$26+Q372/Paramètres!$E$27+R372/Paramètres!$E$28+S372/Paramètres!$E$29+T372/Paramètres!$E$30+U372/Paramètres!$E$31+V372/Paramètres!$E$32+W372/Paramètres!$E$33+X372/Paramètres!$E$34+Y372/Paramètres!$E$35,1)</f>
        <v>3.9</v>
      </c>
      <c r="AA372" s="22" t="s">
        <v>109</v>
      </c>
      <c r="AB372" s="22" t="s">
        <v>109</v>
      </c>
      <c r="AC372" s="15" t="str">
        <f aca="false">$E372</f>
        <v>étoffe astrale</v>
      </c>
      <c r="AD372" s="16" t="n">
        <f aca="false" t="array" ref="AD372:AD372">IF($I372&gt;=$AI372,"Max",ROUND(Paramètres!$B$40*($I372+1)^Paramètres!$B$41*INDEX(Paramètres!$H$6:$H$12,$AF372),0))</f>
        <v>4</v>
      </c>
      <c r="AE372" s="23" t="n">
        <f aca="false">MATCH($B372&amp;"|"&amp;$C372,Profils!$A$5:$A$34,0)</f>
        <v>12</v>
      </c>
      <c r="AF372" s="23" t="n">
        <v>2</v>
      </c>
      <c r="AG372" s="24" t="n">
        <f aca="false" t="array" ref="AG372:AG372">INDEX(Paramètres!$C$6:$C$12,$AF372)</f>
        <v>1.2</v>
      </c>
      <c r="AH372" s="23" t="n">
        <f aca="false" t="array" ref="AH372:AH372">INDEX(Paramètres!$D$6:$D$12,$AF372)</f>
        <v>3</v>
      </c>
      <c r="AI372" s="23" t="n">
        <f aca="false" t="array" ref="AI372:AI372">INDEX(Matériaux!$C$16:$C$20,$D372)</f>
        <v>30</v>
      </c>
      <c r="AJ372" s="25" t="n">
        <f aca="false">Paramètres!$B$16+(1-Paramètres!$B$16)*(($J372-Paramètres!$B$14)/(Paramètres!$B$15-Paramètres!$B$14))^Paramètres!$B$17</f>
        <v>0.665999387952727</v>
      </c>
    </row>
    <row r="373" customFormat="false" ht="15.75" hidden="false" customHeight="true" outlineLevel="0" collapsed="false">
      <c r="A373" s="14" t="s">
        <v>489</v>
      </c>
      <c r="B373" s="15" t="s">
        <v>29</v>
      </c>
      <c r="C373" s="15" t="s">
        <v>90</v>
      </c>
      <c r="D373" s="16" t="n">
        <v>5</v>
      </c>
      <c r="E373" s="15" t="str">
        <f aca="false" t="array" ref="E373:E373">INDEX(Matériaux!$B$5:$F$12,MATCH(INDEX(Profils!$E$5:$E$34,$AE373),Matériaux!$A$5:$A$12,0),$D373)</f>
        <v>étoffe astrale</v>
      </c>
      <c r="F373" s="27" t="s">
        <v>113</v>
      </c>
      <c r="G373" s="10" t="str">
        <f aca="false" t="array" ref="G373:G373">INDEX(Profils!$D$5:$D$34,$AE373)&amp;" en "&amp;$E373</f>
        <v>Robe en étoffe astrale</v>
      </c>
      <c r="H373" s="16" t="n">
        <f aca="false" t="array" ref="H373:H373">INDEX(Matériaux!$B$16:$B$20,$D373)</f>
        <v>70</v>
      </c>
      <c r="I373" s="16" t="n">
        <f aca="false">IF(ISNUMBER($C$3),MIN(MAX(0,ROUND($C$3,0)),$AI373),$AI373)</f>
        <v>0</v>
      </c>
      <c r="J373" s="18" t="n">
        <f aca="false">$H373+$I373</f>
        <v>70</v>
      </c>
      <c r="K373" s="15" t="s">
        <v>109</v>
      </c>
      <c r="L373" s="19" t="n">
        <f aca="false" t="array" ref="L373:L373">IF(AND(INDEX(Profils!$F$5:$F$34,$AE373)&gt;0,INDEX(Profils!$U$5:$U$34,$AE373)&lt;=$AH373),ROUND(INDEX(Profils!$F$5:$F$34,$AE373)*Paramètres!$E$22*$AG373*$AJ373,Paramètres!$F$22),0)</f>
        <v>48</v>
      </c>
      <c r="M373" s="19" t="n">
        <f aca="false" t="array" ref="M373:M373">IF(AND(INDEX(Profils!$G$5:$G$34,$AE373)&gt;0,INDEX(Profils!$V$5:$V$34,$AE373)&lt;=$AH373),ROUND(INDEX(Profils!$G$5:$G$34,$AE373)*Paramètres!$E$23*$AG373*$AJ373,Paramètres!$F$23),0)</f>
        <v>0</v>
      </c>
      <c r="N373" s="19" t="n">
        <f aca="false" t="array" ref="N373:N373">IF(AND(INDEX(Profils!$H$5:$H$34,$AE373)&gt;0,INDEX(Profils!$W$5:$W$34,$AE373)&lt;=$AH373),ROUND(INDEX(Profils!$H$5:$H$34,$AE373)*Paramètres!$E$24*$AG373*$AJ373,Paramètres!$F$24),0)</f>
        <v>0</v>
      </c>
      <c r="O373" s="19" t="n">
        <f aca="false" t="array" ref="O373:O373">IF(AND(INDEX(Profils!$I$5:$I$34,$AE373)&gt;0,INDEX(Profils!$X$5:$X$34,$AE373)&lt;=$AH373),ROUND(INDEX(Profils!$I$5:$I$34,$AE373)*Paramètres!$E$25*$AG373*$AJ373,Paramètres!$F$25),0)</f>
        <v>20</v>
      </c>
      <c r="P373" s="19" t="n">
        <f aca="false" t="array" ref="P373:P373">IF(AND(INDEX(Profils!$J$5:$J$34,$AE373)&gt;0,INDEX(Profils!$Y$5:$Y$34,$AE373)&lt;=$AH373),ROUND(INDEX(Profils!$J$5:$J$34,$AE373)*Paramètres!$E$26*$AG373*$AJ373,Paramètres!$F$26),0)</f>
        <v>0</v>
      </c>
      <c r="Q373" s="19" t="n">
        <f aca="false" t="array" ref="Q373:Q373">IF(AND(INDEX(Profils!$K$5:$K$34,$AE373)&gt;0,INDEX(Profils!$Z$5:$Z$34,$AE373)&lt;=$AH373),ROUND(INDEX(Profils!$K$5:$K$34,$AE373)*Paramètres!$E$27*$AG373*$AJ373,Paramètres!$F$27),0)</f>
        <v>0</v>
      </c>
      <c r="R373" s="20" t="n">
        <f aca="false" t="array" ref="R373:R373">IF(AND(INDEX(Profils!$L$5:$L$34,$AE373)&gt;0,INDEX(Profils!$AA$5:$AA$34,$AE373)&lt;=$AH373),ROUND(INDEX(Profils!$L$5:$L$34,$AE373)*Paramètres!$E$28*$AG373*$AJ373,Paramètres!$F$28),0)</f>
        <v>0</v>
      </c>
      <c r="S373" s="20" t="n">
        <f aca="false" t="array" ref="S373:S373">IF(AND(INDEX(Profils!$M$5:$M$34,$AE373)&gt;0,INDEX(Profils!$AB$5:$AB$34,$AE373)&lt;=$AH373),ROUND(INDEX(Profils!$M$5:$M$34,$AE373)*Paramètres!$E$29*$AG373*$AJ373,Paramètres!$F$29),0)</f>
        <v>0</v>
      </c>
      <c r="T373" s="20" t="n">
        <f aca="false" t="array" ref="T373:T373">IF(AND(INDEX(Profils!$N$5:$N$34,$AE373)&gt;0,INDEX(Profils!$AC$5:$AC$34,$AE373)&lt;=$AH373),ROUND(INDEX(Profils!$N$5:$N$34,$AE373)*Paramètres!$E$30*$AG373*$AJ373,Paramètres!$F$30),0)</f>
        <v>0</v>
      </c>
      <c r="U373" s="19" t="n">
        <f aca="false" t="array" ref="U373:U373">IF(AND(INDEX(Profils!$O$5:$O$34,$AE373)&gt;0,INDEX(Profils!$AD$5:$AD$34,$AE373)&lt;=$AH373),ROUND(INDEX(Profils!$O$5:$O$34,$AE373)*Paramètres!$E$31*$AG373*$AJ373,Paramètres!$F$31),0)</f>
        <v>0</v>
      </c>
      <c r="V373" s="20" t="n">
        <f aca="false" t="array" ref="V373:V373">IF(AND(INDEX(Profils!$P$5:$P$34,$AE373)&gt;0,INDEX(Profils!$AE$5:$AE$34,$AE373)&lt;=$AH373),ROUND(INDEX(Profils!$P$5:$P$34,$AE373)*Paramètres!$E$32*$AG373*$AJ373,Paramètres!$F$32),0)</f>
        <v>0</v>
      </c>
      <c r="W373" s="20" t="n">
        <f aca="false" t="array" ref="W373:W373">IF(AND(INDEX(Profils!$Q$5:$Q$34,$AE373)&gt;0,INDEX(Profils!$AF$5:$AF$34,$AE373)&lt;=$AH373),ROUND(INDEX(Profils!$Q$5:$Q$34,$AE373)*Paramètres!$E$33*$AG373*$AJ373,Paramètres!$F$33),0)</f>
        <v>0.02</v>
      </c>
      <c r="X373" s="20" t="n">
        <f aca="false" t="array" ref="X373:X373">IF(AND(INDEX(Profils!$R$5:$R$34,$AE373)&gt;0,INDEX(Profils!$AG$5:$AG$34,$AE373)&lt;=$AH373),ROUND(INDEX(Profils!$R$5:$R$34,$AE373)*Paramètres!$E$34*$AG373*$AJ373,Paramètres!$F$34),0)</f>
        <v>0</v>
      </c>
      <c r="Y373" s="20" t="n">
        <f aca="false" t="array" ref="Y373:Y373">IF(AND(INDEX(Profils!$S$5:$S$34,$AE373)&gt;0,INDEX(Profils!$AH$5:$AH$34,$AE373)&lt;=$AH373),ROUND(INDEX(Profils!$S$5:$S$34,$AE373)*Paramètres!$E$35*$AG373*$AJ373,Paramètres!$F$35),0)</f>
        <v>0.014</v>
      </c>
      <c r="Z373" s="21" t="n">
        <f aca="false">ROUND(L373/Paramètres!$E$22+M373/Paramètres!$E$23+N373/Paramètres!$E$24+O373/Paramètres!$E$25+P373/Paramètres!$E$26+Q373/Paramètres!$E$27+R373/Paramètres!$E$28+S373/Paramètres!$E$29+T373/Paramètres!$E$30+U373/Paramètres!$E$31+V373/Paramètres!$E$32+W373/Paramètres!$E$33+X373/Paramètres!$E$34+Y373/Paramètres!$E$35,1)</f>
        <v>5.5</v>
      </c>
      <c r="AA373" s="22" t="s">
        <v>109</v>
      </c>
      <c r="AB373" s="22" t="s">
        <v>109</v>
      </c>
      <c r="AC373" s="15" t="str">
        <f aca="false">$E373</f>
        <v>étoffe astrale</v>
      </c>
      <c r="AD373" s="16" t="n">
        <f aca="false" t="array" ref="AD373:AD373">IF($I373&gt;=$AI373,"Max",ROUND(Paramètres!$B$40*($I373+1)^Paramètres!$B$41*INDEX(Paramètres!$H$6:$H$12,$AF373),0))</f>
        <v>4</v>
      </c>
      <c r="AE373" s="23" t="n">
        <f aca="false">MATCH($B373&amp;"|"&amp;$C373,Profils!$A$5:$A$34,0)</f>
        <v>12</v>
      </c>
      <c r="AF373" s="23" t="n">
        <v>3</v>
      </c>
      <c r="AG373" s="24" t="n">
        <f aca="false" t="array" ref="AG373:AG373">INDEX(Paramètres!$C$6:$C$12,$AF373)</f>
        <v>1.45</v>
      </c>
      <c r="AH373" s="23" t="n">
        <f aca="false" t="array" ref="AH373:AH373">INDEX(Paramètres!$D$6:$D$12,$AF373)</f>
        <v>4</v>
      </c>
      <c r="AI373" s="23" t="n">
        <f aca="false" t="array" ref="AI373:AI373">INDEX(Matériaux!$C$16:$C$20,$D373)</f>
        <v>30</v>
      </c>
      <c r="AJ373" s="25" t="n">
        <f aca="false">Paramètres!$B$16+(1-Paramètres!$B$16)*(($J373-Paramètres!$B$14)/(Paramètres!$B$15-Paramètres!$B$14))^Paramètres!$B$17</f>
        <v>0.665999387952727</v>
      </c>
    </row>
    <row r="374" customFormat="false" ht="15.75" hidden="false" customHeight="true" outlineLevel="0" collapsed="false">
      <c r="A374" s="14" t="s">
        <v>490</v>
      </c>
      <c r="B374" s="15" t="s">
        <v>29</v>
      </c>
      <c r="C374" s="15" t="s">
        <v>90</v>
      </c>
      <c r="D374" s="16" t="n">
        <v>5</v>
      </c>
      <c r="E374" s="15" t="str">
        <f aca="false" t="array" ref="E374:E374">INDEX(Matériaux!$B$5:$F$12,MATCH(INDEX(Profils!$E$5:$E$34,$AE374),Matériaux!$A$5:$A$12,0),$D374)</f>
        <v>étoffe astrale</v>
      </c>
      <c r="F374" s="28" t="s">
        <v>115</v>
      </c>
      <c r="G374" s="10" t="str">
        <f aca="false" t="array" ref="G374:G374">INDEX(Profils!$D$5:$D$34,$AE374)&amp;" en "&amp;$E374</f>
        <v>Robe en étoffe astrale</v>
      </c>
      <c r="H374" s="16" t="n">
        <f aca="false" t="array" ref="H374:H374">INDEX(Matériaux!$B$16:$B$20,$D374)</f>
        <v>70</v>
      </c>
      <c r="I374" s="16" t="n">
        <f aca="false">IF(ISNUMBER($C$3),MIN(MAX(0,ROUND($C$3,0)),$AI374),$AI374)</f>
        <v>0</v>
      </c>
      <c r="J374" s="18" t="n">
        <f aca="false">$H374+$I374</f>
        <v>70</v>
      </c>
      <c r="K374" s="15" t="s">
        <v>109</v>
      </c>
      <c r="L374" s="19" t="n">
        <f aca="false" t="array" ref="L374:L374">IF(AND(INDEX(Profils!$F$5:$F$34,$AE374)&gt;0,INDEX(Profils!$U$5:$U$34,$AE374)&lt;=$AH374),ROUND(INDEX(Profils!$F$5:$F$34,$AE374)*Paramètres!$E$22*$AG374*$AJ374,Paramètres!$F$22),0)</f>
        <v>58</v>
      </c>
      <c r="M374" s="19" t="n">
        <f aca="false" t="array" ref="M374:M374">IF(AND(INDEX(Profils!$G$5:$G$34,$AE374)&gt;0,INDEX(Profils!$V$5:$V$34,$AE374)&lt;=$AH374),ROUND(INDEX(Profils!$G$5:$G$34,$AE374)*Paramètres!$E$23*$AG374*$AJ374,Paramètres!$F$23),0)</f>
        <v>0</v>
      </c>
      <c r="N374" s="19" t="n">
        <f aca="false" t="array" ref="N374:N374">IF(AND(INDEX(Profils!$H$5:$H$34,$AE374)&gt;0,INDEX(Profils!$W$5:$W$34,$AE374)&lt;=$AH374),ROUND(INDEX(Profils!$H$5:$H$34,$AE374)*Paramètres!$E$24*$AG374*$AJ374,Paramètres!$F$24),0)</f>
        <v>0</v>
      </c>
      <c r="O374" s="19" t="n">
        <f aca="false" t="array" ref="O374:O374">IF(AND(INDEX(Profils!$I$5:$I$34,$AE374)&gt;0,INDEX(Profils!$X$5:$X$34,$AE374)&lt;=$AH374),ROUND(INDEX(Profils!$I$5:$I$34,$AE374)*Paramètres!$E$25*$AG374*$AJ374,Paramètres!$F$25),0)</f>
        <v>24</v>
      </c>
      <c r="P374" s="19" t="n">
        <f aca="false" t="array" ref="P374:P374">IF(AND(INDEX(Profils!$J$5:$J$34,$AE374)&gt;0,INDEX(Profils!$Y$5:$Y$34,$AE374)&lt;=$AH374),ROUND(INDEX(Profils!$J$5:$J$34,$AE374)*Paramètres!$E$26*$AG374*$AJ374,Paramètres!$F$26),0)</f>
        <v>0</v>
      </c>
      <c r="Q374" s="19" t="n">
        <f aca="false" t="array" ref="Q374:Q374">IF(AND(INDEX(Profils!$K$5:$K$34,$AE374)&gt;0,INDEX(Profils!$Z$5:$Z$34,$AE374)&lt;=$AH374),ROUND(INDEX(Profils!$K$5:$K$34,$AE374)*Paramètres!$E$27*$AG374*$AJ374,Paramètres!$F$27),0)</f>
        <v>0</v>
      </c>
      <c r="R374" s="20" t="n">
        <f aca="false" t="array" ref="R374:R374">IF(AND(INDEX(Profils!$L$5:$L$34,$AE374)&gt;0,INDEX(Profils!$AA$5:$AA$34,$AE374)&lt;=$AH374),ROUND(INDEX(Profils!$L$5:$L$34,$AE374)*Paramètres!$E$28*$AG374*$AJ374,Paramètres!$F$28),0)</f>
        <v>0</v>
      </c>
      <c r="S374" s="20" t="n">
        <f aca="false" t="array" ref="S374:S374">IF(AND(INDEX(Profils!$M$5:$M$34,$AE374)&gt;0,INDEX(Profils!$AB$5:$AB$34,$AE374)&lt;=$AH374),ROUND(INDEX(Profils!$M$5:$M$34,$AE374)*Paramètres!$E$29*$AG374*$AJ374,Paramètres!$F$29),0)</f>
        <v>0</v>
      </c>
      <c r="T374" s="20" t="n">
        <f aca="false" t="array" ref="T374:T374">IF(AND(INDEX(Profils!$N$5:$N$34,$AE374)&gt;0,INDEX(Profils!$AC$5:$AC$34,$AE374)&lt;=$AH374),ROUND(INDEX(Profils!$N$5:$N$34,$AE374)*Paramètres!$E$30*$AG374*$AJ374,Paramètres!$F$30),0)</f>
        <v>0</v>
      </c>
      <c r="U374" s="19" t="n">
        <f aca="false" t="array" ref="U374:U374">IF(AND(INDEX(Profils!$O$5:$O$34,$AE374)&gt;0,INDEX(Profils!$AD$5:$AD$34,$AE374)&lt;=$AH374),ROUND(INDEX(Profils!$O$5:$O$34,$AE374)*Paramètres!$E$31*$AG374*$AJ374,Paramètres!$F$31),0)</f>
        <v>21</v>
      </c>
      <c r="V374" s="20" t="n">
        <f aca="false" t="array" ref="V374:V374">IF(AND(INDEX(Profils!$P$5:$P$34,$AE374)&gt;0,INDEX(Profils!$AE$5:$AE$34,$AE374)&lt;=$AH374),ROUND(INDEX(Profils!$P$5:$P$34,$AE374)*Paramètres!$E$32*$AG374*$AJ374,Paramètres!$F$32),0)</f>
        <v>0</v>
      </c>
      <c r="W374" s="20" t="n">
        <f aca="false" t="array" ref="W374:W374">IF(AND(INDEX(Profils!$Q$5:$Q$34,$AE374)&gt;0,INDEX(Profils!$AF$5:$AF$34,$AE374)&lt;=$AH374),ROUND(INDEX(Profils!$Q$5:$Q$34,$AE374)*Paramètres!$E$33*$AG374*$AJ374,Paramètres!$F$33),0)</f>
        <v>0.024</v>
      </c>
      <c r="X374" s="20" t="n">
        <f aca="false" t="array" ref="X374:X374">IF(AND(INDEX(Profils!$R$5:$R$34,$AE374)&gt;0,INDEX(Profils!$AG$5:$AG$34,$AE374)&lt;=$AH374),ROUND(INDEX(Profils!$R$5:$R$34,$AE374)*Paramètres!$E$34*$AG374*$AJ374,Paramètres!$F$34),0)</f>
        <v>0</v>
      </c>
      <c r="Y374" s="20" t="n">
        <f aca="false" t="array" ref="Y374:Y374">IF(AND(INDEX(Profils!$S$5:$S$34,$AE374)&gt;0,INDEX(Profils!$AH$5:$AH$34,$AE374)&lt;=$AH374),ROUND(INDEX(Profils!$S$5:$S$34,$AE374)*Paramètres!$E$35*$AG374*$AJ374,Paramètres!$F$35),0)</f>
        <v>0.017</v>
      </c>
      <c r="Z374" s="21" t="n">
        <f aca="false">ROUND(L374/Paramètres!$E$22+M374/Paramètres!$E$23+N374/Paramètres!$E$24+O374/Paramètres!$E$25+P374/Paramètres!$E$26+Q374/Paramètres!$E$27+R374/Paramètres!$E$28+S374/Paramètres!$E$29+T374/Paramètres!$E$30+U374/Paramètres!$E$31+V374/Paramètres!$E$32+W374/Paramètres!$E$33+X374/Paramètres!$E$34+Y374/Paramètres!$E$35,1)</f>
        <v>7.7</v>
      </c>
      <c r="AA374" s="22" t="s">
        <v>109</v>
      </c>
      <c r="AB374" s="22" t="s">
        <v>109</v>
      </c>
      <c r="AC374" s="15" t="str">
        <f aca="false">$E374</f>
        <v>étoffe astrale</v>
      </c>
      <c r="AD374" s="16" t="n">
        <f aca="false" t="array" ref="AD374:AD374">IF($I374&gt;=$AI374,"Max",ROUND(Paramètres!$B$40*($I374+1)^Paramètres!$B$41*INDEX(Paramètres!$H$6:$H$12,$AF374),0))</f>
        <v>5</v>
      </c>
      <c r="AE374" s="23" t="n">
        <f aca="false">MATCH($B374&amp;"|"&amp;$C374,Profils!$A$5:$A$34,0)</f>
        <v>12</v>
      </c>
      <c r="AF374" s="23" t="n">
        <v>4</v>
      </c>
      <c r="AG374" s="24" t="n">
        <f aca="false" t="array" ref="AG374:AG374">INDEX(Paramètres!$C$6:$C$12,$AF374)</f>
        <v>1.75</v>
      </c>
      <c r="AH374" s="23" t="n">
        <f aca="false" t="array" ref="AH374:AH374">INDEX(Paramètres!$D$6:$D$12,$AF374)</f>
        <v>5</v>
      </c>
      <c r="AI374" s="23" t="n">
        <f aca="false" t="array" ref="AI374:AI374">INDEX(Matériaux!$C$16:$C$20,$D374)</f>
        <v>30</v>
      </c>
      <c r="AJ374" s="25" t="n">
        <f aca="false">Paramètres!$B$16+(1-Paramètres!$B$16)*(($J374-Paramètres!$B$14)/(Paramètres!$B$15-Paramètres!$B$14))^Paramètres!$B$17</f>
        <v>0.665999387952727</v>
      </c>
    </row>
    <row r="375" customFormat="false" ht="15.75" hidden="false" customHeight="true" outlineLevel="0" collapsed="false">
      <c r="A375" s="14" t="s">
        <v>491</v>
      </c>
      <c r="B375" s="15" t="s">
        <v>29</v>
      </c>
      <c r="C375" s="15" t="s">
        <v>90</v>
      </c>
      <c r="D375" s="16" t="n">
        <v>5</v>
      </c>
      <c r="E375" s="15" t="str">
        <f aca="false" t="array" ref="E375:E375">INDEX(Matériaux!$B$5:$F$12,MATCH(INDEX(Profils!$E$5:$E$34,$AE375),Matériaux!$A$5:$A$12,0),$D375)</f>
        <v>étoffe astrale</v>
      </c>
      <c r="F375" s="29" t="s">
        <v>117</v>
      </c>
      <c r="G375" s="10" t="str">
        <f aca="false" t="array" ref="G375:G375">INDEX(Profils!$D$5:$D$34,$AE375)&amp;" en "&amp;$E375</f>
        <v>Robe en étoffe astrale</v>
      </c>
      <c r="H375" s="16" t="n">
        <f aca="false" t="array" ref="H375:H375">INDEX(Matériaux!$B$16:$B$20,$D375)</f>
        <v>70</v>
      </c>
      <c r="I375" s="16" t="n">
        <f aca="false">IF(ISNUMBER($C$3),MIN(MAX(0,ROUND($C$3,0)),$AI375),$AI375)</f>
        <v>0</v>
      </c>
      <c r="J375" s="18" t="n">
        <f aca="false">$H375+$I375</f>
        <v>70</v>
      </c>
      <c r="K375" s="15" t="s">
        <v>109</v>
      </c>
      <c r="L375" s="19" t="n">
        <f aca="false" t="array" ref="L375:L375">IF(AND(INDEX(Profils!$F$5:$F$34,$AE375)&gt;0,INDEX(Profils!$U$5:$U$34,$AE375)&lt;=$AH375),ROUND(INDEX(Profils!$F$5:$F$34,$AE375)*Paramètres!$E$22*$AG375*$AJ375,Paramètres!$F$22),0)</f>
        <v>70</v>
      </c>
      <c r="M375" s="19" t="n">
        <f aca="false" t="array" ref="M375:M375">IF(AND(INDEX(Profils!$G$5:$G$34,$AE375)&gt;0,INDEX(Profils!$V$5:$V$34,$AE375)&lt;=$AH375),ROUND(INDEX(Profils!$G$5:$G$34,$AE375)*Paramètres!$E$23*$AG375*$AJ375,Paramètres!$F$23),0)</f>
        <v>0</v>
      </c>
      <c r="N375" s="19" t="n">
        <f aca="false" t="array" ref="N375:N375">IF(AND(INDEX(Profils!$H$5:$H$34,$AE375)&gt;0,INDEX(Profils!$W$5:$W$34,$AE375)&lt;=$AH375),ROUND(INDEX(Profils!$H$5:$H$34,$AE375)*Paramètres!$E$24*$AG375*$AJ375,Paramètres!$F$24),0)</f>
        <v>0</v>
      </c>
      <c r="O375" s="19" t="n">
        <f aca="false" t="array" ref="O375:O375">IF(AND(INDEX(Profils!$I$5:$I$34,$AE375)&gt;0,INDEX(Profils!$X$5:$X$34,$AE375)&lt;=$AH375),ROUND(INDEX(Profils!$I$5:$I$34,$AE375)*Paramètres!$E$25*$AG375*$AJ375,Paramètres!$F$25),0)</f>
        <v>29</v>
      </c>
      <c r="P375" s="19" t="n">
        <f aca="false" t="array" ref="P375:P375">IF(AND(INDEX(Profils!$J$5:$J$34,$AE375)&gt;0,INDEX(Profils!$Y$5:$Y$34,$AE375)&lt;=$AH375),ROUND(INDEX(Profils!$J$5:$J$34,$AE375)*Paramètres!$E$26*$AG375*$AJ375,Paramètres!$F$26),0)</f>
        <v>12</v>
      </c>
      <c r="Q375" s="19" t="n">
        <f aca="false" t="array" ref="Q375:Q375">IF(AND(INDEX(Profils!$K$5:$K$34,$AE375)&gt;0,INDEX(Profils!$Z$5:$Z$34,$AE375)&lt;=$AH375),ROUND(INDEX(Profils!$K$5:$K$34,$AE375)*Paramètres!$E$27*$AG375*$AJ375,Paramètres!$F$27),0)</f>
        <v>0</v>
      </c>
      <c r="R375" s="20" t="n">
        <f aca="false" t="array" ref="R375:R375">IF(AND(INDEX(Profils!$L$5:$L$34,$AE375)&gt;0,INDEX(Profils!$AA$5:$AA$34,$AE375)&lt;=$AH375),ROUND(INDEX(Profils!$L$5:$L$34,$AE375)*Paramètres!$E$28*$AG375*$AJ375,Paramètres!$F$28),0)</f>
        <v>0</v>
      </c>
      <c r="S375" s="20" t="n">
        <f aca="false" t="array" ref="S375:S375">IF(AND(INDEX(Profils!$M$5:$M$34,$AE375)&gt;0,INDEX(Profils!$AB$5:$AB$34,$AE375)&lt;=$AH375),ROUND(INDEX(Profils!$M$5:$M$34,$AE375)*Paramètres!$E$29*$AG375*$AJ375,Paramètres!$F$29),0)</f>
        <v>0</v>
      </c>
      <c r="T375" s="20" t="n">
        <f aca="false" t="array" ref="T375:T375">IF(AND(INDEX(Profils!$N$5:$N$34,$AE375)&gt;0,INDEX(Profils!$AC$5:$AC$34,$AE375)&lt;=$AH375),ROUND(INDEX(Profils!$N$5:$N$34,$AE375)*Paramètres!$E$30*$AG375*$AJ375,Paramètres!$F$30),0)</f>
        <v>0</v>
      </c>
      <c r="U375" s="19" t="n">
        <f aca="false" t="array" ref="U375:U375">IF(AND(INDEX(Profils!$O$5:$O$34,$AE375)&gt;0,INDEX(Profils!$AD$5:$AD$34,$AE375)&lt;=$AH375),ROUND(INDEX(Profils!$O$5:$O$34,$AE375)*Paramètres!$E$31*$AG375*$AJ375,Paramètres!$F$31),0)</f>
        <v>25</v>
      </c>
      <c r="V375" s="20" t="n">
        <f aca="false" t="array" ref="V375:V375">IF(AND(INDEX(Profils!$P$5:$P$34,$AE375)&gt;0,INDEX(Profils!$AE$5:$AE$34,$AE375)&lt;=$AH375),ROUND(INDEX(Profils!$P$5:$P$34,$AE375)*Paramètres!$E$32*$AG375*$AJ375,Paramètres!$F$32),0)</f>
        <v>0</v>
      </c>
      <c r="W375" s="20" t="n">
        <f aca="false" t="array" ref="W375:W375">IF(AND(INDEX(Profils!$Q$5:$Q$34,$AE375)&gt;0,INDEX(Profils!$AF$5:$AF$34,$AE375)&lt;=$AH375),ROUND(INDEX(Profils!$Q$5:$Q$34,$AE375)*Paramètres!$E$33*$AG375*$AJ375,Paramètres!$F$33),0)</f>
        <v>0.029</v>
      </c>
      <c r="X375" s="20" t="n">
        <f aca="false" t="array" ref="X375:X375">IF(AND(INDEX(Profils!$R$5:$R$34,$AE375)&gt;0,INDEX(Profils!$AG$5:$AG$34,$AE375)&lt;=$AH375),ROUND(INDEX(Profils!$R$5:$R$34,$AE375)*Paramètres!$E$34*$AG375*$AJ375,Paramètres!$F$34),0)</f>
        <v>0</v>
      </c>
      <c r="Y375" s="20" t="n">
        <f aca="false" t="array" ref="Y375:Y375">IF(AND(INDEX(Profils!$S$5:$S$34,$AE375)&gt;0,INDEX(Profils!$AH$5:$AH$34,$AE375)&lt;=$AH375),ROUND(INDEX(Profils!$S$5:$S$34,$AE375)*Paramètres!$E$35*$AG375*$AJ375,Paramètres!$F$35),0)</f>
        <v>0.021</v>
      </c>
      <c r="Z375" s="21" t="n">
        <f aca="false">ROUND(L375/Paramètres!$E$22+M375/Paramètres!$E$23+N375/Paramètres!$E$24+O375/Paramètres!$E$25+P375/Paramètres!$E$26+Q375/Paramètres!$E$27+R375/Paramètres!$E$28+S375/Paramètres!$E$29+T375/Paramètres!$E$30+U375/Paramètres!$E$31+V375/Paramètres!$E$32+W375/Paramètres!$E$33+X375/Paramètres!$E$34+Y375/Paramètres!$E$35,1)</f>
        <v>10.3</v>
      </c>
      <c r="AA375" s="22" t="s">
        <v>109</v>
      </c>
      <c r="AB375" s="22" t="s">
        <v>109</v>
      </c>
      <c r="AC375" s="15" t="str">
        <f aca="false">$E375</f>
        <v>étoffe astrale</v>
      </c>
      <c r="AD375" s="16" t="n">
        <f aca="false" t="array" ref="AD375:AD375">IF($I375&gt;=$AI375,"Max",ROUND(Paramètres!$B$40*($I375+1)^Paramètres!$B$41*INDEX(Paramètres!$H$6:$H$12,$AF375),0))</f>
        <v>6</v>
      </c>
      <c r="AE375" s="23" t="n">
        <f aca="false">MATCH($B375&amp;"|"&amp;$C375,Profils!$A$5:$A$34,0)</f>
        <v>12</v>
      </c>
      <c r="AF375" s="23" t="n">
        <v>5</v>
      </c>
      <c r="AG375" s="24" t="n">
        <f aca="false" t="array" ref="AG375:AG375">INDEX(Paramètres!$C$6:$C$12,$AF375)</f>
        <v>2.1</v>
      </c>
      <c r="AH375" s="23" t="n">
        <f aca="false" t="array" ref="AH375:AH375">INDEX(Paramètres!$D$6:$D$12,$AF375)</f>
        <v>6</v>
      </c>
      <c r="AI375" s="23" t="n">
        <f aca="false" t="array" ref="AI375:AI375">INDEX(Matériaux!$C$16:$C$20,$D375)</f>
        <v>30</v>
      </c>
      <c r="AJ375" s="25" t="n">
        <f aca="false">Paramètres!$B$16+(1-Paramètres!$B$16)*(($J375-Paramètres!$B$14)/(Paramètres!$B$15-Paramètres!$B$14))^Paramètres!$B$17</f>
        <v>0.665999387952727</v>
      </c>
    </row>
    <row r="376" customFormat="false" ht="15.75" hidden="false" customHeight="true" outlineLevel="0" collapsed="false">
      <c r="A376" s="14" t="s">
        <v>492</v>
      </c>
      <c r="B376" s="15" t="s">
        <v>29</v>
      </c>
      <c r="C376" s="15" t="s">
        <v>90</v>
      </c>
      <c r="D376" s="16" t="n">
        <v>5</v>
      </c>
      <c r="E376" s="15" t="str">
        <f aca="false" t="array" ref="E376:E376">INDEX(Matériaux!$B$5:$F$12,MATCH(INDEX(Profils!$E$5:$E$34,$AE376),Matériaux!$A$5:$A$12,0),$D376)</f>
        <v>étoffe astrale</v>
      </c>
      <c r="F376" s="30" t="s">
        <v>119</v>
      </c>
      <c r="G376" s="10" t="str">
        <f aca="false" t="array" ref="G376:G376">INDEX(Profils!$D$5:$D$34,$AE376)&amp;" en "&amp;$E376</f>
        <v>Robe en étoffe astrale</v>
      </c>
      <c r="H376" s="16" t="n">
        <f aca="false" t="array" ref="H376:H376">INDEX(Matériaux!$B$16:$B$20,$D376)</f>
        <v>70</v>
      </c>
      <c r="I376" s="16" t="n">
        <f aca="false">IF(ISNUMBER($C$3),MIN(MAX(0,ROUND($C$3,0)),$AI376),$AI376)</f>
        <v>0</v>
      </c>
      <c r="J376" s="18" t="n">
        <f aca="false">$H376+$I376</f>
        <v>70</v>
      </c>
      <c r="K376" s="15" t="s">
        <v>109</v>
      </c>
      <c r="L376" s="19" t="n">
        <f aca="false" t="array" ref="L376:L376">IF(AND(INDEX(Profils!$F$5:$F$34,$AE376)&gt;0,INDEX(Profils!$U$5:$U$34,$AE376)&lt;=$AH376),ROUND(INDEX(Profils!$F$5:$F$34,$AE376)*Paramètres!$E$22*$AG376*$AJ376,Paramètres!$F$22),0)</f>
        <v>80</v>
      </c>
      <c r="M376" s="19" t="n">
        <f aca="false" t="array" ref="M376:M376">IF(AND(INDEX(Profils!$G$5:$G$34,$AE376)&gt;0,INDEX(Profils!$V$5:$V$34,$AE376)&lt;=$AH376),ROUND(INDEX(Profils!$G$5:$G$34,$AE376)*Paramètres!$E$23*$AG376*$AJ376,Paramètres!$F$23),0)</f>
        <v>0</v>
      </c>
      <c r="N376" s="19" t="n">
        <f aca="false" t="array" ref="N376:N376">IF(AND(INDEX(Profils!$H$5:$H$34,$AE376)&gt;0,INDEX(Profils!$W$5:$W$34,$AE376)&lt;=$AH376),ROUND(INDEX(Profils!$H$5:$H$34,$AE376)*Paramètres!$E$24*$AG376*$AJ376,Paramètres!$F$24),0)</f>
        <v>14</v>
      </c>
      <c r="O376" s="19" t="n">
        <f aca="false" t="array" ref="O376:O376">IF(AND(INDEX(Profils!$I$5:$I$34,$AE376)&gt;0,INDEX(Profils!$X$5:$X$34,$AE376)&lt;=$AH376),ROUND(INDEX(Profils!$I$5:$I$34,$AE376)*Paramètres!$E$25*$AG376*$AJ376,Paramètres!$F$25),0)</f>
        <v>34</v>
      </c>
      <c r="P376" s="19" t="n">
        <f aca="false" t="array" ref="P376:P376">IF(AND(INDEX(Profils!$J$5:$J$34,$AE376)&gt;0,INDEX(Profils!$Y$5:$Y$34,$AE376)&lt;=$AH376),ROUND(INDEX(Profils!$J$5:$J$34,$AE376)*Paramètres!$E$26*$AG376*$AJ376,Paramètres!$F$26),0)</f>
        <v>13</v>
      </c>
      <c r="Q376" s="19" t="n">
        <f aca="false" t="array" ref="Q376:Q376">IF(AND(INDEX(Profils!$K$5:$K$34,$AE376)&gt;0,INDEX(Profils!$Z$5:$Z$34,$AE376)&lt;=$AH376),ROUND(INDEX(Profils!$K$5:$K$34,$AE376)*Paramètres!$E$27*$AG376*$AJ376,Paramètres!$F$27),0)</f>
        <v>0</v>
      </c>
      <c r="R376" s="20" t="n">
        <f aca="false" t="array" ref="R376:R376">IF(AND(INDEX(Profils!$L$5:$L$34,$AE376)&gt;0,INDEX(Profils!$AA$5:$AA$34,$AE376)&lt;=$AH376),ROUND(INDEX(Profils!$L$5:$L$34,$AE376)*Paramètres!$E$28*$AG376*$AJ376,Paramètres!$F$28),0)</f>
        <v>0</v>
      </c>
      <c r="S376" s="20" t="n">
        <f aca="false" t="array" ref="S376:S376">IF(AND(INDEX(Profils!$M$5:$M$34,$AE376)&gt;0,INDEX(Profils!$AB$5:$AB$34,$AE376)&lt;=$AH376),ROUND(INDEX(Profils!$M$5:$M$34,$AE376)*Paramètres!$E$29*$AG376*$AJ376,Paramètres!$F$29),0)</f>
        <v>0</v>
      </c>
      <c r="T376" s="20" t="n">
        <f aca="false" t="array" ref="T376:T376">IF(AND(INDEX(Profils!$N$5:$N$34,$AE376)&gt;0,INDEX(Profils!$AC$5:$AC$34,$AE376)&lt;=$AH376),ROUND(INDEX(Profils!$N$5:$N$34,$AE376)*Paramètres!$E$30*$AG376*$AJ376,Paramètres!$F$30),0)</f>
        <v>0</v>
      </c>
      <c r="U376" s="19" t="n">
        <f aca="false" t="array" ref="U376:U376">IF(AND(INDEX(Profils!$O$5:$O$34,$AE376)&gt;0,INDEX(Profils!$AD$5:$AD$34,$AE376)&lt;=$AH376),ROUND(INDEX(Profils!$O$5:$O$34,$AE376)*Paramètres!$E$31*$AG376*$AJ376,Paramètres!$F$31),0)</f>
        <v>29</v>
      </c>
      <c r="V376" s="20" t="n">
        <f aca="false" t="array" ref="V376:V376">IF(AND(INDEX(Profils!$P$5:$P$34,$AE376)&gt;0,INDEX(Profils!$AE$5:$AE$34,$AE376)&lt;=$AH376),ROUND(INDEX(Profils!$P$5:$P$34,$AE376)*Paramètres!$E$32*$AG376*$AJ376,Paramètres!$F$32),0)</f>
        <v>0</v>
      </c>
      <c r="W376" s="20" t="n">
        <f aca="false" t="array" ref="W376:W376">IF(AND(INDEX(Profils!$Q$5:$Q$34,$AE376)&gt;0,INDEX(Profils!$AF$5:$AF$34,$AE376)&lt;=$AH376),ROUND(INDEX(Profils!$Q$5:$Q$34,$AE376)*Paramètres!$E$33*$AG376*$AJ376,Paramètres!$F$33),0)</f>
        <v>0.034</v>
      </c>
      <c r="X376" s="20" t="n">
        <f aca="false" t="array" ref="X376:X376">IF(AND(INDEX(Profils!$R$5:$R$34,$AE376)&gt;0,INDEX(Profils!$AG$5:$AG$34,$AE376)&lt;=$AH376),ROUND(INDEX(Profils!$R$5:$R$34,$AE376)*Paramètres!$E$34*$AG376*$AJ376,Paramètres!$F$34),0)</f>
        <v>0</v>
      </c>
      <c r="Y376" s="20" t="n">
        <f aca="false" t="array" ref="Y376:Y376">IF(AND(INDEX(Profils!$S$5:$S$34,$AE376)&gt;0,INDEX(Profils!$AH$5:$AH$34,$AE376)&lt;=$AH376),ROUND(INDEX(Profils!$S$5:$S$34,$AE376)*Paramètres!$E$35*$AG376*$AJ376,Paramètres!$F$35),0)</f>
        <v>0.024</v>
      </c>
      <c r="Z376" s="21" t="n">
        <f aca="false">ROUND(L376/Paramètres!$E$22+M376/Paramètres!$E$23+N376/Paramètres!$E$24+O376/Paramètres!$E$25+P376/Paramètres!$E$26+Q376/Paramètres!$E$27+R376/Paramètres!$E$28+S376/Paramètres!$E$29+T376/Paramètres!$E$30+U376/Paramètres!$E$31+V376/Paramètres!$E$32+W376/Paramètres!$E$33+X376/Paramètres!$E$34+Y376/Paramètres!$E$35,1)</f>
        <v>12.8</v>
      </c>
      <c r="AA376" s="22" t="s">
        <v>109</v>
      </c>
      <c r="AB376" s="22" t="s">
        <v>109</v>
      </c>
      <c r="AC376" s="15" t="str">
        <f aca="false">$E376</f>
        <v>étoffe astrale</v>
      </c>
      <c r="AD376" s="16" t="n">
        <f aca="false" t="array" ref="AD376:AD376">IF($I376&gt;=$AI376,"Max",ROUND(Paramètres!$B$40*($I376+1)^Paramètres!$B$41*INDEX(Paramètres!$H$6:$H$12,$AF376),0))</f>
        <v>8</v>
      </c>
      <c r="AE376" s="23" t="n">
        <f aca="false">MATCH($B376&amp;"|"&amp;$C376,Profils!$A$5:$A$34,0)</f>
        <v>12</v>
      </c>
      <c r="AF376" s="23" t="n">
        <v>6</v>
      </c>
      <c r="AG376" s="24" t="n">
        <f aca="false" t="array" ref="AG376:AG376">INDEX(Paramètres!$C$6:$C$12,$AF376)</f>
        <v>2.4</v>
      </c>
      <c r="AH376" s="23" t="n">
        <f aca="false" t="array" ref="AH376:AH376">INDEX(Paramètres!$D$6:$D$12,$AF376)</f>
        <v>7</v>
      </c>
      <c r="AI376" s="23" t="n">
        <f aca="false" t="array" ref="AI376:AI376">INDEX(Matériaux!$C$16:$C$20,$D376)</f>
        <v>30</v>
      </c>
      <c r="AJ376" s="25" t="n">
        <f aca="false">Paramètres!$B$16+(1-Paramètres!$B$16)*(($J376-Paramètres!$B$14)/(Paramètres!$B$15-Paramètres!$B$14))^Paramètres!$B$17</f>
        <v>0.665999387952727</v>
      </c>
    </row>
    <row r="377" customFormat="false" ht="15.75" hidden="false" customHeight="true" outlineLevel="0" collapsed="false">
      <c r="A377" s="14" t="s">
        <v>493</v>
      </c>
      <c r="B377" s="15" t="s">
        <v>29</v>
      </c>
      <c r="C377" s="15" t="s">
        <v>90</v>
      </c>
      <c r="D377" s="16" t="s">
        <v>109</v>
      </c>
      <c r="E377" s="15" t="s">
        <v>109</v>
      </c>
      <c r="F377" s="31" t="s">
        <v>38</v>
      </c>
      <c r="G377" s="10" t="str">
        <f aca="false" t="array" ref="G377:G377">INDEX(Uniques!$E$5:$E$34,MATCH($B377&amp;"|"&amp;$C377,Uniques!$A$5:$A$34,0))</f>
        <v>Robe du Givre Éternel</v>
      </c>
      <c r="H377" s="16" t="n">
        <f aca="false" t="array" ref="H377:H377">INDEX(Uniques!$L$5:$L$34,MATCH($B377&amp;"|"&amp;$C377,Uniques!$A$5:$A$34,0))</f>
        <v>61</v>
      </c>
      <c r="I377" s="16" t="n">
        <f aca="false">IF(ISNUMBER($C$3),MIN(MAX(0,ROUND($C$3,0)),$AI377),$AI377)</f>
        <v>0</v>
      </c>
      <c r="J377" s="18" t="n">
        <f aca="false">$H377+$I377</f>
        <v>61</v>
      </c>
      <c r="K377" s="15" t="str">
        <f aca="false" t="array" ref="K377:K377">INDEX(Uniques!$F$5:$F$34,MATCH($B377&amp;"|"&amp;$C377,Uniques!$A$5:$A$34,0))</f>
        <v>Glace</v>
      </c>
      <c r="L377" s="19" t="n">
        <f aca="false" t="array" ref="L377:L377">IF(AND(INDEX(Profils!$F$5:$F$34,$AE377)&gt;0,INDEX(Profils!$U$5:$U$34,$AE377)&lt;=$AH377),ROUND(INDEX(Profils!$F$5:$F$34,$AE377)*Paramètres!$E$22*$AG377*$AJ377,Paramètres!$F$22),0)</f>
        <v>71</v>
      </c>
      <c r="M377" s="19" t="n">
        <f aca="false" t="array" ref="M377:M377">IF(AND(INDEX(Profils!$G$5:$G$34,$AE377)&gt;0,INDEX(Profils!$V$5:$V$34,$AE377)&lt;=$AH377),ROUND(INDEX(Profils!$G$5:$G$34,$AE377)*Paramètres!$E$23*$AG377*$AJ377,Paramètres!$F$23),0)</f>
        <v>0</v>
      </c>
      <c r="N377" s="19" t="n">
        <f aca="false" t="array" ref="N377:N377">IF(AND(INDEX(Profils!$H$5:$H$34,$AE377)&gt;0,INDEX(Profils!$W$5:$W$34,$AE377)&lt;=$AH377),ROUND(INDEX(Profils!$H$5:$H$34,$AE377)*Paramètres!$E$24*$AG377*$AJ377,Paramètres!$F$24),0)</f>
        <v>13</v>
      </c>
      <c r="O377" s="19" t="n">
        <f aca="false" t="array" ref="O377:O377">IF(AND(INDEX(Profils!$I$5:$I$34,$AE377)&gt;0,INDEX(Profils!$X$5:$X$34,$AE377)&lt;=$AH377),ROUND(INDEX(Profils!$I$5:$I$34,$AE377)*Paramètres!$E$25*$AG377*$AJ377,Paramètres!$F$25),0)</f>
        <v>30</v>
      </c>
      <c r="P377" s="19" t="n">
        <f aca="false" t="array" ref="P377:P377">IF(AND(INDEX(Profils!$J$5:$J$34,$AE377)&gt;0,INDEX(Profils!$Y$5:$Y$34,$AE377)&lt;=$AH377),ROUND(INDEX(Profils!$J$5:$J$34,$AE377)*Paramètres!$E$26*$AG377*$AJ377,Paramètres!$F$26),0)</f>
        <v>12</v>
      </c>
      <c r="Q377" s="19" t="n">
        <f aca="false" t="array" ref="Q377:Q377">IF(AND(INDEX(Profils!$K$5:$K$34,$AE377)&gt;0,INDEX(Profils!$Z$5:$Z$34,$AE377)&lt;=$AH377),ROUND(INDEX(Profils!$K$5:$K$34,$AE377)*Paramètres!$E$27*$AG377*$AJ377,Paramètres!$F$27),0)</f>
        <v>0</v>
      </c>
      <c r="R377" s="20" t="n">
        <f aca="false" t="array" ref="R377:R377">IF(AND(INDEX(Profils!$L$5:$L$34,$AE377)&gt;0,INDEX(Profils!$AA$5:$AA$34,$AE377)&lt;=$AH377),ROUND(INDEX(Profils!$L$5:$L$34,$AE377)*Paramètres!$E$28*$AG377*$AJ377,Paramètres!$F$28),0)</f>
        <v>0</v>
      </c>
      <c r="S377" s="20" t="n">
        <f aca="false" t="array" ref="S377:S377">IF(AND(INDEX(Profils!$M$5:$M$34,$AE377)&gt;0,INDEX(Profils!$AB$5:$AB$34,$AE377)&lt;=$AH377),ROUND(INDEX(Profils!$M$5:$M$34,$AE377)*Paramètres!$E$29*$AG377*$AJ377,Paramètres!$F$29),0)</f>
        <v>0</v>
      </c>
      <c r="T377" s="20" t="n">
        <f aca="false" t="array" ref="T377:T377">IF(AND(INDEX(Profils!$N$5:$N$34,$AE377)&gt;0,INDEX(Profils!$AC$5:$AC$34,$AE377)&lt;=$AH377),ROUND(INDEX(Profils!$N$5:$N$34,$AE377)*Paramètres!$E$30*$AG377*$AJ377,Paramètres!$F$30),0)</f>
        <v>0</v>
      </c>
      <c r="U377" s="19" t="n">
        <f aca="false" t="array" ref="U377:U377">IF(AND(INDEX(Profils!$O$5:$O$34,$AE377)&gt;0,INDEX(Profils!$AD$5:$AD$34,$AE377)&lt;=$AH377),ROUND(INDEX(Profils!$O$5:$O$34,$AE377)*Paramètres!$E$31*$AG377*$AJ377,Paramètres!$F$31),0)</f>
        <v>26</v>
      </c>
      <c r="V377" s="20" t="n">
        <f aca="false" t="array" ref="V377:V377">IF(AND(INDEX(Profils!$P$5:$P$34,$AE377)&gt;0,INDEX(Profils!$AE$5:$AE$34,$AE377)&lt;=$AH377),ROUND(INDEX(Profils!$P$5:$P$34,$AE377)*Paramètres!$E$32*$AG377*$AJ377,Paramètres!$F$32),0)</f>
        <v>0</v>
      </c>
      <c r="W377" s="20" t="n">
        <f aca="false" t="array" ref="W377:W377">IF(AND(INDEX(Profils!$Q$5:$Q$34,$AE377)&gt;0,INDEX(Profils!$AF$5:$AF$34,$AE377)&lt;=$AH377),ROUND(INDEX(Profils!$Q$5:$Q$34,$AE377)*Paramètres!$E$33*$AG377*$AJ377,Paramètres!$F$33),0)</f>
        <v>0.03</v>
      </c>
      <c r="X377" s="20" t="n">
        <f aca="false" t="array" ref="X377:X377">IF(AND(INDEX(Profils!$R$5:$R$34,$AE377)&gt;0,INDEX(Profils!$AG$5:$AG$34,$AE377)&lt;=$AH377),ROUND(INDEX(Profils!$R$5:$R$34,$AE377)*Paramètres!$E$34*$AG377*$AJ377,Paramètres!$F$34),0)</f>
        <v>0</v>
      </c>
      <c r="Y377" s="20" t="n">
        <f aca="false" t="array" ref="Y377:Y377">IF(AND(INDEX(Profils!$S$5:$S$34,$AE377)&gt;0,INDEX(Profils!$AH$5:$AH$34,$AE377)&lt;=$AH377),ROUND(INDEX(Profils!$S$5:$S$34,$AE377)*Paramètres!$E$35*$AG377*$AJ377,Paramètres!$F$35),0)</f>
        <v>0.021</v>
      </c>
      <c r="Z377" s="21" t="n">
        <f aca="false">ROUND(L377/Paramètres!$E$22+M377/Paramètres!$E$23+N377/Paramètres!$E$24+O377/Paramètres!$E$25+P377/Paramètres!$E$26+Q377/Paramètres!$E$27+R377/Paramètres!$E$28+S377/Paramètres!$E$29+T377/Paramètres!$E$30+U377/Paramètres!$E$31+V377/Paramètres!$E$32+W377/Paramètres!$E$33+X377/Paramètres!$E$34+Y377/Paramètres!$E$35,1)</f>
        <v>11.4</v>
      </c>
      <c r="AA377" s="22" t="str">
        <f aca="false" t="array" ref="AA377:AA377">INDEX(Uniques!$G$5:$G$34,MATCH($B377&amp;"|"&amp;$C377,Uniques!$A$5:$A$34,0))</f>
        <v>Manteau de givre</v>
      </c>
      <c r="AB377" s="22" t="str">
        <f aca="false" t="array" ref="AB377:AB377">INDEX(Uniques!$H$5:$H$34,MATCH($B377&amp;"|"&amp;$C377,Uniques!$A$5:$A$34,0))&amp;" ["&amp;INDEX(Uniques!$I$5:$I$34,MATCH($B377&amp;"|"&amp;$C377,Uniques!$A$5:$A$34,0))&amp;"]"</f>
        <v>Quand le porteur subit une attaque physique, 20 % de chance d'appliquer Froid à l'attaquant (−8 % d'Agilité, 2 tours). [Froid non cumulable ; gel après 3 applications.]</v>
      </c>
      <c r="AC377" s="15" t="str">
        <f aca="false" t="array" ref="AC377:AC377">INDEX(Matériaux!$B$5:$F$12,MATCH(INDEX(Profils!$E$5:$E$34,$AE377),Matériaux!$A$5:$A$12,0),MATCH(MIN($J377+1,100),Matériaux!$B$16:$B$20,1))</f>
        <v>velours enchanté</v>
      </c>
      <c r="AD377" s="16" t="n">
        <f aca="false" t="array" ref="AD377:AD377">IF($I377&gt;=$AI377,"Max",ROUND(Paramètres!$B$40*($I377+1)^Paramètres!$B$41*INDEX(Paramètres!$H$6:$H$12,$AF377),0))</f>
        <v>9</v>
      </c>
      <c r="AE377" s="23" t="n">
        <f aca="false">MATCH($B377&amp;"|"&amp;$C377,Profils!$A$5:$A$34,0)</f>
        <v>12</v>
      </c>
      <c r="AF377" s="23" t="n">
        <v>7</v>
      </c>
      <c r="AG377" s="24" t="n">
        <f aca="false" t="array" ref="AG377:AG377">INDEX(Paramètres!$C$6:$C$12,$AF377)</f>
        <v>2.5</v>
      </c>
      <c r="AH377" s="23" t="n">
        <f aca="false" t="array" ref="AH377:AH377">INDEX(Paramètres!$D$6:$D$12,$AF377)</f>
        <v>7</v>
      </c>
      <c r="AI377" s="23" t="n">
        <f aca="false" t="array" ref="AI377:AI377">INDEX(Uniques!$M$5:$M$34,MATCH($B377&amp;"|"&amp;$C377,Uniques!$A$5:$A$34,0))</f>
        <v>39</v>
      </c>
      <c r="AJ377" s="25" t="n">
        <f aca="false">Paramètres!$B$16+(1-Paramètres!$B$16)*(($J377-Paramètres!$B$14)/(Paramètres!$B$15-Paramètres!$B$14))^Paramètres!$B$17</f>
        <v>0.57088622464226</v>
      </c>
    </row>
    <row r="378" customFormat="false" ht="15.75" hidden="false" customHeight="true" outlineLevel="0" collapsed="false">
      <c r="A378" s="14" t="s">
        <v>494</v>
      </c>
      <c r="B378" s="15" t="s">
        <v>29</v>
      </c>
      <c r="C378" s="15" t="s">
        <v>177</v>
      </c>
      <c r="D378" s="16" t="n">
        <v>1</v>
      </c>
      <c r="E378" s="15" t="str">
        <f aca="false" t="array" ref="E378:E378">INDEX(Matériaux!$B$5:$F$12,MATCH(INDEX(Profils!$E$5:$E$34,$AE378),Matériaux!$A$5:$A$12,0),$D378)</f>
        <v>lin</v>
      </c>
      <c r="F378" s="17" t="s">
        <v>108</v>
      </c>
      <c r="G378" s="10" t="str">
        <f aca="false" t="array" ref="G378:G378">INDEX(Profils!$D$5:$D$34,$AE378)&amp;" en "&amp;$E378</f>
        <v>Pantalon en lin</v>
      </c>
      <c r="H378" s="16" t="n">
        <f aca="false" t="array" ref="H378:H378">INDEX(Matériaux!$B$16:$B$20,$D378)</f>
        <v>1</v>
      </c>
      <c r="I378" s="16" t="n">
        <f aca="false">IF(ISNUMBER($C$3),MIN(MAX(0,ROUND($C$3,0)),$AI378),$AI378)</f>
        <v>0</v>
      </c>
      <c r="J378" s="18" t="n">
        <f aca="false">$H378+$I378</f>
        <v>1</v>
      </c>
      <c r="K378" s="15" t="s">
        <v>109</v>
      </c>
      <c r="L378" s="19" t="n">
        <f aca="false" t="array" ref="L378:L378">IF(AND(INDEX(Profils!$F$5:$F$34,$AE378)&gt;0,INDEX(Profils!$U$5:$U$34,$AE378)&lt;=$AH378),ROUND(INDEX(Profils!$F$5:$F$34,$AE378)*Paramètres!$E$22*$AG378*$AJ378,Paramètres!$F$22),0)</f>
        <v>2</v>
      </c>
      <c r="M378" s="19" t="n">
        <f aca="false" t="array" ref="M378:M378">IF(AND(INDEX(Profils!$G$5:$G$34,$AE378)&gt;0,INDEX(Profils!$V$5:$V$34,$AE378)&lt;=$AH378),ROUND(INDEX(Profils!$G$5:$G$34,$AE378)*Paramètres!$E$23*$AG378*$AJ378,Paramètres!$F$23),0)</f>
        <v>0</v>
      </c>
      <c r="N378" s="19" t="n">
        <f aca="false" t="array" ref="N378:N378">IF(AND(INDEX(Profils!$H$5:$H$34,$AE378)&gt;0,INDEX(Profils!$W$5:$W$34,$AE378)&lt;=$AH378),ROUND(INDEX(Profils!$H$5:$H$34,$AE378)*Paramètres!$E$24*$AG378*$AJ378,Paramètres!$F$24),0)</f>
        <v>0</v>
      </c>
      <c r="O378" s="19" t="n">
        <f aca="false" t="array" ref="O378:O378">IF(AND(INDEX(Profils!$I$5:$I$34,$AE378)&gt;0,INDEX(Profils!$X$5:$X$34,$AE378)&lt;=$AH378),ROUND(INDEX(Profils!$I$5:$I$34,$AE378)*Paramètres!$E$25*$AG378*$AJ378,Paramètres!$F$25),0)</f>
        <v>1</v>
      </c>
      <c r="P378" s="19" t="n">
        <f aca="false" t="array" ref="P378:P378">IF(AND(INDEX(Profils!$J$5:$J$34,$AE378)&gt;0,INDEX(Profils!$Y$5:$Y$34,$AE378)&lt;=$AH378),ROUND(INDEX(Profils!$J$5:$J$34,$AE378)*Paramètres!$E$26*$AG378*$AJ378,Paramètres!$F$26),0)</f>
        <v>0</v>
      </c>
      <c r="Q378" s="19" t="n">
        <f aca="false" t="array" ref="Q378:Q378">IF(AND(INDEX(Profils!$K$5:$K$34,$AE378)&gt;0,INDEX(Profils!$Z$5:$Z$34,$AE378)&lt;=$AH378),ROUND(INDEX(Profils!$K$5:$K$34,$AE378)*Paramètres!$E$27*$AG378*$AJ378,Paramètres!$F$27),0)</f>
        <v>0</v>
      </c>
      <c r="R378" s="20" t="n">
        <f aca="false" t="array" ref="R378:R378">IF(AND(INDEX(Profils!$L$5:$L$34,$AE378)&gt;0,INDEX(Profils!$AA$5:$AA$34,$AE378)&lt;=$AH378),ROUND(INDEX(Profils!$L$5:$L$34,$AE378)*Paramètres!$E$28*$AG378*$AJ378,Paramètres!$F$28),0)</f>
        <v>0</v>
      </c>
      <c r="S378" s="20" t="n">
        <f aca="false" t="array" ref="S378:S378">IF(AND(INDEX(Profils!$M$5:$M$34,$AE378)&gt;0,INDEX(Profils!$AB$5:$AB$34,$AE378)&lt;=$AH378),ROUND(INDEX(Profils!$M$5:$M$34,$AE378)*Paramètres!$E$29*$AG378*$AJ378,Paramètres!$F$29),0)</f>
        <v>0</v>
      </c>
      <c r="T378" s="20" t="n">
        <f aca="false" t="array" ref="T378:T378">IF(AND(INDEX(Profils!$N$5:$N$34,$AE378)&gt;0,INDEX(Profils!$AC$5:$AC$34,$AE378)&lt;=$AH378),ROUND(INDEX(Profils!$N$5:$N$34,$AE378)*Paramètres!$E$30*$AG378*$AJ378,Paramètres!$F$30),0)</f>
        <v>0</v>
      </c>
      <c r="U378" s="19" t="n">
        <f aca="false" t="array" ref="U378:U378">IF(AND(INDEX(Profils!$O$5:$O$34,$AE378)&gt;0,INDEX(Profils!$AD$5:$AD$34,$AE378)&lt;=$AH378),ROUND(INDEX(Profils!$O$5:$O$34,$AE378)*Paramètres!$E$31*$AG378*$AJ378,Paramètres!$F$31),0)</f>
        <v>0</v>
      </c>
      <c r="V378" s="20" t="n">
        <f aca="false" t="array" ref="V378:V378">IF(AND(INDEX(Profils!$P$5:$P$34,$AE378)&gt;0,INDEX(Profils!$AE$5:$AE$34,$AE378)&lt;=$AH378),ROUND(INDEX(Profils!$P$5:$P$34,$AE378)*Paramètres!$E$32*$AG378*$AJ378,Paramètres!$F$32),0)</f>
        <v>0</v>
      </c>
      <c r="W378" s="20" t="n">
        <f aca="false" t="array" ref="W378:W378">IF(AND(INDEX(Profils!$Q$5:$Q$34,$AE378)&gt;0,INDEX(Profils!$AF$5:$AF$34,$AE378)&lt;=$AH378),ROUND(INDEX(Profils!$Q$5:$Q$34,$AE378)*Paramètres!$E$33*$AG378*$AJ378,Paramètres!$F$33),0)</f>
        <v>0</v>
      </c>
      <c r="X378" s="20" t="n">
        <f aca="false" t="array" ref="X378:X378">IF(AND(INDEX(Profils!$R$5:$R$34,$AE378)&gt;0,INDEX(Profils!$AG$5:$AG$34,$AE378)&lt;=$AH378),ROUND(INDEX(Profils!$R$5:$R$34,$AE378)*Paramètres!$E$34*$AG378*$AJ378,Paramètres!$F$34),0)</f>
        <v>0</v>
      </c>
      <c r="Y378" s="20" t="n">
        <f aca="false" t="array" ref="Y378:Y378">IF(AND(INDEX(Profils!$S$5:$S$34,$AE378)&gt;0,INDEX(Profils!$AH$5:$AH$34,$AE378)&lt;=$AH378),ROUND(INDEX(Profils!$S$5:$S$34,$AE378)*Paramètres!$E$35*$AG378*$AJ378,Paramètres!$F$35),0)</f>
        <v>0</v>
      </c>
      <c r="Z378" s="21" t="n">
        <f aca="false">ROUND(L378/Paramètres!$E$22+M378/Paramètres!$E$23+N378/Paramètres!$E$24+O378/Paramètres!$E$25+P378/Paramètres!$E$26+Q378/Paramètres!$E$27+R378/Paramètres!$E$28+S378/Paramètres!$E$29+T378/Paramètres!$E$30+U378/Paramètres!$E$31+V378/Paramètres!$E$32+W378/Paramètres!$E$33+X378/Paramètres!$E$34+Y378/Paramètres!$E$35,1)</f>
        <v>0.1</v>
      </c>
      <c r="AA378" s="22" t="s">
        <v>109</v>
      </c>
      <c r="AB378" s="22" t="s">
        <v>109</v>
      </c>
      <c r="AC378" s="15" t="str">
        <f aca="false">$E378</f>
        <v>lin</v>
      </c>
      <c r="AD378" s="16" t="n">
        <f aca="false" t="array" ref="AD378:AD378">IF($I378&gt;=$AI378,"Max",ROUND(Paramètres!$B$40*($I378+1)^Paramètres!$B$41*INDEX(Paramètres!$H$6:$H$12,$AF378),0))</f>
        <v>3</v>
      </c>
      <c r="AE378" s="23" t="n">
        <f aca="false">MATCH($B378&amp;"|"&amp;$C378,Profils!$A$5:$A$34,0)</f>
        <v>13</v>
      </c>
      <c r="AF378" s="23" t="n">
        <v>1</v>
      </c>
      <c r="AG378" s="24" t="n">
        <f aca="false" t="array" ref="AG378:AG378">INDEX(Paramètres!$C$6:$C$12,$AF378)</f>
        <v>1</v>
      </c>
      <c r="AH378" s="23" t="n">
        <f aca="false" t="array" ref="AH378:AH378">INDEX(Paramètres!$D$6:$D$12,$AF378)</f>
        <v>2</v>
      </c>
      <c r="AI378" s="23" t="n">
        <f aca="false" t="array" ref="AI378:AI378">INDEX(Matériaux!$C$16:$C$20,$D378)</f>
        <v>19</v>
      </c>
      <c r="AJ378" s="25" t="n">
        <f aca="false">Paramètres!$B$16+(1-Paramètres!$B$16)*(($J378-Paramètres!$B$14)/(Paramètres!$B$15-Paramètres!$B$14))^Paramètres!$B$17</f>
        <v>0.05</v>
      </c>
    </row>
    <row r="379" customFormat="false" ht="15.75" hidden="false" customHeight="true" outlineLevel="0" collapsed="false">
      <c r="A379" s="14" t="s">
        <v>495</v>
      </c>
      <c r="B379" s="15" t="s">
        <v>29</v>
      </c>
      <c r="C379" s="15" t="s">
        <v>177</v>
      </c>
      <c r="D379" s="16" t="n">
        <v>1</v>
      </c>
      <c r="E379" s="15" t="str">
        <f aca="false" t="array" ref="E379:E379">INDEX(Matériaux!$B$5:$F$12,MATCH(INDEX(Profils!$E$5:$E$34,$AE379),Matériaux!$A$5:$A$12,0),$D379)</f>
        <v>lin</v>
      </c>
      <c r="F379" s="26" t="s">
        <v>111</v>
      </c>
      <c r="G379" s="10" t="str">
        <f aca="false" t="array" ref="G379:G379">INDEX(Profils!$D$5:$D$34,$AE379)&amp;" en "&amp;$E379</f>
        <v>Pantalon en lin</v>
      </c>
      <c r="H379" s="16" t="n">
        <f aca="false" t="array" ref="H379:H379">INDEX(Matériaux!$B$16:$B$20,$D379)</f>
        <v>1</v>
      </c>
      <c r="I379" s="16" t="n">
        <f aca="false">IF(ISNUMBER($C$3),MIN(MAX(0,ROUND($C$3,0)),$AI379),$AI379)</f>
        <v>0</v>
      </c>
      <c r="J379" s="18" t="n">
        <f aca="false">$H379+$I379</f>
        <v>1</v>
      </c>
      <c r="K379" s="15" t="s">
        <v>109</v>
      </c>
      <c r="L379" s="19" t="n">
        <f aca="false" t="array" ref="L379:L379">IF(AND(INDEX(Profils!$F$5:$F$34,$AE379)&gt;0,INDEX(Profils!$U$5:$U$34,$AE379)&lt;=$AH379),ROUND(INDEX(Profils!$F$5:$F$34,$AE379)*Paramètres!$E$22*$AG379*$AJ379,Paramètres!$F$22),0)</f>
        <v>3</v>
      </c>
      <c r="M379" s="19" t="n">
        <f aca="false" t="array" ref="M379:M379">IF(AND(INDEX(Profils!$G$5:$G$34,$AE379)&gt;0,INDEX(Profils!$V$5:$V$34,$AE379)&lt;=$AH379),ROUND(INDEX(Profils!$G$5:$G$34,$AE379)*Paramètres!$E$23*$AG379*$AJ379,Paramètres!$F$23),0)</f>
        <v>0</v>
      </c>
      <c r="N379" s="19" t="n">
        <f aca="false" t="array" ref="N379:N379">IF(AND(INDEX(Profils!$H$5:$H$34,$AE379)&gt;0,INDEX(Profils!$W$5:$W$34,$AE379)&lt;=$AH379),ROUND(INDEX(Profils!$H$5:$H$34,$AE379)*Paramètres!$E$24*$AG379*$AJ379,Paramètres!$F$24),0)</f>
        <v>0</v>
      </c>
      <c r="O379" s="19" t="n">
        <f aca="false" t="array" ref="O379:O379">IF(AND(INDEX(Profils!$I$5:$I$34,$AE379)&gt;0,INDEX(Profils!$X$5:$X$34,$AE379)&lt;=$AH379),ROUND(INDEX(Profils!$I$5:$I$34,$AE379)*Paramètres!$E$25*$AG379*$AJ379,Paramètres!$F$25),0)</f>
        <v>1</v>
      </c>
      <c r="P379" s="19" t="n">
        <f aca="false" t="array" ref="P379:P379">IF(AND(INDEX(Profils!$J$5:$J$34,$AE379)&gt;0,INDEX(Profils!$Y$5:$Y$34,$AE379)&lt;=$AH379),ROUND(INDEX(Profils!$J$5:$J$34,$AE379)*Paramètres!$E$26*$AG379*$AJ379,Paramètres!$F$26),0)</f>
        <v>0</v>
      </c>
      <c r="Q379" s="19" t="n">
        <f aca="false" t="array" ref="Q379:Q379">IF(AND(INDEX(Profils!$K$5:$K$34,$AE379)&gt;0,INDEX(Profils!$Z$5:$Z$34,$AE379)&lt;=$AH379),ROUND(INDEX(Profils!$K$5:$K$34,$AE379)*Paramètres!$E$27*$AG379*$AJ379,Paramètres!$F$27),0)</f>
        <v>0</v>
      </c>
      <c r="R379" s="20" t="n">
        <f aca="false" t="array" ref="R379:R379">IF(AND(INDEX(Profils!$L$5:$L$34,$AE379)&gt;0,INDEX(Profils!$AA$5:$AA$34,$AE379)&lt;=$AH379),ROUND(INDEX(Profils!$L$5:$L$34,$AE379)*Paramètres!$E$28*$AG379*$AJ379,Paramètres!$F$28),0)</f>
        <v>0</v>
      </c>
      <c r="S379" s="20" t="n">
        <f aca="false" t="array" ref="S379:S379">IF(AND(INDEX(Profils!$M$5:$M$34,$AE379)&gt;0,INDEX(Profils!$AB$5:$AB$34,$AE379)&lt;=$AH379),ROUND(INDEX(Profils!$M$5:$M$34,$AE379)*Paramètres!$E$29*$AG379*$AJ379,Paramètres!$F$29),0)</f>
        <v>0</v>
      </c>
      <c r="T379" s="20" t="n">
        <f aca="false" t="array" ref="T379:T379">IF(AND(INDEX(Profils!$N$5:$N$34,$AE379)&gt;0,INDEX(Profils!$AC$5:$AC$34,$AE379)&lt;=$AH379),ROUND(INDEX(Profils!$N$5:$N$34,$AE379)*Paramètres!$E$30*$AG379*$AJ379,Paramètres!$F$30),0)</f>
        <v>0</v>
      </c>
      <c r="U379" s="19" t="n">
        <f aca="false" t="array" ref="U379:U379">IF(AND(INDEX(Profils!$O$5:$O$34,$AE379)&gt;0,INDEX(Profils!$AD$5:$AD$34,$AE379)&lt;=$AH379),ROUND(INDEX(Profils!$O$5:$O$34,$AE379)*Paramètres!$E$31*$AG379*$AJ379,Paramètres!$F$31),0)</f>
        <v>0</v>
      </c>
      <c r="V379" s="20" t="n">
        <f aca="false" t="array" ref="V379:V379">IF(AND(INDEX(Profils!$P$5:$P$34,$AE379)&gt;0,INDEX(Profils!$AE$5:$AE$34,$AE379)&lt;=$AH379),ROUND(INDEX(Profils!$P$5:$P$34,$AE379)*Paramètres!$E$32*$AG379*$AJ379,Paramètres!$F$32),0)</f>
        <v>0</v>
      </c>
      <c r="W379" s="20" t="n">
        <f aca="false" t="array" ref="W379:W379">IF(AND(INDEX(Profils!$Q$5:$Q$34,$AE379)&gt;0,INDEX(Profils!$AF$5:$AF$34,$AE379)&lt;=$AH379),ROUND(INDEX(Profils!$Q$5:$Q$34,$AE379)*Paramètres!$E$33*$AG379*$AJ379,Paramètres!$F$33),0)</f>
        <v>0.001</v>
      </c>
      <c r="X379" s="20" t="n">
        <f aca="false" t="array" ref="X379:X379">IF(AND(INDEX(Profils!$R$5:$R$34,$AE379)&gt;0,INDEX(Profils!$AG$5:$AG$34,$AE379)&lt;=$AH379),ROUND(INDEX(Profils!$R$5:$R$34,$AE379)*Paramètres!$E$34*$AG379*$AJ379,Paramètres!$F$34),0)</f>
        <v>0</v>
      </c>
      <c r="Y379" s="20" t="n">
        <f aca="false" t="array" ref="Y379:Y379">IF(AND(INDEX(Profils!$S$5:$S$34,$AE379)&gt;0,INDEX(Profils!$AH$5:$AH$34,$AE379)&lt;=$AH379),ROUND(INDEX(Profils!$S$5:$S$34,$AE379)*Paramètres!$E$35*$AG379*$AJ379,Paramètres!$F$35),0)</f>
        <v>0</v>
      </c>
      <c r="Z379" s="21" t="n">
        <f aca="false">ROUND(L379/Paramètres!$E$22+M379/Paramètres!$E$23+N379/Paramètres!$E$24+O379/Paramètres!$E$25+P379/Paramètres!$E$26+Q379/Paramètres!$E$27+R379/Paramètres!$E$28+S379/Paramètres!$E$29+T379/Paramètres!$E$30+U379/Paramètres!$E$31+V379/Paramètres!$E$32+W379/Paramètres!$E$33+X379/Paramètres!$E$34+Y379/Paramètres!$E$35,1)</f>
        <v>0.3</v>
      </c>
      <c r="AA379" s="22" t="s">
        <v>109</v>
      </c>
      <c r="AB379" s="22" t="s">
        <v>109</v>
      </c>
      <c r="AC379" s="15" t="str">
        <f aca="false">$E379</f>
        <v>lin</v>
      </c>
      <c r="AD379" s="16" t="n">
        <f aca="false" t="array" ref="AD379:AD379">IF($I379&gt;=$AI379,"Max",ROUND(Paramètres!$B$40*($I379+1)^Paramètres!$B$41*INDEX(Paramètres!$H$6:$H$12,$AF379),0))</f>
        <v>4</v>
      </c>
      <c r="AE379" s="23" t="n">
        <f aca="false">MATCH($B379&amp;"|"&amp;$C379,Profils!$A$5:$A$34,0)</f>
        <v>13</v>
      </c>
      <c r="AF379" s="23" t="n">
        <v>2</v>
      </c>
      <c r="AG379" s="24" t="n">
        <f aca="false" t="array" ref="AG379:AG379">INDEX(Paramètres!$C$6:$C$12,$AF379)</f>
        <v>1.2</v>
      </c>
      <c r="AH379" s="23" t="n">
        <f aca="false" t="array" ref="AH379:AH379">INDEX(Paramètres!$D$6:$D$12,$AF379)</f>
        <v>3</v>
      </c>
      <c r="AI379" s="23" t="n">
        <f aca="false" t="array" ref="AI379:AI379">INDEX(Matériaux!$C$16:$C$20,$D379)</f>
        <v>19</v>
      </c>
      <c r="AJ379" s="25" t="n">
        <f aca="false">Paramètres!$B$16+(1-Paramètres!$B$16)*(($J379-Paramètres!$B$14)/(Paramètres!$B$15-Paramètres!$B$14))^Paramètres!$B$17</f>
        <v>0.05</v>
      </c>
    </row>
    <row r="380" customFormat="false" ht="15.75" hidden="false" customHeight="true" outlineLevel="0" collapsed="false">
      <c r="A380" s="14" t="s">
        <v>496</v>
      </c>
      <c r="B380" s="15" t="s">
        <v>29</v>
      </c>
      <c r="C380" s="15" t="s">
        <v>177</v>
      </c>
      <c r="D380" s="16" t="n">
        <v>1</v>
      </c>
      <c r="E380" s="15" t="str">
        <f aca="false" t="array" ref="E380:E380">INDEX(Matériaux!$B$5:$F$12,MATCH(INDEX(Profils!$E$5:$E$34,$AE380),Matériaux!$A$5:$A$12,0),$D380)</f>
        <v>lin</v>
      </c>
      <c r="F380" s="27" t="s">
        <v>113</v>
      </c>
      <c r="G380" s="10" t="str">
        <f aca="false" t="array" ref="G380:G380">INDEX(Profils!$D$5:$D$34,$AE380)&amp;" en "&amp;$E380</f>
        <v>Pantalon en lin</v>
      </c>
      <c r="H380" s="16" t="n">
        <f aca="false" t="array" ref="H380:H380">INDEX(Matériaux!$B$16:$B$20,$D380)</f>
        <v>1</v>
      </c>
      <c r="I380" s="16" t="n">
        <f aca="false">IF(ISNUMBER($C$3),MIN(MAX(0,ROUND($C$3,0)),$AI380),$AI380)</f>
        <v>0</v>
      </c>
      <c r="J380" s="18" t="n">
        <f aca="false">$H380+$I380</f>
        <v>1</v>
      </c>
      <c r="K380" s="15" t="s">
        <v>109</v>
      </c>
      <c r="L380" s="19" t="n">
        <f aca="false" t="array" ref="L380:L380">IF(AND(INDEX(Profils!$F$5:$F$34,$AE380)&gt;0,INDEX(Profils!$U$5:$U$34,$AE380)&lt;=$AH380),ROUND(INDEX(Profils!$F$5:$F$34,$AE380)*Paramètres!$E$22*$AG380*$AJ380,Paramètres!$F$22),0)</f>
        <v>3</v>
      </c>
      <c r="M380" s="19" t="n">
        <f aca="false" t="array" ref="M380:M380">IF(AND(INDEX(Profils!$G$5:$G$34,$AE380)&gt;0,INDEX(Profils!$V$5:$V$34,$AE380)&lt;=$AH380),ROUND(INDEX(Profils!$G$5:$G$34,$AE380)*Paramètres!$E$23*$AG380*$AJ380,Paramètres!$F$23),0)</f>
        <v>0</v>
      </c>
      <c r="N380" s="19" t="n">
        <f aca="false" t="array" ref="N380:N380">IF(AND(INDEX(Profils!$H$5:$H$34,$AE380)&gt;0,INDEX(Profils!$W$5:$W$34,$AE380)&lt;=$AH380),ROUND(INDEX(Profils!$H$5:$H$34,$AE380)*Paramètres!$E$24*$AG380*$AJ380,Paramètres!$F$24),0)</f>
        <v>0</v>
      </c>
      <c r="O380" s="19" t="n">
        <f aca="false" t="array" ref="O380:O380">IF(AND(INDEX(Profils!$I$5:$I$34,$AE380)&gt;0,INDEX(Profils!$X$5:$X$34,$AE380)&lt;=$AH380),ROUND(INDEX(Profils!$I$5:$I$34,$AE380)*Paramètres!$E$25*$AG380*$AJ380,Paramètres!$F$25),0)</f>
        <v>1</v>
      </c>
      <c r="P380" s="19" t="n">
        <f aca="false" t="array" ref="P380:P380">IF(AND(INDEX(Profils!$J$5:$J$34,$AE380)&gt;0,INDEX(Profils!$Y$5:$Y$34,$AE380)&lt;=$AH380),ROUND(INDEX(Profils!$J$5:$J$34,$AE380)*Paramètres!$E$26*$AG380*$AJ380,Paramètres!$F$26),0)</f>
        <v>1</v>
      </c>
      <c r="Q380" s="19" t="n">
        <f aca="false" t="array" ref="Q380:Q380">IF(AND(INDEX(Profils!$K$5:$K$34,$AE380)&gt;0,INDEX(Profils!$Z$5:$Z$34,$AE380)&lt;=$AH380),ROUND(INDEX(Profils!$K$5:$K$34,$AE380)*Paramètres!$E$27*$AG380*$AJ380,Paramètres!$F$27),0)</f>
        <v>0</v>
      </c>
      <c r="R380" s="20" t="n">
        <f aca="false" t="array" ref="R380:R380">IF(AND(INDEX(Profils!$L$5:$L$34,$AE380)&gt;0,INDEX(Profils!$AA$5:$AA$34,$AE380)&lt;=$AH380),ROUND(INDEX(Profils!$L$5:$L$34,$AE380)*Paramètres!$E$28*$AG380*$AJ380,Paramètres!$F$28),0)</f>
        <v>0</v>
      </c>
      <c r="S380" s="20" t="n">
        <f aca="false" t="array" ref="S380:S380">IF(AND(INDEX(Profils!$M$5:$M$34,$AE380)&gt;0,INDEX(Profils!$AB$5:$AB$34,$AE380)&lt;=$AH380),ROUND(INDEX(Profils!$M$5:$M$34,$AE380)*Paramètres!$E$29*$AG380*$AJ380,Paramètres!$F$29),0)</f>
        <v>0</v>
      </c>
      <c r="T380" s="20" t="n">
        <f aca="false" t="array" ref="T380:T380">IF(AND(INDEX(Profils!$N$5:$N$34,$AE380)&gt;0,INDEX(Profils!$AC$5:$AC$34,$AE380)&lt;=$AH380),ROUND(INDEX(Profils!$N$5:$N$34,$AE380)*Paramètres!$E$30*$AG380*$AJ380,Paramètres!$F$30),0)</f>
        <v>0</v>
      </c>
      <c r="U380" s="19" t="n">
        <f aca="false" t="array" ref="U380:U380">IF(AND(INDEX(Profils!$O$5:$O$34,$AE380)&gt;0,INDEX(Profils!$AD$5:$AD$34,$AE380)&lt;=$AH380),ROUND(INDEX(Profils!$O$5:$O$34,$AE380)*Paramètres!$E$31*$AG380*$AJ380,Paramètres!$F$31),0)</f>
        <v>0</v>
      </c>
      <c r="V380" s="20" t="n">
        <f aca="false" t="array" ref="V380:V380">IF(AND(INDEX(Profils!$P$5:$P$34,$AE380)&gt;0,INDEX(Profils!$AE$5:$AE$34,$AE380)&lt;=$AH380),ROUND(INDEX(Profils!$P$5:$P$34,$AE380)*Paramètres!$E$32*$AG380*$AJ380,Paramètres!$F$32),0)</f>
        <v>0</v>
      </c>
      <c r="W380" s="20" t="n">
        <f aca="false" t="array" ref="W380:W380">IF(AND(INDEX(Profils!$Q$5:$Q$34,$AE380)&gt;0,INDEX(Profils!$AF$5:$AF$34,$AE380)&lt;=$AH380),ROUND(INDEX(Profils!$Q$5:$Q$34,$AE380)*Paramètres!$E$33*$AG380*$AJ380,Paramètres!$F$33),0)</f>
        <v>0.001</v>
      </c>
      <c r="X380" s="20" t="n">
        <f aca="false" t="array" ref="X380:X380">IF(AND(INDEX(Profils!$R$5:$R$34,$AE380)&gt;0,INDEX(Profils!$AG$5:$AG$34,$AE380)&lt;=$AH380),ROUND(INDEX(Profils!$R$5:$R$34,$AE380)*Paramètres!$E$34*$AG380*$AJ380,Paramètres!$F$34),0)</f>
        <v>0</v>
      </c>
      <c r="Y380" s="20" t="n">
        <f aca="false" t="array" ref="Y380:Y380">IF(AND(INDEX(Profils!$S$5:$S$34,$AE380)&gt;0,INDEX(Profils!$AH$5:$AH$34,$AE380)&lt;=$AH380),ROUND(INDEX(Profils!$S$5:$S$34,$AE380)*Paramètres!$E$35*$AG380*$AJ380,Paramètres!$F$35),0)</f>
        <v>0</v>
      </c>
      <c r="Z380" s="21" t="n">
        <f aca="false">ROUND(L380/Paramètres!$E$22+M380/Paramètres!$E$23+N380/Paramètres!$E$24+O380/Paramètres!$E$25+P380/Paramètres!$E$26+Q380/Paramètres!$E$27+R380/Paramètres!$E$28+S380/Paramètres!$E$29+T380/Paramètres!$E$30+U380/Paramètres!$E$31+V380/Paramètres!$E$32+W380/Paramètres!$E$33+X380/Paramètres!$E$34+Y380/Paramètres!$E$35,1)</f>
        <v>0.3</v>
      </c>
      <c r="AA380" s="22" t="s">
        <v>109</v>
      </c>
      <c r="AB380" s="22" t="s">
        <v>109</v>
      </c>
      <c r="AC380" s="15" t="str">
        <f aca="false">$E380</f>
        <v>lin</v>
      </c>
      <c r="AD380" s="16" t="n">
        <f aca="false" t="array" ref="AD380:AD380">IF($I380&gt;=$AI380,"Max",ROUND(Paramètres!$B$40*($I380+1)^Paramètres!$B$41*INDEX(Paramètres!$H$6:$H$12,$AF380),0))</f>
        <v>4</v>
      </c>
      <c r="AE380" s="23" t="n">
        <f aca="false">MATCH($B380&amp;"|"&amp;$C380,Profils!$A$5:$A$34,0)</f>
        <v>13</v>
      </c>
      <c r="AF380" s="23" t="n">
        <v>3</v>
      </c>
      <c r="AG380" s="24" t="n">
        <f aca="false" t="array" ref="AG380:AG380">INDEX(Paramètres!$C$6:$C$12,$AF380)</f>
        <v>1.45</v>
      </c>
      <c r="AH380" s="23" t="n">
        <f aca="false" t="array" ref="AH380:AH380">INDEX(Paramètres!$D$6:$D$12,$AF380)</f>
        <v>4</v>
      </c>
      <c r="AI380" s="23" t="n">
        <f aca="false" t="array" ref="AI380:AI380">INDEX(Matériaux!$C$16:$C$20,$D380)</f>
        <v>19</v>
      </c>
      <c r="AJ380" s="25" t="n">
        <f aca="false">Paramètres!$B$16+(1-Paramètres!$B$16)*(($J380-Paramètres!$B$14)/(Paramètres!$B$15-Paramètres!$B$14))^Paramètres!$B$17</f>
        <v>0.05</v>
      </c>
    </row>
    <row r="381" customFormat="false" ht="15.75" hidden="false" customHeight="true" outlineLevel="0" collapsed="false">
      <c r="A381" s="14" t="s">
        <v>497</v>
      </c>
      <c r="B381" s="15" t="s">
        <v>29</v>
      </c>
      <c r="C381" s="15" t="s">
        <v>177</v>
      </c>
      <c r="D381" s="16" t="n">
        <v>1</v>
      </c>
      <c r="E381" s="15" t="str">
        <f aca="false" t="array" ref="E381:E381">INDEX(Matériaux!$B$5:$F$12,MATCH(INDEX(Profils!$E$5:$E$34,$AE381),Matériaux!$A$5:$A$12,0),$D381)</f>
        <v>lin</v>
      </c>
      <c r="F381" s="28" t="s">
        <v>115</v>
      </c>
      <c r="G381" s="10" t="str">
        <f aca="false" t="array" ref="G381:G381">INDEX(Profils!$D$5:$D$34,$AE381)&amp;" en "&amp;$E381</f>
        <v>Pantalon en lin</v>
      </c>
      <c r="H381" s="16" t="n">
        <f aca="false" t="array" ref="H381:H381">INDEX(Matériaux!$B$16:$B$20,$D381)</f>
        <v>1</v>
      </c>
      <c r="I381" s="16" t="n">
        <f aca="false">IF(ISNUMBER($C$3),MIN(MAX(0,ROUND($C$3,0)),$AI381),$AI381)</f>
        <v>0</v>
      </c>
      <c r="J381" s="18" t="n">
        <f aca="false">$H381+$I381</f>
        <v>1</v>
      </c>
      <c r="K381" s="15" t="s">
        <v>109</v>
      </c>
      <c r="L381" s="19" t="n">
        <f aca="false" t="array" ref="L381:L381">IF(AND(INDEX(Profils!$F$5:$F$34,$AE381)&gt;0,INDEX(Profils!$U$5:$U$34,$AE381)&lt;=$AH381),ROUND(INDEX(Profils!$F$5:$F$34,$AE381)*Paramètres!$E$22*$AG381*$AJ381,Paramètres!$F$22),0)</f>
        <v>4</v>
      </c>
      <c r="M381" s="19" t="n">
        <f aca="false" t="array" ref="M381:M381">IF(AND(INDEX(Profils!$G$5:$G$34,$AE381)&gt;0,INDEX(Profils!$V$5:$V$34,$AE381)&lt;=$AH381),ROUND(INDEX(Profils!$G$5:$G$34,$AE381)*Paramètres!$E$23*$AG381*$AJ381,Paramètres!$F$23),0)</f>
        <v>0</v>
      </c>
      <c r="N381" s="19" t="n">
        <f aca="false" t="array" ref="N381:N381">IF(AND(INDEX(Profils!$H$5:$H$34,$AE381)&gt;0,INDEX(Profils!$W$5:$W$34,$AE381)&lt;=$AH381),ROUND(INDEX(Profils!$H$5:$H$34,$AE381)*Paramètres!$E$24*$AG381*$AJ381,Paramètres!$F$24),0)</f>
        <v>0</v>
      </c>
      <c r="O381" s="19" t="n">
        <f aca="false" t="array" ref="O381:O381">IF(AND(INDEX(Profils!$I$5:$I$34,$AE381)&gt;0,INDEX(Profils!$X$5:$X$34,$AE381)&lt;=$AH381),ROUND(INDEX(Profils!$I$5:$I$34,$AE381)*Paramètres!$E$25*$AG381*$AJ381,Paramètres!$F$25),0)</f>
        <v>1</v>
      </c>
      <c r="P381" s="19" t="n">
        <f aca="false" t="array" ref="P381:P381">IF(AND(INDEX(Profils!$J$5:$J$34,$AE381)&gt;0,INDEX(Profils!$Y$5:$Y$34,$AE381)&lt;=$AH381),ROUND(INDEX(Profils!$J$5:$J$34,$AE381)*Paramètres!$E$26*$AG381*$AJ381,Paramètres!$F$26),0)</f>
        <v>1</v>
      </c>
      <c r="Q381" s="19" t="n">
        <f aca="false" t="array" ref="Q381:Q381">IF(AND(INDEX(Profils!$K$5:$K$34,$AE381)&gt;0,INDEX(Profils!$Z$5:$Z$34,$AE381)&lt;=$AH381),ROUND(INDEX(Profils!$K$5:$K$34,$AE381)*Paramètres!$E$27*$AG381*$AJ381,Paramètres!$F$27),0)</f>
        <v>0</v>
      </c>
      <c r="R381" s="20" t="n">
        <f aca="false" t="array" ref="R381:R381">IF(AND(INDEX(Profils!$L$5:$L$34,$AE381)&gt;0,INDEX(Profils!$AA$5:$AA$34,$AE381)&lt;=$AH381),ROUND(INDEX(Profils!$L$5:$L$34,$AE381)*Paramètres!$E$28*$AG381*$AJ381,Paramètres!$F$28),0)</f>
        <v>0</v>
      </c>
      <c r="S381" s="20" t="n">
        <f aca="false" t="array" ref="S381:S381">IF(AND(INDEX(Profils!$M$5:$M$34,$AE381)&gt;0,INDEX(Profils!$AB$5:$AB$34,$AE381)&lt;=$AH381),ROUND(INDEX(Profils!$M$5:$M$34,$AE381)*Paramètres!$E$29*$AG381*$AJ381,Paramètres!$F$29),0)</f>
        <v>0</v>
      </c>
      <c r="T381" s="20" t="n">
        <f aca="false" t="array" ref="T381:T381">IF(AND(INDEX(Profils!$N$5:$N$34,$AE381)&gt;0,INDEX(Profils!$AC$5:$AC$34,$AE381)&lt;=$AH381),ROUND(INDEX(Profils!$N$5:$N$34,$AE381)*Paramètres!$E$30*$AG381*$AJ381,Paramètres!$F$30),0)</f>
        <v>0</v>
      </c>
      <c r="U381" s="19" t="n">
        <f aca="false" t="array" ref="U381:U381">IF(AND(INDEX(Profils!$O$5:$O$34,$AE381)&gt;0,INDEX(Profils!$AD$5:$AD$34,$AE381)&lt;=$AH381),ROUND(INDEX(Profils!$O$5:$O$34,$AE381)*Paramètres!$E$31*$AG381*$AJ381,Paramètres!$F$31),0)</f>
        <v>1</v>
      </c>
      <c r="V381" s="20" t="n">
        <f aca="false" t="array" ref="V381:V381">IF(AND(INDEX(Profils!$P$5:$P$34,$AE381)&gt;0,INDEX(Profils!$AE$5:$AE$34,$AE381)&lt;=$AH381),ROUND(INDEX(Profils!$P$5:$P$34,$AE381)*Paramètres!$E$32*$AG381*$AJ381,Paramètres!$F$32),0)</f>
        <v>0</v>
      </c>
      <c r="W381" s="20" t="n">
        <f aca="false" t="array" ref="W381:W381">IF(AND(INDEX(Profils!$Q$5:$Q$34,$AE381)&gt;0,INDEX(Profils!$AF$5:$AF$34,$AE381)&lt;=$AH381),ROUND(INDEX(Profils!$Q$5:$Q$34,$AE381)*Paramètres!$E$33*$AG381*$AJ381,Paramètres!$F$33),0)</f>
        <v>0.001</v>
      </c>
      <c r="X381" s="20" t="n">
        <f aca="false" t="array" ref="X381:X381">IF(AND(INDEX(Profils!$R$5:$R$34,$AE381)&gt;0,INDEX(Profils!$AG$5:$AG$34,$AE381)&lt;=$AH381),ROUND(INDEX(Profils!$R$5:$R$34,$AE381)*Paramètres!$E$34*$AG381*$AJ381,Paramètres!$F$34),0)</f>
        <v>0</v>
      </c>
      <c r="Y381" s="20" t="n">
        <f aca="false" t="array" ref="Y381:Y381">IF(AND(INDEX(Profils!$S$5:$S$34,$AE381)&gt;0,INDEX(Profils!$AH$5:$AH$34,$AE381)&lt;=$AH381),ROUND(INDEX(Profils!$S$5:$S$34,$AE381)*Paramètres!$E$35*$AG381*$AJ381,Paramètres!$F$35),0)</f>
        <v>0</v>
      </c>
      <c r="Z381" s="21" t="n">
        <f aca="false">ROUND(L381/Paramètres!$E$22+M381/Paramètres!$E$23+N381/Paramètres!$E$24+O381/Paramètres!$E$25+P381/Paramètres!$E$26+Q381/Paramètres!$E$27+R381/Paramètres!$E$28+S381/Paramètres!$E$29+T381/Paramètres!$E$30+U381/Paramètres!$E$31+V381/Paramètres!$E$32+W381/Paramètres!$E$33+X381/Paramètres!$E$34+Y381/Paramètres!$E$35,1)</f>
        <v>0.4</v>
      </c>
      <c r="AA381" s="22" t="s">
        <v>109</v>
      </c>
      <c r="AB381" s="22" t="s">
        <v>109</v>
      </c>
      <c r="AC381" s="15" t="str">
        <f aca="false">$E381</f>
        <v>lin</v>
      </c>
      <c r="AD381" s="16" t="n">
        <f aca="false" t="array" ref="AD381:AD381">IF($I381&gt;=$AI381,"Max",ROUND(Paramètres!$B$40*($I381+1)^Paramètres!$B$41*INDEX(Paramètres!$H$6:$H$12,$AF381),0))</f>
        <v>5</v>
      </c>
      <c r="AE381" s="23" t="n">
        <f aca="false">MATCH($B381&amp;"|"&amp;$C381,Profils!$A$5:$A$34,0)</f>
        <v>13</v>
      </c>
      <c r="AF381" s="23" t="n">
        <v>4</v>
      </c>
      <c r="AG381" s="24" t="n">
        <f aca="false" t="array" ref="AG381:AG381">INDEX(Paramètres!$C$6:$C$12,$AF381)</f>
        <v>1.75</v>
      </c>
      <c r="AH381" s="23" t="n">
        <f aca="false" t="array" ref="AH381:AH381">INDEX(Paramètres!$D$6:$D$12,$AF381)</f>
        <v>5</v>
      </c>
      <c r="AI381" s="23" t="n">
        <f aca="false" t="array" ref="AI381:AI381">INDEX(Matériaux!$C$16:$C$20,$D381)</f>
        <v>19</v>
      </c>
      <c r="AJ381" s="25" t="n">
        <f aca="false">Paramètres!$B$16+(1-Paramètres!$B$16)*(($J381-Paramètres!$B$14)/(Paramètres!$B$15-Paramètres!$B$14))^Paramètres!$B$17</f>
        <v>0.05</v>
      </c>
    </row>
    <row r="382" customFormat="false" ht="15.75" hidden="false" customHeight="true" outlineLevel="0" collapsed="false">
      <c r="A382" s="14" t="s">
        <v>498</v>
      </c>
      <c r="B382" s="15" t="s">
        <v>29</v>
      </c>
      <c r="C382" s="15" t="s">
        <v>177</v>
      </c>
      <c r="D382" s="16" t="n">
        <v>1</v>
      </c>
      <c r="E382" s="15" t="str">
        <f aca="false" t="array" ref="E382:E382">INDEX(Matériaux!$B$5:$F$12,MATCH(INDEX(Profils!$E$5:$E$34,$AE382),Matériaux!$A$5:$A$12,0),$D382)</f>
        <v>lin</v>
      </c>
      <c r="F382" s="29" t="s">
        <v>117</v>
      </c>
      <c r="G382" s="10" t="str">
        <f aca="false" t="array" ref="G382:G382">INDEX(Profils!$D$5:$D$34,$AE382)&amp;" en "&amp;$E382</f>
        <v>Pantalon en lin</v>
      </c>
      <c r="H382" s="16" t="n">
        <f aca="false" t="array" ref="H382:H382">INDEX(Matériaux!$B$16:$B$20,$D382)</f>
        <v>1</v>
      </c>
      <c r="I382" s="16" t="n">
        <f aca="false">IF(ISNUMBER($C$3),MIN(MAX(0,ROUND($C$3,0)),$AI382),$AI382)</f>
        <v>0</v>
      </c>
      <c r="J382" s="18" t="n">
        <f aca="false">$H382+$I382</f>
        <v>1</v>
      </c>
      <c r="K382" s="15" t="s">
        <v>109</v>
      </c>
      <c r="L382" s="19" t="n">
        <f aca="false" t="array" ref="L382:L382">IF(AND(INDEX(Profils!$F$5:$F$34,$AE382)&gt;0,INDEX(Profils!$U$5:$U$34,$AE382)&lt;=$AH382),ROUND(INDEX(Profils!$F$5:$F$34,$AE382)*Paramètres!$E$22*$AG382*$AJ382,Paramètres!$F$22),0)</f>
        <v>4</v>
      </c>
      <c r="M382" s="19" t="n">
        <f aca="false" t="array" ref="M382:M382">IF(AND(INDEX(Profils!$G$5:$G$34,$AE382)&gt;0,INDEX(Profils!$V$5:$V$34,$AE382)&lt;=$AH382),ROUND(INDEX(Profils!$G$5:$G$34,$AE382)*Paramètres!$E$23*$AG382*$AJ382,Paramètres!$F$23),0)</f>
        <v>0</v>
      </c>
      <c r="N382" s="19" t="n">
        <f aca="false" t="array" ref="N382:N382">IF(AND(INDEX(Profils!$H$5:$H$34,$AE382)&gt;0,INDEX(Profils!$W$5:$W$34,$AE382)&lt;=$AH382),ROUND(INDEX(Profils!$H$5:$H$34,$AE382)*Paramètres!$E$24*$AG382*$AJ382,Paramètres!$F$24),0)</f>
        <v>1</v>
      </c>
      <c r="O382" s="19" t="n">
        <f aca="false" t="array" ref="O382:O382">IF(AND(INDEX(Profils!$I$5:$I$34,$AE382)&gt;0,INDEX(Profils!$X$5:$X$34,$AE382)&lt;=$AH382),ROUND(INDEX(Profils!$I$5:$I$34,$AE382)*Paramètres!$E$25*$AG382*$AJ382,Paramètres!$F$25),0)</f>
        <v>2</v>
      </c>
      <c r="P382" s="19" t="n">
        <f aca="false" t="array" ref="P382:P382">IF(AND(INDEX(Profils!$J$5:$J$34,$AE382)&gt;0,INDEX(Profils!$Y$5:$Y$34,$AE382)&lt;=$AH382),ROUND(INDEX(Profils!$J$5:$J$34,$AE382)*Paramètres!$E$26*$AG382*$AJ382,Paramètres!$F$26),0)</f>
        <v>1</v>
      </c>
      <c r="Q382" s="19" t="n">
        <f aca="false" t="array" ref="Q382:Q382">IF(AND(INDEX(Profils!$K$5:$K$34,$AE382)&gt;0,INDEX(Profils!$Z$5:$Z$34,$AE382)&lt;=$AH382),ROUND(INDEX(Profils!$K$5:$K$34,$AE382)*Paramètres!$E$27*$AG382*$AJ382,Paramètres!$F$27),0)</f>
        <v>0</v>
      </c>
      <c r="R382" s="20" t="n">
        <f aca="false" t="array" ref="R382:R382">IF(AND(INDEX(Profils!$L$5:$L$34,$AE382)&gt;0,INDEX(Profils!$AA$5:$AA$34,$AE382)&lt;=$AH382),ROUND(INDEX(Profils!$L$5:$L$34,$AE382)*Paramètres!$E$28*$AG382*$AJ382,Paramètres!$F$28),0)</f>
        <v>0</v>
      </c>
      <c r="S382" s="20" t="n">
        <f aca="false" t="array" ref="S382:S382">IF(AND(INDEX(Profils!$M$5:$M$34,$AE382)&gt;0,INDEX(Profils!$AB$5:$AB$34,$AE382)&lt;=$AH382),ROUND(INDEX(Profils!$M$5:$M$34,$AE382)*Paramètres!$E$29*$AG382*$AJ382,Paramètres!$F$29),0)</f>
        <v>0</v>
      </c>
      <c r="T382" s="20" t="n">
        <f aca="false" t="array" ref="T382:T382">IF(AND(INDEX(Profils!$N$5:$N$34,$AE382)&gt;0,INDEX(Profils!$AC$5:$AC$34,$AE382)&lt;=$AH382),ROUND(INDEX(Profils!$N$5:$N$34,$AE382)*Paramètres!$E$30*$AG382*$AJ382,Paramètres!$F$30),0)</f>
        <v>0</v>
      </c>
      <c r="U382" s="19" t="n">
        <f aca="false" t="array" ref="U382:U382">IF(AND(INDEX(Profils!$O$5:$O$34,$AE382)&gt;0,INDEX(Profils!$AD$5:$AD$34,$AE382)&lt;=$AH382),ROUND(INDEX(Profils!$O$5:$O$34,$AE382)*Paramètres!$E$31*$AG382*$AJ382,Paramètres!$F$31),0)</f>
        <v>1</v>
      </c>
      <c r="V382" s="20" t="n">
        <f aca="false" t="array" ref="V382:V382">IF(AND(INDEX(Profils!$P$5:$P$34,$AE382)&gt;0,INDEX(Profils!$AE$5:$AE$34,$AE382)&lt;=$AH382),ROUND(INDEX(Profils!$P$5:$P$34,$AE382)*Paramètres!$E$32*$AG382*$AJ382,Paramètres!$F$32),0)</f>
        <v>0</v>
      </c>
      <c r="W382" s="20" t="n">
        <f aca="false" t="array" ref="W382:W382">IF(AND(INDEX(Profils!$Q$5:$Q$34,$AE382)&gt;0,INDEX(Profils!$AF$5:$AF$34,$AE382)&lt;=$AH382),ROUND(INDEX(Profils!$Q$5:$Q$34,$AE382)*Paramètres!$E$33*$AG382*$AJ382,Paramètres!$F$33),0)</f>
        <v>0.001</v>
      </c>
      <c r="X382" s="20" t="n">
        <f aca="false" t="array" ref="X382:X382">IF(AND(INDEX(Profils!$R$5:$R$34,$AE382)&gt;0,INDEX(Profils!$AG$5:$AG$34,$AE382)&lt;=$AH382),ROUND(INDEX(Profils!$R$5:$R$34,$AE382)*Paramètres!$E$34*$AG382*$AJ382,Paramètres!$F$34),0)</f>
        <v>0</v>
      </c>
      <c r="Y382" s="20" t="n">
        <f aca="false" t="array" ref="Y382:Y382">IF(AND(INDEX(Profils!$S$5:$S$34,$AE382)&gt;0,INDEX(Profils!$AH$5:$AH$34,$AE382)&lt;=$AH382),ROUND(INDEX(Profils!$S$5:$S$34,$AE382)*Paramètres!$E$35*$AG382*$AJ382,Paramètres!$F$35),0)</f>
        <v>0</v>
      </c>
      <c r="Z382" s="21" t="n">
        <f aca="false">ROUND(L382/Paramètres!$E$22+M382/Paramètres!$E$23+N382/Paramètres!$E$24+O382/Paramètres!$E$25+P382/Paramètres!$E$26+Q382/Paramètres!$E$27+R382/Paramètres!$E$28+S382/Paramètres!$E$29+T382/Paramètres!$E$30+U382/Paramètres!$E$31+V382/Paramètres!$E$32+W382/Paramètres!$E$33+X382/Paramètres!$E$34+Y382/Paramètres!$E$35,1)</f>
        <v>0.6</v>
      </c>
      <c r="AA382" s="22" t="s">
        <v>109</v>
      </c>
      <c r="AB382" s="22" t="s">
        <v>109</v>
      </c>
      <c r="AC382" s="15" t="str">
        <f aca="false">$E382</f>
        <v>lin</v>
      </c>
      <c r="AD382" s="16" t="n">
        <f aca="false" t="array" ref="AD382:AD382">IF($I382&gt;=$AI382,"Max",ROUND(Paramètres!$B$40*($I382+1)^Paramètres!$B$41*INDEX(Paramètres!$H$6:$H$12,$AF382),0))</f>
        <v>6</v>
      </c>
      <c r="AE382" s="23" t="n">
        <f aca="false">MATCH($B382&amp;"|"&amp;$C382,Profils!$A$5:$A$34,0)</f>
        <v>13</v>
      </c>
      <c r="AF382" s="23" t="n">
        <v>5</v>
      </c>
      <c r="AG382" s="24" t="n">
        <f aca="false" t="array" ref="AG382:AG382">INDEX(Paramètres!$C$6:$C$12,$AF382)</f>
        <v>2.1</v>
      </c>
      <c r="AH382" s="23" t="n">
        <f aca="false" t="array" ref="AH382:AH382">INDEX(Paramètres!$D$6:$D$12,$AF382)</f>
        <v>6</v>
      </c>
      <c r="AI382" s="23" t="n">
        <f aca="false" t="array" ref="AI382:AI382">INDEX(Matériaux!$C$16:$C$20,$D382)</f>
        <v>19</v>
      </c>
      <c r="AJ382" s="25" t="n">
        <f aca="false">Paramètres!$B$16+(1-Paramètres!$B$16)*(($J382-Paramètres!$B$14)/(Paramètres!$B$15-Paramètres!$B$14))^Paramètres!$B$17</f>
        <v>0.05</v>
      </c>
    </row>
    <row r="383" customFormat="false" ht="15.75" hidden="false" customHeight="true" outlineLevel="0" collapsed="false">
      <c r="A383" s="14" t="s">
        <v>499</v>
      </c>
      <c r="B383" s="15" t="s">
        <v>29</v>
      </c>
      <c r="C383" s="15" t="s">
        <v>177</v>
      </c>
      <c r="D383" s="16" t="n">
        <v>1</v>
      </c>
      <c r="E383" s="15" t="str">
        <f aca="false" t="array" ref="E383:E383">INDEX(Matériaux!$B$5:$F$12,MATCH(INDEX(Profils!$E$5:$E$34,$AE383),Matériaux!$A$5:$A$12,0),$D383)</f>
        <v>lin</v>
      </c>
      <c r="F383" s="30" t="s">
        <v>119</v>
      </c>
      <c r="G383" s="10" t="str">
        <f aca="false" t="array" ref="G383:G383">INDEX(Profils!$D$5:$D$34,$AE383)&amp;" en "&amp;$E383</f>
        <v>Pantalon en lin</v>
      </c>
      <c r="H383" s="16" t="n">
        <f aca="false" t="array" ref="H383:H383">INDEX(Matériaux!$B$16:$B$20,$D383)</f>
        <v>1</v>
      </c>
      <c r="I383" s="16" t="n">
        <f aca="false">IF(ISNUMBER($C$3),MIN(MAX(0,ROUND($C$3,0)),$AI383),$AI383)</f>
        <v>0</v>
      </c>
      <c r="J383" s="18" t="n">
        <f aca="false">$H383+$I383</f>
        <v>1</v>
      </c>
      <c r="K383" s="15" t="s">
        <v>109</v>
      </c>
      <c r="L383" s="19" t="n">
        <f aca="false" t="array" ref="L383:L383">IF(AND(INDEX(Profils!$F$5:$F$34,$AE383)&gt;0,INDEX(Profils!$U$5:$U$34,$AE383)&lt;=$AH383),ROUND(INDEX(Profils!$F$5:$F$34,$AE383)*Paramètres!$E$22*$AG383*$AJ383,Paramètres!$F$22),0)</f>
        <v>5</v>
      </c>
      <c r="M383" s="19" t="n">
        <f aca="false" t="array" ref="M383:M383">IF(AND(INDEX(Profils!$G$5:$G$34,$AE383)&gt;0,INDEX(Profils!$V$5:$V$34,$AE383)&lt;=$AH383),ROUND(INDEX(Profils!$G$5:$G$34,$AE383)*Paramètres!$E$23*$AG383*$AJ383,Paramètres!$F$23),0)</f>
        <v>0</v>
      </c>
      <c r="N383" s="19" t="n">
        <f aca="false" t="array" ref="N383:N383">IF(AND(INDEX(Profils!$H$5:$H$34,$AE383)&gt;0,INDEX(Profils!$W$5:$W$34,$AE383)&lt;=$AH383),ROUND(INDEX(Profils!$H$5:$H$34,$AE383)*Paramètres!$E$24*$AG383*$AJ383,Paramètres!$F$24),0)</f>
        <v>1</v>
      </c>
      <c r="O383" s="19" t="n">
        <f aca="false" t="array" ref="O383:O383">IF(AND(INDEX(Profils!$I$5:$I$34,$AE383)&gt;0,INDEX(Profils!$X$5:$X$34,$AE383)&lt;=$AH383),ROUND(INDEX(Profils!$I$5:$I$34,$AE383)*Paramètres!$E$25*$AG383*$AJ383,Paramètres!$F$25),0)</f>
        <v>2</v>
      </c>
      <c r="P383" s="19" t="n">
        <f aca="false" t="array" ref="P383:P383">IF(AND(INDEX(Profils!$J$5:$J$34,$AE383)&gt;0,INDEX(Profils!$Y$5:$Y$34,$AE383)&lt;=$AH383),ROUND(INDEX(Profils!$J$5:$J$34,$AE383)*Paramètres!$E$26*$AG383*$AJ383,Paramètres!$F$26),0)</f>
        <v>1</v>
      </c>
      <c r="Q383" s="19" t="n">
        <f aca="false" t="array" ref="Q383:Q383">IF(AND(INDEX(Profils!$K$5:$K$34,$AE383)&gt;0,INDEX(Profils!$Z$5:$Z$34,$AE383)&lt;=$AH383),ROUND(INDEX(Profils!$K$5:$K$34,$AE383)*Paramètres!$E$27*$AG383*$AJ383,Paramètres!$F$27),0)</f>
        <v>0</v>
      </c>
      <c r="R383" s="20" t="n">
        <f aca="false" t="array" ref="R383:R383">IF(AND(INDEX(Profils!$L$5:$L$34,$AE383)&gt;0,INDEX(Profils!$AA$5:$AA$34,$AE383)&lt;=$AH383),ROUND(INDEX(Profils!$L$5:$L$34,$AE383)*Paramètres!$E$28*$AG383*$AJ383,Paramètres!$F$28),0)</f>
        <v>0</v>
      </c>
      <c r="S383" s="20" t="n">
        <f aca="false" t="array" ref="S383:S383">IF(AND(INDEX(Profils!$M$5:$M$34,$AE383)&gt;0,INDEX(Profils!$AB$5:$AB$34,$AE383)&lt;=$AH383),ROUND(INDEX(Profils!$M$5:$M$34,$AE383)*Paramètres!$E$29*$AG383*$AJ383,Paramètres!$F$29),0)</f>
        <v>0</v>
      </c>
      <c r="T383" s="20" t="n">
        <f aca="false" t="array" ref="T383:T383">IF(AND(INDEX(Profils!$N$5:$N$34,$AE383)&gt;0,INDEX(Profils!$AC$5:$AC$34,$AE383)&lt;=$AH383),ROUND(INDEX(Profils!$N$5:$N$34,$AE383)*Paramètres!$E$30*$AG383*$AJ383,Paramètres!$F$30),0)</f>
        <v>0</v>
      </c>
      <c r="U383" s="19" t="n">
        <f aca="false" t="array" ref="U383:U383">IF(AND(INDEX(Profils!$O$5:$O$34,$AE383)&gt;0,INDEX(Profils!$AD$5:$AD$34,$AE383)&lt;=$AH383),ROUND(INDEX(Profils!$O$5:$O$34,$AE383)*Paramètres!$E$31*$AG383*$AJ383,Paramètres!$F$31),0)</f>
        <v>2</v>
      </c>
      <c r="V383" s="20" t="n">
        <f aca="false" t="array" ref="V383:V383">IF(AND(INDEX(Profils!$P$5:$P$34,$AE383)&gt;0,INDEX(Profils!$AE$5:$AE$34,$AE383)&lt;=$AH383),ROUND(INDEX(Profils!$P$5:$P$34,$AE383)*Paramètres!$E$32*$AG383*$AJ383,Paramètres!$F$32),0)</f>
        <v>0</v>
      </c>
      <c r="W383" s="20" t="n">
        <f aca="false" t="array" ref="W383:W383">IF(AND(INDEX(Profils!$Q$5:$Q$34,$AE383)&gt;0,INDEX(Profils!$AF$5:$AF$34,$AE383)&lt;=$AH383),ROUND(INDEX(Profils!$Q$5:$Q$34,$AE383)*Paramètres!$E$33*$AG383*$AJ383,Paramètres!$F$33),0)</f>
        <v>0.002</v>
      </c>
      <c r="X383" s="20" t="n">
        <f aca="false" t="array" ref="X383:X383">IF(AND(INDEX(Profils!$R$5:$R$34,$AE383)&gt;0,INDEX(Profils!$AG$5:$AG$34,$AE383)&lt;=$AH383),ROUND(INDEX(Profils!$R$5:$R$34,$AE383)*Paramètres!$E$34*$AG383*$AJ383,Paramètres!$F$34),0)</f>
        <v>0.001</v>
      </c>
      <c r="Y383" s="20" t="n">
        <f aca="false" t="array" ref="Y383:Y383">IF(AND(INDEX(Profils!$S$5:$S$34,$AE383)&gt;0,INDEX(Profils!$AH$5:$AH$34,$AE383)&lt;=$AH383),ROUND(INDEX(Profils!$S$5:$S$34,$AE383)*Paramètres!$E$35*$AG383*$AJ383,Paramètres!$F$35),0)</f>
        <v>0</v>
      </c>
      <c r="Z383" s="21" t="n">
        <f aca="false">ROUND(L383/Paramètres!$E$22+M383/Paramètres!$E$23+N383/Paramètres!$E$24+O383/Paramètres!$E$25+P383/Paramètres!$E$26+Q383/Paramètres!$E$27+R383/Paramètres!$E$28+S383/Paramètres!$E$29+T383/Paramètres!$E$30+U383/Paramètres!$E$31+V383/Paramètres!$E$32+W383/Paramètres!$E$33+X383/Paramètres!$E$34+Y383/Paramètres!$E$35,1)</f>
        <v>0.8</v>
      </c>
      <c r="AA383" s="22" t="s">
        <v>109</v>
      </c>
      <c r="AB383" s="22" t="s">
        <v>109</v>
      </c>
      <c r="AC383" s="15" t="str">
        <f aca="false">$E383</f>
        <v>lin</v>
      </c>
      <c r="AD383" s="16" t="n">
        <f aca="false" t="array" ref="AD383:AD383">IF($I383&gt;=$AI383,"Max",ROUND(Paramètres!$B$40*($I383+1)^Paramètres!$B$41*INDEX(Paramètres!$H$6:$H$12,$AF383),0))</f>
        <v>8</v>
      </c>
      <c r="AE383" s="23" t="n">
        <f aca="false">MATCH($B383&amp;"|"&amp;$C383,Profils!$A$5:$A$34,0)</f>
        <v>13</v>
      </c>
      <c r="AF383" s="23" t="n">
        <v>6</v>
      </c>
      <c r="AG383" s="24" t="n">
        <f aca="false" t="array" ref="AG383:AG383">INDEX(Paramètres!$C$6:$C$12,$AF383)</f>
        <v>2.4</v>
      </c>
      <c r="AH383" s="23" t="n">
        <f aca="false" t="array" ref="AH383:AH383">INDEX(Paramètres!$D$6:$D$12,$AF383)</f>
        <v>7</v>
      </c>
      <c r="AI383" s="23" t="n">
        <f aca="false" t="array" ref="AI383:AI383">INDEX(Matériaux!$C$16:$C$20,$D383)</f>
        <v>19</v>
      </c>
      <c r="AJ383" s="25" t="n">
        <f aca="false">Paramètres!$B$16+(1-Paramètres!$B$16)*(($J383-Paramètres!$B$14)/(Paramètres!$B$15-Paramètres!$B$14))^Paramètres!$B$17</f>
        <v>0.05</v>
      </c>
    </row>
    <row r="384" customFormat="false" ht="15.75" hidden="false" customHeight="true" outlineLevel="0" collapsed="false">
      <c r="A384" s="14" t="s">
        <v>500</v>
      </c>
      <c r="B384" s="15" t="s">
        <v>29</v>
      </c>
      <c r="C384" s="15" t="s">
        <v>177</v>
      </c>
      <c r="D384" s="16" t="n">
        <v>2</v>
      </c>
      <c r="E384" s="15" t="str">
        <f aca="false" t="array" ref="E384:E384">INDEX(Matériaux!$B$5:$F$12,MATCH(INDEX(Profils!$E$5:$E$34,$AE384),Matériaux!$A$5:$A$12,0),$D384)</f>
        <v>laine</v>
      </c>
      <c r="F384" s="17" t="s">
        <v>108</v>
      </c>
      <c r="G384" s="10" t="str">
        <f aca="false" t="array" ref="G384:G384">INDEX(Profils!$D$5:$D$34,$AE384)&amp;" en "&amp;$E384</f>
        <v>Pantalon en laine</v>
      </c>
      <c r="H384" s="16" t="n">
        <f aca="false" t="array" ref="H384:H384">INDEX(Matériaux!$B$16:$B$20,$D384)</f>
        <v>15</v>
      </c>
      <c r="I384" s="16" t="n">
        <f aca="false">IF(ISNUMBER($C$3),MIN(MAX(0,ROUND($C$3,0)),$AI384),$AI384)</f>
        <v>0</v>
      </c>
      <c r="J384" s="18" t="n">
        <f aca="false">$H384+$I384</f>
        <v>15</v>
      </c>
      <c r="K384" s="15" t="s">
        <v>109</v>
      </c>
      <c r="L384" s="19" t="n">
        <f aca="false" t="array" ref="L384:L384">IF(AND(INDEX(Profils!$F$5:$F$34,$AE384)&gt;0,INDEX(Profils!$U$5:$U$34,$AE384)&lt;=$AH384),ROUND(INDEX(Profils!$F$5:$F$34,$AE384)*Paramètres!$E$22*$AG384*$AJ384,Paramètres!$F$22),0)</f>
        <v>6</v>
      </c>
      <c r="M384" s="19" t="n">
        <f aca="false" t="array" ref="M384:M384">IF(AND(INDEX(Profils!$G$5:$G$34,$AE384)&gt;0,INDEX(Profils!$V$5:$V$34,$AE384)&lt;=$AH384),ROUND(INDEX(Profils!$G$5:$G$34,$AE384)*Paramètres!$E$23*$AG384*$AJ384,Paramètres!$F$23),0)</f>
        <v>0</v>
      </c>
      <c r="N384" s="19" t="n">
        <f aca="false" t="array" ref="N384:N384">IF(AND(INDEX(Profils!$H$5:$H$34,$AE384)&gt;0,INDEX(Profils!$W$5:$W$34,$AE384)&lt;=$AH384),ROUND(INDEX(Profils!$H$5:$H$34,$AE384)*Paramètres!$E$24*$AG384*$AJ384,Paramètres!$F$24),0)</f>
        <v>0</v>
      </c>
      <c r="O384" s="19" t="n">
        <f aca="false" t="array" ref="O384:O384">IF(AND(INDEX(Profils!$I$5:$I$34,$AE384)&gt;0,INDEX(Profils!$X$5:$X$34,$AE384)&lt;=$AH384),ROUND(INDEX(Profils!$I$5:$I$34,$AE384)*Paramètres!$E$25*$AG384*$AJ384,Paramètres!$F$25),0)</f>
        <v>2</v>
      </c>
      <c r="P384" s="19" t="n">
        <f aca="false" t="array" ref="P384:P384">IF(AND(INDEX(Profils!$J$5:$J$34,$AE384)&gt;0,INDEX(Profils!$Y$5:$Y$34,$AE384)&lt;=$AH384),ROUND(INDEX(Profils!$J$5:$J$34,$AE384)*Paramètres!$E$26*$AG384*$AJ384,Paramètres!$F$26),0)</f>
        <v>0</v>
      </c>
      <c r="Q384" s="19" t="n">
        <f aca="false" t="array" ref="Q384:Q384">IF(AND(INDEX(Profils!$K$5:$K$34,$AE384)&gt;0,INDEX(Profils!$Z$5:$Z$34,$AE384)&lt;=$AH384),ROUND(INDEX(Profils!$K$5:$K$34,$AE384)*Paramètres!$E$27*$AG384*$AJ384,Paramètres!$F$27),0)</f>
        <v>0</v>
      </c>
      <c r="R384" s="20" t="n">
        <f aca="false" t="array" ref="R384:R384">IF(AND(INDEX(Profils!$L$5:$L$34,$AE384)&gt;0,INDEX(Profils!$AA$5:$AA$34,$AE384)&lt;=$AH384),ROUND(INDEX(Profils!$L$5:$L$34,$AE384)*Paramètres!$E$28*$AG384*$AJ384,Paramètres!$F$28),0)</f>
        <v>0</v>
      </c>
      <c r="S384" s="20" t="n">
        <f aca="false" t="array" ref="S384:S384">IF(AND(INDEX(Profils!$M$5:$M$34,$AE384)&gt;0,INDEX(Profils!$AB$5:$AB$34,$AE384)&lt;=$AH384),ROUND(INDEX(Profils!$M$5:$M$34,$AE384)*Paramètres!$E$29*$AG384*$AJ384,Paramètres!$F$29),0)</f>
        <v>0</v>
      </c>
      <c r="T384" s="20" t="n">
        <f aca="false" t="array" ref="T384:T384">IF(AND(INDEX(Profils!$N$5:$N$34,$AE384)&gt;0,INDEX(Profils!$AC$5:$AC$34,$AE384)&lt;=$AH384),ROUND(INDEX(Profils!$N$5:$N$34,$AE384)*Paramètres!$E$30*$AG384*$AJ384,Paramètres!$F$30),0)</f>
        <v>0</v>
      </c>
      <c r="U384" s="19" t="n">
        <f aca="false" t="array" ref="U384:U384">IF(AND(INDEX(Profils!$O$5:$O$34,$AE384)&gt;0,INDEX(Profils!$AD$5:$AD$34,$AE384)&lt;=$AH384),ROUND(INDEX(Profils!$O$5:$O$34,$AE384)*Paramètres!$E$31*$AG384*$AJ384,Paramètres!$F$31),0)</f>
        <v>0</v>
      </c>
      <c r="V384" s="20" t="n">
        <f aca="false" t="array" ref="V384:V384">IF(AND(INDEX(Profils!$P$5:$P$34,$AE384)&gt;0,INDEX(Profils!$AE$5:$AE$34,$AE384)&lt;=$AH384),ROUND(INDEX(Profils!$P$5:$P$34,$AE384)*Paramètres!$E$32*$AG384*$AJ384,Paramètres!$F$32),0)</f>
        <v>0</v>
      </c>
      <c r="W384" s="20" t="n">
        <f aca="false" t="array" ref="W384:W384">IF(AND(INDEX(Profils!$Q$5:$Q$34,$AE384)&gt;0,INDEX(Profils!$AF$5:$AF$34,$AE384)&lt;=$AH384),ROUND(INDEX(Profils!$Q$5:$Q$34,$AE384)*Paramètres!$E$33*$AG384*$AJ384,Paramètres!$F$33),0)</f>
        <v>0</v>
      </c>
      <c r="X384" s="20" t="n">
        <f aca="false" t="array" ref="X384:X384">IF(AND(INDEX(Profils!$R$5:$R$34,$AE384)&gt;0,INDEX(Profils!$AG$5:$AG$34,$AE384)&lt;=$AH384),ROUND(INDEX(Profils!$R$5:$R$34,$AE384)*Paramètres!$E$34*$AG384*$AJ384,Paramètres!$F$34),0)</f>
        <v>0</v>
      </c>
      <c r="Y384" s="20" t="n">
        <f aca="false" t="array" ref="Y384:Y384">IF(AND(INDEX(Profils!$S$5:$S$34,$AE384)&gt;0,INDEX(Profils!$AH$5:$AH$34,$AE384)&lt;=$AH384),ROUND(INDEX(Profils!$S$5:$S$34,$AE384)*Paramètres!$E$35*$AG384*$AJ384,Paramètres!$F$35),0)</f>
        <v>0</v>
      </c>
      <c r="Z384" s="21" t="n">
        <f aca="false">ROUND(L384/Paramètres!$E$22+M384/Paramètres!$E$23+N384/Paramètres!$E$24+O384/Paramètres!$E$25+P384/Paramètres!$E$26+Q384/Paramètres!$E$27+R384/Paramètres!$E$28+S384/Paramètres!$E$29+T384/Paramètres!$E$30+U384/Paramètres!$E$31+V384/Paramètres!$E$32+W384/Paramètres!$E$33+X384/Paramètres!$E$34+Y384/Paramètres!$E$35,1)</f>
        <v>0.4</v>
      </c>
      <c r="AA384" s="22" t="s">
        <v>109</v>
      </c>
      <c r="AB384" s="22" t="s">
        <v>109</v>
      </c>
      <c r="AC384" s="15" t="str">
        <f aca="false">$E384</f>
        <v>laine</v>
      </c>
      <c r="AD384" s="16" t="n">
        <f aca="false" t="array" ref="AD384:AD384">IF($I384&gt;=$AI384,"Max",ROUND(Paramètres!$B$40*($I384+1)^Paramètres!$B$41*INDEX(Paramètres!$H$6:$H$12,$AF384),0))</f>
        <v>3</v>
      </c>
      <c r="AE384" s="23" t="n">
        <f aca="false">MATCH($B384&amp;"|"&amp;$C384,Profils!$A$5:$A$34,0)</f>
        <v>13</v>
      </c>
      <c r="AF384" s="23" t="n">
        <v>1</v>
      </c>
      <c r="AG384" s="24" t="n">
        <f aca="false" t="array" ref="AG384:AG384">INDEX(Paramètres!$C$6:$C$12,$AF384)</f>
        <v>1</v>
      </c>
      <c r="AH384" s="23" t="n">
        <f aca="false" t="array" ref="AH384:AH384">INDEX(Paramètres!$D$6:$D$12,$AF384)</f>
        <v>2</v>
      </c>
      <c r="AI384" s="23" t="n">
        <f aca="false" t="array" ref="AI384:AI384">INDEX(Matériaux!$C$16:$C$20,$D384)</f>
        <v>20</v>
      </c>
      <c r="AJ384" s="25" t="n">
        <f aca="false">Paramètres!$B$16+(1-Paramètres!$B$16)*(($J384-Paramètres!$B$14)/(Paramètres!$B$15-Paramètres!$B$14))^Paramètres!$B$17</f>
        <v>0.140847925475674</v>
      </c>
    </row>
    <row r="385" customFormat="false" ht="15.75" hidden="false" customHeight="true" outlineLevel="0" collapsed="false">
      <c r="A385" s="14" t="s">
        <v>501</v>
      </c>
      <c r="B385" s="15" t="s">
        <v>29</v>
      </c>
      <c r="C385" s="15" t="s">
        <v>177</v>
      </c>
      <c r="D385" s="16" t="n">
        <v>2</v>
      </c>
      <c r="E385" s="15" t="str">
        <f aca="false" t="array" ref="E385:E385">INDEX(Matériaux!$B$5:$F$12,MATCH(INDEX(Profils!$E$5:$E$34,$AE385),Matériaux!$A$5:$A$12,0),$D385)</f>
        <v>laine</v>
      </c>
      <c r="F385" s="26" t="s">
        <v>111</v>
      </c>
      <c r="G385" s="10" t="str">
        <f aca="false" t="array" ref="G385:G385">INDEX(Profils!$D$5:$D$34,$AE385)&amp;" en "&amp;$E385</f>
        <v>Pantalon en laine</v>
      </c>
      <c r="H385" s="16" t="n">
        <f aca="false" t="array" ref="H385:H385">INDEX(Matériaux!$B$16:$B$20,$D385)</f>
        <v>15</v>
      </c>
      <c r="I385" s="16" t="n">
        <f aca="false">IF(ISNUMBER($C$3),MIN(MAX(0,ROUND($C$3,0)),$AI385),$AI385)</f>
        <v>0</v>
      </c>
      <c r="J385" s="18" t="n">
        <f aca="false">$H385+$I385</f>
        <v>15</v>
      </c>
      <c r="K385" s="15" t="s">
        <v>109</v>
      </c>
      <c r="L385" s="19" t="n">
        <f aca="false" t="array" ref="L385:L385">IF(AND(INDEX(Profils!$F$5:$F$34,$AE385)&gt;0,INDEX(Profils!$U$5:$U$34,$AE385)&lt;=$AH385),ROUND(INDEX(Profils!$F$5:$F$34,$AE385)*Paramètres!$E$22*$AG385*$AJ385,Paramètres!$F$22),0)</f>
        <v>7</v>
      </c>
      <c r="M385" s="19" t="n">
        <f aca="false" t="array" ref="M385:M385">IF(AND(INDEX(Profils!$G$5:$G$34,$AE385)&gt;0,INDEX(Profils!$V$5:$V$34,$AE385)&lt;=$AH385),ROUND(INDEX(Profils!$G$5:$G$34,$AE385)*Paramètres!$E$23*$AG385*$AJ385,Paramètres!$F$23),0)</f>
        <v>0</v>
      </c>
      <c r="N385" s="19" t="n">
        <f aca="false" t="array" ref="N385:N385">IF(AND(INDEX(Profils!$H$5:$H$34,$AE385)&gt;0,INDEX(Profils!$W$5:$W$34,$AE385)&lt;=$AH385),ROUND(INDEX(Profils!$H$5:$H$34,$AE385)*Paramètres!$E$24*$AG385*$AJ385,Paramètres!$F$24),0)</f>
        <v>0</v>
      </c>
      <c r="O385" s="19" t="n">
        <f aca="false" t="array" ref="O385:O385">IF(AND(INDEX(Profils!$I$5:$I$34,$AE385)&gt;0,INDEX(Profils!$X$5:$X$34,$AE385)&lt;=$AH385),ROUND(INDEX(Profils!$I$5:$I$34,$AE385)*Paramètres!$E$25*$AG385*$AJ385,Paramètres!$F$25),0)</f>
        <v>3</v>
      </c>
      <c r="P385" s="19" t="n">
        <f aca="false" t="array" ref="P385:P385">IF(AND(INDEX(Profils!$J$5:$J$34,$AE385)&gt;0,INDEX(Profils!$Y$5:$Y$34,$AE385)&lt;=$AH385),ROUND(INDEX(Profils!$J$5:$J$34,$AE385)*Paramètres!$E$26*$AG385*$AJ385,Paramètres!$F$26),0)</f>
        <v>0</v>
      </c>
      <c r="Q385" s="19" t="n">
        <f aca="false" t="array" ref="Q385:Q385">IF(AND(INDEX(Profils!$K$5:$K$34,$AE385)&gt;0,INDEX(Profils!$Z$5:$Z$34,$AE385)&lt;=$AH385),ROUND(INDEX(Profils!$K$5:$K$34,$AE385)*Paramètres!$E$27*$AG385*$AJ385,Paramètres!$F$27),0)</f>
        <v>0</v>
      </c>
      <c r="R385" s="20" t="n">
        <f aca="false" t="array" ref="R385:R385">IF(AND(INDEX(Profils!$L$5:$L$34,$AE385)&gt;0,INDEX(Profils!$AA$5:$AA$34,$AE385)&lt;=$AH385),ROUND(INDEX(Profils!$L$5:$L$34,$AE385)*Paramètres!$E$28*$AG385*$AJ385,Paramètres!$F$28),0)</f>
        <v>0</v>
      </c>
      <c r="S385" s="20" t="n">
        <f aca="false" t="array" ref="S385:S385">IF(AND(INDEX(Profils!$M$5:$M$34,$AE385)&gt;0,INDEX(Profils!$AB$5:$AB$34,$AE385)&lt;=$AH385),ROUND(INDEX(Profils!$M$5:$M$34,$AE385)*Paramètres!$E$29*$AG385*$AJ385,Paramètres!$F$29),0)</f>
        <v>0</v>
      </c>
      <c r="T385" s="20" t="n">
        <f aca="false" t="array" ref="T385:T385">IF(AND(INDEX(Profils!$N$5:$N$34,$AE385)&gt;0,INDEX(Profils!$AC$5:$AC$34,$AE385)&lt;=$AH385),ROUND(INDEX(Profils!$N$5:$N$34,$AE385)*Paramètres!$E$30*$AG385*$AJ385,Paramètres!$F$30),0)</f>
        <v>0</v>
      </c>
      <c r="U385" s="19" t="n">
        <f aca="false" t="array" ref="U385:U385">IF(AND(INDEX(Profils!$O$5:$O$34,$AE385)&gt;0,INDEX(Profils!$AD$5:$AD$34,$AE385)&lt;=$AH385),ROUND(INDEX(Profils!$O$5:$O$34,$AE385)*Paramètres!$E$31*$AG385*$AJ385,Paramètres!$F$31),0)</f>
        <v>0</v>
      </c>
      <c r="V385" s="20" t="n">
        <f aca="false" t="array" ref="V385:V385">IF(AND(INDEX(Profils!$P$5:$P$34,$AE385)&gt;0,INDEX(Profils!$AE$5:$AE$34,$AE385)&lt;=$AH385),ROUND(INDEX(Profils!$P$5:$P$34,$AE385)*Paramètres!$E$32*$AG385*$AJ385,Paramètres!$F$32),0)</f>
        <v>0</v>
      </c>
      <c r="W385" s="20" t="n">
        <f aca="false" t="array" ref="W385:W385">IF(AND(INDEX(Profils!$Q$5:$Q$34,$AE385)&gt;0,INDEX(Profils!$AF$5:$AF$34,$AE385)&lt;=$AH385),ROUND(INDEX(Profils!$Q$5:$Q$34,$AE385)*Paramètres!$E$33*$AG385*$AJ385,Paramètres!$F$33),0)</f>
        <v>0.002</v>
      </c>
      <c r="X385" s="20" t="n">
        <f aca="false" t="array" ref="X385:X385">IF(AND(INDEX(Profils!$R$5:$R$34,$AE385)&gt;0,INDEX(Profils!$AG$5:$AG$34,$AE385)&lt;=$AH385),ROUND(INDEX(Profils!$R$5:$R$34,$AE385)*Paramètres!$E$34*$AG385*$AJ385,Paramètres!$F$34),0)</f>
        <v>0</v>
      </c>
      <c r="Y385" s="20" t="n">
        <f aca="false" t="array" ref="Y385:Y385">IF(AND(INDEX(Profils!$S$5:$S$34,$AE385)&gt;0,INDEX(Profils!$AH$5:$AH$34,$AE385)&lt;=$AH385),ROUND(INDEX(Profils!$S$5:$S$34,$AE385)*Paramètres!$E$35*$AG385*$AJ385,Paramètres!$F$35),0)</f>
        <v>0</v>
      </c>
      <c r="Z385" s="21" t="n">
        <f aca="false">ROUND(L385/Paramètres!$E$22+M385/Paramètres!$E$23+N385/Paramètres!$E$24+O385/Paramètres!$E$25+P385/Paramètres!$E$26+Q385/Paramètres!$E$27+R385/Paramètres!$E$28+S385/Paramètres!$E$29+T385/Paramètres!$E$30+U385/Paramètres!$E$31+V385/Paramètres!$E$32+W385/Paramètres!$E$33+X385/Paramètres!$E$34+Y385/Paramètres!$E$35,1)</f>
        <v>0.6</v>
      </c>
      <c r="AA385" s="22" t="s">
        <v>109</v>
      </c>
      <c r="AB385" s="22" t="s">
        <v>109</v>
      </c>
      <c r="AC385" s="15" t="str">
        <f aca="false">$E385</f>
        <v>laine</v>
      </c>
      <c r="AD385" s="16" t="n">
        <f aca="false" t="array" ref="AD385:AD385">IF($I385&gt;=$AI385,"Max",ROUND(Paramètres!$B$40*($I385+1)^Paramètres!$B$41*INDEX(Paramètres!$H$6:$H$12,$AF385),0))</f>
        <v>4</v>
      </c>
      <c r="AE385" s="23" t="n">
        <f aca="false">MATCH($B385&amp;"|"&amp;$C385,Profils!$A$5:$A$34,0)</f>
        <v>13</v>
      </c>
      <c r="AF385" s="23" t="n">
        <v>2</v>
      </c>
      <c r="AG385" s="24" t="n">
        <f aca="false" t="array" ref="AG385:AG385">INDEX(Paramètres!$C$6:$C$12,$AF385)</f>
        <v>1.2</v>
      </c>
      <c r="AH385" s="23" t="n">
        <f aca="false" t="array" ref="AH385:AH385">INDEX(Paramètres!$D$6:$D$12,$AF385)</f>
        <v>3</v>
      </c>
      <c r="AI385" s="23" t="n">
        <f aca="false" t="array" ref="AI385:AI385">INDEX(Matériaux!$C$16:$C$20,$D385)</f>
        <v>20</v>
      </c>
      <c r="AJ385" s="25" t="n">
        <f aca="false">Paramètres!$B$16+(1-Paramètres!$B$16)*(($J385-Paramètres!$B$14)/(Paramètres!$B$15-Paramètres!$B$14))^Paramètres!$B$17</f>
        <v>0.140847925475674</v>
      </c>
    </row>
    <row r="386" customFormat="false" ht="15.75" hidden="false" customHeight="true" outlineLevel="0" collapsed="false">
      <c r="A386" s="14" t="s">
        <v>502</v>
      </c>
      <c r="B386" s="15" t="s">
        <v>29</v>
      </c>
      <c r="C386" s="15" t="s">
        <v>177</v>
      </c>
      <c r="D386" s="16" t="n">
        <v>2</v>
      </c>
      <c r="E386" s="15" t="str">
        <f aca="false" t="array" ref="E386:E386">INDEX(Matériaux!$B$5:$F$12,MATCH(INDEX(Profils!$E$5:$E$34,$AE386),Matériaux!$A$5:$A$12,0),$D386)</f>
        <v>laine</v>
      </c>
      <c r="F386" s="27" t="s">
        <v>113</v>
      </c>
      <c r="G386" s="10" t="str">
        <f aca="false" t="array" ref="G386:G386">INDEX(Profils!$D$5:$D$34,$AE386)&amp;" en "&amp;$E386</f>
        <v>Pantalon en laine</v>
      </c>
      <c r="H386" s="16" t="n">
        <f aca="false" t="array" ref="H386:H386">INDEX(Matériaux!$B$16:$B$20,$D386)</f>
        <v>15</v>
      </c>
      <c r="I386" s="16" t="n">
        <f aca="false">IF(ISNUMBER($C$3),MIN(MAX(0,ROUND($C$3,0)),$AI386),$AI386)</f>
        <v>0</v>
      </c>
      <c r="J386" s="18" t="n">
        <f aca="false">$H386+$I386</f>
        <v>15</v>
      </c>
      <c r="K386" s="15" t="s">
        <v>109</v>
      </c>
      <c r="L386" s="19" t="n">
        <f aca="false" t="array" ref="L386:L386">IF(AND(INDEX(Profils!$F$5:$F$34,$AE386)&gt;0,INDEX(Profils!$U$5:$U$34,$AE386)&lt;=$AH386),ROUND(INDEX(Profils!$F$5:$F$34,$AE386)*Paramètres!$E$22*$AG386*$AJ386,Paramètres!$F$22),0)</f>
        <v>9</v>
      </c>
      <c r="M386" s="19" t="n">
        <f aca="false" t="array" ref="M386:M386">IF(AND(INDEX(Profils!$G$5:$G$34,$AE386)&gt;0,INDEX(Profils!$V$5:$V$34,$AE386)&lt;=$AH386),ROUND(INDEX(Profils!$G$5:$G$34,$AE386)*Paramètres!$E$23*$AG386*$AJ386,Paramètres!$F$23),0)</f>
        <v>0</v>
      </c>
      <c r="N386" s="19" t="n">
        <f aca="false" t="array" ref="N386:N386">IF(AND(INDEX(Profils!$H$5:$H$34,$AE386)&gt;0,INDEX(Profils!$W$5:$W$34,$AE386)&lt;=$AH386),ROUND(INDEX(Profils!$H$5:$H$34,$AE386)*Paramètres!$E$24*$AG386*$AJ386,Paramètres!$F$24),0)</f>
        <v>0</v>
      </c>
      <c r="O386" s="19" t="n">
        <f aca="false" t="array" ref="O386:O386">IF(AND(INDEX(Profils!$I$5:$I$34,$AE386)&gt;0,INDEX(Profils!$X$5:$X$34,$AE386)&lt;=$AH386),ROUND(INDEX(Profils!$I$5:$I$34,$AE386)*Paramètres!$E$25*$AG386*$AJ386,Paramètres!$F$25),0)</f>
        <v>3</v>
      </c>
      <c r="P386" s="19" t="n">
        <f aca="false" t="array" ref="P386:P386">IF(AND(INDEX(Profils!$J$5:$J$34,$AE386)&gt;0,INDEX(Profils!$Y$5:$Y$34,$AE386)&lt;=$AH386),ROUND(INDEX(Profils!$J$5:$J$34,$AE386)*Paramètres!$E$26*$AG386*$AJ386,Paramètres!$F$26),0)</f>
        <v>2</v>
      </c>
      <c r="Q386" s="19" t="n">
        <f aca="false" t="array" ref="Q386:Q386">IF(AND(INDEX(Profils!$K$5:$K$34,$AE386)&gt;0,INDEX(Profils!$Z$5:$Z$34,$AE386)&lt;=$AH386),ROUND(INDEX(Profils!$K$5:$K$34,$AE386)*Paramètres!$E$27*$AG386*$AJ386,Paramètres!$F$27),0)</f>
        <v>0</v>
      </c>
      <c r="R386" s="20" t="n">
        <f aca="false" t="array" ref="R386:R386">IF(AND(INDEX(Profils!$L$5:$L$34,$AE386)&gt;0,INDEX(Profils!$AA$5:$AA$34,$AE386)&lt;=$AH386),ROUND(INDEX(Profils!$L$5:$L$34,$AE386)*Paramètres!$E$28*$AG386*$AJ386,Paramètres!$F$28),0)</f>
        <v>0</v>
      </c>
      <c r="S386" s="20" t="n">
        <f aca="false" t="array" ref="S386:S386">IF(AND(INDEX(Profils!$M$5:$M$34,$AE386)&gt;0,INDEX(Profils!$AB$5:$AB$34,$AE386)&lt;=$AH386),ROUND(INDEX(Profils!$M$5:$M$34,$AE386)*Paramètres!$E$29*$AG386*$AJ386,Paramètres!$F$29),0)</f>
        <v>0</v>
      </c>
      <c r="T386" s="20" t="n">
        <f aca="false" t="array" ref="T386:T386">IF(AND(INDEX(Profils!$N$5:$N$34,$AE386)&gt;0,INDEX(Profils!$AC$5:$AC$34,$AE386)&lt;=$AH386),ROUND(INDEX(Profils!$N$5:$N$34,$AE386)*Paramètres!$E$30*$AG386*$AJ386,Paramètres!$F$30),0)</f>
        <v>0</v>
      </c>
      <c r="U386" s="19" t="n">
        <f aca="false" t="array" ref="U386:U386">IF(AND(INDEX(Profils!$O$5:$O$34,$AE386)&gt;0,INDEX(Profils!$AD$5:$AD$34,$AE386)&lt;=$AH386),ROUND(INDEX(Profils!$O$5:$O$34,$AE386)*Paramètres!$E$31*$AG386*$AJ386,Paramètres!$F$31),0)</f>
        <v>0</v>
      </c>
      <c r="V386" s="20" t="n">
        <f aca="false" t="array" ref="V386:V386">IF(AND(INDEX(Profils!$P$5:$P$34,$AE386)&gt;0,INDEX(Profils!$AE$5:$AE$34,$AE386)&lt;=$AH386),ROUND(INDEX(Profils!$P$5:$P$34,$AE386)*Paramètres!$E$32*$AG386*$AJ386,Paramètres!$F$32),0)</f>
        <v>0</v>
      </c>
      <c r="W386" s="20" t="n">
        <f aca="false" t="array" ref="W386:W386">IF(AND(INDEX(Profils!$Q$5:$Q$34,$AE386)&gt;0,INDEX(Profils!$AF$5:$AF$34,$AE386)&lt;=$AH386),ROUND(INDEX(Profils!$Q$5:$Q$34,$AE386)*Paramètres!$E$33*$AG386*$AJ386,Paramètres!$F$33),0)</f>
        <v>0.003</v>
      </c>
      <c r="X386" s="20" t="n">
        <f aca="false" t="array" ref="X386:X386">IF(AND(INDEX(Profils!$R$5:$R$34,$AE386)&gt;0,INDEX(Profils!$AG$5:$AG$34,$AE386)&lt;=$AH386),ROUND(INDEX(Profils!$R$5:$R$34,$AE386)*Paramètres!$E$34*$AG386*$AJ386,Paramètres!$F$34),0)</f>
        <v>0</v>
      </c>
      <c r="Y386" s="20" t="n">
        <f aca="false" t="array" ref="Y386:Y386">IF(AND(INDEX(Profils!$S$5:$S$34,$AE386)&gt;0,INDEX(Profils!$AH$5:$AH$34,$AE386)&lt;=$AH386),ROUND(INDEX(Profils!$S$5:$S$34,$AE386)*Paramètres!$E$35*$AG386*$AJ386,Paramètres!$F$35),0)</f>
        <v>0</v>
      </c>
      <c r="Z386" s="21" t="n">
        <f aca="false">ROUND(L386/Paramètres!$E$22+M386/Paramètres!$E$23+N386/Paramètres!$E$24+O386/Paramètres!$E$25+P386/Paramètres!$E$26+Q386/Paramètres!$E$27+R386/Paramètres!$E$28+S386/Paramètres!$E$29+T386/Paramètres!$E$30+U386/Paramètres!$E$31+V386/Paramètres!$E$32+W386/Paramètres!$E$33+X386/Paramètres!$E$34+Y386/Paramètres!$E$35,1)</f>
        <v>0.9</v>
      </c>
      <c r="AA386" s="22" t="s">
        <v>109</v>
      </c>
      <c r="AB386" s="22" t="s">
        <v>109</v>
      </c>
      <c r="AC386" s="15" t="str">
        <f aca="false">$E386</f>
        <v>laine</v>
      </c>
      <c r="AD386" s="16" t="n">
        <f aca="false" t="array" ref="AD386:AD386">IF($I386&gt;=$AI386,"Max",ROUND(Paramètres!$B$40*($I386+1)^Paramètres!$B$41*INDEX(Paramètres!$H$6:$H$12,$AF386),0))</f>
        <v>4</v>
      </c>
      <c r="AE386" s="23" t="n">
        <f aca="false">MATCH($B386&amp;"|"&amp;$C386,Profils!$A$5:$A$34,0)</f>
        <v>13</v>
      </c>
      <c r="AF386" s="23" t="n">
        <v>3</v>
      </c>
      <c r="AG386" s="24" t="n">
        <f aca="false" t="array" ref="AG386:AG386">INDEX(Paramètres!$C$6:$C$12,$AF386)</f>
        <v>1.45</v>
      </c>
      <c r="AH386" s="23" t="n">
        <f aca="false" t="array" ref="AH386:AH386">INDEX(Paramètres!$D$6:$D$12,$AF386)</f>
        <v>4</v>
      </c>
      <c r="AI386" s="23" t="n">
        <f aca="false" t="array" ref="AI386:AI386">INDEX(Matériaux!$C$16:$C$20,$D386)</f>
        <v>20</v>
      </c>
      <c r="AJ386" s="25" t="n">
        <f aca="false">Paramètres!$B$16+(1-Paramètres!$B$16)*(($J386-Paramètres!$B$14)/(Paramètres!$B$15-Paramètres!$B$14))^Paramètres!$B$17</f>
        <v>0.140847925475674</v>
      </c>
    </row>
    <row r="387" customFormat="false" ht="15.75" hidden="false" customHeight="true" outlineLevel="0" collapsed="false">
      <c r="A387" s="14" t="s">
        <v>503</v>
      </c>
      <c r="B387" s="15" t="s">
        <v>29</v>
      </c>
      <c r="C387" s="15" t="s">
        <v>177</v>
      </c>
      <c r="D387" s="16" t="n">
        <v>2</v>
      </c>
      <c r="E387" s="15" t="str">
        <f aca="false" t="array" ref="E387:E387">INDEX(Matériaux!$B$5:$F$12,MATCH(INDEX(Profils!$E$5:$E$34,$AE387),Matériaux!$A$5:$A$12,0),$D387)</f>
        <v>laine</v>
      </c>
      <c r="F387" s="28" t="s">
        <v>115</v>
      </c>
      <c r="G387" s="10" t="str">
        <f aca="false" t="array" ref="G387:G387">INDEX(Profils!$D$5:$D$34,$AE387)&amp;" en "&amp;$E387</f>
        <v>Pantalon en laine</v>
      </c>
      <c r="H387" s="16" t="n">
        <f aca="false" t="array" ref="H387:H387">INDEX(Matériaux!$B$16:$B$20,$D387)</f>
        <v>15</v>
      </c>
      <c r="I387" s="16" t="n">
        <f aca="false">IF(ISNUMBER($C$3),MIN(MAX(0,ROUND($C$3,0)),$AI387),$AI387)</f>
        <v>0</v>
      </c>
      <c r="J387" s="18" t="n">
        <f aca="false">$H387+$I387</f>
        <v>15</v>
      </c>
      <c r="K387" s="15" t="s">
        <v>109</v>
      </c>
      <c r="L387" s="19" t="n">
        <f aca="false" t="array" ref="L387:L387">IF(AND(INDEX(Profils!$F$5:$F$34,$AE387)&gt;0,INDEX(Profils!$U$5:$U$34,$AE387)&lt;=$AH387),ROUND(INDEX(Profils!$F$5:$F$34,$AE387)*Paramètres!$E$22*$AG387*$AJ387,Paramètres!$F$22),0)</f>
        <v>10</v>
      </c>
      <c r="M387" s="19" t="n">
        <f aca="false" t="array" ref="M387:M387">IF(AND(INDEX(Profils!$G$5:$G$34,$AE387)&gt;0,INDEX(Profils!$V$5:$V$34,$AE387)&lt;=$AH387),ROUND(INDEX(Profils!$G$5:$G$34,$AE387)*Paramètres!$E$23*$AG387*$AJ387,Paramètres!$F$23),0)</f>
        <v>0</v>
      </c>
      <c r="N387" s="19" t="n">
        <f aca="false" t="array" ref="N387:N387">IF(AND(INDEX(Profils!$H$5:$H$34,$AE387)&gt;0,INDEX(Profils!$W$5:$W$34,$AE387)&lt;=$AH387),ROUND(INDEX(Profils!$H$5:$H$34,$AE387)*Paramètres!$E$24*$AG387*$AJ387,Paramètres!$F$24),0)</f>
        <v>0</v>
      </c>
      <c r="O387" s="19" t="n">
        <f aca="false" t="array" ref="O387:O387">IF(AND(INDEX(Profils!$I$5:$I$34,$AE387)&gt;0,INDEX(Profils!$X$5:$X$34,$AE387)&lt;=$AH387),ROUND(INDEX(Profils!$I$5:$I$34,$AE387)*Paramètres!$E$25*$AG387*$AJ387,Paramètres!$F$25),0)</f>
        <v>4</v>
      </c>
      <c r="P387" s="19" t="n">
        <f aca="false" t="array" ref="P387:P387">IF(AND(INDEX(Profils!$J$5:$J$34,$AE387)&gt;0,INDEX(Profils!$Y$5:$Y$34,$AE387)&lt;=$AH387),ROUND(INDEX(Profils!$J$5:$J$34,$AE387)*Paramètres!$E$26*$AG387*$AJ387,Paramètres!$F$26),0)</f>
        <v>2</v>
      </c>
      <c r="Q387" s="19" t="n">
        <f aca="false" t="array" ref="Q387:Q387">IF(AND(INDEX(Profils!$K$5:$K$34,$AE387)&gt;0,INDEX(Profils!$Z$5:$Z$34,$AE387)&lt;=$AH387),ROUND(INDEX(Profils!$K$5:$K$34,$AE387)*Paramètres!$E$27*$AG387*$AJ387,Paramètres!$F$27),0)</f>
        <v>0</v>
      </c>
      <c r="R387" s="20" t="n">
        <f aca="false" t="array" ref="R387:R387">IF(AND(INDEX(Profils!$L$5:$L$34,$AE387)&gt;0,INDEX(Profils!$AA$5:$AA$34,$AE387)&lt;=$AH387),ROUND(INDEX(Profils!$L$5:$L$34,$AE387)*Paramètres!$E$28*$AG387*$AJ387,Paramètres!$F$28),0)</f>
        <v>0</v>
      </c>
      <c r="S387" s="20" t="n">
        <f aca="false" t="array" ref="S387:S387">IF(AND(INDEX(Profils!$M$5:$M$34,$AE387)&gt;0,INDEX(Profils!$AB$5:$AB$34,$AE387)&lt;=$AH387),ROUND(INDEX(Profils!$M$5:$M$34,$AE387)*Paramètres!$E$29*$AG387*$AJ387,Paramètres!$F$29),0)</f>
        <v>0</v>
      </c>
      <c r="T387" s="20" t="n">
        <f aca="false" t="array" ref="T387:T387">IF(AND(INDEX(Profils!$N$5:$N$34,$AE387)&gt;0,INDEX(Profils!$AC$5:$AC$34,$AE387)&lt;=$AH387),ROUND(INDEX(Profils!$N$5:$N$34,$AE387)*Paramètres!$E$30*$AG387*$AJ387,Paramètres!$F$30),0)</f>
        <v>0</v>
      </c>
      <c r="U387" s="19" t="n">
        <f aca="false" t="array" ref="U387:U387">IF(AND(INDEX(Profils!$O$5:$O$34,$AE387)&gt;0,INDEX(Profils!$AD$5:$AD$34,$AE387)&lt;=$AH387),ROUND(INDEX(Profils!$O$5:$O$34,$AE387)*Paramètres!$E$31*$AG387*$AJ387,Paramètres!$F$31),0)</f>
        <v>3</v>
      </c>
      <c r="V387" s="20" t="n">
        <f aca="false" t="array" ref="V387:V387">IF(AND(INDEX(Profils!$P$5:$P$34,$AE387)&gt;0,INDEX(Profils!$AE$5:$AE$34,$AE387)&lt;=$AH387),ROUND(INDEX(Profils!$P$5:$P$34,$AE387)*Paramètres!$E$32*$AG387*$AJ387,Paramètres!$F$32),0)</f>
        <v>0</v>
      </c>
      <c r="W387" s="20" t="n">
        <f aca="false" t="array" ref="W387:W387">IF(AND(INDEX(Profils!$Q$5:$Q$34,$AE387)&gt;0,INDEX(Profils!$AF$5:$AF$34,$AE387)&lt;=$AH387),ROUND(INDEX(Profils!$Q$5:$Q$34,$AE387)*Paramètres!$E$33*$AG387*$AJ387,Paramètres!$F$33),0)</f>
        <v>0.003</v>
      </c>
      <c r="X387" s="20" t="n">
        <f aca="false" t="array" ref="X387:X387">IF(AND(INDEX(Profils!$R$5:$R$34,$AE387)&gt;0,INDEX(Profils!$AG$5:$AG$34,$AE387)&lt;=$AH387),ROUND(INDEX(Profils!$R$5:$R$34,$AE387)*Paramètres!$E$34*$AG387*$AJ387,Paramètres!$F$34),0)</f>
        <v>0</v>
      </c>
      <c r="Y387" s="20" t="n">
        <f aca="false" t="array" ref="Y387:Y387">IF(AND(INDEX(Profils!$S$5:$S$34,$AE387)&gt;0,INDEX(Profils!$AH$5:$AH$34,$AE387)&lt;=$AH387),ROUND(INDEX(Profils!$S$5:$S$34,$AE387)*Paramètres!$E$35*$AG387*$AJ387,Paramètres!$F$35),0)</f>
        <v>0</v>
      </c>
      <c r="Z387" s="21" t="n">
        <f aca="false">ROUND(L387/Paramètres!$E$22+M387/Paramètres!$E$23+N387/Paramètres!$E$24+O387/Paramètres!$E$25+P387/Paramètres!$E$26+Q387/Paramètres!$E$27+R387/Paramètres!$E$28+S387/Paramètres!$E$29+T387/Paramètres!$E$30+U387/Paramètres!$E$31+V387/Paramètres!$E$32+W387/Paramètres!$E$33+X387/Paramètres!$E$34+Y387/Paramètres!$E$35,1)</f>
        <v>1.2</v>
      </c>
      <c r="AA387" s="22" t="s">
        <v>109</v>
      </c>
      <c r="AB387" s="22" t="s">
        <v>109</v>
      </c>
      <c r="AC387" s="15" t="str">
        <f aca="false">$E387</f>
        <v>laine</v>
      </c>
      <c r="AD387" s="16" t="n">
        <f aca="false" t="array" ref="AD387:AD387">IF($I387&gt;=$AI387,"Max",ROUND(Paramètres!$B$40*($I387+1)^Paramètres!$B$41*INDEX(Paramètres!$H$6:$H$12,$AF387),0))</f>
        <v>5</v>
      </c>
      <c r="AE387" s="23" t="n">
        <f aca="false">MATCH($B387&amp;"|"&amp;$C387,Profils!$A$5:$A$34,0)</f>
        <v>13</v>
      </c>
      <c r="AF387" s="23" t="n">
        <v>4</v>
      </c>
      <c r="AG387" s="24" t="n">
        <f aca="false" t="array" ref="AG387:AG387">INDEX(Paramètres!$C$6:$C$12,$AF387)</f>
        <v>1.75</v>
      </c>
      <c r="AH387" s="23" t="n">
        <f aca="false" t="array" ref="AH387:AH387">INDEX(Paramètres!$D$6:$D$12,$AF387)</f>
        <v>5</v>
      </c>
      <c r="AI387" s="23" t="n">
        <f aca="false" t="array" ref="AI387:AI387">INDEX(Matériaux!$C$16:$C$20,$D387)</f>
        <v>20</v>
      </c>
      <c r="AJ387" s="25" t="n">
        <f aca="false">Paramètres!$B$16+(1-Paramètres!$B$16)*(($J387-Paramètres!$B$14)/(Paramètres!$B$15-Paramètres!$B$14))^Paramètres!$B$17</f>
        <v>0.140847925475674</v>
      </c>
    </row>
    <row r="388" customFormat="false" ht="15.75" hidden="false" customHeight="true" outlineLevel="0" collapsed="false">
      <c r="A388" s="14" t="s">
        <v>504</v>
      </c>
      <c r="B388" s="15" t="s">
        <v>29</v>
      </c>
      <c r="C388" s="15" t="s">
        <v>177</v>
      </c>
      <c r="D388" s="16" t="n">
        <v>2</v>
      </c>
      <c r="E388" s="15" t="str">
        <f aca="false" t="array" ref="E388:E388">INDEX(Matériaux!$B$5:$F$12,MATCH(INDEX(Profils!$E$5:$E$34,$AE388),Matériaux!$A$5:$A$12,0),$D388)</f>
        <v>laine</v>
      </c>
      <c r="F388" s="29" t="s">
        <v>117</v>
      </c>
      <c r="G388" s="10" t="str">
        <f aca="false" t="array" ref="G388:G388">INDEX(Profils!$D$5:$D$34,$AE388)&amp;" en "&amp;$E388</f>
        <v>Pantalon en laine</v>
      </c>
      <c r="H388" s="16" t="n">
        <f aca="false" t="array" ref="H388:H388">INDEX(Matériaux!$B$16:$B$20,$D388)</f>
        <v>15</v>
      </c>
      <c r="I388" s="16" t="n">
        <f aca="false">IF(ISNUMBER($C$3),MIN(MAX(0,ROUND($C$3,0)),$AI388),$AI388)</f>
        <v>0</v>
      </c>
      <c r="J388" s="18" t="n">
        <f aca="false">$H388+$I388</f>
        <v>15</v>
      </c>
      <c r="K388" s="15" t="s">
        <v>109</v>
      </c>
      <c r="L388" s="19" t="n">
        <f aca="false" t="array" ref="L388:L388">IF(AND(INDEX(Profils!$F$5:$F$34,$AE388)&gt;0,INDEX(Profils!$U$5:$U$34,$AE388)&lt;=$AH388),ROUND(INDEX(Profils!$F$5:$F$34,$AE388)*Paramètres!$E$22*$AG388*$AJ388,Paramètres!$F$22),0)</f>
        <v>13</v>
      </c>
      <c r="M388" s="19" t="n">
        <f aca="false" t="array" ref="M388:M388">IF(AND(INDEX(Profils!$G$5:$G$34,$AE388)&gt;0,INDEX(Profils!$V$5:$V$34,$AE388)&lt;=$AH388),ROUND(INDEX(Profils!$G$5:$G$34,$AE388)*Paramètres!$E$23*$AG388*$AJ388,Paramètres!$F$23),0)</f>
        <v>0</v>
      </c>
      <c r="N388" s="19" t="n">
        <f aca="false" t="array" ref="N388:N388">IF(AND(INDEX(Profils!$H$5:$H$34,$AE388)&gt;0,INDEX(Profils!$W$5:$W$34,$AE388)&lt;=$AH388),ROUND(INDEX(Profils!$H$5:$H$34,$AE388)*Paramètres!$E$24*$AG388*$AJ388,Paramètres!$F$24),0)</f>
        <v>2</v>
      </c>
      <c r="O388" s="19" t="n">
        <f aca="false" t="array" ref="O388:O388">IF(AND(INDEX(Profils!$I$5:$I$34,$AE388)&gt;0,INDEX(Profils!$X$5:$X$34,$AE388)&lt;=$AH388),ROUND(INDEX(Profils!$I$5:$I$34,$AE388)*Paramètres!$E$25*$AG388*$AJ388,Paramètres!$F$25),0)</f>
        <v>5</v>
      </c>
      <c r="P388" s="19" t="n">
        <f aca="false" t="array" ref="P388:P388">IF(AND(INDEX(Profils!$J$5:$J$34,$AE388)&gt;0,INDEX(Profils!$Y$5:$Y$34,$AE388)&lt;=$AH388),ROUND(INDEX(Profils!$J$5:$J$34,$AE388)*Paramètres!$E$26*$AG388*$AJ388,Paramètres!$F$26),0)</f>
        <v>3</v>
      </c>
      <c r="Q388" s="19" t="n">
        <f aca="false" t="array" ref="Q388:Q388">IF(AND(INDEX(Profils!$K$5:$K$34,$AE388)&gt;0,INDEX(Profils!$Z$5:$Z$34,$AE388)&lt;=$AH388),ROUND(INDEX(Profils!$K$5:$K$34,$AE388)*Paramètres!$E$27*$AG388*$AJ388,Paramètres!$F$27),0)</f>
        <v>0</v>
      </c>
      <c r="R388" s="20" t="n">
        <f aca="false" t="array" ref="R388:R388">IF(AND(INDEX(Profils!$L$5:$L$34,$AE388)&gt;0,INDEX(Profils!$AA$5:$AA$34,$AE388)&lt;=$AH388),ROUND(INDEX(Profils!$L$5:$L$34,$AE388)*Paramètres!$E$28*$AG388*$AJ388,Paramètres!$F$28),0)</f>
        <v>0</v>
      </c>
      <c r="S388" s="20" t="n">
        <f aca="false" t="array" ref="S388:S388">IF(AND(INDEX(Profils!$M$5:$M$34,$AE388)&gt;0,INDEX(Profils!$AB$5:$AB$34,$AE388)&lt;=$AH388),ROUND(INDEX(Profils!$M$5:$M$34,$AE388)*Paramètres!$E$29*$AG388*$AJ388,Paramètres!$F$29),0)</f>
        <v>0</v>
      </c>
      <c r="T388" s="20" t="n">
        <f aca="false" t="array" ref="T388:T388">IF(AND(INDEX(Profils!$N$5:$N$34,$AE388)&gt;0,INDEX(Profils!$AC$5:$AC$34,$AE388)&lt;=$AH388),ROUND(INDEX(Profils!$N$5:$N$34,$AE388)*Paramètres!$E$30*$AG388*$AJ388,Paramètres!$F$30),0)</f>
        <v>0</v>
      </c>
      <c r="U388" s="19" t="n">
        <f aca="false" t="array" ref="U388:U388">IF(AND(INDEX(Profils!$O$5:$O$34,$AE388)&gt;0,INDEX(Profils!$AD$5:$AD$34,$AE388)&lt;=$AH388),ROUND(INDEX(Profils!$O$5:$O$34,$AE388)*Paramètres!$E$31*$AG388*$AJ388,Paramètres!$F$31),0)</f>
        <v>4</v>
      </c>
      <c r="V388" s="20" t="n">
        <f aca="false" t="array" ref="V388:V388">IF(AND(INDEX(Profils!$P$5:$P$34,$AE388)&gt;0,INDEX(Profils!$AE$5:$AE$34,$AE388)&lt;=$AH388),ROUND(INDEX(Profils!$P$5:$P$34,$AE388)*Paramètres!$E$32*$AG388*$AJ388,Paramètres!$F$32),0)</f>
        <v>0</v>
      </c>
      <c r="W388" s="20" t="n">
        <f aca="false" t="array" ref="W388:W388">IF(AND(INDEX(Profils!$Q$5:$Q$34,$AE388)&gt;0,INDEX(Profils!$AF$5:$AF$34,$AE388)&lt;=$AH388),ROUND(INDEX(Profils!$Q$5:$Q$34,$AE388)*Paramètres!$E$33*$AG388*$AJ388,Paramètres!$F$33),0)</f>
        <v>0.004</v>
      </c>
      <c r="X388" s="20" t="n">
        <f aca="false" t="array" ref="X388:X388">IF(AND(INDEX(Profils!$R$5:$R$34,$AE388)&gt;0,INDEX(Profils!$AG$5:$AG$34,$AE388)&lt;=$AH388),ROUND(INDEX(Profils!$R$5:$R$34,$AE388)*Paramètres!$E$34*$AG388*$AJ388,Paramètres!$F$34),0)</f>
        <v>0</v>
      </c>
      <c r="Y388" s="20" t="n">
        <f aca="false" t="array" ref="Y388:Y388">IF(AND(INDEX(Profils!$S$5:$S$34,$AE388)&gt;0,INDEX(Profils!$AH$5:$AH$34,$AE388)&lt;=$AH388),ROUND(INDEX(Profils!$S$5:$S$34,$AE388)*Paramètres!$E$35*$AG388*$AJ388,Paramètres!$F$35),0)</f>
        <v>0</v>
      </c>
      <c r="Z388" s="21" t="n">
        <f aca="false">ROUND(L388/Paramètres!$E$22+M388/Paramètres!$E$23+N388/Paramètres!$E$24+O388/Paramètres!$E$25+P388/Paramètres!$E$26+Q388/Paramètres!$E$27+R388/Paramètres!$E$28+S388/Paramètres!$E$29+T388/Paramètres!$E$30+U388/Paramètres!$E$31+V388/Paramètres!$E$32+W388/Paramètres!$E$33+X388/Paramètres!$E$34+Y388/Paramètres!$E$35,1)</f>
        <v>1.7</v>
      </c>
      <c r="AA388" s="22" t="s">
        <v>109</v>
      </c>
      <c r="AB388" s="22" t="s">
        <v>109</v>
      </c>
      <c r="AC388" s="15" t="str">
        <f aca="false">$E388</f>
        <v>laine</v>
      </c>
      <c r="AD388" s="16" t="n">
        <f aca="false" t="array" ref="AD388:AD388">IF($I388&gt;=$AI388,"Max",ROUND(Paramètres!$B$40*($I388+1)^Paramètres!$B$41*INDEX(Paramètres!$H$6:$H$12,$AF388),0))</f>
        <v>6</v>
      </c>
      <c r="AE388" s="23" t="n">
        <f aca="false">MATCH($B388&amp;"|"&amp;$C388,Profils!$A$5:$A$34,0)</f>
        <v>13</v>
      </c>
      <c r="AF388" s="23" t="n">
        <v>5</v>
      </c>
      <c r="AG388" s="24" t="n">
        <f aca="false" t="array" ref="AG388:AG388">INDEX(Paramètres!$C$6:$C$12,$AF388)</f>
        <v>2.1</v>
      </c>
      <c r="AH388" s="23" t="n">
        <f aca="false" t="array" ref="AH388:AH388">INDEX(Paramètres!$D$6:$D$12,$AF388)</f>
        <v>6</v>
      </c>
      <c r="AI388" s="23" t="n">
        <f aca="false" t="array" ref="AI388:AI388">INDEX(Matériaux!$C$16:$C$20,$D388)</f>
        <v>20</v>
      </c>
      <c r="AJ388" s="25" t="n">
        <f aca="false">Paramètres!$B$16+(1-Paramètres!$B$16)*(($J388-Paramètres!$B$14)/(Paramètres!$B$15-Paramètres!$B$14))^Paramètres!$B$17</f>
        <v>0.140847925475674</v>
      </c>
    </row>
    <row r="389" customFormat="false" ht="15.75" hidden="false" customHeight="true" outlineLevel="0" collapsed="false">
      <c r="A389" s="14" t="s">
        <v>505</v>
      </c>
      <c r="B389" s="15" t="s">
        <v>29</v>
      </c>
      <c r="C389" s="15" t="s">
        <v>177</v>
      </c>
      <c r="D389" s="16" t="n">
        <v>2</v>
      </c>
      <c r="E389" s="15" t="str">
        <f aca="false" t="array" ref="E389:E389">INDEX(Matériaux!$B$5:$F$12,MATCH(INDEX(Profils!$E$5:$E$34,$AE389),Matériaux!$A$5:$A$12,0),$D389)</f>
        <v>laine</v>
      </c>
      <c r="F389" s="30" t="s">
        <v>119</v>
      </c>
      <c r="G389" s="10" t="str">
        <f aca="false" t="array" ref="G389:G389">INDEX(Profils!$D$5:$D$34,$AE389)&amp;" en "&amp;$E389</f>
        <v>Pantalon en laine</v>
      </c>
      <c r="H389" s="16" t="n">
        <f aca="false" t="array" ref="H389:H389">INDEX(Matériaux!$B$16:$B$20,$D389)</f>
        <v>15</v>
      </c>
      <c r="I389" s="16" t="n">
        <f aca="false">IF(ISNUMBER($C$3),MIN(MAX(0,ROUND($C$3,0)),$AI389),$AI389)</f>
        <v>0</v>
      </c>
      <c r="J389" s="18" t="n">
        <f aca="false">$H389+$I389</f>
        <v>15</v>
      </c>
      <c r="K389" s="15" t="s">
        <v>109</v>
      </c>
      <c r="L389" s="19" t="n">
        <f aca="false" t="array" ref="L389:L389">IF(AND(INDEX(Profils!$F$5:$F$34,$AE389)&gt;0,INDEX(Profils!$U$5:$U$34,$AE389)&lt;=$AH389),ROUND(INDEX(Profils!$F$5:$F$34,$AE389)*Paramètres!$E$22*$AG389*$AJ389,Paramètres!$F$22),0)</f>
        <v>14</v>
      </c>
      <c r="M389" s="19" t="n">
        <f aca="false" t="array" ref="M389:M389">IF(AND(INDEX(Profils!$G$5:$G$34,$AE389)&gt;0,INDEX(Profils!$V$5:$V$34,$AE389)&lt;=$AH389),ROUND(INDEX(Profils!$G$5:$G$34,$AE389)*Paramètres!$E$23*$AG389*$AJ389,Paramètres!$F$23),0)</f>
        <v>0</v>
      </c>
      <c r="N389" s="19" t="n">
        <f aca="false" t="array" ref="N389:N389">IF(AND(INDEX(Profils!$H$5:$H$34,$AE389)&gt;0,INDEX(Profils!$W$5:$W$34,$AE389)&lt;=$AH389),ROUND(INDEX(Profils!$H$5:$H$34,$AE389)*Paramètres!$E$24*$AG389*$AJ389,Paramètres!$F$24),0)</f>
        <v>3</v>
      </c>
      <c r="O389" s="19" t="n">
        <f aca="false" t="array" ref="O389:O389">IF(AND(INDEX(Profils!$I$5:$I$34,$AE389)&gt;0,INDEX(Profils!$X$5:$X$34,$AE389)&lt;=$AH389),ROUND(INDEX(Profils!$I$5:$I$34,$AE389)*Paramètres!$E$25*$AG389*$AJ389,Paramètres!$F$25),0)</f>
        <v>6</v>
      </c>
      <c r="P389" s="19" t="n">
        <f aca="false" t="array" ref="P389:P389">IF(AND(INDEX(Profils!$J$5:$J$34,$AE389)&gt;0,INDEX(Profils!$Y$5:$Y$34,$AE389)&lt;=$AH389),ROUND(INDEX(Profils!$J$5:$J$34,$AE389)*Paramètres!$E$26*$AG389*$AJ389,Paramètres!$F$26),0)</f>
        <v>3</v>
      </c>
      <c r="Q389" s="19" t="n">
        <f aca="false" t="array" ref="Q389:Q389">IF(AND(INDEX(Profils!$K$5:$K$34,$AE389)&gt;0,INDEX(Profils!$Z$5:$Z$34,$AE389)&lt;=$AH389),ROUND(INDEX(Profils!$K$5:$K$34,$AE389)*Paramètres!$E$27*$AG389*$AJ389,Paramètres!$F$27),0)</f>
        <v>0</v>
      </c>
      <c r="R389" s="20" t="n">
        <f aca="false" t="array" ref="R389:R389">IF(AND(INDEX(Profils!$L$5:$L$34,$AE389)&gt;0,INDEX(Profils!$AA$5:$AA$34,$AE389)&lt;=$AH389),ROUND(INDEX(Profils!$L$5:$L$34,$AE389)*Paramètres!$E$28*$AG389*$AJ389,Paramètres!$F$28),0)</f>
        <v>0</v>
      </c>
      <c r="S389" s="20" t="n">
        <f aca="false" t="array" ref="S389:S389">IF(AND(INDEX(Profils!$M$5:$M$34,$AE389)&gt;0,INDEX(Profils!$AB$5:$AB$34,$AE389)&lt;=$AH389),ROUND(INDEX(Profils!$M$5:$M$34,$AE389)*Paramètres!$E$29*$AG389*$AJ389,Paramètres!$F$29),0)</f>
        <v>0</v>
      </c>
      <c r="T389" s="20" t="n">
        <f aca="false" t="array" ref="T389:T389">IF(AND(INDEX(Profils!$N$5:$N$34,$AE389)&gt;0,INDEX(Profils!$AC$5:$AC$34,$AE389)&lt;=$AH389),ROUND(INDEX(Profils!$N$5:$N$34,$AE389)*Paramètres!$E$30*$AG389*$AJ389,Paramètres!$F$30),0)</f>
        <v>0</v>
      </c>
      <c r="U389" s="19" t="n">
        <f aca="false" t="array" ref="U389:U389">IF(AND(INDEX(Profils!$O$5:$O$34,$AE389)&gt;0,INDEX(Profils!$AD$5:$AD$34,$AE389)&lt;=$AH389),ROUND(INDEX(Profils!$O$5:$O$34,$AE389)*Paramètres!$E$31*$AG389*$AJ389,Paramètres!$F$31),0)</f>
        <v>5</v>
      </c>
      <c r="V389" s="20" t="n">
        <f aca="false" t="array" ref="V389:V389">IF(AND(INDEX(Profils!$P$5:$P$34,$AE389)&gt;0,INDEX(Profils!$AE$5:$AE$34,$AE389)&lt;=$AH389),ROUND(INDEX(Profils!$P$5:$P$34,$AE389)*Paramètres!$E$32*$AG389*$AJ389,Paramètres!$F$32),0)</f>
        <v>0</v>
      </c>
      <c r="W389" s="20" t="n">
        <f aca="false" t="array" ref="W389:W389">IF(AND(INDEX(Profils!$Q$5:$Q$34,$AE389)&gt;0,INDEX(Profils!$AF$5:$AF$34,$AE389)&lt;=$AH389),ROUND(INDEX(Profils!$Q$5:$Q$34,$AE389)*Paramètres!$E$33*$AG389*$AJ389,Paramètres!$F$33),0)</f>
        <v>0.005</v>
      </c>
      <c r="X389" s="20" t="n">
        <f aca="false" t="array" ref="X389:X389">IF(AND(INDEX(Profils!$R$5:$R$34,$AE389)&gt;0,INDEX(Profils!$AG$5:$AG$34,$AE389)&lt;=$AH389),ROUND(INDEX(Profils!$R$5:$R$34,$AE389)*Paramètres!$E$34*$AG389*$AJ389,Paramètres!$F$34),0)</f>
        <v>0.003</v>
      </c>
      <c r="Y389" s="20" t="n">
        <f aca="false" t="array" ref="Y389:Y389">IF(AND(INDEX(Profils!$S$5:$S$34,$AE389)&gt;0,INDEX(Profils!$AH$5:$AH$34,$AE389)&lt;=$AH389),ROUND(INDEX(Profils!$S$5:$S$34,$AE389)*Paramètres!$E$35*$AG389*$AJ389,Paramètres!$F$35),0)</f>
        <v>0</v>
      </c>
      <c r="Z389" s="21" t="n">
        <f aca="false">ROUND(L389/Paramètres!$E$22+M389/Paramètres!$E$23+N389/Paramètres!$E$24+O389/Paramètres!$E$25+P389/Paramètres!$E$26+Q389/Paramètres!$E$27+R389/Paramètres!$E$28+S389/Paramètres!$E$29+T389/Paramètres!$E$30+U389/Paramètres!$E$31+V389/Paramètres!$E$32+W389/Paramètres!$E$33+X389/Paramètres!$E$34+Y389/Paramètres!$E$35,1)</f>
        <v>2.1</v>
      </c>
      <c r="AA389" s="22" t="s">
        <v>109</v>
      </c>
      <c r="AB389" s="22" t="s">
        <v>109</v>
      </c>
      <c r="AC389" s="15" t="str">
        <f aca="false">$E389</f>
        <v>laine</v>
      </c>
      <c r="AD389" s="16" t="n">
        <f aca="false" t="array" ref="AD389:AD389">IF($I389&gt;=$AI389,"Max",ROUND(Paramètres!$B$40*($I389+1)^Paramètres!$B$41*INDEX(Paramètres!$H$6:$H$12,$AF389),0))</f>
        <v>8</v>
      </c>
      <c r="AE389" s="23" t="n">
        <f aca="false">MATCH($B389&amp;"|"&amp;$C389,Profils!$A$5:$A$34,0)</f>
        <v>13</v>
      </c>
      <c r="AF389" s="23" t="n">
        <v>6</v>
      </c>
      <c r="AG389" s="24" t="n">
        <f aca="false" t="array" ref="AG389:AG389">INDEX(Paramètres!$C$6:$C$12,$AF389)</f>
        <v>2.4</v>
      </c>
      <c r="AH389" s="23" t="n">
        <f aca="false" t="array" ref="AH389:AH389">INDEX(Paramètres!$D$6:$D$12,$AF389)</f>
        <v>7</v>
      </c>
      <c r="AI389" s="23" t="n">
        <f aca="false" t="array" ref="AI389:AI389">INDEX(Matériaux!$C$16:$C$20,$D389)</f>
        <v>20</v>
      </c>
      <c r="AJ389" s="25" t="n">
        <f aca="false">Paramètres!$B$16+(1-Paramètres!$B$16)*(($J389-Paramètres!$B$14)/(Paramètres!$B$15-Paramètres!$B$14))^Paramètres!$B$17</f>
        <v>0.140847925475674</v>
      </c>
    </row>
    <row r="390" customFormat="false" ht="15.75" hidden="false" customHeight="true" outlineLevel="0" collapsed="false">
      <c r="A390" s="14" t="s">
        <v>506</v>
      </c>
      <c r="B390" s="15" t="s">
        <v>29</v>
      </c>
      <c r="C390" s="15" t="s">
        <v>177</v>
      </c>
      <c r="D390" s="16" t="n">
        <v>3</v>
      </c>
      <c r="E390" s="15" t="str">
        <f aca="false" t="array" ref="E390:E390">INDEX(Matériaux!$B$5:$F$12,MATCH(INDEX(Profils!$E$5:$E$34,$AE390),Matériaux!$A$5:$A$12,0),$D390)</f>
        <v>soie</v>
      </c>
      <c r="F390" s="17" t="s">
        <v>108</v>
      </c>
      <c r="G390" s="10" t="str">
        <f aca="false" t="array" ref="G390:G390">INDEX(Profils!$D$5:$D$34,$AE390)&amp;" en "&amp;$E390</f>
        <v>Pantalon en soie</v>
      </c>
      <c r="H390" s="16" t="n">
        <f aca="false" t="array" ref="H390:H390">INDEX(Matériaux!$B$16:$B$20,$D390)</f>
        <v>30</v>
      </c>
      <c r="I390" s="16" t="n">
        <f aca="false">IF(ISNUMBER($C$3),MIN(MAX(0,ROUND($C$3,0)),$AI390),$AI390)</f>
        <v>0</v>
      </c>
      <c r="J390" s="18" t="n">
        <f aca="false">$H390+$I390</f>
        <v>30</v>
      </c>
      <c r="K390" s="15" t="s">
        <v>109</v>
      </c>
      <c r="L390" s="19" t="n">
        <f aca="false" t="array" ref="L390:L390">IF(AND(INDEX(Profils!$F$5:$F$34,$AE390)&gt;0,INDEX(Profils!$U$5:$U$34,$AE390)&lt;=$AH390),ROUND(INDEX(Profils!$F$5:$F$34,$AE390)*Paramètres!$E$22*$AG390*$AJ390,Paramètres!$F$22),0)</f>
        <v>11</v>
      </c>
      <c r="M390" s="19" t="n">
        <f aca="false" t="array" ref="M390:M390">IF(AND(INDEX(Profils!$G$5:$G$34,$AE390)&gt;0,INDEX(Profils!$V$5:$V$34,$AE390)&lt;=$AH390),ROUND(INDEX(Profils!$G$5:$G$34,$AE390)*Paramètres!$E$23*$AG390*$AJ390,Paramètres!$F$23),0)</f>
        <v>0</v>
      </c>
      <c r="N390" s="19" t="n">
        <f aca="false" t="array" ref="N390:N390">IF(AND(INDEX(Profils!$H$5:$H$34,$AE390)&gt;0,INDEX(Profils!$W$5:$W$34,$AE390)&lt;=$AH390),ROUND(INDEX(Profils!$H$5:$H$34,$AE390)*Paramètres!$E$24*$AG390*$AJ390,Paramètres!$F$24),0)</f>
        <v>0</v>
      </c>
      <c r="O390" s="19" t="n">
        <f aca="false" t="array" ref="O390:O390">IF(AND(INDEX(Profils!$I$5:$I$34,$AE390)&gt;0,INDEX(Profils!$X$5:$X$34,$AE390)&lt;=$AH390),ROUND(INDEX(Profils!$I$5:$I$34,$AE390)*Paramètres!$E$25*$AG390*$AJ390,Paramètres!$F$25),0)</f>
        <v>4</v>
      </c>
      <c r="P390" s="19" t="n">
        <f aca="false" t="array" ref="P390:P390">IF(AND(INDEX(Profils!$J$5:$J$34,$AE390)&gt;0,INDEX(Profils!$Y$5:$Y$34,$AE390)&lt;=$AH390),ROUND(INDEX(Profils!$J$5:$J$34,$AE390)*Paramètres!$E$26*$AG390*$AJ390,Paramètres!$F$26),0)</f>
        <v>0</v>
      </c>
      <c r="Q390" s="19" t="n">
        <f aca="false" t="array" ref="Q390:Q390">IF(AND(INDEX(Profils!$K$5:$K$34,$AE390)&gt;0,INDEX(Profils!$Z$5:$Z$34,$AE390)&lt;=$AH390),ROUND(INDEX(Profils!$K$5:$K$34,$AE390)*Paramètres!$E$27*$AG390*$AJ390,Paramètres!$F$27),0)</f>
        <v>0</v>
      </c>
      <c r="R390" s="20" t="n">
        <f aca="false" t="array" ref="R390:R390">IF(AND(INDEX(Profils!$L$5:$L$34,$AE390)&gt;0,INDEX(Profils!$AA$5:$AA$34,$AE390)&lt;=$AH390),ROUND(INDEX(Profils!$L$5:$L$34,$AE390)*Paramètres!$E$28*$AG390*$AJ390,Paramètres!$F$28),0)</f>
        <v>0</v>
      </c>
      <c r="S390" s="20" t="n">
        <f aca="false" t="array" ref="S390:S390">IF(AND(INDEX(Profils!$M$5:$M$34,$AE390)&gt;0,INDEX(Profils!$AB$5:$AB$34,$AE390)&lt;=$AH390),ROUND(INDEX(Profils!$M$5:$M$34,$AE390)*Paramètres!$E$29*$AG390*$AJ390,Paramètres!$F$29),0)</f>
        <v>0</v>
      </c>
      <c r="T390" s="20" t="n">
        <f aca="false" t="array" ref="T390:T390">IF(AND(INDEX(Profils!$N$5:$N$34,$AE390)&gt;0,INDEX(Profils!$AC$5:$AC$34,$AE390)&lt;=$AH390),ROUND(INDEX(Profils!$N$5:$N$34,$AE390)*Paramètres!$E$30*$AG390*$AJ390,Paramètres!$F$30),0)</f>
        <v>0</v>
      </c>
      <c r="U390" s="19" t="n">
        <f aca="false" t="array" ref="U390:U390">IF(AND(INDEX(Profils!$O$5:$O$34,$AE390)&gt;0,INDEX(Profils!$AD$5:$AD$34,$AE390)&lt;=$AH390),ROUND(INDEX(Profils!$O$5:$O$34,$AE390)*Paramètres!$E$31*$AG390*$AJ390,Paramètres!$F$31),0)</f>
        <v>0</v>
      </c>
      <c r="V390" s="20" t="n">
        <f aca="false" t="array" ref="V390:V390">IF(AND(INDEX(Profils!$P$5:$P$34,$AE390)&gt;0,INDEX(Profils!$AE$5:$AE$34,$AE390)&lt;=$AH390),ROUND(INDEX(Profils!$P$5:$P$34,$AE390)*Paramètres!$E$32*$AG390*$AJ390,Paramètres!$F$32),0)</f>
        <v>0</v>
      </c>
      <c r="W390" s="20" t="n">
        <f aca="false" t="array" ref="W390:W390">IF(AND(INDEX(Profils!$Q$5:$Q$34,$AE390)&gt;0,INDEX(Profils!$AF$5:$AF$34,$AE390)&lt;=$AH390),ROUND(INDEX(Profils!$Q$5:$Q$34,$AE390)*Paramètres!$E$33*$AG390*$AJ390,Paramètres!$F$33),0)</f>
        <v>0</v>
      </c>
      <c r="X390" s="20" t="n">
        <f aca="false" t="array" ref="X390:X390">IF(AND(INDEX(Profils!$R$5:$R$34,$AE390)&gt;0,INDEX(Profils!$AG$5:$AG$34,$AE390)&lt;=$AH390),ROUND(INDEX(Profils!$R$5:$R$34,$AE390)*Paramètres!$E$34*$AG390*$AJ390,Paramètres!$F$34),0)</f>
        <v>0</v>
      </c>
      <c r="Y390" s="20" t="n">
        <f aca="false" t="array" ref="Y390:Y390">IF(AND(INDEX(Profils!$S$5:$S$34,$AE390)&gt;0,INDEX(Profils!$AH$5:$AH$34,$AE390)&lt;=$AH390),ROUND(INDEX(Profils!$S$5:$S$34,$AE390)*Paramètres!$E$35*$AG390*$AJ390,Paramètres!$F$35),0)</f>
        <v>0</v>
      </c>
      <c r="Z390" s="21" t="n">
        <f aca="false">ROUND(L390/Paramètres!$E$22+M390/Paramètres!$E$23+N390/Paramètres!$E$24+O390/Paramètres!$E$25+P390/Paramètres!$E$26+Q390/Paramètres!$E$27+R390/Paramètres!$E$28+S390/Paramètres!$E$29+T390/Paramètres!$E$30+U390/Paramètres!$E$31+V390/Paramètres!$E$32+W390/Paramètres!$E$33+X390/Paramètres!$E$34+Y390/Paramètres!$E$35,1)</f>
        <v>0.7</v>
      </c>
      <c r="AA390" s="22" t="s">
        <v>109</v>
      </c>
      <c r="AB390" s="22" t="s">
        <v>109</v>
      </c>
      <c r="AC390" s="15" t="str">
        <f aca="false">$E390</f>
        <v>soie</v>
      </c>
      <c r="AD390" s="16" t="n">
        <f aca="false" t="array" ref="AD390:AD390">IF($I390&gt;=$AI390,"Max",ROUND(Paramètres!$B$40*($I390+1)^Paramètres!$B$41*INDEX(Paramètres!$H$6:$H$12,$AF390),0))</f>
        <v>3</v>
      </c>
      <c r="AE390" s="23" t="n">
        <f aca="false">MATCH($B390&amp;"|"&amp;$C390,Profils!$A$5:$A$34,0)</f>
        <v>13</v>
      </c>
      <c r="AF390" s="23" t="n">
        <v>1</v>
      </c>
      <c r="AG390" s="24" t="n">
        <f aca="false" t="array" ref="AG390:AG390">INDEX(Paramètres!$C$6:$C$12,$AF390)</f>
        <v>1</v>
      </c>
      <c r="AH390" s="23" t="n">
        <f aca="false" t="array" ref="AH390:AH390">INDEX(Paramètres!$D$6:$D$12,$AF390)</f>
        <v>2</v>
      </c>
      <c r="AI390" s="23" t="n">
        <f aca="false" t="array" ref="AI390:AI390">INDEX(Matériaux!$C$16:$C$20,$D390)</f>
        <v>25</v>
      </c>
      <c r="AJ390" s="25" t="n">
        <f aca="false">Paramètres!$B$16+(1-Paramètres!$B$16)*(($J390-Paramètres!$B$14)/(Paramètres!$B$15-Paramètres!$B$14))^Paramètres!$B$17</f>
        <v>0.26769024555533</v>
      </c>
    </row>
    <row r="391" customFormat="false" ht="15.75" hidden="false" customHeight="true" outlineLevel="0" collapsed="false">
      <c r="A391" s="14" t="s">
        <v>507</v>
      </c>
      <c r="B391" s="15" t="s">
        <v>29</v>
      </c>
      <c r="C391" s="15" t="s">
        <v>177</v>
      </c>
      <c r="D391" s="16" t="n">
        <v>3</v>
      </c>
      <c r="E391" s="15" t="str">
        <f aca="false" t="array" ref="E391:E391">INDEX(Matériaux!$B$5:$F$12,MATCH(INDEX(Profils!$E$5:$E$34,$AE391),Matériaux!$A$5:$A$12,0),$D391)</f>
        <v>soie</v>
      </c>
      <c r="F391" s="26" t="s">
        <v>111</v>
      </c>
      <c r="G391" s="10" t="str">
        <f aca="false" t="array" ref="G391:G391">INDEX(Profils!$D$5:$D$34,$AE391)&amp;" en "&amp;$E391</f>
        <v>Pantalon en soie</v>
      </c>
      <c r="H391" s="16" t="n">
        <f aca="false" t="array" ref="H391:H391">INDEX(Matériaux!$B$16:$B$20,$D391)</f>
        <v>30</v>
      </c>
      <c r="I391" s="16" t="n">
        <f aca="false">IF(ISNUMBER($C$3),MIN(MAX(0,ROUND($C$3,0)),$AI391),$AI391)</f>
        <v>0</v>
      </c>
      <c r="J391" s="18" t="n">
        <f aca="false">$H391+$I391</f>
        <v>30</v>
      </c>
      <c r="K391" s="15" t="s">
        <v>109</v>
      </c>
      <c r="L391" s="19" t="n">
        <f aca="false" t="array" ref="L391:L391">IF(AND(INDEX(Profils!$F$5:$F$34,$AE391)&gt;0,INDEX(Profils!$U$5:$U$34,$AE391)&lt;=$AH391),ROUND(INDEX(Profils!$F$5:$F$34,$AE391)*Paramètres!$E$22*$AG391*$AJ391,Paramètres!$F$22),0)</f>
        <v>14</v>
      </c>
      <c r="M391" s="19" t="n">
        <f aca="false" t="array" ref="M391:M391">IF(AND(INDEX(Profils!$G$5:$G$34,$AE391)&gt;0,INDEX(Profils!$V$5:$V$34,$AE391)&lt;=$AH391),ROUND(INDEX(Profils!$G$5:$G$34,$AE391)*Paramètres!$E$23*$AG391*$AJ391,Paramètres!$F$23),0)</f>
        <v>0</v>
      </c>
      <c r="N391" s="19" t="n">
        <f aca="false" t="array" ref="N391:N391">IF(AND(INDEX(Profils!$H$5:$H$34,$AE391)&gt;0,INDEX(Profils!$W$5:$W$34,$AE391)&lt;=$AH391),ROUND(INDEX(Profils!$H$5:$H$34,$AE391)*Paramètres!$E$24*$AG391*$AJ391,Paramètres!$F$24),0)</f>
        <v>0</v>
      </c>
      <c r="O391" s="19" t="n">
        <f aca="false" t="array" ref="O391:O391">IF(AND(INDEX(Profils!$I$5:$I$34,$AE391)&gt;0,INDEX(Profils!$X$5:$X$34,$AE391)&lt;=$AH391),ROUND(INDEX(Profils!$I$5:$I$34,$AE391)*Paramètres!$E$25*$AG391*$AJ391,Paramètres!$F$25),0)</f>
        <v>5</v>
      </c>
      <c r="P391" s="19" t="n">
        <f aca="false" t="array" ref="P391:P391">IF(AND(INDEX(Profils!$J$5:$J$34,$AE391)&gt;0,INDEX(Profils!$Y$5:$Y$34,$AE391)&lt;=$AH391),ROUND(INDEX(Profils!$J$5:$J$34,$AE391)*Paramètres!$E$26*$AG391*$AJ391,Paramètres!$F$26),0)</f>
        <v>0</v>
      </c>
      <c r="Q391" s="19" t="n">
        <f aca="false" t="array" ref="Q391:Q391">IF(AND(INDEX(Profils!$K$5:$K$34,$AE391)&gt;0,INDEX(Profils!$Z$5:$Z$34,$AE391)&lt;=$AH391),ROUND(INDEX(Profils!$K$5:$K$34,$AE391)*Paramètres!$E$27*$AG391*$AJ391,Paramètres!$F$27),0)</f>
        <v>0</v>
      </c>
      <c r="R391" s="20" t="n">
        <f aca="false" t="array" ref="R391:R391">IF(AND(INDEX(Profils!$L$5:$L$34,$AE391)&gt;0,INDEX(Profils!$AA$5:$AA$34,$AE391)&lt;=$AH391),ROUND(INDEX(Profils!$L$5:$L$34,$AE391)*Paramètres!$E$28*$AG391*$AJ391,Paramètres!$F$28),0)</f>
        <v>0</v>
      </c>
      <c r="S391" s="20" t="n">
        <f aca="false" t="array" ref="S391:S391">IF(AND(INDEX(Profils!$M$5:$M$34,$AE391)&gt;0,INDEX(Profils!$AB$5:$AB$34,$AE391)&lt;=$AH391),ROUND(INDEX(Profils!$M$5:$M$34,$AE391)*Paramètres!$E$29*$AG391*$AJ391,Paramètres!$F$29),0)</f>
        <v>0</v>
      </c>
      <c r="T391" s="20" t="n">
        <f aca="false" t="array" ref="T391:T391">IF(AND(INDEX(Profils!$N$5:$N$34,$AE391)&gt;0,INDEX(Profils!$AC$5:$AC$34,$AE391)&lt;=$AH391),ROUND(INDEX(Profils!$N$5:$N$34,$AE391)*Paramètres!$E$30*$AG391*$AJ391,Paramètres!$F$30),0)</f>
        <v>0</v>
      </c>
      <c r="U391" s="19" t="n">
        <f aca="false" t="array" ref="U391:U391">IF(AND(INDEX(Profils!$O$5:$O$34,$AE391)&gt;0,INDEX(Profils!$AD$5:$AD$34,$AE391)&lt;=$AH391),ROUND(INDEX(Profils!$O$5:$O$34,$AE391)*Paramètres!$E$31*$AG391*$AJ391,Paramètres!$F$31),0)</f>
        <v>0</v>
      </c>
      <c r="V391" s="20" t="n">
        <f aca="false" t="array" ref="V391:V391">IF(AND(INDEX(Profils!$P$5:$P$34,$AE391)&gt;0,INDEX(Profils!$AE$5:$AE$34,$AE391)&lt;=$AH391),ROUND(INDEX(Profils!$P$5:$P$34,$AE391)*Paramètres!$E$32*$AG391*$AJ391,Paramètres!$F$32),0)</f>
        <v>0</v>
      </c>
      <c r="W391" s="20" t="n">
        <f aca="false" t="array" ref="W391:W391">IF(AND(INDEX(Profils!$Q$5:$Q$34,$AE391)&gt;0,INDEX(Profils!$AF$5:$AF$34,$AE391)&lt;=$AH391),ROUND(INDEX(Profils!$Q$5:$Q$34,$AE391)*Paramètres!$E$33*$AG391*$AJ391,Paramètres!$F$33),0)</f>
        <v>0.004</v>
      </c>
      <c r="X391" s="20" t="n">
        <f aca="false" t="array" ref="X391:X391">IF(AND(INDEX(Profils!$R$5:$R$34,$AE391)&gt;0,INDEX(Profils!$AG$5:$AG$34,$AE391)&lt;=$AH391),ROUND(INDEX(Profils!$R$5:$R$34,$AE391)*Paramètres!$E$34*$AG391*$AJ391,Paramètres!$F$34),0)</f>
        <v>0</v>
      </c>
      <c r="Y391" s="20" t="n">
        <f aca="false" t="array" ref="Y391:Y391">IF(AND(INDEX(Profils!$S$5:$S$34,$AE391)&gt;0,INDEX(Profils!$AH$5:$AH$34,$AE391)&lt;=$AH391),ROUND(INDEX(Profils!$S$5:$S$34,$AE391)*Paramètres!$E$35*$AG391*$AJ391,Paramètres!$F$35),0)</f>
        <v>0</v>
      </c>
      <c r="Z391" s="21" t="n">
        <f aca="false">ROUND(L391/Paramètres!$E$22+M391/Paramètres!$E$23+N391/Paramètres!$E$24+O391/Paramètres!$E$25+P391/Paramètres!$E$26+Q391/Paramètres!$E$27+R391/Paramètres!$E$28+S391/Paramètres!$E$29+T391/Paramètres!$E$30+U391/Paramètres!$E$31+V391/Paramètres!$E$32+W391/Paramètres!$E$33+X391/Paramètres!$E$34+Y391/Paramètres!$E$35,1)</f>
        <v>1.2</v>
      </c>
      <c r="AA391" s="22" t="s">
        <v>109</v>
      </c>
      <c r="AB391" s="22" t="s">
        <v>109</v>
      </c>
      <c r="AC391" s="15" t="str">
        <f aca="false">$E391</f>
        <v>soie</v>
      </c>
      <c r="AD391" s="16" t="n">
        <f aca="false" t="array" ref="AD391:AD391">IF($I391&gt;=$AI391,"Max",ROUND(Paramètres!$B$40*($I391+1)^Paramètres!$B$41*INDEX(Paramètres!$H$6:$H$12,$AF391),0))</f>
        <v>4</v>
      </c>
      <c r="AE391" s="23" t="n">
        <f aca="false">MATCH($B391&amp;"|"&amp;$C391,Profils!$A$5:$A$34,0)</f>
        <v>13</v>
      </c>
      <c r="AF391" s="23" t="n">
        <v>2</v>
      </c>
      <c r="AG391" s="24" t="n">
        <f aca="false" t="array" ref="AG391:AG391">INDEX(Paramètres!$C$6:$C$12,$AF391)</f>
        <v>1.2</v>
      </c>
      <c r="AH391" s="23" t="n">
        <f aca="false" t="array" ref="AH391:AH391">INDEX(Paramètres!$D$6:$D$12,$AF391)</f>
        <v>3</v>
      </c>
      <c r="AI391" s="23" t="n">
        <f aca="false" t="array" ref="AI391:AI391">INDEX(Matériaux!$C$16:$C$20,$D391)</f>
        <v>25</v>
      </c>
      <c r="AJ391" s="25" t="n">
        <f aca="false">Paramètres!$B$16+(1-Paramètres!$B$16)*(($J391-Paramètres!$B$14)/(Paramètres!$B$15-Paramètres!$B$14))^Paramètres!$B$17</f>
        <v>0.26769024555533</v>
      </c>
    </row>
    <row r="392" customFormat="false" ht="15.75" hidden="false" customHeight="true" outlineLevel="0" collapsed="false">
      <c r="A392" s="14" t="s">
        <v>508</v>
      </c>
      <c r="B392" s="15" t="s">
        <v>29</v>
      </c>
      <c r="C392" s="15" t="s">
        <v>177</v>
      </c>
      <c r="D392" s="16" t="n">
        <v>3</v>
      </c>
      <c r="E392" s="15" t="str">
        <f aca="false" t="array" ref="E392:E392">INDEX(Matériaux!$B$5:$F$12,MATCH(INDEX(Profils!$E$5:$E$34,$AE392),Matériaux!$A$5:$A$12,0),$D392)</f>
        <v>soie</v>
      </c>
      <c r="F392" s="27" t="s">
        <v>113</v>
      </c>
      <c r="G392" s="10" t="str">
        <f aca="false" t="array" ref="G392:G392">INDEX(Profils!$D$5:$D$34,$AE392)&amp;" en "&amp;$E392</f>
        <v>Pantalon en soie</v>
      </c>
      <c r="H392" s="16" t="n">
        <f aca="false" t="array" ref="H392:H392">INDEX(Matériaux!$B$16:$B$20,$D392)</f>
        <v>30</v>
      </c>
      <c r="I392" s="16" t="n">
        <f aca="false">IF(ISNUMBER($C$3),MIN(MAX(0,ROUND($C$3,0)),$AI392),$AI392)</f>
        <v>0</v>
      </c>
      <c r="J392" s="18" t="n">
        <f aca="false">$H392+$I392</f>
        <v>30</v>
      </c>
      <c r="K392" s="15" t="s">
        <v>109</v>
      </c>
      <c r="L392" s="19" t="n">
        <f aca="false" t="array" ref="L392:L392">IF(AND(INDEX(Profils!$F$5:$F$34,$AE392)&gt;0,INDEX(Profils!$U$5:$U$34,$AE392)&lt;=$AH392),ROUND(INDEX(Profils!$F$5:$F$34,$AE392)*Paramètres!$E$22*$AG392*$AJ392,Paramètres!$F$22),0)</f>
        <v>16</v>
      </c>
      <c r="M392" s="19" t="n">
        <f aca="false" t="array" ref="M392:M392">IF(AND(INDEX(Profils!$G$5:$G$34,$AE392)&gt;0,INDEX(Profils!$V$5:$V$34,$AE392)&lt;=$AH392),ROUND(INDEX(Profils!$G$5:$G$34,$AE392)*Paramètres!$E$23*$AG392*$AJ392,Paramètres!$F$23),0)</f>
        <v>0</v>
      </c>
      <c r="N392" s="19" t="n">
        <f aca="false" t="array" ref="N392:N392">IF(AND(INDEX(Profils!$H$5:$H$34,$AE392)&gt;0,INDEX(Profils!$W$5:$W$34,$AE392)&lt;=$AH392),ROUND(INDEX(Profils!$H$5:$H$34,$AE392)*Paramètres!$E$24*$AG392*$AJ392,Paramètres!$F$24),0)</f>
        <v>0</v>
      </c>
      <c r="O392" s="19" t="n">
        <f aca="false" t="array" ref="O392:O392">IF(AND(INDEX(Profils!$I$5:$I$34,$AE392)&gt;0,INDEX(Profils!$X$5:$X$34,$AE392)&lt;=$AH392),ROUND(INDEX(Profils!$I$5:$I$34,$AE392)*Paramètres!$E$25*$AG392*$AJ392,Paramètres!$F$25),0)</f>
        <v>6</v>
      </c>
      <c r="P392" s="19" t="n">
        <f aca="false" t="array" ref="P392:P392">IF(AND(INDEX(Profils!$J$5:$J$34,$AE392)&gt;0,INDEX(Profils!$Y$5:$Y$34,$AE392)&lt;=$AH392),ROUND(INDEX(Profils!$J$5:$J$34,$AE392)*Paramètres!$E$26*$AG392*$AJ392,Paramètres!$F$26),0)</f>
        <v>4</v>
      </c>
      <c r="Q392" s="19" t="n">
        <f aca="false" t="array" ref="Q392:Q392">IF(AND(INDEX(Profils!$K$5:$K$34,$AE392)&gt;0,INDEX(Profils!$Z$5:$Z$34,$AE392)&lt;=$AH392),ROUND(INDEX(Profils!$K$5:$K$34,$AE392)*Paramètres!$E$27*$AG392*$AJ392,Paramètres!$F$27),0)</f>
        <v>0</v>
      </c>
      <c r="R392" s="20" t="n">
        <f aca="false" t="array" ref="R392:R392">IF(AND(INDEX(Profils!$L$5:$L$34,$AE392)&gt;0,INDEX(Profils!$AA$5:$AA$34,$AE392)&lt;=$AH392),ROUND(INDEX(Profils!$L$5:$L$34,$AE392)*Paramètres!$E$28*$AG392*$AJ392,Paramètres!$F$28),0)</f>
        <v>0</v>
      </c>
      <c r="S392" s="20" t="n">
        <f aca="false" t="array" ref="S392:S392">IF(AND(INDEX(Profils!$M$5:$M$34,$AE392)&gt;0,INDEX(Profils!$AB$5:$AB$34,$AE392)&lt;=$AH392),ROUND(INDEX(Profils!$M$5:$M$34,$AE392)*Paramètres!$E$29*$AG392*$AJ392,Paramètres!$F$29),0)</f>
        <v>0</v>
      </c>
      <c r="T392" s="20" t="n">
        <f aca="false" t="array" ref="T392:T392">IF(AND(INDEX(Profils!$N$5:$N$34,$AE392)&gt;0,INDEX(Profils!$AC$5:$AC$34,$AE392)&lt;=$AH392),ROUND(INDEX(Profils!$N$5:$N$34,$AE392)*Paramètres!$E$30*$AG392*$AJ392,Paramètres!$F$30),0)</f>
        <v>0</v>
      </c>
      <c r="U392" s="19" t="n">
        <f aca="false" t="array" ref="U392:U392">IF(AND(INDEX(Profils!$O$5:$O$34,$AE392)&gt;0,INDEX(Profils!$AD$5:$AD$34,$AE392)&lt;=$AH392),ROUND(INDEX(Profils!$O$5:$O$34,$AE392)*Paramètres!$E$31*$AG392*$AJ392,Paramètres!$F$31),0)</f>
        <v>0</v>
      </c>
      <c r="V392" s="20" t="n">
        <f aca="false" t="array" ref="V392:V392">IF(AND(INDEX(Profils!$P$5:$P$34,$AE392)&gt;0,INDEX(Profils!$AE$5:$AE$34,$AE392)&lt;=$AH392),ROUND(INDEX(Profils!$P$5:$P$34,$AE392)*Paramètres!$E$32*$AG392*$AJ392,Paramètres!$F$32),0)</f>
        <v>0</v>
      </c>
      <c r="W392" s="20" t="n">
        <f aca="false" t="array" ref="W392:W392">IF(AND(INDEX(Profils!$Q$5:$Q$34,$AE392)&gt;0,INDEX(Profils!$AF$5:$AF$34,$AE392)&lt;=$AH392),ROUND(INDEX(Profils!$Q$5:$Q$34,$AE392)*Paramètres!$E$33*$AG392*$AJ392,Paramètres!$F$33),0)</f>
        <v>0.005</v>
      </c>
      <c r="X392" s="20" t="n">
        <f aca="false" t="array" ref="X392:X392">IF(AND(INDEX(Profils!$R$5:$R$34,$AE392)&gt;0,INDEX(Profils!$AG$5:$AG$34,$AE392)&lt;=$AH392),ROUND(INDEX(Profils!$R$5:$R$34,$AE392)*Paramètres!$E$34*$AG392*$AJ392,Paramètres!$F$34),0)</f>
        <v>0</v>
      </c>
      <c r="Y392" s="20" t="n">
        <f aca="false" t="array" ref="Y392:Y392">IF(AND(INDEX(Profils!$S$5:$S$34,$AE392)&gt;0,INDEX(Profils!$AH$5:$AH$34,$AE392)&lt;=$AH392),ROUND(INDEX(Profils!$S$5:$S$34,$AE392)*Paramètres!$E$35*$AG392*$AJ392,Paramètres!$F$35),0)</f>
        <v>0</v>
      </c>
      <c r="Z392" s="21" t="n">
        <f aca="false">ROUND(L392/Paramètres!$E$22+M392/Paramètres!$E$23+N392/Paramètres!$E$24+O392/Paramètres!$E$25+P392/Paramètres!$E$26+Q392/Paramètres!$E$27+R392/Paramètres!$E$28+S392/Paramètres!$E$29+T392/Paramètres!$E$30+U392/Paramètres!$E$31+V392/Paramètres!$E$32+W392/Paramètres!$E$33+X392/Paramètres!$E$34+Y392/Paramètres!$E$35,1)</f>
        <v>1.7</v>
      </c>
      <c r="AA392" s="22" t="s">
        <v>109</v>
      </c>
      <c r="AB392" s="22" t="s">
        <v>109</v>
      </c>
      <c r="AC392" s="15" t="str">
        <f aca="false">$E392</f>
        <v>soie</v>
      </c>
      <c r="AD392" s="16" t="n">
        <f aca="false" t="array" ref="AD392:AD392">IF($I392&gt;=$AI392,"Max",ROUND(Paramètres!$B$40*($I392+1)^Paramètres!$B$41*INDEX(Paramètres!$H$6:$H$12,$AF392),0))</f>
        <v>4</v>
      </c>
      <c r="AE392" s="23" t="n">
        <f aca="false">MATCH($B392&amp;"|"&amp;$C392,Profils!$A$5:$A$34,0)</f>
        <v>13</v>
      </c>
      <c r="AF392" s="23" t="n">
        <v>3</v>
      </c>
      <c r="AG392" s="24" t="n">
        <f aca="false" t="array" ref="AG392:AG392">INDEX(Paramètres!$C$6:$C$12,$AF392)</f>
        <v>1.45</v>
      </c>
      <c r="AH392" s="23" t="n">
        <f aca="false" t="array" ref="AH392:AH392">INDEX(Paramètres!$D$6:$D$12,$AF392)</f>
        <v>4</v>
      </c>
      <c r="AI392" s="23" t="n">
        <f aca="false" t="array" ref="AI392:AI392">INDEX(Matériaux!$C$16:$C$20,$D392)</f>
        <v>25</v>
      </c>
      <c r="AJ392" s="25" t="n">
        <f aca="false">Paramètres!$B$16+(1-Paramètres!$B$16)*(($J392-Paramètres!$B$14)/(Paramètres!$B$15-Paramètres!$B$14))^Paramètres!$B$17</f>
        <v>0.26769024555533</v>
      </c>
    </row>
    <row r="393" customFormat="false" ht="15.75" hidden="false" customHeight="true" outlineLevel="0" collapsed="false">
      <c r="A393" s="14" t="s">
        <v>509</v>
      </c>
      <c r="B393" s="15" t="s">
        <v>29</v>
      </c>
      <c r="C393" s="15" t="s">
        <v>177</v>
      </c>
      <c r="D393" s="16" t="n">
        <v>3</v>
      </c>
      <c r="E393" s="15" t="str">
        <f aca="false" t="array" ref="E393:E393">INDEX(Matériaux!$B$5:$F$12,MATCH(INDEX(Profils!$E$5:$E$34,$AE393),Matériaux!$A$5:$A$12,0),$D393)</f>
        <v>soie</v>
      </c>
      <c r="F393" s="28" t="s">
        <v>115</v>
      </c>
      <c r="G393" s="10" t="str">
        <f aca="false" t="array" ref="G393:G393">INDEX(Profils!$D$5:$D$34,$AE393)&amp;" en "&amp;$E393</f>
        <v>Pantalon en soie</v>
      </c>
      <c r="H393" s="16" t="n">
        <f aca="false" t="array" ref="H393:H393">INDEX(Matériaux!$B$16:$B$20,$D393)</f>
        <v>30</v>
      </c>
      <c r="I393" s="16" t="n">
        <f aca="false">IF(ISNUMBER($C$3),MIN(MAX(0,ROUND($C$3,0)),$AI393),$AI393)</f>
        <v>0</v>
      </c>
      <c r="J393" s="18" t="n">
        <f aca="false">$H393+$I393</f>
        <v>30</v>
      </c>
      <c r="K393" s="15" t="s">
        <v>109</v>
      </c>
      <c r="L393" s="19" t="n">
        <f aca="false" t="array" ref="L393:L393">IF(AND(INDEX(Profils!$F$5:$F$34,$AE393)&gt;0,INDEX(Profils!$U$5:$U$34,$AE393)&lt;=$AH393),ROUND(INDEX(Profils!$F$5:$F$34,$AE393)*Paramètres!$E$22*$AG393*$AJ393,Paramètres!$F$22),0)</f>
        <v>20</v>
      </c>
      <c r="M393" s="19" t="n">
        <f aca="false" t="array" ref="M393:M393">IF(AND(INDEX(Profils!$G$5:$G$34,$AE393)&gt;0,INDEX(Profils!$V$5:$V$34,$AE393)&lt;=$AH393),ROUND(INDEX(Profils!$G$5:$G$34,$AE393)*Paramètres!$E$23*$AG393*$AJ393,Paramètres!$F$23),0)</f>
        <v>0</v>
      </c>
      <c r="N393" s="19" t="n">
        <f aca="false" t="array" ref="N393:N393">IF(AND(INDEX(Profils!$H$5:$H$34,$AE393)&gt;0,INDEX(Profils!$W$5:$W$34,$AE393)&lt;=$AH393),ROUND(INDEX(Profils!$H$5:$H$34,$AE393)*Paramètres!$E$24*$AG393*$AJ393,Paramètres!$F$24),0)</f>
        <v>0</v>
      </c>
      <c r="O393" s="19" t="n">
        <f aca="false" t="array" ref="O393:O393">IF(AND(INDEX(Profils!$I$5:$I$34,$AE393)&gt;0,INDEX(Profils!$X$5:$X$34,$AE393)&lt;=$AH393),ROUND(INDEX(Profils!$I$5:$I$34,$AE393)*Paramètres!$E$25*$AG393*$AJ393,Paramètres!$F$25),0)</f>
        <v>8</v>
      </c>
      <c r="P393" s="19" t="n">
        <f aca="false" t="array" ref="P393:P393">IF(AND(INDEX(Profils!$J$5:$J$34,$AE393)&gt;0,INDEX(Profils!$Y$5:$Y$34,$AE393)&lt;=$AH393),ROUND(INDEX(Profils!$J$5:$J$34,$AE393)*Paramètres!$E$26*$AG393*$AJ393,Paramètres!$F$26),0)</f>
        <v>4</v>
      </c>
      <c r="Q393" s="19" t="n">
        <f aca="false" t="array" ref="Q393:Q393">IF(AND(INDEX(Profils!$K$5:$K$34,$AE393)&gt;0,INDEX(Profils!$Z$5:$Z$34,$AE393)&lt;=$AH393),ROUND(INDEX(Profils!$K$5:$K$34,$AE393)*Paramètres!$E$27*$AG393*$AJ393,Paramètres!$F$27),0)</f>
        <v>0</v>
      </c>
      <c r="R393" s="20" t="n">
        <f aca="false" t="array" ref="R393:R393">IF(AND(INDEX(Profils!$L$5:$L$34,$AE393)&gt;0,INDEX(Profils!$AA$5:$AA$34,$AE393)&lt;=$AH393),ROUND(INDEX(Profils!$L$5:$L$34,$AE393)*Paramètres!$E$28*$AG393*$AJ393,Paramètres!$F$28),0)</f>
        <v>0</v>
      </c>
      <c r="S393" s="20" t="n">
        <f aca="false" t="array" ref="S393:S393">IF(AND(INDEX(Profils!$M$5:$M$34,$AE393)&gt;0,INDEX(Profils!$AB$5:$AB$34,$AE393)&lt;=$AH393),ROUND(INDEX(Profils!$M$5:$M$34,$AE393)*Paramètres!$E$29*$AG393*$AJ393,Paramètres!$F$29),0)</f>
        <v>0</v>
      </c>
      <c r="T393" s="20" t="n">
        <f aca="false" t="array" ref="T393:T393">IF(AND(INDEX(Profils!$N$5:$N$34,$AE393)&gt;0,INDEX(Profils!$AC$5:$AC$34,$AE393)&lt;=$AH393),ROUND(INDEX(Profils!$N$5:$N$34,$AE393)*Paramètres!$E$30*$AG393*$AJ393,Paramètres!$F$30),0)</f>
        <v>0</v>
      </c>
      <c r="U393" s="19" t="n">
        <f aca="false" t="array" ref="U393:U393">IF(AND(INDEX(Profils!$O$5:$O$34,$AE393)&gt;0,INDEX(Profils!$AD$5:$AD$34,$AE393)&lt;=$AH393),ROUND(INDEX(Profils!$O$5:$O$34,$AE393)*Paramètres!$E$31*$AG393*$AJ393,Paramètres!$F$31),0)</f>
        <v>7</v>
      </c>
      <c r="V393" s="20" t="n">
        <f aca="false" t="array" ref="V393:V393">IF(AND(INDEX(Profils!$P$5:$P$34,$AE393)&gt;0,INDEX(Profils!$AE$5:$AE$34,$AE393)&lt;=$AH393),ROUND(INDEX(Profils!$P$5:$P$34,$AE393)*Paramètres!$E$32*$AG393*$AJ393,Paramètres!$F$32),0)</f>
        <v>0</v>
      </c>
      <c r="W393" s="20" t="n">
        <f aca="false" t="array" ref="W393:W393">IF(AND(INDEX(Profils!$Q$5:$Q$34,$AE393)&gt;0,INDEX(Profils!$AF$5:$AF$34,$AE393)&lt;=$AH393),ROUND(INDEX(Profils!$Q$5:$Q$34,$AE393)*Paramètres!$E$33*$AG393*$AJ393,Paramètres!$F$33),0)</f>
        <v>0.006</v>
      </c>
      <c r="X393" s="20" t="n">
        <f aca="false" t="array" ref="X393:X393">IF(AND(INDEX(Profils!$R$5:$R$34,$AE393)&gt;0,INDEX(Profils!$AG$5:$AG$34,$AE393)&lt;=$AH393),ROUND(INDEX(Profils!$R$5:$R$34,$AE393)*Paramètres!$E$34*$AG393*$AJ393,Paramètres!$F$34),0)</f>
        <v>0</v>
      </c>
      <c r="Y393" s="20" t="n">
        <f aca="false" t="array" ref="Y393:Y393">IF(AND(INDEX(Profils!$S$5:$S$34,$AE393)&gt;0,INDEX(Profils!$AH$5:$AH$34,$AE393)&lt;=$AH393),ROUND(INDEX(Profils!$S$5:$S$34,$AE393)*Paramètres!$E$35*$AG393*$AJ393,Paramètres!$F$35),0)</f>
        <v>0</v>
      </c>
      <c r="Z393" s="21" t="n">
        <f aca="false">ROUND(L393/Paramètres!$E$22+M393/Paramètres!$E$23+N393/Paramètres!$E$24+O393/Paramètres!$E$25+P393/Paramètres!$E$26+Q393/Paramètres!$E$27+R393/Paramètres!$E$28+S393/Paramètres!$E$29+T393/Paramètres!$E$30+U393/Paramètres!$E$31+V393/Paramètres!$E$32+W393/Paramètres!$E$33+X393/Paramètres!$E$34+Y393/Paramètres!$E$35,1)</f>
        <v>2.4</v>
      </c>
      <c r="AA393" s="22" t="s">
        <v>109</v>
      </c>
      <c r="AB393" s="22" t="s">
        <v>109</v>
      </c>
      <c r="AC393" s="15" t="str">
        <f aca="false">$E393</f>
        <v>soie</v>
      </c>
      <c r="AD393" s="16" t="n">
        <f aca="false" t="array" ref="AD393:AD393">IF($I393&gt;=$AI393,"Max",ROUND(Paramètres!$B$40*($I393+1)^Paramètres!$B$41*INDEX(Paramètres!$H$6:$H$12,$AF393),0))</f>
        <v>5</v>
      </c>
      <c r="AE393" s="23" t="n">
        <f aca="false">MATCH($B393&amp;"|"&amp;$C393,Profils!$A$5:$A$34,0)</f>
        <v>13</v>
      </c>
      <c r="AF393" s="23" t="n">
        <v>4</v>
      </c>
      <c r="AG393" s="24" t="n">
        <f aca="false" t="array" ref="AG393:AG393">INDEX(Paramètres!$C$6:$C$12,$AF393)</f>
        <v>1.75</v>
      </c>
      <c r="AH393" s="23" t="n">
        <f aca="false" t="array" ref="AH393:AH393">INDEX(Paramètres!$D$6:$D$12,$AF393)</f>
        <v>5</v>
      </c>
      <c r="AI393" s="23" t="n">
        <f aca="false" t="array" ref="AI393:AI393">INDEX(Matériaux!$C$16:$C$20,$D393)</f>
        <v>25</v>
      </c>
      <c r="AJ393" s="25" t="n">
        <f aca="false">Paramètres!$B$16+(1-Paramètres!$B$16)*(($J393-Paramètres!$B$14)/(Paramètres!$B$15-Paramètres!$B$14))^Paramètres!$B$17</f>
        <v>0.26769024555533</v>
      </c>
    </row>
    <row r="394" customFormat="false" ht="15.75" hidden="false" customHeight="true" outlineLevel="0" collapsed="false">
      <c r="A394" s="14" t="s">
        <v>510</v>
      </c>
      <c r="B394" s="15" t="s">
        <v>29</v>
      </c>
      <c r="C394" s="15" t="s">
        <v>177</v>
      </c>
      <c r="D394" s="16" t="n">
        <v>3</v>
      </c>
      <c r="E394" s="15" t="str">
        <f aca="false" t="array" ref="E394:E394">INDEX(Matériaux!$B$5:$F$12,MATCH(INDEX(Profils!$E$5:$E$34,$AE394),Matériaux!$A$5:$A$12,0),$D394)</f>
        <v>soie</v>
      </c>
      <c r="F394" s="29" t="s">
        <v>117</v>
      </c>
      <c r="G394" s="10" t="str">
        <f aca="false" t="array" ref="G394:G394">INDEX(Profils!$D$5:$D$34,$AE394)&amp;" en "&amp;$E394</f>
        <v>Pantalon en soie</v>
      </c>
      <c r="H394" s="16" t="n">
        <f aca="false" t="array" ref="H394:H394">INDEX(Matériaux!$B$16:$B$20,$D394)</f>
        <v>30</v>
      </c>
      <c r="I394" s="16" t="n">
        <f aca="false">IF(ISNUMBER($C$3),MIN(MAX(0,ROUND($C$3,0)),$AI394),$AI394)</f>
        <v>0</v>
      </c>
      <c r="J394" s="18" t="n">
        <f aca="false">$H394+$I394</f>
        <v>30</v>
      </c>
      <c r="K394" s="15" t="s">
        <v>109</v>
      </c>
      <c r="L394" s="19" t="n">
        <f aca="false" t="array" ref="L394:L394">IF(AND(INDEX(Profils!$F$5:$F$34,$AE394)&gt;0,INDEX(Profils!$U$5:$U$34,$AE394)&lt;=$AH394),ROUND(INDEX(Profils!$F$5:$F$34,$AE394)*Paramètres!$E$22*$AG394*$AJ394,Paramètres!$F$22),0)</f>
        <v>24</v>
      </c>
      <c r="M394" s="19" t="n">
        <f aca="false" t="array" ref="M394:M394">IF(AND(INDEX(Profils!$G$5:$G$34,$AE394)&gt;0,INDEX(Profils!$V$5:$V$34,$AE394)&lt;=$AH394),ROUND(INDEX(Profils!$G$5:$G$34,$AE394)*Paramètres!$E$23*$AG394*$AJ394,Paramètres!$F$23),0)</f>
        <v>0</v>
      </c>
      <c r="N394" s="19" t="n">
        <f aca="false" t="array" ref="N394:N394">IF(AND(INDEX(Profils!$H$5:$H$34,$AE394)&gt;0,INDEX(Profils!$W$5:$W$34,$AE394)&lt;=$AH394),ROUND(INDEX(Profils!$H$5:$H$34,$AE394)*Paramètres!$E$24*$AG394*$AJ394,Paramètres!$F$24),0)</f>
        <v>4</v>
      </c>
      <c r="O394" s="19" t="n">
        <f aca="false" t="array" ref="O394:O394">IF(AND(INDEX(Profils!$I$5:$I$34,$AE394)&gt;0,INDEX(Profils!$X$5:$X$34,$AE394)&lt;=$AH394),ROUND(INDEX(Profils!$I$5:$I$34,$AE394)*Paramètres!$E$25*$AG394*$AJ394,Paramètres!$F$25),0)</f>
        <v>9</v>
      </c>
      <c r="P394" s="19" t="n">
        <f aca="false" t="array" ref="P394:P394">IF(AND(INDEX(Profils!$J$5:$J$34,$AE394)&gt;0,INDEX(Profils!$Y$5:$Y$34,$AE394)&lt;=$AH394),ROUND(INDEX(Profils!$J$5:$J$34,$AE394)*Paramètres!$E$26*$AG394*$AJ394,Paramètres!$F$26),0)</f>
        <v>5</v>
      </c>
      <c r="Q394" s="19" t="n">
        <f aca="false" t="array" ref="Q394:Q394">IF(AND(INDEX(Profils!$K$5:$K$34,$AE394)&gt;0,INDEX(Profils!$Z$5:$Z$34,$AE394)&lt;=$AH394),ROUND(INDEX(Profils!$K$5:$K$34,$AE394)*Paramètres!$E$27*$AG394*$AJ394,Paramètres!$F$27),0)</f>
        <v>0</v>
      </c>
      <c r="R394" s="20" t="n">
        <f aca="false" t="array" ref="R394:R394">IF(AND(INDEX(Profils!$L$5:$L$34,$AE394)&gt;0,INDEX(Profils!$AA$5:$AA$34,$AE394)&lt;=$AH394),ROUND(INDEX(Profils!$L$5:$L$34,$AE394)*Paramètres!$E$28*$AG394*$AJ394,Paramètres!$F$28),0)</f>
        <v>0</v>
      </c>
      <c r="S394" s="20" t="n">
        <f aca="false" t="array" ref="S394:S394">IF(AND(INDEX(Profils!$M$5:$M$34,$AE394)&gt;0,INDEX(Profils!$AB$5:$AB$34,$AE394)&lt;=$AH394),ROUND(INDEX(Profils!$M$5:$M$34,$AE394)*Paramètres!$E$29*$AG394*$AJ394,Paramètres!$F$29),0)</f>
        <v>0</v>
      </c>
      <c r="T394" s="20" t="n">
        <f aca="false" t="array" ref="T394:T394">IF(AND(INDEX(Profils!$N$5:$N$34,$AE394)&gt;0,INDEX(Profils!$AC$5:$AC$34,$AE394)&lt;=$AH394),ROUND(INDEX(Profils!$N$5:$N$34,$AE394)*Paramètres!$E$30*$AG394*$AJ394,Paramètres!$F$30),0)</f>
        <v>0</v>
      </c>
      <c r="U394" s="19" t="n">
        <f aca="false" t="array" ref="U394:U394">IF(AND(INDEX(Profils!$O$5:$O$34,$AE394)&gt;0,INDEX(Profils!$AD$5:$AD$34,$AE394)&lt;=$AH394),ROUND(INDEX(Profils!$O$5:$O$34,$AE394)*Paramètres!$E$31*$AG394*$AJ394,Paramètres!$F$31),0)</f>
        <v>8</v>
      </c>
      <c r="V394" s="20" t="n">
        <f aca="false" t="array" ref="V394:V394">IF(AND(INDEX(Profils!$P$5:$P$34,$AE394)&gt;0,INDEX(Profils!$AE$5:$AE$34,$AE394)&lt;=$AH394),ROUND(INDEX(Profils!$P$5:$P$34,$AE394)*Paramètres!$E$32*$AG394*$AJ394,Paramètres!$F$32),0)</f>
        <v>0</v>
      </c>
      <c r="W394" s="20" t="n">
        <f aca="false" t="array" ref="W394:W394">IF(AND(INDEX(Profils!$Q$5:$Q$34,$AE394)&gt;0,INDEX(Profils!$AF$5:$AF$34,$AE394)&lt;=$AH394),ROUND(INDEX(Profils!$Q$5:$Q$34,$AE394)*Paramètres!$E$33*$AG394*$AJ394,Paramètres!$F$33),0)</f>
        <v>0.008</v>
      </c>
      <c r="X394" s="20" t="n">
        <f aca="false" t="array" ref="X394:X394">IF(AND(INDEX(Profils!$R$5:$R$34,$AE394)&gt;0,INDEX(Profils!$AG$5:$AG$34,$AE394)&lt;=$AH394),ROUND(INDEX(Profils!$R$5:$R$34,$AE394)*Paramètres!$E$34*$AG394*$AJ394,Paramètres!$F$34),0)</f>
        <v>0</v>
      </c>
      <c r="Y394" s="20" t="n">
        <f aca="false" t="array" ref="Y394:Y394">IF(AND(INDEX(Profils!$S$5:$S$34,$AE394)&gt;0,INDEX(Profils!$AH$5:$AH$34,$AE394)&lt;=$AH394),ROUND(INDEX(Profils!$S$5:$S$34,$AE394)*Paramètres!$E$35*$AG394*$AJ394,Paramètres!$F$35),0)</f>
        <v>0</v>
      </c>
      <c r="Z394" s="21" t="n">
        <f aca="false">ROUND(L394/Paramètres!$E$22+M394/Paramètres!$E$23+N394/Paramètres!$E$24+O394/Paramètres!$E$25+P394/Paramètres!$E$26+Q394/Paramètres!$E$27+R394/Paramètres!$E$28+S394/Paramètres!$E$29+T394/Paramètres!$E$30+U394/Paramètres!$E$31+V394/Paramètres!$E$32+W394/Paramètres!$E$33+X394/Paramètres!$E$34+Y394/Paramètres!$E$35,1)</f>
        <v>3.2</v>
      </c>
      <c r="AA394" s="22" t="s">
        <v>109</v>
      </c>
      <c r="AB394" s="22" t="s">
        <v>109</v>
      </c>
      <c r="AC394" s="15" t="str">
        <f aca="false">$E394</f>
        <v>soie</v>
      </c>
      <c r="AD394" s="16" t="n">
        <f aca="false" t="array" ref="AD394:AD394">IF($I394&gt;=$AI394,"Max",ROUND(Paramètres!$B$40*($I394+1)^Paramètres!$B$41*INDEX(Paramètres!$H$6:$H$12,$AF394),0))</f>
        <v>6</v>
      </c>
      <c r="AE394" s="23" t="n">
        <f aca="false">MATCH($B394&amp;"|"&amp;$C394,Profils!$A$5:$A$34,0)</f>
        <v>13</v>
      </c>
      <c r="AF394" s="23" t="n">
        <v>5</v>
      </c>
      <c r="AG394" s="24" t="n">
        <f aca="false" t="array" ref="AG394:AG394">INDEX(Paramètres!$C$6:$C$12,$AF394)</f>
        <v>2.1</v>
      </c>
      <c r="AH394" s="23" t="n">
        <f aca="false" t="array" ref="AH394:AH394">INDEX(Paramètres!$D$6:$D$12,$AF394)</f>
        <v>6</v>
      </c>
      <c r="AI394" s="23" t="n">
        <f aca="false" t="array" ref="AI394:AI394">INDEX(Matériaux!$C$16:$C$20,$D394)</f>
        <v>25</v>
      </c>
      <c r="AJ394" s="25" t="n">
        <f aca="false">Paramètres!$B$16+(1-Paramètres!$B$16)*(($J394-Paramètres!$B$14)/(Paramètres!$B$15-Paramètres!$B$14))^Paramètres!$B$17</f>
        <v>0.26769024555533</v>
      </c>
    </row>
    <row r="395" customFormat="false" ht="15.75" hidden="false" customHeight="true" outlineLevel="0" collapsed="false">
      <c r="A395" s="14" t="s">
        <v>511</v>
      </c>
      <c r="B395" s="15" t="s">
        <v>29</v>
      </c>
      <c r="C395" s="15" t="s">
        <v>177</v>
      </c>
      <c r="D395" s="16" t="n">
        <v>3</v>
      </c>
      <c r="E395" s="15" t="str">
        <f aca="false" t="array" ref="E395:E395">INDEX(Matériaux!$B$5:$F$12,MATCH(INDEX(Profils!$E$5:$E$34,$AE395),Matériaux!$A$5:$A$12,0),$D395)</f>
        <v>soie</v>
      </c>
      <c r="F395" s="30" t="s">
        <v>119</v>
      </c>
      <c r="G395" s="10" t="str">
        <f aca="false" t="array" ref="G395:G395">INDEX(Profils!$D$5:$D$34,$AE395)&amp;" en "&amp;$E395</f>
        <v>Pantalon en soie</v>
      </c>
      <c r="H395" s="16" t="n">
        <f aca="false" t="array" ref="H395:H395">INDEX(Matériaux!$B$16:$B$20,$D395)</f>
        <v>30</v>
      </c>
      <c r="I395" s="16" t="n">
        <f aca="false">IF(ISNUMBER($C$3),MIN(MAX(0,ROUND($C$3,0)),$AI395),$AI395)</f>
        <v>0</v>
      </c>
      <c r="J395" s="18" t="n">
        <f aca="false">$H395+$I395</f>
        <v>30</v>
      </c>
      <c r="K395" s="15" t="s">
        <v>109</v>
      </c>
      <c r="L395" s="19" t="n">
        <f aca="false" t="array" ref="L395:L395">IF(AND(INDEX(Profils!$F$5:$F$34,$AE395)&gt;0,INDEX(Profils!$U$5:$U$34,$AE395)&lt;=$AH395),ROUND(INDEX(Profils!$F$5:$F$34,$AE395)*Paramètres!$E$22*$AG395*$AJ395,Paramètres!$F$22),0)</f>
        <v>27</v>
      </c>
      <c r="M395" s="19" t="n">
        <f aca="false" t="array" ref="M395:M395">IF(AND(INDEX(Profils!$G$5:$G$34,$AE395)&gt;0,INDEX(Profils!$V$5:$V$34,$AE395)&lt;=$AH395),ROUND(INDEX(Profils!$G$5:$G$34,$AE395)*Paramètres!$E$23*$AG395*$AJ395,Paramètres!$F$23),0)</f>
        <v>0</v>
      </c>
      <c r="N395" s="19" t="n">
        <f aca="false" t="array" ref="N395:N395">IF(AND(INDEX(Profils!$H$5:$H$34,$AE395)&gt;0,INDEX(Profils!$W$5:$W$34,$AE395)&lt;=$AH395),ROUND(INDEX(Profils!$H$5:$H$34,$AE395)*Paramètres!$E$24*$AG395*$AJ395,Paramètres!$F$24),0)</f>
        <v>5</v>
      </c>
      <c r="O395" s="19" t="n">
        <f aca="false" t="array" ref="O395:O395">IF(AND(INDEX(Profils!$I$5:$I$34,$AE395)&gt;0,INDEX(Profils!$X$5:$X$34,$AE395)&lt;=$AH395),ROUND(INDEX(Profils!$I$5:$I$34,$AE395)*Paramètres!$E$25*$AG395*$AJ395,Paramètres!$F$25),0)</f>
        <v>11</v>
      </c>
      <c r="P395" s="19" t="n">
        <f aca="false" t="array" ref="P395:P395">IF(AND(INDEX(Profils!$J$5:$J$34,$AE395)&gt;0,INDEX(Profils!$Y$5:$Y$34,$AE395)&lt;=$AH395),ROUND(INDEX(Profils!$J$5:$J$34,$AE395)*Paramètres!$E$26*$AG395*$AJ395,Paramètres!$F$26),0)</f>
        <v>6</v>
      </c>
      <c r="Q395" s="19" t="n">
        <f aca="false" t="array" ref="Q395:Q395">IF(AND(INDEX(Profils!$K$5:$K$34,$AE395)&gt;0,INDEX(Profils!$Z$5:$Z$34,$AE395)&lt;=$AH395),ROUND(INDEX(Profils!$K$5:$K$34,$AE395)*Paramètres!$E$27*$AG395*$AJ395,Paramètres!$F$27),0)</f>
        <v>0</v>
      </c>
      <c r="R395" s="20" t="n">
        <f aca="false" t="array" ref="R395:R395">IF(AND(INDEX(Profils!$L$5:$L$34,$AE395)&gt;0,INDEX(Profils!$AA$5:$AA$34,$AE395)&lt;=$AH395),ROUND(INDEX(Profils!$L$5:$L$34,$AE395)*Paramètres!$E$28*$AG395*$AJ395,Paramètres!$F$28),0)</f>
        <v>0</v>
      </c>
      <c r="S395" s="20" t="n">
        <f aca="false" t="array" ref="S395:S395">IF(AND(INDEX(Profils!$M$5:$M$34,$AE395)&gt;0,INDEX(Profils!$AB$5:$AB$34,$AE395)&lt;=$AH395),ROUND(INDEX(Profils!$M$5:$M$34,$AE395)*Paramètres!$E$29*$AG395*$AJ395,Paramètres!$F$29),0)</f>
        <v>0</v>
      </c>
      <c r="T395" s="20" t="n">
        <f aca="false" t="array" ref="T395:T395">IF(AND(INDEX(Profils!$N$5:$N$34,$AE395)&gt;0,INDEX(Profils!$AC$5:$AC$34,$AE395)&lt;=$AH395),ROUND(INDEX(Profils!$N$5:$N$34,$AE395)*Paramètres!$E$30*$AG395*$AJ395,Paramètres!$F$30),0)</f>
        <v>0</v>
      </c>
      <c r="U395" s="19" t="n">
        <f aca="false" t="array" ref="U395:U395">IF(AND(INDEX(Profils!$O$5:$O$34,$AE395)&gt;0,INDEX(Profils!$AD$5:$AD$34,$AE395)&lt;=$AH395),ROUND(INDEX(Profils!$O$5:$O$34,$AE395)*Paramètres!$E$31*$AG395*$AJ395,Paramètres!$F$31),0)</f>
        <v>9</v>
      </c>
      <c r="V395" s="20" t="n">
        <f aca="false" t="array" ref="V395:V395">IF(AND(INDEX(Profils!$P$5:$P$34,$AE395)&gt;0,INDEX(Profils!$AE$5:$AE$34,$AE395)&lt;=$AH395),ROUND(INDEX(Profils!$P$5:$P$34,$AE395)*Paramètres!$E$32*$AG395*$AJ395,Paramètres!$F$32),0)</f>
        <v>0</v>
      </c>
      <c r="W395" s="20" t="n">
        <f aca="false" t="array" ref="W395:W395">IF(AND(INDEX(Profils!$Q$5:$Q$34,$AE395)&gt;0,INDEX(Profils!$AF$5:$AF$34,$AE395)&lt;=$AH395),ROUND(INDEX(Profils!$Q$5:$Q$34,$AE395)*Paramètres!$E$33*$AG395*$AJ395,Paramètres!$F$33),0)</f>
        <v>0.009</v>
      </c>
      <c r="X395" s="20" t="n">
        <f aca="false" t="array" ref="X395:X395">IF(AND(INDEX(Profils!$R$5:$R$34,$AE395)&gt;0,INDEX(Profils!$AG$5:$AG$34,$AE395)&lt;=$AH395),ROUND(INDEX(Profils!$R$5:$R$34,$AE395)*Paramètres!$E$34*$AG395*$AJ395,Paramètres!$F$34),0)</f>
        <v>0.006</v>
      </c>
      <c r="Y395" s="20" t="n">
        <f aca="false" t="array" ref="Y395:Y395">IF(AND(INDEX(Profils!$S$5:$S$34,$AE395)&gt;0,INDEX(Profils!$AH$5:$AH$34,$AE395)&lt;=$AH395),ROUND(INDEX(Profils!$S$5:$S$34,$AE395)*Paramètres!$E$35*$AG395*$AJ395,Paramètres!$F$35),0)</f>
        <v>0</v>
      </c>
      <c r="Z395" s="21" t="n">
        <f aca="false">ROUND(L395/Paramètres!$E$22+M395/Paramètres!$E$23+N395/Paramètres!$E$24+O395/Paramètres!$E$25+P395/Paramètres!$E$26+Q395/Paramètres!$E$27+R395/Paramètres!$E$28+S395/Paramètres!$E$29+T395/Paramètres!$E$30+U395/Paramètres!$E$31+V395/Paramètres!$E$32+W395/Paramètres!$E$33+X395/Paramètres!$E$34+Y395/Paramètres!$E$35,1)</f>
        <v>4</v>
      </c>
      <c r="AA395" s="22" t="s">
        <v>109</v>
      </c>
      <c r="AB395" s="22" t="s">
        <v>109</v>
      </c>
      <c r="AC395" s="15" t="str">
        <f aca="false">$E395</f>
        <v>soie</v>
      </c>
      <c r="AD395" s="16" t="n">
        <f aca="false" t="array" ref="AD395:AD395">IF($I395&gt;=$AI395,"Max",ROUND(Paramètres!$B$40*($I395+1)^Paramètres!$B$41*INDEX(Paramètres!$H$6:$H$12,$AF395),0))</f>
        <v>8</v>
      </c>
      <c r="AE395" s="23" t="n">
        <f aca="false">MATCH($B395&amp;"|"&amp;$C395,Profils!$A$5:$A$34,0)</f>
        <v>13</v>
      </c>
      <c r="AF395" s="23" t="n">
        <v>6</v>
      </c>
      <c r="AG395" s="24" t="n">
        <f aca="false" t="array" ref="AG395:AG395">INDEX(Paramètres!$C$6:$C$12,$AF395)</f>
        <v>2.4</v>
      </c>
      <c r="AH395" s="23" t="n">
        <f aca="false" t="array" ref="AH395:AH395">INDEX(Paramètres!$D$6:$D$12,$AF395)</f>
        <v>7</v>
      </c>
      <c r="AI395" s="23" t="n">
        <f aca="false" t="array" ref="AI395:AI395">INDEX(Matériaux!$C$16:$C$20,$D395)</f>
        <v>25</v>
      </c>
      <c r="AJ395" s="25" t="n">
        <f aca="false">Paramètres!$B$16+(1-Paramètres!$B$16)*(($J395-Paramètres!$B$14)/(Paramètres!$B$15-Paramètres!$B$14))^Paramètres!$B$17</f>
        <v>0.26769024555533</v>
      </c>
    </row>
    <row r="396" customFormat="false" ht="15.75" hidden="false" customHeight="true" outlineLevel="0" collapsed="false">
      <c r="A396" s="14" t="s">
        <v>512</v>
      </c>
      <c r="B396" s="15" t="s">
        <v>29</v>
      </c>
      <c r="C396" s="15" t="s">
        <v>177</v>
      </c>
      <c r="D396" s="16" t="n">
        <v>4</v>
      </c>
      <c r="E396" s="15" t="str">
        <f aca="false" t="array" ref="E396:E396">INDEX(Matériaux!$B$5:$F$12,MATCH(INDEX(Profils!$E$5:$E$34,$AE396),Matériaux!$A$5:$A$12,0),$D396)</f>
        <v>velours enchanté</v>
      </c>
      <c r="F396" s="17" t="s">
        <v>108</v>
      </c>
      <c r="G396" s="10" t="str">
        <f aca="false" t="array" ref="G396:G396">INDEX(Profils!$D$5:$D$34,$AE396)&amp;" en "&amp;$E396</f>
        <v>Pantalon en velours enchanté</v>
      </c>
      <c r="H396" s="16" t="n">
        <f aca="false" t="array" ref="H396:H396">INDEX(Matériaux!$B$16:$B$20,$D396)</f>
        <v>50</v>
      </c>
      <c r="I396" s="16" t="n">
        <f aca="false">IF(ISNUMBER($C$3),MIN(MAX(0,ROUND($C$3,0)),$AI396),$AI396)</f>
        <v>0</v>
      </c>
      <c r="J396" s="18" t="n">
        <f aca="false">$H396+$I396</f>
        <v>50</v>
      </c>
      <c r="K396" s="15" t="s">
        <v>109</v>
      </c>
      <c r="L396" s="19" t="n">
        <f aca="false" t="array" ref="L396:L396">IF(AND(INDEX(Profils!$F$5:$F$34,$AE396)&gt;0,INDEX(Profils!$U$5:$U$34,$AE396)&lt;=$AH396),ROUND(INDEX(Profils!$F$5:$F$34,$AE396)*Paramètres!$E$22*$AG396*$AJ396,Paramètres!$F$22),0)</f>
        <v>19</v>
      </c>
      <c r="M396" s="19" t="n">
        <f aca="false" t="array" ref="M396:M396">IF(AND(INDEX(Profils!$G$5:$G$34,$AE396)&gt;0,INDEX(Profils!$V$5:$V$34,$AE396)&lt;=$AH396),ROUND(INDEX(Profils!$G$5:$G$34,$AE396)*Paramètres!$E$23*$AG396*$AJ396,Paramètres!$F$23),0)</f>
        <v>0</v>
      </c>
      <c r="N396" s="19" t="n">
        <f aca="false" t="array" ref="N396:N396">IF(AND(INDEX(Profils!$H$5:$H$34,$AE396)&gt;0,INDEX(Profils!$W$5:$W$34,$AE396)&lt;=$AH396),ROUND(INDEX(Profils!$H$5:$H$34,$AE396)*Paramètres!$E$24*$AG396*$AJ396,Paramètres!$F$24),0)</f>
        <v>0</v>
      </c>
      <c r="O396" s="19" t="n">
        <f aca="false" t="array" ref="O396:O396">IF(AND(INDEX(Profils!$I$5:$I$34,$AE396)&gt;0,INDEX(Profils!$X$5:$X$34,$AE396)&lt;=$AH396),ROUND(INDEX(Profils!$I$5:$I$34,$AE396)*Paramètres!$E$25*$AG396*$AJ396,Paramètres!$F$25),0)</f>
        <v>8</v>
      </c>
      <c r="P396" s="19" t="n">
        <f aca="false" t="array" ref="P396:P396">IF(AND(INDEX(Profils!$J$5:$J$34,$AE396)&gt;0,INDEX(Profils!$Y$5:$Y$34,$AE396)&lt;=$AH396),ROUND(INDEX(Profils!$J$5:$J$34,$AE396)*Paramètres!$E$26*$AG396*$AJ396,Paramètres!$F$26),0)</f>
        <v>0</v>
      </c>
      <c r="Q396" s="19" t="n">
        <f aca="false" t="array" ref="Q396:Q396">IF(AND(INDEX(Profils!$K$5:$K$34,$AE396)&gt;0,INDEX(Profils!$Z$5:$Z$34,$AE396)&lt;=$AH396),ROUND(INDEX(Profils!$K$5:$K$34,$AE396)*Paramètres!$E$27*$AG396*$AJ396,Paramètres!$F$27),0)</f>
        <v>0</v>
      </c>
      <c r="R396" s="20" t="n">
        <f aca="false" t="array" ref="R396:R396">IF(AND(INDEX(Profils!$L$5:$L$34,$AE396)&gt;0,INDEX(Profils!$AA$5:$AA$34,$AE396)&lt;=$AH396),ROUND(INDEX(Profils!$L$5:$L$34,$AE396)*Paramètres!$E$28*$AG396*$AJ396,Paramètres!$F$28),0)</f>
        <v>0</v>
      </c>
      <c r="S396" s="20" t="n">
        <f aca="false" t="array" ref="S396:S396">IF(AND(INDEX(Profils!$M$5:$M$34,$AE396)&gt;0,INDEX(Profils!$AB$5:$AB$34,$AE396)&lt;=$AH396),ROUND(INDEX(Profils!$M$5:$M$34,$AE396)*Paramètres!$E$29*$AG396*$AJ396,Paramètres!$F$29),0)</f>
        <v>0</v>
      </c>
      <c r="T396" s="20" t="n">
        <f aca="false" t="array" ref="T396:T396">IF(AND(INDEX(Profils!$N$5:$N$34,$AE396)&gt;0,INDEX(Profils!$AC$5:$AC$34,$AE396)&lt;=$AH396),ROUND(INDEX(Profils!$N$5:$N$34,$AE396)*Paramètres!$E$30*$AG396*$AJ396,Paramètres!$F$30),0)</f>
        <v>0</v>
      </c>
      <c r="U396" s="19" t="n">
        <f aca="false" t="array" ref="U396:U396">IF(AND(INDEX(Profils!$O$5:$O$34,$AE396)&gt;0,INDEX(Profils!$AD$5:$AD$34,$AE396)&lt;=$AH396),ROUND(INDEX(Profils!$O$5:$O$34,$AE396)*Paramètres!$E$31*$AG396*$AJ396,Paramètres!$F$31),0)</f>
        <v>0</v>
      </c>
      <c r="V396" s="20" t="n">
        <f aca="false" t="array" ref="V396:V396">IF(AND(INDEX(Profils!$P$5:$P$34,$AE396)&gt;0,INDEX(Profils!$AE$5:$AE$34,$AE396)&lt;=$AH396),ROUND(INDEX(Profils!$P$5:$P$34,$AE396)*Paramètres!$E$32*$AG396*$AJ396,Paramètres!$F$32),0)</f>
        <v>0</v>
      </c>
      <c r="W396" s="20" t="n">
        <f aca="false" t="array" ref="W396:W396">IF(AND(INDEX(Profils!$Q$5:$Q$34,$AE396)&gt;0,INDEX(Profils!$AF$5:$AF$34,$AE396)&lt;=$AH396),ROUND(INDEX(Profils!$Q$5:$Q$34,$AE396)*Paramètres!$E$33*$AG396*$AJ396,Paramètres!$F$33),0)</f>
        <v>0</v>
      </c>
      <c r="X396" s="20" t="n">
        <f aca="false" t="array" ref="X396:X396">IF(AND(INDEX(Profils!$R$5:$R$34,$AE396)&gt;0,INDEX(Profils!$AG$5:$AG$34,$AE396)&lt;=$AH396),ROUND(INDEX(Profils!$R$5:$R$34,$AE396)*Paramètres!$E$34*$AG396*$AJ396,Paramètres!$F$34),0)</f>
        <v>0</v>
      </c>
      <c r="Y396" s="20" t="n">
        <f aca="false" t="array" ref="Y396:Y396">IF(AND(INDEX(Profils!$S$5:$S$34,$AE396)&gt;0,INDEX(Profils!$AH$5:$AH$34,$AE396)&lt;=$AH396),ROUND(INDEX(Profils!$S$5:$S$34,$AE396)*Paramètres!$E$35*$AG396*$AJ396,Paramètres!$F$35),0)</f>
        <v>0</v>
      </c>
      <c r="Z396" s="21" t="n">
        <f aca="false">ROUND(L396/Paramètres!$E$22+M396/Paramètres!$E$23+N396/Paramètres!$E$24+O396/Paramètres!$E$25+P396/Paramètres!$E$26+Q396/Paramètres!$E$27+R396/Paramètres!$E$28+S396/Paramètres!$E$29+T396/Paramètres!$E$30+U396/Paramètres!$E$31+V396/Paramètres!$E$32+W396/Paramètres!$E$33+X396/Paramètres!$E$34+Y396/Paramètres!$E$35,1)</f>
        <v>1.3</v>
      </c>
      <c r="AA396" s="22" t="s">
        <v>109</v>
      </c>
      <c r="AB396" s="22" t="s">
        <v>109</v>
      </c>
      <c r="AC396" s="15" t="str">
        <f aca="false">$E396</f>
        <v>velours enchanté</v>
      </c>
      <c r="AD396" s="16" t="n">
        <f aca="false" t="array" ref="AD396:AD396">IF($I396&gt;=$AI396,"Max",ROUND(Paramètres!$B$40*($I396+1)^Paramètres!$B$41*INDEX(Paramètres!$H$6:$H$12,$AF396),0))</f>
        <v>3</v>
      </c>
      <c r="AE396" s="23" t="n">
        <f aca="false">MATCH($B396&amp;"|"&amp;$C396,Profils!$A$5:$A$34,0)</f>
        <v>13</v>
      </c>
      <c r="AF396" s="23" t="n">
        <v>1</v>
      </c>
      <c r="AG396" s="24" t="n">
        <f aca="false" t="array" ref="AG396:AG396">INDEX(Paramètres!$C$6:$C$12,$AF396)</f>
        <v>1</v>
      </c>
      <c r="AH396" s="23" t="n">
        <f aca="false" t="array" ref="AH396:AH396">INDEX(Paramètres!$D$6:$D$12,$AF396)</f>
        <v>2</v>
      </c>
      <c r="AI396" s="23" t="n">
        <f aca="false" t="array" ref="AI396:AI396">INDEX(Matériaux!$C$16:$C$20,$D396)</f>
        <v>25</v>
      </c>
      <c r="AJ396" s="25" t="n">
        <f aca="false">Paramètres!$B$16+(1-Paramètres!$B$16)*(($J396-Paramètres!$B$14)/(Paramètres!$B$15-Paramètres!$B$14))^Paramètres!$B$17</f>
        <v>0.458504333336152</v>
      </c>
    </row>
    <row r="397" customFormat="false" ht="15.75" hidden="false" customHeight="true" outlineLevel="0" collapsed="false">
      <c r="A397" s="14" t="s">
        <v>513</v>
      </c>
      <c r="B397" s="15" t="s">
        <v>29</v>
      </c>
      <c r="C397" s="15" t="s">
        <v>177</v>
      </c>
      <c r="D397" s="16" t="n">
        <v>4</v>
      </c>
      <c r="E397" s="15" t="str">
        <f aca="false" t="array" ref="E397:E397">INDEX(Matériaux!$B$5:$F$12,MATCH(INDEX(Profils!$E$5:$E$34,$AE397),Matériaux!$A$5:$A$12,0),$D397)</f>
        <v>velours enchanté</v>
      </c>
      <c r="F397" s="26" t="s">
        <v>111</v>
      </c>
      <c r="G397" s="10" t="str">
        <f aca="false" t="array" ref="G397:G397">INDEX(Profils!$D$5:$D$34,$AE397)&amp;" en "&amp;$E397</f>
        <v>Pantalon en velours enchanté</v>
      </c>
      <c r="H397" s="16" t="n">
        <f aca="false" t="array" ref="H397:H397">INDEX(Matériaux!$B$16:$B$20,$D397)</f>
        <v>50</v>
      </c>
      <c r="I397" s="16" t="n">
        <f aca="false">IF(ISNUMBER($C$3),MIN(MAX(0,ROUND($C$3,0)),$AI397),$AI397)</f>
        <v>0</v>
      </c>
      <c r="J397" s="18" t="n">
        <f aca="false">$H397+$I397</f>
        <v>50</v>
      </c>
      <c r="K397" s="15" t="s">
        <v>109</v>
      </c>
      <c r="L397" s="19" t="n">
        <f aca="false" t="array" ref="L397:L397">IF(AND(INDEX(Profils!$F$5:$F$34,$AE397)&gt;0,INDEX(Profils!$U$5:$U$34,$AE397)&lt;=$AH397),ROUND(INDEX(Profils!$F$5:$F$34,$AE397)*Paramètres!$E$22*$AG397*$AJ397,Paramètres!$F$22),0)</f>
        <v>23</v>
      </c>
      <c r="M397" s="19" t="n">
        <f aca="false" t="array" ref="M397:M397">IF(AND(INDEX(Profils!$G$5:$G$34,$AE397)&gt;0,INDEX(Profils!$V$5:$V$34,$AE397)&lt;=$AH397),ROUND(INDEX(Profils!$G$5:$G$34,$AE397)*Paramètres!$E$23*$AG397*$AJ397,Paramètres!$F$23),0)</f>
        <v>0</v>
      </c>
      <c r="N397" s="19" t="n">
        <f aca="false" t="array" ref="N397:N397">IF(AND(INDEX(Profils!$H$5:$H$34,$AE397)&gt;0,INDEX(Profils!$W$5:$W$34,$AE397)&lt;=$AH397),ROUND(INDEX(Profils!$H$5:$H$34,$AE397)*Paramètres!$E$24*$AG397*$AJ397,Paramètres!$F$24),0)</f>
        <v>0</v>
      </c>
      <c r="O397" s="19" t="n">
        <f aca="false" t="array" ref="O397:O397">IF(AND(INDEX(Profils!$I$5:$I$34,$AE397)&gt;0,INDEX(Profils!$X$5:$X$34,$AE397)&lt;=$AH397),ROUND(INDEX(Profils!$I$5:$I$34,$AE397)*Paramètres!$E$25*$AG397*$AJ397,Paramètres!$F$25),0)</f>
        <v>9</v>
      </c>
      <c r="P397" s="19" t="n">
        <f aca="false" t="array" ref="P397:P397">IF(AND(INDEX(Profils!$J$5:$J$34,$AE397)&gt;0,INDEX(Profils!$Y$5:$Y$34,$AE397)&lt;=$AH397),ROUND(INDEX(Profils!$J$5:$J$34,$AE397)*Paramètres!$E$26*$AG397*$AJ397,Paramètres!$F$26),0)</f>
        <v>0</v>
      </c>
      <c r="Q397" s="19" t="n">
        <f aca="false" t="array" ref="Q397:Q397">IF(AND(INDEX(Profils!$K$5:$K$34,$AE397)&gt;0,INDEX(Profils!$Z$5:$Z$34,$AE397)&lt;=$AH397),ROUND(INDEX(Profils!$K$5:$K$34,$AE397)*Paramètres!$E$27*$AG397*$AJ397,Paramètres!$F$27),0)</f>
        <v>0</v>
      </c>
      <c r="R397" s="20" t="n">
        <f aca="false" t="array" ref="R397:R397">IF(AND(INDEX(Profils!$L$5:$L$34,$AE397)&gt;0,INDEX(Profils!$AA$5:$AA$34,$AE397)&lt;=$AH397),ROUND(INDEX(Profils!$L$5:$L$34,$AE397)*Paramètres!$E$28*$AG397*$AJ397,Paramètres!$F$28),0)</f>
        <v>0</v>
      </c>
      <c r="S397" s="20" t="n">
        <f aca="false" t="array" ref="S397:S397">IF(AND(INDEX(Profils!$M$5:$M$34,$AE397)&gt;0,INDEX(Profils!$AB$5:$AB$34,$AE397)&lt;=$AH397),ROUND(INDEX(Profils!$M$5:$M$34,$AE397)*Paramètres!$E$29*$AG397*$AJ397,Paramètres!$F$29),0)</f>
        <v>0</v>
      </c>
      <c r="T397" s="20" t="n">
        <f aca="false" t="array" ref="T397:T397">IF(AND(INDEX(Profils!$N$5:$N$34,$AE397)&gt;0,INDEX(Profils!$AC$5:$AC$34,$AE397)&lt;=$AH397),ROUND(INDEX(Profils!$N$5:$N$34,$AE397)*Paramètres!$E$30*$AG397*$AJ397,Paramètres!$F$30),0)</f>
        <v>0</v>
      </c>
      <c r="U397" s="19" t="n">
        <f aca="false" t="array" ref="U397:U397">IF(AND(INDEX(Profils!$O$5:$O$34,$AE397)&gt;0,INDEX(Profils!$AD$5:$AD$34,$AE397)&lt;=$AH397),ROUND(INDEX(Profils!$O$5:$O$34,$AE397)*Paramètres!$E$31*$AG397*$AJ397,Paramètres!$F$31),0)</f>
        <v>0</v>
      </c>
      <c r="V397" s="20" t="n">
        <f aca="false" t="array" ref="V397:V397">IF(AND(INDEX(Profils!$P$5:$P$34,$AE397)&gt;0,INDEX(Profils!$AE$5:$AE$34,$AE397)&lt;=$AH397),ROUND(INDEX(Profils!$P$5:$P$34,$AE397)*Paramètres!$E$32*$AG397*$AJ397,Paramètres!$F$32),0)</f>
        <v>0</v>
      </c>
      <c r="W397" s="20" t="n">
        <f aca="false" t="array" ref="W397:W397">IF(AND(INDEX(Profils!$Q$5:$Q$34,$AE397)&gt;0,INDEX(Profils!$AF$5:$AF$34,$AE397)&lt;=$AH397),ROUND(INDEX(Profils!$Q$5:$Q$34,$AE397)*Paramètres!$E$33*$AG397*$AJ397,Paramètres!$F$33),0)</f>
        <v>0.007</v>
      </c>
      <c r="X397" s="20" t="n">
        <f aca="false" t="array" ref="X397:X397">IF(AND(INDEX(Profils!$R$5:$R$34,$AE397)&gt;0,INDEX(Profils!$AG$5:$AG$34,$AE397)&lt;=$AH397),ROUND(INDEX(Profils!$R$5:$R$34,$AE397)*Paramètres!$E$34*$AG397*$AJ397,Paramètres!$F$34),0)</f>
        <v>0</v>
      </c>
      <c r="Y397" s="20" t="n">
        <f aca="false" t="array" ref="Y397:Y397">IF(AND(INDEX(Profils!$S$5:$S$34,$AE397)&gt;0,INDEX(Profils!$AH$5:$AH$34,$AE397)&lt;=$AH397),ROUND(INDEX(Profils!$S$5:$S$34,$AE397)*Paramètres!$E$35*$AG397*$AJ397,Paramètres!$F$35),0)</f>
        <v>0</v>
      </c>
      <c r="Z397" s="21" t="n">
        <f aca="false">ROUND(L397/Paramètres!$E$22+M397/Paramètres!$E$23+N397/Paramètres!$E$24+O397/Paramètres!$E$25+P397/Paramètres!$E$26+Q397/Paramètres!$E$27+R397/Paramètres!$E$28+S397/Paramètres!$E$29+T397/Paramètres!$E$30+U397/Paramètres!$E$31+V397/Paramètres!$E$32+W397/Paramètres!$E$33+X397/Paramètres!$E$34+Y397/Paramètres!$E$35,1)</f>
        <v>2</v>
      </c>
      <c r="AA397" s="22" t="s">
        <v>109</v>
      </c>
      <c r="AB397" s="22" t="s">
        <v>109</v>
      </c>
      <c r="AC397" s="15" t="str">
        <f aca="false">$E397</f>
        <v>velours enchanté</v>
      </c>
      <c r="AD397" s="16" t="n">
        <f aca="false" t="array" ref="AD397:AD397">IF($I397&gt;=$AI397,"Max",ROUND(Paramètres!$B$40*($I397+1)^Paramètres!$B$41*INDEX(Paramètres!$H$6:$H$12,$AF397),0))</f>
        <v>4</v>
      </c>
      <c r="AE397" s="23" t="n">
        <f aca="false">MATCH($B397&amp;"|"&amp;$C397,Profils!$A$5:$A$34,0)</f>
        <v>13</v>
      </c>
      <c r="AF397" s="23" t="n">
        <v>2</v>
      </c>
      <c r="AG397" s="24" t="n">
        <f aca="false" t="array" ref="AG397:AG397">INDEX(Paramètres!$C$6:$C$12,$AF397)</f>
        <v>1.2</v>
      </c>
      <c r="AH397" s="23" t="n">
        <f aca="false" t="array" ref="AH397:AH397">INDEX(Paramètres!$D$6:$D$12,$AF397)</f>
        <v>3</v>
      </c>
      <c r="AI397" s="23" t="n">
        <f aca="false" t="array" ref="AI397:AI397">INDEX(Matériaux!$C$16:$C$20,$D397)</f>
        <v>25</v>
      </c>
      <c r="AJ397" s="25" t="n">
        <f aca="false">Paramètres!$B$16+(1-Paramètres!$B$16)*(($J397-Paramètres!$B$14)/(Paramètres!$B$15-Paramètres!$B$14))^Paramètres!$B$17</f>
        <v>0.458504333336152</v>
      </c>
    </row>
    <row r="398" customFormat="false" ht="15.75" hidden="false" customHeight="true" outlineLevel="0" collapsed="false">
      <c r="A398" s="14" t="s">
        <v>514</v>
      </c>
      <c r="B398" s="15" t="s">
        <v>29</v>
      </c>
      <c r="C398" s="15" t="s">
        <v>177</v>
      </c>
      <c r="D398" s="16" t="n">
        <v>4</v>
      </c>
      <c r="E398" s="15" t="str">
        <f aca="false" t="array" ref="E398:E398">INDEX(Matériaux!$B$5:$F$12,MATCH(INDEX(Profils!$E$5:$E$34,$AE398),Matériaux!$A$5:$A$12,0),$D398)</f>
        <v>velours enchanté</v>
      </c>
      <c r="F398" s="27" t="s">
        <v>113</v>
      </c>
      <c r="G398" s="10" t="str">
        <f aca="false" t="array" ref="G398:G398">INDEX(Profils!$D$5:$D$34,$AE398)&amp;" en "&amp;$E398</f>
        <v>Pantalon en velours enchanté</v>
      </c>
      <c r="H398" s="16" t="n">
        <f aca="false" t="array" ref="H398:H398">INDEX(Matériaux!$B$16:$B$20,$D398)</f>
        <v>50</v>
      </c>
      <c r="I398" s="16" t="n">
        <f aca="false">IF(ISNUMBER($C$3),MIN(MAX(0,ROUND($C$3,0)),$AI398),$AI398)</f>
        <v>0</v>
      </c>
      <c r="J398" s="18" t="n">
        <f aca="false">$H398+$I398</f>
        <v>50</v>
      </c>
      <c r="K398" s="15" t="s">
        <v>109</v>
      </c>
      <c r="L398" s="19" t="n">
        <f aca="false" t="array" ref="L398:L398">IF(AND(INDEX(Profils!$F$5:$F$34,$AE398)&gt;0,INDEX(Profils!$U$5:$U$34,$AE398)&lt;=$AH398),ROUND(INDEX(Profils!$F$5:$F$34,$AE398)*Paramètres!$E$22*$AG398*$AJ398,Paramètres!$F$22),0)</f>
        <v>28</v>
      </c>
      <c r="M398" s="19" t="n">
        <f aca="false" t="array" ref="M398:M398">IF(AND(INDEX(Profils!$G$5:$G$34,$AE398)&gt;0,INDEX(Profils!$V$5:$V$34,$AE398)&lt;=$AH398),ROUND(INDEX(Profils!$G$5:$G$34,$AE398)*Paramètres!$E$23*$AG398*$AJ398,Paramètres!$F$23),0)</f>
        <v>0</v>
      </c>
      <c r="N398" s="19" t="n">
        <f aca="false" t="array" ref="N398:N398">IF(AND(INDEX(Profils!$H$5:$H$34,$AE398)&gt;0,INDEX(Profils!$W$5:$W$34,$AE398)&lt;=$AH398),ROUND(INDEX(Profils!$H$5:$H$34,$AE398)*Paramètres!$E$24*$AG398*$AJ398,Paramètres!$F$24),0)</f>
        <v>0</v>
      </c>
      <c r="O398" s="19" t="n">
        <f aca="false" t="array" ref="O398:O398">IF(AND(INDEX(Profils!$I$5:$I$34,$AE398)&gt;0,INDEX(Profils!$X$5:$X$34,$AE398)&lt;=$AH398),ROUND(INDEX(Profils!$I$5:$I$34,$AE398)*Paramètres!$E$25*$AG398*$AJ398,Paramètres!$F$25),0)</f>
        <v>11</v>
      </c>
      <c r="P398" s="19" t="n">
        <f aca="false" t="array" ref="P398:P398">IF(AND(INDEX(Profils!$J$5:$J$34,$AE398)&gt;0,INDEX(Profils!$Y$5:$Y$34,$AE398)&lt;=$AH398),ROUND(INDEX(Profils!$J$5:$J$34,$AE398)*Paramètres!$E$26*$AG398*$AJ398,Paramètres!$F$26),0)</f>
        <v>6</v>
      </c>
      <c r="Q398" s="19" t="n">
        <f aca="false" t="array" ref="Q398:Q398">IF(AND(INDEX(Profils!$K$5:$K$34,$AE398)&gt;0,INDEX(Profils!$Z$5:$Z$34,$AE398)&lt;=$AH398),ROUND(INDEX(Profils!$K$5:$K$34,$AE398)*Paramètres!$E$27*$AG398*$AJ398,Paramètres!$F$27),0)</f>
        <v>0</v>
      </c>
      <c r="R398" s="20" t="n">
        <f aca="false" t="array" ref="R398:R398">IF(AND(INDEX(Profils!$L$5:$L$34,$AE398)&gt;0,INDEX(Profils!$AA$5:$AA$34,$AE398)&lt;=$AH398),ROUND(INDEX(Profils!$L$5:$L$34,$AE398)*Paramètres!$E$28*$AG398*$AJ398,Paramètres!$F$28),0)</f>
        <v>0</v>
      </c>
      <c r="S398" s="20" t="n">
        <f aca="false" t="array" ref="S398:S398">IF(AND(INDEX(Profils!$M$5:$M$34,$AE398)&gt;0,INDEX(Profils!$AB$5:$AB$34,$AE398)&lt;=$AH398),ROUND(INDEX(Profils!$M$5:$M$34,$AE398)*Paramètres!$E$29*$AG398*$AJ398,Paramètres!$F$29),0)</f>
        <v>0</v>
      </c>
      <c r="T398" s="20" t="n">
        <f aca="false" t="array" ref="T398:T398">IF(AND(INDEX(Profils!$N$5:$N$34,$AE398)&gt;0,INDEX(Profils!$AC$5:$AC$34,$AE398)&lt;=$AH398),ROUND(INDEX(Profils!$N$5:$N$34,$AE398)*Paramètres!$E$30*$AG398*$AJ398,Paramètres!$F$30),0)</f>
        <v>0</v>
      </c>
      <c r="U398" s="19" t="n">
        <f aca="false" t="array" ref="U398:U398">IF(AND(INDEX(Profils!$O$5:$O$34,$AE398)&gt;0,INDEX(Profils!$AD$5:$AD$34,$AE398)&lt;=$AH398),ROUND(INDEX(Profils!$O$5:$O$34,$AE398)*Paramètres!$E$31*$AG398*$AJ398,Paramètres!$F$31),0)</f>
        <v>0</v>
      </c>
      <c r="V398" s="20" t="n">
        <f aca="false" t="array" ref="V398:V398">IF(AND(INDEX(Profils!$P$5:$P$34,$AE398)&gt;0,INDEX(Profils!$AE$5:$AE$34,$AE398)&lt;=$AH398),ROUND(INDEX(Profils!$P$5:$P$34,$AE398)*Paramètres!$E$32*$AG398*$AJ398,Paramètres!$F$32),0)</f>
        <v>0</v>
      </c>
      <c r="W398" s="20" t="n">
        <f aca="false" t="array" ref="W398:W398">IF(AND(INDEX(Profils!$Q$5:$Q$34,$AE398)&gt;0,INDEX(Profils!$AF$5:$AF$34,$AE398)&lt;=$AH398),ROUND(INDEX(Profils!$Q$5:$Q$34,$AE398)*Paramètres!$E$33*$AG398*$AJ398,Paramètres!$F$33),0)</f>
        <v>0.009</v>
      </c>
      <c r="X398" s="20" t="n">
        <f aca="false" t="array" ref="X398:X398">IF(AND(INDEX(Profils!$R$5:$R$34,$AE398)&gt;0,INDEX(Profils!$AG$5:$AG$34,$AE398)&lt;=$AH398),ROUND(INDEX(Profils!$R$5:$R$34,$AE398)*Paramètres!$E$34*$AG398*$AJ398,Paramètres!$F$34),0)</f>
        <v>0</v>
      </c>
      <c r="Y398" s="20" t="n">
        <f aca="false" t="array" ref="Y398:Y398">IF(AND(INDEX(Profils!$S$5:$S$34,$AE398)&gt;0,INDEX(Profils!$AH$5:$AH$34,$AE398)&lt;=$AH398),ROUND(INDEX(Profils!$S$5:$S$34,$AE398)*Paramètres!$E$35*$AG398*$AJ398,Paramètres!$F$35),0)</f>
        <v>0</v>
      </c>
      <c r="Z398" s="21" t="n">
        <f aca="false">ROUND(L398/Paramètres!$E$22+M398/Paramètres!$E$23+N398/Paramètres!$E$24+O398/Paramètres!$E$25+P398/Paramètres!$E$26+Q398/Paramètres!$E$27+R398/Paramètres!$E$28+S398/Paramètres!$E$29+T398/Paramètres!$E$30+U398/Paramètres!$E$31+V398/Paramètres!$E$32+W398/Paramètres!$E$33+X398/Paramètres!$E$34+Y398/Paramètres!$E$35,1)</f>
        <v>3</v>
      </c>
      <c r="AA398" s="22" t="s">
        <v>109</v>
      </c>
      <c r="AB398" s="22" t="s">
        <v>109</v>
      </c>
      <c r="AC398" s="15" t="str">
        <f aca="false">$E398</f>
        <v>velours enchanté</v>
      </c>
      <c r="AD398" s="16" t="n">
        <f aca="false" t="array" ref="AD398:AD398">IF($I398&gt;=$AI398,"Max",ROUND(Paramètres!$B$40*($I398+1)^Paramètres!$B$41*INDEX(Paramètres!$H$6:$H$12,$AF398),0))</f>
        <v>4</v>
      </c>
      <c r="AE398" s="23" t="n">
        <f aca="false">MATCH($B398&amp;"|"&amp;$C398,Profils!$A$5:$A$34,0)</f>
        <v>13</v>
      </c>
      <c r="AF398" s="23" t="n">
        <v>3</v>
      </c>
      <c r="AG398" s="24" t="n">
        <f aca="false" t="array" ref="AG398:AG398">INDEX(Paramètres!$C$6:$C$12,$AF398)</f>
        <v>1.45</v>
      </c>
      <c r="AH398" s="23" t="n">
        <f aca="false" t="array" ref="AH398:AH398">INDEX(Paramètres!$D$6:$D$12,$AF398)</f>
        <v>4</v>
      </c>
      <c r="AI398" s="23" t="n">
        <f aca="false" t="array" ref="AI398:AI398">INDEX(Matériaux!$C$16:$C$20,$D398)</f>
        <v>25</v>
      </c>
      <c r="AJ398" s="25" t="n">
        <f aca="false">Paramètres!$B$16+(1-Paramètres!$B$16)*(($J398-Paramètres!$B$14)/(Paramètres!$B$15-Paramètres!$B$14))^Paramètres!$B$17</f>
        <v>0.458504333336152</v>
      </c>
    </row>
    <row r="399" customFormat="false" ht="15.75" hidden="false" customHeight="true" outlineLevel="0" collapsed="false">
      <c r="A399" s="14" t="s">
        <v>515</v>
      </c>
      <c r="B399" s="15" t="s">
        <v>29</v>
      </c>
      <c r="C399" s="15" t="s">
        <v>177</v>
      </c>
      <c r="D399" s="16" t="n">
        <v>4</v>
      </c>
      <c r="E399" s="15" t="str">
        <f aca="false" t="array" ref="E399:E399">INDEX(Matériaux!$B$5:$F$12,MATCH(INDEX(Profils!$E$5:$E$34,$AE399),Matériaux!$A$5:$A$12,0),$D399)</f>
        <v>velours enchanté</v>
      </c>
      <c r="F399" s="28" t="s">
        <v>115</v>
      </c>
      <c r="G399" s="10" t="str">
        <f aca="false" t="array" ref="G399:G399">INDEX(Profils!$D$5:$D$34,$AE399)&amp;" en "&amp;$E399</f>
        <v>Pantalon en velours enchanté</v>
      </c>
      <c r="H399" s="16" t="n">
        <f aca="false" t="array" ref="H399:H399">INDEX(Matériaux!$B$16:$B$20,$D399)</f>
        <v>50</v>
      </c>
      <c r="I399" s="16" t="n">
        <f aca="false">IF(ISNUMBER($C$3),MIN(MAX(0,ROUND($C$3,0)),$AI399),$AI399)</f>
        <v>0</v>
      </c>
      <c r="J399" s="18" t="n">
        <f aca="false">$H399+$I399</f>
        <v>50</v>
      </c>
      <c r="K399" s="15" t="s">
        <v>109</v>
      </c>
      <c r="L399" s="19" t="n">
        <f aca="false" t="array" ref="L399:L399">IF(AND(INDEX(Profils!$F$5:$F$34,$AE399)&gt;0,INDEX(Profils!$U$5:$U$34,$AE399)&lt;=$AH399),ROUND(INDEX(Profils!$F$5:$F$34,$AE399)*Paramètres!$E$22*$AG399*$AJ399,Paramètres!$F$22),0)</f>
        <v>34</v>
      </c>
      <c r="M399" s="19" t="n">
        <f aca="false" t="array" ref="M399:M399">IF(AND(INDEX(Profils!$G$5:$G$34,$AE399)&gt;0,INDEX(Profils!$V$5:$V$34,$AE399)&lt;=$AH399),ROUND(INDEX(Profils!$G$5:$G$34,$AE399)*Paramètres!$E$23*$AG399*$AJ399,Paramètres!$F$23),0)</f>
        <v>0</v>
      </c>
      <c r="N399" s="19" t="n">
        <f aca="false" t="array" ref="N399:N399">IF(AND(INDEX(Profils!$H$5:$H$34,$AE399)&gt;0,INDEX(Profils!$W$5:$W$34,$AE399)&lt;=$AH399),ROUND(INDEX(Profils!$H$5:$H$34,$AE399)*Paramètres!$E$24*$AG399*$AJ399,Paramètres!$F$24),0)</f>
        <v>0</v>
      </c>
      <c r="O399" s="19" t="n">
        <f aca="false" t="array" ref="O399:O399">IF(AND(INDEX(Profils!$I$5:$I$34,$AE399)&gt;0,INDEX(Profils!$X$5:$X$34,$AE399)&lt;=$AH399),ROUND(INDEX(Profils!$I$5:$I$34,$AE399)*Paramètres!$E$25*$AG399*$AJ399,Paramètres!$F$25),0)</f>
        <v>13</v>
      </c>
      <c r="P399" s="19" t="n">
        <f aca="false" t="array" ref="P399:P399">IF(AND(INDEX(Profils!$J$5:$J$34,$AE399)&gt;0,INDEX(Profils!$Y$5:$Y$34,$AE399)&lt;=$AH399),ROUND(INDEX(Profils!$J$5:$J$34,$AE399)*Paramètres!$E$26*$AG399*$AJ399,Paramètres!$F$26),0)</f>
        <v>8</v>
      </c>
      <c r="Q399" s="19" t="n">
        <f aca="false" t="array" ref="Q399:Q399">IF(AND(INDEX(Profils!$K$5:$K$34,$AE399)&gt;0,INDEX(Profils!$Z$5:$Z$34,$AE399)&lt;=$AH399),ROUND(INDEX(Profils!$K$5:$K$34,$AE399)*Paramètres!$E$27*$AG399*$AJ399,Paramètres!$F$27),0)</f>
        <v>0</v>
      </c>
      <c r="R399" s="20" t="n">
        <f aca="false" t="array" ref="R399:R399">IF(AND(INDEX(Profils!$L$5:$L$34,$AE399)&gt;0,INDEX(Profils!$AA$5:$AA$34,$AE399)&lt;=$AH399),ROUND(INDEX(Profils!$L$5:$L$34,$AE399)*Paramètres!$E$28*$AG399*$AJ399,Paramètres!$F$28),0)</f>
        <v>0</v>
      </c>
      <c r="S399" s="20" t="n">
        <f aca="false" t="array" ref="S399:S399">IF(AND(INDEX(Profils!$M$5:$M$34,$AE399)&gt;0,INDEX(Profils!$AB$5:$AB$34,$AE399)&lt;=$AH399),ROUND(INDEX(Profils!$M$5:$M$34,$AE399)*Paramètres!$E$29*$AG399*$AJ399,Paramètres!$F$29),0)</f>
        <v>0</v>
      </c>
      <c r="T399" s="20" t="n">
        <f aca="false" t="array" ref="T399:T399">IF(AND(INDEX(Profils!$N$5:$N$34,$AE399)&gt;0,INDEX(Profils!$AC$5:$AC$34,$AE399)&lt;=$AH399),ROUND(INDEX(Profils!$N$5:$N$34,$AE399)*Paramètres!$E$30*$AG399*$AJ399,Paramètres!$F$30),0)</f>
        <v>0</v>
      </c>
      <c r="U399" s="19" t="n">
        <f aca="false" t="array" ref="U399:U399">IF(AND(INDEX(Profils!$O$5:$O$34,$AE399)&gt;0,INDEX(Profils!$AD$5:$AD$34,$AE399)&lt;=$AH399),ROUND(INDEX(Profils!$O$5:$O$34,$AE399)*Paramètres!$E$31*$AG399*$AJ399,Paramètres!$F$31),0)</f>
        <v>11</v>
      </c>
      <c r="V399" s="20" t="n">
        <f aca="false" t="array" ref="V399:V399">IF(AND(INDEX(Profils!$P$5:$P$34,$AE399)&gt;0,INDEX(Profils!$AE$5:$AE$34,$AE399)&lt;=$AH399),ROUND(INDEX(Profils!$P$5:$P$34,$AE399)*Paramètres!$E$32*$AG399*$AJ399,Paramètres!$F$32),0)</f>
        <v>0</v>
      </c>
      <c r="W399" s="20" t="n">
        <f aca="false" t="array" ref="W399:W399">IF(AND(INDEX(Profils!$Q$5:$Q$34,$AE399)&gt;0,INDEX(Profils!$AF$5:$AF$34,$AE399)&lt;=$AH399),ROUND(INDEX(Profils!$Q$5:$Q$34,$AE399)*Paramètres!$E$33*$AG399*$AJ399,Paramètres!$F$33),0)</f>
        <v>0.011</v>
      </c>
      <c r="X399" s="20" t="n">
        <f aca="false" t="array" ref="X399:X399">IF(AND(INDEX(Profils!$R$5:$R$34,$AE399)&gt;0,INDEX(Profils!$AG$5:$AG$34,$AE399)&lt;=$AH399),ROUND(INDEX(Profils!$R$5:$R$34,$AE399)*Paramètres!$E$34*$AG399*$AJ399,Paramètres!$F$34),0)</f>
        <v>0</v>
      </c>
      <c r="Y399" s="20" t="n">
        <f aca="false" t="array" ref="Y399:Y399">IF(AND(INDEX(Profils!$S$5:$S$34,$AE399)&gt;0,INDEX(Profils!$AH$5:$AH$34,$AE399)&lt;=$AH399),ROUND(INDEX(Profils!$S$5:$S$34,$AE399)*Paramètres!$E$35*$AG399*$AJ399,Paramètres!$F$35),0)</f>
        <v>0</v>
      </c>
      <c r="Z399" s="21" t="n">
        <f aca="false">ROUND(L399/Paramètres!$E$22+M399/Paramètres!$E$23+N399/Paramètres!$E$24+O399/Paramètres!$E$25+P399/Paramètres!$E$26+Q399/Paramètres!$E$27+R399/Paramètres!$E$28+S399/Paramètres!$E$29+T399/Paramètres!$E$30+U399/Paramètres!$E$31+V399/Paramètres!$E$32+W399/Paramètres!$E$33+X399/Paramètres!$E$34+Y399/Paramètres!$E$35,1)</f>
        <v>4.2</v>
      </c>
      <c r="AA399" s="22" t="s">
        <v>109</v>
      </c>
      <c r="AB399" s="22" t="s">
        <v>109</v>
      </c>
      <c r="AC399" s="15" t="str">
        <f aca="false">$E399</f>
        <v>velours enchanté</v>
      </c>
      <c r="AD399" s="16" t="n">
        <f aca="false" t="array" ref="AD399:AD399">IF($I399&gt;=$AI399,"Max",ROUND(Paramètres!$B$40*($I399+1)^Paramètres!$B$41*INDEX(Paramètres!$H$6:$H$12,$AF399),0))</f>
        <v>5</v>
      </c>
      <c r="AE399" s="23" t="n">
        <f aca="false">MATCH($B399&amp;"|"&amp;$C399,Profils!$A$5:$A$34,0)</f>
        <v>13</v>
      </c>
      <c r="AF399" s="23" t="n">
        <v>4</v>
      </c>
      <c r="AG399" s="24" t="n">
        <f aca="false" t="array" ref="AG399:AG399">INDEX(Paramètres!$C$6:$C$12,$AF399)</f>
        <v>1.75</v>
      </c>
      <c r="AH399" s="23" t="n">
        <f aca="false" t="array" ref="AH399:AH399">INDEX(Paramètres!$D$6:$D$12,$AF399)</f>
        <v>5</v>
      </c>
      <c r="AI399" s="23" t="n">
        <f aca="false" t="array" ref="AI399:AI399">INDEX(Matériaux!$C$16:$C$20,$D399)</f>
        <v>25</v>
      </c>
      <c r="AJ399" s="25" t="n">
        <f aca="false">Paramètres!$B$16+(1-Paramètres!$B$16)*(($J399-Paramètres!$B$14)/(Paramètres!$B$15-Paramètres!$B$14))^Paramètres!$B$17</f>
        <v>0.458504333336152</v>
      </c>
    </row>
    <row r="400" customFormat="false" ht="15.75" hidden="false" customHeight="true" outlineLevel="0" collapsed="false">
      <c r="A400" s="14" t="s">
        <v>516</v>
      </c>
      <c r="B400" s="15" t="s">
        <v>29</v>
      </c>
      <c r="C400" s="15" t="s">
        <v>177</v>
      </c>
      <c r="D400" s="16" t="n">
        <v>4</v>
      </c>
      <c r="E400" s="15" t="str">
        <f aca="false" t="array" ref="E400:E400">INDEX(Matériaux!$B$5:$F$12,MATCH(INDEX(Profils!$E$5:$E$34,$AE400),Matériaux!$A$5:$A$12,0),$D400)</f>
        <v>velours enchanté</v>
      </c>
      <c r="F400" s="29" t="s">
        <v>117</v>
      </c>
      <c r="G400" s="10" t="str">
        <f aca="false" t="array" ref="G400:G400">INDEX(Profils!$D$5:$D$34,$AE400)&amp;" en "&amp;$E400</f>
        <v>Pantalon en velours enchanté</v>
      </c>
      <c r="H400" s="16" t="n">
        <f aca="false" t="array" ref="H400:H400">INDEX(Matériaux!$B$16:$B$20,$D400)</f>
        <v>50</v>
      </c>
      <c r="I400" s="16" t="n">
        <f aca="false">IF(ISNUMBER($C$3),MIN(MAX(0,ROUND($C$3,0)),$AI400),$AI400)</f>
        <v>0</v>
      </c>
      <c r="J400" s="18" t="n">
        <f aca="false">$H400+$I400</f>
        <v>50</v>
      </c>
      <c r="K400" s="15" t="s">
        <v>109</v>
      </c>
      <c r="L400" s="19" t="n">
        <f aca="false" t="array" ref="L400:L400">IF(AND(INDEX(Profils!$F$5:$F$34,$AE400)&gt;0,INDEX(Profils!$U$5:$U$34,$AE400)&lt;=$AH400),ROUND(INDEX(Profils!$F$5:$F$34,$AE400)*Paramètres!$E$22*$AG400*$AJ400,Paramètres!$F$22),0)</f>
        <v>41</v>
      </c>
      <c r="M400" s="19" t="n">
        <f aca="false" t="array" ref="M400:M400">IF(AND(INDEX(Profils!$G$5:$G$34,$AE400)&gt;0,INDEX(Profils!$V$5:$V$34,$AE400)&lt;=$AH400),ROUND(INDEX(Profils!$G$5:$G$34,$AE400)*Paramètres!$E$23*$AG400*$AJ400,Paramètres!$F$23),0)</f>
        <v>0</v>
      </c>
      <c r="N400" s="19" t="n">
        <f aca="false" t="array" ref="N400:N400">IF(AND(INDEX(Profils!$H$5:$H$34,$AE400)&gt;0,INDEX(Profils!$W$5:$W$34,$AE400)&lt;=$AH400),ROUND(INDEX(Profils!$H$5:$H$34,$AE400)*Paramètres!$E$24*$AG400*$AJ400,Paramètres!$F$24),0)</f>
        <v>7</v>
      </c>
      <c r="O400" s="19" t="n">
        <f aca="false" t="array" ref="O400:O400">IF(AND(INDEX(Profils!$I$5:$I$34,$AE400)&gt;0,INDEX(Profils!$X$5:$X$34,$AE400)&lt;=$AH400),ROUND(INDEX(Profils!$I$5:$I$34,$AE400)*Paramètres!$E$25*$AG400*$AJ400,Paramètres!$F$25),0)</f>
        <v>16</v>
      </c>
      <c r="P400" s="19" t="n">
        <f aca="false" t="array" ref="P400:P400">IF(AND(INDEX(Profils!$J$5:$J$34,$AE400)&gt;0,INDEX(Profils!$Y$5:$Y$34,$AE400)&lt;=$AH400),ROUND(INDEX(Profils!$J$5:$J$34,$AE400)*Paramètres!$E$26*$AG400*$AJ400,Paramètres!$F$26),0)</f>
        <v>9</v>
      </c>
      <c r="Q400" s="19" t="n">
        <f aca="false" t="array" ref="Q400:Q400">IF(AND(INDEX(Profils!$K$5:$K$34,$AE400)&gt;0,INDEX(Profils!$Z$5:$Z$34,$AE400)&lt;=$AH400),ROUND(INDEX(Profils!$K$5:$K$34,$AE400)*Paramètres!$E$27*$AG400*$AJ400,Paramètres!$F$27),0)</f>
        <v>0</v>
      </c>
      <c r="R400" s="20" t="n">
        <f aca="false" t="array" ref="R400:R400">IF(AND(INDEX(Profils!$L$5:$L$34,$AE400)&gt;0,INDEX(Profils!$AA$5:$AA$34,$AE400)&lt;=$AH400),ROUND(INDEX(Profils!$L$5:$L$34,$AE400)*Paramètres!$E$28*$AG400*$AJ400,Paramètres!$F$28),0)</f>
        <v>0</v>
      </c>
      <c r="S400" s="20" t="n">
        <f aca="false" t="array" ref="S400:S400">IF(AND(INDEX(Profils!$M$5:$M$34,$AE400)&gt;0,INDEX(Profils!$AB$5:$AB$34,$AE400)&lt;=$AH400),ROUND(INDEX(Profils!$M$5:$M$34,$AE400)*Paramètres!$E$29*$AG400*$AJ400,Paramètres!$F$29),0)</f>
        <v>0</v>
      </c>
      <c r="T400" s="20" t="n">
        <f aca="false" t="array" ref="T400:T400">IF(AND(INDEX(Profils!$N$5:$N$34,$AE400)&gt;0,INDEX(Profils!$AC$5:$AC$34,$AE400)&lt;=$AH400),ROUND(INDEX(Profils!$N$5:$N$34,$AE400)*Paramètres!$E$30*$AG400*$AJ400,Paramètres!$F$30),0)</f>
        <v>0</v>
      </c>
      <c r="U400" s="19" t="n">
        <f aca="false" t="array" ref="U400:U400">IF(AND(INDEX(Profils!$O$5:$O$34,$AE400)&gt;0,INDEX(Profils!$AD$5:$AD$34,$AE400)&lt;=$AH400),ROUND(INDEX(Profils!$O$5:$O$34,$AE400)*Paramètres!$E$31*$AG400*$AJ400,Paramètres!$F$31),0)</f>
        <v>13</v>
      </c>
      <c r="V400" s="20" t="n">
        <f aca="false" t="array" ref="V400:V400">IF(AND(INDEX(Profils!$P$5:$P$34,$AE400)&gt;0,INDEX(Profils!$AE$5:$AE$34,$AE400)&lt;=$AH400),ROUND(INDEX(Profils!$P$5:$P$34,$AE400)*Paramètres!$E$32*$AG400*$AJ400,Paramètres!$F$32),0)</f>
        <v>0</v>
      </c>
      <c r="W400" s="20" t="n">
        <f aca="false" t="array" ref="W400:W400">IF(AND(INDEX(Profils!$Q$5:$Q$34,$AE400)&gt;0,INDEX(Profils!$AF$5:$AF$34,$AE400)&lt;=$AH400),ROUND(INDEX(Profils!$Q$5:$Q$34,$AE400)*Paramètres!$E$33*$AG400*$AJ400,Paramètres!$F$33),0)</f>
        <v>0.013</v>
      </c>
      <c r="X400" s="20" t="n">
        <f aca="false" t="array" ref="X400:X400">IF(AND(INDEX(Profils!$R$5:$R$34,$AE400)&gt;0,INDEX(Profils!$AG$5:$AG$34,$AE400)&lt;=$AH400),ROUND(INDEX(Profils!$R$5:$R$34,$AE400)*Paramètres!$E$34*$AG400*$AJ400,Paramètres!$F$34),0)</f>
        <v>0</v>
      </c>
      <c r="Y400" s="20" t="n">
        <f aca="false" t="array" ref="Y400:Y400">IF(AND(INDEX(Profils!$S$5:$S$34,$AE400)&gt;0,INDEX(Profils!$AH$5:$AH$34,$AE400)&lt;=$AH400),ROUND(INDEX(Profils!$S$5:$S$34,$AE400)*Paramètres!$E$35*$AG400*$AJ400,Paramètres!$F$35),0)</f>
        <v>0</v>
      </c>
      <c r="Z400" s="21" t="n">
        <f aca="false">ROUND(L400/Paramètres!$E$22+M400/Paramètres!$E$23+N400/Paramètres!$E$24+O400/Paramètres!$E$25+P400/Paramètres!$E$26+Q400/Paramètres!$E$27+R400/Paramètres!$E$28+S400/Paramètres!$E$29+T400/Paramètres!$E$30+U400/Paramètres!$E$31+V400/Paramètres!$E$32+W400/Paramètres!$E$33+X400/Paramètres!$E$34+Y400/Paramètres!$E$35,1)</f>
        <v>5.4</v>
      </c>
      <c r="AA400" s="22" t="s">
        <v>109</v>
      </c>
      <c r="AB400" s="22" t="s">
        <v>109</v>
      </c>
      <c r="AC400" s="15" t="str">
        <f aca="false">$E400</f>
        <v>velours enchanté</v>
      </c>
      <c r="AD400" s="16" t="n">
        <f aca="false" t="array" ref="AD400:AD400">IF($I400&gt;=$AI400,"Max",ROUND(Paramètres!$B$40*($I400+1)^Paramètres!$B$41*INDEX(Paramètres!$H$6:$H$12,$AF400),0))</f>
        <v>6</v>
      </c>
      <c r="AE400" s="23" t="n">
        <f aca="false">MATCH($B400&amp;"|"&amp;$C400,Profils!$A$5:$A$34,0)</f>
        <v>13</v>
      </c>
      <c r="AF400" s="23" t="n">
        <v>5</v>
      </c>
      <c r="AG400" s="24" t="n">
        <f aca="false" t="array" ref="AG400:AG400">INDEX(Paramètres!$C$6:$C$12,$AF400)</f>
        <v>2.1</v>
      </c>
      <c r="AH400" s="23" t="n">
        <f aca="false" t="array" ref="AH400:AH400">INDEX(Paramètres!$D$6:$D$12,$AF400)</f>
        <v>6</v>
      </c>
      <c r="AI400" s="23" t="n">
        <f aca="false" t="array" ref="AI400:AI400">INDEX(Matériaux!$C$16:$C$20,$D400)</f>
        <v>25</v>
      </c>
      <c r="AJ400" s="25" t="n">
        <f aca="false">Paramètres!$B$16+(1-Paramètres!$B$16)*(($J400-Paramètres!$B$14)/(Paramètres!$B$15-Paramètres!$B$14))^Paramètres!$B$17</f>
        <v>0.458504333336152</v>
      </c>
    </row>
    <row r="401" customFormat="false" ht="15.75" hidden="false" customHeight="true" outlineLevel="0" collapsed="false">
      <c r="A401" s="14" t="s">
        <v>517</v>
      </c>
      <c r="B401" s="15" t="s">
        <v>29</v>
      </c>
      <c r="C401" s="15" t="s">
        <v>177</v>
      </c>
      <c r="D401" s="16" t="n">
        <v>4</v>
      </c>
      <c r="E401" s="15" t="str">
        <f aca="false" t="array" ref="E401:E401">INDEX(Matériaux!$B$5:$F$12,MATCH(INDEX(Profils!$E$5:$E$34,$AE401),Matériaux!$A$5:$A$12,0),$D401)</f>
        <v>velours enchanté</v>
      </c>
      <c r="F401" s="30" t="s">
        <v>119</v>
      </c>
      <c r="G401" s="10" t="str">
        <f aca="false" t="array" ref="G401:G401">INDEX(Profils!$D$5:$D$34,$AE401)&amp;" en "&amp;$E401</f>
        <v>Pantalon en velours enchanté</v>
      </c>
      <c r="H401" s="16" t="n">
        <f aca="false" t="array" ref="H401:H401">INDEX(Matériaux!$B$16:$B$20,$D401)</f>
        <v>50</v>
      </c>
      <c r="I401" s="16" t="n">
        <f aca="false">IF(ISNUMBER($C$3),MIN(MAX(0,ROUND($C$3,0)),$AI401),$AI401)</f>
        <v>0</v>
      </c>
      <c r="J401" s="18" t="n">
        <f aca="false">$H401+$I401</f>
        <v>50</v>
      </c>
      <c r="K401" s="15" t="s">
        <v>109</v>
      </c>
      <c r="L401" s="19" t="n">
        <f aca="false" t="array" ref="L401:L401">IF(AND(INDEX(Profils!$F$5:$F$34,$AE401)&gt;0,INDEX(Profils!$U$5:$U$34,$AE401)&lt;=$AH401),ROUND(INDEX(Profils!$F$5:$F$34,$AE401)*Paramètres!$E$22*$AG401*$AJ401,Paramètres!$F$22),0)</f>
        <v>47</v>
      </c>
      <c r="M401" s="19" t="n">
        <f aca="false" t="array" ref="M401:M401">IF(AND(INDEX(Profils!$G$5:$G$34,$AE401)&gt;0,INDEX(Profils!$V$5:$V$34,$AE401)&lt;=$AH401),ROUND(INDEX(Profils!$G$5:$G$34,$AE401)*Paramètres!$E$23*$AG401*$AJ401,Paramètres!$F$23),0)</f>
        <v>0</v>
      </c>
      <c r="N401" s="19" t="n">
        <f aca="false" t="array" ref="N401:N401">IF(AND(INDEX(Profils!$H$5:$H$34,$AE401)&gt;0,INDEX(Profils!$W$5:$W$34,$AE401)&lt;=$AH401),ROUND(INDEX(Profils!$H$5:$H$34,$AE401)*Paramètres!$E$24*$AG401*$AJ401,Paramètres!$F$24),0)</f>
        <v>8</v>
      </c>
      <c r="O401" s="19" t="n">
        <f aca="false" t="array" ref="O401:O401">IF(AND(INDEX(Profils!$I$5:$I$34,$AE401)&gt;0,INDEX(Profils!$X$5:$X$34,$AE401)&lt;=$AH401),ROUND(INDEX(Profils!$I$5:$I$34,$AE401)*Paramètres!$E$25*$AG401*$AJ401,Paramètres!$F$25),0)</f>
        <v>18</v>
      </c>
      <c r="P401" s="19" t="n">
        <f aca="false" t="array" ref="P401:P401">IF(AND(INDEX(Profils!$J$5:$J$34,$AE401)&gt;0,INDEX(Profils!$Y$5:$Y$34,$AE401)&lt;=$AH401),ROUND(INDEX(Profils!$J$5:$J$34,$AE401)*Paramètres!$E$26*$AG401*$AJ401,Paramètres!$F$26),0)</f>
        <v>11</v>
      </c>
      <c r="Q401" s="19" t="n">
        <f aca="false" t="array" ref="Q401:Q401">IF(AND(INDEX(Profils!$K$5:$K$34,$AE401)&gt;0,INDEX(Profils!$Z$5:$Z$34,$AE401)&lt;=$AH401),ROUND(INDEX(Profils!$K$5:$K$34,$AE401)*Paramètres!$E$27*$AG401*$AJ401,Paramètres!$F$27),0)</f>
        <v>0</v>
      </c>
      <c r="R401" s="20" t="n">
        <f aca="false" t="array" ref="R401:R401">IF(AND(INDEX(Profils!$L$5:$L$34,$AE401)&gt;0,INDEX(Profils!$AA$5:$AA$34,$AE401)&lt;=$AH401),ROUND(INDEX(Profils!$L$5:$L$34,$AE401)*Paramètres!$E$28*$AG401*$AJ401,Paramètres!$F$28),0)</f>
        <v>0</v>
      </c>
      <c r="S401" s="20" t="n">
        <f aca="false" t="array" ref="S401:S401">IF(AND(INDEX(Profils!$M$5:$M$34,$AE401)&gt;0,INDEX(Profils!$AB$5:$AB$34,$AE401)&lt;=$AH401),ROUND(INDEX(Profils!$M$5:$M$34,$AE401)*Paramètres!$E$29*$AG401*$AJ401,Paramètres!$F$29),0)</f>
        <v>0</v>
      </c>
      <c r="T401" s="20" t="n">
        <f aca="false" t="array" ref="T401:T401">IF(AND(INDEX(Profils!$N$5:$N$34,$AE401)&gt;0,INDEX(Profils!$AC$5:$AC$34,$AE401)&lt;=$AH401),ROUND(INDEX(Profils!$N$5:$N$34,$AE401)*Paramètres!$E$30*$AG401*$AJ401,Paramètres!$F$30),0)</f>
        <v>0</v>
      </c>
      <c r="U401" s="19" t="n">
        <f aca="false" t="array" ref="U401:U401">IF(AND(INDEX(Profils!$O$5:$O$34,$AE401)&gt;0,INDEX(Profils!$AD$5:$AD$34,$AE401)&lt;=$AH401),ROUND(INDEX(Profils!$O$5:$O$34,$AE401)*Paramètres!$E$31*$AG401*$AJ401,Paramètres!$F$31),0)</f>
        <v>15</v>
      </c>
      <c r="V401" s="20" t="n">
        <f aca="false" t="array" ref="V401:V401">IF(AND(INDEX(Profils!$P$5:$P$34,$AE401)&gt;0,INDEX(Profils!$AE$5:$AE$34,$AE401)&lt;=$AH401),ROUND(INDEX(Profils!$P$5:$P$34,$AE401)*Paramètres!$E$32*$AG401*$AJ401,Paramètres!$F$32),0)</f>
        <v>0</v>
      </c>
      <c r="W401" s="20" t="n">
        <f aca="false" t="array" ref="W401:W401">IF(AND(INDEX(Profils!$Q$5:$Q$34,$AE401)&gt;0,INDEX(Profils!$AF$5:$AF$34,$AE401)&lt;=$AH401),ROUND(INDEX(Profils!$Q$5:$Q$34,$AE401)*Paramètres!$E$33*$AG401*$AJ401,Paramètres!$F$33),0)</f>
        <v>0.015</v>
      </c>
      <c r="X401" s="20" t="n">
        <f aca="false" t="array" ref="X401:X401">IF(AND(INDEX(Profils!$R$5:$R$34,$AE401)&gt;0,INDEX(Profils!$AG$5:$AG$34,$AE401)&lt;=$AH401),ROUND(INDEX(Profils!$R$5:$R$34,$AE401)*Paramètres!$E$34*$AG401*$AJ401,Paramètres!$F$34),0)</f>
        <v>0.011</v>
      </c>
      <c r="Y401" s="20" t="n">
        <f aca="false" t="array" ref="Y401:Y401">IF(AND(INDEX(Profils!$S$5:$S$34,$AE401)&gt;0,INDEX(Profils!$AH$5:$AH$34,$AE401)&lt;=$AH401),ROUND(INDEX(Profils!$S$5:$S$34,$AE401)*Paramètres!$E$35*$AG401*$AJ401,Paramètres!$F$35),0)</f>
        <v>0</v>
      </c>
      <c r="Z401" s="21" t="n">
        <f aca="false">ROUND(L401/Paramètres!$E$22+M401/Paramètres!$E$23+N401/Paramètres!$E$24+O401/Paramètres!$E$25+P401/Paramètres!$E$26+Q401/Paramètres!$E$27+R401/Paramètres!$E$28+S401/Paramètres!$E$29+T401/Paramètres!$E$30+U401/Paramètres!$E$31+V401/Paramètres!$E$32+W401/Paramètres!$E$33+X401/Paramètres!$E$34+Y401/Paramètres!$E$35,1)</f>
        <v>6.8</v>
      </c>
      <c r="AA401" s="22" t="s">
        <v>109</v>
      </c>
      <c r="AB401" s="22" t="s">
        <v>109</v>
      </c>
      <c r="AC401" s="15" t="str">
        <f aca="false">$E401</f>
        <v>velours enchanté</v>
      </c>
      <c r="AD401" s="16" t="n">
        <f aca="false" t="array" ref="AD401:AD401">IF($I401&gt;=$AI401,"Max",ROUND(Paramètres!$B$40*($I401+1)^Paramètres!$B$41*INDEX(Paramètres!$H$6:$H$12,$AF401),0))</f>
        <v>8</v>
      </c>
      <c r="AE401" s="23" t="n">
        <f aca="false">MATCH($B401&amp;"|"&amp;$C401,Profils!$A$5:$A$34,0)</f>
        <v>13</v>
      </c>
      <c r="AF401" s="23" t="n">
        <v>6</v>
      </c>
      <c r="AG401" s="24" t="n">
        <f aca="false" t="array" ref="AG401:AG401">INDEX(Paramètres!$C$6:$C$12,$AF401)</f>
        <v>2.4</v>
      </c>
      <c r="AH401" s="23" t="n">
        <f aca="false" t="array" ref="AH401:AH401">INDEX(Paramètres!$D$6:$D$12,$AF401)</f>
        <v>7</v>
      </c>
      <c r="AI401" s="23" t="n">
        <f aca="false" t="array" ref="AI401:AI401">INDEX(Matériaux!$C$16:$C$20,$D401)</f>
        <v>25</v>
      </c>
      <c r="AJ401" s="25" t="n">
        <f aca="false">Paramètres!$B$16+(1-Paramètres!$B$16)*(($J401-Paramètres!$B$14)/(Paramètres!$B$15-Paramètres!$B$14))^Paramètres!$B$17</f>
        <v>0.458504333336152</v>
      </c>
    </row>
    <row r="402" customFormat="false" ht="15.75" hidden="false" customHeight="true" outlineLevel="0" collapsed="false">
      <c r="A402" s="14" t="s">
        <v>518</v>
      </c>
      <c r="B402" s="15" t="s">
        <v>29</v>
      </c>
      <c r="C402" s="15" t="s">
        <v>177</v>
      </c>
      <c r="D402" s="16" t="n">
        <v>5</v>
      </c>
      <c r="E402" s="15" t="str">
        <f aca="false" t="array" ref="E402:E402">INDEX(Matériaux!$B$5:$F$12,MATCH(INDEX(Profils!$E$5:$E$34,$AE402),Matériaux!$A$5:$A$12,0),$D402)</f>
        <v>étoffe astrale</v>
      </c>
      <c r="F402" s="17" t="s">
        <v>108</v>
      </c>
      <c r="G402" s="10" t="str">
        <f aca="false" t="array" ref="G402:G402">INDEX(Profils!$D$5:$D$34,$AE402)&amp;" en "&amp;$E402</f>
        <v>Pantalon en étoffe astrale</v>
      </c>
      <c r="H402" s="16" t="n">
        <f aca="false" t="array" ref="H402:H402">INDEX(Matériaux!$B$16:$B$20,$D402)</f>
        <v>70</v>
      </c>
      <c r="I402" s="16" t="n">
        <f aca="false">IF(ISNUMBER($C$3),MIN(MAX(0,ROUND($C$3,0)),$AI402),$AI402)</f>
        <v>0</v>
      </c>
      <c r="J402" s="18" t="n">
        <f aca="false">$H402+$I402</f>
        <v>70</v>
      </c>
      <c r="K402" s="15" t="s">
        <v>109</v>
      </c>
      <c r="L402" s="19" t="n">
        <f aca="false" t="array" ref="L402:L402">IF(AND(INDEX(Profils!$F$5:$F$34,$AE402)&gt;0,INDEX(Profils!$U$5:$U$34,$AE402)&lt;=$AH402),ROUND(INDEX(Profils!$F$5:$F$34,$AE402)*Paramètres!$E$22*$AG402*$AJ402,Paramètres!$F$22),0)</f>
        <v>28</v>
      </c>
      <c r="M402" s="19" t="n">
        <f aca="false" t="array" ref="M402:M402">IF(AND(INDEX(Profils!$G$5:$G$34,$AE402)&gt;0,INDEX(Profils!$V$5:$V$34,$AE402)&lt;=$AH402),ROUND(INDEX(Profils!$G$5:$G$34,$AE402)*Paramètres!$E$23*$AG402*$AJ402,Paramètres!$F$23),0)</f>
        <v>0</v>
      </c>
      <c r="N402" s="19" t="n">
        <f aca="false" t="array" ref="N402:N402">IF(AND(INDEX(Profils!$H$5:$H$34,$AE402)&gt;0,INDEX(Profils!$W$5:$W$34,$AE402)&lt;=$AH402),ROUND(INDEX(Profils!$H$5:$H$34,$AE402)*Paramètres!$E$24*$AG402*$AJ402,Paramètres!$F$24),0)</f>
        <v>0</v>
      </c>
      <c r="O402" s="19" t="n">
        <f aca="false" t="array" ref="O402:O402">IF(AND(INDEX(Profils!$I$5:$I$34,$AE402)&gt;0,INDEX(Profils!$X$5:$X$34,$AE402)&lt;=$AH402),ROUND(INDEX(Profils!$I$5:$I$34,$AE402)*Paramètres!$E$25*$AG402*$AJ402,Paramètres!$F$25),0)</f>
        <v>11</v>
      </c>
      <c r="P402" s="19" t="n">
        <f aca="false" t="array" ref="P402:P402">IF(AND(INDEX(Profils!$J$5:$J$34,$AE402)&gt;0,INDEX(Profils!$Y$5:$Y$34,$AE402)&lt;=$AH402),ROUND(INDEX(Profils!$J$5:$J$34,$AE402)*Paramètres!$E$26*$AG402*$AJ402,Paramètres!$F$26),0)</f>
        <v>0</v>
      </c>
      <c r="Q402" s="19" t="n">
        <f aca="false" t="array" ref="Q402:Q402">IF(AND(INDEX(Profils!$K$5:$K$34,$AE402)&gt;0,INDEX(Profils!$Z$5:$Z$34,$AE402)&lt;=$AH402),ROUND(INDEX(Profils!$K$5:$K$34,$AE402)*Paramètres!$E$27*$AG402*$AJ402,Paramètres!$F$27),0)</f>
        <v>0</v>
      </c>
      <c r="R402" s="20" t="n">
        <f aca="false" t="array" ref="R402:R402">IF(AND(INDEX(Profils!$L$5:$L$34,$AE402)&gt;0,INDEX(Profils!$AA$5:$AA$34,$AE402)&lt;=$AH402),ROUND(INDEX(Profils!$L$5:$L$34,$AE402)*Paramètres!$E$28*$AG402*$AJ402,Paramètres!$F$28),0)</f>
        <v>0</v>
      </c>
      <c r="S402" s="20" t="n">
        <f aca="false" t="array" ref="S402:S402">IF(AND(INDEX(Profils!$M$5:$M$34,$AE402)&gt;0,INDEX(Profils!$AB$5:$AB$34,$AE402)&lt;=$AH402),ROUND(INDEX(Profils!$M$5:$M$34,$AE402)*Paramètres!$E$29*$AG402*$AJ402,Paramètres!$F$29),0)</f>
        <v>0</v>
      </c>
      <c r="T402" s="20" t="n">
        <f aca="false" t="array" ref="T402:T402">IF(AND(INDEX(Profils!$N$5:$N$34,$AE402)&gt;0,INDEX(Profils!$AC$5:$AC$34,$AE402)&lt;=$AH402),ROUND(INDEX(Profils!$N$5:$N$34,$AE402)*Paramètres!$E$30*$AG402*$AJ402,Paramètres!$F$30),0)</f>
        <v>0</v>
      </c>
      <c r="U402" s="19" t="n">
        <f aca="false" t="array" ref="U402:U402">IF(AND(INDEX(Profils!$O$5:$O$34,$AE402)&gt;0,INDEX(Profils!$AD$5:$AD$34,$AE402)&lt;=$AH402),ROUND(INDEX(Profils!$O$5:$O$34,$AE402)*Paramètres!$E$31*$AG402*$AJ402,Paramètres!$F$31),0)</f>
        <v>0</v>
      </c>
      <c r="V402" s="20" t="n">
        <f aca="false" t="array" ref="V402:V402">IF(AND(INDEX(Profils!$P$5:$P$34,$AE402)&gt;0,INDEX(Profils!$AE$5:$AE$34,$AE402)&lt;=$AH402),ROUND(INDEX(Profils!$P$5:$P$34,$AE402)*Paramètres!$E$32*$AG402*$AJ402,Paramètres!$F$32),0)</f>
        <v>0</v>
      </c>
      <c r="W402" s="20" t="n">
        <f aca="false" t="array" ref="W402:W402">IF(AND(INDEX(Profils!$Q$5:$Q$34,$AE402)&gt;0,INDEX(Profils!$AF$5:$AF$34,$AE402)&lt;=$AH402),ROUND(INDEX(Profils!$Q$5:$Q$34,$AE402)*Paramètres!$E$33*$AG402*$AJ402,Paramètres!$F$33),0)</f>
        <v>0</v>
      </c>
      <c r="X402" s="20" t="n">
        <f aca="false" t="array" ref="X402:X402">IF(AND(INDEX(Profils!$R$5:$R$34,$AE402)&gt;0,INDEX(Profils!$AG$5:$AG$34,$AE402)&lt;=$AH402),ROUND(INDEX(Profils!$R$5:$R$34,$AE402)*Paramètres!$E$34*$AG402*$AJ402,Paramètres!$F$34),0)</f>
        <v>0</v>
      </c>
      <c r="Y402" s="20" t="n">
        <f aca="false" t="array" ref="Y402:Y402">IF(AND(INDEX(Profils!$S$5:$S$34,$AE402)&gt;0,INDEX(Profils!$AH$5:$AH$34,$AE402)&lt;=$AH402),ROUND(INDEX(Profils!$S$5:$S$34,$AE402)*Paramètres!$E$35*$AG402*$AJ402,Paramètres!$F$35),0)</f>
        <v>0</v>
      </c>
      <c r="Z402" s="21" t="n">
        <f aca="false">ROUND(L402/Paramètres!$E$22+M402/Paramètres!$E$23+N402/Paramètres!$E$24+O402/Paramètres!$E$25+P402/Paramètres!$E$26+Q402/Paramètres!$E$27+R402/Paramètres!$E$28+S402/Paramètres!$E$29+T402/Paramètres!$E$30+U402/Paramètres!$E$31+V402/Paramètres!$E$32+W402/Paramètres!$E$33+X402/Paramètres!$E$34+Y402/Paramètres!$E$35,1)</f>
        <v>1.9</v>
      </c>
      <c r="AA402" s="22" t="s">
        <v>109</v>
      </c>
      <c r="AB402" s="22" t="s">
        <v>109</v>
      </c>
      <c r="AC402" s="15" t="str">
        <f aca="false">$E402</f>
        <v>étoffe astrale</v>
      </c>
      <c r="AD402" s="16" t="n">
        <f aca="false" t="array" ref="AD402:AD402">IF($I402&gt;=$AI402,"Max",ROUND(Paramètres!$B$40*($I402+1)^Paramètres!$B$41*INDEX(Paramètres!$H$6:$H$12,$AF402),0))</f>
        <v>3</v>
      </c>
      <c r="AE402" s="23" t="n">
        <f aca="false">MATCH($B402&amp;"|"&amp;$C402,Profils!$A$5:$A$34,0)</f>
        <v>13</v>
      </c>
      <c r="AF402" s="23" t="n">
        <v>1</v>
      </c>
      <c r="AG402" s="24" t="n">
        <f aca="false" t="array" ref="AG402:AG402">INDEX(Paramètres!$C$6:$C$12,$AF402)</f>
        <v>1</v>
      </c>
      <c r="AH402" s="23" t="n">
        <f aca="false" t="array" ref="AH402:AH402">INDEX(Paramètres!$D$6:$D$12,$AF402)</f>
        <v>2</v>
      </c>
      <c r="AI402" s="23" t="n">
        <f aca="false" t="array" ref="AI402:AI402">INDEX(Matériaux!$C$16:$C$20,$D402)</f>
        <v>30</v>
      </c>
      <c r="AJ402" s="25" t="n">
        <f aca="false">Paramètres!$B$16+(1-Paramètres!$B$16)*(($J402-Paramètres!$B$14)/(Paramètres!$B$15-Paramètres!$B$14))^Paramètres!$B$17</f>
        <v>0.665999387952727</v>
      </c>
    </row>
    <row r="403" customFormat="false" ht="15.75" hidden="false" customHeight="true" outlineLevel="0" collapsed="false">
      <c r="A403" s="14" t="s">
        <v>519</v>
      </c>
      <c r="B403" s="15" t="s">
        <v>29</v>
      </c>
      <c r="C403" s="15" t="s">
        <v>177</v>
      </c>
      <c r="D403" s="16" t="n">
        <v>5</v>
      </c>
      <c r="E403" s="15" t="str">
        <f aca="false" t="array" ref="E403:E403">INDEX(Matériaux!$B$5:$F$12,MATCH(INDEX(Profils!$E$5:$E$34,$AE403),Matériaux!$A$5:$A$12,0),$D403)</f>
        <v>étoffe astrale</v>
      </c>
      <c r="F403" s="26" t="s">
        <v>111</v>
      </c>
      <c r="G403" s="10" t="str">
        <f aca="false" t="array" ref="G403:G403">INDEX(Profils!$D$5:$D$34,$AE403)&amp;" en "&amp;$E403</f>
        <v>Pantalon en étoffe astrale</v>
      </c>
      <c r="H403" s="16" t="n">
        <f aca="false" t="array" ref="H403:H403">INDEX(Matériaux!$B$16:$B$20,$D403)</f>
        <v>70</v>
      </c>
      <c r="I403" s="16" t="n">
        <f aca="false">IF(ISNUMBER($C$3),MIN(MAX(0,ROUND($C$3,0)),$AI403),$AI403)</f>
        <v>0</v>
      </c>
      <c r="J403" s="18" t="n">
        <f aca="false">$H403+$I403</f>
        <v>70</v>
      </c>
      <c r="K403" s="15" t="s">
        <v>109</v>
      </c>
      <c r="L403" s="19" t="n">
        <f aca="false" t="array" ref="L403:L403">IF(AND(INDEX(Profils!$F$5:$F$34,$AE403)&gt;0,INDEX(Profils!$U$5:$U$34,$AE403)&lt;=$AH403),ROUND(INDEX(Profils!$F$5:$F$34,$AE403)*Paramètres!$E$22*$AG403*$AJ403,Paramètres!$F$22),0)</f>
        <v>34</v>
      </c>
      <c r="M403" s="19" t="n">
        <f aca="false" t="array" ref="M403:M403">IF(AND(INDEX(Profils!$G$5:$G$34,$AE403)&gt;0,INDEX(Profils!$V$5:$V$34,$AE403)&lt;=$AH403),ROUND(INDEX(Profils!$G$5:$G$34,$AE403)*Paramètres!$E$23*$AG403*$AJ403,Paramètres!$F$23),0)</f>
        <v>0</v>
      </c>
      <c r="N403" s="19" t="n">
        <f aca="false" t="array" ref="N403:N403">IF(AND(INDEX(Profils!$H$5:$H$34,$AE403)&gt;0,INDEX(Profils!$W$5:$W$34,$AE403)&lt;=$AH403),ROUND(INDEX(Profils!$H$5:$H$34,$AE403)*Paramètres!$E$24*$AG403*$AJ403,Paramètres!$F$24),0)</f>
        <v>0</v>
      </c>
      <c r="O403" s="19" t="n">
        <f aca="false" t="array" ref="O403:O403">IF(AND(INDEX(Profils!$I$5:$I$34,$AE403)&gt;0,INDEX(Profils!$X$5:$X$34,$AE403)&lt;=$AH403),ROUND(INDEX(Profils!$I$5:$I$34,$AE403)*Paramètres!$E$25*$AG403*$AJ403,Paramètres!$F$25),0)</f>
        <v>13</v>
      </c>
      <c r="P403" s="19" t="n">
        <f aca="false" t="array" ref="P403:P403">IF(AND(INDEX(Profils!$J$5:$J$34,$AE403)&gt;0,INDEX(Profils!$Y$5:$Y$34,$AE403)&lt;=$AH403),ROUND(INDEX(Profils!$J$5:$J$34,$AE403)*Paramètres!$E$26*$AG403*$AJ403,Paramètres!$F$26),0)</f>
        <v>0</v>
      </c>
      <c r="Q403" s="19" t="n">
        <f aca="false" t="array" ref="Q403:Q403">IF(AND(INDEX(Profils!$K$5:$K$34,$AE403)&gt;0,INDEX(Profils!$Z$5:$Z$34,$AE403)&lt;=$AH403),ROUND(INDEX(Profils!$K$5:$K$34,$AE403)*Paramètres!$E$27*$AG403*$AJ403,Paramètres!$F$27),0)</f>
        <v>0</v>
      </c>
      <c r="R403" s="20" t="n">
        <f aca="false" t="array" ref="R403:R403">IF(AND(INDEX(Profils!$L$5:$L$34,$AE403)&gt;0,INDEX(Profils!$AA$5:$AA$34,$AE403)&lt;=$AH403),ROUND(INDEX(Profils!$L$5:$L$34,$AE403)*Paramètres!$E$28*$AG403*$AJ403,Paramètres!$F$28),0)</f>
        <v>0</v>
      </c>
      <c r="S403" s="20" t="n">
        <f aca="false" t="array" ref="S403:S403">IF(AND(INDEX(Profils!$M$5:$M$34,$AE403)&gt;0,INDEX(Profils!$AB$5:$AB$34,$AE403)&lt;=$AH403),ROUND(INDEX(Profils!$M$5:$M$34,$AE403)*Paramètres!$E$29*$AG403*$AJ403,Paramètres!$F$29),0)</f>
        <v>0</v>
      </c>
      <c r="T403" s="20" t="n">
        <f aca="false" t="array" ref="T403:T403">IF(AND(INDEX(Profils!$N$5:$N$34,$AE403)&gt;0,INDEX(Profils!$AC$5:$AC$34,$AE403)&lt;=$AH403),ROUND(INDEX(Profils!$N$5:$N$34,$AE403)*Paramètres!$E$30*$AG403*$AJ403,Paramètres!$F$30),0)</f>
        <v>0</v>
      </c>
      <c r="U403" s="19" t="n">
        <f aca="false" t="array" ref="U403:U403">IF(AND(INDEX(Profils!$O$5:$O$34,$AE403)&gt;0,INDEX(Profils!$AD$5:$AD$34,$AE403)&lt;=$AH403),ROUND(INDEX(Profils!$O$5:$O$34,$AE403)*Paramètres!$E$31*$AG403*$AJ403,Paramètres!$F$31),0)</f>
        <v>0</v>
      </c>
      <c r="V403" s="20" t="n">
        <f aca="false" t="array" ref="V403:V403">IF(AND(INDEX(Profils!$P$5:$P$34,$AE403)&gt;0,INDEX(Profils!$AE$5:$AE$34,$AE403)&lt;=$AH403),ROUND(INDEX(Profils!$P$5:$P$34,$AE403)*Paramètres!$E$32*$AG403*$AJ403,Paramètres!$F$32),0)</f>
        <v>0</v>
      </c>
      <c r="W403" s="20" t="n">
        <f aca="false" t="array" ref="W403:W403">IF(AND(INDEX(Profils!$Q$5:$Q$34,$AE403)&gt;0,INDEX(Profils!$AF$5:$AF$34,$AE403)&lt;=$AH403),ROUND(INDEX(Profils!$Q$5:$Q$34,$AE403)*Paramètres!$E$33*$AG403*$AJ403,Paramètres!$F$33),0)</f>
        <v>0.011</v>
      </c>
      <c r="X403" s="20" t="n">
        <f aca="false" t="array" ref="X403:X403">IF(AND(INDEX(Profils!$R$5:$R$34,$AE403)&gt;0,INDEX(Profils!$AG$5:$AG$34,$AE403)&lt;=$AH403),ROUND(INDEX(Profils!$R$5:$R$34,$AE403)*Paramètres!$E$34*$AG403*$AJ403,Paramètres!$F$34),0)</f>
        <v>0</v>
      </c>
      <c r="Y403" s="20" t="n">
        <f aca="false" t="array" ref="Y403:Y403">IF(AND(INDEX(Profils!$S$5:$S$34,$AE403)&gt;0,INDEX(Profils!$AH$5:$AH$34,$AE403)&lt;=$AH403),ROUND(INDEX(Profils!$S$5:$S$34,$AE403)*Paramètres!$E$35*$AG403*$AJ403,Paramètres!$F$35),0)</f>
        <v>0</v>
      </c>
      <c r="Z403" s="21" t="n">
        <f aca="false">ROUND(L403/Paramètres!$E$22+M403/Paramètres!$E$23+N403/Paramètres!$E$24+O403/Paramètres!$E$25+P403/Paramètres!$E$26+Q403/Paramètres!$E$27+R403/Paramètres!$E$28+S403/Paramètres!$E$29+T403/Paramètres!$E$30+U403/Paramètres!$E$31+V403/Paramètres!$E$32+W403/Paramètres!$E$33+X403/Paramètres!$E$34+Y403/Paramètres!$E$35,1)</f>
        <v>3</v>
      </c>
      <c r="AA403" s="22" t="s">
        <v>109</v>
      </c>
      <c r="AB403" s="22" t="s">
        <v>109</v>
      </c>
      <c r="AC403" s="15" t="str">
        <f aca="false">$E403</f>
        <v>étoffe astrale</v>
      </c>
      <c r="AD403" s="16" t="n">
        <f aca="false" t="array" ref="AD403:AD403">IF($I403&gt;=$AI403,"Max",ROUND(Paramètres!$B$40*($I403+1)^Paramètres!$B$41*INDEX(Paramètres!$H$6:$H$12,$AF403),0))</f>
        <v>4</v>
      </c>
      <c r="AE403" s="23" t="n">
        <f aca="false">MATCH($B403&amp;"|"&amp;$C403,Profils!$A$5:$A$34,0)</f>
        <v>13</v>
      </c>
      <c r="AF403" s="23" t="n">
        <v>2</v>
      </c>
      <c r="AG403" s="24" t="n">
        <f aca="false" t="array" ref="AG403:AG403">INDEX(Paramètres!$C$6:$C$12,$AF403)</f>
        <v>1.2</v>
      </c>
      <c r="AH403" s="23" t="n">
        <f aca="false" t="array" ref="AH403:AH403">INDEX(Paramètres!$D$6:$D$12,$AF403)</f>
        <v>3</v>
      </c>
      <c r="AI403" s="23" t="n">
        <f aca="false" t="array" ref="AI403:AI403">INDEX(Matériaux!$C$16:$C$20,$D403)</f>
        <v>30</v>
      </c>
      <c r="AJ403" s="25" t="n">
        <f aca="false">Paramètres!$B$16+(1-Paramètres!$B$16)*(($J403-Paramètres!$B$14)/(Paramètres!$B$15-Paramètres!$B$14))^Paramètres!$B$17</f>
        <v>0.665999387952727</v>
      </c>
    </row>
    <row r="404" customFormat="false" ht="15.75" hidden="false" customHeight="true" outlineLevel="0" collapsed="false">
      <c r="A404" s="14" t="s">
        <v>520</v>
      </c>
      <c r="B404" s="15" t="s">
        <v>29</v>
      </c>
      <c r="C404" s="15" t="s">
        <v>177</v>
      </c>
      <c r="D404" s="16" t="n">
        <v>5</v>
      </c>
      <c r="E404" s="15" t="str">
        <f aca="false" t="array" ref="E404:E404">INDEX(Matériaux!$B$5:$F$12,MATCH(INDEX(Profils!$E$5:$E$34,$AE404),Matériaux!$A$5:$A$12,0),$D404)</f>
        <v>étoffe astrale</v>
      </c>
      <c r="F404" s="27" t="s">
        <v>113</v>
      </c>
      <c r="G404" s="10" t="str">
        <f aca="false" t="array" ref="G404:G404">INDEX(Profils!$D$5:$D$34,$AE404)&amp;" en "&amp;$E404</f>
        <v>Pantalon en étoffe astrale</v>
      </c>
      <c r="H404" s="16" t="n">
        <f aca="false" t="array" ref="H404:H404">INDEX(Matériaux!$B$16:$B$20,$D404)</f>
        <v>70</v>
      </c>
      <c r="I404" s="16" t="n">
        <f aca="false">IF(ISNUMBER($C$3),MIN(MAX(0,ROUND($C$3,0)),$AI404),$AI404)</f>
        <v>0</v>
      </c>
      <c r="J404" s="18" t="n">
        <f aca="false">$H404+$I404</f>
        <v>70</v>
      </c>
      <c r="K404" s="15" t="s">
        <v>109</v>
      </c>
      <c r="L404" s="19" t="n">
        <f aca="false" t="array" ref="L404:L404">IF(AND(INDEX(Profils!$F$5:$F$34,$AE404)&gt;0,INDEX(Profils!$U$5:$U$34,$AE404)&lt;=$AH404),ROUND(INDEX(Profils!$F$5:$F$34,$AE404)*Paramètres!$E$22*$AG404*$AJ404,Paramètres!$F$22),0)</f>
        <v>41</v>
      </c>
      <c r="M404" s="19" t="n">
        <f aca="false" t="array" ref="M404:M404">IF(AND(INDEX(Profils!$G$5:$G$34,$AE404)&gt;0,INDEX(Profils!$V$5:$V$34,$AE404)&lt;=$AH404),ROUND(INDEX(Profils!$G$5:$G$34,$AE404)*Paramètres!$E$23*$AG404*$AJ404,Paramètres!$F$23),0)</f>
        <v>0</v>
      </c>
      <c r="N404" s="19" t="n">
        <f aca="false" t="array" ref="N404:N404">IF(AND(INDEX(Profils!$H$5:$H$34,$AE404)&gt;0,INDEX(Profils!$W$5:$W$34,$AE404)&lt;=$AH404),ROUND(INDEX(Profils!$H$5:$H$34,$AE404)*Paramètres!$E$24*$AG404*$AJ404,Paramètres!$F$24),0)</f>
        <v>0</v>
      </c>
      <c r="O404" s="19" t="n">
        <f aca="false" t="array" ref="O404:O404">IF(AND(INDEX(Profils!$I$5:$I$34,$AE404)&gt;0,INDEX(Profils!$X$5:$X$34,$AE404)&lt;=$AH404),ROUND(INDEX(Profils!$I$5:$I$34,$AE404)*Paramètres!$E$25*$AG404*$AJ404,Paramètres!$F$25),0)</f>
        <v>16</v>
      </c>
      <c r="P404" s="19" t="n">
        <f aca="false" t="array" ref="P404:P404">IF(AND(INDEX(Profils!$J$5:$J$34,$AE404)&gt;0,INDEX(Profils!$Y$5:$Y$34,$AE404)&lt;=$AH404),ROUND(INDEX(Profils!$J$5:$J$34,$AE404)*Paramètres!$E$26*$AG404*$AJ404,Paramètres!$F$26),0)</f>
        <v>9</v>
      </c>
      <c r="Q404" s="19" t="n">
        <f aca="false" t="array" ref="Q404:Q404">IF(AND(INDEX(Profils!$K$5:$K$34,$AE404)&gt;0,INDEX(Profils!$Z$5:$Z$34,$AE404)&lt;=$AH404),ROUND(INDEX(Profils!$K$5:$K$34,$AE404)*Paramètres!$E$27*$AG404*$AJ404,Paramètres!$F$27),0)</f>
        <v>0</v>
      </c>
      <c r="R404" s="20" t="n">
        <f aca="false" t="array" ref="R404:R404">IF(AND(INDEX(Profils!$L$5:$L$34,$AE404)&gt;0,INDEX(Profils!$AA$5:$AA$34,$AE404)&lt;=$AH404),ROUND(INDEX(Profils!$L$5:$L$34,$AE404)*Paramètres!$E$28*$AG404*$AJ404,Paramètres!$F$28),0)</f>
        <v>0</v>
      </c>
      <c r="S404" s="20" t="n">
        <f aca="false" t="array" ref="S404:S404">IF(AND(INDEX(Profils!$M$5:$M$34,$AE404)&gt;0,INDEX(Profils!$AB$5:$AB$34,$AE404)&lt;=$AH404),ROUND(INDEX(Profils!$M$5:$M$34,$AE404)*Paramètres!$E$29*$AG404*$AJ404,Paramètres!$F$29),0)</f>
        <v>0</v>
      </c>
      <c r="T404" s="20" t="n">
        <f aca="false" t="array" ref="T404:T404">IF(AND(INDEX(Profils!$N$5:$N$34,$AE404)&gt;0,INDEX(Profils!$AC$5:$AC$34,$AE404)&lt;=$AH404),ROUND(INDEX(Profils!$N$5:$N$34,$AE404)*Paramètres!$E$30*$AG404*$AJ404,Paramètres!$F$30),0)</f>
        <v>0</v>
      </c>
      <c r="U404" s="19" t="n">
        <f aca="false" t="array" ref="U404:U404">IF(AND(INDEX(Profils!$O$5:$O$34,$AE404)&gt;0,INDEX(Profils!$AD$5:$AD$34,$AE404)&lt;=$AH404),ROUND(INDEX(Profils!$O$5:$O$34,$AE404)*Paramètres!$E$31*$AG404*$AJ404,Paramètres!$F$31),0)</f>
        <v>0</v>
      </c>
      <c r="V404" s="20" t="n">
        <f aca="false" t="array" ref="V404:V404">IF(AND(INDEX(Profils!$P$5:$P$34,$AE404)&gt;0,INDEX(Profils!$AE$5:$AE$34,$AE404)&lt;=$AH404),ROUND(INDEX(Profils!$P$5:$P$34,$AE404)*Paramètres!$E$32*$AG404*$AJ404,Paramètres!$F$32),0)</f>
        <v>0</v>
      </c>
      <c r="W404" s="20" t="n">
        <f aca="false" t="array" ref="W404:W404">IF(AND(INDEX(Profils!$Q$5:$Q$34,$AE404)&gt;0,INDEX(Profils!$AF$5:$AF$34,$AE404)&lt;=$AH404),ROUND(INDEX(Profils!$Q$5:$Q$34,$AE404)*Paramètres!$E$33*$AG404*$AJ404,Paramètres!$F$33),0)</f>
        <v>0.013</v>
      </c>
      <c r="X404" s="20" t="n">
        <f aca="false" t="array" ref="X404:X404">IF(AND(INDEX(Profils!$R$5:$R$34,$AE404)&gt;0,INDEX(Profils!$AG$5:$AG$34,$AE404)&lt;=$AH404),ROUND(INDEX(Profils!$R$5:$R$34,$AE404)*Paramètres!$E$34*$AG404*$AJ404,Paramètres!$F$34),0)</f>
        <v>0</v>
      </c>
      <c r="Y404" s="20" t="n">
        <f aca="false" t="array" ref="Y404:Y404">IF(AND(INDEX(Profils!$S$5:$S$34,$AE404)&gt;0,INDEX(Profils!$AH$5:$AH$34,$AE404)&lt;=$AH404),ROUND(INDEX(Profils!$S$5:$S$34,$AE404)*Paramètres!$E$35*$AG404*$AJ404,Paramètres!$F$35),0)</f>
        <v>0</v>
      </c>
      <c r="Z404" s="21" t="n">
        <f aca="false">ROUND(L404/Paramètres!$E$22+M404/Paramètres!$E$23+N404/Paramètres!$E$24+O404/Paramètres!$E$25+P404/Paramètres!$E$26+Q404/Paramètres!$E$27+R404/Paramètres!$E$28+S404/Paramètres!$E$29+T404/Paramètres!$E$30+U404/Paramètres!$E$31+V404/Paramètres!$E$32+W404/Paramètres!$E$33+X404/Paramètres!$E$34+Y404/Paramètres!$E$35,1)</f>
        <v>4.3</v>
      </c>
      <c r="AA404" s="22" t="s">
        <v>109</v>
      </c>
      <c r="AB404" s="22" t="s">
        <v>109</v>
      </c>
      <c r="AC404" s="15" t="str">
        <f aca="false">$E404</f>
        <v>étoffe astrale</v>
      </c>
      <c r="AD404" s="16" t="n">
        <f aca="false" t="array" ref="AD404:AD404">IF($I404&gt;=$AI404,"Max",ROUND(Paramètres!$B$40*($I404+1)^Paramètres!$B$41*INDEX(Paramètres!$H$6:$H$12,$AF404),0))</f>
        <v>4</v>
      </c>
      <c r="AE404" s="23" t="n">
        <f aca="false">MATCH($B404&amp;"|"&amp;$C404,Profils!$A$5:$A$34,0)</f>
        <v>13</v>
      </c>
      <c r="AF404" s="23" t="n">
        <v>3</v>
      </c>
      <c r="AG404" s="24" t="n">
        <f aca="false" t="array" ref="AG404:AG404">INDEX(Paramètres!$C$6:$C$12,$AF404)</f>
        <v>1.45</v>
      </c>
      <c r="AH404" s="23" t="n">
        <f aca="false" t="array" ref="AH404:AH404">INDEX(Paramètres!$D$6:$D$12,$AF404)</f>
        <v>4</v>
      </c>
      <c r="AI404" s="23" t="n">
        <f aca="false" t="array" ref="AI404:AI404">INDEX(Matériaux!$C$16:$C$20,$D404)</f>
        <v>30</v>
      </c>
      <c r="AJ404" s="25" t="n">
        <f aca="false">Paramètres!$B$16+(1-Paramètres!$B$16)*(($J404-Paramètres!$B$14)/(Paramètres!$B$15-Paramètres!$B$14))^Paramètres!$B$17</f>
        <v>0.665999387952727</v>
      </c>
    </row>
    <row r="405" customFormat="false" ht="15.75" hidden="false" customHeight="true" outlineLevel="0" collapsed="false">
      <c r="A405" s="14" t="s">
        <v>521</v>
      </c>
      <c r="B405" s="15" t="s">
        <v>29</v>
      </c>
      <c r="C405" s="15" t="s">
        <v>177</v>
      </c>
      <c r="D405" s="16" t="n">
        <v>5</v>
      </c>
      <c r="E405" s="15" t="str">
        <f aca="false" t="array" ref="E405:E405">INDEX(Matériaux!$B$5:$F$12,MATCH(INDEX(Profils!$E$5:$E$34,$AE405),Matériaux!$A$5:$A$12,0),$D405)</f>
        <v>étoffe astrale</v>
      </c>
      <c r="F405" s="28" t="s">
        <v>115</v>
      </c>
      <c r="G405" s="10" t="str">
        <f aca="false" t="array" ref="G405:G405">INDEX(Profils!$D$5:$D$34,$AE405)&amp;" en "&amp;$E405</f>
        <v>Pantalon en étoffe astrale</v>
      </c>
      <c r="H405" s="16" t="n">
        <f aca="false" t="array" ref="H405:H405">INDEX(Matériaux!$B$16:$B$20,$D405)</f>
        <v>70</v>
      </c>
      <c r="I405" s="16" t="n">
        <f aca="false">IF(ISNUMBER($C$3),MIN(MAX(0,ROUND($C$3,0)),$AI405),$AI405)</f>
        <v>0</v>
      </c>
      <c r="J405" s="18" t="n">
        <f aca="false">$H405+$I405</f>
        <v>70</v>
      </c>
      <c r="K405" s="15" t="s">
        <v>109</v>
      </c>
      <c r="L405" s="19" t="n">
        <f aca="false" t="array" ref="L405:L405">IF(AND(INDEX(Profils!$F$5:$F$34,$AE405)&gt;0,INDEX(Profils!$U$5:$U$34,$AE405)&lt;=$AH405),ROUND(INDEX(Profils!$F$5:$F$34,$AE405)*Paramètres!$E$22*$AG405*$AJ405,Paramètres!$F$22),0)</f>
        <v>50</v>
      </c>
      <c r="M405" s="19" t="n">
        <f aca="false" t="array" ref="M405:M405">IF(AND(INDEX(Profils!$G$5:$G$34,$AE405)&gt;0,INDEX(Profils!$V$5:$V$34,$AE405)&lt;=$AH405),ROUND(INDEX(Profils!$G$5:$G$34,$AE405)*Paramètres!$E$23*$AG405*$AJ405,Paramètres!$F$23),0)</f>
        <v>0</v>
      </c>
      <c r="N405" s="19" t="n">
        <f aca="false" t="array" ref="N405:N405">IF(AND(INDEX(Profils!$H$5:$H$34,$AE405)&gt;0,INDEX(Profils!$W$5:$W$34,$AE405)&lt;=$AH405),ROUND(INDEX(Profils!$H$5:$H$34,$AE405)*Paramètres!$E$24*$AG405*$AJ405,Paramètres!$F$24),0)</f>
        <v>0</v>
      </c>
      <c r="O405" s="19" t="n">
        <f aca="false" t="array" ref="O405:O405">IF(AND(INDEX(Profils!$I$5:$I$34,$AE405)&gt;0,INDEX(Profils!$X$5:$X$34,$AE405)&lt;=$AH405),ROUND(INDEX(Profils!$I$5:$I$34,$AE405)*Paramètres!$E$25*$AG405*$AJ405,Paramètres!$F$25),0)</f>
        <v>19</v>
      </c>
      <c r="P405" s="19" t="n">
        <f aca="false" t="array" ref="P405:P405">IF(AND(INDEX(Profils!$J$5:$J$34,$AE405)&gt;0,INDEX(Profils!$Y$5:$Y$34,$AE405)&lt;=$AH405),ROUND(INDEX(Profils!$J$5:$J$34,$AE405)*Paramètres!$E$26*$AG405*$AJ405,Paramètres!$F$26),0)</f>
        <v>11</v>
      </c>
      <c r="Q405" s="19" t="n">
        <f aca="false" t="array" ref="Q405:Q405">IF(AND(INDEX(Profils!$K$5:$K$34,$AE405)&gt;0,INDEX(Profils!$Z$5:$Z$34,$AE405)&lt;=$AH405),ROUND(INDEX(Profils!$K$5:$K$34,$AE405)*Paramètres!$E$27*$AG405*$AJ405,Paramètres!$F$27),0)</f>
        <v>0</v>
      </c>
      <c r="R405" s="20" t="n">
        <f aca="false" t="array" ref="R405:R405">IF(AND(INDEX(Profils!$L$5:$L$34,$AE405)&gt;0,INDEX(Profils!$AA$5:$AA$34,$AE405)&lt;=$AH405),ROUND(INDEX(Profils!$L$5:$L$34,$AE405)*Paramètres!$E$28*$AG405*$AJ405,Paramètres!$F$28),0)</f>
        <v>0</v>
      </c>
      <c r="S405" s="20" t="n">
        <f aca="false" t="array" ref="S405:S405">IF(AND(INDEX(Profils!$M$5:$M$34,$AE405)&gt;0,INDEX(Profils!$AB$5:$AB$34,$AE405)&lt;=$AH405),ROUND(INDEX(Profils!$M$5:$M$34,$AE405)*Paramètres!$E$29*$AG405*$AJ405,Paramètres!$F$29),0)</f>
        <v>0</v>
      </c>
      <c r="T405" s="20" t="n">
        <f aca="false" t="array" ref="T405:T405">IF(AND(INDEX(Profils!$N$5:$N$34,$AE405)&gt;0,INDEX(Profils!$AC$5:$AC$34,$AE405)&lt;=$AH405),ROUND(INDEX(Profils!$N$5:$N$34,$AE405)*Paramètres!$E$30*$AG405*$AJ405,Paramètres!$F$30),0)</f>
        <v>0</v>
      </c>
      <c r="U405" s="19" t="n">
        <f aca="false" t="array" ref="U405:U405">IF(AND(INDEX(Profils!$O$5:$O$34,$AE405)&gt;0,INDEX(Profils!$AD$5:$AD$34,$AE405)&lt;=$AH405),ROUND(INDEX(Profils!$O$5:$O$34,$AE405)*Paramètres!$E$31*$AG405*$AJ405,Paramètres!$F$31),0)</f>
        <v>16</v>
      </c>
      <c r="V405" s="20" t="n">
        <f aca="false" t="array" ref="V405:V405">IF(AND(INDEX(Profils!$P$5:$P$34,$AE405)&gt;0,INDEX(Profils!$AE$5:$AE$34,$AE405)&lt;=$AH405),ROUND(INDEX(Profils!$P$5:$P$34,$AE405)*Paramètres!$E$32*$AG405*$AJ405,Paramètres!$F$32),0)</f>
        <v>0</v>
      </c>
      <c r="W405" s="20" t="n">
        <f aca="false" t="array" ref="W405:W405">IF(AND(INDEX(Profils!$Q$5:$Q$34,$AE405)&gt;0,INDEX(Profils!$AF$5:$AF$34,$AE405)&lt;=$AH405),ROUND(INDEX(Profils!$Q$5:$Q$34,$AE405)*Paramètres!$E$33*$AG405*$AJ405,Paramètres!$F$33),0)</f>
        <v>0.016</v>
      </c>
      <c r="X405" s="20" t="n">
        <f aca="false" t="array" ref="X405:X405">IF(AND(INDEX(Profils!$R$5:$R$34,$AE405)&gt;0,INDEX(Profils!$AG$5:$AG$34,$AE405)&lt;=$AH405),ROUND(INDEX(Profils!$R$5:$R$34,$AE405)*Paramètres!$E$34*$AG405*$AJ405,Paramètres!$F$34),0)</f>
        <v>0</v>
      </c>
      <c r="Y405" s="20" t="n">
        <f aca="false" t="array" ref="Y405:Y405">IF(AND(INDEX(Profils!$S$5:$S$34,$AE405)&gt;0,INDEX(Profils!$AH$5:$AH$34,$AE405)&lt;=$AH405),ROUND(INDEX(Profils!$S$5:$S$34,$AE405)*Paramètres!$E$35*$AG405*$AJ405,Paramètres!$F$35),0)</f>
        <v>0</v>
      </c>
      <c r="Z405" s="21" t="n">
        <f aca="false">ROUND(L405/Paramètres!$E$22+M405/Paramètres!$E$23+N405/Paramètres!$E$24+O405/Paramètres!$E$25+P405/Paramètres!$E$26+Q405/Paramètres!$E$27+R405/Paramètres!$E$28+S405/Paramètres!$E$29+T405/Paramètres!$E$30+U405/Paramètres!$E$31+V405/Paramètres!$E$32+W405/Paramètres!$E$33+X405/Paramètres!$E$34+Y405/Paramètres!$E$35,1)</f>
        <v>6.1</v>
      </c>
      <c r="AA405" s="22" t="s">
        <v>109</v>
      </c>
      <c r="AB405" s="22" t="s">
        <v>109</v>
      </c>
      <c r="AC405" s="15" t="str">
        <f aca="false">$E405</f>
        <v>étoffe astrale</v>
      </c>
      <c r="AD405" s="16" t="n">
        <f aca="false" t="array" ref="AD405:AD405">IF($I405&gt;=$AI405,"Max",ROUND(Paramètres!$B$40*($I405+1)^Paramètres!$B$41*INDEX(Paramètres!$H$6:$H$12,$AF405),0))</f>
        <v>5</v>
      </c>
      <c r="AE405" s="23" t="n">
        <f aca="false">MATCH($B405&amp;"|"&amp;$C405,Profils!$A$5:$A$34,0)</f>
        <v>13</v>
      </c>
      <c r="AF405" s="23" t="n">
        <v>4</v>
      </c>
      <c r="AG405" s="24" t="n">
        <f aca="false" t="array" ref="AG405:AG405">INDEX(Paramètres!$C$6:$C$12,$AF405)</f>
        <v>1.75</v>
      </c>
      <c r="AH405" s="23" t="n">
        <f aca="false" t="array" ref="AH405:AH405">INDEX(Paramètres!$D$6:$D$12,$AF405)</f>
        <v>5</v>
      </c>
      <c r="AI405" s="23" t="n">
        <f aca="false" t="array" ref="AI405:AI405">INDEX(Matériaux!$C$16:$C$20,$D405)</f>
        <v>30</v>
      </c>
      <c r="AJ405" s="25" t="n">
        <f aca="false">Paramètres!$B$16+(1-Paramètres!$B$16)*(($J405-Paramètres!$B$14)/(Paramètres!$B$15-Paramètres!$B$14))^Paramètres!$B$17</f>
        <v>0.665999387952727</v>
      </c>
    </row>
    <row r="406" customFormat="false" ht="15.75" hidden="false" customHeight="true" outlineLevel="0" collapsed="false">
      <c r="A406" s="14" t="s">
        <v>522</v>
      </c>
      <c r="B406" s="15" t="s">
        <v>29</v>
      </c>
      <c r="C406" s="15" t="s">
        <v>177</v>
      </c>
      <c r="D406" s="16" t="n">
        <v>5</v>
      </c>
      <c r="E406" s="15" t="str">
        <f aca="false" t="array" ref="E406:E406">INDEX(Matériaux!$B$5:$F$12,MATCH(INDEX(Profils!$E$5:$E$34,$AE406),Matériaux!$A$5:$A$12,0),$D406)</f>
        <v>étoffe astrale</v>
      </c>
      <c r="F406" s="29" t="s">
        <v>117</v>
      </c>
      <c r="G406" s="10" t="str">
        <f aca="false" t="array" ref="G406:G406">INDEX(Profils!$D$5:$D$34,$AE406)&amp;" en "&amp;$E406</f>
        <v>Pantalon en étoffe astrale</v>
      </c>
      <c r="H406" s="16" t="n">
        <f aca="false" t="array" ref="H406:H406">INDEX(Matériaux!$B$16:$B$20,$D406)</f>
        <v>70</v>
      </c>
      <c r="I406" s="16" t="n">
        <f aca="false">IF(ISNUMBER($C$3),MIN(MAX(0,ROUND($C$3,0)),$AI406),$AI406)</f>
        <v>0</v>
      </c>
      <c r="J406" s="18" t="n">
        <f aca="false">$H406+$I406</f>
        <v>70</v>
      </c>
      <c r="K406" s="15" t="s">
        <v>109</v>
      </c>
      <c r="L406" s="19" t="n">
        <f aca="false" t="array" ref="L406:L406">IF(AND(INDEX(Profils!$F$5:$F$34,$AE406)&gt;0,INDEX(Profils!$U$5:$U$34,$AE406)&lt;=$AH406),ROUND(INDEX(Profils!$F$5:$F$34,$AE406)*Paramètres!$E$22*$AG406*$AJ406,Paramètres!$F$22),0)</f>
        <v>59</v>
      </c>
      <c r="M406" s="19" t="n">
        <f aca="false" t="array" ref="M406:M406">IF(AND(INDEX(Profils!$G$5:$G$34,$AE406)&gt;0,INDEX(Profils!$V$5:$V$34,$AE406)&lt;=$AH406),ROUND(INDEX(Profils!$G$5:$G$34,$AE406)*Paramètres!$E$23*$AG406*$AJ406,Paramètres!$F$23),0)</f>
        <v>0</v>
      </c>
      <c r="N406" s="19" t="n">
        <f aca="false" t="array" ref="N406:N406">IF(AND(INDEX(Profils!$H$5:$H$34,$AE406)&gt;0,INDEX(Profils!$W$5:$W$34,$AE406)&lt;=$AH406),ROUND(INDEX(Profils!$H$5:$H$34,$AE406)*Paramètres!$E$24*$AG406*$AJ406,Paramètres!$F$24),0)</f>
        <v>10</v>
      </c>
      <c r="O406" s="19" t="n">
        <f aca="false" t="array" ref="O406:O406">IF(AND(INDEX(Profils!$I$5:$I$34,$AE406)&gt;0,INDEX(Profils!$X$5:$X$34,$AE406)&lt;=$AH406),ROUND(INDEX(Profils!$I$5:$I$34,$AE406)*Paramètres!$E$25*$AG406*$AJ406,Paramètres!$F$25),0)</f>
        <v>23</v>
      </c>
      <c r="P406" s="19" t="n">
        <f aca="false" t="array" ref="P406:P406">IF(AND(INDEX(Profils!$J$5:$J$34,$AE406)&gt;0,INDEX(Profils!$Y$5:$Y$34,$AE406)&lt;=$AH406),ROUND(INDEX(Profils!$J$5:$J$34,$AE406)*Paramètres!$E$26*$AG406*$AJ406,Paramètres!$F$26),0)</f>
        <v>13</v>
      </c>
      <c r="Q406" s="19" t="n">
        <f aca="false" t="array" ref="Q406:Q406">IF(AND(INDEX(Profils!$K$5:$K$34,$AE406)&gt;0,INDEX(Profils!$Z$5:$Z$34,$AE406)&lt;=$AH406),ROUND(INDEX(Profils!$K$5:$K$34,$AE406)*Paramètres!$E$27*$AG406*$AJ406,Paramètres!$F$27),0)</f>
        <v>0</v>
      </c>
      <c r="R406" s="20" t="n">
        <f aca="false" t="array" ref="R406:R406">IF(AND(INDEX(Profils!$L$5:$L$34,$AE406)&gt;0,INDEX(Profils!$AA$5:$AA$34,$AE406)&lt;=$AH406),ROUND(INDEX(Profils!$L$5:$L$34,$AE406)*Paramètres!$E$28*$AG406*$AJ406,Paramètres!$F$28),0)</f>
        <v>0</v>
      </c>
      <c r="S406" s="20" t="n">
        <f aca="false" t="array" ref="S406:S406">IF(AND(INDEX(Profils!$M$5:$M$34,$AE406)&gt;0,INDEX(Profils!$AB$5:$AB$34,$AE406)&lt;=$AH406),ROUND(INDEX(Profils!$M$5:$M$34,$AE406)*Paramètres!$E$29*$AG406*$AJ406,Paramètres!$F$29),0)</f>
        <v>0</v>
      </c>
      <c r="T406" s="20" t="n">
        <f aca="false" t="array" ref="T406:T406">IF(AND(INDEX(Profils!$N$5:$N$34,$AE406)&gt;0,INDEX(Profils!$AC$5:$AC$34,$AE406)&lt;=$AH406),ROUND(INDEX(Profils!$N$5:$N$34,$AE406)*Paramètres!$E$30*$AG406*$AJ406,Paramètres!$F$30),0)</f>
        <v>0</v>
      </c>
      <c r="U406" s="19" t="n">
        <f aca="false" t="array" ref="U406:U406">IF(AND(INDEX(Profils!$O$5:$O$34,$AE406)&gt;0,INDEX(Profils!$AD$5:$AD$34,$AE406)&lt;=$AH406),ROUND(INDEX(Profils!$O$5:$O$34,$AE406)*Paramètres!$E$31*$AG406*$AJ406,Paramètres!$F$31),0)</f>
        <v>20</v>
      </c>
      <c r="V406" s="20" t="n">
        <f aca="false" t="array" ref="V406:V406">IF(AND(INDEX(Profils!$P$5:$P$34,$AE406)&gt;0,INDEX(Profils!$AE$5:$AE$34,$AE406)&lt;=$AH406),ROUND(INDEX(Profils!$P$5:$P$34,$AE406)*Paramètres!$E$32*$AG406*$AJ406,Paramètres!$F$32),0)</f>
        <v>0</v>
      </c>
      <c r="W406" s="20" t="n">
        <f aca="false" t="array" ref="W406:W406">IF(AND(INDEX(Profils!$Q$5:$Q$34,$AE406)&gt;0,INDEX(Profils!$AF$5:$AF$34,$AE406)&lt;=$AH406),ROUND(INDEX(Profils!$Q$5:$Q$34,$AE406)*Paramètres!$E$33*$AG406*$AJ406,Paramètres!$F$33),0)</f>
        <v>0.019</v>
      </c>
      <c r="X406" s="20" t="n">
        <f aca="false" t="array" ref="X406:X406">IF(AND(INDEX(Profils!$R$5:$R$34,$AE406)&gt;0,INDEX(Profils!$AG$5:$AG$34,$AE406)&lt;=$AH406),ROUND(INDEX(Profils!$R$5:$R$34,$AE406)*Paramètres!$E$34*$AG406*$AJ406,Paramètres!$F$34),0)</f>
        <v>0</v>
      </c>
      <c r="Y406" s="20" t="n">
        <f aca="false" t="array" ref="Y406:Y406">IF(AND(INDEX(Profils!$S$5:$S$34,$AE406)&gt;0,INDEX(Profils!$AH$5:$AH$34,$AE406)&lt;=$AH406),ROUND(INDEX(Profils!$S$5:$S$34,$AE406)*Paramètres!$E$35*$AG406*$AJ406,Paramètres!$F$35),0)</f>
        <v>0</v>
      </c>
      <c r="Z406" s="21" t="n">
        <f aca="false">ROUND(L406/Paramètres!$E$22+M406/Paramètres!$E$23+N406/Paramètres!$E$24+O406/Paramètres!$E$25+P406/Paramètres!$E$26+Q406/Paramètres!$E$27+R406/Paramètres!$E$28+S406/Paramètres!$E$29+T406/Paramètres!$E$30+U406/Paramètres!$E$31+V406/Paramètres!$E$32+W406/Paramètres!$E$33+X406/Paramètres!$E$34+Y406/Paramètres!$E$35,1)</f>
        <v>7.9</v>
      </c>
      <c r="AA406" s="22" t="s">
        <v>109</v>
      </c>
      <c r="AB406" s="22" t="s">
        <v>109</v>
      </c>
      <c r="AC406" s="15" t="str">
        <f aca="false">$E406</f>
        <v>étoffe astrale</v>
      </c>
      <c r="AD406" s="16" t="n">
        <f aca="false" t="array" ref="AD406:AD406">IF($I406&gt;=$AI406,"Max",ROUND(Paramètres!$B$40*($I406+1)^Paramètres!$B$41*INDEX(Paramètres!$H$6:$H$12,$AF406),0))</f>
        <v>6</v>
      </c>
      <c r="AE406" s="23" t="n">
        <f aca="false">MATCH($B406&amp;"|"&amp;$C406,Profils!$A$5:$A$34,0)</f>
        <v>13</v>
      </c>
      <c r="AF406" s="23" t="n">
        <v>5</v>
      </c>
      <c r="AG406" s="24" t="n">
        <f aca="false" t="array" ref="AG406:AG406">INDEX(Paramètres!$C$6:$C$12,$AF406)</f>
        <v>2.1</v>
      </c>
      <c r="AH406" s="23" t="n">
        <f aca="false" t="array" ref="AH406:AH406">INDEX(Paramètres!$D$6:$D$12,$AF406)</f>
        <v>6</v>
      </c>
      <c r="AI406" s="23" t="n">
        <f aca="false" t="array" ref="AI406:AI406">INDEX(Matériaux!$C$16:$C$20,$D406)</f>
        <v>30</v>
      </c>
      <c r="AJ406" s="25" t="n">
        <f aca="false">Paramètres!$B$16+(1-Paramètres!$B$16)*(($J406-Paramètres!$B$14)/(Paramètres!$B$15-Paramètres!$B$14))^Paramètres!$B$17</f>
        <v>0.665999387952727</v>
      </c>
    </row>
    <row r="407" customFormat="false" ht="15.75" hidden="false" customHeight="true" outlineLevel="0" collapsed="false">
      <c r="A407" s="14" t="s">
        <v>523</v>
      </c>
      <c r="B407" s="15" t="s">
        <v>29</v>
      </c>
      <c r="C407" s="15" t="s">
        <v>177</v>
      </c>
      <c r="D407" s="16" t="n">
        <v>5</v>
      </c>
      <c r="E407" s="15" t="str">
        <f aca="false" t="array" ref="E407:E407">INDEX(Matériaux!$B$5:$F$12,MATCH(INDEX(Profils!$E$5:$E$34,$AE407),Matériaux!$A$5:$A$12,0),$D407)</f>
        <v>étoffe astrale</v>
      </c>
      <c r="F407" s="30" t="s">
        <v>119</v>
      </c>
      <c r="G407" s="10" t="str">
        <f aca="false" t="array" ref="G407:G407">INDEX(Profils!$D$5:$D$34,$AE407)&amp;" en "&amp;$E407</f>
        <v>Pantalon en étoffe astrale</v>
      </c>
      <c r="H407" s="16" t="n">
        <f aca="false" t="array" ref="H407:H407">INDEX(Matériaux!$B$16:$B$20,$D407)</f>
        <v>70</v>
      </c>
      <c r="I407" s="16" t="n">
        <f aca="false">IF(ISNUMBER($C$3),MIN(MAX(0,ROUND($C$3,0)),$AI407),$AI407)</f>
        <v>0</v>
      </c>
      <c r="J407" s="18" t="n">
        <f aca="false">$H407+$I407</f>
        <v>70</v>
      </c>
      <c r="K407" s="15" t="s">
        <v>109</v>
      </c>
      <c r="L407" s="19" t="n">
        <f aca="false" t="array" ref="L407:L407">IF(AND(INDEX(Profils!$F$5:$F$34,$AE407)&gt;0,INDEX(Profils!$U$5:$U$34,$AE407)&lt;=$AH407),ROUND(INDEX(Profils!$F$5:$F$34,$AE407)*Paramètres!$E$22*$AG407*$AJ407,Paramètres!$F$22),0)</f>
        <v>68</v>
      </c>
      <c r="M407" s="19" t="n">
        <f aca="false" t="array" ref="M407:M407">IF(AND(INDEX(Profils!$G$5:$G$34,$AE407)&gt;0,INDEX(Profils!$V$5:$V$34,$AE407)&lt;=$AH407),ROUND(INDEX(Profils!$G$5:$G$34,$AE407)*Paramètres!$E$23*$AG407*$AJ407,Paramètres!$F$23),0)</f>
        <v>0</v>
      </c>
      <c r="N407" s="19" t="n">
        <f aca="false" t="array" ref="N407:N407">IF(AND(INDEX(Profils!$H$5:$H$34,$AE407)&gt;0,INDEX(Profils!$W$5:$W$34,$AE407)&lt;=$AH407),ROUND(INDEX(Profils!$H$5:$H$34,$AE407)*Paramètres!$E$24*$AG407*$AJ407,Paramètres!$F$24),0)</f>
        <v>12</v>
      </c>
      <c r="O407" s="19" t="n">
        <f aca="false" t="array" ref="O407:O407">IF(AND(INDEX(Profils!$I$5:$I$34,$AE407)&gt;0,INDEX(Profils!$X$5:$X$34,$AE407)&lt;=$AH407),ROUND(INDEX(Profils!$I$5:$I$34,$AE407)*Paramètres!$E$25*$AG407*$AJ407,Paramètres!$F$25),0)</f>
        <v>26</v>
      </c>
      <c r="P407" s="19" t="n">
        <f aca="false" t="array" ref="P407:P407">IF(AND(INDEX(Profils!$J$5:$J$34,$AE407)&gt;0,INDEX(Profils!$Y$5:$Y$34,$AE407)&lt;=$AH407),ROUND(INDEX(Profils!$J$5:$J$34,$AE407)*Paramètres!$E$26*$AG407*$AJ407,Paramètres!$F$26),0)</f>
        <v>15</v>
      </c>
      <c r="Q407" s="19" t="n">
        <f aca="false" t="array" ref="Q407:Q407">IF(AND(INDEX(Profils!$K$5:$K$34,$AE407)&gt;0,INDEX(Profils!$Z$5:$Z$34,$AE407)&lt;=$AH407),ROUND(INDEX(Profils!$K$5:$K$34,$AE407)*Paramètres!$E$27*$AG407*$AJ407,Paramètres!$F$27),0)</f>
        <v>0</v>
      </c>
      <c r="R407" s="20" t="n">
        <f aca="false" t="array" ref="R407:R407">IF(AND(INDEX(Profils!$L$5:$L$34,$AE407)&gt;0,INDEX(Profils!$AA$5:$AA$34,$AE407)&lt;=$AH407),ROUND(INDEX(Profils!$L$5:$L$34,$AE407)*Paramètres!$E$28*$AG407*$AJ407,Paramètres!$F$28),0)</f>
        <v>0</v>
      </c>
      <c r="S407" s="20" t="n">
        <f aca="false" t="array" ref="S407:S407">IF(AND(INDEX(Profils!$M$5:$M$34,$AE407)&gt;0,INDEX(Profils!$AB$5:$AB$34,$AE407)&lt;=$AH407),ROUND(INDEX(Profils!$M$5:$M$34,$AE407)*Paramètres!$E$29*$AG407*$AJ407,Paramètres!$F$29),0)</f>
        <v>0</v>
      </c>
      <c r="T407" s="20" t="n">
        <f aca="false" t="array" ref="T407:T407">IF(AND(INDEX(Profils!$N$5:$N$34,$AE407)&gt;0,INDEX(Profils!$AC$5:$AC$34,$AE407)&lt;=$AH407),ROUND(INDEX(Profils!$N$5:$N$34,$AE407)*Paramètres!$E$30*$AG407*$AJ407,Paramètres!$F$30),0)</f>
        <v>0</v>
      </c>
      <c r="U407" s="19" t="n">
        <f aca="false" t="array" ref="U407:U407">IF(AND(INDEX(Profils!$O$5:$O$34,$AE407)&gt;0,INDEX(Profils!$AD$5:$AD$34,$AE407)&lt;=$AH407),ROUND(INDEX(Profils!$O$5:$O$34,$AE407)*Paramètres!$E$31*$AG407*$AJ407,Paramètres!$F$31),0)</f>
        <v>22</v>
      </c>
      <c r="V407" s="20" t="n">
        <f aca="false" t="array" ref="V407:V407">IF(AND(INDEX(Profils!$P$5:$P$34,$AE407)&gt;0,INDEX(Profils!$AE$5:$AE$34,$AE407)&lt;=$AH407),ROUND(INDEX(Profils!$P$5:$P$34,$AE407)*Paramètres!$E$32*$AG407*$AJ407,Paramètres!$F$32),0)</f>
        <v>0</v>
      </c>
      <c r="W407" s="20" t="n">
        <f aca="false" t="array" ref="W407:W407">IF(AND(INDEX(Profils!$Q$5:$Q$34,$AE407)&gt;0,INDEX(Profils!$AF$5:$AF$34,$AE407)&lt;=$AH407),ROUND(INDEX(Profils!$Q$5:$Q$34,$AE407)*Paramètres!$E$33*$AG407*$AJ407,Paramètres!$F$33),0)</f>
        <v>0.022</v>
      </c>
      <c r="X407" s="20" t="n">
        <f aca="false" t="array" ref="X407:X407">IF(AND(INDEX(Profils!$R$5:$R$34,$AE407)&gt;0,INDEX(Profils!$AG$5:$AG$34,$AE407)&lt;=$AH407),ROUND(INDEX(Profils!$R$5:$R$34,$AE407)*Paramètres!$E$34*$AG407*$AJ407,Paramètres!$F$34),0)</f>
        <v>0.016</v>
      </c>
      <c r="Y407" s="20" t="n">
        <f aca="false" t="array" ref="Y407:Y407">IF(AND(INDEX(Profils!$S$5:$S$34,$AE407)&gt;0,INDEX(Profils!$AH$5:$AH$34,$AE407)&lt;=$AH407),ROUND(INDEX(Profils!$S$5:$S$34,$AE407)*Paramètres!$E$35*$AG407*$AJ407,Paramètres!$F$35),0)</f>
        <v>0</v>
      </c>
      <c r="Z407" s="21" t="n">
        <f aca="false">ROUND(L407/Paramètres!$E$22+M407/Paramètres!$E$23+N407/Paramètres!$E$24+O407/Paramètres!$E$25+P407/Paramètres!$E$26+Q407/Paramètres!$E$27+R407/Paramètres!$E$28+S407/Paramètres!$E$29+T407/Paramètres!$E$30+U407/Paramètres!$E$31+V407/Paramètres!$E$32+W407/Paramètres!$E$33+X407/Paramètres!$E$34+Y407/Paramètres!$E$35,1)</f>
        <v>9.9</v>
      </c>
      <c r="AA407" s="22" t="s">
        <v>109</v>
      </c>
      <c r="AB407" s="22" t="s">
        <v>109</v>
      </c>
      <c r="AC407" s="15" t="str">
        <f aca="false">$E407</f>
        <v>étoffe astrale</v>
      </c>
      <c r="AD407" s="16" t="n">
        <f aca="false" t="array" ref="AD407:AD407">IF($I407&gt;=$AI407,"Max",ROUND(Paramètres!$B$40*($I407+1)^Paramètres!$B$41*INDEX(Paramètres!$H$6:$H$12,$AF407),0))</f>
        <v>8</v>
      </c>
      <c r="AE407" s="23" t="n">
        <f aca="false">MATCH($B407&amp;"|"&amp;$C407,Profils!$A$5:$A$34,0)</f>
        <v>13</v>
      </c>
      <c r="AF407" s="23" t="n">
        <v>6</v>
      </c>
      <c r="AG407" s="24" t="n">
        <f aca="false" t="array" ref="AG407:AG407">INDEX(Paramètres!$C$6:$C$12,$AF407)</f>
        <v>2.4</v>
      </c>
      <c r="AH407" s="23" t="n">
        <f aca="false" t="array" ref="AH407:AH407">INDEX(Paramètres!$D$6:$D$12,$AF407)</f>
        <v>7</v>
      </c>
      <c r="AI407" s="23" t="n">
        <f aca="false" t="array" ref="AI407:AI407">INDEX(Matériaux!$C$16:$C$20,$D407)</f>
        <v>30</v>
      </c>
      <c r="AJ407" s="25" t="n">
        <f aca="false">Paramètres!$B$16+(1-Paramètres!$B$16)*(($J407-Paramètres!$B$14)/(Paramètres!$B$15-Paramètres!$B$14))^Paramètres!$B$17</f>
        <v>0.665999387952727</v>
      </c>
    </row>
    <row r="408" customFormat="false" ht="15.75" hidden="false" customHeight="true" outlineLevel="0" collapsed="false">
      <c r="A408" s="14" t="s">
        <v>524</v>
      </c>
      <c r="B408" s="15" t="s">
        <v>29</v>
      </c>
      <c r="C408" s="15" t="s">
        <v>177</v>
      </c>
      <c r="D408" s="16" t="s">
        <v>109</v>
      </c>
      <c r="E408" s="15" t="s">
        <v>109</v>
      </c>
      <c r="F408" s="31" t="s">
        <v>38</v>
      </c>
      <c r="G408" s="10" t="str">
        <f aca="false" t="array" ref="G408:G408">INDEX(Uniques!$E$5:$E$34,MATCH($B408&amp;"|"&amp;$C408,Uniques!$A$5:$A$34,0))</f>
        <v>Pantalon du Tisseur de Tempêtes</v>
      </c>
      <c r="H408" s="16" t="n">
        <f aca="false" t="array" ref="H408:H408">INDEX(Uniques!$L$5:$L$34,MATCH($B408&amp;"|"&amp;$C408,Uniques!$A$5:$A$34,0))</f>
        <v>71</v>
      </c>
      <c r="I408" s="16" t="n">
        <f aca="false">IF(ISNUMBER($C$3),MIN(MAX(0,ROUND($C$3,0)),$AI408),$AI408)</f>
        <v>0</v>
      </c>
      <c r="J408" s="18" t="n">
        <f aca="false">$H408+$I408</f>
        <v>71</v>
      </c>
      <c r="K408" s="15" t="str">
        <f aca="false" t="array" ref="K408:K408">INDEX(Uniques!$F$5:$F$34,MATCH($B408&amp;"|"&amp;$C408,Uniques!$A$5:$A$34,0))</f>
        <v>Électricité</v>
      </c>
      <c r="L408" s="19" t="n">
        <f aca="false" t="array" ref="L408:L408">IF(AND(INDEX(Profils!$F$5:$F$34,$AE408)&gt;0,INDEX(Profils!$U$5:$U$34,$AE408)&lt;=$AH408),ROUND(INDEX(Profils!$F$5:$F$34,$AE408)*Paramètres!$E$22*$AG408*$AJ408,Paramètres!$F$22),0)</f>
        <v>72</v>
      </c>
      <c r="M408" s="19" t="n">
        <f aca="false" t="array" ref="M408:M408">IF(AND(INDEX(Profils!$G$5:$G$34,$AE408)&gt;0,INDEX(Profils!$V$5:$V$34,$AE408)&lt;=$AH408),ROUND(INDEX(Profils!$G$5:$G$34,$AE408)*Paramètres!$E$23*$AG408*$AJ408,Paramètres!$F$23),0)</f>
        <v>0</v>
      </c>
      <c r="N408" s="19" t="n">
        <f aca="false" t="array" ref="N408:N408">IF(AND(INDEX(Profils!$H$5:$H$34,$AE408)&gt;0,INDEX(Profils!$W$5:$W$34,$AE408)&lt;=$AH408),ROUND(INDEX(Profils!$H$5:$H$34,$AE408)*Paramètres!$E$24*$AG408*$AJ408,Paramètres!$F$24),0)</f>
        <v>13</v>
      </c>
      <c r="O408" s="19" t="n">
        <f aca="false" t="array" ref="O408:O408">IF(AND(INDEX(Profils!$I$5:$I$34,$AE408)&gt;0,INDEX(Profils!$X$5:$X$34,$AE408)&lt;=$AH408),ROUND(INDEX(Profils!$I$5:$I$34,$AE408)*Paramètres!$E$25*$AG408*$AJ408,Paramètres!$F$25),0)</f>
        <v>28</v>
      </c>
      <c r="P408" s="19" t="n">
        <f aca="false" t="array" ref="P408:P408">IF(AND(INDEX(Profils!$J$5:$J$34,$AE408)&gt;0,INDEX(Profils!$Y$5:$Y$34,$AE408)&lt;=$AH408),ROUND(INDEX(Profils!$J$5:$J$34,$AE408)*Paramètres!$E$26*$AG408*$AJ408,Paramètres!$F$26),0)</f>
        <v>16</v>
      </c>
      <c r="Q408" s="19" t="n">
        <f aca="false" t="array" ref="Q408:Q408">IF(AND(INDEX(Profils!$K$5:$K$34,$AE408)&gt;0,INDEX(Profils!$Z$5:$Z$34,$AE408)&lt;=$AH408),ROUND(INDEX(Profils!$K$5:$K$34,$AE408)*Paramètres!$E$27*$AG408*$AJ408,Paramètres!$F$27),0)</f>
        <v>0</v>
      </c>
      <c r="R408" s="20" t="n">
        <f aca="false" t="array" ref="R408:R408">IF(AND(INDEX(Profils!$L$5:$L$34,$AE408)&gt;0,INDEX(Profils!$AA$5:$AA$34,$AE408)&lt;=$AH408),ROUND(INDEX(Profils!$L$5:$L$34,$AE408)*Paramètres!$E$28*$AG408*$AJ408,Paramètres!$F$28),0)</f>
        <v>0</v>
      </c>
      <c r="S408" s="20" t="n">
        <f aca="false" t="array" ref="S408:S408">IF(AND(INDEX(Profils!$M$5:$M$34,$AE408)&gt;0,INDEX(Profils!$AB$5:$AB$34,$AE408)&lt;=$AH408),ROUND(INDEX(Profils!$M$5:$M$34,$AE408)*Paramètres!$E$29*$AG408*$AJ408,Paramètres!$F$29),0)</f>
        <v>0</v>
      </c>
      <c r="T408" s="20" t="n">
        <f aca="false" t="array" ref="T408:T408">IF(AND(INDEX(Profils!$N$5:$N$34,$AE408)&gt;0,INDEX(Profils!$AC$5:$AC$34,$AE408)&lt;=$AH408),ROUND(INDEX(Profils!$N$5:$N$34,$AE408)*Paramètres!$E$30*$AG408*$AJ408,Paramètres!$F$30),0)</f>
        <v>0</v>
      </c>
      <c r="U408" s="19" t="n">
        <f aca="false" t="array" ref="U408:U408">IF(AND(INDEX(Profils!$O$5:$O$34,$AE408)&gt;0,INDEX(Profils!$AD$5:$AD$34,$AE408)&lt;=$AH408),ROUND(INDEX(Profils!$O$5:$O$34,$AE408)*Paramètres!$E$31*$AG408*$AJ408,Paramètres!$F$31),0)</f>
        <v>24</v>
      </c>
      <c r="V408" s="20" t="n">
        <f aca="false" t="array" ref="V408:V408">IF(AND(INDEX(Profils!$P$5:$P$34,$AE408)&gt;0,INDEX(Profils!$AE$5:$AE$34,$AE408)&lt;=$AH408),ROUND(INDEX(Profils!$P$5:$P$34,$AE408)*Paramètres!$E$32*$AG408*$AJ408,Paramètres!$F$32),0)</f>
        <v>0</v>
      </c>
      <c r="W408" s="20" t="n">
        <f aca="false" t="array" ref="W408:W408">IF(AND(INDEX(Profils!$Q$5:$Q$34,$AE408)&gt;0,INDEX(Profils!$AF$5:$AF$34,$AE408)&lt;=$AH408),ROUND(INDEX(Profils!$Q$5:$Q$34,$AE408)*Paramètres!$E$33*$AG408*$AJ408,Paramètres!$F$33),0)</f>
        <v>0.023</v>
      </c>
      <c r="X408" s="20" t="n">
        <f aca="false" t="array" ref="X408:X408">IF(AND(INDEX(Profils!$R$5:$R$34,$AE408)&gt;0,INDEX(Profils!$AG$5:$AG$34,$AE408)&lt;=$AH408),ROUND(INDEX(Profils!$R$5:$R$34,$AE408)*Paramètres!$E$34*$AG408*$AJ408,Paramètres!$F$34),0)</f>
        <v>0.017</v>
      </c>
      <c r="Y408" s="20" t="n">
        <f aca="false" t="array" ref="Y408:Y408">IF(AND(INDEX(Profils!$S$5:$S$34,$AE408)&gt;0,INDEX(Profils!$AH$5:$AH$34,$AE408)&lt;=$AH408),ROUND(INDEX(Profils!$S$5:$S$34,$AE408)*Paramètres!$E$35*$AG408*$AJ408,Paramètres!$F$35),0)</f>
        <v>0</v>
      </c>
      <c r="Z408" s="21" t="n">
        <f aca="false">ROUND(L408/Paramètres!$E$22+M408/Paramètres!$E$23+N408/Paramètres!$E$24+O408/Paramètres!$E$25+P408/Paramètres!$E$26+Q408/Paramètres!$E$27+R408/Paramètres!$E$28+S408/Paramètres!$E$29+T408/Paramètres!$E$30+U408/Paramètres!$E$31+V408/Paramètres!$E$32+W408/Paramètres!$E$33+X408/Paramètres!$E$34+Y408/Paramètres!$E$35,1)</f>
        <v>10.5</v>
      </c>
      <c r="AA408" s="22" t="str">
        <f aca="false" t="array" ref="AA408:AA408">INDEX(Uniques!$G$5:$G$34,MATCH($B408&amp;"|"&amp;$C408,Uniques!$A$5:$A$34,0))</f>
        <v>Tempête naissante</v>
      </c>
      <c r="AB408" s="22" t="str">
        <f aca="false" t="array" ref="AB408:AB408">INDEX(Uniques!$H$5:$H$34,MATCH($B408&amp;"|"&amp;$C408,Uniques!$A$5:$A$34,0))&amp;" ["&amp;INDEX(Uniques!$I$5:$I$34,MATCH($B408&amp;"|"&amp;$C408,Uniques!$A$5:$A$34,0))&amp;"]"</f>
        <v>Toutes les 3 compétences lancées, un éclair frappe un ennemi aléatoire pour 40 % de la Magie du porteur. [1 fois par tour.]</v>
      </c>
      <c r="AC408" s="15" t="str">
        <f aca="false" t="array" ref="AC408:AC408">INDEX(Matériaux!$B$5:$F$12,MATCH(INDEX(Profils!$E$5:$E$34,$AE408),Matériaux!$A$5:$A$12,0),MATCH(MIN($J408+1,100),Matériaux!$B$16:$B$20,1))</f>
        <v>étoffe astrale</v>
      </c>
      <c r="AD408" s="16" t="n">
        <f aca="false" t="array" ref="AD408:AD408">IF($I408&gt;=$AI408,"Max",ROUND(Paramètres!$B$40*($I408+1)^Paramètres!$B$41*INDEX(Paramètres!$H$6:$H$12,$AF408),0))</f>
        <v>9</v>
      </c>
      <c r="AE408" s="23" t="n">
        <f aca="false">MATCH($B408&amp;"|"&amp;$C408,Profils!$A$5:$A$34,0)</f>
        <v>13</v>
      </c>
      <c r="AF408" s="23" t="n">
        <v>7</v>
      </c>
      <c r="AG408" s="24" t="n">
        <f aca="false" t="array" ref="AG408:AG408">INDEX(Paramètres!$C$6:$C$12,$AF408)</f>
        <v>2.5</v>
      </c>
      <c r="AH408" s="23" t="n">
        <f aca="false" t="array" ref="AH408:AH408">INDEX(Paramètres!$D$6:$D$12,$AF408)</f>
        <v>7</v>
      </c>
      <c r="AI408" s="23" t="n">
        <f aca="false" t="array" ref="AI408:AI408">INDEX(Uniques!$M$5:$M$34,MATCH($B408&amp;"|"&amp;$C408,Uniques!$A$5:$A$34,0))</f>
        <v>29</v>
      </c>
      <c r="AJ408" s="25" t="n">
        <f aca="false">Paramètres!$B$16+(1-Paramètres!$B$16)*(($J408-Paramètres!$B$14)/(Paramètres!$B$15-Paramètres!$B$14))^Paramètres!$B$17</f>
        <v>0.67672788730503</v>
      </c>
    </row>
    <row r="409" customFormat="false" ht="15.75" hidden="false" customHeight="true" outlineLevel="0" collapsed="false">
      <c r="A409" s="14" t="s">
        <v>525</v>
      </c>
      <c r="B409" s="15" t="s">
        <v>29</v>
      </c>
      <c r="C409" s="15" t="s">
        <v>209</v>
      </c>
      <c r="D409" s="16" t="n">
        <v>1</v>
      </c>
      <c r="E409" s="15" t="str">
        <f aca="false" t="array" ref="E409:E409">INDEX(Matériaux!$B$5:$F$12,MATCH(INDEX(Profils!$E$5:$E$34,$AE409),Matériaux!$A$5:$A$12,0),$D409)</f>
        <v>lin</v>
      </c>
      <c r="F409" s="17" t="s">
        <v>108</v>
      </c>
      <c r="G409" s="10" t="str">
        <f aca="false" t="array" ref="G409:G409">INDEX(Profils!$D$5:$D$34,$AE409)&amp;" en "&amp;$E409</f>
        <v>Bottines en lin</v>
      </c>
      <c r="H409" s="16" t="n">
        <f aca="false" t="array" ref="H409:H409">INDEX(Matériaux!$B$16:$B$20,$D409)</f>
        <v>1</v>
      </c>
      <c r="I409" s="16" t="n">
        <f aca="false">IF(ISNUMBER($C$3),MIN(MAX(0,ROUND($C$3,0)),$AI409),$AI409)</f>
        <v>0</v>
      </c>
      <c r="J409" s="18" t="n">
        <f aca="false">$H409+$I409</f>
        <v>1</v>
      </c>
      <c r="K409" s="15" t="s">
        <v>109</v>
      </c>
      <c r="L409" s="19" t="n">
        <f aca="false" t="array" ref="L409:L409">IF(AND(INDEX(Profils!$F$5:$F$34,$AE409)&gt;0,INDEX(Profils!$U$5:$U$34,$AE409)&lt;=$AH409),ROUND(INDEX(Profils!$F$5:$F$34,$AE409)*Paramètres!$E$22*$AG409*$AJ409,Paramètres!$F$22),0)</f>
        <v>2</v>
      </c>
      <c r="M409" s="19" t="n">
        <f aca="false" t="array" ref="M409:M409">IF(AND(INDEX(Profils!$G$5:$G$34,$AE409)&gt;0,INDEX(Profils!$V$5:$V$34,$AE409)&lt;=$AH409),ROUND(INDEX(Profils!$G$5:$G$34,$AE409)*Paramètres!$E$23*$AG409*$AJ409,Paramètres!$F$23),0)</f>
        <v>0</v>
      </c>
      <c r="N409" s="19" t="n">
        <f aca="false" t="array" ref="N409:N409">IF(AND(INDEX(Profils!$H$5:$H$34,$AE409)&gt;0,INDEX(Profils!$W$5:$W$34,$AE409)&lt;=$AH409),ROUND(INDEX(Profils!$H$5:$H$34,$AE409)*Paramètres!$E$24*$AG409*$AJ409,Paramètres!$F$24),0)</f>
        <v>0</v>
      </c>
      <c r="O409" s="19" t="n">
        <f aca="false" t="array" ref="O409:O409">IF(AND(INDEX(Profils!$I$5:$I$34,$AE409)&gt;0,INDEX(Profils!$X$5:$X$34,$AE409)&lt;=$AH409),ROUND(INDEX(Profils!$I$5:$I$34,$AE409)*Paramètres!$E$25*$AG409*$AJ409,Paramètres!$F$25),0)</f>
        <v>0</v>
      </c>
      <c r="P409" s="19" t="n">
        <f aca="false" t="array" ref="P409:P409">IF(AND(INDEX(Profils!$J$5:$J$34,$AE409)&gt;0,INDEX(Profils!$Y$5:$Y$34,$AE409)&lt;=$AH409),ROUND(INDEX(Profils!$J$5:$J$34,$AE409)*Paramètres!$E$26*$AG409*$AJ409,Paramètres!$F$26),0)</f>
        <v>1</v>
      </c>
      <c r="Q409" s="19" t="n">
        <f aca="false" t="array" ref="Q409:Q409">IF(AND(INDEX(Profils!$K$5:$K$34,$AE409)&gt;0,INDEX(Profils!$Z$5:$Z$34,$AE409)&lt;=$AH409),ROUND(INDEX(Profils!$K$5:$K$34,$AE409)*Paramètres!$E$27*$AG409*$AJ409,Paramètres!$F$27),0)</f>
        <v>0</v>
      </c>
      <c r="R409" s="20" t="n">
        <f aca="false" t="array" ref="R409:R409">IF(AND(INDEX(Profils!$L$5:$L$34,$AE409)&gt;0,INDEX(Profils!$AA$5:$AA$34,$AE409)&lt;=$AH409),ROUND(INDEX(Profils!$L$5:$L$34,$AE409)*Paramètres!$E$28*$AG409*$AJ409,Paramètres!$F$28),0)</f>
        <v>0</v>
      </c>
      <c r="S409" s="20" t="n">
        <f aca="false" t="array" ref="S409:S409">IF(AND(INDEX(Profils!$M$5:$M$34,$AE409)&gt;0,INDEX(Profils!$AB$5:$AB$34,$AE409)&lt;=$AH409),ROUND(INDEX(Profils!$M$5:$M$34,$AE409)*Paramètres!$E$29*$AG409*$AJ409,Paramètres!$F$29),0)</f>
        <v>0</v>
      </c>
      <c r="T409" s="20" t="n">
        <f aca="false" t="array" ref="T409:T409">IF(AND(INDEX(Profils!$N$5:$N$34,$AE409)&gt;0,INDEX(Profils!$AC$5:$AC$34,$AE409)&lt;=$AH409),ROUND(INDEX(Profils!$N$5:$N$34,$AE409)*Paramètres!$E$30*$AG409*$AJ409,Paramètres!$F$30),0)</f>
        <v>0</v>
      </c>
      <c r="U409" s="19" t="n">
        <f aca="false" t="array" ref="U409:U409">IF(AND(INDEX(Profils!$O$5:$O$34,$AE409)&gt;0,INDEX(Profils!$AD$5:$AD$34,$AE409)&lt;=$AH409),ROUND(INDEX(Profils!$O$5:$O$34,$AE409)*Paramètres!$E$31*$AG409*$AJ409,Paramètres!$F$31),0)</f>
        <v>0</v>
      </c>
      <c r="V409" s="20" t="n">
        <f aca="false" t="array" ref="V409:V409">IF(AND(INDEX(Profils!$P$5:$P$34,$AE409)&gt;0,INDEX(Profils!$AE$5:$AE$34,$AE409)&lt;=$AH409),ROUND(INDEX(Profils!$P$5:$P$34,$AE409)*Paramètres!$E$32*$AG409*$AJ409,Paramètres!$F$32),0)</f>
        <v>0</v>
      </c>
      <c r="W409" s="20" t="n">
        <f aca="false" t="array" ref="W409:W409">IF(AND(INDEX(Profils!$Q$5:$Q$34,$AE409)&gt;0,INDEX(Profils!$AF$5:$AF$34,$AE409)&lt;=$AH409),ROUND(INDEX(Profils!$Q$5:$Q$34,$AE409)*Paramètres!$E$33*$AG409*$AJ409,Paramètres!$F$33),0)</f>
        <v>0</v>
      </c>
      <c r="X409" s="20" t="n">
        <f aca="false" t="array" ref="X409:X409">IF(AND(INDEX(Profils!$R$5:$R$34,$AE409)&gt;0,INDEX(Profils!$AG$5:$AG$34,$AE409)&lt;=$AH409),ROUND(INDEX(Profils!$R$5:$R$34,$AE409)*Paramètres!$E$34*$AG409*$AJ409,Paramètres!$F$34),0)</f>
        <v>0</v>
      </c>
      <c r="Y409" s="20" t="n">
        <f aca="false" t="array" ref="Y409:Y409">IF(AND(INDEX(Profils!$S$5:$S$34,$AE409)&gt;0,INDEX(Profils!$AH$5:$AH$34,$AE409)&lt;=$AH409),ROUND(INDEX(Profils!$S$5:$S$34,$AE409)*Paramètres!$E$35*$AG409*$AJ409,Paramètres!$F$35),0)</f>
        <v>0</v>
      </c>
      <c r="Z409" s="21" t="n">
        <f aca="false">ROUND(L409/Paramètres!$E$22+M409/Paramètres!$E$23+N409/Paramètres!$E$24+O409/Paramètres!$E$25+P409/Paramètres!$E$26+Q409/Paramètres!$E$27+R409/Paramètres!$E$28+S409/Paramètres!$E$29+T409/Paramètres!$E$30+U409/Paramètres!$E$31+V409/Paramètres!$E$32+W409/Paramètres!$E$33+X409/Paramètres!$E$34+Y409/Paramètres!$E$35,1)</f>
        <v>0.2</v>
      </c>
      <c r="AA409" s="22" t="s">
        <v>109</v>
      </c>
      <c r="AB409" s="22" t="s">
        <v>109</v>
      </c>
      <c r="AC409" s="15" t="str">
        <f aca="false">$E409</f>
        <v>lin</v>
      </c>
      <c r="AD409" s="16" t="n">
        <f aca="false" t="array" ref="AD409:AD409">IF($I409&gt;=$AI409,"Max",ROUND(Paramètres!$B$40*($I409+1)^Paramètres!$B$41*INDEX(Paramètres!$H$6:$H$12,$AF409),0))</f>
        <v>3</v>
      </c>
      <c r="AE409" s="23" t="n">
        <f aca="false">MATCH($B409&amp;"|"&amp;$C409,Profils!$A$5:$A$34,0)</f>
        <v>14</v>
      </c>
      <c r="AF409" s="23" t="n">
        <v>1</v>
      </c>
      <c r="AG409" s="24" t="n">
        <f aca="false" t="array" ref="AG409:AG409">INDEX(Paramètres!$C$6:$C$12,$AF409)</f>
        <v>1</v>
      </c>
      <c r="AH409" s="23" t="n">
        <f aca="false" t="array" ref="AH409:AH409">INDEX(Paramètres!$D$6:$D$12,$AF409)</f>
        <v>2</v>
      </c>
      <c r="AI409" s="23" t="n">
        <f aca="false" t="array" ref="AI409:AI409">INDEX(Matériaux!$C$16:$C$20,$D409)</f>
        <v>19</v>
      </c>
      <c r="AJ409" s="25" t="n">
        <f aca="false">Paramètres!$B$16+(1-Paramètres!$B$16)*(($J409-Paramètres!$B$14)/(Paramètres!$B$15-Paramètres!$B$14))^Paramètres!$B$17</f>
        <v>0.05</v>
      </c>
    </row>
    <row r="410" customFormat="false" ht="15.75" hidden="false" customHeight="true" outlineLevel="0" collapsed="false">
      <c r="A410" s="14" t="s">
        <v>526</v>
      </c>
      <c r="B410" s="15" t="s">
        <v>29</v>
      </c>
      <c r="C410" s="15" t="s">
        <v>209</v>
      </c>
      <c r="D410" s="16" t="n">
        <v>1</v>
      </c>
      <c r="E410" s="15" t="str">
        <f aca="false" t="array" ref="E410:E410">INDEX(Matériaux!$B$5:$F$12,MATCH(INDEX(Profils!$E$5:$E$34,$AE410),Matériaux!$A$5:$A$12,0),$D410)</f>
        <v>lin</v>
      </c>
      <c r="F410" s="26" t="s">
        <v>111</v>
      </c>
      <c r="G410" s="10" t="str">
        <f aca="false" t="array" ref="G410:G410">INDEX(Profils!$D$5:$D$34,$AE410)&amp;" en "&amp;$E410</f>
        <v>Bottines en lin</v>
      </c>
      <c r="H410" s="16" t="n">
        <f aca="false" t="array" ref="H410:H410">INDEX(Matériaux!$B$16:$B$20,$D410)</f>
        <v>1</v>
      </c>
      <c r="I410" s="16" t="n">
        <f aca="false">IF(ISNUMBER($C$3),MIN(MAX(0,ROUND($C$3,0)),$AI410),$AI410)</f>
        <v>0</v>
      </c>
      <c r="J410" s="18" t="n">
        <f aca="false">$H410+$I410</f>
        <v>1</v>
      </c>
      <c r="K410" s="15" t="s">
        <v>109</v>
      </c>
      <c r="L410" s="19" t="n">
        <f aca="false" t="array" ref="L410:L410">IF(AND(INDEX(Profils!$F$5:$F$34,$AE410)&gt;0,INDEX(Profils!$U$5:$U$34,$AE410)&lt;=$AH410),ROUND(INDEX(Profils!$F$5:$F$34,$AE410)*Paramètres!$E$22*$AG410*$AJ410,Paramètres!$F$22),0)</f>
        <v>2</v>
      </c>
      <c r="M410" s="19" t="n">
        <f aca="false" t="array" ref="M410:M410">IF(AND(INDEX(Profils!$G$5:$G$34,$AE410)&gt;0,INDEX(Profils!$V$5:$V$34,$AE410)&lt;=$AH410),ROUND(INDEX(Profils!$G$5:$G$34,$AE410)*Paramètres!$E$23*$AG410*$AJ410,Paramètres!$F$23),0)</f>
        <v>0</v>
      </c>
      <c r="N410" s="19" t="n">
        <f aca="false" t="array" ref="N410:N410">IF(AND(INDEX(Profils!$H$5:$H$34,$AE410)&gt;0,INDEX(Profils!$W$5:$W$34,$AE410)&lt;=$AH410),ROUND(INDEX(Profils!$H$5:$H$34,$AE410)*Paramètres!$E$24*$AG410*$AJ410,Paramètres!$F$24),0)</f>
        <v>0</v>
      </c>
      <c r="O410" s="19" t="n">
        <f aca="false" t="array" ref="O410:O410">IF(AND(INDEX(Profils!$I$5:$I$34,$AE410)&gt;0,INDEX(Profils!$X$5:$X$34,$AE410)&lt;=$AH410),ROUND(INDEX(Profils!$I$5:$I$34,$AE410)*Paramètres!$E$25*$AG410*$AJ410,Paramètres!$F$25),0)</f>
        <v>0</v>
      </c>
      <c r="P410" s="19" t="n">
        <f aca="false" t="array" ref="P410:P410">IF(AND(INDEX(Profils!$J$5:$J$34,$AE410)&gt;0,INDEX(Profils!$Y$5:$Y$34,$AE410)&lt;=$AH410),ROUND(INDEX(Profils!$J$5:$J$34,$AE410)*Paramètres!$E$26*$AG410*$AJ410,Paramètres!$F$26),0)</f>
        <v>1</v>
      </c>
      <c r="Q410" s="19" t="n">
        <f aca="false" t="array" ref="Q410:Q410">IF(AND(INDEX(Profils!$K$5:$K$34,$AE410)&gt;0,INDEX(Profils!$Z$5:$Z$34,$AE410)&lt;=$AH410),ROUND(INDEX(Profils!$K$5:$K$34,$AE410)*Paramètres!$E$27*$AG410*$AJ410,Paramètres!$F$27),0)</f>
        <v>1</v>
      </c>
      <c r="R410" s="20" t="n">
        <f aca="false" t="array" ref="R410:R410">IF(AND(INDEX(Profils!$L$5:$L$34,$AE410)&gt;0,INDEX(Profils!$AA$5:$AA$34,$AE410)&lt;=$AH410),ROUND(INDEX(Profils!$L$5:$L$34,$AE410)*Paramètres!$E$28*$AG410*$AJ410,Paramètres!$F$28),0)</f>
        <v>0</v>
      </c>
      <c r="S410" s="20" t="n">
        <f aca="false" t="array" ref="S410:S410">IF(AND(INDEX(Profils!$M$5:$M$34,$AE410)&gt;0,INDEX(Profils!$AB$5:$AB$34,$AE410)&lt;=$AH410),ROUND(INDEX(Profils!$M$5:$M$34,$AE410)*Paramètres!$E$29*$AG410*$AJ410,Paramètres!$F$29),0)</f>
        <v>0</v>
      </c>
      <c r="T410" s="20" t="n">
        <f aca="false" t="array" ref="T410:T410">IF(AND(INDEX(Profils!$N$5:$N$34,$AE410)&gt;0,INDEX(Profils!$AC$5:$AC$34,$AE410)&lt;=$AH410),ROUND(INDEX(Profils!$N$5:$N$34,$AE410)*Paramètres!$E$30*$AG410*$AJ410,Paramètres!$F$30),0)</f>
        <v>0</v>
      </c>
      <c r="U410" s="19" t="n">
        <f aca="false" t="array" ref="U410:U410">IF(AND(INDEX(Profils!$O$5:$O$34,$AE410)&gt;0,INDEX(Profils!$AD$5:$AD$34,$AE410)&lt;=$AH410),ROUND(INDEX(Profils!$O$5:$O$34,$AE410)*Paramètres!$E$31*$AG410*$AJ410,Paramètres!$F$31),0)</f>
        <v>0</v>
      </c>
      <c r="V410" s="20" t="n">
        <f aca="false" t="array" ref="V410:V410">IF(AND(INDEX(Profils!$P$5:$P$34,$AE410)&gt;0,INDEX(Profils!$AE$5:$AE$34,$AE410)&lt;=$AH410),ROUND(INDEX(Profils!$P$5:$P$34,$AE410)*Paramètres!$E$32*$AG410*$AJ410,Paramètres!$F$32),0)</f>
        <v>0</v>
      </c>
      <c r="W410" s="20" t="n">
        <f aca="false" t="array" ref="W410:W410">IF(AND(INDEX(Profils!$Q$5:$Q$34,$AE410)&gt;0,INDEX(Profils!$AF$5:$AF$34,$AE410)&lt;=$AH410),ROUND(INDEX(Profils!$Q$5:$Q$34,$AE410)*Paramètres!$E$33*$AG410*$AJ410,Paramètres!$F$33),0)</f>
        <v>0</v>
      </c>
      <c r="X410" s="20" t="n">
        <f aca="false" t="array" ref="X410:X410">IF(AND(INDEX(Profils!$R$5:$R$34,$AE410)&gt;0,INDEX(Profils!$AG$5:$AG$34,$AE410)&lt;=$AH410),ROUND(INDEX(Profils!$R$5:$R$34,$AE410)*Paramètres!$E$34*$AG410*$AJ410,Paramètres!$F$34),0)</f>
        <v>0</v>
      </c>
      <c r="Y410" s="20" t="n">
        <f aca="false" t="array" ref="Y410:Y410">IF(AND(INDEX(Profils!$S$5:$S$34,$AE410)&gt;0,INDEX(Profils!$AH$5:$AH$34,$AE410)&lt;=$AH410),ROUND(INDEX(Profils!$S$5:$S$34,$AE410)*Paramètres!$E$35*$AG410*$AJ410,Paramètres!$F$35),0)</f>
        <v>0</v>
      </c>
      <c r="Z410" s="21" t="n">
        <f aca="false">ROUND(L410/Paramètres!$E$22+M410/Paramètres!$E$23+N410/Paramètres!$E$24+O410/Paramètres!$E$25+P410/Paramètres!$E$26+Q410/Paramètres!$E$27+R410/Paramètres!$E$28+S410/Paramètres!$E$29+T410/Paramètres!$E$30+U410/Paramètres!$E$31+V410/Paramètres!$E$32+W410/Paramètres!$E$33+X410/Paramètres!$E$34+Y410/Paramètres!$E$35,1)</f>
        <v>0.3</v>
      </c>
      <c r="AA410" s="22" t="s">
        <v>109</v>
      </c>
      <c r="AB410" s="22" t="s">
        <v>109</v>
      </c>
      <c r="AC410" s="15" t="str">
        <f aca="false">$E410</f>
        <v>lin</v>
      </c>
      <c r="AD410" s="16" t="n">
        <f aca="false" t="array" ref="AD410:AD410">IF($I410&gt;=$AI410,"Max",ROUND(Paramètres!$B$40*($I410+1)^Paramètres!$B$41*INDEX(Paramètres!$H$6:$H$12,$AF410),0))</f>
        <v>4</v>
      </c>
      <c r="AE410" s="23" t="n">
        <f aca="false">MATCH($B410&amp;"|"&amp;$C410,Profils!$A$5:$A$34,0)</f>
        <v>14</v>
      </c>
      <c r="AF410" s="23" t="n">
        <v>2</v>
      </c>
      <c r="AG410" s="24" t="n">
        <f aca="false" t="array" ref="AG410:AG410">INDEX(Paramètres!$C$6:$C$12,$AF410)</f>
        <v>1.2</v>
      </c>
      <c r="AH410" s="23" t="n">
        <f aca="false" t="array" ref="AH410:AH410">INDEX(Paramètres!$D$6:$D$12,$AF410)</f>
        <v>3</v>
      </c>
      <c r="AI410" s="23" t="n">
        <f aca="false" t="array" ref="AI410:AI410">INDEX(Matériaux!$C$16:$C$20,$D410)</f>
        <v>19</v>
      </c>
      <c r="AJ410" s="25" t="n">
        <f aca="false">Paramètres!$B$16+(1-Paramètres!$B$16)*(($J410-Paramètres!$B$14)/(Paramètres!$B$15-Paramètres!$B$14))^Paramètres!$B$17</f>
        <v>0.05</v>
      </c>
    </row>
    <row r="411" customFormat="false" ht="15.75" hidden="false" customHeight="true" outlineLevel="0" collapsed="false">
      <c r="A411" s="14" t="s">
        <v>527</v>
      </c>
      <c r="B411" s="15" t="s">
        <v>29</v>
      </c>
      <c r="C411" s="15" t="s">
        <v>209</v>
      </c>
      <c r="D411" s="16" t="n">
        <v>1</v>
      </c>
      <c r="E411" s="15" t="str">
        <f aca="false" t="array" ref="E411:E411">INDEX(Matériaux!$B$5:$F$12,MATCH(INDEX(Profils!$E$5:$E$34,$AE411),Matériaux!$A$5:$A$12,0),$D411)</f>
        <v>lin</v>
      </c>
      <c r="F411" s="27" t="s">
        <v>113</v>
      </c>
      <c r="G411" s="10" t="str">
        <f aca="false" t="array" ref="G411:G411">INDEX(Profils!$D$5:$D$34,$AE411)&amp;" en "&amp;$E411</f>
        <v>Bottines en lin</v>
      </c>
      <c r="H411" s="16" t="n">
        <f aca="false" t="array" ref="H411:H411">INDEX(Matériaux!$B$16:$B$20,$D411)</f>
        <v>1</v>
      </c>
      <c r="I411" s="16" t="n">
        <f aca="false">IF(ISNUMBER($C$3),MIN(MAX(0,ROUND($C$3,0)),$AI411),$AI411)</f>
        <v>0</v>
      </c>
      <c r="J411" s="18" t="n">
        <f aca="false">$H411+$I411</f>
        <v>1</v>
      </c>
      <c r="K411" s="15" t="s">
        <v>109</v>
      </c>
      <c r="L411" s="19" t="n">
        <f aca="false" t="array" ref="L411:L411">IF(AND(INDEX(Profils!$F$5:$F$34,$AE411)&gt;0,INDEX(Profils!$U$5:$U$34,$AE411)&lt;=$AH411),ROUND(INDEX(Profils!$F$5:$F$34,$AE411)*Paramètres!$E$22*$AG411*$AJ411,Paramètres!$F$22),0)</f>
        <v>2</v>
      </c>
      <c r="M411" s="19" t="n">
        <f aca="false" t="array" ref="M411:M411">IF(AND(INDEX(Profils!$G$5:$G$34,$AE411)&gt;0,INDEX(Profils!$V$5:$V$34,$AE411)&lt;=$AH411),ROUND(INDEX(Profils!$G$5:$G$34,$AE411)*Paramètres!$E$23*$AG411*$AJ411,Paramètres!$F$23),0)</f>
        <v>0</v>
      </c>
      <c r="N411" s="19" t="n">
        <f aca="false" t="array" ref="N411:N411">IF(AND(INDEX(Profils!$H$5:$H$34,$AE411)&gt;0,INDEX(Profils!$W$5:$W$34,$AE411)&lt;=$AH411),ROUND(INDEX(Profils!$H$5:$H$34,$AE411)*Paramètres!$E$24*$AG411*$AJ411,Paramètres!$F$24),0)</f>
        <v>0</v>
      </c>
      <c r="O411" s="19" t="n">
        <f aca="false" t="array" ref="O411:O411">IF(AND(INDEX(Profils!$I$5:$I$34,$AE411)&gt;0,INDEX(Profils!$X$5:$X$34,$AE411)&lt;=$AH411),ROUND(INDEX(Profils!$I$5:$I$34,$AE411)*Paramètres!$E$25*$AG411*$AJ411,Paramètres!$F$25),0)</f>
        <v>1</v>
      </c>
      <c r="P411" s="19" t="n">
        <f aca="false" t="array" ref="P411:P411">IF(AND(INDEX(Profils!$J$5:$J$34,$AE411)&gt;0,INDEX(Profils!$Y$5:$Y$34,$AE411)&lt;=$AH411),ROUND(INDEX(Profils!$J$5:$J$34,$AE411)*Paramètres!$E$26*$AG411*$AJ411,Paramètres!$F$26),0)</f>
        <v>1</v>
      </c>
      <c r="Q411" s="19" t="n">
        <f aca="false" t="array" ref="Q411:Q411">IF(AND(INDEX(Profils!$K$5:$K$34,$AE411)&gt;0,INDEX(Profils!$Z$5:$Z$34,$AE411)&lt;=$AH411),ROUND(INDEX(Profils!$K$5:$K$34,$AE411)*Paramètres!$E$27*$AG411*$AJ411,Paramètres!$F$27),0)</f>
        <v>1</v>
      </c>
      <c r="R411" s="20" t="n">
        <f aca="false" t="array" ref="R411:R411">IF(AND(INDEX(Profils!$L$5:$L$34,$AE411)&gt;0,INDEX(Profils!$AA$5:$AA$34,$AE411)&lt;=$AH411),ROUND(INDEX(Profils!$L$5:$L$34,$AE411)*Paramètres!$E$28*$AG411*$AJ411,Paramètres!$F$28),0)</f>
        <v>0</v>
      </c>
      <c r="S411" s="20" t="n">
        <f aca="false" t="array" ref="S411:S411">IF(AND(INDEX(Profils!$M$5:$M$34,$AE411)&gt;0,INDEX(Profils!$AB$5:$AB$34,$AE411)&lt;=$AH411),ROUND(INDEX(Profils!$M$5:$M$34,$AE411)*Paramètres!$E$29*$AG411*$AJ411,Paramètres!$F$29),0)</f>
        <v>0</v>
      </c>
      <c r="T411" s="20" t="n">
        <f aca="false" t="array" ref="T411:T411">IF(AND(INDEX(Profils!$N$5:$N$34,$AE411)&gt;0,INDEX(Profils!$AC$5:$AC$34,$AE411)&lt;=$AH411),ROUND(INDEX(Profils!$N$5:$N$34,$AE411)*Paramètres!$E$30*$AG411*$AJ411,Paramètres!$F$30),0)</f>
        <v>0</v>
      </c>
      <c r="U411" s="19" t="n">
        <f aca="false" t="array" ref="U411:U411">IF(AND(INDEX(Profils!$O$5:$O$34,$AE411)&gt;0,INDEX(Profils!$AD$5:$AD$34,$AE411)&lt;=$AH411),ROUND(INDEX(Profils!$O$5:$O$34,$AE411)*Paramètres!$E$31*$AG411*$AJ411,Paramètres!$F$31),0)</f>
        <v>0</v>
      </c>
      <c r="V411" s="20" t="n">
        <f aca="false" t="array" ref="V411:V411">IF(AND(INDEX(Profils!$P$5:$P$34,$AE411)&gt;0,INDEX(Profils!$AE$5:$AE$34,$AE411)&lt;=$AH411),ROUND(INDEX(Profils!$P$5:$P$34,$AE411)*Paramètres!$E$32*$AG411*$AJ411,Paramètres!$F$32),0)</f>
        <v>0</v>
      </c>
      <c r="W411" s="20" t="n">
        <f aca="false" t="array" ref="W411:W411">IF(AND(INDEX(Profils!$Q$5:$Q$34,$AE411)&gt;0,INDEX(Profils!$AF$5:$AF$34,$AE411)&lt;=$AH411),ROUND(INDEX(Profils!$Q$5:$Q$34,$AE411)*Paramètres!$E$33*$AG411*$AJ411,Paramètres!$F$33),0)</f>
        <v>0</v>
      </c>
      <c r="X411" s="20" t="n">
        <f aca="false" t="array" ref="X411:X411">IF(AND(INDEX(Profils!$R$5:$R$34,$AE411)&gt;0,INDEX(Profils!$AG$5:$AG$34,$AE411)&lt;=$AH411),ROUND(INDEX(Profils!$R$5:$R$34,$AE411)*Paramètres!$E$34*$AG411*$AJ411,Paramètres!$F$34),0)</f>
        <v>0</v>
      </c>
      <c r="Y411" s="20" t="n">
        <f aca="false" t="array" ref="Y411:Y411">IF(AND(INDEX(Profils!$S$5:$S$34,$AE411)&gt;0,INDEX(Profils!$AH$5:$AH$34,$AE411)&lt;=$AH411),ROUND(INDEX(Profils!$S$5:$S$34,$AE411)*Paramètres!$E$35*$AG411*$AJ411,Paramètres!$F$35),0)</f>
        <v>0</v>
      </c>
      <c r="Z411" s="21" t="n">
        <f aca="false">ROUND(L411/Paramètres!$E$22+M411/Paramètres!$E$23+N411/Paramètres!$E$24+O411/Paramètres!$E$25+P411/Paramètres!$E$26+Q411/Paramètres!$E$27+R411/Paramètres!$E$28+S411/Paramètres!$E$29+T411/Paramètres!$E$30+U411/Paramètres!$E$31+V411/Paramètres!$E$32+W411/Paramètres!$E$33+X411/Paramètres!$E$34+Y411/Paramètres!$E$35,1)</f>
        <v>0.3</v>
      </c>
      <c r="AA411" s="22" t="s">
        <v>109</v>
      </c>
      <c r="AB411" s="22" t="s">
        <v>109</v>
      </c>
      <c r="AC411" s="15" t="str">
        <f aca="false">$E411</f>
        <v>lin</v>
      </c>
      <c r="AD411" s="16" t="n">
        <f aca="false" t="array" ref="AD411:AD411">IF($I411&gt;=$AI411,"Max",ROUND(Paramètres!$B$40*($I411+1)^Paramètres!$B$41*INDEX(Paramètres!$H$6:$H$12,$AF411),0))</f>
        <v>4</v>
      </c>
      <c r="AE411" s="23" t="n">
        <f aca="false">MATCH($B411&amp;"|"&amp;$C411,Profils!$A$5:$A$34,0)</f>
        <v>14</v>
      </c>
      <c r="AF411" s="23" t="n">
        <v>3</v>
      </c>
      <c r="AG411" s="24" t="n">
        <f aca="false" t="array" ref="AG411:AG411">INDEX(Paramètres!$C$6:$C$12,$AF411)</f>
        <v>1.45</v>
      </c>
      <c r="AH411" s="23" t="n">
        <f aca="false" t="array" ref="AH411:AH411">INDEX(Paramètres!$D$6:$D$12,$AF411)</f>
        <v>4</v>
      </c>
      <c r="AI411" s="23" t="n">
        <f aca="false" t="array" ref="AI411:AI411">INDEX(Matériaux!$C$16:$C$20,$D411)</f>
        <v>19</v>
      </c>
      <c r="AJ411" s="25" t="n">
        <f aca="false">Paramètres!$B$16+(1-Paramètres!$B$16)*(($J411-Paramètres!$B$14)/(Paramètres!$B$15-Paramètres!$B$14))^Paramètres!$B$17</f>
        <v>0.05</v>
      </c>
    </row>
    <row r="412" customFormat="false" ht="15.75" hidden="false" customHeight="true" outlineLevel="0" collapsed="false">
      <c r="A412" s="14" t="s">
        <v>528</v>
      </c>
      <c r="B412" s="15" t="s">
        <v>29</v>
      </c>
      <c r="C412" s="15" t="s">
        <v>209</v>
      </c>
      <c r="D412" s="16" t="n">
        <v>1</v>
      </c>
      <c r="E412" s="15" t="str">
        <f aca="false" t="array" ref="E412:E412">INDEX(Matériaux!$B$5:$F$12,MATCH(INDEX(Profils!$E$5:$E$34,$AE412),Matériaux!$A$5:$A$12,0),$D412)</f>
        <v>lin</v>
      </c>
      <c r="F412" s="28" t="s">
        <v>115</v>
      </c>
      <c r="G412" s="10" t="str">
        <f aca="false" t="array" ref="G412:G412">INDEX(Profils!$D$5:$D$34,$AE412)&amp;" en "&amp;$E412</f>
        <v>Bottines en lin</v>
      </c>
      <c r="H412" s="16" t="n">
        <f aca="false" t="array" ref="H412:H412">INDEX(Matériaux!$B$16:$B$20,$D412)</f>
        <v>1</v>
      </c>
      <c r="I412" s="16" t="n">
        <f aca="false">IF(ISNUMBER($C$3),MIN(MAX(0,ROUND($C$3,0)),$AI412),$AI412)</f>
        <v>0</v>
      </c>
      <c r="J412" s="18" t="n">
        <f aca="false">$H412+$I412</f>
        <v>1</v>
      </c>
      <c r="K412" s="15" t="s">
        <v>109</v>
      </c>
      <c r="L412" s="19" t="n">
        <f aca="false" t="array" ref="L412:L412">IF(AND(INDEX(Profils!$F$5:$F$34,$AE412)&gt;0,INDEX(Profils!$U$5:$U$34,$AE412)&lt;=$AH412),ROUND(INDEX(Profils!$F$5:$F$34,$AE412)*Paramètres!$E$22*$AG412*$AJ412,Paramètres!$F$22),0)</f>
        <v>3</v>
      </c>
      <c r="M412" s="19" t="n">
        <f aca="false" t="array" ref="M412:M412">IF(AND(INDEX(Profils!$G$5:$G$34,$AE412)&gt;0,INDEX(Profils!$V$5:$V$34,$AE412)&lt;=$AH412),ROUND(INDEX(Profils!$G$5:$G$34,$AE412)*Paramètres!$E$23*$AG412*$AJ412,Paramètres!$F$23),0)</f>
        <v>0</v>
      </c>
      <c r="N412" s="19" t="n">
        <f aca="false" t="array" ref="N412:N412">IF(AND(INDEX(Profils!$H$5:$H$34,$AE412)&gt;0,INDEX(Profils!$W$5:$W$34,$AE412)&lt;=$AH412),ROUND(INDEX(Profils!$H$5:$H$34,$AE412)*Paramètres!$E$24*$AG412*$AJ412,Paramètres!$F$24),0)</f>
        <v>0</v>
      </c>
      <c r="O412" s="19" t="n">
        <f aca="false" t="array" ref="O412:O412">IF(AND(INDEX(Profils!$I$5:$I$34,$AE412)&gt;0,INDEX(Profils!$X$5:$X$34,$AE412)&lt;=$AH412),ROUND(INDEX(Profils!$I$5:$I$34,$AE412)*Paramètres!$E$25*$AG412*$AJ412,Paramètres!$F$25),0)</f>
        <v>1</v>
      </c>
      <c r="P412" s="19" t="n">
        <f aca="false" t="array" ref="P412:P412">IF(AND(INDEX(Profils!$J$5:$J$34,$AE412)&gt;0,INDEX(Profils!$Y$5:$Y$34,$AE412)&lt;=$AH412),ROUND(INDEX(Profils!$J$5:$J$34,$AE412)*Paramètres!$E$26*$AG412*$AJ412,Paramètres!$F$26),0)</f>
        <v>1</v>
      </c>
      <c r="Q412" s="19" t="n">
        <f aca="false" t="array" ref="Q412:Q412">IF(AND(INDEX(Profils!$K$5:$K$34,$AE412)&gt;0,INDEX(Profils!$Z$5:$Z$34,$AE412)&lt;=$AH412),ROUND(INDEX(Profils!$K$5:$K$34,$AE412)*Paramètres!$E$27*$AG412*$AJ412,Paramètres!$F$27),0)</f>
        <v>1</v>
      </c>
      <c r="R412" s="20" t="n">
        <f aca="false" t="array" ref="R412:R412">IF(AND(INDEX(Profils!$L$5:$L$34,$AE412)&gt;0,INDEX(Profils!$AA$5:$AA$34,$AE412)&lt;=$AH412),ROUND(INDEX(Profils!$L$5:$L$34,$AE412)*Paramètres!$E$28*$AG412*$AJ412,Paramètres!$F$28),0)</f>
        <v>0.001</v>
      </c>
      <c r="S412" s="20" t="n">
        <f aca="false" t="array" ref="S412:S412">IF(AND(INDEX(Profils!$M$5:$M$34,$AE412)&gt;0,INDEX(Profils!$AB$5:$AB$34,$AE412)&lt;=$AH412),ROUND(INDEX(Profils!$M$5:$M$34,$AE412)*Paramètres!$E$29*$AG412*$AJ412,Paramètres!$F$29),0)</f>
        <v>0</v>
      </c>
      <c r="T412" s="20" t="n">
        <f aca="false" t="array" ref="T412:T412">IF(AND(INDEX(Profils!$N$5:$N$34,$AE412)&gt;0,INDEX(Profils!$AC$5:$AC$34,$AE412)&lt;=$AH412),ROUND(INDEX(Profils!$N$5:$N$34,$AE412)*Paramètres!$E$30*$AG412*$AJ412,Paramètres!$F$30),0)</f>
        <v>0</v>
      </c>
      <c r="U412" s="19" t="n">
        <f aca="false" t="array" ref="U412:U412">IF(AND(INDEX(Profils!$O$5:$O$34,$AE412)&gt;0,INDEX(Profils!$AD$5:$AD$34,$AE412)&lt;=$AH412),ROUND(INDEX(Profils!$O$5:$O$34,$AE412)*Paramètres!$E$31*$AG412*$AJ412,Paramètres!$F$31),0)</f>
        <v>0</v>
      </c>
      <c r="V412" s="20" t="n">
        <f aca="false" t="array" ref="V412:V412">IF(AND(INDEX(Profils!$P$5:$P$34,$AE412)&gt;0,INDEX(Profils!$AE$5:$AE$34,$AE412)&lt;=$AH412),ROUND(INDEX(Profils!$P$5:$P$34,$AE412)*Paramètres!$E$32*$AG412*$AJ412,Paramètres!$F$32),0)</f>
        <v>0</v>
      </c>
      <c r="W412" s="20" t="n">
        <f aca="false" t="array" ref="W412:W412">IF(AND(INDEX(Profils!$Q$5:$Q$34,$AE412)&gt;0,INDEX(Profils!$AF$5:$AF$34,$AE412)&lt;=$AH412),ROUND(INDEX(Profils!$Q$5:$Q$34,$AE412)*Paramètres!$E$33*$AG412*$AJ412,Paramètres!$F$33),0)</f>
        <v>0</v>
      </c>
      <c r="X412" s="20" t="n">
        <f aca="false" t="array" ref="X412:X412">IF(AND(INDEX(Profils!$R$5:$R$34,$AE412)&gt;0,INDEX(Profils!$AG$5:$AG$34,$AE412)&lt;=$AH412),ROUND(INDEX(Profils!$R$5:$R$34,$AE412)*Paramètres!$E$34*$AG412*$AJ412,Paramètres!$F$34),0)</f>
        <v>0</v>
      </c>
      <c r="Y412" s="20" t="n">
        <f aca="false" t="array" ref="Y412:Y412">IF(AND(INDEX(Profils!$S$5:$S$34,$AE412)&gt;0,INDEX(Profils!$AH$5:$AH$34,$AE412)&lt;=$AH412),ROUND(INDEX(Profils!$S$5:$S$34,$AE412)*Paramètres!$E$35*$AG412*$AJ412,Paramètres!$F$35),0)</f>
        <v>0</v>
      </c>
      <c r="Z412" s="21" t="n">
        <f aca="false">ROUND(L412/Paramètres!$E$22+M412/Paramètres!$E$23+N412/Paramètres!$E$24+O412/Paramètres!$E$25+P412/Paramètres!$E$26+Q412/Paramètres!$E$27+R412/Paramètres!$E$28+S412/Paramètres!$E$29+T412/Paramètres!$E$30+U412/Paramètres!$E$31+V412/Paramètres!$E$32+W412/Paramètres!$E$33+X412/Paramètres!$E$34+Y412/Paramètres!$E$35,1)</f>
        <v>0.4</v>
      </c>
      <c r="AA412" s="22" t="s">
        <v>109</v>
      </c>
      <c r="AB412" s="22" t="s">
        <v>109</v>
      </c>
      <c r="AC412" s="15" t="str">
        <f aca="false">$E412</f>
        <v>lin</v>
      </c>
      <c r="AD412" s="16" t="n">
        <f aca="false" t="array" ref="AD412:AD412">IF($I412&gt;=$AI412,"Max",ROUND(Paramètres!$B$40*($I412+1)^Paramètres!$B$41*INDEX(Paramètres!$H$6:$H$12,$AF412),0))</f>
        <v>5</v>
      </c>
      <c r="AE412" s="23" t="n">
        <f aca="false">MATCH($B412&amp;"|"&amp;$C412,Profils!$A$5:$A$34,0)</f>
        <v>14</v>
      </c>
      <c r="AF412" s="23" t="n">
        <v>4</v>
      </c>
      <c r="AG412" s="24" t="n">
        <f aca="false" t="array" ref="AG412:AG412">INDEX(Paramètres!$C$6:$C$12,$AF412)</f>
        <v>1.75</v>
      </c>
      <c r="AH412" s="23" t="n">
        <f aca="false" t="array" ref="AH412:AH412">INDEX(Paramètres!$D$6:$D$12,$AF412)</f>
        <v>5</v>
      </c>
      <c r="AI412" s="23" t="n">
        <f aca="false" t="array" ref="AI412:AI412">INDEX(Matériaux!$C$16:$C$20,$D412)</f>
        <v>19</v>
      </c>
      <c r="AJ412" s="25" t="n">
        <f aca="false">Paramètres!$B$16+(1-Paramètres!$B$16)*(($J412-Paramètres!$B$14)/(Paramètres!$B$15-Paramètres!$B$14))^Paramètres!$B$17</f>
        <v>0.05</v>
      </c>
    </row>
    <row r="413" customFormat="false" ht="15.75" hidden="false" customHeight="true" outlineLevel="0" collapsed="false">
      <c r="A413" s="14" t="s">
        <v>529</v>
      </c>
      <c r="B413" s="15" t="s">
        <v>29</v>
      </c>
      <c r="C413" s="15" t="s">
        <v>209</v>
      </c>
      <c r="D413" s="16" t="n">
        <v>1</v>
      </c>
      <c r="E413" s="15" t="str">
        <f aca="false" t="array" ref="E413:E413">INDEX(Matériaux!$B$5:$F$12,MATCH(INDEX(Profils!$E$5:$E$34,$AE413),Matériaux!$A$5:$A$12,0),$D413)</f>
        <v>lin</v>
      </c>
      <c r="F413" s="29" t="s">
        <v>117</v>
      </c>
      <c r="G413" s="10" t="str">
        <f aca="false" t="array" ref="G413:G413">INDEX(Profils!$D$5:$D$34,$AE413)&amp;" en "&amp;$E413</f>
        <v>Bottines en lin</v>
      </c>
      <c r="H413" s="16" t="n">
        <f aca="false" t="array" ref="H413:H413">INDEX(Matériaux!$B$16:$B$20,$D413)</f>
        <v>1</v>
      </c>
      <c r="I413" s="16" t="n">
        <f aca="false">IF(ISNUMBER($C$3),MIN(MAX(0,ROUND($C$3,0)),$AI413),$AI413)</f>
        <v>0</v>
      </c>
      <c r="J413" s="18" t="n">
        <f aca="false">$H413+$I413</f>
        <v>1</v>
      </c>
      <c r="K413" s="15" t="s">
        <v>109</v>
      </c>
      <c r="L413" s="19" t="n">
        <f aca="false" t="array" ref="L413:L413">IF(AND(INDEX(Profils!$F$5:$F$34,$AE413)&gt;0,INDEX(Profils!$U$5:$U$34,$AE413)&lt;=$AH413),ROUND(INDEX(Profils!$F$5:$F$34,$AE413)*Paramètres!$E$22*$AG413*$AJ413,Paramètres!$F$22),0)</f>
        <v>3</v>
      </c>
      <c r="M413" s="19" t="n">
        <f aca="false" t="array" ref="M413:M413">IF(AND(INDEX(Profils!$G$5:$G$34,$AE413)&gt;0,INDEX(Profils!$V$5:$V$34,$AE413)&lt;=$AH413),ROUND(INDEX(Profils!$G$5:$G$34,$AE413)*Paramètres!$E$23*$AG413*$AJ413,Paramètres!$F$23),0)</f>
        <v>0</v>
      </c>
      <c r="N413" s="19" t="n">
        <f aca="false" t="array" ref="N413:N413">IF(AND(INDEX(Profils!$H$5:$H$34,$AE413)&gt;0,INDEX(Profils!$W$5:$W$34,$AE413)&lt;=$AH413),ROUND(INDEX(Profils!$H$5:$H$34,$AE413)*Paramètres!$E$24*$AG413*$AJ413,Paramètres!$F$24),0)</f>
        <v>0</v>
      </c>
      <c r="O413" s="19" t="n">
        <f aca="false" t="array" ref="O413:O413">IF(AND(INDEX(Profils!$I$5:$I$34,$AE413)&gt;0,INDEX(Profils!$X$5:$X$34,$AE413)&lt;=$AH413),ROUND(INDEX(Profils!$I$5:$I$34,$AE413)*Paramètres!$E$25*$AG413*$AJ413,Paramètres!$F$25),0)</f>
        <v>1</v>
      </c>
      <c r="P413" s="19" t="n">
        <f aca="false" t="array" ref="P413:P413">IF(AND(INDEX(Profils!$J$5:$J$34,$AE413)&gt;0,INDEX(Profils!$Y$5:$Y$34,$AE413)&lt;=$AH413),ROUND(INDEX(Profils!$J$5:$J$34,$AE413)*Paramètres!$E$26*$AG413*$AJ413,Paramètres!$F$26),0)</f>
        <v>2</v>
      </c>
      <c r="Q413" s="19" t="n">
        <f aca="false" t="array" ref="Q413:Q413">IF(AND(INDEX(Profils!$K$5:$K$34,$AE413)&gt;0,INDEX(Profils!$Z$5:$Z$34,$AE413)&lt;=$AH413),ROUND(INDEX(Profils!$K$5:$K$34,$AE413)*Paramètres!$E$27*$AG413*$AJ413,Paramètres!$F$27),0)</f>
        <v>1</v>
      </c>
      <c r="R413" s="20" t="n">
        <f aca="false" t="array" ref="R413:R413">IF(AND(INDEX(Profils!$L$5:$L$34,$AE413)&gt;0,INDEX(Profils!$AA$5:$AA$34,$AE413)&lt;=$AH413),ROUND(INDEX(Profils!$L$5:$L$34,$AE413)*Paramètres!$E$28*$AG413*$AJ413,Paramètres!$F$28),0)</f>
        <v>0.001</v>
      </c>
      <c r="S413" s="20" t="n">
        <f aca="false" t="array" ref="S413:S413">IF(AND(INDEX(Profils!$M$5:$M$34,$AE413)&gt;0,INDEX(Profils!$AB$5:$AB$34,$AE413)&lt;=$AH413),ROUND(INDEX(Profils!$M$5:$M$34,$AE413)*Paramètres!$E$29*$AG413*$AJ413,Paramètres!$F$29),0)</f>
        <v>0</v>
      </c>
      <c r="T413" s="20" t="n">
        <f aca="false" t="array" ref="T413:T413">IF(AND(INDEX(Profils!$N$5:$N$34,$AE413)&gt;0,INDEX(Profils!$AC$5:$AC$34,$AE413)&lt;=$AH413),ROUND(INDEX(Profils!$N$5:$N$34,$AE413)*Paramètres!$E$30*$AG413*$AJ413,Paramètres!$F$30),0)</f>
        <v>0</v>
      </c>
      <c r="U413" s="19" t="n">
        <f aca="false" t="array" ref="U413:U413">IF(AND(INDEX(Profils!$O$5:$O$34,$AE413)&gt;0,INDEX(Profils!$AD$5:$AD$34,$AE413)&lt;=$AH413),ROUND(INDEX(Profils!$O$5:$O$34,$AE413)*Paramètres!$E$31*$AG413*$AJ413,Paramètres!$F$31),0)</f>
        <v>0</v>
      </c>
      <c r="V413" s="20" t="n">
        <f aca="false" t="array" ref="V413:V413">IF(AND(INDEX(Profils!$P$5:$P$34,$AE413)&gt;0,INDEX(Profils!$AE$5:$AE$34,$AE413)&lt;=$AH413),ROUND(INDEX(Profils!$P$5:$P$34,$AE413)*Paramètres!$E$32*$AG413*$AJ413,Paramètres!$F$32),0)</f>
        <v>0</v>
      </c>
      <c r="W413" s="20" t="n">
        <f aca="false" t="array" ref="W413:W413">IF(AND(INDEX(Profils!$Q$5:$Q$34,$AE413)&gt;0,INDEX(Profils!$AF$5:$AF$34,$AE413)&lt;=$AH413),ROUND(INDEX(Profils!$Q$5:$Q$34,$AE413)*Paramètres!$E$33*$AG413*$AJ413,Paramètres!$F$33),0)</f>
        <v>0.001</v>
      </c>
      <c r="X413" s="20" t="n">
        <f aca="false" t="array" ref="X413:X413">IF(AND(INDEX(Profils!$R$5:$R$34,$AE413)&gt;0,INDEX(Profils!$AG$5:$AG$34,$AE413)&lt;=$AH413),ROUND(INDEX(Profils!$R$5:$R$34,$AE413)*Paramètres!$E$34*$AG413*$AJ413,Paramètres!$F$34),0)</f>
        <v>0</v>
      </c>
      <c r="Y413" s="20" t="n">
        <f aca="false" t="array" ref="Y413:Y413">IF(AND(INDEX(Profils!$S$5:$S$34,$AE413)&gt;0,INDEX(Profils!$AH$5:$AH$34,$AE413)&lt;=$AH413),ROUND(INDEX(Profils!$S$5:$S$34,$AE413)*Paramètres!$E$35*$AG413*$AJ413,Paramètres!$F$35),0)</f>
        <v>0</v>
      </c>
      <c r="Z413" s="21" t="n">
        <f aca="false">ROUND(L413/Paramètres!$E$22+M413/Paramètres!$E$23+N413/Paramètres!$E$24+O413/Paramètres!$E$25+P413/Paramètres!$E$26+Q413/Paramètres!$E$27+R413/Paramètres!$E$28+S413/Paramètres!$E$29+T413/Paramètres!$E$30+U413/Paramètres!$E$31+V413/Paramètres!$E$32+W413/Paramètres!$E$33+X413/Paramètres!$E$34+Y413/Paramètres!$E$35,1)</f>
        <v>0.6</v>
      </c>
      <c r="AA413" s="22" t="s">
        <v>109</v>
      </c>
      <c r="AB413" s="22" t="s">
        <v>109</v>
      </c>
      <c r="AC413" s="15" t="str">
        <f aca="false">$E413</f>
        <v>lin</v>
      </c>
      <c r="AD413" s="16" t="n">
        <f aca="false" t="array" ref="AD413:AD413">IF($I413&gt;=$AI413,"Max",ROUND(Paramètres!$B$40*($I413+1)^Paramètres!$B$41*INDEX(Paramètres!$H$6:$H$12,$AF413),0))</f>
        <v>6</v>
      </c>
      <c r="AE413" s="23" t="n">
        <f aca="false">MATCH($B413&amp;"|"&amp;$C413,Profils!$A$5:$A$34,0)</f>
        <v>14</v>
      </c>
      <c r="AF413" s="23" t="n">
        <v>5</v>
      </c>
      <c r="AG413" s="24" t="n">
        <f aca="false" t="array" ref="AG413:AG413">INDEX(Paramètres!$C$6:$C$12,$AF413)</f>
        <v>2.1</v>
      </c>
      <c r="AH413" s="23" t="n">
        <f aca="false" t="array" ref="AH413:AH413">INDEX(Paramètres!$D$6:$D$12,$AF413)</f>
        <v>6</v>
      </c>
      <c r="AI413" s="23" t="n">
        <f aca="false" t="array" ref="AI413:AI413">INDEX(Matériaux!$C$16:$C$20,$D413)</f>
        <v>19</v>
      </c>
      <c r="AJ413" s="25" t="n">
        <f aca="false">Paramètres!$B$16+(1-Paramètres!$B$16)*(($J413-Paramètres!$B$14)/(Paramètres!$B$15-Paramètres!$B$14))^Paramètres!$B$17</f>
        <v>0.05</v>
      </c>
    </row>
    <row r="414" customFormat="false" ht="15.75" hidden="false" customHeight="true" outlineLevel="0" collapsed="false">
      <c r="A414" s="14" t="s">
        <v>530</v>
      </c>
      <c r="B414" s="15" t="s">
        <v>29</v>
      </c>
      <c r="C414" s="15" t="s">
        <v>209</v>
      </c>
      <c r="D414" s="16" t="n">
        <v>1</v>
      </c>
      <c r="E414" s="15" t="str">
        <f aca="false" t="array" ref="E414:E414">INDEX(Matériaux!$B$5:$F$12,MATCH(INDEX(Profils!$E$5:$E$34,$AE414),Matériaux!$A$5:$A$12,0),$D414)</f>
        <v>lin</v>
      </c>
      <c r="F414" s="30" t="s">
        <v>119</v>
      </c>
      <c r="G414" s="10" t="str">
        <f aca="false" t="array" ref="G414:G414">INDEX(Profils!$D$5:$D$34,$AE414)&amp;" en "&amp;$E414</f>
        <v>Bottines en lin</v>
      </c>
      <c r="H414" s="16" t="n">
        <f aca="false" t="array" ref="H414:H414">INDEX(Matériaux!$B$16:$B$20,$D414)</f>
        <v>1</v>
      </c>
      <c r="I414" s="16" t="n">
        <f aca="false">IF(ISNUMBER($C$3),MIN(MAX(0,ROUND($C$3,0)),$AI414),$AI414)</f>
        <v>0</v>
      </c>
      <c r="J414" s="18" t="n">
        <f aca="false">$H414+$I414</f>
        <v>1</v>
      </c>
      <c r="K414" s="15" t="s">
        <v>109</v>
      </c>
      <c r="L414" s="19" t="n">
        <f aca="false" t="array" ref="L414:L414">IF(AND(INDEX(Profils!$F$5:$F$34,$AE414)&gt;0,INDEX(Profils!$U$5:$U$34,$AE414)&lt;=$AH414),ROUND(INDEX(Profils!$F$5:$F$34,$AE414)*Paramètres!$E$22*$AG414*$AJ414,Paramètres!$F$22),0)</f>
        <v>4</v>
      </c>
      <c r="M414" s="19" t="n">
        <f aca="false" t="array" ref="M414:M414">IF(AND(INDEX(Profils!$G$5:$G$34,$AE414)&gt;0,INDEX(Profils!$V$5:$V$34,$AE414)&lt;=$AH414),ROUND(INDEX(Profils!$G$5:$G$34,$AE414)*Paramètres!$E$23*$AG414*$AJ414,Paramètres!$F$23),0)</f>
        <v>0</v>
      </c>
      <c r="N414" s="19" t="n">
        <f aca="false" t="array" ref="N414:N414">IF(AND(INDEX(Profils!$H$5:$H$34,$AE414)&gt;0,INDEX(Profils!$W$5:$W$34,$AE414)&lt;=$AH414),ROUND(INDEX(Profils!$H$5:$H$34,$AE414)*Paramètres!$E$24*$AG414*$AJ414,Paramètres!$F$24),0)</f>
        <v>0</v>
      </c>
      <c r="O414" s="19" t="n">
        <f aca="false" t="array" ref="O414:O414">IF(AND(INDEX(Profils!$I$5:$I$34,$AE414)&gt;0,INDEX(Profils!$X$5:$X$34,$AE414)&lt;=$AH414),ROUND(INDEX(Profils!$I$5:$I$34,$AE414)*Paramètres!$E$25*$AG414*$AJ414,Paramètres!$F$25),0)</f>
        <v>1</v>
      </c>
      <c r="P414" s="19" t="n">
        <f aca="false" t="array" ref="P414:P414">IF(AND(INDEX(Profils!$J$5:$J$34,$AE414)&gt;0,INDEX(Profils!$Y$5:$Y$34,$AE414)&lt;=$AH414),ROUND(INDEX(Profils!$J$5:$J$34,$AE414)*Paramètres!$E$26*$AG414*$AJ414,Paramètres!$F$26),0)</f>
        <v>2</v>
      </c>
      <c r="Q414" s="19" t="n">
        <f aca="false" t="array" ref="Q414:Q414">IF(AND(INDEX(Profils!$K$5:$K$34,$AE414)&gt;0,INDEX(Profils!$Z$5:$Z$34,$AE414)&lt;=$AH414),ROUND(INDEX(Profils!$K$5:$K$34,$AE414)*Paramètres!$E$27*$AG414*$AJ414,Paramètres!$F$27),0)</f>
        <v>1</v>
      </c>
      <c r="R414" s="20" t="n">
        <f aca="false" t="array" ref="R414:R414">IF(AND(INDEX(Profils!$L$5:$L$34,$AE414)&gt;0,INDEX(Profils!$AA$5:$AA$34,$AE414)&lt;=$AH414),ROUND(INDEX(Profils!$L$5:$L$34,$AE414)*Paramètres!$E$28*$AG414*$AJ414,Paramètres!$F$28),0)</f>
        <v>0.001</v>
      </c>
      <c r="S414" s="20" t="n">
        <f aca="false" t="array" ref="S414:S414">IF(AND(INDEX(Profils!$M$5:$M$34,$AE414)&gt;0,INDEX(Profils!$AB$5:$AB$34,$AE414)&lt;=$AH414),ROUND(INDEX(Profils!$M$5:$M$34,$AE414)*Paramètres!$E$29*$AG414*$AJ414,Paramètres!$F$29),0)</f>
        <v>0</v>
      </c>
      <c r="T414" s="20" t="n">
        <f aca="false" t="array" ref="T414:T414">IF(AND(INDEX(Profils!$N$5:$N$34,$AE414)&gt;0,INDEX(Profils!$AC$5:$AC$34,$AE414)&lt;=$AH414),ROUND(INDEX(Profils!$N$5:$N$34,$AE414)*Paramètres!$E$30*$AG414*$AJ414,Paramètres!$F$30),0)</f>
        <v>0</v>
      </c>
      <c r="U414" s="19" t="n">
        <f aca="false" t="array" ref="U414:U414">IF(AND(INDEX(Profils!$O$5:$O$34,$AE414)&gt;0,INDEX(Profils!$AD$5:$AD$34,$AE414)&lt;=$AH414),ROUND(INDEX(Profils!$O$5:$O$34,$AE414)*Paramètres!$E$31*$AG414*$AJ414,Paramètres!$F$31),0)</f>
        <v>1</v>
      </c>
      <c r="V414" s="20" t="n">
        <f aca="false" t="array" ref="V414:V414">IF(AND(INDEX(Profils!$P$5:$P$34,$AE414)&gt;0,INDEX(Profils!$AE$5:$AE$34,$AE414)&lt;=$AH414),ROUND(INDEX(Profils!$P$5:$P$34,$AE414)*Paramètres!$E$32*$AG414*$AJ414,Paramètres!$F$32),0)</f>
        <v>0</v>
      </c>
      <c r="W414" s="20" t="n">
        <f aca="false" t="array" ref="W414:W414">IF(AND(INDEX(Profils!$Q$5:$Q$34,$AE414)&gt;0,INDEX(Profils!$AF$5:$AF$34,$AE414)&lt;=$AH414),ROUND(INDEX(Profils!$Q$5:$Q$34,$AE414)*Paramètres!$E$33*$AG414*$AJ414,Paramètres!$F$33),0)</f>
        <v>0.001</v>
      </c>
      <c r="X414" s="20" t="n">
        <f aca="false" t="array" ref="X414:X414">IF(AND(INDEX(Profils!$R$5:$R$34,$AE414)&gt;0,INDEX(Profils!$AG$5:$AG$34,$AE414)&lt;=$AH414),ROUND(INDEX(Profils!$R$5:$R$34,$AE414)*Paramètres!$E$34*$AG414*$AJ414,Paramètres!$F$34),0)</f>
        <v>0</v>
      </c>
      <c r="Y414" s="20" t="n">
        <f aca="false" t="array" ref="Y414:Y414">IF(AND(INDEX(Profils!$S$5:$S$34,$AE414)&gt;0,INDEX(Profils!$AH$5:$AH$34,$AE414)&lt;=$AH414),ROUND(INDEX(Profils!$S$5:$S$34,$AE414)*Paramètres!$E$35*$AG414*$AJ414,Paramètres!$F$35),0)</f>
        <v>0</v>
      </c>
      <c r="Z414" s="21" t="n">
        <f aca="false">ROUND(L414/Paramètres!$E$22+M414/Paramètres!$E$23+N414/Paramètres!$E$24+O414/Paramètres!$E$25+P414/Paramètres!$E$26+Q414/Paramètres!$E$27+R414/Paramètres!$E$28+S414/Paramètres!$E$29+T414/Paramètres!$E$30+U414/Paramètres!$E$31+V414/Paramètres!$E$32+W414/Paramètres!$E$33+X414/Paramètres!$E$34+Y414/Paramètres!$E$35,1)</f>
        <v>0.7</v>
      </c>
      <c r="AA414" s="22" t="s">
        <v>109</v>
      </c>
      <c r="AB414" s="22" t="s">
        <v>109</v>
      </c>
      <c r="AC414" s="15" t="str">
        <f aca="false">$E414</f>
        <v>lin</v>
      </c>
      <c r="AD414" s="16" t="n">
        <f aca="false" t="array" ref="AD414:AD414">IF($I414&gt;=$AI414,"Max",ROUND(Paramètres!$B$40*($I414+1)^Paramètres!$B$41*INDEX(Paramètres!$H$6:$H$12,$AF414),0))</f>
        <v>8</v>
      </c>
      <c r="AE414" s="23" t="n">
        <f aca="false">MATCH($B414&amp;"|"&amp;$C414,Profils!$A$5:$A$34,0)</f>
        <v>14</v>
      </c>
      <c r="AF414" s="23" t="n">
        <v>6</v>
      </c>
      <c r="AG414" s="24" t="n">
        <f aca="false" t="array" ref="AG414:AG414">INDEX(Paramètres!$C$6:$C$12,$AF414)</f>
        <v>2.4</v>
      </c>
      <c r="AH414" s="23" t="n">
        <f aca="false" t="array" ref="AH414:AH414">INDEX(Paramètres!$D$6:$D$12,$AF414)</f>
        <v>7</v>
      </c>
      <c r="AI414" s="23" t="n">
        <f aca="false" t="array" ref="AI414:AI414">INDEX(Matériaux!$C$16:$C$20,$D414)</f>
        <v>19</v>
      </c>
      <c r="AJ414" s="25" t="n">
        <f aca="false">Paramètres!$B$16+(1-Paramètres!$B$16)*(($J414-Paramètres!$B$14)/(Paramètres!$B$15-Paramètres!$B$14))^Paramètres!$B$17</f>
        <v>0.05</v>
      </c>
    </row>
    <row r="415" customFormat="false" ht="15.75" hidden="false" customHeight="true" outlineLevel="0" collapsed="false">
      <c r="A415" s="14" t="s">
        <v>531</v>
      </c>
      <c r="B415" s="15" t="s">
        <v>29</v>
      </c>
      <c r="C415" s="15" t="s">
        <v>209</v>
      </c>
      <c r="D415" s="16" t="n">
        <v>2</v>
      </c>
      <c r="E415" s="15" t="str">
        <f aca="false" t="array" ref="E415:E415">INDEX(Matériaux!$B$5:$F$12,MATCH(INDEX(Profils!$E$5:$E$34,$AE415),Matériaux!$A$5:$A$12,0),$D415)</f>
        <v>laine</v>
      </c>
      <c r="F415" s="17" t="s">
        <v>108</v>
      </c>
      <c r="G415" s="10" t="str">
        <f aca="false" t="array" ref="G415:G415">INDEX(Profils!$D$5:$D$34,$AE415)&amp;" en "&amp;$E415</f>
        <v>Bottines en laine</v>
      </c>
      <c r="H415" s="16" t="n">
        <f aca="false" t="array" ref="H415:H415">INDEX(Matériaux!$B$16:$B$20,$D415)</f>
        <v>15</v>
      </c>
      <c r="I415" s="16" t="n">
        <f aca="false">IF(ISNUMBER($C$3),MIN(MAX(0,ROUND($C$3,0)),$AI415),$AI415)</f>
        <v>0</v>
      </c>
      <c r="J415" s="18" t="n">
        <f aca="false">$H415+$I415</f>
        <v>15</v>
      </c>
      <c r="K415" s="15" t="s">
        <v>109</v>
      </c>
      <c r="L415" s="19" t="n">
        <f aca="false" t="array" ref="L415:L415">IF(AND(INDEX(Profils!$F$5:$F$34,$AE415)&gt;0,INDEX(Profils!$U$5:$U$34,$AE415)&lt;=$AH415),ROUND(INDEX(Profils!$F$5:$F$34,$AE415)*Paramètres!$E$22*$AG415*$AJ415,Paramètres!$F$22),0)</f>
        <v>4</v>
      </c>
      <c r="M415" s="19" t="n">
        <f aca="false" t="array" ref="M415:M415">IF(AND(INDEX(Profils!$G$5:$G$34,$AE415)&gt;0,INDEX(Profils!$V$5:$V$34,$AE415)&lt;=$AH415),ROUND(INDEX(Profils!$G$5:$G$34,$AE415)*Paramètres!$E$23*$AG415*$AJ415,Paramètres!$F$23),0)</f>
        <v>0</v>
      </c>
      <c r="N415" s="19" t="n">
        <f aca="false" t="array" ref="N415:N415">IF(AND(INDEX(Profils!$H$5:$H$34,$AE415)&gt;0,INDEX(Profils!$W$5:$W$34,$AE415)&lt;=$AH415),ROUND(INDEX(Profils!$H$5:$H$34,$AE415)*Paramètres!$E$24*$AG415*$AJ415,Paramètres!$F$24),0)</f>
        <v>0</v>
      </c>
      <c r="O415" s="19" t="n">
        <f aca="false" t="array" ref="O415:O415">IF(AND(INDEX(Profils!$I$5:$I$34,$AE415)&gt;0,INDEX(Profils!$X$5:$X$34,$AE415)&lt;=$AH415),ROUND(INDEX(Profils!$I$5:$I$34,$AE415)*Paramètres!$E$25*$AG415*$AJ415,Paramètres!$F$25),0)</f>
        <v>0</v>
      </c>
      <c r="P415" s="19" t="n">
        <f aca="false" t="array" ref="P415:P415">IF(AND(INDEX(Profils!$J$5:$J$34,$AE415)&gt;0,INDEX(Profils!$Y$5:$Y$34,$AE415)&lt;=$AH415),ROUND(INDEX(Profils!$J$5:$J$34,$AE415)*Paramètres!$E$26*$AG415*$AJ415,Paramètres!$F$26),0)</f>
        <v>2</v>
      </c>
      <c r="Q415" s="19" t="n">
        <f aca="false" t="array" ref="Q415:Q415">IF(AND(INDEX(Profils!$K$5:$K$34,$AE415)&gt;0,INDEX(Profils!$Z$5:$Z$34,$AE415)&lt;=$AH415),ROUND(INDEX(Profils!$K$5:$K$34,$AE415)*Paramètres!$E$27*$AG415*$AJ415,Paramètres!$F$27),0)</f>
        <v>0</v>
      </c>
      <c r="R415" s="20" t="n">
        <f aca="false" t="array" ref="R415:R415">IF(AND(INDEX(Profils!$L$5:$L$34,$AE415)&gt;0,INDEX(Profils!$AA$5:$AA$34,$AE415)&lt;=$AH415),ROUND(INDEX(Profils!$L$5:$L$34,$AE415)*Paramètres!$E$28*$AG415*$AJ415,Paramètres!$F$28),0)</f>
        <v>0</v>
      </c>
      <c r="S415" s="20" t="n">
        <f aca="false" t="array" ref="S415:S415">IF(AND(INDEX(Profils!$M$5:$M$34,$AE415)&gt;0,INDEX(Profils!$AB$5:$AB$34,$AE415)&lt;=$AH415),ROUND(INDEX(Profils!$M$5:$M$34,$AE415)*Paramètres!$E$29*$AG415*$AJ415,Paramètres!$F$29),0)</f>
        <v>0</v>
      </c>
      <c r="T415" s="20" t="n">
        <f aca="false" t="array" ref="T415:T415">IF(AND(INDEX(Profils!$N$5:$N$34,$AE415)&gt;0,INDEX(Profils!$AC$5:$AC$34,$AE415)&lt;=$AH415),ROUND(INDEX(Profils!$N$5:$N$34,$AE415)*Paramètres!$E$30*$AG415*$AJ415,Paramètres!$F$30),0)</f>
        <v>0</v>
      </c>
      <c r="U415" s="19" t="n">
        <f aca="false" t="array" ref="U415:U415">IF(AND(INDEX(Profils!$O$5:$O$34,$AE415)&gt;0,INDEX(Profils!$AD$5:$AD$34,$AE415)&lt;=$AH415),ROUND(INDEX(Profils!$O$5:$O$34,$AE415)*Paramètres!$E$31*$AG415*$AJ415,Paramètres!$F$31),0)</f>
        <v>0</v>
      </c>
      <c r="V415" s="20" t="n">
        <f aca="false" t="array" ref="V415:V415">IF(AND(INDEX(Profils!$P$5:$P$34,$AE415)&gt;0,INDEX(Profils!$AE$5:$AE$34,$AE415)&lt;=$AH415),ROUND(INDEX(Profils!$P$5:$P$34,$AE415)*Paramètres!$E$32*$AG415*$AJ415,Paramètres!$F$32),0)</f>
        <v>0</v>
      </c>
      <c r="W415" s="20" t="n">
        <f aca="false" t="array" ref="W415:W415">IF(AND(INDEX(Profils!$Q$5:$Q$34,$AE415)&gt;0,INDEX(Profils!$AF$5:$AF$34,$AE415)&lt;=$AH415),ROUND(INDEX(Profils!$Q$5:$Q$34,$AE415)*Paramètres!$E$33*$AG415*$AJ415,Paramètres!$F$33),0)</f>
        <v>0</v>
      </c>
      <c r="X415" s="20" t="n">
        <f aca="false" t="array" ref="X415:X415">IF(AND(INDEX(Profils!$R$5:$R$34,$AE415)&gt;0,INDEX(Profils!$AG$5:$AG$34,$AE415)&lt;=$AH415),ROUND(INDEX(Profils!$R$5:$R$34,$AE415)*Paramètres!$E$34*$AG415*$AJ415,Paramètres!$F$34),0)</f>
        <v>0</v>
      </c>
      <c r="Y415" s="20" t="n">
        <f aca="false" t="array" ref="Y415:Y415">IF(AND(INDEX(Profils!$S$5:$S$34,$AE415)&gt;0,INDEX(Profils!$AH$5:$AH$34,$AE415)&lt;=$AH415),ROUND(INDEX(Profils!$S$5:$S$34,$AE415)*Paramètres!$E$35*$AG415*$AJ415,Paramètres!$F$35),0)</f>
        <v>0</v>
      </c>
      <c r="Z415" s="21" t="n">
        <f aca="false">ROUND(L415/Paramètres!$E$22+M415/Paramètres!$E$23+N415/Paramètres!$E$24+O415/Paramètres!$E$25+P415/Paramètres!$E$26+Q415/Paramètres!$E$27+R415/Paramètres!$E$28+S415/Paramètres!$E$29+T415/Paramètres!$E$30+U415/Paramètres!$E$31+V415/Paramètres!$E$32+W415/Paramètres!$E$33+X415/Paramètres!$E$34+Y415/Paramètres!$E$35,1)</f>
        <v>0.3</v>
      </c>
      <c r="AA415" s="22" t="s">
        <v>109</v>
      </c>
      <c r="AB415" s="22" t="s">
        <v>109</v>
      </c>
      <c r="AC415" s="15" t="str">
        <f aca="false">$E415</f>
        <v>laine</v>
      </c>
      <c r="AD415" s="16" t="n">
        <f aca="false" t="array" ref="AD415:AD415">IF($I415&gt;=$AI415,"Max",ROUND(Paramètres!$B$40*($I415+1)^Paramètres!$B$41*INDEX(Paramètres!$H$6:$H$12,$AF415),0))</f>
        <v>3</v>
      </c>
      <c r="AE415" s="23" t="n">
        <f aca="false">MATCH($B415&amp;"|"&amp;$C415,Profils!$A$5:$A$34,0)</f>
        <v>14</v>
      </c>
      <c r="AF415" s="23" t="n">
        <v>1</v>
      </c>
      <c r="AG415" s="24" t="n">
        <f aca="false" t="array" ref="AG415:AG415">INDEX(Paramètres!$C$6:$C$12,$AF415)</f>
        <v>1</v>
      </c>
      <c r="AH415" s="23" t="n">
        <f aca="false" t="array" ref="AH415:AH415">INDEX(Paramètres!$D$6:$D$12,$AF415)</f>
        <v>2</v>
      </c>
      <c r="AI415" s="23" t="n">
        <f aca="false" t="array" ref="AI415:AI415">INDEX(Matériaux!$C$16:$C$20,$D415)</f>
        <v>20</v>
      </c>
      <c r="AJ415" s="25" t="n">
        <f aca="false">Paramètres!$B$16+(1-Paramètres!$B$16)*(($J415-Paramètres!$B$14)/(Paramètres!$B$15-Paramètres!$B$14))^Paramètres!$B$17</f>
        <v>0.140847925475674</v>
      </c>
    </row>
    <row r="416" customFormat="false" ht="15.75" hidden="false" customHeight="true" outlineLevel="0" collapsed="false">
      <c r="A416" s="14" t="s">
        <v>532</v>
      </c>
      <c r="B416" s="15" t="s">
        <v>29</v>
      </c>
      <c r="C416" s="15" t="s">
        <v>209</v>
      </c>
      <c r="D416" s="16" t="n">
        <v>2</v>
      </c>
      <c r="E416" s="15" t="str">
        <f aca="false" t="array" ref="E416:E416">INDEX(Matériaux!$B$5:$F$12,MATCH(INDEX(Profils!$E$5:$E$34,$AE416),Matériaux!$A$5:$A$12,0),$D416)</f>
        <v>laine</v>
      </c>
      <c r="F416" s="26" t="s">
        <v>111</v>
      </c>
      <c r="G416" s="10" t="str">
        <f aca="false" t="array" ref="G416:G416">INDEX(Profils!$D$5:$D$34,$AE416)&amp;" en "&amp;$E416</f>
        <v>Bottines en laine</v>
      </c>
      <c r="H416" s="16" t="n">
        <f aca="false" t="array" ref="H416:H416">INDEX(Matériaux!$B$16:$B$20,$D416)</f>
        <v>15</v>
      </c>
      <c r="I416" s="16" t="n">
        <f aca="false">IF(ISNUMBER($C$3),MIN(MAX(0,ROUND($C$3,0)),$AI416),$AI416)</f>
        <v>0</v>
      </c>
      <c r="J416" s="18" t="n">
        <f aca="false">$H416+$I416</f>
        <v>15</v>
      </c>
      <c r="K416" s="15" t="s">
        <v>109</v>
      </c>
      <c r="L416" s="19" t="n">
        <f aca="false" t="array" ref="L416:L416">IF(AND(INDEX(Profils!$F$5:$F$34,$AE416)&gt;0,INDEX(Profils!$U$5:$U$34,$AE416)&lt;=$AH416),ROUND(INDEX(Profils!$F$5:$F$34,$AE416)*Paramètres!$E$22*$AG416*$AJ416,Paramètres!$F$22),0)</f>
        <v>5</v>
      </c>
      <c r="M416" s="19" t="n">
        <f aca="false" t="array" ref="M416:M416">IF(AND(INDEX(Profils!$G$5:$G$34,$AE416)&gt;0,INDEX(Profils!$V$5:$V$34,$AE416)&lt;=$AH416),ROUND(INDEX(Profils!$G$5:$G$34,$AE416)*Paramètres!$E$23*$AG416*$AJ416,Paramètres!$F$23),0)</f>
        <v>0</v>
      </c>
      <c r="N416" s="19" t="n">
        <f aca="false" t="array" ref="N416:N416">IF(AND(INDEX(Profils!$H$5:$H$34,$AE416)&gt;0,INDEX(Profils!$W$5:$W$34,$AE416)&lt;=$AH416),ROUND(INDEX(Profils!$H$5:$H$34,$AE416)*Paramètres!$E$24*$AG416*$AJ416,Paramètres!$F$24),0)</f>
        <v>0</v>
      </c>
      <c r="O416" s="19" t="n">
        <f aca="false" t="array" ref="O416:O416">IF(AND(INDEX(Profils!$I$5:$I$34,$AE416)&gt;0,INDEX(Profils!$X$5:$X$34,$AE416)&lt;=$AH416),ROUND(INDEX(Profils!$I$5:$I$34,$AE416)*Paramètres!$E$25*$AG416*$AJ416,Paramètres!$F$25),0)</f>
        <v>0</v>
      </c>
      <c r="P416" s="19" t="n">
        <f aca="false" t="array" ref="P416:P416">IF(AND(INDEX(Profils!$J$5:$J$34,$AE416)&gt;0,INDEX(Profils!$Y$5:$Y$34,$AE416)&lt;=$AH416),ROUND(INDEX(Profils!$J$5:$J$34,$AE416)*Paramètres!$E$26*$AG416*$AJ416,Paramètres!$F$26),0)</f>
        <v>3</v>
      </c>
      <c r="Q416" s="19" t="n">
        <f aca="false" t="array" ref="Q416:Q416">IF(AND(INDEX(Profils!$K$5:$K$34,$AE416)&gt;0,INDEX(Profils!$Z$5:$Z$34,$AE416)&lt;=$AH416),ROUND(INDEX(Profils!$K$5:$K$34,$AE416)*Paramètres!$E$27*$AG416*$AJ416,Paramètres!$F$27),0)</f>
        <v>2</v>
      </c>
      <c r="R416" s="20" t="n">
        <f aca="false" t="array" ref="R416:R416">IF(AND(INDEX(Profils!$L$5:$L$34,$AE416)&gt;0,INDEX(Profils!$AA$5:$AA$34,$AE416)&lt;=$AH416),ROUND(INDEX(Profils!$L$5:$L$34,$AE416)*Paramètres!$E$28*$AG416*$AJ416,Paramètres!$F$28),0)</f>
        <v>0</v>
      </c>
      <c r="S416" s="20" t="n">
        <f aca="false" t="array" ref="S416:S416">IF(AND(INDEX(Profils!$M$5:$M$34,$AE416)&gt;0,INDEX(Profils!$AB$5:$AB$34,$AE416)&lt;=$AH416),ROUND(INDEX(Profils!$M$5:$M$34,$AE416)*Paramètres!$E$29*$AG416*$AJ416,Paramètres!$F$29),0)</f>
        <v>0</v>
      </c>
      <c r="T416" s="20" t="n">
        <f aca="false" t="array" ref="T416:T416">IF(AND(INDEX(Profils!$N$5:$N$34,$AE416)&gt;0,INDEX(Profils!$AC$5:$AC$34,$AE416)&lt;=$AH416),ROUND(INDEX(Profils!$N$5:$N$34,$AE416)*Paramètres!$E$30*$AG416*$AJ416,Paramètres!$F$30),0)</f>
        <v>0</v>
      </c>
      <c r="U416" s="19" t="n">
        <f aca="false" t="array" ref="U416:U416">IF(AND(INDEX(Profils!$O$5:$O$34,$AE416)&gt;0,INDEX(Profils!$AD$5:$AD$34,$AE416)&lt;=$AH416),ROUND(INDEX(Profils!$O$5:$O$34,$AE416)*Paramètres!$E$31*$AG416*$AJ416,Paramètres!$F$31),0)</f>
        <v>0</v>
      </c>
      <c r="V416" s="20" t="n">
        <f aca="false" t="array" ref="V416:V416">IF(AND(INDEX(Profils!$P$5:$P$34,$AE416)&gt;0,INDEX(Profils!$AE$5:$AE$34,$AE416)&lt;=$AH416),ROUND(INDEX(Profils!$P$5:$P$34,$AE416)*Paramètres!$E$32*$AG416*$AJ416,Paramètres!$F$32),0)</f>
        <v>0</v>
      </c>
      <c r="W416" s="20" t="n">
        <f aca="false" t="array" ref="W416:W416">IF(AND(INDEX(Profils!$Q$5:$Q$34,$AE416)&gt;0,INDEX(Profils!$AF$5:$AF$34,$AE416)&lt;=$AH416),ROUND(INDEX(Profils!$Q$5:$Q$34,$AE416)*Paramètres!$E$33*$AG416*$AJ416,Paramètres!$F$33),0)</f>
        <v>0</v>
      </c>
      <c r="X416" s="20" t="n">
        <f aca="false" t="array" ref="X416:X416">IF(AND(INDEX(Profils!$R$5:$R$34,$AE416)&gt;0,INDEX(Profils!$AG$5:$AG$34,$AE416)&lt;=$AH416),ROUND(INDEX(Profils!$R$5:$R$34,$AE416)*Paramètres!$E$34*$AG416*$AJ416,Paramètres!$F$34),0)</f>
        <v>0</v>
      </c>
      <c r="Y416" s="20" t="n">
        <f aca="false" t="array" ref="Y416:Y416">IF(AND(INDEX(Profils!$S$5:$S$34,$AE416)&gt;0,INDEX(Profils!$AH$5:$AH$34,$AE416)&lt;=$AH416),ROUND(INDEX(Profils!$S$5:$S$34,$AE416)*Paramètres!$E$35*$AG416*$AJ416,Paramètres!$F$35),0)</f>
        <v>0</v>
      </c>
      <c r="Z416" s="21" t="n">
        <f aca="false">ROUND(L416/Paramètres!$E$22+M416/Paramètres!$E$23+N416/Paramètres!$E$24+O416/Paramètres!$E$25+P416/Paramètres!$E$26+Q416/Paramètres!$E$27+R416/Paramètres!$E$28+S416/Paramètres!$E$29+T416/Paramètres!$E$30+U416/Paramètres!$E$31+V416/Paramètres!$E$32+W416/Paramètres!$E$33+X416/Paramètres!$E$34+Y416/Paramètres!$E$35,1)</f>
        <v>0.7</v>
      </c>
      <c r="AA416" s="22" t="s">
        <v>109</v>
      </c>
      <c r="AB416" s="22" t="s">
        <v>109</v>
      </c>
      <c r="AC416" s="15" t="str">
        <f aca="false">$E416</f>
        <v>laine</v>
      </c>
      <c r="AD416" s="16" t="n">
        <f aca="false" t="array" ref="AD416:AD416">IF($I416&gt;=$AI416,"Max",ROUND(Paramètres!$B$40*($I416+1)^Paramètres!$B$41*INDEX(Paramètres!$H$6:$H$12,$AF416),0))</f>
        <v>4</v>
      </c>
      <c r="AE416" s="23" t="n">
        <f aca="false">MATCH($B416&amp;"|"&amp;$C416,Profils!$A$5:$A$34,0)</f>
        <v>14</v>
      </c>
      <c r="AF416" s="23" t="n">
        <v>2</v>
      </c>
      <c r="AG416" s="24" t="n">
        <f aca="false" t="array" ref="AG416:AG416">INDEX(Paramètres!$C$6:$C$12,$AF416)</f>
        <v>1.2</v>
      </c>
      <c r="AH416" s="23" t="n">
        <f aca="false" t="array" ref="AH416:AH416">INDEX(Paramètres!$D$6:$D$12,$AF416)</f>
        <v>3</v>
      </c>
      <c r="AI416" s="23" t="n">
        <f aca="false" t="array" ref="AI416:AI416">INDEX(Matériaux!$C$16:$C$20,$D416)</f>
        <v>20</v>
      </c>
      <c r="AJ416" s="25" t="n">
        <f aca="false">Paramètres!$B$16+(1-Paramètres!$B$16)*(($J416-Paramètres!$B$14)/(Paramètres!$B$15-Paramètres!$B$14))^Paramètres!$B$17</f>
        <v>0.140847925475674</v>
      </c>
    </row>
    <row r="417" customFormat="false" ht="15.75" hidden="false" customHeight="true" outlineLevel="0" collapsed="false">
      <c r="A417" s="14" t="s">
        <v>533</v>
      </c>
      <c r="B417" s="15" t="s">
        <v>29</v>
      </c>
      <c r="C417" s="15" t="s">
        <v>209</v>
      </c>
      <c r="D417" s="16" t="n">
        <v>2</v>
      </c>
      <c r="E417" s="15" t="str">
        <f aca="false" t="array" ref="E417:E417">INDEX(Matériaux!$B$5:$F$12,MATCH(INDEX(Profils!$E$5:$E$34,$AE417),Matériaux!$A$5:$A$12,0),$D417)</f>
        <v>laine</v>
      </c>
      <c r="F417" s="27" t="s">
        <v>113</v>
      </c>
      <c r="G417" s="10" t="str">
        <f aca="false" t="array" ref="G417:G417">INDEX(Profils!$D$5:$D$34,$AE417)&amp;" en "&amp;$E417</f>
        <v>Bottines en laine</v>
      </c>
      <c r="H417" s="16" t="n">
        <f aca="false" t="array" ref="H417:H417">INDEX(Matériaux!$B$16:$B$20,$D417)</f>
        <v>15</v>
      </c>
      <c r="I417" s="16" t="n">
        <f aca="false">IF(ISNUMBER($C$3),MIN(MAX(0,ROUND($C$3,0)),$AI417),$AI417)</f>
        <v>0</v>
      </c>
      <c r="J417" s="18" t="n">
        <f aca="false">$H417+$I417</f>
        <v>15</v>
      </c>
      <c r="K417" s="15" t="s">
        <v>109</v>
      </c>
      <c r="L417" s="19" t="n">
        <f aca="false" t="array" ref="L417:L417">IF(AND(INDEX(Profils!$F$5:$F$34,$AE417)&gt;0,INDEX(Profils!$U$5:$U$34,$AE417)&lt;=$AH417),ROUND(INDEX(Profils!$F$5:$F$34,$AE417)*Paramètres!$E$22*$AG417*$AJ417,Paramètres!$F$22),0)</f>
        <v>6</v>
      </c>
      <c r="M417" s="19" t="n">
        <f aca="false" t="array" ref="M417:M417">IF(AND(INDEX(Profils!$G$5:$G$34,$AE417)&gt;0,INDEX(Profils!$V$5:$V$34,$AE417)&lt;=$AH417),ROUND(INDEX(Profils!$G$5:$G$34,$AE417)*Paramètres!$E$23*$AG417*$AJ417,Paramètres!$F$23),0)</f>
        <v>0</v>
      </c>
      <c r="N417" s="19" t="n">
        <f aca="false" t="array" ref="N417:N417">IF(AND(INDEX(Profils!$H$5:$H$34,$AE417)&gt;0,INDEX(Profils!$W$5:$W$34,$AE417)&lt;=$AH417),ROUND(INDEX(Profils!$H$5:$H$34,$AE417)*Paramètres!$E$24*$AG417*$AJ417,Paramètres!$F$24),0)</f>
        <v>0</v>
      </c>
      <c r="O417" s="19" t="n">
        <f aca="false" t="array" ref="O417:O417">IF(AND(INDEX(Profils!$I$5:$I$34,$AE417)&gt;0,INDEX(Profils!$X$5:$X$34,$AE417)&lt;=$AH417),ROUND(INDEX(Profils!$I$5:$I$34,$AE417)*Paramètres!$E$25*$AG417*$AJ417,Paramètres!$F$25),0)</f>
        <v>2</v>
      </c>
      <c r="P417" s="19" t="n">
        <f aca="false" t="array" ref="P417:P417">IF(AND(INDEX(Profils!$J$5:$J$34,$AE417)&gt;0,INDEX(Profils!$Y$5:$Y$34,$AE417)&lt;=$AH417),ROUND(INDEX(Profils!$J$5:$J$34,$AE417)*Paramètres!$E$26*$AG417*$AJ417,Paramètres!$F$26),0)</f>
        <v>3</v>
      </c>
      <c r="Q417" s="19" t="n">
        <f aca="false" t="array" ref="Q417:Q417">IF(AND(INDEX(Profils!$K$5:$K$34,$AE417)&gt;0,INDEX(Profils!$Z$5:$Z$34,$AE417)&lt;=$AH417),ROUND(INDEX(Profils!$K$5:$K$34,$AE417)*Paramètres!$E$27*$AG417*$AJ417,Paramètres!$F$27),0)</f>
        <v>2</v>
      </c>
      <c r="R417" s="20" t="n">
        <f aca="false" t="array" ref="R417:R417">IF(AND(INDEX(Profils!$L$5:$L$34,$AE417)&gt;0,INDEX(Profils!$AA$5:$AA$34,$AE417)&lt;=$AH417),ROUND(INDEX(Profils!$L$5:$L$34,$AE417)*Paramètres!$E$28*$AG417*$AJ417,Paramètres!$F$28),0)</f>
        <v>0</v>
      </c>
      <c r="S417" s="20" t="n">
        <f aca="false" t="array" ref="S417:S417">IF(AND(INDEX(Profils!$M$5:$M$34,$AE417)&gt;0,INDEX(Profils!$AB$5:$AB$34,$AE417)&lt;=$AH417),ROUND(INDEX(Profils!$M$5:$M$34,$AE417)*Paramètres!$E$29*$AG417*$AJ417,Paramètres!$F$29),0)</f>
        <v>0</v>
      </c>
      <c r="T417" s="20" t="n">
        <f aca="false" t="array" ref="T417:T417">IF(AND(INDEX(Profils!$N$5:$N$34,$AE417)&gt;0,INDEX(Profils!$AC$5:$AC$34,$AE417)&lt;=$AH417),ROUND(INDEX(Profils!$N$5:$N$34,$AE417)*Paramètres!$E$30*$AG417*$AJ417,Paramètres!$F$30),0)</f>
        <v>0</v>
      </c>
      <c r="U417" s="19" t="n">
        <f aca="false" t="array" ref="U417:U417">IF(AND(INDEX(Profils!$O$5:$O$34,$AE417)&gt;0,INDEX(Profils!$AD$5:$AD$34,$AE417)&lt;=$AH417),ROUND(INDEX(Profils!$O$5:$O$34,$AE417)*Paramètres!$E$31*$AG417*$AJ417,Paramètres!$F$31),0)</f>
        <v>0</v>
      </c>
      <c r="V417" s="20" t="n">
        <f aca="false" t="array" ref="V417:V417">IF(AND(INDEX(Profils!$P$5:$P$34,$AE417)&gt;0,INDEX(Profils!$AE$5:$AE$34,$AE417)&lt;=$AH417),ROUND(INDEX(Profils!$P$5:$P$34,$AE417)*Paramètres!$E$32*$AG417*$AJ417,Paramètres!$F$32),0)</f>
        <v>0</v>
      </c>
      <c r="W417" s="20" t="n">
        <f aca="false" t="array" ref="W417:W417">IF(AND(INDEX(Profils!$Q$5:$Q$34,$AE417)&gt;0,INDEX(Profils!$AF$5:$AF$34,$AE417)&lt;=$AH417),ROUND(INDEX(Profils!$Q$5:$Q$34,$AE417)*Paramètres!$E$33*$AG417*$AJ417,Paramètres!$F$33),0)</f>
        <v>0</v>
      </c>
      <c r="X417" s="20" t="n">
        <f aca="false" t="array" ref="X417:X417">IF(AND(INDEX(Profils!$R$5:$R$34,$AE417)&gt;0,INDEX(Profils!$AG$5:$AG$34,$AE417)&lt;=$AH417),ROUND(INDEX(Profils!$R$5:$R$34,$AE417)*Paramètres!$E$34*$AG417*$AJ417,Paramètres!$F$34),0)</f>
        <v>0</v>
      </c>
      <c r="Y417" s="20" t="n">
        <f aca="false" t="array" ref="Y417:Y417">IF(AND(INDEX(Profils!$S$5:$S$34,$AE417)&gt;0,INDEX(Profils!$AH$5:$AH$34,$AE417)&lt;=$AH417),ROUND(INDEX(Profils!$S$5:$S$34,$AE417)*Paramètres!$E$35*$AG417*$AJ417,Paramètres!$F$35),0)</f>
        <v>0</v>
      </c>
      <c r="Z417" s="21" t="n">
        <f aca="false">ROUND(L417/Paramètres!$E$22+M417/Paramètres!$E$23+N417/Paramètres!$E$24+O417/Paramètres!$E$25+P417/Paramètres!$E$26+Q417/Paramètres!$E$27+R417/Paramètres!$E$28+S417/Paramètres!$E$29+T417/Paramètres!$E$30+U417/Paramètres!$E$31+V417/Paramètres!$E$32+W417/Paramètres!$E$33+X417/Paramètres!$E$34+Y417/Paramètres!$E$35,1)</f>
        <v>0.8</v>
      </c>
      <c r="AA417" s="22" t="s">
        <v>109</v>
      </c>
      <c r="AB417" s="22" t="s">
        <v>109</v>
      </c>
      <c r="AC417" s="15" t="str">
        <f aca="false">$E417</f>
        <v>laine</v>
      </c>
      <c r="AD417" s="16" t="n">
        <f aca="false" t="array" ref="AD417:AD417">IF($I417&gt;=$AI417,"Max",ROUND(Paramètres!$B$40*($I417+1)^Paramètres!$B$41*INDEX(Paramètres!$H$6:$H$12,$AF417),0))</f>
        <v>4</v>
      </c>
      <c r="AE417" s="23" t="n">
        <f aca="false">MATCH($B417&amp;"|"&amp;$C417,Profils!$A$5:$A$34,0)</f>
        <v>14</v>
      </c>
      <c r="AF417" s="23" t="n">
        <v>3</v>
      </c>
      <c r="AG417" s="24" t="n">
        <f aca="false" t="array" ref="AG417:AG417">INDEX(Paramètres!$C$6:$C$12,$AF417)</f>
        <v>1.45</v>
      </c>
      <c r="AH417" s="23" t="n">
        <f aca="false" t="array" ref="AH417:AH417">INDEX(Paramètres!$D$6:$D$12,$AF417)</f>
        <v>4</v>
      </c>
      <c r="AI417" s="23" t="n">
        <f aca="false" t="array" ref="AI417:AI417">INDEX(Matériaux!$C$16:$C$20,$D417)</f>
        <v>20</v>
      </c>
      <c r="AJ417" s="25" t="n">
        <f aca="false">Paramètres!$B$16+(1-Paramètres!$B$16)*(($J417-Paramètres!$B$14)/(Paramètres!$B$15-Paramètres!$B$14))^Paramètres!$B$17</f>
        <v>0.140847925475674</v>
      </c>
    </row>
    <row r="418" customFormat="false" ht="15.75" hidden="false" customHeight="true" outlineLevel="0" collapsed="false">
      <c r="A418" s="14" t="s">
        <v>534</v>
      </c>
      <c r="B418" s="15" t="s">
        <v>29</v>
      </c>
      <c r="C418" s="15" t="s">
        <v>209</v>
      </c>
      <c r="D418" s="16" t="n">
        <v>2</v>
      </c>
      <c r="E418" s="15" t="str">
        <f aca="false" t="array" ref="E418:E418">INDEX(Matériaux!$B$5:$F$12,MATCH(INDEX(Profils!$E$5:$E$34,$AE418),Matériaux!$A$5:$A$12,0),$D418)</f>
        <v>laine</v>
      </c>
      <c r="F418" s="28" t="s">
        <v>115</v>
      </c>
      <c r="G418" s="10" t="str">
        <f aca="false" t="array" ref="G418:G418">INDEX(Profils!$D$5:$D$34,$AE418)&amp;" en "&amp;$E418</f>
        <v>Bottines en laine</v>
      </c>
      <c r="H418" s="16" t="n">
        <f aca="false" t="array" ref="H418:H418">INDEX(Matériaux!$B$16:$B$20,$D418)</f>
        <v>15</v>
      </c>
      <c r="I418" s="16" t="n">
        <f aca="false">IF(ISNUMBER($C$3),MIN(MAX(0,ROUND($C$3,0)),$AI418),$AI418)</f>
        <v>0</v>
      </c>
      <c r="J418" s="18" t="n">
        <f aca="false">$H418+$I418</f>
        <v>15</v>
      </c>
      <c r="K418" s="15" t="s">
        <v>109</v>
      </c>
      <c r="L418" s="19" t="n">
        <f aca="false" t="array" ref="L418:L418">IF(AND(INDEX(Profils!$F$5:$F$34,$AE418)&gt;0,INDEX(Profils!$U$5:$U$34,$AE418)&lt;=$AH418),ROUND(INDEX(Profils!$F$5:$F$34,$AE418)*Paramètres!$E$22*$AG418*$AJ418,Paramètres!$F$22),0)</f>
        <v>7</v>
      </c>
      <c r="M418" s="19" t="n">
        <f aca="false" t="array" ref="M418:M418">IF(AND(INDEX(Profils!$G$5:$G$34,$AE418)&gt;0,INDEX(Profils!$V$5:$V$34,$AE418)&lt;=$AH418),ROUND(INDEX(Profils!$G$5:$G$34,$AE418)*Paramètres!$E$23*$AG418*$AJ418,Paramètres!$F$23),0)</f>
        <v>0</v>
      </c>
      <c r="N418" s="19" t="n">
        <f aca="false" t="array" ref="N418:N418">IF(AND(INDEX(Profils!$H$5:$H$34,$AE418)&gt;0,INDEX(Profils!$W$5:$W$34,$AE418)&lt;=$AH418),ROUND(INDEX(Profils!$H$5:$H$34,$AE418)*Paramètres!$E$24*$AG418*$AJ418,Paramètres!$F$24),0)</f>
        <v>0</v>
      </c>
      <c r="O418" s="19" t="n">
        <f aca="false" t="array" ref="O418:O418">IF(AND(INDEX(Profils!$I$5:$I$34,$AE418)&gt;0,INDEX(Profils!$X$5:$X$34,$AE418)&lt;=$AH418),ROUND(INDEX(Profils!$I$5:$I$34,$AE418)*Paramètres!$E$25*$AG418*$AJ418,Paramètres!$F$25),0)</f>
        <v>3</v>
      </c>
      <c r="P418" s="19" t="n">
        <f aca="false" t="array" ref="P418:P418">IF(AND(INDEX(Profils!$J$5:$J$34,$AE418)&gt;0,INDEX(Profils!$Y$5:$Y$34,$AE418)&lt;=$AH418),ROUND(INDEX(Profils!$J$5:$J$34,$AE418)*Paramètres!$E$26*$AG418*$AJ418,Paramètres!$F$26),0)</f>
        <v>4</v>
      </c>
      <c r="Q418" s="19" t="n">
        <f aca="false" t="array" ref="Q418:Q418">IF(AND(INDEX(Profils!$K$5:$K$34,$AE418)&gt;0,INDEX(Profils!$Z$5:$Z$34,$AE418)&lt;=$AH418),ROUND(INDEX(Profils!$K$5:$K$34,$AE418)*Paramètres!$E$27*$AG418*$AJ418,Paramètres!$F$27),0)</f>
        <v>3</v>
      </c>
      <c r="R418" s="20" t="n">
        <f aca="false" t="array" ref="R418:R418">IF(AND(INDEX(Profils!$L$5:$L$34,$AE418)&gt;0,INDEX(Profils!$AA$5:$AA$34,$AE418)&lt;=$AH418),ROUND(INDEX(Profils!$L$5:$L$34,$AE418)*Paramètres!$E$28*$AG418*$AJ418,Paramètres!$F$28),0)</f>
        <v>0.002</v>
      </c>
      <c r="S418" s="20" t="n">
        <f aca="false" t="array" ref="S418:S418">IF(AND(INDEX(Profils!$M$5:$M$34,$AE418)&gt;0,INDEX(Profils!$AB$5:$AB$34,$AE418)&lt;=$AH418),ROUND(INDEX(Profils!$M$5:$M$34,$AE418)*Paramètres!$E$29*$AG418*$AJ418,Paramètres!$F$29),0)</f>
        <v>0</v>
      </c>
      <c r="T418" s="20" t="n">
        <f aca="false" t="array" ref="T418:T418">IF(AND(INDEX(Profils!$N$5:$N$34,$AE418)&gt;0,INDEX(Profils!$AC$5:$AC$34,$AE418)&lt;=$AH418),ROUND(INDEX(Profils!$N$5:$N$34,$AE418)*Paramètres!$E$30*$AG418*$AJ418,Paramètres!$F$30),0)</f>
        <v>0</v>
      </c>
      <c r="U418" s="19" t="n">
        <f aca="false" t="array" ref="U418:U418">IF(AND(INDEX(Profils!$O$5:$O$34,$AE418)&gt;0,INDEX(Profils!$AD$5:$AD$34,$AE418)&lt;=$AH418),ROUND(INDEX(Profils!$O$5:$O$34,$AE418)*Paramètres!$E$31*$AG418*$AJ418,Paramètres!$F$31),0)</f>
        <v>0</v>
      </c>
      <c r="V418" s="20" t="n">
        <f aca="false" t="array" ref="V418:V418">IF(AND(INDEX(Profils!$P$5:$P$34,$AE418)&gt;0,INDEX(Profils!$AE$5:$AE$34,$AE418)&lt;=$AH418),ROUND(INDEX(Profils!$P$5:$P$34,$AE418)*Paramètres!$E$32*$AG418*$AJ418,Paramètres!$F$32),0)</f>
        <v>0</v>
      </c>
      <c r="W418" s="20" t="n">
        <f aca="false" t="array" ref="W418:W418">IF(AND(INDEX(Profils!$Q$5:$Q$34,$AE418)&gt;0,INDEX(Profils!$AF$5:$AF$34,$AE418)&lt;=$AH418),ROUND(INDEX(Profils!$Q$5:$Q$34,$AE418)*Paramètres!$E$33*$AG418*$AJ418,Paramètres!$F$33),0)</f>
        <v>0</v>
      </c>
      <c r="X418" s="20" t="n">
        <f aca="false" t="array" ref="X418:X418">IF(AND(INDEX(Profils!$R$5:$R$34,$AE418)&gt;0,INDEX(Profils!$AG$5:$AG$34,$AE418)&lt;=$AH418),ROUND(INDEX(Profils!$R$5:$R$34,$AE418)*Paramètres!$E$34*$AG418*$AJ418,Paramètres!$F$34),0)</f>
        <v>0</v>
      </c>
      <c r="Y418" s="20" t="n">
        <f aca="false" t="array" ref="Y418:Y418">IF(AND(INDEX(Profils!$S$5:$S$34,$AE418)&gt;0,INDEX(Profils!$AH$5:$AH$34,$AE418)&lt;=$AH418),ROUND(INDEX(Profils!$S$5:$S$34,$AE418)*Paramètres!$E$35*$AG418*$AJ418,Paramètres!$F$35),0)</f>
        <v>0</v>
      </c>
      <c r="Z418" s="21" t="n">
        <f aca="false">ROUND(L418/Paramètres!$E$22+M418/Paramètres!$E$23+N418/Paramètres!$E$24+O418/Paramètres!$E$25+P418/Paramètres!$E$26+Q418/Paramètres!$E$27+R418/Paramètres!$E$28+S418/Paramètres!$E$29+T418/Paramètres!$E$30+U418/Paramètres!$E$31+V418/Paramètres!$E$32+W418/Paramètres!$E$33+X418/Paramètres!$E$34+Y418/Paramètres!$E$35,1)</f>
        <v>1.2</v>
      </c>
      <c r="AA418" s="22" t="s">
        <v>109</v>
      </c>
      <c r="AB418" s="22" t="s">
        <v>109</v>
      </c>
      <c r="AC418" s="15" t="str">
        <f aca="false">$E418</f>
        <v>laine</v>
      </c>
      <c r="AD418" s="16" t="n">
        <f aca="false" t="array" ref="AD418:AD418">IF($I418&gt;=$AI418,"Max",ROUND(Paramètres!$B$40*($I418+1)^Paramètres!$B$41*INDEX(Paramètres!$H$6:$H$12,$AF418),0))</f>
        <v>5</v>
      </c>
      <c r="AE418" s="23" t="n">
        <f aca="false">MATCH($B418&amp;"|"&amp;$C418,Profils!$A$5:$A$34,0)</f>
        <v>14</v>
      </c>
      <c r="AF418" s="23" t="n">
        <v>4</v>
      </c>
      <c r="AG418" s="24" t="n">
        <f aca="false" t="array" ref="AG418:AG418">INDEX(Paramètres!$C$6:$C$12,$AF418)</f>
        <v>1.75</v>
      </c>
      <c r="AH418" s="23" t="n">
        <f aca="false" t="array" ref="AH418:AH418">INDEX(Paramètres!$D$6:$D$12,$AF418)</f>
        <v>5</v>
      </c>
      <c r="AI418" s="23" t="n">
        <f aca="false" t="array" ref="AI418:AI418">INDEX(Matériaux!$C$16:$C$20,$D418)</f>
        <v>20</v>
      </c>
      <c r="AJ418" s="25" t="n">
        <f aca="false">Paramètres!$B$16+(1-Paramètres!$B$16)*(($J418-Paramètres!$B$14)/(Paramètres!$B$15-Paramètres!$B$14))^Paramètres!$B$17</f>
        <v>0.140847925475674</v>
      </c>
    </row>
    <row r="419" customFormat="false" ht="15.75" hidden="false" customHeight="true" outlineLevel="0" collapsed="false">
      <c r="A419" s="14" t="s">
        <v>535</v>
      </c>
      <c r="B419" s="15" t="s">
        <v>29</v>
      </c>
      <c r="C419" s="15" t="s">
        <v>209</v>
      </c>
      <c r="D419" s="16" t="n">
        <v>2</v>
      </c>
      <c r="E419" s="15" t="str">
        <f aca="false" t="array" ref="E419:E419">INDEX(Matériaux!$B$5:$F$12,MATCH(INDEX(Profils!$E$5:$E$34,$AE419),Matériaux!$A$5:$A$12,0),$D419)</f>
        <v>laine</v>
      </c>
      <c r="F419" s="29" t="s">
        <v>117</v>
      </c>
      <c r="G419" s="10" t="str">
        <f aca="false" t="array" ref="G419:G419">INDEX(Profils!$D$5:$D$34,$AE419)&amp;" en "&amp;$E419</f>
        <v>Bottines en laine</v>
      </c>
      <c r="H419" s="16" t="n">
        <f aca="false" t="array" ref="H419:H419">INDEX(Matériaux!$B$16:$B$20,$D419)</f>
        <v>15</v>
      </c>
      <c r="I419" s="16" t="n">
        <f aca="false">IF(ISNUMBER($C$3),MIN(MAX(0,ROUND($C$3,0)),$AI419),$AI419)</f>
        <v>0</v>
      </c>
      <c r="J419" s="18" t="n">
        <f aca="false">$H419+$I419</f>
        <v>15</v>
      </c>
      <c r="K419" s="15" t="s">
        <v>109</v>
      </c>
      <c r="L419" s="19" t="n">
        <f aca="false" t="array" ref="L419:L419">IF(AND(INDEX(Profils!$F$5:$F$34,$AE419)&gt;0,INDEX(Profils!$U$5:$U$34,$AE419)&lt;=$AH419),ROUND(INDEX(Profils!$F$5:$F$34,$AE419)*Paramètres!$E$22*$AG419*$AJ419,Paramètres!$F$22),0)</f>
        <v>9</v>
      </c>
      <c r="M419" s="19" t="n">
        <f aca="false" t="array" ref="M419:M419">IF(AND(INDEX(Profils!$G$5:$G$34,$AE419)&gt;0,INDEX(Profils!$V$5:$V$34,$AE419)&lt;=$AH419),ROUND(INDEX(Profils!$G$5:$G$34,$AE419)*Paramètres!$E$23*$AG419*$AJ419,Paramètres!$F$23),0)</f>
        <v>0</v>
      </c>
      <c r="N419" s="19" t="n">
        <f aca="false" t="array" ref="N419:N419">IF(AND(INDEX(Profils!$H$5:$H$34,$AE419)&gt;0,INDEX(Profils!$W$5:$W$34,$AE419)&lt;=$AH419),ROUND(INDEX(Profils!$H$5:$H$34,$AE419)*Paramètres!$E$24*$AG419*$AJ419,Paramètres!$F$24),0)</f>
        <v>0</v>
      </c>
      <c r="O419" s="19" t="n">
        <f aca="false" t="array" ref="O419:O419">IF(AND(INDEX(Profils!$I$5:$I$34,$AE419)&gt;0,INDEX(Profils!$X$5:$X$34,$AE419)&lt;=$AH419),ROUND(INDEX(Profils!$I$5:$I$34,$AE419)*Paramètres!$E$25*$AG419*$AJ419,Paramètres!$F$25),0)</f>
        <v>4</v>
      </c>
      <c r="P419" s="19" t="n">
        <f aca="false" t="array" ref="P419:P419">IF(AND(INDEX(Profils!$J$5:$J$34,$AE419)&gt;0,INDEX(Profils!$Y$5:$Y$34,$AE419)&lt;=$AH419),ROUND(INDEX(Profils!$J$5:$J$34,$AE419)*Paramètres!$E$26*$AG419*$AJ419,Paramètres!$F$26),0)</f>
        <v>5</v>
      </c>
      <c r="Q419" s="19" t="n">
        <f aca="false" t="array" ref="Q419:Q419">IF(AND(INDEX(Profils!$K$5:$K$34,$AE419)&gt;0,INDEX(Profils!$Z$5:$Z$34,$AE419)&lt;=$AH419),ROUND(INDEX(Profils!$K$5:$K$34,$AE419)*Paramètres!$E$27*$AG419*$AJ419,Paramètres!$F$27),0)</f>
        <v>3</v>
      </c>
      <c r="R419" s="20" t="n">
        <f aca="false" t="array" ref="R419:R419">IF(AND(INDEX(Profils!$L$5:$L$34,$AE419)&gt;0,INDEX(Profils!$AA$5:$AA$34,$AE419)&lt;=$AH419),ROUND(INDEX(Profils!$L$5:$L$34,$AE419)*Paramètres!$E$28*$AG419*$AJ419,Paramètres!$F$28),0)</f>
        <v>0.003</v>
      </c>
      <c r="S419" s="20" t="n">
        <f aca="false" t="array" ref="S419:S419">IF(AND(INDEX(Profils!$M$5:$M$34,$AE419)&gt;0,INDEX(Profils!$AB$5:$AB$34,$AE419)&lt;=$AH419),ROUND(INDEX(Profils!$M$5:$M$34,$AE419)*Paramètres!$E$29*$AG419*$AJ419,Paramètres!$F$29),0)</f>
        <v>0</v>
      </c>
      <c r="T419" s="20" t="n">
        <f aca="false" t="array" ref="T419:T419">IF(AND(INDEX(Profils!$N$5:$N$34,$AE419)&gt;0,INDEX(Profils!$AC$5:$AC$34,$AE419)&lt;=$AH419),ROUND(INDEX(Profils!$N$5:$N$34,$AE419)*Paramètres!$E$30*$AG419*$AJ419,Paramètres!$F$30),0)</f>
        <v>0</v>
      </c>
      <c r="U419" s="19" t="n">
        <f aca="false" t="array" ref="U419:U419">IF(AND(INDEX(Profils!$O$5:$O$34,$AE419)&gt;0,INDEX(Profils!$AD$5:$AD$34,$AE419)&lt;=$AH419),ROUND(INDEX(Profils!$O$5:$O$34,$AE419)*Paramètres!$E$31*$AG419*$AJ419,Paramètres!$F$31),0)</f>
        <v>0</v>
      </c>
      <c r="V419" s="20" t="n">
        <f aca="false" t="array" ref="V419:V419">IF(AND(INDEX(Profils!$P$5:$P$34,$AE419)&gt;0,INDEX(Profils!$AE$5:$AE$34,$AE419)&lt;=$AH419),ROUND(INDEX(Profils!$P$5:$P$34,$AE419)*Paramètres!$E$32*$AG419*$AJ419,Paramètres!$F$32),0)</f>
        <v>0</v>
      </c>
      <c r="W419" s="20" t="n">
        <f aca="false" t="array" ref="W419:W419">IF(AND(INDEX(Profils!$Q$5:$Q$34,$AE419)&gt;0,INDEX(Profils!$AF$5:$AF$34,$AE419)&lt;=$AH419),ROUND(INDEX(Profils!$Q$5:$Q$34,$AE419)*Paramètres!$E$33*$AG419*$AJ419,Paramètres!$F$33),0)</f>
        <v>0.003</v>
      </c>
      <c r="X419" s="20" t="n">
        <f aca="false" t="array" ref="X419:X419">IF(AND(INDEX(Profils!$R$5:$R$34,$AE419)&gt;0,INDEX(Profils!$AG$5:$AG$34,$AE419)&lt;=$AH419),ROUND(INDEX(Profils!$R$5:$R$34,$AE419)*Paramètres!$E$34*$AG419*$AJ419,Paramètres!$F$34),0)</f>
        <v>0</v>
      </c>
      <c r="Y419" s="20" t="n">
        <f aca="false" t="array" ref="Y419:Y419">IF(AND(INDEX(Profils!$S$5:$S$34,$AE419)&gt;0,INDEX(Profils!$AH$5:$AH$34,$AE419)&lt;=$AH419),ROUND(INDEX(Profils!$S$5:$S$34,$AE419)*Paramètres!$E$35*$AG419*$AJ419,Paramètres!$F$35),0)</f>
        <v>0</v>
      </c>
      <c r="Z419" s="21" t="n">
        <f aca="false">ROUND(L419/Paramètres!$E$22+M419/Paramètres!$E$23+N419/Paramètres!$E$24+O419/Paramètres!$E$25+P419/Paramètres!$E$26+Q419/Paramètres!$E$27+R419/Paramètres!$E$28+S419/Paramètres!$E$29+T419/Paramètres!$E$30+U419/Paramètres!$E$31+V419/Paramètres!$E$32+W419/Paramètres!$E$33+X419/Paramètres!$E$34+Y419/Paramètres!$E$35,1)</f>
        <v>1.7</v>
      </c>
      <c r="AA419" s="22" t="s">
        <v>109</v>
      </c>
      <c r="AB419" s="22" t="s">
        <v>109</v>
      </c>
      <c r="AC419" s="15" t="str">
        <f aca="false">$E419</f>
        <v>laine</v>
      </c>
      <c r="AD419" s="16" t="n">
        <f aca="false" t="array" ref="AD419:AD419">IF($I419&gt;=$AI419,"Max",ROUND(Paramètres!$B$40*($I419+1)^Paramètres!$B$41*INDEX(Paramètres!$H$6:$H$12,$AF419),0))</f>
        <v>6</v>
      </c>
      <c r="AE419" s="23" t="n">
        <f aca="false">MATCH($B419&amp;"|"&amp;$C419,Profils!$A$5:$A$34,0)</f>
        <v>14</v>
      </c>
      <c r="AF419" s="23" t="n">
        <v>5</v>
      </c>
      <c r="AG419" s="24" t="n">
        <f aca="false" t="array" ref="AG419:AG419">INDEX(Paramètres!$C$6:$C$12,$AF419)</f>
        <v>2.1</v>
      </c>
      <c r="AH419" s="23" t="n">
        <f aca="false" t="array" ref="AH419:AH419">INDEX(Paramètres!$D$6:$D$12,$AF419)</f>
        <v>6</v>
      </c>
      <c r="AI419" s="23" t="n">
        <f aca="false" t="array" ref="AI419:AI419">INDEX(Matériaux!$C$16:$C$20,$D419)</f>
        <v>20</v>
      </c>
      <c r="AJ419" s="25" t="n">
        <f aca="false">Paramètres!$B$16+(1-Paramètres!$B$16)*(($J419-Paramètres!$B$14)/(Paramètres!$B$15-Paramètres!$B$14))^Paramètres!$B$17</f>
        <v>0.140847925475674</v>
      </c>
    </row>
    <row r="420" customFormat="false" ht="15.75" hidden="false" customHeight="true" outlineLevel="0" collapsed="false">
      <c r="A420" s="14" t="s">
        <v>536</v>
      </c>
      <c r="B420" s="15" t="s">
        <v>29</v>
      </c>
      <c r="C420" s="15" t="s">
        <v>209</v>
      </c>
      <c r="D420" s="16" t="n">
        <v>2</v>
      </c>
      <c r="E420" s="15" t="str">
        <f aca="false" t="array" ref="E420:E420">INDEX(Matériaux!$B$5:$F$12,MATCH(INDEX(Profils!$E$5:$E$34,$AE420),Matériaux!$A$5:$A$12,0),$D420)</f>
        <v>laine</v>
      </c>
      <c r="F420" s="30" t="s">
        <v>119</v>
      </c>
      <c r="G420" s="10" t="str">
        <f aca="false" t="array" ref="G420:G420">INDEX(Profils!$D$5:$D$34,$AE420)&amp;" en "&amp;$E420</f>
        <v>Bottines en laine</v>
      </c>
      <c r="H420" s="16" t="n">
        <f aca="false" t="array" ref="H420:H420">INDEX(Matériaux!$B$16:$B$20,$D420)</f>
        <v>15</v>
      </c>
      <c r="I420" s="16" t="n">
        <f aca="false">IF(ISNUMBER($C$3),MIN(MAX(0,ROUND($C$3,0)),$AI420),$AI420)</f>
        <v>0</v>
      </c>
      <c r="J420" s="18" t="n">
        <f aca="false">$H420+$I420</f>
        <v>15</v>
      </c>
      <c r="K420" s="15" t="s">
        <v>109</v>
      </c>
      <c r="L420" s="19" t="n">
        <f aca="false" t="array" ref="L420:L420">IF(AND(INDEX(Profils!$F$5:$F$34,$AE420)&gt;0,INDEX(Profils!$U$5:$U$34,$AE420)&lt;=$AH420),ROUND(INDEX(Profils!$F$5:$F$34,$AE420)*Paramètres!$E$22*$AG420*$AJ420,Paramètres!$F$22),0)</f>
        <v>10</v>
      </c>
      <c r="M420" s="19" t="n">
        <f aca="false" t="array" ref="M420:M420">IF(AND(INDEX(Profils!$G$5:$G$34,$AE420)&gt;0,INDEX(Profils!$V$5:$V$34,$AE420)&lt;=$AH420),ROUND(INDEX(Profils!$G$5:$G$34,$AE420)*Paramètres!$E$23*$AG420*$AJ420,Paramètres!$F$23),0)</f>
        <v>0</v>
      </c>
      <c r="N420" s="19" t="n">
        <f aca="false" t="array" ref="N420:N420">IF(AND(INDEX(Profils!$H$5:$H$34,$AE420)&gt;0,INDEX(Profils!$W$5:$W$34,$AE420)&lt;=$AH420),ROUND(INDEX(Profils!$H$5:$H$34,$AE420)*Paramètres!$E$24*$AG420*$AJ420,Paramètres!$F$24),0)</f>
        <v>0</v>
      </c>
      <c r="O420" s="19" t="n">
        <f aca="false" t="array" ref="O420:O420">IF(AND(INDEX(Profils!$I$5:$I$34,$AE420)&gt;0,INDEX(Profils!$X$5:$X$34,$AE420)&lt;=$AH420),ROUND(INDEX(Profils!$I$5:$I$34,$AE420)*Paramètres!$E$25*$AG420*$AJ420,Paramètres!$F$25),0)</f>
        <v>4</v>
      </c>
      <c r="P420" s="19" t="n">
        <f aca="false" t="array" ref="P420:P420">IF(AND(INDEX(Profils!$J$5:$J$34,$AE420)&gt;0,INDEX(Profils!$Y$5:$Y$34,$AE420)&lt;=$AH420),ROUND(INDEX(Profils!$J$5:$J$34,$AE420)*Paramètres!$E$26*$AG420*$AJ420,Paramètres!$F$26),0)</f>
        <v>5</v>
      </c>
      <c r="Q420" s="19" t="n">
        <f aca="false" t="array" ref="Q420:Q420">IF(AND(INDEX(Profils!$K$5:$K$34,$AE420)&gt;0,INDEX(Profils!$Z$5:$Z$34,$AE420)&lt;=$AH420),ROUND(INDEX(Profils!$K$5:$K$34,$AE420)*Paramètres!$E$27*$AG420*$AJ420,Paramètres!$F$27),0)</f>
        <v>4</v>
      </c>
      <c r="R420" s="20" t="n">
        <f aca="false" t="array" ref="R420:R420">IF(AND(INDEX(Profils!$L$5:$L$34,$AE420)&gt;0,INDEX(Profils!$AA$5:$AA$34,$AE420)&lt;=$AH420),ROUND(INDEX(Profils!$L$5:$L$34,$AE420)*Paramètres!$E$28*$AG420*$AJ420,Paramètres!$F$28),0)</f>
        <v>0.003</v>
      </c>
      <c r="S420" s="20" t="n">
        <f aca="false" t="array" ref="S420:S420">IF(AND(INDEX(Profils!$M$5:$M$34,$AE420)&gt;0,INDEX(Profils!$AB$5:$AB$34,$AE420)&lt;=$AH420),ROUND(INDEX(Profils!$M$5:$M$34,$AE420)*Paramètres!$E$29*$AG420*$AJ420,Paramètres!$F$29),0)</f>
        <v>0</v>
      </c>
      <c r="T420" s="20" t="n">
        <f aca="false" t="array" ref="T420:T420">IF(AND(INDEX(Profils!$N$5:$N$34,$AE420)&gt;0,INDEX(Profils!$AC$5:$AC$34,$AE420)&lt;=$AH420),ROUND(INDEX(Profils!$N$5:$N$34,$AE420)*Paramètres!$E$30*$AG420*$AJ420,Paramètres!$F$30),0)</f>
        <v>0</v>
      </c>
      <c r="U420" s="19" t="n">
        <f aca="false" t="array" ref="U420:U420">IF(AND(INDEX(Profils!$O$5:$O$34,$AE420)&gt;0,INDEX(Profils!$AD$5:$AD$34,$AE420)&lt;=$AH420),ROUND(INDEX(Profils!$O$5:$O$34,$AE420)*Paramètres!$E$31*$AG420*$AJ420,Paramètres!$F$31),0)</f>
        <v>3</v>
      </c>
      <c r="V420" s="20" t="n">
        <f aca="false" t="array" ref="V420:V420">IF(AND(INDEX(Profils!$P$5:$P$34,$AE420)&gt;0,INDEX(Profils!$AE$5:$AE$34,$AE420)&lt;=$AH420),ROUND(INDEX(Profils!$P$5:$P$34,$AE420)*Paramètres!$E$32*$AG420*$AJ420,Paramètres!$F$32),0)</f>
        <v>0</v>
      </c>
      <c r="W420" s="20" t="n">
        <f aca="false" t="array" ref="W420:W420">IF(AND(INDEX(Profils!$Q$5:$Q$34,$AE420)&gt;0,INDEX(Profils!$AF$5:$AF$34,$AE420)&lt;=$AH420),ROUND(INDEX(Profils!$Q$5:$Q$34,$AE420)*Paramètres!$E$33*$AG420*$AJ420,Paramètres!$F$33),0)</f>
        <v>0.003</v>
      </c>
      <c r="X420" s="20" t="n">
        <f aca="false" t="array" ref="X420:X420">IF(AND(INDEX(Profils!$R$5:$R$34,$AE420)&gt;0,INDEX(Profils!$AG$5:$AG$34,$AE420)&lt;=$AH420),ROUND(INDEX(Profils!$R$5:$R$34,$AE420)*Paramètres!$E$34*$AG420*$AJ420,Paramètres!$F$34),0)</f>
        <v>0</v>
      </c>
      <c r="Y420" s="20" t="n">
        <f aca="false" t="array" ref="Y420:Y420">IF(AND(INDEX(Profils!$S$5:$S$34,$AE420)&gt;0,INDEX(Profils!$AH$5:$AH$34,$AE420)&lt;=$AH420),ROUND(INDEX(Profils!$S$5:$S$34,$AE420)*Paramètres!$E$35*$AG420*$AJ420,Paramètres!$F$35),0)</f>
        <v>0</v>
      </c>
      <c r="Z420" s="21" t="n">
        <f aca="false">ROUND(L420/Paramètres!$E$22+M420/Paramètres!$E$23+N420/Paramètres!$E$24+O420/Paramètres!$E$25+P420/Paramètres!$E$26+Q420/Paramètres!$E$27+R420/Paramètres!$E$28+S420/Paramètres!$E$29+T420/Paramètres!$E$30+U420/Paramètres!$E$31+V420/Paramètres!$E$32+W420/Paramètres!$E$33+X420/Paramètres!$E$34+Y420/Paramètres!$E$35,1)</f>
        <v>2</v>
      </c>
      <c r="AA420" s="22" t="s">
        <v>109</v>
      </c>
      <c r="AB420" s="22" t="s">
        <v>109</v>
      </c>
      <c r="AC420" s="15" t="str">
        <f aca="false">$E420</f>
        <v>laine</v>
      </c>
      <c r="AD420" s="16" t="n">
        <f aca="false" t="array" ref="AD420:AD420">IF($I420&gt;=$AI420,"Max",ROUND(Paramètres!$B$40*($I420+1)^Paramètres!$B$41*INDEX(Paramètres!$H$6:$H$12,$AF420),0))</f>
        <v>8</v>
      </c>
      <c r="AE420" s="23" t="n">
        <f aca="false">MATCH($B420&amp;"|"&amp;$C420,Profils!$A$5:$A$34,0)</f>
        <v>14</v>
      </c>
      <c r="AF420" s="23" t="n">
        <v>6</v>
      </c>
      <c r="AG420" s="24" t="n">
        <f aca="false" t="array" ref="AG420:AG420">INDEX(Paramètres!$C$6:$C$12,$AF420)</f>
        <v>2.4</v>
      </c>
      <c r="AH420" s="23" t="n">
        <f aca="false" t="array" ref="AH420:AH420">INDEX(Paramètres!$D$6:$D$12,$AF420)</f>
        <v>7</v>
      </c>
      <c r="AI420" s="23" t="n">
        <f aca="false" t="array" ref="AI420:AI420">INDEX(Matériaux!$C$16:$C$20,$D420)</f>
        <v>20</v>
      </c>
      <c r="AJ420" s="25" t="n">
        <f aca="false">Paramètres!$B$16+(1-Paramètres!$B$16)*(($J420-Paramètres!$B$14)/(Paramètres!$B$15-Paramètres!$B$14))^Paramètres!$B$17</f>
        <v>0.140847925475674</v>
      </c>
    </row>
    <row r="421" customFormat="false" ht="15.75" hidden="false" customHeight="true" outlineLevel="0" collapsed="false">
      <c r="A421" s="14" t="s">
        <v>537</v>
      </c>
      <c r="B421" s="15" t="s">
        <v>29</v>
      </c>
      <c r="C421" s="15" t="s">
        <v>209</v>
      </c>
      <c r="D421" s="16" t="n">
        <v>3</v>
      </c>
      <c r="E421" s="15" t="str">
        <f aca="false" t="array" ref="E421:E421">INDEX(Matériaux!$B$5:$F$12,MATCH(INDEX(Profils!$E$5:$E$34,$AE421),Matériaux!$A$5:$A$12,0),$D421)</f>
        <v>soie</v>
      </c>
      <c r="F421" s="17" t="s">
        <v>108</v>
      </c>
      <c r="G421" s="10" t="str">
        <f aca="false" t="array" ref="G421:G421">INDEX(Profils!$D$5:$D$34,$AE421)&amp;" en "&amp;$E421</f>
        <v>Bottines en soie</v>
      </c>
      <c r="H421" s="16" t="n">
        <f aca="false" t="array" ref="H421:H421">INDEX(Matériaux!$B$16:$B$20,$D421)</f>
        <v>30</v>
      </c>
      <c r="I421" s="16" t="n">
        <f aca="false">IF(ISNUMBER($C$3),MIN(MAX(0,ROUND($C$3,0)),$AI421),$AI421)</f>
        <v>0</v>
      </c>
      <c r="J421" s="18" t="n">
        <f aca="false">$H421+$I421</f>
        <v>30</v>
      </c>
      <c r="K421" s="15" t="s">
        <v>109</v>
      </c>
      <c r="L421" s="19" t="n">
        <f aca="false" t="array" ref="L421:L421">IF(AND(INDEX(Profils!$F$5:$F$34,$AE421)&gt;0,INDEX(Profils!$U$5:$U$34,$AE421)&lt;=$AH421),ROUND(INDEX(Profils!$F$5:$F$34,$AE421)*Paramètres!$E$22*$AG421*$AJ421,Paramètres!$F$22),0)</f>
        <v>8</v>
      </c>
      <c r="M421" s="19" t="n">
        <f aca="false" t="array" ref="M421:M421">IF(AND(INDEX(Profils!$G$5:$G$34,$AE421)&gt;0,INDEX(Profils!$V$5:$V$34,$AE421)&lt;=$AH421),ROUND(INDEX(Profils!$G$5:$G$34,$AE421)*Paramètres!$E$23*$AG421*$AJ421,Paramètres!$F$23),0)</f>
        <v>0</v>
      </c>
      <c r="N421" s="19" t="n">
        <f aca="false" t="array" ref="N421:N421">IF(AND(INDEX(Profils!$H$5:$H$34,$AE421)&gt;0,INDEX(Profils!$W$5:$W$34,$AE421)&lt;=$AH421),ROUND(INDEX(Profils!$H$5:$H$34,$AE421)*Paramètres!$E$24*$AG421*$AJ421,Paramètres!$F$24),0)</f>
        <v>0</v>
      </c>
      <c r="O421" s="19" t="n">
        <f aca="false" t="array" ref="O421:O421">IF(AND(INDEX(Profils!$I$5:$I$34,$AE421)&gt;0,INDEX(Profils!$X$5:$X$34,$AE421)&lt;=$AH421),ROUND(INDEX(Profils!$I$5:$I$34,$AE421)*Paramètres!$E$25*$AG421*$AJ421,Paramètres!$F$25),0)</f>
        <v>0</v>
      </c>
      <c r="P421" s="19" t="n">
        <f aca="false" t="array" ref="P421:P421">IF(AND(INDEX(Profils!$J$5:$J$34,$AE421)&gt;0,INDEX(Profils!$Y$5:$Y$34,$AE421)&lt;=$AH421),ROUND(INDEX(Profils!$J$5:$J$34,$AE421)*Paramètres!$E$26*$AG421*$AJ421,Paramètres!$F$26),0)</f>
        <v>4</v>
      </c>
      <c r="Q421" s="19" t="n">
        <f aca="false" t="array" ref="Q421:Q421">IF(AND(INDEX(Profils!$K$5:$K$34,$AE421)&gt;0,INDEX(Profils!$Z$5:$Z$34,$AE421)&lt;=$AH421),ROUND(INDEX(Profils!$K$5:$K$34,$AE421)*Paramètres!$E$27*$AG421*$AJ421,Paramètres!$F$27),0)</f>
        <v>0</v>
      </c>
      <c r="R421" s="20" t="n">
        <f aca="false" t="array" ref="R421:R421">IF(AND(INDEX(Profils!$L$5:$L$34,$AE421)&gt;0,INDEX(Profils!$AA$5:$AA$34,$AE421)&lt;=$AH421),ROUND(INDEX(Profils!$L$5:$L$34,$AE421)*Paramètres!$E$28*$AG421*$AJ421,Paramètres!$F$28),0)</f>
        <v>0</v>
      </c>
      <c r="S421" s="20" t="n">
        <f aca="false" t="array" ref="S421:S421">IF(AND(INDEX(Profils!$M$5:$M$34,$AE421)&gt;0,INDEX(Profils!$AB$5:$AB$34,$AE421)&lt;=$AH421),ROUND(INDEX(Profils!$M$5:$M$34,$AE421)*Paramètres!$E$29*$AG421*$AJ421,Paramètres!$F$29),0)</f>
        <v>0</v>
      </c>
      <c r="T421" s="20" t="n">
        <f aca="false" t="array" ref="T421:T421">IF(AND(INDEX(Profils!$N$5:$N$34,$AE421)&gt;0,INDEX(Profils!$AC$5:$AC$34,$AE421)&lt;=$AH421),ROUND(INDEX(Profils!$N$5:$N$34,$AE421)*Paramètres!$E$30*$AG421*$AJ421,Paramètres!$F$30),0)</f>
        <v>0</v>
      </c>
      <c r="U421" s="19" t="n">
        <f aca="false" t="array" ref="U421:U421">IF(AND(INDEX(Profils!$O$5:$O$34,$AE421)&gt;0,INDEX(Profils!$AD$5:$AD$34,$AE421)&lt;=$AH421),ROUND(INDEX(Profils!$O$5:$O$34,$AE421)*Paramètres!$E$31*$AG421*$AJ421,Paramètres!$F$31),0)</f>
        <v>0</v>
      </c>
      <c r="V421" s="20" t="n">
        <f aca="false" t="array" ref="V421:V421">IF(AND(INDEX(Profils!$P$5:$P$34,$AE421)&gt;0,INDEX(Profils!$AE$5:$AE$34,$AE421)&lt;=$AH421),ROUND(INDEX(Profils!$P$5:$P$34,$AE421)*Paramètres!$E$32*$AG421*$AJ421,Paramètres!$F$32),0)</f>
        <v>0</v>
      </c>
      <c r="W421" s="20" t="n">
        <f aca="false" t="array" ref="W421:W421">IF(AND(INDEX(Profils!$Q$5:$Q$34,$AE421)&gt;0,INDEX(Profils!$AF$5:$AF$34,$AE421)&lt;=$AH421),ROUND(INDEX(Profils!$Q$5:$Q$34,$AE421)*Paramètres!$E$33*$AG421*$AJ421,Paramètres!$F$33),0)</f>
        <v>0</v>
      </c>
      <c r="X421" s="20" t="n">
        <f aca="false" t="array" ref="X421:X421">IF(AND(INDEX(Profils!$R$5:$R$34,$AE421)&gt;0,INDEX(Profils!$AG$5:$AG$34,$AE421)&lt;=$AH421),ROUND(INDEX(Profils!$R$5:$R$34,$AE421)*Paramètres!$E$34*$AG421*$AJ421,Paramètres!$F$34),0)</f>
        <v>0</v>
      </c>
      <c r="Y421" s="20" t="n">
        <f aca="false" t="array" ref="Y421:Y421">IF(AND(INDEX(Profils!$S$5:$S$34,$AE421)&gt;0,INDEX(Profils!$AH$5:$AH$34,$AE421)&lt;=$AH421),ROUND(INDEX(Profils!$S$5:$S$34,$AE421)*Paramètres!$E$35*$AG421*$AJ421,Paramètres!$F$35),0)</f>
        <v>0</v>
      </c>
      <c r="Z421" s="21" t="n">
        <f aca="false">ROUND(L421/Paramètres!$E$22+M421/Paramètres!$E$23+N421/Paramètres!$E$24+O421/Paramètres!$E$25+P421/Paramètres!$E$26+Q421/Paramètres!$E$27+R421/Paramètres!$E$28+S421/Paramètres!$E$29+T421/Paramètres!$E$30+U421/Paramètres!$E$31+V421/Paramètres!$E$32+W421/Paramètres!$E$33+X421/Paramètres!$E$34+Y421/Paramètres!$E$35,1)</f>
        <v>0.7</v>
      </c>
      <c r="AA421" s="22" t="s">
        <v>109</v>
      </c>
      <c r="AB421" s="22" t="s">
        <v>109</v>
      </c>
      <c r="AC421" s="15" t="str">
        <f aca="false">$E421</f>
        <v>soie</v>
      </c>
      <c r="AD421" s="16" t="n">
        <f aca="false" t="array" ref="AD421:AD421">IF($I421&gt;=$AI421,"Max",ROUND(Paramètres!$B$40*($I421+1)^Paramètres!$B$41*INDEX(Paramètres!$H$6:$H$12,$AF421),0))</f>
        <v>3</v>
      </c>
      <c r="AE421" s="23" t="n">
        <f aca="false">MATCH($B421&amp;"|"&amp;$C421,Profils!$A$5:$A$34,0)</f>
        <v>14</v>
      </c>
      <c r="AF421" s="23" t="n">
        <v>1</v>
      </c>
      <c r="AG421" s="24" t="n">
        <f aca="false" t="array" ref="AG421:AG421">INDEX(Paramètres!$C$6:$C$12,$AF421)</f>
        <v>1</v>
      </c>
      <c r="AH421" s="23" t="n">
        <f aca="false" t="array" ref="AH421:AH421">INDEX(Paramètres!$D$6:$D$12,$AF421)</f>
        <v>2</v>
      </c>
      <c r="AI421" s="23" t="n">
        <f aca="false" t="array" ref="AI421:AI421">INDEX(Matériaux!$C$16:$C$20,$D421)</f>
        <v>25</v>
      </c>
      <c r="AJ421" s="25" t="n">
        <f aca="false">Paramètres!$B$16+(1-Paramètres!$B$16)*(($J421-Paramètres!$B$14)/(Paramètres!$B$15-Paramètres!$B$14))^Paramètres!$B$17</f>
        <v>0.26769024555533</v>
      </c>
    </row>
    <row r="422" customFormat="false" ht="15.75" hidden="false" customHeight="true" outlineLevel="0" collapsed="false">
      <c r="A422" s="14" t="s">
        <v>538</v>
      </c>
      <c r="B422" s="15" t="s">
        <v>29</v>
      </c>
      <c r="C422" s="15" t="s">
        <v>209</v>
      </c>
      <c r="D422" s="16" t="n">
        <v>3</v>
      </c>
      <c r="E422" s="15" t="str">
        <f aca="false" t="array" ref="E422:E422">INDEX(Matériaux!$B$5:$F$12,MATCH(INDEX(Profils!$E$5:$E$34,$AE422),Matériaux!$A$5:$A$12,0),$D422)</f>
        <v>soie</v>
      </c>
      <c r="F422" s="26" t="s">
        <v>111</v>
      </c>
      <c r="G422" s="10" t="str">
        <f aca="false" t="array" ref="G422:G422">INDEX(Profils!$D$5:$D$34,$AE422)&amp;" en "&amp;$E422</f>
        <v>Bottines en soie</v>
      </c>
      <c r="H422" s="16" t="n">
        <f aca="false" t="array" ref="H422:H422">INDEX(Matériaux!$B$16:$B$20,$D422)</f>
        <v>30</v>
      </c>
      <c r="I422" s="16" t="n">
        <f aca="false">IF(ISNUMBER($C$3),MIN(MAX(0,ROUND($C$3,0)),$AI422),$AI422)</f>
        <v>0</v>
      </c>
      <c r="J422" s="18" t="n">
        <f aca="false">$H422+$I422</f>
        <v>30</v>
      </c>
      <c r="K422" s="15" t="s">
        <v>109</v>
      </c>
      <c r="L422" s="19" t="n">
        <f aca="false" t="array" ref="L422:L422">IF(AND(INDEX(Profils!$F$5:$F$34,$AE422)&gt;0,INDEX(Profils!$U$5:$U$34,$AE422)&lt;=$AH422),ROUND(INDEX(Profils!$F$5:$F$34,$AE422)*Paramètres!$E$22*$AG422*$AJ422,Paramètres!$F$22),0)</f>
        <v>10</v>
      </c>
      <c r="M422" s="19" t="n">
        <f aca="false" t="array" ref="M422:M422">IF(AND(INDEX(Profils!$G$5:$G$34,$AE422)&gt;0,INDEX(Profils!$V$5:$V$34,$AE422)&lt;=$AH422),ROUND(INDEX(Profils!$G$5:$G$34,$AE422)*Paramètres!$E$23*$AG422*$AJ422,Paramètres!$F$23),0)</f>
        <v>0</v>
      </c>
      <c r="N422" s="19" t="n">
        <f aca="false" t="array" ref="N422:N422">IF(AND(INDEX(Profils!$H$5:$H$34,$AE422)&gt;0,INDEX(Profils!$W$5:$W$34,$AE422)&lt;=$AH422),ROUND(INDEX(Profils!$H$5:$H$34,$AE422)*Paramètres!$E$24*$AG422*$AJ422,Paramètres!$F$24),0)</f>
        <v>0</v>
      </c>
      <c r="O422" s="19" t="n">
        <f aca="false" t="array" ref="O422:O422">IF(AND(INDEX(Profils!$I$5:$I$34,$AE422)&gt;0,INDEX(Profils!$X$5:$X$34,$AE422)&lt;=$AH422),ROUND(INDEX(Profils!$I$5:$I$34,$AE422)*Paramètres!$E$25*$AG422*$AJ422,Paramètres!$F$25),0)</f>
        <v>0</v>
      </c>
      <c r="P422" s="19" t="n">
        <f aca="false" t="array" ref="P422:P422">IF(AND(INDEX(Profils!$J$5:$J$34,$AE422)&gt;0,INDEX(Profils!$Y$5:$Y$34,$AE422)&lt;=$AH422),ROUND(INDEX(Profils!$J$5:$J$34,$AE422)*Paramètres!$E$26*$AG422*$AJ422,Paramètres!$F$26),0)</f>
        <v>5</v>
      </c>
      <c r="Q422" s="19" t="n">
        <f aca="false" t="array" ref="Q422:Q422">IF(AND(INDEX(Profils!$K$5:$K$34,$AE422)&gt;0,INDEX(Profils!$Z$5:$Z$34,$AE422)&lt;=$AH422),ROUND(INDEX(Profils!$K$5:$K$34,$AE422)*Paramètres!$E$27*$AG422*$AJ422,Paramètres!$F$27),0)</f>
        <v>4</v>
      </c>
      <c r="R422" s="20" t="n">
        <f aca="false" t="array" ref="R422:R422">IF(AND(INDEX(Profils!$L$5:$L$34,$AE422)&gt;0,INDEX(Profils!$AA$5:$AA$34,$AE422)&lt;=$AH422),ROUND(INDEX(Profils!$L$5:$L$34,$AE422)*Paramètres!$E$28*$AG422*$AJ422,Paramètres!$F$28),0)</f>
        <v>0</v>
      </c>
      <c r="S422" s="20" t="n">
        <f aca="false" t="array" ref="S422:S422">IF(AND(INDEX(Profils!$M$5:$M$34,$AE422)&gt;0,INDEX(Profils!$AB$5:$AB$34,$AE422)&lt;=$AH422),ROUND(INDEX(Profils!$M$5:$M$34,$AE422)*Paramètres!$E$29*$AG422*$AJ422,Paramètres!$F$29),0)</f>
        <v>0</v>
      </c>
      <c r="T422" s="20" t="n">
        <f aca="false" t="array" ref="T422:T422">IF(AND(INDEX(Profils!$N$5:$N$34,$AE422)&gt;0,INDEX(Profils!$AC$5:$AC$34,$AE422)&lt;=$AH422),ROUND(INDEX(Profils!$N$5:$N$34,$AE422)*Paramètres!$E$30*$AG422*$AJ422,Paramètres!$F$30),0)</f>
        <v>0</v>
      </c>
      <c r="U422" s="19" t="n">
        <f aca="false" t="array" ref="U422:U422">IF(AND(INDEX(Profils!$O$5:$O$34,$AE422)&gt;0,INDEX(Profils!$AD$5:$AD$34,$AE422)&lt;=$AH422),ROUND(INDEX(Profils!$O$5:$O$34,$AE422)*Paramètres!$E$31*$AG422*$AJ422,Paramètres!$F$31),0)</f>
        <v>0</v>
      </c>
      <c r="V422" s="20" t="n">
        <f aca="false" t="array" ref="V422:V422">IF(AND(INDEX(Profils!$P$5:$P$34,$AE422)&gt;0,INDEX(Profils!$AE$5:$AE$34,$AE422)&lt;=$AH422),ROUND(INDEX(Profils!$P$5:$P$34,$AE422)*Paramètres!$E$32*$AG422*$AJ422,Paramètres!$F$32),0)</f>
        <v>0</v>
      </c>
      <c r="W422" s="20" t="n">
        <f aca="false" t="array" ref="W422:W422">IF(AND(INDEX(Profils!$Q$5:$Q$34,$AE422)&gt;0,INDEX(Profils!$AF$5:$AF$34,$AE422)&lt;=$AH422),ROUND(INDEX(Profils!$Q$5:$Q$34,$AE422)*Paramètres!$E$33*$AG422*$AJ422,Paramètres!$F$33),0)</f>
        <v>0</v>
      </c>
      <c r="X422" s="20" t="n">
        <f aca="false" t="array" ref="X422:X422">IF(AND(INDEX(Profils!$R$5:$R$34,$AE422)&gt;0,INDEX(Profils!$AG$5:$AG$34,$AE422)&lt;=$AH422),ROUND(INDEX(Profils!$R$5:$R$34,$AE422)*Paramètres!$E$34*$AG422*$AJ422,Paramètres!$F$34),0)</f>
        <v>0</v>
      </c>
      <c r="Y422" s="20" t="n">
        <f aca="false" t="array" ref="Y422:Y422">IF(AND(INDEX(Profils!$S$5:$S$34,$AE422)&gt;0,INDEX(Profils!$AH$5:$AH$34,$AE422)&lt;=$AH422),ROUND(INDEX(Profils!$S$5:$S$34,$AE422)*Paramètres!$E$35*$AG422*$AJ422,Paramètres!$F$35),0)</f>
        <v>0</v>
      </c>
      <c r="Z422" s="21" t="n">
        <f aca="false">ROUND(L422/Paramètres!$E$22+M422/Paramètres!$E$23+N422/Paramètres!$E$24+O422/Paramètres!$E$25+P422/Paramètres!$E$26+Q422/Paramètres!$E$27+R422/Paramètres!$E$28+S422/Paramètres!$E$29+T422/Paramètres!$E$30+U422/Paramètres!$E$31+V422/Paramètres!$E$32+W422/Paramètres!$E$33+X422/Paramètres!$E$34+Y422/Paramètres!$E$35,1)</f>
        <v>1.2</v>
      </c>
      <c r="AA422" s="22" t="s">
        <v>109</v>
      </c>
      <c r="AB422" s="22" t="s">
        <v>109</v>
      </c>
      <c r="AC422" s="15" t="str">
        <f aca="false">$E422</f>
        <v>soie</v>
      </c>
      <c r="AD422" s="16" t="n">
        <f aca="false" t="array" ref="AD422:AD422">IF($I422&gt;=$AI422,"Max",ROUND(Paramètres!$B$40*($I422+1)^Paramètres!$B$41*INDEX(Paramètres!$H$6:$H$12,$AF422),0))</f>
        <v>4</v>
      </c>
      <c r="AE422" s="23" t="n">
        <f aca="false">MATCH($B422&amp;"|"&amp;$C422,Profils!$A$5:$A$34,0)</f>
        <v>14</v>
      </c>
      <c r="AF422" s="23" t="n">
        <v>2</v>
      </c>
      <c r="AG422" s="24" t="n">
        <f aca="false" t="array" ref="AG422:AG422">INDEX(Paramètres!$C$6:$C$12,$AF422)</f>
        <v>1.2</v>
      </c>
      <c r="AH422" s="23" t="n">
        <f aca="false" t="array" ref="AH422:AH422">INDEX(Paramètres!$D$6:$D$12,$AF422)</f>
        <v>3</v>
      </c>
      <c r="AI422" s="23" t="n">
        <f aca="false" t="array" ref="AI422:AI422">INDEX(Matériaux!$C$16:$C$20,$D422)</f>
        <v>25</v>
      </c>
      <c r="AJ422" s="25" t="n">
        <f aca="false">Paramètres!$B$16+(1-Paramètres!$B$16)*(($J422-Paramètres!$B$14)/(Paramètres!$B$15-Paramètres!$B$14))^Paramètres!$B$17</f>
        <v>0.26769024555533</v>
      </c>
    </row>
    <row r="423" customFormat="false" ht="15.75" hidden="false" customHeight="true" outlineLevel="0" collapsed="false">
      <c r="A423" s="14" t="s">
        <v>539</v>
      </c>
      <c r="B423" s="15" t="s">
        <v>29</v>
      </c>
      <c r="C423" s="15" t="s">
        <v>209</v>
      </c>
      <c r="D423" s="16" t="n">
        <v>3</v>
      </c>
      <c r="E423" s="15" t="str">
        <f aca="false" t="array" ref="E423:E423">INDEX(Matériaux!$B$5:$F$12,MATCH(INDEX(Profils!$E$5:$E$34,$AE423),Matériaux!$A$5:$A$12,0),$D423)</f>
        <v>soie</v>
      </c>
      <c r="F423" s="27" t="s">
        <v>113</v>
      </c>
      <c r="G423" s="10" t="str">
        <f aca="false" t="array" ref="G423:G423">INDEX(Profils!$D$5:$D$34,$AE423)&amp;" en "&amp;$E423</f>
        <v>Bottines en soie</v>
      </c>
      <c r="H423" s="16" t="n">
        <f aca="false" t="array" ref="H423:H423">INDEX(Matériaux!$B$16:$B$20,$D423)</f>
        <v>30</v>
      </c>
      <c r="I423" s="16" t="n">
        <f aca="false">IF(ISNUMBER($C$3),MIN(MAX(0,ROUND($C$3,0)),$AI423),$AI423)</f>
        <v>0</v>
      </c>
      <c r="J423" s="18" t="n">
        <f aca="false">$H423+$I423</f>
        <v>30</v>
      </c>
      <c r="K423" s="15" t="s">
        <v>109</v>
      </c>
      <c r="L423" s="19" t="n">
        <f aca="false" t="array" ref="L423:L423">IF(AND(INDEX(Profils!$F$5:$F$34,$AE423)&gt;0,INDEX(Profils!$U$5:$U$34,$AE423)&lt;=$AH423),ROUND(INDEX(Profils!$F$5:$F$34,$AE423)*Paramètres!$E$22*$AG423*$AJ423,Paramètres!$F$22),0)</f>
        <v>12</v>
      </c>
      <c r="M423" s="19" t="n">
        <f aca="false" t="array" ref="M423:M423">IF(AND(INDEX(Profils!$G$5:$G$34,$AE423)&gt;0,INDEX(Profils!$V$5:$V$34,$AE423)&lt;=$AH423),ROUND(INDEX(Profils!$G$5:$G$34,$AE423)*Paramètres!$E$23*$AG423*$AJ423,Paramètres!$F$23),0)</f>
        <v>0</v>
      </c>
      <c r="N423" s="19" t="n">
        <f aca="false" t="array" ref="N423:N423">IF(AND(INDEX(Profils!$H$5:$H$34,$AE423)&gt;0,INDEX(Profils!$W$5:$W$34,$AE423)&lt;=$AH423),ROUND(INDEX(Profils!$H$5:$H$34,$AE423)*Paramètres!$E$24*$AG423*$AJ423,Paramètres!$F$24),0)</f>
        <v>0</v>
      </c>
      <c r="O423" s="19" t="n">
        <f aca="false" t="array" ref="O423:O423">IF(AND(INDEX(Profils!$I$5:$I$34,$AE423)&gt;0,INDEX(Profils!$X$5:$X$34,$AE423)&lt;=$AH423),ROUND(INDEX(Profils!$I$5:$I$34,$AE423)*Paramètres!$E$25*$AG423*$AJ423,Paramètres!$F$25),0)</f>
        <v>5</v>
      </c>
      <c r="P423" s="19" t="n">
        <f aca="false" t="array" ref="P423:P423">IF(AND(INDEX(Profils!$J$5:$J$34,$AE423)&gt;0,INDEX(Profils!$Y$5:$Y$34,$AE423)&lt;=$AH423),ROUND(INDEX(Profils!$J$5:$J$34,$AE423)*Paramètres!$E$26*$AG423*$AJ423,Paramètres!$F$26),0)</f>
        <v>6</v>
      </c>
      <c r="Q423" s="19" t="n">
        <f aca="false" t="array" ref="Q423:Q423">IF(AND(INDEX(Profils!$K$5:$K$34,$AE423)&gt;0,INDEX(Profils!$Z$5:$Z$34,$AE423)&lt;=$AH423),ROUND(INDEX(Profils!$K$5:$K$34,$AE423)*Paramètres!$E$27*$AG423*$AJ423,Paramètres!$F$27),0)</f>
        <v>4</v>
      </c>
      <c r="R423" s="20" t="n">
        <f aca="false" t="array" ref="R423:R423">IF(AND(INDEX(Profils!$L$5:$L$34,$AE423)&gt;0,INDEX(Profils!$AA$5:$AA$34,$AE423)&lt;=$AH423),ROUND(INDEX(Profils!$L$5:$L$34,$AE423)*Paramètres!$E$28*$AG423*$AJ423,Paramètres!$F$28),0)</f>
        <v>0</v>
      </c>
      <c r="S423" s="20" t="n">
        <f aca="false" t="array" ref="S423:S423">IF(AND(INDEX(Profils!$M$5:$M$34,$AE423)&gt;0,INDEX(Profils!$AB$5:$AB$34,$AE423)&lt;=$AH423),ROUND(INDEX(Profils!$M$5:$M$34,$AE423)*Paramètres!$E$29*$AG423*$AJ423,Paramètres!$F$29),0)</f>
        <v>0</v>
      </c>
      <c r="T423" s="20" t="n">
        <f aca="false" t="array" ref="T423:T423">IF(AND(INDEX(Profils!$N$5:$N$34,$AE423)&gt;0,INDEX(Profils!$AC$5:$AC$34,$AE423)&lt;=$AH423),ROUND(INDEX(Profils!$N$5:$N$34,$AE423)*Paramètres!$E$30*$AG423*$AJ423,Paramètres!$F$30),0)</f>
        <v>0</v>
      </c>
      <c r="U423" s="19" t="n">
        <f aca="false" t="array" ref="U423:U423">IF(AND(INDEX(Profils!$O$5:$O$34,$AE423)&gt;0,INDEX(Profils!$AD$5:$AD$34,$AE423)&lt;=$AH423),ROUND(INDEX(Profils!$O$5:$O$34,$AE423)*Paramètres!$E$31*$AG423*$AJ423,Paramètres!$F$31),0)</f>
        <v>0</v>
      </c>
      <c r="V423" s="20" t="n">
        <f aca="false" t="array" ref="V423:V423">IF(AND(INDEX(Profils!$P$5:$P$34,$AE423)&gt;0,INDEX(Profils!$AE$5:$AE$34,$AE423)&lt;=$AH423),ROUND(INDEX(Profils!$P$5:$P$34,$AE423)*Paramètres!$E$32*$AG423*$AJ423,Paramètres!$F$32),0)</f>
        <v>0</v>
      </c>
      <c r="W423" s="20" t="n">
        <f aca="false" t="array" ref="W423:W423">IF(AND(INDEX(Profils!$Q$5:$Q$34,$AE423)&gt;0,INDEX(Profils!$AF$5:$AF$34,$AE423)&lt;=$AH423),ROUND(INDEX(Profils!$Q$5:$Q$34,$AE423)*Paramètres!$E$33*$AG423*$AJ423,Paramètres!$F$33),0)</f>
        <v>0</v>
      </c>
      <c r="X423" s="20" t="n">
        <f aca="false" t="array" ref="X423:X423">IF(AND(INDEX(Profils!$R$5:$R$34,$AE423)&gt;0,INDEX(Profils!$AG$5:$AG$34,$AE423)&lt;=$AH423),ROUND(INDEX(Profils!$R$5:$R$34,$AE423)*Paramètres!$E$34*$AG423*$AJ423,Paramètres!$F$34),0)</f>
        <v>0</v>
      </c>
      <c r="Y423" s="20" t="n">
        <f aca="false" t="array" ref="Y423:Y423">IF(AND(INDEX(Profils!$S$5:$S$34,$AE423)&gt;0,INDEX(Profils!$AH$5:$AH$34,$AE423)&lt;=$AH423),ROUND(INDEX(Profils!$S$5:$S$34,$AE423)*Paramètres!$E$35*$AG423*$AJ423,Paramètres!$F$35),0)</f>
        <v>0</v>
      </c>
      <c r="Z423" s="21" t="n">
        <f aca="false">ROUND(L423/Paramètres!$E$22+M423/Paramètres!$E$23+N423/Paramètres!$E$24+O423/Paramètres!$E$25+P423/Paramètres!$E$26+Q423/Paramètres!$E$27+R423/Paramètres!$E$28+S423/Paramètres!$E$29+T423/Paramètres!$E$30+U423/Paramètres!$E$31+V423/Paramètres!$E$32+W423/Paramètres!$E$33+X423/Paramètres!$E$34+Y423/Paramètres!$E$35,1)</f>
        <v>1.7</v>
      </c>
      <c r="AA423" s="22" t="s">
        <v>109</v>
      </c>
      <c r="AB423" s="22" t="s">
        <v>109</v>
      </c>
      <c r="AC423" s="15" t="str">
        <f aca="false">$E423</f>
        <v>soie</v>
      </c>
      <c r="AD423" s="16" t="n">
        <f aca="false" t="array" ref="AD423:AD423">IF($I423&gt;=$AI423,"Max",ROUND(Paramètres!$B$40*($I423+1)^Paramètres!$B$41*INDEX(Paramètres!$H$6:$H$12,$AF423),0))</f>
        <v>4</v>
      </c>
      <c r="AE423" s="23" t="n">
        <f aca="false">MATCH($B423&amp;"|"&amp;$C423,Profils!$A$5:$A$34,0)</f>
        <v>14</v>
      </c>
      <c r="AF423" s="23" t="n">
        <v>3</v>
      </c>
      <c r="AG423" s="24" t="n">
        <f aca="false" t="array" ref="AG423:AG423">INDEX(Paramètres!$C$6:$C$12,$AF423)</f>
        <v>1.45</v>
      </c>
      <c r="AH423" s="23" t="n">
        <f aca="false" t="array" ref="AH423:AH423">INDEX(Paramètres!$D$6:$D$12,$AF423)</f>
        <v>4</v>
      </c>
      <c r="AI423" s="23" t="n">
        <f aca="false" t="array" ref="AI423:AI423">INDEX(Matériaux!$C$16:$C$20,$D423)</f>
        <v>25</v>
      </c>
      <c r="AJ423" s="25" t="n">
        <f aca="false">Paramètres!$B$16+(1-Paramètres!$B$16)*(($J423-Paramètres!$B$14)/(Paramètres!$B$15-Paramètres!$B$14))^Paramètres!$B$17</f>
        <v>0.26769024555533</v>
      </c>
    </row>
    <row r="424" customFormat="false" ht="15.75" hidden="false" customHeight="true" outlineLevel="0" collapsed="false">
      <c r="A424" s="14" t="s">
        <v>540</v>
      </c>
      <c r="B424" s="15" t="s">
        <v>29</v>
      </c>
      <c r="C424" s="15" t="s">
        <v>209</v>
      </c>
      <c r="D424" s="16" t="n">
        <v>3</v>
      </c>
      <c r="E424" s="15" t="str">
        <f aca="false" t="array" ref="E424:E424">INDEX(Matériaux!$B$5:$F$12,MATCH(INDEX(Profils!$E$5:$E$34,$AE424),Matériaux!$A$5:$A$12,0),$D424)</f>
        <v>soie</v>
      </c>
      <c r="F424" s="28" t="s">
        <v>115</v>
      </c>
      <c r="G424" s="10" t="str">
        <f aca="false" t="array" ref="G424:G424">INDEX(Profils!$D$5:$D$34,$AE424)&amp;" en "&amp;$E424</f>
        <v>Bottines en soie</v>
      </c>
      <c r="H424" s="16" t="n">
        <f aca="false" t="array" ref="H424:H424">INDEX(Matériaux!$B$16:$B$20,$D424)</f>
        <v>30</v>
      </c>
      <c r="I424" s="16" t="n">
        <f aca="false">IF(ISNUMBER($C$3),MIN(MAX(0,ROUND($C$3,0)),$AI424),$AI424)</f>
        <v>0</v>
      </c>
      <c r="J424" s="18" t="n">
        <f aca="false">$H424+$I424</f>
        <v>30</v>
      </c>
      <c r="K424" s="15" t="s">
        <v>109</v>
      </c>
      <c r="L424" s="19" t="n">
        <f aca="false" t="array" ref="L424:L424">IF(AND(INDEX(Profils!$F$5:$F$34,$AE424)&gt;0,INDEX(Profils!$U$5:$U$34,$AE424)&lt;=$AH424),ROUND(INDEX(Profils!$F$5:$F$34,$AE424)*Paramètres!$E$22*$AG424*$AJ424,Paramètres!$F$22),0)</f>
        <v>14</v>
      </c>
      <c r="M424" s="19" t="n">
        <f aca="false" t="array" ref="M424:M424">IF(AND(INDEX(Profils!$G$5:$G$34,$AE424)&gt;0,INDEX(Profils!$V$5:$V$34,$AE424)&lt;=$AH424),ROUND(INDEX(Profils!$G$5:$G$34,$AE424)*Paramètres!$E$23*$AG424*$AJ424,Paramètres!$F$23),0)</f>
        <v>0</v>
      </c>
      <c r="N424" s="19" t="n">
        <f aca="false" t="array" ref="N424:N424">IF(AND(INDEX(Profils!$H$5:$H$34,$AE424)&gt;0,INDEX(Profils!$W$5:$W$34,$AE424)&lt;=$AH424),ROUND(INDEX(Profils!$H$5:$H$34,$AE424)*Paramètres!$E$24*$AG424*$AJ424,Paramètres!$F$24),0)</f>
        <v>0</v>
      </c>
      <c r="O424" s="19" t="n">
        <f aca="false" t="array" ref="O424:O424">IF(AND(INDEX(Profils!$I$5:$I$34,$AE424)&gt;0,INDEX(Profils!$X$5:$X$34,$AE424)&lt;=$AH424),ROUND(INDEX(Profils!$I$5:$I$34,$AE424)*Paramètres!$E$25*$AG424*$AJ424,Paramètres!$F$25),0)</f>
        <v>6</v>
      </c>
      <c r="P424" s="19" t="n">
        <f aca="false" t="array" ref="P424:P424">IF(AND(INDEX(Profils!$J$5:$J$34,$AE424)&gt;0,INDEX(Profils!$Y$5:$Y$34,$AE424)&lt;=$AH424),ROUND(INDEX(Profils!$J$5:$J$34,$AE424)*Paramètres!$E$26*$AG424*$AJ424,Paramètres!$F$26),0)</f>
        <v>7</v>
      </c>
      <c r="Q424" s="19" t="n">
        <f aca="false" t="array" ref="Q424:Q424">IF(AND(INDEX(Profils!$K$5:$K$34,$AE424)&gt;0,INDEX(Profils!$Z$5:$Z$34,$AE424)&lt;=$AH424),ROUND(INDEX(Profils!$K$5:$K$34,$AE424)*Paramètres!$E$27*$AG424*$AJ424,Paramètres!$F$27),0)</f>
        <v>5</v>
      </c>
      <c r="R424" s="20" t="n">
        <f aca="false" t="array" ref="R424:R424">IF(AND(INDEX(Profils!$L$5:$L$34,$AE424)&gt;0,INDEX(Profils!$AA$5:$AA$34,$AE424)&lt;=$AH424),ROUND(INDEX(Profils!$L$5:$L$34,$AE424)*Paramètres!$E$28*$AG424*$AJ424,Paramètres!$F$28),0)</f>
        <v>0.004</v>
      </c>
      <c r="S424" s="20" t="n">
        <f aca="false" t="array" ref="S424:S424">IF(AND(INDEX(Profils!$M$5:$M$34,$AE424)&gt;0,INDEX(Profils!$AB$5:$AB$34,$AE424)&lt;=$AH424),ROUND(INDEX(Profils!$M$5:$M$34,$AE424)*Paramètres!$E$29*$AG424*$AJ424,Paramètres!$F$29),0)</f>
        <v>0</v>
      </c>
      <c r="T424" s="20" t="n">
        <f aca="false" t="array" ref="T424:T424">IF(AND(INDEX(Profils!$N$5:$N$34,$AE424)&gt;0,INDEX(Profils!$AC$5:$AC$34,$AE424)&lt;=$AH424),ROUND(INDEX(Profils!$N$5:$N$34,$AE424)*Paramètres!$E$30*$AG424*$AJ424,Paramètres!$F$30),0)</f>
        <v>0</v>
      </c>
      <c r="U424" s="19" t="n">
        <f aca="false" t="array" ref="U424:U424">IF(AND(INDEX(Profils!$O$5:$O$34,$AE424)&gt;0,INDEX(Profils!$AD$5:$AD$34,$AE424)&lt;=$AH424),ROUND(INDEX(Profils!$O$5:$O$34,$AE424)*Paramètres!$E$31*$AG424*$AJ424,Paramètres!$F$31),0)</f>
        <v>0</v>
      </c>
      <c r="V424" s="20" t="n">
        <f aca="false" t="array" ref="V424:V424">IF(AND(INDEX(Profils!$P$5:$P$34,$AE424)&gt;0,INDEX(Profils!$AE$5:$AE$34,$AE424)&lt;=$AH424),ROUND(INDEX(Profils!$P$5:$P$34,$AE424)*Paramètres!$E$32*$AG424*$AJ424,Paramètres!$F$32),0)</f>
        <v>0</v>
      </c>
      <c r="W424" s="20" t="n">
        <f aca="false" t="array" ref="W424:W424">IF(AND(INDEX(Profils!$Q$5:$Q$34,$AE424)&gt;0,INDEX(Profils!$AF$5:$AF$34,$AE424)&lt;=$AH424),ROUND(INDEX(Profils!$Q$5:$Q$34,$AE424)*Paramètres!$E$33*$AG424*$AJ424,Paramètres!$F$33),0)</f>
        <v>0</v>
      </c>
      <c r="X424" s="20" t="n">
        <f aca="false" t="array" ref="X424:X424">IF(AND(INDEX(Profils!$R$5:$R$34,$AE424)&gt;0,INDEX(Profils!$AG$5:$AG$34,$AE424)&lt;=$AH424),ROUND(INDEX(Profils!$R$5:$R$34,$AE424)*Paramètres!$E$34*$AG424*$AJ424,Paramètres!$F$34),0)</f>
        <v>0</v>
      </c>
      <c r="Y424" s="20" t="n">
        <f aca="false" t="array" ref="Y424:Y424">IF(AND(INDEX(Profils!$S$5:$S$34,$AE424)&gt;0,INDEX(Profils!$AH$5:$AH$34,$AE424)&lt;=$AH424),ROUND(INDEX(Profils!$S$5:$S$34,$AE424)*Paramètres!$E$35*$AG424*$AJ424,Paramètres!$F$35),0)</f>
        <v>0</v>
      </c>
      <c r="Z424" s="21" t="n">
        <f aca="false">ROUND(L424/Paramètres!$E$22+M424/Paramètres!$E$23+N424/Paramètres!$E$24+O424/Paramètres!$E$25+P424/Paramètres!$E$26+Q424/Paramètres!$E$27+R424/Paramètres!$E$28+S424/Paramètres!$E$29+T424/Paramètres!$E$30+U424/Paramètres!$E$31+V424/Paramètres!$E$32+W424/Paramètres!$E$33+X424/Paramètres!$E$34+Y424/Paramètres!$E$35,1)</f>
        <v>2.3</v>
      </c>
      <c r="AA424" s="22" t="s">
        <v>109</v>
      </c>
      <c r="AB424" s="22" t="s">
        <v>109</v>
      </c>
      <c r="AC424" s="15" t="str">
        <f aca="false">$E424</f>
        <v>soie</v>
      </c>
      <c r="AD424" s="16" t="n">
        <f aca="false" t="array" ref="AD424:AD424">IF($I424&gt;=$AI424,"Max",ROUND(Paramètres!$B$40*($I424+1)^Paramètres!$B$41*INDEX(Paramètres!$H$6:$H$12,$AF424),0))</f>
        <v>5</v>
      </c>
      <c r="AE424" s="23" t="n">
        <f aca="false">MATCH($B424&amp;"|"&amp;$C424,Profils!$A$5:$A$34,0)</f>
        <v>14</v>
      </c>
      <c r="AF424" s="23" t="n">
        <v>4</v>
      </c>
      <c r="AG424" s="24" t="n">
        <f aca="false" t="array" ref="AG424:AG424">INDEX(Paramètres!$C$6:$C$12,$AF424)</f>
        <v>1.75</v>
      </c>
      <c r="AH424" s="23" t="n">
        <f aca="false" t="array" ref="AH424:AH424">INDEX(Paramètres!$D$6:$D$12,$AF424)</f>
        <v>5</v>
      </c>
      <c r="AI424" s="23" t="n">
        <f aca="false" t="array" ref="AI424:AI424">INDEX(Matériaux!$C$16:$C$20,$D424)</f>
        <v>25</v>
      </c>
      <c r="AJ424" s="25" t="n">
        <f aca="false">Paramètres!$B$16+(1-Paramètres!$B$16)*(($J424-Paramètres!$B$14)/(Paramètres!$B$15-Paramètres!$B$14))^Paramètres!$B$17</f>
        <v>0.26769024555533</v>
      </c>
    </row>
    <row r="425" customFormat="false" ht="15.75" hidden="false" customHeight="true" outlineLevel="0" collapsed="false">
      <c r="A425" s="14" t="s">
        <v>541</v>
      </c>
      <c r="B425" s="15" t="s">
        <v>29</v>
      </c>
      <c r="C425" s="15" t="s">
        <v>209</v>
      </c>
      <c r="D425" s="16" t="n">
        <v>3</v>
      </c>
      <c r="E425" s="15" t="str">
        <f aca="false" t="array" ref="E425:E425">INDEX(Matériaux!$B$5:$F$12,MATCH(INDEX(Profils!$E$5:$E$34,$AE425),Matériaux!$A$5:$A$12,0),$D425)</f>
        <v>soie</v>
      </c>
      <c r="F425" s="29" t="s">
        <v>117</v>
      </c>
      <c r="G425" s="10" t="str">
        <f aca="false" t="array" ref="G425:G425">INDEX(Profils!$D$5:$D$34,$AE425)&amp;" en "&amp;$E425</f>
        <v>Bottines en soie</v>
      </c>
      <c r="H425" s="16" t="n">
        <f aca="false" t="array" ref="H425:H425">INDEX(Matériaux!$B$16:$B$20,$D425)</f>
        <v>30</v>
      </c>
      <c r="I425" s="16" t="n">
        <f aca="false">IF(ISNUMBER($C$3),MIN(MAX(0,ROUND($C$3,0)),$AI425),$AI425)</f>
        <v>0</v>
      </c>
      <c r="J425" s="18" t="n">
        <f aca="false">$H425+$I425</f>
        <v>30</v>
      </c>
      <c r="K425" s="15" t="s">
        <v>109</v>
      </c>
      <c r="L425" s="19" t="n">
        <f aca="false" t="array" ref="L425:L425">IF(AND(INDEX(Profils!$F$5:$F$34,$AE425)&gt;0,INDEX(Profils!$U$5:$U$34,$AE425)&lt;=$AH425),ROUND(INDEX(Profils!$F$5:$F$34,$AE425)*Paramètres!$E$22*$AG425*$AJ425,Paramètres!$F$22),0)</f>
        <v>17</v>
      </c>
      <c r="M425" s="19" t="n">
        <f aca="false" t="array" ref="M425:M425">IF(AND(INDEX(Profils!$G$5:$G$34,$AE425)&gt;0,INDEX(Profils!$V$5:$V$34,$AE425)&lt;=$AH425),ROUND(INDEX(Profils!$G$5:$G$34,$AE425)*Paramètres!$E$23*$AG425*$AJ425,Paramètres!$F$23),0)</f>
        <v>0</v>
      </c>
      <c r="N425" s="19" t="n">
        <f aca="false" t="array" ref="N425:N425">IF(AND(INDEX(Profils!$H$5:$H$34,$AE425)&gt;0,INDEX(Profils!$W$5:$W$34,$AE425)&lt;=$AH425),ROUND(INDEX(Profils!$H$5:$H$34,$AE425)*Paramètres!$E$24*$AG425*$AJ425,Paramètres!$F$24),0)</f>
        <v>0</v>
      </c>
      <c r="O425" s="19" t="n">
        <f aca="false" t="array" ref="O425:O425">IF(AND(INDEX(Profils!$I$5:$I$34,$AE425)&gt;0,INDEX(Profils!$X$5:$X$34,$AE425)&lt;=$AH425),ROUND(INDEX(Profils!$I$5:$I$34,$AE425)*Paramètres!$E$25*$AG425*$AJ425,Paramètres!$F$25),0)</f>
        <v>7</v>
      </c>
      <c r="P425" s="19" t="n">
        <f aca="false" t="array" ref="P425:P425">IF(AND(INDEX(Profils!$J$5:$J$34,$AE425)&gt;0,INDEX(Profils!$Y$5:$Y$34,$AE425)&lt;=$AH425),ROUND(INDEX(Profils!$J$5:$J$34,$AE425)*Paramètres!$E$26*$AG425*$AJ425,Paramètres!$F$26),0)</f>
        <v>9</v>
      </c>
      <c r="Q425" s="19" t="n">
        <f aca="false" t="array" ref="Q425:Q425">IF(AND(INDEX(Profils!$K$5:$K$34,$AE425)&gt;0,INDEX(Profils!$Z$5:$Z$34,$AE425)&lt;=$AH425),ROUND(INDEX(Profils!$K$5:$K$34,$AE425)*Paramètres!$E$27*$AG425*$AJ425,Paramètres!$F$27),0)</f>
        <v>6</v>
      </c>
      <c r="R425" s="20" t="n">
        <f aca="false" t="array" ref="R425:R425">IF(AND(INDEX(Profils!$L$5:$L$34,$AE425)&gt;0,INDEX(Profils!$AA$5:$AA$34,$AE425)&lt;=$AH425),ROUND(INDEX(Profils!$L$5:$L$34,$AE425)*Paramètres!$E$28*$AG425*$AJ425,Paramètres!$F$28),0)</f>
        <v>0.005</v>
      </c>
      <c r="S425" s="20" t="n">
        <f aca="false" t="array" ref="S425:S425">IF(AND(INDEX(Profils!$M$5:$M$34,$AE425)&gt;0,INDEX(Profils!$AB$5:$AB$34,$AE425)&lt;=$AH425),ROUND(INDEX(Profils!$M$5:$M$34,$AE425)*Paramètres!$E$29*$AG425*$AJ425,Paramètres!$F$29),0)</f>
        <v>0</v>
      </c>
      <c r="T425" s="20" t="n">
        <f aca="false" t="array" ref="T425:T425">IF(AND(INDEX(Profils!$N$5:$N$34,$AE425)&gt;0,INDEX(Profils!$AC$5:$AC$34,$AE425)&lt;=$AH425),ROUND(INDEX(Profils!$N$5:$N$34,$AE425)*Paramètres!$E$30*$AG425*$AJ425,Paramètres!$F$30),0)</f>
        <v>0</v>
      </c>
      <c r="U425" s="19" t="n">
        <f aca="false" t="array" ref="U425:U425">IF(AND(INDEX(Profils!$O$5:$O$34,$AE425)&gt;0,INDEX(Profils!$AD$5:$AD$34,$AE425)&lt;=$AH425),ROUND(INDEX(Profils!$O$5:$O$34,$AE425)*Paramètres!$E$31*$AG425*$AJ425,Paramètres!$F$31),0)</f>
        <v>0</v>
      </c>
      <c r="V425" s="20" t="n">
        <f aca="false" t="array" ref="V425:V425">IF(AND(INDEX(Profils!$P$5:$P$34,$AE425)&gt;0,INDEX(Profils!$AE$5:$AE$34,$AE425)&lt;=$AH425),ROUND(INDEX(Profils!$P$5:$P$34,$AE425)*Paramètres!$E$32*$AG425*$AJ425,Paramètres!$F$32),0)</f>
        <v>0</v>
      </c>
      <c r="W425" s="20" t="n">
        <f aca="false" t="array" ref="W425:W425">IF(AND(INDEX(Profils!$Q$5:$Q$34,$AE425)&gt;0,INDEX(Profils!$AF$5:$AF$34,$AE425)&lt;=$AH425),ROUND(INDEX(Profils!$Q$5:$Q$34,$AE425)*Paramètres!$E$33*$AG425*$AJ425,Paramètres!$F$33),0)</f>
        <v>0.005</v>
      </c>
      <c r="X425" s="20" t="n">
        <f aca="false" t="array" ref="X425:X425">IF(AND(INDEX(Profils!$R$5:$R$34,$AE425)&gt;0,INDEX(Profils!$AG$5:$AG$34,$AE425)&lt;=$AH425),ROUND(INDEX(Profils!$R$5:$R$34,$AE425)*Paramètres!$E$34*$AG425*$AJ425,Paramètres!$F$34),0)</f>
        <v>0</v>
      </c>
      <c r="Y425" s="20" t="n">
        <f aca="false" t="array" ref="Y425:Y425">IF(AND(INDEX(Profils!$S$5:$S$34,$AE425)&gt;0,INDEX(Profils!$AH$5:$AH$34,$AE425)&lt;=$AH425),ROUND(INDEX(Profils!$S$5:$S$34,$AE425)*Paramètres!$E$35*$AG425*$AJ425,Paramètres!$F$35),0)</f>
        <v>0</v>
      </c>
      <c r="Z425" s="21" t="n">
        <f aca="false">ROUND(L425/Paramètres!$E$22+M425/Paramètres!$E$23+N425/Paramètres!$E$24+O425/Paramètres!$E$25+P425/Paramètres!$E$26+Q425/Paramètres!$E$27+R425/Paramètres!$E$28+S425/Paramètres!$E$29+T425/Paramètres!$E$30+U425/Paramètres!$E$31+V425/Paramètres!$E$32+W425/Paramètres!$E$33+X425/Paramètres!$E$34+Y425/Paramètres!$E$35,1)</f>
        <v>3.2</v>
      </c>
      <c r="AA425" s="22" t="s">
        <v>109</v>
      </c>
      <c r="AB425" s="22" t="s">
        <v>109</v>
      </c>
      <c r="AC425" s="15" t="str">
        <f aca="false">$E425</f>
        <v>soie</v>
      </c>
      <c r="AD425" s="16" t="n">
        <f aca="false" t="array" ref="AD425:AD425">IF($I425&gt;=$AI425,"Max",ROUND(Paramètres!$B$40*($I425+1)^Paramètres!$B$41*INDEX(Paramètres!$H$6:$H$12,$AF425),0))</f>
        <v>6</v>
      </c>
      <c r="AE425" s="23" t="n">
        <f aca="false">MATCH($B425&amp;"|"&amp;$C425,Profils!$A$5:$A$34,0)</f>
        <v>14</v>
      </c>
      <c r="AF425" s="23" t="n">
        <v>5</v>
      </c>
      <c r="AG425" s="24" t="n">
        <f aca="false" t="array" ref="AG425:AG425">INDEX(Paramètres!$C$6:$C$12,$AF425)</f>
        <v>2.1</v>
      </c>
      <c r="AH425" s="23" t="n">
        <f aca="false" t="array" ref="AH425:AH425">INDEX(Paramètres!$D$6:$D$12,$AF425)</f>
        <v>6</v>
      </c>
      <c r="AI425" s="23" t="n">
        <f aca="false" t="array" ref="AI425:AI425">INDEX(Matériaux!$C$16:$C$20,$D425)</f>
        <v>25</v>
      </c>
      <c r="AJ425" s="25" t="n">
        <f aca="false">Paramètres!$B$16+(1-Paramètres!$B$16)*(($J425-Paramètres!$B$14)/(Paramètres!$B$15-Paramètres!$B$14))^Paramètres!$B$17</f>
        <v>0.26769024555533</v>
      </c>
    </row>
    <row r="426" customFormat="false" ht="15.75" hidden="false" customHeight="true" outlineLevel="0" collapsed="false">
      <c r="A426" s="14" t="s">
        <v>542</v>
      </c>
      <c r="B426" s="15" t="s">
        <v>29</v>
      </c>
      <c r="C426" s="15" t="s">
        <v>209</v>
      </c>
      <c r="D426" s="16" t="n">
        <v>3</v>
      </c>
      <c r="E426" s="15" t="str">
        <f aca="false" t="array" ref="E426:E426">INDEX(Matériaux!$B$5:$F$12,MATCH(INDEX(Profils!$E$5:$E$34,$AE426),Matériaux!$A$5:$A$12,0),$D426)</f>
        <v>soie</v>
      </c>
      <c r="F426" s="30" t="s">
        <v>119</v>
      </c>
      <c r="G426" s="10" t="str">
        <f aca="false" t="array" ref="G426:G426">INDEX(Profils!$D$5:$D$34,$AE426)&amp;" en "&amp;$E426</f>
        <v>Bottines en soie</v>
      </c>
      <c r="H426" s="16" t="n">
        <f aca="false" t="array" ref="H426:H426">INDEX(Matériaux!$B$16:$B$20,$D426)</f>
        <v>30</v>
      </c>
      <c r="I426" s="16" t="n">
        <f aca="false">IF(ISNUMBER($C$3),MIN(MAX(0,ROUND($C$3,0)),$AI426),$AI426)</f>
        <v>0</v>
      </c>
      <c r="J426" s="18" t="n">
        <f aca="false">$H426+$I426</f>
        <v>30</v>
      </c>
      <c r="K426" s="15" t="s">
        <v>109</v>
      </c>
      <c r="L426" s="19" t="n">
        <f aca="false" t="array" ref="L426:L426">IF(AND(INDEX(Profils!$F$5:$F$34,$AE426)&gt;0,INDEX(Profils!$U$5:$U$34,$AE426)&lt;=$AH426),ROUND(INDEX(Profils!$F$5:$F$34,$AE426)*Paramètres!$E$22*$AG426*$AJ426,Paramètres!$F$22),0)</f>
        <v>19</v>
      </c>
      <c r="M426" s="19" t="n">
        <f aca="false" t="array" ref="M426:M426">IF(AND(INDEX(Profils!$G$5:$G$34,$AE426)&gt;0,INDEX(Profils!$V$5:$V$34,$AE426)&lt;=$AH426),ROUND(INDEX(Profils!$G$5:$G$34,$AE426)*Paramètres!$E$23*$AG426*$AJ426,Paramètres!$F$23),0)</f>
        <v>0</v>
      </c>
      <c r="N426" s="19" t="n">
        <f aca="false" t="array" ref="N426:N426">IF(AND(INDEX(Profils!$H$5:$H$34,$AE426)&gt;0,INDEX(Profils!$W$5:$W$34,$AE426)&lt;=$AH426),ROUND(INDEX(Profils!$H$5:$H$34,$AE426)*Paramètres!$E$24*$AG426*$AJ426,Paramètres!$F$24),0)</f>
        <v>0</v>
      </c>
      <c r="O426" s="19" t="n">
        <f aca="false" t="array" ref="O426:O426">IF(AND(INDEX(Profils!$I$5:$I$34,$AE426)&gt;0,INDEX(Profils!$X$5:$X$34,$AE426)&lt;=$AH426),ROUND(INDEX(Profils!$I$5:$I$34,$AE426)*Paramètres!$E$25*$AG426*$AJ426,Paramètres!$F$25),0)</f>
        <v>8</v>
      </c>
      <c r="P426" s="19" t="n">
        <f aca="false" t="array" ref="P426:P426">IF(AND(INDEX(Profils!$J$5:$J$34,$AE426)&gt;0,INDEX(Profils!$Y$5:$Y$34,$AE426)&lt;=$AH426),ROUND(INDEX(Profils!$J$5:$J$34,$AE426)*Paramètres!$E$26*$AG426*$AJ426,Paramètres!$F$26),0)</f>
        <v>10</v>
      </c>
      <c r="Q426" s="19" t="n">
        <f aca="false" t="array" ref="Q426:Q426">IF(AND(INDEX(Profils!$K$5:$K$34,$AE426)&gt;0,INDEX(Profils!$Z$5:$Z$34,$AE426)&lt;=$AH426),ROUND(INDEX(Profils!$K$5:$K$34,$AE426)*Paramètres!$E$27*$AG426*$AJ426,Paramètres!$F$27),0)</f>
        <v>7</v>
      </c>
      <c r="R426" s="20" t="n">
        <f aca="false" t="array" ref="R426:R426">IF(AND(INDEX(Profils!$L$5:$L$34,$AE426)&gt;0,INDEX(Profils!$AA$5:$AA$34,$AE426)&lt;=$AH426),ROUND(INDEX(Profils!$L$5:$L$34,$AE426)*Paramètres!$E$28*$AG426*$AJ426,Paramètres!$F$28),0)</f>
        <v>0.006</v>
      </c>
      <c r="S426" s="20" t="n">
        <f aca="false" t="array" ref="S426:S426">IF(AND(INDEX(Profils!$M$5:$M$34,$AE426)&gt;0,INDEX(Profils!$AB$5:$AB$34,$AE426)&lt;=$AH426),ROUND(INDEX(Profils!$M$5:$M$34,$AE426)*Paramètres!$E$29*$AG426*$AJ426,Paramètres!$F$29),0)</f>
        <v>0</v>
      </c>
      <c r="T426" s="20" t="n">
        <f aca="false" t="array" ref="T426:T426">IF(AND(INDEX(Profils!$N$5:$N$34,$AE426)&gt;0,INDEX(Profils!$AC$5:$AC$34,$AE426)&lt;=$AH426),ROUND(INDEX(Profils!$N$5:$N$34,$AE426)*Paramètres!$E$30*$AG426*$AJ426,Paramètres!$F$30),0)</f>
        <v>0</v>
      </c>
      <c r="U426" s="19" t="n">
        <f aca="false" t="array" ref="U426:U426">IF(AND(INDEX(Profils!$O$5:$O$34,$AE426)&gt;0,INDEX(Profils!$AD$5:$AD$34,$AE426)&lt;=$AH426),ROUND(INDEX(Profils!$O$5:$O$34,$AE426)*Paramètres!$E$31*$AG426*$AJ426,Paramètres!$F$31),0)</f>
        <v>6</v>
      </c>
      <c r="V426" s="20" t="n">
        <f aca="false" t="array" ref="V426:V426">IF(AND(INDEX(Profils!$P$5:$P$34,$AE426)&gt;0,INDEX(Profils!$AE$5:$AE$34,$AE426)&lt;=$AH426),ROUND(INDEX(Profils!$P$5:$P$34,$AE426)*Paramètres!$E$32*$AG426*$AJ426,Paramètres!$F$32),0)</f>
        <v>0</v>
      </c>
      <c r="W426" s="20" t="n">
        <f aca="false" t="array" ref="W426:W426">IF(AND(INDEX(Profils!$Q$5:$Q$34,$AE426)&gt;0,INDEX(Profils!$AF$5:$AF$34,$AE426)&lt;=$AH426),ROUND(INDEX(Profils!$Q$5:$Q$34,$AE426)*Paramètres!$E$33*$AG426*$AJ426,Paramètres!$F$33),0)</f>
        <v>0.006</v>
      </c>
      <c r="X426" s="20" t="n">
        <f aca="false" t="array" ref="X426:X426">IF(AND(INDEX(Profils!$R$5:$R$34,$AE426)&gt;0,INDEX(Profils!$AG$5:$AG$34,$AE426)&lt;=$AH426),ROUND(INDEX(Profils!$R$5:$R$34,$AE426)*Paramètres!$E$34*$AG426*$AJ426,Paramètres!$F$34),0)</f>
        <v>0</v>
      </c>
      <c r="Y426" s="20" t="n">
        <f aca="false" t="array" ref="Y426:Y426">IF(AND(INDEX(Profils!$S$5:$S$34,$AE426)&gt;0,INDEX(Profils!$AH$5:$AH$34,$AE426)&lt;=$AH426),ROUND(INDEX(Profils!$S$5:$S$34,$AE426)*Paramètres!$E$35*$AG426*$AJ426,Paramètres!$F$35),0)</f>
        <v>0</v>
      </c>
      <c r="Z426" s="21" t="n">
        <f aca="false">ROUND(L426/Paramètres!$E$22+M426/Paramètres!$E$23+N426/Paramètres!$E$24+O426/Paramètres!$E$25+P426/Paramètres!$E$26+Q426/Paramètres!$E$27+R426/Paramètres!$E$28+S426/Paramètres!$E$29+T426/Paramètres!$E$30+U426/Paramètres!$E$31+V426/Paramètres!$E$32+W426/Paramètres!$E$33+X426/Paramètres!$E$34+Y426/Paramètres!$E$35,1)</f>
        <v>3.9</v>
      </c>
      <c r="AA426" s="22" t="s">
        <v>109</v>
      </c>
      <c r="AB426" s="22" t="s">
        <v>109</v>
      </c>
      <c r="AC426" s="15" t="str">
        <f aca="false">$E426</f>
        <v>soie</v>
      </c>
      <c r="AD426" s="16" t="n">
        <f aca="false" t="array" ref="AD426:AD426">IF($I426&gt;=$AI426,"Max",ROUND(Paramètres!$B$40*($I426+1)^Paramètres!$B$41*INDEX(Paramètres!$H$6:$H$12,$AF426),0))</f>
        <v>8</v>
      </c>
      <c r="AE426" s="23" t="n">
        <f aca="false">MATCH($B426&amp;"|"&amp;$C426,Profils!$A$5:$A$34,0)</f>
        <v>14</v>
      </c>
      <c r="AF426" s="23" t="n">
        <v>6</v>
      </c>
      <c r="AG426" s="24" t="n">
        <f aca="false" t="array" ref="AG426:AG426">INDEX(Paramètres!$C$6:$C$12,$AF426)</f>
        <v>2.4</v>
      </c>
      <c r="AH426" s="23" t="n">
        <f aca="false" t="array" ref="AH426:AH426">INDEX(Paramètres!$D$6:$D$12,$AF426)</f>
        <v>7</v>
      </c>
      <c r="AI426" s="23" t="n">
        <f aca="false" t="array" ref="AI426:AI426">INDEX(Matériaux!$C$16:$C$20,$D426)</f>
        <v>25</v>
      </c>
      <c r="AJ426" s="25" t="n">
        <f aca="false">Paramètres!$B$16+(1-Paramètres!$B$16)*(($J426-Paramètres!$B$14)/(Paramètres!$B$15-Paramètres!$B$14))^Paramètres!$B$17</f>
        <v>0.26769024555533</v>
      </c>
    </row>
    <row r="427" customFormat="false" ht="15.75" hidden="false" customHeight="true" outlineLevel="0" collapsed="false">
      <c r="A427" s="14" t="s">
        <v>543</v>
      </c>
      <c r="B427" s="15" t="s">
        <v>29</v>
      </c>
      <c r="C427" s="15" t="s">
        <v>209</v>
      </c>
      <c r="D427" s="16" t="n">
        <v>4</v>
      </c>
      <c r="E427" s="15" t="str">
        <f aca="false" t="array" ref="E427:E427">INDEX(Matériaux!$B$5:$F$12,MATCH(INDEX(Profils!$E$5:$E$34,$AE427),Matériaux!$A$5:$A$12,0),$D427)</f>
        <v>velours enchanté</v>
      </c>
      <c r="F427" s="17" t="s">
        <v>108</v>
      </c>
      <c r="G427" s="10" t="str">
        <f aca="false" t="array" ref="G427:G427">INDEX(Profils!$D$5:$D$34,$AE427)&amp;" en "&amp;$E427</f>
        <v>Bottines en velours enchanté</v>
      </c>
      <c r="H427" s="16" t="n">
        <f aca="false" t="array" ref="H427:H427">INDEX(Matériaux!$B$16:$B$20,$D427)</f>
        <v>50</v>
      </c>
      <c r="I427" s="16" t="n">
        <f aca="false">IF(ISNUMBER($C$3),MIN(MAX(0,ROUND($C$3,0)),$AI427),$AI427)</f>
        <v>0</v>
      </c>
      <c r="J427" s="18" t="n">
        <f aca="false">$H427+$I427</f>
        <v>50</v>
      </c>
      <c r="K427" s="15" t="s">
        <v>109</v>
      </c>
      <c r="L427" s="19" t="n">
        <f aca="false" t="array" ref="L427:L427">IF(AND(INDEX(Profils!$F$5:$F$34,$AE427)&gt;0,INDEX(Profils!$U$5:$U$34,$AE427)&lt;=$AH427),ROUND(INDEX(Profils!$F$5:$F$34,$AE427)*Paramètres!$E$22*$AG427*$AJ427,Paramètres!$F$22),0)</f>
        <v>14</v>
      </c>
      <c r="M427" s="19" t="n">
        <f aca="false" t="array" ref="M427:M427">IF(AND(INDEX(Profils!$G$5:$G$34,$AE427)&gt;0,INDEX(Profils!$V$5:$V$34,$AE427)&lt;=$AH427),ROUND(INDEX(Profils!$G$5:$G$34,$AE427)*Paramètres!$E$23*$AG427*$AJ427,Paramètres!$F$23),0)</f>
        <v>0</v>
      </c>
      <c r="N427" s="19" t="n">
        <f aca="false" t="array" ref="N427:N427">IF(AND(INDEX(Profils!$H$5:$H$34,$AE427)&gt;0,INDEX(Profils!$W$5:$W$34,$AE427)&lt;=$AH427),ROUND(INDEX(Profils!$H$5:$H$34,$AE427)*Paramètres!$E$24*$AG427*$AJ427,Paramètres!$F$24),0)</f>
        <v>0</v>
      </c>
      <c r="O427" s="19" t="n">
        <f aca="false" t="array" ref="O427:O427">IF(AND(INDEX(Profils!$I$5:$I$34,$AE427)&gt;0,INDEX(Profils!$X$5:$X$34,$AE427)&lt;=$AH427),ROUND(INDEX(Profils!$I$5:$I$34,$AE427)*Paramètres!$E$25*$AG427*$AJ427,Paramètres!$F$25),0)</f>
        <v>0</v>
      </c>
      <c r="P427" s="19" t="n">
        <f aca="false" t="array" ref="P427:P427">IF(AND(INDEX(Profils!$J$5:$J$34,$AE427)&gt;0,INDEX(Profils!$Y$5:$Y$34,$AE427)&lt;=$AH427),ROUND(INDEX(Profils!$J$5:$J$34,$AE427)*Paramètres!$E$26*$AG427*$AJ427,Paramètres!$F$26),0)</f>
        <v>7</v>
      </c>
      <c r="Q427" s="19" t="n">
        <f aca="false" t="array" ref="Q427:Q427">IF(AND(INDEX(Profils!$K$5:$K$34,$AE427)&gt;0,INDEX(Profils!$Z$5:$Z$34,$AE427)&lt;=$AH427),ROUND(INDEX(Profils!$K$5:$K$34,$AE427)*Paramètres!$E$27*$AG427*$AJ427,Paramètres!$F$27),0)</f>
        <v>0</v>
      </c>
      <c r="R427" s="20" t="n">
        <f aca="false" t="array" ref="R427:R427">IF(AND(INDEX(Profils!$L$5:$L$34,$AE427)&gt;0,INDEX(Profils!$AA$5:$AA$34,$AE427)&lt;=$AH427),ROUND(INDEX(Profils!$L$5:$L$34,$AE427)*Paramètres!$E$28*$AG427*$AJ427,Paramètres!$F$28),0)</f>
        <v>0</v>
      </c>
      <c r="S427" s="20" t="n">
        <f aca="false" t="array" ref="S427:S427">IF(AND(INDEX(Profils!$M$5:$M$34,$AE427)&gt;0,INDEX(Profils!$AB$5:$AB$34,$AE427)&lt;=$AH427),ROUND(INDEX(Profils!$M$5:$M$34,$AE427)*Paramètres!$E$29*$AG427*$AJ427,Paramètres!$F$29),0)</f>
        <v>0</v>
      </c>
      <c r="T427" s="20" t="n">
        <f aca="false" t="array" ref="T427:T427">IF(AND(INDEX(Profils!$N$5:$N$34,$AE427)&gt;0,INDEX(Profils!$AC$5:$AC$34,$AE427)&lt;=$AH427),ROUND(INDEX(Profils!$N$5:$N$34,$AE427)*Paramètres!$E$30*$AG427*$AJ427,Paramètres!$F$30),0)</f>
        <v>0</v>
      </c>
      <c r="U427" s="19" t="n">
        <f aca="false" t="array" ref="U427:U427">IF(AND(INDEX(Profils!$O$5:$O$34,$AE427)&gt;0,INDEX(Profils!$AD$5:$AD$34,$AE427)&lt;=$AH427),ROUND(INDEX(Profils!$O$5:$O$34,$AE427)*Paramètres!$E$31*$AG427*$AJ427,Paramètres!$F$31),0)</f>
        <v>0</v>
      </c>
      <c r="V427" s="20" t="n">
        <f aca="false" t="array" ref="V427:V427">IF(AND(INDEX(Profils!$P$5:$P$34,$AE427)&gt;0,INDEX(Profils!$AE$5:$AE$34,$AE427)&lt;=$AH427),ROUND(INDEX(Profils!$P$5:$P$34,$AE427)*Paramètres!$E$32*$AG427*$AJ427,Paramètres!$F$32),0)</f>
        <v>0</v>
      </c>
      <c r="W427" s="20" t="n">
        <f aca="false" t="array" ref="W427:W427">IF(AND(INDEX(Profils!$Q$5:$Q$34,$AE427)&gt;0,INDEX(Profils!$AF$5:$AF$34,$AE427)&lt;=$AH427),ROUND(INDEX(Profils!$Q$5:$Q$34,$AE427)*Paramètres!$E$33*$AG427*$AJ427,Paramètres!$F$33),0)</f>
        <v>0</v>
      </c>
      <c r="X427" s="20" t="n">
        <f aca="false" t="array" ref="X427:X427">IF(AND(INDEX(Profils!$R$5:$R$34,$AE427)&gt;0,INDEX(Profils!$AG$5:$AG$34,$AE427)&lt;=$AH427),ROUND(INDEX(Profils!$R$5:$R$34,$AE427)*Paramètres!$E$34*$AG427*$AJ427,Paramètres!$F$34),0)</f>
        <v>0</v>
      </c>
      <c r="Y427" s="20" t="n">
        <f aca="false" t="array" ref="Y427:Y427">IF(AND(INDEX(Profils!$S$5:$S$34,$AE427)&gt;0,INDEX(Profils!$AH$5:$AH$34,$AE427)&lt;=$AH427),ROUND(INDEX(Profils!$S$5:$S$34,$AE427)*Paramètres!$E$35*$AG427*$AJ427,Paramètres!$F$35),0)</f>
        <v>0</v>
      </c>
      <c r="Z427" s="21" t="n">
        <f aca="false">ROUND(L427/Paramètres!$E$22+M427/Paramètres!$E$23+N427/Paramètres!$E$24+O427/Paramètres!$E$25+P427/Paramètres!$E$26+Q427/Paramètres!$E$27+R427/Paramètres!$E$28+S427/Paramètres!$E$29+T427/Paramètres!$E$30+U427/Paramètres!$E$31+V427/Paramètres!$E$32+W427/Paramètres!$E$33+X427/Paramètres!$E$34+Y427/Paramètres!$E$35,1)</f>
        <v>1.1</v>
      </c>
      <c r="AA427" s="22" t="s">
        <v>109</v>
      </c>
      <c r="AB427" s="22" t="s">
        <v>109</v>
      </c>
      <c r="AC427" s="15" t="str">
        <f aca="false">$E427</f>
        <v>velours enchanté</v>
      </c>
      <c r="AD427" s="16" t="n">
        <f aca="false" t="array" ref="AD427:AD427">IF($I427&gt;=$AI427,"Max",ROUND(Paramètres!$B$40*($I427+1)^Paramètres!$B$41*INDEX(Paramètres!$H$6:$H$12,$AF427),0))</f>
        <v>3</v>
      </c>
      <c r="AE427" s="23" t="n">
        <f aca="false">MATCH($B427&amp;"|"&amp;$C427,Profils!$A$5:$A$34,0)</f>
        <v>14</v>
      </c>
      <c r="AF427" s="23" t="n">
        <v>1</v>
      </c>
      <c r="AG427" s="24" t="n">
        <f aca="false" t="array" ref="AG427:AG427">INDEX(Paramètres!$C$6:$C$12,$AF427)</f>
        <v>1</v>
      </c>
      <c r="AH427" s="23" t="n">
        <f aca="false" t="array" ref="AH427:AH427">INDEX(Paramètres!$D$6:$D$12,$AF427)</f>
        <v>2</v>
      </c>
      <c r="AI427" s="23" t="n">
        <f aca="false" t="array" ref="AI427:AI427">INDEX(Matériaux!$C$16:$C$20,$D427)</f>
        <v>25</v>
      </c>
      <c r="AJ427" s="25" t="n">
        <f aca="false">Paramètres!$B$16+(1-Paramètres!$B$16)*(($J427-Paramètres!$B$14)/(Paramètres!$B$15-Paramètres!$B$14))^Paramètres!$B$17</f>
        <v>0.458504333336152</v>
      </c>
    </row>
    <row r="428" customFormat="false" ht="15.75" hidden="false" customHeight="true" outlineLevel="0" collapsed="false">
      <c r="A428" s="14" t="s">
        <v>544</v>
      </c>
      <c r="B428" s="15" t="s">
        <v>29</v>
      </c>
      <c r="C428" s="15" t="s">
        <v>209</v>
      </c>
      <c r="D428" s="16" t="n">
        <v>4</v>
      </c>
      <c r="E428" s="15" t="str">
        <f aca="false" t="array" ref="E428:E428">INDEX(Matériaux!$B$5:$F$12,MATCH(INDEX(Profils!$E$5:$E$34,$AE428),Matériaux!$A$5:$A$12,0),$D428)</f>
        <v>velours enchanté</v>
      </c>
      <c r="F428" s="26" t="s">
        <v>111</v>
      </c>
      <c r="G428" s="10" t="str">
        <f aca="false" t="array" ref="G428:G428">INDEX(Profils!$D$5:$D$34,$AE428)&amp;" en "&amp;$E428</f>
        <v>Bottines en velours enchanté</v>
      </c>
      <c r="H428" s="16" t="n">
        <f aca="false" t="array" ref="H428:H428">INDEX(Matériaux!$B$16:$B$20,$D428)</f>
        <v>50</v>
      </c>
      <c r="I428" s="16" t="n">
        <f aca="false">IF(ISNUMBER($C$3),MIN(MAX(0,ROUND($C$3,0)),$AI428),$AI428)</f>
        <v>0</v>
      </c>
      <c r="J428" s="18" t="n">
        <f aca="false">$H428+$I428</f>
        <v>50</v>
      </c>
      <c r="K428" s="15" t="s">
        <v>109</v>
      </c>
      <c r="L428" s="19" t="n">
        <f aca="false" t="array" ref="L428:L428">IF(AND(INDEX(Profils!$F$5:$F$34,$AE428)&gt;0,INDEX(Profils!$U$5:$U$34,$AE428)&lt;=$AH428),ROUND(INDEX(Profils!$F$5:$F$34,$AE428)*Paramètres!$E$22*$AG428*$AJ428,Paramètres!$F$22),0)</f>
        <v>17</v>
      </c>
      <c r="M428" s="19" t="n">
        <f aca="false" t="array" ref="M428:M428">IF(AND(INDEX(Profils!$G$5:$G$34,$AE428)&gt;0,INDEX(Profils!$V$5:$V$34,$AE428)&lt;=$AH428),ROUND(INDEX(Profils!$G$5:$G$34,$AE428)*Paramètres!$E$23*$AG428*$AJ428,Paramètres!$F$23),0)</f>
        <v>0</v>
      </c>
      <c r="N428" s="19" t="n">
        <f aca="false" t="array" ref="N428:N428">IF(AND(INDEX(Profils!$H$5:$H$34,$AE428)&gt;0,INDEX(Profils!$W$5:$W$34,$AE428)&lt;=$AH428),ROUND(INDEX(Profils!$H$5:$H$34,$AE428)*Paramètres!$E$24*$AG428*$AJ428,Paramètres!$F$24),0)</f>
        <v>0</v>
      </c>
      <c r="O428" s="19" t="n">
        <f aca="false" t="array" ref="O428:O428">IF(AND(INDEX(Profils!$I$5:$I$34,$AE428)&gt;0,INDEX(Profils!$X$5:$X$34,$AE428)&lt;=$AH428),ROUND(INDEX(Profils!$I$5:$I$34,$AE428)*Paramètres!$E$25*$AG428*$AJ428,Paramètres!$F$25),0)</f>
        <v>0</v>
      </c>
      <c r="P428" s="19" t="n">
        <f aca="false" t="array" ref="P428:P428">IF(AND(INDEX(Profils!$J$5:$J$34,$AE428)&gt;0,INDEX(Profils!$Y$5:$Y$34,$AE428)&lt;=$AH428),ROUND(INDEX(Profils!$J$5:$J$34,$AE428)*Paramètres!$E$26*$AG428*$AJ428,Paramètres!$F$26),0)</f>
        <v>9</v>
      </c>
      <c r="Q428" s="19" t="n">
        <f aca="false" t="array" ref="Q428:Q428">IF(AND(INDEX(Profils!$K$5:$K$34,$AE428)&gt;0,INDEX(Profils!$Z$5:$Z$34,$AE428)&lt;=$AH428),ROUND(INDEX(Profils!$K$5:$K$34,$AE428)*Paramètres!$E$27*$AG428*$AJ428,Paramètres!$F$27),0)</f>
        <v>6</v>
      </c>
      <c r="R428" s="20" t="n">
        <f aca="false" t="array" ref="R428:R428">IF(AND(INDEX(Profils!$L$5:$L$34,$AE428)&gt;0,INDEX(Profils!$AA$5:$AA$34,$AE428)&lt;=$AH428),ROUND(INDEX(Profils!$L$5:$L$34,$AE428)*Paramètres!$E$28*$AG428*$AJ428,Paramètres!$F$28),0)</f>
        <v>0</v>
      </c>
      <c r="S428" s="20" t="n">
        <f aca="false" t="array" ref="S428:S428">IF(AND(INDEX(Profils!$M$5:$M$34,$AE428)&gt;0,INDEX(Profils!$AB$5:$AB$34,$AE428)&lt;=$AH428),ROUND(INDEX(Profils!$M$5:$M$34,$AE428)*Paramètres!$E$29*$AG428*$AJ428,Paramètres!$F$29),0)</f>
        <v>0</v>
      </c>
      <c r="T428" s="20" t="n">
        <f aca="false" t="array" ref="T428:T428">IF(AND(INDEX(Profils!$N$5:$N$34,$AE428)&gt;0,INDEX(Profils!$AC$5:$AC$34,$AE428)&lt;=$AH428),ROUND(INDEX(Profils!$N$5:$N$34,$AE428)*Paramètres!$E$30*$AG428*$AJ428,Paramètres!$F$30),0)</f>
        <v>0</v>
      </c>
      <c r="U428" s="19" t="n">
        <f aca="false" t="array" ref="U428:U428">IF(AND(INDEX(Profils!$O$5:$O$34,$AE428)&gt;0,INDEX(Profils!$AD$5:$AD$34,$AE428)&lt;=$AH428),ROUND(INDEX(Profils!$O$5:$O$34,$AE428)*Paramètres!$E$31*$AG428*$AJ428,Paramètres!$F$31),0)</f>
        <v>0</v>
      </c>
      <c r="V428" s="20" t="n">
        <f aca="false" t="array" ref="V428:V428">IF(AND(INDEX(Profils!$P$5:$P$34,$AE428)&gt;0,INDEX(Profils!$AE$5:$AE$34,$AE428)&lt;=$AH428),ROUND(INDEX(Profils!$P$5:$P$34,$AE428)*Paramètres!$E$32*$AG428*$AJ428,Paramètres!$F$32),0)</f>
        <v>0</v>
      </c>
      <c r="W428" s="20" t="n">
        <f aca="false" t="array" ref="W428:W428">IF(AND(INDEX(Profils!$Q$5:$Q$34,$AE428)&gt;0,INDEX(Profils!$AF$5:$AF$34,$AE428)&lt;=$AH428),ROUND(INDEX(Profils!$Q$5:$Q$34,$AE428)*Paramètres!$E$33*$AG428*$AJ428,Paramètres!$F$33),0)</f>
        <v>0</v>
      </c>
      <c r="X428" s="20" t="n">
        <f aca="false" t="array" ref="X428:X428">IF(AND(INDEX(Profils!$R$5:$R$34,$AE428)&gt;0,INDEX(Profils!$AG$5:$AG$34,$AE428)&lt;=$AH428),ROUND(INDEX(Profils!$R$5:$R$34,$AE428)*Paramètres!$E$34*$AG428*$AJ428,Paramètres!$F$34),0)</f>
        <v>0</v>
      </c>
      <c r="Y428" s="20" t="n">
        <f aca="false" t="array" ref="Y428:Y428">IF(AND(INDEX(Profils!$S$5:$S$34,$AE428)&gt;0,INDEX(Profils!$AH$5:$AH$34,$AE428)&lt;=$AH428),ROUND(INDEX(Profils!$S$5:$S$34,$AE428)*Paramètres!$E$35*$AG428*$AJ428,Paramètres!$F$35),0)</f>
        <v>0</v>
      </c>
      <c r="Z428" s="21" t="n">
        <f aca="false">ROUND(L428/Paramètres!$E$22+M428/Paramètres!$E$23+N428/Paramètres!$E$24+O428/Paramètres!$E$25+P428/Paramètres!$E$26+Q428/Paramètres!$E$27+R428/Paramètres!$E$28+S428/Paramètres!$E$29+T428/Paramètres!$E$30+U428/Paramètres!$E$31+V428/Paramètres!$E$32+W428/Paramètres!$E$33+X428/Paramètres!$E$34+Y428/Paramètres!$E$35,1)</f>
        <v>2</v>
      </c>
      <c r="AA428" s="22" t="s">
        <v>109</v>
      </c>
      <c r="AB428" s="22" t="s">
        <v>109</v>
      </c>
      <c r="AC428" s="15" t="str">
        <f aca="false">$E428</f>
        <v>velours enchanté</v>
      </c>
      <c r="AD428" s="16" t="n">
        <f aca="false" t="array" ref="AD428:AD428">IF($I428&gt;=$AI428,"Max",ROUND(Paramètres!$B$40*($I428+1)^Paramètres!$B$41*INDEX(Paramètres!$H$6:$H$12,$AF428),0))</f>
        <v>4</v>
      </c>
      <c r="AE428" s="23" t="n">
        <f aca="false">MATCH($B428&amp;"|"&amp;$C428,Profils!$A$5:$A$34,0)</f>
        <v>14</v>
      </c>
      <c r="AF428" s="23" t="n">
        <v>2</v>
      </c>
      <c r="AG428" s="24" t="n">
        <f aca="false" t="array" ref="AG428:AG428">INDEX(Paramètres!$C$6:$C$12,$AF428)</f>
        <v>1.2</v>
      </c>
      <c r="AH428" s="23" t="n">
        <f aca="false" t="array" ref="AH428:AH428">INDEX(Paramètres!$D$6:$D$12,$AF428)</f>
        <v>3</v>
      </c>
      <c r="AI428" s="23" t="n">
        <f aca="false" t="array" ref="AI428:AI428">INDEX(Matériaux!$C$16:$C$20,$D428)</f>
        <v>25</v>
      </c>
      <c r="AJ428" s="25" t="n">
        <f aca="false">Paramètres!$B$16+(1-Paramètres!$B$16)*(($J428-Paramètres!$B$14)/(Paramètres!$B$15-Paramètres!$B$14))^Paramètres!$B$17</f>
        <v>0.458504333336152</v>
      </c>
    </row>
    <row r="429" customFormat="false" ht="15.75" hidden="false" customHeight="true" outlineLevel="0" collapsed="false">
      <c r="A429" s="14" t="s">
        <v>545</v>
      </c>
      <c r="B429" s="15" t="s">
        <v>29</v>
      </c>
      <c r="C429" s="15" t="s">
        <v>209</v>
      </c>
      <c r="D429" s="16" t="n">
        <v>4</v>
      </c>
      <c r="E429" s="15" t="str">
        <f aca="false" t="array" ref="E429:E429">INDEX(Matériaux!$B$5:$F$12,MATCH(INDEX(Profils!$E$5:$E$34,$AE429),Matériaux!$A$5:$A$12,0),$D429)</f>
        <v>velours enchanté</v>
      </c>
      <c r="F429" s="27" t="s">
        <v>113</v>
      </c>
      <c r="G429" s="10" t="str">
        <f aca="false" t="array" ref="G429:G429">INDEX(Profils!$D$5:$D$34,$AE429)&amp;" en "&amp;$E429</f>
        <v>Bottines en velours enchanté</v>
      </c>
      <c r="H429" s="16" t="n">
        <f aca="false" t="array" ref="H429:H429">INDEX(Matériaux!$B$16:$B$20,$D429)</f>
        <v>50</v>
      </c>
      <c r="I429" s="16" t="n">
        <f aca="false">IF(ISNUMBER($C$3),MIN(MAX(0,ROUND($C$3,0)),$AI429),$AI429)</f>
        <v>0</v>
      </c>
      <c r="J429" s="18" t="n">
        <f aca="false">$H429+$I429</f>
        <v>50</v>
      </c>
      <c r="K429" s="15" t="s">
        <v>109</v>
      </c>
      <c r="L429" s="19" t="n">
        <f aca="false" t="array" ref="L429:L429">IF(AND(INDEX(Profils!$F$5:$F$34,$AE429)&gt;0,INDEX(Profils!$U$5:$U$34,$AE429)&lt;=$AH429),ROUND(INDEX(Profils!$F$5:$F$34,$AE429)*Paramètres!$E$22*$AG429*$AJ429,Paramètres!$F$22),0)</f>
        <v>20</v>
      </c>
      <c r="M429" s="19" t="n">
        <f aca="false" t="array" ref="M429:M429">IF(AND(INDEX(Profils!$G$5:$G$34,$AE429)&gt;0,INDEX(Profils!$V$5:$V$34,$AE429)&lt;=$AH429),ROUND(INDEX(Profils!$G$5:$G$34,$AE429)*Paramètres!$E$23*$AG429*$AJ429,Paramètres!$F$23),0)</f>
        <v>0</v>
      </c>
      <c r="N429" s="19" t="n">
        <f aca="false" t="array" ref="N429:N429">IF(AND(INDEX(Profils!$H$5:$H$34,$AE429)&gt;0,INDEX(Profils!$W$5:$W$34,$AE429)&lt;=$AH429),ROUND(INDEX(Profils!$H$5:$H$34,$AE429)*Paramètres!$E$24*$AG429*$AJ429,Paramètres!$F$24),0)</f>
        <v>0</v>
      </c>
      <c r="O429" s="19" t="n">
        <f aca="false" t="array" ref="O429:O429">IF(AND(INDEX(Profils!$I$5:$I$34,$AE429)&gt;0,INDEX(Profils!$X$5:$X$34,$AE429)&lt;=$AH429),ROUND(INDEX(Profils!$I$5:$I$34,$AE429)*Paramètres!$E$25*$AG429*$AJ429,Paramètres!$F$25),0)</f>
        <v>8</v>
      </c>
      <c r="P429" s="19" t="n">
        <f aca="false" t="array" ref="P429:P429">IF(AND(INDEX(Profils!$J$5:$J$34,$AE429)&gt;0,INDEX(Profils!$Y$5:$Y$34,$AE429)&lt;=$AH429),ROUND(INDEX(Profils!$J$5:$J$34,$AE429)*Paramètres!$E$26*$AG429*$AJ429,Paramètres!$F$26),0)</f>
        <v>10</v>
      </c>
      <c r="Q429" s="19" t="n">
        <f aca="false" t="array" ref="Q429:Q429">IF(AND(INDEX(Profils!$K$5:$K$34,$AE429)&gt;0,INDEX(Profils!$Z$5:$Z$34,$AE429)&lt;=$AH429),ROUND(INDEX(Profils!$K$5:$K$34,$AE429)*Paramètres!$E$27*$AG429*$AJ429,Paramètres!$F$27),0)</f>
        <v>7</v>
      </c>
      <c r="R429" s="20" t="n">
        <f aca="false" t="array" ref="R429:R429">IF(AND(INDEX(Profils!$L$5:$L$34,$AE429)&gt;0,INDEX(Profils!$AA$5:$AA$34,$AE429)&lt;=$AH429),ROUND(INDEX(Profils!$L$5:$L$34,$AE429)*Paramètres!$E$28*$AG429*$AJ429,Paramètres!$F$28),0)</f>
        <v>0</v>
      </c>
      <c r="S429" s="20" t="n">
        <f aca="false" t="array" ref="S429:S429">IF(AND(INDEX(Profils!$M$5:$M$34,$AE429)&gt;0,INDEX(Profils!$AB$5:$AB$34,$AE429)&lt;=$AH429),ROUND(INDEX(Profils!$M$5:$M$34,$AE429)*Paramètres!$E$29*$AG429*$AJ429,Paramètres!$F$29),0)</f>
        <v>0</v>
      </c>
      <c r="T429" s="20" t="n">
        <f aca="false" t="array" ref="T429:T429">IF(AND(INDEX(Profils!$N$5:$N$34,$AE429)&gt;0,INDEX(Profils!$AC$5:$AC$34,$AE429)&lt;=$AH429),ROUND(INDEX(Profils!$N$5:$N$34,$AE429)*Paramètres!$E$30*$AG429*$AJ429,Paramètres!$F$30),0)</f>
        <v>0</v>
      </c>
      <c r="U429" s="19" t="n">
        <f aca="false" t="array" ref="U429:U429">IF(AND(INDEX(Profils!$O$5:$O$34,$AE429)&gt;0,INDEX(Profils!$AD$5:$AD$34,$AE429)&lt;=$AH429),ROUND(INDEX(Profils!$O$5:$O$34,$AE429)*Paramètres!$E$31*$AG429*$AJ429,Paramètres!$F$31),0)</f>
        <v>0</v>
      </c>
      <c r="V429" s="20" t="n">
        <f aca="false" t="array" ref="V429:V429">IF(AND(INDEX(Profils!$P$5:$P$34,$AE429)&gt;0,INDEX(Profils!$AE$5:$AE$34,$AE429)&lt;=$AH429),ROUND(INDEX(Profils!$P$5:$P$34,$AE429)*Paramètres!$E$32*$AG429*$AJ429,Paramètres!$F$32),0)</f>
        <v>0</v>
      </c>
      <c r="W429" s="20" t="n">
        <f aca="false" t="array" ref="W429:W429">IF(AND(INDEX(Profils!$Q$5:$Q$34,$AE429)&gt;0,INDEX(Profils!$AF$5:$AF$34,$AE429)&lt;=$AH429),ROUND(INDEX(Profils!$Q$5:$Q$34,$AE429)*Paramètres!$E$33*$AG429*$AJ429,Paramètres!$F$33),0)</f>
        <v>0</v>
      </c>
      <c r="X429" s="20" t="n">
        <f aca="false" t="array" ref="X429:X429">IF(AND(INDEX(Profils!$R$5:$R$34,$AE429)&gt;0,INDEX(Profils!$AG$5:$AG$34,$AE429)&lt;=$AH429),ROUND(INDEX(Profils!$R$5:$R$34,$AE429)*Paramètres!$E$34*$AG429*$AJ429,Paramètres!$F$34),0)</f>
        <v>0</v>
      </c>
      <c r="Y429" s="20" t="n">
        <f aca="false" t="array" ref="Y429:Y429">IF(AND(INDEX(Profils!$S$5:$S$34,$AE429)&gt;0,INDEX(Profils!$AH$5:$AH$34,$AE429)&lt;=$AH429),ROUND(INDEX(Profils!$S$5:$S$34,$AE429)*Paramètres!$E$35*$AG429*$AJ429,Paramètres!$F$35),0)</f>
        <v>0</v>
      </c>
      <c r="Z429" s="21" t="n">
        <f aca="false">ROUND(L429/Paramètres!$E$22+M429/Paramètres!$E$23+N429/Paramètres!$E$24+O429/Paramètres!$E$25+P429/Paramètres!$E$26+Q429/Paramètres!$E$27+R429/Paramètres!$E$28+S429/Paramètres!$E$29+T429/Paramètres!$E$30+U429/Paramètres!$E$31+V429/Paramètres!$E$32+W429/Paramètres!$E$33+X429/Paramètres!$E$34+Y429/Paramètres!$E$35,1)</f>
        <v>2.9</v>
      </c>
      <c r="AA429" s="22" t="s">
        <v>109</v>
      </c>
      <c r="AB429" s="22" t="s">
        <v>109</v>
      </c>
      <c r="AC429" s="15" t="str">
        <f aca="false">$E429</f>
        <v>velours enchanté</v>
      </c>
      <c r="AD429" s="16" t="n">
        <f aca="false" t="array" ref="AD429:AD429">IF($I429&gt;=$AI429,"Max",ROUND(Paramètres!$B$40*($I429+1)^Paramètres!$B$41*INDEX(Paramètres!$H$6:$H$12,$AF429),0))</f>
        <v>4</v>
      </c>
      <c r="AE429" s="23" t="n">
        <f aca="false">MATCH($B429&amp;"|"&amp;$C429,Profils!$A$5:$A$34,0)</f>
        <v>14</v>
      </c>
      <c r="AF429" s="23" t="n">
        <v>3</v>
      </c>
      <c r="AG429" s="24" t="n">
        <f aca="false" t="array" ref="AG429:AG429">INDEX(Paramètres!$C$6:$C$12,$AF429)</f>
        <v>1.45</v>
      </c>
      <c r="AH429" s="23" t="n">
        <f aca="false" t="array" ref="AH429:AH429">INDEX(Paramètres!$D$6:$D$12,$AF429)</f>
        <v>4</v>
      </c>
      <c r="AI429" s="23" t="n">
        <f aca="false" t="array" ref="AI429:AI429">INDEX(Matériaux!$C$16:$C$20,$D429)</f>
        <v>25</v>
      </c>
      <c r="AJ429" s="25" t="n">
        <f aca="false">Paramètres!$B$16+(1-Paramètres!$B$16)*(($J429-Paramètres!$B$14)/(Paramètres!$B$15-Paramètres!$B$14))^Paramètres!$B$17</f>
        <v>0.458504333336152</v>
      </c>
    </row>
    <row r="430" customFormat="false" ht="15.75" hidden="false" customHeight="true" outlineLevel="0" collapsed="false">
      <c r="A430" s="14" t="s">
        <v>546</v>
      </c>
      <c r="B430" s="15" t="s">
        <v>29</v>
      </c>
      <c r="C430" s="15" t="s">
        <v>209</v>
      </c>
      <c r="D430" s="16" t="n">
        <v>4</v>
      </c>
      <c r="E430" s="15" t="str">
        <f aca="false" t="array" ref="E430:E430">INDEX(Matériaux!$B$5:$F$12,MATCH(INDEX(Profils!$E$5:$E$34,$AE430),Matériaux!$A$5:$A$12,0),$D430)</f>
        <v>velours enchanté</v>
      </c>
      <c r="F430" s="28" t="s">
        <v>115</v>
      </c>
      <c r="G430" s="10" t="str">
        <f aca="false" t="array" ref="G430:G430">INDEX(Profils!$D$5:$D$34,$AE430)&amp;" en "&amp;$E430</f>
        <v>Bottines en velours enchanté</v>
      </c>
      <c r="H430" s="16" t="n">
        <f aca="false" t="array" ref="H430:H430">INDEX(Matériaux!$B$16:$B$20,$D430)</f>
        <v>50</v>
      </c>
      <c r="I430" s="16" t="n">
        <f aca="false">IF(ISNUMBER($C$3),MIN(MAX(0,ROUND($C$3,0)),$AI430),$AI430)</f>
        <v>0</v>
      </c>
      <c r="J430" s="18" t="n">
        <f aca="false">$H430+$I430</f>
        <v>50</v>
      </c>
      <c r="K430" s="15" t="s">
        <v>109</v>
      </c>
      <c r="L430" s="19" t="n">
        <f aca="false" t="array" ref="L430:L430">IF(AND(INDEX(Profils!$F$5:$F$34,$AE430)&gt;0,INDEX(Profils!$U$5:$U$34,$AE430)&lt;=$AH430),ROUND(INDEX(Profils!$F$5:$F$34,$AE430)*Paramètres!$E$22*$AG430*$AJ430,Paramètres!$F$22),0)</f>
        <v>24</v>
      </c>
      <c r="M430" s="19" t="n">
        <f aca="false" t="array" ref="M430:M430">IF(AND(INDEX(Profils!$G$5:$G$34,$AE430)&gt;0,INDEX(Profils!$V$5:$V$34,$AE430)&lt;=$AH430),ROUND(INDEX(Profils!$G$5:$G$34,$AE430)*Paramètres!$E$23*$AG430*$AJ430,Paramètres!$F$23),0)</f>
        <v>0</v>
      </c>
      <c r="N430" s="19" t="n">
        <f aca="false" t="array" ref="N430:N430">IF(AND(INDEX(Profils!$H$5:$H$34,$AE430)&gt;0,INDEX(Profils!$W$5:$W$34,$AE430)&lt;=$AH430),ROUND(INDEX(Profils!$H$5:$H$34,$AE430)*Paramètres!$E$24*$AG430*$AJ430,Paramètres!$F$24),0)</f>
        <v>0</v>
      </c>
      <c r="O430" s="19" t="n">
        <f aca="false" t="array" ref="O430:O430">IF(AND(INDEX(Profils!$I$5:$I$34,$AE430)&gt;0,INDEX(Profils!$X$5:$X$34,$AE430)&lt;=$AH430),ROUND(INDEX(Profils!$I$5:$I$34,$AE430)*Paramètres!$E$25*$AG430*$AJ430,Paramètres!$F$25),0)</f>
        <v>10</v>
      </c>
      <c r="P430" s="19" t="n">
        <f aca="false" t="array" ref="P430:P430">IF(AND(INDEX(Profils!$J$5:$J$34,$AE430)&gt;0,INDEX(Profils!$Y$5:$Y$34,$AE430)&lt;=$AH430),ROUND(INDEX(Profils!$J$5:$J$34,$AE430)*Paramètres!$E$26*$AG430*$AJ430,Paramètres!$F$26),0)</f>
        <v>13</v>
      </c>
      <c r="Q430" s="19" t="n">
        <f aca="false" t="array" ref="Q430:Q430">IF(AND(INDEX(Profils!$K$5:$K$34,$AE430)&gt;0,INDEX(Profils!$Z$5:$Z$34,$AE430)&lt;=$AH430),ROUND(INDEX(Profils!$K$5:$K$34,$AE430)*Paramètres!$E$27*$AG430*$AJ430,Paramètres!$F$27),0)</f>
        <v>9</v>
      </c>
      <c r="R430" s="20" t="n">
        <f aca="false" t="array" ref="R430:R430">IF(AND(INDEX(Profils!$L$5:$L$34,$AE430)&gt;0,INDEX(Profils!$AA$5:$AA$34,$AE430)&lt;=$AH430),ROUND(INDEX(Profils!$L$5:$L$34,$AE430)*Paramètres!$E$28*$AG430*$AJ430,Paramètres!$F$28),0)</f>
        <v>0.007</v>
      </c>
      <c r="S430" s="20" t="n">
        <f aca="false" t="array" ref="S430:S430">IF(AND(INDEX(Profils!$M$5:$M$34,$AE430)&gt;0,INDEX(Profils!$AB$5:$AB$34,$AE430)&lt;=$AH430),ROUND(INDEX(Profils!$M$5:$M$34,$AE430)*Paramètres!$E$29*$AG430*$AJ430,Paramètres!$F$29),0)</f>
        <v>0</v>
      </c>
      <c r="T430" s="20" t="n">
        <f aca="false" t="array" ref="T430:T430">IF(AND(INDEX(Profils!$N$5:$N$34,$AE430)&gt;0,INDEX(Profils!$AC$5:$AC$34,$AE430)&lt;=$AH430),ROUND(INDEX(Profils!$N$5:$N$34,$AE430)*Paramètres!$E$30*$AG430*$AJ430,Paramètres!$F$30),0)</f>
        <v>0</v>
      </c>
      <c r="U430" s="19" t="n">
        <f aca="false" t="array" ref="U430:U430">IF(AND(INDEX(Profils!$O$5:$O$34,$AE430)&gt;0,INDEX(Profils!$AD$5:$AD$34,$AE430)&lt;=$AH430),ROUND(INDEX(Profils!$O$5:$O$34,$AE430)*Paramètres!$E$31*$AG430*$AJ430,Paramètres!$F$31),0)</f>
        <v>0</v>
      </c>
      <c r="V430" s="20" t="n">
        <f aca="false" t="array" ref="V430:V430">IF(AND(INDEX(Profils!$P$5:$P$34,$AE430)&gt;0,INDEX(Profils!$AE$5:$AE$34,$AE430)&lt;=$AH430),ROUND(INDEX(Profils!$P$5:$P$34,$AE430)*Paramètres!$E$32*$AG430*$AJ430,Paramètres!$F$32),0)</f>
        <v>0</v>
      </c>
      <c r="W430" s="20" t="n">
        <f aca="false" t="array" ref="W430:W430">IF(AND(INDEX(Profils!$Q$5:$Q$34,$AE430)&gt;0,INDEX(Profils!$AF$5:$AF$34,$AE430)&lt;=$AH430),ROUND(INDEX(Profils!$Q$5:$Q$34,$AE430)*Paramètres!$E$33*$AG430*$AJ430,Paramètres!$F$33),0)</f>
        <v>0</v>
      </c>
      <c r="X430" s="20" t="n">
        <f aca="false" t="array" ref="X430:X430">IF(AND(INDEX(Profils!$R$5:$R$34,$AE430)&gt;0,INDEX(Profils!$AG$5:$AG$34,$AE430)&lt;=$AH430),ROUND(INDEX(Profils!$R$5:$R$34,$AE430)*Paramètres!$E$34*$AG430*$AJ430,Paramètres!$F$34),0)</f>
        <v>0</v>
      </c>
      <c r="Y430" s="20" t="n">
        <f aca="false" t="array" ref="Y430:Y430">IF(AND(INDEX(Profils!$S$5:$S$34,$AE430)&gt;0,INDEX(Profils!$AH$5:$AH$34,$AE430)&lt;=$AH430),ROUND(INDEX(Profils!$S$5:$S$34,$AE430)*Paramètres!$E$35*$AG430*$AJ430,Paramètres!$F$35),0)</f>
        <v>0</v>
      </c>
      <c r="Z430" s="21" t="n">
        <f aca="false">ROUND(L430/Paramètres!$E$22+M430/Paramètres!$E$23+N430/Paramètres!$E$24+O430/Paramètres!$E$25+P430/Paramètres!$E$26+Q430/Paramètres!$E$27+R430/Paramètres!$E$28+S430/Paramètres!$E$29+T430/Paramètres!$E$30+U430/Paramètres!$E$31+V430/Paramètres!$E$32+W430/Paramètres!$E$33+X430/Paramètres!$E$34+Y430/Paramètres!$E$35,1)</f>
        <v>4.1</v>
      </c>
      <c r="AA430" s="22" t="s">
        <v>109</v>
      </c>
      <c r="AB430" s="22" t="s">
        <v>109</v>
      </c>
      <c r="AC430" s="15" t="str">
        <f aca="false">$E430</f>
        <v>velours enchanté</v>
      </c>
      <c r="AD430" s="16" t="n">
        <f aca="false" t="array" ref="AD430:AD430">IF($I430&gt;=$AI430,"Max",ROUND(Paramètres!$B$40*($I430+1)^Paramètres!$B$41*INDEX(Paramètres!$H$6:$H$12,$AF430),0))</f>
        <v>5</v>
      </c>
      <c r="AE430" s="23" t="n">
        <f aca="false">MATCH($B430&amp;"|"&amp;$C430,Profils!$A$5:$A$34,0)</f>
        <v>14</v>
      </c>
      <c r="AF430" s="23" t="n">
        <v>4</v>
      </c>
      <c r="AG430" s="24" t="n">
        <f aca="false" t="array" ref="AG430:AG430">INDEX(Paramètres!$C$6:$C$12,$AF430)</f>
        <v>1.75</v>
      </c>
      <c r="AH430" s="23" t="n">
        <f aca="false" t="array" ref="AH430:AH430">INDEX(Paramètres!$D$6:$D$12,$AF430)</f>
        <v>5</v>
      </c>
      <c r="AI430" s="23" t="n">
        <f aca="false" t="array" ref="AI430:AI430">INDEX(Matériaux!$C$16:$C$20,$D430)</f>
        <v>25</v>
      </c>
      <c r="AJ430" s="25" t="n">
        <f aca="false">Paramètres!$B$16+(1-Paramètres!$B$16)*(($J430-Paramètres!$B$14)/(Paramètres!$B$15-Paramètres!$B$14))^Paramètres!$B$17</f>
        <v>0.458504333336152</v>
      </c>
    </row>
    <row r="431" customFormat="false" ht="15.75" hidden="false" customHeight="true" outlineLevel="0" collapsed="false">
      <c r="A431" s="14" t="s">
        <v>547</v>
      </c>
      <c r="B431" s="15" t="s">
        <v>29</v>
      </c>
      <c r="C431" s="15" t="s">
        <v>209</v>
      </c>
      <c r="D431" s="16" t="n">
        <v>4</v>
      </c>
      <c r="E431" s="15" t="str">
        <f aca="false" t="array" ref="E431:E431">INDEX(Matériaux!$B$5:$F$12,MATCH(INDEX(Profils!$E$5:$E$34,$AE431),Matériaux!$A$5:$A$12,0),$D431)</f>
        <v>velours enchanté</v>
      </c>
      <c r="F431" s="29" t="s">
        <v>117</v>
      </c>
      <c r="G431" s="10" t="str">
        <f aca="false" t="array" ref="G431:G431">INDEX(Profils!$D$5:$D$34,$AE431)&amp;" en "&amp;$E431</f>
        <v>Bottines en velours enchanté</v>
      </c>
      <c r="H431" s="16" t="n">
        <f aca="false" t="array" ref="H431:H431">INDEX(Matériaux!$B$16:$B$20,$D431)</f>
        <v>50</v>
      </c>
      <c r="I431" s="16" t="n">
        <f aca="false">IF(ISNUMBER($C$3),MIN(MAX(0,ROUND($C$3,0)),$AI431),$AI431)</f>
        <v>0</v>
      </c>
      <c r="J431" s="18" t="n">
        <f aca="false">$H431+$I431</f>
        <v>50</v>
      </c>
      <c r="K431" s="15" t="s">
        <v>109</v>
      </c>
      <c r="L431" s="19" t="n">
        <f aca="false" t="array" ref="L431:L431">IF(AND(INDEX(Profils!$F$5:$F$34,$AE431)&gt;0,INDEX(Profils!$U$5:$U$34,$AE431)&lt;=$AH431),ROUND(INDEX(Profils!$F$5:$F$34,$AE431)*Paramètres!$E$22*$AG431*$AJ431,Paramètres!$F$22),0)</f>
        <v>29</v>
      </c>
      <c r="M431" s="19" t="n">
        <f aca="false" t="array" ref="M431:M431">IF(AND(INDEX(Profils!$G$5:$G$34,$AE431)&gt;0,INDEX(Profils!$V$5:$V$34,$AE431)&lt;=$AH431),ROUND(INDEX(Profils!$G$5:$G$34,$AE431)*Paramètres!$E$23*$AG431*$AJ431,Paramètres!$F$23),0)</f>
        <v>0</v>
      </c>
      <c r="N431" s="19" t="n">
        <f aca="false" t="array" ref="N431:N431">IF(AND(INDEX(Profils!$H$5:$H$34,$AE431)&gt;0,INDEX(Profils!$W$5:$W$34,$AE431)&lt;=$AH431),ROUND(INDEX(Profils!$H$5:$H$34,$AE431)*Paramètres!$E$24*$AG431*$AJ431,Paramètres!$F$24),0)</f>
        <v>0</v>
      </c>
      <c r="O431" s="19" t="n">
        <f aca="false" t="array" ref="O431:O431">IF(AND(INDEX(Profils!$I$5:$I$34,$AE431)&gt;0,INDEX(Profils!$X$5:$X$34,$AE431)&lt;=$AH431),ROUND(INDEX(Profils!$I$5:$I$34,$AE431)*Paramètres!$E$25*$AG431*$AJ431,Paramètres!$F$25),0)</f>
        <v>12</v>
      </c>
      <c r="P431" s="19" t="n">
        <f aca="false" t="array" ref="P431:P431">IF(AND(INDEX(Profils!$J$5:$J$34,$AE431)&gt;0,INDEX(Profils!$Y$5:$Y$34,$AE431)&lt;=$AH431),ROUND(INDEX(Profils!$J$5:$J$34,$AE431)*Paramètres!$E$26*$AG431*$AJ431,Paramètres!$F$26),0)</f>
        <v>15</v>
      </c>
      <c r="Q431" s="19" t="n">
        <f aca="false" t="array" ref="Q431:Q431">IF(AND(INDEX(Profils!$K$5:$K$34,$AE431)&gt;0,INDEX(Profils!$Z$5:$Z$34,$AE431)&lt;=$AH431),ROUND(INDEX(Profils!$K$5:$K$34,$AE431)*Paramètres!$E$27*$AG431*$AJ431,Paramètres!$F$27),0)</f>
        <v>11</v>
      </c>
      <c r="R431" s="20" t="n">
        <f aca="false" t="array" ref="R431:R431">IF(AND(INDEX(Profils!$L$5:$L$34,$AE431)&gt;0,INDEX(Profils!$AA$5:$AA$34,$AE431)&lt;=$AH431),ROUND(INDEX(Profils!$L$5:$L$34,$AE431)*Paramètres!$E$28*$AG431*$AJ431,Paramètres!$F$28),0)</f>
        <v>0.009</v>
      </c>
      <c r="S431" s="20" t="n">
        <f aca="false" t="array" ref="S431:S431">IF(AND(INDEX(Profils!$M$5:$M$34,$AE431)&gt;0,INDEX(Profils!$AB$5:$AB$34,$AE431)&lt;=$AH431),ROUND(INDEX(Profils!$M$5:$M$34,$AE431)*Paramètres!$E$29*$AG431*$AJ431,Paramètres!$F$29),0)</f>
        <v>0</v>
      </c>
      <c r="T431" s="20" t="n">
        <f aca="false" t="array" ref="T431:T431">IF(AND(INDEX(Profils!$N$5:$N$34,$AE431)&gt;0,INDEX(Profils!$AC$5:$AC$34,$AE431)&lt;=$AH431),ROUND(INDEX(Profils!$N$5:$N$34,$AE431)*Paramètres!$E$30*$AG431*$AJ431,Paramètres!$F$30),0)</f>
        <v>0</v>
      </c>
      <c r="U431" s="19" t="n">
        <f aca="false" t="array" ref="U431:U431">IF(AND(INDEX(Profils!$O$5:$O$34,$AE431)&gt;0,INDEX(Profils!$AD$5:$AD$34,$AE431)&lt;=$AH431),ROUND(INDEX(Profils!$O$5:$O$34,$AE431)*Paramètres!$E$31*$AG431*$AJ431,Paramètres!$F$31),0)</f>
        <v>0</v>
      </c>
      <c r="V431" s="20" t="n">
        <f aca="false" t="array" ref="V431:V431">IF(AND(INDEX(Profils!$P$5:$P$34,$AE431)&gt;0,INDEX(Profils!$AE$5:$AE$34,$AE431)&lt;=$AH431),ROUND(INDEX(Profils!$P$5:$P$34,$AE431)*Paramètres!$E$32*$AG431*$AJ431,Paramètres!$F$32),0)</f>
        <v>0</v>
      </c>
      <c r="W431" s="20" t="n">
        <f aca="false" t="array" ref="W431:W431">IF(AND(INDEX(Profils!$Q$5:$Q$34,$AE431)&gt;0,INDEX(Profils!$AF$5:$AF$34,$AE431)&lt;=$AH431),ROUND(INDEX(Profils!$Q$5:$Q$34,$AE431)*Paramètres!$E$33*$AG431*$AJ431,Paramètres!$F$33),0)</f>
        <v>0.009</v>
      </c>
      <c r="X431" s="20" t="n">
        <f aca="false" t="array" ref="X431:X431">IF(AND(INDEX(Profils!$R$5:$R$34,$AE431)&gt;0,INDEX(Profils!$AG$5:$AG$34,$AE431)&lt;=$AH431),ROUND(INDEX(Profils!$R$5:$R$34,$AE431)*Paramètres!$E$34*$AG431*$AJ431,Paramètres!$F$34),0)</f>
        <v>0</v>
      </c>
      <c r="Y431" s="20" t="n">
        <f aca="false" t="array" ref="Y431:Y431">IF(AND(INDEX(Profils!$S$5:$S$34,$AE431)&gt;0,INDEX(Profils!$AH$5:$AH$34,$AE431)&lt;=$AH431),ROUND(INDEX(Profils!$S$5:$S$34,$AE431)*Paramètres!$E$35*$AG431*$AJ431,Paramètres!$F$35),0)</f>
        <v>0</v>
      </c>
      <c r="Z431" s="21" t="n">
        <f aca="false">ROUND(L431/Paramètres!$E$22+M431/Paramètres!$E$23+N431/Paramètres!$E$24+O431/Paramètres!$E$25+P431/Paramètres!$E$26+Q431/Paramètres!$E$27+R431/Paramètres!$E$28+S431/Paramètres!$E$29+T431/Paramètres!$E$30+U431/Paramètres!$E$31+V431/Paramètres!$E$32+W431/Paramètres!$E$33+X431/Paramètres!$E$34+Y431/Paramètres!$E$35,1)</f>
        <v>5.5</v>
      </c>
      <c r="AA431" s="22" t="s">
        <v>109</v>
      </c>
      <c r="AB431" s="22" t="s">
        <v>109</v>
      </c>
      <c r="AC431" s="15" t="str">
        <f aca="false">$E431</f>
        <v>velours enchanté</v>
      </c>
      <c r="AD431" s="16" t="n">
        <f aca="false" t="array" ref="AD431:AD431">IF($I431&gt;=$AI431,"Max",ROUND(Paramètres!$B$40*($I431+1)^Paramètres!$B$41*INDEX(Paramètres!$H$6:$H$12,$AF431),0))</f>
        <v>6</v>
      </c>
      <c r="AE431" s="23" t="n">
        <f aca="false">MATCH($B431&amp;"|"&amp;$C431,Profils!$A$5:$A$34,0)</f>
        <v>14</v>
      </c>
      <c r="AF431" s="23" t="n">
        <v>5</v>
      </c>
      <c r="AG431" s="24" t="n">
        <f aca="false" t="array" ref="AG431:AG431">INDEX(Paramètres!$C$6:$C$12,$AF431)</f>
        <v>2.1</v>
      </c>
      <c r="AH431" s="23" t="n">
        <f aca="false" t="array" ref="AH431:AH431">INDEX(Paramètres!$D$6:$D$12,$AF431)</f>
        <v>6</v>
      </c>
      <c r="AI431" s="23" t="n">
        <f aca="false" t="array" ref="AI431:AI431">INDEX(Matériaux!$C$16:$C$20,$D431)</f>
        <v>25</v>
      </c>
      <c r="AJ431" s="25" t="n">
        <f aca="false">Paramètres!$B$16+(1-Paramètres!$B$16)*(($J431-Paramètres!$B$14)/(Paramètres!$B$15-Paramètres!$B$14))^Paramètres!$B$17</f>
        <v>0.458504333336152</v>
      </c>
    </row>
    <row r="432" customFormat="false" ht="15.75" hidden="false" customHeight="true" outlineLevel="0" collapsed="false">
      <c r="A432" s="14" t="s">
        <v>548</v>
      </c>
      <c r="B432" s="15" t="s">
        <v>29</v>
      </c>
      <c r="C432" s="15" t="s">
        <v>209</v>
      </c>
      <c r="D432" s="16" t="n">
        <v>4</v>
      </c>
      <c r="E432" s="15" t="str">
        <f aca="false" t="array" ref="E432:E432">INDEX(Matériaux!$B$5:$F$12,MATCH(INDEX(Profils!$E$5:$E$34,$AE432),Matériaux!$A$5:$A$12,0),$D432)</f>
        <v>velours enchanté</v>
      </c>
      <c r="F432" s="30" t="s">
        <v>119</v>
      </c>
      <c r="G432" s="10" t="str">
        <f aca="false" t="array" ref="G432:G432">INDEX(Profils!$D$5:$D$34,$AE432)&amp;" en "&amp;$E432</f>
        <v>Bottines en velours enchanté</v>
      </c>
      <c r="H432" s="16" t="n">
        <f aca="false" t="array" ref="H432:H432">INDEX(Matériaux!$B$16:$B$20,$D432)</f>
        <v>50</v>
      </c>
      <c r="I432" s="16" t="n">
        <f aca="false">IF(ISNUMBER($C$3),MIN(MAX(0,ROUND($C$3,0)),$AI432),$AI432)</f>
        <v>0</v>
      </c>
      <c r="J432" s="18" t="n">
        <f aca="false">$H432+$I432</f>
        <v>50</v>
      </c>
      <c r="K432" s="15" t="s">
        <v>109</v>
      </c>
      <c r="L432" s="19" t="n">
        <f aca="false" t="array" ref="L432:L432">IF(AND(INDEX(Profils!$F$5:$F$34,$AE432)&gt;0,INDEX(Profils!$U$5:$U$34,$AE432)&lt;=$AH432),ROUND(INDEX(Profils!$F$5:$F$34,$AE432)*Paramètres!$E$22*$AG432*$AJ432,Paramètres!$F$22),0)</f>
        <v>33</v>
      </c>
      <c r="M432" s="19" t="n">
        <f aca="false" t="array" ref="M432:M432">IF(AND(INDEX(Profils!$G$5:$G$34,$AE432)&gt;0,INDEX(Profils!$V$5:$V$34,$AE432)&lt;=$AH432),ROUND(INDEX(Profils!$G$5:$G$34,$AE432)*Paramètres!$E$23*$AG432*$AJ432,Paramètres!$F$23),0)</f>
        <v>0</v>
      </c>
      <c r="N432" s="19" t="n">
        <f aca="false" t="array" ref="N432:N432">IF(AND(INDEX(Profils!$H$5:$H$34,$AE432)&gt;0,INDEX(Profils!$W$5:$W$34,$AE432)&lt;=$AH432),ROUND(INDEX(Profils!$H$5:$H$34,$AE432)*Paramètres!$E$24*$AG432*$AJ432,Paramètres!$F$24),0)</f>
        <v>0</v>
      </c>
      <c r="O432" s="19" t="n">
        <f aca="false" t="array" ref="O432:O432">IF(AND(INDEX(Profils!$I$5:$I$34,$AE432)&gt;0,INDEX(Profils!$X$5:$X$34,$AE432)&lt;=$AH432),ROUND(INDEX(Profils!$I$5:$I$34,$AE432)*Paramètres!$E$25*$AG432*$AJ432,Paramètres!$F$25),0)</f>
        <v>13</v>
      </c>
      <c r="P432" s="19" t="n">
        <f aca="false" t="array" ref="P432:P432">IF(AND(INDEX(Profils!$J$5:$J$34,$AE432)&gt;0,INDEX(Profils!$Y$5:$Y$34,$AE432)&lt;=$AH432),ROUND(INDEX(Profils!$J$5:$J$34,$AE432)*Paramètres!$E$26*$AG432*$AJ432,Paramètres!$F$26),0)</f>
        <v>17</v>
      </c>
      <c r="Q432" s="19" t="n">
        <f aca="false" t="array" ref="Q432:Q432">IF(AND(INDEX(Profils!$K$5:$K$34,$AE432)&gt;0,INDEX(Profils!$Z$5:$Z$34,$AE432)&lt;=$AH432),ROUND(INDEX(Profils!$K$5:$K$34,$AE432)*Paramètres!$E$27*$AG432*$AJ432,Paramètres!$F$27),0)</f>
        <v>12</v>
      </c>
      <c r="R432" s="20" t="n">
        <f aca="false" t="array" ref="R432:R432">IF(AND(INDEX(Profils!$L$5:$L$34,$AE432)&gt;0,INDEX(Profils!$AA$5:$AA$34,$AE432)&lt;=$AH432),ROUND(INDEX(Profils!$L$5:$L$34,$AE432)*Paramètres!$E$28*$AG432*$AJ432,Paramètres!$F$28),0)</f>
        <v>0.01</v>
      </c>
      <c r="S432" s="20" t="n">
        <f aca="false" t="array" ref="S432:S432">IF(AND(INDEX(Profils!$M$5:$M$34,$AE432)&gt;0,INDEX(Profils!$AB$5:$AB$34,$AE432)&lt;=$AH432),ROUND(INDEX(Profils!$M$5:$M$34,$AE432)*Paramètres!$E$29*$AG432*$AJ432,Paramètres!$F$29),0)</f>
        <v>0</v>
      </c>
      <c r="T432" s="20" t="n">
        <f aca="false" t="array" ref="T432:T432">IF(AND(INDEX(Profils!$N$5:$N$34,$AE432)&gt;0,INDEX(Profils!$AC$5:$AC$34,$AE432)&lt;=$AH432),ROUND(INDEX(Profils!$N$5:$N$34,$AE432)*Paramètres!$E$30*$AG432*$AJ432,Paramètres!$F$30),0)</f>
        <v>0</v>
      </c>
      <c r="U432" s="19" t="n">
        <f aca="false" t="array" ref="U432:U432">IF(AND(INDEX(Profils!$O$5:$O$34,$AE432)&gt;0,INDEX(Profils!$AD$5:$AD$34,$AE432)&lt;=$AH432),ROUND(INDEX(Profils!$O$5:$O$34,$AE432)*Paramètres!$E$31*$AG432*$AJ432,Paramètres!$F$31),0)</f>
        <v>11</v>
      </c>
      <c r="V432" s="20" t="n">
        <f aca="false" t="array" ref="V432:V432">IF(AND(INDEX(Profils!$P$5:$P$34,$AE432)&gt;0,INDEX(Profils!$AE$5:$AE$34,$AE432)&lt;=$AH432),ROUND(INDEX(Profils!$P$5:$P$34,$AE432)*Paramètres!$E$32*$AG432*$AJ432,Paramètres!$F$32),0)</f>
        <v>0</v>
      </c>
      <c r="W432" s="20" t="n">
        <f aca="false" t="array" ref="W432:W432">IF(AND(INDEX(Profils!$Q$5:$Q$34,$AE432)&gt;0,INDEX(Profils!$AF$5:$AF$34,$AE432)&lt;=$AH432),ROUND(INDEX(Profils!$Q$5:$Q$34,$AE432)*Paramètres!$E$33*$AG432*$AJ432,Paramètres!$F$33),0)</f>
        <v>0.01</v>
      </c>
      <c r="X432" s="20" t="n">
        <f aca="false" t="array" ref="X432:X432">IF(AND(INDEX(Profils!$R$5:$R$34,$AE432)&gt;0,INDEX(Profils!$AG$5:$AG$34,$AE432)&lt;=$AH432),ROUND(INDEX(Profils!$R$5:$R$34,$AE432)*Paramètres!$E$34*$AG432*$AJ432,Paramètres!$F$34),0)</f>
        <v>0</v>
      </c>
      <c r="Y432" s="20" t="n">
        <f aca="false" t="array" ref="Y432:Y432">IF(AND(INDEX(Profils!$S$5:$S$34,$AE432)&gt;0,INDEX(Profils!$AH$5:$AH$34,$AE432)&lt;=$AH432),ROUND(INDEX(Profils!$S$5:$S$34,$AE432)*Paramètres!$E$35*$AG432*$AJ432,Paramètres!$F$35),0)</f>
        <v>0</v>
      </c>
      <c r="Z432" s="21" t="n">
        <f aca="false">ROUND(L432/Paramètres!$E$22+M432/Paramètres!$E$23+N432/Paramètres!$E$24+O432/Paramètres!$E$25+P432/Paramètres!$E$26+Q432/Paramètres!$E$27+R432/Paramètres!$E$28+S432/Paramètres!$E$29+T432/Paramètres!$E$30+U432/Paramètres!$E$31+V432/Paramètres!$E$32+W432/Paramètres!$E$33+X432/Paramètres!$E$34+Y432/Paramètres!$E$35,1)</f>
        <v>6.7</v>
      </c>
      <c r="AA432" s="22" t="s">
        <v>109</v>
      </c>
      <c r="AB432" s="22" t="s">
        <v>109</v>
      </c>
      <c r="AC432" s="15" t="str">
        <f aca="false">$E432</f>
        <v>velours enchanté</v>
      </c>
      <c r="AD432" s="16" t="n">
        <f aca="false" t="array" ref="AD432:AD432">IF($I432&gt;=$AI432,"Max",ROUND(Paramètres!$B$40*($I432+1)^Paramètres!$B$41*INDEX(Paramètres!$H$6:$H$12,$AF432),0))</f>
        <v>8</v>
      </c>
      <c r="AE432" s="23" t="n">
        <f aca="false">MATCH($B432&amp;"|"&amp;$C432,Profils!$A$5:$A$34,0)</f>
        <v>14</v>
      </c>
      <c r="AF432" s="23" t="n">
        <v>6</v>
      </c>
      <c r="AG432" s="24" t="n">
        <f aca="false" t="array" ref="AG432:AG432">INDEX(Paramètres!$C$6:$C$12,$AF432)</f>
        <v>2.4</v>
      </c>
      <c r="AH432" s="23" t="n">
        <f aca="false" t="array" ref="AH432:AH432">INDEX(Paramètres!$D$6:$D$12,$AF432)</f>
        <v>7</v>
      </c>
      <c r="AI432" s="23" t="n">
        <f aca="false" t="array" ref="AI432:AI432">INDEX(Matériaux!$C$16:$C$20,$D432)</f>
        <v>25</v>
      </c>
      <c r="AJ432" s="25" t="n">
        <f aca="false">Paramètres!$B$16+(1-Paramètres!$B$16)*(($J432-Paramètres!$B$14)/(Paramètres!$B$15-Paramètres!$B$14))^Paramètres!$B$17</f>
        <v>0.458504333336152</v>
      </c>
    </row>
    <row r="433" customFormat="false" ht="15.75" hidden="false" customHeight="true" outlineLevel="0" collapsed="false">
      <c r="A433" s="14" t="s">
        <v>549</v>
      </c>
      <c r="B433" s="15" t="s">
        <v>29</v>
      </c>
      <c r="C433" s="15" t="s">
        <v>209</v>
      </c>
      <c r="D433" s="16" t="n">
        <v>5</v>
      </c>
      <c r="E433" s="15" t="str">
        <f aca="false" t="array" ref="E433:E433">INDEX(Matériaux!$B$5:$F$12,MATCH(INDEX(Profils!$E$5:$E$34,$AE433),Matériaux!$A$5:$A$12,0),$D433)</f>
        <v>étoffe astrale</v>
      </c>
      <c r="F433" s="17" t="s">
        <v>108</v>
      </c>
      <c r="G433" s="10" t="str">
        <f aca="false" t="array" ref="G433:G433">INDEX(Profils!$D$5:$D$34,$AE433)&amp;" en "&amp;$E433</f>
        <v>Bottines en étoffe astrale</v>
      </c>
      <c r="H433" s="16" t="n">
        <f aca="false" t="array" ref="H433:H433">INDEX(Matériaux!$B$16:$B$20,$D433)</f>
        <v>70</v>
      </c>
      <c r="I433" s="16" t="n">
        <f aca="false">IF(ISNUMBER($C$3),MIN(MAX(0,ROUND($C$3,0)),$AI433),$AI433)</f>
        <v>0</v>
      </c>
      <c r="J433" s="18" t="n">
        <f aca="false">$H433+$I433</f>
        <v>70</v>
      </c>
      <c r="K433" s="15" t="s">
        <v>109</v>
      </c>
      <c r="L433" s="19" t="n">
        <f aca="false" t="array" ref="L433:L433">IF(AND(INDEX(Profils!$F$5:$F$34,$AE433)&gt;0,INDEX(Profils!$U$5:$U$34,$AE433)&lt;=$AH433),ROUND(INDEX(Profils!$F$5:$F$34,$AE433)*Paramètres!$E$22*$AG433*$AJ433,Paramètres!$F$22),0)</f>
        <v>20</v>
      </c>
      <c r="M433" s="19" t="n">
        <f aca="false" t="array" ref="M433:M433">IF(AND(INDEX(Profils!$G$5:$G$34,$AE433)&gt;0,INDEX(Profils!$V$5:$V$34,$AE433)&lt;=$AH433),ROUND(INDEX(Profils!$G$5:$G$34,$AE433)*Paramètres!$E$23*$AG433*$AJ433,Paramètres!$F$23),0)</f>
        <v>0</v>
      </c>
      <c r="N433" s="19" t="n">
        <f aca="false" t="array" ref="N433:N433">IF(AND(INDEX(Profils!$H$5:$H$34,$AE433)&gt;0,INDEX(Profils!$W$5:$W$34,$AE433)&lt;=$AH433),ROUND(INDEX(Profils!$H$5:$H$34,$AE433)*Paramètres!$E$24*$AG433*$AJ433,Paramètres!$F$24),0)</f>
        <v>0</v>
      </c>
      <c r="O433" s="19" t="n">
        <f aca="false" t="array" ref="O433:O433">IF(AND(INDEX(Profils!$I$5:$I$34,$AE433)&gt;0,INDEX(Profils!$X$5:$X$34,$AE433)&lt;=$AH433),ROUND(INDEX(Profils!$I$5:$I$34,$AE433)*Paramètres!$E$25*$AG433*$AJ433,Paramètres!$F$25),0)</f>
        <v>0</v>
      </c>
      <c r="P433" s="19" t="n">
        <f aca="false" t="array" ref="P433:P433">IF(AND(INDEX(Profils!$J$5:$J$34,$AE433)&gt;0,INDEX(Profils!$Y$5:$Y$34,$AE433)&lt;=$AH433),ROUND(INDEX(Profils!$J$5:$J$34,$AE433)*Paramètres!$E$26*$AG433*$AJ433,Paramètres!$F$26),0)</f>
        <v>10</v>
      </c>
      <c r="Q433" s="19" t="n">
        <f aca="false" t="array" ref="Q433:Q433">IF(AND(INDEX(Profils!$K$5:$K$34,$AE433)&gt;0,INDEX(Profils!$Z$5:$Z$34,$AE433)&lt;=$AH433),ROUND(INDEX(Profils!$K$5:$K$34,$AE433)*Paramètres!$E$27*$AG433*$AJ433,Paramètres!$F$27),0)</f>
        <v>0</v>
      </c>
      <c r="R433" s="20" t="n">
        <f aca="false" t="array" ref="R433:R433">IF(AND(INDEX(Profils!$L$5:$L$34,$AE433)&gt;0,INDEX(Profils!$AA$5:$AA$34,$AE433)&lt;=$AH433),ROUND(INDEX(Profils!$L$5:$L$34,$AE433)*Paramètres!$E$28*$AG433*$AJ433,Paramètres!$F$28),0)</f>
        <v>0</v>
      </c>
      <c r="S433" s="20" t="n">
        <f aca="false" t="array" ref="S433:S433">IF(AND(INDEX(Profils!$M$5:$M$34,$AE433)&gt;0,INDEX(Profils!$AB$5:$AB$34,$AE433)&lt;=$AH433),ROUND(INDEX(Profils!$M$5:$M$34,$AE433)*Paramètres!$E$29*$AG433*$AJ433,Paramètres!$F$29),0)</f>
        <v>0</v>
      </c>
      <c r="T433" s="20" t="n">
        <f aca="false" t="array" ref="T433:T433">IF(AND(INDEX(Profils!$N$5:$N$34,$AE433)&gt;0,INDEX(Profils!$AC$5:$AC$34,$AE433)&lt;=$AH433),ROUND(INDEX(Profils!$N$5:$N$34,$AE433)*Paramètres!$E$30*$AG433*$AJ433,Paramètres!$F$30),0)</f>
        <v>0</v>
      </c>
      <c r="U433" s="19" t="n">
        <f aca="false" t="array" ref="U433:U433">IF(AND(INDEX(Profils!$O$5:$O$34,$AE433)&gt;0,INDEX(Profils!$AD$5:$AD$34,$AE433)&lt;=$AH433),ROUND(INDEX(Profils!$O$5:$O$34,$AE433)*Paramètres!$E$31*$AG433*$AJ433,Paramètres!$F$31),0)</f>
        <v>0</v>
      </c>
      <c r="V433" s="20" t="n">
        <f aca="false" t="array" ref="V433:V433">IF(AND(INDEX(Profils!$P$5:$P$34,$AE433)&gt;0,INDEX(Profils!$AE$5:$AE$34,$AE433)&lt;=$AH433),ROUND(INDEX(Profils!$P$5:$P$34,$AE433)*Paramètres!$E$32*$AG433*$AJ433,Paramètres!$F$32),0)</f>
        <v>0</v>
      </c>
      <c r="W433" s="20" t="n">
        <f aca="false" t="array" ref="W433:W433">IF(AND(INDEX(Profils!$Q$5:$Q$34,$AE433)&gt;0,INDEX(Profils!$AF$5:$AF$34,$AE433)&lt;=$AH433),ROUND(INDEX(Profils!$Q$5:$Q$34,$AE433)*Paramètres!$E$33*$AG433*$AJ433,Paramètres!$F$33),0)</f>
        <v>0</v>
      </c>
      <c r="X433" s="20" t="n">
        <f aca="false" t="array" ref="X433:X433">IF(AND(INDEX(Profils!$R$5:$R$34,$AE433)&gt;0,INDEX(Profils!$AG$5:$AG$34,$AE433)&lt;=$AH433),ROUND(INDEX(Profils!$R$5:$R$34,$AE433)*Paramètres!$E$34*$AG433*$AJ433,Paramètres!$F$34),0)</f>
        <v>0</v>
      </c>
      <c r="Y433" s="20" t="n">
        <f aca="false" t="array" ref="Y433:Y433">IF(AND(INDEX(Profils!$S$5:$S$34,$AE433)&gt;0,INDEX(Profils!$AH$5:$AH$34,$AE433)&lt;=$AH433),ROUND(INDEX(Profils!$S$5:$S$34,$AE433)*Paramètres!$E$35*$AG433*$AJ433,Paramètres!$F$35),0)</f>
        <v>0</v>
      </c>
      <c r="Z433" s="21" t="n">
        <f aca="false">ROUND(L433/Paramètres!$E$22+M433/Paramètres!$E$23+N433/Paramètres!$E$24+O433/Paramètres!$E$25+P433/Paramètres!$E$26+Q433/Paramètres!$E$27+R433/Paramètres!$E$28+S433/Paramètres!$E$29+T433/Paramètres!$E$30+U433/Paramètres!$E$31+V433/Paramètres!$E$32+W433/Paramètres!$E$33+X433/Paramètres!$E$34+Y433/Paramètres!$E$35,1)</f>
        <v>1.6</v>
      </c>
      <c r="AA433" s="22" t="s">
        <v>109</v>
      </c>
      <c r="AB433" s="22" t="s">
        <v>109</v>
      </c>
      <c r="AC433" s="15" t="str">
        <f aca="false">$E433</f>
        <v>étoffe astrale</v>
      </c>
      <c r="AD433" s="16" t="n">
        <f aca="false" t="array" ref="AD433:AD433">IF($I433&gt;=$AI433,"Max",ROUND(Paramètres!$B$40*($I433+1)^Paramètres!$B$41*INDEX(Paramètres!$H$6:$H$12,$AF433),0))</f>
        <v>3</v>
      </c>
      <c r="AE433" s="23" t="n">
        <f aca="false">MATCH($B433&amp;"|"&amp;$C433,Profils!$A$5:$A$34,0)</f>
        <v>14</v>
      </c>
      <c r="AF433" s="23" t="n">
        <v>1</v>
      </c>
      <c r="AG433" s="24" t="n">
        <f aca="false" t="array" ref="AG433:AG433">INDEX(Paramètres!$C$6:$C$12,$AF433)</f>
        <v>1</v>
      </c>
      <c r="AH433" s="23" t="n">
        <f aca="false" t="array" ref="AH433:AH433">INDEX(Paramètres!$D$6:$D$12,$AF433)</f>
        <v>2</v>
      </c>
      <c r="AI433" s="23" t="n">
        <f aca="false" t="array" ref="AI433:AI433">INDEX(Matériaux!$C$16:$C$20,$D433)</f>
        <v>30</v>
      </c>
      <c r="AJ433" s="25" t="n">
        <f aca="false">Paramètres!$B$16+(1-Paramètres!$B$16)*(($J433-Paramètres!$B$14)/(Paramètres!$B$15-Paramètres!$B$14))^Paramètres!$B$17</f>
        <v>0.665999387952727</v>
      </c>
    </row>
    <row r="434" customFormat="false" ht="15.75" hidden="false" customHeight="true" outlineLevel="0" collapsed="false">
      <c r="A434" s="14" t="s">
        <v>550</v>
      </c>
      <c r="B434" s="15" t="s">
        <v>29</v>
      </c>
      <c r="C434" s="15" t="s">
        <v>209</v>
      </c>
      <c r="D434" s="16" t="n">
        <v>5</v>
      </c>
      <c r="E434" s="15" t="str">
        <f aca="false" t="array" ref="E434:E434">INDEX(Matériaux!$B$5:$F$12,MATCH(INDEX(Profils!$E$5:$E$34,$AE434),Matériaux!$A$5:$A$12,0),$D434)</f>
        <v>étoffe astrale</v>
      </c>
      <c r="F434" s="26" t="s">
        <v>111</v>
      </c>
      <c r="G434" s="10" t="str">
        <f aca="false" t="array" ref="G434:G434">INDEX(Profils!$D$5:$D$34,$AE434)&amp;" en "&amp;$E434</f>
        <v>Bottines en étoffe astrale</v>
      </c>
      <c r="H434" s="16" t="n">
        <f aca="false" t="array" ref="H434:H434">INDEX(Matériaux!$B$16:$B$20,$D434)</f>
        <v>70</v>
      </c>
      <c r="I434" s="16" t="n">
        <f aca="false">IF(ISNUMBER($C$3),MIN(MAX(0,ROUND($C$3,0)),$AI434),$AI434)</f>
        <v>0</v>
      </c>
      <c r="J434" s="18" t="n">
        <f aca="false">$H434+$I434</f>
        <v>70</v>
      </c>
      <c r="K434" s="15" t="s">
        <v>109</v>
      </c>
      <c r="L434" s="19" t="n">
        <f aca="false" t="array" ref="L434:L434">IF(AND(INDEX(Profils!$F$5:$F$34,$AE434)&gt;0,INDEX(Profils!$U$5:$U$34,$AE434)&lt;=$AH434),ROUND(INDEX(Profils!$F$5:$F$34,$AE434)*Paramètres!$E$22*$AG434*$AJ434,Paramètres!$F$22),0)</f>
        <v>24</v>
      </c>
      <c r="M434" s="19" t="n">
        <f aca="false" t="array" ref="M434:M434">IF(AND(INDEX(Profils!$G$5:$G$34,$AE434)&gt;0,INDEX(Profils!$V$5:$V$34,$AE434)&lt;=$AH434),ROUND(INDEX(Profils!$G$5:$G$34,$AE434)*Paramètres!$E$23*$AG434*$AJ434,Paramètres!$F$23),0)</f>
        <v>0</v>
      </c>
      <c r="N434" s="19" t="n">
        <f aca="false" t="array" ref="N434:N434">IF(AND(INDEX(Profils!$H$5:$H$34,$AE434)&gt;0,INDEX(Profils!$W$5:$W$34,$AE434)&lt;=$AH434),ROUND(INDEX(Profils!$H$5:$H$34,$AE434)*Paramètres!$E$24*$AG434*$AJ434,Paramètres!$F$24),0)</f>
        <v>0</v>
      </c>
      <c r="O434" s="19" t="n">
        <f aca="false" t="array" ref="O434:O434">IF(AND(INDEX(Profils!$I$5:$I$34,$AE434)&gt;0,INDEX(Profils!$X$5:$X$34,$AE434)&lt;=$AH434),ROUND(INDEX(Profils!$I$5:$I$34,$AE434)*Paramètres!$E$25*$AG434*$AJ434,Paramètres!$F$25),0)</f>
        <v>0</v>
      </c>
      <c r="P434" s="19" t="n">
        <f aca="false" t="array" ref="P434:P434">IF(AND(INDEX(Profils!$J$5:$J$34,$AE434)&gt;0,INDEX(Profils!$Y$5:$Y$34,$AE434)&lt;=$AH434),ROUND(INDEX(Profils!$J$5:$J$34,$AE434)*Paramètres!$E$26*$AG434*$AJ434,Paramètres!$F$26),0)</f>
        <v>12</v>
      </c>
      <c r="Q434" s="19" t="n">
        <f aca="false" t="array" ref="Q434:Q434">IF(AND(INDEX(Profils!$K$5:$K$34,$AE434)&gt;0,INDEX(Profils!$Z$5:$Z$34,$AE434)&lt;=$AH434),ROUND(INDEX(Profils!$K$5:$K$34,$AE434)*Paramètres!$E$27*$AG434*$AJ434,Paramètres!$F$27),0)</f>
        <v>9</v>
      </c>
      <c r="R434" s="20" t="n">
        <f aca="false" t="array" ref="R434:R434">IF(AND(INDEX(Profils!$L$5:$L$34,$AE434)&gt;0,INDEX(Profils!$AA$5:$AA$34,$AE434)&lt;=$AH434),ROUND(INDEX(Profils!$L$5:$L$34,$AE434)*Paramètres!$E$28*$AG434*$AJ434,Paramètres!$F$28),0)</f>
        <v>0</v>
      </c>
      <c r="S434" s="20" t="n">
        <f aca="false" t="array" ref="S434:S434">IF(AND(INDEX(Profils!$M$5:$M$34,$AE434)&gt;0,INDEX(Profils!$AB$5:$AB$34,$AE434)&lt;=$AH434),ROUND(INDEX(Profils!$M$5:$M$34,$AE434)*Paramètres!$E$29*$AG434*$AJ434,Paramètres!$F$29),0)</f>
        <v>0</v>
      </c>
      <c r="T434" s="20" t="n">
        <f aca="false" t="array" ref="T434:T434">IF(AND(INDEX(Profils!$N$5:$N$34,$AE434)&gt;0,INDEX(Profils!$AC$5:$AC$34,$AE434)&lt;=$AH434),ROUND(INDEX(Profils!$N$5:$N$34,$AE434)*Paramètres!$E$30*$AG434*$AJ434,Paramètres!$F$30),0)</f>
        <v>0</v>
      </c>
      <c r="U434" s="19" t="n">
        <f aca="false" t="array" ref="U434:U434">IF(AND(INDEX(Profils!$O$5:$O$34,$AE434)&gt;0,INDEX(Profils!$AD$5:$AD$34,$AE434)&lt;=$AH434),ROUND(INDEX(Profils!$O$5:$O$34,$AE434)*Paramètres!$E$31*$AG434*$AJ434,Paramètres!$F$31),0)</f>
        <v>0</v>
      </c>
      <c r="V434" s="20" t="n">
        <f aca="false" t="array" ref="V434:V434">IF(AND(INDEX(Profils!$P$5:$P$34,$AE434)&gt;0,INDEX(Profils!$AE$5:$AE$34,$AE434)&lt;=$AH434),ROUND(INDEX(Profils!$P$5:$P$34,$AE434)*Paramètres!$E$32*$AG434*$AJ434,Paramètres!$F$32),0)</f>
        <v>0</v>
      </c>
      <c r="W434" s="20" t="n">
        <f aca="false" t="array" ref="W434:W434">IF(AND(INDEX(Profils!$Q$5:$Q$34,$AE434)&gt;0,INDEX(Profils!$AF$5:$AF$34,$AE434)&lt;=$AH434),ROUND(INDEX(Profils!$Q$5:$Q$34,$AE434)*Paramètres!$E$33*$AG434*$AJ434,Paramètres!$F$33),0)</f>
        <v>0</v>
      </c>
      <c r="X434" s="20" t="n">
        <f aca="false" t="array" ref="X434:X434">IF(AND(INDEX(Profils!$R$5:$R$34,$AE434)&gt;0,INDEX(Profils!$AG$5:$AG$34,$AE434)&lt;=$AH434),ROUND(INDEX(Profils!$R$5:$R$34,$AE434)*Paramètres!$E$34*$AG434*$AJ434,Paramètres!$F$34),0)</f>
        <v>0</v>
      </c>
      <c r="Y434" s="20" t="n">
        <f aca="false" t="array" ref="Y434:Y434">IF(AND(INDEX(Profils!$S$5:$S$34,$AE434)&gt;0,INDEX(Profils!$AH$5:$AH$34,$AE434)&lt;=$AH434),ROUND(INDEX(Profils!$S$5:$S$34,$AE434)*Paramètres!$E$35*$AG434*$AJ434,Paramètres!$F$35),0)</f>
        <v>0</v>
      </c>
      <c r="Z434" s="21" t="n">
        <f aca="false">ROUND(L434/Paramètres!$E$22+M434/Paramètres!$E$23+N434/Paramètres!$E$24+O434/Paramètres!$E$25+P434/Paramètres!$E$26+Q434/Paramètres!$E$27+R434/Paramètres!$E$28+S434/Paramètres!$E$29+T434/Paramètres!$E$30+U434/Paramètres!$E$31+V434/Paramètres!$E$32+W434/Paramètres!$E$33+X434/Paramètres!$E$34+Y434/Paramètres!$E$35,1)</f>
        <v>2.9</v>
      </c>
      <c r="AA434" s="22" t="s">
        <v>109</v>
      </c>
      <c r="AB434" s="22" t="s">
        <v>109</v>
      </c>
      <c r="AC434" s="15" t="str">
        <f aca="false">$E434</f>
        <v>étoffe astrale</v>
      </c>
      <c r="AD434" s="16" t="n">
        <f aca="false" t="array" ref="AD434:AD434">IF($I434&gt;=$AI434,"Max",ROUND(Paramètres!$B$40*($I434+1)^Paramètres!$B$41*INDEX(Paramètres!$H$6:$H$12,$AF434),0))</f>
        <v>4</v>
      </c>
      <c r="AE434" s="23" t="n">
        <f aca="false">MATCH($B434&amp;"|"&amp;$C434,Profils!$A$5:$A$34,0)</f>
        <v>14</v>
      </c>
      <c r="AF434" s="23" t="n">
        <v>2</v>
      </c>
      <c r="AG434" s="24" t="n">
        <f aca="false" t="array" ref="AG434:AG434">INDEX(Paramètres!$C$6:$C$12,$AF434)</f>
        <v>1.2</v>
      </c>
      <c r="AH434" s="23" t="n">
        <f aca="false" t="array" ref="AH434:AH434">INDEX(Paramètres!$D$6:$D$12,$AF434)</f>
        <v>3</v>
      </c>
      <c r="AI434" s="23" t="n">
        <f aca="false" t="array" ref="AI434:AI434">INDEX(Matériaux!$C$16:$C$20,$D434)</f>
        <v>30</v>
      </c>
      <c r="AJ434" s="25" t="n">
        <f aca="false">Paramètres!$B$16+(1-Paramètres!$B$16)*(($J434-Paramètres!$B$14)/(Paramètres!$B$15-Paramètres!$B$14))^Paramètres!$B$17</f>
        <v>0.665999387952727</v>
      </c>
    </row>
    <row r="435" customFormat="false" ht="15.75" hidden="false" customHeight="true" outlineLevel="0" collapsed="false">
      <c r="A435" s="14" t="s">
        <v>551</v>
      </c>
      <c r="B435" s="15" t="s">
        <v>29</v>
      </c>
      <c r="C435" s="15" t="s">
        <v>209</v>
      </c>
      <c r="D435" s="16" t="n">
        <v>5</v>
      </c>
      <c r="E435" s="15" t="str">
        <f aca="false" t="array" ref="E435:E435">INDEX(Matériaux!$B$5:$F$12,MATCH(INDEX(Profils!$E$5:$E$34,$AE435),Matériaux!$A$5:$A$12,0),$D435)</f>
        <v>étoffe astrale</v>
      </c>
      <c r="F435" s="27" t="s">
        <v>113</v>
      </c>
      <c r="G435" s="10" t="str">
        <f aca="false" t="array" ref="G435:G435">INDEX(Profils!$D$5:$D$34,$AE435)&amp;" en "&amp;$E435</f>
        <v>Bottines en étoffe astrale</v>
      </c>
      <c r="H435" s="16" t="n">
        <f aca="false" t="array" ref="H435:H435">INDEX(Matériaux!$B$16:$B$20,$D435)</f>
        <v>70</v>
      </c>
      <c r="I435" s="16" t="n">
        <f aca="false">IF(ISNUMBER($C$3),MIN(MAX(0,ROUND($C$3,0)),$AI435),$AI435)</f>
        <v>0</v>
      </c>
      <c r="J435" s="18" t="n">
        <f aca="false">$H435+$I435</f>
        <v>70</v>
      </c>
      <c r="K435" s="15" t="s">
        <v>109</v>
      </c>
      <c r="L435" s="19" t="n">
        <f aca="false" t="array" ref="L435:L435">IF(AND(INDEX(Profils!$F$5:$F$34,$AE435)&gt;0,INDEX(Profils!$U$5:$U$34,$AE435)&lt;=$AH435),ROUND(INDEX(Profils!$F$5:$F$34,$AE435)*Paramètres!$E$22*$AG435*$AJ435,Paramètres!$F$22),0)</f>
        <v>29</v>
      </c>
      <c r="M435" s="19" t="n">
        <f aca="false" t="array" ref="M435:M435">IF(AND(INDEX(Profils!$G$5:$G$34,$AE435)&gt;0,INDEX(Profils!$V$5:$V$34,$AE435)&lt;=$AH435),ROUND(INDEX(Profils!$G$5:$G$34,$AE435)*Paramètres!$E$23*$AG435*$AJ435,Paramètres!$F$23),0)</f>
        <v>0</v>
      </c>
      <c r="N435" s="19" t="n">
        <f aca="false" t="array" ref="N435:N435">IF(AND(INDEX(Profils!$H$5:$H$34,$AE435)&gt;0,INDEX(Profils!$W$5:$W$34,$AE435)&lt;=$AH435),ROUND(INDEX(Profils!$H$5:$H$34,$AE435)*Paramètres!$E$24*$AG435*$AJ435,Paramètres!$F$24),0)</f>
        <v>0</v>
      </c>
      <c r="O435" s="19" t="n">
        <f aca="false" t="array" ref="O435:O435">IF(AND(INDEX(Profils!$I$5:$I$34,$AE435)&gt;0,INDEX(Profils!$X$5:$X$34,$AE435)&lt;=$AH435),ROUND(INDEX(Profils!$I$5:$I$34,$AE435)*Paramètres!$E$25*$AG435*$AJ435,Paramètres!$F$25),0)</f>
        <v>12</v>
      </c>
      <c r="P435" s="19" t="n">
        <f aca="false" t="array" ref="P435:P435">IF(AND(INDEX(Profils!$J$5:$J$34,$AE435)&gt;0,INDEX(Profils!$Y$5:$Y$34,$AE435)&lt;=$AH435),ROUND(INDEX(Profils!$J$5:$J$34,$AE435)*Paramètres!$E$26*$AG435*$AJ435,Paramètres!$F$26),0)</f>
        <v>15</v>
      </c>
      <c r="Q435" s="19" t="n">
        <f aca="false" t="array" ref="Q435:Q435">IF(AND(INDEX(Profils!$K$5:$K$34,$AE435)&gt;0,INDEX(Profils!$Z$5:$Z$34,$AE435)&lt;=$AH435),ROUND(INDEX(Profils!$K$5:$K$34,$AE435)*Paramètres!$E$27*$AG435*$AJ435,Paramètres!$F$27),0)</f>
        <v>11</v>
      </c>
      <c r="R435" s="20" t="n">
        <f aca="false" t="array" ref="R435:R435">IF(AND(INDEX(Profils!$L$5:$L$34,$AE435)&gt;0,INDEX(Profils!$AA$5:$AA$34,$AE435)&lt;=$AH435),ROUND(INDEX(Profils!$L$5:$L$34,$AE435)*Paramètres!$E$28*$AG435*$AJ435,Paramètres!$F$28),0)</f>
        <v>0</v>
      </c>
      <c r="S435" s="20" t="n">
        <f aca="false" t="array" ref="S435:S435">IF(AND(INDEX(Profils!$M$5:$M$34,$AE435)&gt;0,INDEX(Profils!$AB$5:$AB$34,$AE435)&lt;=$AH435),ROUND(INDEX(Profils!$M$5:$M$34,$AE435)*Paramètres!$E$29*$AG435*$AJ435,Paramètres!$F$29),0)</f>
        <v>0</v>
      </c>
      <c r="T435" s="20" t="n">
        <f aca="false" t="array" ref="T435:T435">IF(AND(INDEX(Profils!$N$5:$N$34,$AE435)&gt;0,INDEX(Profils!$AC$5:$AC$34,$AE435)&lt;=$AH435),ROUND(INDEX(Profils!$N$5:$N$34,$AE435)*Paramètres!$E$30*$AG435*$AJ435,Paramètres!$F$30),0)</f>
        <v>0</v>
      </c>
      <c r="U435" s="19" t="n">
        <f aca="false" t="array" ref="U435:U435">IF(AND(INDEX(Profils!$O$5:$O$34,$AE435)&gt;0,INDEX(Profils!$AD$5:$AD$34,$AE435)&lt;=$AH435),ROUND(INDEX(Profils!$O$5:$O$34,$AE435)*Paramètres!$E$31*$AG435*$AJ435,Paramètres!$F$31),0)</f>
        <v>0</v>
      </c>
      <c r="V435" s="20" t="n">
        <f aca="false" t="array" ref="V435:V435">IF(AND(INDEX(Profils!$P$5:$P$34,$AE435)&gt;0,INDEX(Profils!$AE$5:$AE$34,$AE435)&lt;=$AH435),ROUND(INDEX(Profils!$P$5:$P$34,$AE435)*Paramètres!$E$32*$AG435*$AJ435,Paramètres!$F$32),0)</f>
        <v>0</v>
      </c>
      <c r="W435" s="20" t="n">
        <f aca="false" t="array" ref="W435:W435">IF(AND(INDEX(Profils!$Q$5:$Q$34,$AE435)&gt;0,INDEX(Profils!$AF$5:$AF$34,$AE435)&lt;=$AH435),ROUND(INDEX(Profils!$Q$5:$Q$34,$AE435)*Paramètres!$E$33*$AG435*$AJ435,Paramètres!$F$33),0)</f>
        <v>0</v>
      </c>
      <c r="X435" s="20" t="n">
        <f aca="false" t="array" ref="X435:X435">IF(AND(INDEX(Profils!$R$5:$R$34,$AE435)&gt;0,INDEX(Profils!$AG$5:$AG$34,$AE435)&lt;=$AH435),ROUND(INDEX(Profils!$R$5:$R$34,$AE435)*Paramètres!$E$34*$AG435*$AJ435,Paramètres!$F$34),0)</f>
        <v>0</v>
      </c>
      <c r="Y435" s="20" t="n">
        <f aca="false" t="array" ref="Y435:Y435">IF(AND(INDEX(Profils!$S$5:$S$34,$AE435)&gt;0,INDEX(Profils!$AH$5:$AH$34,$AE435)&lt;=$AH435),ROUND(INDEX(Profils!$S$5:$S$34,$AE435)*Paramètres!$E$35*$AG435*$AJ435,Paramètres!$F$35),0)</f>
        <v>0</v>
      </c>
      <c r="Z435" s="21" t="n">
        <f aca="false">ROUND(L435/Paramètres!$E$22+M435/Paramètres!$E$23+N435/Paramètres!$E$24+O435/Paramètres!$E$25+P435/Paramètres!$E$26+Q435/Paramètres!$E$27+R435/Paramètres!$E$28+S435/Paramètres!$E$29+T435/Paramètres!$E$30+U435/Paramètres!$E$31+V435/Paramètres!$E$32+W435/Paramètres!$E$33+X435/Paramètres!$E$34+Y435/Paramètres!$E$35,1)</f>
        <v>4.3</v>
      </c>
      <c r="AA435" s="22" t="s">
        <v>109</v>
      </c>
      <c r="AB435" s="22" t="s">
        <v>109</v>
      </c>
      <c r="AC435" s="15" t="str">
        <f aca="false">$E435</f>
        <v>étoffe astrale</v>
      </c>
      <c r="AD435" s="16" t="n">
        <f aca="false" t="array" ref="AD435:AD435">IF($I435&gt;=$AI435,"Max",ROUND(Paramètres!$B$40*($I435+1)^Paramètres!$B$41*INDEX(Paramètres!$H$6:$H$12,$AF435),0))</f>
        <v>4</v>
      </c>
      <c r="AE435" s="23" t="n">
        <f aca="false">MATCH($B435&amp;"|"&amp;$C435,Profils!$A$5:$A$34,0)</f>
        <v>14</v>
      </c>
      <c r="AF435" s="23" t="n">
        <v>3</v>
      </c>
      <c r="AG435" s="24" t="n">
        <f aca="false" t="array" ref="AG435:AG435">INDEX(Paramètres!$C$6:$C$12,$AF435)</f>
        <v>1.45</v>
      </c>
      <c r="AH435" s="23" t="n">
        <f aca="false" t="array" ref="AH435:AH435">INDEX(Paramètres!$D$6:$D$12,$AF435)</f>
        <v>4</v>
      </c>
      <c r="AI435" s="23" t="n">
        <f aca="false" t="array" ref="AI435:AI435">INDEX(Matériaux!$C$16:$C$20,$D435)</f>
        <v>30</v>
      </c>
      <c r="AJ435" s="25" t="n">
        <f aca="false">Paramètres!$B$16+(1-Paramètres!$B$16)*(($J435-Paramètres!$B$14)/(Paramètres!$B$15-Paramètres!$B$14))^Paramètres!$B$17</f>
        <v>0.665999387952727</v>
      </c>
    </row>
    <row r="436" customFormat="false" ht="15.75" hidden="false" customHeight="true" outlineLevel="0" collapsed="false">
      <c r="A436" s="14" t="s">
        <v>552</v>
      </c>
      <c r="B436" s="15" t="s">
        <v>29</v>
      </c>
      <c r="C436" s="15" t="s">
        <v>209</v>
      </c>
      <c r="D436" s="16" t="n">
        <v>5</v>
      </c>
      <c r="E436" s="15" t="str">
        <f aca="false" t="array" ref="E436:E436">INDEX(Matériaux!$B$5:$F$12,MATCH(INDEX(Profils!$E$5:$E$34,$AE436),Matériaux!$A$5:$A$12,0),$D436)</f>
        <v>étoffe astrale</v>
      </c>
      <c r="F436" s="28" t="s">
        <v>115</v>
      </c>
      <c r="G436" s="10" t="str">
        <f aca="false" t="array" ref="G436:G436">INDEX(Profils!$D$5:$D$34,$AE436)&amp;" en "&amp;$E436</f>
        <v>Bottines en étoffe astrale</v>
      </c>
      <c r="H436" s="16" t="n">
        <f aca="false" t="array" ref="H436:H436">INDEX(Matériaux!$B$16:$B$20,$D436)</f>
        <v>70</v>
      </c>
      <c r="I436" s="16" t="n">
        <f aca="false">IF(ISNUMBER($C$3),MIN(MAX(0,ROUND($C$3,0)),$AI436),$AI436)</f>
        <v>0</v>
      </c>
      <c r="J436" s="18" t="n">
        <f aca="false">$H436+$I436</f>
        <v>70</v>
      </c>
      <c r="K436" s="15" t="s">
        <v>109</v>
      </c>
      <c r="L436" s="19" t="n">
        <f aca="false" t="array" ref="L436:L436">IF(AND(INDEX(Profils!$F$5:$F$34,$AE436)&gt;0,INDEX(Profils!$U$5:$U$34,$AE436)&lt;=$AH436),ROUND(INDEX(Profils!$F$5:$F$34,$AE436)*Paramètres!$E$22*$AG436*$AJ436,Paramètres!$F$22),0)</f>
        <v>35</v>
      </c>
      <c r="M436" s="19" t="n">
        <f aca="false" t="array" ref="M436:M436">IF(AND(INDEX(Profils!$G$5:$G$34,$AE436)&gt;0,INDEX(Profils!$V$5:$V$34,$AE436)&lt;=$AH436),ROUND(INDEX(Profils!$G$5:$G$34,$AE436)*Paramètres!$E$23*$AG436*$AJ436,Paramètres!$F$23),0)</f>
        <v>0</v>
      </c>
      <c r="N436" s="19" t="n">
        <f aca="false" t="array" ref="N436:N436">IF(AND(INDEX(Profils!$H$5:$H$34,$AE436)&gt;0,INDEX(Profils!$W$5:$W$34,$AE436)&lt;=$AH436),ROUND(INDEX(Profils!$H$5:$H$34,$AE436)*Paramètres!$E$24*$AG436*$AJ436,Paramètres!$F$24),0)</f>
        <v>0</v>
      </c>
      <c r="O436" s="19" t="n">
        <f aca="false" t="array" ref="O436:O436">IF(AND(INDEX(Profils!$I$5:$I$34,$AE436)&gt;0,INDEX(Profils!$X$5:$X$34,$AE436)&lt;=$AH436),ROUND(INDEX(Profils!$I$5:$I$34,$AE436)*Paramètres!$E$25*$AG436*$AJ436,Paramètres!$F$25),0)</f>
        <v>14</v>
      </c>
      <c r="P436" s="19" t="n">
        <f aca="false" t="array" ref="P436:P436">IF(AND(INDEX(Profils!$J$5:$J$34,$AE436)&gt;0,INDEX(Profils!$Y$5:$Y$34,$AE436)&lt;=$AH436),ROUND(INDEX(Profils!$J$5:$J$34,$AE436)*Paramètres!$E$26*$AG436*$AJ436,Paramètres!$F$26),0)</f>
        <v>18</v>
      </c>
      <c r="Q436" s="19" t="n">
        <f aca="false" t="array" ref="Q436:Q436">IF(AND(INDEX(Profils!$K$5:$K$34,$AE436)&gt;0,INDEX(Profils!$Z$5:$Z$34,$AE436)&lt;=$AH436),ROUND(INDEX(Profils!$K$5:$K$34,$AE436)*Paramètres!$E$27*$AG436*$AJ436,Paramètres!$F$27),0)</f>
        <v>13</v>
      </c>
      <c r="R436" s="20" t="n">
        <f aca="false" t="array" ref="R436:R436">IF(AND(INDEX(Profils!$L$5:$L$34,$AE436)&gt;0,INDEX(Profils!$AA$5:$AA$34,$AE436)&lt;=$AH436),ROUND(INDEX(Profils!$L$5:$L$34,$AE436)*Paramètres!$E$28*$AG436*$AJ436,Paramètres!$F$28),0)</f>
        <v>0.01</v>
      </c>
      <c r="S436" s="20" t="n">
        <f aca="false" t="array" ref="S436:S436">IF(AND(INDEX(Profils!$M$5:$M$34,$AE436)&gt;0,INDEX(Profils!$AB$5:$AB$34,$AE436)&lt;=$AH436),ROUND(INDEX(Profils!$M$5:$M$34,$AE436)*Paramètres!$E$29*$AG436*$AJ436,Paramètres!$F$29),0)</f>
        <v>0</v>
      </c>
      <c r="T436" s="20" t="n">
        <f aca="false" t="array" ref="T436:T436">IF(AND(INDEX(Profils!$N$5:$N$34,$AE436)&gt;0,INDEX(Profils!$AC$5:$AC$34,$AE436)&lt;=$AH436),ROUND(INDEX(Profils!$N$5:$N$34,$AE436)*Paramètres!$E$30*$AG436*$AJ436,Paramètres!$F$30),0)</f>
        <v>0</v>
      </c>
      <c r="U436" s="19" t="n">
        <f aca="false" t="array" ref="U436:U436">IF(AND(INDEX(Profils!$O$5:$O$34,$AE436)&gt;0,INDEX(Profils!$AD$5:$AD$34,$AE436)&lt;=$AH436),ROUND(INDEX(Profils!$O$5:$O$34,$AE436)*Paramètres!$E$31*$AG436*$AJ436,Paramètres!$F$31),0)</f>
        <v>0</v>
      </c>
      <c r="V436" s="20" t="n">
        <f aca="false" t="array" ref="V436:V436">IF(AND(INDEX(Profils!$P$5:$P$34,$AE436)&gt;0,INDEX(Profils!$AE$5:$AE$34,$AE436)&lt;=$AH436),ROUND(INDEX(Profils!$P$5:$P$34,$AE436)*Paramètres!$E$32*$AG436*$AJ436,Paramètres!$F$32),0)</f>
        <v>0</v>
      </c>
      <c r="W436" s="20" t="n">
        <f aca="false" t="array" ref="W436:W436">IF(AND(INDEX(Profils!$Q$5:$Q$34,$AE436)&gt;0,INDEX(Profils!$AF$5:$AF$34,$AE436)&lt;=$AH436),ROUND(INDEX(Profils!$Q$5:$Q$34,$AE436)*Paramètres!$E$33*$AG436*$AJ436,Paramètres!$F$33),0)</f>
        <v>0</v>
      </c>
      <c r="X436" s="20" t="n">
        <f aca="false" t="array" ref="X436:X436">IF(AND(INDEX(Profils!$R$5:$R$34,$AE436)&gt;0,INDEX(Profils!$AG$5:$AG$34,$AE436)&lt;=$AH436),ROUND(INDEX(Profils!$R$5:$R$34,$AE436)*Paramètres!$E$34*$AG436*$AJ436,Paramètres!$F$34),0)</f>
        <v>0</v>
      </c>
      <c r="Y436" s="20" t="n">
        <f aca="false" t="array" ref="Y436:Y436">IF(AND(INDEX(Profils!$S$5:$S$34,$AE436)&gt;0,INDEX(Profils!$AH$5:$AH$34,$AE436)&lt;=$AH436),ROUND(INDEX(Profils!$S$5:$S$34,$AE436)*Paramètres!$E$35*$AG436*$AJ436,Paramètres!$F$35),0)</f>
        <v>0</v>
      </c>
      <c r="Z436" s="21" t="n">
        <f aca="false">ROUND(L436/Paramètres!$E$22+M436/Paramètres!$E$23+N436/Paramètres!$E$24+O436/Paramètres!$E$25+P436/Paramètres!$E$26+Q436/Paramètres!$E$27+R436/Paramètres!$E$28+S436/Paramètres!$E$29+T436/Paramètres!$E$30+U436/Paramètres!$E$31+V436/Paramètres!$E$32+W436/Paramètres!$E$33+X436/Paramètres!$E$34+Y436/Paramètres!$E$35,1)</f>
        <v>5.8</v>
      </c>
      <c r="AA436" s="22" t="s">
        <v>109</v>
      </c>
      <c r="AB436" s="22" t="s">
        <v>109</v>
      </c>
      <c r="AC436" s="15" t="str">
        <f aca="false">$E436</f>
        <v>étoffe astrale</v>
      </c>
      <c r="AD436" s="16" t="n">
        <f aca="false" t="array" ref="AD436:AD436">IF($I436&gt;=$AI436,"Max",ROUND(Paramètres!$B$40*($I436+1)^Paramètres!$B$41*INDEX(Paramètres!$H$6:$H$12,$AF436),0))</f>
        <v>5</v>
      </c>
      <c r="AE436" s="23" t="n">
        <f aca="false">MATCH($B436&amp;"|"&amp;$C436,Profils!$A$5:$A$34,0)</f>
        <v>14</v>
      </c>
      <c r="AF436" s="23" t="n">
        <v>4</v>
      </c>
      <c r="AG436" s="24" t="n">
        <f aca="false" t="array" ref="AG436:AG436">INDEX(Paramètres!$C$6:$C$12,$AF436)</f>
        <v>1.75</v>
      </c>
      <c r="AH436" s="23" t="n">
        <f aca="false" t="array" ref="AH436:AH436">INDEX(Paramètres!$D$6:$D$12,$AF436)</f>
        <v>5</v>
      </c>
      <c r="AI436" s="23" t="n">
        <f aca="false" t="array" ref="AI436:AI436">INDEX(Matériaux!$C$16:$C$20,$D436)</f>
        <v>30</v>
      </c>
      <c r="AJ436" s="25" t="n">
        <f aca="false">Paramètres!$B$16+(1-Paramètres!$B$16)*(($J436-Paramètres!$B$14)/(Paramètres!$B$15-Paramètres!$B$14))^Paramètres!$B$17</f>
        <v>0.665999387952727</v>
      </c>
    </row>
    <row r="437" customFormat="false" ht="15.75" hidden="false" customHeight="true" outlineLevel="0" collapsed="false">
      <c r="A437" s="14" t="s">
        <v>553</v>
      </c>
      <c r="B437" s="15" t="s">
        <v>29</v>
      </c>
      <c r="C437" s="15" t="s">
        <v>209</v>
      </c>
      <c r="D437" s="16" t="n">
        <v>5</v>
      </c>
      <c r="E437" s="15" t="str">
        <f aca="false" t="array" ref="E437:E437">INDEX(Matériaux!$B$5:$F$12,MATCH(INDEX(Profils!$E$5:$E$34,$AE437),Matériaux!$A$5:$A$12,0),$D437)</f>
        <v>étoffe astrale</v>
      </c>
      <c r="F437" s="29" t="s">
        <v>117</v>
      </c>
      <c r="G437" s="10" t="str">
        <f aca="false" t="array" ref="G437:G437">INDEX(Profils!$D$5:$D$34,$AE437)&amp;" en "&amp;$E437</f>
        <v>Bottines en étoffe astrale</v>
      </c>
      <c r="H437" s="16" t="n">
        <f aca="false" t="array" ref="H437:H437">INDEX(Matériaux!$B$16:$B$20,$D437)</f>
        <v>70</v>
      </c>
      <c r="I437" s="16" t="n">
        <f aca="false">IF(ISNUMBER($C$3),MIN(MAX(0,ROUND($C$3,0)),$AI437),$AI437)</f>
        <v>0</v>
      </c>
      <c r="J437" s="18" t="n">
        <f aca="false">$H437+$I437</f>
        <v>70</v>
      </c>
      <c r="K437" s="15" t="s">
        <v>109</v>
      </c>
      <c r="L437" s="19" t="n">
        <f aca="false" t="array" ref="L437:L437">IF(AND(INDEX(Profils!$F$5:$F$34,$AE437)&gt;0,INDEX(Profils!$U$5:$U$34,$AE437)&lt;=$AH437),ROUND(INDEX(Profils!$F$5:$F$34,$AE437)*Paramètres!$E$22*$AG437*$AJ437,Paramètres!$F$22),0)</f>
        <v>42</v>
      </c>
      <c r="M437" s="19" t="n">
        <f aca="false" t="array" ref="M437:M437">IF(AND(INDEX(Profils!$G$5:$G$34,$AE437)&gt;0,INDEX(Profils!$V$5:$V$34,$AE437)&lt;=$AH437),ROUND(INDEX(Profils!$G$5:$G$34,$AE437)*Paramètres!$E$23*$AG437*$AJ437,Paramètres!$F$23),0)</f>
        <v>0</v>
      </c>
      <c r="N437" s="19" t="n">
        <f aca="false" t="array" ref="N437:N437">IF(AND(INDEX(Profils!$H$5:$H$34,$AE437)&gt;0,INDEX(Profils!$W$5:$W$34,$AE437)&lt;=$AH437),ROUND(INDEX(Profils!$H$5:$H$34,$AE437)*Paramètres!$E$24*$AG437*$AJ437,Paramètres!$F$24),0)</f>
        <v>0</v>
      </c>
      <c r="O437" s="19" t="n">
        <f aca="false" t="array" ref="O437:O437">IF(AND(INDEX(Profils!$I$5:$I$34,$AE437)&gt;0,INDEX(Profils!$X$5:$X$34,$AE437)&lt;=$AH437),ROUND(INDEX(Profils!$I$5:$I$34,$AE437)*Paramètres!$E$25*$AG437*$AJ437,Paramètres!$F$25),0)</f>
        <v>17</v>
      </c>
      <c r="P437" s="19" t="n">
        <f aca="false" t="array" ref="P437:P437">IF(AND(INDEX(Profils!$J$5:$J$34,$AE437)&gt;0,INDEX(Profils!$Y$5:$Y$34,$AE437)&lt;=$AH437),ROUND(INDEX(Profils!$J$5:$J$34,$AE437)*Paramètres!$E$26*$AG437*$AJ437,Paramètres!$F$26),0)</f>
        <v>22</v>
      </c>
      <c r="Q437" s="19" t="n">
        <f aca="false" t="array" ref="Q437:Q437">IF(AND(INDEX(Profils!$K$5:$K$34,$AE437)&gt;0,INDEX(Profils!$Z$5:$Z$34,$AE437)&lt;=$AH437),ROUND(INDEX(Profils!$K$5:$K$34,$AE437)*Paramètres!$E$27*$AG437*$AJ437,Paramètres!$F$27),0)</f>
        <v>15</v>
      </c>
      <c r="R437" s="20" t="n">
        <f aca="false" t="array" ref="R437:R437">IF(AND(INDEX(Profils!$L$5:$L$34,$AE437)&gt;0,INDEX(Profils!$AA$5:$AA$34,$AE437)&lt;=$AH437),ROUND(INDEX(Profils!$L$5:$L$34,$AE437)*Paramètres!$E$28*$AG437*$AJ437,Paramètres!$F$28),0)</f>
        <v>0.013</v>
      </c>
      <c r="S437" s="20" t="n">
        <f aca="false" t="array" ref="S437:S437">IF(AND(INDEX(Profils!$M$5:$M$34,$AE437)&gt;0,INDEX(Profils!$AB$5:$AB$34,$AE437)&lt;=$AH437),ROUND(INDEX(Profils!$M$5:$M$34,$AE437)*Paramètres!$E$29*$AG437*$AJ437,Paramètres!$F$29),0)</f>
        <v>0</v>
      </c>
      <c r="T437" s="20" t="n">
        <f aca="false" t="array" ref="T437:T437">IF(AND(INDEX(Profils!$N$5:$N$34,$AE437)&gt;0,INDEX(Profils!$AC$5:$AC$34,$AE437)&lt;=$AH437),ROUND(INDEX(Profils!$N$5:$N$34,$AE437)*Paramètres!$E$30*$AG437*$AJ437,Paramètres!$F$30),0)</f>
        <v>0</v>
      </c>
      <c r="U437" s="19" t="n">
        <f aca="false" t="array" ref="U437:U437">IF(AND(INDEX(Profils!$O$5:$O$34,$AE437)&gt;0,INDEX(Profils!$AD$5:$AD$34,$AE437)&lt;=$AH437),ROUND(INDEX(Profils!$O$5:$O$34,$AE437)*Paramètres!$E$31*$AG437*$AJ437,Paramètres!$F$31),0)</f>
        <v>0</v>
      </c>
      <c r="V437" s="20" t="n">
        <f aca="false" t="array" ref="V437:V437">IF(AND(INDEX(Profils!$P$5:$P$34,$AE437)&gt;0,INDEX(Profils!$AE$5:$AE$34,$AE437)&lt;=$AH437),ROUND(INDEX(Profils!$P$5:$P$34,$AE437)*Paramètres!$E$32*$AG437*$AJ437,Paramètres!$F$32),0)</f>
        <v>0</v>
      </c>
      <c r="W437" s="20" t="n">
        <f aca="false" t="array" ref="W437:W437">IF(AND(INDEX(Profils!$Q$5:$Q$34,$AE437)&gt;0,INDEX(Profils!$AF$5:$AF$34,$AE437)&lt;=$AH437),ROUND(INDEX(Profils!$Q$5:$Q$34,$AE437)*Paramètres!$E$33*$AG437*$AJ437,Paramètres!$F$33),0)</f>
        <v>0.013</v>
      </c>
      <c r="X437" s="20" t="n">
        <f aca="false" t="array" ref="X437:X437">IF(AND(INDEX(Profils!$R$5:$R$34,$AE437)&gt;0,INDEX(Profils!$AG$5:$AG$34,$AE437)&lt;=$AH437),ROUND(INDEX(Profils!$R$5:$R$34,$AE437)*Paramètres!$E$34*$AG437*$AJ437,Paramètres!$F$34),0)</f>
        <v>0</v>
      </c>
      <c r="Y437" s="20" t="n">
        <f aca="false" t="array" ref="Y437:Y437">IF(AND(INDEX(Profils!$S$5:$S$34,$AE437)&gt;0,INDEX(Profils!$AH$5:$AH$34,$AE437)&lt;=$AH437),ROUND(INDEX(Profils!$S$5:$S$34,$AE437)*Paramètres!$E$35*$AG437*$AJ437,Paramètres!$F$35),0)</f>
        <v>0</v>
      </c>
      <c r="Z437" s="21" t="n">
        <f aca="false">ROUND(L437/Paramètres!$E$22+M437/Paramètres!$E$23+N437/Paramètres!$E$24+O437/Paramètres!$E$25+P437/Paramètres!$E$26+Q437/Paramètres!$E$27+R437/Paramètres!$E$28+S437/Paramètres!$E$29+T437/Paramètres!$E$30+U437/Paramètres!$E$31+V437/Paramètres!$E$32+W437/Paramètres!$E$33+X437/Paramètres!$E$34+Y437/Paramètres!$E$35,1)</f>
        <v>7.9</v>
      </c>
      <c r="AA437" s="22" t="s">
        <v>109</v>
      </c>
      <c r="AB437" s="22" t="s">
        <v>109</v>
      </c>
      <c r="AC437" s="15" t="str">
        <f aca="false">$E437</f>
        <v>étoffe astrale</v>
      </c>
      <c r="AD437" s="16" t="n">
        <f aca="false" t="array" ref="AD437:AD437">IF($I437&gt;=$AI437,"Max",ROUND(Paramètres!$B$40*($I437+1)^Paramètres!$B$41*INDEX(Paramètres!$H$6:$H$12,$AF437),0))</f>
        <v>6</v>
      </c>
      <c r="AE437" s="23" t="n">
        <f aca="false">MATCH($B437&amp;"|"&amp;$C437,Profils!$A$5:$A$34,0)</f>
        <v>14</v>
      </c>
      <c r="AF437" s="23" t="n">
        <v>5</v>
      </c>
      <c r="AG437" s="24" t="n">
        <f aca="false" t="array" ref="AG437:AG437">INDEX(Paramètres!$C$6:$C$12,$AF437)</f>
        <v>2.1</v>
      </c>
      <c r="AH437" s="23" t="n">
        <f aca="false" t="array" ref="AH437:AH437">INDEX(Paramètres!$D$6:$D$12,$AF437)</f>
        <v>6</v>
      </c>
      <c r="AI437" s="23" t="n">
        <f aca="false" t="array" ref="AI437:AI437">INDEX(Matériaux!$C$16:$C$20,$D437)</f>
        <v>30</v>
      </c>
      <c r="AJ437" s="25" t="n">
        <f aca="false">Paramètres!$B$16+(1-Paramètres!$B$16)*(($J437-Paramètres!$B$14)/(Paramètres!$B$15-Paramètres!$B$14))^Paramètres!$B$17</f>
        <v>0.665999387952727</v>
      </c>
    </row>
    <row r="438" customFormat="false" ht="15.75" hidden="false" customHeight="true" outlineLevel="0" collapsed="false">
      <c r="A438" s="14" t="s">
        <v>554</v>
      </c>
      <c r="B438" s="15" t="s">
        <v>29</v>
      </c>
      <c r="C438" s="15" t="s">
        <v>209</v>
      </c>
      <c r="D438" s="16" t="n">
        <v>5</v>
      </c>
      <c r="E438" s="15" t="str">
        <f aca="false" t="array" ref="E438:E438">INDEX(Matériaux!$B$5:$F$12,MATCH(INDEX(Profils!$E$5:$E$34,$AE438),Matériaux!$A$5:$A$12,0),$D438)</f>
        <v>étoffe astrale</v>
      </c>
      <c r="F438" s="30" t="s">
        <v>119</v>
      </c>
      <c r="G438" s="10" t="str">
        <f aca="false" t="array" ref="G438:G438">INDEX(Profils!$D$5:$D$34,$AE438)&amp;" en "&amp;$E438</f>
        <v>Bottines en étoffe astrale</v>
      </c>
      <c r="H438" s="16" t="n">
        <f aca="false" t="array" ref="H438:H438">INDEX(Matériaux!$B$16:$B$20,$D438)</f>
        <v>70</v>
      </c>
      <c r="I438" s="16" t="n">
        <f aca="false">IF(ISNUMBER($C$3),MIN(MAX(0,ROUND($C$3,0)),$AI438),$AI438)</f>
        <v>0</v>
      </c>
      <c r="J438" s="18" t="n">
        <f aca="false">$H438+$I438</f>
        <v>70</v>
      </c>
      <c r="K438" s="15" t="s">
        <v>109</v>
      </c>
      <c r="L438" s="19" t="n">
        <f aca="false" t="array" ref="L438:L438">IF(AND(INDEX(Profils!$F$5:$F$34,$AE438)&gt;0,INDEX(Profils!$U$5:$U$34,$AE438)&lt;=$AH438),ROUND(INDEX(Profils!$F$5:$F$34,$AE438)*Paramètres!$E$22*$AG438*$AJ438,Paramètres!$F$22),0)</f>
        <v>48</v>
      </c>
      <c r="M438" s="19" t="n">
        <f aca="false" t="array" ref="M438:M438">IF(AND(INDEX(Profils!$G$5:$G$34,$AE438)&gt;0,INDEX(Profils!$V$5:$V$34,$AE438)&lt;=$AH438),ROUND(INDEX(Profils!$G$5:$G$34,$AE438)*Paramètres!$E$23*$AG438*$AJ438,Paramètres!$F$23),0)</f>
        <v>0</v>
      </c>
      <c r="N438" s="19" t="n">
        <f aca="false" t="array" ref="N438:N438">IF(AND(INDEX(Profils!$H$5:$H$34,$AE438)&gt;0,INDEX(Profils!$W$5:$W$34,$AE438)&lt;=$AH438),ROUND(INDEX(Profils!$H$5:$H$34,$AE438)*Paramètres!$E$24*$AG438*$AJ438,Paramètres!$F$24),0)</f>
        <v>0</v>
      </c>
      <c r="O438" s="19" t="n">
        <f aca="false" t="array" ref="O438:O438">IF(AND(INDEX(Profils!$I$5:$I$34,$AE438)&gt;0,INDEX(Profils!$X$5:$X$34,$AE438)&lt;=$AH438),ROUND(INDEX(Profils!$I$5:$I$34,$AE438)*Paramètres!$E$25*$AG438*$AJ438,Paramètres!$F$25),0)</f>
        <v>19</v>
      </c>
      <c r="P438" s="19" t="n">
        <f aca="false" t="array" ref="P438:P438">IF(AND(INDEX(Profils!$J$5:$J$34,$AE438)&gt;0,INDEX(Profils!$Y$5:$Y$34,$AE438)&lt;=$AH438),ROUND(INDEX(Profils!$J$5:$J$34,$AE438)*Paramètres!$E$26*$AG438*$AJ438,Paramètres!$F$26),0)</f>
        <v>25</v>
      </c>
      <c r="Q438" s="19" t="n">
        <f aca="false" t="array" ref="Q438:Q438">IF(AND(INDEX(Profils!$K$5:$K$34,$AE438)&gt;0,INDEX(Profils!$Z$5:$Z$34,$AE438)&lt;=$AH438),ROUND(INDEX(Profils!$K$5:$K$34,$AE438)*Paramètres!$E$27*$AG438*$AJ438,Paramètres!$F$27),0)</f>
        <v>18</v>
      </c>
      <c r="R438" s="20" t="n">
        <f aca="false" t="array" ref="R438:R438">IF(AND(INDEX(Profils!$L$5:$L$34,$AE438)&gt;0,INDEX(Profils!$AA$5:$AA$34,$AE438)&lt;=$AH438),ROUND(INDEX(Profils!$L$5:$L$34,$AE438)*Paramètres!$E$28*$AG438*$AJ438,Paramètres!$F$28),0)</f>
        <v>0.014</v>
      </c>
      <c r="S438" s="20" t="n">
        <f aca="false" t="array" ref="S438:S438">IF(AND(INDEX(Profils!$M$5:$M$34,$AE438)&gt;0,INDEX(Profils!$AB$5:$AB$34,$AE438)&lt;=$AH438),ROUND(INDEX(Profils!$M$5:$M$34,$AE438)*Paramètres!$E$29*$AG438*$AJ438,Paramètres!$F$29),0)</f>
        <v>0</v>
      </c>
      <c r="T438" s="20" t="n">
        <f aca="false" t="array" ref="T438:T438">IF(AND(INDEX(Profils!$N$5:$N$34,$AE438)&gt;0,INDEX(Profils!$AC$5:$AC$34,$AE438)&lt;=$AH438),ROUND(INDEX(Profils!$N$5:$N$34,$AE438)*Paramètres!$E$30*$AG438*$AJ438,Paramètres!$F$30),0)</f>
        <v>0</v>
      </c>
      <c r="U438" s="19" t="n">
        <f aca="false" t="array" ref="U438:U438">IF(AND(INDEX(Profils!$O$5:$O$34,$AE438)&gt;0,INDEX(Profils!$AD$5:$AD$34,$AE438)&lt;=$AH438),ROUND(INDEX(Profils!$O$5:$O$34,$AE438)*Paramètres!$E$31*$AG438*$AJ438,Paramètres!$F$31),0)</f>
        <v>16</v>
      </c>
      <c r="V438" s="20" t="n">
        <f aca="false" t="array" ref="V438:V438">IF(AND(INDEX(Profils!$P$5:$P$34,$AE438)&gt;0,INDEX(Profils!$AE$5:$AE$34,$AE438)&lt;=$AH438),ROUND(INDEX(Profils!$P$5:$P$34,$AE438)*Paramètres!$E$32*$AG438*$AJ438,Paramètres!$F$32),0)</f>
        <v>0</v>
      </c>
      <c r="W438" s="20" t="n">
        <f aca="false" t="array" ref="W438:W438">IF(AND(INDEX(Profils!$Q$5:$Q$34,$AE438)&gt;0,INDEX(Profils!$AF$5:$AF$34,$AE438)&lt;=$AH438),ROUND(INDEX(Profils!$Q$5:$Q$34,$AE438)*Paramètres!$E$33*$AG438*$AJ438,Paramètres!$F$33),0)</f>
        <v>0.014</v>
      </c>
      <c r="X438" s="20" t="n">
        <f aca="false" t="array" ref="X438:X438">IF(AND(INDEX(Profils!$R$5:$R$34,$AE438)&gt;0,INDEX(Profils!$AG$5:$AG$34,$AE438)&lt;=$AH438),ROUND(INDEX(Profils!$R$5:$R$34,$AE438)*Paramètres!$E$34*$AG438*$AJ438,Paramètres!$F$34),0)</f>
        <v>0</v>
      </c>
      <c r="Y438" s="20" t="n">
        <f aca="false" t="array" ref="Y438:Y438">IF(AND(INDEX(Profils!$S$5:$S$34,$AE438)&gt;0,INDEX(Profils!$AH$5:$AH$34,$AE438)&lt;=$AH438),ROUND(INDEX(Profils!$S$5:$S$34,$AE438)*Paramètres!$E$35*$AG438*$AJ438,Paramètres!$F$35),0)</f>
        <v>0</v>
      </c>
      <c r="Z438" s="21" t="n">
        <f aca="false">ROUND(L438/Paramètres!$E$22+M438/Paramètres!$E$23+N438/Paramètres!$E$24+O438/Paramètres!$E$25+P438/Paramètres!$E$26+Q438/Paramètres!$E$27+R438/Paramètres!$E$28+S438/Paramètres!$E$29+T438/Paramètres!$E$30+U438/Paramètres!$E$31+V438/Paramètres!$E$32+W438/Paramètres!$E$33+X438/Paramètres!$E$34+Y438/Paramètres!$E$35,1)</f>
        <v>9.7</v>
      </c>
      <c r="AA438" s="22" t="s">
        <v>109</v>
      </c>
      <c r="AB438" s="22" t="s">
        <v>109</v>
      </c>
      <c r="AC438" s="15" t="str">
        <f aca="false">$E438</f>
        <v>étoffe astrale</v>
      </c>
      <c r="AD438" s="16" t="n">
        <f aca="false" t="array" ref="AD438:AD438">IF($I438&gt;=$AI438,"Max",ROUND(Paramètres!$B$40*($I438+1)^Paramètres!$B$41*INDEX(Paramètres!$H$6:$H$12,$AF438),0))</f>
        <v>8</v>
      </c>
      <c r="AE438" s="23" t="n">
        <f aca="false">MATCH($B438&amp;"|"&amp;$C438,Profils!$A$5:$A$34,0)</f>
        <v>14</v>
      </c>
      <c r="AF438" s="23" t="n">
        <v>6</v>
      </c>
      <c r="AG438" s="24" t="n">
        <f aca="false" t="array" ref="AG438:AG438">INDEX(Paramètres!$C$6:$C$12,$AF438)</f>
        <v>2.4</v>
      </c>
      <c r="AH438" s="23" t="n">
        <f aca="false" t="array" ref="AH438:AH438">INDEX(Paramètres!$D$6:$D$12,$AF438)</f>
        <v>7</v>
      </c>
      <c r="AI438" s="23" t="n">
        <f aca="false" t="array" ref="AI438:AI438">INDEX(Matériaux!$C$16:$C$20,$D438)</f>
        <v>30</v>
      </c>
      <c r="AJ438" s="25" t="n">
        <f aca="false">Paramètres!$B$16+(1-Paramètres!$B$16)*(($J438-Paramètres!$B$14)/(Paramètres!$B$15-Paramètres!$B$14))^Paramètres!$B$17</f>
        <v>0.665999387952727</v>
      </c>
    </row>
    <row r="439" customFormat="false" ht="15.75" hidden="false" customHeight="true" outlineLevel="0" collapsed="false">
      <c r="A439" s="14" t="s">
        <v>555</v>
      </c>
      <c r="B439" s="15" t="s">
        <v>29</v>
      </c>
      <c r="C439" s="15" t="s">
        <v>209</v>
      </c>
      <c r="D439" s="16" t="s">
        <v>109</v>
      </c>
      <c r="E439" s="15" t="s">
        <v>109</v>
      </c>
      <c r="F439" s="31" t="s">
        <v>38</v>
      </c>
      <c r="G439" s="10" t="str">
        <f aca="false" t="array" ref="G439:G439">INDEX(Uniques!$E$5:$E$34,MATCH($B439&amp;"|"&amp;$C439,Uniques!$A$5:$A$34,0))</f>
        <v>Bottes du Voyageur des Eaux</v>
      </c>
      <c r="H439" s="16" t="n">
        <f aca="false" t="array" ref="H439:H439">INDEX(Uniques!$L$5:$L$34,MATCH($B439&amp;"|"&amp;$C439,Uniques!$A$5:$A$34,0))</f>
        <v>51</v>
      </c>
      <c r="I439" s="16" t="n">
        <f aca="false">IF(ISNUMBER($C$3),MIN(MAX(0,ROUND($C$3,0)),$AI439),$AI439)</f>
        <v>0</v>
      </c>
      <c r="J439" s="18" t="n">
        <f aca="false">$H439+$I439</f>
        <v>51</v>
      </c>
      <c r="K439" s="15" t="str">
        <f aca="false" t="array" ref="K439:K439">INDEX(Uniques!$F$5:$F$34,MATCH($B439&amp;"|"&amp;$C439,Uniques!$A$5:$A$34,0))</f>
        <v>Eau</v>
      </c>
      <c r="L439" s="19" t="n">
        <f aca="false" t="array" ref="L439:L439">IF(AND(INDEX(Profils!$F$5:$F$34,$AE439)&gt;0,INDEX(Profils!$U$5:$U$34,$AE439)&lt;=$AH439),ROUND(INDEX(Profils!$F$5:$F$34,$AE439)*Paramètres!$E$22*$AG439*$AJ439,Paramètres!$F$22),0)</f>
        <v>35</v>
      </c>
      <c r="M439" s="19" t="n">
        <f aca="false" t="array" ref="M439:M439">IF(AND(INDEX(Profils!$G$5:$G$34,$AE439)&gt;0,INDEX(Profils!$V$5:$V$34,$AE439)&lt;=$AH439),ROUND(INDEX(Profils!$G$5:$G$34,$AE439)*Paramètres!$E$23*$AG439*$AJ439,Paramètres!$F$23),0)</f>
        <v>0</v>
      </c>
      <c r="N439" s="19" t="n">
        <f aca="false" t="array" ref="N439:N439">IF(AND(INDEX(Profils!$H$5:$H$34,$AE439)&gt;0,INDEX(Profils!$W$5:$W$34,$AE439)&lt;=$AH439),ROUND(INDEX(Profils!$H$5:$H$34,$AE439)*Paramètres!$E$24*$AG439*$AJ439,Paramètres!$F$24),0)</f>
        <v>0</v>
      </c>
      <c r="O439" s="19" t="n">
        <f aca="false" t="array" ref="O439:O439">IF(AND(INDEX(Profils!$I$5:$I$34,$AE439)&gt;0,INDEX(Profils!$X$5:$X$34,$AE439)&lt;=$AH439),ROUND(INDEX(Profils!$I$5:$I$34,$AE439)*Paramètres!$E$25*$AG439*$AJ439,Paramètres!$F$25),0)</f>
        <v>14</v>
      </c>
      <c r="P439" s="19" t="n">
        <f aca="false" t="array" ref="P439:P439">IF(AND(INDEX(Profils!$J$5:$J$34,$AE439)&gt;0,INDEX(Profils!$Y$5:$Y$34,$AE439)&lt;=$AH439),ROUND(INDEX(Profils!$J$5:$J$34,$AE439)*Paramètres!$E$26*$AG439*$AJ439,Paramètres!$F$26),0)</f>
        <v>18</v>
      </c>
      <c r="Q439" s="19" t="n">
        <f aca="false" t="array" ref="Q439:Q439">IF(AND(INDEX(Profils!$K$5:$K$34,$AE439)&gt;0,INDEX(Profils!$Z$5:$Z$34,$AE439)&lt;=$AH439),ROUND(INDEX(Profils!$K$5:$K$34,$AE439)*Paramètres!$E$27*$AG439*$AJ439,Paramètres!$F$27),0)</f>
        <v>13</v>
      </c>
      <c r="R439" s="20" t="n">
        <f aca="false" t="array" ref="R439:R439">IF(AND(INDEX(Profils!$L$5:$L$34,$AE439)&gt;0,INDEX(Profils!$AA$5:$AA$34,$AE439)&lt;=$AH439),ROUND(INDEX(Profils!$L$5:$L$34,$AE439)*Paramètres!$E$28*$AG439*$AJ439,Paramètres!$F$28),0)</f>
        <v>0.011</v>
      </c>
      <c r="S439" s="20" t="n">
        <f aca="false" t="array" ref="S439:S439">IF(AND(INDEX(Profils!$M$5:$M$34,$AE439)&gt;0,INDEX(Profils!$AB$5:$AB$34,$AE439)&lt;=$AH439),ROUND(INDEX(Profils!$M$5:$M$34,$AE439)*Paramètres!$E$29*$AG439*$AJ439,Paramètres!$F$29),0)</f>
        <v>0</v>
      </c>
      <c r="T439" s="20" t="n">
        <f aca="false" t="array" ref="T439:T439">IF(AND(INDEX(Profils!$N$5:$N$34,$AE439)&gt;0,INDEX(Profils!$AC$5:$AC$34,$AE439)&lt;=$AH439),ROUND(INDEX(Profils!$N$5:$N$34,$AE439)*Paramètres!$E$30*$AG439*$AJ439,Paramètres!$F$30),0)</f>
        <v>0</v>
      </c>
      <c r="U439" s="19" t="n">
        <f aca="false" t="array" ref="U439:U439">IF(AND(INDEX(Profils!$O$5:$O$34,$AE439)&gt;0,INDEX(Profils!$AD$5:$AD$34,$AE439)&lt;=$AH439),ROUND(INDEX(Profils!$O$5:$O$34,$AE439)*Paramètres!$E$31*$AG439*$AJ439,Paramètres!$F$31),0)</f>
        <v>12</v>
      </c>
      <c r="V439" s="20" t="n">
        <f aca="false" t="array" ref="V439:V439">IF(AND(INDEX(Profils!$P$5:$P$34,$AE439)&gt;0,INDEX(Profils!$AE$5:$AE$34,$AE439)&lt;=$AH439),ROUND(INDEX(Profils!$P$5:$P$34,$AE439)*Paramètres!$E$32*$AG439*$AJ439,Paramètres!$F$32),0)</f>
        <v>0</v>
      </c>
      <c r="W439" s="20" t="n">
        <f aca="false" t="array" ref="W439:W439">IF(AND(INDEX(Profils!$Q$5:$Q$34,$AE439)&gt;0,INDEX(Profils!$AF$5:$AF$34,$AE439)&lt;=$AH439),ROUND(INDEX(Profils!$Q$5:$Q$34,$AE439)*Paramètres!$E$33*$AG439*$AJ439,Paramètres!$F$33),0)</f>
        <v>0.011</v>
      </c>
      <c r="X439" s="20" t="n">
        <f aca="false" t="array" ref="X439:X439">IF(AND(INDEX(Profils!$R$5:$R$34,$AE439)&gt;0,INDEX(Profils!$AG$5:$AG$34,$AE439)&lt;=$AH439),ROUND(INDEX(Profils!$R$5:$R$34,$AE439)*Paramètres!$E$34*$AG439*$AJ439,Paramètres!$F$34),0)</f>
        <v>0</v>
      </c>
      <c r="Y439" s="20" t="n">
        <f aca="false" t="array" ref="Y439:Y439">IF(AND(INDEX(Profils!$S$5:$S$34,$AE439)&gt;0,INDEX(Profils!$AH$5:$AH$34,$AE439)&lt;=$AH439),ROUND(INDEX(Profils!$S$5:$S$34,$AE439)*Paramètres!$E$35*$AG439*$AJ439,Paramètres!$F$35),0)</f>
        <v>0</v>
      </c>
      <c r="Z439" s="21" t="n">
        <f aca="false">ROUND(L439/Paramètres!$E$22+M439/Paramètres!$E$23+N439/Paramètres!$E$24+O439/Paramètres!$E$25+P439/Paramètres!$E$26+Q439/Paramètres!$E$27+R439/Paramètres!$E$28+S439/Paramètres!$E$29+T439/Paramètres!$E$30+U439/Paramètres!$E$31+V439/Paramètres!$E$32+W439/Paramètres!$E$33+X439/Paramètres!$E$34+Y439/Paramètres!$E$35,1)</f>
        <v>7.2</v>
      </c>
      <c r="AA439" s="22" t="str">
        <f aca="false" t="array" ref="AA439:AA439">INDEX(Uniques!$G$5:$G$34,MATCH($B439&amp;"|"&amp;$C439,Uniques!$A$5:$A$34,0))</f>
        <v>Marée montante</v>
      </c>
      <c r="AB439" s="22" t="str">
        <f aca="false" t="array" ref="AB439:AB439">INDEX(Uniques!$H$5:$H$34,MATCH($B439&amp;"|"&amp;$C439,Uniques!$A$5:$A$34,0))&amp;" ["&amp;INDEX(Uniques!$I$5:$I$34,MATCH($B439&amp;"|"&amp;$C439,Uniques!$A$5:$A$34,0))&amp;"]"</f>
        <v>Au début de chaque manche, 25 % de chance de réduire de 1 manche la recharge d'une compétence au hasard. [1 fois par manche ; ultimes exclues.]</v>
      </c>
      <c r="AC439" s="15" t="str">
        <f aca="false" t="array" ref="AC439:AC439">INDEX(Matériaux!$B$5:$F$12,MATCH(INDEX(Profils!$E$5:$E$34,$AE439),Matériaux!$A$5:$A$12,0),MATCH(MIN($J439+1,100),Matériaux!$B$16:$B$20,1))</f>
        <v>velours enchanté</v>
      </c>
      <c r="AD439" s="16" t="n">
        <f aca="false" t="array" ref="AD439:AD439">IF($I439&gt;=$AI439,"Max",ROUND(Paramètres!$B$40*($I439+1)^Paramètres!$B$41*INDEX(Paramètres!$H$6:$H$12,$AF439),0))</f>
        <v>9</v>
      </c>
      <c r="AE439" s="23" t="n">
        <f aca="false">MATCH($B439&amp;"|"&amp;$C439,Profils!$A$5:$A$34,0)</f>
        <v>14</v>
      </c>
      <c r="AF439" s="23" t="n">
        <v>7</v>
      </c>
      <c r="AG439" s="24" t="n">
        <f aca="false" t="array" ref="AG439:AG439">INDEX(Paramètres!$C$6:$C$12,$AF439)</f>
        <v>2.5</v>
      </c>
      <c r="AH439" s="23" t="n">
        <f aca="false" t="array" ref="AH439:AH439">INDEX(Paramètres!$D$6:$D$12,$AF439)</f>
        <v>7</v>
      </c>
      <c r="AI439" s="23" t="n">
        <f aca="false" t="array" ref="AI439:AI439">INDEX(Uniques!$M$5:$M$34,MATCH($B439&amp;"|"&amp;$C439,Uniques!$A$5:$A$34,0))</f>
        <v>49</v>
      </c>
      <c r="AJ439" s="25" t="n">
        <f aca="false">Paramètres!$B$16+(1-Paramètres!$B$16)*(($J439-Paramètres!$B$14)/(Paramètres!$B$15-Paramètres!$B$14))^Paramètres!$B$17</f>
        <v>0.468528827698579</v>
      </c>
    </row>
    <row r="440" customFormat="false" ht="15.75" hidden="false" customHeight="true" outlineLevel="0" collapsed="false">
      <c r="A440" s="14" t="s">
        <v>556</v>
      </c>
      <c r="B440" s="15" t="s">
        <v>29</v>
      </c>
      <c r="C440" s="15" t="s">
        <v>241</v>
      </c>
      <c r="D440" s="16" t="n">
        <v>1</v>
      </c>
      <c r="E440" s="15" t="str">
        <f aca="false" t="array" ref="E440:E440">INDEX(Matériaux!$B$5:$F$12,MATCH(INDEX(Profils!$E$5:$E$34,$AE440),Matériaux!$A$5:$A$12,0),$D440)</f>
        <v>cuivre</v>
      </c>
      <c r="F440" s="17" t="s">
        <v>108</v>
      </c>
      <c r="G440" s="10" t="str">
        <f aca="false" t="array" ref="G440:G440">INDEX(Profils!$D$5:$D$34,$AE440)&amp;" en "&amp;$E440</f>
        <v>Amulette en cuivre</v>
      </c>
      <c r="H440" s="16" t="n">
        <f aca="false" t="array" ref="H440:H440">INDEX(Matériaux!$B$16:$B$20,$D440)</f>
        <v>1</v>
      </c>
      <c r="I440" s="16" t="n">
        <f aca="false">IF(ISNUMBER($C$3),MIN(MAX(0,ROUND($C$3,0)),$AI440),$AI440)</f>
        <v>0</v>
      </c>
      <c r="J440" s="18" t="n">
        <f aca="false">$H440+$I440</f>
        <v>1</v>
      </c>
      <c r="K440" s="15" t="s">
        <v>109</v>
      </c>
      <c r="L440" s="19" t="n">
        <f aca="false" t="array" ref="L440:L440">IF(AND(INDEX(Profils!$F$5:$F$34,$AE440)&gt;0,INDEX(Profils!$U$5:$U$34,$AE440)&lt;=$AH440),ROUND(INDEX(Profils!$F$5:$F$34,$AE440)*Paramètres!$E$22*$AG440*$AJ440,Paramètres!$F$22),0)</f>
        <v>2</v>
      </c>
      <c r="M440" s="19" t="n">
        <f aca="false" t="array" ref="M440:M440">IF(AND(INDEX(Profils!$G$5:$G$34,$AE440)&gt;0,INDEX(Profils!$V$5:$V$34,$AE440)&lt;=$AH440),ROUND(INDEX(Profils!$G$5:$G$34,$AE440)*Paramètres!$E$23*$AG440*$AJ440,Paramètres!$F$23),0)</f>
        <v>0</v>
      </c>
      <c r="N440" s="19" t="n">
        <f aca="false" t="array" ref="N440:N440">IF(AND(INDEX(Profils!$H$5:$H$34,$AE440)&gt;0,INDEX(Profils!$W$5:$W$34,$AE440)&lt;=$AH440),ROUND(INDEX(Profils!$H$5:$H$34,$AE440)*Paramètres!$E$24*$AG440*$AJ440,Paramètres!$F$24),0)</f>
        <v>0</v>
      </c>
      <c r="O440" s="19" t="n">
        <f aca="false" t="array" ref="O440:O440">IF(AND(INDEX(Profils!$I$5:$I$34,$AE440)&gt;0,INDEX(Profils!$X$5:$X$34,$AE440)&lt;=$AH440),ROUND(INDEX(Profils!$I$5:$I$34,$AE440)*Paramètres!$E$25*$AG440*$AJ440,Paramètres!$F$25),0)</f>
        <v>1</v>
      </c>
      <c r="P440" s="19" t="n">
        <f aca="false" t="array" ref="P440:P440">IF(AND(INDEX(Profils!$J$5:$J$34,$AE440)&gt;0,INDEX(Profils!$Y$5:$Y$34,$AE440)&lt;=$AH440),ROUND(INDEX(Profils!$J$5:$J$34,$AE440)*Paramètres!$E$26*$AG440*$AJ440,Paramètres!$F$26),0)</f>
        <v>0</v>
      </c>
      <c r="Q440" s="19" t="n">
        <f aca="false" t="array" ref="Q440:Q440">IF(AND(INDEX(Profils!$K$5:$K$34,$AE440)&gt;0,INDEX(Profils!$Z$5:$Z$34,$AE440)&lt;=$AH440),ROUND(INDEX(Profils!$K$5:$K$34,$AE440)*Paramètres!$E$27*$AG440*$AJ440,Paramètres!$F$27),0)</f>
        <v>0</v>
      </c>
      <c r="R440" s="20" t="n">
        <f aca="false" t="array" ref="R440:R440">IF(AND(INDEX(Profils!$L$5:$L$34,$AE440)&gt;0,INDEX(Profils!$AA$5:$AA$34,$AE440)&lt;=$AH440),ROUND(INDEX(Profils!$L$5:$L$34,$AE440)*Paramètres!$E$28*$AG440*$AJ440,Paramètres!$F$28),0)</f>
        <v>0</v>
      </c>
      <c r="S440" s="20" t="n">
        <f aca="false" t="array" ref="S440:S440">IF(AND(INDEX(Profils!$M$5:$M$34,$AE440)&gt;0,INDEX(Profils!$AB$5:$AB$34,$AE440)&lt;=$AH440),ROUND(INDEX(Profils!$M$5:$M$34,$AE440)*Paramètres!$E$29*$AG440*$AJ440,Paramètres!$F$29),0)</f>
        <v>0</v>
      </c>
      <c r="T440" s="20" t="n">
        <f aca="false" t="array" ref="T440:T440">IF(AND(INDEX(Profils!$N$5:$N$34,$AE440)&gt;0,INDEX(Profils!$AC$5:$AC$34,$AE440)&lt;=$AH440),ROUND(INDEX(Profils!$N$5:$N$34,$AE440)*Paramètres!$E$30*$AG440*$AJ440,Paramètres!$F$30),0)</f>
        <v>0</v>
      </c>
      <c r="U440" s="19" t="n">
        <f aca="false" t="array" ref="U440:U440">IF(AND(INDEX(Profils!$O$5:$O$34,$AE440)&gt;0,INDEX(Profils!$AD$5:$AD$34,$AE440)&lt;=$AH440),ROUND(INDEX(Profils!$O$5:$O$34,$AE440)*Paramètres!$E$31*$AG440*$AJ440,Paramètres!$F$31),0)</f>
        <v>0</v>
      </c>
      <c r="V440" s="20" t="n">
        <f aca="false" t="array" ref="V440:V440">IF(AND(INDEX(Profils!$P$5:$P$34,$AE440)&gt;0,INDEX(Profils!$AE$5:$AE$34,$AE440)&lt;=$AH440),ROUND(INDEX(Profils!$P$5:$P$34,$AE440)*Paramètres!$E$32*$AG440*$AJ440,Paramètres!$F$32),0)</f>
        <v>0</v>
      </c>
      <c r="W440" s="20" t="n">
        <f aca="false" t="array" ref="W440:W440">IF(AND(INDEX(Profils!$Q$5:$Q$34,$AE440)&gt;0,INDEX(Profils!$AF$5:$AF$34,$AE440)&lt;=$AH440),ROUND(INDEX(Profils!$Q$5:$Q$34,$AE440)*Paramètres!$E$33*$AG440*$AJ440,Paramètres!$F$33),0)</f>
        <v>0</v>
      </c>
      <c r="X440" s="20" t="n">
        <f aca="false" t="array" ref="X440:X440">IF(AND(INDEX(Profils!$R$5:$R$34,$AE440)&gt;0,INDEX(Profils!$AG$5:$AG$34,$AE440)&lt;=$AH440),ROUND(INDEX(Profils!$R$5:$R$34,$AE440)*Paramètres!$E$34*$AG440*$AJ440,Paramètres!$F$34),0)</f>
        <v>0</v>
      </c>
      <c r="Y440" s="20" t="n">
        <f aca="false" t="array" ref="Y440:Y440">IF(AND(INDEX(Profils!$S$5:$S$34,$AE440)&gt;0,INDEX(Profils!$AH$5:$AH$34,$AE440)&lt;=$AH440),ROUND(INDEX(Profils!$S$5:$S$34,$AE440)*Paramètres!$E$35*$AG440*$AJ440,Paramètres!$F$35),0)</f>
        <v>0</v>
      </c>
      <c r="Z440" s="21" t="n">
        <f aca="false">ROUND(L440/Paramètres!$E$22+M440/Paramètres!$E$23+N440/Paramètres!$E$24+O440/Paramètres!$E$25+P440/Paramètres!$E$26+Q440/Paramètres!$E$27+R440/Paramètres!$E$28+S440/Paramètres!$E$29+T440/Paramètres!$E$30+U440/Paramètres!$E$31+V440/Paramètres!$E$32+W440/Paramètres!$E$33+X440/Paramètres!$E$34+Y440/Paramètres!$E$35,1)</f>
        <v>0.1</v>
      </c>
      <c r="AA440" s="22" t="s">
        <v>109</v>
      </c>
      <c r="AB440" s="22" t="s">
        <v>109</v>
      </c>
      <c r="AC440" s="15" t="str">
        <f aca="false">$E440</f>
        <v>cuivre</v>
      </c>
      <c r="AD440" s="16" t="n">
        <f aca="false" t="array" ref="AD440:AD440">IF($I440&gt;=$AI440,"Max",ROUND(Paramètres!$B$40*($I440+1)^Paramètres!$B$41*INDEX(Paramètres!$H$6:$H$12,$AF440),0))</f>
        <v>3</v>
      </c>
      <c r="AE440" s="23" t="n">
        <f aca="false">MATCH($B440&amp;"|"&amp;$C440,Profils!$A$5:$A$34,0)</f>
        <v>15</v>
      </c>
      <c r="AF440" s="23" t="n">
        <v>1</v>
      </c>
      <c r="AG440" s="24" t="n">
        <f aca="false" t="array" ref="AG440:AG440">INDEX(Paramètres!$C$6:$C$12,$AF440)</f>
        <v>1</v>
      </c>
      <c r="AH440" s="23" t="n">
        <f aca="false" t="array" ref="AH440:AH440">INDEX(Paramètres!$D$6:$D$12,$AF440)</f>
        <v>2</v>
      </c>
      <c r="AI440" s="23" t="n">
        <f aca="false" t="array" ref="AI440:AI440">INDEX(Matériaux!$C$16:$C$20,$D440)</f>
        <v>19</v>
      </c>
      <c r="AJ440" s="25" t="n">
        <f aca="false">Paramètres!$B$16+(1-Paramètres!$B$16)*(($J440-Paramètres!$B$14)/(Paramètres!$B$15-Paramètres!$B$14))^Paramètres!$B$17</f>
        <v>0.05</v>
      </c>
    </row>
    <row r="441" customFormat="false" ht="15.75" hidden="false" customHeight="true" outlineLevel="0" collapsed="false">
      <c r="A441" s="14" t="s">
        <v>557</v>
      </c>
      <c r="B441" s="15" t="s">
        <v>29</v>
      </c>
      <c r="C441" s="15" t="s">
        <v>241</v>
      </c>
      <c r="D441" s="16" t="n">
        <v>1</v>
      </c>
      <c r="E441" s="15" t="str">
        <f aca="false" t="array" ref="E441:E441">INDEX(Matériaux!$B$5:$F$12,MATCH(INDEX(Profils!$E$5:$E$34,$AE441),Matériaux!$A$5:$A$12,0),$D441)</f>
        <v>cuivre</v>
      </c>
      <c r="F441" s="26" t="s">
        <v>111</v>
      </c>
      <c r="G441" s="10" t="str">
        <f aca="false" t="array" ref="G441:G441">INDEX(Profils!$D$5:$D$34,$AE441)&amp;" en "&amp;$E441</f>
        <v>Amulette en cuivre</v>
      </c>
      <c r="H441" s="16" t="n">
        <f aca="false" t="array" ref="H441:H441">INDEX(Matériaux!$B$16:$B$20,$D441)</f>
        <v>1</v>
      </c>
      <c r="I441" s="16" t="n">
        <f aca="false">IF(ISNUMBER($C$3),MIN(MAX(0,ROUND($C$3,0)),$AI441),$AI441)</f>
        <v>0</v>
      </c>
      <c r="J441" s="18" t="n">
        <f aca="false">$H441+$I441</f>
        <v>1</v>
      </c>
      <c r="K441" s="15" t="s">
        <v>109</v>
      </c>
      <c r="L441" s="19" t="n">
        <f aca="false" t="array" ref="L441:L441">IF(AND(INDEX(Profils!$F$5:$F$34,$AE441)&gt;0,INDEX(Profils!$U$5:$U$34,$AE441)&lt;=$AH441),ROUND(INDEX(Profils!$F$5:$F$34,$AE441)*Paramètres!$E$22*$AG441*$AJ441,Paramètres!$F$22),0)</f>
        <v>2</v>
      </c>
      <c r="M441" s="19" t="n">
        <f aca="false" t="array" ref="M441:M441">IF(AND(INDEX(Profils!$G$5:$G$34,$AE441)&gt;0,INDEX(Profils!$V$5:$V$34,$AE441)&lt;=$AH441),ROUND(INDEX(Profils!$G$5:$G$34,$AE441)*Paramètres!$E$23*$AG441*$AJ441,Paramètres!$F$23),0)</f>
        <v>0</v>
      </c>
      <c r="N441" s="19" t="n">
        <f aca="false" t="array" ref="N441:N441">IF(AND(INDEX(Profils!$H$5:$H$34,$AE441)&gt;0,INDEX(Profils!$W$5:$W$34,$AE441)&lt;=$AH441),ROUND(INDEX(Profils!$H$5:$H$34,$AE441)*Paramètres!$E$24*$AG441*$AJ441,Paramètres!$F$24),0)</f>
        <v>0</v>
      </c>
      <c r="O441" s="19" t="n">
        <f aca="false" t="array" ref="O441:O441">IF(AND(INDEX(Profils!$I$5:$I$34,$AE441)&gt;0,INDEX(Profils!$X$5:$X$34,$AE441)&lt;=$AH441),ROUND(INDEX(Profils!$I$5:$I$34,$AE441)*Paramètres!$E$25*$AG441*$AJ441,Paramètres!$F$25),0)</f>
        <v>1</v>
      </c>
      <c r="P441" s="19" t="n">
        <f aca="false" t="array" ref="P441:P441">IF(AND(INDEX(Profils!$J$5:$J$34,$AE441)&gt;0,INDEX(Profils!$Y$5:$Y$34,$AE441)&lt;=$AH441),ROUND(INDEX(Profils!$J$5:$J$34,$AE441)*Paramètres!$E$26*$AG441*$AJ441,Paramètres!$F$26),0)</f>
        <v>0</v>
      </c>
      <c r="Q441" s="19" t="n">
        <f aca="false" t="array" ref="Q441:Q441">IF(AND(INDEX(Profils!$K$5:$K$34,$AE441)&gt;0,INDEX(Profils!$Z$5:$Z$34,$AE441)&lt;=$AH441),ROUND(INDEX(Profils!$K$5:$K$34,$AE441)*Paramètres!$E$27*$AG441*$AJ441,Paramètres!$F$27),0)</f>
        <v>0</v>
      </c>
      <c r="R441" s="20" t="n">
        <f aca="false" t="array" ref="R441:R441">IF(AND(INDEX(Profils!$L$5:$L$34,$AE441)&gt;0,INDEX(Profils!$AA$5:$AA$34,$AE441)&lt;=$AH441),ROUND(INDEX(Profils!$L$5:$L$34,$AE441)*Paramètres!$E$28*$AG441*$AJ441,Paramètres!$F$28),0)</f>
        <v>0</v>
      </c>
      <c r="S441" s="20" t="n">
        <f aca="false" t="array" ref="S441:S441">IF(AND(INDEX(Profils!$M$5:$M$34,$AE441)&gt;0,INDEX(Profils!$AB$5:$AB$34,$AE441)&lt;=$AH441),ROUND(INDEX(Profils!$M$5:$M$34,$AE441)*Paramètres!$E$29*$AG441*$AJ441,Paramètres!$F$29),0)</f>
        <v>0</v>
      </c>
      <c r="T441" s="20" t="n">
        <f aca="false" t="array" ref="T441:T441">IF(AND(INDEX(Profils!$N$5:$N$34,$AE441)&gt;0,INDEX(Profils!$AC$5:$AC$34,$AE441)&lt;=$AH441),ROUND(INDEX(Profils!$N$5:$N$34,$AE441)*Paramètres!$E$30*$AG441*$AJ441,Paramètres!$F$30),0)</f>
        <v>0</v>
      </c>
      <c r="U441" s="19" t="n">
        <f aca="false" t="array" ref="U441:U441">IF(AND(INDEX(Profils!$O$5:$O$34,$AE441)&gt;0,INDEX(Profils!$AD$5:$AD$34,$AE441)&lt;=$AH441),ROUND(INDEX(Profils!$O$5:$O$34,$AE441)*Paramètres!$E$31*$AG441*$AJ441,Paramètres!$F$31),0)</f>
        <v>0</v>
      </c>
      <c r="V441" s="20" t="n">
        <f aca="false" t="array" ref="V441:V441">IF(AND(INDEX(Profils!$P$5:$P$34,$AE441)&gt;0,INDEX(Profils!$AE$5:$AE$34,$AE441)&lt;=$AH441),ROUND(INDEX(Profils!$P$5:$P$34,$AE441)*Paramètres!$E$32*$AG441*$AJ441,Paramètres!$F$32),0)</f>
        <v>0</v>
      </c>
      <c r="W441" s="20" t="n">
        <f aca="false" t="array" ref="W441:W441">IF(AND(INDEX(Profils!$Q$5:$Q$34,$AE441)&gt;0,INDEX(Profils!$AF$5:$AF$34,$AE441)&lt;=$AH441),ROUND(INDEX(Profils!$Q$5:$Q$34,$AE441)*Paramètres!$E$33*$AG441*$AJ441,Paramètres!$F$33),0)</f>
        <v>0.001</v>
      </c>
      <c r="X441" s="20" t="n">
        <f aca="false" t="array" ref="X441:X441">IF(AND(INDEX(Profils!$R$5:$R$34,$AE441)&gt;0,INDEX(Profils!$AG$5:$AG$34,$AE441)&lt;=$AH441),ROUND(INDEX(Profils!$R$5:$R$34,$AE441)*Paramètres!$E$34*$AG441*$AJ441,Paramètres!$F$34),0)</f>
        <v>0</v>
      </c>
      <c r="Y441" s="20" t="n">
        <f aca="false" t="array" ref="Y441:Y441">IF(AND(INDEX(Profils!$S$5:$S$34,$AE441)&gt;0,INDEX(Profils!$AH$5:$AH$34,$AE441)&lt;=$AH441),ROUND(INDEX(Profils!$S$5:$S$34,$AE441)*Paramètres!$E$35*$AG441*$AJ441,Paramètres!$F$35),0)</f>
        <v>0</v>
      </c>
      <c r="Z441" s="21" t="n">
        <f aca="false">ROUND(L441/Paramètres!$E$22+M441/Paramètres!$E$23+N441/Paramètres!$E$24+O441/Paramètres!$E$25+P441/Paramètres!$E$26+Q441/Paramètres!$E$27+R441/Paramètres!$E$28+S441/Paramètres!$E$29+T441/Paramètres!$E$30+U441/Paramètres!$E$31+V441/Paramètres!$E$32+W441/Paramètres!$E$33+X441/Paramètres!$E$34+Y441/Paramètres!$E$35,1)</f>
        <v>0.2</v>
      </c>
      <c r="AA441" s="22" t="s">
        <v>109</v>
      </c>
      <c r="AB441" s="22" t="s">
        <v>109</v>
      </c>
      <c r="AC441" s="15" t="str">
        <f aca="false">$E441</f>
        <v>cuivre</v>
      </c>
      <c r="AD441" s="16" t="n">
        <f aca="false" t="array" ref="AD441:AD441">IF($I441&gt;=$AI441,"Max",ROUND(Paramètres!$B$40*($I441+1)^Paramètres!$B$41*INDEX(Paramètres!$H$6:$H$12,$AF441),0))</f>
        <v>4</v>
      </c>
      <c r="AE441" s="23" t="n">
        <f aca="false">MATCH($B441&amp;"|"&amp;$C441,Profils!$A$5:$A$34,0)</f>
        <v>15</v>
      </c>
      <c r="AF441" s="23" t="n">
        <v>2</v>
      </c>
      <c r="AG441" s="24" t="n">
        <f aca="false" t="array" ref="AG441:AG441">INDEX(Paramètres!$C$6:$C$12,$AF441)</f>
        <v>1.2</v>
      </c>
      <c r="AH441" s="23" t="n">
        <f aca="false" t="array" ref="AH441:AH441">INDEX(Paramètres!$D$6:$D$12,$AF441)</f>
        <v>3</v>
      </c>
      <c r="AI441" s="23" t="n">
        <f aca="false" t="array" ref="AI441:AI441">INDEX(Matériaux!$C$16:$C$20,$D441)</f>
        <v>19</v>
      </c>
      <c r="AJ441" s="25" t="n">
        <f aca="false">Paramètres!$B$16+(1-Paramètres!$B$16)*(($J441-Paramètres!$B$14)/(Paramètres!$B$15-Paramètres!$B$14))^Paramètres!$B$17</f>
        <v>0.05</v>
      </c>
    </row>
    <row r="442" customFormat="false" ht="15.75" hidden="false" customHeight="true" outlineLevel="0" collapsed="false">
      <c r="A442" s="14" t="s">
        <v>558</v>
      </c>
      <c r="B442" s="15" t="s">
        <v>29</v>
      </c>
      <c r="C442" s="15" t="s">
        <v>241</v>
      </c>
      <c r="D442" s="16" t="n">
        <v>1</v>
      </c>
      <c r="E442" s="15" t="str">
        <f aca="false" t="array" ref="E442:E442">INDEX(Matériaux!$B$5:$F$12,MATCH(INDEX(Profils!$E$5:$E$34,$AE442),Matériaux!$A$5:$A$12,0),$D442)</f>
        <v>cuivre</v>
      </c>
      <c r="F442" s="27" t="s">
        <v>113</v>
      </c>
      <c r="G442" s="10" t="str">
        <f aca="false" t="array" ref="G442:G442">INDEX(Profils!$D$5:$D$34,$AE442)&amp;" en "&amp;$E442</f>
        <v>Amulette en cuivre</v>
      </c>
      <c r="H442" s="16" t="n">
        <f aca="false" t="array" ref="H442:H442">INDEX(Matériaux!$B$16:$B$20,$D442)</f>
        <v>1</v>
      </c>
      <c r="I442" s="16" t="n">
        <f aca="false">IF(ISNUMBER($C$3),MIN(MAX(0,ROUND($C$3,0)),$AI442),$AI442)</f>
        <v>0</v>
      </c>
      <c r="J442" s="18" t="n">
        <f aca="false">$H442+$I442</f>
        <v>1</v>
      </c>
      <c r="K442" s="15" t="s">
        <v>109</v>
      </c>
      <c r="L442" s="19" t="n">
        <f aca="false" t="array" ref="L442:L442">IF(AND(INDEX(Profils!$F$5:$F$34,$AE442)&gt;0,INDEX(Profils!$U$5:$U$34,$AE442)&lt;=$AH442),ROUND(INDEX(Profils!$F$5:$F$34,$AE442)*Paramètres!$E$22*$AG442*$AJ442,Paramètres!$F$22),0)</f>
        <v>2</v>
      </c>
      <c r="M442" s="19" t="n">
        <f aca="false" t="array" ref="M442:M442">IF(AND(INDEX(Profils!$G$5:$G$34,$AE442)&gt;0,INDEX(Profils!$V$5:$V$34,$AE442)&lt;=$AH442),ROUND(INDEX(Profils!$G$5:$G$34,$AE442)*Paramètres!$E$23*$AG442*$AJ442,Paramètres!$F$23),0)</f>
        <v>0</v>
      </c>
      <c r="N442" s="19" t="n">
        <f aca="false" t="array" ref="N442:N442">IF(AND(INDEX(Profils!$H$5:$H$34,$AE442)&gt;0,INDEX(Profils!$W$5:$W$34,$AE442)&lt;=$AH442),ROUND(INDEX(Profils!$H$5:$H$34,$AE442)*Paramètres!$E$24*$AG442*$AJ442,Paramètres!$F$24),0)</f>
        <v>0</v>
      </c>
      <c r="O442" s="19" t="n">
        <f aca="false" t="array" ref="O442:O442">IF(AND(INDEX(Profils!$I$5:$I$34,$AE442)&gt;0,INDEX(Profils!$X$5:$X$34,$AE442)&lt;=$AH442),ROUND(INDEX(Profils!$I$5:$I$34,$AE442)*Paramètres!$E$25*$AG442*$AJ442,Paramètres!$F$25),0)</f>
        <v>1</v>
      </c>
      <c r="P442" s="19" t="n">
        <f aca="false" t="array" ref="P442:P442">IF(AND(INDEX(Profils!$J$5:$J$34,$AE442)&gt;0,INDEX(Profils!$Y$5:$Y$34,$AE442)&lt;=$AH442),ROUND(INDEX(Profils!$J$5:$J$34,$AE442)*Paramètres!$E$26*$AG442*$AJ442,Paramètres!$F$26),0)</f>
        <v>0</v>
      </c>
      <c r="Q442" s="19" t="n">
        <f aca="false" t="array" ref="Q442:Q442">IF(AND(INDEX(Profils!$K$5:$K$34,$AE442)&gt;0,INDEX(Profils!$Z$5:$Z$34,$AE442)&lt;=$AH442),ROUND(INDEX(Profils!$K$5:$K$34,$AE442)*Paramètres!$E$27*$AG442*$AJ442,Paramètres!$F$27),0)</f>
        <v>0</v>
      </c>
      <c r="R442" s="20" t="n">
        <f aca="false" t="array" ref="R442:R442">IF(AND(INDEX(Profils!$L$5:$L$34,$AE442)&gt;0,INDEX(Profils!$AA$5:$AA$34,$AE442)&lt;=$AH442),ROUND(INDEX(Profils!$L$5:$L$34,$AE442)*Paramètres!$E$28*$AG442*$AJ442,Paramètres!$F$28),0)</f>
        <v>0</v>
      </c>
      <c r="S442" s="20" t="n">
        <f aca="false" t="array" ref="S442:S442">IF(AND(INDEX(Profils!$M$5:$M$34,$AE442)&gt;0,INDEX(Profils!$AB$5:$AB$34,$AE442)&lt;=$AH442),ROUND(INDEX(Profils!$M$5:$M$34,$AE442)*Paramètres!$E$29*$AG442*$AJ442,Paramètres!$F$29),0)</f>
        <v>0</v>
      </c>
      <c r="T442" s="20" t="n">
        <f aca="false" t="array" ref="T442:T442">IF(AND(INDEX(Profils!$N$5:$N$34,$AE442)&gt;0,INDEX(Profils!$AC$5:$AC$34,$AE442)&lt;=$AH442),ROUND(INDEX(Profils!$N$5:$N$34,$AE442)*Paramètres!$E$30*$AG442*$AJ442,Paramètres!$F$30),0)</f>
        <v>0</v>
      </c>
      <c r="U442" s="19" t="n">
        <f aca="false" t="array" ref="U442:U442">IF(AND(INDEX(Profils!$O$5:$O$34,$AE442)&gt;0,INDEX(Profils!$AD$5:$AD$34,$AE442)&lt;=$AH442),ROUND(INDEX(Profils!$O$5:$O$34,$AE442)*Paramètres!$E$31*$AG442*$AJ442,Paramètres!$F$31),0)</f>
        <v>0</v>
      </c>
      <c r="V442" s="20" t="n">
        <f aca="false" t="array" ref="V442:V442">IF(AND(INDEX(Profils!$P$5:$P$34,$AE442)&gt;0,INDEX(Profils!$AE$5:$AE$34,$AE442)&lt;=$AH442),ROUND(INDEX(Profils!$P$5:$P$34,$AE442)*Paramètres!$E$32*$AG442*$AJ442,Paramètres!$F$32),0)</f>
        <v>0</v>
      </c>
      <c r="W442" s="20" t="n">
        <f aca="false" t="array" ref="W442:W442">IF(AND(INDEX(Profils!$Q$5:$Q$34,$AE442)&gt;0,INDEX(Profils!$AF$5:$AF$34,$AE442)&lt;=$AH442),ROUND(INDEX(Profils!$Q$5:$Q$34,$AE442)*Paramètres!$E$33*$AG442*$AJ442,Paramètres!$F$33),0)</f>
        <v>0.001</v>
      </c>
      <c r="X442" s="20" t="n">
        <f aca="false" t="array" ref="X442:X442">IF(AND(INDEX(Profils!$R$5:$R$34,$AE442)&gt;0,INDEX(Profils!$AG$5:$AG$34,$AE442)&lt;=$AH442),ROUND(INDEX(Profils!$R$5:$R$34,$AE442)*Paramètres!$E$34*$AG442*$AJ442,Paramètres!$F$34),0)</f>
        <v>0.001</v>
      </c>
      <c r="Y442" s="20" t="n">
        <f aca="false" t="array" ref="Y442:Y442">IF(AND(INDEX(Profils!$S$5:$S$34,$AE442)&gt;0,INDEX(Profils!$AH$5:$AH$34,$AE442)&lt;=$AH442),ROUND(INDEX(Profils!$S$5:$S$34,$AE442)*Paramètres!$E$35*$AG442*$AJ442,Paramètres!$F$35),0)</f>
        <v>0</v>
      </c>
      <c r="Z442" s="21" t="n">
        <f aca="false">ROUND(L442/Paramètres!$E$22+M442/Paramètres!$E$23+N442/Paramètres!$E$24+O442/Paramètres!$E$25+P442/Paramètres!$E$26+Q442/Paramètres!$E$27+R442/Paramètres!$E$28+S442/Paramètres!$E$29+T442/Paramètres!$E$30+U442/Paramètres!$E$31+V442/Paramètres!$E$32+W442/Paramètres!$E$33+X442/Paramètres!$E$34+Y442/Paramètres!$E$35,1)</f>
        <v>0.3</v>
      </c>
      <c r="AA442" s="22" t="s">
        <v>109</v>
      </c>
      <c r="AB442" s="22" t="s">
        <v>109</v>
      </c>
      <c r="AC442" s="15" t="str">
        <f aca="false">$E442</f>
        <v>cuivre</v>
      </c>
      <c r="AD442" s="16" t="n">
        <f aca="false" t="array" ref="AD442:AD442">IF($I442&gt;=$AI442,"Max",ROUND(Paramètres!$B$40*($I442+1)^Paramètres!$B$41*INDEX(Paramètres!$H$6:$H$12,$AF442),0))</f>
        <v>4</v>
      </c>
      <c r="AE442" s="23" t="n">
        <f aca="false">MATCH($B442&amp;"|"&amp;$C442,Profils!$A$5:$A$34,0)</f>
        <v>15</v>
      </c>
      <c r="AF442" s="23" t="n">
        <v>3</v>
      </c>
      <c r="AG442" s="24" t="n">
        <f aca="false" t="array" ref="AG442:AG442">INDEX(Paramètres!$C$6:$C$12,$AF442)</f>
        <v>1.45</v>
      </c>
      <c r="AH442" s="23" t="n">
        <f aca="false" t="array" ref="AH442:AH442">INDEX(Paramètres!$D$6:$D$12,$AF442)</f>
        <v>4</v>
      </c>
      <c r="AI442" s="23" t="n">
        <f aca="false" t="array" ref="AI442:AI442">INDEX(Matériaux!$C$16:$C$20,$D442)</f>
        <v>19</v>
      </c>
      <c r="AJ442" s="25" t="n">
        <f aca="false">Paramètres!$B$16+(1-Paramètres!$B$16)*(($J442-Paramètres!$B$14)/(Paramètres!$B$15-Paramètres!$B$14))^Paramètres!$B$17</f>
        <v>0.05</v>
      </c>
    </row>
    <row r="443" customFormat="false" ht="15.75" hidden="false" customHeight="true" outlineLevel="0" collapsed="false">
      <c r="A443" s="14" t="s">
        <v>559</v>
      </c>
      <c r="B443" s="15" t="s">
        <v>29</v>
      </c>
      <c r="C443" s="15" t="s">
        <v>241</v>
      </c>
      <c r="D443" s="16" t="n">
        <v>1</v>
      </c>
      <c r="E443" s="15" t="str">
        <f aca="false" t="array" ref="E443:E443">INDEX(Matériaux!$B$5:$F$12,MATCH(INDEX(Profils!$E$5:$E$34,$AE443),Matériaux!$A$5:$A$12,0),$D443)</f>
        <v>cuivre</v>
      </c>
      <c r="F443" s="28" t="s">
        <v>115</v>
      </c>
      <c r="G443" s="10" t="str">
        <f aca="false" t="array" ref="G443:G443">INDEX(Profils!$D$5:$D$34,$AE443)&amp;" en "&amp;$E443</f>
        <v>Amulette en cuivre</v>
      </c>
      <c r="H443" s="16" t="n">
        <f aca="false" t="array" ref="H443:H443">INDEX(Matériaux!$B$16:$B$20,$D443)</f>
        <v>1</v>
      </c>
      <c r="I443" s="16" t="n">
        <f aca="false">IF(ISNUMBER($C$3),MIN(MAX(0,ROUND($C$3,0)),$AI443),$AI443)</f>
        <v>0</v>
      </c>
      <c r="J443" s="18" t="n">
        <f aca="false">$H443+$I443</f>
        <v>1</v>
      </c>
      <c r="K443" s="15" t="s">
        <v>109</v>
      </c>
      <c r="L443" s="19" t="n">
        <f aca="false" t="array" ref="L443:L443">IF(AND(INDEX(Profils!$F$5:$F$34,$AE443)&gt;0,INDEX(Profils!$U$5:$U$34,$AE443)&lt;=$AH443),ROUND(INDEX(Profils!$F$5:$F$34,$AE443)*Paramètres!$E$22*$AG443*$AJ443,Paramètres!$F$22),0)</f>
        <v>3</v>
      </c>
      <c r="M443" s="19" t="n">
        <f aca="false" t="array" ref="M443:M443">IF(AND(INDEX(Profils!$G$5:$G$34,$AE443)&gt;0,INDEX(Profils!$V$5:$V$34,$AE443)&lt;=$AH443),ROUND(INDEX(Profils!$G$5:$G$34,$AE443)*Paramètres!$E$23*$AG443*$AJ443,Paramètres!$F$23),0)</f>
        <v>0</v>
      </c>
      <c r="N443" s="19" t="n">
        <f aca="false" t="array" ref="N443:N443">IF(AND(INDEX(Profils!$H$5:$H$34,$AE443)&gt;0,INDEX(Profils!$W$5:$W$34,$AE443)&lt;=$AH443),ROUND(INDEX(Profils!$H$5:$H$34,$AE443)*Paramètres!$E$24*$AG443*$AJ443,Paramètres!$F$24),0)</f>
        <v>0</v>
      </c>
      <c r="O443" s="19" t="n">
        <f aca="false" t="array" ref="O443:O443">IF(AND(INDEX(Profils!$I$5:$I$34,$AE443)&gt;0,INDEX(Profils!$X$5:$X$34,$AE443)&lt;=$AH443),ROUND(INDEX(Profils!$I$5:$I$34,$AE443)*Paramètres!$E$25*$AG443*$AJ443,Paramètres!$F$25),0)</f>
        <v>1</v>
      </c>
      <c r="P443" s="19" t="n">
        <f aca="false" t="array" ref="P443:P443">IF(AND(INDEX(Profils!$J$5:$J$34,$AE443)&gt;0,INDEX(Profils!$Y$5:$Y$34,$AE443)&lt;=$AH443),ROUND(INDEX(Profils!$J$5:$J$34,$AE443)*Paramètres!$E$26*$AG443*$AJ443,Paramètres!$F$26),0)</f>
        <v>0</v>
      </c>
      <c r="Q443" s="19" t="n">
        <f aca="false" t="array" ref="Q443:Q443">IF(AND(INDEX(Profils!$K$5:$K$34,$AE443)&gt;0,INDEX(Profils!$Z$5:$Z$34,$AE443)&lt;=$AH443),ROUND(INDEX(Profils!$K$5:$K$34,$AE443)*Paramètres!$E$27*$AG443*$AJ443,Paramètres!$F$27),0)</f>
        <v>0</v>
      </c>
      <c r="R443" s="20" t="n">
        <f aca="false" t="array" ref="R443:R443">IF(AND(INDEX(Profils!$L$5:$L$34,$AE443)&gt;0,INDEX(Profils!$AA$5:$AA$34,$AE443)&lt;=$AH443),ROUND(INDEX(Profils!$L$5:$L$34,$AE443)*Paramètres!$E$28*$AG443*$AJ443,Paramètres!$F$28),0)</f>
        <v>0</v>
      </c>
      <c r="S443" s="20" t="n">
        <f aca="false" t="array" ref="S443:S443">IF(AND(INDEX(Profils!$M$5:$M$34,$AE443)&gt;0,INDEX(Profils!$AB$5:$AB$34,$AE443)&lt;=$AH443),ROUND(INDEX(Profils!$M$5:$M$34,$AE443)*Paramètres!$E$29*$AG443*$AJ443,Paramètres!$F$29),0)</f>
        <v>0</v>
      </c>
      <c r="T443" s="20" t="n">
        <f aca="false" t="array" ref="T443:T443">IF(AND(INDEX(Profils!$N$5:$N$34,$AE443)&gt;0,INDEX(Profils!$AC$5:$AC$34,$AE443)&lt;=$AH443),ROUND(INDEX(Profils!$N$5:$N$34,$AE443)*Paramètres!$E$30*$AG443*$AJ443,Paramètres!$F$30),0)</f>
        <v>0</v>
      </c>
      <c r="U443" s="19" t="n">
        <f aca="false" t="array" ref="U443:U443">IF(AND(INDEX(Profils!$O$5:$O$34,$AE443)&gt;0,INDEX(Profils!$AD$5:$AD$34,$AE443)&lt;=$AH443),ROUND(INDEX(Profils!$O$5:$O$34,$AE443)*Paramètres!$E$31*$AG443*$AJ443,Paramètres!$F$31),0)</f>
        <v>0</v>
      </c>
      <c r="V443" s="20" t="n">
        <f aca="false" t="array" ref="V443:V443">IF(AND(INDEX(Profils!$P$5:$P$34,$AE443)&gt;0,INDEX(Profils!$AE$5:$AE$34,$AE443)&lt;=$AH443),ROUND(INDEX(Profils!$P$5:$P$34,$AE443)*Paramètres!$E$32*$AG443*$AJ443,Paramètres!$F$32),0)</f>
        <v>0</v>
      </c>
      <c r="W443" s="20" t="n">
        <f aca="false" t="array" ref="W443:W443">IF(AND(INDEX(Profils!$Q$5:$Q$34,$AE443)&gt;0,INDEX(Profils!$AF$5:$AF$34,$AE443)&lt;=$AH443),ROUND(INDEX(Profils!$Q$5:$Q$34,$AE443)*Paramètres!$E$33*$AG443*$AJ443,Paramètres!$F$33),0)</f>
        <v>0.001</v>
      </c>
      <c r="X443" s="20" t="n">
        <f aca="false" t="array" ref="X443:X443">IF(AND(INDEX(Profils!$R$5:$R$34,$AE443)&gt;0,INDEX(Profils!$AG$5:$AG$34,$AE443)&lt;=$AH443),ROUND(INDEX(Profils!$R$5:$R$34,$AE443)*Paramètres!$E$34*$AG443*$AJ443,Paramètres!$F$34),0)</f>
        <v>0.002</v>
      </c>
      <c r="Y443" s="20" t="n">
        <f aca="false" t="array" ref="Y443:Y443">IF(AND(INDEX(Profils!$S$5:$S$34,$AE443)&gt;0,INDEX(Profils!$AH$5:$AH$34,$AE443)&lt;=$AH443),ROUND(INDEX(Profils!$S$5:$S$34,$AE443)*Paramètres!$E$35*$AG443*$AJ443,Paramètres!$F$35),0)</f>
        <v>0.001</v>
      </c>
      <c r="Z443" s="21" t="n">
        <f aca="false">ROUND(L443/Paramètres!$E$22+M443/Paramètres!$E$23+N443/Paramètres!$E$24+O443/Paramètres!$E$25+P443/Paramètres!$E$26+Q443/Paramètres!$E$27+R443/Paramètres!$E$28+S443/Paramètres!$E$29+T443/Paramètres!$E$30+U443/Paramètres!$E$31+V443/Paramètres!$E$32+W443/Paramètres!$E$33+X443/Paramètres!$E$34+Y443/Paramètres!$E$35,1)</f>
        <v>0.4</v>
      </c>
      <c r="AA443" s="22" t="s">
        <v>109</v>
      </c>
      <c r="AB443" s="22" t="s">
        <v>109</v>
      </c>
      <c r="AC443" s="15" t="str">
        <f aca="false">$E443</f>
        <v>cuivre</v>
      </c>
      <c r="AD443" s="16" t="n">
        <f aca="false" t="array" ref="AD443:AD443">IF($I443&gt;=$AI443,"Max",ROUND(Paramètres!$B$40*($I443+1)^Paramètres!$B$41*INDEX(Paramètres!$H$6:$H$12,$AF443),0))</f>
        <v>5</v>
      </c>
      <c r="AE443" s="23" t="n">
        <f aca="false">MATCH($B443&amp;"|"&amp;$C443,Profils!$A$5:$A$34,0)</f>
        <v>15</v>
      </c>
      <c r="AF443" s="23" t="n">
        <v>4</v>
      </c>
      <c r="AG443" s="24" t="n">
        <f aca="false" t="array" ref="AG443:AG443">INDEX(Paramètres!$C$6:$C$12,$AF443)</f>
        <v>1.75</v>
      </c>
      <c r="AH443" s="23" t="n">
        <f aca="false" t="array" ref="AH443:AH443">INDEX(Paramètres!$D$6:$D$12,$AF443)</f>
        <v>5</v>
      </c>
      <c r="AI443" s="23" t="n">
        <f aca="false" t="array" ref="AI443:AI443">INDEX(Matériaux!$C$16:$C$20,$D443)</f>
        <v>19</v>
      </c>
      <c r="AJ443" s="25" t="n">
        <f aca="false">Paramètres!$B$16+(1-Paramètres!$B$16)*(($J443-Paramètres!$B$14)/(Paramètres!$B$15-Paramètres!$B$14))^Paramètres!$B$17</f>
        <v>0.05</v>
      </c>
    </row>
    <row r="444" customFormat="false" ht="15.75" hidden="false" customHeight="true" outlineLevel="0" collapsed="false">
      <c r="A444" s="14" t="s">
        <v>560</v>
      </c>
      <c r="B444" s="15" t="s">
        <v>29</v>
      </c>
      <c r="C444" s="15" t="s">
        <v>241</v>
      </c>
      <c r="D444" s="16" t="n">
        <v>1</v>
      </c>
      <c r="E444" s="15" t="str">
        <f aca="false" t="array" ref="E444:E444">INDEX(Matériaux!$B$5:$F$12,MATCH(INDEX(Profils!$E$5:$E$34,$AE444),Matériaux!$A$5:$A$12,0),$D444)</f>
        <v>cuivre</v>
      </c>
      <c r="F444" s="29" t="s">
        <v>117</v>
      </c>
      <c r="G444" s="10" t="str">
        <f aca="false" t="array" ref="G444:G444">INDEX(Profils!$D$5:$D$34,$AE444)&amp;" en "&amp;$E444</f>
        <v>Amulette en cuivre</v>
      </c>
      <c r="H444" s="16" t="n">
        <f aca="false" t="array" ref="H444:H444">INDEX(Matériaux!$B$16:$B$20,$D444)</f>
        <v>1</v>
      </c>
      <c r="I444" s="16" t="n">
        <f aca="false">IF(ISNUMBER($C$3),MIN(MAX(0,ROUND($C$3,0)),$AI444),$AI444)</f>
        <v>0</v>
      </c>
      <c r="J444" s="18" t="n">
        <f aca="false">$H444+$I444</f>
        <v>1</v>
      </c>
      <c r="K444" s="15" t="s">
        <v>109</v>
      </c>
      <c r="L444" s="19" t="n">
        <f aca="false" t="array" ref="L444:L444">IF(AND(INDEX(Profils!$F$5:$F$34,$AE444)&gt;0,INDEX(Profils!$U$5:$U$34,$AE444)&lt;=$AH444),ROUND(INDEX(Profils!$F$5:$F$34,$AE444)*Paramètres!$E$22*$AG444*$AJ444,Paramètres!$F$22),0)</f>
        <v>3</v>
      </c>
      <c r="M444" s="19" t="n">
        <f aca="false" t="array" ref="M444:M444">IF(AND(INDEX(Profils!$G$5:$G$34,$AE444)&gt;0,INDEX(Profils!$V$5:$V$34,$AE444)&lt;=$AH444),ROUND(INDEX(Profils!$G$5:$G$34,$AE444)*Paramètres!$E$23*$AG444*$AJ444,Paramètres!$F$23),0)</f>
        <v>0</v>
      </c>
      <c r="N444" s="19" t="n">
        <f aca="false" t="array" ref="N444:N444">IF(AND(INDEX(Profils!$H$5:$H$34,$AE444)&gt;0,INDEX(Profils!$W$5:$W$34,$AE444)&lt;=$AH444),ROUND(INDEX(Profils!$H$5:$H$34,$AE444)*Paramètres!$E$24*$AG444*$AJ444,Paramètres!$F$24),0)</f>
        <v>0</v>
      </c>
      <c r="O444" s="19" t="n">
        <f aca="false" t="array" ref="O444:O444">IF(AND(INDEX(Profils!$I$5:$I$34,$AE444)&gt;0,INDEX(Profils!$X$5:$X$34,$AE444)&lt;=$AH444),ROUND(INDEX(Profils!$I$5:$I$34,$AE444)*Paramètres!$E$25*$AG444*$AJ444,Paramètres!$F$25),0)</f>
        <v>2</v>
      </c>
      <c r="P444" s="19" t="n">
        <f aca="false" t="array" ref="P444:P444">IF(AND(INDEX(Profils!$J$5:$J$34,$AE444)&gt;0,INDEX(Profils!$Y$5:$Y$34,$AE444)&lt;=$AH444),ROUND(INDEX(Profils!$J$5:$J$34,$AE444)*Paramètres!$E$26*$AG444*$AJ444,Paramètres!$F$26),0)</f>
        <v>0</v>
      </c>
      <c r="Q444" s="19" t="n">
        <f aca="false" t="array" ref="Q444:Q444">IF(AND(INDEX(Profils!$K$5:$K$34,$AE444)&gt;0,INDEX(Profils!$Z$5:$Z$34,$AE444)&lt;=$AH444),ROUND(INDEX(Profils!$K$5:$K$34,$AE444)*Paramètres!$E$27*$AG444*$AJ444,Paramètres!$F$27),0)</f>
        <v>1</v>
      </c>
      <c r="R444" s="20" t="n">
        <f aca="false" t="array" ref="R444:R444">IF(AND(INDEX(Profils!$L$5:$L$34,$AE444)&gt;0,INDEX(Profils!$AA$5:$AA$34,$AE444)&lt;=$AH444),ROUND(INDEX(Profils!$L$5:$L$34,$AE444)*Paramètres!$E$28*$AG444*$AJ444,Paramètres!$F$28),0)</f>
        <v>0</v>
      </c>
      <c r="S444" s="20" t="n">
        <f aca="false" t="array" ref="S444:S444">IF(AND(INDEX(Profils!$M$5:$M$34,$AE444)&gt;0,INDEX(Profils!$AB$5:$AB$34,$AE444)&lt;=$AH444),ROUND(INDEX(Profils!$M$5:$M$34,$AE444)*Paramètres!$E$29*$AG444*$AJ444,Paramètres!$F$29),0)</f>
        <v>0</v>
      </c>
      <c r="T444" s="20" t="n">
        <f aca="false" t="array" ref="T444:T444">IF(AND(INDEX(Profils!$N$5:$N$34,$AE444)&gt;0,INDEX(Profils!$AC$5:$AC$34,$AE444)&lt;=$AH444),ROUND(INDEX(Profils!$N$5:$N$34,$AE444)*Paramètres!$E$30*$AG444*$AJ444,Paramètres!$F$30),0)</f>
        <v>0</v>
      </c>
      <c r="U444" s="19" t="n">
        <f aca="false" t="array" ref="U444:U444">IF(AND(INDEX(Profils!$O$5:$O$34,$AE444)&gt;0,INDEX(Profils!$AD$5:$AD$34,$AE444)&lt;=$AH444),ROUND(INDEX(Profils!$O$5:$O$34,$AE444)*Paramètres!$E$31*$AG444*$AJ444,Paramètres!$F$31),0)</f>
        <v>0</v>
      </c>
      <c r="V444" s="20" t="n">
        <f aca="false" t="array" ref="V444:V444">IF(AND(INDEX(Profils!$P$5:$P$34,$AE444)&gt;0,INDEX(Profils!$AE$5:$AE$34,$AE444)&lt;=$AH444),ROUND(INDEX(Profils!$P$5:$P$34,$AE444)*Paramètres!$E$32*$AG444*$AJ444,Paramètres!$F$32),0)</f>
        <v>0</v>
      </c>
      <c r="W444" s="20" t="n">
        <f aca="false" t="array" ref="W444:W444">IF(AND(INDEX(Profils!$Q$5:$Q$34,$AE444)&gt;0,INDEX(Profils!$AF$5:$AF$34,$AE444)&lt;=$AH444),ROUND(INDEX(Profils!$Q$5:$Q$34,$AE444)*Paramètres!$E$33*$AG444*$AJ444,Paramètres!$F$33),0)</f>
        <v>0.002</v>
      </c>
      <c r="X444" s="20" t="n">
        <f aca="false" t="array" ref="X444:X444">IF(AND(INDEX(Profils!$R$5:$R$34,$AE444)&gt;0,INDEX(Profils!$AG$5:$AG$34,$AE444)&lt;=$AH444),ROUND(INDEX(Profils!$R$5:$R$34,$AE444)*Paramètres!$E$34*$AG444*$AJ444,Paramètres!$F$34),0)</f>
        <v>0.002</v>
      </c>
      <c r="Y444" s="20" t="n">
        <f aca="false" t="array" ref="Y444:Y444">IF(AND(INDEX(Profils!$S$5:$S$34,$AE444)&gt;0,INDEX(Profils!$AH$5:$AH$34,$AE444)&lt;=$AH444),ROUND(INDEX(Profils!$S$5:$S$34,$AE444)*Paramètres!$E$35*$AG444*$AJ444,Paramètres!$F$35),0)</f>
        <v>0.001</v>
      </c>
      <c r="Z444" s="21" t="n">
        <f aca="false">ROUND(L444/Paramètres!$E$22+M444/Paramètres!$E$23+N444/Paramètres!$E$24+O444/Paramètres!$E$25+P444/Paramètres!$E$26+Q444/Paramètres!$E$27+R444/Paramètres!$E$28+S444/Paramètres!$E$29+T444/Paramètres!$E$30+U444/Paramètres!$E$31+V444/Paramètres!$E$32+W444/Paramètres!$E$33+X444/Paramètres!$E$34+Y444/Paramètres!$E$35,1)</f>
        <v>0.7</v>
      </c>
      <c r="AA444" s="22" t="s">
        <v>109</v>
      </c>
      <c r="AB444" s="22" t="s">
        <v>109</v>
      </c>
      <c r="AC444" s="15" t="str">
        <f aca="false">$E444</f>
        <v>cuivre</v>
      </c>
      <c r="AD444" s="16" t="n">
        <f aca="false" t="array" ref="AD444:AD444">IF($I444&gt;=$AI444,"Max",ROUND(Paramètres!$B$40*($I444+1)^Paramètres!$B$41*INDEX(Paramètres!$H$6:$H$12,$AF444),0))</f>
        <v>6</v>
      </c>
      <c r="AE444" s="23" t="n">
        <f aca="false">MATCH($B444&amp;"|"&amp;$C444,Profils!$A$5:$A$34,0)</f>
        <v>15</v>
      </c>
      <c r="AF444" s="23" t="n">
        <v>5</v>
      </c>
      <c r="AG444" s="24" t="n">
        <f aca="false" t="array" ref="AG444:AG444">INDEX(Paramètres!$C$6:$C$12,$AF444)</f>
        <v>2.1</v>
      </c>
      <c r="AH444" s="23" t="n">
        <f aca="false" t="array" ref="AH444:AH444">INDEX(Paramètres!$D$6:$D$12,$AF444)</f>
        <v>6</v>
      </c>
      <c r="AI444" s="23" t="n">
        <f aca="false" t="array" ref="AI444:AI444">INDEX(Matériaux!$C$16:$C$20,$D444)</f>
        <v>19</v>
      </c>
      <c r="AJ444" s="25" t="n">
        <f aca="false">Paramètres!$B$16+(1-Paramètres!$B$16)*(($J444-Paramètres!$B$14)/(Paramètres!$B$15-Paramètres!$B$14))^Paramètres!$B$17</f>
        <v>0.05</v>
      </c>
    </row>
    <row r="445" customFormat="false" ht="15.75" hidden="false" customHeight="true" outlineLevel="0" collapsed="false">
      <c r="A445" s="14" t="s">
        <v>561</v>
      </c>
      <c r="B445" s="15" t="s">
        <v>29</v>
      </c>
      <c r="C445" s="15" t="s">
        <v>241</v>
      </c>
      <c r="D445" s="16" t="n">
        <v>1</v>
      </c>
      <c r="E445" s="15" t="str">
        <f aca="false" t="array" ref="E445:E445">INDEX(Matériaux!$B$5:$F$12,MATCH(INDEX(Profils!$E$5:$E$34,$AE445),Matériaux!$A$5:$A$12,0),$D445)</f>
        <v>cuivre</v>
      </c>
      <c r="F445" s="30" t="s">
        <v>119</v>
      </c>
      <c r="G445" s="10" t="str">
        <f aca="false" t="array" ref="G445:G445">INDEX(Profils!$D$5:$D$34,$AE445)&amp;" en "&amp;$E445</f>
        <v>Amulette en cuivre</v>
      </c>
      <c r="H445" s="16" t="n">
        <f aca="false" t="array" ref="H445:H445">INDEX(Matériaux!$B$16:$B$20,$D445)</f>
        <v>1</v>
      </c>
      <c r="I445" s="16" t="n">
        <f aca="false">IF(ISNUMBER($C$3),MIN(MAX(0,ROUND($C$3,0)),$AI445),$AI445)</f>
        <v>0</v>
      </c>
      <c r="J445" s="18" t="n">
        <f aca="false">$H445+$I445</f>
        <v>1</v>
      </c>
      <c r="K445" s="15" t="s">
        <v>109</v>
      </c>
      <c r="L445" s="19" t="n">
        <f aca="false" t="array" ref="L445:L445">IF(AND(INDEX(Profils!$F$5:$F$34,$AE445)&gt;0,INDEX(Profils!$U$5:$U$34,$AE445)&lt;=$AH445),ROUND(INDEX(Profils!$F$5:$F$34,$AE445)*Paramètres!$E$22*$AG445*$AJ445,Paramètres!$F$22),0)</f>
        <v>4</v>
      </c>
      <c r="M445" s="19" t="n">
        <f aca="false" t="array" ref="M445:M445">IF(AND(INDEX(Profils!$G$5:$G$34,$AE445)&gt;0,INDEX(Profils!$V$5:$V$34,$AE445)&lt;=$AH445),ROUND(INDEX(Profils!$G$5:$G$34,$AE445)*Paramètres!$E$23*$AG445*$AJ445,Paramètres!$F$23),0)</f>
        <v>0</v>
      </c>
      <c r="N445" s="19" t="n">
        <f aca="false" t="array" ref="N445:N445">IF(AND(INDEX(Profils!$H$5:$H$34,$AE445)&gt;0,INDEX(Profils!$W$5:$W$34,$AE445)&lt;=$AH445),ROUND(INDEX(Profils!$H$5:$H$34,$AE445)*Paramètres!$E$24*$AG445*$AJ445,Paramètres!$F$24),0)</f>
        <v>0</v>
      </c>
      <c r="O445" s="19" t="n">
        <f aca="false" t="array" ref="O445:O445">IF(AND(INDEX(Profils!$I$5:$I$34,$AE445)&gt;0,INDEX(Profils!$X$5:$X$34,$AE445)&lt;=$AH445),ROUND(INDEX(Profils!$I$5:$I$34,$AE445)*Paramètres!$E$25*$AG445*$AJ445,Paramètres!$F$25),0)</f>
        <v>2</v>
      </c>
      <c r="P445" s="19" t="n">
        <f aca="false" t="array" ref="P445:P445">IF(AND(INDEX(Profils!$J$5:$J$34,$AE445)&gt;0,INDEX(Profils!$Y$5:$Y$34,$AE445)&lt;=$AH445),ROUND(INDEX(Profils!$J$5:$J$34,$AE445)*Paramètres!$E$26*$AG445*$AJ445,Paramètres!$F$26),0)</f>
        <v>0</v>
      </c>
      <c r="Q445" s="19" t="n">
        <f aca="false" t="array" ref="Q445:Q445">IF(AND(INDEX(Profils!$K$5:$K$34,$AE445)&gt;0,INDEX(Profils!$Z$5:$Z$34,$AE445)&lt;=$AH445),ROUND(INDEX(Profils!$K$5:$K$34,$AE445)*Paramètres!$E$27*$AG445*$AJ445,Paramètres!$F$27),0)</f>
        <v>1</v>
      </c>
      <c r="R445" s="20" t="n">
        <f aca="false" t="array" ref="R445:R445">IF(AND(INDEX(Profils!$L$5:$L$34,$AE445)&gt;0,INDEX(Profils!$AA$5:$AA$34,$AE445)&lt;=$AH445),ROUND(INDEX(Profils!$L$5:$L$34,$AE445)*Paramètres!$E$28*$AG445*$AJ445,Paramètres!$F$28),0)</f>
        <v>0</v>
      </c>
      <c r="S445" s="20" t="n">
        <f aca="false" t="array" ref="S445:S445">IF(AND(INDEX(Profils!$M$5:$M$34,$AE445)&gt;0,INDEX(Profils!$AB$5:$AB$34,$AE445)&lt;=$AH445),ROUND(INDEX(Profils!$M$5:$M$34,$AE445)*Paramètres!$E$29*$AG445*$AJ445,Paramètres!$F$29),0)</f>
        <v>0.001</v>
      </c>
      <c r="T445" s="20" t="n">
        <f aca="false" t="array" ref="T445:T445">IF(AND(INDEX(Profils!$N$5:$N$34,$AE445)&gt;0,INDEX(Profils!$AC$5:$AC$34,$AE445)&lt;=$AH445),ROUND(INDEX(Profils!$N$5:$N$34,$AE445)*Paramètres!$E$30*$AG445*$AJ445,Paramètres!$F$30),0)</f>
        <v>0</v>
      </c>
      <c r="U445" s="19" t="n">
        <f aca="false" t="array" ref="U445:U445">IF(AND(INDEX(Profils!$O$5:$O$34,$AE445)&gt;0,INDEX(Profils!$AD$5:$AD$34,$AE445)&lt;=$AH445),ROUND(INDEX(Profils!$O$5:$O$34,$AE445)*Paramètres!$E$31*$AG445*$AJ445,Paramètres!$F$31),0)</f>
        <v>0</v>
      </c>
      <c r="V445" s="20" t="n">
        <f aca="false" t="array" ref="V445:V445">IF(AND(INDEX(Profils!$P$5:$P$34,$AE445)&gt;0,INDEX(Profils!$AE$5:$AE$34,$AE445)&lt;=$AH445),ROUND(INDEX(Profils!$P$5:$P$34,$AE445)*Paramètres!$E$32*$AG445*$AJ445,Paramètres!$F$32),0)</f>
        <v>0</v>
      </c>
      <c r="W445" s="20" t="n">
        <f aca="false" t="array" ref="W445:W445">IF(AND(INDEX(Profils!$Q$5:$Q$34,$AE445)&gt;0,INDEX(Profils!$AF$5:$AF$34,$AE445)&lt;=$AH445),ROUND(INDEX(Profils!$Q$5:$Q$34,$AE445)*Paramètres!$E$33*$AG445*$AJ445,Paramètres!$F$33),0)</f>
        <v>0.002</v>
      </c>
      <c r="X445" s="20" t="n">
        <f aca="false" t="array" ref="X445:X445">IF(AND(INDEX(Profils!$R$5:$R$34,$AE445)&gt;0,INDEX(Profils!$AG$5:$AG$34,$AE445)&lt;=$AH445),ROUND(INDEX(Profils!$R$5:$R$34,$AE445)*Paramètres!$E$34*$AG445*$AJ445,Paramètres!$F$34),0)</f>
        <v>0.002</v>
      </c>
      <c r="Y445" s="20" t="n">
        <f aca="false" t="array" ref="Y445:Y445">IF(AND(INDEX(Profils!$S$5:$S$34,$AE445)&gt;0,INDEX(Profils!$AH$5:$AH$34,$AE445)&lt;=$AH445),ROUND(INDEX(Profils!$S$5:$S$34,$AE445)*Paramètres!$E$35*$AG445*$AJ445,Paramètres!$F$35),0)</f>
        <v>0.001</v>
      </c>
      <c r="Z445" s="21" t="n">
        <f aca="false">ROUND(L445/Paramètres!$E$22+M445/Paramètres!$E$23+N445/Paramètres!$E$24+O445/Paramètres!$E$25+P445/Paramètres!$E$26+Q445/Paramètres!$E$27+R445/Paramètres!$E$28+S445/Paramètres!$E$29+T445/Paramètres!$E$30+U445/Paramètres!$E$31+V445/Paramètres!$E$32+W445/Paramètres!$E$33+X445/Paramètres!$E$34+Y445/Paramètres!$E$35,1)</f>
        <v>0.8</v>
      </c>
      <c r="AA445" s="22" t="s">
        <v>109</v>
      </c>
      <c r="AB445" s="22" t="s">
        <v>109</v>
      </c>
      <c r="AC445" s="15" t="str">
        <f aca="false">$E445</f>
        <v>cuivre</v>
      </c>
      <c r="AD445" s="16" t="n">
        <f aca="false" t="array" ref="AD445:AD445">IF($I445&gt;=$AI445,"Max",ROUND(Paramètres!$B$40*($I445+1)^Paramètres!$B$41*INDEX(Paramètres!$H$6:$H$12,$AF445),0))</f>
        <v>8</v>
      </c>
      <c r="AE445" s="23" t="n">
        <f aca="false">MATCH($B445&amp;"|"&amp;$C445,Profils!$A$5:$A$34,0)</f>
        <v>15</v>
      </c>
      <c r="AF445" s="23" t="n">
        <v>6</v>
      </c>
      <c r="AG445" s="24" t="n">
        <f aca="false" t="array" ref="AG445:AG445">INDEX(Paramètres!$C$6:$C$12,$AF445)</f>
        <v>2.4</v>
      </c>
      <c r="AH445" s="23" t="n">
        <f aca="false" t="array" ref="AH445:AH445">INDEX(Paramètres!$D$6:$D$12,$AF445)</f>
        <v>7</v>
      </c>
      <c r="AI445" s="23" t="n">
        <f aca="false" t="array" ref="AI445:AI445">INDEX(Matériaux!$C$16:$C$20,$D445)</f>
        <v>19</v>
      </c>
      <c r="AJ445" s="25" t="n">
        <f aca="false">Paramètres!$B$16+(1-Paramètres!$B$16)*(($J445-Paramètres!$B$14)/(Paramètres!$B$15-Paramètres!$B$14))^Paramètres!$B$17</f>
        <v>0.05</v>
      </c>
    </row>
    <row r="446" customFormat="false" ht="15.75" hidden="false" customHeight="true" outlineLevel="0" collapsed="false">
      <c r="A446" s="14" t="s">
        <v>562</v>
      </c>
      <c r="B446" s="15" t="s">
        <v>29</v>
      </c>
      <c r="C446" s="15" t="s">
        <v>241</v>
      </c>
      <c r="D446" s="16" t="n">
        <v>2</v>
      </c>
      <c r="E446" s="15" t="str">
        <f aca="false" t="array" ref="E446:E446">INDEX(Matériaux!$B$5:$F$12,MATCH(INDEX(Profils!$E$5:$E$34,$AE446),Matériaux!$A$5:$A$12,0),$D446)</f>
        <v>argent</v>
      </c>
      <c r="F446" s="17" t="s">
        <v>108</v>
      </c>
      <c r="G446" s="10" t="str">
        <f aca="false" t="array" ref="G446:G446">INDEX(Profils!$D$5:$D$34,$AE446)&amp;" en "&amp;$E446</f>
        <v>Amulette en argent</v>
      </c>
      <c r="H446" s="16" t="n">
        <f aca="false" t="array" ref="H446:H446">INDEX(Matériaux!$B$16:$B$20,$D446)</f>
        <v>15</v>
      </c>
      <c r="I446" s="16" t="n">
        <f aca="false">IF(ISNUMBER($C$3),MIN(MAX(0,ROUND($C$3,0)),$AI446),$AI446)</f>
        <v>0</v>
      </c>
      <c r="J446" s="18" t="n">
        <f aca="false">$H446+$I446</f>
        <v>15</v>
      </c>
      <c r="K446" s="15" t="s">
        <v>109</v>
      </c>
      <c r="L446" s="19" t="n">
        <f aca="false" t="array" ref="L446:L446">IF(AND(INDEX(Profils!$F$5:$F$34,$AE446)&gt;0,INDEX(Profils!$U$5:$U$34,$AE446)&lt;=$AH446),ROUND(INDEX(Profils!$F$5:$F$34,$AE446)*Paramètres!$E$22*$AG446*$AJ446,Paramètres!$F$22),0)</f>
        <v>4</v>
      </c>
      <c r="M446" s="19" t="n">
        <f aca="false" t="array" ref="M446:M446">IF(AND(INDEX(Profils!$G$5:$G$34,$AE446)&gt;0,INDEX(Profils!$V$5:$V$34,$AE446)&lt;=$AH446),ROUND(INDEX(Profils!$G$5:$G$34,$AE446)*Paramètres!$E$23*$AG446*$AJ446,Paramètres!$F$23),0)</f>
        <v>0</v>
      </c>
      <c r="N446" s="19" t="n">
        <f aca="false" t="array" ref="N446:N446">IF(AND(INDEX(Profils!$H$5:$H$34,$AE446)&gt;0,INDEX(Profils!$W$5:$W$34,$AE446)&lt;=$AH446),ROUND(INDEX(Profils!$H$5:$H$34,$AE446)*Paramètres!$E$24*$AG446*$AJ446,Paramètres!$F$24),0)</f>
        <v>0</v>
      </c>
      <c r="O446" s="19" t="n">
        <f aca="false" t="array" ref="O446:O446">IF(AND(INDEX(Profils!$I$5:$I$34,$AE446)&gt;0,INDEX(Profils!$X$5:$X$34,$AE446)&lt;=$AH446),ROUND(INDEX(Profils!$I$5:$I$34,$AE446)*Paramètres!$E$25*$AG446*$AJ446,Paramètres!$F$25),0)</f>
        <v>2</v>
      </c>
      <c r="P446" s="19" t="n">
        <f aca="false" t="array" ref="P446:P446">IF(AND(INDEX(Profils!$J$5:$J$34,$AE446)&gt;0,INDEX(Profils!$Y$5:$Y$34,$AE446)&lt;=$AH446),ROUND(INDEX(Profils!$J$5:$J$34,$AE446)*Paramètres!$E$26*$AG446*$AJ446,Paramètres!$F$26),0)</f>
        <v>0</v>
      </c>
      <c r="Q446" s="19" t="n">
        <f aca="false" t="array" ref="Q446:Q446">IF(AND(INDEX(Profils!$K$5:$K$34,$AE446)&gt;0,INDEX(Profils!$Z$5:$Z$34,$AE446)&lt;=$AH446),ROUND(INDEX(Profils!$K$5:$K$34,$AE446)*Paramètres!$E$27*$AG446*$AJ446,Paramètres!$F$27),0)</f>
        <v>0</v>
      </c>
      <c r="R446" s="20" t="n">
        <f aca="false" t="array" ref="R446:R446">IF(AND(INDEX(Profils!$L$5:$L$34,$AE446)&gt;0,INDEX(Profils!$AA$5:$AA$34,$AE446)&lt;=$AH446),ROUND(INDEX(Profils!$L$5:$L$34,$AE446)*Paramètres!$E$28*$AG446*$AJ446,Paramètres!$F$28),0)</f>
        <v>0</v>
      </c>
      <c r="S446" s="20" t="n">
        <f aca="false" t="array" ref="S446:S446">IF(AND(INDEX(Profils!$M$5:$M$34,$AE446)&gt;0,INDEX(Profils!$AB$5:$AB$34,$AE446)&lt;=$AH446),ROUND(INDEX(Profils!$M$5:$M$34,$AE446)*Paramètres!$E$29*$AG446*$AJ446,Paramètres!$F$29),0)</f>
        <v>0</v>
      </c>
      <c r="T446" s="20" t="n">
        <f aca="false" t="array" ref="T446:T446">IF(AND(INDEX(Profils!$N$5:$N$34,$AE446)&gt;0,INDEX(Profils!$AC$5:$AC$34,$AE446)&lt;=$AH446),ROUND(INDEX(Profils!$N$5:$N$34,$AE446)*Paramètres!$E$30*$AG446*$AJ446,Paramètres!$F$30),0)</f>
        <v>0</v>
      </c>
      <c r="U446" s="19" t="n">
        <f aca="false" t="array" ref="U446:U446">IF(AND(INDEX(Profils!$O$5:$O$34,$AE446)&gt;0,INDEX(Profils!$AD$5:$AD$34,$AE446)&lt;=$AH446),ROUND(INDEX(Profils!$O$5:$O$34,$AE446)*Paramètres!$E$31*$AG446*$AJ446,Paramètres!$F$31),0)</f>
        <v>0</v>
      </c>
      <c r="V446" s="20" t="n">
        <f aca="false" t="array" ref="V446:V446">IF(AND(INDEX(Profils!$P$5:$P$34,$AE446)&gt;0,INDEX(Profils!$AE$5:$AE$34,$AE446)&lt;=$AH446),ROUND(INDEX(Profils!$P$5:$P$34,$AE446)*Paramètres!$E$32*$AG446*$AJ446,Paramètres!$F$32),0)</f>
        <v>0</v>
      </c>
      <c r="W446" s="20" t="n">
        <f aca="false" t="array" ref="W446:W446">IF(AND(INDEX(Profils!$Q$5:$Q$34,$AE446)&gt;0,INDEX(Profils!$AF$5:$AF$34,$AE446)&lt;=$AH446),ROUND(INDEX(Profils!$Q$5:$Q$34,$AE446)*Paramètres!$E$33*$AG446*$AJ446,Paramètres!$F$33),0)</f>
        <v>0</v>
      </c>
      <c r="X446" s="20" t="n">
        <f aca="false" t="array" ref="X446:X446">IF(AND(INDEX(Profils!$R$5:$R$34,$AE446)&gt;0,INDEX(Profils!$AG$5:$AG$34,$AE446)&lt;=$AH446),ROUND(INDEX(Profils!$R$5:$R$34,$AE446)*Paramètres!$E$34*$AG446*$AJ446,Paramètres!$F$34),0)</f>
        <v>0</v>
      </c>
      <c r="Y446" s="20" t="n">
        <f aca="false" t="array" ref="Y446:Y446">IF(AND(INDEX(Profils!$S$5:$S$34,$AE446)&gt;0,INDEX(Profils!$AH$5:$AH$34,$AE446)&lt;=$AH446),ROUND(INDEX(Profils!$S$5:$S$34,$AE446)*Paramètres!$E$35*$AG446*$AJ446,Paramètres!$F$35),0)</f>
        <v>0</v>
      </c>
      <c r="Z446" s="21" t="n">
        <f aca="false">ROUND(L446/Paramètres!$E$22+M446/Paramètres!$E$23+N446/Paramètres!$E$24+O446/Paramètres!$E$25+P446/Paramètres!$E$26+Q446/Paramètres!$E$27+R446/Paramètres!$E$28+S446/Paramètres!$E$29+T446/Paramètres!$E$30+U446/Paramètres!$E$31+V446/Paramètres!$E$32+W446/Paramètres!$E$33+X446/Paramètres!$E$34+Y446/Paramètres!$E$35,1)</f>
        <v>0.3</v>
      </c>
      <c r="AA446" s="22" t="s">
        <v>109</v>
      </c>
      <c r="AB446" s="22" t="s">
        <v>109</v>
      </c>
      <c r="AC446" s="15" t="str">
        <f aca="false">$E446</f>
        <v>argent</v>
      </c>
      <c r="AD446" s="16" t="n">
        <f aca="false" t="array" ref="AD446:AD446">IF($I446&gt;=$AI446,"Max",ROUND(Paramètres!$B$40*($I446+1)^Paramètres!$B$41*INDEX(Paramètres!$H$6:$H$12,$AF446),0))</f>
        <v>3</v>
      </c>
      <c r="AE446" s="23" t="n">
        <f aca="false">MATCH($B446&amp;"|"&amp;$C446,Profils!$A$5:$A$34,0)</f>
        <v>15</v>
      </c>
      <c r="AF446" s="23" t="n">
        <v>1</v>
      </c>
      <c r="AG446" s="24" t="n">
        <f aca="false" t="array" ref="AG446:AG446">INDEX(Paramètres!$C$6:$C$12,$AF446)</f>
        <v>1</v>
      </c>
      <c r="AH446" s="23" t="n">
        <f aca="false" t="array" ref="AH446:AH446">INDEX(Paramètres!$D$6:$D$12,$AF446)</f>
        <v>2</v>
      </c>
      <c r="AI446" s="23" t="n">
        <f aca="false" t="array" ref="AI446:AI446">INDEX(Matériaux!$C$16:$C$20,$D446)</f>
        <v>20</v>
      </c>
      <c r="AJ446" s="25" t="n">
        <f aca="false">Paramètres!$B$16+(1-Paramètres!$B$16)*(($J446-Paramètres!$B$14)/(Paramètres!$B$15-Paramètres!$B$14))^Paramètres!$B$17</f>
        <v>0.140847925475674</v>
      </c>
    </row>
    <row r="447" customFormat="false" ht="15.75" hidden="false" customHeight="true" outlineLevel="0" collapsed="false">
      <c r="A447" s="14" t="s">
        <v>563</v>
      </c>
      <c r="B447" s="15" t="s">
        <v>29</v>
      </c>
      <c r="C447" s="15" t="s">
        <v>241</v>
      </c>
      <c r="D447" s="16" t="n">
        <v>2</v>
      </c>
      <c r="E447" s="15" t="str">
        <f aca="false" t="array" ref="E447:E447">INDEX(Matériaux!$B$5:$F$12,MATCH(INDEX(Profils!$E$5:$E$34,$AE447),Matériaux!$A$5:$A$12,0),$D447)</f>
        <v>argent</v>
      </c>
      <c r="F447" s="26" t="s">
        <v>111</v>
      </c>
      <c r="G447" s="10" t="str">
        <f aca="false" t="array" ref="G447:G447">INDEX(Profils!$D$5:$D$34,$AE447)&amp;" en "&amp;$E447</f>
        <v>Amulette en argent</v>
      </c>
      <c r="H447" s="16" t="n">
        <f aca="false" t="array" ref="H447:H447">INDEX(Matériaux!$B$16:$B$20,$D447)</f>
        <v>15</v>
      </c>
      <c r="I447" s="16" t="n">
        <f aca="false">IF(ISNUMBER($C$3),MIN(MAX(0,ROUND($C$3,0)),$AI447),$AI447)</f>
        <v>0</v>
      </c>
      <c r="J447" s="18" t="n">
        <f aca="false">$H447+$I447</f>
        <v>15</v>
      </c>
      <c r="K447" s="15" t="s">
        <v>109</v>
      </c>
      <c r="L447" s="19" t="n">
        <f aca="false" t="array" ref="L447:L447">IF(AND(INDEX(Profils!$F$5:$F$34,$AE447)&gt;0,INDEX(Profils!$U$5:$U$34,$AE447)&lt;=$AH447),ROUND(INDEX(Profils!$F$5:$F$34,$AE447)*Paramètres!$E$22*$AG447*$AJ447,Paramètres!$F$22),0)</f>
        <v>5</v>
      </c>
      <c r="M447" s="19" t="n">
        <f aca="false" t="array" ref="M447:M447">IF(AND(INDEX(Profils!$G$5:$G$34,$AE447)&gt;0,INDEX(Profils!$V$5:$V$34,$AE447)&lt;=$AH447),ROUND(INDEX(Profils!$G$5:$G$34,$AE447)*Paramètres!$E$23*$AG447*$AJ447,Paramètres!$F$23),0)</f>
        <v>0</v>
      </c>
      <c r="N447" s="19" t="n">
        <f aca="false" t="array" ref="N447:N447">IF(AND(INDEX(Profils!$H$5:$H$34,$AE447)&gt;0,INDEX(Profils!$W$5:$W$34,$AE447)&lt;=$AH447),ROUND(INDEX(Profils!$H$5:$H$34,$AE447)*Paramètres!$E$24*$AG447*$AJ447,Paramètres!$F$24),0)</f>
        <v>0</v>
      </c>
      <c r="O447" s="19" t="n">
        <f aca="false" t="array" ref="O447:O447">IF(AND(INDEX(Profils!$I$5:$I$34,$AE447)&gt;0,INDEX(Profils!$X$5:$X$34,$AE447)&lt;=$AH447),ROUND(INDEX(Profils!$I$5:$I$34,$AE447)*Paramètres!$E$25*$AG447*$AJ447,Paramètres!$F$25),0)</f>
        <v>3</v>
      </c>
      <c r="P447" s="19" t="n">
        <f aca="false" t="array" ref="P447:P447">IF(AND(INDEX(Profils!$J$5:$J$34,$AE447)&gt;0,INDEX(Profils!$Y$5:$Y$34,$AE447)&lt;=$AH447),ROUND(INDEX(Profils!$J$5:$J$34,$AE447)*Paramètres!$E$26*$AG447*$AJ447,Paramètres!$F$26),0)</f>
        <v>0</v>
      </c>
      <c r="Q447" s="19" t="n">
        <f aca="false" t="array" ref="Q447:Q447">IF(AND(INDEX(Profils!$K$5:$K$34,$AE447)&gt;0,INDEX(Profils!$Z$5:$Z$34,$AE447)&lt;=$AH447),ROUND(INDEX(Profils!$K$5:$K$34,$AE447)*Paramètres!$E$27*$AG447*$AJ447,Paramètres!$F$27),0)</f>
        <v>0</v>
      </c>
      <c r="R447" s="20" t="n">
        <f aca="false" t="array" ref="R447:R447">IF(AND(INDEX(Profils!$L$5:$L$34,$AE447)&gt;0,INDEX(Profils!$AA$5:$AA$34,$AE447)&lt;=$AH447),ROUND(INDEX(Profils!$L$5:$L$34,$AE447)*Paramètres!$E$28*$AG447*$AJ447,Paramètres!$F$28),0)</f>
        <v>0</v>
      </c>
      <c r="S447" s="20" t="n">
        <f aca="false" t="array" ref="S447:S447">IF(AND(INDEX(Profils!$M$5:$M$34,$AE447)&gt;0,INDEX(Profils!$AB$5:$AB$34,$AE447)&lt;=$AH447),ROUND(INDEX(Profils!$M$5:$M$34,$AE447)*Paramètres!$E$29*$AG447*$AJ447,Paramètres!$F$29),0)</f>
        <v>0</v>
      </c>
      <c r="T447" s="20" t="n">
        <f aca="false" t="array" ref="T447:T447">IF(AND(INDEX(Profils!$N$5:$N$34,$AE447)&gt;0,INDEX(Profils!$AC$5:$AC$34,$AE447)&lt;=$AH447),ROUND(INDEX(Profils!$N$5:$N$34,$AE447)*Paramètres!$E$30*$AG447*$AJ447,Paramètres!$F$30),0)</f>
        <v>0</v>
      </c>
      <c r="U447" s="19" t="n">
        <f aca="false" t="array" ref="U447:U447">IF(AND(INDEX(Profils!$O$5:$O$34,$AE447)&gt;0,INDEX(Profils!$AD$5:$AD$34,$AE447)&lt;=$AH447),ROUND(INDEX(Profils!$O$5:$O$34,$AE447)*Paramètres!$E$31*$AG447*$AJ447,Paramètres!$F$31),0)</f>
        <v>0</v>
      </c>
      <c r="V447" s="20" t="n">
        <f aca="false" t="array" ref="V447:V447">IF(AND(INDEX(Profils!$P$5:$P$34,$AE447)&gt;0,INDEX(Profils!$AE$5:$AE$34,$AE447)&lt;=$AH447),ROUND(INDEX(Profils!$P$5:$P$34,$AE447)*Paramètres!$E$32*$AG447*$AJ447,Paramètres!$F$32),0)</f>
        <v>0</v>
      </c>
      <c r="W447" s="20" t="n">
        <f aca="false" t="array" ref="W447:W447">IF(AND(INDEX(Profils!$Q$5:$Q$34,$AE447)&gt;0,INDEX(Profils!$AF$5:$AF$34,$AE447)&lt;=$AH447),ROUND(INDEX(Profils!$Q$5:$Q$34,$AE447)*Paramètres!$E$33*$AG447*$AJ447,Paramètres!$F$33),0)</f>
        <v>0.003</v>
      </c>
      <c r="X447" s="20" t="n">
        <f aca="false" t="array" ref="X447:X447">IF(AND(INDEX(Profils!$R$5:$R$34,$AE447)&gt;0,INDEX(Profils!$AG$5:$AG$34,$AE447)&lt;=$AH447),ROUND(INDEX(Profils!$R$5:$R$34,$AE447)*Paramètres!$E$34*$AG447*$AJ447,Paramètres!$F$34),0)</f>
        <v>0</v>
      </c>
      <c r="Y447" s="20" t="n">
        <f aca="false" t="array" ref="Y447:Y447">IF(AND(INDEX(Profils!$S$5:$S$34,$AE447)&gt;0,INDEX(Profils!$AH$5:$AH$34,$AE447)&lt;=$AH447),ROUND(INDEX(Profils!$S$5:$S$34,$AE447)*Paramètres!$E$35*$AG447*$AJ447,Paramètres!$F$35),0)</f>
        <v>0</v>
      </c>
      <c r="Z447" s="21" t="n">
        <f aca="false">ROUND(L447/Paramètres!$E$22+M447/Paramètres!$E$23+N447/Paramètres!$E$24+O447/Paramètres!$E$25+P447/Paramètres!$E$26+Q447/Paramètres!$E$27+R447/Paramètres!$E$28+S447/Paramètres!$E$29+T447/Paramètres!$E$30+U447/Paramètres!$E$31+V447/Paramètres!$E$32+W447/Paramètres!$E$33+X447/Paramètres!$E$34+Y447/Paramètres!$E$35,1)</f>
        <v>0.6</v>
      </c>
      <c r="AA447" s="22" t="s">
        <v>109</v>
      </c>
      <c r="AB447" s="22" t="s">
        <v>109</v>
      </c>
      <c r="AC447" s="15" t="str">
        <f aca="false">$E447</f>
        <v>argent</v>
      </c>
      <c r="AD447" s="16" t="n">
        <f aca="false" t="array" ref="AD447:AD447">IF($I447&gt;=$AI447,"Max",ROUND(Paramètres!$B$40*($I447+1)^Paramètres!$B$41*INDEX(Paramètres!$H$6:$H$12,$AF447),0))</f>
        <v>4</v>
      </c>
      <c r="AE447" s="23" t="n">
        <f aca="false">MATCH($B447&amp;"|"&amp;$C447,Profils!$A$5:$A$34,0)</f>
        <v>15</v>
      </c>
      <c r="AF447" s="23" t="n">
        <v>2</v>
      </c>
      <c r="AG447" s="24" t="n">
        <f aca="false" t="array" ref="AG447:AG447">INDEX(Paramètres!$C$6:$C$12,$AF447)</f>
        <v>1.2</v>
      </c>
      <c r="AH447" s="23" t="n">
        <f aca="false" t="array" ref="AH447:AH447">INDEX(Paramètres!$D$6:$D$12,$AF447)</f>
        <v>3</v>
      </c>
      <c r="AI447" s="23" t="n">
        <f aca="false" t="array" ref="AI447:AI447">INDEX(Matériaux!$C$16:$C$20,$D447)</f>
        <v>20</v>
      </c>
      <c r="AJ447" s="25" t="n">
        <f aca="false">Paramètres!$B$16+(1-Paramètres!$B$16)*(($J447-Paramètres!$B$14)/(Paramètres!$B$15-Paramètres!$B$14))^Paramètres!$B$17</f>
        <v>0.140847925475674</v>
      </c>
    </row>
    <row r="448" customFormat="false" ht="15.75" hidden="false" customHeight="true" outlineLevel="0" collapsed="false">
      <c r="A448" s="14" t="s">
        <v>564</v>
      </c>
      <c r="B448" s="15" t="s">
        <v>29</v>
      </c>
      <c r="C448" s="15" t="s">
        <v>241</v>
      </c>
      <c r="D448" s="16" t="n">
        <v>2</v>
      </c>
      <c r="E448" s="15" t="str">
        <f aca="false" t="array" ref="E448:E448">INDEX(Matériaux!$B$5:$F$12,MATCH(INDEX(Profils!$E$5:$E$34,$AE448),Matériaux!$A$5:$A$12,0),$D448)</f>
        <v>argent</v>
      </c>
      <c r="F448" s="27" t="s">
        <v>113</v>
      </c>
      <c r="G448" s="10" t="str">
        <f aca="false" t="array" ref="G448:G448">INDEX(Profils!$D$5:$D$34,$AE448)&amp;" en "&amp;$E448</f>
        <v>Amulette en argent</v>
      </c>
      <c r="H448" s="16" t="n">
        <f aca="false" t="array" ref="H448:H448">INDEX(Matériaux!$B$16:$B$20,$D448)</f>
        <v>15</v>
      </c>
      <c r="I448" s="16" t="n">
        <f aca="false">IF(ISNUMBER($C$3),MIN(MAX(0,ROUND($C$3,0)),$AI448),$AI448)</f>
        <v>0</v>
      </c>
      <c r="J448" s="18" t="n">
        <f aca="false">$H448+$I448</f>
        <v>15</v>
      </c>
      <c r="K448" s="15" t="s">
        <v>109</v>
      </c>
      <c r="L448" s="19" t="n">
        <f aca="false" t="array" ref="L448:L448">IF(AND(INDEX(Profils!$F$5:$F$34,$AE448)&gt;0,INDEX(Profils!$U$5:$U$34,$AE448)&lt;=$AH448),ROUND(INDEX(Profils!$F$5:$F$34,$AE448)*Paramètres!$E$22*$AG448*$AJ448,Paramètres!$F$22),0)</f>
        <v>6</v>
      </c>
      <c r="M448" s="19" t="n">
        <f aca="false" t="array" ref="M448:M448">IF(AND(INDEX(Profils!$G$5:$G$34,$AE448)&gt;0,INDEX(Profils!$V$5:$V$34,$AE448)&lt;=$AH448),ROUND(INDEX(Profils!$G$5:$G$34,$AE448)*Paramètres!$E$23*$AG448*$AJ448,Paramètres!$F$23),0)</f>
        <v>0</v>
      </c>
      <c r="N448" s="19" t="n">
        <f aca="false" t="array" ref="N448:N448">IF(AND(INDEX(Profils!$H$5:$H$34,$AE448)&gt;0,INDEX(Profils!$W$5:$W$34,$AE448)&lt;=$AH448),ROUND(INDEX(Profils!$H$5:$H$34,$AE448)*Paramètres!$E$24*$AG448*$AJ448,Paramètres!$F$24),0)</f>
        <v>0</v>
      </c>
      <c r="O448" s="19" t="n">
        <f aca="false" t="array" ref="O448:O448">IF(AND(INDEX(Profils!$I$5:$I$34,$AE448)&gt;0,INDEX(Profils!$X$5:$X$34,$AE448)&lt;=$AH448),ROUND(INDEX(Profils!$I$5:$I$34,$AE448)*Paramètres!$E$25*$AG448*$AJ448,Paramètres!$F$25),0)</f>
        <v>3</v>
      </c>
      <c r="P448" s="19" t="n">
        <f aca="false" t="array" ref="P448:P448">IF(AND(INDEX(Profils!$J$5:$J$34,$AE448)&gt;0,INDEX(Profils!$Y$5:$Y$34,$AE448)&lt;=$AH448),ROUND(INDEX(Profils!$J$5:$J$34,$AE448)*Paramètres!$E$26*$AG448*$AJ448,Paramètres!$F$26),0)</f>
        <v>0</v>
      </c>
      <c r="Q448" s="19" t="n">
        <f aca="false" t="array" ref="Q448:Q448">IF(AND(INDEX(Profils!$K$5:$K$34,$AE448)&gt;0,INDEX(Profils!$Z$5:$Z$34,$AE448)&lt;=$AH448),ROUND(INDEX(Profils!$K$5:$K$34,$AE448)*Paramètres!$E$27*$AG448*$AJ448,Paramètres!$F$27),0)</f>
        <v>0</v>
      </c>
      <c r="R448" s="20" t="n">
        <f aca="false" t="array" ref="R448:R448">IF(AND(INDEX(Profils!$L$5:$L$34,$AE448)&gt;0,INDEX(Profils!$AA$5:$AA$34,$AE448)&lt;=$AH448),ROUND(INDEX(Profils!$L$5:$L$34,$AE448)*Paramètres!$E$28*$AG448*$AJ448,Paramètres!$F$28),0)</f>
        <v>0</v>
      </c>
      <c r="S448" s="20" t="n">
        <f aca="false" t="array" ref="S448:S448">IF(AND(INDEX(Profils!$M$5:$M$34,$AE448)&gt;0,INDEX(Profils!$AB$5:$AB$34,$AE448)&lt;=$AH448),ROUND(INDEX(Profils!$M$5:$M$34,$AE448)*Paramètres!$E$29*$AG448*$AJ448,Paramètres!$F$29),0)</f>
        <v>0</v>
      </c>
      <c r="T448" s="20" t="n">
        <f aca="false" t="array" ref="T448:T448">IF(AND(INDEX(Profils!$N$5:$N$34,$AE448)&gt;0,INDEX(Profils!$AC$5:$AC$34,$AE448)&lt;=$AH448),ROUND(INDEX(Profils!$N$5:$N$34,$AE448)*Paramètres!$E$30*$AG448*$AJ448,Paramètres!$F$30),0)</f>
        <v>0</v>
      </c>
      <c r="U448" s="19" t="n">
        <f aca="false" t="array" ref="U448:U448">IF(AND(INDEX(Profils!$O$5:$O$34,$AE448)&gt;0,INDEX(Profils!$AD$5:$AD$34,$AE448)&lt;=$AH448),ROUND(INDEX(Profils!$O$5:$O$34,$AE448)*Paramètres!$E$31*$AG448*$AJ448,Paramètres!$F$31),0)</f>
        <v>0</v>
      </c>
      <c r="V448" s="20" t="n">
        <f aca="false" t="array" ref="V448:V448">IF(AND(INDEX(Profils!$P$5:$P$34,$AE448)&gt;0,INDEX(Profils!$AE$5:$AE$34,$AE448)&lt;=$AH448),ROUND(INDEX(Profils!$P$5:$P$34,$AE448)*Paramètres!$E$32*$AG448*$AJ448,Paramètres!$F$32),0)</f>
        <v>0</v>
      </c>
      <c r="W448" s="20" t="n">
        <f aca="false" t="array" ref="W448:W448">IF(AND(INDEX(Profils!$Q$5:$Q$34,$AE448)&gt;0,INDEX(Profils!$AF$5:$AF$34,$AE448)&lt;=$AH448),ROUND(INDEX(Profils!$Q$5:$Q$34,$AE448)*Paramètres!$E$33*$AG448*$AJ448,Paramètres!$F$33),0)</f>
        <v>0.003</v>
      </c>
      <c r="X448" s="20" t="n">
        <f aca="false" t="array" ref="X448:X448">IF(AND(INDEX(Profils!$R$5:$R$34,$AE448)&gt;0,INDEX(Profils!$AG$5:$AG$34,$AE448)&lt;=$AH448),ROUND(INDEX(Profils!$R$5:$R$34,$AE448)*Paramètres!$E$34*$AG448*$AJ448,Paramètres!$F$34),0)</f>
        <v>0.004</v>
      </c>
      <c r="Y448" s="20" t="n">
        <f aca="false" t="array" ref="Y448:Y448">IF(AND(INDEX(Profils!$S$5:$S$34,$AE448)&gt;0,INDEX(Profils!$AH$5:$AH$34,$AE448)&lt;=$AH448),ROUND(INDEX(Profils!$S$5:$S$34,$AE448)*Paramètres!$E$35*$AG448*$AJ448,Paramètres!$F$35),0)</f>
        <v>0</v>
      </c>
      <c r="Z448" s="21" t="n">
        <f aca="false">ROUND(L448/Paramètres!$E$22+M448/Paramètres!$E$23+N448/Paramètres!$E$24+O448/Paramètres!$E$25+P448/Paramètres!$E$26+Q448/Paramètres!$E$27+R448/Paramètres!$E$28+S448/Paramètres!$E$29+T448/Paramètres!$E$30+U448/Paramètres!$E$31+V448/Paramètres!$E$32+W448/Paramètres!$E$33+X448/Paramètres!$E$34+Y448/Paramètres!$E$35,1)</f>
        <v>0.8</v>
      </c>
      <c r="AA448" s="22" t="s">
        <v>109</v>
      </c>
      <c r="AB448" s="22" t="s">
        <v>109</v>
      </c>
      <c r="AC448" s="15" t="str">
        <f aca="false">$E448</f>
        <v>argent</v>
      </c>
      <c r="AD448" s="16" t="n">
        <f aca="false" t="array" ref="AD448:AD448">IF($I448&gt;=$AI448,"Max",ROUND(Paramètres!$B$40*($I448+1)^Paramètres!$B$41*INDEX(Paramètres!$H$6:$H$12,$AF448),0))</f>
        <v>4</v>
      </c>
      <c r="AE448" s="23" t="n">
        <f aca="false">MATCH($B448&amp;"|"&amp;$C448,Profils!$A$5:$A$34,0)</f>
        <v>15</v>
      </c>
      <c r="AF448" s="23" t="n">
        <v>3</v>
      </c>
      <c r="AG448" s="24" t="n">
        <f aca="false" t="array" ref="AG448:AG448">INDEX(Paramètres!$C$6:$C$12,$AF448)</f>
        <v>1.45</v>
      </c>
      <c r="AH448" s="23" t="n">
        <f aca="false" t="array" ref="AH448:AH448">INDEX(Paramètres!$D$6:$D$12,$AF448)</f>
        <v>4</v>
      </c>
      <c r="AI448" s="23" t="n">
        <f aca="false" t="array" ref="AI448:AI448">INDEX(Matériaux!$C$16:$C$20,$D448)</f>
        <v>20</v>
      </c>
      <c r="AJ448" s="25" t="n">
        <f aca="false">Paramètres!$B$16+(1-Paramètres!$B$16)*(($J448-Paramètres!$B$14)/(Paramètres!$B$15-Paramètres!$B$14))^Paramètres!$B$17</f>
        <v>0.140847925475674</v>
      </c>
    </row>
    <row r="449" customFormat="false" ht="15.75" hidden="false" customHeight="true" outlineLevel="0" collapsed="false">
      <c r="A449" s="14" t="s">
        <v>565</v>
      </c>
      <c r="B449" s="15" t="s">
        <v>29</v>
      </c>
      <c r="C449" s="15" t="s">
        <v>241</v>
      </c>
      <c r="D449" s="16" t="n">
        <v>2</v>
      </c>
      <c r="E449" s="15" t="str">
        <f aca="false" t="array" ref="E449:E449">INDEX(Matériaux!$B$5:$F$12,MATCH(INDEX(Profils!$E$5:$E$34,$AE449),Matériaux!$A$5:$A$12,0),$D449)</f>
        <v>argent</v>
      </c>
      <c r="F449" s="28" t="s">
        <v>115</v>
      </c>
      <c r="G449" s="10" t="str">
        <f aca="false" t="array" ref="G449:G449">INDEX(Profils!$D$5:$D$34,$AE449)&amp;" en "&amp;$E449</f>
        <v>Amulette en argent</v>
      </c>
      <c r="H449" s="16" t="n">
        <f aca="false" t="array" ref="H449:H449">INDEX(Matériaux!$B$16:$B$20,$D449)</f>
        <v>15</v>
      </c>
      <c r="I449" s="16" t="n">
        <f aca="false">IF(ISNUMBER($C$3),MIN(MAX(0,ROUND($C$3,0)),$AI449),$AI449)</f>
        <v>0</v>
      </c>
      <c r="J449" s="18" t="n">
        <f aca="false">$H449+$I449</f>
        <v>15</v>
      </c>
      <c r="K449" s="15" t="s">
        <v>109</v>
      </c>
      <c r="L449" s="19" t="n">
        <f aca="false" t="array" ref="L449:L449">IF(AND(INDEX(Profils!$F$5:$F$34,$AE449)&gt;0,INDEX(Profils!$U$5:$U$34,$AE449)&lt;=$AH449),ROUND(INDEX(Profils!$F$5:$F$34,$AE449)*Paramètres!$E$22*$AG449*$AJ449,Paramètres!$F$22),0)</f>
        <v>7</v>
      </c>
      <c r="M449" s="19" t="n">
        <f aca="false" t="array" ref="M449:M449">IF(AND(INDEX(Profils!$G$5:$G$34,$AE449)&gt;0,INDEX(Profils!$V$5:$V$34,$AE449)&lt;=$AH449),ROUND(INDEX(Profils!$G$5:$G$34,$AE449)*Paramètres!$E$23*$AG449*$AJ449,Paramètres!$F$23),0)</f>
        <v>0</v>
      </c>
      <c r="N449" s="19" t="n">
        <f aca="false" t="array" ref="N449:N449">IF(AND(INDEX(Profils!$H$5:$H$34,$AE449)&gt;0,INDEX(Profils!$W$5:$W$34,$AE449)&lt;=$AH449),ROUND(INDEX(Profils!$H$5:$H$34,$AE449)*Paramètres!$E$24*$AG449*$AJ449,Paramètres!$F$24),0)</f>
        <v>0</v>
      </c>
      <c r="O449" s="19" t="n">
        <f aca="false" t="array" ref="O449:O449">IF(AND(INDEX(Profils!$I$5:$I$34,$AE449)&gt;0,INDEX(Profils!$X$5:$X$34,$AE449)&lt;=$AH449),ROUND(INDEX(Profils!$I$5:$I$34,$AE449)*Paramètres!$E$25*$AG449*$AJ449,Paramètres!$F$25),0)</f>
        <v>4</v>
      </c>
      <c r="P449" s="19" t="n">
        <f aca="false" t="array" ref="P449:P449">IF(AND(INDEX(Profils!$J$5:$J$34,$AE449)&gt;0,INDEX(Profils!$Y$5:$Y$34,$AE449)&lt;=$AH449),ROUND(INDEX(Profils!$J$5:$J$34,$AE449)*Paramètres!$E$26*$AG449*$AJ449,Paramètres!$F$26),0)</f>
        <v>0</v>
      </c>
      <c r="Q449" s="19" t="n">
        <f aca="false" t="array" ref="Q449:Q449">IF(AND(INDEX(Profils!$K$5:$K$34,$AE449)&gt;0,INDEX(Profils!$Z$5:$Z$34,$AE449)&lt;=$AH449),ROUND(INDEX(Profils!$K$5:$K$34,$AE449)*Paramètres!$E$27*$AG449*$AJ449,Paramètres!$F$27),0)</f>
        <v>0</v>
      </c>
      <c r="R449" s="20" t="n">
        <f aca="false" t="array" ref="R449:R449">IF(AND(INDEX(Profils!$L$5:$L$34,$AE449)&gt;0,INDEX(Profils!$AA$5:$AA$34,$AE449)&lt;=$AH449),ROUND(INDEX(Profils!$L$5:$L$34,$AE449)*Paramètres!$E$28*$AG449*$AJ449,Paramètres!$F$28),0)</f>
        <v>0</v>
      </c>
      <c r="S449" s="20" t="n">
        <f aca="false" t="array" ref="S449:S449">IF(AND(INDEX(Profils!$M$5:$M$34,$AE449)&gt;0,INDEX(Profils!$AB$5:$AB$34,$AE449)&lt;=$AH449),ROUND(INDEX(Profils!$M$5:$M$34,$AE449)*Paramètres!$E$29*$AG449*$AJ449,Paramètres!$F$29),0)</f>
        <v>0</v>
      </c>
      <c r="T449" s="20" t="n">
        <f aca="false" t="array" ref="T449:T449">IF(AND(INDEX(Profils!$N$5:$N$34,$AE449)&gt;0,INDEX(Profils!$AC$5:$AC$34,$AE449)&lt;=$AH449),ROUND(INDEX(Profils!$N$5:$N$34,$AE449)*Paramètres!$E$30*$AG449*$AJ449,Paramètres!$F$30),0)</f>
        <v>0</v>
      </c>
      <c r="U449" s="19" t="n">
        <f aca="false" t="array" ref="U449:U449">IF(AND(INDEX(Profils!$O$5:$O$34,$AE449)&gt;0,INDEX(Profils!$AD$5:$AD$34,$AE449)&lt;=$AH449),ROUND(INDEX(Profils!$O$5:$O$34,$AE449)*Paramètres!$E$31*$AG449*$AJ449,Paramètres!$F$31),0)</f>
        <v>0</v>
      </c>
      <c r="V449" s="20" t="n">
        <f aca="false" t="array" ref="V449:V449">IF(AND(INDEX(Profils!$P$5:$P$34,$AE449)&gt;0,INDEX(Profils!$AE$5:$AE$34,$AE449)&lt;=$AH449),ROUND(INDEX(Profils!$P$5:$P$34,$AE449)*Paramètres!$E$32*$AG449*$AJ449,Paramètres!$F$32),0)</f>
        <v>0</v>
      </c>
      <c r="W449" s="20" t="n">
        <f aca="false" t="array" ref="W449:W449">IF(AND(INDEX(Profils!$Q$5:$Q$34,$AE449)&gt;0,INDEX(Profils!$AF$5:$AF$34,$AE449)&lt;=$AH449),ROUND(INDEX(Profils!$Q$5:$Q$34,$AE449)*Paramètres!$E$33*$AG449*$AJ449,Paramètres!$F$33),0)</f>
        <v>0.004</v>
      </c>
      <c r="X449" s="20" t="n">
        <f aca="false" t="array" ref="X449:X449">IF(AND(INDEX(Profils!$R$5:$R$34,$AE449)&gt;0,INDEX(Profils!$AG$5:$AG$34,$AE449)&lt;=$AH449),ROUND(INDEX(Profils!$R$5:$R$34,$AE449)*Paramètres!$E$34*$AG449*$AJ449,Paramètres!$F$34),0)</f>
        <v>0.005</v>
      </c>
      <c r="Y449" s="20" t="n">
        <f aca="false" t="array" ref="Y449:Y449">IF(AND(INDEX(Profils!$S$5:$S$34,$AE449)&gt;0,INDEX(Profils!$AH$5:$AH$34,$AE449)&lt;=$AH449),ROUND(INDEX(Profils!$S$5:$S$34,$AE449)*Paramètres!$E$35*$AG449*$AJ449,Paramètres!$F$35),0)</f>
        <v>0.003</v>
      </c>
      <c r="Z449" s="21" t="n">
        <f aca="false">ROUND(L449/Paramètres!$E$22+M449/Paramètres!$E$23+N449/Paramètres!$E$24+O449/Paramètres!$E$25+P449/Paramètres!$E$26+Q449/Paramètres!$E$27+R449/Paramètres!$E$28+S449/Paramètres!$E$29+T449/Paramètres!$E$30+U449/Paramètres!$E$31+V449/Paramètres!$E$32+W449/Paramètres!$E$33+X449/Paramètres!$E$34+Y449/Paramètres!$E$35,1)</f>
        <v>1.3</v>
      </c>
      <c r="AA449" s="22" t="s">
        <v>109</v>
      </c>
      <c r="AB449" s="22" t="s">
        <v>109</v>
      </c>
      <c r="AC449" s="15" t="str">
        <f aca="false">$E449</f>
        <v>argent</v>
      </c>
      <c r="AD449" s="16" t="n">
        <f aca="false" t="array" ref="AD449:AD449">IF($I449&gt;=$AI449,"Max",ROUND(Paramètres!$B$40*($I449+1)^Paramètres!$B$41*INDEX(Paramètres!$H$6:$H$12,$AF449),0))</f>
        <v>5</v>
      </c>
      <c r="AE449" s="23" t="n">
        <f aca="false">MATCH($B449&amp;"|"&amp;$C449,Profils!$A$5:$A$34,0)</f>
        <v>15</v>
      </c>
      <c r="AF449" s="23" t="n">
        <v>4</v>
      </c>
      <c r="AG449" s="24" t="n">
        <f aca="false" t="array" ref="AG449:AG449">INDEX(Paramètres!$C$6:$C$12,$AF449)</f>
        <v>1.75</v>
      </c>
      <c r="AH449" s="23" t="n">
        <f aca="false" t="array" ref="AH449:AH449">INDEX(Paramètres!$D$6:$D$12,$AF449)</f>
        <v>5</v>
      </c>
      <c r="AI449" s="23" t="n">
        <f aca="false" t="array" ref="AI449:AI449">INDEX(Matériaux!$C$16:$C$20,$D449)</f>
        <v>20</v>
      </c>
      <c r="AJ449" s="25" t="n">
        <f aca="false">Paramètres!$B$16+(1-Paramètres!$B$16)*(($J449-Paramètres!$B$14)/(Paramètres!$B$15-Paramètres!$B$14))^Paramètres!$B$17</f>
        <v>0.140847925475674</v>
      </c>
    </row>
    <row r="450" customFormat="false" ht="15.75" hidden="false" customHeight="true" outlineLevel="0" collapsed="false">
      <c r="A450" s="14" t="s">
        <v>566</v>
      </c>
      <c r="B450" s="15" t="s">
        <v>29</v>
      </c>
      <c r="C450" s="15" t="s">
        <v>241</v>
      </c>
      <c r="D450" s="16" t="n">
        <v>2</v>
      </c>
      <c r="E450" s="15" t="str">
        <f aca="false" t="array" ref="E450:E450">INDEX(Matériaux!$B$5:$F$12,MATCH(INDEX(Profils!$E$5:$E$34,$AE450),Matériaux!$A$5:$A$12,0),$D450)</f>
        <v>argent</v>
      </c>
      <c r="F450" s="29" t="s">
        <v>117</v>
      </c>
      <c r="G450" s="10" t="str">
        <f aca="false" t="array" ref="G450:G450">INDEX(Profils!$D$5:$D$34,$AE450)&amp;" en "&amp;$E450</f>
        <v>Amulette en argent</v>
      </c>
      <c r="H450" s="16" t="n">
        <f aca="false" t="array" ref="H450:H450">INDEX(Matériaux!$B$16:$B$20,$D450)</f>
        <v>15</v>
      </c>
      <c r="I450" s="16" t="n">
        <f aca="false">IF(ISNUMBER($C$3),MIN(MAX(0,ROUND($C$3,0)),$AI450),$AI450)</f>
        <v>0</v>
      </c>
      <c r="J450" s="18" t="n">
        <f aca="false">$H450+$I450</f>
        <v>15</v>
      </c>
      <c r="K450" s="15" t="s">
        <v>109</v>
      </c>
      <c r="L450" s="19" t="n">
        <f aca="false" t="array" ref="L450:L450">IF(AND(INDEX(Profils!$F$5:$F$34,$AE450)&gt;0,INDEX(Profils!$U$5:$U$34,$AE450)&lt;=$AH450),ROUND(INDEX(Profils!$F$5:$F$34,$AE450)*Paramètres!$E$22*$AG450*$AJ450,Paramètres!$F$22),0)</f>
        <v>9</v>
      </c>
      <c r="M450" s="19" t="n">
        <f aca="false" t="array" ref="M450:M450">IF(AND(INDEX(Profils!$G$5:$G$34,$AE450)&gt;0,INDEX(Profils!$V$5:$V$34,$AE450)&lt;=$AH450),ROUND(INDEX(Profils!$G$5:$G$34,$AE450)*Paramètres!$E$23*$AG450*$AJ450,Paramètres!$F$23),0)</f>
        <v>0</v>
      </c>
      <c r="N450" s="19" t="n">
        <f aca="false" t="array" ref="N450:N450">IF(AND(INDEX(Profils!$H$5:$H$34,$AE450)&gt;0,INDEX(Profils!$W$5:$W$34,$AE450)&lt;=$AH450),ROUND(INDEX(Profils!$H$5:$H$34,$AE450)*Paramètres!$E$24*$AG450*$AJ450,Paramètres!$F$24),0)</f>
        <v>0</v>
      </c>
      <c r="O450" s="19" t="n">
        <f aca="false" t="array" ref="O450:O450">IF(AND(INDEX(Profils!$I$5:$I$34,$AE450)&gt;0,INDEX(Profils!$X$5:$X$34,$AE450)&lt;=$AH450),ROUND(INDEX(Profils!$I$5:$I$34,$AE450)*Paramètres!$E$25*$AG450*$AJ450,Paramètres!$F$25),0)</f>
        <v>5</v>
      </c>
      <c r="P450" s="19" t="n">
        <f aca="false" t="array" ref="P450:P450">IF(AND(INDEX(Profils!$J$5:$J$34,$AE450)&gt;0,INDEX(Profils!$Y$5:$Y$34,$AE450)&lt;=$AH450),ROUND(INDEX(Profils!$J$5:$J$34,$AE450)*Paramètres!$E$26*$AG450*$AJ450,Paramètres!$F$26),0)</f>
        <v>0</v>
      </c>
      <c r="Q450" s="19" t="n">
        <f aca="false" t="array" ref="Q450:Q450">IF(AND(INDEX(Profils!$K$5:$K$34,$AE450)&gt;0,INDEX(Profils!$Z$5:$Z$34,$AE450)&lt;=$AH450),ROUND(INDEX(Profils!$K$5:$K$34,$AE450)*Paramètres!$E$27*$AG450*$AJ450,Paramètres!$F$27),0)</f>
        <v>2</v>
      </c>
      <c r="R450" s="20" t="n">
        <f aca="false" t="array" ref="R450:R450">IF(AND(INDEX(Profils!$L$5:$L$34,$AE450)&gt;0,INDEX(Profils!$AA$5:$AA$34,$AE450)&lt;=$AH450),ROUND(INDEX(Profils!$L$5:$L$34,$AE450)*Paramètres!$E$28*$AG450*$AJ450,Paramètres!$F$28),0)</f>
        <v>0</v>
      </c>
      <c r="S450" s="20" t="n">
        <f aca="false" t="array" ref="S450:S450">IF(AND(INDEX(Profils!$M$5:$M$34,$AE450)&gt;0,INDEX(Profils!$AB$5:$AB$34,$AE450)&lt;=$AH450),ROUND(INDEX(Profils!$M$5:$M$34,$AE450)*Paramètres!$E$29*$AG450*$AJ450,Paramètres!$F$29),0)</f>
        <v>0</v>
      </c>
      <c r="T450" s="20" t="n">
        <f aca="false" t="array" ref="T450:T450">IF(AND(INDEX(Profils!$N$5:$N$34,$AE450)&gt;0,INDEX(Profils!$AC$5:$AC$34,$AE450)&lt;=$AH450),ROUND(INDEX(Profils!$N$5:$N$34,$AE450)*Paramètres!$E$30*$AG450*$AJ450,Paramètres!$F$30),0)</f>
        <v>0</v>
      </c>
      <c r="U450" s="19" t="n">
        <f aca="false" t="array" ref="U450:U450">IF(AND(INDEX(Profils!$O$5:$O$34,$AE450)&gt;0,INDEX(Profils!$AD$5:$AD$34,$AE450)&lt;=$AH450),ROUND(INDEX(Profils!$O$5:$O$34,$AE450)*Paramètres!$E$31*$AG450*$AJ450,Paramètres!$F$31),0)</f>
        <v>0</v>
      </c>
      <c r="V450" s="20" t="n">
        <f aca="false" t="array" ref="V450:V450">IF(AND(INDEX(Profils!$P$5:$P$34,$AE450)&gt;0,INDEX(Profils!$AE$5:$AE$34,$AE450)&lt;=$AH450),ROUND(INDEX(Profils!$P$5:$P$34,$AE450)*Paramètres!$E$32*$AG450*$AJ450,Paramètres!$F$32),0)</f>
        <v>0</v>
      </c>
      <c r="W450" s="20" t="n">
        <f aca="false" t="array" ref="W450:W450">IF(AND(INDEX(Profils!$Q$5:$Q$34,$AE450)&gt;0,INDEX(Profils!$AF$5:$AF$34,$AE450)&lt;=$AH450),ROUND(INDEX(Profils!$Q$5:$Q$34,$AE450)*Paramètres!$E$33*$AG450*$AJ450,Paramètres!$F$33),0)</f>
        <v>0.004</v>
      </c>
      <c r="X450" s="20" t="n">
        <f aca="false" t="array" ref="X450:X450">IF(AND(INDEX(Profils!$R$5:$R$34,$AE450)&gt;0,INDEX(Profils!$AG$5:$AG$34,$AE450)&lt;=$AH450),ROUND(INDEX(Profils!$R$5:$R$34,$AE450)*Paramètres!$E$34*$AG450*$AJ450,Paramètres!$F$34),0)</f>
        <v>0.006</v>
      </c>
      <c r="Y450" s="20" t="n">
        <f aca="false" t="array" ref="Y450:Y450">IF(AND(INDEX(Profils!$S$5:$S$34,$AE450)&gt;0,INDEX(Profils!$AH$5:$AH$34,$AE450)&lt;=$AH450),ROUND(INDEX(Profils!$S$5:$S$34,$AE450)*Paramètres!$E$35*$AG450*$AJ450,Paramètres!$F$35),0)</f>
        <v>0.004</v>
      </c>
      <c r="Z450" s="21" t="n">
        <f aca="false">ROUND(L450/Paramètres!$E$22+M450/Paramètres!$E$23+N450/Paramètres!$E$24+O450/Paramètres!$E$25+P450/Paramètres!$E$26+Q450/Paramètres!$E$27+R450/Paramètres!$E$28+S450/Paramètres!$E$29+T450/Paramètres!$E$30+U450/Paramètres!$E$31+V450/Paramètres!$E$32+W450/Paramètres!$E$33+X450/Paramètres!$E$34+Y450/Paramètres!$E$35,1)</f>
        <v>1.7</v>
      </c>
      <c r="AA450" s="22" t="s">
        <v>109</v>
      </c>
      <c r="AB450" s="22" t="s">
        <v>109</v>
      </c>
      <c r="AC450" s="15" t="str">
        <f aca="false">$E450</f>
        <v>argent</v>
      </c>
      <c r="AD450" s="16" t="n">
        <f aca="false" t="array" ref="AD450:AD450">IF($I450&gt;=$AI450,"Max",ROUND(Paramètres!$B$40*($I450+1)^Paramètres!$B$41*INDEX(Paramètres!$H$6:$H$12,$AF450),0))</f>
        <v>6</v>
      </c>
      <c r="AE450" s="23" t="n">
        <f aca="false">MATCH($B450&amp;"|"&amp;$C450,Profils!$A$5:$A$34,0)</f>
        <v>15</v>
      </c>
      <c r="AF450" s="23" t="n">
        <v>5</v>
      </c>
      <c r="AG450" s="24" t="n">
        <f aca="false" t="array" ref="AG450:AG450">INDEX(Paramètres!$C$6:$C$12,$AF450)</f>
        <v>2.1</v>
      </c>
      <c r="AH450" s="23" t="n">
        <f aca="false" t="array" ref="AH450:AH450">INDEX(Paramètres!$D$6:$D$12,$AF450)</f>
        <v>6</v>
      </c>
      <c r="AI450" s="23" t="n">
        <f aca="false" t="array" ref="AI450:AI450">INDEX(Matériaux!$C$16:$C$20,$D450)</f>
        <v>20</v>
      </c>
      <c r="AJ450" s="25" t="n">
        <f aca="false">Paramètres!$B$16+(1-Paramètres!$B$16)*(($J450-Paramètres!$B$14)/(Paramètres!$B$15-Paramètres!$B$14))^Paramètres!$B$17</f>
        <v>0.140847925475674</v>
      </c>
    </row>
    <row r="451" customFormat="false" ht="15.75" hidden="false" customHeight="true" outlineLevel="0" collapsed="false">
      <c r="A451" s="14" t="s">
        <v>567</v>
      </c>
      <c r="B451" s="15" t="s">
        <v>29</v>
      </c>
      <c r="C451" s="15" t="s">
        <v>241</v>
      </c>
      <c r="D451" s="16" t="n">
        <v>2</v>
      </c>
      <c r="E451" s="15" t="str">
        <f aca="false" t="array" ref="E451:E451">INDEX(Matériaux!$B$5:$F$12,MATCH(INDEX(Profils!$E$5:$E$34,$AE451),Matériaux!$A$5:$A$12,0),$D451)</f>
        <v>argent</v>
      </c>
      <c r="F451" s="30" t="s">
        <v>119</v>
      </c>
      <c r="G451" s="10" t="str">
        <f aca="false" t="array" ref="G451:G451">INDEX(Profils!$D$5:$D$34,$AE451)&amp;" en "&amp;$E451</f>
        <v>Amulette en argent</v>
      </c>
      <c r="H451" s="16" t="n">
        <f aca="false" t="array" ref="H451:H451">INDEX(Matériaux!$B$16:$B$20,$D451)</f>
        <v>15</v>
      </c>
      <c r="I451" s="16" t="n">
        <f aca="false">IF(ISNUMBER($C$3),MIN(MAX(0,ROUND($C$3,0)),$AI451),$AI451)</f>
        <v>0</v>
      </c>
      <c r="J451" s="18" t="n">
        <f aca="false">$H451+$I451</f>
        <v>15</v>
      </c>
      <c r="K451" s="15" t="s">
        <v>109</v>
      </c>
      <c r="L451" s="19" t="n">
        <f aca="false" t="array" ref="L451:L451">IF(AND(INDEX(Profils!$F$5:$F$34,$AE451)&gt;0,INDEX(Profils!$U$5:$U$34,$AE451)&lt;=$AH451),ROUND(INDEX(Profils!$F$5:$F$34,$AE451)*Paramètres!$E$22*$AG451*$AJ451,Paramètres!$F$22),0)</f>
        <v>10</v>
      </c>
      <c r="M451" s="19" t="n">
        <f aca="false" t="array" ref="M451:M451">IF(AND(INDEX(Profils!$G$5:$G$34,$AE451)&gt;0,INDEX(Profils!$V$5:$V$34,$AE451)&lt;=$AH451),ROUND(INDEX(Profils!$G$5:$G$34,$AE451)*Paramètres!$E$23*$AG451*$AJ451,Paramètres!$F$23),0)</f>
        <v>0</v>
      </c>
      <c r="N451" s="19" t="n">
        <f aca="false" t="array" ref="N451:N451">IF(AND(INDEX(Profils!$H$5:$H$34,$AE451)&gt;0,INDEX(Profils!$W$5:$W$34,$AE451)&lt;=$AH451),ROUND(INDEX(Profils!$H$5:$H$34,$AE451)*Paramètres!$E$24*$AG451*$AJ451,Paramètres!$F$24),0)</f>
        <v>0</v>
      </c>
      <c r="O451" s="19" t="n">
        <f aca="false" t="array" ref="O451:O451">IF(AND(INDEX(Profils!$I$5:$I$34,$AE451)&gt;0,INDEX(Profils!$X$5:$X$34,$AE451)&lt;=$AH451),ROUND(INDEX(Profils!$I$5:$I$34,$AE451)*Paramètres!$E$25*$AG451*$AJ451,Paramètres!$F$25),0)</f>
        <v>6</v>
      </c>
      <c r="P451" s="19" t="n">
        <f aca="false" t="array" ref="P451:P451">IF(AND(INDEX(Profils!$J$5:$J$34,$AE451)&gt;0,INDEX(Profils!$Y$5:$Y$34,$AE451)&lt;=$AH451),ROUND(INDEX(Profils!$J$5:$J$34,$AE451)*Paramètres!$E$26*$AG451*$AJ451,Paramètres!$F$26),0)</f>
        <v>0</v>
      </c>
      <c r="Q451" s="19" t="n">
        <f aca="false" t="array" ref="Q451:Q451">IF(AND(INDEX(Profils!$K$5:$K$34,$AE451)&gt;0,INDEX(Profils!$Z$5:$Z$34,$AE451)&lt;=$AH451),ROUND(INDEX(Profils!$K$5:$K$34,$AE451)*Paramètres!$E$27*$AG451*$AJ451,Paramètres!$F$27),0)</f>
        <v>2</v>
      </c>
      <c r="R451" s="20" t="n">
        <f aca="false" t="array" ref="R451:R451">IF(AND(INDEX(Profils!$L$5:$L$34,$AE451)&gt;0,INDEX(Profils!$AA$5:$AA$34,$AE451)&lt;=$AH451),ROUND(INDEX(Profils!$L$5:$L$34,$AE451)*Paramètres!$E$28*$AG451*$AJ451,Paramètres!$F$28),0)</f>
        <v>0</v>
      </c>
      <c r="S451" s="20" t="n">
        <f aca="false" t="array" ref="S451:S451">IF(AND(INDEX(Profils!$M$5:$M$34,$AE451)&gt;0,INDEX(Profils!$AB$5:$AB$34,$AE451)&lt;=$AH451),ROUND(INDEX(Profils!$M$5:$M$34,$AE451)*Paramètres!$E$29*$AG451*$AJ451,Paramètres!$F$29),0)</f>
        <v>0.002</v>
      </c>
      <c r="T451" s="20" t="n">
        <f aca="false" t="array" ref="T451:T451">IF(AND(INDEX(Profils!$N$5:$N$34,$AE451)&gt;0,INDEX(Profils!$AC$5:$AC$34,$AE451)&lt;=$AH451),ROUND(INDEX(Profils!$N$5:$N$34,$AE451)*Paramètres!$E$30*$AG451*$AJ451,Paramètres!$F$30),0)</f>
        <v>0</v>
      </c>
      <c r="U451" s="19" t="n">
        <f aca="false" t="array" ref="U451:U451">IF(AND(INDEX(Profils!$O$5:$O$34,$AE451)&gt;0,INDEX(Profils!$AD$5:$AD$34,$AE451)&lt;=$AH451),ROUND(INDEX(Profils!$O$5:$O$34,$AE451)*Paramètres!$E$31*$AG451*$AJ451,Paramètres!$F$31),0)</f>
        <v>0</v>
      </c>
      <c r="V451" s="20" t="n">
        <f aca="false" t="array" ref="V451:V451">IF(AND(INDEX(Profils!$P$5:$P$34,$AE451)&gt;0,INDEX(Profils!$AE$5:$AE$34,$AE451)&lt;=$AH451),ROUND(INDEX(Profils!$P$5:$P$34,$AE451)*Paramètres!$E$32*$AG451*$AJ451,Paramètres!$F$32),0)</f>
        <v>0</v>
      </c>
      <c r="W451" s="20" t="n">
        <f aca="false" t="array" ref="W451:W451">IF(AND(INDEX(Profils!$Q$5:$Q$34,$AE451)&gt;0,INDEX(Profils!$AF$5:$AF$34,$AE451)&lt;=$AH451),ROUND(INDEX(Profils!$Q$5:$Q$34,$AE451)*Paramètres!$E$33*$AG451*$AJ451,Paramètres!$F$33),0)</f>
        <v>0.005</v>
      </c>
      <c r="X451" s="20" t="n">
        <f aca="false" t="array" ref="X451:X451">IF(AND(INDEX(Profils!$R$5:$R$34,$AE451)&gt;0,INDEX(Profils!$AG$5:$AG$34,$AE451)&lt;=$AH451),ROUND(INDEX(Profils!$R$5:$R$34,$AE451)*Paramètres!$E$34*$AG451*$AJ451,Paramètres!$F$34),0)</f>
        <v>0.007</v>
      </c>
      <c r="Y451" s="20" t="n">
        <f aca="false" t="array" ref="Y451:Y451">IF(AND(INDEX(Profils!$S$5:$S$34,$AE451)&gt;0,INDEX(Profils!$AH$5:$AH$34,$AE451)&lt;=$AH451),ROUND(INDEX(Profils!$S$5:$S$34,$AE451)*Paramètres!$E$35*$AG451*$AJ451,Paramètres!$F$35),0)</f>
        <v>0.004</v>
      </c>
      <c r="Z451" s="21" t="n">
        <f aca="false">ROUND(L451/Paramètres!$E$22+M451/Paramètres!$E$23+N451/Paramètres!$E$24+O451/Paramètres!$E$25+P451/Paramètres!$E$26+Q451/Paramètres!$E$27+R451/Paramètres!$E$28+S451/Paramètres!$E$29+T451/Paramètres!$E$30+U451/Paramètres!$E$31+V451/Paramètres!$E$32+W451/Paramètres!$E$33+X451/Paramètres!$E$34+Y451/Paramètres!$E$35,1)</f>
        <v>2.1</v>
      </c>
      <c r="AA451" s="22" t="s">
        <v>109</v>
      </c>
      <c r="AB451" s="22" t="s">
        <v>109</v>
      </c>
      <c r="AC451" s="15" t="str">
        <f aca="false">$E451</f>
        <v>argent</v>
      </c>
      <c r="AD451" s="16" t="n">
        <f aca="false" t="array" ref="AD451:AD451">IF($I451&gt;=$AI451,"Max",ROUND(Paramètres!$B$40*($I451+1)^Paramètres!$B$41*INDEX(Paramètres!$H$6:$H$12,$AF451),0))</f>
        <v>8</v>
      </c>
      <c r="AE451" s="23" t="n">
        <f aca="false">MATCH($B451&amp;"|"&amp;$C451,Profils!$A$5:$A$34,0)</f>
        <v>15</v>
      </c>
      <c r="AF451" s="23" t="n">
        <v>6</v>
      </c>
      <c r="AG451" s="24" t="n">
        <f aca="false" t="array" ref="AG451:AG451">INDEX(Paramètres!$C$6:$C$12,$AF451)</f>
        <v>2.4</v>
      </c>
      <c r="AH451" s="23" t="n">
        <f aca="false" t="array" ref="AH451:AH451">INDEX(Paramètres!$D$6:$D$12,$AF451)</f>
        <v>7</v>
      </c>
      <c r="AI451" s="23" t="n">
        <f aca="false" t="array" ref="AI451:AI451">INDEX(Matériaux!$C$16:$C$20,$D451)</f>
        <v>20</v>
      </c>
      <c r="AJ451" s="25" t="n">
        <f aca="false">Paramètres!$B$16+(1-Paramètres!$B$16)*(($J451-Paramètres!$B$14)/(Paramètres!$B$15-Paramètres!$B$14))^Paramètres!$B$17</f>
        <v>0.140847925475674</v>
      </c>
    </row>
    <row r="452" customFormat="false" ht="15.75" hidden="false" customHeight="true" outlineLevel="0" collapsed="false">
      <c r="A452" s="14" t="s">
        <v>568</v>
      </c>
      <c r="B452" s="15" t="s">
        <v>29</v>
      </c>
      <c r="C452" s="15" t="s">
        <v>241</v>
      </c>
      <c r="D452" s="16" t="n">
        <v>3</v>
      </c>
      <c r="E452" s="15" t="str">
        <f aca="false" t="array" ref="E452:E452">INDEX(Matériaux!$B$5:$F$12,MATCH(INDEX(Profils!$E$5:$E$34,$AE452),Matériaux!$A$5:$A$12,0),$D452)</f>
        <v>or</v>
      </c>
      <c r="F452" s="17" t="s">
        <v>108</v>
      </c>
      <c r="G452" s="10" t="str">
        <f aca="false" t="array" ref="G452:G452">INDEX(Profils!$D$5:$D$34,$AE452)&amp;" en "&amp;$E452</f>
        <v>Amulette en or</v>
      </c>
      <c r="H452" s="16" t="n">
        <f aca="false" t="array" ref="H452:H452">INDEX(Matériaux!$B$16:$B$20,$D452)</f>
        <v>30</v>
      </c>
      <c r="I452" s="16" t="n">
        <f aca="false">IF(ISNUMBER($C$3),MIN(MAX(0,ROUND($C$3,0)),$AI452),$AI452)</f>
        <v>0</v>
      </c>
      <c r="J452" s="18" t="n">
        <f aca="false">$H452+$I452</f>
        <v>30</v>
      </c>
      <c r="K452" s="15" t="s">
        <v>109</v>
      </c>
      <c r="L452" s="19" t="n">
        <f aca="false" t="array" ref="L452:L452">IF(AND(INDEX(Profils!$F$5:$F$34,$AE452)&gt;0,INDEX(Profils!$U$5:$U$34,$AE452)&lt;=$AH452),ROUND(INDEX(Profils!$F$5:$F$34,$AE452)*Paramètres!$E$22*$AG452*$AJ452,Paramètres!$F$22),0)</f>
        <v>8</v>
      </c>
      <c r="M452" s="19" t="n">
        <f aca="false" t="array" ref="M452:M452">IF(AND(INDEX(Profils!$G$5:$G$34,$AE452)&gt;0,INDEX(Profils!$V$5:$V$34,$AE452)&lt;=$AH452),ROUND(INDEX(Profils!$G$5:$G$34,$AE452)*Paramètres!$E$23*$AG452*$AJ452,Paramètres!$F$23),0)</f>
        <v>0</v>
      </c>
      <c r="N452" s="19" t="n">
        <f aca="false" t="array" ref="N452:N452">IF(AND(INDEX(Profils!$H$5:$H$34,$AE452)&gt;0,INDEX(Profils!$W$5:$W$34,$AE452)&lt;=$AH452),ROUND(INDEX(Profils!$H$5:$H$34,$AE452)*Paramètres!$E$24*$AG452*$AJ452,Paramètres!$F$24),0)</f>
        <v>0</v>
      </c>
      <c r="O452" s="19" t="n">
        <f aca="false" t="array" ref="O452:O452">IF(AND(INDEX(Profils!$I$5:$I$34,$AE452)&gt;0,INDEX(Profils!$X$5:$X$34,$AE452)&lt;=$AH452),ROUND(INDEX(Profils!$I$5:$I$34,$AE452)*Paramètres!$E$25*$AG452*$AJ452,Paramètres!$F$25),0)</f>
        <v>4</v>
      </c>
      <c r="P452" s="19" t="n">
        <f aca="false" t="array" ref="P452:P452">IF(AND(INDEX(Profils!$J$5:$J$34,$AE452)&gt;0,INDEX(Profils!$Y$5:$Y$34,$AE452)&lt;=$AH452),ROUND(INDEX(Profils!$J$5:$J$34,$AE452)*Paramètres!$E$26*$AG452*$AJ452,Paramètres!$F$26),0)</f>
        <v>0</v>
      </c>
      <c r="Q452" s="19" t="n">
        <f aca="false" t="array" ref="Q452:Q452">IF(AND(INDEX(Profils!$K$5:$K$34,$AE452)&gt;0,INDEX(Profils!$Z$5:$Z$34,$AE452)&lt;=$AH452),ROUND(INDEX(Profils!$K$5:$K$34,$AE452)*Paramètres!$E$27*$AG452*$AJ452,Paramètres!$F$27),0)</f>
        <v>0</v>
      </c>
      <c r="R452" s="20" t="n">
        <f aca="false" t="array" ref="R452:R452">IF(AND(INDEX(Profils!$L$5:$L$34,$AE452)&gt;0,INDEX(Profils!$AA$5:$AA$34,$AE452)&lt;=$AH452),ROUND(INDEX(Profils!$L$5:$L$34,$AE452)*Paramètres!$E$28*$AG452*$AJ452,Paramètres!$F$28),0)</f>
        <v>0</v>
      </c>
      <c r="S452" s="20" t="n">
        <f aca="false" t="array" ref="S452:S452">IF(AND(INDEX(Profils!$M$5:$M$34,$AE452)&gt;0,INDEX(Profils!$AB$5:$AB$34,$AE452)&lt;=$AH452),ROUND(INDEX(Profils!$M$5:$M$34,$AE452)*Paramètres!$E$29*$AG452*$AJ452,Paramètres!$F$29),0)</f>
        <v>0</v>
      </c>
      <c r="T452" s="20" t="n">
        <f aca="false" t="array" ref="T452:T452">IF(AND(INDEX(Profils!$N$5:$N$34,$AE452)&gt;0,INDEX(Profils!$AC$5:$AC$34,$AE452)&lt;=$AH452),ROUND(INDEX(Profils!$N$5:$N$34,$AE452)*Paramètres!$E$30*$AG452*$AJ452,Paramètres!$F$30),0)</f>
        <v>0</v>
      </c>
      <c r="U452" s="19" t="n">
        <f aca="false" t="array" ref="U452:U452">IF(AND(INDEX(Profils!$O$5:$O$34,$AE452)&gt;0,INDEX(Profils!$AD$5:$AD$34,$AE452)&lt;=$AH452),ROUND(INDEX(Profils!$O$5:$O$34,$AE452)*Paramètres!$E$31*$AG452*$AJ452,Paramètres!$F$31),0)</f>
        <v>0</v>
      </c>
      <c r="V452" s="20" t="n">
        <f aca="false" t="array" ref="V452:V452">IF(AND(INDEX(Profils!$P$5:$P$34,$AE452)&gt;0,INDEX(Profils!$AE$5:$AE$34,$AE452)&lt;=$AH452),ROUND(INDEX(Profils!$P$5:$P$34,$AE452)*Paramètres!$E$32*$AG452*$AJ452,Paramètres!$F$32),0)</f>
        <v>0</v>
      </c>
      <c r="W452" s="20" t="n">
        <f aca="false" t="array" ref="W452:W452">IF(AND(INDEX(Profils!$Q$5:$Q$34,$AE452)&gt;0,INDEX(Profils!$AF$5:$AF$34,$AE452)&lt;=$AH452),ROUND(INDEX(Profils!$Q$5:$Q$34,$AE452)*Paramètres!$E$33*$AG452*$AJ452,Paramètres!$F$33),0)</f>
        <v>0</v>
      </c>
      <c r="X452" s="20" t="n">
        <f aca="false" t="array" ref="X452:X452">IF(AND(INDEX(Profils!$R$5:$R$34,$AE452)&gt;0,INDEX(Profils!$AG$5:$AG$34,$AE452)&lt;=$AH452),ROUND(INDEX(Profils!$R$5:$R$34,$AE452)*Paramètres!$E$34*$AG452*$AJ452,Paramètres!$F$34),0)</f>
        <v>0</v>
      </c>
      <c r="Y452" s="20" t="n">
        <f aca="false" t="array" ref="Y452:Y452">IF(AND(INDEX(Profils!$S$5:$S$34,$AE452)&gt;0,INDEX(Profils!$AH$5:$AH$34,$AE452)&lt;=$AH452),ROUND(INDEX(Profils!$S$5:$S$34,$AE452)*Paramètres!$E$35*$AG452*$AJ452,Paramètres!$F$35),0)</f>
        <v>0</v>
      </c>
      <c r="Z452" s="21" t="n">
        <f aca="false">ROUND(L452/Paramètres!$E$22+M452/Paramètres!$E$23+N452/Paramètres!$E$24+O452/Paramètres!$E$25+P452/Paramètres!$E$26+Q452/Paramètres!$E$27+R452/Paramètres!$E$28+S452/Paramètres!$E$29+T452/Paramètres!$E$30+U452/Paramètres!$E$31+V452/Paramètres!$E$32+W452/Paramètres!$E$33+X452/Paramètres!$E$34+Y452/Paramètres!$E$35,1)</f>
        <v>0.6</v>
      </c>
      <c r="AA452" s="22" t="s">
        <v>109</v>
      </c>
      <c r="AB452" s="22" t="s">
        <v>109</v>
      </c>
      <c r="AC452" s="15" t="str">
        <f aca="false">$E452</f>
        <v>or</v>
      </c>
      <c r="AD452" s="16" t="n">
        <f aca="false" t="array" ref="AD452:AD452">IF($I452&gt;=$AI452,"Max",ROUND(Paramètres!$B$40*($I452+1)^Paramètres!$B$41*INDEX(Paramètres!$H$6:$H$12,$AF452),0))</f>
        <v>3</v>
      </c>
      <c r="AE452" s="23" t="n">
        <f aca="false">MATCH($B452&amp;"|"&amp;$C452,Profils!$A$5:$A$34,0)</f>
        <v>15</v>
      </c>
      <c r="AF452" s="23" t="n">
        <v>1</v>
      </c>
      <c r="AG452" s="24" t="n">
        <f aca="false" t="array" ref="AG452:AG452">INDEX(Paramètres!$C$6:$C$12,$AF452)</f>
        <v>1</v>
      </c>
      <c r="AH452" s="23" t="n">
        <f aca="false" t="array" ref="AH452:AH452">INDEX(Paramètres!$D$6:$D$12,$AF452)</f>
        <v>2</v>
      </c>
      <c r="AI452" s="23" t="n">
        <f aca="false" t="array" ref="AI452:AI452">INDEX(Matériaux!$C$16:$C$20,$D452)</f>
        <v>25</v>
      </c>
      <c r="AJ452" s="25" t="n">
        <f aca="false">Paramètres!$B$16+(1-Paramètres!$B$16)*(($J452-Paramètres!$B$14)/(Paramètres!$B$15-Paramètres!$B$14))^Paramètres!$B$17</f>
        <v>0.26769024555533</v>
      </c>
    </row>
    <row r="453" customFormat="false" ht="15.75" hidden="false" customHeight="true" outlineLevel="0" collapsed="false">
      <c r="A453" s="14" t="s">
        <v>569</v>
      </c>
      <c r="B453" s="15" t="s">
        <v>29</v>
      </c>
      <c r="C453" s="15" t="s">
        <v>241</v>
      </c>
      <c r="D453" s="16" t="n">
        <v>3</v>
      </c>
      <c r="E453" s="15" t="str">
        <f aca="false" t="array" ref="E453:E453">INDEX(Matériaux!$B$5:$F$12,MATCH(INDEX(Profils!$E$5:$E$34,$AE453),Matériaux!$A$5:$A$12,0),$D453)</f>
        <v>or</v>
      </c>
      <c r="F453" s="26" t="s">
        <v>111</v>
      </c>
      <c r="G453" s="10" t="str">
        <f aca="false" t="array" ref="G453:G453">INDEX(Profils!$D$5:$D$34,$AE453)&amp;" en "&amp;$E453</f>
        <v>Amulette en or</v>
      </c>
      <c r="H453" s="16" t="n">
        <f aca="false" t="array" ref="H453:H453">INDEX(Matériaux!$B$16:$B$20,$D453)</f>
        <v>30</v>
      </c>
      <c r="I453" s="16" t="n">
        <f aca="false">IF(ISNUMBER($C$3),MIN(MAX(0,ROUND($C$3,0)),$AI453),$AI453)</f>
        <v>0</v>
      </c>
      <c r="J453" s="18" t="n">
        <f aca="false">$H453+$I453</f>
        <v>30</v>
      </c>
      <c r="K453" s="15" t="s">
        <v>109</v>
      </c>
      <c r="L453" s="19" t="n">
        <f aca="false" t="array" ref="L453:L453">IF(AND(INDEX(Profils!$F$5:$F$34,$AE453)&gt;0,INDEX(Profils!$U$5:$U$34,$AE453)&lt;=$AH453),ROUND(INDEX(Profils!$F$5:$F$34,$AE453)*Paramètres!$E$22*$AG453*$AJ453,Paramètres!$F$22),0)</f>
        <v>10</v>
      </c>
      <c r="M453" s="19" t="n">
        <f aca="false" t="array" ref="M453:M453">IF(AND(INDEX(Profils!$G$5:$G$34,$AE453)&gt;0,INDEX(Profils!$V$5:$V$34,$AE453)&lt;=$AH453),ROUND(INDEX(Profils!$G$5:$G$34,$AE453)*Paramètres!$E$23*$AG453*$AJ453,Paramètres!$F$23),0)</f>
        <v>0</v>
      </c>
      <c r="N453" s="19" t="n">
        <f aca="false" t="array" ref="N453:N453">IF(AND(INDEX(Profils!$H$5:$H$34,$AE453)&gt;0,INDEX(Profils!$W$5:$W$34,$AE453)&lt;=$AH453),ROUND(INDEX(Profils!$H$5:$H$34,$AE453)*Paramètres!$E$24*$AG453*$AJ453,Paramètres!$F$24),0)</f>
        <v>0</v>
      </c>
      <c r="O453" s="19" t="n">
        <f aca="false" t="array" ref="O453:O453">IF(AND(INDEX(Profils!$I$5:$I$34,$AE453)&gt;0,INDEX(Profils!$X$5:$X$34,$AE453)&lt;=$AH453),ROUND(INDEX(Profils!$I$5:$I$34,$AE453)*Paramètres!$E$25*$AG453*$AJ453,Paramètres!$F$25),0)</f>
        <v>5</v>
      </c>
      <c r="P453" s="19" t="n">
        <f aca="false" t="array" ref="P453:P453">IF(AND(INDEX(Profils!$J$5:$J$34,$AE453)&gt;0,INDEX(Profils!$Y$5:$Y$34,$AE453)&lt;=$AH453),ROUND(INDEX(Profils!$J$5:$J$34,$AE453)*Paramètres!$E$26*$AG453*$AJ453,Paramètres!$F$26),0)</f>
        <v>0</v>
      </c>
      <c r="Q453" s="19" t="n">
        <f aca="false" t="array" ref="Q453:Q453">IF(AND(INDEX(Profils!$K$5:$K$34,$AE453)&gt;0,INDEX(Profils!$Z$5:$Z$34,$AE453)&lt;=$AH453),ROUND(INDEX(Profils!$K$5:$K$34,$AE453)*Paramètres!$E$27*$AG453*$AJ453,Paramètres!$F$27),0)</f>
        <v>0</v>
      </c>
      <c r="R453" s="20" t="n">
        <f aca="false" t="array" ref="R453:R453">IF(AND(INDEX(Profils!$L$5:$L$34,$AE453)&gt;0,INDEX(Profils!$AA$5:$AA$34,$AE453)&lt;=$AH453),ROUND(INDEX(Profils!$L$5:$L$34,$AE453)*Paramètres!$E$28*$AG453*$AJ453,Paramètres!$F$28),0)</f>
        <v>0</v>
      </c>
      <c r="S453" s="20" t="n">
        <f aca="false" t="array" ref="S453:S453">IF(AND(INDEX(Profils!$M$5:$M$34,$AE453)&gt;0,INDEX(Profils!$AB$5:$AB$34,$AE453)&lt;=$AH453),ROUND(INDEX(Profils!$M$5:$M$34,$AE453)*Paramètres!$E$29*$AG453*$AJ453,Paramètres!$F$29),0)</f>
        <v>0</v>
      </c>
      <c r="T453" s="20" t="n">
        <f aca="false" t="array" ref="T453:T453">IF(AND(INDEX(Profils!$N$5:$N$34,$AE453)&gt;0,INDEX(Profils!$AC$5:$AC$34,$AE453)&lt;=$AH453),ROUND(INDEX(Profils!$N$5:$N$34,$AE453)*Paramètres!$E$30*$AG453*$AJ453,Paramètres!$F$30),0)</f>
        <v>0</v>
      </c>
      <c r="U453" s="19" t="n">
        <f aca="false" t="array" ref="U453:U453">IF(AND(INDEX(Profils!$O$5:$O$34,$AE453)&gt;0,INDEX(Profils!$AD$5:$AD$34,$AE453)&lt;=$AH453),ROUND(INDEX(Profils!$O$5:$O$34,$AE453)*Paramètres!$E$31*$AG453*$AJ453,Paramètres!$F$31),0)</f>
        <v>0</v>
      </c>
      <c r="V453" s="20" t="n">
        <f aca="false" t="array" ref="V453:V453">IF(AND(INDEX(Profils!$P$5:$P$34,$AE453)&gt;0,INDEX(Profils!$AE$5:$AE$34,$AE453)&lt;=$AH453),ROUND(INDEX(Profils!$P$5:$P$34,$AE453)*Paramètres!$E$32*$AG453*$AJ453,Paramètres!$F$32),0)</f>
        <v>0</v>
      </c>
      <c r="W453" s="20" t="n">
        <f aca="false" t="array" ref="W453:W453">IF(AND(INDEX(Profils!$Q$5:$Q$34,$AE453)&gt;0,INDEX(Profils!$AF$5:$AF$34,$AE453)&lt;=$AH453),ROUND(INDEX(Profils!$Q$5:$Q$34,$AE453)*Paramètres!$E$33*$AG453*$AJ453,Paramètres!$F$33),0)</f>
        <v>0.005</v>
      </c>
      <c r="X453" s="20" t="n">
        <f aca="false" t="array" ref="X453:X453">IF(AND(INDEX(Profils!$R$5:$R$34,$AE453)&gt;0,INDEX(Profils!$AG$5:$AG$34,$AE453)&lt;=$AH453),ROUND(INDEX(Profils!$R$5:$R$34,$AE453)*Paramètres!$E$34*$AG453*$AJ453,Paramètres!$F$34),0)</f>
        <v>0</v>
      </c>
      <c r="Y453" s="20" t="n">
        <f aca="false" t="array" ref="Y453:Y453">IF(AND(INDEX(Profils!$S$5:$S$34,$AE453)&gt;0,INDEX(Profils!$AH$5:$AH$34,$AE453)&lt;=$AH453),ROUND(INDEX(Profils!$S$5:$S$34,$AE453)*Paramètres!$E$35*$AG453*$AJ453,Paramètres!$F$35),0)</f>
        <v>0</v>
      </c>
      <c r="Z453" s="21" t="n">
        <f aca="false">ROUND(L453/Paramètres!$E$22+M453/Paramètres!$E$23+N453/Paramètres!$E$24+O453/Paramètres!$E$25+P453/Paramètres!$E$26+Q453/Paramètres!$E$27+R453/Paramètres!$E$28+S453/Paramètres!$E$29+T453/Paramètres!$E$30+U453/Paramètres!$E$31+V453/Paramètres!$E$32+W453/Paramètres!$E$33+X453/Paramètres!$E$34+Y453/Paramètres!$E$35,1)</f>
        <v>1.1</v>
      </c>
      <c r="AA453" s="22" t="s">
        <v>109</v>
      </c>
      <c r="AB453" s="22" t="s">
        <v>109</v>
      </c>
      <c r="AC453" s="15" t="str">
        <f aca="false">$E453</f>
        <v>or</v>
      </c>
      <c r="AD453" s="16" t="n">
        <f aca="false" t="array" ref="AD453:AD453">IF($I453&gt;=$AI453,"Max",ROUND(Paramètres!$B$40*($I453+1)^Paramètres!$B$41*INDEX(Paramètres!$H$6:$H$12,$AF453),0))</f>
        <v>4</v>
      </c>
      <c r="AE453" s="23" t="n">
        <f aca="false">MATCH($B453&amp;"|"&amp;$C453,Profils!$A$5:$A$34,0)</f>
        <v>15</v>
      </c>
      <c r="AF453" s="23" t="n">
        <v>2</v>
      </c>
      <c r="AG453" s="24" t="n">
        <f aca="false" t="array" ref="AG453:AG453">INDEX(Paramètres!$C$6:$C$12,$AF453)</f>
        <v>1.2</v>
      </c>
      <c r="AH453" s="23" t="n">
        <f aca="false" t="array" ref="AH453:AH453">INDEX(Paramètres!$D$6:$D$12,$AF453)</f>
        <v>3</v>
      </c>
      <c r="AI453" s="23" t="n">
        <f aca="false" t="array" ref="AI453:AI453">INDEX(Matériaux!$C$16:$C$20,$D453)</f>
        <v>25</v>
      </c>
      <c r="AJ453" s="25" t="n">
        <f aca="false">Paramètres!$B$16+(1-Paramètres!$B$16)*(($J453-Paramètres!$B$14)/(Paramètres!$B$15-Paramètres!$B$14))^Paramètres!$B$17</f>
        <v>0.26769024555533</v>
      </c>
    </row>
    <row r="454" customFormat="false" ht="15.75" hidden="false" customHeight="true" outlineLevel="0" collapsed="false">
      <c r="A454" s="14" t="s">
        <v>570</v>
      </c>
      <c r="B454" s="15" t="s">
        <v>29</v>
      </c>
      <c r="C454" s="15" t="s">
        <v>241</v>
      </c>
      <c r="D454" s="16" t="n">
        <v>3</v>
      </c>
      <c r="E454" s="15" t="str">
        <f aca="false" t="array" ref="E454:E454">INDEX(Matériaux!$B$5:$F$12,MATCH(INDEX(Profils!$E$5:$E$34,$AE454),Matériaux!$A$5:$A$12,0),$D454)</f>
        <v>or</v>
      </c>
      <c r="F454" s="27" t="s">
        <v>113</v>
      </c>
      <c r="G454" s="10" t="str">
        <f aca="false" t="array" ref="G454:G454">INDEX(Profils!$D$5:$D$34,$AE454)&amp;" en "&amp;$E454</f>
        <v>Amulette en or</v>
      </c>
      <c r="H454" s="16" t="n">
        <f aca="false" t="array" ref="H454:H454">INDEX(Matériaux!$B$16:$B$20,$D454)</f>
        <v>30</v>
      </c>
      <c r="I454" s="16" t="n">
        <f aca="false">IF(ISNUMBER($C$3),MIN(MAX(0,ROUND($C$3,0)),$AI454),$AI454)</f>
        <v>0</v>
      </c>
      <c r="J454" s="18" t="n">
        <f aca="false">$H454+$I454</f>
        <v>30</v>
      </c>
      <c r="K454" s="15" t="s">
        <v>109</v>
      </c>
      <c r="L454" s="19" t="n">
        <f aca="false" t="array" ref="L454:L454">IF(AND(INDEX(Profils!$F$5:$F$34,$AE454)&gt;0,INDEX(Profils!$U$5:$U$34,$AE454)&lt;=$AH454),ROUND(INDEX(Profils!$F$5:$F$34,$AE454)*Paramètres!$E$22*$AG454*$AJ454,Paramètres!$F$22),0)</f>
        <v>12</v>
      </c>
      <c r="M454" s="19" t="n">
        <f aca="false" t="array" ref="M454:M454">IF(AND(INDEX(Profils!$G$5:$G$34,$AE454)&gt;0,INDEX(Profils!$V$5:$V$34,$AE454)&lt;=$AH454),ROUND(INDEX(Profils!$G$5:$G$34,$AE454)*Paramètres!$E$23*$AG454*$AJ454,Paramètres!$F$23),0)</f>
        <v>0</v>
      </c>
      <c r="N454" s="19" t="n">
        <f aca="false" t="array" ref="N454:N454">IF(AND(INDEX(Profils!$H$5:$H$34,$AE454)&gt;0,INDEX(Profils!$W$5:$W$34,$AE454)&lt;=$AH454),ROUND(INDEX(Profils!$H$5:$H$34,$AE454)*Paramètres!$E$24*$AG454*$AJ454,Paramètres!$F$24),0)</f>
        <v>0</v>
      </c>
      <c r="O454" s="19" t="n">
        <f aca="false" t="array" ref="O454:O454">IF(AND(INDEX(Profils!$I$5:$I$34,$AE454)&gt;0,INDEX(Profils!$X$5:$X$34,$AE454)&lt;=$AH454),ROUND(INDEX(Profils!$I$5:$I$34,$AE454)*Paramètres!$E$25*$AG454*$AJ454,Paramètres!$F$25),0)</f>
        <v>6</v>
      </c>
      <c r="P454" s="19" t="n">
        <f aca="false" t="array" ref="P454:P454">IF(AND(INDEX(Profils!$J$5:$J$34,$AE454)&gt;0,INDEX(Profils!$Y$5:$Y$34,$AE454)&lt;=$AH454),ROUND(INDEX(Profils!$J$5:$J$34,$AE454)*Paramètres!$E$26*$AG454*$AJ454,Paramètres!$F$26),0)</f>
        <v>0</v>
      </c>
      <c r="Q454" s="19" t="n">
        <f aca="false" t="array" ref="Q454:Q454">IF(AND(INDEX(Profils!$K$5:$K$34,$AE454)&gt;0,INDEX(Profils!$Z$5:$Z$34,$AE454)&lt;=$AH454),ROUND(INDEX(Profils!$K$5:$K$34,$AE454)*Paramètres!$E$27*$AG454*$AJ454,Paramètres!$F$27),0)</f>
        <v>0</v>
      </c>
      <c r="R454" s="20" t="n">
        <f aca="false" t="array" ref="R454:R454">IF(AND(INDEX(Profils!$L$5:$L$34,$AE454)&gt;0,INDEX(Profils!$AA$5:$AA$34,$AE454)&lt;=$AH454),ROUND(INDEX(Profils!$L$5:$L$34,$AE454)*Paramètres!$E$28*$AG454*$AJ454,Paramètres!$F$28),0)</f>
        <v>0</v>
      </c>
      <c r="S454" s="20" t="n">
        <f aca="false" t="array" ref="S454:S454">IF(AND(INDEX(Profils!$M$5:$M$34,$AE454)&gt;0,INDEX(Profils!$AB$5:$AB$34,$AE454)&lt;=$AH454),ROUND(INDEX(Profils!$M$5:$M$34,$AE454)*Paramètres!$E$29*$AG454*$AJ454,Paramètres!$F$29),0)</f>
        <v>0</v>
      </c>
      <c r="T454" s="20" t="n">
        <f aca="false" t="array" ref="T454:T454">IF(AND(INDEX(Profils!$N$5:$N$34,$AE454)&gt;0,INDEX(Profils!$AC$5:$AC$34,$AE454)&lt;=$AH454),ROUND(INDEX(Profils!$N$5:$N$34,$AE454)*Paramètres!$E$30*$AG454*$AJ454,Paramètres!$F$30),0)</f>
        <v>0</v>
      </c>
      <c r="U454" s="19" t="n">
        <f aca="false" t="array" ref="U454:U454">IF(AND(INDEX(Profils!$O$5:$O$34,$AE454)&gt;0,INDEX(Profils!$AD$5:$AD$34,$AE454)&lt;=$AH454),ROUND(INDEX(Profils!$O$5:$O$34,$AE454)*Paramètres!$E$31*$AG454*$AJ454,Paramètres!$F$31),0)</f>
        <v>0</v>
      </c>
      <c r="V454" s="20" t="n">
        <f aca="false" t="array" ref="V454:V454">IF(AND(INDEX(Profils!$P$5:$P$34,$AE454)&gt;0,INDEX(Profils!$AE$5:$AE$34,$AE454)&lt;=$AH454),ROUND(INDEX(Profils!$P$5:$P$34,$AE454)*Paramètres!$E$32*$AG454*$AJ454,Paramètres!$F$32),0)</f>
        <v>0</v>
      </c>
      <c r="W454" s="20" t="n">
        <f aca="false" t="array" ref="W454:W454">IF(AND(INDEX(Profils!$Q$5:$Q$34,$AE454)&gt;0,INDEX(Profils!$AF$5:$AF$34,$AE454)&lt;=$AH454),ROUND(INDEX(Profils!$Q$5:$Q$34,$AE454)*Paramètres!$E$33*$AG454*$AJ454,Paramètres!$F$33),0)</f>
        <v>0.006</v>
      </c>
      <c r="X454" s="20" t="n">
        <f aca="false" t="array" ref="X454:X454">IF(AND(INDEX(Profils!$R$5:$R$34,$AE454)&gt;0,INDEX(Profils!$AG$5:$AG$34,$AE454)&lt;=$AH454),ROUND(INDEX(Profils!$R$5:$R$34,$AE454)*Paramètres!$E$34*$AG454*$AJ454,Paramètres!$F$34),0)</f>
        <v>0.008</v>
      </c>
      <c r="Y454" s="20" t="n">
        <f aca="false" t="array" ref="Y454:Y454">IF(AND(INDEX(Profils!$S$5:$S$34,$AE454)&gt;0,INDEX(Profils!$AH$5:$AH$34,$AE454)&lt;=$AH454),ROUND(INDEX(Profils!$S$5:$S$34,$AE454)*Paramètres!$E$35*$AG454*$AJ454,Paramètres!$F$35),0)</f>
        <v>0</v>
      </c>
      <c r="Z454" s="21" t="n">
        <f aca="false">ROUND(L454/Paramètres!$E$22+M454/Paramètres!$E$23+N454/Paramètres!$E$24+O454/Paramètres!$E$25+P454/Paramètres!$E$26+Q454/Paramètres!$E$27+R454/Paramètres!$E$28+S454/Paramètres!$E$29+T454/Paramètres!$E$30+U454/Paramètres!$E$31+V454/Paramètres!$E$32+W454/Paramètres!$E$33+X454/Paramètres!$E$34+Y454/Paramètres!$E$35,1)</f>
        <v>1.7</v>
      </c>
      <c r="AA454" s="22" t="s">
        <v>109</v>
      </c>
      <c r="AB454" s="22" t="s">
        <v>109</v>
      </c>
      <c r="AC454" s="15" t="str">
        <f aca="false">$E454</f>
        <v>or</v>
      </c>
      <c r="AD454" s="16" t="n">
        <f aca="false" t="array" ref="AD454:AD454">IF($I454&gt;=$AI454,"Max",ROUND(Paramètres!$B$40*($I454+1)^Paramètres!$B$41*INDEX(Paramètres!$H$6:$H$12,$AF454),0))</f>
        <v>4</v>
      </c>
      <c r="AE454" s="23" t="n">
        <f aca="false">MATCH($B454&amp;"|"&amp;$C454,Profils!$A$5:$A$34,0)</f>
        <v>15</v>
      </c>
      <c r="AF454" s="23" t="n">
        <v>3</v>
      </c>
      <c r="AG454" s="24" t="n">
        <f aca="false" t="array" ref="AG454:AG454">INDEX(Paramètres!$C$6:$C$12,$AF454)</f>
        <v>1.45</v>
      </c>
      <c r="AH454" s="23" t="n">
        <f aca="false" t="array" ref="AH454:AH454">INDEX(Paramètres!$D$6:$D$12,$AF454)</f>
        <v>4</v>
      </c>
      <c r="AI454" s="23" t="n">
        <f aca="false" t="array" ref="AI454:AI454">INDEX(Matériaux!$C$16:$C$20,$D454)</f>
        <v>25</v>
      </c>
      <c r="AJ454" s="25" t="n">
        <f aca="false">Paramètres!$B$16+(1-Paramètres!$B$16)*(($J454-Paramètres!$B$14)/(Paramètres!$B$15-Paramètres!$B$14))^Paramètres!$B$17</f>
        <v>0.26769024555533</v>
      </c>
    </row>
    <row r="455" customFormat="false" ht="15.75" hidden="false" customHeight="true" outlineLevel="0" collapsed="false">
      <c r="A455" s="14" t="s">
        <v>571</v>
      </c>
      <c r="B455" s="15" t="s">
        <v>29</v>
      </c>
      <c r="C455" s="15" t="s">
        <v>241</v>
      </c>
      <c r="D455" s="16" t="n">
        <v>3</v>
      </c>
      <c r="E455" s="15" t="str">
        <f aca="false" t="array" ref="E455:E455">INDEX(Matériaux!$B$5:$F$12,MATCH(INDEX(Profils!$E$5:$E$34,$AE455),Matériaux!$A$5:$A$12,0),$D455)</f>
        <v>or</v>
      </c>
      <c r="F455" s="28" t="s">
        <v>115</v>
      </c>
      <c r="G455" s="10" t="str">
        <f aca="false" t="array" ref="G455:G455">INDEX(Profils!$D$5:$D$34,$AE455)&amp;" en "&amp;$E455</f>
        <v>Amulette en or</v>
      </c>
      <c r="H455" s="16" t="n">
        <f aca="false" t="array" ref="H455:H455">INDEX(Matériaux!$B$16:$B$20,$D455)</f>
        <v>30</v>
      </c>
      <c r="I455" s="16" t="n">
        <f aca="false">IF(ISNUMBER($C$3),MIN(MAX(0,ROUND($C$3,0)),$AI455),$AI455)</f>
        <v>0</v>
      </c>
      <c r="J455" s="18" t="n">
        <f aca="false">$H455+$I455</f>
        <v>30</v>
      </c>
      <c r="K455" s="15" t="s">
        <v>109</v>
      </c>
      <c r="L455" s="19" t="n">
        <f aca="false" t="array" ref="L455:L455">IF(AND(INDEX(Profils!$F$5:$F$34,$AE455)&gt;0,INDEX(Profils!$U$5:$U$34,$AE455)&lt;=$AH455),ROUND(INDEX(Profils!$F$5:$F$34,$AE455)*Paramètres!$E$22*$AG455*$AJ455,Paramètres!$F$22),0)</f>
        <v>14</v>
      </c>
      <c r="M455" s="19" t="n">
        <f aca="false" t="array" ref="M455:M455">IF(AND(INDEX(Profils!$G$5:$G$34,$AE455)&gt;0,INDEX(Profils!$V$5:$V$34,$AE455)&lt;=$AH455),ROUND(INDEX(Profils!$G$5:$G$34,$AE455)*Paramètres!$E$23*$AG455*$AJ455,Paramètres!$F$23),0)</f>
        <v>0</v>
      </c>
      <c r="N455" s="19" t="n">
        <f aca="false" t="array" ref="N455:N455">IF(AND(INDEX(Profils!$H$5:$H$34,$AE455)&gt;0,INDEX(Profils!$W$5:$W$34,$AE455)&lt;=$AH455),ROUND(INDEX(Profils!$H$5:$H$34,$AE455)*Paramètres!$E$24*$AG455*$AJ455,Paramètres!$F$24),0)</f>
        <v>0</v>
      </c>
      <c r="O455" s="19" t="n">
        <f aca="false" t="array" ref="O455:O455">IF(AND(INDEX(Profils!$I$5:$I$34,$AE455)&gt;0,INDEX(Profils!$X$5:$X$34,$AE455)&lt;=$AH455),ROUND(INDEX(Profils!$I$5:$I$34,$AE455)*Paramètres!$E$25*$AG455*$AJ455,Paramètres!$F$25),0)</f>
        <v>8</v>
      </c>
      <c r="P455" s="19" t="n">
        <f aca="false" t="array" ref="P455:P455">IF(AND(INDEX(Profils!$J$5:$J$34,$AE455)&gt;0,INDEX(Profils!$Y$5:$Y$34,$AE455)&lt;=$AH455),ROUND(INDEX(Profils!$J$5:$J$34,$AE455)*Paramètres!$E$26*$AG455*$AJ455,Paramètres!$F$26),0)</f>
        <v>0</v>
      </c>
      <c r="Q455" s="19" t="n">
        <f aca="false" t="array" ref="Q455:Q455">IF(AND(INDEX(Profils!$K$5:$K$34,$AE455)&gt;0,INDEX(Profils!$Z$5:$Z$34,$AE455)&lt;=$AH455),ROUND(INDEX(Profils!$K$5:$K$34,$AE455)*Paramètres!$E$27*$AG455*$AJ455,Paramètres!$F$27),0)</f>
        <v>0</v>
      </c>
      <c r="R455" s="20" t="n">
        <f aca="false" t="array" ref="R455:R455">IF(AND(INDEX(Profils!$L$5:$L$34,$AE455)&gt;0,INDEX(Profils!$AA$5:$AA$34,$AE455)&lt;=$AH455),ROUND(INDEX(Profils!$L$5:$L$34,$AE455)*Paramètres!$E$28*$AG455*$AJ455,Paramètres!$F$28),0)</f>
        <v>0</v>
      </c>
      <c r="S455" s="20" t="n">
        <f aca="false" t="array" ref="S455:S455">IF(AND(INDEX(Profils!$M$5:$M$34,$AE455)&gt;0,INDEX(Profils!$AB$5:$AB$34,$AE455)&lt;=$AH455),ROUND(INDEX(Profils!$M$5:$M$34,$AE455)*Paramètres!$E$29*$AG455*$AJ455,Paramètres!$F$29),0)</f>
        <v>0</v>
      </c>
      <c r="T455" s="20" t="n">
        <f aca="false" t="array" ref="T455:T455">IF(AND(INDEX(Profils!$N$5:$N$34,$AE455)&gt;0,INDEX(Profils!$AC$5:$AC$34,$AE455)&lt;=$AH455),ROUND(INDEX(Profils!$N$5:$N$34,$AE455)*Paramètres!$E$30*$AG455*$AJ455,Paramètres!$F$30),0)</f>
        <v>0</v>
      </c>
      <c r="U455" s="19" t="n">
        <f aca="false" t="array" ref="U455:U455">IF(AND(INDEX(Profils!$O$5:$O$34,$AE455)&gt;0,INDEX(Profils!$AD$5:$AD$34,$AE455)&lt;=$AH455),ROUND(INDEX(Profils!$O$5:$O$34,$AE455)*Paramètres!$E$31*$AG455*$AJ455,Paramètres!$F$31),0)</f>
        <v>0</v>
      </c>
      <c r="V455" s="20" t="n">
        <f aca="false" t="array" ref="V455:V455">IF(AND(INDEX(Profils!$P$5:$P$34,$AE455)&gt;0,INDEX(Profils!$AE$5:$AE$34,$AE455)&lt;=$AH455),ROUND(INDEX(Profils!$P$5:$P$34,$AE455)*Paramètres!$E$32*$AG455*$AJ455,Paramètres!$F$32),0)</f>
        <v>0</v>
      </c>
      <c r="W455" s="20" t="n">
        <f aca="false" t="array" ref="W455:W455">IF(AND(INDEX(Profils!$Q$5:$Q$34,$AE455)&gt;0,INDEX(Profils!$AF$5:$AF$34,$AE455)&lt;=$AH455),ROUND(INDEX(Profils!$Q$5:$Q$34,$AE455)*Paramètres!$E$33*$AG455*$AJ455,Paramètres!$F$33),0)</f>
        <v>0.007</v>
      </c>
      <c r="X455" s="20" t="n">
        <f aca="false" t="array" ref="X455:X455">IF(AND(INDEX(Profils!$R$5:$R$34,$AE455)&gt;0,INDEX(Profils!$AG$5:$AG$34,$AE455)&lt;=$AH455),ROUND(INDEX(Profils!$R$5:$R$34,$AE455)*Paramètres!$E$34*$AG455*$AJ455,Paramètres!$F$34),0)</f>
        <v>0.009</v>
      </c>
      <c r="Y455" s="20" t="n">
        <f aca="false" t="array" ref="Y455:Y455">IF(AND(INDEX(Profils!$S$5:$S$34,$AE455)&gt;0,INDEX(Profils!$AH$5:$AH$34,$AE455)&lt;=$AH455),ROUND(INDEX(Profils!$S$5:$S$34,$AE455)*Paramètres!$E$35*$AG455*$AJ455,Paramètres!$F$35),0)</f>
        <v>0.006</v>
      </c>
      <c r="Z455" s="21" t="n">
        <f aca="false">ROUND(L455/Paramètres!$E$22+M455/Paramètres!$E$23+N455/Paramètres!$E$24+O455/Paramètres!$E$25+P455/Paramètres!$E$26+Q455/Paramètres!$E$27+R455/Paramètres!$E$28+S455/Paramètres!$E$29+T455/Paramètres!$E$30+U455/Paramètres!$E$31+V455/Paramètres!$E$32+W455/Paramètres!$E$33+X455/Paramètres!$E$34+Y455/Paramètres!$E$35,1)</f>
        <v>2.4</v>
      </c>
      <c r="AA455" s="22" t="s">
        <v>109</v>
      </c>
      <c r="AB455" s="22" t="s">
        <v>109</v>
      </c>
      <c r="AC455" s="15" t="str">
        <f aca="false">$E455</f>
        <v>or</v>
      </c>
      <c r="AD455" s="16" t="n">
        <f aca="false" t="array" ref="AD455:AD455">IF($I455&gt;=$AI455,"Max",ROUND(Paramètres!$B$40*($I455+1)^Paramètres!$B$41*INDEX(Paramètres!$H$6:$H$12,$AF455),0))</f>
        <v>5</v>
      </c>
      <c r="AE455" s="23" t="n">
        <f aca="false">MATCH($B455&amp;"|"&amp;$C455,Profils!$A$5:$A$34,0)</f>
        <v>15</v>
      </c>
      <c r="AF455" s="23" t="n">
        <v>4</v>
      </c>
      <c r="AG455" s="24" t="n">
        <f aca="false" t="array" ref="AG455:AG455">INDEX(Paramètres!$C$6:$C$12,$AF455)</f>
        <v>1.75</v>
      </c>
      <c r="AH455" s="23" t="n">
        <f aca="false" t="array" ref="AH455:AH455">INDEX(Paramètres!$D$6:$D$12,$AF455)</f>
        <v>5</v>
      </c>
      <c r="AI455" s="23" t="n">
        <f aca="false" t="array" ref="AI455:AI455">INDEX(Matériaux!$C$16:$C$20,$D455)</f>
        <v>25</v>
      </c>
      <c r="AJ455" s="25" t="n">
        <f aca="false">Paramètres!$B$16+(1-Paramètres!$B$16)*(($J455-Paramètres!$B$14)/(Paramètres!$B$15-Paramètres!$B$14))^Paramètres!$B$17</f>
        <v>0.26769024555533</v>
      </c>
    </row>
    <row r="456" customFormat="false" ht="15.75" hidden="false" customHeight="true" outlineLevel="0" collapsed="false">
      <c r="A456" s="14" t="s">
        <v>572</v>
      </c>
      <c r="B456" s="15" t="s">
        <v>29</v>
      </c>
      <c r="C456" s="15" t="s">
        <v>241</v>
      </c>
      <c r="D456" s="16" t="n">
        <v>3</v>
      </c>
      <c r="E456" s="15" t="str">
        <f aca="false" t="array" ref="E456:E456">INDEX(Matériaux!$B$5:$F$12,MATCH(INDEX(Profils!$E$5:$E$34,$AE456),Matériaux!$A$5:$A$12,0),$D456)</f>
        <v>or</v>
      </c>
      <c r="F456" s="29" t="s">
        <v>117</v>
      </c>
      <c r="G456" s="10" t="str">
        <f aca="false" t="array" ref="G456:G456">INDEX(Profils!$D$5:$D$34,$AE456)&amp;" en "&amp;$E456</f>
        <v>Amulette en or</v>
      </c>
      <c r="H456" s="16" t="n">
        <f aca="false" t="array" ref="H456:H456">INDEX(Matériaux!$B$16:$B$20,$D456)</f>
        <v>30</v>
      </c>
      <c r="I456" s="16" t="n">
        <f aca="false">IF(ISNUMBER($C$3),MIN(MAX(0,ROUND($C$3,0)),$AI456),$AI456)</f>
        <v>0</v>
      </c>
      <c r="J456" s="18" t="n">
        <f aca="false">$H456+$I456</f>
        <v>30</v>
      </c>
      <c r="K456" s="15" t="s">
        <v>109</v>
      </c>
      <c r="L456" s="19" t="n">
        <f aca="false" t="array" ref="L456:L456">IF(AND(INDEX(Profils!$F$5:$F$34,$AE456)&gt;0,INDEX(Profils!$U$5:$U$34,$AE456)&lt;=$AH456),ROUND(INDEX(Profils!$F$5:$F$34,$AE456)*Paramètres!$E$22*$AG456*$AJ456,Paramètres!$F$22),0)</f>
        <v>17</v>
      </c>
      <c r="M456" s="19" t="n">
        <f aca="false" t="array" ref="M456:M456">IF(AND(INDEX(Profils!$G$5:$G$34,$AE456)&gt;0,INDEX(Profils!$V$5:$V$34,$AE456)&lt;=$AH456),ROUND(INDEX(Profils!$G$5:$G$34,$AE456)*Paramètres!$E$23*$AG456*$AJ456,Paramètres!$F$23),0)</f>
        <v>0</v>
      </c>
      <c r="N456" s="19" t="n">
        <f aca="false" t="array" ref="N456:N456">IF(AND(INDEX(Profils!$H$5:$H$34,$AE456)&gt;0,INDEX(Profils!$W$5:$W$34,$AE456)&lt;=$AH456),ROUND(INDEX(Profils!$H$5:$H$34,$AE456)*Paramètres!$E$24*$AG456*$AJ456,Paramètres!$F$24),0)</f>
        <v>0</v>
      </c>
      <c r="O456" s="19" t="n">
        <f aca="false" t="array" ref="O456:O456">IF(AND(INDEX(Profils!$I$5:$I$34,$AE456)&gt;0,INDEX(Profils!$X$5:$X$34,$AE456)&lt;=$AH456),ROUND(INDEX(Profils!$I$5:$I$34,$AE456)*Paramètres!$E$25*$AG456*$AJ456,Paramètres!$F$25),0)</f>
        <v>9</v>
      </c>
      <c r="P456" s="19" t="n">
        <f aca="false" t="array" ref="P456:P456">IF(AND(INDEX(Profils!$J$5:$J$34,$AE456)&gt;0,INDEX(Profils!$Y$5:$Y$34,$AE456)&lt;=$AH456),ROUND(INDEX(Profils!$J$5:$J$34,$AE456)*Paramètres!$E$26*$AG456*$AJ456,Paramètres!$F$26),0)</f>
        <v>0</v>
      </c>
      <c r="Q456" s="19" t="n">
        <f aca="false" t="array" ref="Q456:Q456">IF(AND(INDEX(Profils!$K$5:$K$34,$AE456)&gt;0,INDEX(Profils!$Z$5:$Z$34,$AE456)&lt;=$AH456),ROUND(INDEX(Profils!$K$5:$K$34,$AE456)*Paramètres!$E$27*$AG456*$AJ456,Paramètres!$F$27),0)</f>
        <v>3</v>
      </c>
      <c r="R456" s="20" t="n">
        <f aca="false" t="array" ref="R456:R456">IF(AND(INDEX(Profils!$L$5:$L$34,$AE456)&gt;0,INDEX(Profils!$AA$5:$AA$34,$AE456)&lt;=$AH456),ROUND(INDEX(Profils!$L$5:$L$34,$AE456)*Paramètres!$E$28*$AG456*$AJ456,Paramètres!$F$28),0)</f>
        <v>0</v>
      </c>
      <c r="S456" s="20" t="n">
        <f aca="false" t="array" ref="S456:S456">IF(AND(INDEX(Profils!$M$5:$M$34,$AE456)&gt;0,INDEX(Profils!$AB$5:$AB$34,$AE456)&lt;=$AH456),ROUND(INDEX(Profils!$M$5:$M$34,$AE456)*Paramètres!$E$29*$AG456*$AJ456,Paramètres!$F$29),0)</f>
        <v>0</v>
      </c>
      <c r="T456" s="20" t="n">
        <f aca="false" t="array" ref="T456:T456">IF(AND(INDEX(Profils!$N$5:$N$34,$AE456)&gt;0,INDEX(Profils!$AC$5:$AC$34,$AE456)&lt;=$AH456),ROUND(INDEX(Profils!$N$5:$N$34,$AE456)*Paramètres!$E$30*$AG456*$AJ456,Paramètres!$F$30),0)</f>
        <v>0</v>
      </c>
      <c r="U456" s="19" t="n">
        <f aca="false" t="array" ref="U456:U456">IF(AND(INDEX(Profils!$O$5:$O$34,$AE456)&gt;0,INDEX(Profils!$AD$5:$AD$34,$AE456)&lt;=$AH456),ROUND(INDEX(Profils!$O$5:$O$34,$AE456)*Paramètres!$E$31*$AG456*$AJ456,Paramètres!$F$31),0)</f>
        <v>0</v>
      </c>
      <c r="V456" s="20" t="n">
        <f aca="false" t="array" ref="V456:V456">IF(AND(INDEX(Profils!$P$5:$P$34,$AE456)&gt;0,INDEX(Profils!$AE$5:$AE$34,$AE456)&lt;=$AH456),ROUND(INDEX(Profils!$P$5:$P$34,$AE456)*Paramètres!$E$32*$AG456*$AJ456,Paramètres!$F$32),0)</f>
        <v>0</v>
      </c>
      <c r="W456" s="20" t="n">
        <f aca="false" t="array" ref="W456:W456">IF(AND(INDEX(Profils!$Q$5:$Q$34,$AE456)&gt;0,INDEX(Profils!$AF$5:$AF$34,$AE456)&lt;=$AH456),ROUND(INDEX(Profils!$Q$5:$Q$34,$AE456)*Paramètres!$E$33*$AG456*$AJ456,Paramètres!$F$33),0)</f>
        <v>0.008</v>
      </c>
      <c r="X456" s="20" t="n">
        <f aca="false" t="array" ref="X456:X456">IF(AND(INDEX(Profils!$R$5:$R$34,$AE456)&gt;0,INDEX(Profils!$AG$5:$AG$34,$AE456)&lt;=$AH456),ROUND(INDEX(Profils!$R$5:$R$34,$AE456)*Paramètres!$E$34*$AG456*$AJ456,Paramètres!$F$34),0)</f>
        <v>0.011</v>
      </c>
      <c r="Y456" s="20" t="n">
        <f aca="false" t="array" ref="Y456:Y456">IF(AND(INDEX(Profils!$S$5:$S$34,$AE456)&gt;0,INDEX(Profils!$AH$5:$AH$34,$AE456)&lt;=$AH456),ROUND(INDEX(Profils!$S$5:$S$34,$AE456)*Paramètres!$E$35*$AG456*$AJ456,Paramètres!$F$35),0)</f>
        <v>0.007</v>
      </c>
      <c r="Z456" s="21" t="n">
        <f aca="false">ROUND(L456/Paramètres!$E$22+M456/Paramètres!$E$23+N456/Paramètres!$E$24+O456/Paramètres!$E$25+P456/Paramètres!$E$26+Q456/Paramètres!$E$27+R456/Paramètres!$E$28+S456/Paramètres!$E$29+T456/Paramètres!$E$30+U456/Paramètres!$E$31+V456/Paramètres!$E$32+W456/Paramètres!$E$33+X456/Paramètres!$E$34+Y456/Paramètres!$E$35,1)</f>
        <v>3.1</v>
      </c>
      <c r="AA456" s="22" t="s">
        <v>109</v>
      </c>
      <c r="AB456" s="22" t="s">
        <v>109</v>
      </c>
      <c r="AC456" s="15" t="str">
        <f aca="false">$E456</f>
        <v>or</v>
      </c>
      <c r="AD456" s="16" t="n">
        <f aca="false" t="array" ref="AD456:AD456">IF($I456&gt;=$AI456,"Max",ROUND(Paramètres!$B$40*($I456+1)^Paramètres!$B$41*INDEX(Paramètres!$H$6:$H$12,$AF456),0))</f>
        <v>6</v>
      </c>
      <c r="AE456" s="23" t="n">
        <f aca="false">MATCH($B456&amp;"|"&amp;$C456,Profils!$A$5:$A$34,0)</f>
        <v>15</v>
      </c>
      <c r="AF456" s="23" t="n">
        <v>5</v>
      </c>
      <c r="AG456" s="24" t="n">
        <f aca="false" t="array" ref="AG456:AG456">INDEX(Paramètres!$C$6:$C$12,$AF456)</f>
        <v>2.1</v>
      </c>
      <c r="AH456" s="23" t="n">
        <f aca="false" t="array" ref="AH456:AH456">INDEX(Paramètres!$D$6:$D$12,$AF456)</f>
        <v>6</v>
      </c>
      <c r="AI456" s="23" t="n">
        <f aca="false" t="array" ref="AI456:AI456">INDEX(Matériaux!$C$16:$C$20,$D456)</f>
        <v>25</v>
      </c>
      <c r="AJ456" s="25" t="n">
        <f aca="false">Paramètres!$B$16+(1-Paramètres!$B$16)*(($J456-Paramètres!$B$14)/(Paramètres!$B$15-Paramètres!$B$14))^Paramètres!$B$17</f>
        <v>0.26769024555533</v>
      </c>
    </row>
    <row r="457" customFormat="false" ht="15.75" hidden="false" customHeight="true" outlineLevel="0" collapsed="false">
      <c r="A457" s="14" t="s">
        <v>573</v>
      </c>
      <c r="B457" s="15" t="s">
        <v>29</v>
      </c>
      <c r="C457" s="15" t="s">
        <v>241</v>
      </c>
      <c r="D457" s="16" t="n">
        <v>3</v>
      </c>
      <c r="E457" s="15" t="str">
        <f aca="false" t="array" ref="E457:E457">INDEX(Matériaux!$B$5:$F$12,MATCH(INDEX(Profils!$E$5:$E$34,$AE457),Matériaux!$A$5:$A$12,0),$D457)</f>
        <v>or</v>
      </c>
      <c r="F457" s="30" t="s">
        <v>119</v>
      </c>
      <c r="G457" s="10" t="str">
        <f aca="false" t="array" ref="G457:G457">INDEX(Profils!$D$5:$D$34,$AE457)&amp;" en "&amp;$E457</f>
        <v>Amulette en or</v>
      </c>
      <c r="H457" s="16" t="n">
        <f aca="false" t="array" ref="H457:H457">INDEX(Matériaux!$B$16:$B$20,$D457)</f>
        <v>30</v>
      </c>
      <c r="I457" s="16" t="n">
        <f aca="false">IF(ISNUMBER($C$3),MIN(MAX(0,ROUND($C$3,0)),$AI457),$AI457)</f>
        <v>0</v>
      </c>
      <c r="J457" s="18" t="n">
        <f aca="false">$H457+$I457</f>
        <v>30</v>
      </c>
      <c r="K457" s="15" t="s">
        <v>109</v>
      </c>
      <c r="L457" s="19" t="n">
        <f aca="false" t="array" ref="L457:L457">IF(AND(INDEX(Profils!$F$5:$F$34,$AE457)&gt;0,INDEX(Profils!$U$5:$U$34,$AE457)&lt;=$AH457),ROUND(INDEX(Profils!$F$5:$F$34,$AE457)*Paramètres!$E$22*$AG457*$AJ457,Paramètres!$F$22),0)</f>
        <v>19</v>
      </c>
      <c r="M457" s="19" t="n">
        <f aca="false" t="array" ref="M457:M457">IF(AND(INDEX(Profils!$G$5:$G$34,$AE457)&gt;0,INDEX(Profils!$V$5:$V$34,$AE457)&lt;=$AH457),ROUND(INDEX(Profils!$G$5:$G$34,$AE457)*Paramètres!$E$23*$AG457*$AJ457,Paramètres!$F$23),0)</f>
        <v>0</v>
      </c>
      <c r="N457" s="19" t="n">
        <f aca="false" t="array" ref="N457:N457">IF(AND(INDEX(Profils!$H$5:$H$34,$AE457)&gt;0,INDEX(Profils!$W$5:$W$34,$AE457)&lt;=$AH457),ROUND(INDEX(Profils!$H$5:$H$34,$AE457)*Paramètres!$E$24*$AG457*$AJ457,Paramètres!$F$24),0)</f>
        <v>0</v>
      </c>
      <c r="O457" s="19" t="n">
        <f aca="false" t="array" ref="O457:O457">IF(AND(INDEX(Profils!$I$5:$I$34,$AE457)&gt;0,INDEX(Profils!$X$5:$X$34,$AE457)&lt;=$AH457),ROUND(INDEX(Profils!$I$5:$I$34,$AE457)*Paramètres!$E$25*$AG457*$AJ457,Paramètres!$F$25),0)</f>
        <v>11</v>
      </c>
      <c r="P457" s="19" t="n">
        <f aca="false" t="array" ref="P457:P457">IF(AND(INDEX(Profils!$J$5:$J$34,$AE457)&gt;0,INDEX(Profils!$Y$5:$Y$34,$AE457)&lt;=$AH457),ROUND(INDEX(Profils!$J$5:$J$34,$AE457)*Paramètres!$E$26*$AG457*$AJ457,Paramètres!$F$26),0)</f>
        <v>0</v>
      </c>
      <c r="Q457" s="19" t="n">
        <f aca="false" t="array" ref="Q457:Q457">IF(AND(INDEX(Profils!$K$5:$K$34,$AE457)&gt;0,INDEX(Profils!$Z$5:$Z$34,$AE457)&lt;=$AH457),ROUND(INDEX(Profils!$K$5:$K$34,$AE457)*Paramètres!$E$27*$AG457*$AJ457,Paramètres!$F$27),0)</f>
        <v>4</v>
      </c>
      <c r="R457" s="20" t="n">
        <f aca="false" t="array" ref="R457:R457">IF(AND(INDEX(Profils!$L$5:$L$34,$AE457)&gt;0,INDEX(Profils!$AA$5:$AA$34,$AE457)&lt;=$AH457),ROUND(INDEX(Profils!$L$5:$L$34,$AE457)*Paramètres!$E$28*$AG457*$AJ457,Paramètres!$F$28),0)</f>
        <v>0</v>
      </c>
      <c r="S457" s="20" t="n">
        <f aca="false" t="array" ref="S457:S457">IF(AND(INDEX(Profils!$M$5:$M$34,$AE457)&gt;0,INDEX(Profils!$AB$5:$AB$34,$AE457)&lt;=$AH457),ROUND(INDEX(Profils!$M$5:$M$34,$AE457)*Paramètres!$E$29*$AG457*$AJ457,Paramètres!$F$29),0)</f>
        <v>0.005</v>
      </c>
      <c r="T457" s="20" t="n">
        <f aca="false" t="array" ref="T457:T457">IF(AND(INDEX(Profils!$N$5:$N$34,$AE457)&gt;0,INDEX(Profils!$AC$5:$AC$34,$AE457)&lt;=$AH457),ROUND(INDEX(Profils!$N$5:$N$34,$AE457)*Paramètres!$E$30*$AG457*$AJ457,Paramètres!$F$30),0)</f>
        <v>0</v>
      </c>
      <c r="U457" s="19" t="n">
        <f aca="false" t="array" ref="U457:U457">IF(AND(INDEX(Profils!$O$5:$O$34,$AE457)&gt;0,INDEX(Profils!$AD$5:$AD$34,$AE457)&lt;=$AH457),ROUND(INDEX(Profils!$O$5:$O$34,$AE457)*Paramètres!$E$31*$AG457*$AJ457,Paramètres!$F$31),0)</f>
        <v>0</v>
      </c>
      <c r="V457" s="20" t="n">
        <f aca="false" t="array" ref="V457:V457">IF(AND(INDEX(Profils!$P$5:$P$34,$AE457)&gt;0,INDEX(Profils!$AE$5:$AE$34,$AE457)&lt;=$AH457),ROUND(INDEX(Profils!$P$5:$P$34,$AE457)*Paramètres!$E$32*$AG457*$AJ457,Paramètres!$F$32),0)</f>
        <v>0</v>
      </c>
      <c r="W457" s="20" t="n">
        <f aca="false" t="array" ref="W457:W457">IF(AND(INDEX(Profils!$Q$5:$Q$34,$AE457)&gt;0,INDEX(Profils!$AF$5:$AF$34,$AE457)&lt;=$AH457),ROUND(INDEX(Profils!$Q$5:$Q$34,$AE457)*Paramètres!$E$33*$AG457*$AJ457,Paramètres!$F$33),0)</f>
        <v>0.01</v>
      </c>
      <c r="X457" s="20" t="n">
        <f aca="false" t="array" ref="X457:X457">IF(AND(INDEX(Profils!$R$5:$R$34,$AE457)&gt;0,INDEX(Profils!$AG$5:$AG$34,$AE457)&lt;=$AH457),ROUND(INDEX(Profils!$R$5:$R$34,$AE457)*Paramètres!$E$34*$AG457*$AJ457,Paramètres!$F$34),0)</f>
        <v>0.013</v>
      </c>
      <c r="Y457" s="20" t="n">
        <f aca="false" t="array" ref="Y457:Y457">IF(AND(INDEX(Profils!$S$5:$S$34,$AE457)&gt;0,INDEX(Profils!$AH$5:$AH$34,$AE457)&lt;=$AH457),ROUND(INDEX(Profils!$S$5:$S$34,$AE457)*Paramètres!$E$35*$AG457*$AJ457,Paramètres!$F$35),0)</f>
        <v>0.008</v>
      </c>
      <c r="Z457" s="21" t="n">
        <f aca="false">ROUND(L457/Paramètres!$E$22+M457/Paramètres!$E$23+N457/Paramètres!$E$24+O457/Paramètres!$E$25+P457/Paramètres!$E$26+Q457/Paramètres!$E$27+R457/Paramètres!$E$28+S457/Paramètres!$E$29+T457/Paramètres!$E$30+U457/Paramètres!$E$31+V457/Paramètres!$E$32+W457/Paramètres!$E$33+X457/Paramètres!$E$34+Y457/Paramètres!$E$35,1)</f>
        <v>4.2</v>
      </c>
      <c r="AA457" s="22" t="s">
        <v>109</v>
      </c>
      <c r="AB457" s="22" t="s">
        <v>109</v>
      </c>
      <c r="AC457" s="15" t="str">
        <f aca="false">$E457</f>
        <v>or</v>
      </c>
      <c r="AD457" s="16" t="n">
        <f aca="false" t="array" ref="AD457:AD457">IF($I457&gt;=$AI457,"Max",ROUND(Paramètres!$B$40*($I457+1)^Paramètres!$B$41*INDEX(Paramètres!$H$6:$H$12,$AF457),0))</f>
        <v>8</v>
      </c>
      <c r="AE457" s="23" t="n">
        <f aca="false">MATCH($B457&amp;"|"&amp;$C457,Profils!$A$5:$A$34,0)</f>
        <v>15</v>
      </c>
      <c r="AF457" s="23" t="n">
        <v>6</v>
      </c>
      <c r="AG457" s="24" t="n">
        <f aca="false" t="array" ref="AG457:AG457">INDEX(Paramètres!$C$6:$C$12,$AF457)</f>
        <v>2.4</v>
      </c>
      <c r="AH457" s="23" t="n">
        <f aca="false" t="array" ref="AH457:AH457">INDEX(Paramètres!$D$6:$D$12,$AF457)</f>
        <v>7</v>
      </c>
      <c r="AI457" s="23" t="n">
        <f aca="false" t="array" ref="AI457:AI457">INDEX(Matériaux!$C$16:$C$20,$D457)</f>
        <v>25</v>
      </c>
      <c r="AJ457" s="25" t="n">
        <f aca="false">Paramètres!$B$16+(1-Paramètres!$B$16)*(($J457-Paramètres!$B$14)/(Paramètres!$B$15-Paramètres!$B$14))^Paramètres!$B$17</f>
        <v>0.26769024555533</v>
      </c>
    </row>
    <row r="458" customFormat="false" ht="15.75" hidden="false" customHeight="true" outlineLevel="0" collapsed="false">
      <c r="A458" s="14" t="s">
        <v>574</v>
      </c>
      <c r="B458" s="15" t="s">
        <v>29</v>
      </c>
      <c r="C458" s="15" t="s">
        <v>241</v>
      </c>
      <c r="D458" s="16" t="n">
        <v>4</v>
      </c>
      <c r="E458" s="15" t="str">
        <f aca="false" t="array" ref="E458:E458">INDEX(Matériaux!$B$5:$F$12,MATCH(INDEX(Profils!$E$5:$E$34,$AE458),Matériaux!$A$5:$A$12,0),$D458)</f>
        <v>platine</v>
      </c>
      <c r="F458" s="17" t="s">
        <v>108</v>
      </c>
      <c r="G458" s="10" t="str">
        <f aca="false" t="array" ref="G458:G458">INDEX(Profils!$D$5:$D$34,$AE458)&amp;" en "&amp;$E458</f>
        <v>Amulette en platine</v>
      </c>
      <c r="H458" s="16" t="n">
        <f aca="false" t="array" ref="H458:H458">INDEX(Matériaux!$B$16:$B$20,$D458)</f>
        <v>50</v>
      </c>
      <c r="I458" s="16" t="n">
        <f aca="false">IF(ISNUMBER($C$3),MIN(MAX(0,ROUND($C$3,0)),$AI458),$AI458)</f>
        <v>0</v>
      </c>
      <c r="J458" s="18" t="n">
        <f aca="false">$H458+$I458</f>
        <v>50</v>
      </c>
      <c r="K458" s="15" t="s">
        <v>109</v>
      </c>
      <c r="L458" s="19" t="n">
        <f aca="false" t="array" ref="L458:L458">IF(AND(INDEX(Profils!$F$5:$F$34,$AE458)&gt;0,INDEX(Profils!$U$5:$U$34,$AE458)&lt;=$AH458),ROUND(INDEX(Profils!$F$5:$F$34,$AE458)*Paramètres!$E$22*$AG458*$AJ458,Paramètres!$F$22),0)</f>
        <v>14</v>
      </c>
      <c r="M458" s="19" t="n">
        <f aca="false" t="array" ref="M458:M458">IF(AND(INDEX(Profils!$G$5:$G$34,$AE458)&gt;0,INDEX(Profils!$V$5:$V$34,$AE458)&lt;=$AH458),ROUND(INDEX(Profils!$G$5:$G$34,$AE458)*Paramètres!$E$23*$AG458*$AJ458,Paramètres!$F$23),0)</f>
        <v>0</v>
      </c>
      <c r="N458" s="19" t="n">
        <f aca="false" t="array" ref="N458:N458">IF(AND(INDEX(Profils!$H$5:$H$34,$AE458)&gt;0,INDEX(Profils!$W$5:$W$34,$AE458)&lt;=$AH458),ROUND(INDEX(Profils!$H$5:$H$34,$AE458)*Paramètres!$E$24*$AG458*$AJ458,Paramètres!$F$24),0)</f>
        <v>0</v>
      </c>
      <c r="O458" s="19" t="n">
        <f aca="false" t="array" ref="O458:O458">IF(AND(INDEX(Profils!$I$5:$I$34,$AE458)&gt;0,INDEX(Profils!$X$5:$X$34,$AE458)&lt;=$AH458),ROUND(INDEX(Profils!$I$5:$I$34,$AE458)*Paramètres!$E$25*$AG458*$AJ458,Paramètres!$F$25),0)</f>
        <v>8</v>
      </c>
      <c r="P458" s="19" t="n">
        <f aca="false" t="array" ref="P458:P458">IF(AND(INDEX(Profils!$J$5:$J$34,$AE458)&gt;0,INDEX(Profils!$Y$5:$Y$34,$AE458)&lt;=$AH458),ROUND(INDEX(Profils!$J$5:$J$34,$AE458)*Paramètres!$E$26*$AG458*$AJ458,Paramètres!$F$26),0)</f>
        <v>0</v>
      </c>
      <c r="Q458" s="19" t="n">
        <f aca="false" t="array" ref="Q458:Q458">IF(AND(INDEX(Profils!$K$5:$K$34,$AE458)&gt;0,INDEX(Profils!$Z$5:$Z$34,$AE458)&lt;=$AH458),ROUND(INDEX(Profils!$K$5:$K$34,$AE458)*Paramètres!$E$27*$AG458*$AJ458,Paramètres!$F$27),0)</f>
        <v>0</v>
      </c>
      <c r="R458" s="20" t="n">
        <f aca="false" t="array" ref="R458:R458">IF(AND(INDEX(Profils!$L$5:$L$34,$AE458)&gt;0,INDEX(Profils!$AA$5:$AA$34,$AE458)&lt;=$AH458),ROUND(INDEX(Profils!$L$5:$L$34,$AE458)*Paramètres!$E$28*$AG458*$AJ458,Paramètres!$F$28),0)</f>
        <v>0</v>
      </c>
      <c r="S458" s="20" t="n">
        <f aca="false" t="array" ref="S458:S458">IF(AND(INDEX(Profils!$M$5:$M$34,$AE458)&gt;0,INDEX(Profils!$AB$5:$AB$34,$AE458)&lt;=$AH458),ROUND(INDEX(Profils!$M$5:$M$34,$AE458)*Paramètres!$E$29*$AG458*$AJ458,Paramètres!$F$29),0)</f>
        <v>0</v>
      </c>
      <c r="T458" s="20" t="n">
        <f aca="false" t="array" ref="T458:T458">IF(AND(INDEX(Profils!$N$5:$N$34,$AE458)&gt;0,INDEX(Profils!$AC$5:$AC$34,$AE458)&lt;=$AH458),ROUND(INDEX(Profils!$N$5:$N$34,$AE458)*Paramètres!$E$30*$AG458*$AJ458,Paramètres!$F$30),0)</f>
        <v>0</v>
      </c>
      <c r="U458" s="19" t="n">
        <f aca="false" t="array" ref="U458:U458">IF(AND(INDEX(Profils!$O$5:$O$34,$AE458)&gt;0,INDEX(Profils!$AD$5:$AD$34,$AE458)&lt;=$AH458),ROUND(INDEX(Profils!$O$5:$O$34,$AE458)*Paramètres!$E$31*$AG458*$AJ458,Paramètres!$F$31),0)</f>
        <v>0</v>
      </c>
      <c r="V458" s="20" t="n">
        <f aca="false" t="array" ref="V458:V458">IF(AND(INDEX(Profils!$P$5:$P$34,$AE458)&gt;0,INDEX(Profils!$AE$5:$AE$34,$AE458)&lt;=$AH458),ROUND(INDEX(Profils!$P$5:$P$34,$AE458)*Paramètres!$E$32*$AG458*$AJ458,Paramètres!$F$32),0)</f>
        <v>0</v>
      </c>
      <c r="W458" s="20" t="n">
        <f aca="false" t="array" ref="W458:W458">IF(AND(INDEX(Profils!$Q$5:$Q$34,$AE458)&gt;0,INDEX(Profils!$AF$5:$AF$34,$AE458)&lt;=$AH458),ROUND(INDEX(Profils!$Q$5:$Q$34,$AE458)*Paramètres!$E$33*$AG458*$AJ458,Paramètres!$F$33),0)</f>
        <v>0</v>
      </c>
      <c r="X458" s="20" t="n">
        <f aca="false" t="array" ref="X458:X458">IF(AND(INDEX(Profils!$R$5:$R$34,$AE458)&gt;0,INDEX(Profils!$AG$5:$AG$34,$AE458)&lt;=$AH458),ROUND(INDEX(Profils!$R$5:$R$34,$AE458)*Paramètres!$E$34*$AG458*$AJ458,Paramètres!$F$34),0)</f>
        <v>0</v>
      </c>
      <c r="Y458" s="20" t="n">
        <f aca="false" t="array" ref="Y458:Y458">IF(AND(INDEX(Profils!$S$5:$S$34,$AE458)&gt;0,INDEX(Profils!$AH$5:$AH$34,$AE458)&lt;=$AH458),ROUND(INDEX(Profils!$S$5:$S$34,$AE458)*Paramètres!$E$35*$AG458*$AJ458,Paramètres!$F$35),0)</f>
        <v>0</v>
      </c>
      <c r="Z458" s="21" t="n">
        <f aca="false">ROUND(L458/Paramètres!$E$22+M458/Paramètres!$E$23+N458/Paramètres!$E$24+O458/Paramètres!$E$25+P458/Paramètres!$E$26+Q458/Paramètres!$E$27+R458/Paramètres!$E$28+S458/Paramètres!$E$29+T458/Paramètres!$E$30+U458/Paramètres!$E$31+V458/Paramètres!$E$32+W458/Paramètres!$E$33+X458/Paramètres!$E$34+Y458/Paramètres!$E$35,1)</f>
        <v>1.1</v>
      </c>
      <c r="AA458" s="22" t="s">
        <v>109</v>
      </c>
      <c r="AB458" s="22" t="s">
        <v>109</v>
      </c>
      <c r="AC458" s="15" t="str">
        <f aca="false">$E458</f>
        <v>platine</v>
      </c>
      <c r="AD458" s="16" t="n">
        <f aca="false" t="array" ref="AD458:AD458">IF($I458&gt;=$AI458,"Max",ROUND(Paramètres!$B$40*($I458+1)^Paramètres!$B$41*INDEX(Paramètres!$H$6:$H$12,$AF458),0))</f>
        <v>3</v>
      </c>
      <c r="AE458" s="23" t="n">
        <f aca="false">MATCH($B458&amp;"|"&amp;$C458,Profils!$A$5:$A$34,0)</f>
        <v>15</v>
      </c>
      <c r="AF458" s="23" t="n">
        <v>1</v>
      </c>
      <c r="AG458" s="24" t="n">
        <f aca="false" t="array" ref="AG458:AG458">INDEX(Paramètres!$C$6:$C$12,$AF458)</f>
        <v>1</v>
      </c>
      <c r="AH458" s="23" t="n">
        <f aca="false" t="array" ref="AH458:AH458">INDEX(Paramètres!$D$6:$D$12,$AF458)</f>
        <v>2</v>
      </c>
      <c r="AI458" s="23" t="n">
        <f aca="false" t="array" ref="AI458:AI458">INDEX(Matériaux!$C$16:$C$20,$D458)</f>
        <v>25</v>
      </c>
      <c r="AJ458" s="25" t="n">
        <f aca="false">Paramètres!$B$16+(1-Paramètres!$B$16)*(($J458-Paramètres!$B$14)/(Paramètres!$B$15-Paramètres!$B$14))^Paramètres!$B$17</f>
        <v>0.458504333336152</v>
      </c>
    </row>
    <row r="459" customFormat="false" ht="15.75" hidden="false" customHeight="true" outlineLevel="0" collapsed="false">
      <c r="A459" s="14" t="s">
        <v>575</v>
      </c>
      <c r="B459" s="15" t="s">
        <v>29</v>
      </c>
      <c r="C459" s="15" t="s">
        <v>241</v>
      </c>
      <c r="D459" s="16" t="n">
        <v>4</v>
      </c>
      <c r="E459" s="15" t="str">
        <f aca="false" t="array" ref="E459:E459">INDEX(Matériaux!$B$5:$F$12,MATCH(INDEX(Profils!$E$5:$E$34,$AE459),Matériaux!$A$5:$A$12,0),$D459)</f>
        <v>platine</v>
      </c>
      <c r="F459" s="26" t="s">
        <v>111</v>
      </c>
      <c r="G459" s="10" t="str">
        <f aca="false" t="array" ref="G459:G459">INDEX(Profils!$D$5:$D$34,$AE459)&amp;" en "&amp;$E459</f>
        <v>Amulette en platine</v>
      </c>
      <c r="H459" s="16" t="n">
        <f aca="false" t="array" ref="H459:H459">INDEX(Matériaux!$B$16:$B$20,$D459)</f>
        <v>50</v>
      </c>
      <c r="I459" s="16" t="n">
        <f aca="false">IF(ISNUMBER($C$3),MIN(MAX(0,ROUND($C$3,0)),$AI459),$AI459)</f>
        <v>0</v>
      </c>
      <c r="J459" s="18" t="n">
        <f aca="false">$H459+$I459</f>
        <v>50</v>
      </c>
      <c r="K459" s="15" t="s">
        <v>109</v>
      </c>
      <c r="L459" s="19" t="n">
        <f aca="false" t="array" ref="L459:L459">IF(AND(INDEX(Profils!$F$5:$F$34,$AE459)&gt;0,INDEX(Profils!$U$5:$U$34,$AE459)&lt;=$AH459),ROUND(INDEX(Profils!$F$5:$F$34,$AE459)*Paramètres!$E$22*$AG459*$AJ459,Paramètres!$F$22),0)</f>
        <v>17</v>
      </c>
      <c r="M459" s="19" t="n">
        <f aca="false" t="array" ref="M459:M459">IF(AND(INDEX(Profils!$G$5:$G$34,$AE459)&gt;0,INDEX(Profils!$V$5:$V$34,$AE459)&lt;=$AH459),ROUND(INDEX(Profils!$G$5:$G$34,$AE459)*Paramètres!$E$23*$AG459*$AJ459,Paramètres!$F$23),0)</f>
        <v>0</v>
      </c>
      <c r="N459" s="19" t="n">
        <f aca="false" t="array" ref="N459:N459">IF(AND(INDEX(Profils!$H$5:$H$34,$AE459)&gt;0,INDEX(Profils!$W$5:$W$34,$AE459)&lt;=$AH459),ROUND(INDEX(Profils!$H$5:$H$34,$AE459)*Paramètres!$E$24*$AG459*$AJ459,Paramètres!$F$24),0)</f>
        <v>0</v>
      </c>
      <c r="O459" s="19" t="n">
        <f aca="false" t="array" ref="O459:O459">IF(AND(INDEX(Profils!$I$5:$I$34,$AE459)&gt;0,INDEX(Profils!$X$5:$X$34,$AE459)&lt;=$AH459),ROUND(INDEX(Profils!$I$5:$I$34,$AE459)*Paramètres!$E$25*$AG459*$AJ459,Paramètres!$F$25),0)</f>
        <v>9</v>
      </c>
      <c r="P459" s="19" t="n">
        <f aca="false" t="array" ref="P459:P459">IF(AND(INDEX(Profils!$J$5:$J$34,$AE459)&gt;0,INDEX(Profils!$Y$5:$Y$34,$AE459)&lt;=$AH459),ROUND(INDEX(Profils!$J$5:$J$34,$AE459)*Paramètres!$E$26*$AG459*$AJ459,Paramètres!$F$26),0)</f>
        <v>0</v>
      </c>
      <c r="Q459" s="19" t="n">
        <f aca="false" t="array" ref="Q459:Q459">IF(AND(INDEX(Profils!$K$5:$K$34,$AE459)&gt;0,INDEX(Profils!$Z$5:$Z$34,$AE459)&lt;=$AH459),ROUND(INDEX(Profils!$K$5:$K$34,$AE459)*Paramètres!$E$27*$AG459*$AJ459,Paramètres!$F$27),0)</f>
        <v>0</v>
      </c>
      <c r="R459" s="20" t="n">
        <f aca="false" t="array" ref="R459:R459">IF(AND(INDEX(Profils!$L$5:$L$34,$AE459)&gt;0,INDEX(Profils!$AA$5:$AA$34,$AE459)&lt;=$AH459),ROUND(INDEX(Profils!$L$5:$L$34,$AE459)*Paramètres!$E$28*$AG459*$AJ459,Paramètres!$F$28),0)</f>
        <v>0</v>
      </c>
      <c r="S459" s="20" t="n">
        <f aca="false" t="array" ref="S459:S459">IF(AND(INDEX(Profils!$M$5:$M$34,$AE459)&gt;0,INDEX(Profils!$AB$5:$AB$34,$AE459)&lt;=$AH459),ROUND(INDEX(Profils!$M$5:$M$34,$AE459)*Paramètres!$E$29*$AG459*$AJ459,Paramètres!$F$29),0)</f>
        <v>0</v>
      </c>
      <c r="T459" s="20" t="n">
        <f aca="false" t="array" ref="T459:T459">IF(AND(INDEX(Profils!$N$5:$N$34,$AE459)&gt;0,INDEX(Profils!$AC$5:$AC$34,$AE459)&lt;=$AH459),ROUND(INDEX(Profils!$N$5:$N$34,$AE459)*Paramètres!$E$30*$AG459*$AJ459,Paramètres!$F$30),0)</f>
        <v>0</v>
      </c>
      <c r="U459" s="19" t="n">
        <f aca="false" t="array" ref="U459:U459">IF(AND(INDEX(Profils!$O$5:$O$34,$AE459)&gt;0,INDEX(Profils!$AD$5:$AD$34,$AE459)&lt;=$AH459),ROUND(INDEX(Profils!$O$5:$O$34,$AE459)*Paramètres!$E$31*$AG459*$AJ459,Paramètres!$F$31),0)</f>
        <v>0</v>
      </c>
      <c r="V459" s="20" t="n">
        <f aca="false" t="array" ref="V459:V459">IF(AND(INDEX(Profils!$P$5:$P$34,$AE459)&gt;0,INDEX(Profils!$AE$5:$AE$34,$AE459)&lt;=$AH459),ROUND(INDEX(Profils!$P$5:$P$34,$AE459)*Paramètres!$E$32*$AG459*$AJ459,Paramètres!$F$32),0)</f>
        <v>0</v>
      </c>
      <c r="W459" s="20" t="n">
        <f aca="false" t="array" ref="W459:W459">IF(AND(INDEX(Profils!$Q$5:$Q$34,$AE459)&gt;0,INDEX(Profils!$AF$5:$AF$34,$AE459)&lt;=$AH459),ROUND(INDEX(Profils!$Q$5:$Q$34,$AE459)*Paramètres!$E$33*$AG459*$AJ459,Paramètres!$F$33),0)</f>
        <v>0.008</v>
      </c>
      <c r="X459" s="20" t="n">
        <f aca="false" t="array" ref="X459:X459">IF(AND(INDEX(Profils!$R$5:$R$34,$AE459)&gt;0,INDEX(Profils!$AG$5:$AG$34,$AE459)&lt;=$AH459),ROUND(INDEX(Profils!$R$5:$R$34,$AE459)*Paramètres!$E$34*$AG459*$AJ459,Paramètres!$F$34),0)</f>
        <v>0</v>
      </c>
      <c r="Y459" s="20" t="n">
        <f aca="false" t="array" ref="Y459:Y459">IF(AND(INDEX(Profils!$S$5:$S$34,$AE459)&gt;0,INDEX(Profils!$AH$5:$AH$34,$AE459)&lt;=$AH459),ROUND(INDEX(Profils!$S$5:$S$34,$AE459)*Paramètres!$E$35*$AG459*$AJ459,Paramètres!$F$35),0)</f>
        <v>0</v>
      </c>
      <c r="Z459" s="21" t="n">
        <f aca="false">ROUND(L459/Paramètres!$E$22+M459/Paramètres!$E$23+N459/Paramètres!$E$24+O459/Paramètres!$E$25+P459/Paramètres!$E$26+Q459/Paramètres!$E$27+R459/Paramètres!$E$28+S459/Paramètres!$E$29+T459/Paramètres!$E$30+U459/Paramètres!$E$31+V459/Paramètres!$E$32+W459/Paramètres!$E$33+X459/Paramètres!$E$34+Y459/Paramètres!$E$35,1)</f>
        <v>1.8</v>
      </c>
      <c r="AA459" s="22" t="s">
        <v>109</v>
      </c>
      <c r="AB459" s="22" t="s">
        <v>109</v>
      </c>
      <c r="AC459" s="15" t="str">
        <f aca="false">$E459</f>
        <v>platine</v>
      </c>
      <c r="AD459" s="16" t="n">
        <f aca="false" t="array" ref="AD459:AD459">IF($I459&gt;=$AI459,"Max",ROUND(Paramètres!$B$40*($I459+1)^Paramètres!$B$41*INDEX(Paramètres!$H$6:$H$12,$AF459),0))</f>
        <v>4</v>
      </c>
      <c r="AE459" s="23" t="n">
        <f aca="false">MATCH($B459&amp;"|"&amp;$C459,Profils!$A$5:$A$34,0)</f>
        <v>15</v>
      </c>
      <c r="AF459" s="23" t="n">
        <v>2</v>
      </c>
      <c r="AG459" s="24" t="n">
        <f aca="false" t="array" ref="AG459:AG459">INDEX(Paramètres!$C$6:$C$12,$AF459)</f>
        <v>1.2</v>
      </c>
      <c r="AH459" s="23" t="n">
        <f aca="false" t="array" ref="AH459:AH459">INDEX(Paramètres!$D$6:$D$12,$AF459)</f>
        <v>3</v>
      </c>
      <c r="AI459" s="23" t="n">
        <f aca="false" t="array" ref="AI459:AI459">INDEX(Matériaux!$C$16:$C$20,$D459)</f>
        <v>25</v>
      </c>
      <c r="AJ459" s="25" t="n">
        <f aca="false">Paramètres!$B$16+(1-Paramètres!$B$16)*(($J459-Paramètres!$B$14)/(Paramètres!$B$15-Paramètres!$B$14))^Paramètres!$B$17</f>
        <v>0.458504333336152</v>
      </c>
    </row>
    <row r="460" customFormat="false" ht="15.75" hidden="false" customHeight="true" outlineLevel="0" collapsed="false">
      <c r="A460" s="14" t="s">
        <v>576</v>
      </c>
      <c r="B460" s="15" t="s">
        <v>29</v>
      </c>
      <c r="C460" s="15" t="s">
        <v>241</v>
      </c>
      <c r="D460" s="16" t="n">
        <v>4</v>
      </c>
      <c r="E460" s="15" t="str">
        <f aca="false" t="array" ref="E460:E460">INDEX(Matériaux!$B$5:$F$12,MATCH(INDEX(Profils!$E$5:$E$34,$AE460),Matériaux!$A$5:$A$12,0),$D460)</f>
        <v>platine</v>
      </c>
      <c r="F460" s="27" t="s">
        <v>113</v>
      </c>
      <c r="G460" s="10" t="str">
        <f aca="false" t="array" ref="G460:G460">INDEX(Profils!$D$5:$D$34,$AE460)&amp;" en "&amp;$E460</f>
        <v>Amulette en platine</v>
      </c>
      <c r="H460" s="16" t="n">
        <f aca="false" t="array" ref="H460:H460">INDEX(Matériaux!$B$16:$B$20,$D460)</f>
        <v>50</v>
      </c>
      <c r="I460" s="16" t="n">
        <f aca="false">IF(ISNUMBER($C$3),MIN(MAX(0,ROUND($C$3,0)),$AI460),$AI460)</f>
        <v>0</v>
      </c>
      <c r="J460" s="18" t="n">
        <f aca="false">$H460+$I460</f>
        <v>50</v>
      </c>
      <c r="K460" s="15" t="s">
        <v>109</v>
      </c>
      <c r="L460" s="19" t="n">
        <f aca="false" t="array" ref="L460:L460">IF(AND(INDEX(Profils!$F$5:$F$34,$AE460)&gt;0,INDEX(Profils!$U$5:$U$34,$AE460)&lt;=$AH460),ROUND(INDEX(Profils!$F$5:$F$34,$AE460)*Paramètres!$E$22*$AG460*$AJ460,Paramètres!$F$22),0)</f>
        <v>20</v>
      </c>
      <c r="M460" s="19" t="n">
        <f aca="false" t="array" ref="M460:M460">IF(AND(INDEX(Profils!$G$5:$G$34,$AE460)&gt;0,INDEX(Profils!$V$5:$V$34,$AE460)&lt;=$AH460),ROUND(INDEX(Profils!$G$5:$G$34,$AE460)*Paramètres!$E$23*$AG460*$AJ460,Paramètres!$F$23),0)</f>
        <v>0</v>
      </c>
      <c r="N460" s="19" t="n">
        <f aca="false" t="array" ref="N460:N460">IF(AND(INDEX(Profils!$H$5:$H$34,$AE460)&gt;0,INDEX(Profils!$W$5:$W$34,$AE460)&lt;=$AH460),ROUND(INDEX(Profils!$H$5:$H$34,$AE460)*Paramètres!$E$24*$AG460*$AJ460,Paramètres!$F$24),0)</f>
        <v>0</v>
      </c>
      <c r="O460" s="19" t="n">
        <f aca="false" t="array" ref="O460:O460">IF(AND(INDEX(Profils!$I$5:$I$34,$AE460)&gt;0,INDEX(Profils!$X$5:$X$34,$AE460)&lt;=$AH460),ROUND(INDEX(Profils!$I$5:$I$34,$AE460)*Paramètres!$E$25*$AG460*$AJ460,Paramètres!$F$25),0)</f>
        <v>11</v>
      </c>
      <c r="P460" s="19" t="n">
        <f aca="false" t="array" ref="P460:P460">IF(AND(INDEX(Profils!$J$5:$J$34,$AE460)&gt;0,INDEX(Profils!$Y$5:$Y$34,$AE460)&lt;=$AH460),ROUND(INDEX(Profils!$J$5:$J$34,$AE460)*Paramètres!$E$26*$AG460*$AJ460,Paramètres!$F$26),0)</f>
        <v>0</v>
      </c>
      <c r="Q460" s="19" t="n">
        <f aca="false" t="array" ref="Q460:Q460">IF(AND(INDEX(Profils!$K$5:$K$34,$AE460)&gt;0,INDEX(Profils!$Z$5:$Z$34,$AE460)&lt;=$AH460),ROUND(INDEX(Profils!$K$5:$K$34,$AE460)*Paramètres!$E$27*$AG460*$AJ460,Paramètres!$F$27),0)</f>
        <v>0</v>
      </c>
      <c r="R460" s="20" t="n">
        <f aca="false" t="array" ref="R460:R460">IF(AND(INDEX(Profils!$L$5:$L$34,$AE460)&gt;0,INDEX(Profils!$AA$5:$AA$34,$AE460)&lt;=$AH460),ROUND(INDEX(Profils!$L$5:$L$34,$AE460)*Paramètres!$E$28*$AG460*$AJ460,Paramètres!$F$28),0)</f>
        <v>0</v>
      </c>
      <c r="S460" s="20" t="n">
        <f aca="false" t="array" ref="S460:S460">IF(AND(INDEX(Profils!$M$5:$M$34,$AE460)&gt;0,INDEX(Profils!$AB$5:$AB$34,$AE460)&lt;=$AH460),ROUND(INDEX(Profils!$M$5:$M$34,$AE460)*Paramètres!$E$29*$AG460*$AJ460,Paramètres!$F$29),0)</f>
        <v>0</v>
      </c>
      <c r="T460" s="20" t="n">
        <f aca="false" t="array" ref="T460:T460">IF(AND(INDEX(Profils!$N$5:$N$34,$AE460)&gt;0,INDEX(Profils!$AC$5:$AC$34,$AE460)&lt;=$AH460),ROUND(INDEX(Profils!$N$5:$N$34,$AE460)*Paramètres!$E$30*$AG460*$AJ460,Paramètres!$F$30),0)</f>
        <v>0</v>
      </c>
      <c r="U460" s="19" t="n">
        <f aca="false" t="array" ref="U460:U460">IF(AND(INDEX(Profils!$O$5:$O$34,$AE460)&gt;0,INDEX(Profils!$AD$5:$AD$34,$AE460)&lt;=$AH460),ROUND(INDEX(Profils!$O$5:$O$34,$AE460)*Paramètres!$E$31*$AG460*$AJ460,Paramètres!$F$31),0)</f>
        <v>0</v>
      </c>
      <c r="V460" s="20" t="n">
        <f aca="false" t="array" ref="V460:V460">IF(AND(INDEX(Profils!$P$5:$P$34,$AE460)&gt;0,INDEX(Profils!$AE$5:$AE$34,$AE460)&lt;=$AH460),ROUND(INDEX(Profils!$P$5:$P$34,$AE460)*Paramètres!$E$32*$AG460*$AJ460,Paramètres!$F$32),0)</f>
        <v>0</v>
      </c>
      <c r="W460" s="20" t="n">
        <f aca="false" t="array" ref="W460:W460">IF(AND(INDEX(Profils!$Q$5:$Q$34,$AE460)&gt;0,INDEX(Profils!$AF$5:$AF$34,$AE460)&lt;=$AH460),ROUND(INDEX(Profils!$Q$5:$Q$34,$AE460)*Paramètres!$E$33*$AG460*$AJ460,Paramètres!$F$33),0)</f>
        <v>0.01</v>
      </c>
      <c r="X460" s="20" t="n">
        <f aca="false" t="array" ref="X460:X460">IF(AND(INDEX(Profils!$R$5:$R$34,$AE460)&gt;0,INDEX(Profils!$AG$5:$AG$34,$AE460)&lt;=$AH460),ROUND(INDEX(Profils!$R$5:$R$34,$AE460)*Paramètres!$E$34*$AG460*$AJ460,Paramètres!$F$34),0)</f>
        <v>0.013</v>
      </c>
      <c r="Y460" s="20" t="n">
        <f aca="false" t="array" ref="Y460:Y460">IF(AND(INDEX(Profils!$S$5:$S$34,$AE460)&gt;0,INDEX(Profils!$AH$5:$AH$34,$AE460)&lt;=$AH460),ROUND(INDEX(Profils!$S$5:$S$34,$AE460)*Paramètres!$E$35*$AG460*$AJ460,Paramètres!$F$35),0)</f>
        <v>0</v>
      </c>
      <c r="Z460" s="21" t="n">
        <f aca="false">ROUND(L460/Paramètres!$E$22+M460/Paramètres!$E$23+N460/Paramètres!$E$24+O460/Paramètres!$E$25+P460/Paramètres!$E$26+Q460/Paramètres!$E$27+R460/Paramètres!$E$28+S460/Paramètres!$E$29+T460/Paramètres!$E$30+U460/Paramètres!$E$31+V460/Paramètres!$E$32+W460/Paramètres!$E$33+X460/Paramètres!$E$34+Y460/Paramètres!$E$35,1)</f>
        <v>2.9</v>
      </c>
      <c r="AA460" s="22" t="s">
        <v>109</v>
      </c>
      <c r="AB460" s="22" t="s">
        <v>109</v>
      </c>
      <c r="AC460" s="15" t="str">
        <f aca="false">$E460</f>
        <v>platine</v>
      </c>
      <c r="AD460" s="16" t="n">
        <f aca="false" t="array" ref="AD460:AD460">IF($I460&gt;=$AI460,"Max",ROUND(Paramètres!$B$40*($I460+1)^Paramètres!$B$41*INDEX(Paramètres!$H$6:$H$12,$AF460),0))</f>
        <v>4</v>
      </c>
      <c r="AE460" s="23" t="n">
        <f aca="false">MATCH($B460&amp;"|"&amp;$C460,Profils!$A$5:$A$34,0)</f>
        <v>15</v>
      </c>
      <c r="AF460" s="23" t="n">
        <v>3</v>
      </c>
      <c r="AG460" s="24" t="n">
        <f aca="false" t="array" ref="AG460:AG460">INDEX(Paramètres!$C$6:$C$12,$AF460)</f>
        <v>1.45</v>
      </c>
      <c r="AH460" s="23" t="n">
        <f aca="false" t="array" ref="AH460:AH460">INDEX(Paramètres!$D$6:$D$12,$AF460)</f>
        <v>4</v>
      </c>
      <c r="AI460" s="23" t="n">
        <f aca="false" t="array" ref="AI460:AI460">INDEX(Matériaux!$C$16:$C$20,$D460)</f>
        <v>25</v>
      </c>
      <c r="AJ460" s="25" t="n">
        <f aca="false">Paramètres!$B$16+(1-Paramètres!$B$16)*(($J460-Paramètres!$B$14)/(Paramètres!$B$15-Paramètres!$B$14))^Paramètres!$B$17</f>
        <v>0.458504333336152</v>
      </c>
    </row>
    <row r="461" customFormat="false" ht="15.75" hidden="false" customHeight="true" outlineLevel="0" collapsed="false">
      <c r="A461" s="14" t="s">
        <v>577</v>
      </c>
      <c r="B461" s="15" t="s">
        <v>29</v>
      </c>
      <c r="C461" s="15" t="s">
        <v>241</v>
      </c>
      <c r="D461" s="16" t="n">
        <v>4</v>
      </c>
      <c r="E461" s="15" t="str">
        <f aca="false" t="array" ref="E461:E461">INDEX(Matériaux!$B$5:$F$12,MATCH(INDEX(Profils!$E$5:$E$34,$AE461),Matériaux!$A$5:$A$12,0),$D461)</f>
        <v>platine</v>
      </c>
      <c r="F461" s="28" t="s">
        <v>115</v>
      </c>
      <c r="G461" s="10" t="str">
        <f aca="false" t="array" ref="G461:G461">INDEX(Profils!$D$5:$D$34,$AE461)&amp;" en "&amp;$E461</f>
        <v>Amulette en platine</v>
      </c>
      <c r="H461" s="16" t="n">
        <f aca="false" t="array" ref="H461:H461">INDEX(Matériaux!$B$16:$B$20,$D461)</f>
        <v>50</v>
      </c>
      <c r="I461" s="16" t="n">
        <f aca="false">IF(ISNUMBER($C$3),MIN(MAX(0,ROUND($C$3,0)),$AI461),$AI461)</f>
        <v>0</v>
      </c>
      <c r="J461" s="18" t="n">
        <f aca="false">$H461+$I461</f>
        <v>50</v>
      </c>
      <c r="K461" s="15" t="s">
        <v>109</v>
      </c>
      <c r="L461" s="19" t="n">
        <f aca="false" t="array" ref="L461:L461">IF(AND(INDEX(Profils!$F$5:$F$34,$AE461)&gt;0,INDEX(Profils!$U$5:$U$34,$AE461)&lt;=$AH461),ROUND(INDEX(Profils!$F$5:$F$34,$AE461)*Paramètres!$E$22*$AG461*$AJ461,Paramètres!$F$22),0)</f>
        <v>24</v>
      </c>
      <c r="M461" s="19" t="n">
        <f aca="false" t="array" ref="M461:M461">IF(AND(INDEX(Profils!$G$5:$G$34,$AE461)&gt;0,INDEX(Profils!$V$5:$V$34,$AE461)&lt;=$AH461),ROUND(INDEX(Profils!$G$5:$G$34,$AE461)*Paramètres!$E$23*$AG461*$AJ461,Paramètres!$F$23),0)</f>
        <v>0</v>
      </c>
      <c r="N461" s="19" t="n">
        <f aca="false" t="array" ref="N461:N461">IF(AND(INDEX(Profils!$H$5:$H$34,$AE461)&gt;0,INDEX(Profils!$W$5:$W$34,$AE461)&lt;=$AH461),ROUND(INDEX(Profils!$H$5:$H$34,$AE461)*Paramètres!$E$24*$AG461*$AJ461,Paramètres!$F$24),0)</f>
        <v>0</v>
      </c>
      <c r="O461" s="19" t="n">
        <f aca="false" t="array" ref="O461:O461">IF(AND(INDEX(Profils!$I$5:$I$34,$AE461)&gt;0,INDEX(Profils!$X$5:$X$34,$AE461)&lt;=$AH461),ROUND(INDEX(Profils!$I$5:$I$34,$AE461)*Paramètres!$E$25*$AG461*$AJ461,Paramètres!$F$25),0)</f>
        <v>13</v>
      </c>
      <c r="P461" s="19" t="n">
        <f aca="false" t="array" ref="P461:P461">IF(AND(INDEX(Profils!$J$5:$J$34,$AE461)&gt;0,INDEX(Profils!$Y$5:$Y$34,$AE461)&lt;=$AH461),ROUND(INDEX(Profils!$J$5:$J$34,$AE461)*Paramètres!$E$26*$AG461*$AJ461,Paramètres!$F$26),0)</f>
        <v>0</v>
      </c>
      <c r="Q461" s="19" t="n">
        <f aca="false" t="array" ref="Q461:Q461">IF(AND(INDEX(Profils!$K$5:$K$34,$AE461)&gt;0,INDEX(Profils!$Z$5:$Z$34,$AE461)&lt;=$AH461),ROUND(INDEX(Profils!$K$5:$K$34,$AE461)*Paramètres!$E$27*$AG461*$AJ461,Paramètres!$F$27),0)</f>
        <v>0</v>
      </c>
      <c r="R461" s="20" t="n">
        <f aca="false" t="array" ref="R461:R461">IF(AND(INDEX(Profils!$L$5:$L$34,$AE461)&gt;0,INDEX(Profils!$AA$5:$AA$34,$AE461)&lt;=$AH461),ROUND(INDEX(Profils!$L$5:$L$34,$AE461)*Paramètres!$E$28*$AG461*$AJ461,Paramètres!$F$28),0)</f>
        <v>0</v>
      </c>
      <c r="S461" s="20" t="n">
        <f aca="false" t="array" ref="S461:S461">IF(AND(INDEX(Profils!$M$5:$M$34,$AE461)&gt;0,INDEX(Profils!$AB$5:$AB$34,$AE461)&lt;=$AH461),ROUND(INDEX(Profils!$M$5:$M$34,$AE461)*Paramètres!$E$29*$AG461*$AJ461,Paramètres!$F$29),0)</f>
        <v>0</v>
      </c>
      <c r="T461" s="20" t="n">
        <f aca="false" t="array" ref="T461:T461">IF(AND(INDEX(Profils!$N$5:$N$34,$AE461)&gt;0,INDEX(Profils!$AC$5:$AC$34,$AE461)&lt;=$AH461),ROUND(INDEX(Profils!$N$5:$N$34,$AE461)*Paramètres!$E$30*$AG461*$AJ461,Paramètres!$F$30),0)</f>
        <v>0</v>
      </c>
      <c r="U461" s="19" t="n">
        <f aca="false" t="array" ref="U461:U461">IF(AND(INDEX(Profils!$O$5:$O$34,$AE461)&gt;0,INDEX(Profils!$AD$5:$AD$34,$AE461)&lt;=$AH461),ROUND(INDEX(Profils!$O$5:$O$34,$AE461)*Paramètres!$E$31*$AG461*$AJ461,Paramètres!$F$31),0)</f>
        <v>0</v>
      </c>
      <c r="V461" s="20" t="n">
        <f aca="false" t="array" ref="V461:V461">IF(AND(INDEX(Profils!$P$5:$P$34,$AE461)&gt;0,INDEX(Profils!$AE$5:$AE$34,$AE461)&lt;=$AH461),ROUND(INDEX(Profils!$P$5:$P$34,$AE461)*Paramètres!$E$32*$AG461*$AJ461,Paramètres!$F$32),0)</f>
        <v>0</v>
      </c>
      <c r="W461" s="20" t="n">
        <f aca="false" t="array" ref="W461:W461">IF(AND(INDEX(Profils!$Q$5:$Q$34,$AE461)&gt;0,INDEX(Profils!$AF$5:$AF$34,$AE461)&lt;=$AH461),ROUND(INDEX(Profils!$Q$5:$Q$34,$AE461)*Paramètres!$E$33*$AG461*$AJ461,Paramètres!$F$33),0)</f>
        <v>0.012</v>
      </c>
      <c r="X461" s="20" t="n">
        <f aca="false" t="array" ref="X461:X461">IF(AND(INDEX(Profils!$R$5:$R$34,$AE461)&gt;0,INDEX(Profils!$AG$5:$AG$34,$AE461)&lt;=$AH461),ROUND(INDEX(Profils!$R$5:$R$34,$AE461)*Paramètres!$E$34*$AG461*$AJ461,Paramètres!$F$34),0)</f>
        <v>0.016</v>
      </c>
      <c r="Y461" s="20" t="n">
        <f aca="false" t="array" ref="Y461:Y461">IF(AND(INDEX(Profils!$S$5:$S$34,$AE461)&gt;0,INDEX(Profils!$AH$5:$AH$34,$AE461)&lt;=$AH461),ROUND(INDEX(Profils!$S$5:$S$34,$AE461)*Paramètres!$E$35*$AG461*$AJ461,Paramètres!$F$35),0)</f>
        <v>0.01</v>
      </c>
      <c r="Z461" s="21" t="n">
        <f aca="false">ROUND(L461/Paramètres!$E$22+M461/Paramètres!$E$23+N461/Paramètres!$E$24+O461/Paramètres!$E$25+P461/Paramètres!$E$26+Q461/Paramètres!$E$27+R461/Paramètres!$E$28+S461/Paramètres!$E$29+T461/Paramètres!$E$30+U461/Paramètres!$E$31+V461/Paramètres!$E$32+W461/Paramètres!$E$33+X461/Paramètres!$E$34+Y461/Paramètres!$E$35,1)</f>
        <v>4.1</v>
      </c>
      <c r="AA461" s="22" t="s">
        <v>109</v>
      </c>
      <c r="AB461" s="22" t="s">
        <v>109</v>
      </c>
      <c r="AC461" s="15" t="str">
        <f aca="false">$E461</f>
        <v>platine</v>
      </c>
      <c r="AD461" s="16" t="n">
        <f aca="false" t="array" ref="AD461:AD461">IF($I461&gt;=$AI461,"Max",ROUND(Paramètres!$B$40*($I461+1)^Paramètres!$B$41*INDEX(Paramètres!$H$6:$H$12,$AF461),0))</f>
        <v>5</v>
      </c>
      <c r="AE461" s="23" t="n">
        <f aca="false">MATCH($B461&amp;"|"&amp;$C461,Profils!$A$5:$A$34,0)</f>
        <v>15</v>
      </c>
      <c r="AF461" s="23" t="n">
        <v>4</v>
      </c>
      <c r="AG461" s="24" t="n">
        <f aca="false" t="array" ref="AG461:AG461">INDEX(Paramètres!$C$6:$C$12,$AF461)</f>
        <v>1.75</v>
      </c>
      <c r="AH461" s="23" t="n">
        <f aca="false" t="array" ref="AH461:AH461">INDEX(Paramètres!$D$6:$D$12,$AF461)</f>
        <v>5</v>
      </c>
      <c r="AI461" s="23" t="n">
        <f aca="false" t="array" ref="AI461:AI461">INDEX(Matériaux!$C$16:$C$20,$D461)</f>
        <v>25</v>
      </c>
      <c r="AJ461" s="25" t="n">
        <f aca="false">Paramètres!$B$16+(1-Paramètres!$B$16)*(($J461-Paramètres!$B$14)/(Paramètres!$B$15-Paramètres!$B$14))^Paramètres!$B$17</f>
        <v>0.458504333336152</v>
      </c>
    </row>
    <row r="462" customFormat="false" ht="15.75" hidden="false" customHeight="true" outlineLevel="0" collapsed="false">
      <c r="A462" s="14" t="s">
        <v>578</v>
      </c>
      <c r="B462" s="15" t="s">
        <v>29</v>
      </c>
      <c r="C462" s="15" t="s">
        <v>241</v>
      </c>
      <c r="D462" s="16" t="n">
        <v>4</v>
      </c>
      <c r="E462" s="15" t="str">
        <f aca="false" t="array" ref="E462:E462">INDEX(Matériaux!$B$5:$F$12,MATCH(INDEX(Profils!$E$5:$E$34,$AE462),Matériaux!$A$5:$A$12,0),$D462)</f>
        <v>platine</v>
      </c>
      <c r="F462" s="29" t="s">
        <v>117</v>
      </c>
      <c r="G462" s="10" t="str">
        <f aca="false" t="array" ref="G462:G462">INDEX(Profils!$D$5:$D$34,$AE462)&amp;" en "&amp;$E462</f>
        <v>Amulette en platine</v>
      </c>
      <c r="H462" s="16" t="n">
        <f aca="false" t="array" ref="H462:H462">INDEX(Matériaux!$B$16:$B$20,$D462)</f>
        <v>50</v>
      </c>
      <c r="I462" s="16" t="n">
        <f aca="false">IF(ISNUMBER($C$3),MIN(MAX(0,ROUND($C$3,0)),$AI462),$AI462)</f>
        <v>0</v>
      </c>
      <c r="J462" s="18" t="n">
        <f aca="false">$H462+$I462</f>
        <v>50</v>
      </c>
      <c r="K462" s="15" t="s">
        <v>109</v>
      </c>
      <c r="L462" s="19" t="n">
        <f aca="false" t="array" ref="L462:L462">IF(AND(INDEX(Profils!$F$5:$F$34,$AE462)&gt;0,INDEX(Profils!$U$5:$U$34,$AE462)&lt;=$AH462),ROUND(INDEX(Profils!$F$5:$F$34,$AE462)*Paramètres!$E$22*$AG462*$AJ462,Paramètres!$F$22),0)</f>
        <v>29</v>
      </c>
      <c r="M462" s="19" t="n">
        <f aca="false" t="array" ref="M462:M462">IF(AND(INDEX(Profils!$G$5:$G$34,$AE462)&gt;0,INDEX(Profils!$V$5:$V$34,$AE462)&lt;=$AH462),ROUND(INDEX(Profils!$G$5:$G$34,$AE462)*Paramètres!$E$23*$AG462*$AJ462,Paramètres!$F$23),0)</f>
        <v>0</v>
      </c>
      <c r="N462" s="19" t="n">
        <f aca="false" t="array" ref="N462:N462">IF(AND(INDEX(Profils!$H$5:$H$34,$AE462)&gt;0,INDEX(Profils!$W$5:$W$34,$AE462)&lt;=$AH462),ROUND(INDEX(Profils!$H$5:$H$34,$AE462)*Paramètres!$E$24*$AG462*$AJ462,Paramètres!$F$24),0)</f>
        <v>0</v>
      </c>
      <c r="O462" s="19" t="n">
        <f aca="false" t="array" ref="O462:O462">IF(AND(INDEX(Profils!$I$5:$I$34,$AE462)&gt;0,INDEX(Profils!$X$5:$X$34,$AE462)&lt;=$AH462),ROUND(INDEX(Profils!$I$5:$I$34,$AE462)*Paramètres!$E$25*$AG462*$AJ462,Paramètres!$F$25),0)</f>
        <v>16</v>
      </c>
      <c r="P462" s="19" t="n">
        <f aca="false" t="array" ref="P462:P462">IF(AND(INDEX(Profils!$J$5:$J$34,$AE462)&gt;0,INDEX(Profils!$Y$5:$Y$34,$AE462)&lt;=$AH462),ROUND(INDEX(Profils!$J$5:$J$34,$AE462)*Paramètres!$E$26*$AG462*$AJ462,Paramètres!$F$26),0)</f>
        <v>0</v>
      </c>
      <c r="Q462" s="19" t="n">
        <f aca="false" t="array" ref="Q462:Q462">IF(AND(INDEX(Profils!$K$5:$K$34,$AE462)&gt;0,INDEX(Profils!$Z$5:$Z$34,$AE462)&lt;=$AH462),ROUND(INDEX(Profils!$K$5:$K$34,$AE462)*Paramètres!$E$27*$AG462*$AJ462,Paramètres!$F$27),0)</f>
        <v>6</v>
      </c>
      <c r="R462" s="20" t="n">
        <f aca="false" t="array" ref="R462:R462">IF(AND(INDEX(Profils!$L$5:$L$34,$AE462)&gt;0,INDEX(Profils!$AA$5:$AA$34,$AE462)&lt;=$AH462),ROUND(INDEX(Profils!$L$5:$L$34,$AE462)*Paramètres!$E$28*$AG462*$AJ462,Paramètres!$F$28),0)</f>
        <v>0</v>
      </c>
      <c r="S462" s="20" t="n">
        <f aca="false" t="array" ref="S462:S462">IF(AND(INDEX(Profils!$M$5:$M$34,$AE462)&gt;0,INDEX(Profils!$AB$5:$AB$34,$AE462)&lt;=$AH462),ROUND(INDEX(Profils!$M$5:$M$34,$AE462)*Paramètres!$E$29*$AG462*$AJ462,Paramètres!$F$29),0)</f>
        <v>0</v>
      </c>
      <c r="T462" s="20" t="n">
        <f aca="false" t="array" ref="T462:T462">IF(AND(INDEX(Profils!$N$5:$N$34,$AE462)&gt;0,INDEX(Profils!$AC$5:$AC$34,$AE462)&lt;=$AH462),ROUND(INDEX(Profils!$N$5:$N$34,$AE462)*Paramètres!$E$30*$AG462*$AJ462,Paramètres!$F$30),0)</f>
        <v>0</v>
      </c>
      <c r="U462" s="19" t="n">
        <f aca="false" t="array" ref="U462:U462">IF(AND(INDEX(Profils!$O$5:$O$34,$AE462)&gt;0,INDEX(Profils!$AD$5:$AD$34,$AE462)&lt;=$AH462),ROUND(INDEX(Profils!$O$5:$O$34,$AE462)*Paramètres!$E$31*$AG462*$AJ462,Paramètres!$F$31),0)</f>
        <v>0</v>
      </c>
      <c r="V462" s="20" t="n">
        <f aca="false" t="array" ref="V462:V462">IF(AND(INDEX(Profils!$P$5:$P$34,$AE462)&gt;0,INDEX(Profils!$AE$5:$AE$34,$AE462)&lt;=$AH462),ROUND(INDEX(Profils!$P$5:$P$34,$AE462)*Paramètres!$E$32*$AG462*$AJ462,Paramètres!$F$32),0)</f>
        <v>0</v>
      </c>
      <c r="W462" s="20" t="n">
        <f aca="false" t="array" ref="W462:W462">IF(AND(INDEX(Profils!$Q$5:$Q$34,$AE462)&gt;0,INDEX(Profils!$AF$5:$AF$34,$AE462)&lt;=$AH462),ROUND(INDEX(Profils!$Q$5:$Q$34,$AE462)*Paramètres!$E$33*$AG462*$AJ462,Paramètres!$F$33),0)</f>
        <v>0.014</v>
      </c>
      <c r="X462" s="20" t="n">
        <f aca="false" t="array" ref="X462:X462">IF(AND(INDEX(Profils!$R$5:$R$34,$AE462)&gt;0,INDEX(Profils!$AG$5:$AG$34,$AE462)&lt;=$AH462),ROUND(INDEX(Profils!$R$5:$R$34,$AE462)*Paramètres!$E$34*$AG462*$AJ462,Paramètres!$F$34),0)</f>
        <v>0.019</v>
      </c>
      <c r="Y462" s="20" t="n">
        <f aca="false" t="array" ref="Y462:Y462">IF(AND(INDEX(Profils!$S$5:$S$34,$AE462)&gt;0,INDEX(Profils!$AH$5:$AH$34,$AE462)&lt;=$AH462),ROUND(INDEX(Profils!$S$5:$S$34,$AE462)*Paramètres!$E$35*$AG462*$AJ462,Paramètres!$F$35),0)</f>
        <v>0.012</v>
      </c>
      <c r="Z462" s="21" t="n">
        <f aca="false">ROUND(L462/Paramètres!$E$22+M462/Paramètres!$E$23+N462/Paramètres!$E$24+O462/Paramètres!$E$25+P462/Paramètres!$E$26+Q462/Paramètres!$E$27+R462/Paramètres!$E$28+S462/Paramètres!$E$29+T462/Paramètres!$E$30+U462/Paramètres!$E$31+V462/Paramètres!$E$32+W462/Paramètres!$E$33+X462/Paramètres!$E$34+Y462/Paramètres!$E$35,1)</f>
        <v>5.5</v>
      </c>
      <c r="AA462" s="22" t="s">
        <v>109</v>
      </c>
      <c r="AB462" s="22" t="s">
        <v>109</v>
      </c>
      <c r="AC462" s="15" t="str">
        <f aca="false">$E462</f>
        <v>platine</v>
      </c>
      <c r="AD462" s="16" t="n">
        <f aca="false" t="array" ref="AD462:AD462">IF($I462&gt;=$AI462,"Max",ROUND(Paramètres!$B$40*($I462+1)^Paramètres!$B$41*INDEX(Paramètres!$H$6:$H$12,$AF462),0))</f>
        <v>6</v>
      </c>
      <c r="AE462" s="23" t="n">
        <f aca="false">MATCH($B462&amp;"|"&amp;$C462,Profils!$A$5:$A$34,0)</f>
        <v>15</v>
      </c>
      <c r="AF462" s="23" t="n">
        <v>5</v>
      </c>
      <c r="AG462" s="24" t="n">
        <f aca="false" t="array" ref="AG462:AG462">INDEX(Paramètres!$C$6:$C$12,$AF462)</f>
        <v>2.1</v>
      </c>
      <c r="AH462" s="23" t="n">
        <f aca="false" t="array" ref="AH462:AH462">INDEX(Paramètres!$D$6:$D$12,$AF462)</f>
        <v>6</v>
      </c>
      <c r="AI462" s="23" t="n">
        <f aca="false" t="array" ref="AI462:AI462">INDEX(Matériaux!$C$16:$C$20,$D462)</f>
        <v>25</v>
      </c>
      <c r="AJ462" s="25" t="n">
        <f aca="false">Paramètres!$B$16+(1-Paramètres!$B$16)*(($J462-Paramètres!$B$14)/(Paramètres!$B$15-Paramètres!$B$14))^Paramètres!$B$17</f>
        <v>0.458504333336152</v>
      </c>
    </row>
    <row r="463" customFormat="false" ht="15.75" hidden="false" customHeight="true" outlineLevel="0" collapsed="false">
      <c r="A463" s="14" t="s">
        <v>579</v>
      </c>
      <c r="B463" s="15" t="s">
        <v>29</v>
      </c>
      <c r="C463" s="15" t="s">
        <v>241</v>
      </c>
      <c r="D463" s="16" t="n">
        <v>4</v>
      </c>
      <c r="E463" s="15" t="str">
        <f aca="false" t="array" ref="E463:E463">INDEX(Matériaux!$B$5:$F$12,MATCH(INDEX(Profils!$E$5:$E$34,$AE463),Matériaux!$A$5:$A$12,0),$D463)</f>
        <v>platine</v>
      </c>
      <c r="F463" s="30" t="s">
        <v>119</v>
      </c>
      <c r="G463" s="10" t="str">
        <f aca="false" t="array" ref="G463:G463">INDEX(Profils!$D$5:$D$34,$AE463)&amp;" en "&amp;$E463</f>
        <v>Amulette en platine</v>
      </c>
      <c r="H463" s="16" t="n">
        <f aca="false" t="array" ref="H463:H463">INDEX(Matériaux!$B$16:$B$20,$D463)</f>
        <v>50</v>
      </c>
      <c r="I463" s="16" t="n">
        <f aca="false">IF(ISNUMBER($C$3),MIN(MAX(0,ROUND($C$3,0)),$AI463),$AI463)</f>
        <v>0</v>
      </c>
      <c r="J463" s="18" t="n">
        <f aca="false">$H463+$I463</f>
        <v>50</v>
      </c>
      <c r="K463" s="15" t="s">
        <v>109</v>
      </c>
      <c r="L463" s="19" t="n">
        <f aca="false" t="array" ref="L463:L463">IF(AND(INDEX(Profils!$F$5:$F$34,$AE463)&gt;0,INDEX(Profils!$U$5:$U$34,$AE463)&lt;=$AH463),ROUND(INDEX(Profils!$F$5:$F$34,$AE463)*Paramètres!$E$22*$AG463*$AJ463,Paramètres!$F$22),0)</f>
        <v>33</v>
      </c>
      <c r="M463" s="19" t="n">
        <f aca="false" t="array" ref="M463:M463">IF(AND(INDEX(Profils!$G$5:$G$34,$AE463)&gt;0,INDEX(Profils!$V$5:$V$34,$AE463)&lt;=$AH463),ROUND(INDEX(Profils!$G$5:$G$34,$AE463)*Paramètres!$E$23*$AG463*$AJ463,Paramètres!$F$23),0)</f>
        <v>0</v>
      </c>
      <c r="N463" s="19" t="n">
        <f aca="false" t="array" ref="N463:N463">IF(AND(INDEX(Profils!$H$5:$H$34,$AE463)&gt;0,INDEX(Profils!$W$5:$W$34,$AE463)&lt;=$AH463),ROUND(INDEX(Profils!$H$5:$H$34,$AE463)*Paramètres!$E$24*$AG463*$AJ463,Paramètres!$F$24),0)</f>
        <v>0</v>
      </c>
      <c r="O463" s="19" t="n">
        <f aca="false" t="array" ref="O463:O463">IF(AND(INDEX(Profils!$I$5:$I$34,$AE463)&gt;0,INDEX(Profils!$X$5:$X$34,$AE463)&lt;=$AH463),ROUND(INDEX(Profils!$I$5:$I$34,$AE463)*Paramètres!$E$25*$AG463*$AJ463,Paramètres!$F$25),0)</f>
        <v>18</v>
      </c>
      <c r="P463" s="19" t="n">
        <f aca="false" t="array" ref="P463:P463">IF(AND(INDEX(Profils!$J$5:$J$34,$AE463)&gt;0,INDEX(Profils!$Y$5:$Y$34,$AE463)&lt;=$AH463),ROUND(INDEX(Profils!$J$5:$J$34,$AE463)*Paramètres!$E$26*$AG463*$AJ463,Paramètres!$F$26),0)</f>
        <v>0</v>
      </c>
      <c r="Q463" s="19" t="n">
        <f aca="false" t="array" ref="Q463:Q463">IF(AND(INDEX(Profils!$K$5:$K$34,$AE463)&gt;0,INDEX(Profils!$Z$5:$Z$34,$AE463)&lt;=$AH463),ROUND(INDEX(Profils!$K$5:$K$34,$AE463)*Paramètres!$E$27*$AG463*$AJ463,Paramètres!$F$27),0)</f>
        <v>7</v>
      </c>
      <c r="R463" s="20" t="n">
        <f aca="false" t="array" ref="R463:R463">IF(AND(INDEX(Profils!$L$5:$L$34,$AE463)&gt;0,INDEX(Profils!$AA$5:$AA$34,$AE463)&lt;=$AH463),ROUND(INDEX(Profils!$L$5:$L$34,$AE463)*Paramètres!$E$28*$AG463*$AJ463,Paramètres!$F$28),0)</f>
        <v>0</v>
      </c>
      <c r="S463" s="20" t="n">
        <f aca="false" t="array" ref="S463:S463">IF(AND(INDEX(Profils!$M$5:$M$34,$AE463)&gt;0,INDEX(Profils!$AB$5:$AB$34,$AE463)&lt;=$AH463),ROUND(INDEX(Profils!$M$5:$M$34,$AE463)*Paramètres!$E$29*$AG463*$AJ463,Paramètres!$F$29),0)</f>
        <v>0.008</v>
      </c>
      <c r="T463" s="20" t="n">
        <f aca="false" t="array" ref="T463:T463">IF(AND(INDEX(Profils!$N$5:$N$34,$AE463)&gt;0,INDEX(Profils!$AC$5:$AC$34,$AE463)&lt;=$AH463),ROUND(INDEX(Profils!$N$5:$N$34,$AE463)*Paramètres!$E$30*$AG463*$AJ463,Paramètres!$F$30),0)</f>
        <v>0</v>
      </c>
      <c r="U463" s="19" t="n">
        <f aca="false" t="array" ref="U463:U463">IF(AND(INDEX(Profils!$O$5:$O$34,$AE463)&gt;0,INDEX(Profils!$AD$5:$AD$34,$AE463)&lt;=$AH463),ROUND(INDEX(Profils!$O$5:$O$34,$AE463)*Paramètres!$E$31*$AG463*$AJ463,Paramètres!$F$31),0)</f>
        <v>0</v>
      </c>
      <c r="V463" s="20" t="n">
        <f aca="false" t="array" ref="V463:V463">IF(AND(INDEX(Profils!$P$5:$P$34,$AE463)&gt;0,INDEX(Profils!$AE$5:$AE$34,$AE463)&lt;=$AH463),ROUND(INDEX(Profils!$P$5:$P$34,$AE463)*Paramètres!$E$32*$AG463*$AJ463,Paramètres!$F$32),0)</f>
        <v>0</v>
      </c>
      <c r="W463" s="20" t="n">
        <f aca="false" t="array" ref="W463:W463">IF(AND(INDEX(Profils!$Q$5:$Q$34,$AE463)&gt;0,INDEX(Profils!$AF$5:$AF$34,$AE463)&lt;=$AH463),ROUND(INDEX(Profils!$Q$5:$Q$34,$AE463)*Paramètres!$E$33*$AG463*$AJ463,Paramètres!$F$33),0)</f>
        <v>0.017</v>
      </c>
      <c r="X463" s="20" t="n">
        <f aca="false" t="array" ref="X463:X463">IF(AND(INDEX(Profils!$R$5:$R$34,$AE463)&gt;0,INDEX(Profils!$AG$5:$AG$34,$AE463)&lt;=$AH463),ROUND(INDEX(Profils!$R$5:$R$34,$AE463)*Paramètres!$E$34*$AG463*$AJ463,Paramètres!$F$34),0)</f>
        <v>0.022</v>
      </c>
      <c r="Y463" s="20" t="n">
        <f aca="false" t="array" ref="Y463:Y463">IF(AND(INDEX(Profils!$S$5:$S$34,$AE463)&gt;0,INDEX(Profils!$AH$5:$AH$34,$AE463)&lt;=$AH463),ROUND(INDEX(Profils!$S$5:$S$34,$AE463)*Paramètres!$E$35*$AG463*$AJ463,Paramètres!$F$35),0)</f>
        <v>0.013</v>
      </c>
      <c r="Z463" s="21" t="n">
        <f aca="false">ROUND(L463/Paramètres!$E$22+M463/Paramètres!$E$23+N463/Paramètres!$E$24+O463/Paramètres!$E$25+P463/Paramètres!$E$26+Q463/Paramètres!$E$27+R463/Paramètres!$E$28+S463/Paramètres!$E$29+T463/Paramètres!$E$30+U463/Paramètres!$E$31+V463/Paramètres!$E$32+W463/Paramètres!$E$33+X463/Paramètres!$E$34+Y463/Paramètres!$E$35,1)</f>
        <v>7</v>
      </c>
      <c r="AA463" s="22" t="s">
        <v>109</v>
      </c>
      <c r="AB463" s="22" t="s">
        <v>109</v>
      </c>
      <c r="AC463" s="15" t="str">
        <f aca="false">$E463</f>
        <v>platine</v>
      </c>
      <c r="AD463" s="16" t="n">
        <f aca="false" t="array" ref="AD463:AD463">IF($I463&gt;=$AI463,"Max",ROUND(Paramètres!$B$40*($I463+1)^Paramètres!$B$41*INDEX(Paramètres!$H$6:$H$12,$AF463),0))</f>
        <v>8</v>
      </c>
      <c r="AE463" s="23" t="n">
        <f aca="false">MATCH($B463&amp;"|"&amp;$C463,Profils!$A$5:$A$34,0)</f>
        <v>15</v>
      </c>
      <c r="AF463" s="23" t="n">
        <v>6</v>
      </c>
      <c r="AG463" s="24" t="n">
        <f aca="false" t="array" ref="AG463:AG463">INDEX(Paramètres!$C$6:$C$12,$AF463)</f>
        <v>2.4</v>
      </c>
      <c r="AH463" s="23" t="n">
        <f aca="false" t="array" ref="AH463:AH463">INDEX(Paramètres!$D$6:$D$12,$AF463)</f>
        <v>7</v>
      </c>
      <c r="AI463" s="23" t="n">
        <f aca="false" t="array" ref="AI463:AI463">INDEX(Matériaux!$C$16:$C$20,$D463)</f>
        <v>25</v>
      </c>
      <c r="AJ463" s="25" t="n">
        <f aca="false">Paramètres!$B$16+(1-Paramètres!$B$16)*(($J463-Paramètres!$B$14)/(Paramètres!$B$15-Paramètres!$B$14))^Paramètres!$B$17</f>
        <v>0.458504333336152</v>
      </c>
    </row>
    <row r="464" customFormat="false" ht="15.75" hidden="false" customHeight="true" outlineLevel="0" collapsed="false">
      <c r="A464" s="14" t="s">
        <v>580</v>
      </c>
      <c r="B464" s="15" t="s">
        <v>29</v>
      </c>
      <c r="C464" s="15" t="s">
        <v>241</v>
      </c>
      <c r="D464" s="16" t="n">
        <v>5</v>
      </c>
      <c r="E464" s="15" t="str">
        <f aca="false" t="array" ref="E464:E464">INDEX(Matériaux!$B$5:$F$12,MATCH(INDEX(Profils!$E$5:$E$34,$AE464),Matériaux!$A$5:$A$12,0),$D464)</f>
        <v>orichalque</v>
      </c>
      <c r="F464" s="17" t="s">
        <v>108</v>
      </c>
      <c r="G464" s="10" t="str">
        <f aca="false" t="array" ref="G464:G464">INDEX(Profils!$D$5:$D$34,$AE464)&amp;" en "&amp;$E464</f>
        <v>Amulette en orichalque</v>
      </c>
      <c r="H464" s="16" t="n">
        <f aca="false" t="array" ref="H464:H464">INDEX(Matériaux!$B$16:$B$20,$D464)</f>
        <v>70</v>
      </c>
      <c r="I464" s="16" t="n">
        <f aca="false">IF(ISNUMBER($C$3),MIN(MAX(0,ROUND($C$3,0)),$AI464),$AI464)</f>
        <v>0</v>
      </c>
      <c r="J464" s="18" t="n">
        <f aca="false">$H464+$I464</f>
        <v>70</v>
      </c>
      <c r="K464" s="15" t="s">
        <v>109</v>
      </c>
      <c r="L464" s="19" t="n">
        <f aca="false" t="array" ref="L464:L464">IF(AND(INDEX(Profils!$F$5:$F$34,$AE464)&gt;0,INDEX(Profils!$U$5:$U$34,$AE464)&lt;=$AH464),ROUND(INDEX(Profils!$F$5:$F$34,$AE464)*Paramètres!$E$22*$AG464*$AJ464,Paramètres!$F$22),0)</f>
        <v>20</v>
      </c>
      <c r="M464" s="19" t="n">
        <f aca="false" t="array" ref="M464:M464">IF(AND(INDEX(Profils!$G$5:$G$34,$AE464)&gt;0,INDEX(Profils!$V$5:$V$34,$AE464)&lt;=$AH464),ROUND(INDEX(Profils!$G$5:$G$34,$AE464)*Paramètres!$E$23*$AG464*$AJ464,Paramètres!$F$23),0)</f>
        <v>0</v>
      </c>
      <c r="N464" s="19" t="n">
        <f aca="false" t="array" ref="N464:N464">IF(AND(INDEX(Profils!$H$5:$H$34,$AE464)&gt;0,INDEX(Profils!$W$5:$W$34,$AE464)&lt;=$AH464),ROUND(INDEX(Profils!$H$5:$H$34,$AE464)*Paramètres!$E$24*$AG464*$AJ464,Paramètres!$F$24),0)</f>
        <v>0</v>
      </c>
      <c r="O464" s="19" t="n">
        <f aca="false" t="array" ref="O464:O464">IF(AND(INDEX(Profils!$I$5:$I$34,$AE464)&gt;0,INDEX(Profils!$X$5:$X$34,$AE464)&lt;=$AH464),ROUND(INDEX(Profils!$I$5:$I$34,$AE464)*Paramètres!$E$25*$AG464*$AJ464,Paramètres!$F$25),0)</f>
        <v>11</v>
      </c>
      <c r="P464" s="19" t="n">
        <f aca="false" t="array" ref="P464:P464">IF(AND(INDEX(Profils!$J$5:$J$34,$AE464)&gt;0,INDEX(Profils!$Y$5:$Y$34,$AE464)&lt;=$AH464),ROUND(INDEX(Profils!$J$5:$J$34,$AE464)*Paramètres!$E$26*$AG464*$AJ464,Paramètres!$F$26),0)</f>
        <v>0</v>
      </c>
      <c r="Q464" s="19" t="n">
        <f aca="false" t="array" ref="Q464:Q464">IF(AND(INDEX(Profils!$K$5:$K$34,$AE464)&gt;0,INDEX(Profils!$Z$5:$Z$34,$AE464)&lt;=$AH464),ROUND(INDEX(Profils!$K$5:$K$34,$AE464)*Paramètres!$E$27*$AG464*$AJ464,Paramètres!$F$27),0)</f>
        <v>0</v>
      </c>
      <c r="R464" s="20" t="n">
        <f aca="false" t="array" ref="R464:R464">IF(AND(INDEX(Profils!$L$5:$L$34,$AE464)&gt;0,INDEX(Profils!$AA$5:$AA$34,$AE464)&lt;=$AH464),ROUND(INDEX(Profils!$L$5:$L$34,$AE464)*Paramètres!$E$28*$AG464*$AJ464,Paramètres!$F$28),0)</f>
        <v>0</v>
      </c>
      <c r="S464" s="20" t="n">
        <f aca="false" t="array" ref="S464:S464">IF(AND(INDEX(Profils!$M$5:$M$34,$AE464)&gt;0,INDEX(Profils!$AB$5:$AB$34,$AE464)&lt;=$AH464),ROUND(INDEX(Profils!$M$5:$M$34,$AE464)*Paramètres!$E$29*$AG464*$AJ464,Paramètres!$F$29),0)</f>
        <v>0</v>
      </c>
      <c r="T464" s="20" t="n">
        <f aca="false" t="array" ref="T464:T464">IF(AND(INDEX(Profils!$N$5:$N$34,$AE464)&gt;0,INDEX(Profils!$AC$5:$AC$34,$AE464)&lt;=$AH464),ROUND(INDEX(Profils!$N$5:$N$34,$AE464)*Paramètres!$E$30*$AG464*$AJ464,Paramètres!$F$30),0)</f>
        <v>0</v>
      </c>
      <c r="U464" s="19" t="n">
        <f aca="false" t="array" ref="U464:U464">IF(AND(INDEX(Profils!$O$5:$O$34,$AE464)&gt;0,INDEX(Profils!$AD$5:$AD$34,$AE464)&lt;=$AH464),ROUND(INDEX(Profils!$O$5:$O$34,$AE464)*Paramètres!$E$31*$AG464*$AJ464,Paramètres!$F$31),0)</f>
        <v>0</v>
      </c>
      <c r="V464" s="20" t="n">
        <f aca="false" t="array" ref="V464:V464">IF(AND(INDEX(Profils!$P$5:$P$34,$AE464)&gt;0,INDEX(Profils!$AE$5:$AE$34,$AE464)&lt;=$AH464),ROUND(INDEX(Profils!$P$5:$P$34,$AE464)*Paramètres!$E$32*$AG464*$AJ464,Paramètres!$F$32),0)</f>
        <v>0</v>
      </c>
      <c r="W464" s="20" t="n">
        <f aca="false" t="array" ref="W464:W464">IF(AND(INDEX(Profils!$Q$5:$Q$34,$AE464)&gt;0,INDEX(Profils!$AF$5:$AF$34,$AE464)&lt;=$AH464),ROUND(INDEX(Profils!$Q$5:$Q$34,$AE464)*Paramètres!$E$33*$AG464*$AJ464,Paramètres!$F$33),0)</f>
        <v>0</v>
      </c>
      <c r="X464" s="20" t="n">
        <f aca="false" t="array" ref="X464:X464">IF(AND(INDEX(Profils!$R$5:$R$34,$AE464)&gt;0,INDEX(Profils!$AG$5:$AG$34,$AE464)&lt;=$AH464),ROUND(INDEX(Profils!$R$5:$R$34,$AE464)*Paramètres!$E$34*$AG464*$AJ464,Paramètres!$F$34),0)</f>
        <v>0</v>
      </c>
      <c r="Y464" s="20" t="n">
        <f aca="false" t="array" ref="Y464:Y464">IF(AND(INDEX(Profils!$S$5:$S$34,$AE464)&gt;0,INDEX(Profils!$AH$5:$AH$34,$AE464)&lt;=$AH464),ROUND(INDEX(Profils!$S$5:$S$34,$AE464)*Paramètres!$E$35*$AG464*$AJ464,Paramètres!$F$35),0)</f>
        <v>0</v>
      </c>
      <c r="Z464" s="21" t="n">
        <f aca="false">ROUND(L464/Paramètres!$E$22+M464/Paramètres!$E$23+N464/Paramètres!$E$24+O464/Paramètres!$E$25+P464/Paramètres!$E$26+Q464/Paramètres!$E$27+R464/Paramètres!$E$28+S464/Paramètres!$E$29+T464/Paramètres!$E$30+U464/Paramètres!$E$31+V464/Paramètres!$E$32+W464/Paramètres!$E$33+X464/Paramètres!$E$34+Y464/Paramètres!$E$35,1)</f>
        <v>1.5</v>
      </c>
      <c r="AA464" s="22" t="s">
        <v>109</v>
      </c>
      <c r="AB464" s="22" t="s">
        <v>109</v>
      </c>
      <c r="AC464" s="15" t="str">
        <f aca="false">$E464</f>
        <v>orichalque</v>
      </c>
      <c r="AD464" s="16" t="n">
        <f aca="false" t="array" ref="AD464:AD464">IF($I464&gt;=$AI464,"Max",ROUND(Paramètres!$B$40*($I464+1)^Paramètres!$B$41*INDEX(Paramètres!$H$6:$H$12,$AF464),0))</f>
        <v>3</v>
      </c>
      <c r="AE464" s="23" t="n">
        <f aca="false">MATCH($B464&amp;"|"&amp;$C464,Profils!$A$5:$A$34,0)</f>
        <v>15</v>
      </c>
      <c r="AF464" s="23" t="n">
        <v>1</v>
      </c>
      <c r="AG464" s="24" t="n">
        <f aca="false" t="array" ref="AG464:AG464">INDEX(Paramètres!$C$6:$C$12,$AF464)</f>
        <v>1</v>
      </c>
      <c r="AH464" s="23" t="n">
        <f aca="false" t="array" ref="AH464:AH464">INDEX(Paramètres!$D$6:$D$12,$AF464)</f>
        <v>2</v>
      </c>
      <c r="AI464" s="23" t="n">
        <f aca="false" t="array" ref="AI464:AI464">INDEX(Matériaux!$C$16:$C$20,$D464)</f>
        <v>30</v>
      </c>
      <c r="AJ464" s="25" t="n">
        <f aca="false">Paramètres!$B$16+(1-Paramètres!$B$16)*(($J464-Paramètres!$B$14)/(Paramètres!$B$15-Paramètres!$B$14))^Paramètres!$B$17</f>
        <v>0.665999387952727</v>
      </c>
    </row>
    <row r="465" customFormat="false" ht="15.75" hidden="false" customHeight="true" outlineLevel="0" collapsed="false">
      <c r="A465" s="14" t="s">
        <v>581</v>
      </c>
      <c r="B465" s="15" t="s">
        <v>29</v>
      </c>
      <c r="C465" s="15" t="s">
        <v>241</v>
      </c>
      <c r="D465" s="16" t="n">
        <v>5</v>
      </c>
      <c r="E465" s="15" t="str">
        <f aca="false" t="array" ref="E465:E465">INDEX(Matériaux!$B$5:$F$12,MATCH(INDEX(Profils!$E$5:$E$34,$AE465),Matériaux!$A$5:$A$12,0),$D465)</f>
        <v>orichalque</v>
      </c>
      <c r="F465" s="26" t="s">
        <v>111</v>
      </c>
      <c r="G465" s="10" t="str">
        <f aca="false" t="array" ref="G465:G465">INDEX(Profils!$D$5:$D$34,$AE465)&amp;" en "&amp;$E465</f>
        <v>Amulette en orichalque</v>
      </c>
      <c r="H465" s="16" t="n">
        <f aca="false" t="array" ref="H465:H465">INDEX(Matériaux!$B$16:$B$20,$D465)</f>
        <v>70</v>
      </c>
      <c r="I465" s="16" t="n">
        <f aca="false">IF(ISNUMBER($C$3),MIN(MAX(0,ROUND($C$3,0)),$AI465),$AI465)</f>
        <v>0</v>
      </c>
      <c r="J465" s="18" t="n">
        <f aca="false">$H465+$I465</f>
        <v>70</v>
      </c>
      <c r="K465" s="15" t="s">
        <v>109</v>
      </c>
      <c r="L465" s="19" t="n">
        <f aca="false" t="array" ref="L465:L465">IF(AND(INDEX(Profils!$F$5:$F$34,$AE465)&gt;0,INDEX(Profils!$U$5:$U$34,$AE465)&lt;=$AH465),ROUND(INDEX(Profils!$F$5:$F$34,$AE465)*Paramètres!$E$22*$AG465*$AJ465,Paramètres!$F$22),0)</f>
        <v>24</v>
      </c>
      <c r="M465" s="19" t="n">
        <f aca="false" t="array" ref="M465:M465">IF(AND(INDEX(Profils!$G$5:$G$34,$AE465)&gt;0,INDEX(Profils!$V$5:$V$34,$AE465)&lt;=$AH465),ROUND(INDEX(Profils!$G$5:$G$34,$AE465)*Paramètres!$E$23*$AG465*$AJ465,Paramètres!$F$23),0)</f>
        <v>0</v>
      </c>
      <c r="N465" s="19" t="n">
        <f aca="false" t="array" ref="N465:N465">IF(AND(INDEX(Profils!$H$5:$H$34,$AE465)&gt;0,INDEX(Profils!$W$5:$W$34,$AE465)&lt;=$AH465),ROUND(INDEX(Profils!$H$5:$H$34,$AE465)*Paramètres!$E$24*$AG465*$AJ465,Paramètres!$F$24),0)</f>
        <v>0</v>
      </c>
      <c r="O465" s="19" t="n">
        <f aca="false" t="array" ref="O465:O465">IF(AND(INDEX(Profils!$I$5:$I$34,$AE465)&gt;0,INDEX(Profils!$X$5:$X$34,$AE465)&lt;=$AH465),ROUND(INDEX(Profils!$I$5:$I$34,$AE465)*Paramètres!$E$25*$AG465*$AJ465,Paramètres!$F$25),0)</f>
        <v>13</v>
      </c>
      <c r="P465" s="19" t="n">
        <f aca="false" t="array" ref="P465:P465">IF(AND(INDEX(Profils!$J$5:$J$34,$AE465)&gt;0,INDEX(Profils!$Y$5:$Y$34,$AE465)&lt;=$AH465),ROUND(INDEX(Profils!$J$5:$J$34,$AE465)*Paramètres!$E$26*$AG465*$AJ465,Paramètres!$F$26),0)</f>
        <v>0</v>
      </c>
      <c r="Q465" s="19" t="n">
        <f aca="false" t="array" ref="Q465:Q465">IF(AND(INDEX(Profils!$K$5:$K$34,$AE465)&gt;0,INDEX(Profils!$Z$5:$Z$34,$AE465)&lt;=$AH465),ROUND(INDEX(Profils!$K$5:$K$34,$AE465)*Paramètres!$E$27*$AG465*$AJ465,Paramètres!$F$27),0)</f>
        <v>0</v>
      </c>
      <c r="R465" s="20" t="n">
        <f aca="false" t="array" ref="R465:R465">IF(AND(INDEX(Profils!$L$5:$L$34,$AE465)&gt;0,INDEX(Profils!$AA$5:$AA$34,$AE465)&lt;=$AH465),ROUND(INDEX(Profils!$L$5:$L$34,$AE465)*Paramètres!$E$28*$AG465*$AJ465,Paramètres!$F$28),0)</f>
        <v>0</v>
      </c>
      <c r="S465" s="20" t="n">
        <f aca="false" t="array" ref="S465:S465">IF(AND(INDEX(Profils!$M$5:$M$34,$AE465)&gt;0,INDEX(Profils!$AB$5:$AB$34,$AE465)&lt;=$AH465),ROUND(INDEX(Profils!$M$5:$M$34,$AE465)*Paramètres!$E$29*$AG465*$AJ465,Paramètres!$F$29),0)</f>
        <v>0</v>
      </c>
      <c r="T465" s="20" t="n">
        <f aca="false" t="array" ref="T465:T465">IF(AND(INDEX(Profils!$N$5:$N$34,$AE465)&gt;0,INDEX(Profils!$AC$5:$AC$34,$AE465)&lt;=$AH465),ROUND(INDEX(Profils!$N$5:$N$34,$AE465)*Paramètres!$E$30*$AG465*$AJ465,Paramètres!$F$30),0)</f>
        <v>0</v>
      </c>
      <c r="U465" s="19" t="n">
        <f aca="false" t="array" ref="U465:U465">IF(AND(INDEX(Profils!$O$5:$O$34,$AE465)&gt;0,INDEX(Profils!$AD$5:$AD$34,$AE465)&lt;=$AH465),ROUND(INDEX(Profils!$O$5:$O$34,$AE465)*Paramètres!$E$31*$AG465*$AJ465,Paramètres!$F$31),0)</f>
        <v>0</v>
      </c>
      <c r="V465" s="20" t="n">
        <f aca="false" t="array" ref="V465:V465">IF(AND(INDEX(Profils!$P$5:$P$34,$AE465)&gt;0,INDEX(Profils!$AE$5:$AE$34,$AE465)&lt;=$AH465),ROUND(INDEX(Profils!$P$5:$P$34,$AE465)*Paramètres!$E$32*$AG465*$AJ465,Paramètres!$F$32),0)</f>
        <v>0</v>
      </c>
      <c r="W465" s="20" t="n">
        <f aca="false" t="array" ref="W465:W465">IF(AND(INDEX(Profils!$Q$5:$Q$34,$AE465)&gt;0,INDEX(Profils!$AF$5:$AF$34,$AE465)&lt;=$AH465),ROUND(INDEX(Profils!$Q$5:$Q$34,$AE465)*Paramètres!$E$33*$AG465*$AJ465,Paramètres!$F$33),0)</f>
        <v>0.012</v>
      </c>
      <c r="X465" s="20" t="n">
        <f aca="false" t="array" ref="X465:X465">IF(AND(INDEX(Profils!$R$5:$R$34,$AE465)&gt;0,INDEX(Profils!$AG$5:$AG$34,$AE465)&lt;=$AH465),ROUND(INDEX(Profils!$R$5:$R$34,$AE465)*Paramètres!$E$34*$AG465*$AJ465,Paramètres!$F$34),0)</f>
        <v>0</v>
      </c>
      <c r="Y465" s="20" t="n">
        <f aca="false" t="array" ref="Y465:Y465">IF(AND(INDEX(Profils!$S$5:$S$34,$AE465)&gt;0,INDEX(Profils!$AH$5:$AH$34,$AE465)&lt;=$AH465),ROUND(INDEX(Profils!$S$5:$S$34,$AE465)*Paramètres!$E$35*$AG465*$AJ465,Paramètres!$F$35),0)</f>
        <v>0</v>
      </c>
      <c r="Z465" s="21" t="n">
        <f aca="false">ROUND(L465/Paramètres!$E$22+M465/Paramètres!$E$23+N465/Paramètres!$E$24+O465/Paramètres!$E$25+P465/Paramètres!$E$26+Q465/Paramètres!$E$27+R465/Paramètres!$E$28+S465/Paramètres!$E$29+T465/Paramètres!$E$30+U465/Paramètres!$E$31+V465/Paramètres!$E$32+W465/Paramètres!$E$33+X465/Paramètres!$E$34+Y465/Paramètres!$E$35,1)</f>
        <v>2.6</v>
      </c>
      <c r="AA465" s="22" t="s">
        <v>109</v>
      </c>
      <c r="AB465" s="22" t="s">
        <v>109</v>
      </c>
      <c r="AC465" s="15" t="str">
        <f aca="false">$E465</f>
        <v>orichalque</v>
      </c>
      <c r="AD465" s="16" t="n">
        <f aca="false" t="array" ref="AD465:AD465">IF($I465&gt;=$AI465,"Max",ROUND(Paramètres!$B$40*($I465+1)^Paramètres!$B$41*INDEX(Paramètres!$H$6:$H$12,$AF465),0))</f>
        <v>4</v>
      </c>
      <c r="AE465" s="23" t="n">
        <f aca="false">MATCH($B465&amp;"|"&amp;$C465,Profils!$A$5:$A$34,0)</f>
        <v>15</v>
      </c>
      <c r="AF465" s="23" t="n">
        <v>2</v>
      </c>
      <c r="AG465" s="24" t="n">
        <f aca="false" t="array" ref="AG465:AG465">INDEX(Paramètres!$C$6:$C$12,$AF465)</f>
        <v>1.2</v>
      </c>
      <c r="AH465" s="23" t="n">
        <f aca="false" t="array" ref="AH465:AH465">INDEX(Paramètres!$D$6:$D$12,$AF465)</f>
        <v>3</v>
      </c>
      <c r="AI465" s="23" t="n">
        <f aca="false" t="array" ref="AI465:AI465">INDEX(Matériaux!$C$16:$C$20,$D465)</f>
        <v>30</v>
      </c>
      <c r="AJ465" s="25" t="n">
        <f aca="false">Paramètres!$B$16+(1-Paramètres!$B$16)*(($J465-Paramètres!$B$14)/(Paramètres!$B$15-Paramètres!$B$14))^Paramètres!$B$17</f>
        <v>0.665999387952727</v>
      </c>
    </row>
    <row r="466" customFormat="false" ht="15.75" hidden="false" customHeight="true" outlineLevel="0" collapsed="false">
      <c r="A466" s="14" t="s">
        <v>582</v>
      </c>
      <c r="B466" s="15" t="s">
        <v>29</v>
      </c>
      <c r="C466" s="15" t="s">
        <v>241</v>
      </c>
      <c r="D466" s="16" t="n">
        <v>5</v>
      </c>
      <c r="E466" s="15" t="str">
        <f aca="false" t="array" ref="E466:E466">INDEX(Matériaux!$B$5:$F$12,MATCH(INDEX(Profils!$E$5:$E$34,$AE466),Matériaux!$A$5:$A$12,0),$D466)</f>
        <v>orichalque</v>
      </c>
      <c r="F466" s="27" t="s">
        <v>113</v>
      </c>
      <c r="G466" s="10" t="str">
        <f aca="false" t="array" ref="G466:G466">INDEX(Profils!$D$5:$D$34,$AE466)&amp;" en "&amp;$E466</f>
        <v>Amulette en orichalque</v>
      </c>
      <c r="H466" s="16" t="n">
        <f aca="false" t="array" ref="H466:H466">INDEX(Matériaux!$B$16:$B$20,$D466)</f>
        <v>70</v>
      </c>
      <c r="I466" s="16" t="n">
        <f aca="false">IF(ISNUMBER($C$3),MIN(MAX(0,ROUND($C$3,0)),$AI466),$AI466)</f>
        <v>0</v>
      </c>
      <c r="J466" s="18" t="n">
        <f aca="false">$H466+$I466</f>
        <v>70</v>
      </c>
      <c r="K466" s="15" t="s">
        <v>109</v>
      </c>
      <c r="L466" s="19" t="n">
        <f aca="false" t="array" ref="L466:L466">IF(AND(INDEX(Profils!$F$5:$F$34,$AE466)&gt;0,INDEX(Profils!$U$5:$U$34,$AE466)&lt;=$AH466),ROUND(INDEX(Profils!$F$5:$F$34,$AE466)*Paramètres!$E$22*$AG466*$AJ466,Paramètres!$F$22),0)</f>
        <v>29</v>
      </c>
      <c r="M466" s="19" t="n">
        <f aca="false" t="array" ref="M466:M466">IF(AND(INDEX(Profils!$G$5:$G$34,$AE466)&gt;0,INDEX(Profils!$V$5:$V$34,$AE466)&lt;=$AH466),ROUND(INDEX(Profils!$G$5:$G$34,$AE466)*Paramètres!$E$23*$AG466*$AJ466,Paramètres!$F$23),0)</f>
        <v>0</v>
      </c>
      <c r="N466" s="19" t="n">
        <f aca="false" t="array" ref="N466:N466">IF(AND(INDEX(Profils!$H$5:$H$34,$AE466)&gt;0,INDEX(Profils!$W$5:$W$34,$AE466)&lt;=$AH466),ROUND(INDEX(Profils!$H$5:$H$34,$AE466)*Paramètres!$E$24*$AG466*$AJ466,Paramètres!$F$24),0)</f>
        <v>0</v>
      </c>
      <c r="O466" s="19" t="n">
        <f aca="false" t="array" ref="O466:O466">IF(AND(INDEX(Profils!$I$5:$I$34,$AE466)&gt;0,INDEX(Profils!$X$5:$X$34,$AE466)&lt;=$AH466),ROUND(INDEX(Profils!$I$5:$I$34,$AE466)*Paramètres!$E$25*$AG466*$AJ466,Paramètres!$F$25),0)</f>
        <v>16</v>
      </c>
      <c r="P466" s="19" t="n">
        <f aca="false" t="array" ref="P466:P466">IF(AND(INDEX(Profils!$J$5:$J$34,$AE466)&gt;0,INDEX(Profils!$Y$5:$Y$34,$AE466)&lt;=$AH466),ROUND(INDEX(Profils!$J$5:$J$34,$AE466)*Paramètres!$E$26*$AG466*$AJ466,Paramètres!$F$26),0)</f>
        <v>0</v>
      </c>
      <c r="Q466" s="19" t="n">
        <f aca="false" t="array" ref="Q466:Q466">IF(AND(INDEX(Profils!$K$5:$K$34,$AE466)&gt;0,INDEX(Profils!$Z$5:$Z$34,$AE466)&lt;=$AH466),ROUND(INDEX(Profils!$K$5:$K$34,$AE466)*Paramètres!$E$27*$AG466*$AJ466,Paramètres!$F$27),0)</f>
        <v>0</v>
      </c>
      <c r="R466" s="20" t="n">
        <f aca="false" t="array" ref="R466:R466">IF(AND(INDEX(Profils!$L$5:$L$34,$AE466)&gt;0,INDEX(Profils!$AA$5:$AA$34,$AE466)&lt;=$AH466),ROUND(INDEX(Profils!$L$5:$L$34,$AE466)*Paramètres!$E$28*$AG466*$AJ466,Paramètres!$F$28),0)</f>
        <v>0</v>
      </c>
      <c r="S466" s="20" t="n">
        <f aca="false" t="array" ref="S466:S466">IF(AND(INDEX(Profils!$M$5:$M$34,$AE466)&gt;0,INDEX(Profils!$AB$5:$AB$34,$AE466)&lt;=$AH466),ROUND(INDEX(Profils!$M$5:$M$34,$AE466)*Paramètres!$E$29*$AG466*$AJ466,Paramètres!$F$29),0)</f>
        <v>0</v>
      </c>
      <c r="T466" s="20" t="n">
        <f aca="false" t="array" ref="T466:T466">IF(AND(INDEX(Profils!$N$5:$N$34,$AE466)&gt;0,INDEX(Profils!$AC$5:$AC$34,$AE466)&lt;=$AH466),ROUND(INDEX(Profils!$N$5:$N$34,$AE466)*Paramètres!$E$30*$AG466*$AJ466,Paramètres!$F$30),0)</f>
        <v>0</v>
      </c>
      <c r="U466" s="19" t="n">
        <f aca="false" t="array" ref="U466:U466">IF(AND(INDEX(Profils!$O$5:$O$34,$AE466)&gt;0,INDEX(Profils!$AD$5:$AD$34,$AE466)&lt;=$AH466),ROUND(INDEX(Profils!$O$5:$O$34,$AE466)*Paramètres!$E$31*$AG466*$AJ466,Paramètres!$F$31),0)</f>
        <v>0</v>
      </c>
      <c r="V466" s="20" t="n">
        <f aca="false" t="array" ref="V466:V466">IF(AND(INDEX(Profils!$P$5:$P$34,$AE466)&gt;0,INDEX(Profils!$AE$5:$AE$34,$AE466)&lt;=$AH466),ROUND(INDEX(Profils!$P$5:$P$34,$AE466)*Paramètres!$E$32*$AG466*$AJ466,Paramètres!$F$32),0)</f>
        <v>0</v>
      </c>
      <c r="W466" s="20" t="n">
        <f aca="false" t="array" ref="W466:W466">IF(AND(INDEX(Profils!$Q$5:$Q$34,$AE466)&gt;0,INDEX(Profils!$AF$5:$AF$34,$AE466)&lt;=$AH466),ROUND(INDEX(Profils!$Q$5:$Q$34,$AE466)*Paramètres!$E$33*$AG466*$AJ466,Paramètres!$F$33),0)</f>
        <v>0.014</v>
      </c>
      <c r="X466" s="20" t="n">
        <f aca="false" t="array" ref="X466:X466">IF(AND(INDEX(Profils!$R$5:$R$34,$AE466)&gt;0,INDEX(Profils!$AG$5:$AG$34,$AE466)&lt;=$AH466),ROUND(INDEX(Profils!$R$5:$R$34,$AE466)*Paramètres!$E$34*$AG466*$AJ466,Paramètres!$F$34),0)</f>
        <v>0.019</v>
      </c>
      <c r="Y466" s="20" t="n">
        <f aca="false" t="array" ref="Y466:Y466">IF(AND(INDEX(Profils!$S$5:$S$34,$AE466)&gt;0,INDEX(Profils!$AH$5:$AH$34,$AE466)&lt;=$AH466),ROUND(INDEX(Profils!$S$5:$S$34,$AE466)*Paramètres!$E$35*$AG466*$AJ466,Paramètres!$F$35),0)</f>
        <v>0</v>
      </c>
      <c r="Z466" s="21" t="n">
        <f aca="false">ROUND(L466/Paramètres!$E$22+M466/Paramètres!$E$23+N466/Paramètres!$E$24+O466/Paramètres!$E$25+P466/Paramètres!$E$26+Q466/Paramètres!$E$27+R466/Paramètres!$E$28+S466/Paramètres!$E$29+T466/Paramètres!$E$30+U466/Paramètres!$E$31+V466/Paramètres!$E$32+W466/Paramètres!$E$33+X466/Paramètres!$E$34+Y466/Paramètres!$E$35,1)</f>
        <v>4.1</v>
      </c>
      <c r="AA466" s="22" t="s">
        <v>109</v>
      </c>
      <c r="AB466" s="22" t="s">
        <v>109</v>
      </c>
      <c r="AC466" s="15" t="str">
        <f aca="false">$E466</f>
        <v>orichalque</v>
      </c>
      <c r="AD466" s="16" t="n">
        <f aca="false" t="array" ref="AD466:AD466">IF($I466&gt;=$AI466,"Max",ROUND(Paramètres!$B$40*($I466+1)^Paramètres!$B$41*INDEX(Paramètres!$H$6:$H$12,$AF466),0))</f>
        <v>4</v>
      </c>
      <c r="AE466" s="23" t="n">
        <f aca="false">MATCH($B466&amp;"|"&amp;$C466,Profils!$A$5:$A$34,0)</f>
        <v>15</v>
      </c>
      <c r="AF466" s="23" t="n">
        <v>3</v>
      </c>
      <c r="AG466" s="24" t="n">
        <f aca="false" t="array" ref="AG466:AG466">INDEX(Paramètres!$C$6:$C$12,$AF466)</f>
        <v>1.45</v>
      </c>
      <c r="AH466" s="23" t="n">
        <f aca="false" t="array" ref="AH466:AH466">INDEX(Paramètres!$D$6:$D$12,$AF466)</f>
        <v>4</v>
      </c>
      <c r="AI466" s="23" t="n">
        <f aca="false" t="array" ref="AI466:AI466">INDEX(Matériaux!$C$16:$C$20,$D466)</f>
        <v>30</v>
      </c>
      <c r="AJ466" s="25" t="n">
        <f aca="false">Paramètres!$B$16+(1-Paramètres!$B$16)*(($J466-Paramètres!$B$14)/(Paramètres!$B$15-Paramètres!$B$14))^Paramètres!$B$17</f>
        <v>0.665999387952727</v>
      </c>
    </row>
    <row r="467" customFormat="false" ht="15.75" hidden="false" customHeight="true" outlineLevel="0" collapsed="false">
      <c r="A467" s="14" t="s">
        <v>583</v>
      </c>
      <c r="B467" s="15" t="s">
        <v>29</v>
      </c>
      <c r="C467" s="15" t="s">
        <v>241</v>
      </c>
      <c r="D467" s="16" t="n">
        <v>5</v>
      </c>
      <c r="E467" s="15" t="str">
        <f aca="false" t="array" ref="E467:E467">INDEX(Matériaux!$B$5:$F$12,MATCH(INDEX(Profils!$E$5:$E$34,$AE467),Matériaux!$A$5:$A$12,0),$D467)</f>
        <v>orichalque</v>
      </c>
      <c r="F467" s="28" t="s">
        <v>115</v>
      </c>
      <c r="G467" s="10" t="str">
        <f aca="false" t="array" ref="G467:G467">INDEX(Profils!$D$5:$D$34,$AE467)&amp;" en "&amp;$E467</f>
        <v>Amulette en orichalque</v>
      </c>
      <c r="H467" s="16" t="n">
        <f aca="false" t="array" ref="H467:H467">INDEX(Matériaux!$B$16:$B$20,$D467)</f>
        <v>70</v>
      </c>
      <c r="I467" s="16" t="n">
        <f aca="false">IF(ISNUMBER($C$3),MIN(MAX(0,ROUND($C$3,0)),$AI467),$AI467)</f>
        <v>0</v>
      </c>
      <c r="J467" s="18" t="n">
        <f aca="false">$H467+$I467</f>
        <v>70</v>
      </c>
      <c r="K467" s="15" t="s">
        <v>109</v>
      </c>
      <c r="L467" s="19" t="n">
        <f aca="false" t="array" ref="L467:L467">IF(AND(INDEX(Profils!$F$5:$F$34,$AE467)&gt;0,INDEX(Profils!$U$5:$U$34,$AE467)&lt;=$AH467),ROUND(INDEX(Profils!$F$5:$F$34,$AE467)*Paramètres!$E$22*$AG467*$AJ467,Paramètres!$F$22),0)</f>
        <v>35</v>
      </c>
      <c r="M467" s="19" t="n">
        <f aca="false" t="array" ref="M467:M467">IF(AND(INDEX(Profils!$G$5:$G$34,$AE467)&gt;0,INDEX(Profils!$V$5:$V$34,$AE467)&lt;=$AH467),ROUND(INDEX(Profils!$G$5:$G$34,$AE467)*Paramètres!$E$23*$AG467*$AJ467,Paramètres!$F$23),0)</f>
        <v>0</v>
      </c>
      <c r="N467" s="19" t="n">
        <f aca="false" t="array" ref="N467:N467">IF(AND(INDEX(Profils!$H$5:$H$34,$AE467)&gt;0,INDEX(Profils!$W$5:$W$34,$AE467)&lt;=$AH467),ROUND(INDEX(Profils!$H$5:$H$34,$AE467)*Paramètres!$E$24*$AG467*$AJ467,Paramètres!$F$24),0)</f>
        <v>0</v>
      </c>
      <c r="O467" s="19" t="n">
        <f aca="false" t="array" ref="O467:O467">IF(AND(INDEX(Profils!$I$5:$I$34,$AE467)&gt;0,INDEX(Profils!$X$5:$X$34,$AE467)&lt;=$AH467),ROUND(INDEX(Profils!$I$5:$I$34,$AE467)*Paramètres!$E$25*$AG467*$AJ467,Paramètres!$F$25),0)</f>
        <v>19</v>
      </c>
      <c r="P467" s="19" t="n">
        <f aca="false" t="array" ref="P467:P467">IF(AND(INDEX(Profils!$J$5:$J$34,$AE467)&gt;0,INDEX(Profils!$Y$5:$Y$34,$AE467)&lt;=$AH467),ROUND(INDEX(Profils!$J$5:$J$34,$AE467)*Paramètres!$E$26*$AG467*$AJ467,Paramètres!$F$26),0)</f>
        <v>0</v>
      </c>
      <c r="Q467" s="19" t="n">
        <f aca="false" t="array" ref="Q467:Q467">IF(AND(INDEX(Profils!$K$5:$K$34,$AE467)&gt;0,INDEX(Profils!$Z$5:$Z$34,$AE467)&lt;=$AH467),ROUND(INDEX(Profils!$K$5:$K$34,$AE467)*Paramètres!$E$27*$AG467*$AJ467,Paramètres!$F$27),0)</f>
        <v>0</v>
      </c>
      <c r="R467" s="20" t="n">
        <f aca="false" t="array" ref="R467:R467">IF(AND(INDEX(Profils!$L$5:$L$34,$AE467)&gt;0,INDEX(Profils!$AA$5:$AA$34,$AE467)&lt;=$AH467),ROUND(INDEX(Profils!$L$5:$L$34,$AE467)*Paramètres!$E$28*$AG467*$AJ467,Paramètres!$F$28),0)</f>
        <v>0</v>
      </c>
      <c r="S467" s="20" t="n">
        <f aca="false" t="array" ref="S467:S467">IF(AND(INDEX(Profils!$M$5:$M$34,$AE467)&gt;0,INDEX(Profils!$AB$5:$AB$34,$AE467)&lt;=$AH467),ROUND(INDEX(Profils!$M$5:$M$34,$AE467)*Paramètres!$E$29*$AG467*$AJ467,Paramètres!$F$29),0)</f>
        <v>0</v>
      </c>
      <c r="T467" s="20" t="n">
        <f aca="false" t="array" ref="T467:T467">IF(AND(INDEX(Profils!$N$5:$N$34,$AE467)&gt;0,INDEX(Profils!$AC$5:$AC$34,$AE467)&lt;=$AH467),ROUND(INDEX(Profils!$N$5:$N$34,$AE467)*Paramètres!$E$30*$AG467*$AJ467,Paramètres!$F$30),0)</f>
        <v>0</v>
      </c>
      <c r="U467" s="19" t="n">
        <f aca="false" t="array" ref="U467:U467">IF(AND(INDEX(Profils!$O$5:$O$34,$AE467)&gt;0,INDEX(Profils!$AD$5:$AD$34,$AE467)&lt;=$AH467),ROUND(INDEX(Profils!$O$5:$O$34,$AE467)*Paramètres!$E$31*$AG467*$AJ467,Paramètres!$F$31),0)</f>
        <v>0</v>
      </c>
      <c r="V467" s="20" t="n">
        <f aca="false" t="array" ref="V467:V467">IF(AND(INDEX(Profils!$P$5:$P$34,$AE467)&gt;0,INDEX(Profils!$AE$5:$AE$34,$AE467)&lt;=$AH467),ROUND(INDEX(Profils!$P$5:$P$34,$AE467)*Paramètres!$E$32*$AG467*$AJ467,Paramètres!$F$32),0)</f>
        <v>0</v>
      </c>
      <c r="W467" s="20" t="n">
        <f aca="false" t="array" ref="W467:W467">IF(AND(INDEX(Profils!$Q$5:$Q$34,$AE467)&gt;0,INDEX(Profils!$AF$5:$AF$34,$AE467)&lt;=$AH467),ROUND(INDEX(Profils!$Q$5:$Q$34,$AE467)*Paramètres!$E$33*$AG467*$AJ467,Paramètres!$F$33),0)</f>
        <v>0.017</v>
      </c>
      <c r="X467" s="20" t="n">
        <f aca="false" t="array" ref="X467:X467">IF(AND(INDEX(Profils!$R$5:$R$34,$AE467)&gt;0,INDEX(Profils!$AG$5:$AG$34,$AE467)&lt;=$AH467),ROUND(INDEX(Profils!$R$5:$R$34,$AE467)*Paramètres!$E$34*$AG467*$AJ467,Paramètres!$F$34),0)</f>
        <v>0.023</v>
      </c>
      <c r="Y467" s="20" t="n">
        <f aca="false" t="array" ref="Y467:Y467">IF(AND(INDEX(Profils!$S$5:$S$34,$AE467)&gt;0,INDEX(Profils!$AH$5:$AH$34,$AE467)&lt;=$AH467),ROUND(INDEX(Profils!$S$5:$S$34,$AE467)*Paramètres!$E$35*$AG467*$AJ467,Paramètres!$F$35),0)</f>
        <v>0.014</v>
      </c>
      <c r="Z467" s="21" t="n">
        <f aca="false">ROUND(L467/Paramètres!$E$22+M467/Paramètres!$E$23+N467/Paramètres!$E$24+O467/Paramètres!$E$25+P467/Paramètres!$E$26+Q467/Paramètres!$E$27+R467/Paramètres!$E$28+S467/Paramètres!$E$29+T467/Paramètres!$E$30+U467/Paramètres!$E$31+V467/Paramètres!$E$32+W467/Paramètres!$E$33+X467/Paramètres!$E$34+Y467/Paramètres!$E$35,1)</f>
        <v>5.9</v>
      </c>
      <c r="AA467" s="22" t="s">
        <v>109</v>
      </c>
      <c r="AB467" s="22" t="s">
        <v>109</v>
      </c>
      <c r="AC467" s="15" t="str">
        <f aca="false">$E467</f>
        <v>orichalque</v>
      </c>
      <c r="AD467" s="16" t="n">
        <f aca="false" t="array" ref="AD467:AD467">IF($I467&gt;=$AI467,"Max",ROUND(Paramètres!$B$40*($I467+1)^Paramètres!$B$41*INDEX(Paramètres!$H$6:$H$12,$AF467),0))</f>
        <v>5</v>
      </c>
      <c r="AE467" s="23" t="n">
        <f aca="false">MATCH($B467&amp;"|"&amp;$C467,Profils!$A$5:$A$34,0)</f>
        <v>15</v>
      </c>
      <c r="AF467" s="23" t="n">
        <v>4</v>
      </c>
      <c r="AG467" s="24" t="n">
        <f aca="false" t="array" ref="AG467:AG467">INDEX(Paramètres!$C$6:$C$12,$AF467)</f>
        <v>1.75</v>
      </c>
      <c r="AH467" s="23" t="n">
        <f aca="false" t="array" ref="AH467:AH467">INDEX(Paramètres!$D$6:$D$12,$AF467)</f>
        <v>5</v>
      </c>
      <c r="AI467" s="23" t="n">
        <f aca="false" t="array" ref="AI467:AI467">INDEX(Matériaux!$C$16:$C$20,$D467)</f>
        <v>30</v>
      </c>
      <c r="AJ467" s="25" t="n">
        <f aca="false">Paramètres!$B$16+(1-Paramètres!$B$16)*(($J467-Paramètres!$B$14)/(Paramètres!$B$15-Paramètres!$B$14))^Paramètres!$B$17</f>
        <v>0.665999387952727</v>
      </c>
    </row>
    <row r="468" customFormat="false" ht="15.75" hidden="false" customHeight="true" outlineLevel="0" collapsed="false">
      <c r="A468" s="14" t="s">
        <v>584</v>
      </c>
      <c r="B468" s="15" t="s">
        <v>29</v>
      </c>
      <c r="C468" s="15" t="s">
        <v>241</v>
      </c>
      <c r="D468" s="16" t="n">
        <v>5</v>
      </c>
      <c r="E468" s="15" t="str">
        <f aca="false" t="array" ref="E468:E468">INDEX(Matériaux!$B$5:$F$12,MATCH(INDEX(Profils!$E$5:$E$34,$AE468),Matériaux!$A$5:$A$12,0),$D468)</f>
        <v>orichalque</v>
      </c>
      <c r="F468" s="29" t="s">
        <v>117</v>
      </c>
      <c r="G468" s="10" t="str">
        <f aca="false" t="array" ref="G468:G468">INDEX(Profils!$D$5:$D$34,$AE468)&amp;" en "&amp;$E468</f>
        <v>Amulette en orichalque</v>
      </c>
      <c r="H468" s="16" t="n">
        <f aca="false" t="array" ref="H468:H468">INDEX(Matériaux!$B$16:$B$20,$D468)</f>
        <v>70</v>
      </c>
      <c r="I468" s="16" t="n">
        <f aca="false">IF(ISNUMBER($C$3),MIN(MAX(0,ROUND($C$3,0)),$AI468),$AI468)</f>
        <v>0</v>
      </c>
      <c r="J468" s="18" t="n">
        <f aca="false">$H468+$I468</f>
        <v>70</v>
      </c>
      <c r="K468" s="15" t="s">
        <v>109</v>
      </c>
      <c r="L468" s="19" t="n">
        <f aca="false" t="array" ref="L468:L468">IF(AND(INDEX(Profils!$F$5:$F$34,$AE468)&gt;0,INDEX(Profils!$U$5:$U$34,$AE468)&lt;=$AH468),ROUND(INDEX(Profils!$F$5:$F$34,$AE468)*Paramètres!$E$22*$AG468*$AJ468,Paramètres!$F$22),0)</f>
        <v>42</v>
      </c>
      <c r="M468" s="19" t="n">
        <f aca="false" t="array" ref="M468:M468">IF(AND(INDEX(Profils!$G$5:$G$34,$AE468)&gt;0,INDEX(Profils!$V$5:$V$34,$AE468)&lt;=$AH468),ROUND(INDEX(Profils!$G$5:$G$34,$AE468)*Paramètres!$E$23*$AG468*$AJ468,Paramètres!$F$23),0)</f>
        <v>0</v>
      </c>
      <c r="N468" s="19" t="n">
        <f aca="false" t="array" ref="N468:N468">IF(AND(INDEX(Profils!$H$5:$H$34,$AE468)&gt;0,INDEX(Profils!$W$5:$W$34,$AE468)&lt;=$AH468),ROUND(INDEX(Profils!$H$5:$H$34,$AE468)*Paramètres!$E$24*$AG468*$AJ468,Paramètres!$F$24),0)</f>
        <v>0</v>
      </c>
      <c r="O468" s="19" t="n">
        <f aca="false" t="array" ref="O468:O468">IF(AND(INDEX(Profils!$I$5:$I$34,$AE468)&gt;0,INDEX(Profils!$X$5:$X$34,$AE468)&lt;=$AH468),ROUND(INDEX(Profils!$I$5:$I$34,$AE468)*Paramètres!$E$25*$AG468*$AJ468,Paramètres!$F$25),0)</f>
        <v>23</v>
      </c>
      <c r="P468" s="19" t="n">
        <f aca="false" t="array" ref="P468:P468">IF(AND(INDEX(Profils!$J$5:$J$34,$AE468)&gt;0,INDEX(Profils!$Y$5:$Y$34,$AE468)&lt;=$AH468),ROUND(INDEX(Profils!$J$5:$J$34,$AE468)*Paramètres!$E$26*$AG468*$AJ468,Paramètres!$F$26),0)</f>
        <v>0</v>
      </c>
      <c r="Q468" s="19" t="n">
        <f aca="false" t="array" ref="Q468:Q468">IF(AND(INDEX(Profils!$K$5:$K$34,$AE468)&gt;0,INDEX(Profils!$Z$5:$Z$34,$AE468)&lt;=$AH468),ROUND(INDEX(Profils!$K$5:$K$34,$AE468)*Paramètres!$E$27*$AG468*$AJ468,Paramètres!$F$27),0)</f>
        <v>8</v>
      </c>
      <c r="R468" s="20" t="n">
        <f aca="false" t="array" ref="R468:R468">IF(AND(INDEX(Profils!$L$5:$L$34,$AE468)&gt;0,INDEX(Profils!$AA$5:$AA$34,$AE468)&lt;=$AH468),ROUND(INDEX(Profils!$L$5:$L$34,$AE468)*Paramètres!$E$28*$AG468*$AJ468,Paramètres!$F$28),0)</f>
        <v>0</v>
      </c>
      <c r="S468" s="20" t="n">
        <f aca="false" t="array" ref="S468:S468">IF(AND(INDEX(Profils!$M$5:$M$34,$AE468)&gt;0,INDEX(Profils!$AB$5:$AB$34,$AE468)&lt;=$AH468),ROUND(INDEX(Profils!$M$5:$M$34,$AE468)*Paramètres!$E$29*$AG468*$AJ468,Paramètres!$F$29),0)</f>
        <v>0</v>
      </c>
      <c r="T468" s="20" t="n">
        <f aca="false" t="array" ref="T468:T468">IF(AND(INDEX(Profils!$N$5:$N$34,$AE468)&gt;0,INDEX(Profils!$AC$5:$AC$34,$AE468)&lt;=$AH468),ROUND(INDEX(Profils!$N$5:$N$34,$AE468)*Paramètres!$E$30*$AG468*$AJ468,Paramètres!$F$30),0)</f>
        <v>0</v>
      </c>
      <c r="U468" s="19" t="n">
        <f aca="false" t="array" ref="U468:U468">IF(AND(INDEX(Profils!$O$5:$O$34,$AE468)&gt;0,INDEX(Profils!$AD$5:$AD$34,$AE468)&lt;=$AH468),ROUND(INDEX(Profils!$O$5:$O$34,$AE468)*Paramètres!$E$31*$AG468*$AJ468,Paramètres!$F$31),0)</f>
        <v>0</v>
      </c>
      <c r="V468" s="20" t="n">
        <f aca="false" t="array" ref="V468:V468">IF(AND(INDEX(Profils!$P$5:$P$34,$AE468)&gt;0,INDEX(Profils!$AE$5:$AE$34,$AE468)&lt;=$AH468),ROUND(INDEX(Profils!$P$5:$P$34,$AE468)*Paramètres!$E$32*$AG468*$AJ468,Paramètres!$F$32),0)</f>
        <v>0</v>
      </c>
      <c r="W468" s="20" t="n">
        <f aca="false" t="array" ref="W468:W468">IF(AND(INDEX(Profils!$Q$5:$Q$34,$AE468)&gt;0,INDEX(Profils!$AF$5:$AF$34,$AE468)&lt;=$AH468),ROUND(INDEX(Profils!$Q$5:$Q$34,$AE468)*Paramètres!$E$33*$AG468*$AJ468,Paramètres!$F$33),0)</f>
        <v>0.021</v>
      </c>
      <c r="X468" s="20" t="n">
        <f aca="false" t="array" ref="X468:X468">IF(AND(INDEX(Profils!$R$5:$R$34,$AE468)&gt;0,INDEX(Profils!$AG$5:$AG$34,$AE468)&lt;=$AH468),ROUND(INDEX(Profils!$R$5:$R$34,$AE468)*Paramètres!$E$34*$AG468*$AJ468,Paramètres!$F$34),0)</f>
        <v>0.028</v>
      </c>
      <c r="Y468" s="20" t="n">
        <f aca="false" t="array" ref="Y468:Y468">IF(AND(INDEX(Profils!$S$5:$S$34,$AE468)&gt;0,INDEX(Profils!$AH$5:$AH$34,$AE468)&lt;=$AH468),ROUND(INDEX(Profils!$S$5:$S$34,$AE468)*Paramètres!$E$35*$AG468*$AJ468,Paramètres!$F$35),0)</f>
        <v>0.017</v>
      </c>
      <c r="Z468" s="21" t="n">
        <f aca="false">ROUND(L468/Paramètres!$E$22+M468/Paramètres!$E$23+N468/Paramètres!$E$24+O468/Paramètres!$E$25+P468/Paramètres!$E$26+Q468/Paramètres!$E$27+R468/Paramètres!$E$28+S468/Paramètres!$E$29+T468/Paramètres!$E$30+U468/Paramètres!$E$31+V468/Paramètres!$E$32+W468/Paramètres!$E$33+X468/Paramètres!$E$34+Y468/Paramètres!$E$35,1)</f>
        <v>7.9</v>
      </c>
      <c r="AA468" s="22" t="s">
        <v>109</v>
      </c>
      <c r="AB468" s="22" t="s">
        <v>109</v>
      </c>
      <c r="AC468" s="15" t="str">
        <f aca="false">$E468</f>
        <v>orichalque</v>
      </c>
      <c r="AD468" s="16" t="n">
        <f aca="false" t="array" ref="AD468:AD468">IF($I468&gt;=$AI468,"Max",ROUND(Paramètres!$B$40*($I468+1)^Paramètres!$B$41*INDEX(Paramètres!$H$6:$H$12,$AF468),0))</f>
        <v>6</v>
      </c>
      <c r="AE468" s="23" t="n">
        <f aca="false">MATCH($B468&amp;"|"&amp;$C468,Profils!$A$5:$A$34,0)</f>
        <v>15</v>
      </c>
      <c r="AF468" s="23" t="n">
        <v>5</v>
      </c>
      <c r="AG468" s="24" t="n">
        <f aca="false" t="array" ref="AG468:AG468">INDEX(Paramètres!$C$6:$C$12,$AF468)</f>
        <v>2.1</v>
      </c>
      <c r="AH468" s="23" t="n">
        <f aca="false" t="array" ref="AH468:AH468">INDEX(Paramètres!$D$6:$D$12,$AF468)</f>
        <v>6</v>
      </c>
      <c r="AI468" s="23" t="n">
        <f aca="false" t="array" ref="AI468:AI468">INDEX(Matériaux!$C$16:$C$20,$D468)</f>
        <v>30</v>
      </c>
      <c r="AJ468" s="25" t="n">
        <f aca="false">Paramètres!$B$16+(1-Paramètres!$B$16)*(($J468-Paramètres!$B$14)/(Paramètres!$B$15-Paramètres!$B$14))^Paramètres!$B$17</f>
        <v>0.665999387952727</v>
      </c>
    </row>
    <row r="469" customFormat="false" ht="15.75" hidden="false" customHeight="true" outlineLevel="0" collapsed="false">
      <c r="A469" s="14" t="s">
        <v>585</v>
      </c>
      <c r="B469" s="15" t="s">
        <v>29</v>
      </c>
      <c r="C469" s="15" t="s">
        <v>241</v>
      </c>
      <c r="D469" s="16" t="n">
        <v>5</v>
      </c>
      <c r="E469" s="15" t="str">
        <f aca="false" t="array" ref="E469:E469">INDEX(Matériaux!$B$5:$F$12,MATCH(INDEX(Profils!$E$5:$E$34,$AE469),Matériaux!$A$5:$A$12,0),$D469)</f>
        <v>orichalque</v>
      </c>
      <c r="F469" s="30" t="s">
        <v>119</v>
      </c>
      <c r="G469" s="10" t="str">
        <f aca="false" t="array" ref="G469:G469">INDEX(Profils!$D$5:$D$34,$AE469)&amp;" en "&amp;$E469</f>
        <v>Amulette en orichalque</v>
      </c>
      <c r="H469" s="16" t="n">
        <f aca="false" t="array" ref="H469:H469">INDEX(Matériaux!$B$16:$B$20,$D469)</f>
        <v>70</v>
      </c>
      <c r="I469" s="16" t="n">
        <f aca="false">IF(ISNUMBER($C$3),MIN(MAX(0,ROUND($C$3,0)),$AI469),$AI469)</f>
        <v>0</v>
      </c>
      <c r="J469" s="18" t="n">
        <f aca="false">$H469+$I469</f>
        <v>70</v>
      </c>
      <c r="K469" s="15" t="s">
        <v>109</v>
      </c>
      <c r="L469" s="19" t="n">
        <f aca="false" t="array" ref="L469:L469">IF(AND(INDEX(Profils!$F$5:$F$34,$AE469)&gt;0,INDEX(Profils!$U$5:$U$34,$AE469)&lt;=$AH469),ROUND(INDEX(Profils!$F$5:$F$34,$AE469)*Paramètres!$E$22*$AG469*$AJ469,Paramètres!$F$22),0)</f>
        <v>48</v>
      </c>
      <c r="M469" s="19" t="n">
        <f aca="false" t="array" ref="M469:M469">IF(AND(INDEX(Profils!$G$5:$G$34,$AE469)&gt;0,INDEX(Profils!$V$5:$V$34,$AE469)&lt;=$AH469),ROUND(INDEX(Profils!$G$5:$G$34,$AE469)*Paramètres!$E$23*$AG469*$AJ469,Paramètres!$F$23),0)</f>
        <v>0</v>
      </c>
      <c r="N469" s="19" t="n">
        <f aca="false" t="array" ref="N469:N469">IF(AND(INDEX(Profils!$H$5:$H$34,$AE469)&gt;0,INDEX(Profils!$W$5:$W$34,$AE469)&lt;=$AH469),ROUND(INDEX(Profils!$H$5:$H$34,$AE469)*Paramètres!$E$24*$AG469*$AJ469,Paramètres!$F$24),0)</f>
        <v>0</v>
      </c>
      <c r="O469" s="19" t="n">
        <f aca="false" t="array" ref="O469:O469">IF(AND(INDEX(Profils!$I$5:$I$34,$AE469)&gt;0,INDEX(Profils!$X$5:$X$34,$AE469)&lt;=$AH469),ROUND(INDEX(Profils!$I$5:$I$34,$AE469)*Paramètres!$E$25*$AG469*$AJ469,Paramètres!$F$25),0)</f>
        <v>26</v>
      </c>
      <c r="P469" s="19" t="n">
        <f aca="false" t="array" ref="P469:P469">IF(AND(INDEX(Profils!$J$5:$J$34,$AE469)&gt;0,INDEX(Profils!$Y$5:$Y$34,$AE469)&lt;=$AH469),ROUND(INDEX(Profils!$J$5:$J$34,$AE469)*Paramètres!$E$26*$AG469*$AJ469,Paramètres!$F$26),0)</f>
        <v>0</v>
      </c>
      <c r="Q469" s="19" t="n">
        <f aca="false" t="array" ref="Q469:Q469">IF(AND(INDEX(Profils!$K$5:$K$34,$AE469)&gt;0,INDEX(Profils!$Z$5:$Z$34,$AE469)&lt;=$AH469),ROUND(INDEX(Profils!$K$5:$K$34,$AE469)*Paramètres!$E$27*$AG469*$AJ469,Paramètres!$F$27),0)</f>
        <v>10</v>
      </c>
      <c r="R469" s="20" t="n">
        <f aca="false" t="array" ref="R469:R469">IF(AND(INDEX(Profils!$L$5:$L$34,$AE469)&gt;0,INDEX(Profils!$AA$5:$AA$34,$AE469)&lt;=$AH469),ROUND(INDEX(Profils!$L$5:$L$34,$AE469)*Paramètres!$E$28*$AG469*$AJ469,Paramètres!$F$28),0)</f>
        <v>0</v>
      </c>
      <c r="S469" s="20" t="n">
        <f aca="false" t="array" ref="S469:S469">IF(AND(INDEX(Profils!$M$5:$M$34,$AE469)&gt;0,INDEX(Profils!$AB$5:$AB$34,$AE469)&lt;=$AH469),ROUND(INDEX(Profils!$M$5:$M$34,$AE469)*Paramètres!$E$29*$AG469*$AJ469,Paramètres!$F$29),0)</f>
        <v>0.012</v>
      </c>
      <c r="T469" s="20" t="n">
        <f aca="false" t="array" ref="T469:T469">IF(AND(INDEX(Profils!$N$5:$N$34,$AE469)&gt;0,INDEX(Profils!$AC$5:$AC$34,$AE469)&lt;=$AH469),ROUND(INDEX(Profils!$N$5:$N$34,$AE469)*Paramètres!$E$30*$AG469*$AJ469,Paramètres!$F$30),0)</f>
        <v>0</v>
      </c>
      <c r="U469" s="19" t="n">
        <f aca="false" t="array" ref="U469:U469">IF(AND(INDEX(Profils!$O$5:$O$34,$AE469)&gt;0,INDEX(Profils!$AD$5:$AD$34,$AE469)&lt;=$AH469),ROUND(INDEX(Profils!$O$5:$O$34,$AE469)*Paramètres!$E$31*$AG469*$AJ469,Paramètres!$F$31),0)</f>
        <v>0</v>
      </c>
      <c r="V469" s="20" t="n">
        <f aca="false" t="array" ref="V469:V469">IF(AND(INDEX(Profils!$P$5:$P$34,$AE469)&gt;0,INDEX(Profils!$AE$5:$AE$34,$AE469)&lt;=$AH469),ROUND(INDEX(Profils!$P$5:$P$34,$AE469)*Paramètres!$E$32*$AG469*$AJ469,Paramètres!$F$32),0)</f>
        <v>0</v>
      </c>
      <c r="W469" s="20" t="n">
        <f aca="false" t="array" ref="W469:W469">IF(AND(INDEX(Profils!$Q$5:$Q$34,$AE469)&gt;0,INDEX(Profils!$AF$5:$AF$34,$AE469)&lt;=$AH469),ROUND(INDEX(Profils!$Q$5:$Q$34,$AE469)*Paramètres!$E$33*$AG469*$AJ469,Paramètres!$F$33),0)</f>
        <v>0.024</v>
      </c>
      <c r="X469" s="20" t="n">
        <f aca="false" t="array" ref="X469:X469">IF(AND(INDEX(Profils!$R$5:$R$34,$AE469)&gt;0,INDEX(Profils!$AG$5:$AG$34,$AE469)&lt;=$AH469),ROUND(INDEX(Profils!$R$5:$R$34,$AE469)*Paramètres!$E$34*$AG469*$AJ469,Paramètres!$F$34),0)</f>
        <v>0.032</v>
      </c>
      <c r="Y469" s="20" t="n">
        <f aca="false" t="array" ref="Y469:Y469">IF(AND(INDEX(Profils!$S$5:$S$34,$AE469)&gt;0,INDEX(Profils!$AH$5:$AH$34,$AE469)&lt;=$AH469),ROUND(INDEX(Profils!$S$5:$S$34,$AE469)*Paramètres!$E$35*$AG469*$AJ469,Paramètres!$F$35),0)</f>
        <v>0.019</v>
      </c>
      <c r="Z469" s="21" t="n">
        <f aca="false">ROUND(L469/Paramètres!$E$22+M469/Paramètres!$E$23+N469/Paramètres!$E$24+O469/Paramètres!$E$25+P469/Paramètres!$E$26+Q469/Paramètres!$E$27+R469/Paramètres!$E$28+S469/Paramètres!$E$29+T469/Paramètres!$E$30+U469/Paramètres!$E$31+V469/Paramètres!$E$32+W469/Paramètres!$E$33+X469/Paramètres!$E$34+Y469/Paramètres!$E$35,1)</f>
        <v>10.1</v>
      </c>
      <c r="AA469" s="22" t="s">
        <v>109</v>
      </c>
      <c r="AB469" s="22" t="s">
        <v>109</v>
      </c>
      <c r="AC469" s="15" t="str">
        <f aca="false">$E469</f>
        <v>orichalque</v>
      </c>
      <c r="AD469" s="16" t="n">
        <f aca="false" t="array" ref="AD469:AD469">IF($I469&gt;=$AI469,"Max",ROUND(Paramètres!$B$40*($I469+1)^Paramètres!$B$41*INDEX(Paramètres!$H$6:$H$12,$AF469),0))</f>
        <v>8</v>
      </c>
      <c r="AE469" s="23" t="n">
        <f aca="false">MATCH($B469&amp;"|"&amp;$C469,Profils!$A$5:$A$34,0)</f>
        <v>15</v>
      </c>
      <c r="AF469" s="23" t="n">
        <v>6</v>
      </c>
      <c r="AG469" s="24" t="n">
        <f aca="false" t="array" ref="AG469:AG469">INDEX(Paramètres!$C$6:$C$12,$AF469)</f>
        <v>2.4</v>
      </c>
      <c r="AH469" s="23" t="n">
        <f aca="false" t="array" ref="AH469:AH469">INDEX(Paramètres!$D$6:$D$12,$AF469)</f>
        <v>7</v>
      </c>
      <c r="AI469" s="23" t="n">
        <f aca="false" t="array" ref="AI469:AI469">INDEX(Matériaux!$C$16:$C$20,$D469)</f>
        <v>30</v>
      </c>
      <c r="AJ469" s="25" t="n">
        <f aca="false">Paramètres!$B$16+(1-Paramètres!$B$16)*(($J469-Paramètres!$B$14)/(Paramètres!$B$15-Paramètres!$B$14))^Paramètres!$B$17</f>
        <v>0.665999387952727</v>
      </c>
    </row>
    <row r="470" customFormat="false" ht="15.75" hidden="false" customHeight="true" outlineLevel="0" collapsed="false">
      <c r="A470" s="14" t="s">
        <v>586</v>
      </c>
      <c r="B470" s="15" t="s">
        <v>29</v>
      </c>
      <c r="C470" s="15" t="s">
        <v>241</v>
      </c>
      <c r="D470" s="16" t="s">
        <v>109</v>
      </c>
      <c r="E470" s="15" t="s">
        <v>109</v>
      </c>
      <c r="F470" s="31" t="s">
        <v>38</v>
      </c>
      <c r="G470" s="10" t="str">
        <f aca="false" t="array" ref="G470:G470">INDEX(Uniques!$E$5:$E$34,MATCH($B470&amp;"|"&amp;$C470,Uniques!$A$5:$A$34,0))</f>
        <v>Amulette de l'Œil Maudit</v>
      </c>
      <c r="H470" s="16" t="n">
        <f aca="false" t="array" ref="H470:H470">INDEX(Uniques!$L$5:$L$34,MATCH($B470&amp;"|"&amp;$C470,Uniques!$A$5:$A$34,0))</f>
        <v>91</v>
      </c>
      <c r="I470" s="16" t="n">
        <f aca="false">IF(ISNUMBER($C$3),MIN(MAX(0,ROUND($C$3,0)),$AI470),$AI470)</f>
        <v>0</v>
      </c>
      <c r="J470" s="18" t="n">
        <f aca="false">$H470+$I470</f>
        <v>91</v>
      </c>
      <c r="K470" s="15" t="str">
        <f aca="false" t="array" ref="K470:K470">INDEX(Uniques!$F$5:$F$34,MATCH($B470&amp;"|"&amp;$C470,Uniques!$A$5:$A$34,0))</f>
        <v>Ombre</v>
      </c>
      <c r="L470" s="19" t="n">
        <f aca="false" t="array" ref="L470:L470">IF(AND(INDEX(Profils!$F$5:$F$34,$AE470)&gt;0,INDEX(Profils!$U$5:$U$34,$AE470)&lt;=$AH470),ROUND(INDEX(Profils!$F$5:$F$34,$AE470)*Paramètres!$E$22*$AG470*$AJ470,Paramètres!$F$22),0)</f>
        <v>67</v>
      </c>
      <c r="M470" s="19" t="n">
        <f aca="false" t="array" ref="M470:M470">IF(AND(INDEX(Profils!$G$5:$G$34,$AE470)&gt;0,INDEX(Profils!$V$5:$V$34,$AE470)&lt;=$AH470),ROUND(INDEX(Profils!$G$5:$G$34,$AE470)*Paramètres!$E$23*$AG470*$AJ470,Paramètres!$F$23),0)</f>
        <v>0</v>
      </c>
      <c r="N470" s="19" t="n">
        <f aca="false" t="array" ref="N470:N470">IF(AND(INDEX(Profils!$H$5:$H$34,$AE470)&gt;0,INDEX(Profils!$W$5:$W$34,$AE470)&lt;=$AH470),ROUND(INDEX(Profils!$H$5:$H$34,$AE470)*Paramètres!$E$24*$AG470*$AJ470,Paramètres!$F$24),0)</f>
        <v>0</v>
      </c>
      <c r="O470" s="19" t="n">
        <f aca="false" t="array" ref="O470:O470">IF(AND(INDEX(Profils!$I$5:$I$34,$AE470)&gt;0,INDEX(Profils!$X$5:$X$34,$AE470)&lt;=$AH470),ROUND(INDEX(Profils!$I$5:$I$34,$AE470)*Paramètres!$E$25*$AG470*$AJ470,Paramètres!$F$25),0)</f>
        <v>37</v>
      </c>
      <c r="P470" s="19" t="n">
        <f aca="false" t="array" ref="P470:P470">IF(AND(INDEX(Profils!$J$5:$J$34,$AE470)&gt;0,INDEX(Profils!$Y$5:$Y$34,$AE470)&lt;=$AH470),ROUND(INDEX(Profils!$J$5:$J$34,$AE470)*Paramètres!$E$26*$AG470*$AJ470,Paramètres!$F$26),0)</f>
        <v>0</v>
      </c>
      <c r="Q470" s="19" t="n">
        <f aca="false" t="array" ref="Q470:Q470">IF(AND(INDEX(Profils!$K$5:$K$34,$AE470)&gt;0,INDEX(Profils!$Z$5:$Z$34,$AE470)&lt;=$AH470),ROUND(INDEX(Profils!$K$5:$K$34,$AE470)*Paramètres!$E$27*$AG470*$AJ470,Paramètres!$F$27),0)</f>
        <v>13</v>
      </c>
      <c r="R470" s="20" t="n">
        <f aca="false" t="array" ref="R470:R470">IF(AND(INDEX(Profils!$L$5:$L$34,$AE470)&gt;0,INDEX(Profils!$AA$5:$AA$34,$AE470)&lt;=$AH470),ROUND(INDEX(Profils!$L$5:$L$34,$AE470)*Paramètres!$E$28*$AG470*$AJ470,Paramètres!$F$28),0)</f>
        <v>0</v>
      </c>
      <c r="S470" s="20" t="n">
        <f aca="false" t="array" ref="S470:S470">IF(AND(INDEX(Profils!$M$5:$M$34,$AE470)&gt;0,INDEX(Profils!$AB$5:$AB$34,$AE470)&lt;=$AH470),ROUND(INDEX(Profils!$M$5:$M$34,$AE470)*Paramètres!$E$29*$AG470*$AJ470,Paramètres!$F$29),0)</f>
        <v>0.016</v>
      </c>
      <c r="T470" s="20" t="n">
        <f aca="false" t="array" ref="T470:T470">IF(AND(INDEX(Profils!$N$5:$N$34,$AE470)&gt;0,INDEX(Profils!$AC$5:$AC$34,$AE470)&lt;=$AH470),ROUND(INDEX(Profils!$N$5:$N$34,$AE470)*Paramètres!$E$30*$AG470*$AJ470,Paramètres!$F$30),0)</f>
        <v>0</v>
      </c>
      <c r="U470" s="19" t="n">
        <f aca="false" t="array" ref="U470:U470">IF(AND(INDEX(Profils!$O$5:$O$34,$AE470)&gt;0,INDEX(Profils!$AD$5:$AD$34,$AE470)&lt;=$AH470),ROUND(INDEX(Profils!$O$5:$O$34,$AE470)*Paramètres!$E$31*$AG470*$AJ470,Paramètres!$F$31),0)</f>
        <v>0</v>
      </c>
      <c r="V470" s="20" t="n">
        <f aca="false" t="array" ref="V470:V470">IF(AND(INDEX(Profils!$P$5:$P$34,$AE470)&gt;0,INDEX(Profils!$AE$5:$AE$34,$AE470)&lt;=$AH470),ROUND(INDEX(Profils!$P$5:$P$34,$AE470)*Paramètres!$E$32*$AG470*$AJ470,Paramètres!$F$32),0)</f>
        <v>0</v>
      </c>
      <c r="W470" s="20" t="n">
        <f aca="false" t="array" ref="W470:W470">IF(AND(INDEX(Profils!$Q$5:$Q$34,$AE470)&gt;0,INDEX(Profils!$AF$5:$AF$34,$AE470)&lt;=$AH470),ROUND(INDEX(Profils!$Q$5:$Q$34,$AE470)*Paramètres!$E$33*$AG470*$AJ470,Paramètres!$F$33),0)</f>
        <v>0.034</v>
      </c>
      <c r="X470" s="20" t="n">
        <f aca="false" t="array" ref="X470:X470">IF(AND(INDEX(Profils!$R$5:$R$34,$AE470)&gt;0,INDEX(Profils!$AG$5:$AG$34,$AE470)&lt;=$AH470),ROUND(INDEX(Profils!$R$5:$R$34,$AE470)*Paramètres!$E$34*$AG470*$AJ470,Paramètres!$F$34),0)</f>
        <v>0.045</v>
      </c>
      <c r="Y470" s="20" t="n">
        <f aca="false" t="array" ref="Y470:Y470">IF(AND(INDEX(Profils!$S$5:$S$34,$AE470)&gt;0,INDEX(Profils!$AH$5:$AH$34,$AE470)&lt;=$AH470),ROUND(INDEX(Profils!$S$5:$S$34,$AE470)*Paramètres!$E$35*$AG470*$AJ470,Paramètres!$F$35),0)</f>
        <v>0.027</v>
      </c>
      <c r="Z470" s="21" t="n">
        <f aca="false">ROUND(L470/Paramètres!$E$22+M470/Paramètres!$E$23+N470/Paramètres!$E$24+O470/Paramètres!$E$25+P470/Paramètres!$E$26+Q470/Paramètres!$E$27+R470/Paramètres!$E$28+S470/Paramètres!$E$29+T470/Paramètres!$E$30+U470/Paramètres!$E$31+V470/Paramètres!$E$32+W470/Paramètres!$E$33+X470/Paramètres!$E$34+Y470/Paramètres!$E$35,1)</f>
        <v>14.1</v>
      </c>
      <c r="AA470" s="22" t="str">
        <f aca="false" t="array" ref="AA470:AA470">INDEX(Uniques!$G$5:$G$34,MATCH($B470&amp;"|"&amp;$C470,Uniques!$A$5:$A$34,0))</f>
        <v>Regard maudit</v>
      </c>
      <c r="AB470" s="22" t="str">
        <f aca="false" t="array" ref="AB470:AB470">INDEX(Uniques!$H$5:$H$34,MATCH($B470&amp;"|"&amp;$C470,Uniques!$A$5:$A$34,0))&amp;" ["&amp;INDEX(Uniques!$I$5:$I$34,MATCH($B470&amp;"|"&amp;$C470,Uniques!$A$5:$A$34,0))&amp;"]"</f>
        <v>Les compétences ont 25 % de chance d'appliquer Corruption : la cible subit +10 % de dégâts pendant 2 tours. [1 Corruption par cible ; non cumulable.]</v>
      </c>
      <c r="AC470" s="15" t="str">
        <f aca="false" t="array" ref="AC470:AC470">INDEX(Matériaux!$B$5:$F$12,MATCH(INDEX(Profils!$E$5:$E$34,$AE470),Matériaux!$A$5:$A$12,0),MATCH(MIN($J470+1,100),Matériaux!$B$16:$B$20,1))</f>
        <v>orichalque</v>
      </c>
      <c r="AD470" s="16" t="n">
        <f aca="false" t="array" ref="AD470:AD470">IF($I470&gt;=$AI470,"Max",ROUND(Paramètres!$B$40*($I470+1)^Paramètres!$B$41*INDEX(Paramètres!$H$6:$H$12,$AF470),0))</f>
        <v>9</v>
      </c>
      <c r="AE470" s="23" t="n">
        <f aca="false">MATCH($B470&amp;"|"&amp;$C470,Profils!$A$5:$A$34,0)</f>
        <v>15</v>
      </c>
      <c r="AF470" s="23" t="n">
        <v>7</v>
      </c>
      <c r="AG470" s="24" t="n">
        <f aca="false" t="array" ref="AG470:AG470">INDEX(Paramètres!$C$6:$C$12,$AF470)</f>
        <v>2.5</v>
      </c>
      <c r="AH470" s="23" t="n">
        <f aca="false" t="array" ref="AH470:AH470">INDEX(Paramètres!$D$6:$D$12,$AF470)</f>
        <v>7</v>
      </c>
      <c r="AI470" s="23" t="n">
        <f aca="false" t="array" ref="AI470:AI470">INDEX(Uniques!$M$5:$M$34,MATCH($B470&amp;"|"&amp;$C470,Uniques!$A$5:$A$34,0))</f>
        <v>9</v>
      </c>
      <c r="AJ470" s="25" t="n">
        <f aca="false">Paramètres!$B$16+(1-Paramètres!$B$16)*(($J470-Paramètres!$B$14)/(Paramètres!$B$15-Paramètres!$B$14))^Paramètres!$B$17</f>
        <v>0.89732960994541</v>
      </c>
    </row>
    <row r="471" customFormat="false" ht="15.75" hidden="false" customHeight="true" outlineLevel="0" collapsed="false">
      <c r="A471" s="14" t="s">
        <v>587</v>
      </c>
      <c r="B471" s="15" t="s">
        <v>29</v>
      </c>
      <c r="C471" s="15" t="s">
        <v>273</v>
      </c>
      <c r="D471" s="16" t="n">
        <v>1</v>
      </c>
      <c r="E471" s="15" t="str">
        <f aca="false" t="array" ref="E471:E471">INDEX(Matériaux!$B$5:$F$12,MATCH(INDEX(Profils!$E$5:$E$34,$AE471),Matériaux!$A$5:$A$12,0),$D471)</f>
        <v>cuivre</v>
      </c>
      <c r="F471" s="17" t="s">
        <v>108</v>
      </c>
      <c r="G471" s="10" t="str">
        <f aca="false" t="array" ref="G471:G471">INDEX(Profils!$D$5:$D$34,$AE471)&amp;" en "&amp;$E471</f>
        <v>Anneau runique en cuivre</v>
      </c>
      <c r="H471" s="16" t="n">
        <f aca="false" t="array" ref="H471:H471">INDEX(Matériaux!$B$16:$B$20,$D471)</f>
        <v>1</v>
      </c>
      <c r="I471" s="16" t="n">
        <f aca="false">IF(ISNUMBER($C$3),MIN(MAX(0,ROUND($C$3,0)),$AI471),$AI471)</f>
        <v>0</v>
      </c>
      <c r="J471" s="18" t="n">
        <f aca="false">$H471+$I471</f>
        <v>1</v>
      </c>
      <c r="K471" s="15" t="s">
        <v>109</v>
      </c>
      <c r="L471" s="19" t="n">
        <f aca="false" t="array" ref="L471:L471">IF(AND(INDEX(Profils!$F$5:$F$34,$AE471)&gt;0,INDEX(Profils!$U$5:$U$34,$AE471)&lt;=$AH471),ROUND(INDEX(Profils!$F$5:$F$34,$AE471)*Paramètres!$E$22*$AG471*$AJ471,Paramètres!$F$22),0)</f>
        <v>0</v>
      </c>
      <c r="M471" s="19" t="n">
        <f aca="false" t="array" ref="M471:M471">IF(AND(INDEX(Profils!$G$5:$G$34,$AE471)&gt;0,INDEX(Profils!$V$5:$V$34,$AE471)&lt;=$AH471),ROUND(INDEX(Profils!$G$5:$G$34,$AE471)*Paramètres!$E$23*$AG471*$AJ471,Paramètres!$F$23),0)</f>
        <v>0</v>
      </c>
      <c r="N471" s="19" t="n">
        <f aca="false" t="array" ref="N471:N471">IF(AND(INDEX(Profils!$H$5:$H$34,$AE471)&gt;0,INDEX(Profils!$W$5:$W$34,$AE471)&lt;=$AH471),ROUND(INDEX(Profils!$H$5:$H$34,$AE471)*Paramètres!$E$24*$AG471*$AJ471,Paramètres!$F$24),0)</f>
        <v>0</v>
      </c>
      <c r="O471" s="19" t="n">
        <f aca="false" t="array" ref="O471:O471">IF(AND(INDEX(Profils!$I$5:$I$34,$AE471)&gt;0,INDEX(Profils!$X$5:$X$34,$AE471)&lt;=$AH471),ROUND(INDEX(Profils!$I$5:$I$34,$AE471)*Paramètres!$E$25*$AG471*$AJ471,Paramètres!$F$25),0)</f>
        <v>0</v>
      </c>
      <c r="P471" s="19" t="n">
        <f aca="false" t="array" ref="P471:P471">IF(AND(INDEX(Profils!$J$5:$J$34,$AE471)&gt;0,INDEX(Profils!$Y$5:$Y$34,$AE471)&lt;=$AH471),ROUND(INDEX(Profils!$J$5:$J$34,$AE471)*Paramètres!$E$26*$AG471*$AJ471,Paramètres!$F$26),0)</f>
        <v>0</v>
      </c>
      <c r="Q471" s="19" t="n">
        <f aca="false" t="array" ref="Q471:Q471">IF(AND(INDEX(Profils!$K$5:$K$34,$AE471)&gt;0,INDEX(Profils!$Z$5:$Z$34,$AE471)&lt;=$AH471),ROUND(INDEX(Profils!$K$5:$K$34,$AE471)*Paramètres!$E$27*$AG471*$AJ471,Paramètres!$F$27),0)</f>
        <v>0</v>
      </c>
      <c r="R471" s="20" t="n">
        <f aca="false" t="array" ref="R471:R471">IF(AND(INDEX(Profils!$L$5:$L$34,$AE471)&gt;0,INDEX(Profils!$AA$5:$AA$34,$AE471)&lt;=$AH471),ROUND(INDEX(Profils!$L$5:$L$34,$AE471)*Paramètres!$E$28*$AG471*$AJ471,Paramètres!$F$28),0)</f>
        <v>0</v>
      </c>
      <c r="S471" s="20" t="n">
        <f aca="false" t="array" ref="S471:S471">IF(AND(INDEX(Profils!$M$5:$M$34,$AE471)&gt;0,INDEX(Profils!$AB$5:$AB$34,$AE471)&lt;=$AH471),ROUND(INDEX(Profils!$M$5:$M$34,$AE471)*Paramètres!$E$29*$AG471*$AJ471,Paramètres!$F$29),0)</f>
        <v>0.001</v>
      </c>
      <c r="T471" s="20" t="n">
        <f aca="false" t="array" ref="T471:T471">IF(AND(INDEX(Profils!$N$5:$N$34,$AE471)&gt;0,INDEX(Profils!$AC$5:$AC$34,$AE471)&lt;=$AH471),ROUND(INDEX(Profils!$N$5:$N$34,$AE471)*Paramètres!$E$30*$AG471*$AJ471,Paramètres!$F$30),0)</f>
        <v>0.002</v>
      </c>
      <c r="U471" s="19" t="n">
        <f aca="false" t="array" ref="U471:U471">IF(AND(INDEX(Profils!$O$5:$O$34,$AE471)&gt;0,INDEX(Profils!$AD$5:$AD$34,$AE471)&lt;=$AH471),ROUND(INDEX(Profils!$O$5:$O$34,$AE471)*Paramètres!$E$31*$AG471*$AJ471,Paramètres!$F$31),0)</f>
        <v>0</v>
      </c>
      <c r="V471" s="20" t="n">
        <f aca="false" t="array" ref="V471:V471">IF(AND(INDEX(Profils!$P$5:$P$34,$AE471)&gt;0,INDEX(Profils!$AE$5:$AE$34,$AE471)&lt;=$AH471),ROUND(INDEX(Profils!$P$5:$P$34,$AE471)*Paramètres!$E$32*$AG471*$AJ471,Paramètres!$F$32),0)</f>
        <v>0</v>
      </c>
      <c r="W471" s="20" t="n">
        <f aca="false" t="array" ref="W471:W471">IF(AND(INDEX(Profils!$Q$5:$Q$34,$AE471)&gt;0,INDEX(Profils!$AF$5:$AF$34,$AE471)&lt;=$AH471),ROUND(INDEX(Profils!$Q$5:$Q$34,$AE471)*Paramètres!$E$33*$AG471*$AJ471,Paramètres!$F$33),0)</f>
        <v>0</v>
      </c>
      <c r="X471" s="20" t="n">
        <f aca="false" t="array" ref="X471:X471">IF(AND(INDEX(Profils!$R$5:$R$34,$AE471)&gt;0,INDEX(Profils!$AG$5:$AG$34,$AE471)&lt;=$AH471),ROUND(INDEX(Profils!$R$5:$R$34,$AE471)*Paramètres!$E$34*$AG471*$AJ471,Paramètres!$F$34),0)</f>
        <v>0</v>
      </c>
      <c r="Y471" s="20" t="n">
        <f aca="false" t="array" ref="Y471:Y471">IF(AND(INDEX(Profils!$S$5:$S$34,$AE471)&gt;0,INDEX(Profils!$AH$5:$AH$34,$AE471)&lt;=$AH471),ROUND(INDEX(Profils!$S$5:$S$34,$AE471)*Paramètres!$E$35*$AG471*$AJ471,Paramètres!$F$35),0)</f>
        <v>0</v>
      </c>
      <c r="Z471" s="21" t="n">
        <f aca="false">ROUND(L471/Paramètres!$E$22+M471/Paramètres!$E$23+N471/Paramètres!$E$24+O471/Paramètres!$E$25+P471/Paramètres!$E$26+Q471/Paramètres!$E$27+R471/Paramètres!$E$28+S471/Paramètres!$E$29+T471/Paramètres!$E$30+U471/Paramètres!$E$31+V471/Paramètres!$E$32+W471/Paramètres!$E$33+X471/Paramètres!$E$34+Y471/Paramètres!$E$35,1)</f>
        <v>0.2</v>
      </c>
      <c r="AA471" s="22" t="s">
        <v>109</v>
      </c>
      <c r="AB471" s="22" t="s">
        <v>109</v>
      </c>
      <c r="AC471" s="15" t="str">
        <f aca="false">$E471</f>
        <v>cuivre</v>
      </c>
      <c r="AD471" s="16" t="n">
        <f aca="false" t="array" ref="AD471:AD471">IF($I471&gt;=$AI471,"Max",ROUND(Paramètres!$B$40*($I471+1)^Paramètres!$B$41*INDEX(Paramètres!$H$6:$H$12,$AF471),0))</f>
        <v>3</v>
      </c>
      <c r="AE471" s="23" t="n">
        <f aca="false">MATCH($B471&amp;"|"&amp;$C471,Profils!$A$5:$A$34,0)</f>
        <v>16</v>
      </c>
      <c r="AF471" s="23" t="n">
        <v>1</v>
      </c>
      <c r="AG471" s="24" t="n">
        <f aca="false" t="array" ref="AG471:AG471">INDEX(Paramètres!$C$6:$C$12,$AF471)</f>
        <v>1</v>
      </c>
      <c r="AH471" s="23" t="n">
        <f aca="false" t="array" ref="AH471:AH471">INDEX(Paramètres!$D$6:$D$12,$AF471)</f>
        <v>2</v>
      </c>
      <c r="AI471" s="23" t="n">
        <f aca="false" t="array" ref="AI471:AI471">INDEX(Matériaux!$C$16:$C$20,$D471)</f>
        <v>19</v>
      </c>
      <c r="AJ471" s="25" t="n">
        <f aca="false">Paramètres!$B$16+(1-Paramètres!$B$16)*(($J471-Paramètres!$B$14)/(Paramètres!$B$15-Paramètres!$B$14))^Paramètres!$B$17</f>
        <v>0.05</v>
      </c>
    </row>
    <row r="472" customFormat="false" ht="15.75" hidden="false" customHeight="true" outlineLevel="0" collapsed="false">
      <c r="A472" s="14" t="s">
        <v>588</v>
      </c>
      <c r="B472" s="15" t="s">
        <v>29</v>
      </c>
      <c r="C472" s="15" t="s">
        <v>273</v>
      </c>
      <c r="D472" s="16" t="n">
        <v>1</v>
      </c>
      <c r="E472" s="15" t="str">
        <f aca="false" t="array" ref="E472:E472">INDEX(Matériaux!$B$5:$F$12,MATCH(INDEX(Profils!$E$5:$E$34,$AE472),Matériaux!$A$5:$A$12,0),$D472)</f>
        <v>cuivre</v>
      </c>
      <c r="F472" s="26" t="s">
        <v>111</v>
      </c>
      <c r="G472" s="10" t="str">
        <f aca="false" t="array" ref="G472:G472">INDEX(Profils!$D$5:$D$34,$AE472)&amp;" en "&amp;$E472</f>
        <v>Anneau runique en cuivre</v>
      </c>
      <c r="H472" s="16" t="n">
        <f aca="false" t="array" ref="H472:H472">INDEX(Matériaux!$B$16:$B$20,$D472)</f>
        <v>1</v>
      </c>
      <c r="I472" s="16" t="n">
        <f aca="false">IF(ISNUMBER($C$3),MIN(MAX(0,ROUND($C$3,0)),$AI472),$AI472)</f>
        <v>0</v>
      </c>
      <c r="J472" s="18" t="n">
        <f aca="false">$H472+$I472</f>
        <v>1</v>
      </c>
      <c r="K472" s="15" t="s">
        <v>109</v>
      </c>
      <c r="L472" s="19" t="n">
        <f aca="false" t="array" ref="L472:L472">IF(AND(INDEX(Profils!$F$5:$F$34,$AE472)&gt;0,INDEX(Profils!$U$5:$U$34,$AE472)&lt;=$AH472),ROUND(INDEX(Profils!$F$5:$F$34,$AE472)*Paramètres!$E$22*$AG472*$AJ472,Paramètres!$F$22),0)</f>
        <v>0</v>
      </c>
      <c r="M472" s="19" t="n">
        <f aca="false" t="array" ref="M472:M472">IF(AND(INDEX(Profils!$G$5:$G$34,$AE472)&gt;0,INDEX(Profils!$V$5:$V$34,$AE472)&lt;=$AH472),ROUND(INDEX(Profils!$G$5:$G$34,$AE472)*Paramètres!$E$23*$AG472*$AJ472,Paramètres!$F$23),0)</f>
        <v>0</v>
      </c>
      <c r="N472" s="19" t="n">
        <f aca="false" t="array" ref="N472:N472">IF(AND(INDEX(Profils!$H$5:$H$34,$AE472)&gt;0,INDEX(Profils!$W$5:$W$34,$AE472)&lt;=$AH472),ROUND(INDEX(Profils!$H$5:$H$34,$AE472)*Paramètres!$E$24*$AG472*$AJ472,Paramètres!$F$24),0)</f>
        <v>0</v>
      </c>
      <c r="O472" s="19" t="n">
        <f aca="false" t="array" ref="O472:O472">IF(AND(INDEX(Profils!$I$5:$I$34,$AE472)&gt;0,INDEX(Profils!$X$5:$X$34,$AE472)&lt;=$AH472),ROUND(INDEX(Profils!$I$5:$I$34,$AE472)*Paramètres!$E$25*$AG472*$AJ472,Paramètres!$F$25),0)</f>
        <v>0</v>
      </c>
      <c r="P472" s="19" t="n">
        <f aca="false" t="array" ref="P472:P472">IF(AND(INDEX(Profils!$J$5:$J$34,$AE472)&gt;0,INDEX(Profils!$Y$5:$Y$34,$AE472)&lt;=$AH472),ROUND(INDEX(Profils!$J$5:$J$34,$AE472)*Paramètres!$E$26*$AG472*$AJ472,Paramètres!$F$26),0)</f>
        <v>0</v>
      </c>
      <c r="Q472" s="19" t="n">
        <f aca="false" t="array" ref="Q472:Q472">IF(AND(INDEX(Profils!$K$5:$K$34,$AE472)&gt;0,INDEX(Profils!$Z$5:$Z$34,$AE472)&lt;=$AH472),ROUND(INDEX(Profils!$K$5:$K$34,$AE472)*Paramètres!$E$27*$AG472*$AJ472,Paramètres!$F$27),0)</f>
        <v>0</v>
      </c>
      <c r="R472" s="20" t="n">
        <f aca="false" t="array" ref="R472:R472">IF(AND(INDEX(Profils!$L$5:$L$34,$AE472)&gt;0,INDEX(Profils!$AA$5:$AA$34,$AE472)&lt;=$AH472),ROUND(INDEX(Profils!$L$5:$L$34,$AE472)*Paramètres!$E$28*$AG472*$AJ472,Paramètres!$F$28),0)</f>
        <v>0</v>
      </c>
      <c r="S472" s="20" t="n">
        <f aca="false" t="array" ref="S472:S472">IF(AND(INDEX(Profils!$M$5:$M$34,$AE472)&gt;0,INDEX(Profils!$AB$5:$AB$34,$AE472)&lt;=$AH472),ROUND(INDEX(Profils!$M$5:$M$34,$AE472)*Paramètres!$E$29*$AG472*$AJ472,Paramètres!$F$29),0)</f>
        <v>0.001</v>
      </c>
      <c r="T472" s="20" t="n">
        <f aca="false" t="array" ref="T472:T472">IF(AND(INDEX(Profils!$N$5:$N$34,$AE472)&gt;0,INDEX(Profils!$AC$5:$AC$34,$AE472)&lt;=$AH472),ROUND(INDEX(Profils!$N$5:$N$34,$AE472)*Paramètres!$E$30*$AG472*$AJ472,Paramètres!$F$30),0)</f>
        <v>0.002</v>
      </c>
      <c r="U472" s="19" t="n">
        <f aca="false" t="array" ref="U472:U472">IF(AND(INDEX(Profils!$O$5:$O$34,$AE472)&gt;0,INDEX(Profils!$AD$5:$AD$34,$AE472)&lt;=$AH472),ROUND(INDEX(Profils!$O$5:$O$34,$AE472)*Paramètres!$E$31*$AG472*$AJ472,Paramètres!$F$31),0)</f>
        <v>0</v>
      </c>
      <c r="V472" s="20" t="n">
        <f aca="false" t="array" ref="V472:V472">IF(AND(INDEX(Profils!$P$5:$P$34,$AE472)&gt;0,INDEX(Profils!$AE$5:$AE$34,$AE472)&lt;=$AH472),ROUND(INDEX(Profils!$P$5:$P$34,$AE472)*Paramètres!$E$32*$AG472*$AJ472,Paramètres!$F$32),0)</f>
        <v>0.001</v>
      </c>
      <c r="W472" s="20" t="n">
        <f aca="false" t="array" ref="W472:W472">IF(AND(INDEX(Profils!$Q$5:$Q$34,$AE472)&gt;0,INDEX(Profils!$AF$5:$AF$34,$AE472)&lt;=$AH472),ROUND(INDEX(Profils!$Q$5:$Q$34,$AE472)*Paramètres!$E$33*$AG472*$AJ472,Paramètres!$F$33),0)</f>
        <v>0</v>
      </c>
      <c r="X472" s="20" t="n">
        <f aca="false" t="array" ref="X472:X472">IF(AND(INDEX(Profils!$R$5:$R$34,$AE472)&gt;0,INDEX(Profils!$AG$5:$AG$34,$AE472)&lt;=$AH472),ROUND(INDEX(Profils!$R$5:$R$34,$AE472)*Paramètres!$E$34*$AG472*$AJ472,Paramètres!$F$34),0)</f>
        <v>0</v>
      </c>
      <c r="Y472" s="20" t="n">
        <f aca="false" t="array" ref="Y472:Y472">IF(AND(INDEX(Profils!$S$5:$S$34,$AE472)&gt;0,INDEX(Profils!$AH$5:$AH$34,$AE472)&lt;=$AH472),ROUND(INDEX(Profils!$S$5:$S$34,$AE472)*Paramètres!$E$35*$AG472*$AJ472,Paramètres!$F$35),0)</f>
        <v>0</v>
      </c>
      <c r="Z472" s="21" t="n">
        <f aca="false">ROUND(L472/Paramètres!$E$22+M472/Paramètres!$E$23+N472/Paramètres!$E$24+O472/Paramètres!$E$25+P472/Paramètres!$E$26+Q472/Paramètres!$E$27+R472/Paramètres!$E$28+S472/Paramètres!$E$29+T472/Paramètres!$E$30+U472/Paramètres!$E$31+V472/Paramètres!$E$32+W472/Paramètres!$E$33+X472/Paramètres!$E$34+Y472/Paramètres!$E$35,1)</f>
        <v>0.2</v>
      </c>
      <c r="AA472" s="22" t="s">
        <v>109</v>
      </c>
      <c r="AB472" s="22" t="s">
        <v>109</v>
      </c>
      <c r="AC472" s="15" t="str">
        <f aca="false">$E472</f>
        <v>cuivre</v>
      </c>
      <c r="AD472" s="16" t="n">
        <f aca="false" t="array" ref="AD472:AD472">IF($I472&gt;=$AI472,"Max",ROUND(Paramètres!$B$40*($I472+1)^Paramètres!$B$41*INDEX(Paramètres!$H$6:$H$12,$AF472),0))</f>
        <v>4</v>
      </c>
      <c r="AE472" s="23" t="n">
        <f aca="false">MATCH($B472&amp;"|"&amp;$C472,Profils!$A$5:$A$34,0)</f>
        <v>16</v>
      </c>
      <c r="AF472" s="23" t="n">
        <v>2</v>
      </c>
      <c r="AG472" s="24" t="n">
        <f aca="false" t="array" ref="AG472:AG472">INDEX(Paramètres!$C$6:$C$12,$AF472)</f>
        <v>1.2</v>
      </c>
      <c r="AH472" s="23" t="n">
        <f aca="false" t="array" ref="AH472:AH472">INDEX(Paramètres!$D$6:$D$12,$AF472)</f>
        <v>3</v>
      </c>
      <c r="AI472" s="23" t="n">
        <f aca="false" t="array" ref="AI472:AI472">INDEX(Matériaux!$C$16:$C$20,$D472)</f>
        <v>19</v>
      </c>
      <c r="AJ472" s="25" t="n">
        <f aca="false">Paramètres!$B$16+(1-Paramètres!$B$16)*(($J472-Paramètres!$B$14)/(Paramètres!$B$15-Paramètres!$B$14))^Paramètres!$B$17</f>
        <v>0.05</v>
      </c>
    </row>
    <row r="473" customFormat="false" ht="15.75" hidden="false" customHeight="true" outlineLevel="0" collapsed="false">
      <c r="A473" s="14" t="s">
        <v>589</v>
      </c>
      <c r="B473" s="15" t="s">
        <v>29</v>
      </c>
      <c r="C473" s="15" t="s">
        <v>273</v>
      </c>
      <c r="D473" s="16" t="n">
        <v>1</v>
      </c>
      <c r="E473" s="15" t="str">
        <f aca="false" t="array" ref="E473:E473">INDEX(Matériaux!$B$5:$F$12,MATCH(INDEX(Profils!$E$5:$E$34,$AE473),Matériaux!$A$5:$A$12,0),$D473)</f>
        <v>cuivre</v>
      </c>
      <c r="F473" s="27" t="s">
        <v>113</v>
      </c>
      <c r="G473" s="10" t="str">
        <f aca="false" t="array" ref="G473:G473">INDEX(Profils!$D$5:$D$34,$AE473)&amp;" en "&amp;$E473</f>
        <v>Anneau runique en cuivre</v>
      </c>
      <c r="H473" s="16" t="n">
        <f aca="false" t="array" ref="H473:H473">INDEX(Matériaux!$B$16:$B$20,$D473)</f>
        <v>1</v>
      </c>
      <c r="I473" s="16" t="n">
        <f aca="false">IF(ISNUMBER($C$3),MIN(MAX(0,ROUND($C$3,0)),$AI473),$AI473)</f>
        <v>0</v>
      </c>
      <c r="J473" s="18" t="n">
        <f aca="false">$H473+$I473</f>
        <v>1</v>
      </c>
      <c r="K473" s="15" t="s">
        <v>109</v>
      </c>
      <c r="L473" s="19" t="n">
        <f aca="false" t="array" ref="L473:L473">IF(AND(INDEX(Profils!$F$5:$F$34,$AE473)&gt;0,INDEX(Profils!$U$5:$U$34,$AE473)&lt;=$AH473),ROUND(INDEX(Profils!$F$5:$F$34,$AE473)*Paramètres!$E$22*$AG473*$AJ473,Paramètres!$F$22),0)</f>
        <v>0</v>
      </c>
      <c r="M473" s="19" t="n">
        <f aca="false" t="array" ref="M473:M473">IF(AND(INDEX(Profils!$G$5:$G$34,$AE473)&gt;0,INDEX(Profils!$V$5:$V$34,$AE473)&lt;=$AH473),ROUND(INDEX(Profils!$G$5:$G$34,$AE473)*Paramètres!$E$23*$AG473*$AJ473,Paramètres!$F$23),0)</f>
        <v>0</v>
      </c>
      <c r="N473" s="19" t="n">
        <f aca="false" t="array" ref="N473:N473">IF(AND(INDEX(Profils!$H$5:$H$34,$AE473)&gt;0,INDEX(Profils!$W$5:$W$34,$AE473)&lt;=$AH473),ROUND(INDEX(Profils!$H$5:$H$34,$AE473)*Paramètres!$E$24*$AG473*$AJ473,Paramètres!$F$24),0)</f>
        <v>0</v>
      </c>
      <c r="O473" s="19" t="n">
        <f aca="false" t="array" ref="O473:O473">IF(AND(INDEX(Profils!$I$5:$I$34,$AE473)&gt;0,INDEX(Profils!$X$5:$X$34,$AE473)&lt;=$AH473),ROUND(INDEX(Profils!$I$5:$I$34,$AE473)*Paramètres!$E$25*$AG473*$AJ473,Paramètres!$F$25),0)</f>
        <v>1</v>
      </c>
      <c r="P473" s="19" t="n">
        <f aca="false" t="array" ref="P473:P473">IF(AND(INDEX(Profils!$J$5:$J$34,$AE473)&gt;0,INDEX(Profils!$Y$5:$Y$34,$AE473)&lt;=$AH473),ROUND(INDEX(Profils!$J$5:$J$34,$AE473)*Paramètres!$E$26*$AG473*$AJ473,Paramètres!$F$26),0)</f>
        <v>0</v>
      </c>
      <c r="Q473" s="19" t="n">
        <f aca="false" t="array" ref="Q473:Q473">IF(AND(INDEX(Profils!$K$5:$K$34,$AE473)&gt;0,INDEX(Profils!$Z$5:$Z$34,$AE473)&lt;=$AH473),ROUND(INDEX(Profils!$K$5:$K$34,$AE473)*Paramètres!$E$27*$AG473*$AJ473,Paramètres!$F$27),0)</f>
        <v>0</v>
      </c>
      <c r="R473" s="20" t="n">
        <f aca="false" t="array" ref="R473:R473">IF(AND(INDEX(Profils!$L$5:$L$34,$AE473)&gt;0,INDEX(Profils!$AA$5:$AA$34,$AE473)&lt;=$AH473),ROUND(INDEX(Profils!$L$5:$L$34,$AE473)*Paramètres!$E$28*$AG473*$AJ473,Paramètres!$F$28),0)</f>
        <v>0</v>
      </c>
      <c r="S473" s="20" t="n">
        <f aca="false" t="array" ref="S473:S473">IF(AND(INDEX(Profils!$M$5:$M$34,$AE473)&gt;0,INDEX(Profils!$AB$5:$AB$34,$AE473)&lt;=$AH473),ROUND(INDEX(Profils!$M$5:$M$34,$AE473)*Paramètres!$E$29*$AG473*$AJ473,Paramètres!$F$29),0)</f>
        <v>0.001</v>
      </c>
      <c r="T473" s="20" t="n">
        <f aca="false" t="array" ref="T473:T473">IF(AND(INDEX(Profils!$N$5:$N$34,$AE473)&gt;0,INDEX(Profils!$AC$5:$AC$34,$AE473)&lt;=$AH473),ROUND(INDEX(Profils!$N$5:$N$34,$AE473)*Paramètres!$E$30*$AG473*$AJ473,Paramètres!$F$30),0)</f>
        <v>0.002</v>
      </c>
      <c r="U473" s="19" t="n">
        <f aca="false" t="array" ref="U473:U473">IF(AND(INDEX(Profils!$O$5:$O$34,$AE473)&gt;0,INDEX(Profils!$AD$5:$AD$34,$AE473)&lt;=$AH473),ROUND(INDEX(Profils!$O$5:$O$34,$AE473)*Paramètres!$E$31*$AG473*$AJ473,Paramètres!$F$31),0)</f>
        <v>0</v>
      </c>
      <c r="V473" s="20" t="n">
        <f aca="false" t="array" ref="V473:V473">IF(AND(INDEX(Profils!$P$5:$P$34,$AE473)&gt;0,INDEX(Profils!$AE$5:$AE$34,$AE473)&lt;=$AH473),ROUND(INDEX(Profils!$P$5:$P$34,$AE473)*Paramètres!$E$32*$AG473*$AJ473,Paramètres!$F$32),0)</f>
        <v>0.001</v>
      </c>
      <c r="W473" s="20" t="n">
        <f aca="false" t="array" ref="W473:W473">IF(AND(INDEX(Profils!$Q$5:$Q$34,$AE473)&gt;0,INDEX(Profils!$AF$5:$AF$34,$AE473)&lt;=$AH473),ROUND(INDEX(Profils!$Q$5:$Q$34,$AE473)*Paramètres!$E$33*$AG473*$AJ473,Paramètres!$F$33),0)</f>
        <v>0</v>
      </c>
      <c r="X473" s="20" t="n">
        <f aca="false" t="array" ref="X473:X473">IF(AND(INDEX(Profils!$R$5:$R$34,$AE473)&gt;0,INDEX(Profils!$AG$5:$AG$34,$AE473)&lt;=$AH473),ROUND(INDEX(Profils!$R$5:$R$34,$AE473)*Paramètres!$E$34*$AG473*$AJ473,Paramètres!$F$34),0)</f>
        <v>0</v>
      </c>
      <c r="Y473" s="20" t="n">
        <f aca="false" t="array" ref="Y473:Y473">IF(AND(INDEX(Profils!$S$5:$S$34,$AE473)&gt;0,INDEX(Profils!$AH$5:$AH$34,$AE473)&lt;=$AH473),ROUND(INDEX(Profils!$S$5:$S$34,$AE473)*Paramètres!$E$35*$AG473*$AJ473,Paramètres!$F$35),0)</f>
        <v>0</v>
      </c>
      <c r="Z473" s="21" t="n">
        <f aca="false">ROUND(L473/Paramètres!$E$22+M473/Paramètres!$E$23+N473/Paramètres!$E$24+O473/Paramètres!$E$25+P473/Paramètres!$E$26+Q473/Paramètres!$E$27+R473/Paramètres!$E$28+S473/Paramètres!$E$29+T473/Paramètres!$E$30+U473/Paramètres!$E$31+V473/Paramètres!$E$32+W473/Paramètres!$E$33+X473/Paramètres!$E$34+Y473/Paramètres!$E$35,1)</f>
        <v>0.3</v>
      </c>
      <c r="AA473" s="22" t="s">
        <v>109</v>
      </c>
      <c r="AB473" s="22" t="s">
        <v>109</v>
      </c>
      <c r="AC473" s="15" t="str">
        <f aca="false">$E473</f>
        <v>cuivre</v>
      </c>
      <c r="AD473" s="16" t="n">
        <f aca="false" t="array" ref="AD473:AD473">IF($I473&gt;=$AI473,"Max",ROUND(Paramètres!$B$40*($I473+1)^Paramètres!$B$41*INDEX(Paramètres!$H$6:$H$12,$AF473),0))</f>
        <v>4</v>
      </c>
      <c r="AE473" s="23" t="n">
        <f aca="false">MATCH($B473&amp;"|"&amp;$C473,Profils!$A$5:$A$34,0)</f>
        <v>16</v>
      </c>
      <c r="AF473" s="23" t="n">
        <v>3</v>
      </c>
      <c r="AG473" s="24" t="n">
        <f aca="false" t="array" ref="AG473:AG473">INDEX(Paramètres!$C$6:$C$12,$AF473)</f>
        <v>1.45</v>
      </c>
      <c r="AH473" s="23" t="n">
        <f aca="false" t="array" ref="AH473:AH473">INDEX(Paramètres!$D$6:$D$12,$AF473)</f>
        <v>4</v>
      </c>
      <c r="AI473" s="23" t="n">
        <f aca="false" t="array" ref="AI473:AI473">INDEX(Matériaux!$C$16:$C$20,$D473)</f>
        <v>19</v>
      </c>
      <c r="AJ473" s="25" t="n">
        <f aca="false">Paramètres!$B$16+(1-Paramètres!$B$16)*(($J473-Paramètres!$B$14)/(Paramètres!$B$15-Paramètres!$B$14))^Paramètres!$B$17</f>
        <v>0.05</v>
      </c>
    </row>
    <row r="474" customFormat="false" ht="15.75" hidden="false" customHeight="true" outlineLevel="0" collapsed="false">
      <c r="A474" s="14" t="s">
        <v>590</v>
      </c>
      <c r="B474" s="15" t="s">
        <v>29</v>
      </c>
      <c r="C474" s="15" t="s">
        <v>273</v>
      </c>
      <c r="D474" s="16" t="n">
        <v>1</v>
      </c>
      <c r="E474" s="15" t="str">
        <f aca="false" t="array" ref="E474:E474">INDEX(Matériaux!$B$5:$F$12,MATCH(INDEX(Profils!$E$5:$E$34,$AE474),Matériaux!$A$5:$A$12,0),$D474)</f>
        <v>cuivre</v>
      </c>
      <c r="F474" s="28" t="s">
        <v>115</v>
      </c>
      <c r="G474" s="10" t="str">
        <f aca="false" t="array" ref="G474:G474">INDEX(Profils!$D$5:$D$34,$AE474)&amp;" en "&amp;$E474</f>
        <v>Anneau runique en cuivre</v>
      </c>
      <c r="H474" s="16" t="n">
        <f aca="false" t="array" ref="H474:H474">INDEX(Matériaux!$B$16:$B$20,$D474)</f>
        <v>1</v>
      </c>
      <c r="I474" s="16" t="n">
        <f aca="false">IF(ISNUMBER($C$3),MIN(MAX(0,ROUND($C$3,0)),$AI474),$AI474)</f>
        <v>0</v>
      </c>
      <c r="J474" s="18" t="n">
        <f aca="false">$H474+$I474</f>
        <v>1</v>
      </c>
      <c r="K474" s="15" t="s">
        <v>109</v>
      </c>
      <c r="L474" s="19" t="n">
        <f aca="false" t="array" ref="L474:L474">IF(AND(INDEX(Profils!$F$5:$F$34,$AE474)&gt;0,INDEX(Profils!$U$5:$U$34,$AE474)&lt;=$AH474),ROUND(INDEX(Profils!$F$5:$F$34,$AE474)*Paramètres!$E$22*$AG474*$AJ474,Paramètres!$F$22),0)</f>
        <v>0</v>
      </c>
      <c r="M474" s="19" t="n">
        <f aca="false" t="array" ref="M474:M474">IF(AND(INDEX(Profils!$G$5:$G$34,$AE474)&gt;0,INDEX(Profils!$V$5:$V$34,$AE474)&lt;=$AH474),ROUND(INDEX(Profils!$G$5:$G$34,$AE474)*Paramètres!$E$23*$AG474*$AJ474,Paramètres!$F$23),0)</f>
        <v>0</v>
      </c>
      <c r="N474" s="19" t="n">
        <f aca="false" t="array" ref="N474:N474">IF(AND(INDEX(Profils!$H$5:$H$34,$AE474)&gt;0,INDEX(Profils!$W$5:$W$34,$AE474)&lt;=$AH474),ROUND(INDEX(Profils!$H$5:$H$34,$AE474)*Paramètres!$E$24*$AG474*$AJ474,Paramètres!$F$24),0)</f>
        <v>0</v>
      </c>
      <c r="O474" s="19" t="n">
        <f aca="false" t="array" ref="O474:O474">IF(AND(INDEX(Profils!$I$5:$I$34,$AE474)&gt;0,INDEX(Profils!$X$5:$X$34,$AE474)&lt;=$AH474),ROUND(INDEX(Profils!$I$5:$I$34,$AE474)*Paramètres!$E$25*$AG474*$AJ474,Paramètres!$F$25),0)</f>
        <v>1</v>
      </c>
      <c r="P474" s="19" t="n">
        <f aca="false" t="array" ref="P474:P474">IF(AND(INDEX(Profils!$J$5:$J$34,$AE474)&gt;0,INDEX(Profils!$Y$5:$Y$34,$AE474)&lt;=$AH474),ROUND(INDEX(Profils!$J$5:$J$34,$AE474)*Paramètres!$E$26*$AG474*$AJ474,Paramètres!$F$26),0)</f>
        <v>0</v>
      </c>
      <c r="Q474" s="19" t="n">
        <f aca="false" t="array" ref="Q474:Q474">IF(AND(INDEX(Profils!$K$5:$K$34,$AE474)&gt;0,INDEX(Profils!$Z$5:$Z$34,$AE474)&lt;=$AH474),ROUND(INDEX(Profils!$K$5:$K$34,$AE474)*Paramètres!$E$27*$AG474*$AJ474,Paramètres!$F$27),0)</f>
        <v>0</v>
      </c>
      <c r="R474" s="20" t="n">
        <f aca="false" t="array" ref="R474:R474">IF(AND(INDEX(Profils!$L$5:$L$34,$AE474)&gt;0,INDEX(Profils!$AA$5:$AA$34,$AE474)&lt;=$AH474),ROUND(INDEX(Profils!$L$5:$L$34,$AE474)*Paramètres!$E$28*$AG474*$AJ474,Paramètres!$F$28),0)</f>
        <v>0.001</v>
      </c>
      <c r="S474" s="20" t="n">
        <f aca="false" t="array" ref="S474:S474">IF(AND(INDEX(Profils!$M$5:$M$34,$AE474)&gt;0,INDEX(Profils!$AB$5:$AB$34,$AE474)&lt;=$AH474),ROUND(INDEX(Profils!$M$5:$M$34,$AE474)*Paramètres!$E$29*$AG474*$AJ474,Paramètres!$F$29),0)</f>
        <v>0.001</v>
      </c>
      <c r="T474" s="20" t="n">
        <f aca="false" t="array" ref="T474:T474">IF(AND(INDEX(Profils!$N$5:$N$34,$AE474)&gt;0,INDEX(Profils!$AC$5:$AC$34,$AE474)&lt;=$AH474),ROUND(INDEX(Profils!$N$5:$N$34,$AE474)*Paramètres!$E$30*$AG474*$AJ474,Paramètres!$F$30),0)</f>
        <v>0.003</v>
      </c>
      <c r="U474" s="19" t="n">
        <f aca="false" t="array" ref="U474:U474">IF(AND(INDEX(Profils!$O$5:$O$34,$AE474)&gt;0,INDEX(Profils!$AD$5:$AD$34,$AE474)&lt;=$AH474),ROUND(INDEX(Profils!$O$5:$O$34,$AE474)*Paramètres!$E$31*$AG474*$AJ474,Paramètres!$F$31),0)</f>
        <v>0</v>
      </c>
      <c r="V474" s="20" t="n">
        <f aca="false" t="array" ref="V474:V474">IF(AND(INDEX(Profils!$P$5:$P$34,$AE474)&gt;0,INDEX(Profils!$AE$5:$AE$34,$AE474)&lt;=$AH474),ROUND(INDEX(Profils!$P$5:$P$34,$AE474)*Paramètres!$E$32*$AG474*$AJ474,Paramètres!$F$32),0)</f>
        <v>0.001</v>
      </c>
      <c r="W474" s="20" t="n">
        <f aca="false" t="array" ref="W474:W474">IF(AND(INDEX(Profils!$Q$5:$Q$34,$AE474)&gt;0,INDEX(Profils!$AF$5:$AF$34,$AE474)&lt;=$AH474),ROUND(INDEX(Profils!$Q$5:$Q$34,$AE474)*Paramètres!$E$33*$AG474*$AJ474,Paramètres!$F$33),0)</f>
        <v>0</v>
      </c>
      <c r="X474" s="20" t="n">
        <f aca="false" t="array" ref="X474:X474">IF(AND(INDEX(Profils!$R$5:$R$34,$AE474)&gt;0,INDEX(Profils!$AG$5:$AG$34,$AE474)&lt;=$AH474),ROUND(INDEX(Profils!$R$5:$R$34,$AE474)*Paramètres!$E$34*$AG474*$AJ474,Paramètres!$F$34),0)</f>
        <v>0</v>
      </c>
      <c r="Y474" s="20" t="n">
        <f aca="false" t="array" ref="Y474:Y474">IF(AND(INDEX(Profils!$S$5:$S$34,$AE474)&gt;0,INDEX(Profils!$AH$5:$AH$34,$AE474)&lt;=$AH474),ROUND(INDEX(Profils!$S$5:$S$34,$AE474)*Paramètres!$E$35*$AG474*$AJ474,Paramètres!$F$35),0)</f>
        <v>0</v>
      </c>
      <c r="Z474" s="21" t="n">
        <f aca="false">ROUND(L474/Paramètres!$E$22+M474/Paramètres!$E$23+N474/Paramètres!$E$24+O474/Paramètres!$E$25+P474/Paramètres!$E$26+Q474/Paramètres!$E$27+R474/Paramètres!$E$28+S474/Paramètres!$E$29+T474/Paramètres!$E$30+U474/Paramètres!$E$31+V474/Paramètres!$E$32+W474/Paramètres!$E$33+X474/Paramètres!$E$34+Y474/Paramètres!$E$35,1)</f>
        <v>0.4</v>
      </c>
      <c r="AA474" s="22" t="s">
        <v>109</v>
      </c>
      <c r="AB474" s="22" t="s">
        <v>109</v>
      </c>
      <c r="AC474" s="15" t="str">
        <f aca="false">$E474</f>
        <v>cuivre</v>
      </c>
      <c r="AD474" s="16" t="n">
        <f aca="false" t="array" ref="AD474:AD474">IF($I474&gt;=$AI474,"Max",ROUND(Paramètres!$B$40*($I474+1)^Paramètres!$B$41*INDEX(Paramètres!$H$6:$H$12,$AF474),0))</f>
        <v>5</v>
      </c>
      <c r="AE474" s="23" t="n">
        <f aca="false">MATCH($B474&amp;"|"&amp;$C474,Profils!$A$5:$A$34,0)</f>
        <v>16</v>
      </c>
      <c r="AF474" s="23" t="n">
        <v>4</v>
      </c>
      <c r="AG474" s="24" t="n">
        <f aca="false" t="array" ref="AG474:AG474">INDEX(Paramètres!$C$6:$C$12,$AF474)</f>
        <v>1.75</v>
      </c>
      <c r="AH474" s="23" t="n">
        <f aca="false" t="array" ref="AH474:AH474">INDEX(Paramètres!$D$6:$D$12,$AF474)</f>
        <v>5</v>
      </c>
      <c r="AI474" s="23" t="n">
        <f aca="false" t="array" ref="AI474:AI474">INDEX(Matériaux!$C$16:$C$20,$D474)</f>
        <v>19</v>
      </c>
      <c r="AJ474" s="25" t="n">
        <f aca="false">Paramètres!$B$16+(1-Paramètres!$B$16)*(($J474-Paramètres!$B$14)/(Paramètres!$B$15-Paramètres!$B$14))^Paramètres!$B$17</f>
        <v>0.05</v>
      </c>
    </row>
    <row r="475" customFormat="false" ht="15.75" hidden="false" customHeight="true" outlineLevel="0" collapsed="false">
      <c r="A475" s="14" t="s">
        <v>591</v>
      </c>
      <c r="B475" s="15" t="s">
        <v>29</v>
      </c>
      <c r="C475" s="15" t="s">
        <v>273</v>
      </c>
      <c r="D475" s="16" t="n">
        <v>1</v>
      </c>
      <c r="E475" s="15" t="str">
        <f aca="false" t="array" ref="E475:E475">INDEX(Matériaux!$B$5:$F$12,MATCH(INDEX(Profils!$E$5:$E$34,$AE475),Matériaux!$A$5:$A$12,0),$D475)</f>
        <v>cuivre</v>
      </c>
      <c r="F475" s="29" t="s">
        <v>117</v>
      </c>
      <c r="G475" s="10" t="str">
        <f aca="false" t="array" ref="G475:G475">INDEX(Profils!$D$5:$D$34,$AE475)&amp;" en "&amp;$E475</f>
        <v>Anneau runique en cuivre</v>
      </c>
      <c r="H475" s="16" t="n">
        <f aca="false" t="array" ref="H475:H475">INDEX(Matériaux!$B$16:$B$20,$D475)</f>
        <v>1</v>
      </c>
      <c r="I475" s="16" t="n">
        <f aca="false">IF(ISNUMBER($C$3),MIN(MAX(0,ROUND($C$3,0)),$AI475),$AI475)</f>
        <v>0</v>
      </c>
      <c r="J475" s="18" t="n">
        <f aca="false">$H475+$I475</f>
        <v>1</v>
      </c>
      <c r="K475" s="15" t="s">
        <v>109</v>
      </c>
      <c r="L475" s="19" t="n">
        <f aca="false" t="array" ref="L475:L475">IF(AND(INDEX(Profils!$F$5:$F$34,$AE475)&gt;0,INDEX(Profils!$U$5:$U$34,$AE475)&lt;=$AH475),ROUND(INDEX(Profils!$F$5:$F$34,$AE475)*Paramètres!$E$22*$AG475*$AJ475,Paramètres!$F$22),0)</f>
        <v>2</v>
      </c>
      <c r="M475" s="19" t="n">
        <f aca="false" t="array" ref="M475:M475">IF(AND(INDEX(Profils!$G$5:$G$34,$AE475)&gt;0,INDEX(Profils!$V$5:$V$34,$AE475)&lt;=$AH475),ROUND(INDEX(Profils!$G$5:$G$34,$AE475)*Paramètres!$E$23*$AG475*$AJ475,Paramètres!$F$23),0)</f>
        <v>0</v>
      </c>
      <c r="N475" s="19" t="n">
        <f aca="false" t="array" ref="N475:N475">IF(AND(INDEX(Profils!$H$5:$H$34,$AE475)&gt;0,INDEX(Profils!$W$5:$W$34,$AE475)&lt;=$AH475),ROUND(INDEX(Profils!$H$5:$H$34,$AE475)*Paramètres!$E$24*$AG475*$AJ475,Paramètres!$F$24),0)</f>
        <v>0</v>
      </c>
      <c r="O475" s="19" t="n">
        <f aca="false" t="array" ref="O475:O475">IF(AND(INDEX(Profils!$I$5:$I$34,$AE475)&gt;0,INDEX(Profils!$X$5:$X$34,$AE475)&lt;=$AH475),ROUND(INDEX(Profils!$I$5:$I$34,$AE475)*Paramètres!$E$25*$AG475*$AJ475,Paramètres!$F$25),0)</f>
        <v>1</v>
      </c>
      <c r="P475" s="19" t="n">
        <f aca="false" t="array" ref="P475:P475">IF(AND(INDEX(Profils!$J$5:$J$34,$AE475)&gt;0,INDEX(Profils!$Y$5:$Y$34,$AE475)&lt;=$AH475),ROUND(INDEX(Profils!$J$5:$J$34,$AE475)*Paramètres!$E$26*$AG475*$AJ475,Paramètres!$F$26),0)</f>
        <v>0</v>
      </c>
      <c r="Q475" s="19" t="n">
        <f aca="false" t="array" ref="Q475:Q475">IF(AND(INDEX(Profils!$K$5:$K$34,$AE475)&gt;0,INDEX(Profils!$Z$5:$Z$34,$AE475)&lt;=$AH475),ROUND(INDEX(Profils!$K$5:$K$34,$AE475)*Paramètres!$E$27*$AG475*$AJ475,Paramètres!$F$27),0)</f>
        <v>0</v>
      </c>
      <c r="R475" s="20" t="n">
        <f aca="false" t="array" ref="R475:R475">IF(AND(INDEX(Profils!$L$5:$L$34,$AE475)&gt;0,INDEX(Profils!$AA$5:$AA$34,$AE475)&lt;=$AH475),ROUND(INDEX(Profils!$L$5:$L$34,$AE475)*Paramètres!$E$28*$AG475*$AJ475,Paramètres!$F$28),0)</f>
        <v>0.001</v>
      </c>
      <c r="S475" s="20" t="n">
        <f aca="false" t="array" ref="S475:S475">IF(AND(INDEX(Profils!$M$5:$M$34,$AE475)&gt;0,INDEX(Profils!$AB$5:$AB$34,$AE475)&lt;=$AH475),ROUND(INDEX(Profils!$M$5:$M$34,$AE475)*Paramètres!$E$29*$AG475*$AJ475,Paramètres!$F$29),0)</f>
        <v>0.001</v>
      </c>
      <c r="T475" s="20" t="n">
        <f aca="false" t="array" ref="T475:T475">IF(AND(INDEX(Profils!$N$5:$N$34,$AE475)&gt;0,INDEX(Profils!$AC$5:$AC$34,$AE475)&lt;=$AH475),ROUND(INDEX(Profils!$N$5:$N$34,$AE475)*Paramètres!$E$30*$AG475*$AJ475,Paramètres!$F$30),0)</f>
        <v>0.003</v>
      </c>
      <c r="U475" s="19" t="n">
        <f aca="false" t="array" ref="U475:U475">IF(AND(INDEX(Profils!$O$5:$O$34,$AE475)&gt;0,INDEX(Profils!$AD$5:$AD$34,$AE475)&lt;=$AH475),ROUND(INDEX(Profils!$O$5:$O$34,$AE475)*Paramètres!$E$31*$AG475*$AJ475,Paramètres!$F$31),0)</f>
        <v>0</v>
      </c>
      <c r="V475" s="20" t="n">
        <f aca="false" t="array" ref="V475:V475">IF(AND(INDEX(Profils!$P$5:$P$34,$AE475)&gt;0,INDEX(Profils!$AE$5:$AE$34,$AE475)&lt;=$AH475),ROUND(INDEX(Profils!$P$5:$P$34,$AE475)*Paramètres!$E$32*$AG475*$AJ475,Paramètres!$F$32),0)</f>
        <v>0.002</v>
      </c>
      <c r="W475" s="20" t="n">
        <f aca="false" t="array" ref="W475:W475">IF(AND(INDEX(Profils!$Q$5:$Q$34,$AE475)&gt;0,INDEX(Profils!$AF$5:$AF$34,$AE475)&lt;=$AH475),ROUND(INDEX(Profils!$Q$5:$Q$34,$AE475)*Paramètres!$E$33*$AG475*$AJ475,Paramètres!$F$33),0)</f>
        <v>0</v>
      </c>
      <c r="X475" s="20" t="n">
        <f aca="false" t="array" ref="X475:X475">IF(AND(INDEX(Profils!$R$5:$R$34,$AE475)&gt;0,INDEX(Profils!$AG$5:$AG$34,$AE475)&lt;=$AH475),ROUND(INDEX(Profils!$R$5:$R$34,$AE475)*Paramètres!$E$34*$AG475*$AJ475,Paramètres!$F$34),0)</f>
        <v>0</v>
      </c>
      <c r="Y475" s="20" t="n">
        <f aca="false" t="array" ref="Y475:Y475">IF(AND(INDEX(Profils!$S$5:$S$34,$AE475)&gt;0,INDEX(Profils!$AH$5:$AH$34,$AE475)&lt;=$AH475),ROUND(INDEX(Profils!$S$5:$S$34,$AE475)*Paramètres!$E$35*$AG475*$AJ475,Paramètres!$F$35),0)</f>
        <v>0</v>
      </c>
      <c r="Z475" s="21" t="n">
        <f aca="false">ROUND(L475/Paramètres!$E$22+M475/Paramètres!$E$23+N475/Paramètres!$E$24+O475/Paramètres!$E$25+P475/Paramètres!$E$26+Q475/Paramètres!$E$27+R475/Paramètres!$E$28+S475/Paramètres!$E$29+T475/Paramètres!$E$30+U475/Paramètres!$E$31+V475/Paramètres!$E$32+W475/Paramètres!$E$33+X475/Paramètres!$E$34+Y475/Paramètres!$E$35,1)</f>
        <v>0.5</v>
      </c>
      <c r="AA475" s="22" t="s">
        <v>109</v>
      </c>
      <c r="AB475" s="22" t="s">
        <v>109</v>
      </c>
      <c r="AC475" s="15" t="str">
        <f aca="false">$E475</f>
        <v>cuivre</v>
      </c>
      <c r="AD475" s="16" t="n">
        <f aca="false" t="array" ref="AD475:AD475">IF($I475&gt;=$AI475,"Max",ROUND(Paramètres!$B$40*($I475+1)^Paramètres!$B$41*INDEX(Paramètres!$H$6:$H$12,$AF475),0))</f>
        <v>6</v>
      </c>
      <c r="AE475" s="23" t="n">
        <f aca="false">MATCH($B475&amp;"|"&amp;$C475,Profils!$A$5:$A$34,0)</f>
        <v>16</v>
      </c>
      <c r="AF475" s="23" t="n">
        <v>5</v>
      </c>
      <c r="AG475" s="24" t="n">
        <f aca="false" t="array" ref="AG475:AG475">INDEX(Paramètres!$C$6:$C$12,$AF475)</f>
        <v>2.1</v>
      </c>
      <c r="AH475" s="23" t="n">
        <f aca="false" t="array" ref="AH475:AH475">INDEX(Paramètres!$D$6:$D$12,$AF475)</f>
        <v>6</v>
      </c>
      <c r="AI475" s="23" t="n">
        <f aca="false" t="array" ref="AI475:AI475">INDEX(Matériaux!$C$16:$C$20,$D475)</f>
        <v>19</v>
      </c>
      <c r="AJ475" s="25" t="n">
        <f aca="false">Paramètres!$B$16+(1-Paramètres!$B$16)*(($J475-Paramètres!$B$14)/(Paramètres!$B$15-Paramètres!$B$14))^Paramètres!$B$17</f>
        <v>0.05</v>
      </c>
    </row>
    <row r="476" customFormat="false" ht="15.75" hidden="false" customHeight="true" outlineLevel="0" collapsed="false">
      <c r="A476" s="14" t="s">
        <v>592</v>
      </c>
      <c r="B476" s="15" t="s">
        <v>29</v>
      </c>
      <c r="C476" s="15" t="s">
        <v>273</v>
      </c>
      <c r="D476" s="16" t="n">
        <v>1</v>
      </c>
      <c r="E476" s="15" t="str">
        <f aca="false" t="array" ref="E476:E476">INDEX(Matériaux!$B$5:$F$12,MATCH(INDEX(Profils!$E$5:$E$34,$AE476),Matériaux!$A$5:$A$12,0),$D476)</f>
        <v>cuivre</v>
      </c>
      <c r="F476" s="30" t="s">
        <v>119</v>
      </c>
      <c r="G476" s="10" t="str">
        <f aca="false" t="array" ref="G476:G476">INDEX(Profils!$D$5:$D$34,$AE476)&amp;" en "&amp;$E476</f>
        <v>Anneau runique en cuivre</v>
      </c>
      <c r="H476" s="16" t="n">
        <f aca="false" t="array" ref="H476:H476">INDEX(Matériaux!$B$16:$B$20,$D476)</f>
        <v>1</v>
      </c>
      <c r="I476" s="16" t="n">
        <f aca="false">IF(ISNUMBER($C$3),MIN(MAX(0,ROUND($C$3,0)),$AI476),$AI476)</f>
        <v>0</v>
      </c>
      <c r="J476" s="18" t="n">
        <f aca="false">$H476+$I476</f>
        <v>1</v>
      </c>
      <c r="K476" s="15" t="s">
        <v>109</v>
      </c>
      <c r="L476" s="19" t="n">
        <f aca="false" t="array" ref="L476:L476">IF(AND(INDEX(Profils!$F$5:$F$34,$AE476)&gt;0,INDEX(Profils!$U$5:$U$34,$AE476)&lt;=$AH476),ROUND(INDEX(Profils!$F$5:$F$34,$AE476)*Paramètres!$E$22*$AG476*$AJ476,Paramètres!$F$22),0)</f>
        <v>2</v>
      </c>
      <c r="M476" s="19" t="n">
        <f aca="false" t="array" ref="M476:M476">IF(AND(INDEX(Profils!$G$5:$G$34,$AE476)&gt;0,INDEX(Profils!$V$5:$V$34,$AE476)&lt;=$AH476),ROUND(INDEX(Profils!$G$5:$G$34,$AE476)*Paramètres!$E$23*$AG476*$AJ476,Paramètres!$F$23),0)</f>
        <v>0</v>
      </c>
      <c r="N476" s="19" t="n">
        <f aca="false" t="array" ref="N476:N476">IF(AND(INDEX(Profils!$H$5:$H$34,$AE476)&gt;0,INDEX(Profils!$W$5:$W$34,$AE476)&lt;=$AH476),ROUND(INDEX(Profils!$H$5:$H$34,$AE476)*Paramètres!$E$24*$AG476*$AJ476,Paramètres!$F$24),0)</f>
        <v>0</v>
      </c>
      <c r="O476" s="19" t="n">
        <f aca="false" t="array" ref="O476:O476">IF(AND(INDEX(Profils!$I$5:$I$34,$AE476)&gt;0,INDEX(Profils!$X$5:$X$34,$AE476)&lt;=$AH476),ROUND(INDEX(Profils!$I$5:$I$34,$AE476)*Paramètres!$E$25*$AG476*$AJ476,Paramètres!$F$25),0)</f>
        <v>1</v>
      </c>
      <c r="P476" s="19" t="n">
        <f aca="false" t="array" ref="P476:P476">IF(AND(INDEX(Profils!$J$5:$J$34,$AE476)&gt;0,INDEX(Profils!$Y$5:$Y$34,$AE476)&lt;=$AH476),ROUND(INDEX(Profils!$J$5:$J$34,$AE476)*Paramètres!$E$26*$AG476*$AJ476,Paramètres!$F$26),0)</f>
        <v>1</v>
      </c>
      <c r="Q476" s="19" t="n">
        <f aca="false" t="array" ref="Q476:Q476">IF(AND(INDEX(Profils!$K$5:$K$34,$AE476)&gt;0,INDEX(Profils!$Z$5:$Z$34,$AE476)&lt;=$AH476),ROUND(INDEX(Profils!$K$5:$K$34,$AE476)*Paramètres!$E$27*$AG476*$AJ476,Paramètres!$F$27),0)</f>
        <v>0</v>
      </c>
      <c r="R476" s="20" t="n">
        <f aca="false" t="array" ref="R476:R476">IF(AND(INDEX(Profils!$L$5:$L$34,$AE476)&gt;0,INDEX(Profils!$AA$5:$AA$34,$AE476)&lt;=$AH476),ROUND(INDEX(Profils!$L$5:$L$34,$AE476)*Paramètres!$E$28*$AG476*$AJ476,Paramètres!$F$28),0)</f>
        <v>0.001</v>
      </c>
      <c r="S476" s="20" t="n">
        <f aca="false" t="array" ref="S476:S476">IF(AND(INDEX(Profils!$M$5:$M$34,$AE476)&gt;0,INDEX(Profils!$AB$5:$AB$34,$AE476)&lt;=$AH476),ROUND(INDEX(Profils!$M$5:$M$34,$AE476)*Paramètres!$E$29*$AG476*$AJ476,Paramètres!$F$29),0)</f>
        <v>0.001</v>
      </c>
      <c r="T476" s="20" t="n">
        <f aca="false" t="array" ref="T476:T476">IF(AND(INDEX(Profils!$N$5:$N$34,$AE476)&gt;0,INDEX(Profils!$AC$5:$AC$34,$AE476)&lt;=$AH476),ROUND(INDEX(Profils!$N$5:$N$34,$AE476)*Paramètres!$E$30*$AG476*$AJ476,Paramètres!$F$30),0)</f>
        <v>0.004</v>
      </c>
      <c r="U476" s="19" t="n">
        <f aca="false" t="array" ref="U476:U476">IF(AND(INDEX(Profils!$O$5:$O$34,$AE476)&gt;0,INDEX(Profils!$AD$5:$AD$34,$AE476)&lt;=$AH476),ROUND(INDEX(Profils!$O$5:$O$34,$AE476)*Paramètres!$E$31*$AG476*$AJ476,Paramètres!$F$31),0)</f>
        <v>0</v>
      </c>
      <c r="V476" s="20" t="n">
        <f aca="false" t="array" ref="V476:V476">IF(AND(INDEX(Profils!$P$5:$P$34,$AE476)&gt;0,INDEX(Profils!$AE$5:$AE$34,$AE476)&lt;=$AH476),ROUND(INDEX(Profils!$P$5:$P$34,$AE476)*Paramètres!$E$32*$AG476*$AJ476,Paramètres!$F$32),0)</f>
        <v>0.002</v>
      </c>
      <c r="W476" s="20" t="n">
        <f aca="false" t="array" ref="W476:W476">IF(AND(INDEX(Profils!$Q$5:$Q$34,$AE476)&gt;0,INDEX(Profils!$AF$5:$AF$34,$AE476)&lt;=$AH476),ROUND(INDEX(Profils!$Q$5:$Q$34,$AE476)*Paramètres!$E$33*$AG476*$AJ476,Paramètres!$F$33),0)</f>
        <v>0</v>
      </c>
      <c r="X476" s="20" t="n">
        <f aca="false" t="array" ref="X476:X476">IF(AND(INDEX(Profils!$R$5:$R$34,$AE476)&gt;0,INDEX(Profils!$AG$5:$AG$34,$AE476)&lt;=$AH476),ROUND(INDEX(Profils!$R$5:$R$34,$AE476)*Paramètres!$E$34*$AG476*$AJ476,Paramètres!$F$34),0)</f>
        <v>0</v>
      </c>
      <c r="Y476" s="20" t="n">
        <f aca="false" t="array" ref="Y476:Y476">IF(AND(INDEX(Profils!$S$5:$S$34,$AE476)&gt;0,INDEX(Profils!$AH$5:$AH$34,$AE476)&lt;=$AH476),ROUND(INDEX(Profils!$S$5:$S$34,$AE476)*Paramètres!$E$35*$AG476*$AJ476,Paramètres!$F$35),0)</f>
        <v>0</v>
      </c>
      <c r="Z476" s="21" t="n">
        <f aca="false">ROUND(L476/Paramètres!$E$22+M476/Paramètres!$E$23+N476/Paramètres!$E$24+O476/Paramètres!$E$25+P476/Paramètres!$E$26+Q476/Paramètres!$E$27+R476/Paramètres!$E$28+S476/Paramètres!$E$29+T476/Paramètres!$E$30+U476/Paramètres!$E$31+V476/Paramètres!$E$32+W476/Paramètres!$E$33+X476/Paramètres!$E$34+Y476/Paramètres!$E$35,1)</f>
        <v>0.6</v>
      </c>
      <c r="AA476" s="22" t="s">
        <v>109</v>
      </c>
      <c r="AB476" s="22" t="s">
        <v>109</v>
      </c>
      <c r="AC476" s="15" t="str">
        <f aca="false">$E476</f>
        <v>cuivre</v>
      </c>
      <c r="AD476" s="16" t="n">
        <f aca="false" t="array" ref="AD476:AD476">IF($I476&gt;=$AI476,"Max",ROUND(Paramètres!$B$40*($I476+1)^Paramètres!$B$41*INDEX(Paramètres!$H$6:$H$12,$AF476),0))</f>
        <v>8</v>
      </c>
      <c r="AE476" s="23" t="n">
        <f aca="false">MATCH($B476&amp;"|"&amp;$C476,Profils!$A$5:$A$34,0)</f>
        <v>16</v>
      </c>
      <c r="AF476" s="23" t="n">
        <v>6</v>
      </c>
      <c r="AG476" s="24" t="n">
        <f aca="false" t="array" ref="AG476:AG476">INDEX(Paramètres!$C$6:$C$12,$AF476)</f>
        <v>2.4</v>
      </c>
      <c r="AH476" s="23" t="n">
        <f aca="false" t="array" ref="AH476:AH476">INDEX(Paramètres!$D$6:$D$12,$AF476)</f>
        <v>7</v>
      </c>
      <c r="AI476" s="23" t="n">
        <f aca="false" t="array" ref="AI476:AI476">INDEX(Matériaux!$C$16:$C$20,$D476)</f>
        <v>19</v>
      </c>
      <c r="AJ476" s="25" t="n">
        <f aca="false">Paramètres!$B$16+(1-Paramètres!$B$16)*(($J476-Paramètres!$B$14)/(Paramètres!$B$15-Paramètres!$B$14))^Paramètres!$B$17</f>
        <v>0.05</v>
      </c>
    </row>
    <row r="477" customFormat="false" ht="15.75" hidden="false" customHeight="true" outlineLevel="0" collapsed="false">
      <c r="A477" s="14" t="s">
        <v>593</v>
      </c>
      <c r="B477" s="15" t="s">
        <v>29</v>
      </c>
      <c r="C477" s="15" t="s">
        <v>273</v>
      </c>
      <c r="D477" s="16" t="n">
        <v>2</v>
      </c>
      <c r="E477" s="15" t="str">
        <f aca="false" t="array" ref="E477:E477">INDEX(Matériaux!$B$5:$F$12,MATCH(INDEX(Profils!$E$5:$E$34,$AE477),Matériaux!$A$5:$A$12,0),$D477)</f>
        <v>argent</v>
      </c>
      <c r="F477" s="17" t="s">
        <v>108</v>
      </c>
      <c r="G477" s="10" t="str">
        <f aca="false" t="array" ref="G477:G477">INDEX(Profils!$D$5:$D$34,$AE477)&amp;" en "&amp;$E477</f>
        <v>Anneau runique en argent</v>
      </c>
      <c r="H477" s="16" t="n">
        <f aca="false" t="array" ref="H477:H477">INDEX(Matériaux!$B$16:$B$20,$D477)</f>
        <v>15</v>
      </c>
      <c r="I477" s="16" t="n">
        <f aca="false">IF(ISNUMBER($C$3),MIN(MAX(0,ROUND($C$3,0)),$AI477),$AI477)</f>
        <v>0</v>
      </c>
      <c r="J477" s="18" t="n">
        <f aca="false">$H477+$I477</f>
        <v>15</v>
      </c>
      <c r="K477" s="15" t="s">
        <v>109</v>
      </c>
      <c r="L477" s="19" t="n">
        <f aca="false" t="array" ref="L477:L477">IF(AND(INDEX(Profils!$F$5:$F$34,$AE477)&gt;0,INDEX(Profils!$U$5:$U$34,$AE477)&lt;=$AH477),ROUND(INDEX(Profils!$F$5:$F$34,$AE477)*Paramètres!$E$22*$AG477*$AJ477,Paramètres!$F$22),0)</f>
        <v>0</v>
      </c>
      <c r="M477" s="19" t="n">
        <f aca="false" t="array" ref="M477:M477">IF(AND(INDEX(Profils!$G$5:$G$34,$AE477)&gt;0,INDEX(Profils!$V$5:$V$34,$AE477)&lt;=$AH477),ROUND(INDEX(Profils!$G$5:$G$34,$AE477)*Paramètres!$E$23*$AG477*$AJ477,Paramètres!$F$23),0)</f>
        <v>0</v>
      </c>
      <c r="N477" s="19" t="n">
        <f aca="false" t="array" ref="N477:N477">IF(AND(INDEX(Profils!$H$5:$H$34,$AE477)&gt;0,INDEX(Profils!$W$5:$W$34,$AE477)&lt;=$AH477),ROUND(INDEX(Profils!$H$5:$H$34,$AE477)*Paramètres!$E$24*$AG477*$AJ477,Paramètres!$F$24),0)</f>
        <v>0</v>
      </c>
      <c r="O477" s="19" t="n">
        <f aca="false" t="array" ref="O477:O477">IF(AND(INDEX(Profils!$I$5:$I$34,$AE477)&gt;0,INDEX(Profils!$X$5:$X$34,$AE477)&lt;=$AH477),ROUND(INDEX(Profils!$I$5:$I$34,$AE477)*Paramètres!$E$25*$AG477*$AJ477,Paramètres!$F$25),0)</f>
        <v>0</v>
      </c>
      <c r="P477" s="19" t="n">
        <f aca="false" t="array" ref="P477:P477">IF(AND(INDEX(Profils!$J$5:$J$34,$AE477)&gt;0,INDEX(Profils!$Y$5:$Y$34,$AE477)&lt;=$AH477),ROUND(INDEX(Profils!$J$5:$J$34,$AE477)*Paramètres!$E$26*$AG477*$AJ477,Paramètres!$F$26),0)</f>
        <v>0</v>
      </c>
      <c r="Q477" s="19" t="n">
        <f aca="false" t="array" ref="Q477:Q477">IF(AND(INDEX(Profils!$K$5:$K$34,$AE477)&gt;0,INDEX(Profils!$Z$5:$Z$34,$AE477)&lt;=$AH477),ROUND(INDEX(Profils!$K$5:$K$34,$AE477)*Paramètres!$E$27*$AG477*$AJ477,Paramètres!$F$27),0)</f>
        <v>0</v>
      </c>
      <c r="R477" s="20" t="n">
        <f aca="false" t="array" ref="R477:R477">IF(AND(INDEX(Profils!$L$5:$L$34,$AE477)&gt;0,INDEX(Profils!$AA$5:$AA$34,$AE477)&lt;=$AH477),ROUND(INDEX(Profils!$L$5:$L$34,$AE477)*Paramètres!$E$28*$AG477*$AJ477,Paramètres!$F$28),0)</f>
        <v>0</v>
      </c>
      <c r="S477" s="20" t="n">
        <f aca="false" t="array" ref="S477:S477">IF(AND(INDEX(Profils!$M$5:$M$34,$AE477)&gt;0,INDEX(Profils!$AB$5:$AB$34,$AE477)&lt;=$AH477),ROUND(INDEX(Profils!$M$5:$M$34,$AE477)*Paramètres!$E$29*$AG477*$AJ477,Paramètres!$F$29),0)</f>
        <v>0.002</v>
      </c>
      <c r="T477" s="20" t="n">
        <f aca="false" t="array" ref="T477:T477">IF(AND(INDEX(Profils!$N$5:$N$34,$AE477)&gt;0,INDEX(Profils!$AC$5:$AC$34,$AE477)&lt;=$AH477),ROUND(INDEX(Profils!$N$5:$N$34,$AE477)*Paramètres!$E$30*$AG477*$AJ477,Paramètres!$F$30),0)</f>
        <v>0.004</v>
      </c>
      <c r="U477" s="19" t="n">
        <f aca="false" t="array" ref="U477:U477">IF(AND(INDEX(Profils!$O$5:$O$34,$AE477)&gt;0,INDEX(Profils!$AD$5:$AD$34,$AE477)&lt;=$AH477),ROUND(INDEX(Profils!$O$5:$O$34,$AE477)*Paramètres!$E$31*$AG477*$AJ477,Paramètres!$F$31),0)</f>
        <v>0</v>
      </c>
      <c r="V477" s="20" t="n">
        <f aca="false" t="array" ref="V477:V477">IF(AND(INDEX(Profils!$P$5:$P$34,$AE477)&gt;0,INDEX(Profils!$AE$5:$AE$34,$AE477)&lt;=$AH477),ROUND(INDEX(Profils!$P$5:$P$34,$AE477)*Paramètres!$E$32*$AG477*$AJ477,Paramètres!$F$32),0)</f>
        <v>0</v>
      </c>
      <c r="W477" s="20" t="n">
        <f aca="false" t="array" ref="W477:W477">IF(AND(INDEX(Profils!$Q$5:$Q$34,$AE477)&gt;0,INDEX(Profils!$AF$5:$AF$34,$AE477)&lt;=$AH477),ROUND(INDEX(Profils!$Q$5:$Q$34,$AE477)*Paramètres!$E$33*$AG477*$AJ477,Paramètres!$F$33),0)</f>
        <v>0</v>
      </c>
      <c r="X477" s="20" t="n">
        <f aca="false" t="array" ref="X477:X477">IF(AND(INDEX(Profils!$R$5:$R$34,$AE477)&gt;0,INDEX(Profils!$AG$5:$AG$34,$AE477)&lt;=$AH477),ROUND(INDEX(Profils!$R$5:$R$34,$AE477)*Paramètres!$E$34*$AG477*$AJ477,Paramètres!$F$34),0)</f>
        <v>0</v>
      </c>
      <c r="Y477" s="20" t="n">
        <f aca="false" t="array" ref="Y477:Y477">IF(AND(INDEX(Profils!$S$5:$S$34,$AE477)&gt;0,INDEX(Profils!$AH$5:$AH$34,$AE477)&lt;=$AH477),ROUND(INDEX(Profils!$S$5:$S$34,$AE477)*Paramètres!$E$35*$AG477*$AJ477,Paramètres!$F$35),0)</f>
        <v>0</v>
      </c>
      <c r="Z477" s="21" t="n">
        <f aca="false">ROUND(L477/Paramètres!$E$22+M477/Paramètres!$E$23+N477/Paramètres!$E$24+O477/Paramètres!$E$25+P477/Paramètres!$E$26+Q477/Paramètres!$E$27+R477/Paramètres!$E$28+S477/Paramètres!$E$29+T477/Paramètres!$E$30+U477/Paramètres!$E$31+V477/Paramètres!$E$32+W477/Paramètres!$E$33+X477/Paramètres!$E$34+Y477/Paramètres!$E$35,1)</f>
        <v>0.3</v>
      </c>
      <c r="AA477" s="22" t="s">
        <v>109</v>
      </c>
      <c r="AB477" s="22" t="s">
        <v>109</v>
      </c>
      <c r="AC477" s="15" t="str">
        <f aca="false">$E477</f>
        <v>argent</v>
      </c>
      <c r="AD477" s="16" t="n">
        <f aca="false" t="array" ref="AD477:AD477">IF($I477&gt;=$AI477,"Max",ROUND(Paramètres!$B$40*($I477+1)^Paramètres!$B$41*INDEX(Paramètres!$H$6:$H$12,$AF477),0))</f>
        <v>3</v>
      </c>
      <c r="AE477" s="23" t="n">
        <f aca="false">MATCH($B477&amp;"|"&amp;$C477,Profils!$A$5:$A$34,0)</f>
        <v>16</v>
      </c>
      <c r="AF477" s="23" t="n">
        <v>1</v>
      </c>
      <c r="AG477" s="24" t="n">
        <f aca="false" t="array" ref="AG477:AG477">INDEX(Paramètres!$C$6:$C$12,$AF477)</f>
        <v>1</v>
      </c>
      <c r="AH477" s="23" t="n">
        <f aca="false" t="array" ref="AH477:AH477">INDEX(Paramètres!$D$6:$D$12,$AF477)</f>
        <v>2</v>
      </c>
      <c r="AI477" s="23" t="n">
        <f aca="false" t="array" ref="AI477:AI477">INDEX(Matériaux!$C$16:$C$20,$D477)</f>
        <v>20</v>
      </c>
      <c r="AJ477" s="25" t="n">
        <f aca="false">Paramètres!$B$16+(1-Paramètres!$B$16)*(($J477-Paramètres!$B$14)/(Paramètres!$B$15-Paramètres!$B$14))^Paramètres!$B$17</f>
        <v>0.140847925475674</v>
      </c>
    </row>
    <row r="478" customFormat="false" ht="15.75" hidden="false" customHeight="true" outlineLevel="0" collapsed="false">
      <c r="A478" s="14" t="s">
        <v>594</v>
      </c>
      <c r="B478" s="15" t="s">
        <v>29</v>
      </c>
      <c r="C478" s="15" t="s">
        <v>273</v>
      </c>
      <c r="D478" s="16" t="n">
        <v>2</v>
      </c>
      <c r="E478" s="15" t="str">
        <f aca="false" t="array" ref="E478:E478">INDEX(Matériaux!$B$5:$F$12,MATCH(INDEX(Profils!$E$5:$E$34,$AE478),Matériaux!$A$5:$A$12,0),$D478)</f>
        <v>argent</v>
      </c>
      <c r="F478" s="26" t="s">
        <v>111</v>
      </c>
      <c r="G478" s="10" t="str">
        <f aca="false" t="array" ref="G478:G478">INDEX(Profils!$D$5:$D$34,$AE478)&amp;" en "&amp;$E478</f>
        <v>Anneau runique en argent</v>
      </c>
      <c r="H478" s="16" t="n">
        <f aca="false" t="array" ref="H478:H478">INDEX(Matériaux!$B$16:$B$20,$D478)</f>
        <v>15</v>
      </c>
      <c r="I478" s="16" t="n">
        <f aca="false">IF(ISNUMBER($C$3),MIN(MAX(0,ROUND($C$3,0)),$AI478),$AI478)</f>
        <v>0</v>
      </c>
      <c r="J478" s="18" t="n">
        <f aca="false">$H478+$I478</f>
        <v>15</v>
      </c>
      <c r="K478" s="15" t="s">
        <v>109</v>
      </c>
      <c r="L478" s="19" t="n">
        <f aca="false" t="array" ref="L478:L478">IF(AND(INDEX(Profils!$F$5:$F$34,$AE478)&gt;0,INDEX(Profils!$U$5:$U$34,$AE478)&lt;=$AH478),ROUND(INDEX(Profils!$F$5:$F$34,$AE478)*Paramètres!$E$22*$AG478*$AJ478,Paramètres!$F$22),0)</f>
        <v>0</v>
      </c>
      <c r="M478" s="19" t="n">
        <f aca="false" t="array" ref="M478:M478">IF(AND(INDEX(Profils!$G$5:$G$34,$AE478)&gt;0,INDEX(Profils!$V$5:$V$34,$AE478)&lt;=$AH478),ROUND(INDEX(Profils!$G$5:$G$34,$AE478)*Paramètres!$E$23*$AG478*$AJ478,Paramètres!$F$23),0)</f>
        <v>0</v>
      </c>
      <c r="N478" s="19" t="n">
        <f aca="false" t="array" ref="N478:N478">IF(AND(INDEX(Profils!$H$5:$H$34,$AE478)&gt;0,INDEX(Profils!$W$5:$W$34,$AE478)&lt;=$AH478),ROUND(INDEX(Profils!$H$5:$H$34,$AE478)*Paramètres!$E$24*$AG478*$AJ478,Paramètres!$F$24),0)</f>
        <v>0</v>
      </c>
      <c r="O478" s="19" t="n">
        <f aca="false" t="array" ref="O478:O478">IF(AND(INDEX(Profils!$I$5:$I$34,$AE478)&gt;0,INDEX(Profils!$X$5:$X$34,$AE478)&lt;=$AH478),ROUND(INDEX(Profils!$I$5:$I$34,$AE478)*Paramètres!$E$25*$AG478*$AJ478,Paramètres!$F$25),0)</f>
        <v>0</v>
      </c>
      <c r="P478" s="19" t="n">
        <f aca="false" t="array" ref="P478:P478">IF(AND(INDEX(Profils!$J$5:$J$34,$AE478)&gt;0,INDEX(Profils!$Y$5:$Y$34,$AE478)&lt;=$AH478),ROUND(INDEX(Profils!$J$5:$J$34,$AE478)*Paramètres!$E$26*$AG478*$AJ478,Paramètres!$F$26),0)</f>
        <v>0</v>
      </c>
      <c r="Q478" s="19" t="n">
        <f aca="false" t="array" ref="Q478:Q478">IF(AND(INDEX(Profils!$K$5:$K$34,$AE478)&gt;0,INDEX(Profils!$Z$5:$Z$34,$AE478)&lt;=$AH478),ROUND(INDEX(Profils!$K$5:$K$34,$AE478)*Paramètres!$E$27*$AG478*$AJ478,Paramètres!$F$27),0)</f>
        <v>0</v>
      </c>
      <c r="R478" s="20" t="n">
        <f aca="false" t="array" ref="R478:R478">IF(AND(INDEX(Profils!$L$5:$L$34,$AE478)&gt;0,INDEX(Profils!$AA$5:$AA$34,$AE478)&lt;=$AH478),ROUND(INDEX(Profils!$L$5:$L$34,$AE478)*Paramètres!$E$28*$AG478*$AJ478,Paramètres!$F$28),0)</f>
        <v>0</v>
      </c>
      <c r="S478" s="20" t="n">
        <f aca="false" t="array" ref="S478:S478">IF(AND(INDEX(Profils!$M$5:$M$34,$AE478)&gt;0,INDEX(Profils!$AB$5:$AB$34,$AE478)&lt;=$AH478),ROUND(INDEX(Profils!$M$5:$M$34,$AE478)*Paramètres!$E$29*$AG478*$AJ478,Paramètres!$F$29),0)</f>
        <v>0.002</v>
      </c>
      <c r="T478" s="20" t="n">
        <f aca="false" t="array" ref="T478:T478">IF(AND(INDEX(Profils!$N$5:$N$34,$AE478)&gt;0,INDEX(Profils!$AC$5:$AC$34,$AE478)&lt;=$AH478),ROUND(INDEX(Profils!$N$5:$N$34,$AE478)*Paramètres!$E$30*$AG478*$AJ478,Paramètres!$F$30),0)</f>
        <v>0.005</v>
      </c>
      <c r="U478" s="19" t="n">
        <f aca="false" t="array" ref="U478:U478">IF(AND(INDEX(Profils!$O$5:$O$34,$AE478)&gt;0,INDEX(Profils!$AD$5:$AD$34,$AE478)&lt;=$AH478),ROUND(INDEX(Profils!$O$5:$O$34,$AE478)*Paramètres!$E$31*$AG478*$AJ478,Paramètres!$F$31),0)</f>
        <v>0</v>
      </c>
      <c r="V478" s="20" t="n">
        <f aca="false" t="array" ref="V478:V478">IF(AND(INDEX(Profils!$P$5:$P$34,$AE478)&gt;0,INDEX(Profils!$AE$5:$AE$34,$AE478)&lt;=$AH478),ROUND(INDEX(Profils!$P$5:$P$34,$AE478)*Paramètres!$E$32*$AG478*$AJ478,Paramètres!$F$32),0)</f>
        <v>0.003</v>
      </c>
      <c r="W478" s="20" t="n">
        <f aca="false" t="array" ref="W478:W478">IF(AND(INDEX(Profils!$Q$5:$Q$34,$AE478)&gt;0,INDEX(Profils!$AF$5:$AF$34,$AE478)&lt;=$AH478),ROUND(INDEX(Profils!$Q$5:$Q$34,$AE478)*Paramètres!$E$33*$AG478*$AJ478,Paramètres!$F$33),0)</f>
        <v>0</v>
      </c>
      <c r="X478" s="20" t="n">
        <f aca="false" t="array" ref="X478:X478">IF(AND(INDEX(Profils!$R$5:$R$34,$AE478)&gt;0,INDEX(Profils!$AG$5:$AG$34,$AE478)&lt;=$AH478),ROUND(INDEX(Profils!$R$5:$R$34,$AE478)*Paramètres!$E$34*$AG478*$AJ478,Paramètres!$F$34),0)</f>
        <v>0</v>
      </c>
      <c r="Y478" s="20" t="n">
        <f aca="false" t="array" ref="Y478:Y478">IF(AND(INDEX(Profils!$S$5:$S$34,$AE478)&gt;0,INDEX(Profils!$AH$5:$AH$34,$AE478)&lt;=$AH478),ROUND(INDEX(Profils!$S$5:$S$34,$AE478)*Paramètres!$E$35*$AG478*$AJ478,Paramètres!$F$35),0)</f>
        <v>0</v>
      </c>
      <c r="Z478" s="21" t="n">
        <f aca="false">ROUND(L478/Paramètres!$E$22+M478/Paramètres!$E$23+N478/Paramètres!$E$24+O478/Paramètres!$E$25+P478/Paramètres!$E$26+Q478/Paramètres!$E$27+R478/Paramètres!$E$28+S478/Paramètres!$E$29+T478/Paramètres!$E$30+U478/Paramètres!$E$31+V478/Paramètres!$E$32+W478/Paramètres!$E$33+X478/Paramètres!$E$34+Y478/Paramètres!$E$35,1)</f>
        <v>0.5</v>
      </c>
      <c r="AA478" s="22" t="s">
        <v>109</v>
      </c>
      <c r="AB478" s="22" t="s">
        <v>109</v>
      </c>
      <c r="AC478" s="15" t="str">
        <f aca="false">$E478</f>
        <v>argent</v>
      </c>
      <c r="AD478" s="16" t="n">
        <f aca="false" t="array" ref="AD478:AD478">IF($I478&gt;=$AI478,"Max",ROUND(Paramètres!$B$40*($I478+1)^Paramètres!$B$41*INDEX(Paramètres!$H$6:$H$12,$AF478),0))</f>
        <v>4</v>
      </c>
      <c r="AE478" s="23" t="n">
        <f aca="false">MATCH($B478&amp;"|"&amp;$C478,Profils!$A$5:$A$34,0)</f>
        <v>16</v>
      </c>
      <c r="AF478" s="23" t="n">
        <v>2</v>
      </c>
      <c r="AG478" s="24" t="n">
        <f aca="false" t="array" ref="AG478:AG478">INDEX(Paramètres!$C$6:$C$12,$AF478)</f>
        <v>1.2</v>
      </c>
      <c r="AH478" s="23" t="n">
        <f aca="false" t="array" ref="AH478:AH478">INDEX(Paramètres!$D$6:$D$12,$AF478)</f>
        <v>3</v>
      </c>
      <c r="AI478" s="23" t="n">
        <f aca="false" t="array" ref="AI478:AI478">INDEX(Matériaux!$C$16:$C$20,$D478)</f>
        <v>20</v>
      </c>
      <c r="AJ478" s="25" t="n">
        <f aca="false">Paramètres!$B$16+(1-Paramètres!$B$16)*(($J478-Paramètres!$B$14)/(Paramètres!$B$15-Paramètres!$B$14))^Paramètres!$B$17</f>
        <v>0.140847925475674</v>
      </c>
    </row>
    <row r="479" customFormat="false" ht="15.75" hidden="false" customHeight="true" outlineLevel="0" collapsed="false">
      <c r="A479" s="14" t="s">
        <v>595</v>
      </c>
      <c r="B479" s="15" t="s">
        <v>29</v>
      </c>
      <c r="C479" s="15" t="s">
        <v>273</v>
      </c>
      <c r="D479" s="16" t="n">
        <v>2</v>
      </c>
      <c r="E479" s="15" t="str">
        <f aca="false" t="array" ref="E479:E479">INDEX(Matériaux!$B$5:$F$12,MATCH(INDEX(Profils!$E$5:$E$34,$AE479),Matériaux!$A$5:$A$12,0),$D479)</f>
        <v>argent</v>
      </c>
      <c r="F479" s="27" t="s">
        <v>113</v>
      </c>
      <c r="G479" s="10" t="str">
        <f aca="false" t="array" ref="G479:G479">INDEX(Profils!$D$5:$D$34,$AE479)&amp;" en "&amp;$E479</f>
        <v>Anneau runique en argent</v>
      </c>
      <c r="H479" s="16" t="n">
        <f aca="false" t="array" ref="H479:H479">INDEX(Matériaux!$B$16:$B$20,$D479)</f>
        <v>15</v>
      </c>
      <c r="I479" s="16" t="n">
        <f aca="false">IF(ISNUMBER($C$3),MIN(MAX(0,ROUND($C$3,0)),$AI479),$AI479)</f>
        <v>0</v>
      </c>
      <c r="J479" s="18" t="n">
        <f aca="false">$H479+$I479</f>
        <v>15</v>
      </c>
      <c r="K479" s="15" t="s">
        <v>109</v>
      </c>
      <c r="L479" s="19" t="n">
        <f aca="false" t="array" ref="L479:L479">IF(AND(INDEX(Profils!$F$5:$F$34,$AE479)&gt;0,INDEX(Profils!$U$5:$U$34,$AE479)&lt;=$AH479),ROUND(INDEX(Profils!$F$5:$F$34,$AE479)*Paramètres!$E$22*$AG479*$AJ479,Paramètres!$F$22),0)</f>
        <v>0</v>
      </c>
      <c r="M479" s="19" t="n">
        <f aca="false" t="array" ref="M479:M479">IF(AND(INDEX(Profils!$G$5:$G$34,$AE479)&gt;0,INDEX(Profils!$V$5:$V$34,$AE479)&lt;=$AH479),ROUND(INDEX(Profils!$G$5:$G$34,$AE479)*Paramètres!$E$23*$AG479*$AJ479,Paramètres!$F$23),0)</f>
        <v>0</v>
      </c>
      <c r="N479" s="19" t="n">
        <f aca="false" t="array" ref="N479:N479">IF(AND(INDEX(Profils!$H$5:$H$34,$AE479)&gt;0,INDEX(Profils!$W$5:$W$34,$AE479)&lt;=$AH479),ROUND(INDEX(Profils!$H$5:$H$34,$AE479)*Paramètres!$E$24*$AG479*$AJ479,Paramètres!$F$24),0)</f>
        <v>0</v>
      </c>
      <c r="O479" s="19" t="n">
        <f aca="false" t="array" ref="O479:O479">IF(AND(INDEX(Profils!$I$5:$I$34,$AE479)&gt;0,INDEX(Profils!$X$5:$X$34,$AE479)&lt;=$AH479),ROUND(INDEX(Profils!$I$5:$I$34,$AE479)*Paramètres!$E$25*$AG479*$AJ479,Paramètres!$F$25),0)</f>
        <v>2</v>
      </c>
      <c r="P479" s="19" t="n">
        <f aca="false" t="array" ref="P479:P479">IF(AND(INDEX(Profils!$J$5:$J$34,$AE479)&gt;0,INDEX(Profils!$Y$5:$Y$34,$AE479)&lt;=$AH479),ROUND(INDEX(Profils!$J$5:$J$34,$AE479)*Paramètres!$E$26*$AG479*$AJ479,Paramètres!$F$26),0)</f>
        <v>0</v>
      </c>
      <c r="Q479" s="19" t="n">
        <f aca="false" t="array" ref="Q479:Q479">IF(AND(INDEX(Profils!$K$5:$K$34,$AE479)&gt;0,INDEX(Profils!$Z$5:$Z$34,$AE479)&lt;=$AH479),ROUND(INDEX(Profils!$K$5:$K$34,$AE479)*Paramètres!$E$27*$AG479*$AJ479,Paramètres!$F$27),0)</f>
        <v>0</v>
      </c>
      <c r="R479" s="20" t="n">
        <f aca="false" t="array" ref="R479:R479">IF(AND(INDEX(Profils!$L$5:$L$34,$AE479)&gt;0,INDEX(Profils!$AA$5:$AA$34,$AE479)&lt;=$AH479),ROUND(INDEX(Profils!$L$5:$L$34,$AE479)*Paramètres!$E$28*$AG479*$AJ479,Paramètres!$F$28),0)</f>
        <v>0</v>
      </c>
      <c r="S479" s="20" t="n">
        <f aca="false" t="array" ref="S479:S479">IF(AND(INDEX(Profils!$M$5:$M$34,$AE479)&gt;0,INDEX(Profils!$AB$5:$AB$34,$AE479)&lt;=$AH479),ROUND(INDEX(Profils!$M$5:$M$34,$AE479)*Paramètres!$E$29*$AG479*$AJ479,Paramètres!$F$29),0)</f>
        <v>0.002</v>
      </c>
      <c r="T479" s="20" t="n">
        <f aca="false" t="array" ref="T479:T479">IF(AND(INDEX(Profils!$N$5:$N$34,$AE479)&gt;0,INDEX(Profils!$AC$5:$AC$34,$AE479)&lt;=$AH479),ROUND(INDEX(Profils!$N$5:$N$34,$AE479)*Paramètres!$E$30*$AG479*$AJ479,Paramètres!$F$30),0)</f>
        <v>0.006</v>
      </c>
      <c r="U479" s="19" t="n">
        <f aca="false" t="array" ref="U479:U479">IF(AND(INDEX(Profils!$O$5:$O$34,$AE479)&gt;0,INDEX(Profils!$AD$5:$AD$34,$AE479)&lt;=$AH479),ROUND(INDEX(Profils!$O$5:$O$34,$AE479)*Paramètres!$E$31*$AG479*$AJ479,Paramètres!$F$31),0)</f>
        <v>0</v>
      </c>
      <c r="V479" s="20" t="n">
        <f aca="false" t="array" ref="V479:V479">IF(AND(INDEX(Profils!$P$5:$P$34,$AE479)&gt;0,INDEX(Profils!$AE$5:$AE$34,$AE479)&lt;=$AH479),ROUND(INDEX(Profils!$P$5:$P$34,$AE479)*Paramètres!$E$32*$AG479*$AJ479,Paramètres!$F$32),0)</f>
        <v>0.003</v>
      </c>
      <c r="W479" s="20" t="n">
        <f aca="false" t="array" ref="W479:W479">IF(AND(INDEX(Profils!$Q$5:$Q$34,$AE479)&gt;0,INDEX(Profils!$AF$5:$AF$34,$AE479)&lt;=$AH479),ROUND(INDEX(Profils!$Q$5:$Q$34,$AE479)*Paramètres!$E$33*$AG479*$AJ479,Paramètres!$F$33),0)</f>
        <v>0</v>
      </c>
      <c r="X479" s="20" t="n">
        <f aca="false" t="array" ref="X479:X479">IF(AND(INDEX(Profils!$R$5:$R$34,$AE479)&gt;0,INDEX(Profils!$AG$5:$AG$34,$AE479)&lt;=$AH479),ROUND(INDEX(Profils!$R$5:$R$34,$AE479)*Paramètres!$E$34*$AG479*$AJ479,Paramètres!$F$34),0)</f>
        <v>0</v>
      </c>
      <c r="Y479" s="20" t="n">
        <f aca="false" t="array" ref="Y479:Y479">IF(AND(INDEX(Profils!$S$5:$S$34,$AE479)&gt;0,INDEX(Profils!$AH$5:$AH$34,$AE479)&lt;=$AH479),ROUND(INDEX(Profils!$S$5:$S$34,$AE479)*Paramètres!$E$35*$AG479*$AJ479,Paramètres!$F$35),0)</f>
        <v>0</v>
      </c>
      <c r="Z479" s="21" t="n">
        <f aca="false">ROUND(L479/Paramètres!$E$22+M479/Paramètres!$E$23+N479/Paramètres!$E$24+O479/Paramètres!$E$25+P479/Paramètres!$E$26+Q479/Paramètres!$E$27+R479/Paramètres!$E$28+S479/Paramètres!$E$29+T479/Paramètres!$E$30+U479/Paramètres!$E$31+V479/Paramètres!$E$32+W479/Paramètres!$E$33+X479/Paramètres!$E$34+Y479/Paramètres!$E$35,1)</f>
        <v>0.7</v>
      </c>
      <c r="AA479" s="22" t="s">
        <v>109</v>
      </c>
      <c r="AB479" s="22" t="s">
        <v>109</v>
      </c>
      <c r="AC479" s="15" t="str">
        <f aca="false">$E479</f>
        <v>argent</v>
      </c>
      <c r="AD479" s="16" t="n">
        <f aca="false" t="array" ref="AD479:AD479">IF($I479&gt;=$AI479,"Max",ROUND(Paramètres!$B$40*($I479+1)^Paramètres!$B$41*INDEX(Paramètres!$H$6:$H$12,$AF479),0))</f>
        <v>4</v>
      </c>
      <c r="AE479" s="23" t="n">
        <f aca="false">MATCH($B479&amp;"|"&amp;$C479,Profils!$A$5:$A$34,0)</f>
        <v>16</v>
      </c>
      <c r="AF479" s="23" t="n">
        <v>3</v>
      </c>
      <c r="AG479" s="24" t="n">
        <f aca="false" t="array" ref="AG479:AG479">INDEX(Paramètres!$C$6:$C$12,$AF479)</f>
        <v>1.45</v>
      </c>
      <c r="AH479" s="23" t="n">
        <f aca="false" t="array" ref="AH479:AH479">INDEX(Paramètres!$D$6:$D$12,$AF479)</f>
        <v>4</v>
      </c>
      <c r="AI479" s="23" t="n">
        <f aca="false" t="array" ref="AI479:AI479">INDEX(Matériaux!$C$16:$C$20,$D479)</f>
        <v>20</v>
      </c>
      <c r="AJ479" s="25" t="n">
        <f aca="false">Paramètres!$B$16+(1-Paramètres!$B$16)*(($J479-Paramètres!$B$14)/(Paramètres!$B$15-Paramètres!$B$14))^Paramètres!$B$17</f>
        <v>0.140847925475674</v>
      </c>
    </row>
    <row r="480" customFormat="false" ht="15.75" hidden="false" customHeight="true" outlineLevel="0" collapsed="false">
      <c r="A480" s="14" t="s">
        <v>596</v>
      </c>
      <c r="B480" s="15" t="s">
        <v>29</v>
      </c>
      <c r="C480" s="15" t="s">
        <v>273</v>
      </c>
      <c r="D480" s="16" t="n">
        <v>2</v>
      </c>
      <c r="E480" s="15" t="str">
        <f aca="false" t="array" ref="E480:E480">INDEX(Matériaux!$B$5:$F$12,MATCH(INDEX(Profils!$E$5:$E$34,$AE480),Matériaux!$A$5:$A$12,0),$D480)</f>
        <v>argent</v>
      </c>
      <c r="F480" s="28" t="s">
        <v>115</v>
      </c>
      <c r="G480" s="10" t="str">
        <f aca="false" t="array" ref="G480:G480">INDEX(Profils!$D$5:$D$34,$AE480)&amp;" en "&amp;$E480</f>
        <v>Anneau runique en argent</v>
      </c>
      <c r="H480" s="16" t="n">
        <f aca="false" t="array" ref="H480:H480">INDEX(Matériaux!$B$16:$B$20,$D480)</f>
        <v>15</v>
      </c>
      <c r="I480" s="16" t="n">
        <f aca="false">IF(ISNUMBER($C$3),MIN(MAX(0,ROUND($C$3,0)),$AI480),$AI480)</f>
        <v>0</v>
      </c>
      <c r="J480" s="18" t="n">
        <f aca="false">$H480+$I480</f>
        <v>15</v>
      </c>
      <c r="K480" s="15" t="s">
        <v>109</v>
      </c>
      <c r="L480" s="19" t="n">
        <f aca="false" t="array" ref="L480:L480">IF(AND(INDEX(Profils!$F$5:$F$34,$AE480)&gt;0,INDEX(Profils!$U$5:$U$34,$AE480)&lt;=$AH480),ROUND(INDEX(Profils!$F$5:$F$34,$AE480)*Paramètres!$E$22*$AG480*$AJ480,Paramètres!$F$22),0)</f>
        <v>0</v>
      </c>
      <c r="M480" s="19" t="n">
        <f aca="false" t="array" ref="M480:M480">IF(AND(INDEX(Profils!$G$5:$G$34,$AE480)&gt;0,INDEX(Profils!$V$5:$V$34,$AE480)&lt;=$AH480),ROUND(INDEX(Profils!$G$5:$G$34,$AE480)*Paramètres!$E$23*$AG480*$AJ480,Paramètres!$F$23),0)</f>
        <v>0</v>
      </c>
      <c r="N480" s="19" t="n">
        <f aca="false" t="array" ref="N480:N480">IF(AND(INDEX(Profils!$H$5:$H$34,$AE480)&gt;0,INDEX(Profils!$W$5:$W$34,$AE480)&lt;=$AH480),ROUND(INDEX(Profils!$H$5:$H$34,$AE480)*Paramètres!$E$24*$AG480*$AJ480,Paramètres!$F$24),0)</f>
        <v>0</v>
      </c>
      <c r="O480" s="19" t="n">
        <f aca="false" t="array" ref="O480:O480">IF(AND(INDEX(Profils!$I$5:$I$34,$AE480)&gt;0,INDEX(Profils!$X$5:$X$34,$AE480)&lt;=$AH480),ROUND(INDEX(Profils!$I$5:$I$34,$AE480)*Paramètres!$E$25*$AG480*$AJ480,Paramètres!$F$25),0)</f>
        <v>3</v>
      </c>
      <c r="P480" s="19" t="n">
        <f aca="false" t="array" ref="P480:P480">IF(AND(INDEX(Profils!$J$5:$J$34,$AE480)&gt;0,INDEX(Profils!$Y$5:$Y$34,$AE480)&lt;=$AH480),ROUND(INDEX(Profils!$J$5:$J$34,$AE480)*Paramètres!$E$26*$AG480*$AJ480,Paramètres!$F$26),0)</f>
        <v>0</v>
      </c>
      <c r="Q480" s="19" t="n">
        <f aca="false" t="array" ref="Q480:Q480">IF(AND(INDEX(Profils!$K$5:$K$34,$AE480)&gt;0,INDEX(Profils!$Z$5:$Z$34,$AE480)&lt;=$AH480),ROUND(INDEX(Profils!$K$5:$K$34,$AE480)*Paramètres!$E$27*$AG480*$AJ480,Paramètres!$F$27),0)</f>
        <v>0</v>
      </c>
      <c r="R480" s="20" t="n">
        <f aca="false" t="array" ref="R480:R480">IF(AND(INDEX(Profils!$L$5:$L$34,$AE480)&gt;0,INDEX(Profils!$AA$5:$AA$34,$AE480)&lt;=$AH480),ROUND(INDEX(Profils!$L$5:$L$34,$AE480)*Paramètres!$E$28*$AG480*$AJ480,Paramètres!$F$28),0)</f>
        <v>0.003</v>
      </c>
      <c r="S480" s="20" t="n">
        <f aca="false" t="array" ref="S480:S480">IF(AND(INDEX(Profils!$M$5:$M$34,$AE480)&gt;0,INDEX(Profils!$AB$5:$AB$34,$AE480)&lt;=$AH480),ROUND(INDEX(Profils!$M$5:$M$34,$AE480)*Paramètres!$E$29*$AG480*$AJ480,Paramètres!$F$29),0)</f>
        <v>0.003</v>
      </c>
      <c r="T480" s="20" t="n">
        <f aca="false" t="array" ref="T480:T480">IF(AND(INDEX(Profils!$N$5:$N$34,$AE480)&gt;0,INDEX(Profils!$AC$5:$AC$34,$AE480)&lt;=$AH480),ROUND(INDEX(Profils!$N$5:$N$34,$AE480)*Paramètres!$E$30*$AG480*$AJ480,Paramètres!$F$30),0)</f>
        <v>0.007</v>
      </c>
      <c r="U480" s="19" t="n">
        <f aca="false" t="array" ref="U480:U480">IF(AND(INDEX(Profils!$O$5:$O$34,$AE480)&gt;0,INDEX(Profils!$AD$5:$AD$34,$AE480)&lt;=$AH480),ROUND(INDEX(Profils!$O$5:$O$34,$AE480)*Paramètres!$E$31*$AG480*$AJ480,Paramètres!$F$31),0)</f>
        <v>0</v>
      </c>
      <c r="V480" s="20" t="n">
        <f aca="false" t="array" ref="V480:V480">IF(AND(INDEX(Profils!$P$5:$P$34,$AE480)&gt;0,INDEX(Profils!$AE$5:$AE$34,$AE480)&lt;=$AH480),ROUND(INDEX(Profils!$P$5:$P$34,$AE480)*Paramètres!$E$32*$AG480*$AJ480,Paramètres!$F$32),0)</f>
        <v>0.004</v>
      </c>
      <c r="W480" s="20" t="n">
        <f aca="false" t="array" ref="W480:W480">IF(AND(INDEX(Profils!$Q$5:$Q$34,$AE480)&gt;0,INDEX(Profils!$AF$5:$AF$34,$AE480)&lt;=$AH480),ROUND(INDEX(Profils!$Q$5:$Q$34,$AE480)*Paramètres!$E$33*$AG480*$AJ480,Paramètres!$F$33),0)</f>
        <v>0</v>
      </c>
      <c r="X480" s="20" t="n">
        <f aca="false" t="array" ref="X480:X480">IF(AND(INDEX(Profils!$R$5:$R$34,$AE480)&gt;0,INDEX(Profils!$AG$5:$AG$34,$AE480)&lt;=$AH480),ROUND(INDEX(Profils!$R$5:$R$34,$AE480)*Paramètres!$E$34*$AG480*$AJ480,Paramètres!$F$34),0)</f>
        <v>0</v>
      </c>
      <c r="Y480" s="20" t="n">
        <f aca="false" t="array" ref="Y480:Y480">IF(AND(INDEX(Profils!$S$5:$S$34,$AE480)&gt;0,INDEX(Profils!$AH$5:$AH$34,$AE480)&lt;=$AH480),ROUND(INDEX(Profils!$S$5:$S$34,$AE480)*Paramètres!$E$35*$AG480*$AJ480,Paramètres!$F$35),0)</f>
        <v>0</v>
      </c>
      <c r="Z480" s="21" t="n">
        <f aca="false">ROUND(L480/Paramètres!$E$22+M480/Paramètres!$E$23+N480/Paramètres!$E$24+O480/Paramètres!$E$25+P480/Paramètres!$E$26+Q480/Paramètres!$E$27+R480/Paramètres!$E$28+S480/Paramètres!$E$29+T480/Paramètres!$E$30+U480/Paramètres!$E$31+V480/Paramètres!$E$32+W480/Paramètres!$E$33+X480/Paramètres!$E$34+Y480/Paramètres!$E$35,1)</f>
        <v>1.2</v>
      </c>
      <c r="AA480" s="22" t="s">
        <v>109</v>
      </c>
      <c r="AB480" s="22" t="s">
        <v>109</v>
      </c>
      <c r="AC480" s="15" t="str">
        <f aca="false">$E480</f>
        <v>argent</v>
      </c>
      <c r="AD480" s="16" t="n">
        <f aca="false" t="array" ref="AD480:AD480">IF($I480&gt;=$AI480,"Max",ROUND(Paramètres!$B$40*($I480+1)^Paramètres!$B$41*INDEX(Paramètres!$H$6:$H$12,$AF480),0))</f>
        <v>5</v>
      </c>
      <c r="AE480" s="23" t="n">
        <f aca="false">MATCH($B480&amp;"|"&amp;$C480,Profils!$A$5:$A$34,0)</f>
        <v>16</v>
      </c>
      <c r="AF480" s="23" t="n">
        <v>4</v>
      </c>
      <c r="AG480" s="24" t="n">
        <f aca="false" t="array" ref="AG480:AG480">INDEX(Paramètres!$C$6:$C$12,$AF480)</f>
        <v>1.75</v>
      </c>
      <c r="AH480" s="23" t="n">
        <f aca="false" t="array" ref="AH480:AH480">INDEX(Paramètres!$D$6:$D$12,$AF480)</f>
        <v>5</v>
      </c>
      <c r="AI480" s="23" t="n">
        <f aca="false" t="array" ref="AI480:AI480">INDEX(Matériaux!$C$16:$C$20,$D480)</f>
        <v>20</v>
      </c>
      <c r="AJ480" s="25" t="n">
        <f aca="false">Paramètres!$B$16+(1-Paramètres!$B$16)*(($J480-Paramètres!$B$14)/(Paramètres!$B$15-Paramètres!$B$14))^Paramètres!$B$17</f>
        <v>0.140847925475674</v>
      </c>
    </row>
    <row r="481" customFormat="false" ht="15.75" hidden="false" customHeight="true" outlineLevel="0" collapsed="false">
      <c r="A481" s="14" t="s">
        <v>597</v>
      </c>
      <c r="B481" s="15" t="s">
        <v>29</v>
      </c>
      <c r="C481" s="15" t="s">
        <v>273</v>
      </c>
      <c r="D481" s="16" t="n">
        <v>2</v>
      </c>
      <c r="E481" s="15" t="str">
        <f aca="false" t="array" ref="E481:E481">INDEX(Matériaux!$B$5:$F$12,MATCH(INDEX(Profils!$E$5:$E$34,$AE481),Matériaux!$A$5:$A$12,0),$D481)</f>
        <v>argent</v>
      </c>
      <c r="F481" s="29" t="s">
        <v>117</v>
      </c>
      <c r="G481" s="10" t="str">
        <f aca="false" t="array" ref="G481:G481">INDEX(Profils!$D$5:$D$34,$AE481)&amp;" en "&amp;$E481</f>
        <v>Anneau runique en argent</v>
      </c>
      <c r="H481" s="16" t="n">
        <f aca="false" t="array" ref="H481:H481">INDEX(Matériaux!$B$16:$B$20,$D481)</f>
        <v>15</v>
      </c>
      <c r="I481" s="16" t="n">
        <f aca="false">IF(ISNUMBER($C$3),MIN(MAX(0,ROUND($C$3,0)),$AI481),$AI481)</f>
        <v>0</v>
      </c>
      <c r="J481" s="18" t="n">
        <f aca="false">$H481+$I481</f>
        <v>15</v>
      </c>
      <c r="K481" s="15" t="s">
        <v>109</v>
      </c>
      <c r="L481" s="19" t="n">
        <f aca="false" t="array" ref="L481:L481">IF(AND(INDEX(Profils!$F$5:$F$34,$AE481)&gt;0,INDEX(Profils!$U$5:$U$34,$AE481)&lt;=$AH481),ROUND(INDEX(Profils!$F$5:$F$34,$AE481)*Paramètres!$E$22*$AG481*$AJ481,Paramètres!$F$22),0)</f>
        <v>4</v>
      </c>
      <c r="M481" s="19" t="n">
        <f aca="false" t="array" ref="M481:M481">IF(AND(INDEX(Profils!$G$5:$G$34,$AE481)&gt;0,INDEX(Profils!$V$5:$V$34,$AE481)&lt;=$AH481),ROUND(INDEX(Profils!$G$5:$G$34,$AE481)*Paramètres!$E$23*$AG481*$AJ481,Paramètres!$F$23),0)</f>
        <v>0</v>
      </c>
      <c r="N481" s="19" t="n">
        <f aca="false" t="array" ref="N481:N481">IF(AND(INDEX(Profils!$H$5:$H$34,$AE481)&gt;0,INDEX(Profils!$W$5:$W$34,$AE481)&lt;=$AH481),ROUND(INDEX(Profils!$H$5:$H$34,$AE481)*Paramètres!$E$24*$AG481*$AJ481,Paramètres!$F$24),0)</f>
        <v>0</v>
      </c>
      <c r="O481" s="19" t="n">
        <f aca="false" t="array" ref="O481:O481">IF(AND(INDEX(Profils!$I$5:$I$34,$AE481)&gt;0,INDEX(Profils!$X$5:$X$34,$AE481)&lt;=$AH481),ROUND(INDEX(Profils!$I$5:$I$34,$AE481)*Paramètres!$E$25*$AG481*$AJ481,Paramètres!$F$25),0)</f>
        <v>4</v>
      </c>
      <c r="P481" s="19" t="n">
        <f aca="false" t="array" ref="P481:P481">IF(AND(INDEX(Profils!$J$5:$J$34,$AE481)&gt;0,INDEX(Profils!$Y$5:$Y$34,$AE481)&lt;=$AH481),ROUND(INDEX(Profils!$J$5:$J$34,$AE481)*Paramètres!$E$26*$AG481*$AJ481,Paramètres!$F$26),0)</f>
        <v>0</v>
      </c>
      <c r="Q481" s="19" t="n">
        <f aca="false" t="array" ref="Q481:Q481">IF(AND(INDEX(Profils!$K$5:$K$34,$AE481)&gt;0,INDEX(Profils!$Z$5:$Z$34,$AE481)&lt;=$AH481),ROUND(INDEX(Profils!$K$5:$K$34,$AE481)*Paramètres!$E$27*$AG481*$AJ481,Paramètres!$F$27),0)</f>
        <v>0</v>
      </c>
      <c r="R481" s="20" t="n">
        <f aca="false" t="array" ref="R481:R481">IF(AND(INDEX(Profils!$L$5:$L$34,$AE481)&gt;0,INDEX(Profils!$AA$5:$AA$34,$AE481)&lt;=$AH481),ROUND(INDEX(Profils!$L$5:$L$34,$AE481)*Paramètres!$E$28*$AG481*$AJ481,Paramètres!$F$28),0)</f>
        <v>0.004</v>
      </c>
      <c r="S481" s="20" t="n">
        <f aca="false" t="array" ref="S481:S481">IF(AND(INDEX(Profils!$M$5:$M$34,$AE481)&gt;0,INDEX(Profils!$AB$5:$AB$34,$AE481)&lt;=$AH481),ROUND(INDEX(Profils!$M$5:$M$34,$AE481)*Paramètres!$E$29*$AG481*$AJ481,Paramètres!$F$29),0)</f>
        <v>0.004</v>
      </c>
      <c r="T481" s="20" t="n">
        <f aca="false" t="array" ref="T481:T481">IF(AND(INDEX(Profils!$N$5:$N$34,$AE481)&gt;0,INDEX(Profils!$AC$5:$AC$34,$AE481)&lt;=$AH481),ROUND(INDEX(Profils!$N$5:$N$34,$AE481)*Paramètres!$E$30*$AG481*$AJ481,Paramètres!$F$30),0)</f>
        <v>0.009</v>
      </c>
      <c r="U481" s="19" t="n">
        <f aca="false" t="array" ref="U481:U481">IF(AND(INDEX(Profils!$O$5:$O$34,$AE481)&gt;0,INDEX(Profils!$AD$5:$AD$34,$AE481)&lt;=$AH481),ROUND(INDEX(Profils!$O$5:$O$34,$AE481)*Paramètres!$E$31*$AG481*$AJ481,Paramètres!$F$31),0)</f>
        <v>0</v>
      </c>
      <c r="V481" s="20" t="n">
        <f aca="false" t="array" ref="V481:V481">IF(AND(INDEX(Profils!$P$5:$P$34,$AE481)&gt;0,INDEX(Profils!$AE$5:$AE$34,$AE481)&lt;=$AH481),ROUND(INDEX(Profils!$P$5:$P$34,$AE481)*Paramètres!$E$32*$AG481*$AJ481,Paramètres!$F$32),0)</f>
        <v>0.004</v>
      </c>
      <c r="W481" s="20" t="n">
        <f aca="false" t="array" ref="W481:W481">IF(AND(INDEX(Profils!$Q$5:$Q$34,$AE481)&gt;0,INDEX(Profils!$AF$5:$AF$34,$AE481)&lt;=$AH481),ROUND(INDEX(Profils!$Q$5:$Q$34,$AE481)*Paramètres!$E$33*$AG481*$AJ481,Paramètres!$F$33),0)</f>
        <v>0</v>
      </c>
      <c r="X481" s="20" t="n">
        <f aca="false" t="array" ref="X481:X481">IF(AND(INDEX(Profils!$R$5:$R$34,$AE481)&gt;0,INDEX(Profils!$AG$5:$AG$34,$AE481)&lt;=$AH481),ROUND(INDEX(Profils!$R$5:$R$34,$AE481)*Paramètres!$E$34*$AG481*$AJ481,Paramètres!$F$34),0)</f>
        <v>0</v>
      </c>
      <c r="Y481" s="20" t="n">
        <f aca="false" t="array" ref="Y481:Y481">IF(AND(INDEX(Profils!$S$5:$S$34,$AE481)&gt;0,INDEX(Profils!$AH$5:$AH$34,$AE481)&lt;=$AH481),ROUND(INDEX(Profils!$S$5:$S$34,$AE481)*Paramètres!$E$35*$AG481*$AJ481,Paramètres!$F$35),0)</f>
        <v>0</v>
      </c>
      <c r="Z481" s="21" t="n">
        <f aca="false">ROUND(L481/Paramètres!$E$22+M481/Paramètres!$E$23+N481/Paramètres!$E$24+O481/Paramètres!$E$25+P481/Paramètres!$E$26+Q481/Paramètres!$E$27+R481/Paramètres!$E$28+S481/Paramètres!$E$29+T481/Paramètres!$E$30+U481/Paramètres!$E$31+V481/Paramètres!$E$32+W481/Paramètres!$E$33+X481/Paramètres!$E$34+Y481/Paramètres!$E$35,1)</f>
        <v>1.6</v>
      </c>
      <c r="AA481" s="22" t="s">
        <v>109</v>
      </c>
      <c r="AB481" s="22" t="s">
        <v>109</v>
      </c>
      <c r="AC481" s="15" t="str">
        <f aca="false">$E481</f>
        <v>argent</v>
      </c>
      <c r="AD481" s="16" t="n">
        <f aca="false" t="array" ref="AD481:AD481">IF($I481&gt;=$AI481,"Max",ROUND(Paramètres!$B$40*($I481+1)^Paramètres!$B$41*INDEX(Paramètres!$H$6:$H$12,$AF481),0))</f>
        <v>6</v>
      </c>
      <c r="AE481" s="23" t="n">
        <f aca="false">MATCH($B481&amp;"|"&amp;$C481,Profils!$A$5:$A$34,0)</f>
        <v>16</v>
      </c>
      <c r="AF481" s="23" t="n">
        <v>5</v>
      </c>
      <c r="AG481" s="24" t="n">
        <f aca="false" t="array" ref="AG481:AG481">INDEX(Paramètres!$C$6:$C$12,$AF481)</f>
        <v>2.1</v>
      </c>
      <c r="AH481" s="23" t="n">
        <f aca="false" t="array" ref="AH481:AH481">INDEX(Paramètres!$D$6:$D$12,$AF481)</f>
        <v>6</v>
      </c>
      <c r="AI481" s="23" t="n">
        <f aca="false" t="array" ref="AI481:AI481">INDEX(Matériaux!$C$16:$C$20,$D481)</f>
        <v>20</v>
      </c>
      <c r="AJ481" s="25" t="n">
        <f aca="false">Paramètres!$B$16+(1-Paramètres!$B$16)*(($J481-Paramètres!$B$14)/(Paramètres!$B$15-Paramètres!$B$14))^Paramètres!$B$17</f>
        <v>0.140847925475674</v>
      </c>
    </row>
    <row r="482" customFormat="false" ht="15.75" hidden="false" customHeight="true" outlineLevel="0" collapsed="false">
      <c r="A482" s="14" t="s">
        <v>598</v>
      </c>
      <c r="B482" s="15" t="s">
        <v>29</v>
      </c>
      <c r="C482" s="15" t="s">
        <v>273</v>
      </c>
      <c r="D482" s="16" t="n">
        <v>2</v>
      </c>
      <c r="E482" s="15" t="str">
        <f aca="false" t="array" ref="E482:E482">INDEX(Matériaux!$B$5:$F$12,MATCH(INDEX(Profils!$E$5:$E$34,$AE482),Matériaux!$A$5:$A$12,0),$D482)</f>
        <v>argent</v>
      </c>
      <c r="F482" s="30" t="s">
        <v>119</v>
      </c>
      <c r="G482" s="10" t="str">
        <f aca="false" t="array" ref="G482:G482">INDEX(Profils!$D$5:$D$34,$AE482)&amp;" en "&amp;$E482</f>
        <v>Anneau runique en argent</v>
      </c>
      <c r="H482" s="16" t="n">
        <f aca="false" t="array" ref="H482:H482">INDEX(Matériaux!$B$16:$B$20,$D482)</f>
        <v>15</v>
      </c>
      <c r="I482" s="16" t="n">
        <f aca="false">IF(ISNUMBER($C$3),MIN(MAX(0,ROUND($C$3,0)),$AI482),$AI482)</f>
        <v>0</v>
      </c>
      <c r="J482" s="18" t="n">
        <f aca="false">$H482+$I482</f>
        <v>15</v>
      </c>
      <c r="K482" s="15" t="s">
        <v>109</v>
      </c>
      <c r="L482" s="19" t="n">
        <f aca="false" t="array" ref="L482:L482">IF(AND(INDEX(Profils!$F$5:$F$34,$AE482)&gt;0,INDEX(Profils!$U$5:$U$34,$AE482)&lt;=$AH482),ROUND(INDEX(Profils!$F$5:$F$34,$AE482)*Paramètres!$E$22*$AG482*$AJ482,Paramètres!$F$22),0)</f>
        <v>5</v>
      </c>
      <c r="M482" s="19" t="n">
        <f aca="false" t="array" ref="M482:M482">IF(AND(INDEX(Profils!$G$5:$G$34,$AE482)&gt;0,INDEX(Profils!$V$5:$V$34,$AE482)&lt;=$AH482),ROUND(INDEX(Profils!$G$5:$G$34,$AE482)*Paramètres!$E$23*$AG482*$AJ482,Paramètres!$F$23),0)</f>
        <v>0</v>
      </c>
      <c r="N482" s="19" t="n">
        <f aca="false" t="array" ref="N482:N482">IF(AND(INDEX(Profils!$H$5:$H$34,$AE482)&gt;0,INDEX(Profils!$W$5:$W$34,$AE482)&lt;=$AH482),ROUND(INDEX(Profils!$H$5:$H$34,$AE482)*Paramètres!$E$24*$AG482*$AJ482,Paramètres!$F$24),0)</f>
        <v>0</v>
      </c>
      <c r="O482" s="19" t="n">
        <f aca="false" t="array" ref="O482:O482">IF(AND(INDEX(Profils!$I$5:$I$34,$AE482)&gt;0,INDEX(Profils!$X$5:$X$34,$AE482)&lt;=$AH482),ROUND(INDEX(Profils!$I$5:$I$34,$AE482)*Paramètres!$E$25*$AG482*$AJ482,Paramètres!$F$25),0)</f>
        <v>4</v>
      </c>
      <c r="P482" s="19" t="n">
        <f aca="false" t="array" ref="P482:P482">IF(AND(INDEX(Profils!$J$5:$J$34,$AE482)&gt;0,INDEX(Profils!$Y$5:$Y$34,$AE482)&lt;=$AH482),ROUND(INDEX(Profils!$J$5:$J$34,$AE482)*Paramètres!$E$26*$AG482*$AJ482,Paramètres!$F$26),0)</f>
        <v>2</v>
      </c>
      <c r="Q482" s="19" t="n">
        <f aca="false" t="array" ref="Q482:Q482">IF(AND(INDEX(Profils!$K$5:$K$34,$AE482)&gt;0,INDEX(Profils!$Z$5:$Z$34,$AE482)&lt;=$AH482),ROUND(INDEX(Profils!$K$5:$K$34,$AE482)*Paramètres!$E$27*$AG482*$AJ482,Paramètres!$F$27),0)</f>
        <v>0</v>
      </c>
      <c r="R482" s="20" t="n">
        <f aca="false" t="array" ref="R482:R482">IF(AND(INDEX(Profils!$L$5:$L$34,$AE482)&gt;0,INDEX(Profils!$AA$5:$AA$34,$AE482)&lt;=$AH482),ROUND(INDEX(Profils!$L$5:$L$34,$AE482)*Paramètres!$E$28*$AG482*$AJ482,Paramètres!$F$28),0)</f>
        <v>0.004</v>
      </c>
      <c r="S482" s="20" t="n">
        <f aca="false" t="array" ref="S482:S482">IF(AND(INDEX(Profils!$M$5:$M$34,$AE482)&gt;0,INDEX(Profils!$AB$5:$AB$34,$AE482)&lt;=$AH482),ROUND(INDEX(Profils!$M$5:$M$34,$AE482)*Paramètres!$E$29*$AG482*$AJ482,Paramètres!$F$29),0)</f>
        <v>0.004</v>
      </c>
      <c r="T482" s="20" t="n">
        <f aca="false" t="array" ref="T482:T482">IF(AND(INDEX(Profils!$N$5:$N$34,$AE482)&gt;0,INDEX(Profils!$AC$5:$AC$34,$AE482)&lt;=$AH482),ROUND(INDEX(Profils!$N$5:$N$34,$AE482)*Paramètres!$E$30*$AG482*$AJ482,Paramètres!$F$30),0)</f>
        <v>0.01</v>
      </c>
      <c r="U482" s="19" t="n">
        <f aca="false" t="array" ref="U482:U482">IF(AND(INDEX(Profils!$O$5:$O$34,$AE482)&gt;0,INDEX(Profils!$AD$5:$AD$34,$AE482)&lt;=$AH482),ROUND(INDEX(Profils!$O$5:$O$34,$AE482)*Paramètres!$E$31*$AG482*$AJ482,Paramètres!$F$31),0)</f>
        <v>0</v>
      </c>
      <c r="V482" s="20" t="n">
        <f aca="false" t="array" ref="V482:V482">IF(AND(INDEX(Profils!$P$5:$P$34,$AE482)&gt;0,INDEX(Profils!$AE$5:$AE$34,$AE482)&lt;=$AH482),ROUND(INDEX(Profils!$P$5:$P$34,$AE482)*Paramètres!$E$32*$AG482*$AJ482,Paramètres!$F$32),0)</f>
        <v>0.005</v>
      </c>
      <c r="W482" s="20" t="n">
        <f aca="false" t="array" ref="W482:W482">IF(AND(INDEX(Profils!$Q$5:$Q$34,$AE482)&gt;0,INDEX(Profils!$AF$5:$AF$34,$AE482)&lt;=$AH482),ROUND(INDEX(Profils!$Q$5:$Q$34,$AE482)*Paramètres!$E$33*$AG482*$AJ482,Paramètres!$F$33),0)</f>
        <v>0</v>
      </c>
      <c r="X482" s="20" t="n">
        <f aca="false" t="array" ref="X482:X482">IF(AND(INDEX(Profils!$R$5:$R$34,$AE482)&gt;0,INDEX(Profils!$AG$5:$AG$34,$AE482)&lt;=$AH482),ROUND(INDEX(Profils!$R$5:$R$34,$AE482)*Paramètres!$E$34*$AG482*$AJ482,Paramètres!$F$34),0)</f>
        <v>0</v>
      </c>
      <c r="Y482" s="20" t="n">
        <f aca="false" t="array" ref="Y482:Y482">IF(AND(INDEX(Profils!$S$5:$S$34,$AE482)&gt;0,INDEX(Profils!$AH$5:$AH$34,$AE482)&lt;=$AH482),ROUND(INDEX(Profils!$S$5:$S$34,$AE482)*Paramètres!$E$35*$AG482*$AJ482,Paramètres!$F$35),0)</f>
        <v>0</v>
      </c>
      <c r="Z482" s="21" t="n">
        <f aca="false">ROUND(L482/Paramètres!$E$22+M482/Paramètres!$E$23+N482/Paramètres!$E$24+O482/Paramètres!$E$25+P482/Paramètres!$E$26+Q482/Paramètres!$E$27+R482/Paramètres!$E$28+S482/Paramètres!$E$29+T482/Paramètres!$E$30+U482/Paramètres!$E$31+V482/Paramètres!$E$32+W482/Paramètres!$E$33+X482/Paramètres!$E$34+Y482/Paramètres!$E$35,1)</f>
        <v>1.9</v>
      </c>
      <c r="AA482" s="22" t="s">
        <v>109</v>
      </c>
      <c r="AB482" s="22" t="s">
        <v>109</v>
      </c>
      <c r="AC482" s="15" t="str">
        <f aca="false">$E482</f>
        <v>argent</v>
      </c>
      <c r="AD482" s="16" t="n">
        <f aca="false" t="array" ref="AD482:AD482">IF($I482&gt;=$AI482,"Max",ROUND(Paramètres!$B$40*($I482+1)^Paramètres!$B$41*INDEX(Paramètres!$H$6:$H$12,$AF482),0))</f>
        <v>8</v>
      </c>
      <c r="AE482" s="23" t="n">
        <f aca="false">MATCH($B482&amp;"|"&amp;$C482,Profils!$A$5:$A$34,0)</f>
        <v>16</v>
      </c>
      <c r="AF482" s="23" t="n">
        <v>6</v>
      </c>
      <c r="AG482" s="24" t="n">
        <f aca="false" t="array" ref="AG482:AG482">INDEX(Paramètres!$C$6:$C$12,$AF482)</f>
        <v>2.4</v>
      </c>
      <c r="AH482" s="23" t="n">
        <f aca="false" t="array" ref="AH482:AH482">INDEX(Paramètres!$D$6:$D$12,$AF482)</f>
        <v>7</v>
      </c>
      <c r="AI482" s="23" t="n">
        <f aca="false" t="array" ref="AI482:AI482">INDEX(Matériaux!$C$16:$C$20,$D482)</f>
        <v>20</v>
      </c>
      <c r="AJ482" s="25" t="n">
        <f aca="false">Paramètres!$B$16+(1-Paramètres!$B$16)*(($J482-Paramètres!$B$14)/(Paramètres!$B$15-Paramètres!$B$14))^Paramètres!$B$17</f>
        <v>0.140847925475674</v>
      </c>
    </row>
    <row r="483" customFormat="false" ht="15.75" hidden="false" customHeight="true" outlineLevel="0" collapsed="false">
      <c r="A483" s="14" t="s">
        <v>599</v>
      </c>
      <c r="B483" s="15" t="s">
        <v>29</v>
      </c>
      <c r="C483" s="15" t="s">
        <v>273</v>
      </c>
      <c r="D483" s="16" t="n">
        <v>3</v>
      </c>
      <c r="E483" s="15" t="str">
        <f aca="false" t="array" ref="E483:E483">INDEX(Matériaux!$B$5:$F$12,MATCH(INDEX(Profils!$E$5:$E$34,$AE483),Matériaux!$A$5:$A$12,0),$D483)</f>
        <v>or</v>
      </c>
      <c r="F483" s="17" t="s">
        <v>108</v>
      </c>
      <c r="G483" s="10" t="str">
        <f aca="false" t="array" ref="G483:G483">INDEX(Profils!$D$5:$D$34,$AE483)&amp;" en "&amp;$E483</f>
        <v>Anneau runique en or</v>
      </c>
      <c r="H483" s="16" t="n">
        <f aca="false" t="array" ref="H483:H483">INDEX(Matériaux!$B$16:$B$20,$D483)</f>
        <v>30</v>
      </c>
      <c r="I483" s="16" t="n">
        <f aca="false">IF(ISNUMBER($C$3),MIN(MAX(0,ROUND($C$3,0)),$AI483),$AI483)</f>
        <v>0</v>
      </c>
      <c r="J483" s="18" t="n">
        <f aca="false">$H483+$I483</f>
        <v>30</v>
      </c>
      <c r="K483" s="15" t="s">
        <v>109</v>
      </c>
      <c r="L483" s="19" t="n">
        <f aca="false" t="array" ref="L483:L483">IF(AND(INDEX(Profils!$F$5:$F$34,$AE483)&gt;0,INDEX(Profils!$U$5:$U$34,$AE483)&lt;=$AH483),ROUND(INDEX(Profils!$F$5:$F$34,$AE483)*Paramètres!$E$22*$AG483*$AJ483,Paramètres!$F$22),0)</f>
        <v>0</v>
      </c>
      <c r="M483" s="19" t="n">
        <f aca="false" t="array" ref="M483:M483">IF(AND(INDEX(Profils!$G$5:$G$34,$AE483)&gt;0,INDEX(Profils!$V$5:$V$34,$AE483)&lt;=$AH483),ROUND(INDEX(Profils!$G$5:$G$34,$AE483)*Paramètres!$E$23*$AG483*$AJ483,Paramètres!$F$23),0)</f>
        <v>0</v>
      </c>
      <c r="N483" s="19" t="n">
        <f aca="false" t="array" ref="N483:N483">IF(AND(INDEX(Profils!$H$5:$H$34,$AE483)&gt;0,INDEX(Profils!$W$5:$W$34,$AE483)&lt;=$AH483),ROUND(INDEX(Profils!$H$5:$H$34,$AE483)*Paramètres!$E$24*$AG483*$AJ483,Paramètres!$F$24),0)</f>
        <v>0</v>
      </c>
      <c r="O483" s="19" t="n">
        <f aca="false" t="array" ref="O483:O483">IF(AND(INDEX(Profils!$I$5:$I$34,$AE483)&gt;0,INDEX(Profils!$X$5:$X$34,$AE483)&lt;=$AH483),ROUND(INDEX(Profils!$I$5:$I$34,$AE483)*Paramètres!$E$25*$AG483*$AJ483,Paramètres!$F$25),0)</f>
        <v>0</v>
      </c>
      <c r="P483" s="19" t="n">
        <f aca="false" t="array" ref="P483:P483">IF(AND(INDEX(Profils!$J$5:$J$34,$AE483)&gt;0,INDEX(Profils!$Y$5:$Y$34,$AE483)&lt;=$AH483),ROUND(INDEX(Profils!$J$5:$J$34,$AE483)*Paramètres!$E$26*$AG483*$AJ483,Paramètres!$F$26),0)</f>
        <v>0</v>
      </c>
      <c r="Q483" s="19" t="n">
        <f aca="false" t="array" ref="Q483:Q483">IF(AND(INDEX(Profils!$K$5:$K$34,$AE483)&gt;0,INDEX(Profils!$Z$5:$Z$34,$AE483)&lt;=$AH483),ROUND(INDEX(Profils!$K$5:$K$34,$AE483)*Paramètres!$E$27*$AG483*$AJ483,Paramètres!$F$27),0)</f>
        <v>0</v>
      </c>
      <c r="R483" s="20" t="n">
        <f aca="false" t="array" ref="R483:R483">IF(AND(INDEX(Profils!$L$5:$L$34,$AE483)&gt;0,INDEX(Profils!$AA$5:$AA$34,$AE483)&lt;=$AH483),ROUND(INDEX(Profils!$L$5:$L$34,$AE483)*Paramètres!$E$28*$AG483*$AJ483,Paramètres!$F$28),0)</f>
        <v>0</v>
      </c>
      <c r="S483" s="20" t="n">
        <f aca="false" t="array" ref="S483:S483">IF(AND(INDEX(Profils!$M$5:$M$34,$AE483)&gt;0,INDEX(Profils!$AB$5:$AB$34,$AE483)&lt;=$AH483),ROUND(INDEX(Profils!$M$5:$M$34,$AE483)*Paramètres!$E$29*$AG483*$AJ483,Paramètres!$F$29),0)</f>
        <v>0.003</v>
      </c>
      <c r="T483" s="20" t="n">
        <f aca="false" t="array" ref="T483:T483">IF(AND(INDEX(Profils!$N$5:$N$34,$AE483)&gt;0,INDEX(Profils!$AC$5:$AC$34,$AE483)&lt;=$AH483),ROUND(INDEX(Profils!$N$5:$N$34,$AE483)*Paramètres!$E$30*$AG483*$AJ483,Paramètres!$F$30),0)</f>
        <v>0.008</v>
      </c>
      <c r="U483" s="19" t="n">
        <f aca="false" t="array" ref="U483:U483">IF(AND(INDEX(Profils!$O$5:$O$34,$AE483)&gt;0,INDEX(Profils!$AD$5:$AD$34,$AE483)&lt;=$AH483),ROUND(INDEX(Profils!$O$5:$O$34,$AE483)*Paramètres!$E$31*$AG483*$AJ483,Paramètres!$F$31),0)</f>
        <v>0</v>
      </c>
      <c r="V483" s="20" t="n">
        <f aca="false" t="array" ref="V483:V483">IF(AND(INDEX(Profils!$P$5:$P$34,$AE483)&gt;0,INDEX(Profils!$AE$5:$AE$34,$AE483)&lt;=$AH483),ROUND(INDEX(Profils!$P$5:$P$34,$AE483)*Paramètres!$E$32*$AG483*$AJ483,Paramètres!$F$32),0)</f>
        <v>0</v>
      </c>
      <c r="W483" s="20" t="n">
        <f aca="false" t="array" ref="W483:W483">IF(AND(INDEX(Profils!$Q$5:$Q$34,$AE483)&gt;0,INDEX(Profils!$AF$5:$AF$34,$AE483)&lt;=$AH483),ROUND(INDEX(Profils!$Q$5:$Q$34,$AE483)*Paramètres!$E$33*$AG483*$AJ483,Paramètres!$F$33),0)</f>
        <v>0</v>
      </c>
      <c r="X483" s="20" t="n">
        <f aca="false" t="array" ref="X483:X483">IF(AND(INDEX(Profils!$R$5:$R$34,$AE483)&gt;0,INDEX(Profils!$AG$5:$AG$34,$AE483)&lt;=$AH483),ROUND(INDEX(Profils!$R$5:$R$34,$AE483)*Paramètres!$E$34*$AG483*$AJ483,Paramètres!$F$34),0)</f>
        <v>0</v>
      </c>
      <c r="Y483" s="20" t="n">
        <f aca="false" t="array" ref="Y483:Y483">IF(AND(INDEX(Profils!$S$5:$S$34,$AE483)&gt;0,INDEX(Profils!$AH$5:$AH$34,$AE483)&lt;=$AH483),ROUND(INDEX(Profils!$S$5:$S$34,$AE483)*Paramètres!$E$35*$AG483*$AJ483,Paramètres!$F$35),0)</f>
        <v>0</v>
      </c>
      <c r="Z483" s="21" t="n">
        <f aca="false">ROUND(L483/Paramètres!$E$22+M483/Paramètres!$E$23+N483/Paramètres!$E$24+O483/Paramètres!$E$25+P483/Paramètres!$E$26+Q483/Paramètres!$E$27+R483/Paramètres!$E$28+S483/Paramètres!$E$29+T483/Paramètres!$E$30+U483/Paramètres!$E$31+V483/Paramètres!$E$32+W483/Paramètres!$E$33+X483/Paramètres!$E$34+Y483/Paramètres!$E$35,1)</f>
        <v>0.5</v>
      </c>
      <c r="AA483" s="22" t="s">
        <v>109</v>
      </c>
      <c r="AB483" s="22" t="s">
        <v>109</v>
      </c>
      <c r="AC483" s="15" t="str">
        <f aca="false">$E483</f>
        <v>or</v>
      </c>
      <c r="AD483" s="16" t="n">
        <f aca="false" t="array" ref="AD483:AD483">IF($I483&gt;=$AI483,"Max",ROUND(Paramètres!$B$40*($I483+1)^Paramètres!$B$41*INDEX(Paramètres!$H$6:$H$12,$AF483),0))</f>
        <v>3</v>
      </c>
      <c r="AE483" s="23" t="n">
        <f aca="false">MATCH($B483&amp;"|"&amp;$C483,Profils!$A$5:$A$34,0)</f>
        <v>16</v>
      </c>
      <c r="AF483" s="23" t="n">
        <v>1</v>
      </c>
      <c r="AG483" s="24" t="n">
        <f aca="false" t="array" ref="AG483:AG483">INDEX(Paramètres!$C$6:$C$12,$AF483)</f>
        <v>1</v>
      </c>
      <c r="AH483" s="23" t="n">
        <f aca="false" t="array" ref="AH483:AH483">INDEX(Paramètres!$D$6:$D$12,$AF483)</f>
        <v>2</v>
      </c>
      <c r="AI483" s="23" t="n">
        <f aca="false" t="array" ref="AI483:AI483">INDEX(Matériaux!$C$16:$C$20,$D483)</f>
        <v>25</v>
      </c>
      <c r="AJ483" s="25" t="n">
        <f aca="false">Paramètres!$B$16+(1-Paramètres!$B$16)*(($J483-Paramètres!$B$14)/(Paramètres!$B$15-Paramètres!$B$14))^Paramètres!$B$17</f>
        <v>0.26769024555533</v>
      </c>
    </row>
    <row r="484" customFormat="false" ht="15.75" hidden="false" customHeight="true" outlineLevel="0" collapsed="false">
      <c r="A484" s="14" t="s">
        <v>600</v>
      </c>
      <c r="B484" s="15" t="s">
        <v>29</v>
      </c>
      <c r="C484" s="15" t="s">
        <v>273</v>
      </c>
      <c r="D484" s="16" t="n">
        <v>3</v>
      </c>
      <c r="E484" s="15" t="str">
        <f aca="false" t="array" ref="E484:E484">INDEX(Matériaux!$B$5:$F$12,MATCH(INDEX(Profils!$E$5:$E$34,$AE484),Matériaux!$A$5:$A$12,0),$D484)</f>
        <v>or</v>
      </c>
      <c r="F484" s="26" t="s">
        <v>111</v>
      </c>
      <c r="G484" s="10" t="str">
        <f aca="false" t="array" ref="G484:G484">INDEX(Profils!$D$5:$D$34,$AE484)&amp;" en "&amp;$E484</f>
        <v>Anneau runique en or</v>
      </c>
      <c r="H484" s="16" t="n">
        <f aca="false" t="array" ref="H484:H484">INDEX(Matériaux!$B$16:$B$20,$D484)</f>
        <v>30</v>
      </c>
      <c r="I484" s="16" t="n">
        <f aca="false">IF(ISNUMBER($C$3),MIN(MAX(0,ROUND($C$3,0)),$AI484),$AI484)</f>
        <v>0</v>
      </c>
      <c r="J484" s="18" t="n">
        <f aca="false">$H484+$I484</f>
        <v>30</v>
      </c>
      <c r="K484" s="15" t="s">
        <v>109</v>
      </c>
      <c r="L484" s="19" t="n">
        <f aca="false" t="array" ref="L484:L484">IF(AND(INDEX(Profils!$F$5:$F$34,$AE484)&gt;0,INDEX(Profils!$U$5:$U$34,$AE484)&lt;=$AH484),ROUND(INDEX(Profils!$F$5:$F$34,$AE484)*Paramètres!$E$22*$AG484*$AJ484,Paramètres!$F$22),0)</f>
        <v>0</v>
      </c>
      <c r="M484" s="19" t="n">
        <f aca="false" t="array" ref="M484:M484">IF(AND(INDEX(Profils!$G$5:$G$34,$AE484)&gt;0,INDEX(Profils!$V$5:$V$34,$AE484)&lt;=$AH484),ROUND(INDEX(Profils!$G$5:$G$34,$AE484)*Paramètres!$E$23*$AG484*$AJ484,Paramètres!$F$23),0)</f>
        <v>0</v>
      </c>
      <c r="N484" s="19" t="n">
        <f aca="false" t="array" ref="N484:N484">IF(AND(INDEX(Profils!$H$5:$H$34,$AE484)&gt;0,INDEX(Profils!$W$5:$W$34,$AE484)&lt;=$AH484),ROUND(INDEX(Profils!$H$5:$H$34,$AE484)*Paramètres!$E$24*$AG484*$AJ484,Paramètres!$F$24),0)</f>
        <v>0</v>
      </c>
      <c r="O484" s="19" t="n">
        <f aca="false" t="array" ref="O484:O484">IF(AND(INDEX(Profils!$I$5:$I$34,$AE484)&gt;0,INDEX(Profils!$X$5:$X$34,$AE484)&lt;=$AH484),ROUND(INDEX(Profils!$I$5:$I$34,$AE484)*Paramètres!$E$25*$AG484*$AJ484,Paramètres!$F$25),0)</f>
        <v>0</v>
      </c>
      <c r="P484" s="19" t="n">
        <f aca="false" t="array" ref="P484:P484">IF(AND(INDEX(Profils!$J$5:$J$34,$AE484)&gt;0,INDEX(Profils!$Y$5:$Y$34,$AE484)&lt;=$AH484),ROUND(INDEX(Profils!$J$5:$J$34,$AE484)*Paramètres!$E$26*$AG484*$AJ484,Paramètres!$F$26),0)</f>
        <v>0</v>
      </c>
      <c r="Q484" s="19" t="n">
        <f aca="false" t="array" ref="Q484:Q484">IF(AND(INDEX(Profils!$K$5:$K$34,$AE484)&gt;0,INDEX(Profils!$Z$5:$Z$34,$AE484)&lt;=$AH484),ROUND(INDEX(Profils!$K$5:$K$34,$AE484)*Paramètres!$E$27*$AG484*$AJ484,Paramètres!$F$27),0)</f>
        <v>0</v>
      </c>
      <c r="R484" s="20" t="n">
        <f aca="false" t="array" ref="R484:R484">IF(AND(INDEX(Profils!$L$5:$L$34,$AE484)&gt;0,INDEX(Profils!$AA$5:$AA$34,$AE484)&lt;=$AH484),ROUND(INDEX(Profils!$L$5:$L$34,$AE484)*Paramètres!$E$28*$AG484*$AJ484,Paramètres!$F$28),0)</f>
        <v>0</v>
      </c>
      <c r="S484" s="20" t="n">
        <f aca="false" t="array" ref="S484:S484">IF(AND(INDEX(Profils!$M$5:$M$34,$AE484)&gt;0,INDEX(Profils!$AB$5:$AB$34,$AE484)&lt;=$AH484),ROUND(INDEX(Profils!$M$5:$M$34,$AE484)*Paramètres!$E$29*$AG484*$AJ484,Paramètres!$F$29),0)</f>
        <v>0.004</v>
      </c>
      <c r="T484" s="20" t="n">
        <f aca="false" t="array" ref="T484:T484">IF(AND(INDEX(Profils!$N$5:$N$34,$AE484)&gt;0,INDEX(Profils!$AC$5:$AC$34,$AE484)&lt;=$AH484),ROUND(INDEX(Profils!$N$5:$N$34,$AE484)*Paramètres!$E$30*$AG484*$AJ484,Paramètres!$F$30),0)</f>
        <v>0.01</v>
      </c>
      <c r="U484" s="19" t="n">
        <f aca="false" t="array" ref="U484:U484">IF(AND(INDEX(Profils!$O$5:$O$34,$AE484)&gt;0,INDEX(Profils!$AD$5:$AD$34,$AE484)&lt;=$AH484),ROUND(INDEX(Profils!$O$5:$O$34,$AE484)*Paramètres!$E$31*$AG484*$AJ484,Paramètres!$F$31),0)</f>
        <v>0</v>
      </c>
      <c r="V484" s="20" t="n">
        <f aca="false" t="array" ref="V484:V484">IF(AND(INDEX(Profils!$P$5:$P$34,$AE484)&gt;0,INDEX(Profils!$AE$5:$AE$34,$AE484)&lt;=$AH484),ROUND(INDEX(Profils!$P$5:$P$34,$AE484)*Paramètres!$E$32*$AG484*$AJ484,Paramètres!$F$32),0)</f>
        <v>0.005</v>
      </c>
      <c r="W484" s="20" t="n">
        <f aca="false" t="array" ref="W484:W484">IF(AND(INDEX(Profils!$Q$5:$Q$34,$AE484)&gt;0,INDEX(Profils!$AF$5:$AF$34,$AE484)&lt;=$AH484),ROUND(INDEX(Profils!$Q$5:$Q$34,$AE484)*Paramètres!$E$33*$AG484*$AJ484,Paramètres!$F$33),0)</f>
        <v>0</v>
      </c>
      <c r="X484" s="20" t="n">
        <f aca="false" t="array" ref="X484:X484">IF(AND(INDEX(Profils!$R$5:$R$34,$AE484)&gt;0,INDEX(Profils!$AG$5:$AG$34,$AE484)&lt;=$AH484),ROUND(INDEX(Profils!$R$5:$R$34,$AE484)*Paramètres!$E$34*$AG484*$AJ484,Paramètres!$F$34),0)</f>
        <v>0</v>
      </c>
      <c r="Y484" s="20" t="n">
        <f aca="false" t="array" ref="Y484:Y484">IF(AND(INDEX(Profils!$S$5:$S$34,$AE484)&gt;0,INDEX(Profils!$AH$5:$AH$34,$AE484)&lt;=$AH484),ROUND(INDEX(Profils!$S$5:$S$34,$AE484)*Paramètres!$E$35*$AG484*$AJ484,Paramètres!$F$35),0)</f>
        <v>0</v>
      </c>
      <c r="Z484" s="21" t="n">
        <f aca="false">ROUND(L484/Paramètres!$E$22+M484/Paramètres!$E$23+N484/Paramètres!$E$24+O484/Paramètres!$E$25+P484/Paramètres!$E$26+Q484/Paramètres!$E$27+R484/Paramètres!$E$28+S484/Paramètres!$E$29+T484/Paramètres!$E$30+U484/Paramètres!$E$31+V484/Paramètres!$E$32+W484/Paramètres!$E$33+X484/Paramètres!$E$34+Y484/Paramètres!$E$35,1)</f>
        <v>1</v>
      </c>
      <c r="AA484" s="22" t="s">
        <v>109</v>
      </c>
      <c r="AB484" s="22" t="s">
        <v>109</v>
      </c>
      <c r="AC484" s="15" t="str">
        <f aca="false">$E484</f>
        <v>or</v>
      </c>
      <c r="AD484" s="16" t="n">
        <f aca="false" t="array" ref="AD484:AD484">IF($I484&gt;=$AI484,"Max",ROUND(Paramètres!$B$40*($I484+1)^Paramètres!$B$41*INDEX(Paramètres!$H$6:$H$12,$AF484),0))</f>
        <v>4</v>
      </c>
      <c r="AE484" s="23" t="n">
        <f aca="false">MATCH($B484&amp;"|"&amp;$C484,Profils!$A$5:$A$34,0)</f>
        <v>16</v>
      </c>
      <c r="AF484" s="23" t="n">
        <v>2</v>
      </c>
      <c r="AG484" s="24" t="n">
        <f aca="false" t="array" ref="AG484:AG484">INDEX(Paramètres!$C$6:$C$12,$AF484)</f>
        <v>1.2</v>
      </c>
      <c r="AH484" s="23" t="n">
        <f aca="false" t="array" ref="AH484:AH484">INDEX(Paramètres!$D$6:$D$12,$AF484)</f>
        <v>3</v>
      </c>
      <c r="AI484" s="23" t="n">
        <f aca="false" t="array" ref="AI484:AI484">INDEX(Matériaux!$C$16:$C$20,$D484)</f>
        <v>25</v>
      </c>
      <c r="AJ484" s="25" t="n">
        <f aca="false">Paramètres!$B$16+(1-Paramètres!$B$16)*(($J484-Paramètres!$B$14)/(Paramètres!$B$15-Paramètres!$B$14))^Paramètres!$B$17</f>
        <v>0.26769024555533</v>
      </c>
    </row>
    <row r="485" customFormat="false" ht="15.75" hidden="false" customHeight="true" outlineLevel="0" collapsed="false">
      <c r="A485" s="14" t="s">
        <v>601</v>
      </c>
      <c r="B485" s="15" t="s">
        <v>29</v>
      </c>
      <c r="C485" s="15" t="s">
        <v>273</v>
      </c>
      <c r="D485" s="16" t="n">
        <v>3</v>
      </c>
      <c r="E485" s="15" t="str">
        <f aca="false" t="array" ref="E485:E485">INDEX(Matériaux!$B$5:$F$12,MATCH(INDEX(Profils!$E$5:$E$34,$AE485),Matériaux!$A$5:$A$12,0),$D485)</f>
        <v>or</v>
      </c>
      <c r="F485" s="27" t="s">
        <v>113</v>
      </c>
      <c r="G485" s="10" t="str">
        <f aca="false" t="array" ref="G485:G485">INDEX(Profils!$D$5:$D$34,$AE485)&amp;" en "&amp;$E485</f>
        <v>Anneau runique en or</v>
      </c>
      <c r="H485" s="16" t="n">
        <f aca="false" t="array" ref="H485:H485">INDEX(Matériaux!$B$16:$B$20,$D485)</f>
        <v>30</v>
      </c>
      <c r="I485" s="16" t="n">
        <f aca="false">IF(ISNUMBER($C$3),MIN(MAX(0,ROUND($C$3,0)),$AI485),$AI485)</f>
        <v>0</v>
      </c>
      <c r="J485" s="18" t="n">
        <f aca="false">$H485+$I485</f>
        <v>30</v>
      </c>
      <c r="K485" s="15" t="s">
        <v>109</v>
      </c>
      <c r="L485" s="19" t="n">
        <f aca="false" t="array" ref="L485:L485">IF(AND(INDEX(Profils!$F$5:$F$34,$AE485)&gt;0,INDEX(Profils!$U$5:$U$34,$AE485)&lt;=$AH485),ROUND(INDEX(Profils!$F$5:$F$34,$AE485)*Paramètres!$E$22*$AG485*$AJ485,Paramètres!$F$22),0)</f>
        <v>0</v>
      </c>
      <c r="M485" s="19" t="n">
        <f aca="false" t="array" ref="M485:M485">IF(AND(INDEX(Profils!$G$5:$G$34,$AE485)&gt;0,INDEX(Profils!$V$5:$V$34,$AE485)&lt;=$AH485),ROUND(INDEX(Profils!$G$5:$G$34,$AE485)*Paramètres!$E$23*$AG485*$AJ485,Paramètres!$F$23),0)</f>
        <v>0</v>
      </c>
      <c r="N485" s="19" t="n">
        <f aca="false" t="array" ref="N485:N485">IF(AND(INDEX(Profils!$H$5:$H$34,$AE485)&gt;0,INDEX(Profils!$W$5:$W$34,$AE485)&lt;=$AH485),ROUND(INDEX(Profils!$H$5:$H$34,$AE485)*Paramètres!$E$24*$AG485*$AJ485,Paramètres!$F$24),0)</f>
        <v>0</v>
      </c>
      <c r="O485" s="19" t="n">
        <f aca="false" t="array" ref="O485:O485">IF(AND(INDEX(Profils!$I$5:$I$34,$AE485)&gt;0,INDEX(Profils!$X$5:$X$34,$AE485)&lt;=$AH485),ROUND(INDEX(Profils!$I$5:$I$34,$AE485)*Paramètres!$E$25*$AG485*$AJ485,Paramètres!$F$25),0)</f>
        <v>5</v>
      </c>
      <c r="P485" s="19" t="n">
        <f aca="false" t="array" ref="P485:P485">IF(AND(INDEX(Profils!$J$5:$J$34,$AE485)&gt;0,INDEX(Profils!$Y$5:$Y$34,$AE485)&lt;=$AH485),ROUND(INDEX(Profils!$J$5:$J$34,$AE485)*Paramètres!$E$26*$AG485*$AJ485,Paramètres!$F$26),0)</f>
        <v>0</v>
      </c>
      <c r="Q485" s="19" t="n">
        <f aca="false" t="array" ref="Q485:Q485">IF(AND(INDEX(Profils!$K$5:$K$34,$AE485)&gt;0,INDEX(Profils!$Z$5:$Z$34,$AE485)&lt;=$AH485),ROUND(INDEX(Profils!$K$5:$K$34,$AE485)*Paramètres!$E$27*$AG485*$AJ485,Paramètres!$F$27),0)</f>
        <v>0</v>
      </c>
      <c r="R485" s="20" t="n">
        <f aca="false" t="array" ref="R485:R485">IF(AND(INDEX(Profils!$L$5:$L$34,$AE485)&gt;0,INDEX(Profils!$AA$5:$AA$34,$AE485)&lt;=$AH485),ROUND(INDEX(Profils!$L$5:$L$34,$AE485)*Paramètres!$E$28*$AG485*$AJ485,Paramètres!$F$28),0)</f>
        <v>0</v>
      </c>
      <c r="S485" s="20" t="n">
        <f aca="false" t="array" ref="S485:S485">IF(AND(INDEX(Profils!$M$5:$M$34,$AE485)&gt;0,INDEX(Profils!$AB$5:$AB$34,$AE485)&lt;=$AH485),ROUND(INDEX(Profils!$M$5:$M$34,$AE485)*Paramètres!$E$29*$AG485*$AJ485,Paramètres!$F$29),0)</f>
        <v>0.005</v>
      </c>
      <c r="T485" s="20" t="n">
        <f aca="false" t="array" ref="T485:T485">IF(AND(INDEX(Profils!$N$5:$N$34,$AE485)&gt;0,INDEX(Profils!$AC$5:$AC$34,$AE485)&lt;=$AH485),ROUND(INDEX(Profils!$N$5:$N$34,$AE485)*Paramètres!$E$30*$AG485*$AJ485,Paramètres!$F$30),0)</f>
        <v>0.012</v>
      </c>
      <c r="U485" s="19" t="n">
        <f aca="false" t="array" ref="U485:U485">IF(AND(INDEX(Profils!$O$5:$O$34,$AE485)&gt;0,INDEX(Profils!$AD$5:$AD$34,$AE485)&lt;=$AH485),ROUND(INDEX(Profils!$O$5:$O$34,$AE485)*Paramètres!$E$31*$AG485*$AJ485,Paramètres!$F$31),0)</f>
        <v>0</v>
      </c>
      <c r="V485" s="20" t="n">
        <f aca="false" t="array" ref="V485:V485">IF(AND(INDEX(Profils!$P$5:$P$34,$AE485)&gt;0,INDEX(Profils!$AE$5:$AE$34,$AE485)&lt;=$AH485),ROUND(INDEX(Profils!$P$5:$P$34,$AE485)*Paramètres!$E$32*$AG485*$AJ485,Paramètres!$F$32),0)</f>
        <v>0.006</v>
      </c>
      <c r="W485" s="20" t="n">
        <f aca="false" t="array" ref="W485:W485">IF(AND(INDEX(Profils!$Q$5:$Q$34,$AE485)&gt;0,INDEX(Profils!$AF$5:$AF$34,$AE485)&lt;=$AH485),ROUND(INDEX(Profils!$Q$5:$Q$34,$AE485)*Paramètres!$E$33*$AG485*$AJ485,Paramètres!$F$33),0)</f>
        <v>0</v>
      </c>
      <c r="X485" s="20" t="n">
        <f aca="false" t="array" ref="X485:X485">IF(AND(INDEX(Profils!$R$5:$R$34,$AE485)&gt;0,INDEX(Profils!$AG$5:$AG$34,$AE485)&lt;=$AH485),ROUND(INDEX(Profils!$R$5:$R$34,$AE485)*Paramètres!$E$34*$AG485*$AJ485,Paramètres!$F$34),0)</f>
        <v>0</v>
      </c>
      <c r="Y485" s="20" t="n">
        <f aca="false" t="array" ref="Y485:Y485">IF(AND(INDEX(Profils!$S$5:$S$34,$AE485)&gt;0,INDEX(Profils!$AH$5:$AH$34,$AE485)&lt;=$AH485),ROUND(INDEX(Profils!$S$5:$S$34,$AE485)*Paramètres!$E$35*$AG485*$AJ485,Paramètres!$F$35),0)</f>
        <v>0</v>
      </c>
      <c r="Z485" s="21" t="n">
        <f aca="false">ROUND(L485/Paramètres!$E$22+M485/Paramètres!$E$23+N485/Paramètres!$E$24+O485/Paramètres!$E$25+P485/Paramètres!$E$26+Q485/Paramètres!$E$27+R485/Paramètres!$E$28+S485/Paramètres!$E$29+T485/Paramètres!$E$30+U485/Paramètres!$E$31+V485/Paramètres!$E$32+W485/Paramètres!$E$33+X485/Paramètres!$E$34+Y485/Paramètres!$E$35,1)</f>
        <v>1.6</v>
      </c>
      <c r="AA485" s="22" t="s">
        <v>109</v>
      </c>
      <c r="AB485" s="22" t="s">
        <v>109</v>
      </c>
      <c r="AC485" s="15" t="str">
        <f aca="false">$E485</f>
        <v>or</v>
      </c>
      <c r="AD485" s="16" t="n">
        <f aca="false" t="array" ref="AD485:AD485">IF($I485&gt;=$AI485,"Max",ROUND(Paramètres!$B$40*($I485+1)^Paramètres!$B$41*INDEX(Paramètres!$H$6:$H$12,$AF485),0))</f>
        <v>4</v>
      </c>
      <c r="AE485" s="23" t="n">
        <f aca="false">MATCH($B485&amp;"|"&amp;$C485,Profils!$A$5:$A$34,0)</f>
        <v>16</v>
      </c>
      <c r="AF485" s="23" t="n">
        <v>3</v>
      </c>
      <c r="AG485" s="24" t="n">
        <f aca="false" t="array" ref="AG485:AG485">INDEX(Paramètres!$C$6:$C$12,$AF485)</f>
        <v>1.45</v>
      </c>
      <c r="AH485" s="23" t="n">
        <f aca="false" t="array" ref="AH485:AH485">INDEX(Paramètres!$D$6:$D$12,$AF485)</f>
        <v>4</v>
      </c>
      <c r="AI485" s="23" t="n">
        <f aca="false" t="array" ref="AI485:AI485">INDEX(Matériaux!$C$16:$C$20,$D485)</f>
        <v>25</v>
      </c>
      <c r="AJ485" s="25" t="n">
        <f aca="false">Paramètres!$B$16+(1-Paramètres!$B$16)*(($J485-Paramètres!$B$14)/(Paramètres!$B$15-Paramètres!$B$14))^Paramètres!$B$17</f>
        <v>0.26769024555533</v>
      </c>
    </row>
    <row r="486" customFormat="false" ht="15.75" hidden="false" customHeight="true" outlineLevel="0" collapsed="false">
      <c r="A486" s="14" t="s">
        <v>602</v>
      </c>
      <c r="B486" s="15" t="s">
        <v>29</v>
      </c>
      <c r="C486" s="15" t="s">
        <v>273</v>
      </c>
      <c r="D486" s="16" t="n">
        <v>3</v>
      </c>
      <c r="E486" s="15" t="str">
        <f aca="false" t="array" ref="E486:E486">INDEX(Matériaux!$B$5:$F$12,MATCH(INDEX(Profils!$E$5:$E$34,$AE486),Matériaux!$A$5:$A$12,0),$D486)</f>
        <v>or</v>
      </c>
      <c r="F486" s="28" t="s">
        <v>115</v>
      </c>
      <c r="G486" s="10" t="str">
        <f aca="false" t="array" ref="G486:G486">INDEX(Profils!$D$5:$D$34,$AE486)&amp;" en "&amp;$E486</f>
        <v>Anneau runique en or</v>
      </c>
      <c r="H486" s="16" t="n">
        <f aca="false" t="array" ref="H486:H486">INDEX(Matériaux!$B$16:$B$20,$D486)</f>
        <v>30</v>
      </c>
      <c r="I486" s="16" t="n">
        <f aca="false">IF(ISNUMBER($C$3),MIN(MAX(0,ROUND($C$3,0)),$AI486),$AI486)</f>
        <v>0</v>
      </c>
      <c r="J486" s="18" t="n">
        <f aca="false">$H486+$I486</f>
        <v>30</v>
      </c>
      <c r="K486" s="15" t="s">
        <v>109</v>
      </c>
      <c r="L486" s="19" t="n">
        <f aca="false" t="array" ref="L486:L486">IF(AND(INDEX(Profils!$F$5:$F$34,$AE486)&gt;0,INDEX(Profils!$U$5:$U$34,$AE486)&lt;=$AH486),ROUND(INDEX(Profils!$F$5:$F$34,$AE486)*Paramètres!$E$22*$AG486*$AJ486,Paramètres!$F$22),0)</f>
        <v>0</v>
      </c>
      <c r="M486" s="19" t="n">
        <f aca="false" t="array" ref="M486:M486">IF(AND(INDEX(Profils!$G$5:$G$34,$AE486)&gt;0,INDEX(Profils!$V$5:$V$34,$AE486)&lt;=$AH486),ROUND(INDEX(Profils!$G$5:$G$34,$AE486)*Paramètres!$E$23*$AG486*$AJ486,Paramètres!$F$23),0)</f>
        <v>0</v>
      </c>
      <c r="N486" s="19" t="n">
        <f aca="false" t="array" ref="N486:N486">IF(AND(INDEX(Profils!$H$5:$H$34,$AE486)&gt;0,INDEX(Profils!$W$5:$W$34,$AE486)&lt;=$AH486),ROUND(INDEX(Profils!$H$5:$H$34,$AE486)*Paramètres!$E$24*$AG486*$AJ486,Paramètres!$F$24),0)</f>
        <v>0</v>
      </c>
      <c r="O486" s="19" t="n">
        <f aca="false" t="array" ref="O486:O486">IF(AND(INDEX(Profils!$I$5:$I$34,$AE486)&gt;0,INDEX(Profils!$X$5:$X$34,$AE486)&lt;=$AH486),ROUND(INDEX(Profils!$I$5:$I$34,$AE486)*Paramètres!$E$25*$AG486*$AJ486,Paramètres!$F$25),0)</f>
        <v>6</v>
      </c>
      <c r="P486" s="19" t="n">
        <f aca="false" t="array" ref="P486:P486">IF(AND(INDEX(Profils!$J$5:$J$34,$AE486)&gt;0,INDEX(Profils!$Y$5:$Y$34,$AE486)&lt;=$AH486),ROUND(INDEX(Profils!$J$5:$J$34,$AE486)*Paramètres!$E$26*$AG486*$AJ486,Paramètres!$F$26),0)</f>
        <v>0</v>
      </c>
      <c r="Q486" s="19" t="n">
        <f aca="false" t="array" ref="Q486:Q486">IF(AND(INDEX(Profils!$K$5:$K$34,$AE486)&gt;0,INDEX(Profils!$Z$5:$Z$34,$AE486)&lt;=$AH486),ROUND(INDEX(Profils!$K$5:$K$34,$AE486)*Paramètres!$E$27*$AG486*$AJ486,Paramètres!$F$27),0)</f>
        <v>0</v>
      </c>
      <c r="R486" s="20" t="n">
        <f aca="false" t="array" ref="R486:R486">IF(AND(INDEX(Profils!$L$5:$L$34,$AE486)&gt;0,INDEX(Profils!$AA$5:$AA$34,$AE486)&lt;=$AH486),ROUND(INDEX(Profils!$L$5:$L$34,$AE486)*Paramètres!$E$28*$AG486*$AJ486,Paramètres!$F$28),0)</f>
        <v>0.006</v>
      </c>
      <c r="S486" s="20" t="n">
        <f aca="false" t="array" ref="S486:S486">IF(AND(INDEX(Profils!$M$5:$M$34,$AE486)&gt;0,INDEX(Profils!$AB$5:$AB$34,$AE486)&lt;=$AH486),ROUND(INDEX(Profils!$M$5:$M$34,$AE486)*Paramètres!$E$29*$AG486*$AJ486,Paramètres!$F$29),0)</f>
        <v>0.006</v>
      </c>
      <c r="T486" s="20" t="n">
        <f aca="false" t="array" ref="T486:T486">IF(AND(INDEX(Profils!$N$5:$N$34,$AE486)&gt;0,INDEX(Profils!$AC$5:$AC$34,$AE486)&lt;=$AH486),ROUND(INDEX(Profils!$N$5:$N$34,$AE486)*Paramètres!$E$30*$AG486*$AJ486,Paramètres!$F$30),0)</f>
        <v>0.014</v>
      </c>
      <c r="U486" s="19" t="n">
        <f aca="false" t="array" ref="U486:U486">IF(AND(INDEX(Profils!$O$5:$O$34,$AE486)&gt;0,INDEX(Profils!$AD$5:$AD$34,$AE486)&lt;=$AH486),ROUND(INDEX(Profils!$O$5:$O$34,$AE486)*Paramètres!$E$31*$AG486*$AJ486,Paramètres!$F$31),0)</f>
        <v>0</v>
      </c>
      <c r="V486" s="20" t="n">
        <f aca="false" t="array" ref="V486:V486">IF(AND(INDEX(Profils!$P$5:$P$34,$AE486)&gt;0,INDEX(Profils!$AE$5:$AE$34,$AE486)&lt;=$AH486),ROUND(INDEX(Profils!$P$5:$P$34,$AE486)*Paramètres!$E$32*$AG486*$AJ486,Paramètres!$F$32),0)</f>
        <v>0.007</v>
      </c>
      <c r="W486" s="20" t="n">
        <f aca="false" t="array" ref="W486:W486">IF(AND(INDEX(Profils!$Q$5:$Q$34,$AE486)&gt;0,INDEX(Profils!$AF$5:$AF$34,$AE486)&lt;=$AH486),ROUND(INDEX(Profils!$Q$5:$Q$34,$AE486)*Paramètres!$E$33*$AG486*$AJ486,Paramètres!$F$33),0)</f>
        <v>0</v>
      </c>
      <c r="X486" s="20" t="n">
        <f aca="false" t="array" ref="X486:X486">IF(AND(INDEX(Profils!$R$5:$R$34,$AE486)&gt;0,INDEX(Profils!$AG$5:$AG$34,$AE486)&lt;=$AH486),ROUND(INDEX(Profils!$R$5:$R$34,$AE486)*Paramètres!$E$34*$AG486*$AJ486,Paramètres!$F$34),0)</f>
        <v>0</v>
      </c>
      <c r="Y486" s="20" t="n">
        <f aca="false" t="array" ref="Y486:Y486">IF(AND(INDEX(Profils!$S$5:$S$34,$AE486)&gt;0,INDEX(Profils!$AH$5:$AH$34,$AE486)&lt;=$AH486),ROUND(INDEX(Profils!$S$5:$S$34,$AE486)*Paramètres!$E$35*$AG486*$AJ486,Paramètres!$F$35),0)</f>
        <v>0</v>
      </c>
      <c r="Z486" s="21" t="n">
        <f aca="false">ROUND(L486/Paramètres!$E$22+M486/Paramètres!$E$23+N486/Paramètres!$E$24+O486/Paramètres!$E$25+P486/Paramètres!$E$26+Q486/Paramètres!$E$27+R486/Paramètres!$E$28+S486/Paramètres!$E$29+T486/Paramètres!$E$30+U486/Paramètres!$E$31+V486/Paramètres!$E$32+W486/Paramètres!$E$33+X486/Paramètres!$E$34+Y486/Paramètres!$E$35,1)</f>
        <v>2.2</v>
      </c>
      <c r="AA486" s="22" t="s">
        <v>109</v>
      </c>
      <c r="AB486" s="22" t="s">
        <v>109</v>
      </c>
      <c r="AC486" s="15" t="str">
        <f aca="false">$E486</f>
        <v>or</v>
      </c>
      <c r="AD486" s="16" t="n">
        <f aca="false" t="array" ref="AD486:AD486">IF($I486&gt;=$AI486,"Max",ROUND(Paramètres!$B$40*($I486+1)^Paramètres!$B$41*INDEX(Paramètres!$H$6:$H$12,$AF486),0))</f>
        <v>5</v>
      </c>
      <c r="AE486" s="23" t="n">
        <f aca="false">MATCH($B486&amp;"|"&amp;$C486,Profils!$A$5:$A$34,0)</f>
        <v>16</v>
      </c>
      <c r="AF486" s="23" t="n">
        <v>4</v>
      </c>
      <c r="AG486" s="24" t="n">
        <f aca="false" t="array" ref="AG486:AG486">INDEX(Paramètres!$C$6:$C$12,$AF486)</f>
        <v>1.75</v>
      </c>
      <c r="AH486" s="23" t="n">
        <f aca="false" t="array" ref="AH486:AH486">INDEX(Paramètres!$D$6:$D$12,$AF486)</f>
        <v>5</v>
      </c>
      <c r="AI486" s="23" t="n">
        <f aca="false" t="array" ref="AI486:AI486">INDEX(Matériaux!$C$16:$C$20,$D486)</f>
        <v>25</v>
      </c>
      <c r="AJ486" s="25" t="n">
        <f aca="false">Paramètres!$B$16+(1-Paramètres!$B$16)*(($J486-Paramètres!$B$14)/(Paramètres!$B$15-Paramètres!$B$14))^Paramètres!$B$17</f>
        <v>0.26769024555533</v>
      </c>
    </row>
    <row r="487" customFormat="false" ht="15.75" hidden="false" customHeight="true" outlineLevel="0" collapsed="false">
      <c r="A487" s="14" t="s">
        <v>603</v>
      </c>
      <c r="B487" s="15" t="s">
        <v>29</v>
      </c>
      <c r="C487" s="15" t="s">
        <v>273</v>
      </c>
      <c r="D487" s="16" t="n">
        <v>3</v>
      </c>
      <c r="E487" s="15" t="str">
        <f aca="false" t="array" ref="E487:E487">INDEX(Matériaux!$B$5:$F$12,MATCH(INDEX(Profils!$E$5:$E$34,$AE487),Matériaux!$A$5:$A$12,0),$D487)</f>
        <v>or</v>
      </c>
      <c r="F487" s="29" t="s">
        <v>117</v>
      </c>
      <c r="G487" s="10" t="str">
        <f aca="false" t="array" ref="G487:G487">INDEX(Profils!$D$5:$D$34,$AE487)&amp;" en "&amp;$E487</f>
        <v>Anneau runique en or</v>
      </c>
      <c r="H487" s="16" t="n">
        <f aca="false" t="array" ref="H487:H487">INDEX(Matériaux!$B$16:$B$20,$D487)</f>
        <v>30</v>
      </c>
      <c r="I487" s="16" t="n">
        <f aca="false">IF(ISNUMBER($C$3),MIN(MAX(0,ROUND($C$3,0)),$AI487),$AI487)</f>
        <v>0</v>
      </c>
      <c r="J487" s="18" t="n">
        <f aca="false">$H487+$I487</f>
        <v>30</v>
      </c>
      <c r="K487" s="15" t="s">
        <v>109</v>
      </c>
      <c r="L487" s="19" t="n">
        <f aca="false" t="array" ref="L487:L487">IF(AND(INDEX(Profils!$F$5:$F$34,$AE487)&gt;0,INDEX(Profils!$U$5:$U$34,$AE487)&lt;=$AH487),ROUND(INDEX(Profils!$F$5:$F$34,$AE487)*Paramètres!$E$22*$AG487*$AJ487,Paramètres!$F$22),0)</f>
        <v>8</v>
      </c>
      <c r="M487" s="19" t="n">
        <f aca="false" t="array" ref="M487:M487">IF(AND(INDEX(Profils!$G$5:$G$34,$AE487)&gt;0,INDEX(Profils!$V$5:$V$34,$AE487)&lt;=$AH487),ROUND(INDEX(Profils!$G$5:$G$34,$AE487)*Paramètres!$E$23*$AG487*$AJ487,Paramètres!$F$23),0)</f>
        <v>0</v>
      </c>
      <c r="N487" s="19" t="n">
        <f aca="false" t="array" ref="N487:N487">IF(AND(INDEX(Profils!$H$5:$H$34,$AE487)&gt;0,INDEX(Profils!$W$5:$W$34,$AE487)&lt;=$AH487),ROUND(INDEX(Profils!$H$5:$H$34,$AE487)*Paramètres!$E$24*$AG487*$AJ487,Paramètres!$F$24),0)</f>
        <v>0</v>
      </c>
      <c r="O487" s="19" t="n">
        <f aca="false" t="array" ref="O487:O487">IF(AND(INDEX(Profils!$I$5:$I$34,$AE487)&gt;0,INDEX(Profils!$X$5:$X$34,$AE487)&lt;=$AH487),ROUND(INDEX(Profils!$I$5:$I$34,$AE487)*Paramètres!$E$25*$AG487*$AJ487,Paramètres!$F$25),0)</f>
        <v>7</v>
      </c>
      <c r="P487" s="19" t="n">
        <f aca="false" t="array" ref="P487:P487">IF(AND(INDEX(Profils!$J$5:$J$34,$AE487)&gt;0,INDEX(Profils!$Y$5:$Y$34,$AE487)&lt;=$AH487),ROUND(INDEX(Profils!$J$5:$J$34,$AE487)*Paramètres!$E$26*$AG487*$AJ487,Paramètres!$F$26),0)</f>
        <v>0</v>
      </c>
      <c r="Q487" s="19" t="n">
        <f aca="false" t="array" ref="Q487:Q487">IF(AND(INDEX(Profils!$K$5:$K$34,$AE487)&gt;0,INDEX(Profils!$Z$5:$Z$34,$AE487)&lt;=$AH487),ROUND(INDEX(Profils!$K$5:$K$34,$AE487)*Paramètres!$E$27*$AG487*$AJ487,Paramètres!$F$27),0)</f>
        <v>0</v>
      </c>
      <c r="R487" s="20" t="n">
        <f aca="false" t="array" ref="R487:R487">IF(AND(INDEX(Profils!$L$5:$L$34,$AE487)&gt;0,INDEX(Profils!$AA$5:$AA$34,$AE487)&lt;=$AH487),ROUND(INDEX(Profils!$L$5:$L$34,$AE487)*Paramètres!$E$28*$AG487*$AJ487,Paramètres!$F$28),0)</f>
        <v>0.007</v>
      </c>
      <c r="S487" s="20" t="n">
        <f aca="false" t="array" ref="S487:S487">IF(AND(INDEX(Profils!$M$5:$M$34,$AE487)&gt;0,INDEX(Profils!$AB$5:$AB$34,$AE487)&lt;=$AH487),ROUND(INDEX(Profils!$M$5:$M$34,$AE487)*Paramètres!$E$29*$AG487*$AJ487,Paramètres!$F$29),0)</f>
        <v>0.007</v>
      </c>
      <c r="T487" s="20" t="n">
        <f aca="false" t="array" ref="T487:T487">IF(AND(INDEX(Profils!$N$5:$N$34,$AE487)&gt;0,INDEX(Profils!$AC$5:$AC$34,$AE487)&lt;=$AH487),ROUND(INDEX(Profils!$N$5:$N$34,$AE487)*Paramètres!$E$30*$AG487*$AJ487,Paramètres!$F$30),0)</f>
        <v>0.017</v>
      </c>
      <c r="U487" s="19" t="n">
        <f aca="false" t="array" ref="U487:U487">IF(AND(INDEX(Profils!$O$5:$O$34,$AE487)&gt;0,INDEX(Profils!$AD$5:$AD$34,$AE487)&lt;=$AH487),ROUND(INDEX(Profils!$O$5:$O$34,$AE487)*Paramètres!$E$31*$AG487*$AJ487,Paramètres!$F$31),0)</f>
        <v>0</v>
      </c>
      <c r="V487" s="20" t="n">
        <f aca="false" t="array" ref="V487:V487">IF(AND(INDEX(Profils!$P$5:$P$34,$AE487)&gt;0,INDEX(Profils!$AE$5:$AE$34,$AE487)&lt;=$AH487),ROUND(INDEX(Profils!$P$5:$P$34,$AE487)*Paramètres!$E$32*$AG487*$AJ487,Paramètres!$F$32),0)</f>
        <v>0.008</v>
      </c>
      <c r="W487" s="20" t="n">
        <f aca="false" t="array" ref="W487:W487">IF(AND(INDEX(Profils!$Q$5:$Q$34,$AE487)&gt;0,INDEX(Profils!$AF$5:$AF$34,$AE487)&lt;=$AH487),ROUND(INDEX(Profils!$Q$5:$Q$34,$AE487)*Paramètres!$E$33*$AG487*$AJ487,Paramètres!$F$33),0)</f>
        <v>0</v>
      </c>
      <c r="X487" s="20" t="n">
        <f aca="false" t="array" ref="X487:X487">IF(AND(INDEX(Profils!$R$5:$R$34,$AE487)&gt;0,INDEX(Profils!$AG$5:$AG$34,$AE487)&lt;=$AH487),ROUND(INDEX(Profils!$R$5:$R$34,$AE487)*Paramètres!$E$34*$AG487*$AJ487,Paramètres!$F$34),0)</f>
        <v>0</v>
      </c>
      <c r="Y487" s="20" t="n">
        <f aca="false" t="array" ref="Y487:Y487">IF(AND(INDEX(Profils!$S$5:$S$34,$AE487)&gt;0,INDEX(Profils!$AH$5:$AH$34,$AE487)&lt;=$AH487),ROUND(INDEX(Profils!$S$5:$S$34,$AE487)*Paramètres!$E$35*$AG487*$AJ487,Paramètres!$F$35),0)</f>
        <v>0</v>
      </c>
      <c r="Z487" s="21" t="n">
        <f aca="false">ROUND(L487/Paramètres!$E$22+M487/Paramètres!$E$23+N487/Paramètres!$E$24+O487/Paramètres!$E$25+P487/Paramètres!$E$26+Q487/Paramètres!$E$27+R487/Paramètres!$E$28+S487/Paramètres!$E$29+T487/Paramètres!$E$30+U487/Paramètres!$E$31+V487/Paramètres!$E$32+W487/Paramètres!$E$33+X487/Paramètres!$E$34+Y487/Paramètres!$E$35,1)</f>
        <v>2.9</v>
      </c>
      <c r="AA487" s="22" t="s">
        <v>109</v>
      </c>
      <c r="AB487" s="22" t="s">
        <v>109</v>
      </c>
      <c r="AC487" s="15" t="str">
        <f aca="false">$E487</f>
        <v>or</v>
      </c>
      <c r="AD487" s="16" t="n">
        <f aca="false" t="array" ref="AD487:AD487">IF($I487&gt;=$AI487,"Max",ROUND(Paramètres!$B$40*($I487+1)^Paramètres!$B$41*INDEX(Paramètres!$H$6:$H$12,$AF487),0))</f>
        <v>6</v>
      </c>
      <c r="AE487" s="23" t="n">
        <f aca="false">MATCH($B487&amp;"|"&amp;$C487,Profils!$A$5:$A$34,0)</f>
        <v>16</v>
      </c>
      <c r="AF487" s="23" t="n">
        <v>5</v>
      </c>
      <c r="AG487" s="24" t="n">
        <f aca="false" t="array" ref="AG487:AG487">INDEX(Paramètres!$C$6:$C$12,$AF487)</f>
        <v>2.1</v>
      </c>
      <c r="AH487" s="23" t="n">
        <f aca="false" t="array" ref="AH487:AH487">INDEX(Paramètres!$D$6:$D$12,$AF487)</f>
        <v>6</v>
      </c>
      <c r="AI487" s="23" t="n">
        <f aca="false" t="array" ref="AI487:AI487">INDEX(Matériaux!$C$16:$C$20,$D487)</f>
        <v>25</v>
      </c>
      <c r="AJ487" s="25" t="n">
        <f aca="false">Paramètres!$B$16+(1-Paramètres!$B$16)*(($J487-Paramètres!$B$14)/(Paramètres!$B$15-Paramètres!$B$14))^Paramètres!$B$17</f>
        <v>0.26769024555533</v>
      </c>
    </row>
    <row r="488" customFormat="false" ht="15.75" hidden="false" customHeight="true" outlineLevel="0" collapsed="false">
      <c r="A488" s="14" t="s">
        <v>604</v>
      </c>
      <c r="B488" s="15" t="s">
        <v>29</v>
      </c>
      <c r="C488" s="15" t="s">
        <v>273</v>
      </c>
      <c r="D488" s="16" t="n">
        <v>3</v>
      </c>
      <c r="E488" s="15" t="str">
        <f aca="false" t="array" ref="E488:E488">INDEX(Matériaux!$B$5:$F$12,MATCH(INDEX(Profils!$E$5:$E$34,$AE488),Matériaux!$A$5:$A$12,0),$D488)</f>
        <v>or</v>
      </c>
      <c r="F488" s="30" t="s">
        <v>119</v>
      </c>
      <c r="G488" s="10" t="str">
        <f aca="false" t="array" ref="G488:G488">INDEX(Profils!$D$5:$D$34,$AE488)&amp;" en "&amp;$E488</f>
        <v>Anneau runique en or</v>
      </c>
      <c r="H488" s="16" t="n">
        <f aca="false" t="array" ref="H488:H488">INDEX(Matériaux!$B$16:$B$20,$D488)</f>
        <v>30</v>
      </c>
      <c r="I488" s="16" t="n">
        <f aca="false">IF(ISNUMBER($C$3),MIN(MAX(0,ROUND($C$3,0)),$AI488),$AI488)</f>
        <v>0</v>
      </c>
      <c r="J488" s="18" t="n">
        <f aca="false">$H488+$I488</f>
        <v>30</v>
      </c>
      <c r="K488" s="15" t="s">
        <v>109</v>
      </c>
      <c r="L488" s="19" t="n">
        <f aca="false" t="array" ref="L488:L488">IF(AND(INDEX(Profils!$F$5:$F$34,$AE488)&gt;0,INDEX(Profils!$U$5:$U$34,$AE488)&lt;=$AH488),ROUND(INDEX(Profils!$F$5:$F$34,$AE488)*Paramètres!$E$22*$AG488*$AJ488,Paramètres!$F$22),0)</f>
        <v>10</v>
      </c>
      <c r="M488" s="19" t="n">
        <f aca="false" t="array" ref="M488:M488">IF(AND(INDEX(Profils!$G$5:$G$34,$AE488)&gt;0,INDEX(Profils!$V$5:$V$34,$AE488)&lt;=$AH488),ROUND(INDEX(Profils!$G$5:$G$34,$AE488)*Paramètres!$E$23*$AG488*$AJ488,Paramètres!$F$23),0)</f>
        <v>0</v>
      </c>
      <c r="N488" s="19" t="n">
        <f aca="false" t="array" ref="N488:N488">IF(AND(INDEX(Profils!$H$5:$H$34,$AE488)&gt;0,INDEX(Profils!$W$5:$W$34,$AE488)&lt;=$AH488),ROUND(INDEX(Profils!$H$5:$H$34,$AE488)*Paramètres!$E$24*$AG488*$AJ488,Paramètres!$F$24),0)</f>
        <v>0</v>
      </c>
      <c r="O488" s="19" t="n">
        <f aca="false" t="array" ref="O488:O488">IF(AND(INDEX(Profils!$I$5:$I$34,$AE488)&gt;0,INDEX(Profils!$X$5:$X$34,$AE488)&lt;=$AH488),ROUND(INDEX(Profils!$I$5:$I$34,$AE488)*Paramètres!$E$25*$AG488*$AJ488,Paramètres!$F$25),0)</f>
        <v>8</v>
      </c>
      <c r="P488" s="19" t="n">
        <f aca="false" t="array" ref="P488:P488">IF(AND(INDEX(Profils!$J$5:$J$34,$AE488)&gt;0,INDEX(Profils!$Y$5:$Y$34,$AE488)&lt;=$AH488),ROUND(INDEX(Profils!$J$5:$J$34,$AE488)*Paramètres!$E$26*$AG488*$AJ488,Paramètres!$F$26),0)</f>
        <v>5</v>
      </c>
      <c r="Q488" s="19" t="n">
        <f aca="false" t="array" ref="Q488:Q488">IF(AND(INDEX(Profils!$K$5:$K$34,$AE488)&gt;0,INDEX(Profils!$Z$5:$Z$34,$AE488)&lt;=$AH488),ROUND(INDEX(Profils!$K$5:$K$34,$AE488)*Paramètres!$E$27*$AG488*$AJ488,Paramètres!$F$27),0)</f>
        <v>0</v>
      </c>
      <c r="R488" s="20" t="n">
        <f aca="false" t="array" ref="R488:R488">IF(AND(INDEX(Profils!$L$5:$L$34,$AE488)&gt;0,INDEX(Profils!$AA$5:$AA$34,$AE488)&lt;=$AH488),ROUND(INDEX(Profils!$L$5:$L$34,$AE488)*Paramètres!$E$28*$AG488*$AJ488,Paramètres!$F$28),0)</f>
        <v>0.008</v>
      </c>
      <c r="S488" s="20" t="n">
        <f aca="false" t="array" ref="S488:S488">IF(AND(INDEX(Profils!$M$5:$M$34,$AE488)&gt;0,INDEX(Profils!$AB$5:$AB$34,$AE488)&lt;=$AH488),ROUND(INDEX(Profils!$M$5:$M$34,$AE488)*Paramètres!$E$29*$AG488*$AJ488,Paramètres!$F$29),0)</f>
        <v>0.008</v>
      </c>
      <c r="T488" s="20" t="n">
        <f aca="false" t="array" ref="T488:T488">IF(AND(INDEX(Profils!$N$5:$N$34,$AE488)&gt;0,INDEX(Profils!$AC$5:$AC$34,$AE488)&lt;=$AH488),ROUND(INDEX(Profils!$N$5:$N$34,$AE488)*Paramètres!$E$30*$AG488*$AJ488,Paramètres!$F$30),0)</f>
        <v>0.019</v>
      </c>
      <c r="U488" s="19" t="n">
        <f aca="false" t="array" ref="U488:U488">IF(AND(INDEX(Profils!$O$5:$O$34,$AE488)&gt;0,INDEX(Profils!$AD$5:$AD$34,$AE488)&lt;=$AH488),ROUND(INDEX(Profils!$O$5:$O$34,$AE488)*Paramètres!$E$31*$AG488*$AJ488,Paramètres!$F$31),0)</f>
        <v>0</v>
      </c>
      <c r="V488" s="20" t="n">
        <f aca="false" t="array" ref="V488:V488">IF(AND(INDEX(Profils!$P$5:$P$34,$AE488)&gt;0,INDEX(Profils!$AE$5:$AE$34,$AE488)&lt;=$AH488),ROUND(INDEX(Profils!$P$5:$P$34,$AE488)*Paramètres!$E$32*$AG488*$AJ488,Paramètres!$F$32),0)</f>
        <v>0.01</v>
      </c>
      <c r="W488" s="20" t="n">
        <f aca="false" t="array" ref="W488:W488">IF(AND(INDEX(Profils!$Q$5:$Q$34,$AE488)&gt;0,INDEX(Profils!$AF$5:$AF$34,$AE488)&lt;=$AH488),ROUND(INDEX(Profils!$Q$5:$Q$34,$AE488)*Paramètres!$E$33*$AG488*$AJ488,Paramètres!$F$33),0)</f>
        <v>0</v>
      </c>
      <c r="X488" s="20" t="n">
        <f aca="false" t="array" ref="X488:X488">IF(AND(INDEX(Profils!$R$5:$R$34,$AE488)&gt;0,INDEX(Profils!$AG$5:$AG$34,$AE488)&lt;=$AH488),ROUND(INDEX(Profils!$R$5:$R$34,$AE488)*Paramètres!$E$34*$AG488*$AJ488,Paramètres!$F$34),0)</f>
        <v>0</v>
      </c>
      <c r="Y488" s="20" t="n">
        <f aca="false" t="array" ref="Y488:Y488">IF(AND(INDEX(Profils!$S$5:$S$34,$AE488)&gt;0,INDEX(Profils!$AH$5:$AH$34,$AE488)&lt;=$AH488),ROUND(INDEX(Profils!$S$5:$S$34,$AE488)*Paramètres!$E$35*$AG488*$AJ488,Paramètres!$F$35),0)</f>
        <v>0</v>
      </c>
      <c r="Z488" s="21" t="n">
        <f aca="false">ROUND(L488/Paramètres!$E$22+M488/Paramètres!$E$23+N488/Paramètres!$E$24+O488/Paramètres!$E$25+P488/Paramètres!$E$26+Q488/Paramètres!$E$27+R488/Paramètres!$E$28+S488/Paramètres!$E$29+T488/Paramètres!$E$30+U488/Paramètres!$E$31+V488/Paramètres!$E$32+W488/Paramètres!$E$33+X488/Paramètres!$E$34+Y488/Paramètres!$E$35,1)</f>
        <v>3.9</v>
      </c>
      <c r="AA488" s="22" t="s">
        <v>109</v>
      </c>
      <c r="AB488" s="22" t="s">
        <v>109</v>
      </c>
      <c r="AC488" s="15" t="str">
        <f aca="false">$E488</f>
        <v>or</v>
      </c>
      <c r="AD488" s="16" t="n">
        <f aca="false" t="array" ref="AD488:AD488">IF($I488&gt;=$AI488,"Max",ROUND(Paramètres!$B$40*($I488+1)^Paramètres!$B$41*INDEX(Paramètres!$H$6:$H$12,$AF488),0))</f>
        <v>8</v>
      </c>
      <c r="AE488" s="23" t="n">
        <f aca="false">MATCH($B488&amp;"|"&amp;$C488,Profils!$A$5:$A$34,0)</f>
        <v>16</v>
      </c>
      <c r="AF488" s="23" t="n">
        <v>6</v>
      </c>
      <c r="AG488" s="24" t="n">
        <f aca="false" t="array" ref="AG488:AG488">INDEX(Paramètres!$C$6:$C$12,$AF488)</f>
        <v>2.4</v>
      </c>
      <c r="AH488" s="23" t="n">
        <f aca="false" t="array" ref="AH488:AH488">INDEX(Paramètres!$D$6:$D$12,$AF488)</f>
        <v>7</v>
      </c>
      <c r="AI488" s="23" t="n">
        <f aca="false" t="array" ref="AI488:AI488">INDEX(Matériaux!$C$16:$C$20,$D488)</f>
        <v>25</v>
      </c>
      <c r="AJ488" s="25" t="n">
        <f aca="false">Paramètres!$B$16+(1-Paramètres!$B$16)*(($J488-Paramètres!$B$14)/(Paramètres!$B$15-Paramètres!$B$14))^Paramètres!$B$17</f>
        <v>0.26769024555533</v>
      </c>
    </row>
    <row r="489" customFormat="false" ht="15.75" hidden="false" customHeight="true" outlineLevel="0" collapsed="false">
      <c r="A489" s="14" t="s">
        <v>605</v>
      </c>
      <c r="B489" s="15" t="s">
        <v>29</v>
      </c>
      <c r="C489" s="15" t="s">
        <v>273</v>
      </c>
      <c r="D489" s="16" t="n">
        <v>4</v>
      </c>
      <c r="E489" s="15" t="str">
        <f aca="false" t="array" ref="E489:E489">INDEX(Matériaux!$B$5:$F$12,MATCH(INDEX(Profils!$E$5:$E$34,$AE489),Matériaux!$A$5:$A$12,0),$D489)</f>
        <v>platine</v>
      </c>
      <c r="F489" s="17" t="s">
        <v>108</v>
      </c>
      <c r="G489" s="10" t="str">
        <f aca="false" t="array" ref="G489:G489">INDEX(Profils!$D$5:$D$34,$AE489)&amp;" en "&amp;$E489</f>
        <v>Anneau runique en platine</v>
      </c>
      <c r="H489" s="16" t="n">
        <f aca="false" t="array" ref="H489:H489">INDEX(Matériaux!$B$16:$B$20,$D489)</f>
        <v>50</v>
      </c>
      <c r="I489" s="16" t="n">
        <f aca="false">IF(ISNUMBER($C$3),MIN(MAX(0,ROUND($C$3,0)),$AI489),$AI489)</f>
        <v>0</v>
      </c>
      <c r="J489" s="18" t="n">
        <f aca="false">$H489+$I489</f>
        <v>50</v>
      </c>
      <c r="K489" s="15" t="s">
        <v>109</v>
      </c>
      <c r="L489" s="19" t="n">
        <f aca="false" t="array" ref="L489:L489">IF(AND(INDEX(Profils!$F$5:$F$34,$AE489)&gt;0,INDEX(Profils!$U$5:$U$34,$AE489)&lt;=$AH489),ROUND(INDEX(Profils!$F$5:$F$34,$AE489)*Paramètres!$E$22*$AG489*$AJ489,Paramètres!$F$22),0)</f>
        <v>0</v>
      </c>
      <c r="M489" s="19" t="n">
        <f aca="false" t="array" ref="M489:M489">IF(AND(INDEX(Profils!$G$5:$G$34,$AE489)&gt;0,INDEX(Profils!$V$5:$V$34,$AE489)&lt;=$AH489),ROUND(INDEX(Profils!$G$5:$G$34,$AE489)*Paramètres!$E$23*$AG489*$AJ489,Paramètres!$F$23),0)</f>
        <v>0</v>
      </c>
      <c r="N489" s="19" t="n">
        <f aca="false" t="array" ref="N489:N489">IF(AND(INDEX(Profils!$H$5:$H$34,$AE489)&gt;0,INDEX(Profils!$W$5:$W$34,$AE489)&lt;=$AH489),ROUND(INDEX(Profils!$H$5:$H$34,$AE489)*Paramètres!$E$24*$AG489*$AJ489,Paramètres!$F$24),0)</f>
        <v>0</v>
      </c>
      <c r="O489" s="19" t="n">
        <f aca="false" t="array" ref="O489:O489">IF(AND(INDEX(Profils!$I$5:$I$34,$AE489)&gt;0,INDEX(Profils!$X$5:$X$34,$AE489)&lt;=$AH489),ROUND(INDEX(Profils!$I$5:$I$34,$AE489)*Paramètres!$E$25*$AG489*$AJ489,Paramètres!$F$25),0)</f>
        <v>0</v>
      </c>
      <c r="P489" s="19" t="n">
        <f aca="false" t="array" ref="P489:P489">IF(AND(INDEX(Profils!$J$5:$J$34,$AE489)&gt;0,INDEX(Profils!$Y$5:$Y$34,$AE489)&lt;=$AH489),ROUND(INDEX(Profils!$J$5:$J$34,$AE489)*Paramètres!$E$26*$AG489*$AJ489,Paramètres!$F$26),0)</f>
        <v>0</v>
      </c>
      <c r="Q489" s="19" t="n">
        <f aca="false" t="array" ref="Q489:Q489">IF(AND(INDEX(Profils!$K$5:$K$34,$AE489)&gt;0,INDEX(Profils!$Z$5:$Z$34,$AE489)&lt;=$AH489),ROUND(INDEX(Profils!$K$5:$K$34,$AE489)*Paramètres!$E$27*$AG489*$AJ489,Paramètres!$F$27),0)</f>
        <v>0</v>
      </c>
      <c r="R489" s="20" t="n">
        <f aca="false" t="array" ref="R489:R489">IF(AND(INDEX(Profils!$L$5:$L$34,$AE489)&gt;0,INDEX(Profils!$AA$5:$AA$34,$AE489)&lt;=$AH489),ROUND(INDEX(Profils!$L$5:$L$34,$AE489)*Paramètres!$E$28*$AG489*$AJ489,Paramètres!$F$28),0)</f>
        <v>0</v>
      </c>
      <c r="S489" s="20" t="n">
        <f aca="false" t="array" ref="S489:S489">IF(AND(INDEX(Profils!$M$5:$M$34,$AE489)&gt;0,INDEX(Profils!$AB$5:$AB$34,$AE489)&lt;=$AH489),ROUND(INDEX(Profils!$M$5:$M$34,$AE489)*Paramètres!$E$29*$AG489*$AJ489,Paramètres!$F$29),0)</f>
        <v>0.006</v>
      </c>
      <c r="T489" s="20" t="n">
        <f aca="false" t="array" ref="T489:T489">IF(AND(INDEX(Profils!$N$5:$N$34,$AE489)&gt;0,INDEX(Profils!$AC$5:$AC$34,$AE489)&lt;=$AH489),ROUND(INDEX(Profils!$N$5:$N$34,$AE489)*Paramètres!$E$30*$AG489*$AJ489,Paramètres!$F$30),0)</f>
        <v>0.014</v>
      </c>
      <c r="U489" s="19" t="n">
        <f aca="false" t="array" ref="U489:U489">IF(AND(INDEX(Profils!$O$5:$O$34,$AE489)&gt;0,INDEX(Profils!$AD$5:$AD$34,$AE489)&lt;=$AH489),ROUND(INDEX(Profils!$O$5:$O$34,$AE489)*Paramètres!$E$31*$AG489*$AJ489,Paramètres!$F$31),0)</f>
        <v>0</v>
      </c>
      <c r="V489" s="20" t="n">
        <f aca="false" t="array" ref="V489:V489">IF(AND(INDEX(Profils!$P$5:$P$34,$AE489)&gt;0,INDEX(Profils!$AE$5:$AE$34,$AE489)&lt;=$AH489),ROUND(INDEX(Profils!$P$5:$P$34,$AE489)*Paramètres!$E$32*$AG489*$AJ489,Paramètres!$F$32),0)</f>
        <v>0</v>
      </c>
      <c r="W489" s="20" t="n">
        <f aca="false" t="array" ref="W489:W489">IF(AND(INDEX(Profils!$Q$5:$Q$34,$AE489)&gt;0,INDEX(Profils!$AF$5:$AF$34,$AE489)&lt;=$AH489),ROUND(INDEX(Profils!$Q$5:$Q$34,$AE489)*Paramètres!$E$33*$AG489*$AJ489,Paramètres!$F$33),0)</f>
        <v>0</v>
      </c>
      <c r="X489" s="20" t="n">
        <f aca="false" t="array" ref="X489:X489">IF(AND(INDEX(Profils!$R$5:$R$34,$AE489)&gt;0,INDEX(Profils!$AG$5:$AG$34,$AE489)&lt;=$AH489),ROUND(INDEX(Profils!$R$5:$R$34,$AE489)*Paramètres!$E$34*$AG489*$AJ489,Paramètres!$F$34),0)</f>
        <v>0</v>
      </c>
      <c r="Y489" s="20" t="n">
        <f aca="false" t="array" ref="Y489:Y489">IF(AND(INDEX(Profils!$S$5:$S$34,$AE489)&gt;0,INDEX(Profils!$AH$5:$AH$34,$AE489)&lt;=$AH489),ROUND(INDEX(Profils!$S$5:$S$34,$AE489)*Paramètres!$E$35*$AG489*$AJ489,Paramètres!$F$35),0)</f>
        <v>0</v>
      </c>
      <c r="Z489" s="21" t="n">
        <f aca="false">ROUND(L489/Paramètres!$E$22+M489/Paramètres!$E$23+N489/Paramètres!$E$24+O489/Paramètres!$E$25+P489/Paramètres!$E$26+Q489/Paramètres!$E$27+R489/Paramètres!$E$28+S489/Paramètres!$E$29+T489/Paramètres!$E$30+U489/Paramètres!$E$31+V489/Paramètres!$E$32+W489/Paramètres!$E$33+X489/Paramètres!$E$34+Y489/Paramètres!$E$35,1)</f>
        <v>1</v>
      </c>
      <c r="AA489" s="22" t="s">
        <v>109</v>
      </c>
      <c r="AB489" s="22" t="s">
        <v>109</v>
      </c>
      <c r="AC489" s="15" t="str">
        <f aca="false">$E489</f>
        <v>platine</v>
      </c>
      <c r="AD489" s="16" t="n">
        <f aca="false" t="array" ref="AD489:AD489">IF($I489&gt;=$AI489,"Max",ROUND(Paramètres!$B$40*($I489+1)^Paramètres!$B$41*INDEX(Paramètres!$H$6:$H$12,$AF489),0))</f>
        <v>3</v>
      </c>
      <c r="AE489" s="23" t="n">
        <f aca="false">MATCH($B489&amp;"|"&amp;$C489,Profils!$A$5:$A$34,0)</f>
        <v>16</v>
      </c>
      <c r="AF489" s="23" t="n">
        <v>1</v>
      </c>
      <c r="AG489" s="24" t="n">
        <f aca="false" t="array" ref="AG489:AG489">INDEX(Paramètres!$C$6:$C$12,$AF489)</f>
        <v>1</v>
      </c>
      <c r="AH489" s="23" t="n">
        <f aca="false" t="array" ref="AH489:AH489">INDEX(Paramètres!$D$6:$D$12,$AF489)</f>
        <v>2</v>
      </c>
      <c r="AI489" s="23" t="n">
        <f aca="false" t="array" ref="AI489:AI489">INDEX(Matériaux!$C$16:$C$20,$D489)</f>
        <v>25</v>
      </c>
      <c r="AJ489" s="25" t="n">
        <f aca="false">Paramètres!$B$16+(1-Paramètres!$B$16)*(($J489-Paramètres!$B$14)/(Paramètres!$B$15-Paramètres!$B$14))^Paramètres!$B$17</f>
        <v>0.458504333336152</v>
      </c>
    </row>
    <row r="490" customFormat="false" ht="15.75" hidden="false" customHeight="true" outlineLevel="0" collapsed="false">
      <c r="A490" s="14" t="s">
        <v>606</v>
      </c>
      <c r="B490" s="15" t="s">
        <v>29</v>
      </c>
      <c r="C490" s="15" t="s">
        <v>273</v>
      </c>
      <c r="D490" s="16" t="n">
        <v>4</v>
      </c>
      <c r="E490" s="15" t="str">
        <f aca="false" t="array" ref="E490:E490">INDEX(Matériaux!$B$5:$F$12,MATCH(INDEX(Profils!$E$5:$E$34,$AE490),Matériaux!$A$5:$A$12,0),$D490)</f>
        <v>platine</v>
      </c>
      <c r="F490" s="26" t="s">
        <v>111</v>
      </c>
      <c r="G490" s="10" t="str">
        <f aca="false" t="array" ref="G490:G490">INDEX(Profils!$D$5:$D$34,$AE490)&amp;" en "&amp;$E490</f>
        <v>Anneau runique en platine</v>
      </c>
      <c r="H490" s="16" t="n">
        <f aca="false" t="array" ref="H490:H490">INDEX(Matériaux!$B$16:$B$20,$D490)</f>
        <v>50</v>
      </c>
      <c r="I490" s="16" t="n">
        <f aca="false">IF(ISNUMBER($C$3),MIN(MAX(0,ROUND($C$3,0)),$AI490),$AI490)</f>
        <v>0</v>
      </c>
      <c r="J490" s="18" t="n">
        <f aca="false">$H490+$I490</f>
        <v>50</v>
      </c>
      <c r="K490" s="15" t="s">
        <v>109</v>
      </c>
      <c r="L490" s="19" t="n">
        <f aca="false" t="array" ref="L490:L490">IF(AND(INDEX(Profils!$F$5:$F$34,$AE490)&gt;0,INDEX(Profils!$U$5:$U$34,$AE490)&lt;=$AH490),ROUND(INDEX(Profils!$F$5:$F$34,$AE490)*Paramètres!$E$22*$AG490*$AJ490,Paramètres!$F$22),0)</f>
        <v>0</v>
      </c>
      <c r="M490" s="19" t="n">
        <f aca="false" t="array" ref="M490:M490">IF(AND(INDEX(Profils!$G$5:$G$34,$AE490)&gt;0,INDEX(Profils!$V$5:$V$34,$AE490)&lt;=$AH490),ROUND(INDEX(Profils!$G$5:$G$34,$AE490)*Paramètres!$E$23*$AG490*$AJ490,Paramètres!$F$23),0)</f>
        <v>0</v>
      </c>
      <c r="N490" s="19" t="n">
        <f aca="false" t="array" ref="N490:N490">IF(AND(INDEX(Profils!$H$5:$H$34,$AE490)&gt;0,INDEX(Profils!$W$5:$W$34,$AE490)&lt;=$AH490),ROUND(INDEX(Profils!$H$5:$H$34,$AE490)*Paramètres!$E$24*$AG490*$AJ490,Paramètres!$F$24),0)</f>
        <v>0</v>
      </c>
      <c r="O490" s="19" t="n">
        <f aca="false" t="array" ref="O490:O490">IF(AND(INDEX(Profils!$I$5:$I$34,$AE490)&gt;0,INDEX(Profils!$X$5:$X$34,$AE490)&lt;=$AH490),ROUND(INDEX(Profils!$I$5:$I$34,$AE490)*Paramètres!$E$25*$AG490*$AJ490,Paramètres!$F$25),0)</f>
        <v>0</v>
      </c>
      <c r="P490" s="19" t="n">
        <f aca="false" t="array" ref="P490:P490">IF(AND(INDEX(Profils!$J$5:$J$34,$AE490)&gt;0,INDEX(Profils!$Y$5:$Y$34,$AE490)&lt;=$AH490),ROUND(INDEX(Profils!$J$5:$J$34,$AE490)*Paramètres!$E$26*$AG490*$AJ490,Paramètres!$F$26),0)</f>
        <v>0</v>
      </c>
      <c r="Q490" s="19" t="n">
        <f aca="false" t="array" ref="Q490:Q490">IF(AND(INDEX(Profils!$K$5:$K$34,$AE490)&gt;0,INDEX(Profils!$Z$5:$Z$34,$AE490)&lt;=$AH490),ROUND(INDEX(Profils!$K$5:$K$34,$AE490)*Paramètres!$E$27*$AG490*$AJ490,Paramètres!$F$27),0)</f>
        <v>0</v>
      </c>
      <c r="R490" s="20" t="n">
        <f aca="false" t="array" ref="R490:R490">IF(AND(INDEX(Profils!$L$5:$L$34,$AE490)&gt;0,INDEX(Profils!$AA$5:$AA$34,$AE490)&lt;=$AH490),ROUND(INDEX(Profils!$L$5:$L$34,$AE490)*Paramètres!$E$28*$AG490*$AJ490,Paramètres!$F$28),0)</f>
        <v>0</v>
      </c>
      <c r="S490" s="20" t="n">
        <f aca="false" t="array" ref="S490:S490">IF(AND(INDEX(Profils!$M$5:$M$34,$AE490)&gt;0,INDEX(Profils!$AB$5:$AB$34,$AE490)&lt;=$AH490),ROUND(INDEX(Profils!$M$5:$M$34,$AE490)*Paramètres!$E$29*$AG490*$AJ490,Paramètres!$F$29),0)</f>
        <v>0.007</v>
      </c>
      <c r="T490" s="20" t="n">
        <f aca="false" t="array" ref="T490:T490">IF(AND(INDEX(Profils!$N$5:$N$34,$AE490)&gt;0,INDEX(Profils!$AC$5:$AC$34,$AE490)&lt;=$AH490),ROUND(INDEX(Profils!$N$5:$N$34,$AE490)*Paramètres!$E$30*$AG490*$AJ490,Paramètres!$F$30),0)</f>
        <v>0.017</v>
      </c>
      <c r="U490" s="19" t="n">
        <f aca="false" t="array" ref="U490:U490">IF(AND(INDEX(Profils!$O$5:$O$34,$AE490)&gt;0,INDEX(Profils!$AD$5:$AD$34,$AE490)&lt;=$AH490),ROUND(INDEX(Profils!$O$5:$O$34,$AE490)*Paramètres!$E$31*$AG490*$AJ490,Paramètres!$F$31),0)</f>
        <v>0</v>
      </c>
      <c r="V490" s="20" t="n">
        <f aca="false" t="array" ref="V490:V490">IF(AND(INDEX(Profils!$P$5:$P$34,$AE490)&gt;0,INDEX(Profils!$AE$5:$AE$34,$AE490)&lt;=$AH490),ROUND(INDEX(Profils!$P$5:$P$34,$AE490)*Paramètres!$E$32*$AG490*$AJ490,Paramètres!$F$32),0)</f>
        <v>0.008</v>
      </c>
      <c r="W490" s="20" t="n">
        <f aca="false" t="array" ref="W490:W490">IF(AND(INDEX(Profils!$Q$5:$Q$34,$AE490)&gt;0,INDEX(Profils!$AF$5:$AF$34,$AE490)&lt;=$AH490),ROUND(INDEX(Profils!$Q$5:$Q$34,$AE490)*Paramètres!$E$33*$AG490*$AJ490,Paramètres!$F$33),0)</f>
        <v>0</v>
      </c>
      <c r="X490" s="20" t="n">
        <f aca="false" t="array" ref="X490:X490">IF(AND(INDEX(Profils!$R$5:$R$34,$AE490)&gt;0,INDEX(Profils!$AG$5:$AG$34,$AE490)&lt;=$AH490),ROUND(INDEX(Profils!$R$5:$R$34,$AE490)*Paramètres!$E$34*$AG490*$AJ490,Paramètres!$F$34),0)</f>
        <v>0</v>
      </c>
      <c r="Y490" s="20" t="n">
        <f aca="false" t="array" ref="Y490:Y490">IF(AND(INDEX(Profils!$S$5:$S$34,$AE490)&gt;0,INDEX(Profils!$AH$5:$AH$34,$AE490)&lt;=$AH490),ROUND(INDEX(Profils!$S$5:$S$34,$AE490)*Paramètres!$E$35*$AG490*$AJ490,Paramètres!$F$35),0)</f>
        <v>0</v>
      </c>
      <c r="Z490" s="21" t="n">
        <f aca="false">ROUND(L490/Paramètres!$E$22+M490/Paramètres!$E$23+N490/Paramètres!$E$24+O490/Paramètres!$E$25+P490/Paramètres!$E$26+Q490/Paramètres!$E$27+R490/Paramètres!$E$28+S490/Paramètres!$E$29+T490/Paramètres!$E$30+U490/Paramètres!$E$31+V490/Paramètres!$E$32+W490/Paramètres!$E$33+X490/Paramètres!$E$34+Y490/Paramètres!$E$35,1)</f>
        <v>1.7</v>
      </c>
      <c r="AA490" s="22" t="s">
        <v>109</v>
      </c>
      <c r="AB490" s="22" t="s">
        <v>109</v>
      </c>
      <c r="AC490" s="15" t="str">
        <f aca="false">$E490</f>
        <v>platine</v>
      </c>
      <c r="AD490" s="16" t="n">
        <f aca="false" t="array" ref="AD490:AD490">IF($I490&gt;=$AI490,"Max",ROUND(Paramètres!$B$40*($I490+1)^Paramètres!$B$41*INDEX(Paramètres!$H$6:$H$12,$AF490),0))</f>
        <v>4</v>
      </c>
      <c r="AE490" s="23" t="n">
        <f aca="false">MATCH($B490&amp;"|"&amp;$C490,Profils!$A$5:$A$34,0)</f>
        <v>16</v>
      </c>
      <c r="AF490" s="23" t="n">
        <v>2</v>
      </c>
      <c r="AG490" s="24" t="n">
        <f aca="false" t="array" ref="AG490:AG490">INDEX(Paramètres!$C$6:$C$12,$AF490)</f>
        <v>1.2</v>
      </c>
      <c r="AH490" s="23" t="n">
        <f aca="false" t="array" ref="AH490:AH490">INDEX(Paramètres!$D$6:$D$12,$AF490)</f>
        <v>3</v>
      </c>
      <c r="AI490" s="23" t="n">
        <f aca="false" t="array" ref="AI490:AI490">INDEX(Matériaux!$C$16:$C$20,$D490)</f>
        <v>25</v>
      </c>
      <c r="AJ490" s="25" t="n">
        <f aca="false">Paramètres!$B$16+(1-Paramètres!$B$16)*(($J490-Paramètres!$B$14)/(Paramètres!$B$15-Paramètres!$B$14))^Paramètres!$B$17</f>
        <v>0.458504333336152</v>
      </c>
    </row>
    <row r="491" customFormat="false" ht="15.75" hidden="false" customHeight="true" outlineLevel="0" collapsed="false">
      <c r="A491" s="14" t="s">
        <v>607</v>
      </c>
      <c r="B491" s="15" t="s">
        <v>29</v>
      </c>
      <c r="C491" s="15" t="s">
        <v>273</v>
      </c>
      <c r="D491" s="16" t="n">
        <v>4</v>
      </c>
      <c r="E491" s="15" t="str">
        <f aca="false" t="array" ref="E491:E491">INDEX(Matériaux!$B$5:$F$12,MATCH(INDEX(Profils!$E$5:$E$34,$AE491),Matériaux!$A$5:$A$12,0),$D491)</f>
        <v>platine</v>
      </c>
      <c r="F491" s="27" t="s">
        <v>113</v>
      </c>
      <c r="G491" s="10" t="str">
        <f aca="false" t="array" ref="G491:G491">INDEX(Profils!$D$5:$D$34,$AE491)&amp;" en "&amp;$E491</f>
        <v>Anneau runique en platine</v>
      </c>
      <c r="H491" s="16" t="n">
        <f aca="false" t="array" ref="H491:H491">INDEX(Matériaux!$B$16:$B$20,$D491)</f>
        <v>50</v>
      </c>
      <c r="I491" s="16" t="n">
        <f aca="false">IF(ISNUMBER($C$3),MIN(MAX(0,ROUND($C$3,0)),$AI491),$AI491)</f>
        <v>0</v>
      </c>
      <c r="J491" s="18" t="n">
        <f aca="false">$H491+$I491</f>
        <v>50</v>
      </c>
      <c r="K491" s="15" t="s">
        <v>109</v>
      </c>
      <c r="L491" s="19" t="n">
        <f aca="false" t="array" ref="L491:L491">IF(AND(INDEX(Profils!$F$5:$F$34,$AE491)&gt;0,INDEX(Profils!$U$5:$U$34,$AE491)&lt;=$AH491),ROUND(INDEX(Profils!$F$5:$F$34,$AE491)*Paramètres!$E$22*$AG491*$AJ491,Paramètres!$F$22),0)</f>
        <v>0</v>
      </c>
      <c r="M491" s="19" t="n">
        <f aca="false" t="array" ref="M491:M491">IF(AND(INDEX(Profils!$G$5:$G$34,$AE491)&gt;0,INDEX(Profils!$V$5:$V$34,$AE491)&lt;=$AH491),ROUND(INDEX(Profils!$G$5:$G$34,$AE491)*Paramètres!$E$23*$AG491*$AJ491,Paramètres!$F$23),0)</f>
        <v>0</v>
      </c>
      <c r="N491" s="19" t="n">
        <f aca="false" t="array" ref="N491:N491">IF(AND(INDEX(Profils!$H$5:$H$34,$AE491)&gt;0,INDEX(Profils!$W$5:$W$34,$AE491)&lt;=$AH491),ROUND(INDEX(Profils!$H$5:$H$34,$AE491)*Paramètres!$E$24*$AG491*$AJ491,Paramètres!$F$24),0)</f>
        <v>0</v>
      </c>
      <c r="O491" s="19" t="n">
        <f aca="false" t="array" ref="O491:O491">IF(AND(INDEX(Profils!$I$5:$I$34,$AE491)&gt;0,INDEX(Profils!$X$5:$X$34,$AE491)&lt;=$AH491),ROUND(INDEX(Profils!$I$5:$I$34,$AE491)*Paramètres!$E$25*$AG491*$AJ491,Paramètres!$F$25),0)</f>
        <v>8</v>
      </c>
      <c r="P491" s="19" t="n">
        <f aca="false" t="array" ref="P491:P491">IF(AND(INDEX(Profils!$J$5:$J$34,$AE491)&gt;0,INDEX(Profils!$Y$5:$Y$34,$AE491)&lt;=$AH491),ROUND(INDEX(Profils!$J$5:$J$34,$AE491)*Paramètres!$E$26*$AG491*$AJ491,Paramètres!$F$26),0)</f>
        <v>0</v>
      </c>
      <c r="Q491" s="19" t="n">
        <f aca="false" t="array" ref="Q491:Q491">IF(AND(INDEX(Profils!$K$5:$K$34,$AE491)&gt;0,INDEX(Profils!$Z$5:$Z$34,$AE491)&lt;=$AH491),ROUND(INDEX(Profils!$K$5:$K$34,$AE491)*Paramètres!$E$27*$AG491*$AJ491,Paramètres!$F$27),0)</f>
        <v>0</v>
      </c>
      <c r="R491" s="20" t="n">
        <f aca="false" t="array" ref="R491:R491">IF(AND(INDEX(Profils!$L$5:$L$34,$AE491)&gt;0,INDEX(Profils!$AA$5:$AA$34,$AE491)&lt;=$AH491),ROUND(INDEX(Profils!$L$5:$L$34,$AE491)*Paramètres!$E$28*$AG491*$AJ491,Paramètres!$F$28),0)</f>
        <v>0</v>
      </c>
      <c r="S491" s="20" t="n">
        <f aca="false" t="array" ref="S491:S491">IF(AND(INDEX(Profils!$M$5:$M$34,$AE491)&gt;0,INDEX(Profils!$AB$5:$AB$34,$AE491)&lt;=$AH491),ROUND(INDEX(Profils!$M$5:$M$34,$AE491)*Paramètres!$E$29*$AG491*$AJ491,Paramètres!$F$29),0)</f>
        <v>0.008</v>
      </c>
      <c r="T491" s="20" t="n">
        <f aca="false" t="array" ref="T491:T491">IF(AND(INDEX(Profils!$N$5:$N$34,$AE491)&gt;0,INDEX(Profils!$AC$5:$AC$34,$AE491)&lt;=$AH491),ROUND(INDEX(Profils!$N$5:$N$34,$AE491)*Paramètres!$E$30*$AG491*$AJ491,Paramètres!$F$30),0)</f>
        <v>0.02</v>
      </c>
      <c r="U491" s="19" t="n">
        <f aca="false" t="array" ref="U491:U491">IF(AND(INDEX(Profils!$O$5:$O$34,$AE491)&gt;0,INDEX(Profils!$AD$5:$AD$34,$AE491)&lt;=$AH491),ROUND(INDEX(Profils!$O$5:$O$34,$AE491)*Paramètres!$E$31*$AG491*$AJ491,Paramètres!$F$31),0)</f>
        <v>0</v>
      </c>
      <c r="V491" s="20" t="n">
        <f aca="false" t="array" ref="V491:V491">IF(AND(INDEX(Profils!$P$5:$P$34,$AE491)&gt;0,INDEX(Profils!$AE$5:$AE$34,$AE491)&lt;=$AH491),ROUND(INDEX(Profils!$P$5:$P$34,$AE491)*Paramètres!$E$32*$AG491*$AJ491,Paramètres!$F$32),0)</f>
        <v>0.01</v>
      </c>
      <c r="W491" s="20" t="n">
        <f aca="false" t="array" ref="W491:W491">IF(AND(INDEX(Profils!$Q$5:$Q$34,$AE491)&gt;0,INDEX(Profils!$AF$5:$AF$34,$AE491)&lt;=$AH491),ROUND(INDEX(Profils!$Q$5:$Q$34,$AE491)*Paramètres!$E$33*$AG491*$AJ491,Paramètres!$F$33),0)</f>
        <v>0</v>
      </c>
      <c r="X491" s="20" t="n">
        <f aca="false" t="array" ref="X491:X491">IF(AND(INDEX(Profils!$R$5:$R$34,$AE491)&gt;0,INDEX(Profils!$AG$5:$AG$34,$AE491)&lt;=$AH491),ROUND(INDEX(Profils!$R$5:$R$34,$AE491)*Paramètres!$E$34*$AG491*$AJ491,Paramètres!$F$34),0)</f>
        <v>0</v>
      </c>
      <c r="Y491" s="20" t="n">
        <f aca="false" t="array" ref="Y491:Y491">IF(AND(INDEX(Profils!$S$5:$S$34,$AE491)&gt;0,INDEX(Profils!$AH$5:$AH$34,$AE491)&lt;=$AH491),ROUND(INDEX(Profils!$S$5:$S$34,$AE491)*Paramètres!$E$35*$AG491*$AJ491,Paramètres!$F$35),0)</f>
        <v>0</v>
      </c>
      <c r="Z491" s="21" t="n">
        <f aca="false">ROUND(L491/Paramètres!$E$22+M491/Paramètres!$E$23+N491/Paramètres!$E$24+O491/Paramètres!$E$25+P491/Paramètres!$E$26+Q491/Paramètres!$E$27+R491/Paramètres!$E$28+S491/Paramètres!$E$29+T491/Paramètres!$E$30+U491/Paramètres!$E$31+V491/Paramètres!$E$32+W491/Paramètres!$E$33+X491/Paramètres!$E$34+Y491/Paramètres!$E$35,1)</f>
        <v>2.5</v>
      </c>
      <c r="AA491" s="22" t="s">
        <v>109</v>
      </c>
      <c r="AB491" s="22" t="s">
        <v>109</v>
      </c>
      <c r="AC491" s="15" t="str">
        <f aca="false">$E491</f>
        <v>platine</v>
      </c>
      <c r="AD491" s="16" t="n">
        <f aca="false" t="array" ref="AD491:AD491">IF($I491&gt;=$AI491,"Max",ROUND(Paramètres!$B$40*($I491+1)^Paramètres!$B$41*INDEX(Paramètres!$H$6:$H$12,$AF491),0))</f>
        <v>4</v>
      </c>
      <c r="AE491" s="23" t="n">
        <f aca="false">MATCH($B491&amp;"|"&amp;$C491,Profils!$A$5:$A$34,0)</f>
        <v>16</v>
      </c>
      <c r="AF491" s="23" t="n">
        <v>3</v>
      </c>
      <c r="AG491" s="24" t="n">
        <f aca="false" t="array" ref="AG491:AG491">INDEX(Paramètres!$C$6:$C$12,$AF491)</f>
        <v>1.45</v>
      </c>
      <c r="AH491" s="23" t="n">
        <f aca="false" t="array" ref="AH491:AH491">INDEX(Paramètres!$D$6:$D$12,$AF491)</f>
        <v>4</v>
      </c>
      <c r="AI491" s="23" t="n">
        <f aca="false" t="array" ref="AI491:AI491">INDEX(Matériaux!$C$16:$C$20,$D491)</f>
        <v>25</v>
      </c>
      <c r="AJ491" s="25" t="n">
        <f aca="false">Paramètres!$B$16+(1-Paramètres!$B$16)*(($J491-Paramètres!$B$14)/(Paramètres!$B$15-Paramètres!$B$14))^Paramètres!$B$17</f>
        <v>0.458504333336152</v>
      </c>
    </row>
    <row r="492" customFormat="false" ht="15.75" hidden="false" customHeight="true" outlineLevel="0" collapsed="false">
      <c r="A492" s="14" t="s">
        <v>608</v>
      </c>
      <c r="B492" s="15" t="s">
        <v>29</v>
      </c>
      <c r="C492" s="15" t="s">
        <v>273</v>
      </c>
      <c r="D492" s="16" t="n">
        <v>4</v>
      </c>
      <c r="E492" s="15" t="str">
        <f aca="false" t="array" ref="E492:E492">INDEX(Matériaux!$B$5:$F$12,MATCH(INDEX(Profils!$E$5:$E$34,$AE492),Matériaux!$A$5:$A$12,0),$D492)</f>
        <v>platine</v>
      </c>
      <c r="F492" s="28" t="s">
        <v>115</v>
      </c>
      <c r="G492" s="10" t="str">
        <f aca="false" t="array" ref="G492:G492">INDEX(Profils!$D$5:$D$34,$AE492)&amp;" en "&amp;$E492</f>
        <v>Anneau runique en platine</v>
      </c>
      <c r="H492" s="16" t="n">
        <f aca="false" t="array" ref="H492:H492">INDEX(Matériaux!$B$16:$B$20,$D492)</f>
        <v>50</v>
      </c>
      <c r="I492" s="16" t="n">
        <f aca="false">IF(ISNUMBER($C$3),MIN(MAX(0,ROUND($C$3,0)),$AI492),$AI492)</f>
        <v>0</v>
      </c>
      <c r="J492" s="18" t="n">
        <f aca="false">$H492+$I492</f>
        <v>50</v>
      </c>
      <c r="K492" s="15" t="s">
        <v>109</v>
      </c>
      <c r="L492" s="19" t="n">
        <f aca="false" t="array" ref="L492:L492">IF(AND(INDEX(Profils!$F$5:$F$34,$AE492)&gt;0,INDEX(Profils!$U$5:$U$34,$AE492)&lt;=$AH492),ROUND(INDEX(Profils!$F$5:$F$34,$AE492)*Paramètres!$E$22*$AG492*$AJ492,Paramètres!$F$22),0)</f>
        <v>0</v>
      </c>
      <c r="M492" s="19" t="n">
        <f aca="false" t="array" ref="M492:M492">IF(AND(INDEX(Profils!$G$5:$G$34,$AE492)&gt;0,INDEX(Profils!$V$5:$V$34,$AE492)&lt;=$AH492),ROUND(INDEX(Profils!$G$5:$G$34,$AE492)*Paramètres!$E$23*$AG492*$AJ492,Paramètres!$F$23),0)</f>
        <v>0</v>
      </c>
      <c r="N492" s="19" t="n">
        <f aca="false" t="array" ref="N492:N492">IF(AND(INDEX(Profils!$H$5:$H$34,$AE492)&gt;0,INDEX(Profils!$W$5:$W$34,$AE492)&lt;=$AH492),ROUND(INDEX(Profils!$H$5:$H$34,$AE492)*Paramètres!$E$24*$AG492*$AJ492,Paramètres!$F$24),0)</f>
        <v>0</v>
      </c>
      <c r="O492" s="19" t="n">
        <f aca="false" t="array" ref="O492:O492">IF(AND(INDEX(Profils!$I$5:$I$34,$AE492)&gt;0,INDEX(Profils!$X$5:$X$34,$AE492)&lt;=$AH492),ROUND(INDEX(Profils!$I$5:$I$34,$AE492)*Paramètres!$E$25*$AG492*$AJ492,Paramètres!$F$25),0)</f>
        <v>10</v>
      </c>
      <c r="P492" s="19" t="n">
        <f aca="false" t="array" ref="P492:P492">IF(AND(INDEX(Profils!$J$5:$J$34,$AE492)&gt;0,INDEX(Profils!$Y$5:$Y$34,$AE492)&lt;=$AH492),ROUND(INDEX(Profils!$J$5:$J$34,$AE492)*Paramètres!$E$26*$AG492*$AJ492,Paramètres!$F$26),0)</f>
        <v>0</v>
      </c>
      <c r="Q492" s="19" t="n">
        <f aca="false" t="array" ref="Q492:Q492">IF(AND(INDEX(Profils!$K$5:$K$34,$AE492)&gt;0,INDEX(Profils!$Z$5:$Z$34,$AE492)&lt;=$AH492),ROUND(INDEX(Profils!$K$5:$K$34,$AE492)*Paramètres!$E$27*$AG492*$AJ492,Paramètres!$F$27),0)</f>
        <v>0</v>
      </c>
      <c r="R492" s="20" t="n">
        <f aca="false" t="array" ref="R492:R492">IF(AND(INDEX(Profils!$L$5:$L$34,$AE492)&gt;0,INDEX(Profils!$AA$5:$AA$34,$AE492)&lt;=$AH492),ROUND(INDEX(Profils!$L$5:$L$34,$AE492)*Paramètres!$E$28*$AG492*$AJ492,Paramètres!$F$28),0)</f>
        <v>0.01</v>
      </c>
      <c r="S492" s="20" t="n">
        <f aca="false" t="array" ref="S492:S492">IF(AND(INDEX(Profils!$M$5:$M$34,$AE492)&gt;0,INDEX(Profils!$AB$5:$AB$34,$AE492)&lt;=$AH492),ROUND(INDEX(Profils!$M$5:$M$34,$AE492)*Paramètres!$E$29*$AG492*$AJ492,Paramètres!$F$29),0)</f>
        <v>0.01</v>
      </c>
      <c r="T492" s="20" t="n">
        <f aca="false" t="array" ref="T492:T492">IF(AND(INDEX(Profils!$N$5:$N$34,$AE492)&gt;0,INDEX(Profils!$AC$5:$AC$34,$AE492)&lt;=$AH492),ROUND(INDEX(Profils!$N$5:$N$34,$AE492)*Paramètres!$E$30*$AG492*$AJ492,Paramètres!$F$30),0)</f>
        <v>0.024</v>
      </c>
      <c r="U492" s="19" t="n">
        <f aca="false" t="array" ref="U492:U492">IF(AND(INDEX(Profils!$O$5:$O$34,$AE492)&gt;0,INDEX(Profils!$AD$5:$AD$34,$AE492)&lt;=$AH492),ROUND(INDEX(Profils!$O$5:$O$34,$AE492)*Paramètres!$E$31*$AG492*$AJ492,Paramètres!$F$31),0)</f>
        <v>0</v>
      </c>
      <c r="V492" s="20" t="n">
        <f aca="false" t="array" ref="V492:V492">IF(AND(INDEX(Profils!$P$5:$P$34,$AE492)&gt;0,INDEX(Profils!$AE$5:$AE$34,$AE492)&lt;=$AH492),ROUND(INDEX(Profils!$P$5:$P$34,$AE492)*Paramètres!$E$32*$AG492*$AJ492,Paramètres!$F$32),0)</f>
        <v>0.012</v>
      </c>
      <c r="W492" s="20" t="n">
        <f aca="false" t="array" ref="W492:W492">IF(AND(INDEX(Profils!$Q$5:$Q$34,$AE492)&gt;0,INDEX(Profils!$AF$5:$AF$34,$AE492)&lt;=$AH492),ROUND(INDEX(Profils!$Q$5:$Q$34,$AE492)*Paramètres!$E$33*$AG492*$AJ492,Paramètres!$F$33),0)</f>
        <v>0</v>
      </c>
      <c r="X492" s="20" t="n">
        <f aca="false" t="array" ref="X492:X492">IF(AND(INDEX(Profils!$R$5:$R$34,$AE492)&gt;0,INDEX(Profils!$AG$5:$AG$34,$AE492)&lt;=$AH492),ROUND(INDEX(Profils!$R$5:$R$34,$AE492)*Paramètres!$E$34*$AG492*$AJ492,Paramètres!$F$34),0)</f>
        <v>0</v>
      </c>
      <c r="Y492" s="20" t="n">
        <f aca="false" t="array" ref="Y492:Y492">IF(AND(INDEX(Profils!$S$5:$S$34,$AE492)&gt;0,INDEX(Profils!$AH$5:$AH$34,$AE492)&lt;=$AH492),ROUND(INDEX(Profils!$S$5:$S$34,$AE492)*Paramètres!$E$35*$AG492*$AJ492,Paramètres!$F$35),0)</f>
        <v>0</v>
      </c>
      <c r="Z492" s="21" t="n">
        <f aca="false">ROUND(L492/Paramètres!$E$22+M492/Paramètres!$E$23+N492/Paramètres!$E$24+O492/Paramètres!$E$25+P492/Paramètres!$E$26+Q492/Paramètres!$E$27+R492/Paramètres!$E$28+S492/Paramètres!$E$29+T492/Paramètres!$E$30+U492/Paramètres!$E$31+V492/Paramètres!$E$32+W492/Paramètres!$E$33+X492/Paramètres!$E$34+Y492/Paramètres!$E$35,1)</f>
        <v>3.8</v>
      </c>
      <c r="AA492" s="22" t="s">
        <v>109</v>
      </c>
      <c r="AB492" s="22" t="s">
        <v>109</v>
      </c>
      <c r="AC492" s="15" t="str">
        <f aca="false">$E492</f>
        <v>platine</v>
      </c>
      <c r="AD492" s="16" t="n">
        <f aca="false" t="array" ref="AD492:AD492">IF($I492&gt;=$AI492,"Max",ROUND(Paramètres!$B$40*($I492+1)^Paramètres!$B$41*INDEX(Paramètres!$H$6:$H$12,$AF492),0))</f>
        <v>5</v>
      </c>
      <c r="AE492" s="23" t="n">
        <f aca="false">MATCH($B492&amp;"|"&amp;$C492,Profils!$A$5:$A$34,0)</f>
        <v>16</v>
      </c>
      <c r="AF492" s="23" t="n">
        <v>4</v>
      </c>
      <c r="AG492" s="24" t="n">
        <f aca="false" t="array" ref="AG492:AG492">INDEX(Paramètres!$C$6:$C$12,$AF492)</f>
        <v>1.75</v>
      </c>
      <c r="AH492" s="23" t="n">
        <f aca="false" t="array" ref="AH492:AH492">INDEX(Paramètres!$D$6:$D$12,$AF492)</f>
        <v>5</v>
      </c>
      <c r="AI492" s="23" t="n">
        <f aca="false" t="array" ref="AI492:AI492">INDEX(Matériaux!$C$16:$C$20,$D492)</f>
        <v>25</v>
      </c>
      <c r="AJ492" s="25" t="n">
        <f aca="false">Paramètres!$B$16+(1-Paramètres!$B$16)*(($J492-Paramètres!$B$14)/(Paramètres!$B$15-Paramètres!$B$14))^Paramètres!$B$17</f>
        <v>0.458504333336152</v>
      </c>
    </row>
    <row r="493" customFormat="false" ht="15.75" hidden="false" customHeight="true" outlineLevel="0" collapsed="false">
      <c r="A493" s="14" t="s">
        <v>609</v>
      </c>
      <c r="B493" s="15" t="s">
        <v>29</v>
      </c>
      <c r="C493" s="15" t="s">
        <v>273</v>
      </c>
      <c r="D493" s="16" t="n">
        <v>4</v>
      </c>
      <c r="E493" s="15" t="str">
        <f aca="false" t="array" ref="E493:E493">INDEX(Matériaux!$B$5:$F$12,MATCH(INDEX(Profils!$E$5:$E$34,$AE493),Matériaux!$A$5:$A$12,0),$D493)</f>
        <v>platine</v>
      </c>
      <c r="F493" s="29" t="s">
        <v>117</v>
      </c>
      <c r="G493" s="10" t="str">
        <f aca="false" t="array" ref="G493:G493">INDEX(Profils!$D$5:$D$34,$AE493)&amp;" en "&amp;$E493</f>
        <v>Anneau runique en platine</v>
      </c>
      <c r="H493" s="16" t="n">
        <f aca="false" t="array" ref="H493:H493">INDEX(Matériaux!$B$16:$B$20,$D493)</f>
        <v>50</v>
      </c>
      <c r="I493" s="16" t="n">
        <f aca="false">IF(ISNUMBER($C$3),MIN(MAX(0,ROUND($C$3,0)),$AI493),$AI493)</f>
        <v>0</v>
      </c>
      <c r="J493" s="18" t="n">
        <f aca="false">$H493+$I493</f>
        <v>50</v>
      </c>
      <c r="K493" s="15" t="s">
        <v>109</v>
      </c>
      <c r="L493" s="19" t="n">
        <f aca="false" t="array" ref="L493:L493">IF(AND(INDEX(Profils!$F$5:$F$34,$AE493)&gt;0,INDEX(Profils!$U$5:$U$34,$AE493)&lt;=$AH493),ROUND(INDEX(Profils!$F$5:$F$34,$AE493)*Paramètres!$E$22*$AG493*$AJ493,Paramètres!$F$22),0)</f>
        <v>14</v>
      </c>
      <c r="M493" s="19" t="n">
        <f aca="false" t="array" ref="M493:M493">IF(AND(INDEX(Profils!$G$5:$G$34,$AE493)&gt;0,INDEX(Profils!$V$5:$V$34,$AE493)&lt;=$AH493),ROUND(INDEX(Profils!$G$5:$G$34,$AE493)*Paramètres!$E$23*$AG493*$AJ493,Paramètres!$F$23),0)</f>
        <v>0</v>
      </c>
      <c r="N493" s="19" t="n">
        <f aca="false" t="array" ref="N493:N493">IF(AND(INDEX(Profils!$H$5:$H$34,$AE493)&gt;0,INDEX(Profils!$W$5:$W$34,$AE493)&lt;=$AH493),ROUND(INDEX(Profils!$H$5:$H$34,$AE493)*Paramètres!$E$24*$AG493*$AJ493,Paramètres!$F$24),0)</f>
        <v>0</v>
      </c>
      <c r="O493" s="19" t="n">
        <f aca="false" t="array" ref="O493:O493">IF(AND(INDEX(Profils!$I$5:$I$34,$AE493)&gt;0,INDEX(Profils!$X$5:$X$34,$AE493)&lt;=$AH493),ROUND(INDEX(Profils!$I$5:$I$34,$AE493)*Paramètres!$E$25*$AG493*$AJ493,Paramètres!$F$25),0)</f>
        <v>12</v>
      </c>
      <c r="P493" s="19" t="n">
        <f aca="false" t="array" ref="P493:P493">IF(AND(INDEX(Profils!$J$5:$J$34,$AE493)&gt;0,INDEX(Profils!$Y$5:$Y$34,$AE493)&lt;=$AH493),ROUND(INDEX(Profils!$J$5:$J$34,$AE493)*Paramètres!$E$26*$AG493*$AJ493,Paramètres!$F$26),0)</f>
        <v>0</v>
      </c>
      <c r="Q493" s="19" t="n">
        <f aca="false" t="array" ref="Q493:Q493">IF(AND(INDEX(Profils!$K$5:$K$34,$AE493)&gt;0,INDEX(Profils!$Z$5:$Z$34,$AE493)&lt;=$AH493),ROUND(INDEX(Profils!$K$5:$K$34,$AE493)*Paramètres!$E$27*$AG493*$AJ493,Paramètres!$F$27),0)</f>
        <v>0</v>
      </c>
      <c r="R493" s="20" t="n">
        <f aca="false" t="array" ref="R493:R493">IF(AND(INDEX(Profils!$L$5:$L$34,$AE493)&gt;0,INDEX(Profils!$AA$5:$AA$34,$AE493)&lt;=$AH493),ROUND(INDEX(Profils!$L$5:$L$34,$AE493)*Paramètres!$E$28*$AG493*$AJ493,Paramètres!$F$28),0)</f>
        <v>0.012</v>
      </c>
      <c r="S493" s="20" t="n">
        <f aca="false" t="array" ref="S493:S493">IF(AND(INDEX(Profils!$M$5:$M$34,$AE493)&gt;0,INDEX(Profils!$AB$5:$AB$34,$AE493)&lt;=$AH493),ROUND(INDEX(Profils!$M$5:$M$34,$AE493)*Paramètres!$E$29*$AG493*$AJ493,Paramètres!$F$29),0)</f>
        <v>0.012</v>
      </c>
      <c r="T493" s="20" t="n">
        <f aca="false" t="array" ref="T493:T493">IF(AND(INDEX(Profils!$N$5:$N$34,$AE493)&gt;0,INDEX(Profils!$AC$5:$AC$34,$AE493)&lt;=$AH493),ROUND(INDEX(Profils!$N$5:$N$34,$AE493)*Paramètres!$E$30*$AG493*$AJ493,Paramètres!$F$30),0)</f>
        <v>0.029</v>
      </c>
      <c r="U493" s="19" t="n">
        <f aca="false" t="array" ref="U493:U493">IF(AND(INDEX(Profils!$O$5:$O$34,$AE493)&gt;0,INDEX(Profils!$AD$5:$AD$34,$AE493)&lt;=$AH493),ROUND(INDEX(Profils!$O$5:$O$34,$AE493)*Paramètres!$E$31*$AG493*$AJ493,Paramètres!$F$31),0)</f>
        <v>0</v>
      </c>
      <c r="V493" s="20" t="n">
        <f aca="false" t="array" ref="V493:V493">IF(AND(INDEX(Profils!$P$5:$P$34,$AE493)&gt;0,INDEX(Profils!$AE$5:$AE$34,$AE493)&lt;=$AH493),ROUND(INDEX(Profils!$P$5:$P$34,$AE493)*Paramètres!$E$32*$AG493*$AJ493,Paramètres!$F$32),0)</f>
        <v>0.014</v>
      </c>
      <c r="W493" s="20" t="n">
        <f aca="false" t="array" ref="W493:W493">IF(AND(INDEX(Profils!$Q$5:$Q$34,$AE493)&gt;0,INDEX(Profils!$AF$5:$AF$34,$AE493)&lt;=$AH493),ROUND(INDEX(Profils!$Q$5:$Q$34,$AE493)*Paramètres!$E$33*$AG493*$AJ493,Paramètres!$F$33),0)</f>
        <v>0</v>
      </c>
      <c r="X493" s="20" t="n">
        <f aca="false" t="array" ref="X493:X493">IF(AND(INDEX(Profils!$R$5:$R$34,$AE493)&gt;0,INDEX(Profils!$AG$5:$AG$34,$AE493)&lt;=$AH493),ROUND(INDEX(Profils!$R$5:$R$34,$AE493)*Paramètres!$E$34*$AG493*$AJ493,Paramètres!$F$34),0)</f>
        <v>0</v>
      </c>
      <c r="Y493" s="20" t="n">
        <f aca="false" t="array" ref="Y493:Y493">IF(AND(INDEX(Profils!$S$5:$S$34,$AE493)&gt;0,INDEX(Profils!$AH$5:$AH$34,$AE493)&lt;=$AH493),ROUND(INDEX(Profils!$S$5:$S$34,$AE493)*Paramètres!$E$35*$AG493*$AJ493,Paramètres!$F$35),0)</f>
        <v>0</v>
      </c>
      <c r="Z493" s="21" t="n">
        <f aca="false">ROUND(L493/Paramètres!$E$22+M493/Paramètres!$E$23+N493/Paramètres!$E$24+O493/Paramètres!$E$25+P493/Paramètres!$E$26+Q493/Paramètres!$E$27+R493/Paramètres!$E$28+S493/Paramètres!$E$29+T493/Paramètres!$E$30+U493/Paramètres!$E$31+V493/Paramètres!$E$32+W493/Paramètres!$E$33+X493/Paramètres!$E$34+Y493/Paramètres!$E$35,1)</f>
        <v>5.1</v>
      </c>
      <c r="AA493" s="22" t="s">
        <v>109</v>
      </c>
      <c r="AB493" s="22" t="s">
        <v>109</v>
      </c>
      <c r="AC493" s="15" t="str">
        <f aca="false">$E493</f>
        <v>platine</v>
      </c>
      <c r="AD493" s="16" t="n">
        <f aca="false" t="array" ref="AD493:AD493">IF($I493&gt;=$AI493,"Max",ROUND(Paramètres!$B$40*($I493+1)^Paramètres!$B$41*INDEX(Paramètres!$H$6:$H$12,$AF493),0))</f>
        <v>6</v>
      </c>
      <c r="AE493" s="23" t="n">
        <f aca="false">MATCH($B493&amp;"|"&amp;$C493,Profils!$A$5:$A$34,0)</f>
        <v>16</v>
      </c>
      <c r="AF493" s="23" t="n">
        <v>5</v>
      </c>
      <c r="AG493" s="24" t="n">
        <f aca="false" t="array" ref="AG493:AG493">INDEX(Paramètres!$C$6:$C$12,$AF493)</f>
        <v>2.1</v>
      </c>
      <c r="AH493" s="23" t="n">
        <f aca="false" t="array" ref="AH493:AH493">INDEX(Paramètres!$D$6:$D$12,$AF493)</f>
        <v>6</v>
      </c>
      <c r="AI493" s="23" t="n">
        <f aca="false" t="array" ref="AI493:AI493">INDEX(Matériaux!$C$16:$C$20,$D493)</f>
        <v>25</v>
      </c>
      <c r="AJ493" s="25" t="n">
        <f aca="false">Paramètres!$B$16+(1-Paramètres!$B$16)*(($J493-Paramètres!$B$14)/(Paramètres!$B$15-Paramètres!$B$14))^Paramètres!$B$17</f>
        <v>0.458504333336152</v>
      </c>
    </row>
    <row r="494" customFormat="false" ht="15.75" hidden="false" customHeight="true" outlineLevel="0" collapsed="false">
      <c r="A494" s="14" t="s">
        <v>610</v>
      </c>
      <c r="B494" s="15" t="s">
        <v>29</v>
      </c>
      <c r="C494" s="15" t="s">
        <v>273</v>
      </c>
      <c r="D494" s="16" t="n">
        <v>4</v>
      </c>
      <c r="E494" s="15" t="str">
        <f aca="false" t="array" ref="E494:E494">INDEX(Matériaux!$B$5:$F$12,MATCH(INDEX(Profils!$E$5:$E$34,$AE494),Matériaux!$A$5:$A$12,0),$D494)</f>
        <v>platine</v>
      </c>
      <c r="F494" s="30" t="s">
        <v>119</v>
      </c>
      <c r="G494" s="10" t="str">
        <f aca="false" t="array" ref="G494:G494">INDEX(Profils!$D$5:$D$34,$AE494)&amp;" en "&amp;$E494</f>
        <v>Anneau runique en platine</v>
      </c>
      <c r="H494" s="16" t="n">
        <f aca="false" t="array" ref="H494:H494">INDEX(Matériaux!$B$16:$B$20,$D494)</f>
        <v>50</v>
      </c>
      <c r="I494" s="16" t="n">
        <f aca="false">IF(ISNUMBER($C$3),MIN(MAX(0,ROUND($C$3,0)),$AI494),$AI494)</f>
        <v>0</v>
      </c>
      <c r="J494" s="18" t="n">
        <f aca="false">$H494+$I494</f>
        <v>50</v>
      </c>
      <c r="K494" s="15" t="s">
        <v>109</v>
      </c>
      <c r="L494" s="19" t="n">
        <f aca="false" t="array" ref="L494:L494">IF(AND(INDEX(Profils!$F$5:$F$34,$AE494)&gt;0,INDEX(Profils!$U$5:$U$34,$AE494)&lt;=$AH494),ROUND(INDEX(Profils!$F$5:$F$34,$AE494)*Paramètres!$E$22*$AG494*$AJ494,Paramètres!$F$22),0)</f>
        <v>17</v>
      </c>
      <c r="M494" s="19" t="n">
        <f aca="false" t="array" ref="M494:M494">IF(AND(INDEX(Profils!$G$5:$G$34,$AE494)&gt;0,INDEX(Profils!$V$5:$V$34,$AE494)&lt;=$AH494),ROUND(INDEX(Profils!$G$5:$G$34,$AE494)*Paramètres!$E$23*$AG494*$AJ494,Paramètres!$F$23),0)</f>
        <v>0</v>
      </c>
      <c r="N494" s="19" t="n">
        <f aca="false" t="array" ref="N494:N494">IF(AND(INDEX(Profils!$H$5:$H$34,$AE494)&gt;0,INDEX(Profils!$W$5:$W$34,$AE494)&lt;=$AH494),ROUND(INDEX(Profils!$H$5:$H$34,$AE494)*Paramètres!$E$24*$AG494*$AJ494,Paramètres!$F$24),0)</f>
        <v>0</v>
      </c>
      <c r="O494" s="19" t="n">
        <f aca="false" t="array" ref="O494:O494">IF(AND(INDEX(Profils!$I$5:$I$34,$AE494)&gt;0,INDEX(Profils!$X$5:$X$34,$AE494)&lt;=$AH494),ROUND(INDEX(Profils!$I$5:$I$34,$AE494)*Paramètres!$E$25*$AG494*$AJ494,Paramètres!$F$25),0)</f>
        <v>13</v>
      </c>
      <c r="P494" s="19" t="n">
        <f aca="false" t="array" ref="P494:P494">IF(AND(INDEX(Profils!$J$5:$J$34,$AE494)&gt;0,INDEX(Profils!$Y$5:$Y$34,$AE494)&lt;=$AH494),ROUND(INDEX(Profils!$J$5:$J$34,$AE494)*Paramètres!$E$26*$AG494*$AJ494,Paramètres!$F$26),0)</f>
        <v>8</v>
      </c>
      <c r="Q494" s="19" t="n">
        <f aca="false" t="array" ref="Q494:Q494">IF(AND(INDEX(Profils!$K$5:$K$34,$AE494)&gt;0,INDEX(Profils!$Z$5:$Z$34,$AE494)&lt;=$AH494),ROUND(INDEX(Profils!$K$5:$K$34,$AE494)*Paramètres!$E$27*$AG494*$AJ494,Paramètres!$F$27),0)</f>
        <v>0</v>
      </c>
      <c r="R494" s="20" t="n">
        <f aca="false" t="array" ref="R494:R494">IF(AND(INDEX(Profils!$L$5:$L$34,$AE494)&gt;0,INDEX(Profils!$AA$5:$AA$34,$AE494)&lt;=$AH494),ROUND(INDEX(Profils!$L$5:$L$34,$AE494)*Paramètres!$E$28*$AG494*$AJ494,Paramètres!$F$28),0)</f>
        <v>0.013</v>
      </c>
      <c r="S494" s="20" t="n">
        <f aca="false" t="array" ref="S494:S494">IF(AND(INDEX(Profils!$M$5:$M$34,$AE494)&gt;0,INDEX(Profils!$AB$5:$AB$34,$AE494)&lt;=$AH494),ROUND(INDEX(Profils!$M$5:$M$34,$AE494)*Paramètres!$E$29*$AG494*$AJ494,Paramètres!$F$29),0)</f>
        <v>0.013</v>
      </c>
      <c r="T494" s="20" t="n">
        <f aca="false" t="array" ref="T494:T494">IF(AND(INDEX(Profils!$N$5:$N$34,$AE494)&gt;0,INDEX(Profils!$AC$5:$AC$34,$AE494)&lt;=$AH494),ROUND(INDEX(Profils!$N$5:$N$34,$AE494)*Paramètres!$E$30*$AG494*$AJ494,Paramètres!$F$30),0)</f>
        <v>0.033</v>
      </c>
      <c r="U494" s="19" t="n">
        <f aca="false" t="array" ref="U494:U494">IF(AND(INDEX(Profils!$O$5:$O$34,$AE494)&gt;0,INDEX(Profils!$AD$5:$AD$34,$AE494)&lt;=$AH494),ROUND(INDEX(Profils!$O$5:$O$34,$AE494)*Paramètres!$E$31*$AG494*$AJ494,Paramètres!$F$31),0)</f>
        <v>0</v>
      </c>
      <c r="V494" s="20" t="n">
        <f aca="false" t="array" ref="V494:V494">IF(AND(INDEX(Profils!$P$5:$P$34,$AE494)&gt;0,INDEX(Profils!$AE$5:$AE$34,$AE494)&lt;=$AH494),ROUND(INDEX(Profils!$P$5:$P$34,$AE494)*Paramètres!$E$32*$AG494*$AJ494,Paramètres!$F$32),0)</f>
        <v>0.017</v>
      </c>
      <c r="W494" s="20" t="n">
        <f aca="false" t="array" ref="W494:W494">IF(AND(INDEX(Profils!$Q$5:$Q$34,$AE494)&gt;0,INDEX(Profils!$AF$5:$AF$34,$AE494)&lt;=$AH494),ROUND(INDEX(Profils!$Q$5:$Q$34,$AE494)*Paramètres!$E$33*$AG494*$AJ494,Paramètres!$F$33),0)</f>
        <v>0</v>
      </c>
      <c r="X494" s="20" t="n">
        <f aca="false" t="array" ref="X494:X494">IF(AND(INDEX(Profils!$R$5:$R$34,$AE494)&gt;0,INDEX(Profils!$AG$5:$AG$34,$AE494)&lt;=$AH494),ROUND(INDEX(Profils!$R$5:$R$34,$AE494)*Paramètres!$E$34*$AG494*$AJ494,Paramètres!$F$34),0)</f>
        <v>0</v>
      </c>
      <c r="Y494" s="20" t="n">
        <f aca="false" t="array" ref="Y494:Y494">IF(AND(INDEX(Profils!$S$5:$S$34,$AE494)&gt;0,INDEX(Profils!$AH$5:$AH$34,$AE494)&lt;=$AH494),ROUND(INDEX(Profils!$S$5:$S$34,$AE494)*Paramètres!$E$35*$AG494*$AJ494,Paramètres!$F$35),0)</f>
        <v>0</v>
      </c>
      <c r="Z494" s="21" t="n">
        <f aca="false">ROUND(L494/Paramètres!$E$22+M494/Paramètres!$E$23+N494/Paramètres!$E$24+O494/Paramètres!$E$25+P494/Paramètres!$E$26+Q494/Paramètres!$E$27+R494/Paramètres!$E$28+S494/Paramètres!$E$29+T494/Paramètres!$E$30+U494/Paramètres!$E$31+V494/Paramètres!$E$32+W494/Paramètres!$E$33+X494/Paramètres!$E$34+Y494/Paramètres!$E$35,1)</f>
        <v>6.4</v>
      </c>
      <c r="AA494" s="22" t="s">
        <v>109</v>
      </c>
      <c r="AB494" s="22" t="s">
        <v>109</v>
      </c>
      <c r="AC494" s="15" t="str">
        <f aca="false">$E494</f>
        <v>platine</v>
      </c>
      <c r="AD494" s="16" t="n">
        <f aca="false" t="array" ref="AD494:AD494">IF($I494&gt;=$AI494,"Max",ROUND(Paramètres!$B$40*($I494+1)^Paramètres!$B$41*INDEX(Paramètres!$H$6:$H$12,$AF494),0))</f>
        <v>8</v>
      </c>
      <c r="AE494" s="23" t="n">
        <f aca="false">MATCH($B494&amp;"|"&amp;$C494,Profils!$A$5:$A$34,0)</f>
        <v>16</v>
      </c>
      <c r="AF494" s="23" t="n">
        <v>6</v>
      </c>
      <c r="AG494" s="24" t="n">
        <f aca="false" t="array" ref="AG494:AG494">INDEX(Paramètres!$C$6:$C$12,$AF494)</f>
        <v>2.4</v>
      </c>
      <c r="AH494" s="23" t="n">
        <f aca="false" t="array" ref="AH494:AH494">INDEX(Paramètres!$D$6:$D$12,$AF494)</f>
        <v>7</v>
      </c>
      <c r="AI494" s="23" t="n">
        <f aca="false" t="array" ref="AI494:AI494">INDEX(Matériaux!$C$16:$C$20,$D494)</f>
        <v>25</v>
      </c>
      <c r="AJ494" s="25" t="n">
        <f aca="false">Paramètres!$B$16+(1-Paramètres!$B$16)*(($J494-Paramètres!$B$14)/(Paramètres!$B$15-Paramètres!$B$14))^Paramètres!$B$17</f>
        <v>0.458504333336152</v>
      </c>
    </row>
    <row r="495" customFormat="false" ht="15.75" hidden="false" customHeight="true" outlineLevel="0" collapsed="false">
      <c r="A495" s="14" t="s">
        <v>611</v>
      </c>
      <c r="B495" s="15" t="s">
        <v>29</v>
      </c>
      <c r="C495" s="15" t="s">
        <v>273</v>
      </c>
      <c r="D495" s="16" t="n">
        <v>5</v>
      </c>
      <c r="E495" s="15" t="str">
        <f aca="false" t="array" ref="E495:E495">INDEX(Matériaux!$B$5:$F$12,MATCH(INDEX(Profils!$E$5:$E$34,$AE495),Matériaux!$A$5:$A$12,0),$D495)</f>
        <v>orichalque</v>
      </c>
      <c r="F495" s="17" t="s">
        <v>108</v>
      </c>
      <c r="G495" s="10" t="str">
        <f aca="false" t="array" ref="G495:G495">INDEX(Profils!$D$5:$D$34,$AE495)&amp;" en "&amp;$E495</f>
        <v>Anneau runique en orichalque</v>
      </c>
      <c r="H495" s="16" t="n">
        <f aca="false" t="array" ref="H495:H495">INDEX(Matériaux!$B$16:$B$20,$D495)</f>
        <v>70</v>
      </c>
      <c r="I495" s="16" t="n">
        <f aca="false">IF(ISNUMBER($C$3),MIN(MAX(0,ROUND($C$3,0)),$AI495),$AI495)</f>
        <v>0</v>
      </c>
      <c r="J495" s="18" t="n">
        <f aca="false">$H495+$I495</f>
        <v>70</v>
      </c>
      <c r="K495" s="15" t="s">
        <v>109</v>
      </c>
      <c r="L495" s="19" t="n">
        <f aca="false" t="array" ref="L495:L495">IF(AND(INDEX(Profils!$F$5:$F$34,$AE495)&gt;0,INDEX(Profils!$U$5:$U$34,$AE495)&lt;=$AH495),ROUND(INDEX(Profils!$F$5:$F$34,$AE495)*Paramètres!$E$22*$AG495*$AJ495,Paramètres!$F$22),0)</f>
        <v>0</v>
      </c>
      <c r="M495" s="19" t="n">
        <f aca="false" t="array" ref="M495:M495">IF(AND(INDEX(Profils!$G$5:$G$34,$AE495)&gt;0,INDEX(Profils!$V$5:$V$34,$AE495)&lt;=$AH495),ROUND(INDEX(Profils!$G$5:$G$34,$AE495)*Paramètres!$E$23*$AG495*$AJ495,Paramètres!$F$23),0)</f>
        <v>0</v>
      </c>
      <c r="N495" s="19" t="n">
        <f aca="false" t="array" ref="N495:N495">IF(AND(INDEX(Profils!$H$5:$H$34,$AE495)&gt;0,INDEX(Profils!$W$5:$W$34,$AE495)&lt;=$AH495),ROUND(INDEX(Profils!$H$5:$H$34,$AE495)*Paramètres!$E$24*$AG495*$AJ495,Paramètres!$F$24),0)</f>
        <v>0</v>
      </c>
      <c r="O495" s="19" t="n">
        <f aca="false" t="array" ref="O495:O495">IF(AND(INDEX(Profils!$I$5:$I$34,$AE495)&gt;0,INDEX(Profils!$X$5:$X$34,$AE495)&lt;=$AH495),ROUND(INDEX(Profils!$I$5:$I$34,$AE495)*Paramètres!$E$25*$AG495*$AJ495,Paramètres!$F$25),0)</f>
        <v>0</v>
      </c>
      <c r="P495" s="19" t="n">
        <f aca="false" t="array" ref="P495:P495">IF(AND(INDEX(Profils!$J$5:$J$34,$AE495)&gt;0,INDEX(Profils!$Y$5:$Y$34,$AE495)&lt;=$AH495),ROUND(INDEX(Profils!$J$5:$J$34,$AE495)*Paramètres!$E$26*$AG495*$AJ495,Paramètres!$F$26),0)</f>
        <v>0</v>
      </c>
      <c r="Q495" s="19" t="n">
        <f aca="false" t="array" ref="Q495:Q495">IF(AND(INDEX(Profils!$K$5:$K$34,$AE495)&gt;0,INDEX(Profils!$Z$5:$Z$34,$AE495)&lt;=$AH495),ROUND(INDEX(Profils!$K$5:$K$34,$AE495)*Paramètres!$E$27*$AG495*$AJ495,Paramètres!$F$27),0)</f>
        <v>0</v>
      </c>
      <c r="R495" s="20" t="n">
        <f aca="false" t="array" ref="R495:R495">IF(AND(INDEX(Profils!$L$5:$L$34,$AE495)&gt;0,INDEX(Profils!$AA$5:$AA$34,$AE495)&lt;=$AH495),ROUND(INDEX(Profils!$L$5:$L$34,$AE495)*Paramètres!$E$28*$AG495*$AJ495,Paramètres!$F$28),0)</f>
        <v>0</v>
      </c>
      <c r="S495" s="20" t="n">
        <f aca="false" t="array" ref="S495:S495">IF(AND(INDEX(Profils!$M$5:$M$34,$AE495)&gt;0,INDEX(Profils!$AB$5:$AB$34,$AE495)&lt;=$AH495),ROUND(INDEX(Profils!$M$5:$M$34,$AE495)*Paramètres!$E$29*$AG495*$AJ495,Paramètres!$F$29),0)</f>
        <v>0.008</v>
      </c>
      <c r="T495" s="20" t="n">
        <f aca="false" t="array" ref="T495:T495">IF(AND(INDEX(Profils!$N$5:$N$34,$AE495)&gt;0,INDEX(Profils!$AC$5:$AC$34,$AE495)&lt;=$AH495),ROUND(INDEX(Profils!$N$5:$N$34,$AE495)*Paramètres!$E$30*$AG495*$AJ495,Paramètres!$F$30),0)</f>
        <v>0.02</v>
      </c>
      <c r="U495" s="19" t="n">
        <f aca="false" t="array" ref="U495:U495">IF(AND(INDEX(Profils!$O$5:$O$34,$AE495)&gt;0,INDEX(Profils!$AD$5:$AD$34,$AE495)&lt;=$AH495),ROUND(INDEX(Profils!$O$5:$O$34,$AE495)*Paramètres!$E$31*$AG495*$AJ495,Paramètres!$F$31),0)</f>
        <v>0</v>
      </c>
      <c r="V495" s="20" t="n">
        <f aca="false" t="array" ref="V495:V495">IF(AND(INDEX(Profils!$P$5:$P$34,$AE495)&gt;0,INDEX(Profils!$AE$5:$AE$34,$AE495)&lt;=$AH495),ROUND(INDEX(Profils!$P$5:$P$34,$AE495)*Paramètres!$E$32*$AG495*$AJ495,Paramètres!$F$32),0)</f>
        <v>0</v>
      </c>
      <c r="W495" s="20" t="n">
        <f aca="false" t="array" ref="W495:W495">IF(AND(INDEX(Profils!$Q$5:$Q$34,$AE495)&gt;0,INDEX(Profils!$AF$5:$AF$34,$AE495)&lt;=$AH495),ROUND(INDEX(Profils!$Q$5:$Q$34,$AE495)*Paramètres!$E$33*$AG495*$AJ495,Paramètres!$F$33),0)</f>
        <v>0</v>
      </c>
      <c r="X495" s="20" t="n">
        <f aca="false" t="array" ref="X495:X495">IF(AND(INDEX(Profils!$R$5:$R$34,$AE495)&gt;0,INDEX(Profils!$AG$5:$AG$34,$AE495)&lt;=$AH495),ROUND(INDEX(Profils!$R$5:$R$34,$AE495)*Paramètres!$E$34*$AG495*$AJ495,Paramètres!$F$34),0)</f>
        <v>0</v>
      </c>
      <c r="Y495" s="20" t="n">
        <f aca="false" t="array" ref="Y495:Y495">IF(AND(INDEX(Profils!$S$5:$S$34,$AE495)&gt;0,INDEX(Profils!$AH$5:$AH$34,$AE495)&lt;=$AH495),ROUND(INDEX(Profils!$S$5:$S$34,$AE495)*Paramètres!$E$35*$AG495*$AJ495,Paramètres!$F$35),0)</f>
        <v>0</v>
      </c>
      <c r="Z495" s="21" t="n">
        <f aca="false">ROUND(L495/Paramètres!$E$22+M495/Paramètres!$E$23+N495/Paramètres!$E$24+O495/Paramètres!$E$25+P495/Paramètres!$E$26+Q495/Paramètres!$E$27+R495/Paramètres!$E$28+S495/Paramètres!$E$29+T495/Paramètres!$E$30+U495/Paramètres!$E$31+V495/Paramètres!$E$32+W495/Paramètres!$E$33+X495/Paramètres!$E$34+Y495/Paramètres!$E$35,1)</f>
        <v>1.3</v>
      </c>
      <c r="AA495" s="22" t="s">
        <v>109</v>
      </c>
      <c r="AB495" s="22" t="s">
        <v>109</v>
      </c>
      <c r="AC495" s="15" t="str">
        <f aca="false">$E495</f>
        <v>orichalque</v>
      </c>
      <c r="AD495" s="16" t="n">
        <f aca="false" t="array" ref="AD495:AD495">IF($I495&gt;=$AI495,"Max",ROUND(Paramètres!$B$40*($I495+1)^Paramètres!$B$41*INDEX(Paramètres!$H$6:$H$12,$AF495),0))</f>
        <v>3</v>
      </c>
      <c r="AE495" s="23" t="n">
        <f aca="false">MATCH($B495&amp;"|"&amp;$C495,Profils!$A$5:$A$34,0)</f>
        <v>16</v>
      </c>
      <c r="AF495" s="23" t="n">
        <v>1</v>
      </c>
      <c r="AG495" s="24" t="n">
        <f aca="false" t="array" ref="AG495:AG495">INDEX(Paramètres!$C$6:$C$12,$AF495)</f>
        <v>1</v>
      </c>
      <c r="AH495" s="23" t="n">
        <f aca="false" t="array" ref="AH495:AH495">INDEX(Paramètres!$D$6:$D$12,$AF495)</f>
        <v>2</v>
      </c>
      <c r="AI495" s="23" t="n">
        <f aca="false" t="array" ref="AI495:AI495">INDEX(Matériaux!$C$16:$C$20,$D495)</f>
        <v>30</v>
      </c>
      <c r="AJ495" s="25" t="n">
        <f aca="false">Paramètres!$B$16+(1-Paramètres!$B$16)*(($J495-Paramètres!$B$14)/(Paramètres!$B$15-Paramètres!$B$14))^Paramètres!$B$17</f>
        <v>0.665999387952727</v>
      </c>
    </row>
    <row r="496" customFormat="false" ht="15.75" hidden="false" customHeight="true" outlineLevel="0" collapsed="false">
      <c r="A496" s="14" t="s">
        <v>612</v>
      </c>
      <c r="B496" s="15" t="s">
        <v>29</v>
      </c>
      <c r="C496" s="15" t="s">
        <v>273</v>
      </c>
      <c r="D496" s="16" t="n">
        <v>5</v>
      </c>
      <c r="E496" s="15" t="str">
        <f aca="false" t="array" ref="E496:E496">INDEX(Matériaux!$B$5:$F$12,MATCH(INDEX(Profils!$E$5:$E$34,$AE496),Matériaux!$A$5:$A$12,0),$D496)</f>
        <v>orichalque</v>
      </c>
      <c r="F496" s="26" t="s">
        <v>111</v>
      </c>
      <c r="G496" s="10" t="str">
        <f aca="false" t="array" ref="G496:G496">INDEX(Profils!$D$5:$D$34,$AE496)&amp;" en "&amp;$E496</f>
        <v>Anneau runique en orichalque</v>
      </c>
      <c r="H496" s="16" t="n">
        <f aca="false" t="array" ref="H496:H496">INDEX(Matériaux!$B$16:$B$20,$D496)</f>
        <v>70</v>
      </c>
      <c r="I496" s="16" t="n">
        <f aca="false">IF(ISNUMBER($C$3),MIN(MAX(0,ROUND($C$3,0)),$AI496),$AI496)</f>
        <v>0</v>
      </c>
      <c r="J496" s="18" t="n">
        <f aca="false">$H496+$I496</f>
        <v>70</v>
      </c>
      <c r="K496" s="15" t="s">
        <v>109</v>
      </c>
      <c r="L496" s="19" t="n">
        <f aca="false" t="array" ref="L496:L496">IF(AND(INDEX(Profils!$F$5:$F$34,$AE496)&gt;0,INDEX(Profils!$U$5:$U$34,$AE496)&lt;=$AH496),ROUND(INDEX(Profils!$F$5:$F$34,$AE496)*Paramètres!$E$22*$AG496*$AJ496,Paramètres!$F$22),0)</f>
        <v>0</v>
      </c>
      <c r="M496" s="19" t="n">
        <f aca="false" t="array" ref="M496:M496">IF(AND(INDEX(Profils!$G$5:$G$34,$AE496)&gt;0,INDEX(Profils!$V$5:$V$34,$AE496)&lt;=$AH496),ROUND(INDEX(Profils!$G$5:$G$34,$AE496)*Paramètres!$E$23*$AG496*$AJ496,Paramètres!$F$23),0)</f>
        <v>0</v>
      </c>
      <c r="N496" s="19" t="n">
        <f aca="false" t="array" ref="N496:N496">IF(AND(INDEX(Profils!$H$5:$H$34,$AE496)&gt;0,INDEX(Profils!$W$5:$W$34,$AE496)&lt;=$AH496),ROUND(INDEX(Profils!$H$5:$H$34,$AE496)*Paramètres!$E$24*$AG496*$AJ496,Paramètres!$F$24),0)</f>
        <v>0</v>
      </c>
      <c r="O496" s="19" t="n">
        <f aca="false" t="array" ref="O496:O496">IF(AND(INDEX(Profils!$I$5:$I$34,$AE496)&gt;0,INDEX(Profils!$X$5:$X$34,$AE496)&lt;=$AH496),ROUND(INDEX(Profils!$I$5:$I$34,$AE496)*Paramètres!$E$25*$AG496*$AJ496,Paramètres!$F$25),0)</f>
        <v>0</v>
      </c>
      <c r="P496" s="19" t="n">
        <f aca="false" t="array" ref="P496:P496">IF(AND(INDEX(Profils!$J$5:$J$34,$AE496)&gt;0,INDEX(Profils!$Y$5:$Y$34,$AE496)&lt;=$AH496),ROUND(INDEX(Profils!$J$5:$J$34,$AE496)*Paramètres!$E$26*$AG496*$AJ496,Paramètres!$F$26),0)</f>
        <v>0</v>
      </c>
      <c r="Q496" s="19" t="n">
        <f aca="false" t="array" ref="Q496:Q496">IF(AND(INDEX(Profils!$K$5:$K$34,$AE496)&gt;0,INDEX(Profils!$Z$5:$Z$34,$AE496)&lt;=$AH496),ROUND(INDEX(Profils!$K$5:$K$34,$AE496)*Paramètres!$E$27*$AG496*$AJ496,Paramètres!$F$27),0)</f>
        <v>0</v>
      </c>
      <c r="R496" s="20" t="n">
        <f aca="false" t="array" ref="R496:R496">IF(AND(INDEX(Profils!$L$5:$L$34,$AE496)&gt;0,INDEX(Profils!$AA$5:$AA$34,$AE496)&lt;=$AH496),ROUND(INDEX(Profils!$L$5:$L$34,$AE496)*Paramètres!$E$28*$AG496*$AJ496,Paramètres!$F$28),0)</f>
        <v>0</v>
      </c>
      <c r="S496" s="20" t="n">
        <f aca="false" t="array" ref="S496:S496">IF(AND(INDEX(Profils!$M$5:$M$34,$AE496)&gt;0,INDEX(Profils!$AB$5:$AB$34,$AE496)&lt;=$AH496),ROUND(INDEX(Profils!$M$5:$M$34,$AE496)*Paramètres!$E$29*$AG496*$AJ496,Paramètres!$F$29),0)</f>
        <v>0.01</v>
      </c>
      <c r="T496" s="20" t="n">
        <f aca="false" t="array" ref="T496:T496">IF(AND(INDEX(Profils!$N$5:$N$34,$AE496)&gt;0,INDEX(Profils!$AC$5:$AC$34,$AE496)&lt;=$AH496),ROUND(INDEX(Profils!$N$5:$N$34,$AE496)*Paramètres!$E$30*$AG496*$AJ496,Paramètres!$F$30),0)</f>
        <v>0.024</v>
      </c>
      <c r="U496" s="19" t="n">
        <f aca="false" t="array" ref="U496:U496">IF(AND(INDEX(Profils!$O$5:$O$34,$AE496)&gt;0,INDEX(Profils!$AD$5:$AD$34,$AE496)&lt;=$AH496),ROUND(INDEX(Profils!$O$5:$O$34,$AE496)*Paramètres!$E$31*$AG496*$AJ496,Paramètres!$F$31),0)</f>
        <v>0</v>
      </c>
      <c r="V496" s="20" t="n">
        <f aca="false" t="array" ref="V496:V496">IF(AND(INDEX(Profils!$P$5:$P$34,$AE496)&gt;0,INDEX(Profils!$AE$5:$AE$34,$AE496)&lt;=$AH496),ROUND(INDEX(Profils!$P$5:$P$34,$AE496)*Paramètres!$E$32*$AG496*$AJ496,Paramètres!$F$32),0)</f>
        <v>0.012</v>
      </c>
      <c r="W496" s="20" t="n">
        <f aca="false" t="array" ref="W496:W496">IF(AND(INDEX(Profils!$Q$5:$Q$34,$AE496)&gt;0,INDEX(Profils!$AF$5:$AF$34,$AE496)&lt;=$AH496),ROUND(INDEX(Profils!$Q$5:$Q$34,$AE496)*Paramètres!$E$33*$AG496*$AJ496,Paramètres!$F$33),0)</f>
        <v>0</v>
      </c>
      <c r="X496" s="20" t="n">
        <f aca="false" t="array" ref="X496:X496">IF(AND(INDEX(Profils!$R$5:$R$34,$AE496)&gt;0,INDEX(Profils!$AG$5:$AG$34,$AE496)&lt;=$AH496),ROUND(INDEX(Profils!$R$5:$R$34,$AE496)*Paramètres!$E$34*$AG496*$AJ496,Paramètres!$F$34),0)</f>
        <v>0</v>
      </c>
      <c r="Y496" s="20" t="n">
        <f aca="false" t="array" ref="Y496:Y496">IF(AND(INDEX(Profils!$S$5:$S$34,$AE496)&gt;0,INDEX(Profils!$AH$5:$AH$34,$AE496)&lt;=$AH496),ROUND(INDEX(Profils!$S$5:$S$34,$AE496)*Paramètres!$E$35*$AG496*$AJ496,Paramètres!$F$35),0)</f>
        <v>0</v>
      </c>
      <c r="Z496" s="21" t="n">
        <f aca="false">ROUND(L496/Paramètres!$E$22+M496/Paramètres!$E$23+N496/Paramètres!$E$24+O496/Paramètres!$E$25+P496/Paramètres!$E$26+Q496/Paramètres!$E$27+R496/Paramètres!$E$28+S496/Paramètres!$E$29+T496/Paramètres!$E$30+U496/Paramètres!$E$31+V496/Paramètres!$E$32+W496/Paramètres!$E$33+X496/Paramètres!$E$34+Y496/Paramètres!$E$35,1)</f>
        <v>2.4</v>
      </c>
      <c r="AA496" s="22" t="s">
        <v>109</v>
      </c>
      <c r="AB496" s="22" t="s">
        <v>109</v>
      </c>
      <c r="AC496" s="15" t="str">
        <f aca="false">$E496</f>
        <v>orichalque</v>
      </c>
      <c r="AD496" s="16" t="n">
        <f aca="false" t="array" ref="AD496:AD496">IF($I496&gt;=$AI496,"Max",ROUND(Paramètres!$B$40*($I496+1)^Paramètres!$B$41*INDEX(Paramètres!$H$6:$H$12,$AF496),0))</f>
        <v>4</v>
      </c>
      <c r="AE496" s="23" t="n">
        <f aca="false">MATCH($B496&amp;"|"&amp;$C496,Profils!$A$5:$A$34,0)</f>
        <v>16</v>
      </c>
      <c r="AF496" s="23" t="n">
        <v>2</v>
      </c>
      <c r="AG496" s="24" t="n">
        <f aca="false" t="array" ref="AG496:AG496">INDEX(Paramètres!$C$6:$C$12,$AF496)</f>
        <v>1.2</v>
      </c>
      <c r="AH496" s="23" t="n">
        <f aca="false" t="array" ref="AH496:AH496">INDEX(Paramètres!$D$6:$D$12,$AF496)</f>
        <v>3</v>
      </c>
      <c r="AI496" s="23" t="n">
        <f aca="false" t="array" ref="AI496:AI496">INDEX(Matériaux!$C$16:$C$20,$D496)</f>
        <v>30</v>
      </c>
      <c r="AJ496" s="25" t="n">
        <f aca="false">Paramètres!$B$16+(1-Paramètres!$B$16)*(($J496-Paramètres!$B$14)/(Paramètres!$B$15-Paramètres!$B$14))^Paramètres!$B$17</f>
        <v>0.665999387952727</v>
      </c>
    </row>
    <row r="497" customFormat="false" ht="15.75" hidden="false" customHeight="true" outlineLevel="0" collapsed="false">
      <c r="A497" s="14" t="s">
        <v>613</v>
      </c>
      <c r="B497" s="15" t="s">
        <v>29</v>
      </c>
      <c r="C497" s="15" t="s">
        <v>273</v>
      </c>
      <c r="D497" s="16" t="n">
        <v>5</v>
      </c>
      <c r="E497" s="15" t="str">
        <f aca="false" t="array" ref="E497:E497">INDEX(Matériaux!$B$5:$F$12,MATCH(INDEX(Profils!$E$5:$E$34,$AE497),Matériaux!$A$5:$A$12,0),$D497)</f>
        <v>orichalque</v>
      </c>
      <c r="F497" s="27" t="s">
        <v>113</v>
      </c>
      <c r="G497" s="10" t="str">
        <f aca="false" t="array" ref="G497:G497">INDEX(Profils!$D$5:$D$34,$AE497)&amp;" en "&amp;$E497</f>
        <v>Anneau runique en orichalque</v>
      </c>
      <c r="H497" s="16" t="n">
        <f aca="false" t="array" ref="H497:H497">INDEX(Matériaux!$B$16:$B$20,$D497)</f>
        <v>70</v>
      </c>
      <c r="I497" s="16" t="n">
        <f aca="false">IF(ISNUMBER($C$3),MIN(MAX(0,ROUND($C$3,0)),$AI497),$AI497)</f>
        <v>0</v>
      </c>
      <c r="J497" s="18" t="n">
        <f aca="false">$H497+$I497</f>
        <v>70</v>
      </c>
      <c r="K497" s="15" t="s">
        <v>109</v>
      </c>
      <c r="L497" s="19" t="n">
        <f aca="false" t="array" ref="L497:L497">IF(AND(INDEX(Profils!$F$5:$F$34,$AE497)&gt;0,INDEX(Profils!$U$5:$U$34,$AE497)&lt;=$AH497),ROUND(INDEX(Profils!$F$5:$F$34,$AE497)*Paramètres!$E$22*$AG497*$AJ497,Paramètres!$F$22),0)</f>
        <v>0</v>
      </c>
      <c r="M497" s="19" t="n">
        <f aca="false" t="array" ref="M497:M497">IF(AND(INDEX(Profils!$G$5:$G$34,$AE497)&gt;0,INDEX(Profils!$V$5:$V$34,$AE497)&lt;=$AH497),ROUND(INDEX(Profils!$G$5:$G$34,$AE497)*Paramètres!$E$23*$AG497*$AJ497,Paramètres!$F$23),0)</f>
        <v>0</v>
      </c>
      <c r="N497" s="19" t="n">
        <f aca="false" t="array" ref="N497:N497">IF(AND(INDEX(Profils!$H$5:$H$34,$AE497)&gt;0,INDEX(Profils!$W$5:$W$34,$AE497)&lt;=$AH497),ROUND(INDEX(Profils!$H$5:$H$34,$AE497)*Paramètres!$E$24*$AG497*$AJ497,Paramètres!$F$24),0)</f>
        <v>0</v>
      </c>
      <c r="O497" s="19" t="n">
        <f aca="false" t="array" ref="O497:O497">IF(AND(INDEX(Profils!$I$5:$I$34,$AE497)&gt;0,INDEX(Profils!$X$5:$X$34,$AE497)&lt;=$AH497),ROUND(INDEX(Profils!$I$5:$I$34,$AE497)*Paramètres!$E$25*$AG497*$AJ497,Paramètres!$F$25),0)</f>
        <v>12</v>
      </c>
      <c r="P497" s="19" t="n">
        <f aca="false" t="array" ref="P497:P497">IF(AND(INDEX(Profils!$J$5:$J$34,$AE497)&gt;0,INDEX(Profils!$Y$5:$Y$34,$AE497)&lt;=$AH497),ROUND(INDEX(Profils!$J$5:$J$34,$AE497)*Paramètres!$E$26*$AG497*$AJ497,Paramètres!$F$26),0)</f>
        <v>0</v>
      </c>
      <c r="Q497" s="19" t="n">
        <f aca="false" t="array" ref="Q497:Q497">IF(AND(INDEX(Profils!$K$5:$K$34,$AE497)&gt;0,INDEX(Profils!$Z$5:$Z$34,$AE497)&lt;=$AH497),ROUND(INDEX(Profils!$K$5:$K$34,$AE497)*Paramètres!$E$27*$AG497*$AJ497,Paramètres!$F$27),0)</f>
        <v>0</v>
      </c>
      <c r="R497" s="20" t="n">
        <f aca="false" t="array" ref="R497:R497">IF(AND(INDEX(Profils!$L$5:$L$34,$AE497)&gt;0,INDEX(Profils!$AA$5:$AA$34,$AE497)&lt;=$AH497),ROUND(INDEX(Profils!$L$5:$L$34,$AE497)*Paramètres!$E$28*$AG497*$AJ497,Paramètres!$F$28),0)</f>
        <v>0</v>
      </c>
      <c r="S497" s="20" t="n">
        <f aca="false" t="array" ref="S497:S497">IF(AND(INDEX(Profils!$M$5:$M$34,$AE497)&gt;0,INDEX(Profils!$AB$5:$AB$34,$AE497)&lt;=$AH497),ROUND(INDEX(Profils!$M$5:$M$34,$AE497)*Paramètres!$E$29*$AG497*$AJ497,Paramètres!$F$29),0)</f>
        <v>0.012</v>
      </c>
      <c r="T497" s="20" t="n">
        <f aca="false" t="array" ref="T497:T497">IF(AND(INDEX(Profils!$N$5:$N$34,$AE497)&gt;0,INDEX(Profils!$AC$5:$AC$34,$AE497)&lt;=$AH497),ROUND(INDEX(Profils!$N$5:$N$34,$AE497)*Paramètres!$E$30*$AG497*$AJ497,Paramètres!$F$30),0)</f>
        <v>0.029</v>
      </c>
      <c r="U497" s="19" t="n">
        <f aca="false" t="array" ref="U497:U497">IF(AND(INDEX(Profils!$O$5:$O$34,$AE497)&gt;0,INDEX(Profils!$AD$5:$AD$34,$AE497)&lt;=$AH497),ROUND(INDEX(Profils!$O$5:$O$34,$AE497)*Paramètres!$E$31*$AG497*$AJ497,Paramètres!$F$31),0)</f>
        <v>0</v>
      </c>
      <c r="V497" s="20" t="n">
        <f aca="false" t="array" ref="V497:V497">IF(AND(INDEX(Profils!$P$5:$P$34,$AE497)&gt;0,INDEX(Profils!$AE$5:$AE$34,$AE497)&lt;=$AH497),ROUND(INDEX(Profils!$P$5:$P$34,$AE497)*Paramètres!$E$32*$AG497*$AJ497,Paramètres!$F$32),0)</f>
        <v>0.014</v>
      </c>
      <c r="W497" s="20" t="n">
        <f aca="false" t="array" ref="W497:W497">IF(AND(INDEX(Profils!$Q$5:$Q$34,$AE497)&gt;0,INDEX(Profils!$AF$5:$AF$34,$AE497)&lt;=$AH497),ROUND(INDEX(Profils!$Q$5:$Q$34,$AE497)*Paramètres!$E$33*$AG497*$AJ497,Paramètres!$F$33),0)</f>
        <v>0</v>
      </c>
      <c r="X497" s="20" t="n">
        <f aca="false" t="array" ref="X497:X497">IF(AND(INDEX(Profils!$R$5:$R$34,$AE497)&gt;0,INDEX(Profils!$AG$5:$AG$34,$AE497)&lt;=$AH497),ROUND(INDEX(Profils!$R$5:$R$34,$AE497)*Paramètres!$E$34*$AG497*$AJ497,Paramètres!$F$34),0)</f>
        <v>0</v>
      </c>
      <c r="Y497" s="20" t="n">
        <f aca="false" t="array" ref="Y497:Y497">IF(AND(INDEX(Profils!$S$5:$S$34,$AE497)&gt;0,INDEX(Profils!$AH$5:$AH$34,$AE497)&lt;=$AH497),ROUND(INDEX(Profils!$S$5:$S$34,$AE497)*Paramètres!$E$35*$AG497*$AJ497,Paramètres!$F$35),0)</f>
        <v>0</v>
      </c>
      <c r="Z497" s="21" t="n">
        <f aca="false">ROUND(L497/Paramètres!$E$22+M497/Paramètres!$E$23+N497/Paramètres!$E$24+O497/Paramètres!$E$25+P497/Paramètres!$E$26+Q497/Paramètres!$E$27+R497/Paramètres!$E$28+S497/Paramètres!$E$29+T497/Paramètres!$E$30+U497/Paramètres!$E$31+V497/Paramètres!$E$32+W497/Paramètres!$E$33+X497/Paramètres!$E$34+Y497/Paramètres!$E$35,1)</f>
        <v>3.7</v>
      </c>
      <c r="AA497" s="22" t="s">
        <v>109</v>
      </c>
      <c r="AB497" s="22" t="s">
        <v>109</v>
      </c>
      <c r="AC497" s="15" t="str">
        <f aca="false">$E497</f>
        <v>orichalque</v>
      </c>
      <c r="AD497" s="16" t="n">
        <f aca="false" t="array" ref="AD497:AD497">IF($I497&gt;=$AI497,"Max",ROUND(Paramètres!$B$40*($I497+1)^Paramètres!$B$41*INDEX(Paramètres!$H$6:$H$12,$AF497),0))</f>
        <v>4</v>
      </c>
      <c r="AE497" s="23" t="n">
        <f aca="false">MATCH($B497&amp;"|"&amp;$C497,Profils!$A$5:$A$34,0)</f>
        <v>16</v>
      </c>
      <c r="AF497" s="23" t="n">
        <v>3</v>
      </c>
      <c r="AG497" s="24" t="n">
        <f aca="false" t="array" ref="AG497:AG497">INDEX(Paramètres!$C$6:$C$12,$AF497)</f>
        <v>1.45</v>
      </c>
      <c r="AH497" s="23" t="n">
        <f aca="false" t="array" ref="AH497:AH497">INDEX(Paramètres!$D$6:$D$12,$AF497)</f>
        <v>4</v>
      </c>
      <c r="AI497" s="23" t="n">
        <f aca="false" t="array" ref="AI497:AI497">INDEX(Matériaux!$C$16:$C$20,$D497)</f>
        <v>30</v>
      </c>
      <c r="AJ497" s="25" t="n">
        <f aca="false">Paramètres!$B$16+(1-Paramètres!$B$16)*(($J497-Paramètres!$B$14)/(Paramètres!$B$15-Paramètres!$B$14))^Paramètres!$B$17</f>
        <v>0.665999387952727</v>
      </c>
    </row>
    <row r="498" customFormat="false" ht="15.75" hidden="false" customHeight="true" outlineLevel="0" collapsed="false">
      <c r="A498" s="14" t="s">
        <v>614</v>
      </c>
      <c r="B498" s="15" t="s">
        <v>29</v>
      </c>
      <c r="C498" s="15" t="s">
        <v>273</v>
      </c>
      <c r="D498" s="16" t="n">
        <v>5</v>
      </c>
      <c r="E498" s="15" t="str">
        <f aca="false" t="array" ref="E498:E498">INDEX(Matériaux!$B$5:$F$12,MATCH(INDEX(Profils!$E$5:$E$34,$AE498),Matériaux!$A$5:$A$12,0),$D498)</f>
        <v>orichalque</v>
      </c>
      <c r="F498" s="28" t="s">
        <v>115</v>
      </c>
      <c r="G498" s="10" t="str">
        <f aca="false" t="array" ref="G498:G498">INDEX(Profils!$D$5:$D$34,$AE498)&amp;" en "&amp;$E498</f>
        <v>Anneau runique en orichalque</v>
      </c>
      <c r="H498" s="16" t="n">
        <f aca="false" t="array" ref="H498:H498">INDEX(Matériaux!$B$16:$B$20,$D498)</f>
        <v>70</v>
      </c>
      <c r="I498" s="16" t="n">
        <f aca="false">IF(ISNUMBER($C$3),MIN(MAX(0,ROUND($C$3,0)),$AI498),$AI498)</f>
        <v>0</v>
      </c>
      <c r="J498" s="18" t="n">
        <f aca="false">$H498+$I498</f>
        <v>70</v>
      </c>
      <c r="K498" s="15" t="s">
        <v>109</v>
      </c>
      <c r="L498" s="19" t="n">
        <f aca="false" t="array" ref="L498:L498">IF(AND(INDEX(Profils!$F$5:$F$34,$AE498)&gt;0,INDEX(Profils!$U$5:$U$34,$AE498)&lt;=$AH498),ROUND(INDEX(Profils!$F$5:$F$34,$AE498)*Paramètres!$E$22*$AG498*$AJ498,Paramètres!$F$22),0)</f>
        <v>0</v>
      </c>
      <c r="M498" s="19" t="n">
        <f aca="false" t="array" ref="M498:M498">IF(AND(INDEX(Profils!$G$5:$G$34,$AE498)&gt;0,INDEX(Profils!$V$5:$V$34,$AE498)&lt;=$AH498),ROUND(INDEX(Profils!$G$5:$G$34,$AE498)*Paramètres!$E$23*$AG498*$AJ498,Paramètres!$F$23),0)</f>
        <v>0</v>
      </c>
      <c r="N498" s="19" t="n">
        <f aca="false" t="array" ref="N498:N498">IF(AND(INDEX(Profils!$H$5:$H$34,$AE498)&gt;0,INDEX(Profils!$W$5:$W$34,$AE498)&lt;=$AH498),ROUND(INDEX(Profils!$H$5:$H$34,$AE498)*Paramètres!$E$24*$AG498*$AJ498,Paramètres!$F$24),0)</f>
        <v>0</v>
      </c>
      <c r="O498" s="19" t="n">
        <f aca="false" t="array" ref="O498:O498">IF(AND(INDEX(Profils!$I$5:$I$34,$AE498)&gt;0,INDEX(Profils!$X$5:$X$34,$AE498)&lt;=$AH498),ROUND(INDEX(Profils!$I$5:$I$34,$AE498)*Paramètres!$E$25*$AG498*$AJ498,Paramètres!$F$25),0)</f>
        <v>14</v>
      </c>
      <c r="P498" s="19" t="n">
        <f aca="false" t="array" ref="P498:P498">IF(AND(INDEX(Profils!$J$5:$J$34,$AE498)&gt;0,INDEX(Profils!$Y$5:$Y$34,$AE498)&lt;=$AH498),ROUND(INDEX(Profils!$J$5:$J$34,$AE498)*Paramètres!$E$26*$AG498*$AJ498,Paramètres!$F$26),0)</f>
        <v>0</v>
      </c>
      <c r="Q498" s="19" t="n">
        <f aca="false" t="array" ref="Q498:Q498">IF(AND(INDEX(Profils!$K$5:$K$34,$AE498)&gt;0,INDEX(Profils!$Z$5:$Z$34,$AE498)&lt;=$AH498),ROUND(INDEX(Profils!$K$5:$K$34,$AE498)*Paramètres!$E$27*$AG498*$AJ498,Paramètres!$F$27),0)</f>
        <v>0</v>
      </c>
      <c r="R498" s="20" t="n">
        <f aca="false" t="array" ref="R498:R498">IF(AND(INDEX(Profils!$L$5:$L$34,$AE498)&gt;0,INDEX(Profils!$AA$5:$AA$34,$AE498)&lt;=$AH498),ROUND(INDEX(Profils!$L$5:$L$34,$AE498)*Paramètres!$E$28*$AG498*$AJ498,Paramètres!$F$28),0)</f>
        <v>0.014</v>
      </c>
      <c r="S498" s="20" t="n">
        <f aca="false" t="array" ref="S498:S498">IF(AND(INDEX(Profils!$M$5:$M$34,$AE498)&gt;0,INDEX(Profils!$AB$5:$AB$34,$AE498)&lt;=$AH498),ROUND(INDEX(Profils!$M$5:$M$34,$AE498)*Paramètres!$E$29*$AG498*$AJ498,Paramètres!$F$29),0)</f>
        <v>0.014</v>
      </c>
      <c r="T498" s="20" t="n">
        <f aca="false" t="array" ref="T498:T498">IF(AND(INDEX(Profils!$N$5:$N$34,$AE498)&gt;0,INDEX(Profils!$AC$5:$AC$34,$AE498)&lt;=$AH498),ROUND(INDEX(Profils!$N$5:$N$34,$AE498)*Paramètres!$E$30*$AG498*$AJ498,Paramètres!$F$30),0)</f>
        <v>0.035</v>
      </c>
      <c r="U498" s="19" t="n">
        <f aca="false" t="array" ref="U498:U498">IF(AND(INDEX(Profils!$O$5:$O$34,$AE498)&gt;0,INDEX(Profils!$AD$5:$AD$34,$AE498)&lt;=$AH498),ROUND(INDEX(Profils!$O$5:$O$34,$AE498)*Paramètres!$E$31*$AG498*$AJ498,Paramètres!$F$31),0)</f>
        <v>0</v>
      </c>
      <c r="V498" s="20" t="n">
        <f aca="false" t="array" ref="V498:V498">IF(AND(INDEX(Profils!$P$5:$P$34,$AE498)&gt;0,INDEX(Profils!$AE$5:$AE$34,$AE498)&lt;=$AH498),ROUND(INDEX(Profils!$P$5:$P$34,$AE498)*Paramètres!$E$32*$AG498*$AJ498,Paramètres!$F$32),0)</f>
        <v>0.017</v>
      </c>
      <c r="W498" s="20" t="n">
        <f aca="false" t="array" ref="W498:W498">IF(AND(INDEX(Profils!$Q$5:$Q$34,$AE498)&gt;0,INDEX(Profils!$AF$5:$AF$34,$AE498)&lt;=$AH498),ROUND(INDEX(Profils!$Q$5:$Q$34,$AE498)*Paramètres!$E$33*$AG498*$AJ498,Paramètres!$F$33),0)</f>
        <v>0</v>
      </c>
      <c r="X498" s="20" t="n">
        <f aca="false" t="array" ref="X498:X498">IF(AND(INDEX(Profils!$R$5:$R$34,$AE498)&gt;0,INDEX(Profils!$AG$5:$AG$34,$AE498)&lt;=$AH498),ROUND(INDEX(Profils!$R$5:$R$34,$AE498)*Paramètres!$E$34*$AG498*$AJ498,Paramètres!$F$34),0)</f>
        <v>0</v>
      </c>
      <c r="Y498" s="20" t="n">
        <f aca="false" t="array" ref="Y498:Y498">IF(AND(INDEX(Profils!$S$5:$S$34,$AE498)&gt;0,INDEX(Profils!$AH$5:$AH$34,$AE498)&lt;=$AH498),ROUND(INDEX(Profils!$S$5:$S$34,$AE498)*Paramètres!$E$35*$AG498*$AJ498,Paramètres!$F$35),0)</f>
        <v>0</v>
      </c>
      <c r="Z498" s="21" t="n">
        <f aca="false">ROUND(L498/Paramètres!$E$22+M498/Paramètres!$E$23+N498/Paramètres!$E$24+O498/Paramètres!$E$25+P498/Paramètres!$E$26+Q498/Paramètres!$E$27+R498/Paramètres!$E$28+S498/Paramètres!$E$29+T498/Paramètres!$E$30+U498/Paramètres!$E$31+V498/Paramètres!$E$32+W498/Paramètres!$E$33+X498/Paramètres!$E$34+Y498/Paramètres!$E$35,1)</f>
        <v>5.3</v>
      </c>
      <c r="AA498" s="22" t="s">
        <v>109</v>
      </c>
      <c r="AB498" s="22" t="s">
        <v>109</v>
      </c>
      <c r="AC498" s="15" t="str">
        <f aca="false">$E498</f>
        <v>orichalque</v>
      </c>
      <c r="AD498" s="16" t="n">
        <f aca="false" t="array" ref="AD498:AD498">IF($I498&gt;=$AI498,"Max",ROUND(Paramètres!$B$40*($I498+1)^Paramètres!$B$41*INDEX(Paramètres!$H$6:$H$12,$AF498),0))</f>
        <v>5</v>
      </c>
      <c r="AE498" s="23" t="n">
        <f aca="false">MATCH($B498&amp;"|"&amp;$C498,Profils!$A$5:$A$34,0)</f>
        <v>16</v>
      </c>
      <c r="AF498" s="23" t="n">
        <v>4</v>
      </c>
      <c r="AG498" s="24" t="n">
        <f aca="false" t="array" ref="AG498:AG498">INDEX(Paramètres!$C$6:$C$12,$AF498)</f>
        <v>1.75</v>
      </c>
      <c r="AH498" s="23" t="n">
        <f aca="false" t="array" ref="AH498:AH498">INDEX(Paramètres!$D$6:$D$12,$AF498)</f>
        <v>5</v>
      </c>
      <c r="AI498" s="23" t="n">
        <f aca="false" t="array" ref="AI498:AI498">INDEX(Matériaux!$C$16:$C$20,$D498)</f>
        <v>30</v>
      </c>
      <c r="AJ498" s="25" t="n">
        <f aca="false">Paramètres!$B$16+(1-Paramètres!$B$16)*(($J498-Paramètres!$B$14)/(Paramètres!$B$15-Paramètres!$B$14))^Paramètres!$B$17</f>
        <v>0.665999387952727</v>
      </c>
    </row>
    <row r="499" customFormat="false" ht="15.75" hidden="false" customHeight="true" outlineLevel="0" collapsed="false">
      <c r="A499" s="14" t="s">
        <v>615</v>
      </c>
      <c r="B499" s="15" t="s">
        <v>29</v>
      </c>
      <c r="C499" s="15" t="s">
        <v>273</v>
      </c>
      <c r="D499" s="16" t="n">
        <v>5</v>
      </c>
      <c r="E499" s="15" t="str">
        <f aca="false" t="array" ref="E499:E499">INDEX(Matériaux!$B$5:$F$12,MATCH(INDEX(Profils!$E$5:$E$34,$AE499),Matériaux!$A$5:$A$12,0),$D499)</f>
        <v>orichalque</v>
      </c>
      <c r="F499" s="29" t="s">
        <v>117</v>
      </c>
      <c r="G499" s="10" t="str">
        <f aca="false" t="array" ref="G499:G499">INDEX(Profils!$D$5:$D$34,$AE499)&amp;" en "&amp;$E499</f>
        <v>Anneau runique en orichalque</v>
      </c>
      <c r="H499" s="16" t="n">
        <f aca="false" t="array" ref="H499:H499">INDEX(Matériaux!$B$16:$B$20,$D499)</f>
        <v>70</v>
      </c>
      <c r="I499" s="16" t="n">
        <f aca="false">IF(ISNUMBER($C$3),MIN(MAX(0,ROUND($C$3,0)),$AI499),$AI499)</f>
        <v>0</v>
      </c>
      <c r="J499" s="18" t="n">
        <f aca="false">$H499+$I499</f>
        <v>70</v>
      </c>
      <c r="K499" s="15" t="s">
        <v>109</v>
      </c>
      <c r="L499" s="19" t="n">
        <f aca="false" t="array" ref="L499:L499">IF(AND(INDEX(Profils!$F$5:$F$34,$AE499)&gt;0,INDEX(Profils!$U$5:$U$34,$AE499)&lt;=$AH499),ROUND(INDEX(Profils!$F$5:$F$34,$AE499)*Paramètres!$E$22*$AG499*$AJ499,Paramètres!$F$22),0)</f>
        <v>21</v>
      </c>
      <c r="M499" s="19" t="n">
        <f aca="false" t="array" ref="M499:M499">IF(AND(INDEX(Profils!$G$5:$G$34,$AE499)&gt;0,INDEX(Profils!$V$5:$V$34,$AE499)&lt;=$AH499),ROUND(INDEX(Profils!$G$5:$G$34,$AE499)*Paramètres!$E$23*$AG499*$AJ499,Paramètres!$F$23),0)</f>
        <v>0</v>
      </c>
      <c r="N499" s="19" t="n">
        <f aca="false" t="array" ref="N499:N499">IF(AND(INDEX(Profils!$H$5:$H$34,$AE499)&gt;0,INDEX(Profils!$W$5:$W$34,$AE499)&lt;=$AH499),ROUND(INDEX(Profils!$H$5:$H$34,$AE499)*Paramètres!$E$24*$AG499*$AJ499,Paramètres!$F$24),0)</f>
        <v>0</v>
      </c>
      <c r="O499" s="19" t="n">
        <f aca="false" t="array" ref="O499:O499">IF(AND(INDEX(Profils!$I$5:$I$34,$AE499)&gt;0,INDEX(Profils!$X$5:$X$34,$AE499)&lt;=$AH499),ROUND(INDEX(Profils!$I$5:$I$34,$AE499)*Paramètres!$E$25*$AG499*$AJ499,Paramètres!$F$25),0)</f>
        <v>17</v>
      </c>
      <c r="P499" s="19" t="n">
        <f aca="false" t="array" ref="P499:P499">IF(AND(INDEX(Profils!$J$5:$J$34,$AE499)&gt;0,INDEX(Profils!$Y$5:$Y$34,$AE499)&lt;=$AH499),ROUND(INDEX(Profils!$J$5:$J$34,$AE499)*Paramètres!$E$26*$AG499*$AJ499,Paramètres!$F$26),0)</f>
        <v>0</v>
      </c>
      <c r="Q499" s="19" t="n">
        <f aca="false" t="array" ref="Q499:Q499">IF(AND(INDEX(Profils!$K$5:$K$34,$AE499)&gt;0,INDEX(Profils!$Z$5:$Z$34,$AE499)&lt;=$AH499),ROUND(INDEX(Profils!$K$5:$K$34,$AE499)*Paramètres!$E$27*$AG499*$AJ499,Paramètres!$F$27),0)</f>
        <v>0</v>
      </c>
      <c r="R499" s="20" t="n">
        <f aca="false" t="array" ref="R499:R499">IF(AND(INDEX(Profils!$L$5:$L$34,$AE499)&gt;0,INDEX(Profils!$AA$5:$AA$34,$AE499)&lt;=$AH499),ROUND(INDEX(Profils!$L$5:$L$34,$AE499)*Paramètres!$E$28*$AG499*$AJ499,Paramètres!$F$28),0)</f>
        <v>0.017</v>
      </c>
      <c r="S499" s="20" t="n">
        <f aca="false" t="array" ref="S499:S499">IF(AND(INDEX(Profils!$M$5:$M$34,$AE499)&gt;0,INDEX(Profils!$AB$5:$AB$34,$AE499)&lt;=$AH499),ROUND(INDEX(Profils!$M$5:$M$34,$AE499)*Paramètres!$E$29*$AG499*$AJ499,Paramètres!$F$29),0)</f>
        <v>0.017</v>
      </c>
      <c r="T499" s="20" t="n">
        <f aca="false" t="array" ref="T499:T499">IF(AND(INDEX(Profils!$N$5:$N$34,$AE499)&gt;0,INDEX(Profils!$AC$5:$AC$34,$AE499)&lt;=$AH499),ROUND(INDEX(Profils!$N$5:$N$34,$AE499)*Paramètres!$E$30*$AG499*$AJ499,Paramètres!$F$30),0)</f>
        <v>0.042</v>
      </c>
      <c r="U499" s="19" t="n">
        <f aca="false" t="array" ref="U499:U499">IF(AND(INDEX(Profils!$O$5:$O$34,$AE499)&gt;0,INDEX(Profils!$AD$5:$AD$34,$AE499)&lt;=$AH499),ROUND(INDEX(Profils!$O$5:$O$34,$AE499)*Paramètres!$E$31*$AG499*$AJ499,Paramètres!$F$31),0)</f>
        <v>0</v>
      </c>
      <c r="V499" s="20" t="n">
        <f aca="false" t="array" ref="V499:V499">IF(AND(INDEX(Profils!$P$5:$P$34,$AE499)&gt;0,INDEX(Profils!$AE$5:$AE$34,$AE499)&lt;=$AH499),ROUND(INDEX(Profils!$P$5:$P$34,$AE499)*Paramètres!$E$32*$AG499*$AJ499,Paramètres!$F$32),0)</f>
        <v>0.021</v>
      </c>
      <c r="W499" s="20" t="n">
        <f aca="false" t="array" ref="W499:W499">IF(AND(INDEX(Profils!$Q$5:$Q$34,$AE499)&gt;0,INDEX(Profils!$AF$5:$AF$34,$AE499)&lt;=$AH499),ROUND(INDEX(Profils!$Q$5:$Q$34,$AE499)*Paramètres!$E$33*$AG499*$AJ499,Paramètres!$F$33),0)</f>
        <v>0</v>
      </c>
      <c r="X499" s="20" t="n">
        <f aca="false" t="array" ref="X499:X499">IF(AND(INDEX(Profils!$R$5:$R$34,$AE499)&gt;0,INDEX(Profils!$AG$5:$AG$34,$AE499)&lt;=$AH499),ROUND(INDEX(Profils!$R$5:$R$34,$AE499)*Paramètres!$E$34*$AG499*$AJ499,Paramètres!$F$34),0)</f>
        <v>0</v>
      </c>
      <c r="Y499" s="20" t="n">
        <f aca="false" t="array" ref="Y499:Y499">IF(AND(INDEX(Profils!$S$5:$S$34,$AE499)&gt;0,INDEX(Profils!$AH$5:$AH$34,$AE499)&lt;=$AH499),ROUND(INDEX(Profils!$S$5:$S$34,$AE499)*Paramètres!$E$35*$AG499*$AJ499,Paramètres!$F$35),0)</f>
        <v>0</v>
      </c>
      <c r="Z499" s="21" t="n">
        <f aca="false">ROUND(L499/Paramètres!$E$22+M499/Paramètres!$E$23+N499/Paramètres!$E$24+O499/Paramètres!$E$25+P499/Paramètres!$E$26+Q499/Paramètres!$E$27+R499/Paramètres!$E$28+S499/Paramètres!$E$29+T499/Paramètres!$E$30+U499/Paramètres!$E$31+V499/Paramètres!$E$32+W499/Paramètres!$E$33+X499/Paramètres!$E$34+Y499/Paramètres!$E$35,1)</f>
        <v>7.3</v>
      </c>
      <c r="AA499" s="22" t="s">
        <v>109</v>
      </c>
      <c r="AB499" s="22" t="s">
        <v>109</v>
      </c>
      <c r="AC499" s="15" t="str">
        <f aca="false">$E499</f>
        <v>orichalque</v>
      </c>
      <c r="AD499" s="16" t="n">
        <f aca="false" t="array" ref="AD499:AD499">IF($I499&gt;=$AI499,"Max",ROUND(Paramètres!$B$40*($I499+1)^Paramètres!$B$41*INDEX(Paramètres!$H$6:$H$12,$AF499),0))</f>
        <v>6</v>
      </c>
      <c r="AE499" s="23" t="n">
        <f aca="false">MATCH($B499&amp;"|"&amp;$C499,Profils!$A$5:$A$34,0)</f>
        <v>16</v>
      </c>
      <c r="AF499" s="23" t="n">
        <v>5</v>
      </c>
      <c r="AG499" s="24" t="n">
        <f aca="false" t="array" ref="AG499:AG499">INDEX(Paramètres!$C$6:$C$12,$AF499)</f>
        <v>2.1</v>
      </c>
      <c r="AH499" s="23" t="n">
        <f aca="false" t="array" ref="AH499:AH499">INDEX(Paramètres!$D$6:$D$12,$AF499)</f>
        <v>6</v>
      </c>
      <c r="AI499" s="23" t="n">
        <f aca="false" t="array" ref="AI499:AI499">INDEX(Matériaux!$C$16:$C$20,$D499)</f>
        <v>30</v>
      </c>
      <c r="AJ499" s="25" t="n">
        <f aca="false">Paramètres!$B$16+(1-Paramètres!$B$16)*(($J499-Paramètres!$B$14)/(Paramètres!$B$15-Paramètres!$B$14))^Paramètres!$B$17</f>
        <v>0.665999387952727</v>
      </c>
    </row>
    <row r="500" customFormat="false" ht="15.75" hidden="false" customHeight="true" outlineLevel="0" collapsed="false">
      <c r="A500" s="14" t="s">
        <v>616</v>
      </c>
      <c r="B500" s="15" t="s">
        <v>29</v>
      </c>
      <c r="C500" s="15" t="s">
        <v>273</v>
      </c>
      <c r="D500" s="16" t="n">
        <v>5</v>
      </c>
      <c r="E500" s="15" t="str">
        <f aca="false" t="array" ref="E500:E500">INDEX(Matériaux!$B$5:$F$12,MATCH(INDEX(Profils!$E$5:$E$34,$AE500),Matériaux!$A$5:$A$12,0),$D500)</f>
        <v>orichalque</v>
      </c>
      <c r="F500" s="30" t="s">
        <v>119</v>
      </c>
      <c r="G500" s="10" t="str">
        <f aca="false" t="array" ref="G500:G500">INDEX(Profils!$D$5:$D$34,$AE500)&amp;" en "&amp;$E500</f>
        <v>Anneau runique en orichalque</v>
      </c>
      <c r="H500" s="16" t="n">
        <f aca="false" t="array" ref="H500:H500">INDEX(Matériaux!$B$16:$B$20,$D500)</f>
        <v>70</v>
      </c>
      <c r="I500" s="16" t="n">
        <f aca="false">IF(ISNUMBER($C$3),MIN(MAX(0,ROUND($C$3,0)),$AI500),$AI500)</f>
        <v>0</v>
      </c>
      <c r="J500" s="18" t="n">
        <f aca="false">$H500+$I500</f>
        <v>70</v>
      </c>
      <c r="K500" s="15" t="s">
        <v>109</v>
      </c>
      <c r="L500" s="19" t="n">
        <f aca="false" t="array" ref="L500:L500">IF(AND(INDEX(Profils!$F$5:$F$34,$AE500)&gt;0,INDEX(Profils!$U$5:$U$34,$AE500)&lt;=$AH500),ROUND(INDEX(Profils!$F$5:$F$34,$AE500)*Paramètres!$E$22*$AG500*$AJ500,Paramètres!$F$22),0)</f>
        <v>24</v>
      </c>
      <c r="M500" s="19" t="n">
        <f aca="false" t="array" ref="M500:M500">IF(AND(INDEX(Profils!$G$5:$G$34,$AE500)&gt;0,INDEX(Profils!$V$5:$V$34,$AE500)&lt;=$AH500),ROUND(INDEX(Profils!$G$5:$G$34,$AE500)*Paramètres!$E$23*$AG500*$AJ500,Paramètres!$F$23),0)</f>
        <v>0</v>
      </c>
      <c r="N500" s="19" t="n">
        <f aca="false" t="array" ref="N500:N500">IF(AND(INDEX(Profils!$H$5:$H$34,$AE500)&gt;0,INDEX(Profils!$W$5:$W$34,$AE500)&lt;=$AH500),ROUND(INDEX(Profils!$H$5:$H$34,$AE500)*Paramètres!$E$24*$AG500*$AJ500,Paramètres!$F$24),0)</f>
        <v>0</v>
      </c>
      <c r="O500" s="19" t="n">
        <f aca="false" t="array" ref="O500:O500">IF(AND(INDEX(Profils!$I$5:$I$34,$AE500)&gt;0,INDEX(Profils!$X$5:$X$34,$AE500)&lt;=$AH500),ROUND(INDEX(Profils!$I$5:$I$34,$AE500)*Paramètres!$E$25*$AG500*$AJ500,Paramètres!$F$25),0)</f>
        <v>19</v>
      </c>
      <c r="P500" s="19" t="n">
        <f aca="false" t="array" ref="P500:P500">IF(AND(INDEX(Profils!$J$5:$J$34,$AE500)&gt;0,INDEX(Profils!$Y$5:$Y$34,$AE500)&lt;=$AH500),ROUND(INDEX(Profils!$J$5:$J$34,$AE500)*Paramètres!$E$26*$AG500*$AJ500,Paramètres!$F$26),0)</f>
        <v>12</v>
      </c>
      <c r="Q500" s="19" t="n">
        <f aca="false" t="array" ref="Q500:Q500">IF(AND(INDEX(Profils!$K$5:$K$34,$AE500)&gt;0,INDEX(Profils!$Z$5:$Z$34,$AE500)&lt;=$AH500),ROUND(INDEX(Profils!$K$5:$K$34,$AE500)*Paramètres!$E$27*$AG500*$AJ500,Paramètres!$F$27),0)</f>
        <v>0</v>
      </c>
      <c r="R500" s="20" t="n">
        <f aca="false" t="array" ref="R500:R500">IF(AND(INDEX(Profils!$L$5:$L$34,$AE500)&gt;0,INDEX(Profils!$AA$5:$AA$34,$AE500)&lt;=$AH500),ROUND(INDEX(Profils!$L$5:$L$34,$AE500)*Paramètres!$E$28*$AG500*$AJ500,Paramètres!$F$28),0)</f>
        <v>0.019</v>
      </c>
      <c r="S500" s="20" t="n">
        <f aca="false" t="array" ref="S500:S500">IF(AND(INDEX(Profils!$M$5:$M$34,$AE500)&gt;0,INDEX(Profils!$AB$5:$AB$34,$AE500)&lt;=$AH500),ROUND(INDEX(Profils!$M$5:$M$34,$AE500)*Paramètres!$E$29*$AG500*$AJ500,Paramètres!$F$29),0)</f>
        <v>0.019</v>
      </c>
      <c r="T500" s="20" t="n">
        <f aca="false" t="array" ref="T500:T500">IF(AND(INDEX(Profils!$N$5:$N$34,$AE500)&gt;0,INDEX(Profils!$AC$5:$AC$34,$AE500)&lt;=$AH500),ROUND(INDEX(Profils!$N$5:$N$34,$AE500)*Paramètres!$E$30*$AG500*$AJ500,Paramètres!$F$30),0)</f>
        <v>0.048</v>
      </c>
      <c r="U500" s="19" t="n">
        <f aca="false" t="array" ref="U500:U500">IF(AND(INDEX(Profils!$O$5:$O$34,$AE500)&gt;0,INDEX(Profils!$AD$5:$AD$34,$AE500)&lt;=$AH500),ROUND(INDEX(Profils!$O$5:$O$34,$AE500)*Paramètres!$E$31*$AG500*$AJ500,Paramètres!$F$31),0)</f>
        <v>0</v>
      </c>
      <c r="V500" s="20" t="n">
        <f aca="false" t="array" ref="V500:V500">IF(AND(INDEX(Profils!$P$5:$P$34,$AE500)&gt;0,INDEX(Profils!$AE$5:$AE$34,$AE500)&lt;=$AH500),ROUND(INDEX(Profils!$P$5:$P$34,$AE500)*Paramètres!$E$32*$AG500*$AJ500,Paramètres!$F$32),0)</f>
        <v>0.024</v>
      </c>
      <c r="W500" s="20" t="n">
        <f aca="false" t="array" ref="W500:W500">IF(AND(INDEX(Profils!$Q$5:$Q$34,$AE500)&gt;0,INDEX(Profils!$AF$5:$AF$34,$AE500)&lt;=$AH500),ROUND(INDEX(Profils!$Q$5:$Q$34,$AE500)*Paramètres!$E$33*$AG500*$AJ500,Paramètres!$F$33),0)</f>
        <v>0</v>
      </c>
      <c r="X500" s="20" t="n">
        <f aca="false" t="array" ref="X500:X500">IF(AND(INDEX(Profils!$R$5:$R$34,$AE500)&gt;0,INDEX(Profils!$AG$5:$AG$34,$AE500)&lt;=$AH500),ROUND(INDEX(Profils!$R$5:$R$34,$AE500)*Paramètres!$E$34*$AG500*$AJ500,Paramètres!$F$34),0)</f>
        <v>0</v>
      </c>
      <c r="Y500" s="20" t="n">
        <f aca="false" t="array" ref="Y500:Y500">IF(AND(INDEX(Profils!$S$5:$S$34,$AE500)&gt;0,INDEX(Profils!$AH$5:$AH$34,$AE500)&lt;=$AH500),ROUND(INDEX(Profils!$S$5:$S$34,$AE500)*Paramètres!$E$35*$AG500*$AJ500,Paramètres!$F$35),0)</f>
        <v>0</v>
      </c>
      <c r="Z500" s="21" t="n">
        <f aca="false">ROUND(L500/Paramètres!$E$22+M500/Paramètres!$E$23+N500/Paramètres!$E$24+O500/Paramètres!$E$25+P500/Paramètres!$E$26+Q500/Paramètres!$E$27+R500/Paramètres!$E$28+S500/Paramètres!$E$29+T500/Paramètres!$E$30+U500/Paramètres!$E$31+V500/Paramètres!$E$32+W500/Paramètres!$E$33+X500/Paramètres!$E$34+Y500/Paramètres!$E$35,1)</f>
        <v>9.3</v>
      </c>
      <c r="AA500" s="22" t="s">
        <v>109</v>
      </c>
      <c r="AB500" s="22" t="s">
        <v>109</v>
      </c>
      <c r="AC500" s="15" t="str">
        <f aca="false">$E500</f>
        <v>orichalque</v>
      </c>
      <c r="AD500" s="16" t="n">
        <f aca="false" t="array" ref="AD500:AD500">IF($I500&gt;=$AI500,"Max",ROUND(Paramètres!$B$40*($I500+1)^Paramètres!$B$41*INDEX(Paramètres!$H$6:$H$12,$AF500),0))</f>
        <v>8</v>
      </c>
      <c r="AE500" s="23" t="n">
        <f aca="false">MATCH($B500&amp;"|"&amp;$C500,Profils!$A$5:$A$34,0)</f>
        <v>16</v>
      </c>
      <c r="AF500" s="23" t="n">
        <v>6</v>
      </c>
      <c r="AG500" s="24" t="n">
        <f aca="false" t="array" ref="AG500:AG500">INDEX(Paramètres!$C$6:$C$12,$AF500)</f>
        <v>2.4</v>
      </c>
      <c r="AH500" s="23" t="n">
        <f aca="false" t="array" ref="AH500:AH500">INDEX(Paramètres!$D$6:$D$12,$AF500)</f>
        <v>7</v>
      </c>
      <c r="AI500" s="23" t="n">
        <f aca="false" t="array" ref="AI500:AI500">INDEX(Matériaux!$C$16:$C$20,$D500)</f>
        <v>30</v>
      </c>
      <c r="AJ500" s="25" t="n">
        <f aca="false">Paramètres!$B$16+(1-Paramètres!$B$16)*(($J500-Paramètres!$B$14)/(Paramètres!$B$15-Paramètres!$B$14))^Paramètres!$B$17</f>
        <v>0.665999387952727</v>
      </c>
    </row>
    <row r="501" customFormat="false" ht="15.75" hidden="false" customHeight="true" outlineLevel="0" collapsed="false">
      <c r="A501" s="14" t="s">
        <v>617</v>
      </c>
      <c r="B501" s="15" t="s">
        <v>29</v>
      </c>
      <c r="C501" s="15" t="s">
        <v>273</v>
      </c>
      <c r="D501" s="16" t="s">
        <v>109</v>
      </c>
      <c r="E501" s="15" t="s">
        <v>109</v>
      </c>
      <c r="F501" s="31" t="s">
        <v>38</v>
      </c>
      <c r="G501" s="10" t="str">
        <f aca="false" t="array" ref="G501:G501">INDEX(Uniques!$E$5:$E$34,MATCH($B501&amp;"|"&amp;$C501,Uniques!$A$5:$A$34,0))</f>
        <v>Anneau de l'Alchimiste Fou</v>
      </c>
      <c r="H501" s="16" t="n">
        <f aca="false" t="array" ref="H501:H501">INDEX(Uniques!$L$5:$L$34,MATCH($B501&amp;"|"&amp;$C501,Uniques!$A$5:$A$34,0))</f>
        <v>41</v>
      </c>
      <c r="I501" s="16" t="n">
        <f aca="false">IF(ISNUMBER($C$3),MIN(MAX(0,ROUND($C$3,0)),$AI501),$AI501)</f>
        <v>0</v>
      </c>
      <c r="J501" s="18" t="n">
        <f aca="false">$H501+$I501</f>
        <v>41</v>
      </c>
      <c r="K501" s="15" t="str">
        <f aca="false" t="array" ref="K501:K501">INDEX(Uniques!$F$5:$F$34,MATCH($B501&amp;"|"&amp;$C501,Uniques!$A$5:$A$34,0))</f>
        <v>Acide</v>
      </c>
      <c r="L501" s="19" t="n">
        <f aca="false" t="array" ref="L501:L501">IF(AND(INDEX(Profils!$F$5:$F$34,$AE501)&gt;0,INDEX(Profils!$U$5:$U$34,$AE501)&lt;=$AH501),ROUND(INDEX(Profils!$F$5:$F$34,$AE501)*Paramètres!$E$22*$AG501*$AJ501,Paramètres!$F$22),0)</f>
        <v>14</v>
      </c>
      <c r="M501" s="19" t="n">
        <f aca="false" t="array" ref="M501:M501">IF(AND(INDEX(Profils!$G$5:$G$34,$AE501)&gt;0,INDEX(Profils!$V$5:$V$34,$AE501)&lt;=$AH501),ROUND(INDEX(Profils!$G$5:$G$34,$AE501)*Paramètres!$E$23*$AG501*$AJ501,Paramètres!$F$23),0)</f>
        <v>0</v>
      </c>
      <c r="N501" s="19" t="n">
        <f aca="false" t="array" ref="N501:N501">IF(AND(INDEX(Profils!$H$5:$H$34,$AE501)&gt;0,INDEX(Profils!$W$5:$W$34,$AE501)&lt;=$AH501),ROUND(INDEX(Profils!$H$5:$H$34,$AE501)*Paramètres!$E$24*$AG501*$AJ501,Paramètres!$F$24),0)</f>
        <v>0</v>
      </c>
      <c r="O501" s="19" t="n">
        <f aca="false" t="array" ref="O501:O501">IF(AND(INDEX(Profils!$I$5:$I$34,$AE501)&gt;0,INDEX(Profils!$X$5:$X$34,$AE501)&lt;=$AH501),ROUND(INDEX(Profils!$I$5:$I$34,$AE501)*Paramètres!$E$25*$AG501*$AJ501,Paramètres!$F$25),0)</f>
        <v>11</v>
      </c>
      <c r="P501" s="19" t="n">
        <f aca="false" t="array" ref="P501:P501">IF(AND(INDEX(Profils!$J$5:$J$34,$AE501)&gt;0,INDEX(Profils!$Y$5:$Y$34,$AE501)&lt;=$AH501),ROUND(INDEX(Profils!$J$5:$J$34,$AE501)*Paramètres!$E$26*$AG501*$AJ501,Paramètres!$F$26),0)</f>
        <v>7</v>
      </c>
      <c r="Q501" s="19" t="n">
        <f aca="false" t="array" ref="Q501:Q501">IF(AND(INDEX(Profils!$K$5:$K$34,$AE501)&gt;0,INDEX(Profils!$Z$5:$Z$34,$AE501)&lt;=$AH501),ROUND(INDEX(Profils!$K$5:$K$34,$AE501)*Paramètres!$E$27*$AG501*$AJ501,Paramètres!$F$27),0)</f>
        <v>0</v>
      </c>
      <c r="R501" s="20" t="n">
        <f aca="false" t="array" ref="R501:R501">IF(AND(INDEX(Profils!$L$5:$L$34,$AE501)&gt;0,INDEX(Profils!$AA$5:$AA$34,$AE501)&lt;=$AH501),ROUND(INDEX(Profils!$L$5:$L$34,$AE501)*Paramètres!$E$28*$AG501*$AJ501,Paramètres!$F$28),0)</f>
        <v>0.011</v>
      </c>
      <c r="S501" s="20" t="n">
        <f aca="false" t="array" ref="S501:S501">IF(AND(INDEX(Profils!$M$5:$M$34,$AE501)&gt;0,INDEX(Profils!$AB$5:$AB$34,$AE501)&lt;=$AH501),ROUND(INDEX(Profils!$M$5:$M$34,$AE501)*Paramètres!$E$29*$AG501*$AJ501,Paramètres!$F$29),0)</f>
        <v>0.011</v>
      </c>
      <c r="T501" s="20" t="n">
        <f aca="false" t="array" ref="T501:T501">IF(AND(INDEX(Profils!$N$5:$N$34,$AE501)&gt;0,INDEX(Profils!$AC$5:$AC$34,$AE501)&lt;=$AH501),ROUND(INDEX(Profils!$N$5:$N$34,$AE501)*Paramètres!$E$30*$AG501*$AJ501,Paramètres!$F$30),0)</f>
        <v>0.028</v>
      </c>
      <c r="U501" s="19" t="n">
        <f aca="false" t="array" ref="U501:U501">IF(AND(INDEX(Profils!$O$5:$O$34,$AE501)&gt;0,INDEX(Profils!$AD$5:$AD$34,$AE501)&lt;=$AH501),ROUND(INDEX(Profils!$O$5:$O$34,$AE501)*Paramètres!$E$31*$AG501*$AJ501,Paramètres!$F$31),0)</f>
        <v>0</v>
      </c>
      <c r="V501" s="20" t="n">
        <f aca="false" t="array" ref="V501:V501">IF(AND(INDEX(Profils!$P$5:$P$34,$AE501)&gt;0,INDEX(Profils!$AE$5:$AE$34,$AE501)&lt;=$AH501),ROUND(INDEX(Profils!$P$5:$P$34,$AE501)*Paramètres!$E$32*$AG501*$AJ501,Paramètres!$F$32),0)</f>
        <v>0.014</v>
      </c>
      <c r="W501" s="20" t="n">
        <f aca="false" t="array" ref="W501:W501">IF(AND(INDEX(Profils!$Q$5:$Q$34,$AE501)&gt;0,INDEX(Profils!$AF$5:$AF$34,$AE501)&lt;=$AH501),ROUND(INDEX(Profils!$Q$5:$Q$34,$AE501)*Paramètres!$E$33*$AG501*$AJ501,Paramètres!$F$33),0)</f>
        <v>0</v>
      </c>
      <c r="X501" s="20" t="n">
        <f aca="false" t="array" ref="X501:X501">IF(AND(INDEX(Profils!$R$5:$R$34,$AE501)&gt;0,INDEX(Profils!$AG$5:$AG$34,$AE501)&lt;=$AH501),ROUND(INDEX(Profils!$R$5:$R$34,$AE501)*Paramètres!$E$34*$AG501*$AJ501,Paramètres!$F$34),0)</f>
        <v>0</v>
      </c>
      <c r="Y501" s="20" t="n">
        <f aca="false" t="array" ref="Y501:Y501">IF(AND(INDEX(Profils!$S$5:$S$34,$AE501)&gt;0,INDEX(Profils!$AH$5:$AH$34,$AE501)&lt;=$AH501),ROUND(INDEX(Profils!$S$5:$S$34,$AE501)*Paramètres!$E$35*$AG501*$AJ501,Paramètres!$F$35),0)</f>
        <v>0</v>
      </c>
      <c r="Z501" s="21" t="n">
        <f aca="false">ROUND(L501/Paramètres!$E$22+M501/Paramètres!$E$23+N501/Paramètres!$E$24+O501/Paramètres!$E$25+P501/Paramètres!$E$26+Q501/Paramètres!$E$27+R501/Paramètres!$E$28+S501/Paramètres!$E$29+T501/Paramètres!$E$30+U501/Paramètres!$E$31+V501/Paramètres!$E$32+W501/Paramètres!$E$33+X501/Paramètres!$E$34+Y501/Paramètres!$E$35,1)</f>
        <v>5.4</v>
      </c>
      <c r="AA501" s="22" t="str">
        <f aca="false" t="array" ref="AA501:AA501">INDEX(Uniques!$G$5:$G$34,MATCH($B501&amp;"|"&amp;$C501,Uniques!$A$5:$A$34,0))</f>
        <v>Transmutation</v>
      </c>
      <c r="AB501" s="22" t="str">
        <f aca="false" t="array" ref="AB501:AB501">INDEX(Uniques!$H$5:$H$34,MATCH($B501&amp;"|"&amp;$C501,Uniques!$A$5:$A$34,0))&amp;" ["&amp;INDEX(Uniques!$I$5:$I$34,MATCH($B501&amp;"|"&amp;$C501,Uniques!$A$5:$A$34,0))&amp;"]"</f>
        <v>Convertit 10 % des dégâts magiques infligés en bouclier pour le porteur. [Bouclier plafonné à 15 % des PV max.]</v>
      </c>
      <c r="AC501" s="15" t="str">
        <f aca="false" t="array" ref="AC501:AC501">INDEX(Matériaux!$B$5:$F$12,MATCH(INDEX(Profils!$E$5:$E$34,$AE501),Matériaux!$A$5:$A$12,0),MATCH(MIN($J501+1,100),Matériaux!$B$16:$B$20,1))</f>
        <v>or</v>
      </c>
      <c r="AD501" s="16" t="n">
        <f aca="false" t="array" ref="AD501:AD501">IF($I501&gt;=$AI501,"Max",ROUND(Paramètres!$B$40*($I501+1)^Paramètres!$B$41*INDEX(Paramètres!$H$6:$H$12,$AF501),0))</f>
        <v>9</v>
      </c>
      <c r="AE501" s="23" t="n">
        <f aca="false">MATCH($B501&amp;"|"&amp;$C501,Profils!$A$5:$A$34,0)</f>
        <v>16</v>
      </c>
      <c r="AF501" s="23" t="n">
        <v>7</v>
      </c>
      <c r="AG501" s="24" t="n">
        <f aca="false" t="array" ref="AG501:AG501">INDEX(Paramètres!$C$6:$C$12,$AF501)</f>
        <v>2.5</v>
      </c>
      <c r="AH501" s="23" t="n">
        <f aca="false" t="array" ref="AH501:AH501">INDEX(Paramètres!$D$6:$D$12,$AF501)</f>
        <v>7</v>
      </c>
      <c r="AI501" s="23" t="n">
        <f aca="false" t="array" ref="AI501:AI501">INDEX(Uniques!$M$5:$M$34,MATCH($B501&amp;"|"&amp;$C501,Uniques!$A$5:$A$34,0))</f>
        <v>59</v>
      </c>
      <c r="AJ501" s="25" t="n">
        <f aca="false">Paramètres!$B$16+(1-Paramètres!$B$16)*(($J501-Paramètres!$B$14)/(Paramètres!$B$15-Paramètres!$B$14))^Paramètres!$B$17</f>
        <v>0.370208872482984</v>
      </c>
    </row>
    <row r="502" customFormat="false" ht="15.75" hidden="false" customHeight="true" outlineLevel="0" collapsed="false">
      <c r="A502" s="14" t="s">
        <v>618</v>
      </c>
      <c r="B502" s="15" t="s">
        <v>29</v>
      </c>
      <c r="C502" s="15" t="s">
        <v>305</v>
      </c>
      <c r="D502" s="16" t="n">
        <v>1</v>
      </c>
      <c r="E502" s="15" t="str">
        <f aca="false" t="array" ref="E502:E502">INDEX(Matériaux!$B$5:$F$12,MATCH(INDEX(Profils!$E$5:$E$34,$AE502),Matériaux!$A$5:$A$12,0),$D502)</f>
        <v>cuivre</v>
      </c>
      <c r="F502" s="17" t="s">
        <v>108</v>
      </c>
      <c r="G502" s="10" t="str">
        <f aca="false" t="array" ref="G502:G502">INDEX(Profils!$D$5:$D$34,$AE502)&amp;" en "&amp;$E502</f>
        <v>Sceau en cuivre</v>
      </c>
      <c r="H502" s="16" t="n">
        <f aca="false" t="array" ref="H502:H502">INDEX(Matériaux!$B$16:$B$20,$D502)</f>
        <v>1</v>
      </c>
      <c r="I502" s="16" t="n">
        <f aca="false">IF(ISNUMBER($C$3),MIN(MAX(0,ROUND($C$3,0)),$AI502),$AI502)</f>
        <v>0</v>
      </c>
      <c r="J502" s="18" t="n">
        <f aca="false">$H502+$I502</f>
        <v>1</v>
      </c>
      <c r="K502" s="15" t="s">
        <v>109</v>
      </c>
      <c r="L502" s="19" t="n">
        <f aca="false" t="array" ref="L502:L502">IF(AND(INDEX(Profils!$F$5:$F$34,$AE502)&gt;0,INDEX(Profils!$U$5:$U$34,$AE502)&lt;=$AH502),ROUND(INDEX(Profils!$F$5:$F$34,$AE502)*Paramètres!$E$22*$AG502*$AJ502,Paramètres!$F$22),0)</f>
        <v>1</v>
      </c>
      <c r="M502" s="19" t="n">
        <f aca="false" t="array" ref="M502:M502">IF(AND(INDEX(Profils!$G$5:$G$34,$AE502)&gt;0,INDEX(Profils!$V$5:$V$34,$AE502)&lt;=$AH502),ROUND(INDEX(Profils!$G$5:$G$34,$AE502)*Paramètres!$E$23*$AG502*$AJ502,Paramètres!$F$23),0)</f>
        <v>0</v>
      </c>
      <c r="N502" s="19" t="n">
        <f aca="false" t="array" ref="N502:N502">IF(AND(INDEX(Profils!$H$5:$H$34,$AE502)&gt;0,INDEX(Profils!$W$5:$W$34,$AE502)&lt;=$AH502),ROUND(INDEX(Profils!$H$5:$H$34,$AE502)*Paramètres!$E$24*$AG502*$AJ502,Paramètres!$F$24),0)</f>
        <v>0</v>
      </c>
      <c r="O502" s="19" t="n">
        <f aca="false" t="array" ref="O502:O502">IF(AND(INDEX(Profils!$I$5:$I$34,$AE502)&gt;0,INDEX(Profils!$X$5:$X$34,$AE502)&lt;=$AH502),ROUND(INDEX(Profils!$I$5:$I$34,$AE502)*Paramètres!$E$25*$AG502*$AJ502,Paramètres!$F$25),0)</f>
        <v>0</v>
      </c>
      <c r="P502" s="19" t="n">
        <f aca="false" t="array" ref="P502:P502">IF(AND(INDEX(Profils!$J$5:$J$34,$AE502)&gt;0,INDEX(Profils!$Y$5:$Y$34,$AE502)&lt;=$AH502),ROUND(INDEX(Profils!$J$5:$J$34,$AE502)*Paramètres!$E$26*$AG502*$AJ502,Paramètres!$F$26),0)</f>
        <v>0</v>
      </c>
      <c r="Q502" s="19" t="n">
        <f aca="false" t="array" ref="Q502:Q502">IF(AND(INDEX(Profils!$K$5:$K$34,$AE502)&gt;0,INDEX(Profils!$Z$5:$Z$34,$AE502)&lt;=$AH502),ROUND(INDEX(Profils!$K$5:$K$34,$AE502)*Paramètres!$E$27*$AG502*$AJ502,Paramètres!$F$27),0)</f>
        <v>0</v>
      </c>
      <c r="R502" s="20" t="n">
        <f aca="false" t="array" ref="R502:R502">IF(AND(INDEX(Profils!$L$5:$L$34,$AE502)&gt;0,INDEX(Profils!$AA$5:$AA$34,$AE502)&lt;=$AH502),ROUND(INDEX(Profils!$L$5:$L$34,$AE502)*Paramètres!$E$28*$AG502*$AJ502,Paramètres!$F$28),0)</f>
        <v>0</v>
      </c>
      <c r="S502" s="20" t="n">
        <f aca="false" t="array" ref="S502:S502">IF(AND(INDEX(Profils!$M$5:$M$34,$AE502)&gt;0,INDEX(Profils!$AB$5:$AB$34,$AE502)&lt;=$AH502),ROUND(INDEX(Profils!$M$5:$M$34,$AE502)*Paramètres!$E$29*$AG502*$AJ502,Paramètres!$F$29),0)</f>
        <v>0</v>
      </c>
      <c r="T502" s="20" t="n">
        <f aca="false" t="array" ref="T502:T502">IF(AND(INDEX(Profils!$N$5:$N$34,$AE502)&gt;0,INDEX(Profils!$AC$5:$AC$34,$AE502)&lt;=$AH502),ROUND(INDEX(Profils!$N$5:$N$34,$AE502)*Paramètres!$E$30*$AG502*$AJ502,Paramètres!$F$30),0)</f>
        <v>0</v>
      </c>
      <c r="U502" s="19" t="n">
        <f aca="false" t="array" ref="U502:U502">IF(AND(INDEX(Profils!$O$5:$O$34,$AE502)&gt;0,INDEX(Profils!$AD$5:$AD$34,$AE502)&lt;=$AH502),ROUND(INDEX(Profils!$O$5:$O$34,$AE502)*Paramètres!$E$31*$AG502*$AJ502,Paramètres!$F$31),0)</f>
        <v>0</v>
      </c>
      <c r="V502" s="20" t="n">
        <f aca="false" t="array" ref="V502:V502">IF(AND(INDEX(Profils!$P$5:$P$34,$AE502)&gt;0,INDEX(Profils!$AE$5:$AE$34,$AE502)&lt;=$AH502),ROUND(INDEX(Profils!$P$5:$P$34,$AE502)*Paramètres!$E$32*$AG502*$AJ502,Paramètres!$F$32),0)</f>
        <v>0</v>
      </c>
      <c r="W502" s="20" t="n">
        <f aca="false" t="array" ref="W502:W502">IF(AND(INDEX(Profils!$Q$5:$Q$34,$AE502)&gt;0,INDEX(Profils!$AF$5:$AF$34,$AE502)&lt;=$AH502),ROUND(INDEX(Profils!$Q$5:$Q$34,$AE502)*Paramètres!$E$33*$AG502*$AJ502,Paramètres!$F$33),0)</f>
        <v>0.001</v>
      </c>
      <c r="X502" s="20" t="n">
        <f aca="false" t="array" ref="X502:X502">IF(AND(INDEX(Profils!$R$5:$R$34,$AE502)&gt;0,INDEX(Profils!$AG$5:$AG$34,$AE502)&lt;=$AH502),ROUND(INDEX(Profils!$R$5:$R$34,$AE502)*Paramètres!$E$34*$AG502*$AJ502,Paramètres!$F$34),0)</f>
        <v>0</v>
      </c>
      <c r="Y502" s="20" t="n">
        <f aca="false" t="array" ref="Y502:Y502">IF(AND(INDEX(Profils!$S$5:$S$34,$AE502)&gt;0,INDEX(Profils!$AH$5:$AH$34,$AE502)&lt;=$AH502),ROUND(INDEX(Profils!$S$5:$S$34,$AE502)*Paramètres!$E$35*$AG502*$AJ502,Paramètres!$F$35),0)</f>
        <v>0</v>
      </c>
      <c r="Z502" s="21" t="n">
        <f aca="false">ROUND(L502/Paramètres!$E$22+M502/Paramètres!$E$23+N502/Paramètres!$E$24+O502/Paramètres!$E$25+P502/Paramètres!$E$26+Q502/Paramètres!$E$27+R502/Paramètres!$E$28+S502/Paramètres!$E$29+T502/Paramètres!$E$30+U502/Paramètres!$E$31+V502/Paramètres!$E$32+W502/Paramètres!$E$33+X502/Paramètres!$E$34+Y502/Paramètres!$E$35,1)</f>
        <v>0.1</v>
      </c>
      <c r="AA502" s="22" t="s">
        <v>109</v>
      </c>
      <c r="AB502" s="22" t="s">
        <v>109</v>
      </c>
      <c r="AC502" s="15" t="str">
        <f aca="false">$E502</f>
        <v>cuivre</v>
      </c>
      <c r="AD502" s="16" t="n">
        <f aca="false" t="array" ref="AD502:AD502">IF($I502&gt;=$AI502,"Max",ROUND(Paramètres!$B$40*($I502+1)^Paramètres!$B$41*INDEX(Paramètres!$H$6:$H$12,$AF502),0))</f>
        <v>3</v>
      </c>
      <c r="AE502" s="23" t="n">
        <f aca="false">MATCH($B502&amp;"|"&amp;$C502,Profils!$A$5:$A$34,0)</f>
        <v>17</v>
      </c>
      <c r="AF502" s="23" t="n">
        <v>1</v>
      </c>
      <c r="AG502" s="24" t="n">
        <f aca="false" t="array" ref="AG502:AG502">INDEX(Paramètres!$C$6:$C$12,$AF502)</f>
        <v>1</v>
      </c>
      <c r="AH502" s="23" t="n">
        <f aca="false" t="array" ref="AH502:AH502">INDEX(Paramètres!$D$6:$D$12,$AF502)</f>
        <v>2</v>
      </c>
      <c r="AI502" s="23" t="n">
        <f aca="false" t="array" ref="AI502:AI502">INDEX(Matériaux!$C$16:$C$20,$D502)</f>
        <v>19</v>
      </c>
      <c r="AJ502" s="25" t="n">
        <f aca="false">Paramètres!$B$16+(1-Paramètres!$B$16)*(($J502-Paramètres!$B$14)/(Paramètres!$B$15-Paramètres!$B$14))^Paramètres!$B$17</f>
        <v>0.05</v>
      </c>
    </row>
    <row r="503" customFormat="false" ht="15.75" hidden="false" customHeight="true" outlineLevel="0" collapsed="false">
      <c r="A503" s="14" t="s">
        <v>619</v>
      </c>
      <c r="B503" s="15" t="s">
        <v>29</v>
      </c>
      <c r="C503" s="15" t="s">
        <v>305</v>
      </c>
      <c r="D503" s="16" t="n">
        <v>1</v>
      </c>
      <c r="E503" s="15" t="str">
        <f aca="false" t="array" ref="E503:E503">INDEX(Matériaux!$B$5:$F$12,MATCH(INDEX(Profils!$E$5:$E$34,$AE503),Matériaux!$A$5:$A$12,0),$D503)</f>
        <v>cuivre</v>
      </c>
      <c r="F503" s="26" t="s">
        <v>111</v>
      </c>
      <c r="G503" s="10" t="str">
        <f aca="false" t="array" ref="G503:G503">INDEX(Profils!$D$5:$D$34,$AE503)&amp;" en "&amp;$E503</f>
        <v>Sceau en cuivre</v>
      </c>
      <c r="H503" s="16" t="n">
        <f aca="false" t="array" ref="H503:H503">INDEX(Matériaux!$B$16:$B$20,$D503)</f>
        <v>1</v>
      </c>
      <c r="I503" s="16" t="n">
        <f aca="false">IF(ISNUMBER($C$3),MIN(MAX(0,ROUND($C$3,0)),$AI503),$AI503)</f>
        <v>0</v>
      </c>
      <c r="J503" s="18" t="n">
        <f aca="false">$H503+$I503</f>
        <v>1</v>
      </c>
      <c r="K503" s="15" t="s">
        <v>109</v>
      </c>
      <c r="L503" s="19" t="n">
        <f aca="false" t="array" ref="L503:L503">IF(AND(INDEX(Profils!$F$5:$F$34,$AE503)&gt;0,INDEX(Profils!$U$5:$U$34,$AE503)&lt;=$AH503),ROUND(INDEX(Profils!$F$5:$F$34,$AE503)*Paramètres!$E$22*$AG503*$AJ503,Paramètres!$F$22),0)</f>
        <v>2</v>
      </c>
      <c r="M503" s="19" t="n">
        <f aca="false" t="array" ref="M503:M503">IF(AND(INDEX(Profils!$G$5:$G$34,$AE503)&gt;0,INDEX(Profils!$V$5:$V$34,$AE503)&lt;=$AH503),ROUND(INDEX(Profils!$G$5:$G$34,$AE503)*Paramètres!$E$23*$AG503*$AJ503,Paramètres!$F$23),0)</f>
        <v>0</v>
      </c>
      <c r="N503" s="19" t="n">
        <f aca="false" t="array" ref="N503:N503">IF(AND(INDEX(Profils!$H$5:$H$34,$AE503)&gt;0,INDEX(Profils!$W$5:$W$34,$AE503)&lt;=$AH503),ROUND(INDEX(Profils!$H$5:$H$34,$AE503)*Paramètres!$E$24*$AG503*$AJ503,Paramètres!$F$24),0)</f>
        <v>0</v>
      </c>
      <c r="O503" s="19" t="n">
        <f aca="false" t="array" ref="O503:O503">IF(AND(INDEX(Profils!$I$5:$I$34,$AE503)&gt;0,INDEX(Profils!$X$5:$X$34,$AE503)&lt;=$AH503),ROUND(INDEX(Profils!$I$5:$I$34,$AE503)*Paramètres!$E$25*$AG503*$AJ503,Paramètres!$F$25),0)</f>
        <v>0</v>
      </c>
      <c r="P503" s="19" t="n">
        <f aca="false" t="array" ref="P503:P503">IF(AND(INDEX(Profils!$J$5:$J$34,$AE503)&gt;0,INDEX(Profils!$Y$5:$Y$34,$AE503)&lt;=$AH503),ROUND(INDEX(Profils!$J$5:$J$34,$AE503)*Paramètres!$E$26*$AG503*$AJ503,Paramètres!$F$26),0)</f>
        <v>0</v>
      </c>
      <c r="Q503" s="19" t="n">
        <f aca="false" t="array" ref="Q503:Q503">IF(AND(INDEX(Profils!$K$5:$K$34,$AE503)&gt;0,INDEX(Profils!$Z$5:$Z$34,$AE503)&lt;=$AH503),ROUND(INDEX(Profils!$K$5:$K$34,$AE503)*Paramètres!$E$27*$AG503*$AJ503,Paramètres!$F$27),0)</f>
        <v>0</v>
      </c>
      <c r="R503" s="20" t="n">
        <f aca="false" t="array" ref="R503:R503">IF(AND(INDEX(Profils!$L$5:$L$34,$AE503)&gt;0,INDEX(Profils!$AA$5:$AA$34,$AE503)&lt;=$AH503),ROUND(INDEX(Profils!$L$5:$L$34,$AE503)*Paramètres!$E$28*$AG503*$AJ503,Paramètres!$F$28),0)</f>
        <v>0</v>
      </c>
      <c r="S503" s="20" t="n">
        <f aca="false" t="array" ref="S503:S503">IF(AND(INDEX(Profils!$M$5:$M$34,$AE503)&gt;0,INDEX(Profils!$AB$5:$AB$34,$AE503)&lt;=$AH503),ROUND(INDEX(Profils!$M$5:$M$34,$AE503)*Paramètres!$E$29*$AG503*$AJ503,Paramètres!$F$29),0)</f>
        <v>0</v>
      </c>
      <c r="T503" s="20" t="n">
        <f aca="false" t="array" ref="T503:T503">IF(AND(INDEX(Profils!$N$5:$N$34,$AE503)&gt;0,INDEX(Profils!$AC$5:$AC$34,$AE503)&lt;=$AH503),ROUND(INDEX(Profils!$N$5:$N$34,$AE503)*Paramètres!$E$30*$AG503*$AJ503,Paramètres!$F$30),0)</f>
        <v>0</v>
      </c>
      <c r="U503" s="19" t="n">
        <f aca="false" t="array" ref="U503:U503">IF(AND(INDEX(Profils!$O$5:$O$34,$AE503)&gt;0,INDEX(Profils!$AD$5:$AD$34,$AE503)&lt;=$AH503),ROUND(INDEX(Profils!$O$5:$O$34,$AE503)*Paramètres!$E$31*$AG503*$AJ503,Paramètres!$F$31),0)</f>
        <v>0</v>
      </c>
      <c r="V503" s="20" t="n">
        <f aca="false" t="array" ref="V503:V503">IF(AND(INDEX(Profils!$P$5:$P$34,$AE503)&gt;0,INDEX(Profils!$AE$5:$AE$34,$AE503)&lt;=$AH503),ROUND(INDEX(Profils!$P$5:$P$34,$AE503)*Paramètres!$E$32*$AG503*$AJ503,Paramètres!$F$32),0)</f>
        <v>0</v>
      </c>
      <c r="W503" s="20" t="n">
        <f aca="false" t="array" ref="W503:W503">IF(AND(INDEX(Profils!$Q$5:$Q$34,$AE503)&gt;0,INDEX(Profils!$AF$5:$AF$34,$AE503)&lt;=$AH503),ROUND(INDEX(Profils!$Q$5:$Q$34,$AE503)*Paramètres!$E$33*$AG503*$AJ503,Paramètres!$F$33),0)</f>
        <v>0.001</v>
      </c>
      <c r="X503" s="20" t="n">
        <f aca="false" t="array" ref="X503:X503">IF(AND(INDEX(Profils!$R$5:$R$34,$AE503)&gt;0,INDEX(Profils!$AG$5:$AG$34,$AE503)&lt;=$AH503),ROUND(INDEX(Profils!$R$5:$R$34,$AE503)*Paramètres!$E$34*$AG503*$AJ503,Paramètres!$F$34),0)</f>
        <v>0</v>
      </c>
      <c r="Y503" s="20" t="n">
        <f aca="false" t="array" ref="Y503:Y503">IF(AND(INDEX(Profils!$S$5:$S$34,$AE503)&gt;0,INDEX(Profils!$AH$5:$AH$34,$AE503)&lt;=$AH503),ROUND(INDEX(Profils!$S$5:$S$34,$AE503)*Paramètres!$E$35*$AG503*$AJ503,Paramètres!$F$35),0)</f>
        <v>0.001</v>
      </c>
      <c r="Z503" s="21" t="n">
        <f aca="false">ROUND(L503/Paramètres!$E$22+M503/Paramètres!$E$23+N503/Paramètres!$E$24+O503/Paramètres!$E$25+P503/Paramètres!$E$26+Q503/Paramètres!$E$27+R503/Paramètres!$E$28+S503/Paramètres!$E$29+T503/Paramètres!$E$30+U503/Paramètres!$E$31+V503/Paramètres!$E$32+W503/Paramètres!$E$33+X503/Paramètres!$E$34+Y503/Paramètres!$E$35,1)</f>
        <v>0.2</v>
      </c>
      <c r="AA503" s="22" t="s">
        <v>109</v>
      </c>
      <c r="AB503" s="22" t="s">
        <v>109</v>
      </c>
      <c r="AC503" s="15" t="str">
        <f aca="false">$E503</f>
        <v>cuivre</v>
      </c>
      <c r="AD503" s="16" t="n">
        <f aca="false" t="array" ref="AD503:AD503">IF($I503&gt;=$AI503,"Max",ROUND(Paramètres!$B$40*($I503+1)^Paramètres!$B$41*INDEX(Paramètres!$H$6:$H$12,$AF503),0))</f>
        <v>4</v>
      </c>
      <c r="AE503" s="23" t="n">
        <f aca="false">MATCH($B503&amp;"|"&amp;$C503,Profils!$A$5:$A$34,0)</f>
        <v>17</v>
      </c>
      <c r="AF503" s="23" t="n">
        <v>2</v>
      </c>
      <c r="AG503" s="24" t="n">
        <f aca="false" t="array" ref="AG503:AG503">INDEX(Paramètres!$C$6:$C$12,$AF503)</f>
        <v>1.2</v>
      </c>
      <c r="AH503" s="23" t="n">
        <f aca="false" t="array" ref="AH503:AH503">INDEX(Paramètres!$D$6:$D$12,$AF503)</f>
        <v>3</v>
      </c>
      <c r="AI503" s="23" t="n">
        <f aca="false" t="array" ref="AI503:AI503">INDEX(Matériaux!$C$16:$C$20,$D503)</f>
        <v>19</v>
      </c>
      <c r="AJ503" s="25" t="n">
        <f aca="false">Paramètres!$B$16+(1-Paramètres!$B$16)*(($J503-Paramètres!$B$14)/(Paramètres!$B$15-Paramètres!$B$14))^Paramètres!$B$17</f>
        <v>0.05</v>
      </c>
    </row>
    <row r="504" customFormat="false" ht="15.75" hidden="false" customHeight="true" outlineLevel="0" collapsed="false">
      <c r="A504" s="14" t="s">
        <v>620</v>
      </c>
      <c r="B504" s="15" t="s">
        <v>29</v>
      </c>
      <c r="C504" s="15" t="s">
        <v>305</v>
      </c>
      <c r="D504" s="16" t="n">
        <v>1</v>
      </c>
      <c r="E504" s="15" t="str">
        <f aca="false" t="array" ref="E504:E504">INDEX(Matériaux!$B$5:$F$12,MATCH(INDEX(Profils!$E$5:$E$34,$AE504),Matériaux!$A$5:$A$12,0),$D504)</f>
        <v>cuivre</v>
      </c>
      <c r="F504" s="27" t="s">
        <v>113</v>
      </c>
      <c r="G504" s="10" t="str">
        <f aca="false" t="array" ref="G504:G504">INDEX(Profils!$D$5:$D$34,$AE504)&amp;" en "&amp;$E504</f>
        <v>Sceau en cuivre</v>
      </c>
      <c r="H504" s="16" t="n">
        <f aca="false" t="array" ref="H504:H504">INDEX(Matériaux!$B$16:$B$20,$D504)</f>
        <v>1</v>
      </c>
      <c r="I504" s="16" t="n">
        <f aca="false">IF(ISNUMBER($C$3),MIN(MAX(0,ROUND($C$3,0)),$AI504),$AI504)</f>
        <v>0</v>
      </c>
      <c r="J504" s="18" t="n">
        <f aca="false">$H504+$I504</f>
        <v>1</v>
      </c>
      <c r="K504" s="15" t="s">
        <v>109</v>
      </c>
      <c r="L504" s="19" t="n">
        <f aca="false" t="array" ref="L504:L504">IF(AND(INDEX(Profils!$F$5:$F$34,$AE504)&gt;0,INDEX(Profils!$U$5:$U$34,$AE504)&lt;=$AH504),ROUND(INDEX(Profils!$F$5:$F$34,$AE504)*Paramètres!$E$22*$AG504*$AJ504,Paramètres!$F$22),0)</f>
        <v>2</v>
      </c>
      <c r="M504" s="19" t="n">
        <f aca="false" t="array" ref="M504:M504">IF(AND(INDEX(Profils!$G$5:$G$34,$AE504)&gt;0,INDEX(Profils!$V$5:$V$34,$AE504)&lt;=$AH504),ROUND(INDEX(Profils!$G$5:$G$34,$AE504)*Paramètres!$E$23*$AG504*$AJ504,Paramètres!$F$23),0)</f>
        <v>0</v>
      </c>
      <c r="N504" s="19" t="n">
        <f aca="false" t="array" ref="N504:N504">IF(AND(INDEX(Profils!$H$5:$H$34,$AE504)&gt;0,INDEX(Profils!$W$5:$W$34,$AE504)&lt;=$AH504),ROUND(INDEX(Profils!$H$5:$H$34,$AE504)*Paramètres!$E$24*$AG504*$AJ504,Paramètres!$F$24),0)</f>
        <v>0</v>
      </c>
      <c r="O504" s="19" t="n">
        <f aca="false" t="array" ref="O504:O504">IF(AND(INDEX(Profils!$I$5:$I$34,$AE504)&gt;0,INDEX(Profils!$X$5:$X$34,$AE504)&lt;=$AH504),ROUND(INDEX(Profils!$I$5:$I$34,$AE504)*Paramètres!$E$25*$AG504*$AJ504,Paramètres!$F$25),0)</f>
        <v>0</v>
      </c>
      <c r="P504" s="19" t="n">
        <f aca="false" t="array" ref="P504:P504">IF(AND(INDEX(Profils!$J$5:$J$34,$AE504)&gt;0,INDEX(Profils!$Y$5:$Y$34,$AE504)&lt;=$AH504),ROUND(INDEX(Profils!$J$5:$J$34,$AE504)*Paramètres!$E$26*$AG504*$AJ504,Paramètres!$F$26),0)</f>
        <v>0</v>
      </c>
      <c r="Q504" s="19" t="n">
        <f aca="false" t="array" ref="Q504:Q504">IF(AND(INDEX(Profils!$K$5:$K$34,$AE504)&gt;0,INDEX(Profils!$Z$5:$Z$34,$AE504)&lt;=$AH504),ROUND(INDEX(Profils!$K$5:$K$34,$AE504)*Paramètres!$E$27*$AG504*$AJ504,Paramètres!$F$27),0)</f>
        <v>0</v>
      </c>
      <c r="R504" s="20" t="n">
        <f aca="false" t="array" ref="R504:R504">IF(AND(INDEX(Profils!$L$5:$L$34,$AE504)&gt;0,INDEX(Profils!$AA$5:$AA$34,$AE504)&lt;=$AH504),ROUND(INDEX(Profils!$L$5:$L$34,$AE504)*Paramètres!$E$28*$AG504*$AJ504,Paramètres!$F$28),0)</f>
        <v>0</v>
      </c>
      <c r="S504" s="20" t="n">
        <f aca="false" t="array" ref="S504:S504">IF(AND(INDEX(Profils!$M$5:$M$34,$AE504)&gt;0,INDEX(Profils!$AB$5:$AB$34,$AE504)&lt;=$AH504),ROUND(INDEX(Profils!$M$5:$M$34,$AE504)*Paramètres!$E$29*$AG504*$AJ504,Paramètres!$F$29),0)</f>
        <v>0</v>
      </c>
      <c r="T504" s="20" t="n">
        <f aca="false" t="array" ref="T504:T504">IF(AND(INDEX(Profils!$N$5:$N$34,$AE504)&gt;0,INDEX(Profils!$AC$5:$AC$34,$AE504)&lt;=$AH504),ROUND(INDEX(Profils!$N$5:$N$34,$AE504)*Paramètres!$E$30*$AG504*$AJ504,Paramètres!$F$30),0)</f>
        <v>0</v>
      </c>
      <c r="U504" s="19" t="n">
        <f aca="false" t="array" ref="U504:U504">IF(AND(INDEX(Profils!$O$5:$O$34,$AE504)&gt;0,INDEX(Profils!$AD$5:$AD$34,$AE504)&lt;=$AH504),ROUND(INDEX(Profils!$O$5:$O$34,$AE504)*Paramètres!$E$31*$AG504*$AJ504,Paramètres!$F$31),0)</f>
        <v>0</v>
      </c>
      <c r="V504" s="20" t="n">
        <f aca="false" t="array" ref="V504:V504">IF(AND(INDEX(Profils!$P$5:$P$34,$AE504)&gt;0,INDEX(Profils!$AE$5:$AE$34,$AE504)&lt;=$AH504),ROUND(INDEX(Profils!$P$5:$P$34,$AE504)*Paramètres!$E$32*$AG504*$AJ504,Paramètres!$F$32),0)</f>
        <v>0</v>
      </c>
      <c r="W504" s="20" t="n">
        <f aca="false" t="array" ref="W504:W504">IF(AND(INDEX(Profils!$Q$5:$Q$34,$AE504)&gt;0,INDEX(Profils!$AF$5:$AF$34,$AE504)&lt;=$AH504),ROUND(INDEX(Profils!$Q$5:$Q$34,$AE504)*Paramètres!$E$33*$AG504*$AJ504,Paramètres!$F$33),0)</f>
        <v>0.001</v>
      </c>
      <c r="X504" s="20" t="n">
        <f aca="false" t="array" ref="X504:X504">IF(AND(INDEX(Profils!$R$5:$R$34,$AE504)&gt;0,INDEX(Profils!$AG$5:$AG$34,$AE504)&lt;=$AH504),ROUND(INDEX(Profils!$R$5:$R$34,$AE504)*Paramètres!$E$34*$AG504*$AJ504,Paramètres!$F$34),0)</f>
        <v>0.001</v>
      </c>
      <c r="Y504" s="20" t="n">
        <f aca="false" t="array" ref="Y504:Y504">IF(AND(INDEX(Profils!$S$5:$S$34,$AE504)&gt;0,INDEX(Profils!$AH$5:$AH$34,$AE504)&lt;=$AH504),ROUND(INDEX(Profils!$S$5:$S$34,$AE504)*Paramètres!$E$35*$AG504*$AJ504,Paramètres!$F$35),0)</f>
        <v>0.001</v>
      </c>
      <c r="Z504" s="21" t="n">
        <f aca="false">ROUND(L504/Paramètres!$E$22+M504/Paramètres!$E$23+N504/Paramètres!$E$24+O504/Paramètres!$E$25+P504/Paramètres!$E$26+Q504/Paramètres!$E$27+R504/Paramètres!$E$28+S504/Paramètres!$E$29+T504/Paramètres!$E$30+U504/Paramètres!$E$31+V504/Paramètres!$E$32+W504/Paramètres!$E$33+X504/Paramètres!$E$34+Y504/Paramètres!$E$35,1)</f>
        <v>0.3</v>
      </c>
      <c r="AA504" s="22" t="s">
        <v>109</v>
      </c>
      <c r="AB504" s="22" t="s">
        <v>109</v>
      </c>
      <c r="AC504" s="15" t="str">
        <f aca="false">$E504</f>
        <v>cuivre</v>
      </c>
      <c r="AD504" s="16" t="n">
        <f aca="false" t="array" ref="AD504:AD504">IF($I504&gt;=$AI504,"Max",ROUND(Paramètres!$B$40*($I504+1)^Paramètres!$B$41*INDEX(Paramètres!$H$6:$H$12,$AF504),0))</f>
        <v>4</v>
      </c>
      <c r="AE504" s="23" t="n">
        <f aca="false">MATCH($B504&amp;"|"&amp;$C504,Profils!$A$5:$A$34,0)</f>
        <v>17</v>
      </c>
      <c r="AF504" s="23" t="n">
        <v>3</v>
      </c>
      <c r="AG504" s="24" t="n">
        <f aca="false" t="array" ref="AG504:AG504">INDEX(Paramètres!$C$6:$C$12,$AF504)</f>
        <v>1.45</v>
      </c>
      <c r="AH504" s="23" t="n">
        <f aca="false" t="array" ref="AH504:AH504">INDEX(Paramètres!$D$6:$D$12,$AF504)</f>
        <v>4</v>
      </c>
      <c r="AI504" s="23" t="n">
        <f aca="false" t="array" ref="AI504:AI504">INDEX(Matériaux!$C$16:$C$20,$D504)</f>
        <v>19</v>
      </c>
      <c r="AJ504" s="25" t="n">
        <f aca="false">Paramètres!$B$16+(1-Paramètres!$B$16)*(($J504-Paramètres!$B$14)/(Paramètres!$B$15-Paramètres!$B$14))^Paramètres!$B$17</f>
        <v>0.05</v>
      </c>
    </row>
    <row r="505" customFormat="false" ht="15.75" hidden="false" customHeight="true" outlineLevel="0" collapsed="false">
      <c r="A505" s="14" t="s">
        <v>621</v>
      </c>
      <c r="B505" s="15" t="s">
        <v>29</v>
      </c>
      <c r="C505" s="15" t="s">
        <v>305</v>
      </c>
      <c r="D505" s="16" t="n">
        <v>1</v>
      </c>
      <c r="E505" s="15" t="str">
        <f aca="false" t="array" ref="E505:E505">INDEX(Matériaux!$B$5:$F$12,MATCH(INDEX(Profils!$E$5:$E$34,$AE505),Matériaux!$A$5:$A$12,0),$D505)</f>
        <v>cuivre</v>
      </c>
      <c r="F505" s="28" t="s">
        <v>115</v>
      </c>
      <c r="G505" s="10" t="str">
        <f aca="false" t="array" ref="G505:G505">INDEX(Profils!$D$5:$D$34,$AE505)&amp;" en "&amp;$E505</f>
        <v>Sceau en cuivre</v>
      </c>
      <c r="H505" s="16" t="n">
        <f aca="false" t="array" ref="H505:H505">INDEX(Matériaux!$B$16:$B$20,$D505)</f>
        <v>1</v>
      </c>
      <c r="I505" s="16" t="n">
        <f aca="false">IF(ISNUMBER($C$3),MIN(MAX(0,ROUND($C$3,0)),$AI505),$AI505)</f>
        <v>0</v>
      </c>
      <c r="J505" s="18" t="n">
        <f aca="false">$H505+$I505</f>
        <v>1</v>
      </c>
      <c r="K505" s="15" t="s">
        <v>109</v>
      </c>
      <c r="L505" s="19" t="n">
        <f aca="false" t="array" ref="L505:L505">IF(AND(INDEX(Profils!$F$5:$F$34,$AE505)&gt;0,INDEX(Profils!$U$5:$U$34,$AE505)&lt;=$AH505),ROUND(INDEX(Profils!$F$5:$F$34,$AE505)*Paramètres!$E$22*$AG505*$AJ505,Paramètres!$F$22),0)</f>
        <v>2</v>
      </c>
      <c r="M505" s="19" t="n">
        <f aca="false" t="array" ref="M505:M505">IF(AND(INDEX(Profils!$G$5:$G$34,$AE505)&gt;0,INDEX(Profils!$V$5:$V$34,$AE505)&lt;=$AH505),ROUND(INDEX(Profils!$G$5:$G$34,$AE505)*Paramètres!$E$23*$AG505*$AJ505,Paramètres!$F$23),0)</f>
        <v>0</v>
      </c>
      <c r="N505" s="19" t="n">
        <f aca="false" t="array" ref="N505:N505">IF(AND(INDEX(Profils!$H$5:$H$34,$AE505)&gt;0,INDEX(Profils!$W$5:$W$34,$AE505)&lt;=$AH505),ROUND(INDEX(Profils!$H$5:$H$34,$AE505)*Paramètres!$E$24*$AG505*$AJ505,Paramètres!$F$24),0)</f>
        <v>0</v>
      </c>
      <c r="O505" s="19" t="n">
        <f aca="false" t="array" ref="O505:O505">IF(AND(INDEX(Profils!$I$5:$I$34,$AE505)&gt;0,INDEX(Profils!$X$5:$X$34,$AE505)&lt;=$AH505),ROUND(INDEX(Profils!$I$5:$I$34,$AE505)*Paramètres!$E$25*$AG505*$AJ505,Paramètres!$F$25),0)</f>
        <v>0</v>
      </c>
      <c r="P505" s="19" t="n">
        <f aca="false" t="array" ref="P505:P505">IF(AND(INDEX(Profils!$J$5:$J$34,$AE505)&gt;0,INDEX(Profils!$Y$5:$Y$34,$AE505)&lt;=$AH505),ROUND(INDEX(Profils!$J$5:$J$34,$AE505)*Paramètres!$E$26*$AG505*$AJ505,Paramètres!$F$26),0)</f>
        <v>0</v>
      </c>
      <c r="Q505" s="19" t="n">
        <f aca="false" t="array" ref="Q505:Q505">IF(AND(INDEX(Profils!$K$5:$K$34,$AE505)&gt;0,INDEX(Profils!$Z$5:$Z$34,$AE505)&lt;=$AH505),ROUND(INDEX(Profils!$K$5:$K$34,$AE505)*Paramètres!$E$27*$AG505*$AJ505,Paramètres!$F$27),0)</f>
        <v>1</v>
      </c>
      <c r="R505" s="20" t="n">
        <f aca="false" t="array" ref="R505:R505">IF(AND(INDEX(Profils!$L$5:$L$34,$AE505)&gt;0,INDEX(Profils!$AA$5:$AA$34,$AE505)&lt;=$AH505),ROUND(INDEX(Profils!$L$5:$L$34,$AE505)*Paramètres!$E$28*$AG505*$AJ505,Paramètres!$F$28),0)</f>
        <v>0</v>
      </c>
      <c r="S505" s="20" t="n">
        <f aca="false" t="array" ref="S505:S505">IF(AND(INDEX(Profils!$M$5:$M$34,$AE505)&gt;0,INDEX(Profils!$AB$5:$AB$34,$AE505)&lt;=$AH505),ROUND(INDEX(Profils!$M$5:$M$34,$AE505)*Paramètres!$E$29*$AG505*$AJ505,Paramètres!$F$29),0)</f>
        <v>0</v>
      </c>
      <c r="T505" s="20" t="n">
        <f aca="false" t="array" ref="T505:T505">IF(AND(INDEX(Profils!$N$5:$N$34,$AE505)&gt;0,INDEX(Profils!$AC$5:$AC$34,$AE505)&lt;=$AH505),ROUND(INDEX(Profils!$N$5:$N$34,$AE505)*Paramètres!$E$30*$AG505*$AJ505,Paramètres!$F$30),0)</f>
        <v>0</v>
      </c>
      <c r="U505" s="19" t="n">
        <f aca="false" t="array" ref="U505:U505">IF(AND(INDEX(Profils!$O$5:$O$34,$AE505)&gt;0,INDEX(Profils!$AD$5:$AD$34,$AE505)&lt;=$AH505),ROUND(INDEX(Profils!$O$5:$O$34,$AE505)*Paramètres!$E$31*$AG505*$AJ505,Paramètres!$F$31),0)</f>
        <v>0</v>
      </c>
      <c r="V505" s="20" t="n">
        <f aca="false" t="array" ref="V505:V505">IF(AND(INDEX(Profils!$P$5:$P$34,$AE505)&gt;0,INDEX(Profils!$AE$5:$AE$34,$AE505)&lt;=$AH505),ROUND(INDEX(Profils!$P$5:$P$34,$AE505)*Paramètres!$E$32*$AG505*$AJ505,Paramètres!$F$32),0)</f>
        <v>0</v>
      </c>
      <c r="W505" s="20" t="n">
        <f aca="false" t="array" ref="W505:W505">IF(AND(INDEX(Profils!$Q$5:$Q$34,$AE505)&gt;0,INDEX(Profils!$AF$5:$AF$34,$AE505)&lt;=$AH505),ROUND(INDEX(Profils!$Q$5:$Q$34,$AE505)*Paramètres!$E$33*$AG505*$AJ505,Paramètres!$F$33),0)</f>
        <v>0.001</v>
      </c>
      <c r="X505" s="20" t="n">
        <f aca="false" t="array" ref="X505:X505">IF(AND(INDEX(Profils!$R$5:$R$34,$AE505)&gt;0,INDEX(Profils!$AG$5:$AG$34,$AE505)&lt;=$AH505),ROUND(INDEX(Profils!$R$5:$R$34,$AE505)*Paramètres!$E$34*$AG505*$AJ505,Paramètres!$F$34),0)</f>
        <v>0.001</v>
      </c>
      <c r="Y505" s="20" t="n">
        <f aca="false" t="array" ref="Y505:Y505">IF(AND(INDEX(Profils!$S$5:$S$34,$AE505)&gt;0,INDEX(Profils!$AH$5:$AH$34,$AE505)&lt;=$AH505),ROUND(INDEX(Profils!$S$5:$S$34,$AE505)*Paramètres!$E$35*$AG505*$AJ505,Paramètres!$F$35),0)</f>
        <v>0.001</v>
      </c>
      <c r="Z505" s="21" t="n">
        <f aca="false">ROUND(L505/Paramètres!$E$22+M505/Paramètres!$E$23+N505/Paramètres!$E$24+O505/Paramètres!$E$25+P505/Paramètres!$E$26+Q505/Paramètres!$E$27+R505/Paramètres!$E$28+S505/Paramètres!$E$29+T505/Paramètres!$E$30+U505/Paramètres!$E$31+V505/Paramètres!$E$32+W505/Paramètres!$E$33+X505/Paramètres!$E$34+Y505/Paramètres!$E$35,1)</f>
        <v>0.4</v>
      </c>
      <c r="AA505" s="22" t="s">
        <v>109</v>
      </c>
      <c r="AB505" s="22" t="s">
        <v>109</v>
      </c>
      <c r="AC505" s="15" t="str">
        <f aca="false">$E505</f>
        <v>cuivre</v>
      </c>
      <c r="AD505" s="16" t="n">
        <f aca="false" t="array" ref="AD505:AD505">IF($I505&gt;=$AI505,"Max",ROUND(Paramètres!$B$40*($I505+1)^Paramètres!$B$41*INDEX(Paramètres!$H$6:$H$12,$AF505),0))</f>
        <v>5</v>
      </c>
      <c r="AE505" s="23" t="n">
        <f aca="false">MATCH($B505&amp;"|"&amp;$C505,Profils!$A$5:$A$34,0)</f>
        <v>17</v>
      </c>
      <c r="AF505" s="23" t="n">
        <v>4</v>
      </c>
      <c r="AG505" s="24" t="n">
        <f aca="false" t="array" ref="AG505:AG505">INDEX(Paramètres!$C$6:$C$12,$AF505)</f>
        <v>1.75</v>
      </c>
      <c r="AH505" s="23" t="n">
        <f aca="false" t="array" ref="AH505:AH505">INDEX(Paramètres!$D$6:$D$12,$AF505)</f>
        <v>5</v>
      </c>
      <c r="AI505" s="23" t="n">
        <f aca="false" t="array" ref="AI505:AI505">INDEX(Matériaux!$C$16:$C$20,$D505)</f>
        <v>19</v>
      </c>
      <c r="AJ505" s="25" t="n">
        <f aca="false">Paramètres!$B$16+(1-Paramètres!$B$16)*(($J505-Paramètres!$B$14)/(Paramètres!$B$15-Paramètres!$B$14))^Paramètres!$B$17</f>
        <v>0.05</v>
      </c>
    </row>
    <row r="506" customFormat="false" ht="15.75" hidden="false" customHeight="true" outlineLevel="0" collapsed="false">
      <c r="A506" s="14" t="s">
        <v>622</v>
      </c>
      <c r="B506" s="15" t="s">
        <v>29</v>
      </c>
      <c r="C506" s="15" t="s">
        <v>305</v>
      </c>
      <c r="D506" s="16" t="n">
        <v>1</v>
      </c>
      <c r="E506" s="15" t="str">
        <f aca="false" t="array" ref="E506:E506">INDEX(Matériaux!$B$5:$F$12,MATCH(INDEX(Profils!$E$5:$E$34,$AE506),Matériaux!$A$5:$A$12,0),$D506)</f>
        <v>cuivre</v>
      </c>
      <c r="F506" s="29" t="s">
        <v>117</v>
      </c>
      <c r="G506" s="10" t="str">
        <f aca="false" t="array" ref="G506:G506">INDEX(Profils!$D$5:$D$34,$AE506)&amp;" en "&amp;$E506</f>
        <v>Sceau en cuivre</v>
      </c>
      <c r="H506" s="16" t="n">
        <f aca="false" t="array" ref="H506:H506">INDEX(Matériaux!$B$16:$B$20,$D506)</f>
        <v>1</v>
      </c>
      <c r="I506" s="16" t="n">
        <f aca="false">IF(ISNUMBER($C$3),MIN(MAX(0,ROUND($C$3,0)),$AI506),$AI506)</f>
        <v>0</v>
      </c>
      <c r="J506" s="18" t="n">
        <f aca="false">$H506+$I506</f>
        <v>1</v>
      </c>
      <c r="K506" s="15" t="s">
        <v>109</v>
      </c>
      <c r="L506" s="19" t="n">
        <f aca="false" t="array" ref="L506:L506">IF(AND(INDEX(Profils!$F$5:$F$34,$AE506)&gt;0,INDEX(Profils!$U$5:$U$34,$AE506)&lt;=$AH506),ROUND(INDEX(Profils!$F$5:$F$34,$AE506)*Paramètres!$E$22*$AG506*$AJ506,Paramètres!$F$22),0)</f>
        <v>3</v>
      </c>
      <c r="M506" s="19" t="n">
        <f aca="false" t="array" ref="M506:M506">IF(AND(INDEX(Profils!$G$5:$G$34,$AE506)&gt;0,INDEX(Profils!$V$5:$V$34,$AE506)&lt;=$AH506),ROUND(INDEX(Profils!$G$5:$G$34,$AE506)*Paramètres!$E$23*$AG506*$AJ506,Paramètres!$F$23),0)</f>
        <v>0</v>
      </c>
      <c r="N506" s="19" t="n">
        <f aca="false" t="array" ref="N506:N506">IF(AND(INDEX(Profils!$H$5:$H$34,$AE506)&gt;0,INDEX(Profils!$W$5:$W$34,$AE506)&lt;=$AH506),ROUND(INDEX(Profils!$H$5:$H$34,$AE506)*Paramètres!$E$24*$AG506*$AJ506,Paramètres!$F$24),0)</f>
        <v>0</v>
      </c>
      <c r="O506" s="19" t="n">
        <f aca="false" t="array" ref="O506:O506">IF(AND(INDEX(Profils!$I$5:$I$34,$AE506)&gt;0,INDEX(Profils!$X$5:$X$34,$AE506)&lt;=$AH506),ROUND(INDEX(Profils!$I$5:$I$34,$AE506)*Paramètres!$E$25*$AG506*$AJ506,Paramètres!$F$25),0)</f>
        <v>1</v>
      </c>
      <c r="P506" s="19" t="n">
        <f aca="false" t="array" ref="P506:P506">IF(AND(INDEX(Profils!$J$5:$J$34,$AE506)&gt;0,INDEX(Profils!$Y$5:$Y$34,$AE506)&lt;=$AH506),ROUND(INDEX(Profils!$J$5:$J$34,$AE506)*Paramètres!$E$26*$AG506*$AJ506,Paramètres!$F$26),0)</f>
        <v>0</v>
      </c>
      <c r="Q506" s="19" t="n">
        <f aca="false" t="array" ref="Q506:Q506">IF(AND(INDEX(Profils!$K$5:$K$34,$AE506)&gt;0,INDEX(Profils!$Z$5:$Z$34,$AE506)&lt;=$AH506),ROUND(INDEX(Profils!$K$5:$K$34,$AE506)*Paramètres!$E$27*$AG506*$AJ506,Paramètres!$F$27),0)</f>
        <v>1</v>
      </c>
      <c r="R506" s="20" t="n">
        <f aca="false" t="array" ref="R506:R506">IF(AND(INDEX(Profils!$L$5:$L$34,$AE506)&gt;0,INDEX(Profils!$AA$5:$AA$34,$AE506)&lt;=$AH506),ROUND(INDEX(Profils!$L$5:$L$34,$AE506)*Paramètres!$E$28*$AG506*$AJ506,Paramètres!$F$28),0)</f>
        <v>0</v>
      </c>
      <c r="S506" s="20" t="n">
        <f aca="false" t="array" ref="S506:S506">IF(AND(INDEX(Profils!$M$5:$M$34,$AE506)&gt;0,INDEX(Profils!$AB$5:$AB$34,$AE506)&lt;=$AH506),ROUND(INDEX(Profils!$M$5:$M$34,$AE506)*Paramètres!$E$29*$AG506*$AJ506,Paramètres!$F$29),0)</f>
        <v>0</v>
      </c>
      <c r="T506" s="20" t="n">
        <f aca="false" t="array" ref="T506:T506">IF(AND(INDEX(Profils!$N$5:$N$34,$AE506)&gt;0,INDEX(Profils!$AC$5:$AC$34,$AE506)&lt;=$AH506),ROUND(INDEX(Profils!$N$5:$N$34,$AE506)*Paramètres!$E$30*$AG506*$AJ506,Paramètres!$F$30),0)</f>
        <v>0</v>
      </c>
      <c r="U506" s="19" t="n">
        <f aca="false" t="array" ref="U506:U506">IF(AND(INDEX(Profils!$O$5:$O$34,$AE506)&gt;0,INDEX(Profils!$AD$5:$AD$34,$AE506)&lt;=$AH506),ROUND(INDEX(Profils!$O$5:$O$34,$AE506)*Paramètres!$E$31*$AG506*$AJ506,Paramètres!$F$31),0)</f>
        <v>0</v>
      </c>
      <c r="V506" s="20" t="n">
        <f aca="false" t="array" ref="V506:V506">IF(AND(INDEX(Profils!$P$5:$P$34,$AE506)&gt;0,INDEX(Profils!$AE$5:$AE$34,$AE506)&lt;=$AH506),ROUND(INDEX(Profils!$P$5:$P$34,$AE506)*Paramètres!$E$32*$AG506*$AJ506,Paramètres!$F$32),0)</f>
        <v>0</v>
      </c>
      <c r="W506" s="20" t="n">
        <f aca="false" t="array" ref="W506:W506">IF(AND(INDEX(Profils!$Q$5:$Q$34,$AE506)&gt;0,INDEX(Profils!$AF$5:$AF$34,$AE506)&lt;=$AH506),ROUND(INDEX(Profils!$Q$5:$Q$34,$AE506)*Paramètres!$E$33*$AG506*$AJ506,Paramètres!$F$33),0)</f>
        <v>0.002</v>
      </c>
      <c r="X506" s="20" t="n">
        <f aca="false" t="array" ref="X506:X506">IF(AND(INDEX(Profils!$R$5:$R$34,$AE506)&gt;0,INDEX(Profils!$AG$5:$AG$34,$AE506)&lt;=$AH506),ROUND(INDEX(Profils!$R$5:$R$34,$AE506)*Paramètres!$E$34*$AG506*$AJ506,Paramètres!$F$34),0)</f>
        <v>0.002</v>
      </c>
      <c r="Y506" s="20" t="n">
        <f aca="false" t="array" ref="Y506:Y506">IF(AND(INDEX(Profils!$S$5:$S$34,$AE506)&gt;0,INDEX(Profils!$AH$5:$AH$34,$AE506)&lt;=$AH506),ROUND(INDEX(Profils!$S$5:$S$34,$AE506)*Paramètres!$E$35*$AG506*$AJ506,Paramètres!$F$35),0)</f>
        <v>0.002</v>
      </c>
      <c r="Z506" s="21" t="n">
        <f aca="false">ROUND(L506/Paramètres!$E$22+M506/Paramètres!$E$23+N506/Paramètres!$E$24+O506/Paramètres!$E$25+P506/Paramètres!$E$26+Q506/Paramètres!$E$27+R506/Paramètres!$E$28+S506/Paramètres!$E$29+T506/Paramètres!$E$30+U506/Paramètres!$E$31+V506/Paramètres!$E$32+W506/Paramètres!$E$33+X506/Paramètres!$E$34+Y506/Paramètres!$E$35,1)</f>
        <v>0.7</v>
      </c>
      <c r="AA506" s="22" t="s">
        <v>109</v>
      </c>
      <c r="AB506" s="22" t="s">
        <v>109</v>
      </c>
      <c r="AC506" s="15" t="str">
        <f aca="false">$E506</f>
        <v>cuivre</v>
      </c>
      <c r="AD506" s="16" t="n">
        <f aca="false" t="array" ref="AD506:AD506">IF($I506&gt;=$AI506,"Max",ROUND(Paramètres!$B$40*($I506+1)^Paramètres!$B$41*INDEX(Paramètres!$H$6:$H$12,$AF506),0))</f>
        <v>6</v>
      </c>
      <c r="AE506" s="23" t="n">
        <f aca="false">MATCH($B506&amp;"|"&amp;$C506,Profils!$A$5:$A$34,0)</f>
        <v>17</v>
      </c>
      <c r="AF506" s="23" t="n">
        <v>5</v>
      </c>
      <c r="AG506" s="24" t="n">
        <f aca="false" t="array" ref="AG506:AG506">INDEX(Paramètres!$C$6:$C$12,$AF506)</f>
        <v>2.1</v>
      </c>
      <c r="AH506" s="23" t="n">
        <f aca="false" t="array" ref="AH506:AH506">INDEX(Paramètres!$D$6:$D$12,$AF506)</f>
        <v>6</v>
      </c>
      <c r="AI506" s="23" t="n">
        <f aca="false" t="array" ref="AI506:AI506">INDEX(Matériaux!$C$16:$C$20,$D506)</f>
        <v>19</v>
      </c>
      <c r="AJ506" s="25" t="n">
        <f aca="false">Paramètres!$B$16+(1-Paramètres!$B$16)*(($J506-Paramètres!$B$14)/(Paramètres!$B$15-Paramètres!$B$14))^Paramètres!$B$17</f>
        <v>0.05</v>
      </c>
    </row>
    <row r="507" customFormat="false" ht="15.75" hidden="false" customHeight="true" outlineLevel="0" collapsed="false">
      <c r="A507" s="14" t="s">
        <v>623</v>
      </c>
      <c r="B507" s="15" t="s">
        <v>29</v>
      </c>
      <c r="C507" s="15" t="s">
        <v>305</v>
      </c>
      <c r="D507" s="16" t="n">
        <v>1</v>
      </c>
      <c r="E507" s="15" t="str">
        <f aca="false" t="array" ref="E507:E507">INDEX(Matériaux!$B$5:$F$12,MATCH(INDEX(Profils!$E$5:$E$34,$AE507),Matériaux!$A$5:$A$12,0),$D507)</f>
        <v>cuivre</v>
      </c>
      <c r="F507" s="30" t="s">
        <v>119</v>
      </c>
      <c r="G507" s="10" t="str">
        <f aca="false" t="array" ref="G507:G507">INDEX(Profils!$D$5:$D$34,$AE507)&amp;" en "&amp;$E507</f>
        <v>Sceau en cuivre</v>
      </c>
      <c r="H507" s="16" t="n">
        <f aca="false" t="array" ref="H507:H507">INDEX(Matériaux!$B$16:$B$20,$D507)</f>
        <v>1</v>
      </c>
      <c r="I507" s="16" t="n">
        <f aca="false">IF(ISNUMBER($C$3),MIN(MAX(0,ROUND($C$3,0)),$AI507),$AI507)</f>
        <v>0</v>
      </c>
      <c r="J507" s="18" t="n">
        <f aca="false">$H507+$I507</f>
        <v>1</v>
      </c>
      <c r="K507" s="15" t="s">
        <v>109</v>
      </c>
      <c r="L507" s="19" t="n">
        <f aca="false" t="array" ref="L507:L507">IF(AND(INDEX(Profils!$F$5:$F$34,$AE507)&gt;0,INDEX(Profils!$U$5:$U$34,$AE507)&lt;=$AH507),ROUND(INDEX(Profils!$F$5:$F$34,$AE507)*Paramètres!$E$22*$AG507*$AJ507,Paramètres!$F$22),0)</f>
        <v>3</v>
      </c>
      <c r="M507" s="19" t="n">
        <f aca="false" t="array" ref="M507:M507">IF(AND(INDEX(Profils!$G$5:$G$34,$AE507)&gt;0,INDEX(Profils!$V$5:$V$34,$AE507)&lt;=$AH507),ROUND(INDEX(Profils!$G$5:$G$34,$AE507)*Paramètres!$E$23*$AG507*$AJ507,Paramètres!$F$23),0)</f>
        <v>0</v>
      </c>
      <c r="N507" s="19" t="n">
        <f aca="false" t="array" ref="N507:N507">IF(AND(INDEX(Profils!$H$5:$H$34,$AE507)&gt;0,INDEX(Profils!$W$5:$W$34,$AE507)&lt;=$AH507),ROUND(INDEX(Profils!$H$5:$H$34,$AE507)*Paramètres!$E$24*$AG507*$AJ507,Paramètres!$F$24),0)</f>
        <v>0</v>
      </c>
      <c r="O507" s="19" t="n">
        <f aca="false" t="array" ref="O507:O507">IF(AND(INDEX(Profils!$I$5:$I$34,$AE507)&gt;0,INDEX(Profils!$X$5:$X$34,$AE507)&lt;=$AH507),ROUND(INDEX(Profils!$I$5:$I$34,$AE507)*Paramètres!$E$25*$AG507*$AJ507,Paramètres!$F$25),0)</f>
        <v>1</v>
      </c>
      <c r="P507" s="19" t="n">
        <f aca="false" t="array" ref="P507:P507">IF(AND(INDEX(Profils!$J$5:$J$34,$AE507)&gt;0,INDEX(Profils!$Y$5:$Y$34,$AE507)&lt;=$AH507),ROUND(INDEX(Profils!$J$5:$J$34,$AE507)*Paramètres!$E$26*$AG507*$AJ507,Paramètres!$F$26),0)</f>
        <v>1</v>
      </c>
      <c r="Q507" s="19" t="n">
        <f aca="false" t="array" ref="Q507:Q507">IF(AND(INDEX(Profils!$K$5:$K$34,$AE507)&gt;0,INDEX(Profils!$Z$5:$Z$34,$AE507)&lt;=$AH507),ROUND(INDEX(Profils!$K$5:$K$34,$AE507)*Paramètres!$E$27*$AG507*$AJ507,Paramètres!$F$27),0)</f>
        <v>1</v>
      </c>
      <c r="R507" s="20" t="n">
        <f aca="false" t="array" ref="R507:R507">IF(AND(INDEX(Profils!$L$5:$L$34,$AE507)&gt;0,INDEX(Profils!$AA$5:$AA$34,$AE507)&lt;=$AH507),ROUND(INDEX(Profils!$L$5:$L$34,$AE507)*Paramètres!$E$28*$AG507*$AJ507,Paramètres!$F$28),0)</f>
        <v>0</v>
      </c>
      <c r="S507" s="20" t="n">
        <f aca="false" t="array" ref="S507:S507">IF(AND(INDEX(Profils!$M$5:$M$34,$AE507)&gt;0,INDEX(Profils!$AB$5:$AB$34,$AE507)&lt;=$AH507),ROUND(INDEX(Profils!$M$5:$M$34,$AE507)*Paramètres!$E$29*$AG507*$AJ507,Paramètres!$F$29),0)</f>
        <v>0</v>
      </c>
      <c r="T507" s="20" t="n">
        <f aca="false" t="array" ref="T507:T507">IF(AND(INDEX(Profils!$N$5:$N$34,$AE507)&gt;0,INDEX(Profils!$AC$5:$AC$34,$AE507)&lt;=$AH507),ROUND(INDEX(Profils!$N$5:$N$34,$AE507)*Paramètres!$E$30*$AG507*$AJ507,Paramètres!$F$30),0)</f>
        <v>0</v>
      </c>
      <c r="U507" s="19" t="n">
        <f aca="false" t="array" ref="U507:U507">IF(AND(INDEX(Profils!$O$5:$O$34,$AE507)&gt;0,INDEX(Profils!$AD$5:$AD$34,$AE507)&lt;=$AH507),ROUND(INDEX(Profils!$O$5:$O$34,$AE507)*Paramètres!$E$31*$AG507*$AJ507,Paramètres!$F$31),0)</f>
        <v>0</v>
      </c>
      <c r="V507" s="20" t="n">
        <f aca="false" t="array" ref="V507:V507">IF(AND(INDEX(Profils!$P$5:$P$34,$AE507)&gt;0,INDEX(Profils!$AE$5:$AE$34,$AE507)&lt;=$AH507),ROUND(INDEX(Profils!$P$5:$P$34,$AE507)*Paramètres!$E$32*$AG507*$AJ507,Paramètres!$F$32),0)</f>
        <v>0</v>
      </c>
      <c r="W507" s="20" t="n">
        <f aca="false" t="array" ref="W507:W507">IF(AND(INDEX(Profils!$Q$5:$Q$34,$AE507)&gt;0,INDEX(Profils!$AF$5:$AF$34,$AE507)&lt;=$AH507),ROUND(INDEX(Profils!$Q$5:$Q$34,$AE507)*Paramètres!$E$33*$AG507*$AJ507,Paramètres!$F$33),0)</f>
        <v>0.002</v>
      </c>
      <c r="X507" s="20" t="n">
        <f aca="false" t="array" ref="X507:X507">IF(AND(INDEX(Profils!$R$5:$R$34,$AE507)&gt;0,INDEX(Profils!$AG$5:$AG$34,$AE507)&lt;=$AH507),ROUND(INDEX(Profils!$R$5:$R$34,$AE507)*Paramètres!$E$34*$AG507*$AJ507,Paramètres!$F$34),0)</f>
        <v>0.002</v>
      </c>
      <c r="Y507" s="20" t="n">
        <f aca="false" t="array" ref="Y507:Y507">IF(AND(INDEX(Profils!$S$5:$S$34,$AE507)&gt;0,INDEX(Profils!$AH$5:$AH$34,$AE507)&lt;=$AH507),ROUND(INDEX(Profils!$S$5:$S$34,$AE507)*Paramètres!$E$35*$AG507*$AJ507,Paramètres!$F$35),0)</f>
        <v>0.002</v>
      </c>
      <c r="Z507" s="21" t="n">
        <f aca="false">ROUND(L507/Paramètres!$E$22+M507/Paramètres!$E$23+N507/Paramètres!$E$24+O507/Paramètres!$E$25+P507/Paramètres!$E$26+Q507/Paramètres!$E$27+R507/Paramètres!$E$28+S507/Paramètres!$E$29+T507/Paramètres!$E$30+U507/Paramètres!$E$31+V507/Paramètres!$E$32+W507/Paramètres!$E$33+X507/Paramètres!$E$34+Y507/Paramètres!$E$35,1)</f>
        <v>0.7</v>
      </c>
      <c r="AA507" s="22" t="s">
        <v>109</v>
      </c>
      <c r="AB507" s="22" t="s">
        <v>109</v>
      </c>
      <c r="AC507" s="15" t="str">
        <f aca="false">$E507</f>
        <v>cuivre</v>
      </c>
      <c r="AD507" s="16" t="n">
        <f aca="false" t="array" ref="AD507:AD507">IF($I507&gt;=$AI507,"Max",ROUND(Paramètres!$B$40*($I507+1)^Paramètres!$B$41*INDEX(Paramètres!$H$6:$H$12,$AF507),0))</f>
        <v>8</v>
      </c>
      <c r="AE507" s="23" t="n">
        <f aca="false">MATCH($B507&amp;"|"&amp;$C507,Profils!$A$5:$A$34,0)</f>
        <v>17</v>
      </c>
      <c r="AF507" s="23" t="n">
        <v>6</v>
      </c>
      <c r="AG507" s="24" t="n">
        <f aca="false" t="array" ref="AG507:AG507">INDEX(Paramètres!$C$6:$C$12,$AF507)</f>
        <v>2.4</v>
      </c>
      <c r="AH507" s="23" t="n">
        <f aca="false" t="array" ref="AH507:AH507">INDEX(Paramètres!$D$6:$D$12,$AF507)</f>
        <v>7</v>
      </c>
      <c r="AI507" s="23" t="n">
        <f aca="false" t="array" ref="AI507:AI507">INDEX(Matériaux!$C$16:$C$20,$D507)</f>
        <v>19</v>
      </c>
      <c r="AJ507" s="25" t="n">
        <f aca="false">Paramètres!$B$16+(1-Paramètres!$B$16)*(($J507-Paramètres!$B$14)/(Paramètres!$B$15-Paramètres!$B$14))^Paramètres!$B$17</f>
        <v>0.05</v>
      </c>
    </row>
    <row r="508" customFormat="false" ht="15.75" hidden="false" customHeight="true" outlineLevel="0" collapsed="false">
      <c r="A508" s="14" t="s">
        <v>624</v>
      </c>
      <c r="B508" s="15" t="s">
        <v>29</v>
      </c>
      <c r="C508" s="15" t="s">
        <v>305</v>
      </c>
      <c r="D508" s="16" t="n">
        <v>2</v>
      </c>
      <c r="E508" s="15" t="str">
        <f aca="false" t="array" ref="E508:E508">INDEX(Matériaux!$B$5:$F$12,MATCH(INDEX(Profils!$E$5:$E$34,$AE508),Matériaux!$A$5:$A$12,0),$D508)</f>
        <v>argent</v>
      </c>
      <c r="F508" s="17" t="s">
        <v>108</v>
      </c>
      <c r="G508" s="10" t="str">
        <f aca="false" t="array" ref="G508:G508">INDEX(Profils!$D$5:$D$34,$AE508)&amp;" en "&amp;$E508</f>
        <v>Sceau en argent</v>
      </c>
      <c r="H508" s="16" t="n">
        <f aca="false" t="array" ref="H508:H508">INDEX(Matériaux!$B$16:$B$20,$D508)</f>
        <v>15</v>
      </c>
      <c r="I508" s="16" t="n">
        <f aca="false">IF(ISNUMBER($C$3),MIN(MAX(0,ROUND($C$3,0)),$AI508),$AI508)</f>
        <v>0</v>
      </c>
      <c r="J508" s="18" t="n">
        <f aca="false">$H508+$I508</f>
        <v>15</v>
      </c>
      <c r="K508" s="15" t="s">
        <v>109</v>
      </c>
      <c r="L508" s="19" t="n">
        <f aca="false" t="array" ref="L508:L508">IF(AND(INDEX(Profils!$F$5:$F$34,$AE508)&gt;0,INDEX(Profils!$U$5:$U$34,$AE508)&lt;=$AH508),ROUND(INDEX(Profils!$F$5:$F$34,$AE508)*Paramètres!$E$22*$AG508*$AJ508,Paramètres!$F$22),0)</f>
        <v>4</v>
      </c>
      <c r="M508" s="19" t="n">
        <f aca="false" t="array" ref="M508:M508">IF(AND(INDEX(Profils!$G$5:$G$34,$AE508)&gt;0,INDEX(Profils!$V$5:$V$34,$AE508)&lt;=$AH508),ROUND(INDEX(Profils!$G$5:$G$34,$AE508)*Paramètres!$E$23*$AG508*$AJ508,Paramètres!$F$23),0)</f>
        <v>0</v>
      </c>
      <c r="N508" s="19" t="n">
        <f aca="false" t="array" ref="N508:N508">IF(AND(INDEX(Profils!$H$5:$H$34,$AE508)&gt;0,INDEX(Profils!$W$5:$W$34,$AE508)&lt;=$AH508),ROUND(INDEX(Profils!$H$5:$H$34,$AE508)*Paramètres!$E$24*$AG508*$AJ508,Paramètres!$F$24),0)</f>
        <v>0</v>
      </c>
      <c r="O508" s="19" t="n">
        <f aca="false" t="array" ref="O508:O508">IF(AND(INDEX(Profils!$I$5:$I$34,$AE508)&gt;0,INDEX(Profils!$X$5:$X$34,$AE508)&lt;=$AH508),ROUND(INDEX(Profils!$I$5:$I$34,$AE508)*Paramètres!$E$25*$AG508*$AJ508,Paramètres!$F$25),0)</f>
        <v>0</v>
      </c>
      <c r="P508" s="19" t="n">
        <f aca="false" t="array" ref="P508:P508">IF(AND(INDEX(Profils!$J$5:$J$34,$AE508)&gt;0,INDEX(Profils!$Y$5:$Y$34,$AE508)&lt;=$AH508),ROUND(INDEX(Profils!$J$5:$J$34,$AE508)*Paramètres!$E$26*$AG508*$AJ508,Paramètres!$F$26),0)</f>
        <v>0</v>
      </c>
      <c r="Q508" s="19" t="n">
        <f aca="false" t="array" ref="Q508:Q508">IF(AND(INDEX(Profils!$K$5:$K$34,$AE508)&gt;0,INDEX(Profils!$Z$5:$Z$34,$AE508)&lt;=$AH508),ROUND(INDEX(Profils!$K$5:$K$34,$AE508)*Paramètres!$E$27*$AG508*$AJ508,Paramètres!$F$27),0)</f>
        <v>0</v>
      </c>
      <c r="R508" s="20" t="n">
        <f aca="false" t="array" ref="R508:R508">IF(AND(INDEX(Profils!$L$5:$L$34,$AE508)&gt;0,INDEX(Profils!$AA$5:$AA$34,$AE508)&lt;=$AH508),ROUND(INDEX(Profils!$L$5:$L$34,$AE508)*Paramètres!$E$28*$AG508*$AJ508,Paramètres!$F$28),0)</f>
        <v>0</v>
      </c>
      <c r="S508" s="20" t="n">
        <f aca="false" t="array" ref="S508:S508">IF(AND(INDEX(Profils!$M$5:$M$34,$AE508)&gt;0,INDEX(Profils!$AB$5:$AB$34,$AE508)&lt;=$AH508),ROUND(INDEX(Profils!$M$5:$M$34,$AE508)*Paramètres!$E$29*$AG508*$AJ508,Paramètres!$F$29),0)</f>
        <v>0</v>
      </c>
      <c r="T508" s="20" t="n">
        <f aca="false" t="array" ref="T508:T508">IF(AND(INDEX(Profils!$N$5:$N$34,$AE508)&gt;0,INDEX(Profils!$AC$5:$AC$34,$AE508)&lt;=$AH508),ROUND(INDEX(Profils!$N$5:$N$34,$AE508)*Paramètres!$E$30*$AG508*$AJ508,Paramètres!$F$30),0)</f>
        <v>0</v>
      </c>
      <c r="U508" s="19" t="n">
        <f aca="false" t="array" ref="U508:U508">IF(AND(INDEX(Profils!$O$5:$O$34,$AE508)&gt;0,INDEX(Profils!$AD$5:$AD$34,$AE508)&lt;=$AH508),ROUND(INDEX(Profils!$O$5:$O$34,$AE508)*Paramètres!$E$31*$AG508*$AJ508,Paramètres!$F$31),0)</f>
        <v>0</v>
      </c>
      <c r="V508" s="20" t="n">
        <f aca="false" t="array" ref="V508:V508">IF(AND(INDEX(Profils!$P$5:$P$34,$AE508)&gt;0,INDEX(Profils!$AE$5:$AE$34,$AE508)&lt;=$AH508),ROUND(INDEX(Profils!$P$5:$P$34,$AE508)*Paramètres!$E$32*$AG508*$AJ508,Paramètres!$F$32),0)</f>
        <v>0</v>
      </c>
      <c r="W508" s="20" t="n">
        <f aca="false" t="array" ref="W508:W508">IF(AND(INDEX(Profils!$Q$5:$Q$34,$AE508)&gt;0,INDEX(Profils!$AF$5:$AF$34,$AE508)&lt;=$AH508),ROUND(INDEX(Profils!$Q$5:$Q$34,$AE508)*Paramètres!$E$33*$AG508*$AJ508,Paramètres!$F$33),0)</f>
        <v>0.002</v>
      </c>
      <c r="X508" s="20" t="n">
        <f aca="false" t="array" ref="X508:X508">IF(AND(INDEX(Profils!$R$5:$R$34,$AE508)&gt;0,INDEX(Profils!$AG$5:$AG$34,$AE508)&lt;=$AH508),ROUND(INDEX(Profils!$R$5:$R$34,$AE508)*Paramètres!$E$34*$AG508*$AJ508,Paramètres!$F$34),0)</f>
        <v>0</v>
      </c>
      <c r="Y508" s="20" t="n">
        <f aca="false" t="array" ref="Y508:Y508">IF(AND(INDEX(Profils!$S$5:$S$34,$AE508)&gt;0,INDEX(Profils!$AH$5:$AH$34,$AE508)&lt;=$AH508),ROUND(INDEX(Profils!$S$5:$S$34,$AE508)*Paramètres!$E$35*$AG508*$AJ508,Paramètres!$F$35),0)</f>
        <v>0</v>
      </c>
      <c r="Z508" s="21" t="n">
        <f aca="false">ROUND(L508/Paramètres!$E$22+M508/Paramètres!$E$23+N508/Paramètres!$E$24+O508/Paramètres!$E$25+P508/Paramètres!$E$26+Q508/Paramètres!$E$27+R508/Paramètres!$E$28+S508/Paramètres!$E$29+T508/Paramètres!$E$30+U508/Paramètres!$E$31+V508/Paramètres!$E$32+W508/Paramètres!$E$33+X508/Paramètres!$E$34+Y508/Paramètres!$E$35,1)</f>
        <v>0.3</v>
      </c>
      <c r="AA508" s="22" t="s">
        <v>109</v>
      </c>
      <c r="AB508" s="22" t="s">
        <v>109</v>
      </c>
      <c r="AC508" s="15" t="str">
        <f aca="false">$E508</f>
        <v>argent</v>
      </c>
      <c r="AD508" s="16" t="n">
        <f aca="false" t="array" ref="AD508:AD508">IF($I508&gt;=$AI508,"Max",ROUND(Paramètres!$B$40*($I508+1)^Paramètres!$B$41*INDEX(Paramètres!$H$6:$H$12,$AF508),0))</f>
        <v>3</v>
      </c>
      <c r="AE508" s="23" t="n">
        <f aca="false">MATCH($B508&amp;"|"&amp;$C508,Profils!$A$5:$A$34,0)</f>
        <v>17</v>
      </c>
      <c r="AF508" s="23" t="n">
        <v>1</v>
      </c>
      <c r="AG508" s="24" t="n">
        <f aca="false" t="array" ref="AG508:AG508">INDEX(Paramètres!$C$6:$C$12,$AF508)</f>
        <v>1</v>
      </c>
      <c r="AH508" s="23" t="n">
        <f aca="false" t="array" ref="AH508:AH508">INDEX(Paramètres!$D$6:$D$12,$AF508)</f>
        <v>2</v>
      </c>
      <c r="AI508" s="23" t="n">
        <f aca="false" t="array" ref="AI508:AI508">INDEX(Matériaux!$C$16:$C$20,$D508)</f>
        <v>20</v>
      </c>
      <c r="AJ508" s="25" t="n">
        <f aca="false">Paramètres!$B$16+(1-Paramètres!$B$16)*(($J508-Paramètres!$B$14)/(Paramètres!$B$15-Paramètres!$B$14))^Paramètres!$B$17</f>
        <v>0.140847925475674</v>
      </c>
    </row>
    <row r="509" customFormat="false" ht="15.75" hidden="false" customHeight="true" outlineLevel="0" collapsed="false">
      <c r="A509" s="14" t="s">
        <v>625</v>
      </c>
      <c r="B509" s="15" t="s">
        <v>29</v>
      </c>
      <c r="C509" s="15" t="s">
        <v>305</v>
      </c>
      <c r="D509" s="16" t="n">
        <v>2</v>
      </c>
      <c r="E509" s="15" t="str">
        <f aca="false" t="array" ref="E509:E509">INDEX(Matériaux!$B$5:$F$12,MATCH(INDEX(Profils!$E$5:$E$34,$AE509),Matériaux!$A$5:$A$12,0),$D509)</f>
        <v>argent</v>
      </c>
      <c r="F509" s="26" t="s">
        <v>111</v>
      </c>
      <c r="G509" s="10" t="str">
        <f aca="false" t="array" ref="G509:G509">INDEX(Profils!$D$5:$D$34,$AE509)&amp;" en "&amp;$E509</f>
        <v>Sceau en argent</v>
      </c>
      <c r="H509" s="16" t="n">
        <f aca="false" t="array" ref="H509:H509">INDEX(Matériaux!$B$16:$B$20,$D509)</f>
        <v>15</v>
      </c>
      <c r="I509" s="16" t="n">
        <f aca="false">IF(ISNUMBER($C$3),MIN(MAX(0,ROUND($C$3,0)),$AI509),$AI509)</f>
        <v>0</v>
      </c>
      <c r="J509" s="18" t="n">
        <f aca="false">$H509+$I509</f>
        <v>15</v>
      </c>
      <c r="K509" s="15" t="s">
        <v>109</v>
      </c>
      <c r="L509" s="19" t="n">
        <f aca="false" t="array" ref="L509:L509">IF(AND(INDEX(Profils!$F$5:$F$34,$AE509)&gt;0,INDEX(Profils!$U$5:$U$34,$AE509)&lt;=$AH509),ROUND(INDEX(Profils!$F$5:$F$34,$AE509)*Paramètres!$E$22*$AG509*$AJ509,Paramètres!$F$22),0)</f>
        <v>4</v>
      </c>
      <c r="M509" s="19" t="n">
        <f aca="false" t="array" ref="M509:M509">IF(AND(INDEX(Profils!$G$5:$G$34,$AE509)&gt;0,INDEX(Profils!$V$5:$V$34,$AE509)&lt;=$AH509),ROUND(INDEX(Profils!$G$5:$G$34,$AE509)*Paramètres!$E$23*$AG509*$AJ509,Paramètres!$F$23),0)</f>
        <v>0</v>
      </c>
      <c r="N509" s="19" t="n">
        <f aca="false" t="array" ref="N509:N509">IF(AND(INDEX(Profils!$H$5:$H$34,$AE509)&gt;0,INDEX(Profils!$W$5:$W$34,$AE509)&lt;=$AH509),ROUND(INDEX(Profils!$H$5:$H$34,$AE509)*Paramètres!$E$24*$AG509*$AJ509,Paramètres!$F$24),0)</f>
        <v>0</v>
      </c>
      <c r="O509" s="19" t="n">
        <f aca="false" t="array" ref="O509:O509">IF(AND(INDEX(Profils!$I$5:$I$34,$AE509)&gt;0,INDEX(Profils!$X$5:$X$34,$AE509)&lt;=$AH509),ROUND(INDEX(Profils!$I$5:$I$34,$AE509)*Paramètres!$E$25*$AG509*$AJ509,Paramètres!$F$25),0)</f>
        <v>0</v>
      </c>
      <c r="P509" s="19" t="n">
        <f aca="false" t="array" ref="P509:P509">IF(AND(INDEX(Profils!$J$5:$J$34,$AE509)&gt;0,INDEX(Profils!$Y$5:$Y$34,$AE509)&lt;=$AH509),ROUND(INDEX(Profils!$J$5:$J$34,$AE509)*Paramètres!$E$26*$AG509*$AJ509,Paramètres!$F$26),0)</f>
        <v>0</v>
      </c>
      <c r="Q509" s="19" t="n">
        <f aca="false" t="array" ref="Q509:Q509">IF(AND(INDEX(Profils!$K$5:$K$34,$AE509)&gt;0,INDEX(Profils!$Z$5:$Z$34,$AE509)&lt;=$AH509),ROUND(INDEX(Profils!$K$5:$K$34,$AE509)*Paramètres!$E$27*$AG509*$AJ509,Paramètres!$F$27),0)</f>
        <v>0</v>
      </c>
      <c r="R509" s="20" t="n">
        <f aca="false" t="array" ref="R509:R509">IF(AND(INDEX(Profils!$L$5:$L$34,$AE509)&gt;0,INDEX(Profils!$AA$5:$AA$34,$AE509)&lt;=$AH509),ROUND(INDEX(Profils!$L$5:$L$34,$AE509)*Paramètres!$E$28*$AG509*$AJ509,Paramètres!$F$28),0)</f>
        <v>0</v>
      </c>
      <c r="S509" s="20" t="n">
        <f aca="false" t="array" ref="S509:S509">IF(AND(INDEX(Profils!$M$5:$M$34,$AE509)&gt;0,INDEX(Profils!$AB$5:$AB$34,$AE509)&lt;=$AH509),ROUND(INDEX(Profils!$M$5:$M$34,$AE509)*Paramètres!$E$29*$AG509*$AJ509,Paramètres!$F$29),0)</f>
        <v>0</v>
      </c>
      <c r="T509" s="20" t="n">
        <f aca="false" t="array" ref="T509:T509">IF(AND(INDEX(Profils!$N$5:$N$34,$AE509)&gt;0,INDEX(Profils!$AC$5:$AC$34,$AE509)&lt;=$AH509),ROUND(INDEX(Profils!$N$5:$N$34,$AE509)*Paramètres!$E$30*$AG509*$AJ509,Paramètres!$F$30),0)</f>
        <v>0</v>
      </c>
      <c r="U509" s="19" t="n">
        <f aca="false" t="array" ref="U509:U509">IF(AND(INDEX(Profils!$O$5:$O$34,$AE509)&gt;0,INDEX(Profils!$AD$5:$AD$34,$AE509)&lt;=$AH509),ROUND(INDEX(Profils!$O$5:$O$34,$AE509)*Paramètres!$E$31*$AG509*$AJ509,Paramètres!$F$31),0)</f>
        <v>0</v>
      </c>
      <c r="V509" s="20" t="n">
        <f aca="false" t="array" ref="V509:V509">IF(AND(INDEX(Profils!$P$5:$P$34,$AE509)&gt;0,INDEX(Profils!$AE$5:$AE$34,$AE509)&lt;=$AH509),ROUND(INDEX(Profils!$P$5:$P$34,$AE509)*Paramètres!$E$32*$AG509*$AJ509,Paramètres!$F$32),0)</f>
        <v>0</v>
      </c>
      <c r="W509" s="20" t="n">
        <f aca="false" t="array" ref="W509:W509">IF(AND(INDEX(Profils!$Q$5:$Q$34,$AE509)&gt;0,INDEX(Profils!$AF$5:$AF$34,$AE509)&lt;=$AH509),ROUND(INDEX(Profils!$Q$5:$Q$34,$AE509)*Paramètres!$E$33*$AG509*$AJ509,Paramètres!$F$33),0)</f>
        <v>0.003</v>
      </c>
      <c r="X509" s="20" t="n">
        <f aca="false" t="array" ref="X509:X509">IF(AND(INDEX(Profils!$R$5:$R$34,$AE509)&gt;0,INDEX(Profils!$AG$5:$AG$34,$AE509)&lt;=$AH509),ROUND(INDEX(Profils!$R$5:$R$34,$AE509)*Paramètres!$E$34*$AG509*$AJ509,Paramètres!$F$34),0)</f>
        <v>0</v>
      </c>
      <c r="Y509" s="20" t="n">
        <f aca="false" t="array" ref="Y509:Y509">IF(AND(INDEX(Profils!$S$5:$S$34,$AE509)&gt;0,INDEX(Profils!$AH$5:$AH$34,$AE509)&lt;=$AH509),ROUND(INDEX(Profils!$S$5:$S$34,$AE509)*Paramètres!$E$35*$AG509*$AJ509,Paramètres!$F$35),0)</f>
        <v>0.003</v>
      </c>
      <c r="Z509" s="21" t="n">
        <f aca="false">ROUND(L509/Paramètres!$E$22+M509/Paramètres!$E$23+N509/Paramètres!$E$24+O509/Paramètres!$E$25+P509/Paramètres!$E$26+Q509/Paramètres!$E$27+R509/Paramètres!$E$28+S509/Paramètres!$E$29+T509/Paramètres!$E$30+U509/Paramètres!$E$31+V509/Paramètres!$E$32+W509/Paramètres!$E$33+X509/Paramètres!$E$34+Y509/Paramètres!$E$35,1)</f>
        <v>0.6</v>
      </c>
      <c r="AA509" s="22" t="s">
        <v>109</v>
      </c>
      <c r="AB509" s="22" t="s">
        <v>109</v>
      </c>
      <c r="AC509" s="15" t="str">
        <f aca="false">$E509</f>
        <v>argent</v>
      </c>
      <c r="AD509" s="16" t="n">
        <f aca="false" t="array" ref="AD509:AD509">IF($I509&gt;=$AI509,"Max",ROUND(Paramètres!$B$40*($I509+1)^Paramètres!$B$41*INDEX(Paramètres!$H$6:$H$12,$AF509),0))</f>
        <v>4</v>
      </c>
      <c r="AE509" s="23" t="n">
        <f aca="false">MATCH($B509&amp;"|"&amp;$C509,Profils!$A$5:$A$34,0)</f>
        <v>17</v>
      </c>
      <c r="AF509" s="23" t="n">
        <v>2</v>
      </c>
      <c r="AG509" s="24" t="n">
        <f aca="false" t="array" ref="AG509:AG509">INDEX(Paramètres!$C$6:$C$12,$AF509)</f>
        <v>1.2</v>
      </c>
      <c r="AH509" s="23" t="n">
        <f aca="false" t="array" ref="AH509:AH509">INDEX(Paramètres!$D$6:$D$12,$AF509)</f>
        <v>3</v>
      </c>
      <c r="AI509" s="23" t="n">
        <f aca="false" t="array" ref="AI509:AI509">INDEX(Matériaux!$C$16:$C$20,$D509)</f>
        <v>20</v>
      </c>
      <c r="AJ509" s="25" t="n">
        <f aca="false">Paramètres!$B$16+(1-Paramètres!$B$16)*(($J509-Paramètres!$B$14)/(Paramètres!$B$15-Paramètres!$B$14))^Paramètres!$B$17</f>
        <v>0.140847925475674</v>
      </c>
    </row>
    <row r="510" customFormat="false" ht="15.75" hidden="false" customHeight="true" outlineLevel="0" collapsed="false">
      <c r="A510" s="14" t="s">
        <v>626</v>
      </c>
      <c r="B510" s="15" t="s">
        <v>29</v>
      </c>
      <c r="C510" s="15" t="s">
        <v>305</v>
      </c>
      <c r="D510" s="16" t="n">
        <v>2</v>
      </c>
      <c r="E510" s="15" t="str">
        <f aca="false" t="array" ref="E510:E510">INDEX(Matériaux!$B$5:$F$12,MATCH(INDEX(Profils!$E$5:$E$34,$AE510),Matériaux!$A$5:$A$12,0),$D510)</f>
        <v>argent</v>
      </c>
      <c r="F510" s="27" t="s">
        <v>113</v>
      </c>
      <c r="G510" s="10" t="str">
        <f aca="false" t="array" ref="G510:G510">INDEX(Profils!$D$5:$D$34,$AE510)&amp;" en "&amp;$E510</f>
        <v>Sceau en argent</v>
      </c>
      <c r="H510" s="16" t="n">
        <f aca="false" t="array" ref="H510:H510">INDEX(Matériaux!$B$16:$B$20,$D510)</f>
        <v>15</v>
      </c>
      <c r="I510" s="16" t="n">
        <f aca="false">IF(ISNUMBER($C$3),MIN(MAX(0,ROUND($C$3,0)),$AI510),$AI510)</f>
        <v>0</v>
      </c>
      <c r="J510" s="18" t="n">
        <f aca="false">$H510+$I510</f>
        <v>15</v>
      </c>
      <c r="K510" s="15" t="s">
        <v>109</v>
      </c>
      <c r="L510" s="19" t="n">
        <f aca="false" t="array" ref="L510:L510">IF(AND(INDEX(Profils!$F$5:$F$34,$AE510)&gt;0,INDEX(Profils!$U$5:$U$34,$AE510)&lt;=$AH510),ROUND(INDEX(Profils!$F$5:$F$34,$AE510)*Paramètres!$E$22*$AG510*$AJ510,Paramètres!$F$22),0)</f>
        <v>5</v>
      </c>
      <c r="M510" s="19" t="n">
        <f aca="false" t="array" ref="M510:M510">IF(AND(INDEX(Profils!$G$5:$G$34,$AE510)&gt;0,INDEX(Profils!$V$5:$V$34,$AE510)&lt;=$AH510),ROUND(INDEX(Profils!$G$5:$G$34,$AE510)*Paramètres!$E$23*$AG510*$AJ510,Paramètres!$F$23),0)</f>
        <v>0</v>
      </c>
      <c r="N510" s="19" t="n">
        <f aca="false" t="array" ref="N510:N510">IF(AND(INDEX(Profils!$H$5:$H$34,$AE510)&gt;0,INDEX(Profils!$W$5:$W$34,$AE510)&lt;=$AH510),ROUND(INDEX(Profils!$H$5:$H$34,$AE510)*Paramètres!$E$24*$AG510*$AJ510,Paramètres!$F$24),0)</f>
        <v>0</v>
      </c>
      <c r="O510" s="19" t="n">
        <f aca="false" t="array" ref="O510:O510">IF(AND(INDEX(Profils!$I$5:$I$34,$AE510)&gt;0,INDEX(Profils!$X$5:$X$34,$AE510)&lt;=$AH510),ROUND(INDEX(Profils!$I$5:$I$34,$AE510)*Paramètres!$E$25*$AG510*$AJ510,Paramètres!$F$25),0)</f>
        <v>0</v>
      </c>
      <c r="P510" s="19" t="n">
        <f aca="false" t="array" ref="P510:P510">IF(AND(INDEX(Profils!$J$5:$J$34,$AE510)&gt;0,INDEX(Profils!$Y$5:$Y$34,$AE510)&lt;=$AH510),ROUND(INDEX(Profils!$J$5:$J$34,$AE510)*Paramètres!$E$26*$AG510*$AJ510,Paramètres!$F$26),0)</f>
        <v>0</v>
      </c>
      <c r="Q510" s="19" t="n">
        <f aca="false" t="array" ref="Q510:Q510">IF(AND(INDEX(Profils!$K$5:$K$34,$AE510)&gt;0,INDEX(Profils!$Z$5:$Z$34,$AE510)&lt;=$AH510),ROUND(INDEX(Profils!$K$5:$K$34,$AE510)*Paramètres!$E$27*$AG510*$AJ510,Paramètres!$F$27),0)</f>
        <v>0</v>
      </c>
      <c r="R510" s="20" t="n">
        <f aca="false" t="array" ref="R510:R510">IF(AND(INDEX(Profils!$L$5:$L$34,$AE510)&gt;0,INDEX(Profils!$AA$5:$AA$34,$AE510)&lt;=$AH510),ROUND(INDEX(Profils!$L$5:$L$34,$AE510)*Paramètres!$E$28*$AG510*$AJ510,Paramètres!$F$28),0)</f>
        <v>0</v>
      </c>
      <c r="S510" s="20" t="n">
        <f aca="false" t="array" ref="S510:S510">IF(AND(INDEX(Profils!$M$5:$M$34,$AE510)&gt;0,INDEX(Profils!$AB$5:$AB$34,$AE510)&lt;=$AH510),ROUND(INDEX(Profils!$M$5:$M$34,$AE510)*Paramètres!$E$29*$AG510*$AJ510,Paramètres!$F$29),0)</f>
        <v>0</v>
      </c>
      <c r="T510" s="20" t="n">
        <f aca="false" t="array" ref="T510:T510">IF(AND(INDEX(Profils!$N$5:$N$34,$AE510)&gt;0,INDEX(Profils!$AC$5:$AC$34,$AE510)&lt;=$AH510),ROUND(INDEX(Profils!$N$5:$N$34,$AE510)*Paramètres!$E$30*$AG510*$AJ510,Paramètres!$F$30),0)</f>
        <v>0</v>
      </c>
      <c r="U510" s="19" t="n">
        <f aca="false" t="array" ref="U510:U510">IF(AND(INDEX(Profils!$O$5:$O$34,$AE510)&gt;0,INDEX(Profils!$AD$5:$AD$34,$AE510)&lt;=$AH510),ROUND(INDEX(Profils!$O$5:$O$34,$AE510)*Paramètres!$E$31*$AG510*$AJ510,Paramètres!$F$31),0)</f>
        <v>0</v>
      </c>
      <c r="V510" s="20" t="n">
        <f aca="false" t="array" ref="V510:V510">IF(AND(INDEX(Profils!$P$5:$P$34,$AE510)&gt;0,INDEX(Profils!$AE$5:$AE$34,$AE510)&lt;=$AH510),ROUND(INDEX(Profils!$P$5:$P$34,$AE510)*Paramètres!$E$32*$AG510*$AJ510,Paramètres!$F$32),0)</f>
        <v>0</v>
      </c>
      <c r="W510" s="20" t="n">
        <f aca="false" t="array" ref="W510:W510">IF(AND(INDEX(Profils!$Q$5:$Q$34,$AE510)&gt;0,INDEX(Profils!$AF$5:$AF$34,$AE510)&lt;=$AH510),ROUND(INDEX(Profils!$Q$5:$Q$34,$AE510)*Paramètres!$E$33*$AG510*$AJ510,Paramètres!$F$33),0)</f>
        <v>0.003</v>
      </c>
      <c r="X510" s="20" t="n">
        <f aca="false" t="array" ref="X510:X510">IF(AND(INDEX(Profils!$R$5:$R$34,$AE510)&gt;0,INDEX(Profils!$AG$5:$AG$34,$AE510)&lt;=$AH510),ROUND(INDEX(Profils!$R$5:$R$34,$AE510)*Paramètres!$E$34*$AG510*$AJ510,Paramètres!$F$34),0)</f>
        <v>0.003</v>
      </c>
      <c r="Y510" s="20" t="n">
        <f aca="false" t="array" ref="Y510:Y510">IF(AND(INDEX(Profils!$S$5:$S$34,$AE510)&gt;0,INDEX(Profils!$AH$5:$AH$34,$AE510)&lt;=$AH510),ROUND(INDEX(Profils!$S$5:$S$34,$AE510)*Paramètres!$E$35*$AG510*$AJ510,Paramètres!$F$35),0)</f>
        <v>0.003</v>
      </c>
      <c r="Z510" s="21" t="n">
        <f aca="false">ROUND(L510/Paramètres!$E$22+M510/Paramètres!$E$23+N510/Paramètres!$E$24+O510/Paramètres!$E$25+P510/Paramètres!$E$26+Q510/Paramètres!$E$27+R510/Paramètres!$E$28+S510/Paramètres!$E$29+T510/Paramètres!$E$30+U510/Paramètres!$E$31+V510/Paramètres!$E$32+W510/Paramètres!$E$33+X510/Paramètres!$E$34+Y510/Paramètres!$E$35,1)</f>
        <v>0.8</v>
      </c>
      <c r="AA510" s="22" t="s">
        <v>109</v>
      </c>
      <c r="AB510" s="22" t="s">
        <v>109</v>
      </c>
      <c r="AC510" s="15" t="str">
        <f aca="false">$E510</f>
        <v>argent</v>
      </c>
      <c r="AD510" s="16" t="n">
        <f aca="false" t="array" ref="AD510:AD510">IF($I510&gt;=$AI510,"Max",ROUND(Paramètres!$B$40*($I510+1)^Paramètres!$B$41*INDEX(Paramètres!$H$6:$H$12,$AF510),0))</f>
        <v>4</v>
      </c>
      <c r="AE510" s="23" t="n">
        <f aca="false">MATCH($B510&amp;"|"&amp;$C510,Profils!$A$5:$A$34,0)</f>
        <v>17</v>
      </c>
      <c r="AF510" s="23" t="n">
        <v>3</v>
      </c>
      <c r="AG510" s="24" t="n">
        <f aca="false" t="array" ref="AG510:AG510">INDEX(Paramètres!$C$6:$C$12,$AF510)</f>
        <v>1.45</v>
      </c>
      <c r="AH510" s="23" t="n">
        <f aca="false" t="array" ref="AH510:AH510">INDEX(Paramètres!$D$6:$D$12,$AF510)</f>
        <v>4</v>
      </c>
      <c r="AI510" s="23" t="n">
        <f aca="false" t="array" ref="AI510:AI510">INDEX(Matériaux!$C$16:$C$20,$D510)</f>
        <v>20</v>
      </c>
      <c r="AJ510" s="25" t="n">
        <f aca="false">Paramètres!$B$16+(1-Paramètres!$B$16)*(($J510-Paramètres!$B$14)/(Paramètres!$B$15-Paramètres!$B$14))^Paramètres!$B$17</f>
        <v>0.140847925475674</v>
      </c>
    </row>
    <row r="511" customFormat="false" ht="15.75" hidden="false" customHeight="true" outlineLevel="0" collapsed="false">
      <c r="A511" s="14" t="s">
        <v>627</v>
      </c>
      <c r="B511" s="15" t="s">
        <v>29</v>
      </c>
      <c r="C511" s="15" t="s">
        <v>305</v>
      </c>
      <c r="D511" s="16" t="n">
        <v>2</v>
      </c>
      <c r="E511" s="15" t="str">
        <f aca="false" t="array" ref="E511:E511">INDEX(Matériaux!$B$5:$F$12,MATCH(INDEX(Profils!$E$5:$E$34,$AE511),Matériaux!$A$5:$A$12,0),$D511)</f>
        <v>argent</v>
      </c>
      <c r="F511" s="28" t="s">
        <v>115</v>
      </c>
      <c r="G511" s="10" t="str">
        <f aca="false" t="array" ref="G511:G511">INDEX(Profils!$D$5:$D$34,$AE511)&amp;" en "&amp;$E511</f>
        <v>Sceau en argent</v>
      </c>
      <c r="H511" s="16" t="n">
        <f aca="false" t="array" ref="H511:H511">INDEX(Matériaux!$B$16:$B$20,$D511)</f>
        <v>15</v>
      </c>
      <c r="I511" s="16" t="n">
        <f aca="false">IF(ISNUMBER($C$3),MIN(MAX(0,ROUND($C$3,0)),$AI511),$AI511)</f>
        <v>0</v>
      </c>
      <c r="J511" s="18" t="n">
        <f aca="false">$H511+$I511</f>
        <v>15</v>
      </c>
      <c r="K511" s="15" t="s">
        <v>109</v>
      </c>
      <c r="L511" s="19" t="n">
        <f aca="false" t="array" ref="L511:L511">IF(AND(INDEX(Profils!$F$5:$F$34,$AE511)&gt;0,INDEX(Profils!$U$5:$U$34,$AE511)&lt;=$AH511),ROUND(INDEX(Profils!$F$5:$F$34,$AE511)*Paramètres!$E$22*$AG511*$AJ511,Paramètres!$F$22),0)</f>
        <v>6</v>
      </c>
      <c r="M511" s="19" t="n">
        <f aca="false" t="array" ref="M511:M511">IF(AND(INDEX(Profils!$G$5:$G$34,$AE511)&gt;0,INDEX(Profils!$V$5:$V$34,$AE511)&lt;=$AH511),ROUND(INDEX(Profils!$G$5:$G$34,$AE511)*Paramètres!$E$23*$AG511*$AJ511,Paramètres!$F$23),0)</f>
        <v>0</v>
      </c>
      <c r="N511" s="19" t="n">
        <f aca="false" t="array" ref="N511:N511">IF(AND(INDEX(Profils!$H$5:$H$34,$AE511)&gt;0,INDEX(Profils!$W$5:$W$34,$AE511)&lt;=$AH511),ROUND(INDEX(Profils!$H$5:$H$34,$AE511)*Paramètres!$E$24*$AG511*$AJ511,Paramètres!$F$24),0)</f>
        <v>0</v>
      </c>
      <c r="O511" s="19" t="n">
        <f aca="false" t="array" ref="O511:O511">IF(AND(INDEX(Profils!$I$5:$I$34,$AE511)&gt;0,INDEX(Profils!$X$5:$X$34,$AE511)&lt;=$AH511),ROUND(INDEX(Profils!$I$5:$I$34,$AE511)*Paramètres!$E$25*$AG511*$AJ511,Paramètres!$F$25),0)</f>
        <v>0</v>
      </c>
      <c r="P511" s="19" t="n">
        <f aca="false" t="array" ref="P511:P511">IF(AND(INDEX(Profils!$J$5:$J$34,$AE511)&gt;0,INDEX(Profils!$Y$5:$Y$34,$AE511)&lt;=$AH511),ROUND(INDEX(Profils!$J$5:$J$34,$AE511)*Paramètres!$E$26*$AG511*$AJ511,Paramètres!$F$26),0)</f>
        <v>0</v>
      </c>
      <c r="Q511" s="19" t="n">
        <f aca="false" t="array" ref="Q511:Q511">IF(AND(INDEX(Profils!$K$5:$K$34,$AE511)&gt;0,INDEX(Profils!$Z$5:$Z$34,$AE511)&lt;=$AH511),ROUND(INDEX(Profils!$K$5:$K$34,$AE511)*Paramètres!$E$27*$AG511*$AJ511,Paramètres!$F$27),0)</f>
        <v>2</v>
      </c>
      <c r="R511" s="20" t="n">
        <f aca="false" t="array" ref="R511:R511">IF(AND(INDEX(Profils!$L$5:$L$34,$AE511)&gt;0,INDEX(Profils!$AA$5:$AA$34,$AE511)&lt;=$AH511),ROUND(INDEX(Profils!$L$5:$L$34,$AE511)*Paramètres!$E$28*$AG511*$AJ511,Paramètres!$F$28),0)</f>
        <v>0</v>
      </c>
      <c r="S511" s="20" t="n">
        <f aca="false" t="array" ref="S511:S511">IF(AND(INDEX(Profils!$M$5:$M$34,$AE511)&gt;0,INDEX(Profils!$AB$5:$AB$34,$AE511)&lt;=$AH511),ROUND(INDEX(Profils!$M$5:$M$34,$AE511)*Paramètres!$E$29*$AG511*$AJ511,Paramètres!$F$29),0)</f>
        <v>0</v>
      </c>
      <c r="T511" s="20" t="n">
        <f aca="false" t="array" ref="T511:T511">IF(AND(INDEX(Profils!$N$5:$N$34,$AE511)&gt;0,INDEX(Profils!$AC$5:$AC$34,$AE511)&lt;=$AH511),ROUND(INDEX(Profils!$N$5:$N$34,$AE511)*Paramètres!$E$30*$AG511*$AJ511,Paramètres!$F$30),0)</f>
        <v>0</v>
      </c>
      <c r="U511" s="19" t="n">
        <f aca="false" t="array" ref="U511:U511">IF(AND(INDEX(Profils!$O$5:$O$34,$AE511)&gt;0,INDEX(Profils!$AD$5:$AD$34,$AE511)&lt;=$AH511),ROUND(INDEX(Profils!$O$5:$O$34,$AE511)*Paramètres!$E$31*$AG511*$AJ511,Paramètres!$F$31),0)</f>
        <v>0</v>
      </c>
      <c r="V511" s="20" t="n">
        <f aca="false" t="array" ref="V511:V511">IF(AND(INDEX(Profils!$P$5:$P$34,$AE511)&gt;0,INDEX(Profils!$AE$5:$AE$34,$AE511)&lt;=$AH511),ROUND(INDEX(Profils!$P$5:$P$34,$AE511)*Paramètres!$E$32*$AG511*$AJ511,Paramètres!$F$32),0)</f>
        <v>0</v>
      </c>
      <c r="W511" s="20" t="n">
        <f aca="false" t="array" ref="W511:W511">IF(AND(INDEX(Profils!$Q$5:$Q$34,$AE511)&gt;0,INDEX(Profils!$AF$5:$AF$34,$AE511)&lt;=$AH511),ROUND(INDEX(Profils!$Q$5:$Q$34,$AE511)*Paramètres!$E$33*$AG511*$AJ511,Paramètres!$F$33),0)</f>
        <v>0.004</v>
      </c>
      <c r="X511" s="20" t="n">
        <f aca="false" t="array" ref="X511:X511">IF(AND(INDEX(Profils!$R$5:$R$34,$AE511)&gt;0,INDEX(Profils!$AG$5:$AG$34,$AE511)&lt;=$AH511),ROUND(INDEX(Profils!$R$5:$R$34,$AE511)*Paramètres!$E$34*$AG511*$AJ511,Paramètres!$F$34),0)</f>
        <v>0.004</v>
      </c>
      <c r="Y511" s="20" t="n">
        <f aca="false" t="array" ref="Y511:Y511">IF(AND(INDEX(Profils!$S$5:$S$34,$AE511)&gt;0,INDEX(Profils!$AH$5:$AH$34,$AE511)&lt;=$AH511),ROUND(INDEX(Profils!$S$5:$S$34,$AE511)*Paramètres!$E$35*$AG511*$AJ511,Paramètres!$F$35),0)</f>
        <v>0.004</v>
      </c>
      <c r="Z511" s="21" t="n">
        <f aca="false">ROUND(L511/Paramètres!$E$22+M511/Paramètres!$E$23+N511/Paramètres!$E$24+O511/Paramètres!$E$25+P511/Paramètres!$E$26+Q511/Paramètres!$E$27+R511/Paramètres!$E$28+S511/Paramètres!$E$29+T511/Paramètres!$E$30+U511/Paramètres!$E$31+V511/Paramètres!$E$32+W511/Paramètres!$E$33+X511/Paramètres!$E$34+Y511/Paramètres!$E$35,1)</f>
        <v>1.2</v>
      </c>
      <c r="AA511" s="22" t="s">
        <v>109</v>
      </c>
      <c r="AB511" s="22" t="s">
        <v>109</v>
      </c>
      <c r="AC511" s="15" t="str">
        <f aca="false">$E511</f>
        <v>argent</v>
      </c>
      <c r="AD511" s="16" t="n">
        <f aca="false" t="array" ref="AD511:AD511">IF($I511&gt;=$AI511,"Max",ROUND(Paramètres!$B$40*($I511+1)^Paramètres!$B$41*INDEX(Paramètres!$H$6:$H$12,$AF511),0))</f>
        <v>5</v>
      </c>
      <c r="AE511" s="23" t="n">
        <f aca="false">MATCH($B511&amp;"|"&amp;$C511,Profils!$A$5:$A$34,0)</f>
        <v>17</v>
      </c>
      <c r="AF511" s="23" t="n">
        <v>4</v>
      </c>
      <c r="AG511" s="24" t="n">
        <f aca="false" t="array" ref="AG511:AG511">INDEX(Paramètres!$C$6:$C$12,$AF511)</f>
        <v>1.75</v>
      </c>
      <c r="AH511" s="23" t="n">
        <f aca="false" t="array" ref="AH511:AH511">INDEX(Paramètres!$D$6:$D$12,$AF511)</f>
        <v>5</v>
      </c>
      <c r="AI511" s="23" t="n">
        <f aca="false" t="array" ref="AI511:AI511">INDEX(Matériaux!$C$16:$C$20,$D511)</f>
        <v>20</v>
      </c>
      <c r="AJ511" s="25" t="n">
        <f aca="false">Paramètres!$B$16+(1-Paramètres!$B$16)*(($J511-Paramètres!$B$14)/(Paramètres!$B$15-Paramètres!$B$14))^Paramètres!$B$17</f>
        <v>0.140847925475674</v>
      </c>
    </row>
    <row r="512" customFormat="false" ht="15.75" hidden="false" customHeight="true" outlineLevel="0" collapsed="false">
      <c r="A512" s="14" t="s">
        <v>628</v>
      </c>
      <c r="B512" s="15" t="s">
        <v>29</v>
      </c>
      <c r="C512" s="15" t="s">
        <v>305</v>
      </c>
      <c r="D512" s="16" t="n">
        <v>2</v>
      </c>
      <c r="E512" s="15" t="str">
        <f aca="false" t="array" ref="E512:E512">INDEX(Matériaux!$B$5:$F$12,MATCH(INDEX(Profils!$E$5:$E$34,$AE512),Matériaux!$A$5:$A$12,0),$D512)</f>
        <v>argent</v>
      </c>
      <c r="F512" s="29" t="s">
        <v>117</v>
      </c>
      <c r="G512" s="10" t="str">
        <f aca="false" t="array" ref="G512:G512">INDEX(Profils!$D$5:$D$34,$AE512)&amp;" en "&amp;$E512</f>
        <v>Sceau en argent</v>
      </c>
      <c r="H512" s="16" t="n">
        <f aca="false" t="array" ref="H512:H512">INDEX(Matériaux!$B$16:$B$20,$D512)</f>
        <v>15</v>
      </c>
      <c r="I512" s="16" t="n">
        <f aca="false">IF(ISNUMBER($C$3),MIN(MAX(0,ROUND($C$3,0)),$AI512),$AI512)</f>
        <v>0</v>
      </c>
      <c r="J512" s="18" t="n">
        <f aca="false">$H512+$I512</f>
        <v>15</v>
      </c>
      <c r="K512" s="15" t="s">
        <v>109</v>
      </c>
      <c r="L512" s="19" t="n">
        <f aca="false" t="array" ref="L512:L512">IF(AND(INDEX(Profils!$F$5:$F$34,$AE512)&gt;0,INDEX(Profils!$U$5:$U$34,$AE512)&lt;=$AH512),ROUND(INDEX(Profils!$F$5:$F$34,$AE512)*Paramètres!$E$22*$AG512*$AJ512,Paramètres!$F$22),0)</f>
        <v>7</v>
      </c>
      <c r="M512" s="19" t="n">
        <f aca="false" t="array" ref="M512:M512">IF(AND(INDEX(Profils!$G$5:$G$34,$AE512)&gt;0,INDEX(Profils!$V$5:$V$34,$AE512)&lt;=$AH512),ROUND(INDEX(Profils!$G$5:$G$34,$AE512)*Paramètres!$E$23*$AG512*$AJ512,Paramètres!$F$23),0)</f>
        <v>0</v>
      </c>
      <c r="N512" s="19" t="n">
        <f aca="false" t="array" ref="N512:N512">IF(AND(INDEX(Profils!$H$5:$H$34,$AE512)&gt;0,INDEX(Profils!$W$5:$W$34,$AE512)&lt;=$AH512),ROUND(INDEX(Profils!$H$5:$H$34,$AE512)*Paramètres!$E$24*$AG512*$AJ512,Paramètres!$F$24),0)</f>
        <v>0</v>
      </c>
      <c r="O512" s="19" t="n">
        <f aca="false" t="array" ref="O512:O512">IF(AND(INDEX(Profils!$I$5:$I$34,$AE512)&gt;0,INDEX(Profils!$X$5:$X$34,$AE512)&lt;=$AH512),ROUND(INDEX(Profils!$I$5:$I$34,$AE512)*Paramètres!$E$25*$AG512*$AJ512,Paramètres!$F$25),0)</f>
        <v>3</v>
      </c>
      <c r="P512" s="19" t="n">
        <f aca="false" t="array" ref="P512:P512">IF(AND(INDEX(Profils!$J$5:$J$34,$AE512)&gt;0,INDEX(Profils!$Y$5:$Y$34,$AE512)&lt;=$AH512),ROUND(INDEX(Profils!$J$5:$J$34,$AE512)*Paramètres!$E$26*$AG512*$AJ512,Paramètres!$F$26),0)</f>
        <v>0</v>
      </c>
      <c r="Q512" s="19" t="n">
        <f aca="false" t="array" ref="Q512:Q512">IF(AND(INDEX(Profils!$K$5:$K$34,$AE512)&gt;0,INDEX(Profils!$Z$5:$Z$34,$AE512)&lt;=$AH512),ROUND(INDEX(Profils!$K$5:$K$34,$AE512)*Paramètres!$E$27*$AG512*$AJ512,Paramètres!$F$27),0)</f>
        <v>2</v>
      </c>
      <c r="R512" s="20" t="n">
        <f aca="false" t="array" ref="R512:R512">IF(AND(INDEX(Profils!$L$5:$L$34,$AE512)&gt;0,INDEX(Profils!$AA$5:$AA$34,$AE512)&lt;=$AH512),ROUND(INDEX(Profils!$L$5:$L$34,$AE512)*Paramètres!$E$28*$AG512*$AJ512,Paramètres!$F$28),0)</f>
        <v>0</v>
      </c>
      <c r="S512" s="20" t="n">
        <f aca="false" t="array" ref="S512:S512">IF(AND(INDEX(Profils!$M$5:$M$34,$AE512)&gt;0,INDEX(Profils!$AB$5:$AB$34,$AE512)&lt;=$AH512),ROUND(INDEX(Profils!$M$5:$M$34,$AE512)*Paramètres!$E$29*$AG512*$AJ512,Paramètres!$F$29),0)</f>
        <v>0</v>
      </c>
      <c r="T512" s="20" t="n">
        <f aca="false" t="array" ref="T512:T512">IF(AND(INDEX(Profils!$N$5:$N$34,$AE512)&gt;0,INDEX(Profils!$AC$5:$AC$34,$AE512)&lt;=$AH512),ROUND(INDEX(Profils!$N$5:$N$34,$AE512)*Paramètres!$E$30*$AG512*$AJ512,Paramètres!$F$30),0)</f>
        <v>0</v>
      </c>
      <c r="U512" s="19" t="n">
        <f aca="false" t="array" ref="U512:U512">IF(AND(INDEX(Profils!$O$5:$O$34,$AE512)&gt;0,INDEX(Profils!$AD$5:$AD$34,$AE512)&lt;=$AH512),ROUND(INDEX(Profils!$O$5:$O$34,$AE512)*Paramètres!$E$31*$AG512*$AJ512,Paramètres!$F$31),0)</f>
        <v>0</v>
      </c>
      <c r="V512" s="20" t="n">
        <f aca="false" t="array" ref="V512:V512">IF(AND(INDEX(Profils!$P$5:$P$34,$AE512)&gt;0,INDEX(Profils!$AE$5:$AE$34,$AE512)&lt;=$AH512),ROUND(INDEX(Profils!$P$5:$P$34,$AE512)*Paramètres!$E$32*$AG512*$AJ512,Paramètres!$F$32),0)</f>
        <v>0</v>
      </c>
      <c r="W512" s="20" t="n">
        <f aca="false" t="array" ref="W512:W512">IF(AND(INDEX(Profils!$Q$5:$Q$34,$AE512)&gt;0,INDEX(Profils!$AF$5:$AF$34,$AE512)&lt;=$AH512),ROUND(INDEX(Profils!$Q$5:$Q$34,$AE512)*Paramètres!$E$33*$AG512*$AJ512,Paramètres!$F$33),0)</f>
        <v>0.004</v>
      </c>
      <c r="X512" s="20" t="n">
        <f aca="false" t="array" ref="X512:X512">IF(AND(INDEX(Profils!$R$5:$R$34,$AE512)&gt;0,INDEX(Profils!$AG$5:$AG$34,$AE512)&lt;=$AH512),ROUND(INDEX(Profils!$R$5:$R$34,$AE512)*Paramètres!$E$34*$AG512*$AJ512,Paramètres!$F$34),0)</f>
        <v>0.005</v>
      </c>
      <c r="Y512" s="20" t="n">
        <f aca="false" t="array" ref="Y512:Y512">IF(AND(INDEX(Profils!$S$5:$S$34,$AE512)&gt;0,INDEX(Profils!$AH$5:$AH$34,$AE512)&lt;=$AH512),ROUND(INDEX(Profils!$S$5:$S$34,$AE512)*Paramètres!$E$35*$AG512*$AJ512,Paramètres!$F$35),0)</f>
        <v>0.004</v>
      </c>
      <c r="Z512" s="21" t="n">
        <f aca="false">ROUND(L512/Paramètres!$E$22+M512/Paramètres!$E$23+N512/Paramètres!$E$24+O512/Paramètres!$E$25+P512/Paramètres!$E$26+Q512/Paramètres!$E$27+R512/Paramètres!$E$28+S512/Paramètres!$E$29+T512/Paramètres!$E$30+U512/Paramètres!$E$31+V512/Paramètres!$E$32+W512/Paramètres!$E$33+X512/Paramètres!$E$34+Y512/Paramètres!$E$35,1)</f>
        <v>1.5</v>
      </c>
      <c r="AA512" s="22" t="s">
        <v>109</v>
      </c>
      <c r="AB512" s="22" t="s">
        <v>109</v>
      </c>
      <c r="AC512" s="15" t="str">
        <f aca="false">$E512</f>
        <v>argent</v>
      </c>
      <c r="AD512" s="16" t="n">
        <f aca="false" t="array" ref="AD512:AD512">IF($I512&gt;=$AI512,"Max",ROUND(Paramètres!$B$40*($I512+1)^Paramètres!$B$41*INDEX(Paramètres!$H$6:$H$12,$AF512),0))</f>
        <v>6</v>
      </c>
      <c r="AE512" s="23" t="n">
        <f aca="false">MATCH($B512&amp;"|"&amp;$C512,Profils!$A$5:$A$34,0)</f>
        <v>17</v>
      </c>
      <c r="AF512" s="23" t="n">
        <v>5</v>
      </c>
      <c r="AG512" s="24" t="n">
        <f aca="false" t="array" ref="AG512:AG512">INDEX(Paramètres!$C$6:$C$12,$AF512)</f>
        <v>2.1</v>
      </c>
      <c r="AH512" s="23" t="n">
        <f aca="false" t="array" ref="AH512:AH512">INDEX(Paramètres!$D$6:$D$12,$AF512)</f>
        <v>6</v>
      </c>
      <c r="AI512" s="23" t="n">
        <f aca="false" t="array" ref="AI512:AI512">INDEX(Matériaux!$C$16:$C$20,$D512)</f>
        <v>20</v>
      </c>
      <c r="AJ512" s="25" t="n">
        <f aca="false">Paramètres!$B$16+(1-Paramètres!$B$16)*(($J512-Paramètres!$B$14)/(Paramètres!$B$15-Paramètres!$B$14))^Paramètres!$B$17</f>
        <v>0.140847925475674</v>
      </c>
    </row>
    <row r="513" customFormat="false" ht="15.75" hidden="false" customHeight="true" outlineLevel="0" collapsed="false">
      <c r="A513" s="14" t="s">
        <v>629</v>
      </c>
      <c r="B513" s="15" t="s">
        <v>29</v>
      </c>
      <c r="C513" s="15" t="s">
        <v>305</v>
      </c>
      <c r="D513" s="16" t="n">
        <v>2</v>
      </c>
      <c r="E513" s="15" t="str">
        <f aca="false" t="array" ref="E513:E513">INDEX(Matériaux!$B$5:$F$12,MATCH(INDEX(Profils!$E$5:$E$34,$AE513),Matériaux!$A$5:$A$12,0),$D513)</f>
        <v>argent</v>
      </c>
      <c r="F513" s="30" t="s">
        <v>119</v>
      </c>
      <c r="G513" s="10" t="str">
        <f aca="false" t="array" ref="G513:G513">INDEX(Profils!$D$5:$D$34,$AE513)&amp;" en "&amp;$E513</f>
        <v>Sceau en argent</v>
      </c>
      <c r="H513" s="16" t="n">
        <f aca="false" t="array" ref="H513:H513">INDEX(Matériaux!$B$16:$B$20,$D513)</f>
        <v>15</v>
      </c>
      <c r="I513" s="16" t="n">
        <f aca="false">IF(ISNUMBER($C$3),MIN(MAX(0,ROUND($C$3,0)),$AI513),$AI513)</f>
        <v>0</v>
      </c>
      <c r="J513" s="18" t="n">
        <f aca="false">$H513+$I513</f>
        <v>15</v>
      </c>
      <c r="K513" s="15" t="s">
        <v>109</v>
      </c>
      <c r="L513" s="19" t="n">
        <f aca="false" t="array" ref="L513:L513">IF(AND(INDEX(Profils!$F$5:$F$34,$AE513)&gt;0,INDEX(Profils!$U$5:$U$34,$AE513)&lt;=$AH513),ROUND(INDEX(Profils!$F$5:$F$34,$AE513)*Paramètres!$E$22*$AG513*$AJ513,Paramètres!$F$22),0)</f>
        <v>8</v>
      </c>
      <c r="M513" s="19" t="n">
        <f aca="false" t="array" ref="M513:M513">IF(AND(INDEX(Profils!$G$5:$G$34,$AE513)&gt;0,INDEX(Profils!$V$5:$V$34,$AE513)&lt;=$AH513),ROUND(INDEX(Profils!$G$5:$G$34,$AE513)*Paramètres!$E$23*$AG513*$AJ513,Paramètres!$F$23),0)</f>
        <v>0</v>
      </c>
      <c r="N513" s="19" t="n">
        <f aca="false" t="array" ref="N513:N513">IF(AND(INDEX(Profils!$H$5:$H$34,$AE513)&gt;0,INDEX(Profils!$W$5:$W$34,$AE513)&lt;=$AH513),ROUND(INDEX(Profils!$H$5:$H$34,$AE513)*Paramètres!$E$24*$AG513*$AJ513,Paramètres!$F$24),0)</f>
        <v>0</v>
      </c>
      <c r="O513" s="19" t="n">
        <f aca="false" t="array" ref="O513:O513">IF(AND(INDEX(Profils!$I$5:$I$34,$AE513)&gt;0,INDEX(Profils!$X$5:$X$34,$AE513)&lt;=$AH513),ROUND(INDEX(Profils!$I$5:$I$34,$AE513)*Paramètres!$E$25*$AG513*$AJ513,Paramètres!$F$25),0)</f>
        <v>3</v>
      </c>
      <c r="P513" s="19" t="n">
        <f aca="false" t="array" ref="P513:P513">IF(AND(INDEX(Profils!$J$5:$J$34,$AE513)&gt;0,INDEX(Profils!$Y$5:$Y$34,$AE513)&lt;=$AH513),ROUND(INDEX(Profils!$J$5:$J$34,$AE513)*Paramètres!$E$26*$AG513*$AJ513,Paramètres!$F$26),0)</f>
        <v>2</v>
      </c>
      <c r="Q513" s="19" t="n">
        <f aca="false" t="array" ref="Q513:Q513">IF(AND(INDEX(Profils!$K$5:$K$34,$AE513)&gt;0,INDEX(Profils!$Z$5:$Z$34,$AE513)&lt;=$AH513),ROUND(INDEX(Profils!$K$5:$K$34,$AE513)*Paramètres!$E$27*$AG513*$AJ513,Paramètres!$F$27),0)</f>
        <v>2</v>
      </c>
      <c r="R513" s="20" t="n">
        <f aca="false" t="array" ref="R513:R513">IF(AND(INDEX(Profils!$L$5:$L$34,$AE513)&gt;0,INDEX(Profils!$AA$5:$AA$34,$AE513)&lt;=$AH513),ROUND(INDEX(Profils!$L$5:$L$34,$AE513)*Paramètres!$E$28*$AG513*$AJ513,Paramètres!$F$28),0)</f>
        <v>0</v>
      </c>
      <c r="S513" s="20" t="n">
        <f aca="false" t="array" ref="S513:S513">IF(AND(INDEX(Profils!$M$5:$M$34,$AE513)&gt;0,INDEX(Profils!$AB$5:$AB$34,$AE513)&lt;=$AH513),ROUND(INDEX(Profils!$M$5:$M$34,$AE513)*Paramètres!$E$29*$AG513*$AJ513,Paramètres!$F$29),0)</f>
        <v>0</v>
      </c>
      <c r="T513" s="20" t="n">
        <f aca="false" t="array" ref="T513:T513">IF(AND(INDEX(Profils!$N$5:$N$34,$AE513)&gt;0,INDEX(Profils!$AC$5:$AC$34,$AE513)&lt;=$AH513),ROUND(INDEX(Profils!$N$5:$N$34,$AE513)*Paramètres!$E$30*$AG513*$AJ513,Paramètres!$F$30),0)</f>
        <v>0</v>
      </c>
      <c r="U513" s="19" t="n">
        <f aca="false" t="array" ref="U513:U513">IF(AND(INDEX(Profils!$O$5:$O$34,$AE513)&gt;0,INDEX(Profils!$AD$5:$AD$34,$AE513)&lt;=$AH513),ROUND(INDEX(Profils!$O$5:$O$34,$AE513)*Paramètres!$E$31*$AG513*$AJ513,Paramètres!$F$31),0)</f>
        <v>0</v>
      </c>
      <c r="V513" s="20" t="n">
        <f aca="false" t="array" ref="V513:V513">IF(AND(INDEX(Profils!$P$5:$P$34,$AE513)&gt;0,INDEX(Profils!$AE$5:$AE$34,$AE513)&lt;=$AH513),ROUND(INDEX(Profils!$P$5:$P$34,$AE513)*Paramètres!$E$32*$AG513*$AJ513,Paramètres!$F$32),0)</f>
        <v>0</v>
      </c>
      <c r="W513" s="20" t="n">
        <f aca="false" t="array" ref="W513:W513">IF(AND(INDEX(Profils!$Q$5:$Q$34,$AE513)&gt;0,INDEX(Profils!$AF$5:$AF$34,$AE513)&lt;=$AH513),ROUND(INDEX(Profils!$Q$5:$Q$34,$AE513)*Paramètres!$E$33*$AG513*$AJ513,Paramètres!$F$33),0)</f>
        <v>0.005</v>
      </c>
      <c r="X513" s="20" t="n">
        <f aca="false" t="array" ref="X513:X513">IF(AND(INDEX(Profils!$R$5:$R$34,$AE513)&gt;0,INDEX(Profils!$AG$5:$AG$34,$AE513)&lt;=$AH513),ROUND(INDEX(Profils!$R$5:$R$34,$AE513)*Paramètres!$E$34*$AG513*$AJ513,Paramètres!$F$34),0)</f>
        <v>0.005</v>
      </c>
      <c r="Y513" s="20" t="n">
        <f aca="false" t="array" ref="Y513:Y513">IF(AND(INDEX(Profils!$S$5:$S$34,$AE513)&gt;0,INDEX(Profils!$AH$5:$AH$34,$AE513)&lt;=$AH513),ROUND(INDEX(Profils!$S$5:$S$34,$AE513)*Paramètres!$E$35*$AG513*$AJ513,Paramètres!$F$35),0)</f>
        <v>0.005</v>
      </c>
      <c r="Z513" s="21" t="n">
        <f aca="false">ROUND(L513/Paramètres!$E$22+M513/Paramètres!$E$23+N513/Paramètres!$E$24+O513/Paramètres!$E$25+P513/Paramètres!$E$26+Q513/Paramètres!$E$27+R513/Paramètres!$E$28+S513/Paramètres!$E$29+T513/Paramètres!$E$30+U513/Paramètres!$E$31+V513/Paramètres!$E$32+W513/Paramètres!$E$33+X513/Paramètres!$E$34+Y513/Paramètres!$E$35,1)</f>
        <v>1.8</v>
      </c>
      <c r="AA513" s="22" t="s">
        <v>109</v>
      </c>
      <c r="AB513" s="22" t="s">
        <v>109</v>
      </c>
      <c r="AC513" s="15" t="str">
        <f aca="false">$E513</f>
        <v>argent</v>
      </c>
      <c r="AD513" s="16" t="n">
        <f aca="false" t="array" ref="AD513:AD513">IF($I513&gt;=$AI513,"Max",ROUND(Paramètres!$B$40*($I513+1)^Paramètres!$B$41*INDEX(Paramètres!$H$6:$H$12,$AF513),0))</f>
        <v>8</v>
      </c>
      <c r="AE513" s="23" t="n">
        <f aca="false">MATCH($B513&amp;"|"&amp;$C513,Profils!$A$5:$A$34,0)</f>
        <v>17</v>
      </c>
      <c r="AF513" s="23" t="n">
        <v>6</v>
      </c>
      <c r="AG513" s="24" t="n">
        <f aca="false" t="array" ref="AG513:AG513">INDEX(Paramètres!$C$6:$C$12,$AF513)</f>
        <v>2.4</v>
      </c>
      <c r="AH513" s="23" t="n">
        <f aca="false" t="array" ref="AH513:AH513">INDEX(Paramètres!$D$6:$D$12,$AF513)</f>
        <v>7</v>
      </c>
      <c r="AI513" s="23" t="n">
        <f aca="false" t="array" ref="AI513:AI513">INDEX(Matériaux!$C$16:$C$20,$D513)</f>
        <v>20</v>
      </c>
      <c r="AJ513" s="25" t="n">
        <f aca="false">Paramètres!$B$16+(1-Paramètres!$B$16)*(($J513-Paramètres!$B$14)/(Paramètres!$B$15-Paramètres!$B$14))^Paramètres!$B$17</f>
        <v>0.140847925475674</v>
      </c>
    </row>
    <row r="514" customFormat="false" ht="15.75" hidden="false" customHeight="true" outlineLevel="0" collapsed="false">
      <c r="A514" s="14" t="s">
        <v>630</v>
      </c>
      <c r="B514" s="15" t="s">
        <v>29</v>
      </c>
      <c r="C514" s="15" t="s">
        <v>305</v>
      </c>
      <c r="D514" s="16" t="n">
        <v>3</v>
      </c>
      <c r="E514" s="15" t="str">
        <f aca="false" t="array" ref="E514:E514">INDEX(Matériaux!$B$5:$F$12,MATCH(INDEX(Profils!$E$5:$E$34,$AE514),Matériaux!$A$5:$A$12,0),$D514)</f>
        <v>or</v>
      </c>
      <c r="F514" s="17" t="s">
        <v>108</v>
      </c>
      <c r="G514" s="10" t="str">
        <f aca="false" t="array" ref="G514:G514">INDEX(Profils!$D$5:$D$34,$AE514)&amp;" en "&amp;$E514</f>
        <v>Sceau en or</v>
      </c>
      <c r="H514" s="16" t="n">
        <f aca="false" t="array" ref="H514:H514">INDEX(Matériaux!$B$16:$B$20,$D514)</f>
        <v>30</v>
      </c>
      <c r="I514" s="16" t="n">
        <f aca="false">IF(ISNUMBER($C$3),MIN(MAX(0,ROUND($C$3,0)),$AI514),$AI514)</f>
        <v>0</v>
      </c>
      <c r="J514" s="18" t="n">
        <f aca="false">$H514+$I514</f>
        <v>30</v>
      </c>
      <c r="K514" s="15" t="s">
        <v>109</v>
      </c>
      <c r="L514" s="19" t="n">
        <f aca="false" t="array" ref="L514:L514">IF(AND(INDEX(Profils!$F$5:$F$34,$AE514)&gt;0,INDEX(Profils!$U$5:$U$34,$AE514)&lt;=$AH514),ROUND(INDEX(Profils!$F$5:$F$34,$AE514)*Paramètres!$E$22*$AG514*$AJ514,Paramètres!$F$22),0)</f>
        <v>7</v>
      </c>
      <c r="M514" s="19" t="n">
        <f aca="false" t="array" ref="M514:M514">IF(AND(INDEX(Profils!$G$5:$G$34,$AE514)&gt;0,INDEX(Profils!$V$5:$V$34,$AE514)&lt;=$AH514),ROUND(INDEX(Profils!$G$5:$G$34,$AE514)*Paramètres!$E$23*$AG514*$AJ514,Paramètres!$F$23),0)</f>
        <v>0</v>
      </c>
      <c r="N514" s="19" t="n">
        <f aca="false" t="array" ref="N514:N514">IF(AND(INDEX(Profils!$H$5:$H$34,$AE514)&gt;0,INDEX(Profils!$W$5:$W$34,$AE514)&lt;=$AH514),ROUND(INDEX(Profils!$H$5:$H$34,$AE514)*Paramètres!$E$24*$AG514*$AJ514,Paramètres!$F$24),0)</f>
        <v>0</v>
      </c>
      <c r="O514" s="19" t="n">
        <f aca="false" t="array" ref="O514:O514">IF(AND(INDEX(Profils!$I$5:$I$34,$AE514)&gt;0,INDEX(Profils!$X$5:$X$34,$AE514)&lt;=$AH514),ROUND(INDEX(Profils!$I$5:$I$34,$AE514)*Paramètres!$E$25*$AG514*$AJ514,Paramètres!$F$25),0)</f>
        <v>0</v>
      </c>
      <c r="P514" s="19" t="n">
        <f aca="false" t="array" ref="P514:P514">IF(AND(INDEX(Profils!$J$5:$J$34,$AE514)&gt;0,INDEX(Profils!$Y$5:$Y$34,$AE514)&lt;=$AH514),ROUND(INDEX(Profils!$J$5:$J$34,$AE514)*Paramètres!$E$26*$AG514*$AJ514,Paramètres!$F$26),0)</f>
        <v>0</v>
      </c>
      <c r="Q514" s="19" t="n">
        <f aca="false" t="array" ref="Q514:Q514">IF(AND(INDEX(Profils!$K$5:$K$34,$AE514)&gt;0,INDEX(Profils!$Z$5:$Z$34,$AE514)&lt;=$AH514),ROUND(INDEX(Profils!$K$5:$K$34,$AE514)*Paramètres!$E$27*$AG514*$AJ514,Paramètres!$F$27),0)</f>
        <v>0</v>
      </c>
      <c r="R514" s="20" t="n">
        <f aca="false" t="array" ref="R514:R514">IF(AND(INDEX(Profils!$L$5:$L$34,$AE514)&gt;0,INDEX(Profils!$AA$5:$AA$34,$AE514)&lt;=$AH514),ROUND(INDEX(Profils!$L$5:$L$34,$AE514)*Paramètres!$E$28*$AG514*$AJ514,Paramètres!$F$28),0)</f>
        <v>0</v>
      </c>
      <c r="S514" s="20" t="n">
        <f aca="false" t="array" ref="S514:S514">IF(AND(INDEX(Profils!$M$5:$M$34,$AE514)&gt;0,INDEX(Profils!$AB$5:$AB$34,$AE514)&lt;=$AH514),ROUND(INDEX(Profils!$M$5:$M$34,$AE514)*Paramètres!$E$29*$AG514*$AJ514,Paramètres!$F$29),0)</f>
        <v>0</v>
      </c>
      <c r="T514" s="20" t="n">
        <f aca="false" t="array" ref="T514:T514">IF(AND(INDEX(Profils!$N$5:$N$34,$AE514)&gt;0,INDEX(Profils!$AC$5:$AC$34,$AE514)&lt;=$AH514),ROUND(INDEX(Profils!$N$5:$N$34,$AE514)*Paramètres!$E$30*$AG514*$AJ514,Paramètres!$F$30),0)</f>
        <v>0</v>
      </c>
      <c r="U514" s="19" t="n">
        <f aca="false" t="array" ref="U514:U514">IF(AND(INDEX(Profils!$O$5:$O$34,$AE514)&gt;0,INDEX(Profils!$AD$5:$AD$34,$AE514)&lt;=$AH514),ROUND(INDEX(Profils!$O$5:$O$34,$AE514)*Paramètres!$E$31*$AG514*$AJ514,Paramètres!$F$31),0)</f>
        <v>0</v>
      </c>
      <c r="V514" s="20" t="n">
        <f aca="false" t="array" ref="V514:V514">IF(AND(INDEX(Profils!$P$5:$P$34,$AE514)&gt;0,INDEX(Profils!$AE$5:$AE$34,$AE514)&lt;=$AH514),ROUND(INDEX(Profils!$P$5:$P$34,$AE514)*Paramètres!$E$32*$AG514*$AJ514,Paramètres!$F$32),0)</f>
        <v>0</v>
      </c>
      <c r="W514" s="20" t="n">
        <f aca="false" t="array" ref="W514:W514">IF(AND(INDEX(Profils!$Q$5:$Q$34,$AE514)&gt;0,INDEX(Profils!$AF$5:$AF$34,$AE514)&lt;=$AH514),ROUND(INDEX(Profils!$Q$5:$Q$34,$AE514)*Paramètres!$E$33*$AG514*$AJ514,Paramètres!$F$33),0)</f>
        <v>0.004</v>
      </c>
      <c r="X514" s="20" t="n">
        <f aca="false" t="array" ref="X514:X514">IF(AND(INDEX(Profils!$R$5:$R$34,$AE514)&gt;0,INDEX(Profils!$AG$5:$AG$34,$AE514)&lt;=$AH514),ROUND(INDEX(Profils!$R$5:$R$34,$AE514)*Paramètres!$E$34*$AG514*$AJ514,Paramètres!$F$34),0)</f>
        <v>0</v>
      </c>
      <c r="Y514" s="20" t="n">
        <f aca="false" t="array" ref="Y514:Y514">IF(AND(INDEX(Profils!$S$5:$S$34,$AE514)&gt;0,INDEX(Profils!$AH$5:$AH$34,$AE514)&lt;=$AH514),ROUND(INDEX(Profils!$S$5:$S$34,$AE514)*Paramètres!$E$35*$AG514*$AJ514,Paramètres!$F$35),0)</f>
        <v>0</v>
      </c>
      <c r="Z514" s="21" t="n">
        <f aca="false">ROUND(L514/Paramètres!$E$22+M514/Paramètres!$E$23+N514/Paramètres!$E$24+O514/Paramètres!$E$25+P514/Paramètres!$E$26+Q514/Paramètres!$E$27+R514/Paramètres!$E$28+S514/Paramètres!$E$29+T514/Paramètres!$E$30+U514/Paramètres!$E$31+V514/Paramètres!$E$32+W514/Paramètres!$E$33+X514/Paramètres!$E$34+Y514/Paramètres!$E$35,1)</f>
        <v>0.5</v>
      </c>
      <c r="AA514" s="22" t="s">
        <v>109</v>
      </c>
      <c r="AB514" s="22" t="s">
        <v>109</v>
      </c>
      <c r="AC514" s="15" t="str">
        <f aca="false">$E514</f>
        <v>or</v>
      </c>
      <c r="AD514" s="16" t="n">
        <f aca="false" t="array" ref="AD514:AD514">IF($I514&gt;=$AI514,"Max",ROUND(Paramètres!$B$40*($I514+1)^Paramètres!$B$41*INDEX(Paramètres!$H$6:$H$12,$AF514),0))</f>
        <v>3</v>
      </c>
      <c r="AE514" s="23" t="n">
        <f aca="false">MATCH($B514&amp;"|"&amp;$C514,Profils!$A$5:$A$34,0)</f>
        <v>17</v>
      </c>
      <c r="AF514" s="23" t="n">
        <v>1</v>
      </c>
      <c r="AG514" s="24" t="n">
        <f aca="false" t="array" ref="AG514:AG514">INDEX(Paramètres!$C$6:$C$12,$AF514)</f>
        <v>1</v>
      </c>
      <c r="AH514" s="23" t="n">
        <f aca="false" t="array" ref="AH514:AH514">INDEX(Paramètres!$D$6:$D$12,$AF514)</f>
        <v>2</v>
      </c>
      <c r="AI514" s="23" t="n">
        <f aca="false" t="array" ref="AI514:AI514">INDEX(Matériaux!$C$16:$C$20,$D514)</f>
        <v>25</v>
      </c>
      <c r="AJ514" s="25" t="n">
        <f aca="false">Paramètres!$B$16+(1-Paramètres!$B$16)*(($J514-Paramètres!$B$14)/(Paramètres!$B$15-Paramètres!$B$14))^Paramètres!$B$17</f>
        <v>0.26769024555533</v>
      </c>
    </row>
    <row r="515" customFormat="false" ht="15.75" hidden="false" customHeight="true" outlineLevel="0" collapsed="false">
      <c r="A515" s="14" t="s">
        <v>631</v>
      </c>
      <c r="B515" s="15" t="s">
        <v>29</v>
      </c>
      <c r="C515" s="15" t="s">
        <v>305</v>
      </c>
      <c r="D515" s="16" t="n">
        <v>3</v>
      </c>
      <c r="E515" s="15" t="str">
        <f aca="false" t="array" ref="E515:E515">INDEX(Matériaux!$B$5:$F$12,MATCH(INDEX(Profils!$E$5:$E$34,$AE515),Matériaux!$A$5:$A$12,0),$D515)</f>
        <v>or</v>
      </c>
      <c r="F515" s="26" t="s">
        <v>111</v>
      </c>
      <c r="G515" s="10" t="str">
        <f aca="false" t="array" ref="G515:G515">INDEX(Profils!$D$5:$D$34,$AE515)&amp;" en "&amp;$E515</f>
        <v>Sceau en or</v>
      </c>
      <c r="H515" s="16" t="n">
        <f aca="false" t="array" ref="H515:H515">INDEX(Matériaux!$B$16:$B$20,$D515)</f>
        <v>30</v>
      </c>
      <c r="I515" s="16" t="n">
        <f aca="false">IF(ISNUMBER($C$3),MIN(MAX(0,ROUND($C$3,0)),$AI515),$AI515)</f>
        <v>0</v>
      </c>
      <c r="J515" s="18" t="n">
        <f aca="false">$H515+$I515</f>
        <v>30</v>
      </c>
      <c r="K515" s="15" t="s">
        <v>109</v>
      </c>
      <c r="L515" s="19" t="n">
        <f aca="false" t="array" ref="L515:L515">IF(AND(INDEX(Profils!$F$5:$F$34,$AE515)&gt;0,INDEX(Profils!$U$5:$U$34,$AE515)&lt;=$AH515),ROUND(INDEX(Profils!$F$5:$F$34,$AE515)*Paramètres!$E$22*$AG515*$AJ515,Paramètres!$F$22),0)</f>
        <v>8</v>
      </c>
      <c r="M515" s="19" t="n">
        <f aca="false" t="array" ref="M515:M515">IF(AND(INDEX(Profils!$G$5:$G$34,$AE515)&gt;0,INDEX(Profils!$V$5:$V$34,$AE515)&lt;=$AH515),ROUND(INDEX(Profils!$G$5:$G$34,$AE515)*Paramètres!$E$23*$AG515*$AJ515,Paramètres!$F$23),0)</f>
        <v>0</v>
      </c>
      <c r="N515" s="19" t="n">
        <f aca="false" t="array" ref="N515:N515">IF(AND(INDEX(Profils!$H$5:$H$34,$AE515)&gt;0,INDEX(Profils!$W$5:$W$34,$AE515)&lt;=$AH515),ROUND(INDEX(Profils!$H$5:$H$34,$AE515)*Paramètres!$E$24*$AG515*$AJ515,Paramètres!$F$24),0)</f>
        <v>0</v>
      </c>
      <c r="O515" s="19" t="n">
        <f aca="false" t="array" ref="O515:O515">IF(AND(INDEX(Profils!$I$5:$I$34,$AE515)&gt;0,INDEX(Profils!$X$5:$X$34,$AE515)&lt;=$AH515),ROUND(INDEX(Profils!$I$5:$I$34,$AE515)*Paramètres!$E$25*$AG515*$AJ515,Paramètres!$F$25),0)</f>
        <v>0</v>
      </c>
      <c r="P515" s="19" t="n">
        <f aca="false" t="array" ref="P515:P515">IF(AND(INDEX(Profils!$J$5:$J$34,$AE515)&gt;0,INDEX(Profils!$Y$5:$Y$34,$AE515)&lt;=$AH515),ROUND(INDEX(Profils!$J$5:$J$34,$AE515)*Paramètres!$E$26*$AG515*$AJ515,Paramètres!$F$26),0)</f>
        <v>0</v>
      </c>
      <c r="Q515" s="19" t="n">
        <f aca="false" t="array" ref="Q515:Q515">IF(AND(INDEX(Profils!$K$5:$K$34,$AE515)&gt;0,INDEX(Profils!$Z$5:$Z$34,$AE515)&lt;=$AH515),ROUND(INDEX(Profils!$K$5:$K$34,$AE515)*Paramètres!$E$27*$AG515*$AJ515,Paramètres!$F$27),0)</f>
        <v>0</v>
      </c>
      <c r="R515" s="20" t="n">
        <f aca="false" t="array" ref="R515:R515">IF(AND(INDEX(Profils!$L$5:$L$34,$AE515)&gt;0,INDEX(Profils!$AA$5:$AA$34,$AE515)&lt;=$AH515),ROUND(INDEX(Profils!$L$5:$L$34,$AE515)*Paramètres!$E$28*$AG515*$AJ515,Paramètres!$F$28),0)</f>
        <v>0</v>
      </c>
      <c r="S515" s="20" t="n">
        <f aca="false" t="array" ref="S515:S515">IF(AND(INDEX(Profils!$M$5:$M$34,$AE515)&gt;0,INDEX(Profils!$AB$5:$AB$34,$AE515)&lt;=$AH515),ROUND(INDEX(Profils!$M$5:$M$34,$AE515)*Paramètres!$E$29*$AG515*$AJ515,Paramètres!$F$29),0)</f>
        <v>0</v>
      </c>
      <c r="T515" s="20" t="n">
        <f aca="false" t="array" ref="T515:T515">IF(AND(INDEX(Profils!$N$5:$N$34,$AE515)&gt;0,INDEX(Profils!$AC$5:$AC$34,$AE515)&lt;=$AH515),ROUND(INDEX(Profils!$N$5:$N$34,$AE515)*Paramètres!$E$30*$AG515*$AJ515,Paramètres!$F$30),0)</f>
        <v>0</v>
      </c>
      <c r="U515" s="19" t="n">
        <f aca="false" t="array" ref="U515:U515">IF(AND(INDEX(Profils!$O$5:$O$34,$AE515)&gt;0,INDEX(Profils!$AD$5:$AD$34,$AE515)&lt;=$AH515),ROUND(INDEX(Profils!$O$5:$O$34,$AE515)*Paramètres!$E$31*$AG515*$AJ515,Paramètres!$F$31),0)</f>
        <v>0</v>
      </c>
      <c r="V515" s="20" t="n">
        <f aca="false" t="array" ref="V515:V515">IF(AND(INDEX(Profils!$P$5:$P$34,$AE515)&gt;0,INDEX(Profils!$AE$5:$AE$34,$AE515)&lt;=$AH515),ROUND(INDEX(Profils!$P$5:$P$34,$AE515)*Paramètres!$E$32*$AG515*$AJ515,Paramètres!$F$32),0)</f>
        <v>0</v>
      </c>
      <c r="W515" s="20" t="n">
        <f aca="false" t="array" ref="W515:W515">IF(AND(INDEX(Profils!$Q$5:$Q$34,$AE515)&gt;0,INDEX(Profils!$AF$5:$AF$34,$AE515)&lt;=$AH515),ROUND(INDEX(Profils!$Q$5:$Q$34,$AE515)*Paramètres!$E$33*$AG515*$AJ515,Paramètres!$F$33),0)</f>
        <v>0.005</v>
      </c>
      <c r="X515" s="20" t="n">
        <f aca="false" t="array" ref="X515:X515">IF(AND(INDEX(Profils!$R$5:$R$34,$AE515)&gt;0,INDEX(Profils!$AG$5:$AG$34,$AE515)&lt;=$AH515),ROUND(INDEX(Profils!$R$5:$R$34,$AE515)*Paramètres!$E$34*$AG515*$AJ515,Paramètres!$F$34),0)</f>
        <v>0</v>
      </c>
      <c r="Y515" s="20" t="n">
        <f aca="false" t="array" ref="Y515:Y515">IF(AND(INDEX(Profils!$S$5:$S$34,$AE515)&gt;0,INDEX(Profils!$AH$5:$AH$34,$AE515)&lt;=$AH515),ROUND(INDEX(Profils!$S$5:$S$34,$AE515)*Paramètres!$E$35*$AG515*$AJ515,Paramètres!$F$35),0)</f>
        <v>0.005</v>
      </c>
      <c r="Z515" s="21" t="n">
        <f aca="false">ROUND(L515/Paramètres!$E$22+M515/Paramètres!$E$23+N515/Paramètres!$E$24+O515/Paramètres!$E$25+P515/Paramètres!$E$26+Q515/Paramètres!$E$27+R515/Paramètres!$E$28+S515/Paramètres!$E$29+T515/Paramètres!$E$30+U515/Paramètres!$E$31+V515/Paramètres!$E$32+W515/Paramètres!$E$33+X515/Paramètres!$E$34+Y515/Paramètres!$E$35,1)</f>
        <v>1</v>
      </c>
      <c r="AA515" s="22" t="s">
        <v>109</v>
      </c>
      <c r="AB515" s="22" t="s">
        <v>109</v>
      </c>
      <c r="AC515" s="15" t="str">
        <f aca="false">$E515</f>
        <v>or</v>
      </c>
      <c r="AD515" s="16" t="n">
        <f aca="false" t="array" ref="AD515:AD515">IF($I515&gt;=$AI515,"Max",ROUND(Paramètres!$B$40*($I515+1)^Paramètres!$B$41*INDEX(Paramètres!$H$6:$H$12,$AF515),0))</f>
        <v>4</v>
      </c>
      <c r="AE515" s="23" t="n">
        <f aca="false">MATCH($B515&amp;"|"&amp;$C515,Profils!$A$5:$A$34,0)</f>
        <v>17</v>
      </c>
      <c r="AF515" s="23" t="n">
        <v>2</v>
      </c>
      <c r="AG515" s="24" t="n">
        <f aca="false" t="array" ref="AG515:AG515">INDEX(Paramètres!$C$6:$C$12,$AF515)</f>
        <v>1.2</v>
      </c>
      <c r="AH515" s="23" t="n">
        <f aca="false" t="array" ref="AH515:AH515">INDEX(Paramètres!$D$6:$D$12,$AF515)</f>
        <v>3</v>
      </c>
      <c r="AI515" s="23" t="n">
        <f aca="false" t="array" ref="AI515:AI515">INDEX(Matériaux!$C$16:$C$20,$D515)</f>
        <v>25</v>
      </c>
      <c r="AJ515" s="25" t="n">
        <f aca="false">Paramètres!$B$16+(1-Paramètres!$B$16)*(($J515-Paramètres!$B$14)/(Paramètres!$B$15-Paramètres!$B$14))^Paramètres!$B$17</f>
        <v>0.26769024555533</v>
      </c>
    </row>
    <row r="516" customFormat="false" ht="15.75" hidden="false" customHeight="true" outlineLevel="0" collapsed="false">
      <c r="A516" s="14" t="s">
        <v>632</v>
      </c>
      <c r="B516" s="15" t="s">
        <v>29</v>
      </c>
      <c r="C516" s="15" t="s">
        <v>305</v>
      </c>
      <c r="D516" s="16" t="n">
        <v>3</v>
      </c>
      <c r="E516" s="15" t="str">
        <f aca="false" t="array" ref="E516:E516">INDEX(Matériaux!$B$5:$F$12,MATCH(INDEX(Profils!$E$5:$E$34,$AE516),Matériaux!$A$5:$A$12,0),$D516)</f>
        <v>or</v>
      </c>
      <c r="F516" s="27" t="s">
        <v>113</v>
      </c>
      <c r="G516" s="10" t="str">
        <f aca="false" t="array" ref="G516:G516">INDEX(Profils!$D$5:$D$34,$AE516)&amp;" en "&amp;$E516</f>
        <v>Sceau en or</v>
      </c>
      <c r="H516" s="16" t="n">
        <f aca="false" t="array" ref="H516:H516">INDEX(Matériaux!$B$16:$B$20,$D516)</f>
        <v>30</v>
      </c>
      <c r="I516" s="16" t="n">
        <f aca="false">IF(ISNUMBER($C$3),MIN(MAX(0,ROUND($C$3,0)),$AI516),$AI516)</f>
        <v>0</v>
      </c>
      <c r="J516" s="18" t="n">
        <f aca="false">$H516+$I516</f>
        <v>30</v>
      </c>
      <c r="K516" s="15" t="s">
        <v>109</v>
      </c>
      <c r="L516" s="19" t="n">
        <f aca="false" t="array" ref="L516:L516">IF(AND(INDEX(Profils!$F$5:$F$34,$AE516)&gt;0,INDEX(Profils!$U$5:$U$34,$AE516)&lt;=$AH516),ROUND(INDEX(Profils!$F$5:$F$34,$AE516)*Paramètres!$E$22*$AG516*$AJ516,Paramètres!$F$22),0)</f>
        <v>10</v>
      </c>
      <c r="M516" s="19" t="n">
        <f aca="false" t="array" ref="M516:M516">IF(AND(INDEX(Profils!$G$5:$G$34,$AE516)&gt;0,INDEX(Profils!$V$5:$V$34,$AE516)&lt;=$AH516),ROUND(INDEX(Profils!$G$5:$G$34,$AE516)*Paramètres!$E$23*$AG516*$AJ516,Paramètres!$F$23),0)</f>
        <v>0</v>
      </c>
      <c r="N516" s="19" t="n">
        <f aca="false" t="array" ref="N516:N516">IF(AND(INDEX(Profils!$H$5:$H$34,$AE516)&gt;0,INDEX(Profils!$W$5:$W$34,$AE516)&lt;=$AH516),ROUND(INDEX(Profils!$H$5:$H$34,$AE516)*Paramètres!$E$24*$AG516*$AJ516,Paramètres!$F$24),0)</f>
        <v>0</v>
      </c>
      <c r="O516" s="19" t="n">
        <f aca="false" t="array" ref="O516:O516">IF(AND(INDEX(Profils!$I$5:$I$34,$AE516)&gt;0,INDEX(Profils!$X$5:$X$34,$AE516)&lt;=$AH516),ROUND(INDEX(Profils!$I$5:$I$34,$AE516)*Paramètres!$E$25*$AG516*$AJ516,Paramètres!$F$25),0)</f>
        <v>0</v>
      </c>
      <c r="P516" s="19" t="n">
        <f aca="false" t="array" ref="P516:P516">IF(AND(INDEX(Profils!$J$5:$J$34,$AE516)&gt;0,INDEX(Profils!$Y$5:$Y$34,$AE516)&lt;=$AH516),ROUND(INDEX(Profils!$J$5:$J$34,$AE516)*Paramètres!$E$26*$AG516*$AJ516,Paramètres!$F$26),0)</f>
        <v>0</v>
      </c>
      <c r="Q516" s="19" t="n">
        <f aca="false" t="array" ref="Q516:Q516">IF(AND(INDEX(Profils!$K$5:$K$34,$AE516)&gt;0,INDEX(Profils!$Z$5:$Z$34,$AE516)&lt;=$AH516),ROUND(INDEX(Profils!$K$5:$K$34,$AE516)*Paramètres!$E$27*$AG516*$AJ516,Paramètres!$F$27),0)</f>
        <v>0</v>
      </c>
      <c r="R516" s="20" t="n">
        <f aca="false" t="array" ref="R516:R516">IF(AND(INDEX(Profils!$L$5:$L$34,$AE516)&gt;0,INDEX(Profils!$AA$5:$AA$34,$AE516)&lt;=$AH516),ROUND(INDEX(Profils!$L$5:$L$34,$AE516)*Paramètres!$E$28*$AG516*$AJ516,Paramètres!$F$28),0)</f>
        <v>0</v>
      </c>
      <c r="S516" s="20" t="n">
        <f aca="false" t="array" ref="S516:S516">IF(AND(INDEX(Profils!$M$5:$M$34,$AE516)&gt;0,INDEX(Profils!$AB$5:$AB$34,$AE516)&lt;=$AH516),ROUND(INDEX(Profils!$M$5:$M$34,$AE516)*Paramètres!$E$29*$AG516*$AJ516,Paramètres!$F$29),0)</f>
        <v>0</v>
      </c>
      <c r="T516" s="20" t="n">
        <f aca="false" t="array" ref="T516:T516">IF(AND(INDEX(Profils!$N$5:$N$34,$AE516)&gt;0,INDEX(Profils!$AC$5:$AC$34,$AE516)&lt;=$AH516),ROUND(INDEX(Profils!$N$5:$N$34,$AE516)*Paramètres!$E$30*$AG516*$AJ516,Paramètres!$F$30),0)</f>
        <v>0</v>
      </c>
      <c r="U516" s="19" t="n">
        <f aca="false" t="array" ref="U516:U516">IF(AND(INDEX(Profils!$O$5:$O$34,$AE516)&gt;0,INDEX(Profils!$AD$5:$AD$34,$AE516)&lt;=$AH516),ROUND(INDEX(Profils!$O$5:$O$34,$AE516)*Paramètres!$E$31*$AG516*$AJ516,Paramètres!$F$31),0)</f>
        <v>0</v>
      </c>
      <c r="V516" s="20" t="n">
        <f aca="false" t="array" ref="V516:V516">IF(AND(INDEX(Profils!$P$5:$P$34,$AE516)&gt;0,INDEX(Profils!$AE$5:$AE$34,$AE516)&lt;=$AH516),ROUND(INDEX(Profils!$P$5:$P$34,$AE516)*Paramètres!$E$32*$AG516*$AJ516,Paramètres!$F$32),0)</f>
        <v>0</v>
      </c>
      <c r="W516" s="20" t="n">
        <f aca="false" t="array" ref="W516:W516">IF(AND(INDEX(Profils!$Q$5:$Q$34,$AE516)&gt;0,INDEX(Profils!$AF$5:$AF$34,$AE516)&lt;=$AH516),ROUND(INDEX(Profils!$Q$5:$Q$34,$AE516)*Paramètres!$E$33*$AG516*$AJ516,Paramètres!$F$33),0)</f>
        <v>0.006</v>
      </c>
      <c r="X516" s="20" t="n">
        <f aca="false" t="array" ref="X516:X516">IF(AND(INDEX(Profils!$R$5:$R$34,$AE516)&gt;0,INDEX(Profils!$AG$5:$AG$34,$AE516)&lt;=$AH516),ROUND(INDEX(Profils!$R$5:$R$34,$AE516)*Paramètres!$E$34*$AG516*$AJ516,Paramètres!$F$34),0)</f>
        <v>0.006</v>
      </c>
      <c r="Y516" s="20" t="n">
        <f aca="false" t="array" ref="Y516:Y516">IF(AND(INDEX(Profils!$S$5:$S$34,$AE516)&gt;0,INDEX(Profils!$AH$5:$AH$34,$AE516)&lt;=$AH516),ROUND(INDEX(Profils!$S$5:$S$34,$AE516)*Paramètres!$E$35*$AG516*$AJ516,Paramètres!$F$35),0)</f>
        <v>0.006</v>
      </c>
      <c r="Z516" s="21" t="n">
        <f aca="false">ROUND(L516/Paramètres!$E$22+M516/Paramètres!$E$23+N516/Paramètres!$E$24+O516/Paramètres!$E$25+P516/Paramètres!$E$26+Q516/Paramètres!$E$27+R516/Paramètres!$E$28+S516/Paramètres!$E$29+T516/Paramètres!$E$30+U516/Paramètres!$E$31+V516/Paramètres!$E$32+W516/Paramètres!$E$33+X516/Paramètres!$E$34+Y516/Paramètres!$E$35,1)</f>
        <v>1.5</v>
      </c>
      <c r="AA516" s="22" t="s">
        <v>109</v>
      </c>
      <c r="AB516" s="22" t="s">
        <v>109</v>
      </c>
      <c r="AC516" s="15" t="str">
        <f aca="false">$E516</f>
        <v>or</v>
      </c>
      <c r="AD516" s="16" t="n">
        <f aca="false" t="array" ref="AD516:AD516">IF($I516&gt;=$AI516,"Max",ROUND(Paramètres!$B$40*($I516+1)^Paramètres!$B$41*INDEX(Paramètres!$H$6:$H$12,$AF516),0))</f>
        <v>4</v>
      </c>
      <c r="AE516" s="23" t="n">
        <f aca="false">MATCH($B516&amp;"|"&amp;$C516,Profils!$A$5:$A$34,0)</f>
        <v>17</v>
      </c>
      <c r="AF516" s="23" t="n">
        <v>3</v>
      </c>
      <c r="AG516" s="24" t="n">
        <f aca="false" t="array" ref="AG516:AG516">INDEX(Paramètres!$C$6:$C$12,$AF516)</f>
        <v>1.45</v>
      </c>
      <c r="AH516" s="23" t="n">
        <f aca="false" t="array" ref="AH516:AH516">INDEX(Paramètres!$D$6:$D$12,$AF516)</f>
        <v>4</v>
      </c>
      <c r="AI516" s="23" t="n">
        <f aca="false" t="array" ref="AI516:AI516">INDEX(Matériaux!$C$16:$C$20,$D516)</f>
        <v>25</v>
      </c>
      <c r="AJ516" s="25" t="n">
        <f aca="false">Paramètres!$B$16+(1-Paramètres!$B$16)*(($J516-Paramètres!$B$14)/(Paramètres!$B$15-Paramètres!$B$14))^Paramètres!$B$17</f>
        <v>0.26769024555533</v>
      </c>
    </row>
    <row r="517" customFormat="false" ht="15.75" hidden="false" customHeight="true" outlineLevel="0" collapsed="false">
      <c r="A517" s="14" t="s">
        <v>633</v>
      </c>
      <c r="B517" s="15" t="s">
        <v>29</v>
      </c>
      <c r="C517" s="15" t="s">
        <v>305</v>
      </c>
      <c r="D517" s="16" t="n">
        <v>3</v>
      </c>
      <c r="E517" s="15" t="str">
        <f aca="false" t="array" ref="E517:E517">INDEX(Matériaux!$B$5:$F$12,MATCH(INDEX(Profils!$E$5:$E$34,$AE517),Matériaux!$A$5:$A$12,0),$D517)</f>
        <v>or</v>
      </c>
      <c r="F517" s="28" t="s">
        <v>115</v>
      </c>
      <c r="G517" s="10" t="str">
        <f aca="false" t="array" ref="G517:G517">INDEX(Profils!$D$5:$D$34,$AE517)&amp;" en "&amp;$E517</f>
        <v>Sceau en or</v>
      </c>
      <c r="H517" s="16" t="n">
        <f aca="false" t="array" ref="H517:H517">INDEX(Matériaux!$B$16:$B$20,$D517)</f>
        <v>30</v>
      </c>
      <c r="I517" s="16" t="n">
        <f aca="false">IF(ISNUMBER($C$3),MIN(MAX(0,ROUND($C$3,0)),$AI517),$AI517)</f>
        <v>0</v>
      </c>
      <c r="J517" s="18" t="n">
        <f aca="false">$H517+$I517</f>
        <v>30</v>
      </c>
      <c r="K517" s="15" t="s">
        <v>109</v>
      </c>
      <c r="L517" s="19" t="n">
        <f aca="false" t="array" ref="L517:L517">IF(AND(INDEX(Profils!$F$5:$F$34,$AE517)&gt;0,INDEX(Profils!$U$5:$U$34,$AE517)&lt;=$AH517),ROUND(INDEX(Profils!$F$5:$F$34,$AE517)*Paramètres!$E$22*$AG517*$AJ517,Paramètres!$F$22),0)</f>
        <v>12</v>
      </c>
      <c r="M517" s="19" t="n">
        <f aca="false" t="array" ref="M517:M517">IF(AND(INDEX(Profils!$G$5:$G$34,$AE517)&gt;0,INDEX(Profils!$V$5:$V$34,$AE517)&lt;=$AH517),ROUND(INDEX(Profils!$G$5:$G$34,$AE517)*Paramètres!$E$23*$AG517*$AJ517,Paramètres!$F$23),0)</f>
        <v>0</v>
      </c>
      <c r="N517" s="19" t="n">
        <f aca="false" t="array" ref="N517:N517">IF(AND(INDEX(Profils!$H$5:$H$34,$AE517)&gt;0,INDEX(Profils!$W$5:$W$34,$AE517)&lt;=$AH517),ROUND(INDEX(Profils!$H$5:$H$34,$AE517)*Paramètres!$E$24*$AG517*$AJ517,Paramètres!$F$24),0)</f>
        <v>0</v>
      </c>
      <c r="O517" s="19" t="n">
        <f aca="false" t="array" ref="O517:O517">IF(AND(INDEX(Profils!$I$5:$I$34,$AE517)&gt;0,INDEX(Profils!$X$5:$X$34,$AE517)&lt;=$AH517),ROUND(INDEX(Profils!$I$5:$I$34,$AE517)*Paramètres!$E$25*$AG517*$AJ517,Paramètres!$F$25),0)</f>
        <v>0</v>
      </c>
      <c r="P517" s="19" t="n">
        <f aca="false" t="array" ref="P517:P517">IF(AND(INDEX(Profils!$J$5:$J$34,$AE517)&gt;0,INDEX(Profils!$Y$5:$Y$34,$AE517)&lt;=$AH517),ROUND(INDEX(Profils!$J$5:$J$34,$AE517)*Paramètres!$E$26*$AG517*$AJ517,Paramètres!$F$26),0)</f>
        <v>0</v>
      </c>
      <c r="Q517" s="19" t="n">
        <f aca="false" t="array" ref="Q517:Q517">IF(AND(INDEX(Profils!$K$5:$K$34,$AE517)&gt;0,INDEX(Profils!$Z$5:$Z$34,$AE517)&lt;=$AH517),ROUND(INDEX(Profils!$K$5:$K$34,$AE517)*Paramètres!$E$27*$AG517*$AJ517,Paramètres!$F$27),0)</f>
        <v>3</v>
      </c>
      <c r="R517" s="20" t="n">
        <f aca="false" t="array" ref="R517:R517">IF(AND(INDEX(Profils!$L$5:$L$34,$AE517)&gt;0,INDEX(Profils!$AA$5:$AA$34,$AE517)&lt;=$AH517),ROUND(INDEX(Profils!$L$5:$L$34,$AE517)*Paramètres!$E$28*$AG517*$AJ517,Paramètres!$F$28),0)</f>
        <v>0</v>
      </c>
      <c r="S517" s="20" t="n">
        <f aca="false" t="array" ref="S517:S517">IF(AND(INDEX(Profils!$M$5:$M$34,$AE517)&gt;0,INDEX(Profils!$AB$5:$AB$34,$AE517)&lt;=$AH517),ROUND(INDEX(Profils!$M$5:$M$34,$AE517)*Paramètres!$E$29*$AG517*$AJ517,Paramètres!$F$29),0)</f>
        <v>0</v>
      </c>
      <c r="T517" s="20" t="n">
        <f aca="false" t="array" ref="T517:T517">IF(AND(INDEX(Profils!$N$5:$N$34,$AE517)&gt;0,INDEX(Profils!$AC$5:$AC$34,$AE517)&lt;=$AH517),ROUND(INDEX(Profils!$N$5:$N$34,$AE517)*Paramètres!$E$30*$AG517*$AJ517,Paramètres!$F$30),0)</f>
        <v>0</v>
      </c>
      <c r="U517" s="19" t="n">
        <f aca="false" t="array" ref="U517:U517">IF(AND(INDEX(Profils!$O$5:$O$34,$AE517)&gt;0,INDEX(Profils!$AD$5:$AD$34,$AE517)&lt;=$AH517),ROUND(INDEX(Profils!$O$5:$O$34,$AE517)*Paramètres!$E$31*$AG517*$AJ517,Paramètres!$F$31),0)</f>
        <v>0</v>
      </c>
      <c r="V517" s="20" t="n">
        <f aca="false" t="array" ref="V517:V517">IF(AND(INDEX(Profils!$P$5:$P$34,$AE517)&gt;0,INDEX(Profils!$AE$5:$AE$34,$AE517)&lt;=$AH517),ROUND(INDEX(Profils!$P$5:$P$34,$AE517)*Paramètres!$E$32*$AG517*$AJ517,Paramètres!$F$32),0)</f>
        <v>0</v>
      </c>
      <c r="W517" s="20" t="n">
        <f aca="false" t="array" ref="W517:W517">IF(AND(INDEX(Profils!$Q$5:$Q$34,$AE517)&gt;0,INDEX(Profils!$AF$5:$AF$34,$AE517)&lt;=$AH517),ROUND(INDEX(Profils!$Q$5:$Q$34,$AE517)*Paramètres!$E$33*$AG517*$AJ517,Paramètres!$F$33),0)</f>
        <v>0.007</v>
      </c>
      <c r="X517" s="20" t="n">
        <f aca="false" t="array" ref="X517:X517">IF(AND(INDEX(Profils!$R$5:$R$34,$AE517)&gt;0,INDEX(Profils!$AG$5:$AG$34,$AE517)&lt;=$AH517),ROUND(INDEX(Profils!$R$5:$R$34,$AE517)*Paramètres!$E$34*$AG517*$AJ517,Paramètres!$F$34),0)</f>
        <v>0.007</v>
      </c>
      <c r="Y517" s="20" t="n">
        <f aca="false" t="array" ref="Y517:Y517">IF(AND(INDEX(Profils!$S$5:$S$34,$AE517)&gt;0,INDEX(Profils!$AH$5:$AH$34,$AE517)&lt;=$AH517),ROUND(INDEX(Profils!$S$5:$S$34,$AE517)*Paramètres!$E$35*$AG517*$AJ517,Paramètres!$F$35),0)</f>
        <v>0.007</v>
      </c>
      <c r="Z517" s="21" t="n">
        <f aca="false">ROUND(L517/Paramètres!$E$22+M517/Paramètres!$E$23+N517/Paramètres!$E$24+O517/Paramètres!$E$25+P517/Paramètres!$E$26+Q517/Paramètres!$E$27+R517/Paramètres!$E$28+S517/Paramètres!$E$29+T517/Paramètres!$E$30+U517/Paramètres!$E$31+V517/Paramètres!$E$32+W517/Paramètres!$E$33+X517/Paramètres!$E$34+Y517/Paramètres!$E$35,1)</f>
        <v>2.1</v>
      </c>
      <c r="AA517" s="22" t="s">
        <v>109</v>
      </c>
      <c r="AB517" s="22" t="s">
        <v>109</v>
      </c>
      <c r="AC517" s="15" t="str">
        <f aca="false">$E517</f>
        <v>or</v>
      </c>
      <c r="AD517" s="16" t="n">
        <f aca="false" t="array" ref="AD517:AD517">IF($I517&gt;=$AI517,"Max",ROUND(Paramètres!$B$40*($I517+1)^Paramètres!$B$41*INDEX(Paramètres!$H$6:$H$12,$AF517),0))</f>
        <v>5</v>
      </c>
      <c r="AE517" s="23" t="n">
        <f aca="false">MATCH($B517&amp;"|"&amp;$C517,Profils!$A$5:$A$34,0)</f>
        <v>17</v>
      </c>
      <c r="AF517" s="23" t="n">
        <v>4</v>
      </c>
      <c r="AG517" s="24" t="n">
        <f aca="false" t="array" ref="AG517:AG517">INDEX(Paramètres!$C$6:$C$12,$AF517)</f>
        <v>1.75</v>
      </c>
      <c r="AH517" s="23" t="n">
        <f aca="false" t="array" ref="AH517:AH517">INDEX(Paramètres!$D$6:$D$12,$AF517)</f>
        <v>5</v>
      </c>
      <c r="AI517" s="23" t="n">
        <f aca="false" t="array" ref="AI517:AI517">INDEX(Matériaux!$C$16:$C$20,$D517)</f>
        <v>25</v>
      </c>
      <c r="AJ517" s="25" t="n">
        <f aca="false">Paramètres!$B$16+(1-Paramètres!$B$16)*(($J517-Paramètres!$B$14)/(Paramètres!$B$15-Paramètres!$B$14))^Paramètres!$B$17</f>
        <v>0.26769024555533</v>
      </c>
    </row>
    <row r="518" customFormat="false" ht="15.75" hidden="false" customHeight="true" outlineLevel="0" collapsed="false">
      <c r="A518" s="14" t="s">
        <v>634</v>
      </c>
      <c r="B518" s="15" t="s">
        <v>29</v>
      </c>
      <c r="C518" s="15" t="s">
        <v>305</v>
      </c>
      <c r="D518" s="16" t="n">
        <v>3</v>
      </c>
      <c r="E518" s="15" t="str">
        <f aca="false" t="array" ref="E518:E518">INDEX(Matériaux!$B$5:$F$12,MATCH(INDEX(Profils!$E$5:$E$34,$AE518),Matériaux!$A$5:$A$12,0),$D518)</f>
        <v>or</v>
      </c>
      <c r="F518" s="29" t="s">
        <v>117</v>
      </c>
      <c r="G518" s="10" t="str">
        <f aca="false" t="array" ref="G518:G518">INDEX(Profils!$D$5:$D$34,$AE518)&amp;" en "&amp;$E518</f>
        <v>Sceau en or</v>
      </c>
      <c r="H518" s="16" t="n">
        <f aca="false" t="array" ref="H518:H518">INDEX(Matériaux!$B$16:$B$20,$D518)</f>
        <v>30</v>
      </c>
      <c r="I518" s="16" t="n">
        <f aca="false">IF(ISNUMBER($C$3),MIN(MAX(0,ROUND($C$3,0)),$AI518),$AI518)</f>
        <v>0</v>
      </c>
      <c r="J518" s="18" t="n">
        <f aca="false">$H518+$I518</f>
        <v>30</v>
      </c>
      <c r="K518" s="15" t="s">
        <v>109</v>
      </c>
      <c r="L518" s="19" t="n">
        <f aca="false" t="array" ref="L518:L518">IF(AND(INDEX(Profils!$F$5:$F$34,$AE518)&gt;0,INDEX(Profils!$U$5:$U$34,$AE518)&lt;=$AH518),ROUND(INDEX(Profils!$F$5:$F$34,$AE518)*Paramètres!$E$22*$AG518*$AJ518,Paramètres!$F$22),0)</f>
        <v>14</v>
      </c>
      <c r="M518" s="19" t="n">
        <f aca="false" t="array" ref="M518:M518">IF(AND(INDEX(Profils!$G$5:$G$34,$AE518)&gt;0,INDEX(Profils!$V$5:$V$34,$AE518)&lt;=$AH518),ROUND(INDEX(Profils!$G$5:$G$34,$AE518)*Paramètres!$E$23*$AG518*$AJ518,Paramètres!$F$23),0)</f>
        <v>0</v>
      </c>
      <c r="N518" s="19" t="n">
        <f aca="false" t="array" ref="N518:N518">IF(AND(INDEX(Profils!$H$5:$H$34,$AE518)&gt;0,INDEX(Profils!$W$5:$W$34,$AE518)&lt;=$AH518),ROUND(INDEX(Profils!$H$5:$H$34,$AE518)*Paramètres!$E$24*$AG518*$AJ518,Paramètres!$F$24),0)</f>
        <v>0</v>
      </c>
      <c r="O518" s="19" t="n">
        <f aca="false" t="array" ref="O518:O518">IF(AND(INDEX(Profils!$I$5:$I$34,$AE518)&gt;0,INDEX(Profils!$X$5:$X$34,$AE518)&lt;=$AH518),ROUND(INDEX(Profils!$I$5:$I$34,$AE518)*Paramètres!$E$25*$AG518*$AJ518,Paramètres!$F$25),0)</f>
        <v>5</v>
      </c>
      <c r="P518" s="19" t="n">
        <f aca="false" t="array" ref="P518:P518">IF(AND(INDEX(Profils!$J$5:$J$34,$AE518)&gt;0,INDEX(Profils!$Y$5:$Y$34,$AE518)&lt;=$AH518),ROUND(INDEX(Profils!$J$5:$J$34,$AE518)*Paramètres!$E$26*$AG518*$AJ518,Paramètres!$F$26),0)</f>
        <v>0</v>
      </c>
      <c r="Q518" s="19" t="n">
        <f aca="false" t="array" ref="Q518:Q518">IF(AND(INDEX(Profils!$K$5:$K$34,$AE518)&gt;0,INDEX(Profils!$Z$5:$Z$34,$AE518)&lt;=$AH518),ROUND(INDEX(Profils!$K$5:$K$34,$AE518)*Paramètres!$E$27*$AG518*$AJ518,Paramètres!$F$27),0)</f>
        <v>4</v>
      </c>
      <c r="R518" s="20" t="n">
        <f aca="false" t="array" ref="R518:R518">IF(AND(INDEX(Profils!$L$5:$L$34,$AE518)&gt;0,INDEX(Profils!$AA$5:$AA$34,$AE518)&lt;=$AH518),ROUND(INDEX(Profils!$L$5:$L$34,$AE518)*Paramètres!$E$28*$AG518*$AJ518,Paramètres!$F$28),0)</f>
        <v>0</v>
      </c>
      <c r="S518" s="20" t="n">
        <f aca="false" t="array" ref="S518:S518">IF(AND(INDEX(Profils!$M$5:$M$34,$AE518)&gt;0,INDEX(Profils!$AB$5:$AB$34,$AE518)&lt;=$AH518),ROUND(INDEX(Profils!$M$5:$M$34,$AE518)*Paramètres!$E$29*$AG518*$AJ518,Paramètres!$F$29),0)</f>
        <v>0</v>
      </c>
      <c r="T518" s="20" t="n">
        <f aca="false" t="array" ref="T518:T518">IF(AND(INDEX(Profils!$N$5:$N$34,$AE518)&gt;0,INDEX(Profils!$AC$5:$AC$34,$AE518)&lt;=$AH518),ROUND(INDEX(Profils!$N$5:$N$34,$AE518)*Paramètres!$E$30*$AG518*$AJ518,Paramètres!$F$30),0)</f>
        <v>0</v>
      </c>
      <c r="U518" s="19" t="n">
        <f aca="false" t="array" ref="U518:U518">IF(AND(INDEX(Profils!$O$5:$O$34,$AE518)&gt;0,INDEX(Profils!$AD$5:$AD$34,$AE518)&lt;=$AH518),ROUND(INDEX(Profils!$O$5:$O$34,$AE518)*Paramètres!$E$31*$AG518*$AJ518,Paramètres!$F$31),0)</f>
        <v>0</v>
      </c>
      <c r="V518" s="20" t="n">
        <f aca="false" t="array" ref="V518:V518">IF(AND(INDEX(Profils!$P$5:$P$34,$AE518)&gt;0,INDEX(Profils!$AE$5:$AE$34,$AE518)&lt;=$AH518),ROUND(INDEX(Profils!$P$5:$P$34,$AE518)*Paramètres!$E$32*$AG518*$AJ518,Paramètres!$F$32),0)</f>
        <v>0</v>
      </c>
      <c r="W518" s="20" t="n">
        <f aca="false" t="array" ref="W518:W518">IF(AND(INDEX(Profils!$Q$5:$Q$34,$AE518)&gt;0,INDEX(Profils!$AF$5:$AF$34,$AE518)&lt;=$AH518),ROUND(INDEX(Profils!$Q$5:$Q$34,$AE518)*Paramètres!$E$33*$AG518*$AJ518,Paramètres!$F$33),0)</f>
        <v>0.008</v>
      </c>
      <c r="X518" s="20" t="n">
        <f aca="false" t="array" ref="X518:X518">IF(AND(INDEX(Profils!$R$5:$R$34,$AE518)&gt;0,INDEX(Profils!$AG$5:$AG$34,$AE518)&lt;=$AH518),ROUND(INDEX(Profils!$R$5:$R$34,$AE518)*Paramètres!$E$34*$AG518*$AJ518,Paramètres!$F$34),0)</f>
        <v>0.009</v>
      </c>
      <c r="Y518" s="20" t="n">
        <f aca="false" t="array" ref="Y518:Y518">IF(AND(INDEX(Profils!$S$5:$S$34,$AE518)&gt;0,INDEX(Profils!$AH$5:$AH$34,$AE518)&lt;=$AH518),ROUND(INDEX(Profils!$S$5:$S$34,$AE518)*Paramètres!$E$35*$AG518*$AJ518,Paramètres!$F$35),0)</f>
        <v>0.008</v>
      </c>
      <c r="Z518" s="21" t="n">
        <f aca="false">ROUND(L518/Paramètres!$E$22+M518/Paramètres!$E$23+N518/Paramètres!$E$24+O518/Paramètres!$E$25+P518/Paramètres!$E$26+Q518/Paramètres!$E$27+R518/Paramètres!$E$28+S518/Paramètres!$E$29+T518/Paramètres!$E$30+U518/Paramètres!$E$31+V518/Paramètres!$E$32+W518/Paramètres!$E$33+X518/Paramètres!$E$34+Y518/Paramètres!$E$35,1)</f>
        <v>2.8</v>
      </c>
      <c r="AA518" s="22" t="s">
        <v>109</v>
      </c>
      <c r="AB518" s="22" t="s">
        <v>109</v>
      </c>
      <c r="AC518" s="15" t="str">
        <f aca="false">$E518</f>
        <v>or</v>
      </c>
      <c r="AD518" s="16" t="n">
        <f aca="false" t="array" ref="AD518:AD518">IF($I518&gt;=$AI518,"Max",ROUND(Paramètres!$B$40*($I518+1)^Paramètres!$B$41*INDEX(Paramètres!$H$6:$H$12,$AF518),0))</f>
        <v>6</v>
      </c>
      <c r="AE518" s="23" t="n">
        <f aca="false">MATCH($B518&amp;"|"&amp;$C518,Profils!$A$5:$A$34,0)</f>
        <v>17</v>
      </c>
      <c r="AF518" s="23" t="n">
        <v>5</v>
      </c>
      <c r="AG518" s="24" t="n">
        <f aca="false" t="array" ref="AG518:AG518">INDEX(Paramètres!$C$6:$C$12,$AF518)</f>
        <v>2.1</v>
      </c>
      <c r="AH518" s="23" t="n">
        <f aca="false" t="array" ref="AH518:AH518">INDEX(Paramètres!$D$6:$D$12,$AF518)</f>
        <v>6</v>
      </c>
      <c r="AI518" s="23" t="n">
        <f aca="false" t="array" ref="AI518:AI518">INDEX(Matériaux!$C$16:$C$20,$D518)</f>
        <v>25</v>
      </c>
      <c r="AJ518" s="25" t="n">
        <f aca="false">Paramètres!$B$16+(1-Paramètres!$B$16)*(($J518-Paramètres!$B$14)/(Paramètres!$B$15-Paramètres!$B$14))^Paramètres!$B$17</f>
        <v>0.26769024555533</v>
      </c>
    </row>
    <row r="519" customFormat="false" ht="15.75" hidden="false" customHeight="true" outlineLevel="0" collapsed="false">
      <c r="A519" s="14" t="s">
        <v>635</v>
      </c>
      <c r="B519" s="15" t="s">
        <v>29</v>
      </c>
      <c r="C519" s="15" t="s">
        <v>305</v>
      </c>
      <c r="D519" s="16" t="n">
        <v>3</v>
      </c>
      <c r="E519" s="15" t="str">
        <f aca="false" t="array" ref="E519:E519">INDEX(Matériaux!$B$5:$F$12,MATCH(INDEX(Profils!$E$5:$E$34,$AE519),Matériaux!$A$5:$A$12,0),$D519)</f>
        <v>or</v>
      </c>
      <c r="F519" s="30" t="s">
        <v>119</v>
      </c>
      <c r="G519" s="10" t="str">
        <f aca="false" t="array" ref="G519:G519">INDEX(Profils!$D$5:$D$34,$AE519)&amp;" en "&amp;$E519</f>
        <v>Sceau en or</v>
      </c>
      <c r="H519" s="16" t="n">
        <f aca="false" t="array" ref="H519:H519">INDEX(Matériaux!$B$16:$B$20,$D519)</f>
        <v>30</v>
      </c>
      <c r="I519" s="16" t="n">
        <f aca="false">IF(ISNUMBER($C$3),MIN(MAX(0,ROUND($C$3,0)),$AI519),$AI519)</f>
        <v>0</v>
      </c>
      <c r="J519" s="18" t="n">
        <f aca="false">$H519+$I519</f>
        <v>30</v>
      </c>
      <c r="K519" s="15" t="s">
        <v>109</v>
      </c>
      <c r="L519" s="19" t="n">
        <f aca="false" t="array" ref="L519:L519">IF(AND(INDEX(Profils!$F$5:$F$34,$AE519)&gt;0,INDEX(Profils!$U$5:$U$34,$AE519)&lt;=$AH519),ROUND(INDEX(Profils!$F$5:$F$34,$AE519)*Paramètres!$E$22*$AG519*$AJ519,Paramètres!$F$22),0)</f>
        <v>16</v>
      </c>
      <c r="M519" s="19" t="n">
        <f aca="false" t="array" ref="M519:M519">IF(AND(INDEX(Profils!$G$5:$G$34,$AE519)&gt;0,INDEX(Profils!$V$5:$V$34,$AE519)&lt;=$AH519),ROUND(INDEX(Profils!$G$5:$G$34,$AE519)*Paramètres!$E$23*$AG519*$AJ519,Paramètres!$F$23),0)</f>
        <v>0</v>
      </c>
      <c r="N519" s="19" t="n">
        <f aca="false" t="array" ref="N519:N519">IF(AND(INDEX(Profils!$H$5:$H$34,$AE519)&gt;0,INDEX(Profils!$W$5:$W$34,$AE519)&lt;=$AH519),ROUND(INDEX(Profils!$H$5:$H$34,$AE519)*Paramètres!$E$24*$AG519*$AJ519,Paramètres!$F$24),0)</f>
        <v>0</v>
      </c>
      <c r="O519" s="19" t="n">
        <f aca="false" t="array" ref="O519:O519">IF(AND(INDEX(Profils!$I$5:$I$34,$AE519)&gt;0,INDEX(Profils!$X$5:$X$34,$AE519)&lt;=$AH519),ROUND(INDEX(Profils!$I$5:$I$34,$AE519)*Paramètres!$E$25*$AG519*$AJ519,Paramètres!$F$25),0)</f>
        <v>6</v>
      </c>
      <c r="P519" s="19" t="n">
        <f aca="false" t="array" ref="P519:P519">IF(AND(INDEX(Profils!$J$5:$J$34,$AE519)&gt;0,INDEX(Profils!$Y$5:$Y$34,$AE519)&lt;=$AH519),ROUND(INDEX(Profils!$J$5:$J$34,$AE519)*Paramètres!$E$26*$AG519*$AJ519,Paramètres!$F$26),0)</f>
        <v>5</v>
      </c>
      <c r="Q519" s="19" t="n">
        <f aca="false" t="array" ref="Q519:Q519">IF(AND(INDEX(Profils!$K$5:$K$34,$AE519)&gt;0,INDEX(Profils!$Z$5:$Z$34,$AE519)&lt;=$AH519),ROUND(INDEX(Profils!$K$5:$K$34,$AE519)*Paramètres!$E$27*$AG519*$AJ519,Paramètres!$F$27),0)</f>
        <v>4</v>
      </c>
      <c r="R519" s="20" t="n">
        <f aca="false" t="array" ref="R519:R519">IF(AND(INDEX(Profils!$L$5:$L$34,$AE519)&gt;0,INDEX(Profils!$AA$5:$AA$34,$AE519)&lt;=$AH519),ROUND(INDEX(Profils!$L$5:$L$34,$AE519)*Paramètres!$E$28*$AG519*$AJ519,Paramètres!$F$28),0)</f>
        <v>0</v>
      </c>
      <c r="S519" s="20" t="n">
        <f aca="false" t="array" ref="S519:S519">IF(AND(INDEX(Profils!$M$5:$M$34,$AE519)&gt;0,INDEX(Profils!$AB$5:$AB$34,$AE519)&lt;=$AH519),ROUND(INDEX(Profils!$M$5:$M$34,$AE519)*Paramètres!$E$29*$AG519*$AJ519,Paramètres!$F$29),0)</f>
        <v>0</v>
      </c>
      <c r="T519" s="20" t="n">
        <f aca="false" t="array" ref="T519:T519">IF(AND(INDEX(Profils!$N$5:$N$34,$AE519)&gt;0,INDEX(Profils!$AC$5:$AC$34,$AE519)&lt;=$AH519),ROUND(INDEX(Profils!$N$5:$N$34,$AE519)*Paramètres!$E$30*$AG519*$AJ519,Paramètres!$F$30),0)</f>
        <v>0</v>
      </c>
      <c r="U519" s="19" t="n">
        <f aca="false" t="array" ref="U519:U519">IF(AND(INDEX(Profils!$O$5:$O$34,$AE519)&gt;0,INDEX(Profils!$AD$5:$AD$34,$AE519)&lt;=$AH519),ROUND(INDEX(Profils!$O$5:$O$34,$AE519)*Paramètres!$E$31*$AG519*$AJ519,Paramètres!$F$31),0)</f>
        <v>0</v>
      </c>
      <c r="V519" s="20" t="n">
        <f aca="false" t="array" ref="V519:V519">IF(AND(INDEX(Profils!$P$5:$P$34,$AE519)&gt;0,INDEX(Profils!$AE$5:$AE$34,$AE519)&lt;=$AH519),ROUND(INDEX(Profils!$P$5:$P$34,$AE519)*Paramètres!$E$32*$AG519*$AJ519,Paramètres!$F$32),0)</f>
        <v>0</v>
      </c>
      <c r="W519" s="20" t="n">
        <f aca="false" t="array" ref="W519:W519">IF(AND(INDEX(Profils!$Q$5:$Q$34,$AE519)&gt;0,INDEX(Profils!$AF$5:$AF$34,$AE519)&lt;=$AH519),ROUND(INDEX(Profils!$Q$5:$Q$34,$AE519)*Paramètres!$E$33*$AG519*$AJ519,Paramètres!$F$33),0)</f>
        <v>0.01</v>
      </c>
      <c r="X519" s="20" t="n">
        <f aca="false" t="array" ref="X519:X519">IF(AND(INDEX(Profils!$R$5:$R$34,$AE519)&gt;0,INDEX(Profils!$AG$5:$AG$34,$AE519)&lt;=$AH519),ROUND(INDEX(Profils!$R$5:$R$34,$AE519)*Paramètres!$E$34*$AG519*$AJ519,Paramètres!$F$34),0)</f>
        <v>0.01</v>
      </c>
      <c r="Y519" s="20" t="n">
        <f aca="false" t="array" ref="Y519:Y519">IF(AND(INDEX(Profils!$S$5:$S$34,$AE519)&gt;0,INDEX(Profils!$AH$5:$AH$34,$AE519)&lt;=$AH519),ROUND(INDEX(Profils!$S$5:$S$34,$AE519)*Paramètres!$E$35*$AG519*$AJ519,Paramètres!$F$35),0)</f>
        <v>0.01</v>
      </c>
      <c r="Z519" s="21" t="n">
        <f aca="false">ROUND(L519/Paramètres!$E$22+M519/Paramètres!$E$23+N519/Paramètres!$E$24+O519/Paramètres!$E$25+P519/Paramètres!$E$26+Q519/Paramètres!$E$27+R519/Paramètres!$E$28+S519/Paramètres!$E$29+T519/Paramètres!$E$30+U519/Paramètres!$E$31+V519/Paramètres!$E$32+W519/Paramètres!$E$33+X519/Paramètres!$E$34+Y519/Paramètres!$E$35,1)</f>
        <v>3.7</v>
      </c>
      <c r="AA519" s="22" t="s">
        <v>109</v>
      </c>
      <c r="AB519" s="22" t="s">
        <v>109</v>
      </c>
      <c r="AC519" s="15" t="str">
        <f aca="false">$E519</f>
        <v>or</v>
      </c>
      <c r="AD519" s="16" t="n">
        <f aca="false" t="array" ref="AD519:AD519">IF($I519&gt;=$AI519,"Max",ROUND(Paramètres!$B$40*($I519+1)^Paramètres!$B$41*INDEX(Paramètres!$H$6:$H$12,$AF519),0))</f>
        <v>8</v>
      </c>
      <c r="AE519" s="23" t="n">
        <f aca="false">MATCH($B519&amp;"|"&amp;$C519,Profils!$A$5:$A$34,0)</f>
        <v>17</v>
      </c>
      <c r="AF519" s="23" t="n">
        <v>6</v>
      </c>
      <c r="AG519" s="24" t="n">
        <f aca="false" t="array" ref="AG519:AG519">INDEX(Paramètres!$C$6:$C$12,$AF519)</f>
        <v>2.4</v>
      </c>
      <c r="AH519" s="23" t="n">
        <f aca="false" t="array" ref="AH519:AH519">INDEX(Paramètres!$D$6:$D$12,$AF519)</f>
        <v>7</v>
      </c>
      <c r="AI519" s="23" t="n">
        <f aca="false" t="array" ref="AI519:AI519">INDEX(Matériaux!$C$16:$C$20,$D519)</f>
        <v>25</v>
      </c>
      <c r="AJ519" s="25" t="n">
        <f aca="false">Paramètres!$B$16+(1-Paramètres!$B$16)*(($J519-Paramètres!$B$14)/(Paramètres!$B$15-Paramètres!$B$14))^Paramètres!$B$17</f>
        <v>0.26769024555533</v>
      </c>
    </row>
    <row r="520" customFormat="false" ht="15.75" hidden="false" customHeight="true" outlineLevel="0" collapsed="false">
      <c r="A520" s="14" t="s">
        <v>636</v>
      </c>
      <c r="B520" s="15" t="s">
        <v>29</v>
      </c>
      <c r="C520" s="15" t="s">
        <v>305</v>
      </c>
      <c r="D520" s="16" t="n">
        <v>4</v>
      </c>
      <c r="E520" s="15" t="str">
        <f aca="false" t="array" ref="E520:E520">INDEX(Matériaux!$B$5:$F$12,MATCH(INDEX(Profils!$E$5:$E$34,$AE520),Matériaux!$A$5:$A$12,0),$D520)</f>
        <v>platine</v>
      </c>
      <c r="F520" s="17" t="s">
        <v>108</v>
      </c>
      <c r="G520" s="10" t="str">
        <f aca="false" t="array" ref="G520:G520">INDEX(Profils!$D$5:$D$34,$AE520)&amp;" en "&amp;$E520</f>
        <v>Sceau en platine</v>
      </c>
      <c r="H520" s="16" t="n">
        <f aca="false" t="array" ref="H520:H520">INDEX(Matériaux!$B$16:$B$20,$D520)</f>
        <v>50</v>
      </c>
      <c r="I520" s="16" t="n">
        <f aca="false">IF(ISNUMBER($C$3),MIN(MAX(0,ROUND($C$3,0)),$AI520),$AI520)</f>
        <v>0</v>
      </c>
      <c r="J520" s="18" t="n">
        <f aca="false">$H520+$I520</f>
        <v>50</v>
      </c>
      <c r="K520" s="15" t="s">
        <v>109</v>
      </c>
      <c r="L520" s="19" t="n">
        <f aca="false" t="array" ref="L520:L520">IF(AND(INDEX(Profils!$F$5:$F$34,$AE520)&gt;0,INDEX(Profils!$U$5:$U$34,$AE520)&lt;=$AH520),ROUND(INDEX(Profils!$F$5:$F$34,$AE520)*Paramètres!$E$22*$AG520*$AJ520,Paramètres!$F$22),0)</f>
        <v>11</v>
      </c>
      <c r="M520" s="19" t="n">
        <f aca="false" t="array" ref="M520:M520">IF(AND(INDEX(Profils!$G$5:$G$34,$AE520)&gt;0,INDEX(Profils!$V$5:$V$34,$AE520)&lt;=$AH520),ROUND(INDEX(Profils!$G$5:$G$34,$AE520)*Paramètres!$E$23*$AG520*$AJ520,Paramètres!$F$23),0)</f>
        <v>0</v>
      </c>
      <c r="N520" s="19" t="n">
        <f aca="false" t="array" ref="N520:N520">IF(AND(INDEX(Profils!$H$5:$H$34,$AE520)&gt;0,INDEX(Profils!$W$5:$W$34,$AE520)&lt;=$AH520),ROUND(INDEX(Profils!$H$5:$H$34,$AE520)*Paramètres!$E$24*$AG520*$AJ520,Paramètres!$F$24),0)</f>
        <v>0</v>
      </c>
      <c r="O520" s="19" t="n">
        <f aca="false" t="array" ref="O520:O520">IF(AND(INDEX(Profils!$I$5:$I$34,$AE520)&gt;0,INDEX(Profils!$X$5:$X$34,$AE520)&lt;=$AH520),ROUND(INDEX(Profils!$I$5:$I$34,$AE520)*Paramètres!$E$25*$AG520*$AJ520,Paramètres!$F$25),0)</f>
        <v>0</v>
      </c>
      <c r="P520" s="19" t="n">
        <f aca="false" t="array" ref="P520:P520">IF(AND(INDEX(Profils!$J$5:$J$34,$AE520)&gt;0,INDEX(Profils!$Y$5:$Y$34,$AE520)&lt;=$AH520),ROUND(INDEX(Profils!$J$5:$J$34,$AE520)*Paramètres!$E$26*$AG520*$AJ520,Paramètres!$F$26),0)</f>
        <v>0</v>
      </c>
      <c r="Q520" s="19" t="n">
        <f aca="false" t="array" ref="Q520:Q520">IF(AND(INDEX(Profils!$K$5:$K$34,$AE520)&gt;0,INDEX(Profils!$Z$5:$Z$34,$AE520)&lt;=$AH520),ROUND(INDEX(Profils!$K$5:$K$34,$AE520)*Paramètres!$E$27*$AG520*$AJ520,Paramètres!$F$27),0)</f>
        <v>0</v>
      </c>
      <c r="R520" s="20" t="n">
        <f aca="false" t="array" ref="R520:R520">IF(AND(INDEX(Profils!$L$5:$L$34,$AE520)&gt;0,INDEX(Profils!$AA$5:$AA$34,$AE520)&lt;=$AH520),ROUND(INDEX(Profils!$L$5:$L$34,$AE520)*Paramètres!$E$28*$AG520*$AJ520,Paramètres!$F$28),0)</f>
        <v>0</v>
      </c>
      <c r="S520" s="20" t="n">
        <f aca="false" t="array" ref="S520:S520">IF(AND(INDEX(Profils!$M$5:$M$34,$AE520)&gt;0,INDEX(Profils!$AB$5:$AB$34,$AE520)&lt;=$AH520),ROUND(INDEX(Profils!$M$5:$M$34,$AE520)*Paramètres!$E$29*$AG520*$AJ520,Paramètres!$F$29),0)</f>
        <v>0</v>
      </c>
      <c r="T520" s="20" t="n">
        <f aca="false" t="array" ref="T520:T520">IF(AND(INDEX(Profils!$N$5:$N$34,$AE520)&gt;0,INDEX(Profils!$AC$5:$AC$34,$AE520)&lt;=$AH520),ROUND(INDEX(Profils!$N$5:$N$34,$AE520)*Paramètres!$E$30*$AG520*$AJ520,Paramètres!$F$30),0)</f>
        <v>0</v>
      </c>
      <c r="U520" s="19" t="n">
        <f aca="false" t="array" ref="U520:U520">IF(AND(INDEX(Profils!$O$5:$O$34,$AE520)&gt;0,INDEX(Profils!$AD$5:$AD$34,$AE520)&lt;=$AH520),ROUND(INDEX(Profils!$O$5:$O$34,$AE520)*Paramètres!$E$31*$AG520*$AJ520,Paramètres!$F$31),0)</f>
        <v>0</v>
      </c>
      <c r="V520" s="20" t="n">
        <f aca="false" t="array" ref="V520:V520">IF(AND(INDEX(Profils!$P$5:$P$34,$AE520)&gt;0,INDEX(Profils!$AE$5:$AE$34,$AE520)&lt;=$AH520),ROUND(INDEX(Profils!$P$5:$P$34,$AE520)*Paramètres!$E$32*$AG520*$AJ520,Paramètres!$F$32),0)</f>
        <v>0</v>
      </c>
      <c r="W520" s="20" t="n">
        <f aca="false" t="array" ref="W520:W520">IF(AND(INDEX(Profils!$Q$5:$Q$34,$AE520)&gt;0,INDEX(Profils!$AF$5:$AF$34,$AE520)&lt;=$AH520),ROUND(INDEX(Profils!$Q$5:$Q$34,$AE520)*Paramètres!$E$33*$AG520*$AJ520,Paramètres!$F$33),0)</f>
        <v>0.007</v>
      </c>
      <c r="X520" s="20" t="n">
        <f aca="false" t="array" ref="X520:X520">IF(AND(INDEX(Profils!$R$5:$R$34,$AE520)&gt;0,INDEX(Profils!$AG$5:$AG$34,$AE520)&lt;=$AH520),ROUND(INDEX(Profils!$R$5:$R$34,$AE520)*Paramètres!$E$34*$AG520*$AJ520,Paramètres!$F$34),0)</f>
        <v>0</v>
      </c>
      <c r="Y520" s="20" t="n">
        <f aca="false" t="array" ref="Y520:Y520">IF(AND(INDEX(Profils!$S$5:$S$34,$AE520)&gt;0,INDEX(Profils!$AH$5:$AH$34,$AE520)&lt;=$AH520),ROUND(INDEX(Profils!$S$5:$S$34,$AE520)*Paramètres!$E$35*$AG520*$AJ520,Paramètres!$F$35),0)</f>
        <v>0</v>
      </c>
      <c r="Z520" s="21" t="n">
        <f aca="false">ROUND(L520/Paramètres!$E$22+M520/Paramètres!$E$23+N520/Paramètres!$E$24+O520/Paramètres!$E$25+P520/Paramètres!$E$26+Q520/Paramètres!$E$27+R520/Paramètres!$E$28+S520/Paramètres!$E$29+T520/Paramètres!$E$30+U520/Paramètres!$E$31+V520/Paramètres!$E$32+W520/Paramètres!$E$33+X520/Paramètres!$E$34+Y520/Paramètres!$E$35,1)</f>
        <v>0.9</v>
      </c>
      <c r="AA520" s="22" t="s">
        <v>109</v>
      </c>
      <c r="AB520" s="22" t="s">
        <v>109</v>
      </c>
      <c r="AC520" s="15" t="str">
        <f aca="false">$E520</f>
        <v>platine</v>
      </c>
      <c r="AD520" s="16" t="n">
        <f aca="false" t="array" ref="AD520:AD520">IF($I520&gt;=$AI520,"Max",ROUND(Paramètres!$B$40*($I520+1)^Paramètres!$B$41*INDEX(Paramètres!$H$6:$H$12,$AF520),0))</f>
        <v>3</v>
      </c>
      <c r="AE520" s="23" t="n">
        <f aca="false">MATCH($B520&amp;"|"&amp;$C520,Profils!$A$5:$A$34,0)</f>
        <v>17</v>
      </c>
      <c r="AF520" s="23" t="n">
        <v>1</v>
      </c>
      <c r="AG520" s="24" t="n">
        <f aca="false" t="array" ref="AG520:AG520">INDEX(Paramètres!$C$6:$C$12,$AF520)</f>
        <v>1</v>
      </c>
      <c r="AH520" s="23" t="n">
        <f aca="false" t="array" ref="AH520:AH520">INDEX(Paramètres!$D$6:$D$12,$AF520)</f>
        <v>2</v>
      </c>
      <c r="AI520" s="23" t="n">
        <f aca="false" t="array" ref="AI520:AI520">INDEX(Matériaux!$C$16:$C$20,$D520)</f>
        <v>25</v>
      </c>
      <c r="AJ520" s="25" t="n">
        <f aca="false">Paramètres!$B$16+(1-Paramètres!$B$16)*(($J520-Paramètres!$B$14)/(Paramètres!$B$15-Paramètres!$B$14))^Paramètres!$B$17</f>
        <v>0.458504333336152</v>
      </c>
    </row>
    <row r="521" customFormat="false" ht="15.75" hidden="false" customHeight="true" outlineLevel="0" collapsed="false">
      <c r="A521" s="14" t="s">
        <v>637</v>
      </c>
      <c r="B521" s="15" t="s">
        <v>29</v>
      </c>
      <c r="C521" s="15" t="s">
        <v>305</v>
      </c>
      <c r="D521" s="16" t="n">
        <v>4</v>
      </c>
      <c r="E521" s="15" t="str">
        <f aca="false" t="array" ref="E521:E521">INDEX(Matériaux!$B$5:$F$12,MATCH(INDEX(Profils!$E$5:$E$34,$AE521),Matériaux!$A$5:$A$12,0),$D521)</f>
        <v>platine</v>
      </c>
      <c r="F521" s="26" t="s">
        <v>111</v>
      </c>
      <c r="G521" s="10" t="str">
        <f aca="false" t="array" ref="G521:G521">INDEX(Profils!$D$5:$D$34,$AE521)&amp;" en "&amp;$E521</f>
        <v>Sceau en platine</v>
      </c>
      <c r="H521" s="16" t="n">
        <f aca="false" t="array" ref="H521:H521">INDEX(Matériaux!$B$16:$B$20,$D521)</f>
        <v>50</v>
      </c>
      <c r="I521" s="16" t="n">
        <f aca="false">IF(ISNUMBER($C$3),MIN(MAX(0,ROUND($C$3,0)),$AI521),$AI521)</f>
        <v>0</v>
      </c>
      <c r="J521" s="18" t="n">
        <f aca="false">$H521+$I521</f>
        <v>50</v>
      </c>
      <c r="K521" s="15" t="s">
        <v>109</v>
      </c>
      <c r="L521" s="19" t="n">
        <f aca="false" t="array" ref="L521:L521">IF(AND(INDEX(Profils!$F$5:$F$34,$AE521)&gt;0,INDEX(Profils!$U$5:$U$34,$AE521)&lt;=$AH521),ROUND(INDEX(Profils!$F$5:$F$34,$AE521)*Paramètres!$E$22*$AG521*$AJ521,Paramètres!$F$22),0)</f>
        <v>14</v>
      </c>
      <c r="M521" s="19" t="n">
        <f aca="false" t="array" ref="M521:M521">IF(AND(INDEX(Profils!$G$5:$G$34,$AE521)&gt;0,INDEX(Profils!$V$5:$V$34,$AE521)&lt;=$AH521),ROUND(INDEX(Profils!$G$5:$G$34,$AE521)*Paramètres!$E$23*$AG521*$AJ521,Paramètres!$F$23),0)</f>
        <v>0</v>
      </c>
      <c r="N521" s="19" t="n">
        <f aca="false" t="array" ref="N521:N521">IF(AND(INDEX(Profils!$H$5:$H$34,$AE521)&gt;0,INDEX(Profils!$W$5:$W$34,$AE521)&lt;=$AH521),ROUND(INDEX(Profils!$H$5:$H$34,$AE521)*Paramètres!$E$24*$AG521*$AJ521,Paramètres!$F$24),0)</f>
        <v>0</v>
      </c>
      <c r="O521" s="19" t="n">
        <f aca="false" t="array" ref="O521:O521">IF(AND(INDEX(Profils!$I$5:$I$34,$AE521)&gt;0,INDEX(Profils!$X$5:$X$34,$AE521)&lt;=$AH521),ROUND(INDEX(Profils!$I$5:$I$34,$AE521)*Paramètres!$E$25*$AG521*$AJ521,Paramètres!$F$25),0)</f>
        <v>0</v>
      </c>
      <c r="P521" s="19" t="n">
        <f aca="false" t="array" ref="P521:P521">IF(AND(INDEX(Profils!$J$5:$J$34,$AE521)&gt;0,INDEX(Profils!$Y$5:$Y$34,$AE521)&lt;=$AH521),ROUND(INDEX(Profils!$J$5:$J$34,$AE521)*Paramètres!$E$26*$AG521*$AJ521,Paramètres!$F$26),0)</f>
        <v>0</v>
      </c>
      <c r="Q521" s="19" t="n">
        <f aca="false" t="array" ref="Q521:Q521">IF(AND(INDEX(Profils!$K$5:$K$34,$AE521)&gt;0,INDEX(Profils!$Z$5:$Z$34,$AE521)&lt;=$AH521),ROUND(INDEX(Profils!$K$5:$K$34,$AE521)*Paramètres!$E$27*$AG521*$AJ521,Paramètres!$F$27),0)</f>
        <v>0</v>
      </c>
      <c r="R521" s="20" t="n">
        <f aca="false" t="array" ref="R521:R521">IF(AND(INDEX(Profils!$L$5:$L$34,$AE521)&gt;0,INDEX(Profils!$AA$5:$AA$34,$AE521)&lt;=$AH521),ROUND(INDEX(Profils!$L$5:$L$34,$AE521)*Paramètres!$E$28*$AG521*$AJ521,Paramètres!$F$28),0)</f>
        <v>0</v>
      </c>
      <c r="S521" s="20" t="n">
        <f aca="false" t="array" ref="S521:S521">IF(AND(INDEX(Profils!$M$5:$M$34,$AE521)&gt;0,INDEX(Profils!$AB$5:$AB$34,$AE521)&lt;=$AH521),ROUND(INDEX(Profils!$M$5:$M$34,$AE521)*Paramètres!$E$29*$AG521*$AJ521,Paramètres!$F$29),0)</f>
        <v>0</v>
      </c>
      <c r="T521" s="20" t="n">
        <f aca="false" t="array" ref="T521:T521">IF(AND(INDEX(Profils!$N$5:$N$34,$AE521)&gt;0,INDEX(Profils!$AC$5:$AC$34,$AE521)&lt;=$AH521),ROUND(INDEX(Profils!$N$5:$N$34,$AE521)*Paramètres!$E$30*$AG521*$AJ521,Paramètres!$F$30),0)</f>
        <v>0</v>
      </c>
      <c r="U521" s="19" t="n">
        <f aca="false" t="array" ref="U521:U521">IF(AND(INDEX(Profils!$O$5:$O$34,$AE521)&gt;0,INDEX(Profils!$AD$5:$AD$34,$AE521)&lt;=$AH521),ROUND(INDEX(Profils!$O$5:$O$34,$AE521)*Paramètres!$E$31*$AG521*$AJ521,Paramètres!$F$31),0)</f>
        <v>0</v>
      </c>
      <c r="V521" s="20" t="n">
        <f aca="false" t="array" ref="V521:V521">IF(AND(INDEX(Profils!$P$5:$P$34,$AE521)&gt;0,INDEX(Profils!$AE$5:$AE$34,$AE521)&lt;=$AH521),ROUND(INDEX(Profils!$P$5:$P$34,$AE521)*Paramètres!$E$32*$AG521*$AJ521,Paramètres!$F$32),0)</f>
        <v>0</v>
      </c>
      <c r="W521" s="20" t="n">
        <f aca="false" t="array" ref="W521:W521">IF(AND(INDEX(Profils!$Q$5:$Q$34,$AE521)&gt;0,INDEX(Profils!$AF$5:$AF$34,$AE521)&lt;=$AH521),ROUND(INDEX(Profils!$Q$5:$Q$34,$AE521)*Paramètres!$E$33*$AG521*$AJ521,Paramètres!$F$33),0)</f>
        <v>0.008</v>
      </c>
      <c r="X521" s="20" t="n">
        <f aca="false" t="array" ref="X521:X521">IF(AND(INDEX(Profils!$R$5:$R$34,$AE521)&gt;0,INDEX(Profils!$AG$5:$AG$34,$AE521)&lt;=$AH521),ROUND(INDEX(Profils!$R$5:$R$34,$AE521)*Paramètres!$E$34*$AG521*$AJ521,Paramètres!$F$34),0)</f>
        <v>0</v>
      </c>
      <c r="Y521" s="20" t="n">
        <f aca="false" t="array" ref="Y521:Y521">IF(AND(INDEX(Profils!$S$5:$S$34,$AE521)&gt;0,INDEX(Profils!$AH$5:$AH$34,$AE521)&lt;=$AH521),ROUND(INDEX(Profils!$S$5:$S$34,$AE521)*Paramètres!$E$35*$AG521*$AJ521,Paramètres!$F$35),0)</f>
        <v>0.008</v>
      </c>
      <c r="Z521" s="21" t="n">
        <f aca="false">ROUND(L521/Paramètres!$E$22+M521/Paramètres!$E$23+N521/Paramètres!$E$24+O521/Paramètres!$E$25+P521/Paramètres!$E$26+Q521/Paramètres!$E$27+R521/Paramètres!$E$28+S521/Paramètres!$E$29+T521/Paramètres!$E$30+U521/Paramètres!$E$31+V521/Paramètres!$E$32+W521/Paramètres!$E$33+X521/Paramètres!$E$34+Y521/Paramètres!$E$35,1)</f>
        <v>1.6</v>
      </c>
      <c r="AA521" s="22" t="s">
        <v>109</v>
      </c>
      <c r="AB521" s="22" t="s">
        <v>109</v>
      </c>
      <c r="AC521" s="15" t="str">
        <f aca="false">$E521</f>
        <v>platine</v>
      </c>
      <c r="AD521" s="16" t="n">
        <f aca="false" t="array" ref="AD521:AD521">IF($I521&gt;=$AI521,"Max",ROUND(Paramètres!$B$40*($I521+1)^Paramètres!$B$41*INDEX(Paramètres!$H$6:$H$12,$AF521),0))</f>
        <v>4</v>
      </c>
      <c r="AE521" s="23" t="n">
        <f aca="false">MATCH($B521&amp;"|"&amp;$C521,Profils!$A$5:$A$34,0)</f>
        <v>17</v>
      </c>
      <c r="AF521" s="23" t="n">
        <v>2</v>
      </c>
      <c r="AG521" s="24" t="n">
        <f aca="false" t="array" ref="AG521:AG521">INDEX(Paramètres!$C$6:$C$12,$AF521)</f>
        <v>1.2</v>
      </c>
      <c r="AH521" s="23" t="n">
        <f aca="false" t="array" ref="AH521:AH521">INDEX(Paramètres!$D$6:$D$12,$AF521)</f>
        <v>3</v>
      </c>
      <c r="AI521" s="23" t="n">
        <f aca="false" t="array" ref="AI521:AI521">INDEX(Matériaux!$C$16:$C$20,$D521)</f>
        <v>25</v>
      </c>
      <c r="AJ521" s="25" t="n">
        <f aca="false">Paramètres!$B$16+(1-Paramètres!$B$16)*(($J521-Paramètres!$B$14)/(Paramètres!$B$15-Paramètres!$B$14))^Paramètres!$B$17</f>
        <v>0.458504333336152</v>
      </c>
    </row>
    <row r="522" customFormat="false" ht="15.75" hidden="false" customHeight="true" outlineLevel="0" collapsed="false">
      <c r="A522" s="14" t="s">
        <v>638</v>
      </c>
      <c r="B522" s="15" t="s">
        <v>29</v>
      </c>
      <c r="C522" s="15" t="s">
        <v>305</v>
      </c>
      <c r="D522" s="16" t="n">
        <v>4</v>
      </c>
      <c r="E522" s="15" t="str">
        <f aca="false" t="array" ref="E522:E522">INDEX(Matériaux!$B$5:$F$12,MATCH(INDEX(Profils!$E$5:$E$34,$AE522),Matériaux!$A$5:$A$12,0),$D522)</f>
        <v>platine</v>
      </c>
      <c r="F522" s="27" t="s">
        <v>113</v>
      </c>
      <c r="G522" s="10" t="str">
        <f aca="false" t="array" ref="G522:G522">INDEX(Profils!$D$5:$D$34,$AE522)&amp;" en "&amp;$E522</f>
        <v>Sceau en platine</v>
      </c>
      <c r="H522" s="16" t="n">
        <f aca="false" t="array" ref="H522:H522">INDEX(Matériaux!$B$16:$B$20,$D522)</f>
        <v>50</v>
      </c>
      <c r="I522" s="16" t="n">
        <f aca="false">IF(ISNUMBER($C$3),MIN(MAX(0,ROUND($C$3,0)),$AI522),$AI522)</f>
        <v>0</v>
      </c>
      <c r="J522" s="18" t="n">
        <f aca="false">$H522+$I522</f>
        <v>50</v>
      </c>
      <c r="K522" s="15" t="s">
        <v>109</v>
      </c>
      <c r="L522" s="19" t="n">
        <f aca="false" t="array" ref="L522:L522">IF(AND(INDEX(Profils!$F$5:$F$34,$AE522)&gt;0,INDEX(Profils!$U$5:$U$34,$AE522)&lt;=$AH522),ROUND(INDEX(Profils!$F$5:$F$34,$AE522)*Paramètres!$E$22*$AG522*$AJ522,Paramètres!$F$22),0)</f>
        <v>17</v>
      </c>
      <c r="M522" s="19" t="n">
        <f aca="false" t="array" ref="M522:M522">IF(AND(INDEX(Profils!$G$5:$G$34,$AE522)&gt;0,INDEX(Profils!$V$5:$V$34,$AE522)&lt;=$AH522),ROUND(INDEX(Profils!$G$5:$G$34,$AE522)*Paramètres!$E$23*$AG522*$AJ522,Paramètres!$F$23),0)</f>
        <v>0</v>
      </c>
      <c r="N522" s="19" t="n">
        <f aca="false" t="array" ref="N522:N522">IF(AND(INDEX(Profils!$H$5:$H$34,$AE522)&gt;0,INDEX(Profils!$W$5:$W$34,$AE522)&lt;=$AH522),ROUND(INDEX(Profils!$H$5:$H$34,$AE522)*Paramètres!$E$24*$AG522*$AJ522,Paramètres!$F$24),0)</f>
        <v>0</v>
      </c>
      <c r="O522" s="19" t="n">
        <f aca="false" t="array" ref="O522:O522">IF(AND(INDEX(Profils!$I$5:$I$34,$AE522)&gt;0,INDEX(Profils!$X$5:$X$34,$AE522)&lt;=$AH522),ROUND(INDEX(Profils!$I$5:$I$34,$AE522)*Paramètres!$E$25*$AG522*$AJ522,Paramètres!$F$25),0)</f>
        <v>0</v>
      </c>
      <c r="P522" s="19" t="n">
        <f aca="false" t="array" ref="P522:P522">IF(AND(INDEX(Profils!$J$5:$J$34,$AE522)&gt;0,INDEX(Profils!$Y$5:$Y$34,$AE522)&lt;=$AH522),ROUND(INDEX(Profils!$J$5:$J$34,$AE522)*Paramètres!$E$26*$AG522*$AJ522,Paramètres!$F$26),0)</f>
        <v>0</v>
      </c>
      <c r="Q522" s="19" t="n">
        <f aca="false" t="array" ref="Q522:Q522">IF(AND(INDEX(Profils!$K$5:$K$34,$AE522)&gt;0,INDEX(Profils!$Z$5:$Z$34,$AE522)&lt;=$AH522),ROUND(INDEX(Profils!$K$5:$K$34,$AE522)*Paramètres!$E$27*$AG522*$AJ522,Paramètres!$F$27),0)</f>
        <v>0</v>
      </c>
      <c r="R522" s="20" t="n">
        <f aca="false" t="array" ref="R522:R522">IF(AND(INDEX(Profils!$L$5:$L$34,$AE522)&gt;0,INDEX(Profils!$AA$5:$AA$34,$AE522)&lt;=$AH522),ROUND(INDEX(Profils!$L$5:$L$34,$AE522)*Paramètres!$E$28*$AG522*$AJ522,Paramètres!$F$28),0)</f>
        <v>0</v>
      </c>
      <c r="S522" s="20" t="n">
        <f aca="false" t="array" ref="S522:S522">IF(AND(INDEX(Profils!$M$5:$M$34,$AE522)&gt;0,INDEX(Profils!$AB$5:$AB$34,$AE522)&lt;=$AH522),ROUND(INDEX(Profils!$M$5:$M$34,$AE522)*Paramètres!$E$29*$AG522*$AJ522,Paramètres!$F$29),0)</f>
        <v>0</v>
      </c>
      <c r="T522" s="20" t="n">
        <f aca="false" t="array" ref="T522:T522">IF(AND(INDEX(Profils!$N$5:$N$34,$AE522)&gt;0,INDEX(Profils!$AC$5:$AC$34,$AE522)&lt;=$AH522),ROUND(INDEX(Profils!$N$5:$N$34,$AE522)*Paramètres!$E$30*$AG522*$AJ522,Paramètres!$F$30),0)</f>
        <v>0</v>
      </c>
      <c r="U522" s="19" t="n">
        <f aca="false" t="array" ref="U522:U522">IF(AND(INDEX(Profils!$O$5:$O$34,$AE522)&gt;0,INDEX(Profils!$AD$5:$AD$34,$AE522)&lt;=$AH522),ROUND(INDEX(Profils!$O$5:$O$34,$AE522)*Paramètres!$E$31*$AG522*$AJ522,Paramètres!$F$31),0)</f>
        <v>0</v>
      </c>
      <c r="V522" s="20" t="n">
        <f aca="false" t="array" ref="V522:V522">IF(AND(INDEX(Profils!$P$5:$P$34,$AE522)&gt;0,INDEX(Profils!$AE$5:$AE$34,$AE522)&lt;=$AH522),ROUND(INDEX(Profils!$P$5:$P$34,$AE522)*Paramètres!$E$32*$AG522*$AJ522,Paramètres!$F$32),0)</f>
        <v>0</v>
      </c>
      <c r="W522" s="20" t="n">
        <f aca="false" t="array" ref="W522:W522">IF(AND(INDEX(Profils!$Q$5:$Q$34,$AE522)&gt;0,INDEX(Profils!$AF$5:$AF$34,$AE522)&lt;=$AH522),ROUND(INDEX(Profils!$Q$5:$Q$34,$AE522)*Paramètres!$E$33*$AG522*$AJ522,Paramètres!$F$33),0)</f>
        <v>0.01</v>
      </c>
      <c r="X522" s="20" t="n">
        <f aca="false" t="array" ref="X522:X522">IF(AND(INDEX(Profils!$R$5:$R$34,$AE522)&gt;0,INDEX(Profils!$AG$5:$AG$34,$AE522)&lt;=$AH522),ROUND(INDEX(Profils!$R$5:$R$34,$AE522)*Paramètres!$E$34*$AG522*$AJ522,Paramètres!$F$34),0)</f>
        <v>0.011</v>
      </c>
      <c r="Y522" s="20" t="n">
        <f aca="false" t="array" ref="Y522:Y522">IF(AND(INDEX(Profils!$S$5:$S$34,$AE522)&gt;0,INDEX(Profils!$AH$5:$AH$34,$AE522)&lt;=$AH522),ROUND(INDEX(Profils!$S$5:$S$34,$AE522)*Paramètres!$E$35*$AG522*$AJ522,Paramètres!$F$35),0)</f>
        <v>0.01</v>
      </c>
      <c r="Z522" s="21" t="n">
        <f aca="false">ROUND(L522/Paramètres!$E$22+M522/Paramètres!$E$23+N522/Paramètres!$E$24+O522/Paramètres!$E$25+P522/Paramètres!$E$26+Q522/Paramètres!$E$27+R522/Paramètres!$E$28+S522/Paramètres!$E$29+T522/Paramètres!$E$30+U522/Paramètres!$E$31+V522/Paramètres!$E$32+W522/Paramètres!$E$33+X522/Paramètres!$E$34+Y522/Paramètres!$E$35,1)</f>
        <v>2.6</v>
      </c>
      <c r="AA522" s="22" t="s">
        <v>109</v>
      </c>
      <c r="AB522" s="22" t="s">
        <v>109</v>
      </c>
      <c r="AC522" s="15" t="str">
        <f aca="false">$E522</f>
        <v>platine</v>
      </c>
      <c r="AD522" s="16" t="n">
        <f aca="false" t="array" ref="AD522:AD522">IF($I522&gt;=$AI522,"Max",ROUND(Paramètres!$B$40*($I522+1)^Paramètres!$B$41*INDEX(Paramètres!$H$6:$H$12,$AF522),0))</f>
        <v>4</v>
      </c>
      <c r="AE522" s="23" t="n">
        <f aca="false">MATCH($B522&amp;"|"&amp;$C522,Profils!$A$5:$A$34,0)</f>
        <v>17</v>
      </c>
      <c r="AF522" s="23" t="n">
        <v>3</v>
      </c>
      <c r="AG522" s="24" t="n">
        <f aca="false" t="array" ref="AG522:AG522">INDEX(Paramètres!$C$6:$C$12,$AF522)</f>
        <v>1.45</v>
      </c>
      <c r="AH522" s="23" t="n">
        <f aca="false" t="array" ref="AH522:AH522">INDEX(Paramètres!$D$6:$D$12,$AF522)</f>
        <v>4</v>
      </c>
      <c r="AI522" s="23" t="n">
        <f aca="false" t="array" ref="AI522:AI522">INDEX(Matériaux!$C$16:$C$20,$D522)</f>
        <v>25</v>
      </c>
      <c r="AJ522" s="25" t="n">
        <f aca="false">Paramètres!$B$16+(1-Paramètres!$B$16)*(($J522-Paramètres!$B$14)/(Paramètres!$B$15-Paramètres!$B$14))^Paramètres!$B$17</f>
        <v>0.458504333336152</v>
      </c>
    </row>
    <row r="523" customFormat="false" ht="15.75" hidden="false" customHeight="true" outlineLevel="0" collapsed="false">
      <c r="A523" s="14" t="s">
        <v>639</v>
      </c>
      <c r="B523" s="15" t="s">
        <v>29</v>
      </c>
      <c r="C523" s="15" t="s">
        <v>305</v>
      </c>
      <c r="D523" s="16" t="n">
        <v>4</v>
      </c>
      <c r="E523" s="15" t="str">
        <f aca="false" t="array" ref="E523:E523">INDEX(Matériaux!$B$5:$F$12,MATCH(INDEX(Profils!$E$5:$E$34,$AE523),Matériaux!$A$5:$A$12,0),$D523)</f>
        <v>platine</v>
      </c>
      <c r="F523" s="28" t="s">
        <v>115</v>
      </c>
      <c r="G523" s="10" t="str">
        <f aca="false" t="array" ref="G523:G523">INDEX(Profils!$D$5:$D$34,$AE523)&amp;" en "&amp;$E523</f>
        <v>Sceau en platine</v>
      </c>
      <c r="H523" s="16" t="n">
        <f aca="false" t="array" ref="H523:H523">INDEX(Matériaux!$B$16:$B$20,$D523)</f>
        <v>50</v>
      </c>
      <c r="I523" s="16" t="n">
        <f aca="false">IF(ISNUMBER($C$3),MIN(MAX(0,ROUND($C$3,0)),$AI523),$AI523)</f>
        <v>0</v>
      </c>
      <c r="J523" s="18" t="n">
        <f aca="false">$H523+$I523</f>
        <v>50</v>
      </c>
      <c r="K523" s="15" t="s">
        <v>109</v>
      </c>
      <c r="L523" s="19" t="n">
        <f aca="false" t="array" ref="L523:L523">IF(AND(INDEX(Profils!$F$5:$F$34,$AE523)&gt;0,INDEX(Profils!$U$5:$U$34,$AE523)&lt;=$AH523),ROUND(INDEX(Profils!$F$5:$F$34,$AE523)*Paramètres!$E$22*$AG523*$AJ523,Paramètres!$F$22),0)</f>
        <v>20</v>
      </c>
      <c r="M523" s="19" t="n">
        <f aca="false" t="array" ref="M523:M523">IF(AND(INDEX(Profils!$G$5:$G$34,$AE523)&gt;0,INDEX(Profils!$V$5:$V$34,$AE523)&lt;=$AH523),ROUND(INDEX(Profils!$G$5:$G$34,$AE523)*Paramètres!$E$23*$AG523*$AJ523,Paramètres!$F$23),0)</f>
        <v>0</v>
      </c>
      <c r="N523" s="19" t="n">
        <f aca="false" t="array" ref="N523:N523">IF(AND(INDEX(Profils!$H$5:$H$34,$AE523)&gt;0,INDEX(Profils!$W$5:$W$34,$AE523)&lt;=$AH523),ROUND(INDEX(Profils!$H$5:$H$34,$AE523)*Paramètres!$E$24*$AG523*$AJ523,Paramètres!$F$24),0)</f>
        <v>0</v>
      </c>
      <c r="O523" s="19" t="n">
        <f aca="false" t="array" ref="O523:O523">IF(AND(INDEX(Profils!$I$5:$I$34,$AE523)&gt;0,INDEX(Profils!$X$5:$X$34,$AE523)&lt;=$AH523),ROUND(INDEX(Profils!$I$5:$I$34,$AE523)*Paramètres!$E$25*$AG523*$AJ523,Paramètres!$F$25),0)</f>
        <v>0</v>
      </c>
      <c r="P523" s="19" t="n">
        <f aca="false" t="array" ref="P523:P523">IF(AND(INDEX(Profils!$J$5:$J$34,$AE523)&gt;0,INDEX(Profils!$Y$5:$Y$34,$AE523)&lt;=$AH523),ROUND(INDEX(Profils!$J$5:$J$34,$AE523)*Paramètres!$E$26*$AG523*$AJ523,Paramètres!$F$26),0)</f>
        <v>0</v>
      </c>
      <c r="Q523" s="19" t="n">
        <f aca="false" t="array" ref="Q523:Q523">IF(AND(INDEX(Profils!$K$5:$K$34,$AE523)&gt;0,INDEX(Profils!$Z$5:$Z$34,$AE523)&lt;=$AH523),ROUND(INDEX(Profils!$K$5:$K$34,$AE523)*Paramètres!$E$27*$AG523*$AJ523,Paramètres!$F$27),0)</f>
        <v>6</v>
      </c>
      <c r="R523" s="20" t="n">
        <f aca="false" t="array" ref="R523:R523">IF(AND(INDEX(Profils!$L$5:$L$34,$AE523)&gt;0,INDEX(Profils!$AA$5:$AA$34,$AE523)&lt;=$AH523),ROUND(INDEX(Profils!$L$5:$L$34,$AE523)*Paramètres!$E$28*$AG523*$AJ523,Paramètres!$F$28),0)</f>
        <v>0</v>
      </c>
      <c r="S523" s="20" t="n">
        <f aca="false" t="array" ref="S523:S523">IF(AND(INDEX(Profils!$M$5:$M$34,$AE523)&gt;0,INDEX(Profils!$AB$5:$AB$34,$AE523)&lt;=$AH523),ROUND(INDEX(Profils!$M$5:$M$34,$AE523)*Paramètres!$E$29*$AG523*$AJ523,Paramètres!$F$29),0)</f>
        <v>0</v>
      </c>
      <c r="T523" s="20" t="n">
        <f aca="false" t="array" ref="T523:T523">IF(AND(INDEX(Profils!$N$5:$N$34,$AE523)&gt;0,INDEX(Profils!$AC$5:$AC$34,$AE523)&lt;=$AH523),ROUND(INDEX(Profils!$N$5:$N$34,$AE523)*Paramètres!$E$30*$AG523*$AJ523,Paramètres!$F$30),0)</f>
        <v>0</v>
      </c>
      <c r="U523" s="19" t="n">
        <f aca="false" t="array" ref="U523:U523">IF(AND(INDEX(Profils!$O$5:$O$34,$AE523)&gt;0,INDEX(Profils!$AD$5:$AD$34,$AE523)&lt;=$AH523),ROUND(INDEX(Profils!$O$5:$O$34,$AE523)*Paramètres!$E$31*$AG523*$AJ523,Paramètres!$F$31),0)</f>
        <v>0</v>
      </c>
      <c r="V523" s="20" t="n">
        <f aca="false" t="array" ref="V523:V523">IF(AND(INDEX(Profils!$P$5:$P$34,$AE523)&gt;0,INDEX(Profils!$AE$5:$AE$34,$AE523)&lt;=$AH523),ROUND(INDEX(Profils!$P$5:$P$34,$AE523)*Paramètres!$E$32*$AG523*$AJ523,Paramètres!$F$32),0)</f>
        <v>0</v>
      </c>
      <c r="W523" s="20" t="n">
        <f aca="false" t="array" ref="W523:W523">IF(AND(INDEX(Profils!$Q$5:$Q$34,$AE523)&gt;0,INDEX(Profils!$AF$5:$AF$34,$AE523)&lt;=$AH523),ROUND(INDEX(Profils!$Q$5:$Q$34,$AE523)*Paramètres!$E$33*$AG523*$AJ523,Paramètres!$F$33),0)</f>
        <v>0.012</v>
      </c>
      <c r="X523" s="20" t="n">
        <f aca="false" t="array" ref="X523:X523">IF(AND(INDEX(Profils!$R$5:$R$34,$AE523)&gt;0,INDEX(Profils!$AG$5:$AG$34,$AE523)&lt;=$AH523),ROUND(INDEX(Profils!$R$5:$R$34,$AE523)*Paramètres!$E$34*$AG523*$AJ523,Paramètres!$F$34),0)</f>
        <v>0.013</v>
      </c>
      <c r="Y523" s="20" t="n">
        <f aca="false" t="array" ref="Y523:Y523">IF(AND(INDEX(Profils!$S$5:$S$34,$AE523)&gt;0,INDEX(Profils!$AH$5:$AH$34,$AE523)&lt;=$AH523),ROUND(INDEX(Profils!$S$5:$S$34,$AE523)*Paramètres!$E$35*$AG523*$AJ523,Paramètres!$F$35),0)</f>
        <v>0.012</v>
      </c>
      <c r="Z523" s="21" t="n">
        <f aca="false">ROUND(L523/Paramètres!$E$22+M523/Paramètres!$E$23+N523/Paramètres!$E$24+O523/Paramètres!$E$25+P523/Paramètres!$E$26+Q523/Paramètres!$E$27+R523/Paramètres!$E$28+S523/Paramètres!$E$29+T523/Paramètres!$E$30+U523/Paramètres!$E$31+V523/Paramètres!$E$32+W523/Paramètres!$E$33+X523/Paramètres!$E$34+Y523/Paramètres!$E$35,1)</f>
        <v>3.7</v>
      </c>
      <c r="AA523" s="22" t="s">
        <v>109</v>
      </c>
      <c r="AB523" s="22" t="s">
        <v>109</v>
      </c>
      <c r="AC523" s="15" t="str">
        <f aca="false">$E523</f>
        <v>platine</v>
      </c>
      <c r="AD523" s="16" t="n">
        <f aca="false" t="array" ref="AD523:AD523">IF($I523&gt;=$AI523,"Max",ROUND(Paramètres!$B$40*($I523+1)^Paramètres!$B$41*INDEX(Paramètres!$H$6:$H$12,$AF523),0))</f>
        <v>5</v>
      </c>
      <c r="AE523" s="23" t="n">
        <f aca="false">MATCH($B523&amp;"|"&amp;$C523,Profils!$A$5:$A$34,0)</f>
        <v>17</v>
      </c>
      <c r="AF523" s="23" t="n">
        <v>4</v>
      </c>
      <c r="AG523" s="24" t="n">
        <f aca="false" t="array" ref="AG523:AG523">INDEX(Paramètres!$C$6:$C$12,$AF523)</f>
        <v>1.75</v>
      </c>
      <c r="AH523" s="23" t="n">
        <f aca="false" t="array" ref="AH523:AH523">INDEX(Paramètres!$D$6:$D$12,$AF523)</f>
        <v>5</v>
      </c>
      <c r="AI523" s="23" t="n">
        <f aca="false" t="array" ref="AI523:AI523">INDEX(Matériaux!$C$16:$C$20,$D523)</f>
        <v>25</v>
      </c>
      <c r="AJ523" s="25" t="n">
        <f aca="false">Paramètres!$B$16+(1-Paramètres!$B$16)*(($J523-Paramètres!$B$14)/(Paramètres!$B$15-Paramètres!$B$14))^Paramètres!$B$17</f>
        <v>0.458504333336152</v>
      </c>
    </row>
    <row r="524" customFormat="false" ht="15.75" hidden="false" customHeight="true" outlineLevel="0" collapsed="false">
      <c r="A524" s="14" t="s">
        <v>640</v>
      </c>
      <c r="B524" s="15" t="s">
        <v>29</v>
      </c>
      <c r="C524" s="15" t="s">
        <v>305</v>
      </c>
      <c r="D524" s="16" t="n">
        <v>4</v>
      </c>
      <c r="E524" s="15" t="str">
        <f aca="false" t="array" ref="E524:E524">INDEX(Matériaux!$B$5:$F$12,MATCH(INDEX(Profils!$E$5:$E$34,$AE524),Matériaux!$A$5:$A$12,0),$D524)</f>
        <v>platine</v>
      </c>
      <c r="F524" s="29" t="s">
        <v>117</v>
      </c>
      <c r="G524" s="10" t="str">
        <f aca="false" t="array" ref="G524:G524">INDEX(Profils!$D$5:$D$34,$AE524)&amp;" en "&amp;$E524</f>
        <v>Sceau en platine</v>
      </c>
      <c r="H524" s="16" t="n">
        <f aca="false" t="array" ref="H524:H524">INDEX(Matériaux!$B$16:$B$20,$D524)</f>
        <v>50</v>
      </c>
      <c r="I524" s="16" t="n">
        <f aca="false">IF(ISNUMBER($C$3),MIN(MAX(0,ROUND($C$3,0)),$AI524),$AI524)</f>
        <v>0</v>
      </c>
      <c r="J524" s="18" t="n">
        <f aca="false">$H524+$I524</f>
        <v>50</v>
      </c>
      <c r="K524" s="15" t="s">
        <v>109</v>
      </c>
      <c r="L524" s="19" t="n">
        <f aca="false" t="array" ref="L524:L524">IF(AND(INDEX(Profils!$F$5:$F$34,$AE524)&gt;0,INDEX(Profils!$U$5:$U$34,$AE524)&lt;=$AH524),ROUND(INDEX(Profils!$F$5:$F$34,$AE524)*Paramètres!$E$22*$AG524*$AJ524,Paramètres!$F$22),0)</f>
        <v>24</v>
      </c>
      <c r="M524" s="19" t="n">
        <f aca="false" t="array" ref="M524:M524">IF(AND(INDEX(Profils!$G$5:$G$34,$AE524)&gt;0,INDEX(Profils!$V$5:$V$34,$AE524)&lt;=$AH524),ROUND(INDEX(Profils!$G$5:$G$34,$AE524)*Paramètres!$E$23*$AG524*$AJ524,Paramètres!$F$23),0)</f>
        <v>0</v>
      </c>
      <c r="N524" s="19" t="n">
        <f aca="false" t="array" ref="N524:N524">IF(AND(INDEX(Profils!$H$5:$H$34,$AE524)&gt;0,INDEX(Profils!$W$5:$W$34,$AE524)&lt;=$AH524),ROUND(INDEX(Profils!$H$5:$H$34,$AE524)*Paramètres!$E$24*$AG524*$AJ524,Paramètres!$F$24),0)</f>
        <v>0</v>
      </c>
      <c r="O524" s="19" t="n">
        <f aca="false" t="array" ref="O524:O524">IF(AND(INDEX(Profils!$I$5:$I$34,$AE524)&gt;0,INDEX(Profils!$X$5:$X$34,$AE524)&lt;=$AH524),ROUND(INDEX(Profils!$I$5:$I$34,$AE524)*Paramètres!$E$25*$AG524*$AJ524,Paramètres!$F$25),0)</f>
        <v>9</v>
      </c>
      <c r="P524" s="19" t="n">
        <f aca="false" t="array" ref="P524:P524">IF(AND(INDEX(Profils!$J$5:$J$34,$AE524)&gt;0,INDEX(Profils!$Y$5:$Y$34,$AE524)&lt;=$AH524),ROUND(INDEX(Profils!$J$5:$J$34,$AE524)*Paramètres!$E$26*$AG524*$AJ524,Paramètres!$F$26),0)</f>
        <v>0</v>
      </c>
      <c r="Q524" s="19" t="n">
        <f aca="false" t="array" ref="Q524:Q524">IF(AND(INDEX(Profils!$K$5:$K$34,$AE524)&gt;0,INDEX(Profils!$Z$5:$Z$34,$AE524)&lt;=$AH524),ROUND(INDEX(Profils!$K$5:$K$34,$AE524)*Paramètres!$E$27*$AG524*$AJ524,Paramètres!$F$27),0)</f>
        <v>7</v>
      </c>
      <c r="R524" s="20" t="n">
        <f aca="false" t="array" ref="R524:R524">IF(AND(INDEX(Profils!$L$5:$L$34,$AE524)&gt;0,INDEX(Profils!$AA$5:$AA$34,$AE524)&lt;=$AH524),ROUND(INDEX(Profils!$L$5:$L$34,$AE524)*Paramètres!$E$28*$AG524*$AJ524,Paramètres!$F$28),0)</f>
        <v>0</v>
      </c>
      <c r="S524" s="20" t="n">
        <f aca="false" t="array" ref="S524:S524">IF(AND(INDEX(Profils!$M$5:$M$34,$AE524)&gt;0,INDEX(Profils!$AB$5:$AB$34,$AE524)&lt;=$AH524),ROUND(INDEX(Profils!$M$5:$M$34,$AE524)*Paramètres!$E$29*$AG524*$AJ524,Paramètres!$F$29),0)</f>
        <v>0</v>
      </c>
      <c r="T524" s="20" t="n">
        <f aca="false" t="array" ref="T524:T524">IF(AND(INDEX(Profils!$N$5:$N$34,$AE524)&gt;0,INDEX(Profils!$AC$5:$AC$34,$AE524)&lt;=$AH524),ROUND(INDEX(Profils!$N$5:$N$34,$AE524)*Paramètres!$E$30*$AG524*$AJ524,Paramètres!$F$30),0)</f>
        <v>0</v>
      </c>
      <c r="U524" s="19" t="n">
        <f aca="false" t="array" ref="U524:U524">IF(AND(INDEX(Profils!$O$5:$O$34,$AE524)&gt;0,INDEX(Profils!$AD$5:$AD$34,$AE524)&lt;=$AH524),ROUND(INDEX(Profils!$O$5:$O$34,$AE524)*Paramètres!$E$31*$AG524*$AJ524,Paramètres!$F$31),0)</f>
        <v>0</v>
      </c>
      <c r="V524" s="20" t="n">
        <f aca="false" t="array" ref="V524:V524">IF(AND(INDEX(Profils!$P$5:$P$34,$AE524)&gt;0,INDEX(Profils!$AE$5:$AE$34,$AE524)&lt;=$AH524),ROUND(INDEX(Profils!$P$5:$P$34,$AE524)*Paramètres!$E$32*$AG524*$AJ524,Paramètres!$F$32),0)</f>
        <v>0</v>
      </c>
      <c r="W524" s="20" t="n">
        <f aca="false" t="array" ref="W524:W524">IF(AND(INDEX(Profils!$Q$5:$Q$34,$AE524)&gt;0,INDEX(Profils!$AF$5:$AF$34,$AE524)&lt;=$AH524),ROUND(INDEX(Profils!$Q$5:$Q$34,$AE524)*Paramètres!$E$33*$AG524*$AJ524,Paramètres!$F$33),0)</f>
        <v>0.014</v>
      </c>
      <c r="X524" s="20" t="n">
        <f aca="false" t="array" ref="X524:X524">IF(AND(INDEX(Profils!$R$5:$R$34,$AE524)&gt;0,INDEX(Profils!$AG$5:$AG$34,$AE524)&lt;=$AH524),ROUND(INDEX(Profils!$R$5:$R$34,$AE524)*Paramètres!$E$34*$AG524*$AJ524,Paramètres!$F$34),0)</f>
        <v>0.015</v>
      </c>
      <c r="Y524" s="20" t="n">
        <f aca="false" t="array" ref="Y524:Y524">IF(AND(INDEX(Profils!$S$5:$S$34,$AE524)&gt;0,INDEX(Profils!$AH$5:$AH$34,$AE524)&lt;=$AH524),ROUND(INDEX(Profils!$S$5:$S$34,$AE524)*Paramètres!$E$35*$AG524*$AJ524,Paramètres!$F$35),0)</f>
        <v>0.014</v>
      </c>
      <c r="Z524" s="21" t="n">
        <f aca="false">ROUND(L524/Paramètres!$E$22+M524/Paramètres!$E$23+N524/Paramètres!$E$24+O524/Paramètres!$E$25+P524/Paramètres!$E$26+Q524/Paramètres!$E$27+R524/Paramètres!$E$28+S524/Paramètres!$E$29+T524/Paramètres!$E$30+U524/Paramètres!$E$31+V524/Paramètres!$E$32+W524/Paramètres!$E$33+X524/Paramètres!$E$34+Y524/Paramètres!$E$35,1)</f>
        <v>4.9</v>
      </c>
      <c r="AA524" s="22" t="s">
        <v>109</v>
      </c>
      <c r="AB524" s="22" t="s">
        <v>109</v>
      </c>
      <c r="AC524" s="15" t="str">
        <f aca="false">$E524</f>
        <v>platine</v>
      </c>
      <c r="AD524" s="16" t="n">
        <f aca="false" t="array" ref="AD524:AD524">IF($I524&gt;=$AI524,"Max",ROUND(Paramètres!$B$40*($I524+1)^Paramètres!$B$41*INDEX(Paramètres!$H$6:$H$12,$AF524),0))</f>
        <v>6</v>
      </c>
      <c r="AE524" s="23" t="n">
        <f aca="false">MATCH($B524&amp;"|"&amp;$C524,Profils!$A$5:$A$34,0)</f>
        <v>17</v>
      </c>
      <c r="AF524" s="23" t="n">
        <v>5</v>
      </c>
      <c r="AG524" s="24" t="n">
        <f aca="false" t="array" ref="AG524:AG524">INDEX(Paramètres!$C$6:$C$12,$AF524)</f>
        <v>2.1</v>
      </c>
      <c r="AH524" s="23" t="n">
        <f aca="false" t="array" ref="AH524:AH524">INDEX(Paramètres!$D$6:$D$12,$AF524)</f>
        <v>6</v>
      </c>
      <c r="AI524" s="23" t="n">
        <f aca="false" t="array" ref="AI524:AI524">INDEX(Matériaux!$C$16:$C$20,$D524)</f>
        <v>25</v>
      </c>
      <c r="AJ524" s="25" t="n">
        <f aca="false">Paramètres!$B$16+(1-Paramètres!$B$16)*(($J524-Paramètres!$B$14)/(Paramètres!$B$15-Paramètres!$B$14))^Paramètres!$B$17</f>
        <v>0.458504333336152</v>
      </c>
    </row>
    <row r="525" customFormat="false" ht="15.75" hidden="false" customHeight="true" outlineLevel="0" collapsed="false">
      <c r="A525" s="14" t="s">
        <v>641</v>
      </c>
      <c r="B525" s="15" t="s">
        <v>29</v>
      </c>
      <c r="C525" s="15" t="s">
        <v>305</v>
      </c>
      <c r="D525" s="16" t="n">
        <v>4</v>
      </c>
      <c r="E525" s="15" t="str">
        <f aca="false" t="array" ref="E525:E525">INDEX(Matériaux!$B$5:$F$12,MATCH(INDEX(Profils!$E$5:$E$34,$AE525),Matériaux!$A$5:$A$12,0),$D525)</f>
        <v>platine</v>
      </c>
      <c r="F525" s="30" t="s">
        <v>119</v>
      </c>
      <c r="G525" s="10" t="str">
        <f aca="false" t="array" ref="G525:G525">INDEX(Profils!$D$5:$D$34,$AE525)&amp;" en "&amp;$E525</f>
        <v>Sceau en platine</v>
      </c>
      <c r="H525" s="16" t="n">
        <f aca="false" t="array" ref="H525:H525">INDEX(Matériaux!$B$16:$B$20,$D525)</f>
        <v>50</v>
      </c>
      <c r="I525" s="16" t="n">
        <f aca="false">IF(ISNUMBER($C$3),MIN(MAX(0,ROUND($C$3,0)),$AI525),$AI525)</f>
        <v>0</v>
      </c>
      <c r="J525" s="18" t="n">
        <f aca="false">$H525+$I525</f>
        <v>50</v>
      </c>
      <c r="K525" s="15" t="s">
        <v>109</v>
      </c>
      <c r="L525" s="19" t="n">
        <f aca="false" t="array" ref="L525:L525">IF(AND(INDEX(Profils!$F$5:$F$34,$AE525)&gt;0,INDEX(Profils!$U$5:$U$34,$AE525)&lt;=$AH525),ROUND(INDEX(Profils!$F$5:$F$34,$AE525)*Paramètres!$E$22*$AG525*$AJ525,Paramètres!$F$22),0)</f>
        <v>28</v>
      </c>
      <c r="M525" s="19" t="n">
        <f aca="false" t="array" ref="M525:M525">IF(AND(INDEX(Profils!$G$5:$G$34,$AE525)&gt;0,INDEX(Profils!$V$5:$V$34,$AE525)&lt;=$AH525),ROUND(INDEX(Profils!$G$5:$G$34,$AE525)*Paramètres!$E$23*$AG525*$AJ525,Paramètres!$F$23),0)</f>
        <v>0</v>
      </c>
      <c r="N525" s="19" t="n">
        <f aca="false" t="array" ref="N525:N525">IF(AND(INDEX(Profils!$H$5:$H$34,$AE525)&gt;0,INDEX(Profils!$W$5:$W$34,$AE525)&lt;=$AH525),ROUND(INDEX(Profils!$H$5:$H$34,$AE525)*Paramètres!$E$24*$AG525*$AJ525,Paramètres!$F$24),0)</f>
        <v>0</v>
      </c>
      <c r="O525" s="19" t="n">
        <f aca="false" t="array" ref="O525:O525">IF(AND(INDEX(Profils!$I$5:$I$34,$AE525)&gt;0,INDEX(Profils!$X$5:$X$34,$AE525)&lt;=$AH525),ROUND(INDEX(Profils!$I$5:$I$34,$AE525)*Paramètres!$E$25*$AG525*$AJ525,Paramètres!$F$25),0)</f>
        <v>10</v>
      </c>
      <c r="P525" s="19" t="n">
        <f aca="false" t="array" ref="P525:P525">IF(AND(INDEX(Profils!$J$5:$J$34,$AE525)&gt;0,INDEX(Profils!$Y$5:$Y$34,$AE525)&lt;=$AH525),ROUND(INDEX(Profils!$J$5:$J$34,$AE525)*Paramètres!$E$26*$AG525*$AJ525,Paramètres!$F$26),0)</f>
        <v>8</v>
      </c>
      <c r="Q525" s="19" t="n">
        <f aca="false" t="array" ref="Q525:Q525">IF(AND(INDEX(Profils!$K$5:$K$34,$AE525)&gt;0,INDEX(Profils!$Z$5:$Z$34,$AE525)&lt;=$AH525),ROUND(INDEX(Profils!$K$5:$K$34,$AE525)*Paramètres!$E$27*$AG525*$AJ525,Paramètres!$F$27),0)</f>
        <v>8</v>
      </c>
      <c r="R525" s="20" t="n">
        <f aca="false" t="array" ref="R525:R525">IF(AND(INDEX(Profils!$L$5:$L$34,$AE525)&gt;0,INDEX(Profils!$AA$5:$AA$34,$AE525)&lt;=$AH525),ROUND(INDEX(Profils!$L$5:$L$34,$AE525)*Paramètres!$E$28*$AG525*$AJ525,Paramètres!$F$28),0)</f>
        <v>0</v>
      </c>
      <c r="S525" s="20" t="n">
        <f aca="false" t="array" ref="S525:S525">IF(AND(INDEX(Profils!$M$5:$M$34,$AE525)&gt;0,INDEX(Profils!$AB$5:$AB$34,$AE525)&lt;=$AH525),ROUND(INDEX(Profils!$M$5:$M$34,$AE525)*Paramètres!$E$29*$AG525*$AJ525,Paramètres!$F$29),0)</f>
        <v>0</v>
      </c>
      <c r="T525" s="20" t="n">
        <f aca="false" t="array" ref="T525:T525">IF(AND(INDEX(Profils!$N$5:$N$34,$AE525)&gt;0,INDEX(Profils!$AC$5:$AC$34,$AE525)&lt;=$AH525),ROUND(INDEX(Profils!$N$5:$N$34,$AE525)*Paramètres!$E$30*$AG525*$AJ525,Paramètres!$F$30),0)</f>
        <v>0</v>
      </c>
      <c r="U525" s="19" t="n">
        <f aca="false" t="array" ref="U525:U525">IF(AND(INDEX(Profils!$O$5:$O$34,$AE525)&gt;0,INDEX(Profils!$AD$5:$AD$34,$AE525)&lt;=$AH525),ROUND(INDEX(Profils!$O$5:$O$34,$AE525)*Paramètres!$E$31*$AG525*$AJ525,Paramètres!$F$31),0)</f>
        <v>0</v>
      </c>
      <c r="V525" s="20" t="n">
        <f aca="false" t="array" ref="V525:V525">IF(AND(INDEX(Profils!$P$5:$P$34,$AE525)&gt;0,INDEX(Profils!$AE$5:$AE$34,$AE525)&lt;=$AH525),ROUND(INDEX(Profils!$P$5:$P$34,$AE525)*Paramètres!$E$32*$AG525*$AJ525,Paramètres!$F$32),0)</f>
        <v>0</v>
      </c>
      <c r="W525" s="20" t="n">
        <f aca="false" t="array" ref="W525:W525">IF(AND(INDEX(Profils!$Q$5:$Q$34,$AE525)&gt;0,INDEX(Profils!$AF$5:$AF$34,$AE525)&lt;=$AH525),ROUND(INDEX(Profils!$Q$5:$Q$34,$AE525)*Paramètres!$E$33*$AG525*$AJ525,Paramètres!$F$33),0)</f>
        <v>0.017</v>
      </c>
      <c r="X525" s="20" t="n">
        <f aca="false" t="array" ref="X525:X525">IF(AND(INDEX(Profils!$R$5:$R$34,$AE525)&gt;0,INDEX(Profils!$AG$5:$AG$34,$AE525)&lt;=$AH525),ROUND(INDEX(Profils!$R$5:$R$34,$AE525)*Paramètres!$E$34*$AG525*$AJ525,Paramètres!$F$34),0)</f>
        <v>0.018</v>
      </c>
      <c r="Y525" s="20" t="n">
        <f aca="false" t="array" ref="Y525:Y525">IF(AND(INDEX(Profils!$S$5:$S$34,$AE525)&gt;0,INDEX(Profils!$AH$5:$AH$34,$AE525)&lt;=$AH525),ROUND(INDEX(Profils!$S$5:$S$34,$AE525)*Paramètres!$E$35*$AG525*$AJ525,Paramètres!$F$35),0)</f>
        <v>0.017</v>
      </c>
      <c r="Z525" s="21" t="n">
        <f aca="false">ROUND(L525/Paramètres!$E$22+M525/Paramètres!$E$23+N525/Paramètres!$E$24+O525/Paramètres!$E$25+P525/Paramètres!$E$26+Q525/Paramètres!$E$27+R525/Paramètres!$E$28+S525/Paramètres!$E$29+T525/Paramètres!$E$30+U525/Paramètres!$E$31+V525/Paramètres!$E$32+W525/Paramètres!$E$33+X525/Paramètres!$E$34+Y525/Paramètres!$E$35,1)</f>
        <v>6.4</v>
      </c>
      <c r="AA525" s="22" t="s">
        <v>109</v>
      </c>
      <c r="AB525" s="22" t="s">
        <v>109</v>
      </c>
      <c r="AC525" s="15" t="str">
        <f aca="false">$E525</f>
        <v>platine</v>
      </c>
      <c r="AD525" s="16" t="n">
        <f aca="false" t="array" ref="AD525:AD525">IF($I525&gt;=$AI525,"Max",ROUND(Paramètres!$B$40*($I525+1)^Paramètres!$B$41*INDEX(Paramètres!$H$6:$H$12,$AF525),0))</f>
        <v>8</v>
      </c>
      <c r="AE525" s="23" t="n">
        <f aca="false">MATCH($B525&amp;"|"&amp;$C525,Profils!$A$5:$A$34,0)</f>
        <v>17</v>
      </c>
      <c r="AF525" s="23" t="n">
        <v>6</v>
      </c>
      <c r="AG525" s="24" t="n">
        <f aca="false" t="array" ref="AG525:AG525">INDEX(Paramètres!$C$6:$C$12,$AF525)</f>
        <v>2.4</v>
      </c>
      <c r="AH525" s="23" t="n">
        <f aca="false" t="array" ref="AH525:AH525">INDEX(Paramètres!$D$6:$D$12,$AF525)</f>
        <v>7</v>
      </c>
      <c r="AI525" s="23" t="n">
        <f aca="false" t="array" ref="AI525:AI525">INDEX(Matériaux!$C$16:$C$20,$D525)</f>
        <v>25</v>
      </c>
      <c r="AJ525" s="25" t="n">
        <f aca="false">Paramètres!$B$16+(1-Paramètres!$B$16)*(($J525-Paramètres!$B$14)/(Paramètres!$B$15-Paramètres!$B$14))^Paramètres!$B$17</f>
        <v>0.458504333336152</v>
      </c>
    </row>
    <row r="526" customFormat="false" ht="15.75" hidden="false" customHeight="true" outlineLevel="0" collapsed="false">
      <c r="A526" s="14" t="s">
        <v>642</v>
      </c>
      <c r="B526" s="15" t="s">
        <v>29</v>
      </c>
      <c r="C526" s="15" t="s">
        <v>305</v>
      </c>
      <c r="D526" s="16" t="n">
        <v>5</v>
      </c>
      <c r="E526" s="15" t="str">
        <f aca="false" t="array" ref="E526:E526">INDEX(Matériaux!$B$5:$F$12,MATCH(INDEX(Profils!$E$5:$E$34,$AE526),Matériaux!$A$5:$A$12,0),$D526)</f>
        <v>orichalque</v>
      </c>
      <c r="F526" s="17" t="s">
        <v>108</v>
      </c>
      <c r="G526" s="10" t="str">
        <f aca="false" t="array" ref="G526:G526">INDEX(Profils!$D$5:$D$34,$AE526)&amp;" en "&amp;$E526</f>
        <v>Sceau en orichalque</v>
      </c>
      <c r="H526" s="16" t="n">
        <f aca="false" t="array" ref="H526:H526">INDEX(Matériaux!$B$16:$B$20,$D526)</f>
        <v>70</v>
      </c>
      <c r="I526" s="16" t="n">
        <f aca="false">IF(ISNUMBER($C$3),MIN(MAX(0,ROUND($C$3,0)),$AI526),$AI526)</f>
        <v>0</v>
      </c>
      <c r="J526" s="18" t="n">
        <f aca="false">$H526+$I526</f>
        <v>70</v>
      </c>
      <c r="K526" s="15" t="s">
        <v>109</v>
      </c>
      <c r="L526" s="19" t="n">
        <f aca="false" t="array" ref="L526:L526">IF(AND(INDEX(Profils!$F$5:$F$34,$AE526)&gt;0,INDEX(Profils!$U$5:$U$34,$AE526)&lt;=$AH526),ROUND(INDEX(Profils!$F$5:$F$34,$AE526)*Paramètres!$E$22*$AG526*$AJ526,Paramètres!$F$22),0)</f>
        <v>17</v>
      </c>
      <c r="M526" s="19" t="n">
        <f aca="false" t="array" ref="M526:M526">IF(AND(INDEX(Profils!$G$5:$G$34,$AE526)&gt;0,INDEX(Profils!$V$5:$V$34,$AE526)&lt;=$AH526),ROUND(INDEX(Profils!$G$5:$G$34,$AE526)*Paramètres!$E$23*$AG526*$AJ526,Paramètres!$F$23),0)</f>
        <v>0</v>
      </c>
      <c r="N526" s="19" t="n">
        <f aca="false" t="array" ref="N526:N526">IF(AND(INDEX(Profils!$H$5:$H$34,$AE526)&gt;0,INDEX(Profils!$W$5:$W$34,$AE526)&lt;=$AH526),ROUND(INDEX(Profils!$H$5:$H$34,$AE526)*Paramètres!$E$24*$AG526*$AJ526,Paramètres!$F$24),0)</f>
        <v>0</v>
      </c>
      <c r="O526" s="19" t="n">
        <f aca="false" t="array" ref="O526:O526">IF(AND(INDEX(Profils!$I$5:$I$34,$AE526)&gt;0,INDEX(Profils!$X$5:$X$34,$AE526)&lt;=$AH526),ROUND(INDEX(Profils!$I$5:$I$34,$AE526)*Paramètres!$E$25*$AG526*$AJ526,Paramètres!$F$25),0)</f>
        <v>0</v>
      </c>
      <c r="P526" s="19" t="n">
        <f aca="false" t="array" ref="P526:P526">IF(AND(INDEX(Profils!$J$5:$J$34,$AE526)&gt;0,INDEX(Profils!$Y$5:$Y$34,$AE526)&lt;=$AH526),ROUND(INDEX(Profils!$J$5:$J$34,$AE526)*Paramètres!$E$26*$AG526*$AJ526,Paramètres!$F$26),0)</f>
        <v>0</v>
      </c>
      <c r="Q526" s="19" t="n">
        <f aca="false" t="array" ref="Q526:Q526">IF(AND(INDEX(Profils!$K$5:$K$34,$AE526)&gt;0,INDEX(Profils!$Z$5:$Z$34,$AE526)&lt;=$AH526),ROUND(INDEX(Profils!$K$5:$K$34,$AE526)*Paramètres!$E$27*$AG526*$AJ526,Paramètres!$F$27),0)</f>
        <v>0</v>
      </c>
      <c r="R526" s="20" t="n">
        <f aca="false" t="array" ref="R526:R526">IF(AND(INDEX(Profils!$L$5:$L$34,$AE526)&gt;0,INDEX(Profils!$AA$5:$AA$34,$AE526)&lt;=$AH526),ROUND(INDEX(Profils!$L$5:$L$34,$AE526)*Paramètres!$E$28*$AG526*$AJ526,Paramètres!$F$28),0)</f>
        <v>0</v>
      </c>
      <c r="S526" s="20" t="n">
        <f aca="false" t="array" ref="S526:S526">IF(AND(INDEX(Profils!$M$5:$M$34,$AE526)&gt;0,INDEX(Profils!$AB$5:$AB$34,$AE526)&lt;=$AH526),ROUND(INDEX(Profils!$M$5:$M$34,$AE526)*Paramètres!$E$29*$AG526*$AJ526,Paramètres!$F$29),0)</f>
        <v>0</v>
      </c>
      <c r="T526" s="20" t="n">
        <f aca="false" t="array" ref="T526:T526">IF(AND(INDEX(Profils!$N$5:$N$34,$AE526)&gt;0,INDEX(Profils!$AC$5:$AC$34,$AE526)&lt;=$AH526),ROUND(INDEX(Profils!$N$5:$N$34,$AE526)*Paramètres!$E$30*$AG526*$AJ526,Paramètres!$F$30),0)</f>
        <v>0</v>
      </c>
      <c r="U526" s="19" t="n">
        <f aca="false" t="array" ref="U526:U526">IF(AND(INDEX(Profils!$O$5:$O$34,$AE526)&gt;0,INDEX(Profils!$AD$5:$AD$34,$AE526)&lt;=$AH526),ROUND(INDEX(Profils!$O$5:$O$34,$AE526)*Paramètres!$E$31*$AG526*$AJ526,Paramètres!$F$31),0)</f>
        <v>0</v>
      </c>
      <c r="V526" s="20" t="n">
        <f aca="false" t="array" ref="V526:V526">IF(AND(INDEX(Profils!$P$5:$P$34,$AE526)&gt;0,INDEX(Profils!$AE$5:$AE$34,$AE526)&lt;=$AH526),ROUND(INDEX(Profils!$P$5:$P$34,$AE526)*Paramètres!$E$32*$AG526*$AJ526,Paramètres!$F$32),0)</f>
        <v>0</v>
      </c>
      <c r="W526" s="20" t="n">
        <f aca="false" t="array" ref="W526:W526">IF(AND(INDEX(Profils!$Q$5:$Q$34,$AE526)&gt;0,INDEX(Profils!$AF$5:$AF$34,$AE526)&lt;=$AH526),ROUND(INDEX(Profils!$Q$5:$Q$34,$AE526)*Paramètres!$E$33*$AG526*$AJ526,Paramètres!$F$33),0)</f>
        <v>0.01</v>
      </c>
      <c r="X526" s="20" t="n">
        <f aca="false" t="array" ref="X526:X526">IF(AND(INDEX(Profils!$R$5:$R$34,$AE526)&gt;0,INDEX(Profils!$AG$5:$AG$34,$AE526)&lt;=$AH526),ROUND(INDEX(Profils!$R$5:$R$34,$AE526)*Paramètres!$E$34*$AG526*$AJ526,Paramètres!$F$34),0)</f>
        <v>0</v>
      </c>
      <c r="Y526" s="20" t="n">
        <f aca="false" t="array" ref="Y526:Y526">IF(AND(INDEX(Profils!$S$5:$S$34,$AE526)&gt;0,INDEX(Profils!$AH$5:$AH$34,$AE526)&lt;=$AH526),ROUND(INDEX(Profils!$S$5:$S$34,$AE526)*Paramètres!$E$35*$AG526*$AJ526,Paramètres!$F$35),0)</f>
        <v>0</v>
      </c>
      <c r="Z526" s="21" t="n">
        <f aca="false">ROUND(L526/Paramètres!$E$22+M526/Paramètres!$E$23+N526/Paramètres!$E$24+O526/Paramètres!$E$25+P526/Paramètres!$E$26+Q526/Paramètres!$E$27+R526/Paramètres!$E$28+S526/Paramètres!$E$29+T526/Paramètres!$E$30+U526/Paramètres!$E$31+V526/Paramètres!$E$32+W526/Paramètres!$E$33+X526/Paramètres!$E$34+Y526/Paramètres!$E$35,1)</f>
        <v>1.3</v>
      </c>
      <c r="AA526" s="22" t="s">
        <v>109</v>
      </c>
      <c r="AB526" s="22" t="s">
        <v>109</v>
      </c>
      <c r="AC526" s="15" t="str">
        <f aca="false">$E526</f>
        <v>orichalque</v>
      </c>
      <c r="AD526" s="16" t="n">
        <f aca="false" t="array" ref="AD526:AD526">IF($I526&gt;=$AI526,"Max",ROUND(Paramètres!$B$40*($I526+1)^Paramètres!$B$41*INDEX(Paramètres!$H$6:$H$12,$AF526),0))</f>
        <v>3</v>
      </c>
      <c r="AE526" s="23" t="n">
        <f aca="false">MATCH($B526&amp;"|"&amp;$C526,Profils!$A$5:$A$34,0)</f>
        <v>17</v>
      </c>
      <c r="AF526" s="23" t="n">
        <v>1</v>
      </c>
      <c r="AG526" s="24" t="n">
        <f aca="false" t="array" ref="AG526:AG526">INDEX(Paramètres!$C$6:$C$12,$AF526)</f>
        <v>1</v>
      </c>
      <c r="AH526" s="23" t="n">
        <f aca="false" t="array" ref="AH526:AH526">INDEX(Paramètres!$D$6:$D$12,$AF526)</f>
        <v>2</v>
      </c>
      <c r="AI526" s="23" t="n">
        <f aca="false" t="array" ref="AI526:AI526">INDEX(Matériaux!$C$16:$C$20,$D526)</f>
        <v>30</v>
      </c>
      <c r="AJ526" s="25" t="n">
        <f aca="false">Paramètres!$B$16+(1-Paramètres!$B$16)*(($J526-Paramètres!$B$14)/(Paramètres!$B$15-Paramètres!$B$14))^Paramètres!$B$17</f>
        <v>0.665999387952727</v>
      </c>
    </row>
    <row r="527" customFormat="false" ht="15.75" hidden="false" customHeight="true" outlineLevel="0" collapsed="false">
      <c r="A527" s="14" t="s">
        <v>643</v>
      </c>
      <c r="B527" s="15" t="s">
        <v>29</v>
      </c>
      <c r="C527" s="15" t="s">
        <v>305</v>
      </c>
      <c r="D527" s="16" t="n">
        <v>5</v>
      </c>
      <c r="E527" s="15" t="str">
        <f aca="false" t="array" ref="E527:E527">INDEX(Matériaux!$B$5:$F$12,MATCH(INDEX(Profils!$E$5:$E$34,$AE527),Matériaux!$A$5:$A$12,0),$D527)</f>
        <v>orichalque</v>
      </c>
      <c r="F527" s="26" t="s">
        <v>111</v>
      </c>
      <c r="G527" s="10" t="str">
        <f aca="false" t="array" ref="G527:G527">INDEX(Profils!$D$5:$D$34,$AE527)&amp;" en "&amp;$E527</f>
        <v>Sceau en orichalque</v>
      </c>
      <c r="H527" s="16" t="n">
        <f aca="false" t="array" ref="H527:H527">INDEX(Matériaux!$B$16:$B$20,$D527)</f>
        <v>70</v>
      </c>
      <c r="I527" s="16" t="n">
        <f aca="false">IF(ISNUMBER($C$3),MIN(MAX(0,ROUND($C$3,0)),$AI527),$AI527)</f>
        <v>0</v>
      </c>
      <c r="J527" s="18" t="n">
        <f aca="false">$H527+$I527</f>
        <v>70</v>
      </c>
      <c r="K527" s="15" t="s">
        <v>109</v>
      </c>
      <c r="L527" s="19" t="n">
        <f aca="false" t="array" ref="L527:L527">IF(AND(INDEX(Profils!$F$5:$F$34,$AE527)&gt;0,INDEX(Profils!$U$5:$U$34,$AE527)&lt;=$AH527),ROUND(INDEX(Profils!$F$5:$F$34,$AE527)*Paramètres!$E$22*$AG527*$AJ527,Paramètres!$F$22),0)</f>
        <v>20</v>
      </c>
      <c r="M527" s="19" t="n">
        <f aca="false" t="array" ref="M527:M527">IF(AND(INDEX(Profils!$G$5:$G$34,$AE527)&gt;0,INDEX(Profils!$V$5:$V$34,$AE527)&lt;=$AH527),ROUND(INDEX(Profils!$G$5:$G$34,$AE527)*Paramètres!$E$23*$AG527*$AJ527,Paramètres!$F$23),0)</f>
        <v>0</v>
      </c>
      <c r="N527" s="19" t="n">
        <f aca="false" t="array" ref="N527:N527">IF(AND(INDEX(Profils!$H$5:$H$34,$AE527)&gt;0,INDEX(Profils!$W$5:$W$34,$AE527)&lt;=$AH527),ROUND(INDEX(Profils!$H$5:$H$34,$AE527)*Paramètres!$E$24*$AG527*$AJ527,Paramètres!$F$24),0)</f>
        <v>0</v>
      </c>
      <c r="O527" s="19" t="n">
        <f aca="false" t="array" ref="O527:O527">IF(AND(INDEX(Profils!$I$5:$I$34,$AE527)&gt;0,INDEX(Profils!$X$5:$X$34,$AE527)&lt;=$AH527),ROUND(INDEX(Profils!$I$5:$I$34,$AE527)*Paramètres!$E$25*$AG527*$AJ527,Paramètres!$F$25),0)</f>
        <v>0</v>
      </c>
      <c r="P527" s="19" t="n">
        <f aca="false" t="array" ref="P527:P527">IF(AND(INDEX(Profils!$J$5:$J$34,$AE527)&gt;0,INDEX(Profils!$Y$5:$Y$34,$AE527)&lt;=$AH527),ROUND(INDEX(Profils!$J$5:$J$34,$AE527)*Paramètres!$E$26*$AG527*$AJ527,Paramètres!$F$26),0)</f>
        <v>0</v>
      </c>
      <c r="Q527" s="19" t="n">
        <f aca="false" t="array" ref="Q527:Q527">IF(AND(INDEX(Profils!$K$5:$K$34,$AE527)&gt;0,INDEX(Profils!$Z$5:$Z$34,$AE527)&lt;=$AH527),ROUND(INDEX(Profils!$K$5:$K$34,$AE527)*Paramètres!$E$27*$AG527*$AJ527,Paramètres!$F$27),0)</f>
        <v>0</v>
      </c>
      <c r="R527" s="20" t="n">
        <f aca="false" t="array" ref="R527:R527">IF(AND(INDEX(Profils!$L$5:$L$34,$AE527)&gt;0,INDEX(Profils!$AA$5:$AA$34,$AE527)&lt;=$AH527),ROUND(INDEX(Profils!$L$5:$L$34,$AE527)*Paramètres!$E$28*$AG527*$AJ527,Paramètres!$F$28),0)</f>
        <v>0</v>
      </c>
      <c r="S527" s="20" t="n">
        <f aca="false" t="array" ref="S527:S527">IF(AND(INDEX(Profils!$M$5:$M$34,$AE527)&gt;0,INDEX(Profils!$AB$5:$AB$34,$AE527)&lt;=$AH527),ROUND(INDEX(Profils!$M$5:$M$34,$AE527)*Paramètres!$E$29*$AG527*$AJ527,Paramètres!$F$29),0)</f>
        <v>0</v>
      </c>
      <c r="T527" s="20" t="n">
        <f aca="false" t="array" ref="T527:T527">IF(AND(INDEX(Profils!$N$5:$N$34,$AE527)&gt;0,INDEX(Profils!$AC$5:$AC$34,$AE527)&lt;=$AH527),ROUND(INDEX(Profils!$N$5:$N$34,$AE527)*Paramètres!$E$30*$AG527*$AJ527,Paramètres!$F$30),0)</f>
        <v>0</v>
      </c>
      <c r="U527" s="19" t="n">
        <f aca="false" t="array" ref="U527:U527">IF(AND(INDEX(Profils!$O$5:$O$34,$AE527)&gt;0,INDEX(Profils!$AD$5:$AD$34,$AE527)&lt;=$AH527),ROUND(INDEX(Profils!$O$5:$O$34,$AE527)*Paramètres!$E$31*$AG527*$AJ527,Paramètres!$F$31),0)</f>
        <v>0</v>
      </c>
      <c r="V527" s="20" t="n">
        <f aca="false" t="array" ref="V527:V527">IF(AND(INDEX(Profils!$P$5:$P$34,$AE527)&gt;0,INDEX(Profils!$AE$5:$AE$34,$AE527)&lt;=$AH527),ROUND(INDEX(Profils!$P$5:$P$34,$AE527)*Paramètres!$E$32*$AG527*$AJ527,Paramètres!$F$32),0)</f>
        <v>0</v>
      </c>
      <c r="W527" s="20" t="n">
        <f aca="false" t="array" ref="W527:W527">IF(AND(INDEX(Profils!$Q$5:$Q$34,$AE527)&gt;0,INDEX(Profils!$AF$5:$AF$34,$AE527)&lt;=$AH527),ROUND(INDEX(Profils!$Q$5:$Q$34,$AE527)*Paramètres!$E$33*$AG527*$AJ527,Paramètres!$F$33),0)</f>
        <v>0.012</v>
      </c>
      <c r="X527" s="20" t="n">
        <f aca="false" t="array" ref="X527:X527">IF(AND(INDEX(Profils!$R$5:$R$34,$AE527)&gt;0,INDEX(Profils!$AG$5:$AG$34,$AE527)&lt;=$AH527),ROUND(INDEX(Profils!$R$5:$R$34,$AE527)*Paramètres!$E$34*$AG527*$AJ527,Paramètres!$F$34),0)</f>
        <v>0</v>
      </c>
      <c r="Y527" s="20" t="n">
        <f aca="false" t="array" ref="Y527:Y527">IF(AND(INDEX(Profils!$S$5:$S$34,$AE527)&gt;0,INDEX(Profils!$AH$5:$AH$34,$AE527)&lt;=$AH527),ROUND(INDEX(Profils!$S$5:$S$34,$AE527)*Paramètres!$E$35*$AG527*$AJ527,Paramètres!$F$35),0)</f>
        <v>0.012</v>
      </c>
      <c r="Z527" s="21" t="n">
        <f aca="false">ROUND(L527/Paramètres!$E$22+M527/Paramètres!$E$23+N527/Paramètres!$E$24+O527/Paramètres!$E$25+P527/Paramètres!$E$26+Q527/Paramètres!$E$27+R527/Paramètres!$E$28+S527/Paramètres!$E$29+T527/Paramètres!$E$30+U527/Paramètres!$E$31+V527/Paramètres!$E$32+W527/Paramètres!$E$33+X527/Paramètres!$E$34+Y527/Paramètres!$E$35,1)</f>
        <v>2.4</v>
      </c>
      <c r="AA527" s="22" t="s">
        <v>109</v>
      </c>
      <c r="AB527" s="22" t="s">
        <v>109</v>
      </c>
      <c r="AC527" s="15" t="str">
        <f aca="false">$E527</f>
        <v>orichalque</v>
      </c>
      <c r="AD527" s="16" t="n">
        <f aca="false" t="array" ref="AD527:AD527">IF($I527&gt;=$AI527,"Max",ROUND(Paramètres!$B$40*($I527+1)^Paramètres!$B$41*INDEX(Paramètres!$H$6:$H$12,$AF527),0))</f>
        <v>4</v>
      </c>
      <c r="AE527" s="23" t="n">
        <f aca="false">MATCH($B527&amp;"|"&amp;$C527,Profils!$A$5:$A$34,0)</f>
        <v>17</v>
      </c>
      <c r="AF527" s="23" t="n">
        <v>2</v>
      </c>
      <c r="AG527" s="24" t="n">
        <f aca="false" t="array" ref="AG527:AG527">INDEX(Paramètres!$C$6:$C$12,$AF527)</f>
        <v>1.2</v>
      </c>
      <c r="AH527" s="23" t="n">
        <f aca="false" t="array" ref="AH527:AH527">INDEX(Paramètres!$D$6:$D$12,$AF527)</f>
        <v>3</v>
      </c>
      <c r="AI527" s="23" t="n">
        <f aca="false" t="array" ref="AI527:AI527">INDEX(Matériaux!$C$16:$C$20,$D527)</f>
        <v>30</v>
      </c>
      <c r="AJ527" s="25" t="n">
        <f aca="false">Paramètres!$B$16+(1-Paramètres!$B$16)*(($J527-Paramètres!$B$14)/(Paramètres!$B$15-Paramètres!$B$14))^Paramètres!$B$17</f>
        <v>0.665999387952727</v>
      </c>
    </row>
    <row r="528" customFormat="false" ht="15.75" hidden="false" customHeight="true" outlineLevel="0" collapsed="false">
      <c r="A528" s="14" t="s">
        <v>644</v>
      </c>
      <c r="B528" s="15" t="s">
        <v>29</v>
      </c>
      <c r="C528" s="15" t="s">
        <v>305</v>
      </c>
      <c r="D528" s="16" t="n">
        <v>5</v>
      </c>
      <c r="E528" s="15" t="str">
        <f aca="false" t="array" ref="E528:E528">INDEX(Matériaux!$B$5:$F$12,MATCH(INDEX(Profils!$E$5:$E$34,$AE528),Matériaux!$A$5:$A$12,0),$D528)</f>
        <v>orichalque</v>
      </c>
      <c r="F528" s="27" t="s">
        <v>113</v>
      </c>
      <c r="G528" s="10" t="str">
        <f aca="false" t="array" ref="G528:G528">INDEX(Profils!$D$5:$D$34,$AE528)&amp;" en "&amp;$E528</f>
        <v>Sceau en orichalque</v>
      </c>
      <c r="H528" s="16" t="n">
        <f aca="false" t="array" ref="H528:H528">INDEX(Matériaux!$B$16:$B$20,$D528)</f>
        <v>70</v>
      </c>
      <c r="I528" s="16" t="n">
        <f aca="false">IF(ISNUMBER($C$3),MIN(MAX(0,ROUND($C$3,0)),$AI528),$AI528)</f>
        <v>0</v>
      </c>
      <c r="J528" s="18" t="n">
        <f aca="false">$H528+$I528</f>
        <v>70</v>
      </c>
      <c r="K528" s="15" t="s">
        <v>109</v>
      </c>
      <c r="L528" s="19" t="n">
        <f aca="false" t="array" ref="L528:L528">IF(AND(INDEX(Profils!$F$5:$F$34,$AE528)&gt;0,INDEX(Profils!$U$5:$U$34,$AE528)&lt;=$AH528),ROUND(INDEX(Profils!$F$5:$F$34,$AE528)*Paramètres!$E$22*$AG528*$AJ528,Paramètres!$F$22),0)</f>
        <v>24</v>
      </c>
      <c r="M528" s="19" t="n">
        <f aca="false" t="array" ref="M528:M528">IF(AND(INDEX(Profils!$G$5:$G$34,$AE528)&gt;0,INDEX(Profils!$V$5:$V$34,$AE528)&lt;=$AH528),ROUND(INDEX(Profils!$G$5:$G$34,$AE528)*Paramètres!$E$23*$AG528*$AJ528,Paramètres!$F$23),0)</f>
        <v>0</v>
      </c>
      <c r="N528" s="19" t="n">
        <f aca="false" t="array" ref="N528:N528">IF(AND(INDEX(Profils!$H$5:$H$34,$AE528)&gt;0,INDEX(Profils!$W$5:$W$34,$AE528)&lt;=$AH528),ROUND(INDEX(Profils!$H$5:$H$34,$AE528)*Paramètres!$E$24*$AG528*$AJ528,Paramètres!$F$24),0)</f>
        <v>0</v>
      </c>
      <c r="O528" s="19" t="n">
        <f aca="false" t="array" ref="O528:O528">IF(AND(INDEX(Profils!$I$5:$I$34,$AE528)&gt;0,INDEX(Profils!$X$5:$X$34,$AE528)&lt;=$AH528),ROUND(INDEX(Profils!$I$5:$I$34,$AE528)*Paramètres!$E$25*$AG528*$AJ528,Paramètres!$F$25),0)</f>
        <v>0</v>
      </c>
      <c r="P528" s="19" t="n">
        <f aca="false" t="array" ref="P528:P528">IF(AND(INDEX(Profils!$J$5:$J$34,$AE528)&gt;0,INDEX(Profils!$Y$5:$Y$34,$AE528)&lt;=$AH528),ROUND(INDEX(Profils!$J$5:$J$34,$AE528)*Paramètres!$E$26*$AG528*$AJ528,Paramètres!$F$26),0)</f>
        <v>0</v>
      </c>
      <c r="Q528" s="19" t="n">
        <f aca="false" t="array" ref="Q528:Q528">IF(AND(INDEX(Profils!$K$5:$K$34,$AE528)&gt;0,INDEX(Profils!$Z$5:$Z$34,$AE528)&lt;=$AH528),ROUND(INDEX(Profils!$K$5:$K$34,$AE528)*Paramètres!$E$27*$AG528*$AJ528,Paramètres!$F$27),0)</f>
        <v>0</v>
      </c>
      <c r="R528" s="20" t="n">
        <f aca="false" t="array" ref="R528:R528">IF(AND(INDEX(Profils!$L$5:$L$34,$AE528)&gt;0,INDEX(Profils!$AA$5:$AA$34,$AE528)&lt;=$AH528),ROUND(INDEX(Profils!$L$5:$L$34,$AE528)*Paramètres!$E$28*$AG528*$AJ528,Paramètres!$F$28),0)</f>
        <v>0</v>
      </c>
      <c r="S528" s="20" t="n">
        <f aca="false" t="array" ref="S528:S528">IF(AND(INDEX(Profils!$M$5:$M$34,$AE528)&gt;0,INDEX(Profils!$AB$5:$AB$34,$AE528)&lt;=$AH528),ROUND(INDEX(Profils!$M$5:$M$34,$AE528)*Paramètres!$E$29*$AG528*$AJ528,Paramètres!$F$29),0)</f>
        <v>0</v>
      </c>
      <c r="T528" s="20" t="n">
        <f aca="false" t="array" ref="T528:T528">IF(AND(INDEX(Profils!$N$5:$N$34,$AE528)&gt;0,INDEX(Profils!$AC$5:$AC$34,$AE528)&lt;=$AH528),ROUND(INDEX(Profils!$N$5:$N$34,$AE528)*Paramètres!$E$30*$AG528*$AJ528,Paramètres!$F$30),0)</f>
        <v>0</v>
      </c>
      <c r="U528" s="19" t="n">
        <f aca="false" t="array" ref="U528:U528">IF(AND(INDEX(Profils!$O$5:$O$34,$AE528)&gt;0,INDEX(Profils!$AD$5:$AD$34,$AE528)&lt;=$AH528),ROUND(INDEX(Profils!$O$5:$O$34,$AE528)*Paramètres!$E$31*$AG528*$AJ528,Paramètres!$F$31),0)</f>
        <v>0</v>
      </c>
      <c r="V528" s="20" t="n">
        <f aca="false" t="array" ref="V528:V528">IF(AND(INDEX(Profils!$P$5:$P$34,$AE528)&gt;0,INDEX(Profils!$AE$5:$AE$34,$AE528)&lt;=$AH528),ROUND(INDEX(Profils!$P$5:$P$34,$AE528)*Paramètres!$E$32*$AG528*$AJ528,Paramètres!$F$32),0)</f>
        <v>0</v>
      </c>
      <c r="W528" s="20" t="n">
        <f aca="false" t="array" ref="W528:W528">IF(AND(INDEX(Profils!$Q$5:$Q$34,$AE528)&gt;0,INDEX(Profils!$AF$5:$AF$34,$AE528)&lt;=$AH528),ROUND(INDEX(Profils!$Q$5:$Q$34,$AE528)*Paramètres!$E$33*$AG528*$AJ528,Paramètres!$F$33),0)</f>
        <v>0.014</v>
      </c>
      <c r="X528" s="20" t="n">
        <f aca="false" t="array" ref="X528:X528">IF(AND(INDEX(Profils!$R$5:$R$34,$AE528)&gt;0,INDEX(Profils!$AG$5:$AG$34,$AE528)&lt;=$AH528),ROUND(INDEX(Profils!$R$5:$R$34,$AE528)*Paramètres!$E$34*$AG528*$AJ528,Paramètres!$F$34),0)</f>
        <v>0.015</v>
      </c>
      <c r="Y528" s="20" t="n">
        <f aca="false" t="array" ref="Y528:Y528">IF(AND(INDEX(Profils!$S$5:$S$34,$AE528)&gt;0,INDEX(Profils!$AH$5:$AH$34,$AE528)&lt;=$AH528),ROUND(INDEX(Profils!$S$5:$S$34,$AE528)*Paramètres!$E$35*$AG528*$AJ528,Paramètres!$F$35),0)</f>
        <v>0.014</v>
      </c>
      <c r="Z528" s="21" t="n">
        <f aca="false">ROUND(L528/Paramètres!$E$22+M528/Paramètres!$E$23+N528/Paramètres!$E$24+O528/Paramètres!$E$25+P528/Paramètres!$E$26+Q528/Paramètres!$E$27+R528/Paramètres!$E$28+S528/Paramètres!$E$29+T528/Paramètres!$E$30+U528/Paramètres!$E$31+V528/Paramètres!$E$32+W528/Paramètres!$E$33+X528/Paramètres!$E$34+Y528/Paramètres!$E$35,1)</f>
        <v>3.6</v>
      </c>
      <c r="AA528" s="22" t="s">
        <v>109</v>
      </c>
      <c r="AB528" s="22" t="s">
        <v>109</v>
      </c>
      <c r="AC528" s="15" t="str">
        <f aca="false">$E528</f>
        <v>orichalque</v>
      </c>
      <c r="AD528" s="16" t="n">
        <f aca="false" t="array" ref="AD528:AD528">IF($I528&gt;=$AI528,"Max",ROUND(Paramètres!$B$40*($I528+1)^Paramètres!$B$41*INDEX(Paramètres!$H$6:$H$12,$AF528),0))</f>
        <v>4</v>
      </c>
      <c r="AE528" s="23" t="n">
        <f aca="false">MATCH($B528&amp;"|"&amp;$C528,Profils!$A$5:$A$34,0)</f>
        <v>17</v>
      </c>
      <c r="AF528" s="23" t="n">
        <v>3</v>
      </c>
      <c r="AG528" s="24" t="n">
        <f aca="false" t="array" ref="AG528:AG528">INDEX(Paramètres!$C$6:$C$12,$AF528)</f>
        <v>1.45</v>
      </c>
      <c r="AH528" s="23" t="n">
        <f aca="false" t="array" ref="AH528:AH528">INDEX(Paramètres!$D$6:$D$12,$AF528)</f>
        <v>4</v>
      </c>
      <c r="AI528" s="23" t="n">
        <f aca="false" t="array" ref="AI528:AI528">INDEX(Matériaux!$C$16:$C$20,$D528)</f>
        <v>30</v>
      </c>
      <c r="AJ528" s="25" t="n">
        <f aca="false">Paramètres!$B$16+(1-Paramètres!$B$16)*(($J528-Paramètres!$B$14)/(Paramètres!$B$15-Paramètres!$B$14))^Paramètres!$B$17</f>
        <v>0.665999387952727</v>
      </c>
    </row>
    <row r="529" customFormat="false" ht="15.75" hidden="false" customHeight="true" outlineLevel="0" collapsed="false">
      <c r="A529" s="14" t="s">
        <v>645</v>
      </c>
      <c r="B529" s="15" t="s">
        <v>29</v>
      </c>
      <c r="C529" s="15" t="s">
        <v>305</v>
      </c>
      <c r="D529" s="16" t="n">
        <v>5</v>
      </c>
      <c r="E529" s="15" t="str">
        <f aca="false" t="array" ref="E529:E529">INDEX(Matériaux!$B$5:$F$12,MATCH(INDEX(Profils!$E$5:$E$34,$AE529),Matériaux!$A$5:$A$12,0),$D529)</f>
        <v>orichalque</v>
      </c>
      <c r="F529" s="28" t="s">
        <v>115</v>
      </c>
      <c r="G529" s="10" t="str">
        <f aca="false" t="array" ref="G529:G529">INDEX(Profils!$D$5:$D$34,$AE529)&amp;" en "&amp;$E529</f>
        <v>Sceau en orichalque</v>
      </c>
      <c r="H529" s="16" t="n">
        <f aca="false" t="array" ref="H529:H529">INDEX(Matériaux!$B$16:$B$20,$D529)</f>
        <v>70</v>
      </c>
      <c r="I529" s="16" t="n">
        <f aca="false">IF(ISNUMBER($C$3),MIN(MAX(0,ROUND($C$3,0)),$AI529),$AI529)</f>
        <v>0</v>
      </c>
      <c r="J529" s="18" t="n">
        <f aca="false">$H529+$I529</f>
        <v>70</v>
      </c>
      <c r="K529" s="15" t="s">
        <v>109</v>
      </c>
      <c r="L529" s="19" t="n">
        <f aca="false" t="array" ref="L529:L529">IF(AND(INDEX(Profils!$F$5:$F$34,$AE529)&gt;0,INDEX(Profils!$U$5:$U$34,$AE529)&lt;=$AH529),ROUND(INDEX(Profils!$F$5:$F$34,$AE529)*Paramètres!$E$22*$AG529*$AJ529,Paramètres!$F$22),0)</f>
        <v>29</v>
      </c>
      <c r="M529" s="19" t="n">
        <f aca="false" t="array" ref="M529:M529">IF(AND(INDEX(Profils!$G$5:$G$34,$AE529)&gt;0,INDEX(Profils!$V$5:$V$34,$AE529)&lt;=$AH529),ROUND(INDEX(Profils!$G$5:$G$34,$AE529)*Paramètres!$E$23*$AG529*$AJ529,Paramètres!$F$23),0)</f>
        <v>0</v>
      </c>
      <c r="N529" s="19" t="n">
        <f aca="false" t="array" ref="N529:N529">IF(AND(INDEX(Profils!$H$5:$H$34,$AE529)&gt;0,INDEX(Profils!$W$5:$W$34,$AE529)&lt;=$AH529),ROUND(INDEX(Profils!$H$5:$H$34,$AE529)*Paramètres!$E$24*$AG529*$AJ529,Paramètres!$F$24),0)</f>
        <v>0</v>
      </c>
      <c r="O529" s="19" t="n">
        <f aca="false" t="array" ref="O529:O529">IF(AND(INDEX(Profils!$I$5:$I$34,$AE529)&gt;0,INDEX(Profils!$X$5:$X$34,$AE529)&lt;=$AH529),ROUND(INDEX(Profils!$I$5:$I$34,$AE529)*Paramètres!$E$25*$AG529*$AJ529,Paramètres!$F$25),0)</f>
        <v>0</v>
      </c>
      <c r="P529" s="19" t="n">
        <f aca="false" t="array" ref="P529:P529">IF(AND(INDEX(Profils!$J$5:$J$34,$AE529)&gt;0,INDEX(Profils!$Y$5:$Y$34,$AE529)&lt;=$AH529),ROUND(INDEX(Profils!$J$5:$J$34,$AE529)*Paramètres!$E$26*$AG529*$AJ529,Paramètres!$F$26),0)</f>
        <v>0</v>
      </c>
      <c r="Q529" s="19" t="n">
        <f aca="false" t="array" ref="Q529:Q529">IF(AND(INDEX(Profils!$K$5:$K$34,$AE529)&gt;0,INDEX(Profils!$Z$5:$Z$34,$AE529)&lt;=$AH529),ROUND(INDEX(Profils!$K$5:$K$34,$AE529)*Paramètres!$E$27*$AG529*$AJ529,Paramètres!$F$27),0)</f>
        <v>8</v>
      </c>
      <c r="R529" s="20" t="n">
        <f aca="false" t="array" ref="R529:R529">IF(AND(INDEX(Profils!$L$5:$L$34,$AE529)&gt;0,INDEX(Profils!$AA$5:$AA$34,$AE529)&lt;=$AH529),ROUND(INDEX(Profils!$L$5:$L$34,$AE529)*Paramètres!$E$28*$AG529*$AJ529,Paramètres!$F$28),0)</f>
        <v>0</v>
      </c>
      <c r="S529" s="20" t="n">
        <f aca="false" t="array" ref="S529:S529">IF(AND(INDEX(Profils!$M$5:$M$34,$AE529)&gt;0,INDEX(Profils!$AB$5:$AB$34,$AE529)&lt;=$AH529),ROUND(INDEX(Profils!$M$5:$M$34,$AE529)*Paramètres!$E$29*$AG529*$AJ529,Paramètres!$F$29),0)</f>
        <v>0</v>
      </c>
      <c r="T529" s="20" t="n">
        <f aca="false" t="array" ref="T529:T529">IF(AND(INDEX(Profils!$N$5:$N$34,$AE529)&gt;0,INDEX(Profils!$AC$5:$AC$34,$AE529)&lt;=$AH529),ROUND(INDEX(Profils!$N$5:$N$34,$AE529)*Paramètres!$E$30*$AG529*$AJ529,Paramètres!$F$30),0)</f>
        <v>0</v>
      </c>
      <c r="U529" s="19" t="n">
        <f aca="false" t="array" ref="U529:U529">IF(AND(INDEX(Profils!$O$5:$O$34,$AE529)&gt;0,INDEX(Profils!$AD$5:$AD$34,$AE529)&lt;=$AH529),ROUND(INDEX(Profils!$O$5:$O$34,$AE529)*Paramètres!$E$31*$AG529*$AJ529,Paramètres!$F$31),0)</f>
        <v>0</v>
      </c>
      <c r="V529" s="20" t="n">
        <f aca="false" t="array" ref="V529:V529">IF(AND(INDEX(Profils!$P$5:$P$34,$AE529)&gt;0,INDEX(Profils!$AE$5:$AE$34,$AE529)&lt;=$AH529),ROUND(INDEX(Profils!$P$5:$P$34,$AE529)*Paramètres!$E$32*$AG529*$AJ529,Paramètres!$F$32),0)</f>
        <v>0</v>
      </c>
      <c r="W529" s="20" t="n">
        <f aca="false" t="array" ref="W529:W529">IF(AND(INDEX(Profils!$Q$5:$Q$34,$AE529)&gt;0,INDEX(Profils!$AF$5:$AF$34,$AE529)&lt;=$AH529),ROUND(INDEX(Profils!$Q$5:$Q$34,$AE529)*Paramètres!$E$33*$AG529*$AJ529,Paramètres!$F$33),0)</f>
        <v>0.017</v>
      </c>
      <c r="X529" s="20" t="n">
        <f aca="false" t="array" ref="X529:X529">IF(AND(INDEX(Profils!$R$5:$R$34,$AE529)&gt;0,INDEX(Profils!$AG$5:$AG$34,$AE529)&lt;=$AH529),ROUND(INDEX(Profils!$R$5:$R$34,$AE529)*Paramètres!$E$34*$AG529*$AJ529,Paramètres!$F$34),0)</f>
        <v>0.019</v>
      </c>
      <c r="Y529" s="20" t="n">
        <f aca="false" t="array" ref="Y529:Y529">IF(AND(INDEX(Profils!$S$5:$S$34,$AE529)&gt;0,INDEX(Profils!$AH$5:$AH$34,$AE529)&lt;=$AH529),ROUND(INDEX(Profils!$S$5:$S$34,$AE529)*Paramètres!$E$35*$AG529*$AJ529,Paramètres!$F$35),0)</f>
        <v>0.017</v>
      </c>
      <c r="Z529" s="21" t="n">
        <f aca="false">ROUND(L529/Paramètres!$E$22+M529/Paramètres!$E$23+N529/Paramètres!$E$24+O529/Paramètres!$E$25+P529/Paramètres!$E$26+Q529/Paramètres!$E$27+R529/Paramètres!$E$28+S529/Paramètres!$E$29+T529/Paramètres!$E$30+U529/Paramètres!$E$31+V529/Paramètres!$E$32+W529/Paramètres!$E$33+X529/Paramètres!$E$34+Y529/Paramètres!$E$35,1)</f>
        <v>5.2</v>
      </c>
      <c r="AA529" s="22" t="s">
        <v>109</v>
      </c>
      <c r="AB529" s="22" t="s">
        <v>109</v>
      </c>
      <c r="AC529" s="15" t="str">
        <f aca="false">$E529</f>
        <v>orichalque</v>
      </c>
      <c r="AD529" s="16" t="n">
        <f aca="false" t="array" ref="AD529:AD529">IF($I529&gt;=$AI529,"Max",ROUND(Paramètres!$B$40*($I529+1)^Paramètres!$B$41*INDEX(Paramètres!$H$6:$H$12,$AF529),0))</f>
        <v>5</v>
      </c>
      <c r="AE529" s="23" t="n">
        <f aca="false">MATCH($B529&amp;"|"&amp;$C529,Profils!$A$5:$A$34,0)</f>
        <v>17</v>
      </c>
      <c r="AF529" s="23" t="n">
        <v>4</v>
      </c>
      <c r="AG529" s="24" t="n">
        <f aca="false" t="array" ref="AG529:AG529">INDEX(Paramètres!$C$6:$C$12,$AF529)</f>
        <v>1.75</v>
      </c>
      <c r="AH529" s="23" t="n">
        <f aca="false" t="array" ref="AH529:AH529">INDEX(Paramètres!$D$6:$D$12,$AF529)</f>
        <v>5</v>
      </c>
      <c r="AI529" s="23" t="n">
        <f aca="false" t="array" ref="AI529:AI529">INDEX(Matériaux!$C$16:$C$20,$D529)</f>
        <v>30</v>
      </c>
      <c r="AJ529" s="25" t="n">
        <f aca="false">Paramètres!$B$16+(1-Paramètres!$B$16)*(($J529-Paramètres!$B$14)/(Paramètres!$B$15-Paramètres!$B$14))^Paramètres!$B$17</f>
        <v>0.665999387952727</v>
      </c>
    </row>
    <row r="530" customFormat="false" ht="15.75" hidden="false" customHeight="true" outlineLevel="0" collapsed="false">
      <c r="A530" s="14" t="s">
        <v>646</v>
      </c>
      <c r="B530" s="15" t="s">
        <v>29</v>
      </c>
      <c r="C530" s="15" t="s">
        <v>305</v>
      </c>
      <c r="D530" s="16" t="n">
        <v>5</v>
      </c>
      <c r="E530" s="15" t="str">
        <f aca="false" t="array" ref="E530:E530">INDEX(Matériaux!$B$5:$F$12,MATCH(INDEX(Profils!$E$5:$E$34,$AE530),Matériaux!$A$5:$A$12,0),$D530)</f>
        <v>orichalque</v>
      </c>
      <c r="F530" s="29" t="s">
        <v>117</v>
      </c>
      <c r="G530" s="10" t="str">
        <f aca="false" t="array" ref="G530:G530">INDEX(Profils!$D$5:$D$34,$AE530)&amp;" en "&amp;$E530</f>
        <v>Sceau en orichalque</v>
      </c>
      <c r="H530" s="16" t="n">
        <f aca="false" t="array" ref="H530:H530">INDEX(Matériaux!$B$16:$B$20,$D530)</f>
        <v>70</v>
      </c>
      <c r="I530" s="16" t="n">
        <f aca="false">IF(ISNUMBER($C$3),MIN(MAX(0,ROUND($C$3,0)),$AI530),$AI530)</f>
        <v>0</v>
      </c>
      <c r="J530" s="18" t="n">
        <f aca="false">$H530+$I530</f>
        <v>70</v>
      </c>
      <c r="K530" s="15" t="s">
        <v>109</v>
      </c>
      <c r="L530" s="19" t="n">
        <f aca="false" t="array" ref="L530:L530">IF(AND(INDEX(Profils!$F$5:$F$34,$AE530)&gt;0,INDEX(Profils!$U$5:$U$34,$AE530)&lt;=$AH530),ROUND(INDEX(Profils!$F$5:$F$34,$AE530)*Paramètres!$E$22*$AG530*$AJ530,Paramètres!$F$22),0)</f>
        <v>35</v>
      </c>
      <c r="M530" s="19" t="n">
        <f aca="false" t="array" ref="M530:M530">IF(AND(INDEX(Profils!$G$5:$G$34,$AE530)&gt;0,INDEX(Profils!$V$5:$V$34,$AE530)&lt;=$AH530),ROUND(INDEX(Profils!$G$5:$G$34,$AE530)*Paramètres!$E$23*$AG530*$AJ530,Paramètres!$F$23),0)</f>
        <v>0</v>
      </c>
      <c r="N530" s="19" t="n">
        <f aca="false" t="array" ref="N530:N530">IF(AND(INDEX(Profils!$H$5:$H$34,$AE530)&gt;0,INDEX(Profils!$W$5:$W$34,$AE530)&lt;=$AH530),ROUND(INDEX(Profils!$H$5:$H$34,$AE530)*Paramètres!$E$24*$AG530*$AJ530,Paramètres!$F$24),0)</f>
        <v>0</v>
      </c>
      <c r="O530" s="19" t="n">
        <f aca="false" t="array" ref="O530:O530">IF(AND(INDEX(Profils!$I$5:$I$34,$AE530)&gt;0,INDEX(Profils!$X$5:$X$34,$AE530)&lt;=$AH530),ROUND(INDEX(Profils!$I$5:$I$34,$AE530)*Paramètres!$E$25*$AG530*$AJ530,Paramètres!$F$25),0)</f>
        <v>13</v>
      </c>
      <c r="P530" s="19" t="n">
        <f aca="false" t="array" ref="P530:P530">IF(AND(INDEX(Profils!$J$5:$J$34,$AE530)&gt;0,INDEX(Profils!$Y$5:$Y$34,$AE530)&lt;=$AH530),ROUND(INDEX(Profils!$J$5:$J$34,$AE530)*Paramètres!$E$26*$AG530*$AJ530,Paramètres!$F$26),0)</f>
        <v>0</v>
      </c>
      <c r="Q530" s="19" t="n">
        <f aca="false" t="array" ref="Q530:Q530">IF(AND(INDEX(Profils!$K$5:$K$34,$AE530)&gt;0,INDEX(Profils!$Z$5:$Z$34,$AE530)&lt;=$AH530),ROUND(INDEX(Profils!$K$5:$K$34,$AE530)*Paramètres!$E$27*$AG530*$AJ530,Paramètres!$F$27),0)</f>
        <v>10</v>
      </c>
      <c r="R530" s="20" t="n">
        <f aca="false" t="array" ref="R530:R530">IF(AND(INDEX(Profils!$L$5:$L$34,$AE530)&gt;0,INDEX(Profils!$AA$5:$AA$34,$AE530)&lt;=$AH530),ROUND(INDEX(Profils!$L$5:$L$34,$AE530)*Paramètres!$E$28*$AG530*$AJ530,Paramètres!$F$28),0)</f>
        <v>0</v>
      </c>
      <c r="S530" s="20" t="n">
        <f aca="false" t="array" ref="S530:S530">IF(AND(INDEX(Profils!$M$5:$M$34,$AE530)&gt;0,INDEX(Profils!$AB$5:$AB$34,$AE530)&lt;=$AH530),ROUND(INDEX(Profils!$M$5:$M$34,$AE530)*Paramètres!$E$29*$AG530*$AJ530,Paramètres!$F$29),0)</f>
        <v>0</v>
      </c>
      <c r="T530" s="20" t="n">
        <f aca="false" t="array" ref="T530:T530">IF(AND(INDEX(Profils!$N$5:$N$34,$AE530)&gt;0,INDEX(Profils!$AC$5:$AC$34,$AE530)&lt;=$AH530),ROUND(INDEX(Profils!$N$5:$N$34,$AE530)*Paramètres!$E$30*$AG530*$AJ530,Paramètres!$F$30),0)</f>
        <v>0</v>
      </c>
      <c r="U530" s="19" t="n">
        <f aca="false" t="array" ref="U530:U530">IF(AND(INDEX(Profils!$O$5:$O$34,$AE530)&gt;0,INDEX(Profils!$AD$5:$AD$34,$AE530)&lt;=$AH530),ROUND(INDEX(Profils!$O$5:$O$34,$AE530)*Paramètres!$E$31*$AG530*$AJ530,Paramètres!$F$31),0)</f>
        <v>0</v>
      </c>
      <c r="V530" s="20" t="n">
        <f aca="false" t="array" ref="V530:V530">IF(AND(INDEX(Profils!$P$5:$P$34,$AE530)&gt;0,INDEX(Profils!$AE$5:$AE$34,$AE530)&lt;=$AH530),ROUND(INDEX(Profils!$P$5:$P$34,$AE530)*Paramètres!$E$32*$AG530*$AJ530,Paramètres!$F$32),0)</f>
        <v>0</v>
      </c>
      <c r="W530" s="20" t="n">
        <f aca="false" t="array" ref="W530:W530">IF(AND(INDEX(Profils!$Q$5:$Q$34,$AE530)&gt;0,INDEX(Profils!$AF$5:$AF$34,$AE530)&lt;=$AH530),ROUND(INDEX(Profils!$Q$5:$Q$34,$AE530)*Paramètres!$E$33*$AG530*$AJ530,Paramètres!$F$33),0)</f>
        <v>0.021</v>
      </c>
      <c r="X530" s="20" t="n">
        <f aca="false" t="array" ref="X530:X530">IF(AND(INDEX(Profils!$R$5:$R$34,$AE530)&gt;0,INDEX(Profils!$AG$5:$AG$34,$AE530)&lt;=$AH530),ROUND(INDEX(Profils!$R$5:$R$34,$AE530)*Paramètres!$E$34*$AG530*$AJ530,Paramètres!$F$34),0)</f>
        <v>0.022</v>
      </c>
      <c r="Y530" s="20" t="n">
        <f aca="false" t="array" ref="Y530:Y530">IF(AND(INDEX(Profils!$S$5:$S$34,$AE530)&gt;0,INDEX(Profils!$AH$5:$AH$34,$AE530)&lt;=$AH530),ROUND(INDEX(Profils!$S$5:$S$34,$AE530)*Paramètres!$E$35*$AG530*$AJ530,Paramètres!$F$35),0)</f>
        <v>0.021</v>
      </c>
      <c r="Z530" s="21" t="n">
        <f aca="false">ROUND(L530/Paramètres!$E$22+M530/Paramètres!$E$23+N530/Paramètres!$E$24+O530/Paramètres!$E$25+P530/Paramètres!$E$26+Q530/Paramètres!$E$27+R530/Paramètres!$E$28+S530/Paramètres!$E$29+T530/Paramètres!$E$30+U530/Paramètres!$E$31+V530/Paramètres!$E$32+W530/Paramètres!$E$33+X530/Paramètres!$E$34+Y530/Paramètres!$E$35,1)</f>
        <v>7.2</v>
      </c>
      <c r="AA530" s="22" t="s">
        <v>109</v>
      </c>
      <c r="AB530" s="22" t="s">
        <v>109</v>
      </c>
      <c r="AC530" s="15" t="str">
        <f aca="false">$E530</f>
        <v>orichalque</v>
      </c>
      <c r="AD530" s="16" t="n">
        <f aca="false" t="array" ref="AD530:AD530">IF($I530&gt;=$AI530,"Max",ROUND(Paramètres!$B$40*($I530+1)^Paramètres!$B$41*INDEX(Paramètres!$H$6:$H$12,$AF530),0))</f>
        <v>6</v>
      </c>
      <c r="AE530" s="23" t="n">
        <f aca="false">MATCH($B530&amp;"|"&amp;$C530,Profils!$A$5:$A$34,0)</f>
        <v>17</v>
      </c>
      <c r="AF530" s="23" t="n">
        <v>5</v>
      </c>
      <c r="AG530" s="24" t="n">
        <f aca="false" t="array" ref="AG530:AG530">INDEX(Paramètres!$C$6:$C$12,$AF530)</f>
        <v>2.1</v>
      </c>
      <c r="AH530" s="23" t="n">
        <f aca="false" t="array" ref="AH530:AH530">INDEX(Paramètres!$D$6:$D$12,$AF530)</f>
        <v>6</v>
      </c>
      <c r="AI530" s="23" t="n">
        <f aca="false" t="array" ref="AI530:AI530">INDEX(Matériaux!$C$16:$C$20,$D530)</f>
        <v>30</v>
      </c>
      <c r="AJ530" s="25" t="n">
        <f aca="false">Paramètres!$B$16+(1-Paramètres!$B$16)*(($J530-Paramètres!$B$14)/(Paramètres!$B$15-Paramètres!$B$14))^Paramètres!$B$17</f>
        <v>0.665999387952727</v>
      </c>
    </row>
    <row r="531" customFormat="false" ht="15.75" hidden="false" customHeight="true" outlineLevel="0" collapsed="false">
      <c r="A531" s="14" t="s">
        <v>647</v>
      </c>
      <c r="B531" s="15" t="s">
        <v>29</v>
      </c>
      <c r="C531" s="15" t="s">
        <v>305</v>
      </c>
      <c r="D531" s="16" t="n">
        <v>5</v>
      </c>
      <c r="E531" s="15" t="str">
        <f aca="false" t="array" ref="E531:E531">INDEX(Matériaux!$B$5:$F$12,MATCH(INDEX(Profils!$E$5:$E$34,$AE531),Matériaux!$A$5:$A$12,0),$D531)</f>
        <v>orichalque</v>
      </c>
      <c r="F531" s="30" t="s">
        <v>119</v>
      </c>
      <c r="G531" s="10" t="str">
        <f aca="false" t="array" ref="G531:G531">INDEX(Profils!$D$5:$D$34,$AE531)&amp;" en "&amp;$E531</f>
        <v>Sceau en orichalque</v>
      </c>
      <c r="H531" s="16" t="n">
        <f aca="false" t="array" ref="H531:H531">INDEX(Matériaux!$B$16:$B$20,$D531)</f>
        <v>70</v>
      </c>
      <c r="I531" s="16" t="n">
        <f aca="false">IF(ISNUMBER($C$3),MIN(MAX(0,ROUND($C$3,0)),$AI531),$AI531)</f>
        <v>0</v>
      </c>
      <c r="J531" s="18" t="n">
        <f aca="false">$H531+$I531</f>
        <v>70</v>
      </c>
      <c r="K531" s="15" t="s">
        <v>109</v>
      </c>
      <c r="L531" s="19" t="n">
        <f aca="false" t="array" ref="L531:L531">IF(AND(INDEX(Profils!$F$5:$F$34,$AE531)&gt;0,INDEX(Profils!$U$5:$U$34,$AE531)&lt;=$AH531),ROUND(INDEX(Profils!$F$5:$F$34,$AE531)*Paramètres!$E$22*$AG531*$AJ531,Paramètres!$F$22),0)</f>
        <v>40</v>
      </c>
      <c r="M531" s="19" t="n">
        <f aca="false" t="array" ref="M531:M531">IF(AND(INDEX(Profils!$G$5:$G$34,$AE531)&gt;0,INDEX(Profils!$V$5:$V$34,$AE531)&lt;=$AH531),ROUND(INDEX(Profils!$G$5:$G$34,$AE531)*Paramètres!$E$23*$AG531*$AJ531,Paramètres!$F$23),0)</f>
        <v>0</v>
      </c>
      <c r="N531" s="19" t="n">
        <f aca="false" t="array" ref="N531:N531">IF(AND(INDEX(Profils!$H$5:$H$34,$AE531)&gt;0,INDEX(Profils!$W$5:$W$34,$AE531)&lt;=$AH531),ROUND(INDEX(Profils!$H$5:$H$34,$AE531)*Paramètres!$E$24*$AG531*$AJ531,Paramètres!$F$24),0)</f>
        <v>0</v>
      </c>
      <c r="O531" s="19" t="n">
        <f aca="false" t="array" ref="O531:O531">IF(AND(INDEX(Profils!$I$5:$I$34,$AE531)&gt;0,INDEX(Profils!$X$5:$X$34,$AE531)&lt;=$AH531),ROUND(INDEX(Profils!$I$5:$I$34,$AE531)*Paramètres!$E$25*$AG531*$AJ531,Paramètres!$F$25),0)</f>
        <v>14</v>
      </c>
      <c r="P531" s="19" t="n">
        <f aca="false" t="array" ref="P531:P531">IF(AND(INDEX(Profils!$J$5:$J$34,$AE531)&gt;0,INDEX(Profils!$Y$5:$Y$34,$AE531)&lt;=$AH531),ROUND(INDEX(Profils!$J$5:$J$34,$AE531)*Paramètres!$E$26*$AG531*$AJ531,Paramètres!$F$26),0)</f>
        <v>12</v>
      </c>
      <c r="Q531" s="19" t="n">
        <f aca="false" t="array" ref="Q531:Q531">IF(AND(INDEX(Profils!$K$5:$K$34,$AE531)&gt;0,INDEX(Profils!$Z$5:$Z$34,$AE531)&lt;=$AH531),ROUND(INDEX(Profils!$K$5:$K$34,$AE531)*Paramètres!$E$27*$AG531*$AJ531,Paramètres!$F$27),0)</f>
        <v>11</v>
      </c>
      <c r="R531" s="20" t="n">
        <f aca="false" t="array" ref="R531:R531">IF(AND(INDEX(Profils!$L$5:$L$34,$AE531)&gt;0,INDEX(Profils!$AA$5:$AA$34,$AE531)&lt;=$AH531),ROUND(INDEX(Profils!$L$5:$L$34,$AE531)*Paramètres!$E$28*$AG531*$AJ531,Paramètres!$F$28),0)</f>
        <v>0</v>
      </c>
      <c r="S531" s="20" t="n">
        <f aca="false" t="array" ref="S531:S531">IF(AND(INDEX(Profils!$M$5:$M$34,$AE531)&gt;0,INDEX(Profils!$AB$5:$AB$34,$AE531)&lt;=$AH531),ROUND(INDEX(Profils!$M$5:$M$34,$AE531)*Paramètres!$E$29*$AG531*$AJ531,Paramètres!$F$29),0)</f>
        <v>0</v>
      </c>
      <c r="T531" s="20" t="n">
        <f aca="false" t="array" ref="T531:T531">IF(AND(INDEX(Profils!$N$5:$N$34,$AE531)&gt;0,INDEX(Profils!$AC$5:$AC$34,$AE531)&lt;=$AH531),ROUND(INDEX(Profils!$N$5:$N$34,$AE531)*Paramètres!$E$30*$AG531*$AJ531,Paramètres!$F$30),0)</f>
        <v>0</v>
      </c>
      <c r="U531" s="19" t="n">
        <f aca="false" t="array" ref="U531:U531">IF(AND(INDEX(Profils!$O$5:$O$34,$AE531)&gt;0,INDEX(Profils!$AD$5:$AD$34,$AE531)&lt;=$AH531),ROUND(INDEX(Profils!$O$5:$O$34,$AE531)*Paramètres!$E$31*$AG531*$AJ531,Paramètres!$F$31),0)</f>
        <v>0</v>
      </c>
      <c r="V531" s="20" t="n">
        <f aca="false" t="array" ref="V531:V531">IF(AND(INDEX(Profils!$P$5:$P$34,$AE531)&gt;0,INDEX(Profils!$AE$5:$AE$34,$AE531)&lt;=$AH531),ROUND(INDEX(Profils!$P$5:$P$34,$AE531)*Paramètres!$E$32*$AG531*$AJ531,Paramètres!$F$32),0)</f>
        <v>0</v>
      </c>
      <c r="W531" s="20" t="n">
        <f aca="false" t="array" ref="W531:W531">IF(AND(INDEX(Profils!$Q$5:$Q$34,$AE531)&gt;0,INDEX(Profils!$AF$5:$AF$34,$AE531)&lt;=$AH531),ROUND(INDEX(Profils!$Q$5:$Q$34,$AE531)*Paramètres!$E$33*$AG531*$AJ531,Paramètres!$F$33),0)</f>
        <v>0.024</v>
      </c>
      <c r="X531" s="20" t="n">
        <f aca="false" t="array" ref="X531:X531">IF(AND(INDEX(Profils!$R$5:$R$34,$AE531)&gt;0,INDEX(Profils!$AG$5:$AG$34,$AE531)&lt;=$AH531),ROUND(INDEX(Profils!$R$5:$R$34,$AE531)*Paramètres!$E$34*$AG531*$AJ531,Paramètres!$F$34),0)</f>
        <v>0.026</v>
      </c>
      <c r="Y531" s="20" t="n">
        <f aca="false" t="array" ref="Y531:Y531">IF(AND(INDEX(Profils!$S$5:$S$34,$AE531)&gt;0,INDEX(Profils!$AH$5:$AH$34,$AE531)&lt;=$AH531),ROUND(INDEX(Profils!$S$5:$S$34,$AE531)*Paramètres!$E$35*$AG531*$AJ531,Paramètres!$F$35),0)</f>
        <v>0.024</v>
      </c>
      <c r="Z531" s="21" t="n">
        <f aca="false">ROUND(L531/Paramètres!$E$22+M531/Paramètres!$E$23+N531/Paramètres!$E$24+O531/Paramètres!$E$25+P531/Paramètres!$E$26+Q531/Paramètres!$E$27+R531/Paramètres!$E$28+S531/Paramètres!$E$29+T531/Paramètres!$E$30+U531/Paramètres!$E$31+V531/Paramètres!$E$32+W531/Paramètres!$E$33+X531/Paramètres!$E$34+Y531/Paramètres!$E$35,1)</f>
        <v>9.1</v>
      </c>
      <c r="AA531" s="22" t="s">
        <v>109</v>
      </c>
      <c r="AB531" s="22" t="s">
        <v>109</v>
      </c>
      <c r="AC531" s="15" t="str">
        <f aca="false">$E531</f>
        <v>orichalque</v>
      </c>
      <c r="AD531" s="16" t="n">
        <f aca="false" t="array" ref="AD531:AD531">IF($I531&gt;=$AI531,"Max",ROUND(Paramètres!$B$40*($I531+1)^Paramètres!$B$41*INDEX(Paramètres!$H$6:$H$12,$AF531),0))</f>
        <v>8</v>
      </c>
      <c r="AE531" s="23" t="n">
        <f aca="false">MATCH($B531&amp;"|"&amp;$C531,Profils!$A$5:$A$34,0)</f>
        <v>17</v>
      </c>
      <c r="AF531" s="23" t="n">
        <v>6</v>
      </c>
      <c r="AG531" s="24" t="n">
        <f aca="false" t="array" ref="AG531:AG531">INDEX(Paramètres!$C$6:$C$12,$AF531)</f>
        <v>2.4</v>
      </c>
      <c r="AH531" s="23" t="n">
        <f aca="false" t="array" ref="AH531:AH531">INDEX(Paramètres!$D$6:$D$12,$AF531)</f>
        <v>7</v>
      </c>
      <c r="AI531" s="23" t="n">
        <f aca="false" t="array" ref="AI531:AI531">INDEX(Matériaux!$C$16:$C$20,$D531)</f>
        <v>30</v>
      </c>
      <c r="AJ531" s="25" t="n">
        <f aca="false">Paramètres!$B$16+(1-Paramètres!$B$16)*(($J531-Paramètres!$B$14)/(Paramètres!$B$15-Paramètres!$B$14))^Paramètres!$B$17</f>
        <v>0.665999387952727</v>
      </c>
    </row>
    <row r="532" customFormat="false" ht="15.75" hidden="false" customHeight="true" outlineLevel="0" collapsed="false">
      <c r="A532" s="14" t="s">
        <v>648</v>
      </c>
      <c r="B532" s="15" t="s">
        <v>29</v>
      </c>
      <c r="C532" s="15" t="s">
        <v>305</v>
      </c>
      <c r="D532" s="16" t="s">
        <v>109</v>
      </c>
      <c r="E532" s="15" t="s">
        <v>109</v>
      </c>
      <c r="F532" s="31" t="s">
        <v>38</v>
      </c>
      <c r="G532" s="10" t="str">
        <f aca="false" t="array" ref="G532:G532">INDEX(Uniques!$E$5:$E$34,MATCH($B532&amp;"|"&amp;$C532,Uniques!$A$5:$A$34,0))</f>
        <v>Sceau de la Terre Ancestrale</v>
      </c>
      <c r="H532" s="16" t="n">
        <f aca="false" t="array" ref="H532:H532">INDEX(Uniques!$L$5:$L$34,MATCH($B532&amp;"|"&amp;$C532,Uniques!$A$5:$A$34,0))</f>
        <v>11</v>
      </c>
      <c r="I532" s="16" t="n">
        <f aca="false">IF(ISNUMBER($C$3),MIN(MAX(0,ROUND($C$3,0)),$AI532),$AI532)</f>
        <v>0</v>
      </c>
      <c r="J532" s="18" t="n">
        <f aca="false">$H532+$I532</f>
        <v>11</v>
      </c>
      <c r="K532" s="15" t="str">
        <f aca="false" t="array" ref="K532:K532">INDEX(Uniques!$F$5:$F$34,MATCH($B532&amp;"|"&amp;$C532,Uniques!$A$5:$A$34,0))</f>
        <v>Terre</v>
      </c>
      <c r="L532" s="19" t="n">
        <f aca="false" t="array" ref="L532:L532">IF(AND(INDEX(Profils!$F$5:$F$34,$AE532)&gt;0,INDEX(Profils!$U$5:$U$34,$AE532)&lt;=$AH532),ROUND(INDEX(Profils!$F$5:$F$34,$AE532)*Paramètres!$E$22*$AG532*$AJ532,Paramètres!$F$22),0)</f>
        <v>7</v>
      </c>
      <c r="M532" s="19" t="n">
        <f aca="false" t="array" ref="M532:M532">IF(AND(INDEX(Profils!$G$5:$G$34,$AE532)&gt;0,INDEX(Profils!$V$5:$V$34,$AE532)&lt;=$AH532),ROUND(INDEX(Profils!$G$5:$G$34,$AE532)*Paramètres!$E$23*$AG532*$AJ532,Paramètres!$F$23),0)</f>
        <v>0</v>
      </c>
      <c r="N532" s="19" t="n">
        <f aca="false" t="array" ref="N532:N532">IF(AND(INDEX(Profils!$H$5:$H$34,$AE532)&gt;0,INDEX(Profils!$W$5:$W$34,$AE532)&lt;=$AH532),ROUND(INDEX(Profils!$H$5:$H$34,$AE532)*Paramètres!$E$24*$AG532*$AJ532,Paramètres!$F$24),0)</f>
        <v>0</v>
      </c>
      <c r="O532" s="19" t="n">
        <f aca="false" t="array" ref="O532:O532">IF(AND(INDEX(Profils!$I$5:$I$34,$AE532)&gt;0,INDEX(Profils!$X$5:$X$34,$AE532)&lt;=$AH532),ROUND(INDEX(Profils!$I$5:$I$34,$AE532)*Paramètres!$E$25*$AG532*$AJ532,Paramètres!$F$25),0)</f>
        <v>2</v>
      </c>
      <c r="P532" s="19" t="n">
        <f aca="false" t="array" ref="P532:P532">IF(AND(INDEX(Profils!$J$5:$J$34,$AE532)&gt;0,INDEX(Profils!$Y$5:$Y$34,$AE532)&lt;=$AH532),ROUND(INDEX(Profils!$J$5:$J$34,$AE532)*Paramètres!$E$26*$AG532*$AJ532,Paramètres!$F$26),0)</f>
        <v>2</v>
      </c>
      <c r="Q532" s="19" t="n">
        <f aca="false" t="array" ref="Q532:Q532">IF(AND(INDEX(Profils!$K$5:$K$34,$AE532)&gt;0,INDEX(Profils!$Z$5:$Z$34,$AE532)&lt;=$AH532),ROUND(INDEX(Profils!$K$5:$K$34,$AE532)*Paramètres!$E$27*$AG532*$AJ532,Paramètres!$F$27),0)</f>
        <v>2</v>
      </c>
      <c r="R532" s="20" t="n">
        <f aca="false" t="array" ref="R532:R532">IF(AND(INDEX(Profils!$L$5:$L$34,$AE532)&gt;0,INDEX(Profils!$AA$5:$AA$34,$AE532)&lt;=$AH532),ROUND(INDEX(Profils!$L$5:$L$34,$AE532)*Paramètres!$E$28*$AG532*$AJ532,Paramètres!$F$28),0)</f>
        <v>0</v>
      </c>
      <c r="S532" s="20" t="n">
        <f aca="false" t="array" ref="S532:S532">IF(AND(INDEX(Profils!$M$5:$M$34,$AE532)&gt;0,INDEX(Profils!$AB$5:$AB$34,$AE532)&lt;=$AH532),ROUND(INDEX(Profils!$M$5:$M$34,$AE532)*Paramètres!$E$29*$AG532*$AJ532,Paramètres!$F$29),0)</f>
        <v>0</v>
      </c>
      <c r="T532" s="20" t="n">
        <f aca="false" t="array" ref="T532:T532">IF(AND(INDEX(Profils!$N$5:$N$34,$AE532)&gt;0,INDEX(Profils!$AC$5:$AC$34,$AE532)&lt;=$AH532),ROUND(INDEX(Profils!$N$5:$N$34,$AE532)*Paramètres!$E$30*$AG532*$AJ532,Paramètres!$F$30),0)</f>
        <v>0</v>
      </c>
      <c r="U532" s="19" t="n">
        <f aca="false" t="array" ref="U532:U532">IF(AND(INDEX(Profils!$O$5:$O$34,$AE532)&gt;0,INDEX(Profils!$AD$5:$AD$34,$AE532)&lt;=$AH532),ROUND(INDEX(Profils!$O$5:$O$34,$AE532)*Paramètres!$E$31*$AG532*$AJ532,Paramètres!$F$31),0)</f>
        <v>0</v>
      </c>
      <c r="V532" s="20" t="n">
        <f aca="false" t="array" ref="V532:V532">IF(AND(INDEX(Profils!$P$5:$P$34,$AE532)&gt;0,INDEX(Profils!$AE$5:$AE$34,$AE532)&lt;=$AH532),ROUND(INDEX(Profils!$P$5:$P$34,$AE532)*Paramètres!$E$32*$AG532*$AJ532,Paramètres!$F$32),0)</f>
        <v>0</v>
      </c>
      <c r="W532" s="20" t="n">
        <f aca="false" t="array" ref="W532:W532">IF(AND(INDEX(Profils!$Q$5:$Q$34,$AE532)&gt;0,INDEX(Profils!$AF$5:$AF$34,$AE532)&lt;=$AH532),ROUND(INDEX(Profils!$Q$5:$Q$34,$AE532)*Paramètres!$E$33*$AG532*$AJ532,Paramètres!$F$33),0)</f>
        <v>0.004</v>
      </c>
      <c r="X532" s="20" t="n">
        <f aca="false" t="array" ref="X532:X532">IF(AND(INDEX(Profils!$R$5:$R$34,$AE532)&gt;0,INDEX(Profils!$AG$5:$AG$34,$AE532)&lt;=$AH532),ROUND(INDEX(Profils!$R$5:$R$34,$AE532)*Paramètres!$E$34*$AG532*$AJ532,Paramètres!$F$34),0)</f>
        <v>0.004</v>
      </c>
      <c r="Y532" s="20" t="n">
        <f aca="false" t="array" ref="Y532:Y532">IF(AND(INDEX(Profils!$S$5:$S$34,$AE532)&gt;0,INDEX(Profils!$AH$5:$AH$34,$AE532)&lt;=$AH532),ROUND(INDEX(Profils!$S$5:$S$34,$AE532)*Paramètres!$E$35*$AG532*$AJ532,Paramètres!$F$35),0)</f>
        <v>0.004</v>
      </c>
      <c r="Z532" s="21" t="n">
        <f aca="false">ROUND(L532/Paramètres!$E$22+M532/Paramètres!$E$23+N532/Paramètres!$E$24+O532/Paramètres!$E$25+P532/Paramètres!$E$26+Q532/Paramètres!$E$27+R532/Paramètres!$E$28+S532/Paramètres!$E$29+T532/Paramètres!$E$30+U532/Paramètres!$E$31+V532/Paramètres!$E$32+W532/Paramètres!$E$33+X532/Paramètres!$E$34+Y532/Paramètres!$E$35,1)</f>
        <v>1.5</v>
      </c>
      <c r="AA532" s="22" t="str">
        <f aca="false" t="array" ref="AA532:AA532">INDEX(Uniques!$G$5:$G$34,MATCH($B532&amp;"|"&amp;$C532,Uniques!$A$5:$A$34,0))</f>
        <v>Pierre de garde</v>
      </c>
      <c r="AB532" s="22" t="str">
        <f aca="false" t="array" ref="AB532:AB532">INDEX(Uniques!$H$5:$H$34,MATCH($B532&amp;"|"&amp;$C532,Uniques!$A$5:$A$34,0))&amp;" ["&amp;INDEX(Uniques!$I$5:$I$34,MATCH($B532&amp;"|"&amp;$C532,Uniques!$A$5:$A$34,0))&amp;"]"</f>
        <v>Réduit de 12 % tous les dégâts reçus tant que le porteur a plus de 50 % de ses PV. [Plafond global de réduction de dégâts : 30 %.]</v>
      </c>
      <c r="AC532" s="15" t="str">
        <f aca="false" t="array" ref="AC532:AC532">INDEX(Matériaux!$B$5:$F$12,MATCH(INDEX(Profils!$E$5:$E$34,$AE532),Matériaux!$A$5:$A$12,0),MATCH(MIN($J532+1,100),Matériaux!$B$16:$B$20,1))</f>
        <v>cuivre</v>
      </c>
      <c r="AD532" s="16" t="n">
        <f aca="false" t="array" ref="AD532:AD532">IF($I532&gt;=$AI532,"Max",ROUND(Paramètres!$B$40*($I532+1)^Paramètres!$B$41*INDEX(Paramètres!$H$6:$H$12,$AF532),0))</f>
        <v>9</v>
      </c>
      <c r="AE532" s="23" t="n">
        <f aca="false">MATCH($B532&amp;"|"&amp;$C532,Profils!$A$5:$A$34,0)</f>
        <v>17</v>
      </c>
      <c r="AF532" s="23" t="n">
        <v>7</v>
      </c>
      <c r="AG532" s="24" t="n">
        <f aca="false" t="array" ref="AG532:AG532">INDEX(Paramètres!$C$6:$C$12,$AF532)</f>
        <v>2.5</v>
      </c>
      <c r="AH532" s="23" t="n">
        <f aca="false" t="array" ref="AH532:AH532">INDEX(Paramètres!$D$6:$D$12,$AF532)</f>
        <v>7</v>
      </c>
      <c r="AI532" s="23" t="n">
        <f aca="false" t="array" ref="AI532:AI532">INDEX(Uniques!$M$5:$M$34,MATCH($B532&amp;"|"&amp;$C532,Uniques!$A$5:$A$34,0))</f>
        <v>89</v>
      </c>
      <c r="AJ532" s="25" t="n">
        <f aca="false">Paramètres!$B$16+(1-Paramètres!$B$16)*(($J532-Paramètres!$B$14)/(Paramètres!$B$15-Paramètres!$B$14))^Paramètres!$B$17</f>
        <v>0.110668236595759</v>
      </c>
    </row>
    <row r="533" customFormat="false" ht="15.75" hidden="false" customHeight="true" outlineLevel="0" collapsed="false">
      <c r="A533" s="14" t="s">
        <v>649</v>
      </c>
      <c r="B533" s="15" t="s">
        <v>29</v>
      </c>
      <c r="C533" s="15" t="s">
        <v>337</v>
      </c>
      <c r="D533" s="16" t="n">
        <v>1</v>
      </c>
      <c r="E533" s="15" t="str">
        <f aca="false" t="array" ref="E533:E533">INDEX(Matériaux!$B$5:$F$12,MATCH(INDEX(Profils!$E$5:$E$34,$AE533),Matériaux!$A$5:$A$12,0),$D533)</f>
        <v>lin</v>
      </c>
      <c r="F533" s="17" t="s">
        <v>108</v>
      </c>
      <c r="G533" s="10" t="str">
        <f aca="false" t="array" ref="G533:G533">INDEX(Profils!$D$5:$D$34,$AE533)&amp;" en "&amp;$E533</f>
        <v>Ceinture en lin</v>
      </c>
      <c r="H533" s="16" t="n">
        <f aca="false" t="array" ref="H533:H533">INDEX(Matériaux!$B$16:$B$20,$D533)</f>
        <v>1</v>
      </c>
      <c r="I533" s="16" t="n">
        <f aca="false">IF(ISNUMBER($C$3),MIN(MAX(0,ROUND($C$3,0)),$AI533),$AI533)</f>
        <v>0</v>
      </c>
      <c r="J533" s="18" t="n">
        <f aca="false">$H533+$I533</f>
        <v>1</v>
      </c>
      <c r="K533" s="15" t="s">
        <v>109</v>
      </c>
      <c r="L533" s="19" t="n">
        <f aca="false" t="array" ref="L533:L533">IF(AND(INDEX(Profils!$F$5:$F$34,$AE533)&gt;0,INDEX(Profils!$U$5:$U$34,$AE533)&lt;=$AH533),ROUND(INDEX(Profils!$F$5:$F$34,$AE533)*Paramètres!$E$22*$AG533*$AJ533,Paramètres!$F$22),0)</f>
        <v>1</v>
      </c>
      <c r="M533" s="19" t="n">
        <f aca="false" t="array" ref="M533:M533">IF(AND(INDEX(Profils!$G$5:$G$34,$AE533)&gt;0,INDEX(Profils!$V$5:$V$34,$AE533)&lt;=$AH533),ROUND(INDEX(Profils!$G$5:$G$34,$AE533)*Paramètres!$E$23*$AG533*$AJ533,Paramètres!$F$23),0)</f>
        <v>0</v>
      </c>
      <c r="N533" s="19" t="n">
        <f aca="false" t="array" ref="N533:N533">IF(AND(INDEX(Profils!$H$5:$H$34,$AE533)&gt;0,INDEX(Profils!$W$5:$W$34,$AE533)&lt;=$AH533),ROUND(INDEX(Profils!$H$5:$H$34,$AE533)*Paramètres!$E$24*$AG533*$AJ533,Paramètres!$F$24),0)</f>
        <v>0</v>
      </c>
      <c r="O533" s="19" t="n">
        <f aca="false" t="array" ref="O533:O533">IF(AND(INDEX(Profils!$I$5:$I$34,$AE533)&gt;0,INDEX(Profils!$X$5:$X$34,$AE533)&lt;=$AH533),ROUND(INDEX(Profils!$I$5:$I$34,$AE533)*Paramètres!$E$25*$AG533*$AJ533,Paramètres!$F$25),0)</f>
        <v>1</v>
      </c>
      <c r="P533" s="19" t="n">
        <f aca="false" t="array" ref="P533:P533">IF(AND(INDEX(Profils!$J$5:$J$34,$AE533)&gt;0,INDEX(Profils!$Y$5:$Y$34,$AE533)&lt;=$AH533),ROUND(INDEX(Profils!$J$5:$J$34,$AE533)*Paramètres!$E$26*$AG533*$AJ533,Paramètres!$F$26),0)</f>
        <v>0</v>
      </c>
      <c r="Q533" s="19" t="n">
        <f aca="false" t="array" ref="Q533:Q533">IF(AND(INDEX(Profils!$K$5:$K$34,$AE533)&gt;0,INDEX(Profils!$Z$5:$Z$34,$AE533)&lt;=$AH533),ROUND(INDEX(Profils!$K$5:$K$34,$AE533)*Paramètres!$E$27*$AG533*$AJ533,Paramètres!$F$27),0)</f>
        <v>0</v>
      </c>
      <c r="R533" s="20" t="n">
        <f aca="false" t="array" ref="R533:R533">IF(AND(INDEX(Profils!$L$5:$L$34,$AE533)&gt;0,INDEX(Profils!$AA$5:$AA$34,$AE533)&lt;=$AH533),ROUND(INDEX(Profils!$L$5:$L$34,$AE533)*Paramètres!$E$28*$AG533*$AJ533,Paramètres!$F$28),0)</f>
        <v>0</v>
      </c>
      <c r="S533" s="20" t="n">
        <f aca="false" t="array" ref="S533:S533">IF(AND(INDEX(Profils!$M$5:$M$34,$AE533)&gt;0,INDEX(Profils!$AB$5:$AB$34,$AE533)&lt;=$AH533),ROUND(INDEX(Profils!$M$5:$M$34,$AE533)*Paramètres!$E$29*$AG533*$AJ533,Paramètres!$F$29),0)</f>
        <v>0</v>
      </c>
      <c r="T533" s="20" t="n">
        <f aca="false" t="array" ref="T533:T533">IF(AND(INDEX(Profils!$N$5:$N$34,$AE533)&gt;0,INDEX(Profils!$AC$5:$AC$34,$AE533)&lt;=$AH533),ROUND(INDEX(Profils!$N$5:$N$34,$AE533)*Paramètres!$E$30*$AG533*$AJ533,Paramètres!$F$30),0)</f>
        <v>0</v>
      </c>
      <c r="U533" s="19" t="n">
        <f aca="false" t="array" ref="U533:U533">IF(AND(INDEX(Profils!$O$5:$O$34,$AE533)&gt;0,INDEX(Profils!$AD$5:$AD$34,$AE533)&lt;=$AH533),ROUND(INDEX(Profils!$O$5:$O$34,$AE533)*Paramètres!$E$31*$AG533*$AJ533,Paramètres!$F$31),0)</f>
        <v>0</v>
      </c>
      <c r="V533" s="20" t="n">
        <f aca="false" t="array" ref="V533:V533">IF(AND(INDEX(Profils!$P$5:$P$34,$AE533)&gt;0,INDEX(Profils!$AE$5:$AE$34,$AE533)&lt;=$AH533),ROUND(INDEX(Profils!$P$5:$P$34,$AE533)*Paramètres!$E$32*$AG533*$AJ533,Paramètres!$F$32),0)</f>
        <v>0</v>
      </c>
      <c r="W533" s="20" t="n">
        <f aca="false" t="array" ref="W533:W533">IF(AND(INDEX(Profils!$Q$5:$Q$34,$AE533)&gt;0,INDEX(Profils!$AF$5:$AF$34,$AE533)&lt;=$AH533),ROUND(INDEX(Profils!$Q$5:$Q$34,$AE533)*Paramètres!$E$33*$AG533*$AJ533,Paramètres!$F$33),0)</f>
        <v>0</v>
      </c>
      <c r="X533" s="20" t="n">
        <f aca="false" t="array" ref="X533:X533">IF(AND(INDEX(Profils!$R$5:$R$34,$AE533)&gt;0,INDEX(Profils!$AG$5:$AG$34,$AE533)&lt;=$AH533),ROUND(INDEX(Profils!$R$5:$R$34,$AE533)*Paramètres!$E$34*$AG533*$AJ533,Paramètres!$F$34),0)</f>
        <v>0</v>
      </c>
      <c r="Y533" s="20" t="n">
        <f aca="false" t="array" ref="Y533:Y533">IF(AND(INDEX(Profils!$S$5:$S$34,$AE533)&gt;0,INDEX(Profils!$AH$5:$AH$34,$AE533)&lt;=$AH533),ROUND(INDEX(Profils!$S$5:$S$34,$AE533)*Paramètres!$E$35*$AG533*$AJ533,Paramètres!$F$35),0)</f>
        <v>0</v>
      </c>
      <c r="Z533" s="21" t="n">
        <f aca="false">ROUND(L533/Paramètres!$E$22+M533/Paramètres!$E$23+N533/Paramètres!$E$24+O533/Paramètres!$E$25+P533/Paramètres!$E$26+Q533/Paramètres!$E$27+R533/Paramètres!$E$28+S533/Paramètres!$E$29+T533/Paramètres!$E$30+U533/Paramètres!$E$31+V533/Paramètres!$E$32+W533/Paramètres!$E$33+X533/Paramètres!$E$34+Y533/Paramètres!$E$35,1)</f>
        <v>0.1</v>
      </c>
      <c r="AA533" s="22" t="s">
        <v>109</v>
      </c>
      <c r="AB533" s="22" t="s">
        <v>109</v>
      </c>
      <c r="AC533" s="15" t="str">
        <f aca="false">$E533</f>
        <v>lin</v>
      </c>
      <c r="AD533" s="16" t="n">
        <f aca="false" t="array" ref="AD533:AD533">IF($I533&gt;=$AI533,"Max",ROUND(Paramètres!$B$40*($I533+1)^Paramètres!$B$41*INDEX(Paramètres!$H$6:$H$12,$AF533),0))</f>
        <v>3</v>
      </c>
      <c r="AE533" s="23" t="n">
        <f aca="false">MATCH($B533&amp;"|"&amp;$C533,Profils!$A$5:$A$34,0)</f>
        <v>18</v>
      </c>
      <c r="AF533" s="23" t="n">
        <v>1</v>
      </c>
      <c r="AG533" s="24" t="n">
        <f aca="false" t="array" ref="AG533:AG533">INDEX(Paramètres!$C$6:$C$12,$AF533)</f>
        <v>1</v>
      </c>
      <c r="AH533" s="23" t="n">
        <f aca="false" t="array" ref="AH533:AH533">INDEX(Paramètres!$D$6:$D$12,$AF533)</f>
        <v>2</v>
      </c>
      <c r="AI533" s="23" t="n">
        <f aca="false" t="array" ref="AI533:AI533">INDEX(Matériaux!$C$16:$C$20,$D533)</f>
        <v>19</v>
      </c>
      <c r="AJ533" s="25" t="n">
        <f aca="false">Paramètres!$B$16+(1-Paramètres!$B$16)*(($J533-Paramètres!$B$14)/(Paramètres!$B$15-Paramètres!$B$14))^Paramètres!$B$17</f>
        <v>0.05</v>
      </c>
    </row>
    <row r="534" customFormat="false" ht="15.75" hidden="false" customHeight="true" outlineLevel="0" collapsed="false">
      <c r="A534" s="14" t="s">
        <v>650</v>
      </c>
      <c r="B534" s="15" t="s">
        <v>29</v>
      </c>
      <c r="C534" s="15" t="s">
        <v>337</v>
      </c>
      <c r="D534" s="16" t="n">
        <v>1</v>
      </c>
      <c r="E534" s="15" t="str">
        <f aca="false" t="array" ref="E534:E534">INDEX(Matériaux!$B$5:$F$12,MATCH(INDEX(Profils!$E$5:$E$34,$AE534),Matériaux!$A$5:$A$12,0),$D534)</f>
        <v>lin</v>
      </c>
      <c r="F534" s="26" t="s">
        <v>111</v>
      </c>
      <c r="G534" s="10" t="str">
        <f aca="false" t="array" ref="G534:G534">INDEX(Profils!$D$5:$D$34,$AE534)&amp;" en "&amp;$E534</f>
        <v>Ceinture en lin</v>
      </c>
      <c r="H534" s="16" t="n">
        <f aca="false" t="array" ref="H534:H534">INDEX(Matériaux!$B$16:$B$20,$D534)</f>
        <v>1</v>
      </c>
      <c r="I534" s="16" t="n">
        <f aca="false">IF(ISNUMBER($C$3),MIN(MAX(0,ROUND($C$3,0)),$AI534),$AI534)</f>
        <v>0</v>
      </c>
      <c r="J534" s="18" t="n">
        <f aca="false">$H534+$I534</f>
        <v>1</v>
      </c>
      <c r="K534" s="15" t="s">
        <v>109</v>
      </c>
      <c r="L534" s="19" t="n">
        <f aca="false" t="array" ref="L534:L534">IF(AND(INDEX(Profils!$F$5:$F$34,$AE534)&gt;0,INDEX(Profils!$U$5:$U$34,$AE534)&lt;=$AH534),ROUND(INDEX(Profils!$F$5:$F$34,$AE534)*Paramètres!$E$22*$AG534*$AJ534,Paramètres!$F$22),0)</f>
        <v>1</v>
      </c>
      <c r="M534" s="19" t="n">
        <f aca="false" t="array" ref="M534:M534">IF(AND(INDEX(Profils!$G$5:$G$34,$AE534)&gt;0,INDEX(Profils!$V$5:$V$34,$AE534)&lt;=$AH534),ROUND(INDEX(Profils!$G$5:$G$34,$AE534)*Paramètres!$E$23*$AG534*$AJ534,Paramètres!$F$23),0)</f>
        <v>0</v>
      </c>
      <c r="N534" s="19" t="n">
        <f aca="false" t="array" ref="N534:N534">IF(AND(INDEX(Profils!$H$5:$H$34,$AE534)&gt;0,INDEX(Profils!$W$5:$W$34,$AE534)&lt;=$AH534),ROUND(INDEX(Profils!$H$5:$H$34,$AE534)*Paramètres!$E$24*$AG534*$AJ534,Paramètres!$F$24),0)</f>
        <v>0</v>
      </c>
      <c r="O534" s="19" t="n">
        <f aca="false" t="array" ref="O534:O534">IF(AND(INDEX(Profils!$I$5:$I$34,$AE534)&gt;0,INDEX(Profils!$X$5:$X$34,$AE534)&lt;=$AH534),ROUND(INDEX(Profils!$I$5:$I$34,$AE534)*Paramètres!$E$25*$AG534*$AJ534,Paramètres!$F$25),0)</f>
        <v>1</v>
      </c>
      <c r="P534" s="19" t="n">
        <f aca="false" t="array" ref="P534:P534">IF(AND(INDEX(Profils!$J$5:$J$34,$AE534)&gt;0,INDEX(Profils!$Y$5:$Y$34,$AE534)&lt;=$AH534),ROUND(INDEX(Profils!$J$5:$J$34,$AE534)*Paramètres!$E$26*$AG534*$AJ534,Paramètres!$F$26),0)</f>
        <v>0</v>
      </c>
      <c r="Q534" s="19" t="n">
        <f aca="false" t="array" ref="Q534:Q534">IF(AND(INDEX(Profils!$K$5:$K$34,$AE534)&gt;0,INDEX(Profils!$Z$5:$Z$34,$AE534)&lt;=$AH534),ROUND(INDEX(Profils!$K$5:$K$34,$AE534)*Paramètres!$E$27*$AG534*$AJ534,Paramètres!$F$27),0)</f>
        <v>0</v>
      </c>
      <c r="R534" s="20" t="n">
        <f aca="false" t="array" ref="R534:R534">IF(AND(INDEX(Profils!$L$5:$L$34,$AE534)&gt;0,INDEX(Profils!$AA$5:$AA$34,$AE534)&lt;=$AH534),ROUND(INDEX(Profils!$L$5:$L$34,$AE534)*Paramètres!$E$28*$AG534*$AJ534,Paramètres!$F$28),0)</f>
        <v>0</v>
      </c>
      <c r="S534" s="20" t="n">
        <f aca="false" t="array" ref="S534:S534">IF(AND(INDEX(Profils!$M$5:$M$34,$AE534)&gt;0,INDEX(Profils!$AB$5:$AB$34,$AE534)&lt;=$AH534),ROUND(INDEX(Profils!$M$5:$M$34,$AE534)*Paramètres!$E$29*$AG534*$AJ534,Paramètres!$F$29),0)</f>
        <v>0</v>
      </c>
      <c r="T534" s="20" t="n">
        <f aca="false" t="array" ref="T534:T534">IF(AND(INDEX(Profils!$N$5:$N$34,$AE534)&gt;0,INDEX(Profils!$AC$5:$AC$34,$AE534)&lt;=$AH534),ROUND(INDEX(Profils!$N$5:$N$34,$AE534)*Paramètres!$E$30*$AG534*$AJ534,Paramètres!$F$30),0)</f>
        <v>0</v>
      </c>
      <c r="U534" s="19" t="n">
        <f aca="false" t="array" ref="U534:U534">IF(AND(INDEX(Profils!$O$5:$O$34,$AE534)&gt;0,INDEX(Profils!$AD$5:$AD$34,$AE534)&lt;=$AH534),ROUND(INDEX(Profils!$O$5:$O$34,$AE534)*Paramètres!$E$31*$AG534*$AJ534,Paramètres!$F$31),0)</f>
        <v>0</v>
      </c>
      <c r="V534" s="20" t="n">
        <f aca="false" t="array" ref="V534:V534">IF(AND(INDEX(Profils!$P$5:$P$34,$AE534)&gt;0,INDEX(Profils!$AE$5:$AE$34,$AE534)&lt;=$AH534),ROUND(INDEX(Profils!$P$5:$P$34,$AE534)*Paramètres!$E$32*$AG534*$AJ534,Paramètres!$F$32),0)</f>
        <v>0</v>
      </c>
      <c r="W534" s="20" t="n">
        <f aca="false" t="array" ref="W534:W534">IF(AND(INDEX(Profils!$Q$5:$Q$34,$AE534)&gt;0,INDEX(Profils!$AF$5:$AF$34,$AE534)&lt;=$AH534),ROUND(INDEX(Profils!$Q$5:$Q$34,$AE534)*Paramètres!$E$33*$AG534*$AJ534,Paramètres!$F$33),0)</f>
        <v>0</v>
      </c>
      <c r="X534" s="20" t="n">
        <f aca="false" t="array" ref="X534:X534">IF(AND(INDEX(Profils!$R$5:$R$34,$AE534)&gt;0,INDEX(Profils!$AG$5:$AG$34,$AE534)&lt;=$AH534),ROUND(INDEX(Profils!$R$5:$R$34,$AE534)*Paramètres!$E$34*$AG534*$AJ534,Paramètres!$F$34),0)</f>
        <v>0.001</v>
      </c>
      <c r="Y534" s="20" t="n">
        <f aca="false" t="array" ref="Y534:Y534">IF(AND(INDEX(Profils!$S$5:$S$34,$AE534)&gt;0,INDEX(Profils!$AH$5:$AH$34,$AE534)&lt;=$AH534),ROUND(INDEX(Profils!$S$5:$S$34,$AE534)*Paramètres!$E$35*$AG534*$AJ534,Paramètres!$F$35),0)</f>
        <v>0</v>
      </c>
      <c r="Z534" s="21" t="n">
        <f aca="false">ROUND(L534/Paramètres!$E$22+M534/Paramètres!$E$23+N534/Paramètres!$E$24+O534/Paramètres!$E$25+P534/Paramètres!$E$26+Q534/Paramètres!$E$27+R534/Paramètres!$E$28+S534/Paramètres!$E$29+T534/Paramètres!$E$30+U534/Paramètres!$E$31+V534/Paramètres!$E$32+W534/Paramètres!$E$33+X534/Paramètres!$E$34+Y534/Paramètres!$E$35,1)</f>
        <v>0.2</v>
      </c>
      <c r="AA534" s="22" t="s">
        <v>109</v>
      </c>
      <c r="AB534" s="22" t="s">
        <v>109</v>
      </c>
      <c r="AC534" s="15" t="str">
        <f aca="false">$E534</f>
        <v>lin</v>
      </c>
      <c r="AD534" s="16" t="n">
        <f aca="false" t="array" ref="AD534:AD534">IF($I534&gt;=$AI534,"Max",ROUND(Paramètres!$B$40*($I534+1)^Paramètres!$B$41*INDEX(Paramètres!$H$6:$H$12,$AF534),0))</f>
        <v>4</v>
      </c>
      <c r="AE534" s="23" t="n">
        <f aca="false">MATCH($B534&amp;"|"&amp;$C534,Profils!$A$5:$A$34,0)</f>
        <v>18</v>
      </c>
      <c r="AF534" s="23" t="n">
        <v>2</v>
      </c>
      <c r="AG534" s="24" t="n">
        <f aca="false" t="array" ref="AG534:AG534">INDEX(Paramètres!$C$6:$C$12,$AF534)</f>
        <v>1.2</v>
      </c>
      <c r="AH534" s="23" t="n">
        <f aca="false" t="array" ref="AH534:AH534">INDEX(Paramètres!$D$6:$D$12,$AF534)</f>
        <v>3</v>
      </c>
      <c r="AI534" s="23" t="n">
        <f aca="false" t="array" ref="AI534:AI534">INDEX(Matériaux!$C$16:$C$20,$D534)</f>
        <v>19</v>
      </c>
      <c r="AJ534" s="25" t="n">
        <f aca="false">Paramètres!$B$16+(1-Paramètres!$B$16)*(($J534-Paramètres!$B$14)/(Paramètres!$B$15-Paramètres!$B$14))^Paramètres!$B$17</f>
        <v>0.05</v>
      </c>
    </row>
    <row r="535" customFormat="false" ht="15.75" hidden="false" customHeight="true" outlineLevel="0" collapsed="false">
      <c r="A535" s="14" t="s">
        <v>651</v>
      </c>
      <c r="B535" s="15" t="s">
        <v>29</v>
      </c>
      <c r="C535" s="15" t="s">
        <v>337</v>
      </c>
      <c r="D535" s="16" t="n">
        <v>1</v>
      </c>
      <c r="E535" s="15" t="str">
        <f aca="false" t="array" ref="E535:E535">INDEX(Matériaux!$B$5:$F$12,MATCH(INDEX(Profils!$E$5:$E$34,$AE535),Matériaux!$A$5:$A$12,0),$D535)</f>
        <v>lin</v>
      </c>
      <c r="F535" s="27" t="s">
        <v>113</v>
      </c>
      <c r="G535" s="10" t="str">
        <f aca="false" t="array" ref="G535:G535">INDEX(Profils!$D$5:$D$34,$AE535)&amp;" en "&amp;$E535</f>
        <v>Ceinture en lin</v>
      </c>
      <c r="H535" s="16" t="n">
        <f aca="false" t="array" ref="H535:H535">INDEX(Matériaux!$B$16:$B$20,$D535)</f>
        <v>1</v>
      </c>
      <c r="I535" s="16" t="n">
        <f aca="false">IF(ISNUMBER($C$3),MIN(MAX(0,ROUND($C$3,0)),$AI535),$AI535)</f>
        <v>0</v>
      </c>
      <c r="J535" s="18" t="n">
        <f aca="false">$H535+$I535</f>
        <v>1</v>
      </c>
      <c r="K535" s="15" t="s">
        <v>109</v>
      </c>
      <c r="L535" s="19" t="n">
        <f aca="false" t="array" ref="L535:L535">IF(AND(INDEX(Profils!$F$5:$F$34,$AE535)&gt;0,INDEX(Profils!$U$5:$U$34,$AE535)&lt;=$AH535),ROUND(INDEX(Profils!$F$5:$F$34,$AE535)*Paramètres!$E$22*$AG535*$AJ535,Paramètres!$F$22),0)</f>
        <v>2</v>
      </c>
      <c r="M535" s="19" t="n">
        <f aca="false" t="array" ref="M535:M535">IF(AND(INDEX(Profils!$G$5:$G$34,$AE535)&gt;0,INDEX(Profils!$V$5:$V$34,$AE535)&lt;=$AH535),ROUND(INDEX(Profils!$G$5:$G$34,$AE535)*Paramètres!$E$23*$AG535*$AJ535,Paramètres!$F$23),0)</f>
        <v>0</v>
      </c>
      <c r="N535" s="19" t="n">
        <f aca="false" t="array" ref="N535:N535">IF(AND(INDEX(Profils!$H$5:$H$34,$AE535)&gt;0,INDEX(Profils!$W$5:$W$34,$AE535)&lt;=$AH535),ROUND(INDEX(Profils!$H$5:$H$34,$AE535)*Paramètres!$E$24*$AG535*$AJ535,Paramètres!$F$24),0)</f>
        <v>0</v>
      </c>
      <c r="O535" s="19" t="n">
        <f aca="false" t="array" ref="O535:O535">IF(AND(INDEX(Profils!$I$5:$I$34,$AE535)&gt;0,INDEX(Profils!$X$5:$X$34,$AE535)&lt;=$AH535),ROUND(INDEX(Profils!$I$5:$I$34,$AE535)*Paramètres!$E$25*$AG535*$AJ535,Paramètres!$F$25),0)</f>
        <v>1</v>
      </c>
      <c r="P535" s="19" t="n">
        <f aca="false" t="array" ref="P535:P535">IF(AND(INDEX(Profils!$J$5:$J$34,$AE535)&gt;0,INDEX(Profils!$Y$5:$Y$34,$AE535)&lt;=$AH535),ROUND(INDEX(Profils!$J$5:$J$34,$AE535)*Paramètres!$E$26*$AG535*$AJ535,Paramètres!$F$26),0)</f>
        <v>0</v>
      </c>
      <c r="Q535" s="19" t="n">
        <f aca="false" t="array" ref="Q535:Q535">IF(AND(INDEX(Profils!$K$5:$K$34,$AE535)&gt;0,INDEX(Profils!$Z$5:$Z$34,$AE535)&lt;=$AH535),ROUND(INDEX(Profils!$K$5:$K$34,$AE535)*Paramètres!$E$27*$AG535*$AJ535,Paramètres!$F$27),0)</f>
        <v>0</v>
      </c>
      <c r="R535" s="20" t="n">
        <f aca="false" t="array" ref="R535:R535">IF(AND(INDEX(Profils!$L$5:$L$34,$AE535)&gt;0,INDEX(Profils!$AA$5:$AA$34,$AE535)&lt;=$AH535),ROUND(INDEX(Profils!$L$5:$L$34,$AE535)*Paramètres!$E$28*$AG535*$AJ535,Paramètres!$F$28),0)</f>
        <v>0</v>
      </c>
      <c r="S535" s="20" t="n">
        <f aca="false" t="array" ref="S535:S535">IF(AND(INDEX(Profils!$M$5:$M$34,$AE535)&gt;0,INDEX(Profils!$AB$5:$AB$34,$AE535)&lt;=$AH535),ROUND(INDEX(Profils!$M$5:$M$34,$AE535)*Paramètres!$E$29*$AG535*$AJ535,Paramètres!$F$29),0)</f>
        <v>0</v>
      </c>
      <c r="T535" s="20" t="n">
        <f aca="false" t="array" ref="T535:T535">IF(AND(INDEX(Profils!$N$5:$N$34,$AE535)&gt;0,INDEX(Profils!$AC$5:$AC$34,$AE535)&lt;=$AH535),ROUND(INDEX(Profils!$N$5:$N$34,$AE535)*Paramètres!$E$30*$AG535*$AJ535,Paramètres!$F$30),0)</f>
        <v>0</v>
      </c>
      <c r="U535" s="19" t="n">
        <f aca="false" t="array" ref="U535:U535">IF(AND(INDEX(Profils!$O$5:$O$34,$AE535)&gt;0,INDEX(Profils!$AD$5:$AD$34,$AE535)&lt;=$AH535),ROUND(INDEX(Profils!$O$5:$O$34,$AE535)*Paramètres!$E$31*$AG535*$AJ535,Paramètres!$F$31),0)</f>
        <v>0</v>
      </c>
      <c r="V535" s="20" t="n">
        <f aca="false" t="array" ref="V535:V535">IF(AND(INDEX(Profils!$P$5:$P$34,$AE535)&gt;0,INDEX(Profils!$AE$5:$AE$34,$AE535)&lt;=$AH535),ROUND(INDEX(Profils!$P$5:$P$34,$AE535)*Paramètres!$E$32*$AG535*$AJ535,Paramètres!$F$32),0)</f>
        <v>0.001</v>
      </c>
      <c r="W535" s="20" t="n">
        <f aca="false" t="array" ref="W535:W535">IF(AND(INDEX(Profils!$Q$5:$Q$34,$AE535)&gt;0,INDEX(Profils!$AF$5:$AF$34,$AE535)&lt;=$AH535),ROUND(INDEX(Profils!$Q$5:$Q$34,$AE535)*Paramètres!$E$33*$AG535*$AJ535,Paramètres!$F$33),0)</f>
        <v>0</v>
      </c>
      <c r="X535" s="20" t="n">
        <f aca="false" t="array" ref="X535:X535">IF(AND(INDEX(Profils!$R$5:$R$34,$AE535)&gt;0,INDEX(Profils!$AG$5:$AG$34,$AE535)&lt;=$AH535),ROUND(INDEX(Profils!$R$5:$R$34,$AE535)*Paramètres!$E$34*$AG535*$AJ535,Paramètres!$F$34),0)</f>
        <v>0.001</v>
      </c>
      <c r="Y535" s="20" t="n">
        <f aca="false" t="array" ref="Y535:Y535">IF(AND(INDEX(Profils!$S$5:$S$34,$AE535)&gt;0,INDEX(Profils!$AH$5:$AH$34,$AE535)&lt;=$AH535),ROUND(INDEX(Profils!$S$5:$S$34,$AE535)*Paramètres!$E$35*$AG535*$AJ535,Paramètres!$F$35),0)</f>
        <v>0</v>
      </c>
      <c r="Z535" s="21" t="n">
        <f aca="false">ROUND(L535/Paramètres!$E$22+M535/Paramètres!$E$23+N535/Paramètres!$E$24+O535/Paramètres!$E$25+P535/Paramètres!$E$26+Q535/Paramètres!$E$27+R535/Paramètres!$E$28+S535/Paramètres!$E$29+T535/Paramètres!$E$30+U535/Paramètres!$E$31+V535/Paramètres!$E$32+W535/Paramètres!$E$33+X535/Paramètres!$E$34+Y535/Paramètres!$E$35,1)</f>
        <v>0.3</v>
      </c>
      <c r="AA535" s="22" t="s">
        <v>109</v>
      </c>
      <c r="AB535" s="22" t="s">
        <v>109</v>
      </c>
      <c r="AC535" s="15" t="str">
        <f aca="false">$E535</f>
        <v>lin</v>
      </c>
      <c r="AD535" s="16" t="n">
        <f aca="false" t="array" ref="AD535:AD535">IF($I535&gt;=$AI535,"Max",ROUND(Paramètres!$B$40*($I535+1)^Paramètres!$B$41*INDEX(Paramètres!$H$6:$H$12,$AF535),0))</f>
        <v>4</v>
      </c>
      <c r="AE535" s="23" t="n">
        <f aca="false">MATCH($B535&amp;"|"&amp;$C535,Profils!$A$5:$A$34,0)</f>
        <v>18</v>
      </c>
      <c r="AF535" s="23" t="n">
        <v>3</v>
      </c>
      <c r="AG535" s="24" t="n">
        <f aca="false" t="array" ref="AG535:AG535">INDEX(Paramètres!$C$6:$C$12,$AF535)</f>
        <v>1.45</v>
      </c>
      <c r="AH535" s="23" t="n">
        <f aca="false" t="array" ref="AH535:AH535">INDEX(Paramètres!$D$6:$D$12,$AF535)</f>
        <v>4</v>
      </c>
      <c r="AI535" s="23" t="n">
        <f aca="false" t="array" ref="AI535:AI535">INDEX(Matériaux!$C$16:$C$20,$D535)</f>
        <v>19</v>
      </c>
      <c r="AJ535" s="25" t="n">
        <f aca="false">Paramètres!$B$16+(1-Paramètres!$B$16)*(($J535-Paramètres!$B$14)/(Paramètres!$B$15-Paramètres!$B$14))^Paramètres!$B$17</f>
        <v>0.05</v>
      </c>
    </row>
    <row r="536" customFormat="false" ht="15.75" hidden="false" customHeight="true" outlineLevel="0" collapsed="false">
      <c r="A536" s="14" t="s">
        <v>652</v>
      </c>
      <c r="B536" s="15" t="s">
        <v>29</v>
      </c>
      <c r="C536" s="15" t="s">
        <v>337</v>
      </c>
      <c r="D536" s="16" t="n">
        <v>1</v>
      </c>
      <c r="E536" s="15" t="str">
        <f aca="false" t="array" ref="E536:E536">INDEX(Matériaux!$B$5:$F$12,MATCH(INDEX(Profils!$E$5:$E$34,$AE536),Matériaux!$A$5:$A$12,0),$D536)</f>
        <v>lin</v>
      </c>
      <c r="F536" s="28" t="s">
        <v>115</v>
      </c>
      <c r="G536" s="10" t="str">
        <f aca="false" t="array" ref="G536:G536">INDEX(Profils!$D$5:$D$34,$AE536)&amp;" en "&amp;$E536</f>
        <v>Ceinture en lin</v>
      </c>
      <c r="H536" s="16" t="n">
        <f aca="false" t="array" ref="H536:H536">INDEX(Matériaux!$B$16:$B$20,$D536)</f>
        <v>1</v>
      </c>
      <c r="I536" s="16" t="n">
        <f aca="false">IF(ISNUMBER($C$3),MIN(MAX(0,ROUND($C$3,0)),$AI536),$AI536)</f>
        <v>0</v>
      </c>
      <c r="J536" s="18" t="n">
        <f aca="false">$H536+$I536</f>
        <v>1</v>
      </c>
      <c r="K536" s="15" t="s">
        <v>109</v>
      </c>
      <c r="L536" s="19" t="n">
        <f aca="false" t="array" ref="L536:L536">IF(AND(INDEX(Profils!$F$5:$F$34,$AE536)&gt;0,INDEX(Profils!$U$5:$U$34,$AE536)&lt;=$AH536),ROUND(INDEX(Profils!$F$5:$F$34,$AE536)*Paramètres!$E$22*$AG536*$AJ536,Paramètres!$F$22),0)</f>
        <v>2</v>
      </c>
      <c r="M536" s="19" t="n">
        <f aca="false" t="array" ref="M536:M536">IF(AND(INDEX(Profils!$G$5:$G$34,$AE536)&gt;0,INDEX(Profils!$V$5:$V$34,$AE536)&lt;=$AH536),ROUND(INDEX(Profils!$G$5:$G$34,$AE536)*Paramètres!$E$23*$AG536*$AJ536,Paramètres!$F$23),0)</f>
        <v>0</v>
      </c>
      <c r="N536" s="19" t="n">
        <f aca="false" t="array" ref="N536:N536">IF(AND(INDEX(Profils!$H$5:$H$34,$AE536)&gt;0,INDEX(Profils!$W$5:$W$34,$AE536)&lt;=$AH536),ROUND(INDEX(Profils!$H$5:$H$34,$AE536)*Paramètres!$E$24*$AG536*$AJ536,Paramètres!$F$24),0)</f>
        <v>0</v>
      </c>
      <c r="O536" s="19" t="n">
        <f aca="false" t="array" ref="O536:O536">IF(AND(INDEX(Profils!$I$5:$I$34,$AE536)&gt;0,INDEX(Profils!$X$5:$X$34,$AE536)&lt;=$AH536),ROUND(INDEX(Profils!$I$5:$I$34,$AE536)*Paramètres!$E$25*$AG536*$AJ536,Paramètres!$F$25),0)</f>
        <v>1</v>
      </c>
      <c r="P536" s="19" t="n">
        <f aca="false" t="array" ref="P536:P536">IF(AND(INDEX(Profils!$J$5:$J$34,$AE536)&gt;0,INDEX(Profils!$Y$5:$Y$34,$AE536)&lt;=$AH536),ROUND(INDEX(Profils!$J$5:$J$34,$AE536)*Paramètres!$E$26*$AG536*$AJ536,Paramètres!$F$26),0)</f>
        <v>0</v>
      </c>
      <c r="Q536" s="19" t="n">
        <f aca="false" t="array" ref="Q536:Q536">IF(AND(INDEX(Profils!$K$5:$K$34,$AE536)&gt;0,INDEX(Profils!$Z$5:$Z$34,$AE536)&lt;=$AH536),ROUND(INDEX(Profils!$K$5:$K$34,$AE536)*Paramètres!$E$27*$AG536*$AJ536,Paramètres!$F$27),0)</f>
        <v>0</v>
      </c>
      <c r="R536" s="20" t="n">
        <f aca="false" t="array" ref="R536:R536">IF(AND(INDEX(Profils!$L$5:$L$34,$AE536)&gt;0,INDEX(Profils!$AA$5:$AA$34,$AE536)&lt;=$AH536),ROUND(INDEX(Profils!$L$5:$L$34,$AE536)*Paramètres!$E$28*$AG536*$AJ536,Paramètres!$F$28),0)</f>
        <v>0</v>
      </c>
      <c r="S536" s="20" t="n">
        <f aca="false" t="array" ref="S536:S536">IF(AND(INDEX(Profils!$M$5:$M$34,$AE536)&gt;0,INDEX(Profils!$AB$5:$AB$34,$AE536)&lt;=$AH536),ROUND(INDEX(Profils!$M$5:$M$34,$AE536)*Paramètres!$E$29*$AG536*$AJ536,Paramètres!$F$29),0)</f>
        <v>0</v>
      </c>
      <c r="T536" s="20" t="n">
        <f aca="false" t="array" ref="T536:T536">IF(AND(INDEX(Profils!$N$5:$N$34,$AE536)&gt;0,INDEX(Profils!$AC$5:$AC$34,$AE536)&lt;=$AH536),ROUND(INDEX(Profils!$N$5:$N$34,$AE536)*Paramètres!$E$30*$AG536*$AJ536,Paramètres!$F$30),0)</f>
        <v>0</v>
      </c>
      <c r="U536" s="19" t="n">
        <f aca="false" t="array" ref="U536:U536">IF(AND(INDEX(Profils!$O$5:$O$34,$AE536)&gt;0,INDEX(Profils!$AD$5:$AD$34,$AE536)&lt;=$AH536),ROUND(INDEX(Profils!$O$5:$O$34,$AE536)*Paramètres!$E$31*$AG536*$AJ536,Paramètres!$F$31),0)</f>
        <v>0</v>
      </c>
      <c r="V536" s="20" t="n">
        <f aca="false" t="array" ref="V536:V536">IF(AND(INDEX(Profils!$P$5:$P$34,$AE536)&gt;0,INDEX(Profils!$AE$5:$AE$34,$AE536)&lt;=$AH536),ROUND(INDEX(Profils!$P$5:$P$34,$AE536)*Paramètres!$E$32*$AG536*$AJ536,Paramètres!$F$32),0)</f>
        <v>0.001</v>
      </c>
      <c r="W536" s="20" t="n">
        <f aca="false" t="array" ref="W536:W536">IF(AND(INDEX(Profils!$Q$5:$Q$34,$AE536)&gt;0,INDEX(Profils!$AF$5:$AF$34,$AE536)&lt;=$AH536),ROUND(INDEX(Profils!$Q$5:$Q$34,$AE536)*Paramètres!$E$33*$AG536*$AJ536,Paramètres!$F$33),0)</f>
        <v>0</v>
      </c>
      <c r="X536" s="20" t="n">
        <f aca="false" t="array" ref="X536:X536">IF(AND(INDEX(Profils!$R$5:$R$34,$AE536)&gt;0,INDEX(Profils!$AG$5:$AG$34,$AE536)&lt;=$AH536),ROUND(INDEX(Profils!$R$5:$R$34,$AE536)*Paramètres!$E$34*$AG536*$AJ536,Paramètres!$F$34),0)</f>
        <v>0.001</v>
      </c>
      <c r="Y536" s="20" t="n">
        <f aca="false" t="array" ref="Y536:Y536">IF(AND(INDEX(Profils!$S$5:$S$34,$AE536)&gt;0,INDEX(Profils!$AH$5:$AH$34,$AE536)&lt;=$AH536),ROUND(INDEX(Profils!$S$5:$S$34,$AE536)*Paramètres!$E$35*$AG536*$AJ536,Paramètres!$F$35),0)</f>
        <v>0.001</v>
      </c>
      <c r="Z536" s="21" t="n">
        <f aca="false">ROUND(L536/Paramètres!$E$22+M536/Paramètres!$E$23+N536/Paramètres!$E$24+O536/Paramètres!$E$25+P536/Paramètres!$E$26+Q536/Paramètres!$E$27+R536/Paramètres!$E$28+S536/Paramètres!$E$29+T536/Paramètres!$E$30+U536/Paramètres!$E$31+V536/Paramètres!$E$32+W536/Paramètres!$E$33+X536/Paramètres!$E$34+Y536/Paramètres!$E$35,1)</f>
        <v>0.3</v>
      </c>
      <c r="AA536" s="22" t="s">
        <v>109</v>
      </c>
      <c r="AB536" s="22" t="s">
        <v>109</v>
      </c>
      <c r="AC536" s="15" t="str">
        <f aca="false">$E536</f>
        <v>lin</v>
      </c>
      <c r="AD536" s="16" t="n">
        <f aca="false" t="array" ref="AD536:AD536">IF($I536&gt;=$AI536,"Max",ROUND(Paramètres!$B$40*($I536+1)^Paramètres!$B$41*INDEX(Paramètres!$H$6:$H$12,$AF536),0))</f>
        <v>5</v>
      </c>
      <c r="AE536" s="23" t="n">
        <f aca="false">MATCH($B536&amp;"|"&amp;$C536,Profils!$A$5:$A$34,0)</f>
        <v>18</v>
      </c>
      <c r="AF536" s="23" t="n">
        <v>4</v>
      </c>
      <c r="AG536" s="24" t="n">
        <f aca="false" t="array" ref="AG536:AG536">INDEX(Paramètres!$C$6:$C$12,$AF536)</f>
        <v>1.75</v>
      </c>
      <c r="AH536" s="23" t="n">
        <f aca="false" t="array" ref="AH536:AH536">INDEX(Paramètres!$D$6:$D$12,$AF536)</f>
        <v>5</v>
      </c>
      <c r="AI536" s="23" t="n">
        <f aca="false" t="array" ref="AI536:AI536">INDEX(Matériaux!$C$16:$C$20,$D536)</f>
        <v>19</v>
      </c>
      <c r="AJ536" s="25" t="n">
        <f aca="false">Paramètres!$B$16+(1-Paramètres!$B$16)*(($J536-Paramètres!$B$14)/(Paramètres!$B$15-Paramètres!$B$14))^Paramètres!$B$17</f>
        <v>0.05</v>
      </c>
    </row>
    <row r="537" customFormat="false" ht="15.75" hidden="false" customHeight="true" outlineLevel="0" collapsed="false">
      <c r="A537" s="14" t="s">
        <v>653</v>
      </c>
      <c r="B537" s="15" t="s">
        <v>29</v>
      </c>
      <c r="C537" s="15" t="s">
        <v>337</v>
      </c>
      <c r="D537" s="16" t="n">
        <v>1</v>
      </c>
      <c r="E537" s="15" t="str">
        <f aca="false" t="array" ref="E537:E537">INDEX(Matériaux!$B$5:$F$12,MATCH(INDEX(Profils!$E$5:$E$34,$AE537),Matériaux!$A$5:$A$12,0),$D537)</f>
        <v>lin</v>
      </c>
      <c r="F537" s="29" t="s">
        <v>117</v>
      </c>
      <c r="G537" s="10" t="str">
        <f aca="false" t="array" ref="G537:G537">INDEX(Profils!$D$5:$D$34,$AE537)&amp;" en "&amp;$E537</f>
        <v>Ceinture en lin</v>
      </c>
      <c r="H537" s="16" t="n">
        <f aca="false" t="array" ref="H537:H537">INDEX(Matériaux!$B$16:$B$20,$D537)</f>
        <v>1</v>
      </c>
      <c r="I537" s="16" t="n">
        <f aca="false">IF(ISNUMBER($C$3),MIN(MAX(0,ROUND($C$3,0)),$AI537),$AI537)</f>
        <v>0</v>
      </c>
      <c r="J537" s="18" t="n">
        <f aca="false">$H537+$I537</f>
        <v>1</v>
      </c>
      <c r="K537" s="15" t="s">
        <v>109</v>
      </c>
      <c r="L537" s="19" t="n">
        <f aca="false" t="array" ref="L537:L537">IF(AND(INDEX(Profils!$F$5:$F$34,$AE537)&gt;0,INDEX(Profils!$U$5:$U$34,$AE537)&lt;=$AH537),ROUND(INDEX(Profils!$F$5:$F$34,$AE537)*Paramètres!$E$22*$AG537*$AJ537,Paramètres!$F$22),0)</f>
        <v>2</v>
      </c>
      <c r="M537" s="19" t="n">
        <f aca="false" t="array" ref="M537:M537">IF(AND(INDEX(Profils!$G$5:$G$34,$AE537)&gt;0,INDEX(Profils!$V$5:$V$34,$AE537)&lt;=$AH537),ROUND(INDEX(Profils!$G$5:$G$34,$AE537)*Paramètres!$E$23*$AG537*$AJ537,Paramètres!$F$23),0)</f>
        <v>0</v>
      </c>
      <c r="N537" s="19" t="n">
        <f aca="false" t="array" ref="N537:N537">IF(AND(INDEX(Profils!$H$5:$H$34,$AE537)&gt;0,INDEX(Profils!$W$5:$W$34,$AE537)&lt;=$AH537),ROUND(INDEX(Profils!$H$5:$H$34,$AE537)*Paramètres!$E$24*$AG537*$AJ537,Paramètres!$F$24),0)</f>
        <v>0</v>
      </c>
      <c r="O537" s="19" t="n">
        <f aca="false" t="array" ref="O537:O537">IF(AND(INDEX(Profils!$I$5:$I$34,$AE537)&gt;0,INDEX(Profils!$X$5:$X$34,$AE537)&lt;=$AH537),ROUND(INDEX(Profils!$I$5:$I$34,$AE537)*Paramètres!$E$25*$AG537*$AJ537,Paramètres!$F$25),0)</f>
        <v>1</v>
      </c>
      <c r="P537" s="19" t="n">
        <f aca="false" t="array" ref="P537:P537">IF(AND(INDEX(Profils!$J$5:$J$34,$AE537)&gt;0,INDEX(Profils!$Y$5:$Y$34,$AE537)&lt;=$AH537),ROUND(INDEX(Profils!$J$5:$J$34,$AE537)*Paramètres!$E$26*$AG537*$AJ537,Paramètres!$F$26),0)</f>
        <v>1</v>
      </c>
      <c r="Q537" s="19" t="n">
        <f aca="false" t="array" ref="Q537:Q537">IF(AND(INDEX(Profils!$K$5:$K$34,$AE537)&gt;0,INDEX(Profils!$Z$5:$Z$34,$AE537)&lt;=$AH537),ROUND(INDEX(Profils!$K$5:$K$34,$AE537)*Paramètres!$E$27*$AG537*$AJ537,Paramètres!$F$27),0)</f>
        <v>0</v>
      </c>
      <c r="R537" s="20" t="n">
        <f aca="false" t="array" ref="R537:R537">IF(AND(INDEX(Profils!$L$5:$L$34,$AE537)&gt;0,INDEX(Profils!$AA$5:$AA$34,$AE537)&lt;=$AH537),ROUND(INDEX(Profils!$L$5:$L$34,$AE537)*Paramètres!$E$28*$AG537*$AJ537,Paramètres!$F$28),0)</f>
        <v>0</v>
      </c>
      <c r="S537" s="20" t="n">
        <f aca="false" t="array" ref="S537:S537">IF(AND(INDEX(Profils!$M$5:$M$34,$AE537)&gt;0,INDEX(Profils!$AB$5:$AB$34,$AE537)&lt;=$AH537),ROUND(INDEX(Profils!$M$5:$M$34,$AE537)*Paramètres!$E$29*$AG537*$AJ537,Paramètres!$F$29),0)</f>
        <v>0</v>
      </c>
      <c r="T537" s="20" t="n">
        <f aca="false" t="array" ref="T537:T537">IF(AND(INDEX(Profils!$N$5:$N$34,$AE537)&gt;0,INDEX(Profils!$AC$5:$AC$34,$AE537)&lt;=$AH537),ROUND(INDEX(Profils!$N$5:$N$34,$AE537)*Paramètres!$E$30*$AG537*$AJ537,Paramètres!$F$30),0)</f>
        <v>0</v>
      </c>
      <c r="U537" s="19" t="n">
        <f aca="false" t="array" ref="U537:U537">IF(AND(INDEX(Profils!$O$5:$O$34,$AE537)&gt;0,INDEX(Profils!$AD$5:$AD$34,$AE537)&lt;=$AH537),ROUND(INDEX(Profils!$O$5:$O$34,$AE537)*Paramètres!$E$31*$AG537*$AJ537,Paramètres!$F$31),0)</f>
        <v>0</v>
      </c>
      <c r="V537" s="20" t="n">
        <f aca="false" t="array" ref="V537:V537">IF(AND(INDEX(Profils!$P$5:$P$34,$AE537)&gt;0,INDEX(Profils!$AE$5:$AE$34,$AE537)&lt;=$AH537),ROUND(INDEX(Profils!$P$5:$P$34,$AE537)*Paramètres!$E$32*$AG537*$AJ537,Paramètres!$F$32),0)</f>
        <v>0.001</v>
      </c>
      <c r="W537" s="20" t="n">
        <f aca="false" t="array" ref="W537:W537">IF(AND(INDEX(Profils!$Q$5:$Q$34,$AE537)&gt;0,INDEX(Profils!$AF$5:$AF$34,$AE537)&lt;=$AH537),ROUND(INDEX(Profils!$Q$5:$Q$34,$AE537)*Paramètres!$E$33*$AG537*$AJ537,Paramètres!$F$33),0)</f>
        <v>0</v>
      </c>
      <c r="X537" s="20" t="n">
        <f aca="false" t="array" ref="X537:X537">IF(AND(INDEX(Profils!$R$5:$R$34,$AE537)&gt;0,INDEX(Profils!$AG$5:$AG$34,$AE537)&lt;=$AH537),ROUND(INDEX(Profils!$R$5:$R$34,$AE537)*Paramètres!$E$34*$AG537*$AJ537,Paramètres!$F$34),0)</f>
        <v>0.002</v>
      </c>
      <c r="Y537" s="20" t="n">
        <f aca="false" t="array" ref="Y537:Y537">IF(AND(INDEX(Profils!$S$5:$S$34,$AE537)&gt;0,INDEX(Profils!$AH$5:$AH$34,$AE537)&lt;=$AH537),ROUND(INDEX(Profils!$S$5:$S$34,$AE537)*Paramètres!$E$35*$AG537*$AJ537,Paramètres!$F$35),0)</f>
        <v>0.001</v>
      </c>
      <c r="Z537" s="21" t="n">
        <f aca="false">ROUND(L537/Paramètres!$E$22+M537/Paramètres!$E$23+N537/Paramètres!$E$24+O537/Paramètres!$E$25+P537/Paramètres!$E$26+Q537/Paramètres!$E$27+R537/Paramètres!$E$28+S537/Paramètres!$E$29+T537/Paramètres!$E$30+U537/Paramètres!$E$31+V537/Paramètres!$E$32+W537/Paramètres!$E$33+X537/Paramètres!$E$34+Y537/Paramètres!$E$35,1)</f>
        <v>0.5</v>
      </c>
      <c r="AA537" s="22" t="s">
        <v>109</v>
      </c>
      <c r="AB537" s="22" t="s">
        <v>109</v>
      </c>
      <c r="AC537" s="15" t="str">
        <f aca="false">$E537</f>
        <v>lin</v>
      </c>
      <c r="AD537" s="16" t="n">
        <f aca="false" t="array" ref="AD537:AD537">IF($I537&gt;=$AI537,"Max",ROUND(Paramètres!$B$40*($I537+1)^Paramètres!$B$41*INDEX(Paramètres!$H$6:$H$12,$AF537),0))</f>
        <v>6</v>
      </c>
      <c r="AE537" s="23" t="n">
        <f aca="false">MATCH($B537&amp;"|"&amp;$C537,Profils!$A$5:$A$34,0)</f>
        <v>18</v>
      </c>
      <c r="AF537" s="23" t="n">
        <v>5</v>
      </c>
      <c r="AG537" s="24" t="n">
        <f aca="false" t="array" ref="AG537:AG537">INDEX(Paramètres!$C$6:$C$12,$AF537)</f>
        <v>2.1</v>
      </c>
      <c r="AH537" s="23" t="n">
        <f aca="false" t="array" ref="AH537:AH537">INDEX(Paramètres!$D$6:$D$12,$AF537)</f>
        <v>6</v>
      </c>
      <c r="AI537" s="23" t="n">
        <f aca="false" t="array" ref="AI537:AI537">INDEX(Matériaux!$C$16:$C$20,$D537)</f>
        <v>19</v>
      </c>
      <c r="AJ537" s="25" t="n">
        <f aca="false">Paramètres!$B$16+(1-Paramètres!$B$16)*(($J537-Paramètres!$B$14)/(Paramètres!$B$15-Paramètres!$B$14))^Paramètres!$B$17</f>
        <v>0.05</v>
      </c>
    </row>
    <row r="538" customFormat="false" ht="15.75" hidden="false" customHeight="true" outlineLevel="0" collapsed="false">
      <c r="A538" s="14" t="s">
        <v>654</v>
      </c>
      <c r="B538" s="15" t="s">
        <v>29</v>
      </c>
      <c r="C538" s="15" t="s">
        <v>337</v>
      </c>
      <c r="D538" s="16" t="n">
        <v>1</v>
      </c>
      <c r="E538" s="15" t="str">
        <f aca="false" t="array" ref="E538:E538">INDEX(Matériaux!$B$5:$F$12,MATCH(INDEX(Profils!$E$5:$E$34,$AE538),Matériaux!$A$5:$A$12,0),$D538)</f>
        <v>lin</v>
      </c>
      <c r="F538" s="30" t="s">
        <v>119</v>
      </c>
      <c r="G538" s="10" t="str">
        <f aca="false" t="array" ref="G538:G538">INDEX(Profils!$D$5:$D$34,$AE538)&amp;" en "&amp;$E538</f>
        <v>Ceinture en lin</v>
      </c>
      <c r="H538" s="16" t="n">
        <f aca="false" t="array" ref="H538:H538">INDEX(Matériaux!$B$16:$B$20,$D538)</f>
        <v>1</v>
      </c>
      <c r="I538" s="16" t="n">
        <f aca="false">IF(ISNUMBER($C$3),MIN(MAX(0,ROUND($C$3,0)),$AI538),$AI538)</f>
        <v>0</v>
      </c>
      <c r="J538" s="18" t="n">
        <f aca="false">$H538+$I538</f>
        <v>1</v>
      </c>
      <c r="K538" s="15" t="s">
        <v>109</v>
      </c>
      <c r="L538" s="19" t="n">
        <f aca="false" t="array" ref="L538:L538">IF(AND(INDEX(Profils!$F$5:$F$34,$AE538)&gt;0,INDEX(Profils!$U$5:$U$34,$AE538)&lt;=$AH538),ROUND(INDEX(Profils!$F$5:$F$34,$AE538)*Paramètres!$E$22*$AG538*$AJ538,Paramètres!$F$22),0)</f>
        <v>3</v>
      </c>
      <c r="M538" s="19" t="n">
        <f aca="false" t="array" ref="M538:M538">IF(AND(INDEX(Profils!$G$5:$G$34,$AE538)&gt;0,INDEX(Profils!$V$5:$V$34,$AE538)&lt;=$AH538),ROUND(INDEX(Profils!$G$5:$G$34,$AE538)*Paramètres!$E$23*$AG538*$AJ538,Paramètres!$F$23),0)</f>
        <v>0</v>
      </c>
      <c r="N538" s="19" t="n">
        <f aca="false" t="array" ref="N538:N538">IF(AND(INDEX(Profils!$H$5:$H$34,$AE538)&gt;0,INDEX(Profils!$W$5:$W$34,$AE538)&lt;=$AH538),ROUND(INDEX(Profils!$H$5:$H$34,$AE538)*Paramètres!$E$24*$AG538*$AJ538,Paramètres!$F$24),0)</f>
        <v>0</v>
      </c>
      <c r="O538" s="19" t="n">
        <f aca="false" t="array" ref="O538:O538">IF(AND(INDEX(Profils!$I$5:$I$34,$AE538)&gt;0,INDEX(Profils!$X$5:$X$34,$AE538)&lt;=$AH538),ROUND(INDEX(Profils!$I$5:$I$34,$AE538)*Paramètres!$E$25*$AG538*$AJ538,Paramètres!$F$25),0)</f>
        <v>1</v>
      </c>
      <c r="P538" s="19" t="n">
        <f aca="false" t="array" ref="P538:P538">IF(AND(INDEX(Profils!$J$5:$J$34,$AE538)&gt;0,INDEX(Profils!$Y$5:$Y$34,$AE538)&lt;=$AH538),ROUND(INDEX(Profils!$J$5:$J$34,$AE538)*Paramètres!$E$26*$AG538*$AJ538,Paramètres!$F$26),0)</f>
        <v>1</v>
      </c>
      <c r="Q538" s="19" t="n">
        <f aca="false" t="array" ref="Q538:Q538">IF(AND(INDEX(Profils!$K$5:$K$34,$AE538)&gt;0,INDEX(Profils!$Z$5:$Z$34,$AE538)&lt;=$AH538),ROUND(INDEX(Profils!$K$5:$K$34,$AE538)*Paramètres!$E$27*$AG538*$AJ538,Paramètres!$F$27),0)</f>
        <v>0</v>
      </c>
      <c r="R538" s="20" t="n">
        <f aca="false" t="array" ref="R538:R538">IF(AND(INDEX(Profils!$L$5:$L$34,$AE538)&gt;0,INDEX(Profils!$AA$5:$AA$34,$AE538)&lt;=$AH538),ROUND(INDEX(Profils!$L$5:$L$34,$AE538)*Paramètres!$E$28*$AG538*$AJ538,Paramètres!$F$28),0)</f>
        <v>0</v>
      </c>
      <c r="S538" s="20" t="n">
        <f aca="false" t="array" ref="S538:S538">IF(AND(INDEX(Profils!$M$5:$M$34,$AE538)&gt;0,INDEX(Profils!$AB$5:$AB$34,$AE538)&lt;=$AH538),ROUND(INDEX(Profils!$M$5:$M$34,$AE538)*Paramètres!$E$29*$AG538*$AJ538,Paramètres!$F$29),0)</f>
        <v>0.001</v>
      </c>
      <c r="T538" s="20" t="n">
        <f aca="false" t="array" ref="T538:T538">IF(AND(INDEX(Profils!$N$5:$N$34,$AE538)&gt;0,INDEX(Profils!$AC$5:$AC$34,$AE538)&lt;=$AH538),ROUND(INDEX(Profils!$N$5:$N$34,$AE538)*Paramètres!$E$30*$AG538*$AJ538,Paramètres!$F$30),0)</f>
        <v>0</v>
      </c>
      <c r="U538" s="19" t="n">
        <f aca="false" t="array" ref="U538:U538">IF(AND(INDEX(Profils!$O$5:$O$34,$AE538)&gt;0,INDEX(Profils!$AD$5:$AD$34,$AE538)&lt;=$AH538),ROUND(INDEX(Profils!$O$5:$O$34,$AE538)*Paramètres!$E$31*$AG538*$AJ538,Paramètres!$F$31),0)</f>
        <v>0</v>
      </c>
      <c r="V538" s="20" t="n">
        <f aca="false" t="array" ref="V538:V538">IF(AND(INDEX(Profils!$P$5:$P$34,$AE538)&gt;0,INDEX(Profils!$AE$5:$AE$34,$AE538)&lt;=$AH538),ROUND(INDEX(Profils!$P$5:$P$34,$AE538)*Paramètres!$E$32*$AG538*$AJ538,Paramètres!$F$32),0)</f>
        <v>0.001</v>
      </c>
      <c r="W538" s="20" t="n">
        <f aca="false" t="array" ref="W538:W538">IF(AND(INDEX(Profils!$Q$5:$Q$34,$AE538)&gt;0,INDEX(Profils!$AF$5:$AF$34,$AE538)&lt;=$AH538),ROUND(INDEX(Profils!$Q$5:$Q$34,$AE538)*Paramètres!$E$33*$AG538*$AJ538,Paramètres!$F$33),0)</f>
        <v>0</v>
      </c>
      <c r="X538" s="20" t="n">
        <f aca="false" t="array" ref="X538:X538">IF(AND(INDEX(Profils!$R$5:$R$34,$AE538)&gt;0,INDEX(Profils!$AG$5:$AG$34,$AE538)&lt;=$AH538),ROUND(INDEX(Profils!$R$5:$R$34,$AE538)*Paramètres!$E$34*$AG538*$AJ538,Paramètres!$F$34),0)</f>
        <v>0.002</v>
      </c>
      <c r="Y538" s="20" t="n">
        <f aca="false" t="array" ref="Y538:Y538">IF(AND(INDEX(Profils!$S$5:$S$34,$AE538)&gt;0,INDEX(Profils!$AH$5:$AH$34,$AE538)&lt;=$AH538),ROUND(INDEX(Profils!$S$5:$S$34,$AE538)*Paramètres!$E$35*$AG538*$AJ538,Paramètres!$F$35),0)</f>
        <v>0.001</v>
      </c>
      <c r="Z538" s="21" t="n">
        <f aca="false">ROUND(L538/Paramètres!$E$22+M538/Paramètres!$E$23+N538/Paramètres!$E$24+O538/Paramètres!$E$25+P538/Paramètres!$E$26+Q538/Paramètres!$E$27+R538/Paramètres!$E$28+S538/Paramètres!$E$29+T538/Paramètres!$E$30+U538/Paramètres!$E$31+V538/Paramètres!$E$32+W538/Paramètres!$E$33+X538/Paramètres!$E$34+Y538/Paramètres!$E$35,1)</f>
        <v>0.6</v>
      </c>
      <c r="AA538" s="22" t="s">
        <v>109</v>
      </c>
      <c r="AB538" s="22" t="s">
        <v>109</v>
      </c>
      <c r="AC538" s="15" t="str">
        <f aca="false">$E538</f>
        <v>lin</v>
      </c>
      <c r="AD538" s="16" t="n">
        <f aca="false" t="array" ref="AD538:AD538">IF($I538&gt;=$AI538,"Max",ROUND(Paramètres!$B$40*($I538+1)^Paramètres!$B$41*INDEX(Paramètres!$H$6:$H$12,$AF538),0))</f>
        <v>8</v>
      </c>
      <c r="AE538" s="23" t="n">
        <f aca="false">MATCH($B538&amp;"|"&amp;$C538,Profils!$A$5:$A$34,0)</f>
        <v>18</v>
      </c>
      <c r="AF538" s="23" t="n">
        <v>6</v>
      </c>
      <c r="AG538" s="24" t="n">
        <f aca="false" t="array" ref="AG538:AG538">INDEX(Paramètres!$C$6:$C$12,$AF538)</f>
        <v>2.4</v>
      </c>
      <c r="AH538" s="23" t="n">
        <f aca="false" t="array" ref="AH538:AH538">INDEX(Paramètres!$D$6:$D$12,$AF538)</f>
        <v>7</v>
      </c>
      <c r="AI538" s="23" t="n">
        <f aca="false" t="array" ref="AI538:AI538">INDEX(Matériaux!$C$16:$C$20,$D538)</f>
        <v>19</v>
      </c>
      <c r="AJ538" s="25" t="n">
        <f aca="false">Paramètres!$B$16+(1-Paramètres!$B$16)*(($J538-Paramètres!$B$14)/(Paramètres!$B$15-Paramètres!$B$14))^Paramètres!$B$17</f>
        <v>0.05</v>
      </c>
    </row>
    <row r="539" customFormat="false" ht="15.75" hidden="false" customHeight="true" outlineLevel="0" collapsed="false">
      <c r="A539" s="14" t="s">
        <v>655</v>
      </c>
      <c r="B539" s="15" t="s">
        <v>29</v>
      </c>
      <c r="C539" s="15" t="s">
        <v>337</v>
      </c>
      <c r="D539" s="16" t="n">
        <v>2</v>
      </c>
      <c r="E539" s="15" t="str">
        <f aca="false" t="array" ref="E539:E539">INDEX(Matériaux!$B$5:$F$12,MATCH(INDEX(Profils!$E$5:$E$34,$AE539),Matériaux!$A$5:$A$12,0),$D539)</f>
        <v>laine</v>
      </c>
      <c r="F539" s="17" t="s">
        <v>108</v>
      </c>
      <c r="G539" s="10" t="str">
        <f aca="false" t="array" ref="G539:G539">INDEX(Profils!$D$5:$D$34,$AE539)&amp;" en "&amp;$E539</f>
        <v>Ceinture en laine</v>
      </c>
      <c r="H539" s="16" t="n">
        <f aca="false" t="array" ref="H539:H539">INDEX(Matériaux!$B$16:$B$20,$D539)</f>
        <v>15</v>
      </c>
      <c r="I539" s="16" t="n">
        <f aca="false">IF(ISNUMBER($C$3),MIN(MAX(0,ROUND($C$3,0)),$AI539),$AI539)</f>
        <v>0</v>
      </c>
      <c r="J539" s="18" t="n">
        <f aca="false">$H539+$I539</f>
        <v>15</v>
      </c>
      <c r="K539" s="15" t="s">
        <v>109</v>
      </c>
      <c r="L539" s="19" t="n">
        <f aca="false" t="array" ref="L539:L539">IF(AND(INDEX(Profils!$F$5:$F$34,$AE539)&gt;0,INDEX(Profils!$U$5:$U$34,$AE539)&lt;=$AH539),ROUND(INDEX(Profils!$F$5:$F$34,$AE539)*Paramètres!$E$22*$AG539*$AJ539,Paramètres!$F$22),0)</f>
        <v>3</v>
      </c>
      <c r="M539" s="19" t="n">
        <f aca="false" t="array" ref="M539:M539">IF(AND(INDEX(Profils!$G$5:$G$34,$AE539)&gt;0,INDEX(Profils!$V$5:$V$34,$AE539)&lt;=$AH539),ROUND(INDEX(Profils!$G$5:$G$34,$AE539)*Paramètres!$E$23*$AG539*$AJ539,Paramètres!$F$23),0)</f>
        <v>0</v>
      </c>
      <c r="N539" s="19" t="n">
        <f aca="false" t="array" ref="N539:N539">IF(AND(INDEX(Profils!$H$5:$H$34,$AE539)&gt;0,INDEX(Profils!$W$5:$W$34,$AE539)&lt;=$AH539),ROUND(INDEX(Profils!$H$5:$H$34,$AE539)*Paramètres!$E$24*$AG539*$AJ539,Paramètres!$F$24),0)</f>
        <v>0</v>
      </c>
      <c r="O539" s="19" t="n">
        <f aca="false" t="array" ref="O539:O539">IF(AND(INDEX(Profils!$I$5:$I$34,$AE539)&gt;0,INDEX(Profils!$X$5:$X$34,$AE539)&lt;=$AH539),ROUND(INDEX(Profils!$I$5:$I$34,$AE539)*Paramètres!$E$25*$AG539*$AJ539,Paramètres!$F$25),0)</f>
        <v>2</v>
      </c>
      <c r="P539" s="19" t="n">
        <f aca="false" t="array" ref="P539:P539">IF(AND(INDEX(Profils!$J$5:$J$34,$AE539)&gt;0,INDEX(Profils!$Y$5:$Y$34,$AE539)&lt;=$AH539),ROUND(INDEX(Profils!$J$5:$J$34,$AE539)*Paramètres!$E$26*$AG539*$AJ539,Paramètres!$F$26),0)</f>
        <v>0</v>
      </c>
      <c r="Q539" s="19" t="n">
        <f aca="false" t="array" ref="Q539:Q539">IF(AND(INDEX(Profils!$K$5:$K$34,$AE539)&gt;0,INDEX(Profils!$Z$5:$Z$34,$AE539)&lt;=$AH539),ROUND(INDEX(Profils!$K$5:$K$34,$AE539)*Paramètres!$E$27*$AG539*$AJ539,Paramètres!$F$27),0)</f>
        <v>0</v>
      </c>
      <c r="R539" s="20" t="n">
        <f aca="false" t="array" ref="R539:R539">IF(AND(INDEX(Profils!$L$5:$L$34,$AE539)&gt;0,INDEX(Profils!$AA$5:$AA$34,$AE539)&lt;=$AH539),ROUND(INDEX(Profils!$L$5:$L$34,$AE539)*Paramètres!$E$28*$AG539*$AJ539,Paramètres!$F$28),0)</f>
        <v>0</v>
      </c>
      <c r="S539" s="20" t="n">
        <f aca="false" t="array" ref="S539:S539">IF(AND(INDEX(Profils!$M$5:$M$34,$AE539)&gt;0,INDEX(Profils!$AB$5:$AB$34,$AE539)&lt;=$AH539),ROUND(INDEX(Profils!$M$5:$M$34,$AE539)*Paramètres!$E$29*$AG539*$AJ539,Paramètres!$F$29),0)</f>
        <v>0</v>
      </c>
      <c r="T539" s="20" t="n">
        <f aca="false" t="array" ref="T539:T539">IF(AND(INDEX(Profils!$N$5:$N$34,$AE539)&gt;0,INDEX(Profils!$AC$5:$AC$34,$AE539)&lt;=$AH539),ROUND(INDEX(Profils!$N$5:$N$34,$AE539)*Paramètres!$E$30*$AG539*$AJ539,Paramètres!$F$30),0)</f>
        <v>0</v>
      </c>
      <c r="U539" s="19" t="n">
        <f aca="false" t="array" ref="U539:U539">IF(AND(INDEX(Profils!$O$5:$O$34,$AE539)&gt;0,INDEX(Profils!$AD$5:$AD$34,$AE539)&lt;=$AH539),ROUND(INDEX(Profils!$O$5:$O$34,$AE539)*Paramètres!$E$31*$AG539*$AJ539,Paramètres!$F$31),0)</f>
        <v>0</v>
      </c>
      <c r="V539" s="20" t="n">
        <f aca="false" t="array" ref="V539:V539">IF(AND(INDEX(Profils!$P$5:$P$34,$AE539)&gt;0,INDEX(Profils!$AE$5:$AE$34,$AE539)&lt;=$AH539),ROUND(INDEX(Profils!$P$5:$P$34,$AE539)*Paramètres!$E$32*$AG539*$AJ539,Paramètres!$F$32),0)</f>
        <v>0</v>
      </c>
      <c r="W539" s="20" t="n">
        <f aca="false" t="array" ref="W539:W539">IF(AND(INDEX(Profils!$Q$5:$Q$34,$AE539)&gt;0,INDEX(Profils!$AF$5:$AF$34,$AE539)&lt;=$AH539),ROUND(INDEX(Profils!$Q$5:$Q$34,$AE539)*Paramètres!$E$33*$AG539*$AJ539,Paramètres!$F$33),0)</f>
        <v>0</v>
      </c>
      <c r="X539" s="20" t="n">
        <f aca="false" t="array" ref="X539:X539">IF(AND(INDEX(Profils!$R$5:$R$34,$AE539)&gt;0,INDEX(Profils!$AG$5:$AG$34,$AE539)&lt;=$AH539),ROUND(INDEX(Profils!$R$5:$R$34,$AE539)*Paramètres!$E$34*$AG539*$AJ539,Paramètres!$F$34),0)</f>
        <v>0</v>
      </c>
      <c r="Y539" s="20" t="n">
        <f aca="false" t="array" ref="Y539:Y539">IF(AND(INDEX(Profils!$S$5:$S$34,$AE539)&gt;0,INDEX(Profils!$AH$5:$AH$34,$AE539)&lt;=$AH539),ROUND(INDEX(Profils!$S$5:$S$34,$AE539)*Paramètres!$E$35*$AG539*$AJ539,Paramètres!$F$35),0)</f>
        <v>0</v>
      </c>
      <c r="Z539" s="21" t="n">
        <f aca="false">ROUND(L539/Paramètres!$E$22+M539/Paramètres!$E$23+N539/Paramètres!$E$24+O539/Paramètres!$E$25+P539/Paramètres!$E$26+Q539/Paramètres!$E$27+R539/Paramètres!$E$28+S539/Paramètres!$E$29+T539/Paramètres!$E$30+U539/Paramètres!$E$31+V539/Paramètres!$E$32+W539/Paramètres!$E$33+X539/Paramètres!$E$34+Y539/Paramètres!$E$35,1)</f>
        <v>0.3</v>
      </c>
      <c r="AA539" s="22" t="s">
        <v>109</v>
      </c>
      <c r="AB539" s="22" t="s">
        <v>109</v>
      </c>
      <c r="AC539" s="15" t="str">
        <f aca="false">$E539</f>
        <v>laine</v>
      </c>
      <c r="AD539" s="16" t="n">
        <f aca="false" t="array" ref="AD539:AD539">IF($I539&gt;=$AI539,"Max",ROUND(Paramètres!$B$40*($I539+1)^Paramètres!$B$41*INDEX(Paramètres!$H$6:$H$12,$AF539),0))</f>
        <v>3</v>
      </c>
      <c r="AE539" s="23" t="n">
        <f aca="false">MATCH($B539&amp;"|"&amp;$C539,Profils!$A$5:$A$34,0)</f>
        <v>18</v>
      </c>
      <c r="AF539" s="23" t="n">
        <v>1</v>
      </c>
      <c r="AG539" s="24" t="n">
        <f aca="false" t="array" ref="AG539:AG539">INDEX(Paramètres!$C$6:$C$12,$AF539)</f>
        <v>1</v>
      </c>
      <c r="AH539" s="23" t="n">
        <f aca="false" t="array" ref="AH539:AH539">INDEX(Paramètres!$D$6:$D$12,$AF539)</f>
        <v>2</v>
      </c>
      <c r="AI539" s="23" t="n">
        <f aca="false" t="array" ref="AI539:AI539">INDEX(Matériaux!$C$16:$C$20,$D539)</f>
        <v>20</v>
      </c>
      <c r="AJ539" s="25" t="n">
        <f aca="false">Paramètres!$B$16+(1-Paramètres!$B$16)*(($J539-Paramètres!$B$14)/(Paramètres!$B$15-Paramètres!$B$14))^Paramètres!$B$17</f>
        <v>0.140847925475674</v>
      </c>
    </row>
    <row r="540" customFormat="false" ht="15.75" hidden="false" customHeight="true" outlineLevel="0" collapsed="false">
      <c r="A540" s="14" t="s">
        <v>656</v>
      </c>
      <c r="B540" s="15" t="s">
        <v>29</v>
      </c>
      <c r="C540" s="15" t="s">
        <v>337</v>
      </c>
      <c r="D540" s="16" t="n">
        <v>2</v>
      </c>
      <c r="E540" s="15" t="str">
        <f aca="false" t="array" ref="E540:E540">INDEX(Matériaux!$B$5:$F$12,MATCH(INDEX(Profils!$E$5:$E$34,$AE540),Matériaux!$A$5:$A$12,0),$D540)</f>
        <v>laine</v>
      </c>
      <c r="F540" s="26" t="s">
        <v>111</v>
      </c>
      <c r="G540" s="10" t="str">
        <f aca="false" t="array" ref="G540:G540">INDEX(Profils!$D$5:$D$34,$AE540)&amp;" en "&amp;$E540</f>
        <v>Ceinture en laine</v>
      </c>
      <c r="H540" s="16" t="n">
        <f aca="false" t="array" ref="H540:H540">INDEX(Matériaux!$B$16:$B$20,$D540)</f>
        <v>15</v>
      </c>
      <c r="I540" s="16" t="n">
        <f aca="false">IF(ISNUMBER($C$3),MIN(MAX(0,ROUND($C$3,0)),$AI540),$AI540)</f>
        <v>0</v>
      </c>
      <c r="J540" s="18" t="n">
        <f aca="false">$H540+$I540</f>
        <v>15</v>
      </c>
      <c r="K540" s="15" t="s">
        <v>109</v>
      </c>
      <c r="L540" s="19" t="n">
        <f aca="false" t="array" ref="L540:L540">IF(AND(INDEX(Profils!$F$5:$F$34,$AE540)&gt;0,INDEX(Profils!$U$5:$U$34,$AE540)&lt;=$AH540),ROUND(INDEX(Profils!$F$5:$F$34,$AE540)*Paramètres!$E$22*$AG540*$AJ540,Paramètres!$F$22),0)</f>
        <v>4</v>
      </c>
      <c r="M540" s="19" t="n">
        <f aca="false" t="array" ref="M540:M540">IF(AND(INDEX(Profils!$G$5:$G$34,$AE540)&gt;0,INDEX(Profils!$V$5:$V$34,$AE540)&lt;=$AH540),ROUND(INDEX(Profils!$G$5:$G$34,$AE540)*Paramètres!$E$23*$AG540*$AJ540,Paramètres!$F$23),0)</f>
        <v>0</v>
      </c>
      <c r="N540" s="19" t="n">
        <f aca="false" t="array" ref="N540:N540">IF(AND(INDEX(Profils!$H$5:$H$34,$AE540)&gt;0,INDEX(Profils!$W$5:$W$34,$AE540)&lt;=$AH540),ROUND(INDEX(Profils!$H$5:$H$34,$AE540)*Paramètres!$E$24*$AG540*$AJ540,Paramètres!$F$24),0)</f>
        <v>0</v>
      </c>
      <c r="O540" s="19" t="n">
        <f aca="false" t="array" ref="O540:O540">IF(AND(INDEX(Profils!$I$5:$I$34,$AE540)&gt;0,INDEX(Profils!$X$5:$X$34,$AE540)&lt;=$AH540),ROUND(INDEX(Profils!$I$5:$I$34,$AE540)*Paramètres!$E$25*$AG540*$AJ540,Paramètres!$F$25),0)</f>
        <v>2</v>
      </c>
      <c r="P540" s="19" t="n">
        <f aca="false" t="array" ref="P540:P540">IF(AND(INDEX(Profils!$J$5:$J$34,$AE540)&gt;0,INDEX(Profils!$Y$5:$Y$34,$AE540)&lt;=$AH540),ROUND(INDEX(Profils!$J$5:$J$34,$AE540)*Paramètres!$E$26*$AG540*$AJ540,Paramètres!$F$26),0)</f>
        <v>0</v>
      </c>
      <c r="Q540" s="19" t="n">
        <f aca="false" t="array" ref="Q540:Q540">IF(AND(INDEX(Profils!$K$5:$K$34,$AE540)&gt;0,INDEX(Profils!$Z$5:$Z$34,$AE540)&lt;=$AH540),ROUND(INDEX(Profils!$K$5:$K$34,$AE540)*Paramètres!$E$27*$AG540*$AJ540,Paramètres!$F$27),0)</f>
        <v>0</v>
      </c>
      <c r="R540" s="20" t="n">
        <f aca="false" t="array" ref="R540:R540">IF(AND(INDEX(Profils!$L$5:$L$34,$AE540)&gt;0,INDEX(Profils!$AA$5:$AA$34,$AE540)&lt;=$AH540),ROUND(INDEX(Profils!$L$5:$L$34,$AE540)*Paramètres!$E$28*$AG540*$AJ540,Paramètres!$F$28),0)</f>
        <v>0</v>
      </c>
      <c r="S540" s="20" t="n">
        <f aca="false" t="array" ref="S540:S540">IF(AND(INDEX(Profils!$M$5:$M$34,$AE540)&gt;0,INDEX(Profils!$AB$5:$AB$34,$AE540)&lt;=$AH540),ROUND(INDEX(Profils!$M$5:$M$34,$AE540)*Paramètres!$E$29*$AG540*$AJ540,Paramètres!$F$29),0)</f>
        <v>0</v>
      </c>
      <c r="T540" s="20" t="n">
        <f aca="false" t="array" ref="T540:T540">IF(AND(INDEX(Profils!$N$5:$N$34,$AE540)&gt;0,INDEX(Profils!$AC$5:$AC$34,$AE540)&lt;=$AH540),ROUND(INDEX(Profils!$N$5:$N$34,$AE540)*Paramètres!$E$30*$AG540*$AJ540,Paramètres!$F$30),0)</f>
        <v>0</v>
      </c>
      <c r="U540" s="19" t="n">
        <f aca="false" t="array" ref="U540:U540">IF(AND(INDEX(Profils!$O$5:$O$34,$AE540)&gt;0,INDEX(Profils!$AD$5:$AD$34,$AE540)&lt;=$AH540),ROUND(INDEX(Profils!$O$5:$O$34,$AE540)*Paramètres!$E$31*$AG540*$AJ540,Paramètres!$F$31),0)</f>
        <v>0</v>
      </c>
      <c r="V540" s="20" t="n">
        <f aca="false" t="array" ref="V540:V540">IF(AND(INDEX(Profils!$P$5:$P$34,$AE540)&gt;0,INDEX(Profils!$AE$5:$AE$34,$AE540)&lt;=$AH540),ROUND(INDEX(Profils!$P$5:$P$34,$AE540)*Paramètres!$E$32*$AG540*$AJ540,Paramètres!$F$32),0)</f>
        <v>0</v>
      </c>
      <c r="W540" s="20" t="n">
        <f aca="false" t="array" ref="W540:W540">IF(AND(INDEX(Profils!$Q$5:$Q$34,$AE540)&gt;0,INDEX(Profils!$AF$5:$AF$34,$AE540)&lt;=$AH540),ROUND(INDEX(Profils!$Q$5:$Q$34,$AE540)*Paramètres!$E$33*$AG540*$AJ540,Paramètres!$F$33),0)</f>
        <v>0</v>
      </c>
      <c r="X540" s="20" t="n">
        <f aca="false" t="array" ref="X540:X540">IF(AND(INDEX(Profils!$R$5:$R$34,$AE540)&gt;0,INDEX(Profils!$AG$5:$AG$34,$AE540)&lt;=$AH540),ROUND(INDEX(Profils!$R$5:$R$34,$AE540)*Paramètres!$E$34*$AG540*$AJ540,Paramètres!$F$34),0)</f>
        <v>0.003</v>
      </c>
      <c r="Y540" s="20" t="n">
        <f aca="false" t="array" ref="Y540:Y540">IF(AND(INDEX(Profils!$S$5:$S$34,$AE540)&gt;0,INDEX(Profils!$AH$5:$AH$34,$AE540)&lt;=$AH540),ROUND(INDEX(Profils!$S$5:$S$34,$AE540)*Paramètres!$E$35*$AG540*$AJ540,Paramètres!$F$35),0)</f>
        <v>0</v>
      </c>
      <c r="Z540" s="21" t="n">
        <f aca="false">ROUND(L540/Paramètres!$E$22+M540/Paramètres!$E$23+N540/Paramètres!$E$24+O540/Paramètres!$E$25+P540/Paramètres!$E$26+Q540/Paramètres!$E$27+R540/Paramètres!$E$28+S540/Paramètres!$E$29+T540/Paramètres!$E$30+U540/Paramètres!$E$31+V540/Paramètres!$E$32+W540/Paramètres!$E$33+X540/Paramètres!$E$34+Y540/Paramètres!$E$35,1)</f>
        <v>0.4</v>
      </c>
      <c r="AA540" s="22" t="s">
        <v>109</v>
      </c>
      <c r="AB540" s="22" t="s">
        <v>109</v>
      </c>
      <c r="AC540" s="15" t="str">
        <f aca="false">$E540</f>
        <v>laine</v>
      </c>
      <c r="AD540" s="16" t="n">
        <f aca="false" t="array" ref="AD540:AD540">IF($I540&gt;=$AI540,"Max",ROUND(Paramètres!$B$40*($I540+1)^Paramètres!$B$41*INDEX(Paramètres!$H$6:$H$12,$AF540),0))</f>
        <v>4</v>
      </c>
      <c r="AE540" s="23" t="n">
        <f aca="false">MATCH($B540&amp;"|"&amp;$C540,Profils!$A$5:$A$34,0)</f>
        <v>18</v>
      </c>
      <c r="AF540" s="23" t="n">
        <v>2</v>
      </c>
      <c r="AG540" s="24" t="n">
        <f aca="false" t="array" ref="AG540:AG540">INDEX(Paramètres!$C$6:$C$12,$AF540)</f>
        <v>1.2</v>
      </c>
      <c r="AH540" s="23" t="n">
        <f aca="false" t="array" ref="AH540:AH540">INDEX(Paramètres!$D$6:$D$12,$AF540)</f>
        <v>3</v>
      </c>
      <c r="AI540" s="23" t="n">
        <f aca="false" t="array" ref="AI540:AI540">INDEX(Matériaux!$C$16:$C$20,$D540)</f>
        <v>20</v>
      </c>
      <c r="AJ540" s="25" t="n">
        <f aca="false">Paramètres!$B$16+(1-Paramètres!$B$16)*(($J540-Paramètres!$B$14)/(Paramètres!$B$15-Paramètres!$B$14))^Paramètres!$B$17</f>
        <v>0.140847925475674</v>
      </c>
    </row>
    <row r="541" customFormat="false" ht="15.75" hidden="false" customHeight="true" outlineLevel="0" collapsed="false">
      <c r="A541" s="14" t="s">
        <v>657</v>
      </c>
      <c r="B541" s="15" t="s">
        <v>29</v>
      </c>
      <c r="C541" s="15" t="s">
        <v>337</v>
      </c>
      <c r="D541" s="16" t="n">
        <v>2</v>
      </c>
      <c r="E541" s="15" t="str">
        <f aca="false" t="array" ref="E541:E541">INDEX(Matériaux!$B$5:$F$12,MATCH(INDEX(Profils!$E$5:$E$34,$AE541),Matériaux!$A$5:$A$12,0),$D541)</f>
        <v>laine</v>
      </c>
      <c r="F541" s="27" t="s">
        <v>113</v>
      </c>
      <c r="G541" s="10" t="str">
        <f aca="false" t="array" ref="G541:G541">INDEX(Profils!$D$5:$D$34,$AE541)&amp;" en "&amp;$E541</f>
        <v>Ceinture en laine</v>
      </c>
      <c r="H541" s="16" t="n">
        <f aca="false" t="array" ref="H541:H541">INDEX(Matériaux!$B$16:$B$20,$D541)</f>
        <v>15</v>
      </c>
      <c r="I541" s="16" t="n">
        <f aca="false">IF(ISNUMBER($C$3),MIN(MAX(0,ROUND($C$3,0)),$AI541),$AI541)</f>
        <v>0</v>
      </c>
      <c r="J541" s="18" t="n">
        <f aca="false">$H541+$I541</f>
        <v>15</v>
      </c>
      <c r="K541" s="15" t="s">
        <v>109</v>
      </c>
      <c r="L541" s="19" t="n">
        <f aca="false" t="array" ref="L541:L541">IF(AND(INDEX(Profils!$F$5:$F$34,$AE541)&gt;0,INDEX(Profils!$U$5:$U$34,$AE541)&lt;=$AH541),ROUND(INDEX(Profils!$F$5:$F$34,$AE541)*Paramètres!$E$22*$AG541*$AJ541,Paramètres!$F$22),0)</f>
        <v>5</v>
      </c>
      <c r="M541" s="19" t="n">
        <f aca="false" t="array" ref="M541:M541">IF(AND(INDEX(Profils!$G$5:$G$34,$AE541)&gt;0,INDEX(Profils!$V$5:$V$34,$AE541)&lt;=$AH541),ROUND(INDEX(Profils!$G$5:$G$34,$AE541)*Paramètres!$E$23*$AG541*$AJ541,Paramètres!$F$23),0)</f>
        <v>0</v>
      </c>
      <c r="N541" s="19" t="n">
        <f aca="false" t="array" ref="N541:N541">IF(AND(INDEX(Profils!$H$5:$H$34,$AE541)&gt;0,INDEX(Profils!$W$5:$W$34,$AE541)&lt;=$AH541),ROUND(INDEX(Profils!$H$5:$H$34,$AE541)*Paramètres!$E$24*$AG541*$AJ541,Paramètres!$F$24),0)</f>
        <v>0</v>
      </c>
      <c r="O541" s="19" t="n">
        <f aca="false" t="array" ref="O541:O541">IF(AND(INDEX(Profils!$I$5:$I$34,$AE541)&gt;0,INDEX(Profils!$X$5:$X$34,$AE541)&lt;=$AH541),ROUND(INDEX(Profils!$I$5:$I$34,$AE541)*Paramètres!$E$25*$AG541*$AJ541,Paramètres!$F$25),0)</f>
        <v>2</v>
      </c>
      <c r="P541" s="19" t="n">
        <f aca="false" t="array" ref="P541:P541">IF(AND(INDEX(Profils!$J$5:$J$34,$AE541)&gt;0,INDEX(Profils!$Y$5:$Y$34,$AE541)&lt;=$AH541),ROUND(INDEX(Profils!$J$5:$J$34,$AE541)*Paramètres!$E$26*$AG541*$AJ541,Paramètres!$F$26),0)</f>
        <v>0</v>
      </c>
      <c r="Q541" s="19" t="n">
        <f aca="false" t="array" ref="Q541:Q541">IF(AND(INDEX(Profils!$K$5:$K$34,$AE541)&gt;0,INDEX(Profils!$Z$5:$Z$34,$AE541)&lt;=$AH541),ROUND(INDEX(Profils!$K$5:$K$34,$AE541)*Paramètres!$E$27*$AG541*$AJ541,Paramètres!$F$27),0)</f>
        <v>0</v>
      </c>
      <c r="R541" s="20" t="n">
        <f aca="false" t="array" ref="R541:R541">IF(AND(INDEX(Profils!$L$5:$L$34,$AE541)&gt;0,INDEX(Profils!$AA$5:$AA$34,$AE541)&lt;=$AH541),ROUND(INDEX(Profils!$L$5:$L$34,$AE541)*Paramètres!$E$28*$AG541*$AJ541,Paramètres!$F$28),0)</f>
        <v>0</v>
      </c>
      <c r="S541" s="20" t="n">
        <f aca="false" t="array" ref="S541:S541">IF(AND(INDEX(Profils!$M$5:$M$34,$AE541)&gt;0,INDEX(Profils!$AB$5:$AB$34,$AE541)&lt;=$AH541),ROUND(INDEX(Profils!$M$5:$M$34,$AE541)*Paramètres!$E$29*$AG541*$AJ541,Paramètres!$F$29),0)</f>
        <v>0</v>
      </c>
      <c r="T541" s="20" t="n">
        <f aca="false" t="array" ref="T541:T541">IF(AND(INDEX(Profils!$N$5:$N$34,$AE541)&gt;0,INDEX(Profils!$AC$5:$AC$34,$AE541)&lt;=$AH541),ROUND(INDEX(Profils!$N$5:$N$34,$AE541)*Paramètres!$E$30*$AG541*$AJ541,Paramètres!$F$30),0)</f>
        <v>0</v>
      </c>
      <c r="U541" s="19" t="n">
        <f aca="false" t="array" ref="U541:U541">IF(AND(INDEX(Profils!$O$5:$O$34,$AE541)&gt;0,INDEX(Profils!$AD$5:$AD$34,$AE541)&lt;=$AH541),ROUND(INDEX(Profils!$O$5:$O$34,$AE541)*Paramètres!$E$31*$AG541*$AJ541,Paramètres!$F$31),0)</f>
        <v>0</v>
      </c>
      <c r="V541" s="20" t="n">
        <f aca="false" t="array" ref="V541:V541">IF(AND(INDEX(Profils!$P$5:$P$34,$AE541)&gt;0,INDEX(Profils!$AE$5:$AE$34,$AE541)&lt;=$AH541),ROUND(INDEX(Profils!$P$5:$P$34,$AE541)*Paramètres!$E$32*$AG541*$AJ541,Paramètres!$F$32),0)</f>
        <v>0.002</v>
      </c>
      <c r="W541" s="20" t="n">
        <f aca="false" t="array" ref="W541:W541">IF(AND(INDEX(Profils!$Q$5:$Q$34,$AE541)&gt;0,INDEX(Profils!$AF$5:$AF$34,$AE541)&lt;=$AH541),ROUND(INDEX(Profils!$Q$5:$Q$34,$AE541)*Paramètres!$E$33*$AG541*$AJ541,Paramètres!$F$33),0)</f>
        <v>0</v>
      </c>
      <c r="X541" s="20" t="n">
        <f aca="false" t="array" ref="X541:X541">IF(AND(INDEX(Profils!$R$5:$R$34,$AE541)&gt;0,INDEX(Profils!$AG$5:$AG$34,$AE541)&lt;=$AH541),ROUND(INDEX(Profils!$R$5:$R$34,$AE541)*Paramètres!$E$34*$AG541*$AJ541,Paramètres!$F$34),0)</f>
        <v>0.003</v>
      </c>
      <c r="Y541" s="20" t="n">
        <f aca="false" t="array" ref="Y541:Y541">IF(AND(INDEX(Profils!$S$5:$S$34,$AE541)&gt;0,INDEX(Profils!$AH$5:$AH$34,$AE541)&lt;=$AH541),ROUND(INDEX(Profils!$S$5:$S$34,$AE541)*Paramètres!$E$35*$AG541*$AJ541,Paramètres!$F$35),0)</f>
        <v>0</v>
      </c>
      <c r="Z541" s="21" t="n">
        <f aca="false">ROUND(L541/Paramètres!$E$22+M541/Paramètres!$E$23+N541/Paramètres!$E$24+O541/Paramètres!$E$25+P541/Paramètres!$E$26+Q541/Paramètres!$E$27+R541/Paramètres!$E$28+S541/Paramètres!$E$29+T541/Paramètres!$E$30+U541/Paramètres!$E$31+V541/Paramètres!$E$32+W541/Paramètres!$E$33+X541/Paramètres!$E$34+Y541/Paramètres!$E$35,1)</f>
        <v>0.6</v>
      </c>
      <c r="AA541" s="22" t="s">
        <v>109</v>
      </c>
      <c r="AB541" s="22" t="s">
        <v>109</v>
      </c>
      <c r="AC541" s="15" t="str">
        <f aca="false">$E541</f>
        <v>laine</v>
      </c>
      <c r="AD541" s="16" t="n">
        <f aca="false" t="array" ref="AD541:AD541">IF($I541&gt;=$AI541,"Max",ROUND(Paramètres!$B$40*($I541+1)^Paramètres!$B$41*INDEX(Paramètres!$H$6:$H$12,$AF541),0))</f>
        <v>4</v>
      </c>
      <c r="AE541" s="23" t="n">
        <f aca="false">MATCH($B541&amp;"|"&amp;$C541,Profils!$A$5:$A$34,0)</f>
        <v>18</v>
      </c>
      <c r="AF541" s="23" t="n">
        <v>3</v>
      </c>
      <c r="AG541" s="24" t="n">
        <f aca="false" t="array" ref="AG541:AG541">INDEX(Paramètres!$C$6:$C$12,$AF541)</f>
        <v>1.45</v>
      </c>
      <c r="AH541" s="23" t="n">
        <f aca="false" t="array" ref="AH541:AH541">INDEX(Paramètres!$D$6:$D$12,$AF541)</f>
        <v>4</v>
      </c>
      <c r="AI541" s="23" t="n">
        <f aca="false" t="array" ref="AI541:AI541">INDEX(Matériaux!$C$16:$C$20,$D541)</f>
        <v>20</v>
      </c>
      <c r="AJ541" s="25" t="n">
        <f aca="false">Paramètres!$B$16+(1-Paramètres!$B$16)*(($J541-Paramètres!$B$14)/(Paramètres!$B$15-Paramètres!$B$14))^Paramètres!$B$17</f>
        <v>0.140847925475674</v>
      </c>
    </row>
    <row r="542" customFormat="false" ht="15.75" hidden="false" customHeight="true" outlineLevel="0" collapsed="false">
      <c r="A542" s="14" t="s">
        <v>658</v>
      </c>
      <c r="B542" s="15" t="s">
        <v>29</v>
      </c>
      <c r="C542" s="15" t="s">
        <v>337</v>
      </c>
      <c r="D542" s="16" t="n">
        <v>2</v>
      </c>
      <c r="E542" s="15" t="str">
        <f aca="false" t="array" ref="E542:E542">INDEX(Matériaux!$B$5:$F$12,MATCH(INDEX(Profils!$E$5:$E$34,$AE542),Matériaux!$A$5:$A$12,0),$D542)</f>
        <v>laine</v>
      </c>
      <c r="F542" s="28" t="s">
        <v>115</v>
      </c>
      <c r="G542" s="10" t="str">
        <f aca="false" t="array" ref="G542:G542">INDEX(Profils!$D$5:$D$34,$AE542)&amp;" en "&amp;$E542</f>
        <v>Ceinture en laine</v>
      </c>
      <c r="H542" s="16" t="n">
        <f aca="false" t="array" ref="H542:H542">INDEX(Matériaux!$B$16:$B$20,$D542)</f>
        <v>15</v>
      </c>
      <c r="I542" s="16" t="n">
        <f aca="false">IF(ISNUMBER($C$3),MIN(MAX(0,ROUND($C$3,0)),$AI542),$AI542)</f>
        <v>0</v>
      </c>
      <c r="J542" s="18" t="n">
        <f aca="false">$H542+$I542</f>
        <v>15</v>
      </c>
      <c r="K542" s="15" t="s">
        <v>109</v>
      </c>
      <c r="L542" s="19" t="n">
        <f aca="false" t="array" ref="L542:L542">IF(AND(INDEX(Profils!$F$5:$F$34,$AE542)&gt;0,INDEX(Profils!$U$5:$U$34,$AE542)&lt;=$AH542),ROUND(INDEX(Profils!$F$5:$F$34,$AE542)*Paramètres!$E$22*$AG542*$AJ542,Paramètres!$F$22),0)</f>
        <v>6</v>
      </c>
      <c r="M542" s="19" t="n">
        <f aca="false" t="array" ref="M542:M542">IF(AND(INDEX(Profils!$G$5:$G$34,$AE542)&gt;0,INDEX(Profils!$V$5:$V$34,$AE542)&lt;=$AH542),ROUND(INDEX(Profils!$G$5:$G$34,$AE542)*Paramètres!$E$23*$AG542*$AJ542,Paramètres!$F$23),0)</f>
        <v>0</v>
      </c>
      <c r="N542" s="19" t="n">
        <f aca="false" t="array" ref="N542:N542">IF(AND(INDEX(Profils!$H$5:$H$34,$AE542)&gt;0,INDEX(Profils!$W$5:$W$34,$AE542)&lt;=$AH542),ROUND(INDEX(Profils!$H$5:$H$34,$AE542)*Paramètres!$E$24*$AG542*$AJ542,Paramètres!$F$24),0)</f>
        <v>0</v>
      </c>
      <c r="O542" s="19" t="n">
        <f aca="false" t="array" ref="O542:O542">IF(AND(INDEX(Profils!$I$5:$I$34,$AE542)&gt;0,INDEX(Profils!$X$5:$X$34,$AE542)&lt;=$AH542),ROUND(INDEX(Profils!$I$5:$I$34,$AE542)*Paramètres!$E$25*$AG542*$AJ542,Paramètres!$F$25),0)</f>
        <v>3</v>
      </c>
      <c r="P542" s="19" t="n">
        <f aca="false" t="array" ref="P542:P542">IF(AND(INDEX(Profils!$J$5:$J$34,$AE542)&gt;0,INDEX(Profils!$Y$5:$Y$34,$AE542)&lt;=$AH542),ROUND(INDEX(Profils!$J$5:$J$34,$AE542)*Paramètres!$E$26*$AG542*$AJ542,Paramètres!$F$26),0)</f>
        <v>0</v>
      </c>
      <c r="Q542" s="19" t="n">
        <f aca="false" t="array" ref="Q542:Q542">IF(AND(INDEX(Profils!$K$5:$K$34,$AE542)&gt;0,INDEX(Profils!$Z$5:$Z$34,$AE542)&lt;=$AH542),ROUND(INDEX(Profils!$K$5:$K$34,$AE542)*Paramètres!$E$27*$AG542*$AJ542,Paramètres!$F$27),0)</f>
        <v>0</v>
      </c>
      <c r="R542" s="20" t="n">
        <f aca="false" t="array" ref="R542:R542">IF(AND(INDEX(Profils!$L$5:$L$34,$AE542)&gt;0,INDEX(Profils!$AA$5:$AA$34,$AE542)&lt;=$AH542),ROUND(INDEX(Profils!$L$5:$L$34,$AE542)*Paramètres!$E$28*$AG542*$AJ542,Paramètres!$F$28),0)</f>
        <v>0</v>
      </c>
      <c r="S542" s="20" t="n">
        <f aca="false" t="array" ref="S542:S542">IF(AND(INDEX(Profils!$M$5:$M$34,$AE542)&gt;0,INDEX(Profils!$AB$5:$AB$34,$AE542)&lt;=$AH542),ROUND(INDEX(Profils!$M$5:$M$34,$AE542)*Paramètres!$E$29*$AG542*$AJ542,Paramètres!$F$29),0)</f>
        <v>0</v>
      </c>
      <c r="T542" s="20" t="n">
        <f aca="false" t="array" ref="T542:T542">IF(AND(INDEX(Profils!$N$5:$N$34,$AE542)&gt;0,INDEX(Profils!$AC$5:$AC$34,$AE542)&lt;=$AH542),ROUND(INDEX(Profils!$N$5:$N$34,$AE542)*Paramètres!$E$30*$AG542*$AJ542,Paramètres!$F$30),0)</f>
        <v>0</v>
      </c>
      <c r="U542" s="19" t="n">
        <f aca="false" t="array" ref="U542:U542">IF(AND(INDEX(Profils!$O$5:$O$34,$AE542)&gt;0,INDEX(Profils!$AD$5:$AD$34,$AE542)&lt;=$AH542),ROUND(INDEX(Profils!$O$5:$O$34,$AE542)*Paramètres!$E$31*$AG542*$AJ542,Paramètres!$F$31),0)</f>
        <v>0</v>
      </c>
      <c r="V542" s="20" t="n">
        <f aca="false" t="array" ref="V542:V542">IF(AND(INDEX(Profils!$P$5:$P$34,$AE542)&gt;0,INDEX(Profils!$AE$5:$AE$34,$AE542)&lt;=$AH542),ROUND(INDEX(Profils!$P$5:$P$34,$AE542)*Paramètres!$E$32*$AG542*$AJ542,Paramètres!$F$32),0)</f>
        <v>0.003</v>
      </c>
      <c r="W542" s="20" t="n">
        <f aca="false" t="array" ref="W542:W542">IF(AND(INDEX(Profils!$Q$5:$Q$34,$AE542)&gt;0,INDEX(Profils!$AF$5:$AF$34,$AE542)&lt;=$AH542),ROUND(INDEX(Profils!$Q$5:$Q$34,$AE542)*Paramètres!$E$33*$AG542*$AJ542,Paramètres!$F$33),0)</f>
        <v>0</v>
      </c>
      <c r="X542" s="20" t="n">
        <f aca="false" t="array" ref="X542:X542">IF(AND(INDEX(Profils!$R$5:$R$34,$AE542)&gt;0,INDEX(Profils!$AG$5:$AG$34,$AE542)&lt;=$AH542),ROUND(INDEX(Profils!$R$5:$R$34,$AE542)*Paramètres!$E$34*$AG542*$AJ542,Paramètres!$F$34),0)</f>
        <v>0.004</v>
      </c>
      <c r="Y542" s="20" t="n">
        <f aca="false" t="array" ref="Y542:Y542">IF(AND(INDEX(Profils!$S$5:$S$34,$AE542)&gt;0,INDEX(Profils!$AH$5:$AH$34,$AE542)&lt;=$AH542),ROUND(INDEX(Profils!$S$5:$S$34,$AE542)*Paramètres!$E$35*$AG542*$AJ542,Paramètres!$F$35),0)</f>
        <v>0.003</v>
      </c>
      <c r="Z542" s="21" t="n">
        <f aca="false">ROUND(L542/Paramètres!$E$22+M542/Paramètres!$E$23+N542/Paramètres!$E$24+O542/Paramètres!$E$25+P542/Paramètres!$E$26+Q542/Paramètres!$E$27+R542/Paramètres!$E$28+S542/Paramètres!$E$29+T542/Paramètres!$E$30+U542/Paramètres!$E$31+V542/Paramètres!$E$32+W542/Paramètres!$E$33+X542/Paramètres!$E$34+Y542/Paramètres!$E$35,1)</f>
        <v>1</v>
      </c>
      <c r="AA542" s="22" t="s">
        <v>109</v>
      </c>
      <c r="AB542" s="22" t="s">
        <v>109</v>
      </c>
      <c r="AC542" s="15" t="str">
        <f aca="false">$E542</f>
        <v>laine</v>
      </c>
      <c r="AD542" s="16" t="n">
        <f aca="false" t="array" ref="AD542:AD542">IF($I542&gt;=$AI542,"Max",ROUND(Paramètres!$B$40*($I542+1)^Paramètres!$B$41*INDEX(Paramètres!$H$6:$H$12,$AF542),0))</f>
        <v>5</v>
      </c>
      <c r="AE542" s="23" t="n">
        <f aca="false">MATCH($B542&amp;"|"&amp;$C542,Profils!$A$5:$A$34,0)</f>
        <v>18</v>
      </c>
      <c r="AF542" s="23" t="n">
        <v>4</v>
      </c>
      <c r="AG542" s="24" t="n">
        <f aca="false" t="array" ref="AG542:AG542">INDEX(Paramètres!$C$6:$C$12,$AF542)</f>
        <v>1.75</v>
      </c>
      <c r="AH542" s="23" t="n">
        <f aca="false" t="array" ref="AH542:AH542">INDEX(Paramètres!$D$6:$D$12,$AF542)</f>
        <v>5</v>
      </c>
      <c r="AI542" s="23" t="n">
        <f aca="false" t="array" ref="AI542:AI542">INDEX(Matériaux!$C$16:$C$20,$D542)</f>
        <v>20</v>
      </c>
      <c r="AJ542" s="25" t="n">
        <f aca="false">Paramètres!$B$16+(1-Paramètres!$B$16)*(($J542-Paramètres!$B$14)/(Paramètres!$B$15-Paramètres!$B$14))^Paramètres!$B$17</f>
        <v>0.140847925475674</v>
      </c>
    </row>
    <row r="543" customFormat="false" ht="15.75" hidden="false" customHeight="true" outlineLevel="0" collapsed="false">
      <c r="A543" s="14" t="s">
        <v>659</v>
      </c>
      <c r="B543" s="15" t="s">
        <v>29</v>
      </c>
      <c r="C543" s="15" t="s">
        <v>337</v>
      </c>
      <c r="D543" s="16" t="n">
        <v>2</v>
      </c>
      <c r="E543" s="15" t="str">
        <f aca="false" t="array" ref="E543:E543">INDEX(Matériaux!$B$5:$F$12,MATCH(INDEX(Profils!$E$5:$E$34,$AE543),Matériaux!$A$5:$A$12,0),$D543)</f>
        <v>laine</v>
      </c>
      <c r="F543" s="29" t="s">
        <v>117</v>
      </c>
      <c r="G543" s="10" t="str">
        <f aca="false" t="array" ref="G543:G543">INDEX(Profils!$D$5:$D$34,$AE543)&amp;" en "&amp;$E543</f>
        <v>Ceinture en laine</v>
      </c>
      <c r="H543" s="16" t="n">
        <f aca="false" t="array" ref="H543:H543">INDEX(Matériaux!$B$16:$B$20,$D543)</f>
        <v>15</v>
      </c>
      <c r="I543" s="16" t="n">
        <f aca="false">IF(ISNUMBER($C$3),MIN(MAX(0,ROUND($C$3,0)),$AI543),$AI543)</f>
        <v>0</v>
      </c>
      <c r="J543" s="18" t="n">
        <f aca="false">$H543+$I543</f>
        <v>15</v>
      </c>
      <c r="K543" s="15" t="s">
        <v>109</v>
      </c>
      <c r="L543" s="19" t="n">
        <f aca="false" t="array" ref="L543:L543">IF(AND(INDEX(Profils!$F$5:$F$34,$AE543)&gt;0,INDEX(Profils!$U$5:$U$34,$AE543)&lt;=$AH543),ROUND(INDEX(Profils!$F$5:$F$34,$AE543)*Paramètres!$E$22*$AG543*$AJ543,Paramètres!$F$22),0)</f>
        <v>7</v>
      </c>
      <c r="M543" s="19" t="n">
        <f aca="false" t="array" ref="M543:M543">IF(AND(INDEX(Profils!$G$5:$G$34,$AE543)&gt;0,INDEX(Profils!$V$5:$V$34,$AE543)&lt;=$AH543),ROUND(INDEX(Profils!$G$5:$G$34,$AE543)*Paramètres!$E$23*$AG543*$AJ543,Paramètres!$F$23),0)</f>
        <v>0</v>
      </c>
      <c r="N543" s="19" t="n">
        <f aca="false" t="array" ref="N543:N543">IF(AND(INDEX(Profils!$H$5:$H$34,$AE543)&gt;0,INDEX(Profils!$W$5:$W$34,$AE543)&lt;=$AH543),ROUND(INDEX(Profils!$H$5:$H$34,$AE543)*Paramètres!$E$24*$AG543*$AJ543,Paramètres!$F$24),0)</f>
        <v>0</v>
      </c>
      <c r="O543" s="19" t="n">
        <f aca="false" t="array" ref="O543:O543">IF(AND(INDEX(Profils!$I$5:$I$34,$AE543)&gt;0,INDEX(Profils!$X$5:$X$34,$AE543)&lt;=$AH543),ROUND(INDEX(Profils!$I$5:$I$34,$AE543)*Paramètres!$E$25*$AG543*$AJ543,Paramètres!$F$25),0)</f>
        <v>4</v>
      </c>
      <c r="P543" s="19" t="n">
        <f aca="false" t="array" ref="P543:P543">IF(AND(INDEX(Profils!$J$5:$J$34,$AE543)&gt;0,INDEX(Profils!$Y$5:$Y$34,$AE543)&lt;=$AH543),ROUND(INDEX(Profils!$J$5:$J$34,$AE543)*Paramètres!$E$26*$AG543*$AJ543,Paramètres!$F$26),0)</f>
        <v>2</v>
      </c>
      <c r="Q543" s="19" t="n">
        <f aca="false" t="array" ref="Q543:Q543">IF(AND(INDEX(Profils!$K$5:$K$34,$AE543)&gt;0,INDEX(Profils!$Z$5:$Z$34,$AE543)&lt;=$AH543),ROUND(INDEX(Profils!$K$5:$K$34,$AE543)*Paramètres!$E$27*$AG543*$AJ543,Paramètres!$F$27),0)</f>
        <v>0</v>
      </c>
      <c r="R543" s="20" t="n">
        <f aca="false" t="array" ref="R543:R543">IF(AND(INDEX(Profils!$L$5:$L$34,$AE543)&gt;0,INDEX(Profils!$AA$5:$AA$34,$AE543)&lt;=$AH543),ROUND(INDEX(Profils!$L$5:$L$34,$AE543)*Paramètres!$E$28*$AG543*$AJ543,Paramètres!$F$28),0)</f>
        <v>0</v>
      </c>
      <c r="S543" s="20" t="n">
        <f aca="false" t="array" ref="S543:S543">IF(AND(INDEX(Profils!$M$5:$M$34,$AE543)&gt;0,INDEX(Profils!$AB$5:$AB$34,$AE543)&lt;=$AH543),ROUND(INDEX(Profils!$M$5:$M$34,$AE543)*Paramètres!$E$29*$AG543*$AJ543,Paramètres!$F$29),0)</f>
        <v>0</v>
      </c>
      <c r="T543" s="20" t="n">
        <f aca="false" t="array" ref="T543:T543">IF(AND(INDEX(Profils!$N$5:$N$34,$AE543)&gt;0,INDEX(Profils!$AC$5:$AC$34,$AE543)&lt;=$AH543),ROUND(INDEX(Profils!$N$5:$N$34,$AE543)*Paramètres!$E$30*$AG543*$AJ543,Paramètres!$F$30),0)</f>
        <v>0</v>
      </c>
      <c r="U543" s="19" t="n">
        <f aca="false" t="array" ref="U543:U543">IF(AND(INDEX(Profils!$O$5:$O$34,$AE543)&gt;0,INDEX(Profils!$AD$5:$AD$34,$AE543)&lt;=$AH543),ROUND(INDEX(Profils!$O$5:$O$34,$AE543)*Paramètres!$E$31*$AG543*$AJ543,Paramètres!$F$31),0)</f>
        <v>0</v>
      </c>
      <c r="V543" s="20" t="n">
        <f aca="false" t="array" ref="V543:V543">IF(AND(INDEX(Profils!$P$5:$P$34,$AE543)&gt;0,INDEX(Profils!$AE$5:$AE$34,$AE543)&lt;=$AH543),ROUND(INDEX(Profils!$P$5:$P$34,$AE543)*Paramètres!$E$32*$AG543*$AJ543,Paramètres!$F$32),0)</f>
        <v>0.003</v>
      </c>
      <c r="W543" s="20" t="n">
        <f aca="false" t="array" ref="W543:W543">IF(AND(INDEX(Profils!$Q$5:$Q$34,$AE543)&gt;0,INDEX(Profils!$AF$5:$AF$34,$AE543)&lt;=$AH543),ROUND(INDEX(Profils!$Q$5:$Q$34,$AE543)*Paramètres!$E$33*$AG543*$AJ543,Paramètres!$F$33),0)</f>
        <v>0</v>
      </c>
      <c r="X543" s="20" t="n">
        <f aca="false" t="array" ref="X543:X543">IF(AND(INDEX(Profils!$R$5:$R$34,$AE543)&gt;0,INDEX(Profils!$AG$5:$AG$34,$AE543)&lt;=$AH543),ROUND(INDEX(Profils!$R$5:$R$34,$AE543)*Paramètres!$E$34*$AG543*$AJ543,Paramètres!$F$34),0)</f>
        <v>0.005</v>
      </c>
      <c r="Y543" s="20" t="n">
        <f aca="false" t="array" ref="Y543:Y543">IF(AND(INDEX(Profils!$S$5:$S$34,$AE543)&gt;0,INDEX(Profils!$AH$5:$AH$34,$AE543)&lt;=$AH543),ROUND(INDEX(Profils!$S$5:$S$34,$AE543)*Paramètres!$E$35*$AG543*$AJ543,Paramètres!$F$35),0)</f>
        <v>0.003</v>
      </c>
      <c r="Z543" s="21" t="n">
        <f aca="false">ROUND(L543/Paramètres!$E$22+M543/Paramètres!$E$23+N543/Paramètres!$E$24+O543/Paramètres!$E$25+P543/Paramètres!$E$26+Q543/Paramètres!$E$27+R543/Paramètres!$E$28+S543/Paramètres!$E$29+T543/Paramètres!$E$30+U543/Paramètres!$E$31+V543/Paramètres!$E$32+W543/Paramètres!$E$33+X543/Paramètres!$E$34+Y543/Paramètres!$E$35,1)</f>
        <v>1.4</v>
      </c>
      <c r="AA543" s="22" t="s">
        <v>109</v>
      </c>
      <c r="AB543" s="22" t="s">
        <v>109</v>
      </c>
      <c r="AC543" s="15" t="str">
        <f aca="false">$E543</f>
        <v>laine</v>
      </c>
      <c r="AD543" s="16" t="n">
        <f aca="false" t="array" ref="AD543:AD543">IF($I543&gt;=$AI543,"Max",ROUND(Paramètres!$B$40*($I543+1)^Paramètres!$B$41*INDEX(Paramètres!$H$6:$H$12,$AF543),0))</f>
        <v>6</v>
      </c>
      <c r="AE543" s="23" t="n">
        <f aca="false">MATCH($B543&amp;"|"&amp;$C543,Profils!$A$5:$A$34,0)</f>
        <v>18</v>
      </c>
      <c r="AF543" s="23" t="n">
        <v>5</v>
      </c>
      <c r="AG543" s="24" t="n">
        <f aca="false" t="array" ref="AG543:AG543">INDEX(Paramètres!$C$6:$C$12,$AF543)</f>
        <v>2.1</v>
      </c>
      <c r="AH543" s="23" t="n">
        <f aca="false" t="array" ref="AH543:AH543">INDEX(Paramètres!$D$6:$D$12,$AF543)</f>
        <v>6</v>
      </c>
      <c r="AI543" s="23" t="n">
        <f aca="false" t="array" ref="AI543:AI543">INDEX(Matériaux!$C$16:$C$20,$D543)</f>
        <v>20</v>
      </c>
      <c r="AJ543" s="25" t="n">
        <f aca="false">Paramètres!$B$16+(1-Paramètres!$B$16)*(($J543-Paramètres!$B$14)/(Paramètres!$B$15-Paramètres!$B$14))^Paramètres!$B$17</f>
        <v>0.140847925475674</v>
      </c>
    </row>
    <row r="544" customFormat="false" ht="15.75" hidden="false" customHeight="true" outlineLevel="0" collapsed="false">
      <c r="A544" s="14" t="s">
        <v>660</v>
      </c>
      <c r="B544" s="15" t="s">
        <v>29</v>
      </c>
      <c r="C544" s="15" t="s">
        <v>337</v>
      </c>
      <c r="D544" s="16" t="n">
        <v>2</v>
      </c>
      <c r="E544" s="15" t="str">
        <f aca="false" t="array" ref="E544:E544">INDEX(Matériaux!$B$5:$F$12,MATCH(INDEX(Profils!$E$5:$E$34,$AE544),Matériaux!$A$5:$A$12,0),$D544)</f>
        <v>laine</v>
      </c>
      <c r="F544" s="30" t="s">
        <v>119</v>
      </c>
      <c r="G544" s="10" t="str">
        <f aca="false" t="array" ref="G544:G544">INDEX(Profils!$D$5:$D$34,$AE544)&amp;" en "&amp;$E544</f>
        <v>Ceinture en laine</v>
      </c>
      <c r="H544" s="16" t="n">
        <f aca="false" t="array" ref="H544:H544">INDEX(Matériaux!$B$16:$B$20,$D544)</f>
        <v>15</v>
      </c>
      <c r="I544" s="16" t="n">
        <f aca="false">IF(ISNUMBER($C$3),MIN(MAX(0,ROUND($C$3,0)),$AI544),$AI544)</f>
        <v>0</v>
      </c>
      <c r="J544" s="18" t="n">
        <f aca="false">$H544+$I544</f>
        <v>15</v>
      </c>
      <c r="K544" s="15" t="s">
        <v>109</v>
      </c>
      <c r="L544" s="19" t="n">
        <f aca="false" t="array" ref="L544:L544">IF(AND(INDEX(Profils!$F$5:$F$34,$AE544)&gt;0,INDEX(Profils!$U$5:$U$34,$AE544)&lt;=$AH544),ROUND(INDEX(Profils!$F$5:$F$34,$AE544)*Paramètres!$E$22*$AG544*$AJ544,Paramètres!$F$22),0)</f>
        <v>8</v>
      </c>
      <c r="M544" s="19" t="n">
        <f aca="false" t="array" ref="M544:M544">IF(AND(INDEX(Profils!$G$5:$G$34,$AE544)&gt;0,INDEX(Profils!$V$5:$V$34,$AE544)&lt;=$AH544),ROUND(INDEX(Profils!$G$5:$G$34,$AE544)*Paramètres!$E$23*$AG544*$AJ544,Paramètres!$F$23),0)</f>
        <v>0</v>
      </c>
      <c r="N544" s="19" t="n">
        <f aca="false" t="array" ref="N544:N544">IF(AND(INDEX(Profils!$H$5:$H$34,$AE544)&gt;0,INDEX(Profils!$W$5:$W$34,$AE544)&lt;=$AH544),ROUND(INDEX(Profils!$H$5:$H$34,$AE544)*Paramètres!$E$24*$AG544*$AJ544,Paramètres!$F$24),0)</f>
        <v>0</v>
      </c>
      <c r="O544" s="19" t="n">
        <f aca="false" t="array" ref="O544:O544">IF(AND(INDEX(Profils!$I$5:$I$34,$AE544)&gt;0,INDEX(Profils!$X$5:$X$34,$AE544)&lt;=$AH544),ROUND(INDEX(Profils!$I$5:$I$34,$AE544)*Paramètres!$E$25*$AG544*$AJ544,Paramètres!$F$25),0)</f>
        <v>4</v>
      </c>
      <c r="P544" s="19" t="n">
        <f aca="false" t="array" ref="P544:P544">IF(AND(INDEX(Profils!$J$5:$J$34,$AE544)&gt;0,INDEX(Profils!$Y$5:$Y$34,$AE544)&lt;=$AH544),ROUND(INDEX(Profils!$J$5:$J$34,$AE544)*Paramètres!$E$26*$AG544*$AJ544,Paramètres!$F$26),0)</f>
        <v>2</v>
      </c>
      <c r="Q544" s="19" t="n">
        <f aca="false" t="array" ref="Q544:Q544">IF(AND(INDEX(Profils!$K$5:$K$34,$AE544)&gt;0,INDEX(Profils!$Z$5:$Z$34,$AE544)&lt;=$AH544),ROUND(INDEX(Profils!$K$5:$K$34,$AE544)*Paramètres!$E$27*$AG544*$AJ544,Paramètres!$F$27),0)</f>
        <v>0</v>
      </c>
      <c r="R544" s="20" t="n">
        <f aca="false" t="array" ref="R544:R544">IF(AND(INDEX(Profils!$L$5:$L$34,$AE544)&gt;0,INDEX(Profils!$AA$5:$AA$34,$AE544)&lt;=$AH544),ROUND(INDEX(Profils!$L$5:$L$34,$AE544)*Paramètres!$E$28*$AG544*$AJ544,Paramètres!$F$28),0)</f>
        <v>0</v>
      </c>
      <c r="S544" s="20" t="n">
        <f aca="false" t="array" ref="S544:S544">IF(AND(INDEX(Profils!$M$5:$M$34,$AE544)&gt;0,INDEX(Profils!$AB$5:$AB$34,$AE544)&lt;=$AH544),ROUND(INDEX(Profils!$M$5:$M$34,$AE544)*Paramètres!$E$29*$AG544*$AJ544,Paramètres!$F$29),0)</f>
        <v>0.002</v>
      </c>
      <c r="T544" s="20" t="n">
        <f aca="false" t="array" ref="T544:T544">IF(AND(INDEX(Profils!$N$5:$N$34,$AE544)&gt;0,INDEX(Profils!$AC$5:$AC$34,$AE544)&lt;=$AH544),ROUND(INDEX(Profils!$N$5:$N$34,$AE544)*Paramètres!$E$30*$AG544*$AJ544,Paramètres!$F$30),0)</f>
        <v>0</v>
      </c>
      <c r="U544" s="19" t="n">
        <f aca="false" t="array" ref="U544:U544">IF(AND(INDEX(Profils!$O$5:$O$34,$AE544)&gt;0,INDEX(Profils!$AD$5:$AD$34,$AE544)&lt;=$AH544),ROUND(INDEX(Profils!$O$5:$O$34,$AE544)*Paramètres!$E$31*$AG544*$AJ544,Paramètres!$F$31),0)</f>
        <v>0</v>
      </c>
      <c r="V544" s="20" t="n">
        <f aca="false" t="array" ref="V544:V544">IF(AND(INDEX(Profils!$P$5:$P$34,$AE544)&gt;0,INDEX(Profils!$AE$5:$AE$34,$AE544)&lt;=$AH544),ROUND(INDEX(Profils!$P$5:$P$34,$AE544)*Paramètres!$E$32*$AG544*$AJ544,Paramètres!$F$32),0)</f>
        <v>0.004</v>
      </c>
      <c r="W544" s="20" t="n">
        <f aca="false" t="array" ref="W544:W544">IF(AND(INDEX(Profils!$Q$5:$Q$34,$AE544)&gt;0,INDEX(Profils!$AF$5:$AF$34,$AE544)&lt;=$AH544),ROUND(INDEX(Profils!$Q$5:$Q$34,$AE544)*Paramètres!$E$33*$AG544*$AJ544,Paramètres!$F$33),0)</f>
        <v>0</v>
      </c>
      <c r="X544" s="20" t="n">
        <f aca="false" t="array" ref="X544:X544">IF(AND(INDEX(Profils!$R$5:$R$34,$AE544)&gt;0,INDEX(Profils!$AG$5:$AG$34,$AE544)&lt;=$AH544),ROUND(INDEX(Profils!$R$5:$R$34,$AE544)*Paramètres!$E$34*$AG544*$AJ544,Paramètres!$F$34),0)</f>
        <v>0.005</v>
      </c>
      <c r="Y544" s="20" t="n">
        <f aca="false" t="array" ref="Y544:Y544">IF(AND(INDEX(Profils!$S$5:$S$34,$AE544)&gt;0,INDEX(Profils!$AH$5:$AH$34,$AE544)&lt;=$AH544),ROUND(INDEX(Profils!$S$5:$S$34,$AE544)*Paramètres!$E$35*$AG544*$AJ544,Paramètres!$F$35),0)</f>
        <v>0.004</v>
      </c>
      <c r="Z544" s="21" t="n">
        <f aca="false">ROUND(L544/Paramètres!$E$22+M544/Paramètres!$E$23+N544/Paramètres!$E$24+O544/Paramètres!$E$25+P544/Paramètres!$E$26+Q544/Paramètres!$E$27+R544/Paramètres!$E$28+S544/Paramètres!$E$29+T544/Paramètres!$E$30+U544/Paramètres!$E$31+V544/Paramètres!$E$32+W544/Paramètres!$E$33+X544/Paramètres!$E$34+Y544/Paramètres!$E$35,1)</f>
        <v>1.7</v>
      </c>
      <c r="AA544" s="22" t="s">
        <v>109</v>
      </c>
      <c r="AB544" s="22" t="s">
        <v>109</v>
      </c>
      <c r="AC544" s="15" t="str">
        <f aca="false">$E544</f>
        <v>laine</v>
      </c>
      <c r="AD544" s="16" t="n">
        <f aca="false" t="array" ref="AD544:AD544">IF($I544&gt;=$AI544,"Max",ROUND(Paramètres!$B$40*($I544+1)^Paramètres!$B$41*INDEX(Paramètres!$H$6:$H$12,$AF544),0))</f>
        <v>8</v>
      </c>
      <c r="AE544" s="23" t="n">
        <f aca="false">MATCH($B544&amp;"|"&amp;$C544,Profils!$A$5:$A$34,0)</f>
        <v>18</v>
      </c>
      <c r="AF544" s="23" t="n">
        <v>6</v>
      </c>
      <c r="AG544" s="24" t="n">
        <f aca="false" t="array" ref="AG544:AG544">INDEX(Paramètres!$C$6:$C$12,$AF544)</f>
        <v>2.4</v>
      </c>
      <c r="AH544" s="23" t="n">
        <f aca="false" t="array" ref="AH544:AH544">INDEX(Paramètres!$D$6:$D$12,$AF544)</f>
        <v>7</v>
      </c>
      <c r="AI544" s="23" t="n">
        <f aca="false" t="array" ref="AI544:AI544">INDEX(Matériaux!$C$16:$C$20,$D544)</f>
        <v>20</v>
      </c>
      <c r="AJ544" s="25" t="n">
        <f aca="false">Paramètres!$B$16+(1-Paramètres!$B$16)*(($J544-Paramètres!$B$14)/(Paramètres!$B$15-Paramètres!$B$14))^Paramètres!$B$17</f>
        <v>0.140847925475674</v>
      </c>
    </row>
    <row r="545" customFormat="false" ht="15.75" hidden="false" customHeight="true" outlineLevel="0" collapsed="false">
      <c r="A545" s="14" t="s">
        <v>661</v>
      </c>
      <c r="B545" s="15" t="s">
        <v>29</v>
      </c>
      <c r="C545" s="15" t="s">
        <v>337</v>
      </c>
      <c r="D545" s="16" t="n">
        <v>3</v>
      </c>
      <c r="E545" s="15" t="str">
        <f aca="false" t="array" ref="E545:E545">INDEX(Matériaux!$B$5:$F$12,MATCH(INDEX(Profils!$E$5:$E$34,$AE545),Matériaux!$A$5:$A$12,0),$D545)</f>
        <v>soie</v>
      </c>
      <c r="F545" s="17" t="s">
        <v>108</v>
      </c>
      <c r="G545" s="10" t="str">
        <f aca="false" t="array" ref="G545:G545">INDEX(Profils!$D$5:$D$34,$AE545)&amp;" en "&amp;$E545</f>
        <v>Ceinture en soie</v>
      </c>
      <c r="H545" s="16" t="n">
        <f aca="false" t="array" ref="H545:H545">INDEX(Matériaux!$B$16:$B$20,$D545)</f>
        <v>30</v>
      </c>
      <c r="I545" s="16" t="n">
        <f aca="false">IF(ISNUMBER($C$3),MIN(MAX(0,ROUND($C$3,0)),$AI545),$AI545)</f>
        <v>0</v>
      </c>
      <c r="J545" s="18" t="n">
        <f aca="false">$H545+$I545</f>
        <v>30</v>
      </c>
      <c r="K545" s="15" t="s">
        <v>109</v>
      </c>
      <c r="L545" s="19" t="n">
        <f aca="false" t="array" ref="L545:L545">IF(AND(INDEX(Profils!$F$5:$F$34,$AE545)&gt;0,INDEX(Profils!$U$5:$U$34,$AE545)&lt;=$AH545),ROUND(INDEX(Profils!$F$5:$F$34,$AE545)*Paramètres!$E$22*$AG545*$AJ545,Paramètres!$F$22),0)</f>
        <v>6</v>
      </c>
      <c r="M545" s="19" t="n">
        <f aca="false" t="array" ref="M545:M545">IF(AND(INDEX(Profils!$G$5:$G$34,$AE545)&gt;0,INDEX(Profils!$V$5:$V$34,$AE545)&lt;=$AH545),ROUND(INDEX(Profils!$G$5:$G$34,$AE545)*Paramètres!$E$23*$AG545*$AJ545,Paramètres!$F$23),0)</f>
        <v>0</v>
      </c>
      <c r="N545" s="19" t="n">
        <f aca="false" t="array" ref="N545:N545">IF(AND(INDEX(Profils!$H$5:$H$34,$AE545)&gt;0,INDEX(Profils!$W$5:$W$34,$AE545)&lt;=$AH545),ROUND(INDEX(Profils!$H$5:$H$34,$AE545)*Paramètres!$E$24*$AG545*$AJ545,Paramètres!$F$24),0)</f>
        <v>0</v>
      </c>
      <c r="O545" s="19" t="n">
        <f aca="false" t="array" ref="O545:O545">IF(AND(INDEX(Profils!$I$5:$I$34,$AE545)&gt;0,INDEX(Profils!$X$5:$X$34,$AE545)&lt;=$AH545),ROUND(INDEX(Profils!$I$5:$I$34,$AE545)*Paramètres!$E$25*$AG545*$AJ545,Paramètres!$F$25),0)</f>
        <v>3</v>
      </c>
      <c r="P545" s="19" t="n">
        <f aca="false" t="array" ref="P545:P545">IF(AND(INDEX(Profils!$J$5:$J$34,$AE545)&gt;0,INDEX(Profils!$Y$5:$Y$34,$AE545)&lt;=$AH545),ROUND(INDEX(Profils!$J$5:$J$34,$AE545)*Paramètres!$E$26*$AG545*$AJ545,Paramètres!$F$26),0)</f>
        <v>0</v>
      </c>
      <c r="Q545" s="19" t="n">
        <f aca="false" t="array" ref="Q545:Q545">IF(AND(INDEX(Profils!$K$5:$K$34,$AE545)&gt;0,INDEX(Profils!$Z$5:$Z$34,$AE545)&lt;=$AH545),ROUND(INDEX(Profils!$K$5:$K$34,$AE545)*Paramètres!$E$27*$AG545*$AJ545,Paramètres!$F$27),0)</f>
        <v>0</v>
      </c>
      <c r="R545" s="20" t="n">
        <f aca="false" t="array" ref="R545:R545">IF(AND(INDEX(Profils!$L$5:$L$34,$AE545)&gt;0,INDEX(Profils!$AA$5:$AA$34,$AE545)&lt;=$AH545),ROUND(INDEX(Profils!$L$5:$L$34,$AE545)*Paramètres!$E$28*$AG545*$AJ545,Paramètres!$F$28),0)</f>
        <v>0</v>
      </c>
      <c r="S545" s="20" t="n">
        <f aca="false" t="array" ref="S545:S545">IF(AND(INDEX(Profils!$M$5:$M$34,$AE545)&gt;0,INDEX(Profils!$AB$5:$AB$34,$AE545)&lt;=$AH545),ROUND(INDEX(Profils!$M$5:$M$34,$AE545)*Paramètres!$E$29*$AG545*$AJ545,Paramètres!$F$29),0)</f>
        <v>0</v>
      </c>
      <c r="T545" s="20" t="n">
        <f aca="false" t="array" ref="T545:T545">IF(AND(INDEX(Profils!$N$5:$N$34,$AE545)&gt;0,INDEX(Profils!$AC$5:$AC$34,$AE545)&lt;=$AH545),ROUND(INDEX(Profils!$N$5:$N$34,$AE545)*Paramètres!$E$30*$AG545*$AJ545,Paramètres!$F$30),0)</f>
        <v>0</v>
      </c>
      <c r="U545" s="19" t="n">
        <f aca="false" t="array" ref="U545:U545">IF(AND(INDEX(Profils!$O$5:$O$34,$AE545)&gt;0,INDEX(Profils!$AD$5:$AD$34,$AE545)&lt;=$AH545),ROUND(INDEX(Profils!$O$5:$O$34,$AE545)*Paramètres!$E$31*$AG545*$AJ545,Paramètres!$F$31),0)</f>
        <v>0</v>
      </c>
      <c r="V545" s="20" t="n">
        <f aca="false" t="array" ref="V545:V545">IF(AND(INDEX(Profils!$P$5:$P$34,$AE545)&gt;0,INDEX(Profils!$AE$5:$AE$34,$AE545)&lt;=$AH545),ROUND(INDEX(Profils!$P$5:$P$34,$AE545)*Paramètres!$E$32*$AG545*$AJ545,Paramètres!$F$32),0)</f>
        <v>0</v>
      </c>
      <c r="W545" s="20" t="n">
        <f aca="false" t="array" ref="W545:W545">IF(AND(INDEX(Profils!$Q$5:$Q$34,$AE545)&gt;0,INDEX(Profils!$AF$5:$AF$34,$AE545)&lt;=$AH545),ROUND(INDEX(Profils!$Q$5:$Q$34,$AE545)*Paramètres!$E$33*$AG545*$AJ545,Paramètres!$F$33),0)</f>
        <v>0</v>
      </c>
      <c r="X545" s="20" t="n">
        <f aca="false" t="array" ref="X545:X545">IF(AND(INDEX(Profils!$R$5:$R$34,$AE545)&gt;0,INDEX(Profils!$AG$5:$AG$34,$AE545)&lt;=$AH545),ROUND(INDEX(Profils!$R$5:$R$34,$AE545)*Paramètres!$E$34*$AG545*$AJ545,Paramètres!$F$34),0)</f>
        <v>0</v>
      </c>
      <c r="Y545" s="20" t="n">
        <f aca="false" t="array" ref="Y545:Y545">IF(AND(INDEX(Profils!$S$5:$S$34,$AE545)&gt;0,INDEX(Profils!$AH$5:$AH$34,$AE545)&lt;=$AH545),ROUND(INDEX(Profils!$S$5:$S$34,$AE545)*Paramètres!$E$35*$AG545*$AJ545,Paramètres!$F$35),0)</f>
        <v>0</v>
      </c>
      <c r="Z545" s="21" t="n">
        <f aca="false">ROUND(L545/Paramètres!$E$22+M545/Paramètres!$E$23+N545/Paramètres!$E$24+O545/Paramètres!$E$25+P545/Paramètres!$E$26+Q545/Paramètres!$E$27+R545/Paramètres!$E$28+S545/Paramètres!$E$29+T545/Paramètres!$E$30+U545/Paramètres!$E$31+V545/Paramètres!$E$32+W545/Paramètres!$E$33+X545/Paramètres!$E$34+Y545/Paramètres!$E$35,1)</f>
        <v>0.4</v>
      </c>
      <c r="AA545" s="22" t="s">
        <v>109</v>
      </c>
      <c r="AB545" s="22" t="s">
        <v>109</v>
      </c>
      <c r="AC545" s="15" t="str">
        <f aca="false">$E545</f>
        <v>soie</v>
      </c>
      <c r="AD545" s="16" t="n">
        <f aca="false" t="array" ref="AD545:AD545">IF($I545&gt;=$AI545,"Max",ROUND(Paramètres!$B$40*($I545+1)^Paramètres!$B$41*INDEX(Paramètres!$H$6:$H$12,$AF545),0))</f>
        <v>3</v>
      </c>
      <c r="AE545" s="23" t="n">
        <f aca="false">MATCH($B545&amp;"|"&amp;$C545,Profils!$A$5:$A$34,0)</f>
        <v>18</v>
      </c>
      <c r="AF545" s="23" t="n">
        <v>1</v>
      </c>
      <c r="AG545" s="24" t="n">
        <f aca="false" t="array" ref="AG545:AG545">INDEX(Paramètres!$C$6:$C$12,$AF545)</f>
        <v>1</v>
      </c>
      <c r="AH545" s="23" t="n">
        <f aca="false" t="array" ref="AH545:AH545">INDEX(Paramètres!$D$6:$D$12,$AF545)</f>
        <v>2</v>
      </c>
      <c r="AI545" s="23" t="n">
        <f aca="false" t="array" ref="AI545:AI545">INDEX(Matériaux!$C$16:$C$20,$D545)</f>
        <v>25</v>
      </c>
      <c r="AJ545" s="25" t="n">
        <f aca="false">Paramètres!$B$16+(1-Paramètres!$B$16)*(($J545-Paramètres!$B$14)/(Paramètres!$B$15-Paramètres!$B$14))^Paramètres!$B$17</f>
        <v>0.26769024555533</v>
      </c>
    </row>
    <row r="546" customFormat="false" ht="15.75" hidden="false" customHeight="true" outlineLevel="0" collapsed="false">
      <c r="A546" s="14" t="s">
        <v>662</v>
      </c>
      <c r="B546" s="15" t="s">
        <v>29</v>
      </c>
      <c r="C546" s="15" t="s">
        <v>337</v>
      </c>
      <c r="D546" s="16" t="n">
        <v>3</v>
      </c>
      <c r="E546" s="15" t="str">
        <f aca="false" t="array" ref="E546:E546">INDEX(Matériaux!$B$5:$F$12,MATCH(INDEX(Profils!$E$5:$E$34,$AE546),Matériaux!$A$5:$A$12,0),$D546)</f>
        <v>soie</v>
      </c>
      <c r="F546" s="26" t="s">
        <v>111</v>
      </c>
      <c r="G546" s="10" t="str">
        <f aca="false" t="array" ref="G546:G546">INDEX(Profils!$D$5:$D$34,$AE546)&amp;" en "&amp;$E546</f>
        <v>Ceinture en soie</v>
      </c>
      <c r="H546" s="16" t="n">
        <f aca="false" t="array" ref="H546:H546">INDEX(Matériaux!$B$16:$B$20,$D546)</f>
        <v>30</v>
      </c>
      <c r="I546" s="16" t="n">
        <f aca="false">IF(ISNUMBER($C$3),MIN(MAX(0,ROUND($C$3,0)),$AI546),$AI546)</f>
        <v>0</v>
      </c>
      <c r="J546" s="18" t="n">
        <f aca="false">$H546+$I546</f>
        <v>30</v>
      </c>
      <c r="K546" s="15" t="s">
        <v>109</v>
      </c>
      <c r="L546" s="19" t="n">
        <f aca="false" t="array" ref="L546:L546">IF(AND(INDEX(Profils!$F$5:$F$34,$AE546)&gt;0,INDEX(Profils!$U$5:$U$34,$AE546)&lt;=$AH546),ROUND(INDEX(Profils!$F$5:$F$34,$AE546)*Paramètres!$E$22*$AG546*$AJ546,Paramètres!$F$22),0)</f>
        <v>7</v>
      </c>
      <c r="M546" s="19" t="n">
        <f aca="false" t="array" ref="M546:M546">IF(AND(INDEX(Profils!$G$5:$G$34,$AE546)&gt;0,INDEX(Profils!$V$5:$V$34,$AE546)&lt;=$AH546),ROUND(INDEX(Profils!$G$5:$G$34,$AE546)*Paramètres!$E$23*$AG546*$AJ546,Paramètres!$F$23),0)</f>
        <v>0</v>
      </c>
      <c r="N546" s="19" t="n">
        <f aca="false" t="array" ref="N546:N546">IF(AND(INDEX(Profils!$H$5:$H$34,$AE546)&gt;0,INDEX(Profils!$W$5:$W$34,$AE546)&lt;=$AH546),ROUND(INDEX(Profils!$H$5:$H$34,$AE546)*Paramètres!$E$24*$AG546*$AJ546,Paramètres!$F$24),0)</f>
        <v>0</v>
      </c>
      <c r="O546" s="19" t="n">
        <f aca="false" t="array" ref="O546:O546">IF(AND(INDEX(Profils!$I$5:$I$34,$AE546)&gt;0,INDEX(Profils!$X$5:$X$34,$AE546)&lt;=$AH546),ROUND(INDEX(Profils!$I$5:$I$34,$AE546)*Paramètres!$E$25*$AG546*$AJ546,Paramètres!$F$25),0)</f>
        <v>4</v>
      </c>
      <c r="P546" s="19" t="n">
        <f aca="false" t="array" ref="P546:P546">IF(AND(INDEX(Profils!$J$5:$J$34,$AE546)&gt;0,INDEX(Profils!$Y$5:$Y$34,$AE546)&lt;=$AH546),ROUND(INDEX(Profils!$J$5:$J$34,$AE546)*Paramètres!$E$26*$AG546*$AJ546,Paramètres!$F$26),0)</f>
        <v>0</v>
      </c>
      <c r="Q546" s="19" t="n">
        <f aca="false" t="array" ref="Q546:Q546">IF(AND(INDEX(Profils!$K$5:$K$34,$AE546)&gt;0,INDEX(Profils!$Z$5:$Z$34,$AE546)&lt;=$AH546),ROUND(INDEX(Profils!$K$5:$K$34,$AE546)*Paramètres!$E$27*$AG546*$AJ546,Paramètres!$F$27),0)</f>
        <v>0</v>
      </c>
      <c r="R546" s="20" t="n">
        <f aca="false" t="array" ref="R546:R546">IF(AND(INDEX(Profils!$L$5:$L$34,$AE546)&gt;0,INDEX(Profils!$AA$5:$AA$34,$AE546)&lt;=$AH546),ROUND(INDEX(Profils!$L$5:$L$34,$AE546)*Paramètres!$E$28*$AG546*$AJ546,Paramètres!$F$28),0)</f>
        <v>0</v>
      </c>
      <c r="S546" s="20" t="n">
        <f aca="false" t="array" ref="S546:S546">IF(AND(INDEX(Profils!$M$5:$M$34,$AE546)&gt;0,INDEX(Profils!$AB$5:$AB$34,$AE546)&lt;=$AH546),ROUND(INDEX(Profils!$M$5:$M$34,$AE546)*Paramètres!$E$29*$AG546*$AJ546,Paramètres!$F$29),0)</f>
        <v>0</v>
      </c>
      <c r="T546" s="20" t="n">
        <f aca="false" t="array" ref="T546:T546">IF(AND(INDEX(Profils!$N$5:$N$34,$AE546)&gt;0,INDEX(Profils!$AC$5:$AC$34,$AE546)&lt;=$AH546),ROUND(INDEX(Profils!$N$5:$N$34,$AE546)*Paramètres!$E$30*$AG546*$AJ546,Paramètres!$F$30),0)</f>
        <v>0</v>
      </c>
      <c r="U546" s="19" t="n">
        <f aca="false" t="array" ref="U546:U546">IF(AND(INDEX(Profils!$O$5:$O$34,$AE546)&gt;0,INDEX(Profils!$AD$5:$AD$34,$AE546)&lt;=$AH546),ROUND(INDEX(Profils!$O$5:$O$34,$AE546)*Paramètres!$E$31*$AG546*$AJ546,Paramètres!$F$31),0)</f>
        <v>0</v>
      </c>
      <c r="V546" s="20" t="n">
        <f aca="false" t="array" ref="V546:V546">IF(AND(INDEX(Profils!$P$5:$P$34,$AE546)&gt;0,INDEX(Profils!$AE$5:$AE$34,$AE546)&lt;=$AH546),ROUND(INDEX(Profils!$P$5:$P$34,$AE546)*Paramètres!$E$32*$AG546*$AJ546,Paramètres!$F$32),0)</f>
        <v>0</v>
      </c>
      <c r="W546" s="20" t="n">
        <f aca="false" t="array" ref="W546:W546">IF(AND(INDEX(Profils!$Q$5:$Q$34,$AE546)&gt;0,INDEX(Profils!$AF$5:$AF$34,$AE546)&lt;=$AH546),ROUND(INDEX(Profils!$Q$5:$Q$34,$AE546)*Paramètres!$E$33*$AG546*$AJ546,Paramètres!$F$33),0)</f>
        <v>0</v>
      </c>
      <c r="X546" s="20" t="n">
        <f aca="false" t="array" ref="X546:X546">IF(AND(INDEX(Profils!$R$5:$R$34,$AE546)&gt;0,INDEX(Profils!$AG$5:$AG$34,$AE546)&lt;=$AH546),ROUND(INDEX(Profils!$R$5:$R$34,$AE546)*Paramètres!$E$34*$AG546*$AJ546,Paramètres!$F$34),0)</f>
        <v>0.005</v>
      </c>
      <c r="Y546" s="20" t="n">
        <f aca="false" t="array" ref="Y546:Y546">IF(AND(INDEX(Profils!$S$5:$S$34,$AE546)&gt;0,INDEX(Profils!$AH$5:$AH$34,$AE546)&lt;=$AH546),ROUND(INDEX(Profils!$S$5:$S$34,$AE546)*Paramètres!$E$35*$AG546*$AJ546,Paramètres!$F$35),0)</f>
        <v>0</v>
      </c>
      <c r="Z546" s="21" t="n">
        <f aca="false">ROUND(L546/Paramètres!$E$22+M546/Paramètres!$E$23+N546/Paramètres!$E$24+O546/Paramètres!$E$25+P546/Paramètres!$E$26+Q546/Paramètres!$E$27+R546/Paramètres!$E$28+S546/Paramètres!$E$29+T546/Paramètres!$E$30+U546/Paramètres!$E$31+V546/Paramètres!$E$32+W546/Paramètres!$E$33+X546/Paramètres!$E$34+Y546/Paramètres!$E$35,1)</f>
        <v>0.8</v>
      </c>
      <c r="AA546" s="22" t="s">
        <v>109</v>
      </c>
      <c r="AB546" s="22" t="s">
        <v>109</v>
      </c>
      <c r="AC546" s="15" t="str">
        <f aca="false">$E546</f>
        <v>soie</v>
      </c>
      <c r="AD546" s="16" t="n">
        <f aca="false" t="array" ref="AD546:AD546">IF($I546&gt;=$AI546,"Max",ROUND(Paramètres!$B$40*($I546+1)^Paramètres!$B$41*INDEX(Paramètres!$H$6:$H$12,$AF546),0))</f>
        <v>4</v>
      </c>
      <c r="AE546" s="23" t="n">
        <f aca="false">MATCH($B546&amp;"|"&amp;$C546,Profils!$A$5:$A$34,0)</f>
        <v>18</v>
      </c>
      <c r="AF546" s="23" t="n">
        <v>2</v>
      </c>
      <c r="AG546" s="24" t="n">
        <f aca="false" t="array" ref="AG546:AG546">INDEX(Paramètres!$C$6:$C$12,$AF546)</f>
        <v>1.2</v>
      </c>
      <c r="AH546" s="23" t="n">
        <f aca="false" t="array" ref="AH546:AH546">INDEX(Paramètres!$D$6:$D$12,$AF546)</f>
        <v>3</v>
      </c>
      <c r="AI546" s="23" t="n">
        <f aca="false" t="array" ref="AI546:AI546">INDEX(Matériaux!$C$16:$C$20,$D546)</f>
        <v>25</v>
      </c>
      <c r="AJ546" s="25" t="n">
        <f aca="false">Paramètres!$B$16+(1-Paramètres!$B$16)*(($J546-Paramètres!$B$14)/(Paramètres!$B$15-Paramètres!$B$14))^Paramètres!$B$17</f>
        <v>0.26769024555533</v>
      </c>
    </row>
    <row r="547" customFormat="false" ht="15.75" hidden="false" customHeight="true" outlineLevel="0" collapsed="false">
      <c r="A547" s="14" t="s">
        <v>663</v>
      </c>
      <c r="B547" s="15" t="s">
        <v>29</v>
      </c>
      <c r="C547" s="15" t="s">
        <v>337</v>
      </c>
      <c r="D547" s="16" t="n">
        <v>3</v>
      </c>
      <c r="E547" s="15" t="str">
        <f aca="false" t="array" ref="E547:E547">INDEX(Matériaux!$B$5:$F$12,MATCH(INDEX(Profils!$E$5:$E$34,$AE547),Matériaux!$A$5:$A$12,0),$D547)</f>
        <v>soie</v>
      </c>
      <c r="F547" s="27" t="s">
        <v>113</v>
      </c>
      <c r="G547" s="10" t="str">
        <f aca="false" t="array" ref="G547:G547">INDEX(Profils!$D$5:$D$34,$AE547)&amp;" en "&amp;$E547</f>
        <v>Ceinture en soie</v>
      </c>
      <c r="H547" s="16" t="n">
        <f aca="false" t="array" ref="H547:H547">INDEX(Matériaux!$B$16:$B$20,$D547)</f>
        <v>30</v>
      </c>
      <c r="I547" s="16" t="n">
        <f aca="false">IF(ISNUMBER($C$3),MIN(MAX(0,ROUND($C$3,0)),$AI547),$AI547)</f>
        <v>0</v>
      </c>
      <c r="J547" s="18" t="n">
        <f aca="false">$H547+$I547</f>
        <v>30</v>
      </c>
      <c r="K547" s="15" t="s">
        <v>109</v>
      </c>
      <c r="L547" s="19" t="n">
        <f aca="false" t="array" ref="L547:L547">IF(AND(INDEX(Profils!$F$5:$F$34,$AE547)&gt;0,INDEX(Profils!$U$5:$U$34,$AE547)&lt;=$AH547),ROUND(INDEX(Profils!$F$5:$F$34,$AE547)*Paramètres!$E$22*$AG547*$AJ547,Paramètres!$F$22),0)</f>
        <v>9</v>
      </c>
      <c r="M547" s="19" t="n">
        <f aca="false" t="array" ref="M547:M547">IF(AND(INDEX(Profils!$G$5:$G$34,$AE547)&gt;0,INDEX(Profils!$V$5:$V$34,$AE547)&lt;=$AH547),ROUND(INDEX(Profils!$G$5:$G$34,$AE547)*Paramètres!$E$23*$AG547*$AJ547,Paramètres!$F$23),0)</f>
        <v>0</v>
      </c>
      <c r="N547" s="19" t="n">
        <f aca="false" t="array" ref="N547:N547">IF(AND(INDEX(Profils!$H$5:$H$34,$AE547)&gt;0,INDEX(Profils!$W$5:$W$34,$AE547)&lt;=$AH547),ROUND(INDEX(Profils!$H$5:$H$34,$AE547)*Paramètres!$E$24*$AG547*$AJ547,Paramètres!$F$24),0)</f>
        <v>0</v>
      </c>
      <c r="O547" s="19" t="n">
        <f aca="false" t="array" ref="O547:O547">IF(AND(INDEX(Profils!$I$5:$I$34,$AE547)&gt;0,INDEX(Profils!$X$5:$X$34,$AE547)&lt;=$AH547),ROUND(INDEX(Profils!$I$5:$I$34,$AE547)*Paramètres!$E$25*$AG547*$AJ547,Paramètres!$F$25),0)</f>
        <v>5</v>
      </c>
      <c r="P547" s="19" t="n">
        <f aca="false" t="array" ref="P547:P547">IF(AND(INDEX(Profils!$J$5:$J$34,$AE547)&gt;0,INDEX(Profils!$Y$5:$Y$34,$AE547)&lt;=$AH547),ROUND(INDEX(Profils!$J$5:$J$34,$AE547)*Paramètres!$E$26*$AG547*$AJ547,Paramètres!$F$26),0)</f>
        <v>0</v>
      </c>
      <c r="Q547" s="19" t="n">
        <f aca="false" t="array" ref="Q547:Q547">IF(AND(INDEX(Profils!$K$5:$K$34,$AE547)&gt;0,INDEX(Profils!$Z$5:$Z$34,$AE547)&lt;=$AH547),ROUND(INDEX(Profils!$K$5:$K$34,$AE547)*Paramètres!$E$27*$AG547*$AJ547,Paramètres!$F$27),0)</f>
        <v>0</v>
      </c>
      <c r="R547" s="20" t="n">
        <f aca="false" t="array" ref="R547:R547">IF(AND(INDEX(Profils!$L$5:$L$34,$AE547)&gt;0,INDEX(Profils!$AA$5:$AA$34,$AE547)&lt;=$AH547),ROUND(INDEX(Profils!$L$5:$L$34,$AE547)*Paramètres!$E$28*$AG547*$AJ547,Paramètres!$F$28),0)</f>
        <v>0</v>
      </c>
      <c r="S547" s="20" t="n">
        <f aca="false" t="array" ref="S547:S547">IF(AND(INDEX(Profils!$M$5:$M$34,$AE547)&gt;0,INDEX(Profils!$AB$5:$AB$34,$AE547)&lt;=$AH547),ROUND(INDEX(Profils!$M$5:$M$34,$AE547)*Paramètres!$E$29*$AG547*$AJ547,Paramètres!$F$29),0)</f>
        <v>0</v>
      </c>
      <c r="T547" s="20" t="n">
        <f aca="false" t="array" ref="T547:T547">IF(AND(INDEX(Profils!$N$5:$N$34,$AE547)&gt;0,INDEX(Profils!$AC$5:$AC$34,$AE547)&lt;=$AH547),ROUND(INDEX(Profils!$N$5:$N$34,$AE547)*Paramètres!$E$30*$AG547*$AJ547,Paramètres!$F$30),0)</f>
        <v>0</v>
      </c>
      <c r="U547" s="19" t="n">
        <f aca="false" t="array" ref="U547:U547">IF(AND(INDEX(Profils!$O$5:$O$34,$AE547)&gt;0,INDEX(Profils!$AD$5:$AD$34,$AE547)&lt;=$AH547),ROUND(INDEX(Profils!$O$5:$O$34,$AE547)*Paramètres!$E$31*$AG547*$AJ547,Paramètres!$F$31),0)</f>
        <v>0</v>
      </c>
      <c r="V547" s="20" t="n">
        <f aca="false" t="array" ref="V547:V547">IF(AND(INDEX(Profils!$P$5:$P$34,$AE547)&gt;0,INDEX(Profils!$AE$5:$AE$34,$AE547)&lt;=$AH547),ROUND(INDEX(Profils!$P$5:$P$34,$AE547)*Paramètres!$E$32*$AG547*$AJ547,Paramètres!$F$32),0)</f>
        <v>0.004</v>
      </c>
      <c r="W547" s="20" t="n">
        <f aca="false" t="array" ref="W547:W547">IF(AND(INDEX(Profils!$Q$5:$Q$34,$AE547)&gt;0,INDEX(Profils!$AF$5:$AF$34,$AE547)&lt;=$AH547),ROUND(INDEX(Profils!$Q$5:$Q$34,$AE547)*Paramètres!$E$33*$AG547*$AJ547,Paramètres!$F$33),0)</f>
        <v>0</v>
      </c>
      <c r="X547" s="20" t="n">
        <f aca="false" t="array" ref="X547:X547">IF(AND(INDEX(Profils!$R$5:$R$34,$AE547)&gt;0,INDEX(Profils!$AG$5:$AG$34,$AE547)&lt;=$AH547),ROUND(INDEX(Profils!$R$5:$R$34,$AE547)*Paramètres!$E$34*$AG547*$AJ547,Paramètres!$F$34),0)</f>
        <v>0.006</v>
      </c>
      <c r="Y547" s="20" t="n">
        <f aca="false" t="array" ref="Y547:Y547">IF(AND(INDEX(Profils!$S$5:$S$34,$AE547)&gt;0,INDEX(Profils!$AH$5:$AH$34,$AE547)&lt;=$AH547),ROUND(INDEX(Profils!$S$5:$S$34,$AE547)*Paramètres!$E$35*$AG547*$AJ547,Paramètres!$F$35),0)</f>
        <v>0</v>
      </c>
      <c r="Z547" s="21" t="n">
        <f aca="false">ROUND(L547/Paramètres!$E$22+M547/Paramètres!$E$23+N547/Paramètres!$E$24+O547/Paramètres!$E$25+P547/Paramètres!$E$26+Q547/Paramètres!$E$27+R547/Paramètres!$E$28+S547/Paramètres!$E$29+T547/Paramètres!$E$30+U547/Paramètres!$E$31+V547/Paramètres!$E$32+W547/Paramètres!$E$33+X547/Paramètres!$E$34+Y547/Paramètres!$E$35,1)</f>
        <v>1.3</v>
      </c>
      <c r="AA547" s="22" t="s">
        <v>109</v>
      </c>
      <c r="AB547" s="22" t="s">
        <v>109</v>
      </c>
      <c r="AC547" s="15" t="str">
        <f aca="false">$E547</f>
        <v>soie</v>
      </c>
      <c r="AD547" s="16" t="n">
        <f aca="false" t="array" ref="AD547:AD547">IF($I547&gt;=$AI547,"Max",ROUND(Paramètres!$B$40*($I547+1)^Paramètres!$B$41*INDEX(Paramètres!$H$6:$H$12,$AF547),0))</f>
        <v>4</v>
      </c>
      <c r="AE547" s="23" t="n">
        <f aca="false">MATCH($B547&amp;"|"&amp;$C547,Profils!$A$5:$A$34,0)</f>
        <v>18</v>
      </c>
      <c r="AF547" s="23" t="n">
        <v>3</v>
      </c>
      <c r="AG547" s="24" t="n">
        <f aca="false" t="array" ref="AG547:AG547">INDEX(Paramètres!$C$6:$C$12,$AF547)</f>
        <v>1.45</v>
      </c>
      <c r="AH547" s="23" t="n">
        <f aca="false" t="array" ref="AH547:AH547">INDEX(Paramètres!$D$6:$D$12,$AF547)</f>
        <v>4</v>
      </c>
      <c r="AI547" s="23" t="n">
        <f aca="false" t="array" ref="AI547:AI547">INDEX(Matériaux!$C$16:$C$20,$D547)</f>
        <v>25</v>
      </c>
      <c r="AJ547" s="25" t="n">
        <f aca="false">Paramètres!$B$16+(1-Paramètres!$B$16)*(($J547-Paramètres!$B$14)/(Paramètres!$B$15-Paramètres!$B$14))^Paramètres!$B$17</f>
        <v>0.26769024555533</v>
      </c>
    </row>
    <row r="548" customFormat="false" ht="15.75" hidden="false" customHeight="true" outlineLevel="0" collapsed="false">
      <c r="A548" s="14" t="s">
        <v>664</v>
      </c>
      <c r="B548" s="15" t="s">
        <v>29</v>
      </c>
      <c r="C548" s="15" t="s">
        <v>337</v>
      </c>
      <c r="D548" s="16" t="n">
        <v>3</v>
      </c>
      <c r="E548" s="15" t="str">
        <f aca="false" t="array" ref="E548:E548">INDEX(Matériaux!$B$5:$F$12,MATCH(INDEX(Profils!$E$5:$E$34,$AE548),Matériaux!$A$5:$A$12,0),$D548)</f>
        <v>soie</v>
      </c>
      <c r="F548" s="28" t="s">
        <v>115</v>
      </c>
      <c r="G548" s="10" t="str">
        <f aca="false" t="array" ref="G548:G548">INDEX(Profils!$D$5:$D$34,$AE548)&amp;" en "&amp;$E548</f>
        <v>Ceinture en soie</v>
      </c>
      <c r="H548" s="16" t="n">
        <f aca="false" t="array" ref="H548:H548">INDEX(Matériaux!$B$16:$B$20,$D548)</f>
        <v>30</v>
      </c>
      <c r="I548" s="16" t="n">
        <f aca="false">IF(ISNUMBER($C$3),MIN(MAX(0,ROUND($C$3,0)),$AI548),$AI548)</f>
        <v>0</v>
      </c>
      <c r="J548" s="18" t="n">
        <f aca="false">$H548+$I548</f>
        <v>30</v>
      </c>
      <c r="K548" s="15" t="s">
        <v>109</v>
      </c>
      <c r="L548" s="19" t="n">
        <f aca="false" t="array" ref="L548:L548">IF(AND(INDEX(Profils!$F$5:$F$34,$AE548)&gt;0,INDEX(Profils!$U$5:$U$34,$AE548)&lt;=$AH548),ROUND(INDEX(Profils!$F$5:$F$34,$AE548)*Paramètres!$E$22*$AG548*$AJ548,Paramètres!$F$22),0)</f>
        <v>11</v>
      </c>
      <c r="M548" s="19" t="n">
        <f aca="false" t="array" ref="M548:M548">IF(AND(INDEX(Profils!$G$5:$G$34,$AE548)&gt;0,INDEX(Profils!$V$5:$V$34,$AE548)&lt;=$AH548),ROUND(INDEX(Profils!$G$5:$G$34,$AE548)*Paramètres!$E$23*$AG548*$AJ548,Paramètres!$F$23),0)</f>
        <v>0</v>
      </c>
      <c r="N548" s="19" t="n">
        <f aca="false" t="array" ref="N548:N548">IF(AND(INDEX(Profils!$H$5:$H$34,$AE548)&gt;0,INDEX(Profils!$W$5:$W$34,$AE548)&lt;=$AH548),ROUND(INDEX(Profils!$H$5:$H$34,$AE548)*Paramètres!$E$24*$AG548*$AJ548,Paramètres!$F$24),0)</f>
        <v>0</v>
      </c>
      <c r="O548" s="19" t="n">
        <f aca="false" t="array" ref="O548:O548">IF(AND(INDEX(Profils!$I$5:$I$34,$AE548)&gt;0,INDEX(Profils!$X$5:$X$34,$AE548)&lt;=$AH548),ROUND(INDEX(Profils!$I$5:$I$34,$AE548)*Paramètres!$E$25*$AG548*$AJ548,Paramètres!$F$25),0)</f>
        <v>6</v>
      </c>
      <c r="P548" s="19" t="n">
        <f aca="false" t="array" ref="P548:P548">IF(AND(INDEX(Profils!$J$5:$J$34,$AE548)&gt;0,INDEX(Profils!$Y$5:$Y$34,$AE548)&lt;=$AH548),ROUND(INDEX(Profils!$J$5:$J$34,$AE548)*Paramètres!$E$26*$AG548*$AJ548,Paramètres!$F$26),0)</f>
        <v>0</v>
      </c>
      <c r="Q548" s="19" t="n">
        <f aca="false" t="array" ref="Q548:Q548">IF(AND(INDEX(Profils!$K$5:$K$34,$AE548)&gt;0,INDEX(Profils!$Z$5:$Z$34,$AE548)&lt;=$AH548),ROUND(INDEX(Profils!$K$5:$K$34,$AE548)*Paramètres!$E$27*$AG548*$AJ548,Paramètres!$F$27),0)</f>
        <v>0</v>
      </c>
      <c r="R548" s="20" t="n">
        <f aca="false" t="array" ref="R548:R548">IF(AND(INDEX(Profils!$L$5:$L$34,$AE548)&gt;0,INDEX(Profils!$AA$5:$AA$34,$AE548)&lt;=$AH548),ROUND(INDEX(Profils!$L$5:$L$34,$AE548)*Paramètres!$E$28*$AG548*$AJ548,Paramètres!$F$28),0)</f>
        <v>0</v>
      </c>
      <c r="S548" s="20" t="n">
        <f aca="false" t="array" ref="S548:S548">IF(AND(INDEX(Profils!$M$5:$M$34,$AE548)&gt;0,INDEX(Profils!$AB$5:$AB$34,$AE548)&lt;=$AH548),ROUND(INDEX(Profils!$M$5:$M$34,$AE548)*Paramètres!$E$29*$AG548*$AJ548,Paramètres!$F$29),0)</f>
        <v>0</v>
      </c>
      <c r="T548" s="20" t="n">
        <f aca="false" t="array" ref="T548:T548">IF(AND(INDEX(Profils!$N$5:$N$34,$AE548)&gt;0,INDEX(Profils!$AC$5:$AC$34,$AE548)&lt;=$AH548),ROUND(INDEX(Profils!$N$5:$N$34,$AE548)*Paramètres!$E$30*$AG548*$AJ548,Paramètres!$F$30),0)</f>
        <v>0</v>
      </c>
      <c r="U548" s="19" t="n">
        <f aca="false" t="array" ref="U548:U548">IF(AND(INDEX(Profils!$O$5:$O$34,$AE548)&gt;0,INDEX(Profils!$AD$5:$AD$34,$AE548)&lt;=$AH548),ROUND(INDEX(Profils!$O$5:$O$34,$AE548)*Paramètres!$E$31*$AG548*$AJ548,Paramètres!$F$31),0)</f>
        <v>0</v>
      </c>
      <c r="V548" s="20" t="n">
        <f aca="false" t="array" ref="V548:V548">IF(AND(INDEX(Profils!$P$5:$P$34,$AE548)&gt;0,INDEX(Profils!$AE$5:$AE$34,$AE548)&lt;=$AH548),ROUND(INDEX(Profils!$P$5:$P$34,$AE548)*Paramètres!$E$32*$AG548*$AJ548,Paramètres!$F$32),0)</f>
        <v>0.005</v>
      </c>
      <c r="W548" s="20" t="n">
        <f aca="false" t="array" ref="W548:W548">IF(AND(INDEX(Profils!$Q$5:$Q$34,$AE548)&gt;0,INDEX(Profils!$AF$5:$AF$34,$AE548)&lt;=$AH548),ROUND(INDEX(Profils!$Q$5:$Q$34,$AE548)*Paramètres!$E$33*$AG548*$AJ548,Paramètres!$F$33),0)</f>
        <v>0</v>
      </c>
      <c r="X548" s="20" t="n">
        <f aca="false" t="array" ref="X548:X548">IF(AND(INDEX(Profils!$R$5:$R$34,$AE548)&gt;0,INDEX(Profils!$AG$5:$AG$34,$AE548)&lt;=$AH548),ROUND(INDEX(Profils!$R$5:$R$34,$AE548)*Paramètres!$E$34*$AG548*$AJ548,Paramètres!$F$34),0)</f>
        <v>0.007</v>
      </c>
      <c r="Y548" s="20" t="n">
        <f aca="false" t="array" ref="Y548:Y548">IF(AND(INDEX(Profils!$S$5:$S$34,$AE548)&gt;0,INDEX(Profils!$AH$5:$AH$34,$AE548)&lt;=$AH548),ROUND(INDEX(Profils!$S$5:$S$34,$AE548)*Paramètres!$E$35*$AG548*$AJ548,Paramètres!$F$35),0)</f>
        <v>0.005</v>
      </c>
      <c r="Z548" s="21" t="n">
        <f aca="false">ROUND(L548/Paramètres!$E$22+M548/Paramètres!$E$23+N548/Paramètres!$E$24+O548/Paramètres!$E$25+P548/Paramètres!$E$26+Q548/Paramètres!$E$27+R548/Paramètres!$E$28+S548/Paramètres!$E$29+T548/Paramètres!$E$30+U548/Paramètres!$E$31+V548/Paramètres!$E$32+W548/Paramètres!$E$33+X548/Paramètres!$E$34+Y548/Paramètres!$E$35,1)</f>
        <v>1.9</v>
      </c>
      <c r="AA548" s="22" t="s">
        <v>109</v>
      </c>
      <c r="AB548" s="22" t="s">
        <v>109</v>
      </c>
      <c r="AC548" s="15" t="str">
        <f aca="false">$E548</f>
        <v>soie</v>
      </c>
      <c r="AD548" s="16" t="n">
        <f aca="false" t="array" ref="AD548:AD548">IF($I548&gt;=$AI548,"Max",ROUND(Paramètres!$B$40*($I548+1)^Paramètres!$B$41*INDEX(Paramètres!$H$6:$H$12,$AF548),0))</f>
        <v>5</v>
      </c>
      <c r="AE548" s="23" t="n">
        <f aca="false">MATCH($B548&amp;"|"&amp;$C548,Profils!$A$5:$A$34,0)</f>
        <v>18</v>
      </c>
      <c r="AF548" s="23" t="n">
        <v>4</v>
      </c>
      <c r="AG548" s="24" t="n">
        <f aca="false" t="array" ref="AG548:AG548">INDEX(Paramètres!$C$6:$C$12,$AF548)</f>
        <v>1.75</v>
      </c>
      <c r="AH548" s="23" t="n">
        <f aca="false" t="array" ref="AH548:AH548">INDEX(Paramètres!$D$6:$D$12,$AF548)</f>
        <v>5</v>
      </c>
      <c r="AI548" s="23" t="n">
        <f aca="false" t="array" ref="AI548:AI548">INDEX(Matériaux!$C$16:$C$20,$D548)</f>
        <v>25</v>
      </c>
      <c r="AJ548" s="25" t="n">
        <f aca="false">Paramètres!$B$16+(1-Paramètres!$B$16)*(($J548-Paramètres!$B$14)/(Paramètres!$B$15-Paramètres!$B$14))^Paramètres!$B$17</f>
        <v>0.26769024555533</v>
      </c>
    </row>
    <row r="549" customFormat="false" ht="15.75" hidden="false" customHeight="true" outlineLevel="0" collapsed="false">
      <c r="A549" s="14" t="s">
        <v>665</v>
      </c>
      <c r="B549" s="15" t="s">
        <v>29</v>
      </c>
      <c r="C549" s="15" t="s">
        <v>337</v>
      </c>
      <c r="D549" s="16" t="n">
        <v>3</v>
      </c>
      <c r="E549" s="15" t="str">
        <f aca="false" t="array" ref="E549:E549">INDEX(Matériaux!$B$5:$F$12,MATCH(INDEX(Profils!$E$5:$E$34,$AE549),Matériaux!$A$5:$A$12,0),$D549)</f>
        <v>soie</v>
      </c>
      <c r="F549" s="29" t="s">
        <v>117</v>
      </c>
      <c r="G549" s="10" t="str">
        <f aca="false" t="array" ref="G549:G549">INDEX(Profils!$D$5:$D$34,$AE549)&amp;" en "&amp;$E549</f>
        <v>Ceinture en soie</v>
      </c>
      <c r="H549" s="16" t="n">
        <f aca="false" t="array" ref="H549:H549">INDEX(Matériaux!$B$16:$B$20,$D549)</f>
        <v>30</v>
      </c>
      <c r="I549" s="16" t="n">
        <f aca="false">IF(ISNUMBER($C$3),MIN(MAX(0,ROUND($C$3,0)),$AI549),$AI549)</f>
        <v>0</v>
      </c>
      <c r="J549" s="18" t="n">
        <f aca="false">$H549+$I549</f>
        <v>30</v>
      </c>
      <c r="K549" s="15" t="s">
        <v>109</v>
      </c>
      <c r="L549" s="19" t="n">
        <f aca="false" t="array" ref="L549:L549">IF(AND(INDEX(Profils!$F$5:$F$34,$AE549)&gt;0,INDEX(Profils!$U$5:$U$34,$AE549)&lt;=$AH549),ROUND(INDEX(Profils!$F$5:$F$34,$AE549)*Paramètres!$E$22*$AG549*$AJ549,Paramètres!$F$22),0)</f>
        <v>13</v>
      </c>
      <c r="M549" s="19" t="n">
        <f aca="false" t="array" ref="M549:M549">IF(AND(INDEX(Profils!$G$5:$G$34,$AE549)&gt;0,INDEX(Profils!$V$5:$V$34,$AE549)&lt;=$AH549),ROUND(INDEX(Profils!$G$5:$G$34,$AE549)*Paramètres!$E$23*$AG549*$AJ549,Paramètres!$F$23),0)</f>
        <v>0</v>
      </c>
      <c r="N549" s="19" t="n">
        <f aca="false" t="array" ref="N549:N549">IF(AND(INDEX(Profils!$H$5:$H$34,$AE549)&gt;0,INDEX(Profils!$W$5:$W$34,$AE549)&lt;=$AH549),ROUND(INDEX(Profils!$H$5:$H$34,$AE549)*Paramètres!$E$24*$AG549*$AJ549,Paramètres!$F$24),0)</f>
        <v>0</v>
      </c>
      <c r="O549" s="19" t="n">
        <f aca="false" t="array" ref="O549:O549">IF(AND(INDEX(Profils!$I$5:$I$34,$AE549)&gt;0,INDEX(Profils!$X$5:$X$34,$AE549)&lt;=$AH549),ROUND(INDEX(Profils!$I$5:$I$34,$AE549)*Paramètres!$E$25*$AG549*$AJ549,Paramètres!$F$25),0)</f>
        <v>7</v>
      </c>
      <c r="P549" s="19" t="n">
        <f aca="false" t="array" ref="P549:P549">IF(AND(INDEX(Profils!$J$5:$J$34,$AE549)&gt;0,INDEX(Profils!$Y$5:$Y$34,$AE549)&lt;=$AH549),ROUND(INDEX(Profils!$J$5:$J$34,$AE549)*Paramètres!$E$26*$AG549*$AJ549,Paramètres!$F$26),0)</f>
        <v>3</v>
      </c>
      <c r="Q549" s="19" t="n">
        <f aca="false" t="array" ref="Q549:Q549">IF(AND(INDEX(Profils!$K$5:$K$34,$AE549)&gt;0,INDEX(Profils!$Z$5:$Z$34,$AE549)&lt;=$AH549),ROUND(INDEX(Profils!$K$5:$K$34,$AE549)*Paramètres!$E$27*$AG549*$AJ549,Paramètres!$F$27),0)</f>
        <v>0</v>
      </c>
      <c r="R549" s="20" t="n">
        <f aca="false" t="array" ref="R549:R549">IF(AND(INDEX(Profils!$L$5:$L$34,$AE549)&gt;0,INDEX(Profils!$AA$5:$AA$34,$AE549)&lt;=$AH549),ROUND(INDEX(Profils!$L$5:$L$34,$AE549)*Paramètres!$E$28*$AG549*$AJ549,Paramètres!$F$28),0)</f>
        <v>0</v>
      </c>
      <c r="S549" s="20" t="n">
        <f aca="false" t="array" ref="S549:S549">IF(AND(INDEX(Profils!$M$5:$M$34,$AE549)&gt;0,INDEX(Profils!$AB$5:$AB$34,$AE549)&lt;=$AH549),ROUND(INDEX(Profils!$M$5:$M$34,$AE549)*Paramètres!$E$29*$AG549*$AJ549,Paramètres!$F$29),0)</f>
        <v>0</v>
      </c>
      <c r="T549" s="20" t="n">
        <f aca="false" t="array" ref="T549:T549">IF(AND(INDEX(Profils!$N$5:$N$34,$AE549)&gt;0,INDEX(Profils!$AC$5:$AC$34,$AE549)&lt;=$AH549),ROUND(INDEX(Profils!$N$5:$N$34,$AE549)*Paramètres!$E$30*$AG549*$AJ549,Paramètres!$F$30),0)</f>
        <v>0</v>
      </c>
      <c r="U549" s="19" t="n">
        <f aca="false" t="array" ref="U549:U549">IF(AND(INDEX(Profils!$O$5:$O$34,$AE549)&gt;0,INDEX(Profils!$AD$5:$AD$34,$AE549)&lt;=$AH549),ROUND(INDEX(Profils!$O$5:$O$34,$AE549)*Paramètres!$E$31*$AG549*$AJ549,Paramètres!$F$31),0)</f>
        <v>0</v>
      </c>
      <c r="V549" s="20" t="n">
        <f aca="false" t="array" ref="V549:V549">IF(AND(INDEX(Profils!$P$5:$P$34,$AE549)&gt;0,INDEX(Profils!$AE$5:$AE$34,$AE549)&lt;=$AH549),ROUND(INDEX(Profils!$P$5:$P$34,$AE549)*Paramètres!$E$32*$AG549*$AJ549,Paramètres!$F$32),0)</f>
        <v>0.006</v>
      </c>
      <c r="W549" s="20" t="n">
        <f aca="false" t="array" ref="W549:W549">IF(AND(INDEX(Profils!$Q$5:$Q$34,$AE549)&gt;0,INDEX(Profils!$AF$5:$AF$34,$AE549)&lt;=$AH549),ROUND(INDEX(Profils!$Q$5:$Q$34,$AE549)*Paramètres!$E$33*$AG549*$AJ549,Paramètres!$F$33),0)</f>
        <v>0</v>
      </c>
      <c r="X549" s="20" t="n">
        <f aca="false" t="array" ref="X549:X549">IF(AND(INDEX(Profils!$R$5:$R$34,$AE549)&gt;0,INDEX(Profils!$AG$5:$AG$34,$AE549)&lt;=$AH549),ROUND(INDEX(Profils!$R$5:$R$34,$AE549)*Paramètres!$E$34*$AG549*$AJ549,Paramètres!$F$34),0)</f>
        <v>0.009</v>
      </c>
      <c r="Y549" s="20" t="n">
        <f aca="false" t="array" ref="Y549:Y549">IF(AND(INDEX(Profils!$S$5:$S$34,$AE549)&gt;0,INDEX(Profils!$AH$5:$AH$34,$AE549)&lt;=$AH549),ROUND(INDEX(Profils!$S$5:$S$34,$AE549)*Paramètres!$E$35*$AG549*$AJ549,Paramètres!$F$35),0)</f>
        <v>0.006</v>
      </c>
      <c r="Z549" s="21" t="n">
        <f aca="false">ROUND(L549/Paramètres!$E$22+M549/Paramètres!$E$23+N549/Paramètres!$E$24+O549/Paramètres!$E$25+P549/Paramètres!$E$26+Q549/Paramètres!$E$27+R549/Paramètres!$E$28+S549/Paramètres!$E$29+T549/Paramètres!$E$30+U549/Paramètres!$E$31+V549/Paramètres!$E$32+W549/Paramètres!$E$33+X549/Paramètres!$E$34+Y549/Paramètres!$E$35,1)</f>
        <v>2.5</v>
      </c>
      <c r="AA549" s="22" t="s">
        <v>109</v>
      </c>
      <c r="AB549" s="22" t="s">
        <v>109</v>
      </c>
      <c r="AC549" s="15" t="str">
        <f aca="false">$E549</f>
        <v>soie</v>
      </c>
      <c r="AD549" s="16" t="n">
        <f aca="false" t="array" ref="AD549:AD549">IF($I549&gt;=$AI549,"Max",ROUND(Paramètres!$B$40*($I549+1)^Paramètres!$B$41*INDEX(Paramètres!$H$6:$H$12,$AF549),0))</f>
        <v>6</v>
      </c>
      <c r="AE549" s="23" t="n">
        <f aca="false">MATCH($B549&amp;"|"&amp;$C549,Profils!$A$5:$A$34,0)</f>
        <v>18</v>
      </c>
      <c r="AF549" s="23" t="n">
        <v>5</v>
      </c>
      <c r="AG549" s="24" t="n">
        <f aca="false" t="array" ref="AG549:AG549">INDEX(Paramètres!$C$6:$C$12,$AF549)</f>
        <v>2.1</v>
      </c>
      <c r="AH549" s="23" t="n">
        <f aca="false" t="array" ref="AH549:AH549">INDEX(Paramètres!$D$6:$D$12,$AF549)</f>
        <v>6</v>
      </c>
      <c r="AI549" s="23" t="n">
        <f aca="false" t="array" ref="AI549:AI549">INDEX(Matériaux!$C$16:$C$20,$D549)</f>
        <v>25</v>
      </c>
      <c r="AJ549" s="25" t="n">
        <f aca="false">Paramètres!$B$16+(1-Paramètres!$B$16)*(($J549-Paramètres!$B$14)/(Paramètres!$B$15-Paramètres!$B$14))^Paramètres!$B$17</f>
        <v>0.26769024555533</v>
      </c>
    </row>
    <row r="550" customFormat="false" ht="15.75" hidden="false" customHeight="true" outlineLevel="0" collapsed="false">
      <c r="A550" s="14" t="s">
        <v>666</v>
      </c>
      <c r="B550" s="15" t="s">
        <v>29</v>
      </c>
      <c r="C550" s="15" t="s">
        <v>337</v>
      </c>
      <c r="D550" s="16" t="n">
        <v>3</v>
      </c>
      <c r="E550" s="15" t="str">
        <f aca="false" t="array" ref="E550:E550">INDEX(Matériaux!$B$5:$F$12,MATCH(INDEX(Profils!$E$5:$E$34,$AE550),Matériaux!$A$5:$A$12,0),$D550)</f>
        <v>soie</v>
      </c>
      <c r="F550" s="30" t="s">
        <v>119</v>
      </c>
      <c r="G550" s="10" t="str">
        <f aca="false" t="array" ref="G550:G550">INDEX(Profils!$D$5:$D$34,$AE550)&amp;" en "&amp;$E550</f>
        <v>Ceinture en soie</v>
      </c>
      <c r="H550" s="16" t="n">
        <f aca="false" t="array" ref="H550:H550">INDEX(Matériaux!$B$16:$B$20,$D550)</f>
        <v>30</v>
      </c>
      <c r="I550" s="16" t="n">
        <f aca="false">IF(ISNUMBER($C$3),MIN(MAX(0,ROUND($C$3,0)),$AI550),$AI550)</f>
        <v>0</v>
      </c>
      <c r="J550" s="18" t="n">
        <f aca="false">$H550+$I550</f>
        <v>30</v>
      </c>
      <c r="K550" s="15" t="s">
        <v>109</v>
      </c>
      <c r="L550" s="19" t="n">
        <f aca="false" t="array" ref="L550:L550">IF(AND(INDEX(Profils!$F$5:$F$34,$AE550)&gt;0,INDEX(Profils!$U$5:$U$34,$AE550)&lt;=$AH550),ROUND(INDEX(Profils!$F$5:$F$34,$AE550)*Paramètres!$E$22*$AG550*$AJ550,Paramètres!$F$22),0)</f>
        <v>14</v>
      </c>
      <c r="M550" s="19" t="n">
        <f aca="false" t="array" ref="M550:M550">IF(AND(INDEX(Profils!$G$5:$G$34,$AE550)&gt;0,INDEX(Profils!$V$5:$V$34,$AE550)&lt;=$AH550),ROUND(INDEX(Profils!$G$5:$G$34,$AE550)*Paramètres!$E$23*$AG550*$AJ550,Paramètres!$F$23),0)</f>
        <v>0</v>
      </c>
      <c r="N550" s="19" t="n">
        <f aca="false" t="array" ref="N550:N550">IF(AND(INDEX(Profils!$H$5:$H$34,$AE550)&gt;0,INDEX(Profils!$W$5:$W$34,$AE550)&lt;=$AH550),ROUND(INDEX(Profils!$H$5:$H$34,$AE550)*Paramètres!$E$24*$AG550*$AJ550,Paramètres!$F$24),0)</f>
        <v>0</v>
      </c>
      <c r="O550" s="19" t="n">
        <f aca="false" t="array" ref="O550:O550">IF(AND(INDEX(Profils!$I$5:$I$34,$AE550)&gt;0,INDEX(Profils!$X$5:$X$34,$AE550)&lt;=$AH550),ROUND(INDEX(Profils!$I$5:$I$34,$AE550)*Paramètres!$E$25*$AG550*$AJ550,Paramètres!$F$25),0)</f>
        <v>8</v>
      </c>
      <c r="P550" s="19" t="n">
        <f aca="false" t="array" ref="P550:P550">IF(AND(INDEX(Profils!$J$5:$J$34,$AE550)&gt;0,INDEX(Profils!$Y$5:$Y$34,$AE550)&lt;=$AH550),ROUND(INDEX(Profils!$J$5:$J$34,$AE550)*Paramètres!$E$26*$AG550*$AJ550,Paramètres!$F$26),0)</f>
        <v>4</v>
      </c>
      <c r="Q550" s="19" t="n">
        <f aca="false" t="array" ref="Q550:Q550">IF(AND(INDEX(Profils!$K$5:$K$34,$AE550)&gt;0,INDEX(Profils!$Z$5:$Z$34,$AE550)&lt;=$AH550),ROUND(INDEX(Profils!$K$5:$K$34,$AE550)*Paramètres!$E$27*$AG550*$AJ550,Paramètres!$F$27),0)</f>
        <v>0</v>
      </c>
      <c r="R550" s="20" t="n">
        <f aca="false" t="array" ref="R550:R550">IF(AND(INDEX(Profils!$L$5:$L$34,$AE550)&gt;0,INDEX(Profils!$AA$5:$AA$34,$AE550)&lt;=$AH550),ROUND(INDEX(Profils!$L$5:$L$34,$AE550)*Paramètres!$E$28*$AG550*$AJ550,Paramètres!$F$28),0)</f>
        <v>0</v>
      </c>
      <c r="S550" s="20" t="n">
        <f aca="false" t="array" ref="S550:S550">IF(AND(INDEX(Profils!$M$5:$M$34,$AE550)&gt;0,INDEX(Profils!$AB$5:$AB$34,$AE550)&lt;=$AH550),ROUND(INDEX(Profils!$M$5:$M$34,$AE550)*Paramètres!$E$29*$AG550*$AJ550,Paramètres!$F$29),0)</f>
        <v>0.004</v>
      </c>
      <c r="T550" s="20" t="n">
        <f aca="false" t="array" ref="T550:T550">IF(AND(INDEX(Profils!$N$5:$N$34,$AE550)&gt;0,INDEX(Profils!$AC$5:$AC$34,$AE550)&lt;=$AH550),ROUND(INDEX(Profils!$N$5:$N$34,$AE550)*Paramètres!$E$30*$AG550*$AJ550,Paramètres!$F$30),0)</f>
        <v>0</v>
      </c>
      <c r="U550" s="19" t="n">
        <f aca="false" t="array" ref="U550:U550">IF(AND(INDEX(Profils!$O$5:$O$34,$AE550)&gt;0,INDEX(Profils!$AD$5:$AD$34,$AE550)&lt;=$AH550),ROUND(INDEX(Profils!$O$5:$O$34,$AE550)*Paramètres!$E$31*$AG550*$AJ550,Paramètres!$F$31),0)</f>
        <v>0</v>
      </c>
      <c r="V550" s="20" t="n">
        <f aca="false" t="array" ref="V550:V550">IF(AND(INDEX(Profils!$P$5:$P$34,$AE550)&gt;0,INDEX(Profils!$AE$5:$AE$34,$AE550)&lt;=$AH550),ROUND(INDEX(Profils!$P$5:$P$34,$AE550)*Paramètres!$E$32*$AG550*$AJ550,Paramètres!$F$32),0)</f>
        <v>0.007</v>
      </c>
      <c r="W550" s="20" t="n">
        <f aca="false" t="array" ref="W550:W550">IF(AND(INDEX(Profils!$Q$5:$Q$34,$AE550)&gt;0,INDEX(Profils!$AF$5:$AF$34,$AE550)&lt;=$AH550),ROUND(INDEX(Profils!$Q$5:$Q$34,$AE550)*Paramètres!$E$33*$AG550*$AJ550,Paramètres!$F$33),0)</f>
        <v>0</v>
      </c>
      <c r="X550" s="20" t="n">
        <f aca="false" t="array" ref="X550:X550">IF(AND(INDEX(Profils!$R$5:$R$34,$AE550)&gt;0,INDEX(Profils!$AG$5:$AG$34,$AE550)&lt;=$AH550),ROUND(INDEX(Profils!$R$5:$R$34,$AE550)*Paramètres!$E$34*$AG550*$AJ550,Paramètres!$F$34),0)</f>
        <v>0.01</v>
      </c>
      <c r="Y550" s="20" t="n">
        <f aca="false" t="array" ref="Y550:Y550">IF(AND(INDEX(Profils!$S$5:$S$34,$AE550)&gt;0,INDEX(Profils!$AH$5:$AH$34,$AE550)&lt;=$AH550),ROUND(INDEX(Profils!$S$5:$S$34,$AE550)*Paramètres!$E$35*$AG550*$AJ550,Paramètres!$F$35),0)</f>
        <v>0.007</v>
      </c>
      <c r="Z550" s="21" t="n">
        <f aca="false">ROUND(L550/Paramètres!$E$22+M550/Paramètres!$E$23+N550/Paramètres!$E$24+O550/Paramètres!$E$25+P550/Paramètres!$E$26+Q550/Paramètres!$E$27+R550/Paramètres!$E$28+S550/Paramètres!$E$29+T550/Paramètres!$E$30+U550/Paramètres!$E$31+V550/Paramètres!$E$32+W550/Paramètres!$E$33+X550/Paramètres!$E$34+Y550/Paramètres!$E$35,1)</f>
        <v>3.2</v>
      </c>
      <c r="AA550" s="22" t="s">
        <v>109</v>
      </c>
      <c r="AB550" s="22" t="s">
        <v>109</v>
      </c>
      <c r="AC550" s="15" t="str">
        <f aca="false">$E550</f>
        <v>soie</v>
      </c>
      <c r="AD550" s="16" t="n">
        <f aca="false" t="array" ref="AD550:AD550">IF($I550&gt;=$AI550,"Max",ROUND(Paramètres!$B$40*($I550+1)^Paramètres!$B$41*INDEX(Paramètres!$H$6:$H$12,$AF550),0))</f>
        <v>8</v>
      </c>
      <c r="AE550" s="23" t="n">
        <f aca="false">MATCH($B550&amp;"|"&amp;$C550,Profils!$A$5:$A$34,0)</f>
        <v>18</v>
      </c>
      <c r="AF550" s="23" t="n">
        <v>6</v>
      </c>
      <c r="AG550" s="24" t="n">
        <f aca="false" t="array" ref="AG550:AG550">INDEX(Paramètres!$C$6:$C$12,$AF550)</f>
        <v>2.4</v>
      </c>
      <c r="AH550" s="23" t="n">
        <f aca="false" t="array" ref="AH550:AH550">INDEX(Paramètres!$D$6:$D$12,$AF550)</f>
        <v>7</v>
      </c>
      <c r="AI550" s="23" t="n">
        <f aca="false" t="array" ref="AI550:AI550">INDEX(Matériaux!$C$16:$C$20,$D550)</f>
        <v>25</v>
      </c>
      <c r="AJ550" s="25" t="n">
        <f aca="false">Paramètres!$B$16+(1-Paramètres!$B$16)*(($J550-Paramètres!$B$14)/(Paramètres!$B$15-Paramètres!$B$14))^Paramètres!$B$17</f>
        <v>0.26769024555533</v>
      </c>
    </row>
    <row r="551" customFormat="false" ht="15.75" hidden="false" customHeight="true" outlineLevel="0" collapsed="false">
      <c r="A551" s="14" t="s">
        <v>667</v>
      </c>
      <c r="B551" s="15" t="s">
        <v>29</v>
      </c>
      <c r="C551" s="15" t="s">
        <v>337</v>
      </c>
      <c r="D551" s="16" t="n">
        <v>4</v>
      </c>
      <c r="E551" s="15" t="str">
        <f aca="false" t="array" ref="E551:E551">INDEX(Matériaux!$B$5:$F$12,MATCH(INDEX(Profils!$E$5:$E$34,$AE551),Matériaux!$A$5:$A$12,0),$D551)</f>
        <v>velours enchanté</v>
      </c>
      <c r="F551" s="17" t="s">
        <v>108</v>
      </c>
      <c r="G551" s="10" t="str">
        <f aca="false" t="array" ref="G551:G551">INDEX(Profils!$D$5:$D$34,$AE551)&amp;" en "&amp;$E551</f>
        <v>Ceinture en velours enchanté</v>
      </c>
      <c r="H551" s="16" t="n">
        <f aca="false" t="array" ref="H551:H551">INDEX(Matériaux!$B$16:$B$20,$D551)</f>
        <v>50</v>
      </c>
      <c r="I551" s="16" t="n">
        <f aca="false">IF(ISNUMBER($C$3),MIN(MAX(0,ROUND($C$3,0)),$AI551),$AI551)</f>
        <v>0</v>
      </c>
      <c r="J551" s="18" t="n">
        <f aca="false">$H551+$I551</f>
        <v>50</v>
      </c>
      <c r="K551" s="15" t="s">
        <v>109</v>
      </c>
      <c r="L551" s="19" t="n">
        <f aca="false" t="array" ref="L551:L551">IF(AND(INDEX(Profils!$F$5:$F$34,$AE551)&gt;0,INDEX(Profils!$U$5:$U$34,$AE551)&lt;=$AH551),ROUND(INDEX(Profils!$F$5:$F$34,$AE551)*Paramètres!$E$22*$AG551*$AJ551,Paramètres!$F$22),0)</f>
        <v>10</v>
      </c>
      <c r="M551" s="19" t="n">
        <f aca="false" t="array" ref="M551:M551">IF(AND(INDEX(Profils!$G$5:$G$34,$AE551)&gt;0,INDEX(Profils!$V$5:$V$34,$AE551)&lt;=$AH551),ROUND(INDEX(Profils!$G$5:$G$34,$AE551)*Paramètres!$E$23*$AG551*$AJ551,Paramètres!$F$23),0)</f>
        <v>0</v>
      </c>
      <c r="N551" s="19" t="n">
        <f aca="false" t="array" ref="N551:N551">IF(AND(INDEX(Profils!$H$5:$H$34,$AE551)&gt;0,INDEX(Profils!$W$5:$W$34,$AE551)&lt;=$AH551),ROUND(INDEX(Profils!$H$5:$H$34,$AE551)*Paramètres!$E$24*$AG551*$AJ551,Paramètres!$F$24),0)</f>
        <v>0</v>
      </c>
      <c r="O551" s="19" t="n">
        <f aca="false" t="array" ref="O551:O551">IF(AND(INDEX(Profils!$I$5:$I$34,$AE551)&gt;0,INDEX(Profils!$X$5:$X$34,$AE551)&lt;=$AH551),ROUND(INDEX(Profils!$I$5:$I$34,$AE551)*Paramètres!$E$25*$AG551*$AJ551,Paramètres!$F$25),0)</f>
        <v>6</v>
      </c>
      <c r="P551" s="19" t="n">
        <f aca="false" t="array" ref="P551:P551">IF(AND(INDEX(Profils!$J$5:$J$34,$AE551)&gt;0,INDEX(Profils!$Y$5:$Y$34,$AE551)&lt;=$AH551),ROUND(INDEX(Profils!$J$5:$J$34,$AE551)*Paramètres!$E$26*$AG551*$AJ551,Paramètres!$F$26),0)</f>
        <v>0</v>
      </c>
      <c r="Q551" s="19" t="n">
        <f aca="false" t="array" ref="Q551:Q551">IF(AND(INDEX(Profils!$K$5:$K$34,$AE551)&gt;0,INDEX(Profils!$Z$5:$Z$34,$AE551)&lt;=$AH551),ROUND(INDEX(Profils!$K$5:$K$34,$AE551)*Paramètres!$E$27*$AG551*$AJ551,Paramètres!$F$27),0)</f>
        <v>0</v>
      </c>
      <c r="R551" s="20" t="n">
        <f aca="false" t="array" ref="R551:R551">IF(AND(INDEX(Profils!$L$5:$L$34,$AE551)&gt;0,INDEX(Profils!$AA$5:$AA$34,$AE551)&lt;=$AH551),ROUND(INDEX(Profils!$L$5:$L$34,$AE551)*Paramètres!$E$28*$AG551*$AJ551,Paramètres!$F$28),0)</f>
        <v>0</v>
      </c>
      <c r="S551" s="20" t="n">
        <f aca="false" t="array" ref="S551:S551">IF(AND(INDEX(Profils!$M$5:$M$34,$AE551)&gt;0,INDEX(Profils!$AB$5:$AB$34,$AE551)&lt;=$AH551),ROUND(INDEX(Profils!$M$5:$M$34,$AE551)*Paramètres!$E$29*$AG551*$AJ551,Paramètres!$F$29),0)</f>
        <v>0</v>
      </c>
      <c r="T551" s="20" t="n">
        <f aca="false" t="array" ref="T551:T551">IF(AND(INDEX(Profils!$N$5:$N$34,$AE551)&gt;0,INDEX(Profils!$AC$5:$AC$34,$AE551)&lt;=$AH551),ROUND(INDEX(Profils!$N$5:$N$34,$AE551)*Paramètres!$E$30*$AG551*$AJ551,Paramètres!$F$30),0)</f>
        <v>0</v>
      </c>
      <c r="U551" s="19" t="n">
        <f aca="false" t="array" ref="U551:U551">IF(AND(INDEX(Profils!$O$5:$O$34,$AE551)&gt;0,INDEX(Profils!$AD$5:$AD$34,$AE551)&lt;=$AH551),ROUND(INDEX(Profils!$O$5:$O$34,$AE551)*Paramètres!$E$31*$AG551*$AJ551,Paramètres!$F$31),0)</f>
        <v>0</v>
      </c>
      <c r="V551" s="20" t="n">
        <f aca="false" t="array" ref="V551:V551">IF(AND(INDEX(Profils!$P$5:$P$34,$AE551)&gt;0,INDEX(Profils!$AE$5:$AE$34,$AE551)&lt;=$AH551),ROUND(INDEX(Profils!$P$5:$P$34,$AE551)*Paramètres!$E$32*$AG551*$AJ551,Paramètres!$F$32),0)</f>
        <v>0</v>
      </c>
      <c r="W551" s="20" t="n">
        <f aca="false" t="array" ref="W551:W551">IF(AND(INDEX(Profils!$Q$5:$Q$34,$AE551)&gt;0,INDEX(Profils!$AF$5:$AF$34,$AE551)&lt;=$AH551),ROUND(INDEX(Profils!$Q$5:$Q$34,$AE551)*Paramètres!$E$33*$AG551*$AJ551,Paramètres!$F$33),0)</f>
        <v>0</v>
      </c>
      <c r="X551" s="20" t="n">
        <f aca="false" t="array" ref="X551:X551">IF(AND(INDEX(Profils!$R$5:$R$34,$AE551)&gt;0,INDEX(Profils!$AG$5:$AG$34,$AE551)&lt;=$AH551),ROUND(INDEX(Profils!$R$5:$R$34,$AE551)*Paramètres!$E$34*$AG551*$AJ551,Paramètres!$F$34),0)</f>
        <v>0</v>
      </c>
      <c r="Y551" s="20" t="n">
        <f aca="false" t="array" ref="Y551:Y551">IF(AND(INDEX(Profils!$S$5:$S$34,$AE551)&gt;0,INDEX(Profils!$AH$5:$AH$34,$AE551)&lt;=$AH551),ROUND(INDEX(Profils!$S$5:$S$34,$AE551)*Paramètres!$E$35*$AG551*$AJ551,Paramètres!$F$35),0)</f>
        <v>0</v>
      </c>
      <c r="Z551" s="21" t="n">
        <f aca="false">ROUND(L551/Paramètres!$E$22+M551/Paramètres!$E$23+N551/Paramètres!$E$24+O551/Paramètres!$E$25+P551/Paramètres!$E$26+Q551/Paramètres!$E$27+R551/Paramètres!$E$28+S551/Paramètres!$E$29+T551/Paramètres!$E$30+U551/Paramètres!$E$31+V551/Paramètres!$E$32+W551/Paramètres!$E$33+X551/Paramètres!$E$34+Y551/Paramètres!$E$35,1)</f>
        <v>0.8</v>
      </c>
      <c r="AA551" s="22" t="s">
        <v>109</v>
      </c>
      <c r="AB551" s="22" t="s">
        <v>109</v>
      </c>
      <c r="AC551" s="15" t="str">
        <f aca="false">$E551</f>
        <v>velours enchanté</v>
      </c>
      <c r="AD551" s="16" t="n">
        <f aca="false" t="array" ref="AD551:AD551">IF($I551&gt;=$AI551,"Max",ROUND(Paramètres!$B$40*($I551+1)^Paramètres!$B$41*INDEX(Paramètres!$H$6:$H$12,$AF551),0))</f>
        <v>3</v>
      </c>
      <c r="AE551" s="23" t="n">
        <f aca="false">MATCH($B551&amp;"|"&amp;$C551,Profils!$A$5:$A$34,0)</f>
        <v>18</v>
      </c>
      <c r="AF551" s="23" t="n">
        <v>1</v>
      </c>
      <c r="AG551" s="24" t="n">
        <f aca="false" t="array" ref="AG551:AG551">INDEX(Paramètres!$C$6:$C$12,$AF551)</f>
        <v>1</v>
      </c>
      <c r="AH551" s="23" t="n">
        <f aca="false" t="array" ref="AH551:AH551">INDEX(Paramètres!$D$6:$D$12,$AF551)</f>
        <v>2</v>
      </c>
      <c r="AI551" s="23" t="n">
        <f aca="false" t="array" ref="AI551:AI551">INDEX(Matériaux!$C$16:$C$20,$D551)</f>
        <v>25</v>
      </c>
      <c r="AJ551" s="25" t="n">
        <f aca="false">Paramètres!$B$16+(1-Paramètres!$B$16)*(($J551-Paramètres!$B$14)/(Paramètres!$B$15-Paramètres!$B$14))^Paramètres!$B$17</f>
        <v>0.458504333336152</v>
      </c>
    </row>
    <row r="552" customFormat="false" ht="15.75" hidden="false" customHeight="true" outlineLevel="0" collapsed="false">
      <c r="A552" s="14" t="s">
        <v>668</v>
      </c>
      <c r="B552" s="15" t="s">
        <v>29</v>
      </c>
      <c r="C552" s="15" t="s">
        <v>337</v>
      </c>
      <c r="D552" s="16" t="n">
        <v>4</v>
      </c>
      <c r="E552" s="15" t="str">
        <f aca="false" t="array" ref="E552:E552">INDEX(Matériaux!$B$5:$F$12,MATCH(INDEX(Profils!$E$5:$E$34,$AE552),Matériaux!$A$5:$A$12,0),$D552)</f>
        <v>velours enchanté</v>
      </c>
      <c r="F552" s="26" t="s">
        <v>111</v>
      </c>
      <c r="G552" s="10" t="str">
        <f aca="false" t="array" ref="G552:G552">INDEX(Profils!$D$5:$D$34,$AE552)&amp;" en "&amp;$E552</f>
        <v>Ceinture en velours enchanté</v>
      </c>
      <c r="H552" s="16" t="n">
        <f aca="false" t="array" ref="H552:H552">INDEX(Matériaux!$B$16:$B$20,$D552)</f>
        <v>50</v>
      </c>
      <c r="I552" s="16" t="n">
        <f aca="false">IF(ISNUMBER($C$3),MIN(MAX(0,ROUND($C$3,0)),$AI552),$AI552)</f>
        <v>0</v>
      </c>
      <c r="J552" s="18" t="n">
        <f aca="false">$H552+$I552</f>
        <v>50</v>
      </c>
      <c r="K552" s="15" t="s">
        <v>109</v>
      </c>
      <c r="L552" s="19" t="n">
        <f aca="false" t="array" ref="L552:L552">IF(AND(INDEX(Profils!$F$5:$F$34,$AE552)&gt;0,INDEX(Profils!$U$5:$U$34,$AE552)&lt;=$AH552),ROUND(INDEX(Profils!$F$5:$F$34,$AE552)*Paramètres!$E$22*$AG552*$AJ552,Paramètres!$F$22),0)</f>
        <v>12</v>
      </c>
      <c r="M552" s="19" t="n">
        <f aca="false" t="array" ref="M552:M552">IF(AND(INDEX(Profils!$G$5:$G$34,$AE552)&gt;0,INDEX(Profils!$V$5:$V$34,$AE552)&lt;=$AH552),ROUND(INDEX(Profils!$G$5:$G$34,$AE552)*Paramètres!$E$23*$AG552*$AJ552,Paramètres!$F$23),0)</f>
        <v>0</v>
      </c>
      <c r="N552" s="19" t="n">
        <f aca="false" t="array" ref="N552:N552">IF(AND(INDEX(Profils!$H$5:$H$34,$AE552)&gt;0,INDEX(Profils!$W$5:$W$34,$AE552)&lt;=$AH552),ROUND(INDEX(Profils!$H$5:$H$34,$AE552)*Paramètres!$E$24*$AG552*$AJ552,Paramètres!$F$24),0)</f>
        <v>0</v>
      </c>
      <c r="O552" s="19" t="n">
        <f aca="false" t="array" ref="O552:O552">IF(AND(INDEX(Profils!$I$5:$I$34,$AE552)&gt;0,INDEX(Profils!$X$5:$X$34,$AE552)&lt;=$AH552),ROUND(INDEX(Profils!$I$5:$I$34,$AE552)*Paramètres!$E$25*$AG552*$AJ552,Paramètres!$F$25),0)</f>
        <v>7</v>
      </c>
      <c r="P552" s="19" t="n">
        <f aca="false" t="array" ref="P552:P552">IF(AND(INDEX(Profils!$J$5:$J$34,$AE552)&gt;0,INDEX(Profils!$Y$5:$Y$34,$AE552)&lt;=$AH552),ROUND(INDEX(Profils!$J$5:$J$34,$AE552)*Paramètres!$E$26*$AG552*$AJ552,Paramètres!$F$26),0)</f>
        <v>0</v>
      </c>
      <c r="Q552" s="19" t="n">
        <f aca="false" t="array" ref="Q552:Q552">IF(AND(INDEX(Profils!$K$5:$K$34,$AE552)&gt;0,INDEX(Profils!$Z$5:$Z$34,$AE552)&lt;=$AH552),ROUND(INDEX(Profils!$K$5:$K$34,$AE552)*Paramètres!$E$27*$AG552*$AJ552,Paramètres!$F$27),0)</f>
        <v>0</v>
      </c>
      <c r="R552" s="20" t="n">
        <f aca="false" t="array" ref="R552:R552">IF(AND(INDEX(Profils!$L$5:$L$34,$AE552)&gt;0,INDEX(Profils!$AA$5:$AA$34,$AE552)&lt;=$AH552),ROUND(INDEX(Profils!$L$5:$L$34,$AE552)*Paramètres!$E$28*$AG552*$AJ552,Paramètres!$F$28),0)</f>
        <v>0</v>
      </c>
      <c r="S552" s="20" t="n">
        <f aca="false" t="array" ref="S552:S552">IF(AND(INDEX(Profils!$M$5:$M$34,$AE552)&gt;0,INDEX(Profils!$AB$5:$AB$34,$AE552)&lt;=$AH552),ROUND(INDEX(Profils!$M$5:$M$34,$AE552)*Paramètres!$E$29*$AG552*$AJ552,Paramètres!$F$29),0)</f>
        <v>0</v>
      </c>
      <c r="T552" s="20" t="n">
        <f aca="false" t="array" ref="T552:T552">IF(AND(INDEX(Profils!$N$5:$N$34,$AE552)&gt;0,INDEX(Profils!$AC$5:$AC$34,$AE552)&lt;=$AH552),ROUND(INDEX(Profils!$N$5:$N$34,$AE552)*Paramètres!$E$30*$AG552*$AJ552,Paramètres!$F$30),0)</f>
        <v>0</v>
      </c>
      <c r="U552" s="19" t="n">
        <f aca="false" t="array" ref="U552:U552">IF(AND(INDEX(Profils!$O$5:$O$34,$AE552)&gt;0,INDEX(Profils!$AD$5:$AD$34,$AE552)&lt;=$AH552),ROUND(INDEX(Profils!$O$5:$O$34,$AE552)*Paramètres!$E$31*$AG552*$AJ552,Paramètres!$F$31),0)</f>
        <v>0</v>
      </c>
      <c r="V552" s="20" t="n">
        <f aca="false" t="array" ref="V552:V552">IF(AND(INDEX(Profils!$P$5:$P$34,$AE552)&gt;0,INDEX(Profils!$AE$5:$AE$34,$AE552)&lt;=$AH552),ROUND(INDEX(Profils!$P$5:$P$34,$AE552)*Paramètres!$E$32*$AG552*$AJ552,Paramètres!$F$32),0)</f>
        <v>0</v>
      </c>
      <c r="W552" s="20" t="n">
        <f aca="false" t="array" ref="W552:W552">IF(AND(INDEX(Profils!$Q$5:$Q$34,$AE552)&gt;0,INDEX(Profils!$AF$5:$AF$34,$AE552)&lt;=$AH552),ROUND(INDEX(Profils!$Q$5:$Q$34,$AE552)*Paramètres!$E$33*$AG552*$AJ552,Paramètres!$F$33),0)</f>
        <v>0</v>
      </c>
      <c r="X552" s="20" t="n">
        <f aca="false" t="array" ref="X552:X552">IF(AND(INDEX(Profils!$R$5:$R$34,$AE552)&gt;0,INDEX(Profils!$AG$5:$AG$34,$AE552)&lt;=$AH552),ROUND(INDEX(Profils!$R$5:$R$34,$AE552)*Paramètres!$E$34*$AG552*$AJ552,Paramètres!$F$34),0)</f>
        <v>0.009</v>
      </c>
      <c r="Y552" s="20" t="n">
        <f aca="false" t="array" ref="Y552:Y552">IF(AND(INDEX(Profils!$S$5:$S$34,$AE552)&gt;0,INDEX(Profils!$AH$5:$AH$34,$AE552)&lt;=$AH552),ROUND(INDEX(Profils!$S$5:$S$34,$AE552)*Paramètres!$E$35*$AG552*$AJ552,Paramètres!$F$35),0)</f>
        <v>0</v>
      </c>
      <c r="Z552" s="21" t="n">
        <f aca="false">ROUND(L552/Paramètres!$E$22+M552/Paramètres!$E$23+N552/Paramètres!$E$24+O552/Paramètres!$E$25+P552/Paramètres!$E$26+Q552/Paramètres!$E$27+R552/Paramètres!$E$28+S552/Paramètres!$E$29+T552/Paramètres!$E$30+U552/Paramètres!$E$31+V552/Paramètres!$E$32+W552/Paramètres!$E$33+X552/Paramètres!$E$34+Y552/Paramètres!$E$35,1)</f>
        <v>1.4</v>
      </c>
      <c r="AA552" s="22" t="s">
        <v>109</v>
      </c>
      <c r="AB552" s="22" t="s">
        <v>109</v>
      </c>
      <c r="AC552" s="15" t="str">
        <f aca="false">$E552</f>
        <v>velours enchanté</v>
      </c>
      <c r="AD552" s="16" t="n">
        <f aca="false" t="array" ref="AD552:AD552">IF($I552&gt;=$AI552,"Max",ROUND(Paramètres!$B$40*($I552+1)^Paramètres!$B$41*INDEX(Paramètres!$H$6:$H$12,$AF552),0))</f>
        <v>4</v>
      </c>
      <c r="AE552" s="23" t="n">
        <f aca="false">MATCH($B552&amp;"|"&amp;$C552,Profils!$A$5:$A$34,0)</f>
        <v>18</v>
      </c>
      <c r="AF552" s="23" t="n">
        <v>2</v>
      </c>
      <c r="AG552" s="24" t="n">
        <f aca="false" t="array" ref="AG552:AG552">INDEX(Paramètres!$C$6:$C$12,$AF552)</f>
        <v>1.2</v>
      </c>
      <c r="AH552" s="23" t="n">
        <f aca="false" t="array" ref="AH552:AH552">INDEX(Paramètres!$D$6:$D$12,$AF552)</f>
        <v>3</v>
      </c>
      <c r="AI552" s="23" t="n">
        <f aca="false" t="array" ref="AI552:AI552">INDEX(Matériaux!$C$16:$C$20,$D552)</f>
        <v>25</v>
      </c>
      <c r="AJ552" s="25" t="n">
        <f aca="false">Paramètres!$B$16+(1-Paramètres!$B$16)*(($J552-Paramètres!$B$14)/(Paramètres!$B$15-Paramètres!$B$14))^Paramètres!$B$17</f>
        <v>0.458504333336152</v>
      </c>
    </row>
    <row r="553" customFormat="false" ht="15.75" hidden="false" customHeight="true" outlineLevel="0" collapsed="false">
      <c r="A553" s="14" t="s">
        <v>669</v>
      </c>
      <c r="B553" s="15" t="s">
        <v>29</v>
      </c>
      <c r="C553" s="15" t="s">
        <v>337</v>
      </c>
      <c r="D553" s="16" t="n">
        <v>4</v>
      </c>
      <c r="E553" s="15" t="str">
        <f aca="false" t="array" ref="E553:E553">INDEX(Matériaux!$B$5:$F$12,MATCH(INDEX(Profils!$E$5:$E$34,$AE553),Matériaux!$A$5:$A$12,0),$D553)</f>
        <v>velours enchanté</v>
      </c>
      <c r="F553" s="27" t="s">
        <v>113</v>
      </c>
      <c r="G553" s="10" t="str">
        <f aca="false" t="array" ref="G553:G553">INDEX(Profils!$D$5:$D$34,$AE553)&amp;" en "&amp;$E553</f>
        <v>Ceinture en velours enchanté</v>
      </c>
      <c r="H553" s="16" t="n">
        <f aca="false" t="array" ref="H553:H553">INDEX(Matériaux!$B$16:$B$20,$D553)</f>
        <v>50</v>
      </c>
      <c r="I553" s="16" t="n">
        <f aca="false">IF(ISNUMBER($C$3),MIN(MAX(0,ROUND($C$3,0)),$AI553),$AI553)</f>
        <v>0</v>
      </c>
      <c r="J553" s="18" t="n">
        <f aca="false">$H553+$I553</f>
        <v>50</v>
      </c>
      <c r="K553" s="15" t="s">
        <v>109</v>
      </c>
      <c r="L553" s="19" t="n">
        <f aca="false" t="array" ref="L553:L553">IF(AND(INDEX(Profils!$F$5:$F$34,$AE553)&gt;0,INDEX(Profils!$U$5:$U$34,$AE553)&lt;=$AH553),ROUND(INDEX(Profils!$F$5:$F$34,$AE553)*Paramètres!$E$22*$AG553*$AJ553,Paramètres!$F$22),0)</f>
        <v>15</v>
      </c>
      <c r="M553" s="19" t="n">
        <f aca="false" t="array" ref="M553:M553">IF(AND(INDEX(Profils!$G$5:$G$34,$AE553)&gt;0,INDEX(Profils!$V$5:$V$34,$AE553)&lt;=$AH553),ROUND(INDEX(Profils!$G$5:$G$34,$AE553)*Paramètres!$E$23*$AG553*$AJ553,Paramètres!$F$23),0)</f>
        <v>0</v>
      </c>
      <c r="N553" s="19" t="n">
        <f aca="false" t="array" ref="N553:N553">IF(AND(INDEX(Profils!$H$5:$H$34,$AE553)&gt;0,INDEX(Profils!$W$5:$W$34,$AE553)&lt;=$AH553),ROUND(INDEX(Profils!$H$5:$H$34,$AE553)*Paramètres!$E$24*$AG553*$AJ553,Paramètres!$F$24),0)</f>
        <v>0</v>
      </c>
      <c r="O553" s="19" t="n">
        <f aca="false" t="array" ref="O553:O553">IF(AND(INDEX(Profils!$I$5:$I$34,$AE553)&gt;0,INDEX(Profils!$X$5:$X$34,$AE553)&lt;=$AH553),ROUND(INDEX(Profils!$I$5:$I$34,$AE553)*Paramètres!$E$25*$AG553*$AJ553,Paramètres!$F$25),0)</f>
        <v>8</v>
      </c>
      <c r="P553" s="19" t="n">
        <f aca="false" t="array" ref="P553:P553">IF(AND(INDEX(Profils!$J$5:$J$34,$AE553)&gt;0,INDEX(Profils!$Y$5:$Y$34,$AE553)&lt;=$AH553),ROUND(INDEX(Profils!$J$5:$J$34,$AE553)*Paramètres!$E$26*$AG553*$AJ553,Paramètres!$F$26),0)</f>
        <v>0</v>
      </c>
      <c r="Q553" s="19" t="n">
        <f aca="false" t="array" ref="Q553:Q553">IF(AND(INDEX(Profils!$K$5:$K$34,$AE553)&gt;0,INDEX(Profils!$Z$5:$Z$34,$AE553)&lt;=$AH553),ROUND(INDEX(Profils!$K$5:$K$34,$AE553)*Paramètres!$E$27*$AG553*$AJ553,Paramètres!$F$27),0)</f>
        <v>0</v>
      </c>
      <c r="R553" s="20" t="n">
        <f aca="false" t="array" ref="R553:R553">IF(AND(INDEX(Profils!$L$5:$L$34,$AE553)&gt;0,INDEX(Profils!$AA$5:$AA$34,$AE553)&lt;=$AH553),ROUND(INDEX(Profils!$L$5:$L$34,$AE553)*Paramètres!$E$28*$AG553*$AJ553,Paramètres!$F$28),0)</f>
        <v>0</v>
      </c>
      <c r="S553" s="20" t="n">
        <f aca="false" t="array" ref="S553:S553">IF(AND(INDEX(Profils!$M$5:$M$34,$AE553)&gt;0,INDEX(Profils!$AB$5:$AB$34,$AE553)&lt;=$AH553),ROUND(INDEX(Profils!$M$5:$M$34,$AE553)*Paramètres!$E$29*$AG553*$AJ553,Paramètres!$F$29),0)</f>
        <v>0</v>
      </c>
      <c r="T553" s="20" t="n">
        <f aca="false" t="array" ref="T553:T553">IF(AND(INDEX(Profils!$N$5:$N$34,$AE553)&gt;0,INDEX(Profils!$AC$5:$AC$34,$AE553)&lt;=$AH553),ROUND(INDEX(Profils!$N$5:$N$34,$AE553)*Paramètres!$E$30*$AG553*$AJ553,Paramètres!$F$30),0)</f>
        <v>0</v>
      </c>
      <c r="U553" s="19" t="n">
        <f aca="false" t="array" ref="U553:U553">IF(AND(INDEX(Profils!$O$5:$O$34,$AE553)&gt;0,INDEX(Profils!$AD$5:$AD$34,$AE553)&lt;=$AH553),ROUND(INDEX(Profils!$O$5:$O$34,$AE553)*Paramètres!$E$31*$AG553*$AJ553,Paramètres!$F$31),0)</f>
        <v>0</v>
      </c>
      <c r="V553" s="20" t="n">
        <f aca="false" t="array" ref="V553:V553">IF(AND(INDEX(Profils!$P$5:$P$34,$AE553)&gt;0,INDEX(Profils!$AE$5:$AE$34,$AE553)&lt;=$AH553),ROUND(INDEX(Profils!$P$5:$P$34,$AE553)*Paramètres!$E$32*$AG553*$AJ553,Paramètres!$F$32),0)</f>
        <v>0.007</v>
      </c>
      <c r="W553" s="20" t="n">
        <f aca="false" t="array" ref="W553:W553">IF(AND(INDEX(Profils!$Q$5:$Q$34,$AE553)&gt;0,INDEX(Profils!$AF$5:$AF$34,$AE553)&lt;=$AH553),ROUND(INDEX(Profils!$Q$5:$Q$34,$AE553)*Paramètres!$E$33*$AG553*$AJ553,Paramètres!$F$33),0)</f>
        <v>0</v>
      </c>
      <c r="X553" s="20" t="n">
        <f aca="false" t="array" ref="X553:X553">IF(AND(INDEX(Profils!$R$5:$R$34,$AE553)&gt;0,INDEX(Profils!$AG$5:$AG$34,$AE553)&lt;=$AH553),ROUND(INDEX(Profils!$R$5:$R$34,$AE553)*Paramètres!$E$34*$AG553*$AJ553,Paramètres!$F$34),0)</f>
        <v>0.011</v>
      </c>
      <c r="Y553" s="20" t="n">
        <f aca="false" t="array" ref="Y553:Y553">IF(AND(INDEX(Profils!$S$5:$S$34,$AE553)&gt;0,INDEX(Profils!$AH$5:$AH$34,$AE553)&lt;=$AH553),ROUND(INDEX(Profils!$S$5:$S$34,$AE553)*Paramètres!$E$35*$AG553*$AJ553,Paramètres!$F$35),0)</f>
        <v>0</v>
      </c>
      <c r="Z553" s="21" t="n">
        <f aca="false">ROUND(L553/Paramètres!$E$22+M553/Paramètres!$E$23+N553/Paramètres!$E$24+O553/Paramètres!$E$25+P553/Paramètres!$E$26+Q553/Paramètres!$E$27+R553/Paramètres!$E$28+S553/Paramètres!$E$29+T553/Paramètres!$E$30+U553/Paramètres!$E$31+V553/Paramètres!$E$32+W553/Paramètres!$E$33+X553/Paramètres!$E$34+Y553/Paramètres!$E$35,1)</f>
        <v>2.2</v>
      </c>
      <c r="AA553" s="22" t="s">
        <v>109</v>
      </c>
      <c r="AB553" s="22" t="s">
        <v>109</v>
      </c>
      <c r="AC553" s="15" t="str">
        <f aca="false">$E553</f>
        <v>velours enchanté</v>
      </c>
      <c r="AD553" s="16" t="n">
        <f aca="false" t="array" ref="AD553:AD553">IF($I553&gt;=$AI553,"Max",ROUND(Paramètres!$B$40*($I553+1)^Paramètres!$B$41*INDEX(Paramètres!$H$6:$H$12,$AF553),0))</f>
        <v>4</v>
      </c>
      <c r="AE553" s="23" t="n">
        <f aca="false">MATCH($B553&amp;"|"&amp;$C553,Profils!$A$5:$A$34,0)</f>
        <v>18</v>
      </c>
      <c r="AF553" s="23" t="n">
        <v>3</v>
      </c>
      <c r="AG553" s="24" t="n">
        <f aca="false" t="array" ref="AG553:AG553">INDEX(Paramètres!$C$6:$C$12,$AF553)</f>
        <v>1.45</v>
      </c>
      <c r="AH553" s="23" t="n">
        <f aca="false" t="array" ref="AH553:AH553">INDEX(Paramètres!$D$6:$D$12,$AF553)</f>
        <v>4</v>
      </c>
      <c r="AI553" s="23" t="n">
        <f aca="false" t="array" ref="AI553:AI553">INDEX(Matériaux!$C$16:$C$20,$D553)</f>
        <v>25</v>
      </c>
      <c r="AJ553" s="25" t="n">
        <f aca="false">Paramètres!$B$16+(1-Paramètres!$B$16)*(($J553-Paramètres!$B$14)/(Paramètres!$B$15-Paramètres!$B$14))^Paramètres!$B$17</f>
        <v>0.458504333336152</v>
      </c>
    </row>
    <row r="554" customFormat="false" ht="15.75" hidden="false" customHeight="true" outlineLevel="0" collapsed="false">
      <c r="A554" s="14" t="s">
        <v>670</v>
      </c>
      <c r="B554" s="15" t="s">
        <v>29</v>
      </c>
      <c r="C554" s="15" t="s">
        <v>337</v>
      </c>
      <c r="D554" s="16" t="n">
        <v>4</v>
      </c>
      <c r="E554" s="15" t="str">
        <f aca="false" t="array" ref="E554:E554">INDEX(Matériaux!$B$5:$F$12,MATCH(INDEX(Profils!$E$5:$E$34,$AE554),Matériaux!$A$5:$A$12,0),$D554)</f>
        <v>velours enchanté</v>
      </c>
      <c r="F554" s="28" t="s">
        <v>115</v>
      </c>
      <c r="G554" s="10" t="str">
        <f aca="false" t="array" ref="G554:G554">INDEX(Profils!$D$5:$D$34,$AE554)&amp;" en "&amp;$E554</f>
        <v>Ceinture en velours enchanté</v>
      </c>
      <c r="H554" s="16" t="n">
        <f aca="false" t="array" ref="H554:H554">INDEX(Matériaux!$B$16:$B$20,$D554)</f>
        <v>50</v>
      </c>
      <c r="I554" s="16" t="n">
        <f aca="false">IF(ISNUMBER($C$3),MIN(MAX(0,ROUND($C$3,0)),$AI554),$AI554)</f>
        <v>0</v>
      </c>
      <c r="J554" s="18" t="n">
        <f aca="false">$H554+$I554</f>
        <v>50</v>
      </c>
      <c r="K554" s="15" t="s">
        <v>109</v>
      </c>
      <c r="L554" s="19" t="n">
        <f aca="false" t="array" ref="L554:L554">IF(AND(INDEX(Profils!$F$5:$F$34,$AE554)&gt;0,INDEX(Profils!$U$5:$U$34,$AE554)&lt;=$AH554),ROUND(INDEX(Profils!$F$5:$F$34,$AE554)*Paramètres!$E$22*$AG554*$AJ554,Paramètres!$F$22),0)</f>
        <v>18</v>
      </c>
      <c r="M554" s="19" t="n">
        <f aca="false" t="array" ref="M554:M554">IF(AND(INDEX(Profils!$G$5:$G$34,$AE554)&gt;0,INDEX(Profils!$V$5:$V$34,$AE554)&lt;=$AH554),ROUND(INDEX(Profils!$G$5:$G$34,$AE554)*Paramètres!$E$23*$AG554*$AJ554,Paramètres!$F$23),0)</f>
        <v>0</v>
      </c>
      <c r="N554" s="19" t="n">
        <f aca="false" t="array" ref="N554:N554">IF(AND(INDEX(Profils!$H$5:$H$34,$AE554)&gt;0,INDEX(Profils!$W$5:$W$34,$AE554)&lt;=$AH554),ROUND(INDEX(Profils!$H$5:$H$34,$AE554)*Paramètres!$E$24*$AG554*$AJ554,Paramètres!$F$24),0)</f>
        <v>0</v>
      </c>
      <c r="O554" s="19" t="n">
        <f aca="false" t="array" ref="O554:O554">IF(AND(INDEX(Profils!$I$5:$I$34,$AE554)&gt;0,INDEX(Profils!$X$5:$X$34,$AE554)&lt;=$AH554),ROUND(INDEX(Profils!$I$5:$I$34,$AE554)*Paramètres!$E$25*$AG554*$AJ554,Paramètres!$F$25),0)</f>
        <v>10</v>
      </c>
      <c r="P554" s="19" t="n">
        <f aca="false" t="array" ref="P554:P554">IF(AND(INDEX(Profils!$J$5:$J$34,$AE554)&gt;0,INDEX(Profils!$Y$5:$Y$34,$AE554)&lt;=$AH554),ROUND(INDEX(Profils!$J$5:$J$34,$AE554)*Paramètres!$E$26*$AG554*$AJ554,Paramètres!$F$26),0)</f>
        <v>0</v>
      </c>
      <c r="Q554" s="19" t="n">
        <f aca="false" t="array" ref="Q554:Q554">IF(AND(INDEX(Profils!$K$5:$K$34,$AE554)&gt;0,INDEX(Profils!$Z$5:$Z$34,$AE554)&lt;=$AH554),ROUND(INDEX(Profils!$K$5:$K$34,$AE554)*Paramètres!$E$27*$AG554*$AJ554,Paramètres!$F$27),0)</f>
        <v>0</v>
      </c>
      <c r="R554" s="20" t="n">
        <f aca="false" t="array" ref="R554:R554">IF(AND(INDEX(Profils!$L$5:$L$34,$AE554)&gt;0,INDEX(Profils!$AA$5:$AA$34,$AE554)&lt;=$AH554),ROUND(INDEX(Profils!$L$5:$L$34,$AE554)*Paramètres!$E$28*$AG554*$AJ554,Paramètres!$F$28),0)</f>
        <v>0</v>
      </c>
      <c r="S554" s="20" t="n">
        <f aca="false" t="array" ref="S554:S554">IF(AND(INDEX(Profils!$M$5:$M$34,$AE554)&gt;0,INDEX(Profils!$AB$5:$AB$34,$AE554)&lt;=$AH554),ROUND(INDEX(Profils!$M$5:$M$34,$AE554)*Paramètres!$E$29*$AG554*$AJ554,Paramètres!$F$29),0)</f>
        <v>0</v>
      </c>
      <c r="T554" s="20" t="n">
        <f aca="false" t="array" ref="T554:T554">IF(AND(INDEX(Profils!$N$5:$N$34,$AE554)&gt;0,INDEX(Profils!$AC$5:$AC$34,$AE554)&lt;=$AH554),ROUND(INDEX(Profils!$N$5:$N$34,$AE554)*Paramètres!$E$30*$AG554*$AJ554,Paramètres!$F$30),0)</f>
        <v>0</v>
      </c>
      <c r="U554" s="19" t="n">
        <f aca="false" t="array" ref="U554:U554">IF(AND(INDEX(Profils!$O$5:$O$34,$AE554)&gt;0,INDEX(Profils!$AD$5:$AD$34,$AE554)&lt;=$AH554),ROUND(INDEX(Profils!$O$5:$O$34,$AE554)*Paramètres!$E$31*$AG554*$AJ554,Paramètres!$F$31),0)</f>
        <v>0</v>
      </c>
      <c r="V554" s="20" t="n">
        <f aca="false" t="array" ref="V554:V554">IF(AND(INDEX(Profils!$P$5:$P$34,$AE554)&gt;0,INDEX(Profils!$AE$5:$AE$34,$AE554)&lt;=$AH554),ROUND(INDEX(Profils!$P$5:$P$34,$AE554)*Paramètres!$E$32*$AG554*$AJ554,Paramètres!$F$32),0)</f>
        <v>0.008</v>
      </c>
      <c r="W554" s="20" t="n">
        <f aca="false" t="array" ref="W554:W554">IF(AND(INDEX(Profils!$Q$5:$Q$34,$AE554)&gt;0,INDEX(Profils!$AF$5:$AF$34,$AE554)&lt;=$AH554),ROUND(INDEX(Profils!$Q$5:$Q$34,$AE554)*Paramètres!$E$33*$AG554*$AJ554,Paramètres!$F$33),0)</f>
        <v>0</v>
      </c>
      <c r="X554" s="20" t="n">
        <f aca="false" t="array" ref="X554:X554">IF(AND(INDEX(Profils!$R$5:$R$34,$AE554)&gt;0,INDEX(Profils!$AG$5:$AG$34,$AE554)&lt;=$AH554),ROUND(INDEX(Profils!$R$5:$R$34,$AE554)*Paramètres!$E$34*$AG554*$AJ554,Paramètres!$F$34),0)</f>
        <v>0.013</v>
      </c>
      <c r="Y554" s="20" t="n">
        <f aca="false" t="array" ref="Y554:Y554">IF(AND(INDEX(Profils!$S$5:$S$34,$AE554)&gt;0,INDEX(Profils!$AH$5:$AH$34,$AE554)&lt;=$AH554),ROUND(INDEX(Profils!$S$5:$S$34,$AE554)*Paramètres!$E$35*$AG554*$AJ554,Paramètres!$F$35),0)</f>
        <v>0.008</v>
      </c>
      <c r="Z554" s="21" t="n">
        <f aca="false">ROUND(L554/Paramètres!$E$22+M554/Paramètres!$E$23+N554/Paramètres!$E$24+O554/Paramètres!$E$25+P554/Paramètres!$E$26+Q554/Paramètres!$E$27+R554/Paramètres!$E$28+S554/Paramètres!$E$29+T554/Paramètres!$E$30+U554/Paramètres!$E$31+V554/Paramètres!$E$32+W554/Paramètres!$E$33+X554/Paramètres!$E$34+Y554/Paramètres!$E$35,1)</f>
        <v>3.1</v>
      </c>
      <c r="AA554" s="22" t="s">
        <v>109</v>
      </c>
      <c r="AB554" s="22" t="s">
        <v>109</v>
      </c>
      <c r="AC554" s="15" t="str">
        <f aca="false">$E554</f>
        <v>velours enchanté</v>
      </c>
      <c r="AD554" s="16" t="n">
        <f aca="false" t="array" ref="AD554:AD554">IF($I554&gt;=$AI554,"Max",ROUND(Paramètres!$B$40*($I554+1)^Paramètres!$B$41*INDEX(Paramètres!$H$6:$H$12,$AF554),0))</f>
        <v>5</v>
      </c>
      <c r="AE554" s="23" t="n">
        <f aca="false">MATCH($B554&amp;"|"&amp;$C554,Profils!$A$5:$A$34,0)</f>
        <v>18</v>
      </c>
      <c r="AF554" s="23" t="n">
        <v>4</v>
      </c>
      <c r="AG554" s="24" t="n">
        <f aca="false" t="array" ref="AG554:AG554">INDEX(Paramètres!$C$6:$C$12,$AF554)</f>
        <v>1.75</v>
      </c>
      <c r="AH554" s="23" t="n">
        <f aca="false" t="array" ref="AH554:AH554">INDEX(Paramètres!$D$6:$D$12,$AF554)</f>
        <v>5</v>
      </c>
      <c r="AI554" s="23" t="n">
        <f aca="false" t="array" ref="AI554:AI554">INDEX(Matériaux!$C$16:$C$20,$D554)</f>
        <v>25</v>
      </c>
      <c r="AJ554" s="25" t="n">
        <f aca="false">Paramètres!$B$16+(1-Paramètres!$B$16)*(($J554-Paramètres!$B$14)/(Paramètres!$B$15-Paramètres!$B$14))^Paramètres!$B$17</f>
        <v>0.458504333336152</v>
      </c>
    </row>
    <row r="555" customFormat="false" ht="15.75" hidden="false" customHeight="true" outlineLevel="0" collapsed="false">
      <c r="A555" s="14" t="s">
        <v>671</v>
      </c>
      <c r="B555" s="15" t="s">
        <v>29</v>
      </c>
      <c r="C555" s="15" t="s">
        <v>337</v>
      </c>
      <c r="D555" s="16" t="n">
        <v>4</v>
      </c>
      <c r="E555" s="15" t="str">
        <f aca="false" t="array" ref="E555:E555">INDEX(Matériaux!$B$5:$F$12,MATCH(INDEX(Profils!$E$5:$E$34,$AE555),Matériaux!$A$5:$A$12,0),$D555)</f>
        <v>velours enchanté</v>
      </c>
      <c r="F555" s="29" t="s">
        <v>117</v>
      </c>
      <c r="G555" s="10" t="str">
        <f aca="false" t="array" ref="G555:G555">INDEX(Profils!$D$5:$D$34,$AE555)&amp;" en "&amp;$E555</f>
        <v>Ceinture en velours enchanté</v>
      </c>
      <c r="H555" s="16" t="n">
        <f aca="false" t="array" ref="H555:H555">INDEX(Matériaux!$B$16:$B$20,$D555)</f>
        <v>50</v>
      </c>
      <c r="I555" s="16" t="n">
        <f aca="false">IF(ISNUMBER($C$3),MIN(MAX(0,ROUND($C$3,0)),$AI555),$AI555)</f>
        <v>0</v>
      </c>
      <c r="J555" s="18" t="n">
        <f aca="false">$H555+$I555</f>
        <v>50</v>
      </c>
      <c r="K555" s="15" t="s">
        <v>109</v>
      </c>
      <c r="L555" s="19" t="n">
        <f aca="false" t="array" ref="L555:L555">IF(AND(INDEX(Profils!$F$5:$F$34,$AE555)&gt;0,INDEX(Profils!$U$5:$U$34,$AE555)&lt;=$AH555),ROUND(INDEX(Profils!$F$5:$F$34,$AE555)*Paramètres!$E$22*$AG555*$AJ555,Paramètres!$F$22),0)</f>
        <v>22</v>
      </c>
      <c r="M555" s="19" t="n">
        <f aca="false" t="array" ref="M555:M555">IF(AND(INDEX(Profils!$G$5:$G$34,$AE555)&gt;0,INDEX(Profils!$V$5:$V$34,$AE555)&lt;=$AH555),ROUND(INDEX(Profils!$G$5:$G$34,$AE555)*Paramètres!$E$23*$AG555*$AJ555,Paramètres!$F$23),0)</f>
        <v>0</v>
      </c>
      <c r="N555" s="19" t="n">
        <f aca="false" t="array" ref="N555:N555">IF(AND(INDEX(Profils!$H$5:$H$34,$AE555)&gt;0,INDEX(Profils!$W$5:$W$34,$AE555)&lt;=$AH555),ROUND(INDEX(Profils!$H$5:$H$34,$AE555)*Paramètres!$E$24*$AG555*$AJ555,Paramètres!$F$24),0)</f>
        <v>0</v>
      </c>
      <c r="O555" s="19" t="n">
        <f aca="false" t="array" ref="O555:O555">IF(AND(INDEX(Profils!$I$5:$I$34,$AE555)&gt;0,INDEX(Profils!$X$5:$X$34,$AE555)&lt;=$AH555),ROUND(INDEX(Profils!$I$5:$I$34,$AE555)*Paramètres!$E$25*$AG555*$AJ555,Paramètres!$F$25),0)</f>
        <v>12</v>
      </c>
      <c r="P555" s="19" t="n">
        <f aca="false" t="array" ref="P555:P555">IF(AND(INDEX(Profils!$J$5:$J$34,$AE555)&gt;0,INDEX(Profils!$Y$5:$Y$34,$AE555)&lt;=$AH555),ROUND(INDEX(Profils!$J$5:$J$34,$AE555)*Paramètres!$E$26*$AG555*$AJ555,Paramètres!$F$26),0)</f>
        <v>6</v>
      </c>
      <c r="Q555" s="19" t="n">
        <f aca="false" t="array" ref="Q555:Q555">IF(AND(INDEX(Profils!$K$5:$K$34,$AE555)&gt;0,INDEX(Profils!$Z$5:$Z$34,$AE555)&lt;=$AH555),ROUND(INDEX(Profils!$K$5:$K$34,$AE555)*Paramètres!$E$27*$AG555*$AJ555,Paramètres!$F$27),0)</f>
        <v>0</v>
      </c>
      <c r="R555" s="20" t="n">
        <f aca="false" t="array" ref="R555:R555">IF(AND(INDEX(Profils!$L$5:$L$34,$AE555)&gt;0,INDEX(Profils!$AA$5:$AA$34,$AE555)&lt;=$AH555),ROUND(INDEX(Profils!$L$5:$L$34,$AE555)*Paramètres!$E$28*$AG555*$AJ555,Paramètres!$F$28),0)</f>
        <v>0</v>
      </c>
      <c r="S555" s="20" t="n">
        <f aca="false" t="array" ref="S555:S555">IF(AND(INDEX(Profils!$M$5:$M$34,$AE555)&gt;0,INDEX(Profils!$AB$5:$AB$34,$AE555)&lt;=$AH555),ROUND(INDEX(Profils!$M$5:$M$34,$AE555)*Paramètres!$E$29*$AG555*$AJ555,Paramètres!$F$29),0)</f>
        <v>0</v>
      </c>
      <c r="T555" s="20" t="n">
        <f aca="false" t="array" ref="T555:T555">IF(AND(INDEX(Profils!$N$5:$N$34,$AE555)&gt;0,INDEX(Profils!$AC$5:$AC$34,$AE555)&lt;=$AH555),ROUND(INDEX(Profils!$N$5:$N$34,$AE555)*Paramètres!$E$30*$AG555*$AJ555,Paramètres!$F$30),0)</f>
        <v>0</v>
      </c>
      <c r="U555" s="19" t="n">
        <f aca="false" t="array" ref="U555:U555">IF(AND(INDEX(Profils!$O$5:$O$34,$AE555)&gt;0,INDEX(Profils!$AD$5:$AD$34,$AE555)&lt;=$AH555),ROUND(INDEX(Profils!$O$5:$O$34,$AE555)*Paramètres!$E$31*$AG555*$AJ555,Paramètres!$F$31),0)</f>
        <v>0</v>
      </c>
      <c r="V555" s="20" t="n">
        <f aca="false" t="array" ref="V555:V555">IF(AND(INDEX(Profils!$P$5:$P$34,$AE555)&gt;0,INDEX(Profils!$AE$5:$AE$34,$AE555)&lt;=$AH555),ROUND(INDEX(Profils!$P$5:$P$34,$AE555)*Paramètres!$E$32*$AG555*$AJ555,Paramètres!$F$32),0)</f>
        <v>0.01</v>
      </c>
      <c r="W555" s="20" t="n">
        <f aca="false" t="array" ref="W555:W555">IF(AND(INDEX(Profils!$Q$5:$Q$34,$AE555)&gt;0,INDEX(Profils!$AF$5:$AF$34,$AE555)&lt;=$AH555),ROUND(INDEX(Profils!$Q$5:$Q$34,$AE555)*Paramètres!$E$33*$AG555*$AJ555,Paramètres!$F$33),0)</f>
        <v>0</v>
      </c>
      <c r="X555" s="20" t="n">
        <f aca="false" t="array" ref="X555:X555">IF(AND(INDEX(Profils!$R$5:$R$34,$AE555)&gt;0,INDEX(Profils!$AG$5:$AG$34,$AE555)&lt;=$AH555),ROUND(INDEX(Profils!$R$5:$R$34,$AE555)*Paramètres!$E$34*$AG555*$AJ555,Paramètres!$F$34),0)</f>
        <v>0.015</v>
      </c>
      <c r="Y555" s="20" t="n">
        <f aca="false" t="array" ref="Y555:Y555">IF(AND(INDEX(Profils!$S$5:$S$34,$AE555)&gt;0,INDEX(Profils!$AH$5:$AH$34,$AE555)&lt;=$AH555),ROUND(INDEX(Profils!$S$5:$S$34,$AE555)*Paramètres!$E$35*$AG555*$AJ555,Paramètres!$F$35),0)</f>
        <v>0.01</v>
      </c>
      <c r="Z555" s="21" t="n">
        <f aca="false">ROUND(L555/Paramètres!$E$22+M555/Paramètres!$E$23+N555/Paramètres!$E$24+O555/Paramètres!$E$25+P555/Paramètres!$E$26+Q555/Paramètres!$E$27+R555/Paramètres!$E$28+S555/Paramètres!$E$29+T555/Paramètres!$E$30+U555/Paramètres!$E$31+V555/Paramètres!$E$32+W555/Paramètres!$E$33+X555/Paramètres!$E$34+Y555/Paramètres!$E$35,1)</f>
        <v>4.3</v>
      </c>
      <c r="AA555" s="22" t="s">
        <v>109</v>
      </c>
      <c r="AB555" s="22" t="s">
        <v>109</v>
      </c>
      <c r="AC555" s="15" t="str">
        <f aca="false">$E555</f>
        <v>velours enchanté</v>
      </c>
      <c r="AD555" s="16" t="n">
        <f aca="false" t="array" ref="AD555:AD555">IF($I555&gt;=$AI555,"Max",ROUND(Paramètres!$B$40*($I555+1)^Paramètres!$B$41*INDEX(Paramètres!$H$6:$H$12,$AF555),0))</f>
        <v>6</v>
      </c>
      <c r="AE555" s="23" t="n">
        <f aca="false">MATCH($B555&amp;"|"&amp;$C555,Profils!$A$5:$A$34,0)</f>
        <v>18</v>
      </c>
      <c r="AF555" s="23" t="n">
        <v>5</v>
      </c>
      <c r="AG555" s="24" t="n">
        <f aca="false" t="array" ref="AG555:AG555">INDEX(Paramètres!$C$6:$C$12,$AF555)</f>
        <v>2.1</v>
      </c>
      <c r="AH555" s="23" t="n">
        <f aca="false" t="array" ref="AH555:AH555">INDEX(Paramètres!$D$6:$D$12,$AF555)</f>
        <v>6</v>
      </c>
      <c r="AI555" s="23" t="n">
        <f aca="false" t="array" ref="AI555:AI555">INDEX(Matériaux!$C$16:$C$20,$D555)</f>
        <v>25</v>
      </c>
      <c r="AJ555" s="25" t="n">
        <f aca="false">Paramètres!$B$16+(1-Paramètres!$B$16)*(($J555-Paramètres!$B$14)/(Paramètres!$B$15-Paramètres!$B$14))^Paramètres!$B$17</f>
        <v>0.458504333336152</v>
      </c>
    </row>
    <row r="556" customFormat="false" ht="15.75" hidden="false" customHeight="true" outlineLevel="0" collapsed="false">
      <c r="A556" s="14" t="s">
        <v>672</v>
      </c>
      <c r="B556" s="15" t="s">
        <v>29</v>
      </c>
      <c r="C556" s="15" t="s">
        <v>337</v>
      </c>
      <c r="D556" s="16" t="n">
        <v>4</v>
      </c>
      <c r="E556" s="15" t="str">
        <f aca="false" t="array" ref="E556:E556">INDEX(Matériaux!$B$5:$F$12,MATCH(INDEX(Profils!$E$5:$E$34,$AE556),Matériaux!$A$5:$A$12,0),$D556)</f>
        <v>velours enchanté</v>
      </c>
      <c r="F556" s="30" t="s">
        <v>119</v>
      </c>
      <c r="G556" s="10" t="str">
        <f aca="false" t="array" ref="G556:G556">INDEX(Profils!$D$5:$D$34,$AE556)&amp;" en "&amp;$E556</f>
        <v>Ceinture en velours enchanté</v>
      </c>
      <c r="H556" s="16" t="n">
        <f aca="false" t="array" ref="H556:H556">INDEX(Matériaux!$B$16:$B$20,$D556)</f>
        <v>50</v>
      </c>
      <c r="I556" s="16" t="n">
        <f aca="false">IF(ISNUMBER($C$3),MIN(MAX(0,ROUND($C$3,0)),$AI556),$AI556)</f>
        <v>0</v>
      </c>
      <c r="J556" s="18" t="n">
        <f aca="false">$H556+$I556</f>
        <v>50</v>
      </c>
      <c r="K556" s="15" t="s">
        <v>109</v>
      </c>
      <c r="L556" s="19" t="n">
        <f aca="false" t="array" ref="L556:L556">IF(AND(INDEX(Profils!$F$5:$F$34,$AE556)&gt;0,INDEX(Profils!$U$5:$U$34,$AE556)&lt;=$AH556),ROUND(INDEX(Profils!$F$5:$F$34,$AE556)*Paramètres!$E$22*$AG556*$AJ556,Paramètres!$F$22),0)</f>
        <v>25</v>
      </c>
      <c r="M556" s="19" t="n">
        <f aca="false" t="array" ref="M556:M556">IF(AND(INDEX(Profils!$G$5:$G$34,$AE556)&gt;0,INDEX(Profils!$V$5:$V$34,$AE556)&lt;=$AH556),ROUND(INDEX(Profils!$G$5:$G$34,$AE556)*Paramètres!$E$23*$AG556*$AJ556,Paramètres!$F$23),0)</f>
        <v>0</v>
      </c>
      <c r="N556" s="19" t="n">
        <f aca="false" t="array" ref="N556:N556">IF(AND(INDEX(Profils!$H$5:$H$34,$AE556)&gt;0,INDEX(Profils!$W$5:$W$34,$AE556)&lt;=$AH556),ROUND(INDEX(Profils!$H$5:$H$34,$AE556)*Paramètres!$E$24*$AG556*$AJ556,Paramètres!$F$24),0)</f>
        <v>0</v>
      </c>
      <c r="O556" s="19" t="n">
        <f aca="false" t="array" ref="O556:O556">IF(AND(INDEX(Profils!$I$5:$I$34,$AE556)&gt;0,INDEX(Profils!$X$5:$X$34,$AE556)&lt;=$AH556),ROUND(INDEX(Profils!$I$5:$I$34,$AE556)*Paramètres!$E$25*$AG556*$AJ556,Paramètres!$F$25),0)</f>
        <v>13</v>
      </c>
      <c r="P556" s="19" t="n">
        <f aca="false" t="array" ref="P556:P556">IF(AND(INDEX(Profils!$J$5:$J$34,$AE556)&gt;0,INDEX(Profils!$Y$5:$Y$34,$AE556)&lt;=$AH556),ROUND(INDEX(Profils!$J$5:$J$34,$AE556)*Paramètres!$E$26*$AG556*$AJ556,Paramètres!$F$26),0)</f>
        <v>7</v>
      </c>
      <c r="Q556" s="19" t="n">
        <f aca="false" t="array" ref="Q556:Q556">IF(AND(INDEX(Profils!$K$5:$K$34,$AE556)&gt;0,INDEX(Profils!$Z$5:$Z$34,$AE556)&lt;=$AH556),ROUND(INDEX(Profils!$K$5:$K$34,$AE556)*Paramètres!$E$27*$AG556*$AJ556,Paramètres!$F$27),0)</f>
        <v>0</v>
      </c>
      <c r="R556" s="20" t="n">
        <f aca="false" t="array" ref="R556:R556">IF(AND(INDEX(Profils!$L$5:$L$34,$AE556)&gt;0,INDEX(Profils!$AA$5:$AA$34,$AE556)&lt;=$AH556),ROUND(INDEX(Profils!$L$5:$L$34,$AE556)*Paramètres!$E$28*$AG556*$AJ556,Paramètres!$F$28),0)</f>
        <v>0</v>
      </c>
      <c r="S556" s="20" t="n">
        <f aca="false" t="array" ref="S556:S556">IF(AND(INDEX(Profils!$M$5:$M$34,$AE556)&gt;0,INDEX(Profils!$AB$5:$AB$34,$AE556)&lt;=$AH556),ROUND(INDEX(Profils!$M$5:$M$34,$AE556)*Paramètres!$E$29*$AG556*$AJ556,Paramètres!$F$29),0)</f>
        <v>0.007</v>
      </c>
      <c r="T556" s="20" t="n">
        <f aca="false" t="array" ref="T556:T556">IF(AND(INDEX(Profils!$N$5:$N$34,$AE556)&gt;0,INDEX(Profils!$AC$5:$AC$34,$AE556)&lt;=$AH556),ROUND(INDEX(Profils!$N$5:$N$34,$AE556)*Paramètres!$E$30*$AG556*$AJ556,Paramètres!$F$30),0)</f>
        <v>0</v>
      </c>
      <c r="U556" s="19" t="n">
        <f aca="false" t="array" ref="U556:U556">IF(AND(INDEX(Profils!$O$5:$O$34,$AE556)&gt;0,INDEX(Profils!$AD$5:$AD$34,$AE556)&lt;=$AH556),ROUND(INDEX(Profils!$O$5:$O$34,$AE556)*Paramètres!$E$31*$AG556*$AJ556,Paramètres!$F$31),0)</f>
        <v>0</v>
      </c>
      <c r="V556" s="20" t="n">
        <f aca="false" t="array" ref="V556:V556">IF(AND(INDEX(Profils!$P$5:$P$34,$AE556)&gt;0,INDEX(Profils!$AE$5:$AE$34,$AE556)&lt;=$AH556),ROUND(INDEX(Profils!$P$5:$P$34,$AE556)*Paramètres!$E$32*$AG556*$AJ556,Paramètres!$F$32),0)</f>
        <v>0.012</v>
      </c>
      <c r="W556" s="20" t="n">
        <f aca="false" t="array" ref="W556:W556">IF(AND(INDEX(Profils!$Q$5:$Q$34,$AE556)&gt;0,INDEX(Profils!$AF$5:$AF$34,$AE556)&lt;=$AH556),ROUND(INDEX(Profils!$Q$5:$Q$34,$AE556)*Paramètres!$E$33*$AG556*$AJ556,Paramètres!$F$33),0)</f>
        <v>0</v>
      </c>
      <c r="X556" s="20" t="n">
        <f aca="false" t="array" ref="X556:X556">IF(AND(INDEX(Profils!$R$5:$R$34,$AE556)&gt;0,INDEX(Profils!$AG$5:$AG$34,$AE556)&lt;=$AH556),ROUND(INDEX(Profils!$R$5:$R$34,$AE556)*Paramètres!$E$34*$AG556*$AJ556,Paramètres!$F$34),0)</f>
        <v>0.018</v>
      </c>
      <c r="Y556" s="20" t="n">
        <f aca="false" t="array" ref="Y556:Y556">IF(AND(INDEX(Profils!$S$5:$S$34,$AE556)&gt;0,INDEX(Profils!$AH$5:$AH$34,$AE556)&lt;=$AH556),ROUND(INDEX(Profils!$S$5:$S$34,$AE556)*Paramètres!$E$35*$AG556*$AJ556,Paramètres!$F$35),0)</f>
        <v>0.012</v>
      </c>
      <c r="Z556" s="21" t="n">
        <f aca="false">ROUND(L556/Paramètres!$E$22+M556/Paramètres!$E$23+N556/Paramètres!$E$24+O556/Paramètres!$E$25+P556/Paramètres!$E$26+Q556/Paramètres!$E$27+R556/Paramètres!$E$28+S556/Paramètres!$E$29+T556/Paramètres!$E$30+U556/Paramètres!$E$31+V556/Paramètres!$E$32+W556/Paramètres!$E$33+X556/Paramètres!$E$34+Y556/Paramètres!$E$35,1)</f>
        <v>5.5</v>
      </c>
      <c r="AA556" s="22" t="s">
        <v>109</v>
      </c>
      <c r="AB556" s="22" t="s">
        <v>109</v>
      </c>
      <c r="AC556" s="15" t="str">
        <f aca="false">$E556</f>
        <v>velours enchanté</v>
      </c>
      <c r="AD556" s="16" t="n">
        <f aca="false" t="array" ref="AD556:AD556">IF($I556&gt;=$AI556,"Max",ROUND(Paramètres!$B$40*($I556+1)^Paramètres!$B$41*INDEX(Paramètres!$H$6:$H$12,$AF556),0))</f>
        <v>8</v>
      </c>
      <c r="AE556" s="23" t="n">
        <f aca="false">MATCH($B556&amp;"|"&amp;$C556,Profils!$A$5:$A$34,0)</f>
        <v>18</v>
      </c>
      <c r="AF556" s="23" t="n">
        <v>6</v>
      </c>
      <c r="AG556" s="24" t="n">
        <f aca="false" t="array" ref="AG556:AG556">INDEX(Paramètres!$C$6:$C$12,$AF556)</f>
        <v>2.4</v>
      </c>
      <c r="AH556" s="23" t="n">
        <f aca="false" t="array" ref="AH556:AH556">INDEX(Paramètres!$D$6:$D$12,$AF556)</f>
        <v>7</v>
      </c>
      <c r="AI556" s="23" t="n">
        <f aca="false" t="array" ref="AI556:AI556">INDEX(Matériaux!$C$16:$C$20,$D556)</f>
        <v>25</v>
      </c>
      <c r="AJ556" s="25" t="n">
        <f aca="false">Paramètres!$B$16+(1-Paramètres!$B$16)*(($J556-Paramètres!$B$14)/(Paramètres!$B$15-Paramètres!$B$14))^Paramètres!$B$17</f>
        <v>0.458504333336152</v>
      </c>
    </row>
    <row r="557" customFormat="false" ht="15.75" hidden="false" customHeight="true" outlineLevel="0" collapsed="false">
      <c r="A557" s="14" t="s">
        <v>673</v>
      </c>
      <c r="B557" s="15" t="s">
        <v>29</v>
      </c>
      <c r="C557" s="15" t="s">
        <v>337</v>
      </c>
      <c r="D557" s="16" t="n">
        <v>5</v>
      </c>
      <c r="E557" s="15" t="str">
        <f aca="false" t="array" ref="E557:E557">INDEX(Matériaux!$B$5:$F$12,MATCH(INDEX(Profils!$E$5:$E$34,$AE557),Matériaux!$A$5:$A$12,0),$D557)</f>
        <v>étoffe astrale</v>
      </c>
      <c r="F557" s="17" t="s">
        <v>108</v>
      </c>
      <c r="G557" s="10" t="str">
        <f aca="false" t="array" ref="G557:G557">INDEX(Profils!$D$5:$D$34,$AE557)&amp;" en "&amp;$E557</f>
        <v>Ceinture en étoffe astrale</v>
      </c>
      <c r="H557" s="16" t="n">
        <f aca="false" t="array" ref="H557:H557">INDEX(Matériaux!$B$16:$B$20,$D557)</f>
        <v>70</v>
      </c>
      <c r="I557" s="16" t="n">
        <f aca="false">IF(ISNUMBER($C$3),MIN(MAX(0,ROUND($C$3,0)),$AI557),$AI557)</f>
        <v>0</v>
      </c>
      <c r="J557" s="18" t="n">
        <f aca="false">$H557+$I557</f>
        <v>70</v>
      </c>
      <c r="K557" s="15" t="s">
        <v>109</v>
      </c>
      <c r="L557" s="19" t="n">
        <f aca="false" t="array" ref="L557:L557">IF(AND(INDEX(Profils!$F$5:$F$34,$AE557)&gt;0,INDEX(Profils!$U$5:$U$34,$AE557)&lt;=$AH557),ROUND(INDEX(Profils!$F$5:$F$34,$AE557)*Paramètres!$E$22*$AG557*$AJ557,Paramètres!$F$22),0)</f>
        <v>15</v>
      </c>
      <c r="M557" s="19" t="n">
        <f aca="false" t="array" ref="M557:M557">IF(AND(INDEX(Profils!$G$5:$G$34,$AE557)&gt;0,INDEX(Profils!$V$5:$V$34,$AE557)&lt;=$AH557),ROUND(INDEX(Profils!$G$5:$G$34,$AE557)*Paramètres!$E$23*$AG557*$AJ557,Paramètres!$F$23),0)</f>
        <v>0</v>
      </c>
      <c r="N557" s="19" t="n">
        <f aca="false" t="array" ref="N557:N557">IF(AND(INDEX(Profils!$H$5:$H$34,$AE557)&gt;0,INDEX(Profils!$W$5:$W$34,$AE557)&lt;=$AH557),ROUND(INDEX(Profils!$H$5:$H$34,$AE557)*Paramètres!$E$24*$AG557*$AJ557,Paramètres!$F$24),0)</f>
        <v>0</v>
      </c>
      <c r="O557" s="19" t="n">
        <f aca="false" t="array" ref="O557:O557">IF(AND(INDEX(Profils!$I$5:$I$34,$AE557)&gt;0,INDEX(Profils!$X$5:$X$34,$AE557)&lt;=$AH557),ROUND(INDEX(Profils!$I$5:$I$34,$AE557)*Paramètres!$E$25*$AG557*$AJ557,Paramètres!$F$25),0)</f>
        <v>8</v>
      </c>
      <c r="P557" s="19" t="n">
        <f aca="false" t="array" ref="P557:P557">IF(AND(INDEX(Profils!$J$5:$J$34,$AE557)&gt;0,INDEX(Profils!$Y$5:$Y$34,$AE557)&lt;=$AH557),ROUND(INDEX(Profils!$J$5:$J$34,$AE557)*Paramètres!$E$26*$AG557*$AJ557,Paramètres!$F$26),0)</f>
        <v>0</v>
      </c>
      <c r="Q557" s="19" t="n">
        <f aca="false" t="array" ref="Q557:Q557">IF(AND(INDEX(Profils!$K$5:$K$34,$AE557)&gt;0,INDEX(Profils!$Z$5:$Z$34,$AE557)&lt;=$AH557),ROUND(INDEX(Profils!$K$5:$K$34,$AE557)*Paramètres!$E$27*$AG557*$AJ557,Paramètres!$F$27),0)</f>
        <v>0</v>
      </c>
      <c r="R557" s="20" t="n">
        <f aca="false" t="array" ref="R557:R557">IF(AND(INDEX(Profils!$L$5:$L$34,$AE557)&gt;0,INDEX(Profils!$AA$5:$AA$34,$AE557)&lt;=$AH557),ROUND(INDEX(Profils!$L$5:$L$34,$AE557)*Paramètres!$E$28*$AG557*$AJ557,Paramètres!$F$28),0)</f>
        <v>0</v>
      </c>
      <c r="S557" s="20" t="n">
        <f aca="false" t="array" ref="S557:S557">IF(AND(INDEX(Profils!$M$5:$M$34,$AE557)&gt;0,INDEX(Profils!$AB$5:$AB$34,$AE557)&lt;=$AH557),ROUND(INDEX(Profils!$M$5:$M$34,$AE557)*Paramètres!$E$29*$AG557*$AJ557,Paramètres!$F$29),0)</f>
        <v>0</v>
      </c>
      <c r="T557" s="20" t="n">
        <f aca="false" t="array" ref="T557:T557">IF(AND(INDEX(Profils!$N$5:$N$34,$AE557)&gt;0,INDEX(Profils!$AC$5:$AC$34,$AE557)&lt;=$AH557),ROUND(INDEX(Profils!$N$5:$N$34,$AE557)*Paramètres!$E$30*$AG557*$AJ557,Paramètres!$F$30),0)</f>
        <v>0</v>
      </c>
      <c r="U557" s="19" t="n">
        <f aca="false" t="array" ref="U557:U557">IF(AND(INDEX(Profils!$O$5:$O$34,$AE557)&gt;0,INDEX(Profils!$AD$5:$AD$34,$AE557)&lt;=$AH557),ROUND(INDEX(Profils!$O$5:$O$34,$AE557)*Paramètres!$E$31*$AG557*$AJ557,Paramètres!$F$31),0)</f>
        <v>0</v>
      </c>
      <c r="V557" s="20" t="n">
        <f aca="false" t="array" ref="V557:V557">IF(AND(INDEX(Profils!$P$5:$P$34,$AE557)&gt;0,INDEX(Profils!$AE$5:$AE$34,$AE557)&lt;=$AH557),ROUND(INDEX(Profils!$P$5:$P$34,$AE557)*Paramètres!$E$32*$AG557*$AJ557,Paramètres!$F$32),0)</f>
        <v>0</v>
      </c>
      <c r="W557" s="20" t="n">
        <f aca="false" t="array" ref="W557:W557">IF(AND(INDEX(Profils!$Q$5:$Q$34,$AE557)&gt;0,INDEX(Profils!$AF$5:$AF$34,$AE557)&lt;=$AH557),ROUND(INDEX(Profils!$Q$5:$Q$34,$AE557)*Paramètres!$E$33*$AG557*$AJ557,Paramètres!$F$33),0)</f>
        <v>0</v>
      </c>
      <c r="X557" s="20" t="n">
        <f aca="false" t="array" ref="X557:X557">IF(AND(INDEX(Profils!$R$5:$R$34,$AE557)&gt;0,INDEX(Profils!$AG$5:$AG$34,$AE557)&lt;=$AH557),ROUND(INDEX(Profils!$R$5:$R$34,$AE557)*Paramètres!$E$34*$AG557*$AJ557,Paramètres!$F$34),0)</f>
        <v>0</v>
      </c>
      <c r="Y557" s="20" t="n">
        <f aca="false" t="array" ref="Y557:Y557">IF(AND(INDEX(Profils!$S$5:$S$34,$AE557)&gt;0,INDEX(Profils!$AH$5:$AH$34,$AE557)&lt;=$AH557),ROUND(INDEX(Profils!$S$5:$S$34,$AE557)*Paramètres!$E$35*$AG557*$AJ557,Paramètres!$F$35),0)</f>
        <v>0</v>
      </c>
      <c r="Z557" s="21" t="n">
        <f aca="false">ROUND(L557/Paramètres!$E$22+M557/Paramètres!$E$23+N557/Paramètres!$E$24+O557/Paramètres!$E$25+P557/Paramètres!$E$26+Q557/Paramètres!$E$27+R557/Paramètres!$E$28+S557/Paramètres!$E$29+T557/Paramètres!$E$30+U557/Paramètres!$E$31+V557/Paramètres!$E$32+W557/Paramètres!$E$33+X557/Paramètres!$E$34+Y557/Paramètres!$E$35,1)</f>
        <v>1.1</v>
      </c>
      <c r="AA557" s="22" t="s">
        <v>109</v>
      </c>
      <c r="AB557" s="22" t="s">
        <v>109</v>
      </c>
      <c r="AC557" s="15" t="str">
        <f aca="false">$E557</f>
        <v>étoffe astrale</v>
      </c>
      <c r="AD557" s="16" t="n">
        <f aca="false" t="array" ref="AD557:AD557">IF($I557&gt;=$AI557,"Max",ROUND(Paramètres!$B$40*($I557+1)^Paramètres!$B$41*INDEX(Paramètres!$H$6:$H$12,$AF557),0))</f>
        <v>3</v>
      </c>
      <c r="AE557" s="23" t="n">
        <f aca="false">MATCH($B557&amp;"|"&amp;$C557,Profils!$A$5:$A$34,0)</f>
        <v>18</v>
      </c>
      <c r="AF557" s="23" t="n">
        <v>1</v>
      </c>
      <c r="AG557" s="24" t="n">
        <f aca="false" t="array" ref="AG557:AG557">INDEX(Paramètres!$C$6:$C$12,$AF557)</f>
        <v>1</v>
      </c>
      <c r="AH557" s="23" t="n">
        <f aca="false" t="array" ref="AH557:AH557">INDEX(Paramètres!$D$6:$D$12,$AF557)</f>
        <v>2</v>
      </c>
      <c r="AI557" s="23" t="n">
        <f aca="false" t="array" ref="AI557:AI557">INDEX(Matériaux!$C$16:$C$20,$D557)</f>
        <v>30</v>
      </c>
      <c r="AJ557" s="25" t="n">
        <f aca="false">Paramètres!$B$16+(1-Paramètres!$B$16)*(($J557-Paramètres!$B$14)/(Paramètres!$B$15-Paramètres!$B$14))^Paramètres!$B$17</f>
        <v>0.665999387952727</v>
      </c>
    </row>
    <row r="558" customFormat="false" ht="15.75" hidden="false" customHeight="true" outlineLevel="0" collapsed="false">
      <c r="A558" s="14" t="s">
        <v>674</v>
      </c>
      <c r="B558" s="15" t="s">
        <v>29</v>
      </c>
      <c r="C558" s="15" t="s">
        <v>337</v>
      </c>
      <c r="D558" s="16" t="n">
        <v>5</v>
      </c>
      <c r="E558" s="15" t="str">
        <f aca="false" t="array" ref="E558:E558">INDEX(Matériaux!$B$5:$F$12,MATCH(INDEX(Profils!$E$5:$E$34,$AE558),Matériaux!$A$5:$A$12,0),$D558)</f>
        <v>étoffe astrale</v>
      </c>
      <c r="F558" s="26" t="s">
        <v>111</v>
      </c>
      <c r="G558" s="10" t="str">
        <f aca="false" t="array" ref="G558:G558">INDEX(Profils!$D$5:$D$34,$AE558)&amp;" en "&amp;$E558</f>
        <v>Ceinture en étoffe astrale</v>
      </c>
      <c r="H558" s="16" t="n">
        <f aca="false" t="array" ref="H558:H558">INDEX(Matériaux!$B$16:$B$20,$D558)</f>
        <v>70</v>
      </c>
      <c r="I558" s="16" t="n">
        <f aca="false">IF(ISNUMBER($C$3),MIN(MAX(0,ROUND($C$3,0)),$AI558),$AI558)</f>
        <v>0</v>
      </c>
      <c r="J558" s="18" t="n">
        <f aca="false">$H558+$I558</f>
        <v>70</v>
      </c>
      <c r="K558" s="15" t="s">
        <v>109</v>
      </c>
      <c r="L558" s="19" t="n">
        <f aca="false" t="array" ref="L558:L558">IF(AND(INDEX(Profils!$F$5:$F$34,$AE558)&gt;0,INDEX(Profils!$U$5:$U$34,$AE558)&lt;=$AH558),ROUND(INDEX(Profils!$F$5:$F$34,$AE558)*Paramètres!$E$22*$AG558*$AJ558,Paramètres!$F$22),0)</f>
        <v>18</v>
      </c>
      <c r="M558" s="19" t="n">
        <f aca="false" t="array" ref="M558:M558">IF(AND(INDEX(Profils!$G$5:$G$34,$AE558)&gt;0,INDEX(Profils!$V$5:$V$34,$AE558)&lt;=$AH558),ROUND(INDEX(Profils!$G$5:$G$34,$AE558)*Paramètres!$E$23*$AG558*$AJ558,Paramètres!$F$23),0)</f>
        <v>0</v>
      </c>
      <c r="N558" s="19" t="n">
        <f aca="false" t="array" ref="N558:N558">IF(AND(INDEX(Profils!$H$5:$H$34,$AE558)&gt;0,INDEX(Profils!$W$5:$W$34,$AE558)&lt;=$AH558),ROUND(INDEX(Profils!$H$5:$H$34,$AE558)*Paramètres!$E$24*$AG558*$AJ558,Paramètres!$F$24),0)</f>
        <v>0</v>
      </c>
      <c r="O558" s="19" t="n">
        <f aca="false" t="array" ref="O558:O558">IF(AND(INDEX(Profils!$I$5:$I$34,$AE558)&gt;0,INDEX(Profils!$X$5:$X$34,$AE558)&lt;=$AH558),ROUND(INDEX(Profils!$I$5:$I$34,$AE558)*Paramètres!$E$25*$AG558*$AJ558,Paramètres!$F$25),0)</f>
        <v>10</v>
      </c>
      <c r="P558" s="19" t="n">
        <f aca="false" t="array" ref="P558:P558">IF(AND(INDEX(Profils!$J$5:$J$34,$AE558)&gt;0,INDEX(Profils!$Y$5:$Y$34,$AE558)&lt;=$AH558),ROUND(INDEX(Profils!$J$5:$J$34,$AE558)*Paramètres!$E$26*$AG558*$AJ558,Paramètres!$F$26),0)</f>
        <v>0</v>
      </c>
      <c r="Q558" s="19" t="n">
        <f aca="false" t="array" ref="Q558:Q558">IF(AND(INDEX(Profils!$K$5:$K$34,$AE558)&gt;0,INDEX(Profils!$Z$5:$Z$34,$AE558)&lt;=$AH558),ROUND(INDEX(Profils!$K$5:$K$34,$AE558)*Paramètres!$E$27*$AG558*$AJ558,Paramètres!$F$27),0)</f>
        <v>0</v>
      </c>
      <c r="R558" s="20" t="n">
        <f aca="false" t="array" ref="R558:R558">IF(AND(INDEX(Profils!$L$5:$L$34,$AE558)&gt;0,INDEX(Profils!$AA$5:$AA$34,$AE558)&lt;=$AH558),ROUND(INDEX(Profils!$L$5:$L$34,$AE558)*Paramètres!$E$28*$AG558*$AJ558,Paramètres!$F$28),0)</f>
        <v>0</v>
      </c>
      <c r="S558" s="20" t="n">
        <f aca="false" t="array" ref="S558:S558">IF(AND(INDEX(Profils!$M$5:$M$34,$AE558)&gt;0,INDEX(Profils!$AB$5:$AB$34,$AE558)&lt;=$AH558),ROUND(INDEX(Profils!$M$5:$M$34,$AE558)*Paramètres!$E$29*$AG558*$AJ558,Paramètres!$F$29),0)</f>
        <v>0</v>
      </c>
      <c r="T558" s="20" t="n">
        <f aca="false" t="array" ref="T558:T558">IF(AND(INDEX(Profils!$N$5:$N$34,$AE558)&gt;0,INDEX(Profils!$AC$5:$AC$34,$AE558)&lt;=$AH558),ROUND(INDEX(Profils!$N$5:$N$34,$AE558)*Paramètres!$E$30*$AG558*$AJ558,Paramètres!$F$30),0)</f>
        <v>0</v>
      </c>
      <c r="U558" s="19" t="n">
        <f aca="false" t="array" ref="U558:U558">IF(AND(INDEX(Profils!$O$5:$O$34,$AE558)&gt;0,INDEX(Profils!$AD$5:$AD$34,$AE558)&lt;=$AH558),ROUND(INDEX(Profils!$O$5:$O$34,$AE558)*Paramètres!$E$31*$AG558*$AJ558,Paramètres!$F$31),0)</f>
        <v>0</v>
      </c>
      <c r="V558" s="20" t="n">
        <f aca="false" t="array" ref="V558:V558">IF(AND(INDEX(Profils!$P$5:$P$34,$AE558)&gt;0,INDEX(Profils!$AE$5:$AE$34,$AE558)&lt;=$AH558),ROUND(INDEX(Profils!$P$5:$P$34,$AE558)*Paramètres!$E$32*$AG558*$AJ558,Paramètres!$F$32),0)</f>
        <v>0</v>
      </c>
      <c r="W558" s="20" t="n">
        <f aca="false" t="array" ref="W558:W558">IF(AND(INDEX(Profils!$Q$5:$Q$34,$AE558)&gt;0,INDEX(Profils!$AF$5:$AF$34,$AE558)&lt;=$AH558),ROUND(INDEX(Profils!$Q$5:$Q$34,$AE558)*Paramètres!$E$33*$AG558*$AJ558,Paramètres!$F$33),0)</f>
        <v>0</v>
      </c>
      <c r="X558" s="20" t="n">
        <f aca="false" t="array" ref="X558:X558">IF(AND(INDEX(Profils!$R$5:$R$34,$AE558)&gt;0,INDEX(Profils!$AG$5:$AG$34,$AE558)&lt;=$AH558),ROUND(INDEX(Profils!$R$5:$R$34,$AE558)*Paramètres!$E$34*$AG558*$AJ558,Paramètres!$F$34),0)</f>
        <v>0.013</v>
      </c>
      <c r="Y558" s="20" t="n">
        <f aca="false" t="array" ref="Y558:Y558">IF(AND(INDEX(Profils!$S$5:$S$34,$AE558)&gt;0,INDEX(Profils!$AH$5:$AH$34,$AE558)&lt;=$AH558),ROUND(INDEX(Profils!$S$5:$S$34,$AE558)*Paramètres!$E$35*$AG558*$AJ558,Paramètres!$F$35),0)</f>
        <v>0</v>
      </c>
      <c r="Z558" s="21" t="n">
        <f aca="false">ROUND(L558/Paramètres!$E$22+M558/Paramètres!$E$23+N558/Paramètres!$E$24+O558/Paramètres!$E$25+P558/Paramètres!$E$26+Q558/Paramètres!$E$27+R558/Paramètres!$E$28+S558/Paramètres!$E$29+T558/Paramètres!$E$30+U558/Paramètres!$E$31+V558/Paramètres!$E$32+W558/Paramètres!$E$33+X558/Paramètres!$E$34+Y558/Paramètres!$E$35,1)</f>
        <v>2</v>
      </c>
      <c r="AA558" s="22" t="s">
        <v>109</v>
      </c>
      <c r="AB558" s="22" t="s">
        <v>109</v>
      </c>
      <c r="AC558" s="15" t="str">
        <f aca="false">$E558</f>
        <v>étoffe astrale</v>
      </c>
      <c r="AD558" s="16" t="n">
        <f aca="false" t="array" ref="AD558:AD558">IF($I558&gt;=$AI558,"Max",ROUND(Paramètres!$B$40*($I558+1)^Paramètres!$B$41*INDEX(Paramètres!$H$6:$H$12,$AF558),0))</f>
        <v>4</v>
      </c>
      <c r="AE558" s="23" t="n">
        <f aca="false">MATCH($B558&amp;"|"&amp;$C558,Profils!$A$5:$A$34,0)</f>
        <v>18</v>
      </c>
      <c r="AF558" s="23" t="n">
        <v>2</v>
      </c>
      <c r="AG558" s="24" t="n">
        <f aca="false" t="array" ref="AG558:AG558">INDEX(Paramètres!$C$6:$C$12,$AF558)</f>
        <v>1.2</v>
      </c>
      <c r="AH558" s="23" t="n">
        <f aca="false" t="array" ref="AH558:AH558">INDEX(Paramètres!$D$6:$D$12,$AF558)</f>
        <v>3</v>
      </c>
      <c r="AI558" s="23" t="n">
        <f aca="false" t="array" ref="AI558:AI558">INDEX(Matériaux!$C$16:$C$20,$D558)</f>
        <v>30</v>
      </c>
      <c r="AJ558" s="25" t="n">
        <f aca="false">Paramètres!$B$16+(1-Paramètres!$B$16)*(($J558-Paramètres!$B$14)/(Paramètres!$B$15-Paramètres!$B$14))^Paramètres!$B$17</f>
        <v>0.665999387952727</v>
      </c>
    </row>
    <row r="559" customFormat="false" ht="15.75" hidden="false" customHeight="true" outlineLevel="0" collapsed="false">
      <c r="A559" s="14" t="s">
        <v>675</v>
      </c>
      <c r="B559" s="15" t="s">
        <v>29</v>
      </c>
      <c r="C559" s="15" t="s">
        <v>337</v>
      </c>
      <c r="D559" s="16" t="n">
        <v>5</v>
      </c>
      <c r="E559" s="15" t="str">
        <f aca="false" t="array" ref="E559:E559">INDEX(Matériaux!$B$5:$F$12,MATCH(INDEX(Profils!$E$5:$E$34,$AE559),Matériaux!$A$5:$A$12,0),$D559)</f>
        <v>étoffe astrale</v>
      </c>
      <c r="F559" s="27" t="s">
        <v>113</v>
      </c>
      <c r="G559" s="10" t="str">
        <f aca="false" t="array" ref="G559:G559">INDEX(Profils!$D$5:$D$34,$AE559)&amp;" en "&amp;$E559</f>
        <v>Ceinture en étoffe astrale</v>
      </c>
      <c r="H559" s="16" t="n">
        <f aca="false" t="array" ref="H559:H559">INDEX(Matériaux!$B$16:$B$20,$D559)</f>
        <v>70</v>
      </c>
      <c r="I559" s="16" t="n">
        <f aca="false">IF(ISNUMBER($C$3),MIN(MAX(0,ROUND($C$3,0)),$AI559),$AI559)</f>
        <v>0</v>
      </c>
      <c r="J559" s="18" t="n">
        <f aca="false">$H559+$I559</f>
        <v>70</v>
      </c>
      <c r="K559" s="15" t="s">
        <v>109</v>
      </c>
      <c r="L559" s="19" t="n">
        <f aca="false" t="array" ref="L559:L559">IF(AND(INDEX(Profils!$F$5:$F$34,$AE559)&gt;0,INDEX(Profils!$U$5:$U$34,$AE559)&lt;=$AH559),ROUND(INDEX(Profils!$F$5:$F$34,$AE559)*Paramètres!$E$22*$AG559*$AJ559,Paramètres!$F$22),0)</f>
        <v>22</v>
      </c>
      <c r="M559" s="19" t="n">
        <f aca="false" t="array" ref="M559:M559">IF(AND(INDEX(Profils!$G$5:$G$34,$AE559)&gt;0,INDEX(Profils!$V$5:$V$34,$AE559)&lt;=$AH559),ROUND(INDEX(Profils!$G$5:$G$34,$AE559)*Paramètres!$E$23*$AG559*$AJ559,Paramètres!$F$23),0)</f>
        <v>0</v>
      </c>
      <c r="N559" s="19" t="n">
        <f aca="false" t="array" ref="N559:N559">IF(AND(INDEX(Profils!$H$5:$H$34,$AE559)&gt;0,INDEX(Profils!$W$5:$W$34,$AE559)&lt;=$AH559),ROUND(INDEX(Profils!$H$5:$H$34,$AE559)*Paramètres!$E$24*$AG559*$AJ559,Paramètres!$F$24),0)</f>
        <v>0</v>
      </c>
      <c r="O559" s="19" t="n">
        <f aca="false" t="array" ref="O559:O559">IF(AND(INDEX(Profils!$I$5:$I$34,$AE559)&gt;0,INDEX(Profils!$X$5:$X$34,$AE559)&lt;=$AH559),ROUND(INDEX(Profils!$I$5:$I$34,$AE559)*Paramètres!$E$25*$AG559*$AJ559,Paramètres!$F$25),0)</f>
        <v>12</v>
      </c>
      <c r="P559" s="19" t="n">
        <f aca="false" t="array" ref="P559:P559">IF(AND(INDEX(Profils!$J$5:$J$34,$AE559)&gt;0,INDEX(Profils!$Y$5:$Y$34,$AE559)&lt;=$AH559),ROUND(INDEX(Profils!$J$5:$J$34,$AE559)*Paramètres!$E$26*$AG559*$AJ559,Paramètres!$F$26),0)</f>
        <v>0</v>
      </c>
      <c r="Q559" s="19" t="n">
        <f aca="false" t="array" ref="Q559:Q559">IF(AND(INDEX(Profils!$K$5:$K$34,$AE559)&gt;0,INDEX(Profils!$Z$5:$Z$34,$AE559)&lt;=$AH559),ROUND(INDEX(Profils!$K$5:$K$34,$AE559)*Paramètres!$E$27*$AG559*$AJ559,Paramètres!$F$27),0)</f>
        <v>0</v>
      </c>
      <c r="R559" s="20" t="n">
        <f aca="false" t="array" ref="R559:R559">IF(AND(INDEX(Profils!$L$5:$L$34,$AE559)&gt;0,INDEX(Profils!$AA$5:$AA$34,$AE559)&lt;=$AH559),ROUND(INDEX(Profils!$L$5:$L$34,$AE559)*Paramètres!$E$28*$AG559*$AJ559,Paramètres!$F$28),0)</f>
        <v>0</v>
      </c>
      <c r="S559" s="20" t="n">
        <f aca="false" t="array" ref="S559:S559">IF(AND(INDEX(Profils!$M$5:$M$34,$AE559)&gt;0,INDEX(Profils!$AB$5:$AB$34,$AE559)&lt;=$AH559),ROUND(INDEX(Profils!$M$5:$M$34,$AE559)*Paramètres!$E$29*$AG559*$AJ559,Paramètres!$F$29),0)</f>
        <v>0</v>
      </c>
      <c r="T559" s="20" t="n">
        <f aca="false" t="array" ref="T559:T559">IF(AND(INDEX(Profils!$N$5:$N$34,$AE559)&gt;0,INDEX(Profils!$AC$5:$AC$34,$AE559)&lt;=$AH559),ROUND(INDEX(Profils!$N$5:$N$34,$AE559)*Paramètres!$E$30*$AG559*$AJ559,Paramètres!$F$30),0)</f>
        <v>0</v>
      </c>
      <c r="U559" s="19" t="n">
        <f aca="false" t="array" ref="U559:U559">IF(AND(INDEX(Profils!$O$5:$O$34,$AE559)&gt;0,INDEX(Profils!$AD$5:$AD$34,$AE559)&lt;=$AH559),ROUND(INDEX(Profils!$O$5:$O$34,$AE559)*Paramètres!$E$31*$AG559*$AJ559,Paramètres!$F$31),0)</f>
        <v>0</v>
      </c>
      <c r="V559" s="20" t="n">
        <f aca="false" t="array" ref="V559:V559">IF(AND(INDEX(Profils!$P$5:$P$34,$AE559)&gt;0,INDEX(Profils!$AE$5:$AE$34,$AE559)&lt;=$AH559),ROUND(INDEX(Profils!$P$5:$P$34,$AE559)*Paramètres!$E$32*$AG559*$AJ559,Paramètres!$F$32),0)</f>
        <v>0.01</v>
      </c>
      <c r="W559" s="20" t="n">
        <f aca="false" t="array" ref="W559:W559">IF(AND(INDEX(Profils!$Q$5:$Q$34,$AE559)&gt;0,INDEX(Profils!$AF$5:$AF$34,$AE559)&lt;=$AH559),ROUND(INDEX(Profils!$Q$5:$Q$34,$AE559)*Paramètres!$E$33*$AG559*$AJ559,Paramètres!$F$33),0)</f>
        <v>0</v>
      </c>
      <c r="X559" s="20" t="n">
        <f aca="false" t="array" ref="X559:X559">IF(AND(INDEX(Profils!$R$5:$R$34,$AE559)&gt;0,INDEX(Profils!$AG$5:$AG$34,$AE559)&lt;=$AH559),ROUND(INDEX(Profils!$R$5:$R$34,$AE559)*Paramètres!$E$34*$AG559*$AJ559,Paramètres!$F$34),0)</f>
        <v>0.015</v>
      </c>
      <c r="Y559" s="20" t="n">
        <f aca="false" t="array" ref="Y559:Y559">IF(AND(INDEX(Profils!$S$5:$S$34,$AE559)&gt;0,INDEX(Profils!$AH$5:$AH$34,$AE559)&lt;=$AH559),ROUND(INDEX(Profils!$S$5:$S$34,$AE559)*Paramètres!$E$35*$AG559*$AJ559,Paramètres!$F$35),0)</f>
        <v>0</v>
      </c>
      <c r="Z559" s="21" t="n">
        <f aca="false">ROUND(L559/Paramètres!$E$22+M559/Paramètres!$E$23+N559/Paramètres!$E$24+O559/Paramètres!$E$25+P559/Paramètres!$E$26+Q559/Paramètres!$E$27+R559/Paramètres!$E$28+S559/Paramètres!$E$29+T559/Paramètres!$E$30+U559/Paramètres!$E$31+V559/Paramètres!$E$32+W559/Paramètres!$E$33+X559/Paramètres!$E$34+Y559/Paramètres!$E$35,1)</f>
        <v>3.1</v>
      </c>
      <c r="AA559" s="22" t="s">
        <v>109</v>
      </c>
      <c r="AB559" s="22" t="s">
        <v>109</v>
      </c>
      <c r="AC559" s="15" t="str">
        <f aca="false">$E559</f>
        <v>étoffe astrale</v>
      </c>
      <c r="AD559" s="16" t="n">
        <f aca="false" t="array" ref="AD559:AD559">IF($I559&gt;=$AI559,"Max",ROUND(Paramètres!$B$40*($I559+1)^Paramètres!$B$41*INDEX(Paramètres!$H$6:$H$12,$AF559),0))</f>
        <v>4</v>
      </c>
      <c r="AE559" s="23" t="n">
        <f aca="false">MATCH($B559&amp;"|"&amp;$C559,Profils!$A$5:$A$34,0)</f>
        <v>18</v>
      </c>
      <c r="AF559" s="23" t="n">
        <v>3</v>
      </c>
      <c r="AG559" s="24" t="n">
        <f aca="false" t="array" ref="AG559:AG559">INDEX(Paramètres!$C$6:$C$12,$AF559)</f>
        <v>1.45</v>
      </c>
      <c r="AH559" s="23" t="n">
        <f aca="false" t="array" ref="AH559:AH559">INDEX(Paramètres!$D$6:$D$12,$AF559)</f>
        <v>4</v>
      </c>
      <c r="AI559" s="23" t="n">
        <f aca="false" t="array" ref="AI559:AI559">INDEX(Matériaux!$C$16:$C$20,$D559)</f>
        <v>30</v>
      </c>
      <c r="AJ559" s="25" t="n">
        <f aca="false">Paramètres!$B$16+(1-Paramètres!$B$16)*(($J559-Paramètres!$B$14)/(Paramètres!$B$15-Paramètres!$B$14))^Paramètres!$B$17</f>
        <v>0.665999387952727</v>
      </c>
    </row>
    <row r="560" customFormat="false" ht="15.75" hidden="false" customHeight="true" outlineLevel="0" collapsed="false">
      <c r="A560" s="14" t="s">
        <v>676</v>
      </c>
      <c r="B560" s="15" t="s">
        <v>29</v>
      </c>
      <c r="C560" s="15" t="s">
        <v>337</v>
      </c>
      <c r="D560" s="16" t="n">
        <v>5</v>
      </c>
      <c r="E560" s="15" t="str">
        <f aca="false" t="array" ref="E560:E560">INDEX(Matériaux!$B$5:$F$12,MATCH(INDEX(Profils!$E$5:$E$34,$AE560),Matériaux!$A$5:$A$12,0),$D560)</f>
        <v>étoffe astrale</v>
      </c>
      <c r="F560" s="28" t="s">
        <v>115</v>
      </c>
      <c r="G560" s="10" t="str">
        <f aca="false" t="array" ref="G560:G560">INDEX(Profils!$D$5:$D$34,$AE560)&amp;" en "&amp;$E560</f>
        <v>Ceinture en étoffe astrale</v>
      </c>
      <c r="H560" s="16" t="n">
        <f aca="false" t="array" ref="H560:H560">INDEX(Matériaux!$B$16:$B$20,$D560)</f>
        <v>70</v>
      </c>
      <c r="I560" s="16" t="n">
        <f aca="false">IF(ISNUMBER($C$3),MIN(MAX(0,ROUND($C$3,0)),$AI560),$AI560)</f>
        <v>0</v>
      </c>
      <c r="J560" s="18" t="n">
        <f aca="false">$H560+$I560</f>
        <v>70</v>
      </c>
      <c r="K560" s="15" t="s">
        <v>109</v>
      </c>
      <c r="L560" s="19" t="n">
        <f aca="false" t="array" ref="L560:L560">IF(AND(INDEX(Profils!$F$5:$F$34,$AE560)&gt;0,INDEX(Profils!$U$5:$U$34,$AE560)&lt;=$AH560),ROUND(INDEX(Profils!$F$5:$F$34,$AE560)*Paramètres!$E$22*$AG560*$AJ560,Paramètres!$F$22),0)</f>
        <v>26</v>
      </c>
      <c r="M560" s="19" t="n">
        <f aca="false" t="array" ref="M560:M560">IF(AND(INDEX(Profils!$G$5:$G$34,$AE560)&gt;0,INDEX(Profils!$V$5:$V$34,$AE560)&lt;=$AH560),ROUND(INDEX(Profils!$G$5:$G$34,$AE560)*Paramètres!$E$23*$AG560*$AJ560,Paramètres!$F$23),0)</f>
        <v>0</v>
      </c>
      <c r="N560" s="19" t="n">
        <f aca="false" t="array" ref="N560:N560">IF(AND(INDEX(Profils!$H$5:$H$34,$AE560)&gt;0,INDEX(Profils!$W$5:$W$34,$AE560)&lt;=$AH560),ROUND(INDEX(Profils!$H$5:$H$34,$AE560)*Paramètres!$E$24*$AG560*$AJ560,Paramètres!$F$24),0)</f>
        <v>0</v>
      </c>
      <c r="O560" s="19" t="n">
        <f aca="false" t="array" ref="O560:O560">IF(AND(INDEX(Profils!$I$5:$I$34,$AE560)&gt;0,INDEX(Profils!$X$5:$X$34,$AE560)&lt;=$AH560),ROUND(INDEX(Profils!$I$5:$I$34,$AE560)*Paramètres!$E$25*$AG560*$AJ560,Paramètres!$F$25),0)</f>
        <v>14</v>
      </c>
      <c r="P560" s="19" t="n">
        <f aca="false" t="array" ref="P560:P560">IF(AND(INDEX(Profils!$J$5:$J$34,$AE560)&gt;0,INDEX(Profils!$Y$5:$Y$34,$AE560)&lt;=$AH560),ROUND(INDEX(Profils!$J$5:$J$34,$AE560)*Paramètres!$E$26*$AG560*$AJ560,Paramètres!$F$26),0)</f>
        <v>0</v>
      </c>
      <c r="Q560" s="19" t="n">
        <f aca="false" t="array" ref="Q560:Q560">IF(AND(INDEX(Profils!$K$5:$K$34,$AE560)&gt;0,INDEX(Profils!$Z$5:$Z$34,$AE560)&lt;=$AH560),ROUND(INDEX(Profils!$K$5:$K$34,$AE560)*Paramètres!$E$27*$AG560*$AJ560,Paramètres!$F$27),0)</f>
        <v>0</v>
      </c>
      <c r="R560" s="20" t="n">
        <f aca="false" t="array" ref="R560:R560">IF(AND(INDEX(Profils!$L$5:$L$34,$AE560)&gt;0,INDEX(Profils!$AA$5:$AA$34,$AE560)&lt;=$AH560),ROUND(INDEX(Profils!$L$5:$L$34,$AE560)*Paramètres!$E$28*$AG560*$AJ560,Paramètres!$F$28),0)</f>
        <v>0</v>
      </c>
      <c r="S560" s="20" t="n">
        <f aca="false" t="array" ref="S560:S560">IF(AND(INDEX(Profils!$M$5:$M$34,$AE560)&gt;0,INDEX(Profils!$AB$5:$AB$34,$AE560)&lt;=$AH560),ROUND(INDEX(Profils!$M$5:$M$34,$AE560)*Paramètres!$E$29*$AG560*$AJ560,Paramètres!$F$29),0)</f>
        <v>0</v>
      </c>
      <c r="T560" s="20" t="n">
        <f aca="false" t="array" ref="T560:T560">IF(AND(INDEX(Profils!$N$5:$N$34,$AE560)&gt;0,INDEX(Profils!$AC$5:$AC$34,$AE560)&lt;=$AH560),ROUND(INDEX(Profils!$N$5:$N$34,$AE560)*Paramètres!$E$30*$AG560*$AJ560,Paramètres!$F$30),0)</f>
        <v>0</v>
      </c>
      <c r="U560" s="19" t="n">
        <f aca="false" t="array" ref="U560:U560">IF(AND(INDEX(Profils!$O$5:$O$34,$AE560)&gt;0,INDEX(Profils!$AD$5:$AD$34,$AE560)&lt;=$AH560),ROUND(INDEX(Profils!$O$5:$O$34,$AE560)*Paramètres!$E$31*$AG560*$AJ560,Paramètres!$F$31),0)</f>
        <v>0</v>
      </c>
      <c r="V560" s="20" t="n">
        <f aca="false" t="array" ref="V560:V560">IF(AND(INDEX(Profils!$P$5:$P$34,$AE560)&gt;0,INDEX(Profils!$AE$5:$AE$34,$AE560)&lt;=$AH560),ROUND(INDEX(Profils!$P$5:$P$34,$AE560)*Paramètres!$E$32*$AG560*$AJ560,Paramètres!$F$32),0)</f>
        <v>0.012</v>
      </c>
      <c r="W560" s="20" t="n">
        <f aca="false" t="array" ref="W560:W560">IF(AND(INDEX(Profils!$Q$5:$Q$34,$AE560)&gt;0,INDEX(Profils!$AF$5:$AF$34,$AE560)&lt;=$AH560),ROUND(INDEX(Profils!$Q$5:$Q$34,$AE560)*Paramètres!$E$33*$AG560*$AJ560,Paramètres!$F$33),0)</f>
        <v>0</v>
      </c>
      <c r="X560" s="20" t="n">
        <f aca="false" t="array" ref="X560:X560">IF(AND(INDEX(Profils!$R$5:$R$34,$AE560)&gt;0,INDEX(Profils!$AG$5:$AG$34,$AE560)&lt;=$AH560),ROUND(INDEX(Profils!$R$5:$R$34,$AE560)*Paramètres!$E$34*$AG560*$AJ560,Paramètres!$F$34),0)</f>
        <v>0.019</v>
      </c>
      <c r="Y560" s="20" t="n">
        <f aca="false" t="array" ref="Y560:Y560">IF(AND(INDEX(Profils!$S$5:$S$34,$AE560)&gt;0,INDEX(Profils!$AH$5:$AH$34,$AE560)&lt;=$AH560),ROUND(INDEX(Profils!$S$5:$S$34,$AE560)*Paramètres!$E$35*$AG560*$AJ560,Paramètres!$F$35),0)</f>
        <v>0.012</v>
      </c>
      <c r="Z560" s="21" t="n">
        <f aca="false">ROUND(L560/Paramètres!$E$22+M560/Paramètres!$E$23+N560/Paramètres!$E$24+O560/Paramètres!$E$25+P560/Paramètres!$E$26+Q560/Paramètres!$E$27+R560/Paramètres!$E$28+S560/Paramètres!$E$29+T560/Paramètres!$E$30+U560/Paramètres!$E$31+V560/Paramètres!$E$32+W560/Paramètres!$E$33+X560/Paramètres!$E$34+Y560/Paramètres!$E$35,1)</f>
        <v>4.5</v>
      </c>
      <c r="AA560" s="22" t="s">
        <v>109</v>
      </c>
      <c r="AB560" s="22" t="s">
        <v>109</v>
      </c>
      <c r="AC560" s="15" t="str">
        <f aca="false">$E560</f>
        <v>étoffe astrale</v>
      </c>
      <c r="AD560" s="16" t="n">
        <f aca="false" t="array" ref="AD560:AD560">IF($I560&gt;=$AI560,"Max",ROUND(Paramètres!$B$40*($I560+1)^Paramètres!$B$41*INDEX(Paramètres!$H$6:$H$12,$AF560),0))</f>
        <v>5</v>
      </c>
      <c r="AE560" s="23" t="n">
        <f aca="false">MATCH($B560&amp;"|"&amp;$C560,Profils!$A$5:$A$34,0)</f>
        <v>18</v>
      </c>
      <c r="AF560" s="23" t="n">
        <v>4</v>
      </c>
      <c r="AG560" s="24" t="n">
        <f aca="false" t="array" ref="AG560:AG560">INDEX(Paramètres!$C$6:$C$12,$AF560)</f>
        <v>1.75</v>
      </c>
      <c r="AH560" s="23" t="n">
        <f aca="false" t="array" ref="AH560:AH560">INDEX(Paramètres!$D$6:$D$12,$AF560)</f>
        <v>5</v>
      </c>
      <c r="AI560" s="23" t="n">
        <f aca="false" t="array" ref="AI560:AI560">INDEX(Matériaux!$C$16:$C$20,$D560)</f>
        <v>30</v>
      </c>
      <c r="AJ560" s="25" t="n">
        <f aca="false">Paramètres!$B$16+(1-Paramètres!$B$16)*(($J560-Paramètres!$B$14)/(Paramètres!$B$15-Paramètres!$B$14))^Paramètres!$B$17</f>
        <v>0.665999387952727</v>
      </c>
    </row>
    <row r="561" customFormat="false" ht="15.75" hidden="false" customHeight="true" outlineLevel="0" collapsed="false">
      <c r="A561" s="14" t="s">
        <v>677</v>
      </c>
      <c r="B561" s="15" t="s">
        <v>29</v>
      </c>
      <c r="C561" s="15" t="s">
        <v>337</v>
      </c>
      <c r="D561" s="16" t="n">
        <v>5</v>
      </c>
      <c r="E561" s="15" t="str">
        <f aca="false" t="array" ref="E561:E561">INDEX(Matériaux!$B$5:$F$12,MATCH(INDEX(Profils!$E$5:$E$34,$AE561),Matériaux!$A$5:$A$12,0),$D561)</f>
        <v>étoffe astrale</v>
      </c>
      <c r="F561" s="29" t="s">
        <v>117</v>
      </c>
      <c r="G561" s="10" t="str">
        <f aca="false" t="array" ref="G561:G561">INDEX(Profils!$D$5:$D$34,$AE561)&amp;" en "&amp;$E561</f>
        <v>Ceinture en étoffe astrale</v>
      </c>
      <c r="H561" s="16" t="n">
        <f aca="false" t="array" ref="H561:H561">INDEX(Matériaux!$B$16:$B$20,$D561)</f>
        <v>70</v>
      </c>
      <c r="I561" s="16" t="n">
        <f aca="false">IF(ISNUMBER($C$3),MIN(MAX(0,ROUND($C$3,0)),$AI561),$AI561)</f>
        <v>0</v>
      </c>
      <c r="J561" s="18" t="n">
        <f aca="false">$H561+$I561</f>
        <v>70</v>
      </c>
      <c r="K561" s="15" t="s">
        <v>109</v>
      </c>
      <c r="L561" s="19" t="n">
        <f aca="false" t="array" ref="L561:L561">IF(AND(INDEX(Profils!$F$5:$F$34,$AE561)&gt;0,INDEX(Profils!$U$5:$U$34,$AE561)&lt;=$AH561),ROUND(INDEX(Profils!$F$5:$F$34,$AE561)*Paramètres!$E$22*$AG561*$AJ561,Paramètres!$F$22),0)</f>
        <v>31</v>
      </c>
      <c r="M561" s="19" t="n">
        <f aca="false" t="array" ref="M561:M561">IF(AND(INDEX(Profils!$G$5:$G$34,$AE561)&gt;0,INDEX(Profils!$V$5:$V$34,$AE561)&lt;=$AH561),ROUND(INDEX(Profils!$G$5:$G$34,$AE561)*Paramètres!$E$23*$AG561*$AJ561,Paramètres!$F$23),0)</f>
        <v>0</v>
      </c>
      <c r="N561" s="19" t="n">
        <f aca="false" t="array" ref="N561:N561">IF(AND(INDEX(Profils!$H$5:$H$34,$AE561)&gt;0,INDEX(Profils!$W$5:$W$34,$AE561)&lt;=$AH561),ROUND(INDEX(Profils!$H$5:$H$34,$AE561)*Paramètres!$E$24*$AG561*$AJ561,Paramètres!$F$24),0)</f>
        <v>0</v>
      </c>
      <c r="O561" s="19" t="n">
        <f aca="false" t="array" ref="O561:O561">IF(AND(INDEX(Profils!$I$5:$I$34,$AE561)&gt;0,INDEX(Profils!$X$5:$X$34,$AE561)&lt;=$AH561),ROUND(INDEX(Profils!$I$5:$I$34,$AE561)*Paramètres!$E$25*$AG561*$AJ561,Paramètres!$F$25),0)</f>
        <v>17</v>
      </c>
      <c r="P561" s="19" t="n">
        <f aca="false" t="array" ref="P561:P561">IF(AND(INDEX(Profils!$J$5:$J$34,$AE561)&gt;0,INDEX(Profils!$Y$5:$Y$34,$AE561)&lt;=$AH561),ROUND(INDEX(Profils!$J$5:$J$34,$AE561)*Paramètres!$E$26*$AG561*$AJ561,Paramètres!$F$26),0)</f>
        <v>8</v>
      </c>
      <c r="Q561" s="19" t="n">
        <f aca="false" t="array" ref="Q561:Q561">IF(AND(INDEX(Profils!$K$5:$K$34,$AE561)&gt;0,INDEX(Profils!$Z$5:$Z$34,$AE561)&lt;=$AH561),ROUND(INDEX(Profils!$K$5:$K$34,$AE561)*Paramètres!$E$27*$AG561*$AJ561,Paramètres!$F$27),0)</f>
        <v>0</v>
      </c>
      <c r="R561" s="20" t="n">
        <f aca="false" t="array" ref="R561:R561">IF(AND(INDEX(Profils!$L$5:$L$34,$AE561)&gt;0,INDEX(Profils!$AA$5:$AA$34,$AE561)&lt;=$AH561),ROUND(INDEX(Profils!$L$5:$L$34,$AE561)*Paramètres!$E$28*$AG561*$AJ561,Paramètres!$F$28),0)</f>
        <v>0</v>
      </c>
      <c r="S561" s="20" t="n">
        <f aca="false" t="array" ref="S561:S561">IF(AND(INDEX(Profils!$M$5:$M$34,$AE561)&gt;0,INDEX(Profils!$AB$5:$AB$34,$AE561)&lt;=$AH561),ROUND(INDEX(Profils!$M$5:$M$34,$AE561)*Paramètres!$E$29*$AG561*$AJ561,Paramètres!$F$29),0)</f>
        <v>0</v>
      </c>
      <c r="T561" s="20" t="n">
        <f aca="false" t="array" ref="T561:T561">IF(AND(INDEX(Profils!$N$5:$N$34,$AE561)&gt;0,INDEX(Profils!$AC$5:$AC$34,$AE561)&lt;=$AH561),ROUND(INDEX(Profils!$N$5:$N$34,$AE561)*Paramètres!$E$30*$AG561*$AJ561,Paramètres!$F$30),0)</f>
        <v>0</v>
      </c>
      <c r="U561" s="19" t="n">
        <f aca="false" t="array" ref="U561:U561">IF(AND(INDEX(Profils!$O$5:$O$34,$AE561)&gt;0,INDEX(Profils!$AD$5:$AD$34,$AE561)&lt;=$AH561),ROUND(INDEX(Profils!$O$5:$O$34,$AE561)*Paramètres!$E$31*$AG561*$AJ561,Paramètres!$F$31),0)</f>
        <v>0</v>
      </c>
      <c r="V561" s="20" t="n">
        <f aca="false" t="array" ref="V561:V561">IF(AND(INDEX(Profils!$P$5:$P$34,$AE561)&gt;0,INDEX(Profils!$AE$5:$AE$34,$AE561)&lt;=$AH561),ROUND(INDEX(Profils!$P$5:$P$34,$AE561)*Paramètres!$E$32*$AG561*$AJ561,Paramètres!$F$32),0)</f>
        <v>0.015</v>
      </c>
      <c r="W561" s="20" t="n">
        <f aca="false" t="array" ref="W561:W561">IF(AND(INDEX(Profils!$Q$5:$Q$34,$AE561)&gt;0,INDEX(Profils!$AF$5:$AF$34,$AE561)&lt;=$AH561),ROUND(INDEX(Profils!$Q$5:$Q$34,$AE561)*Paramètres!$E$33*$AG561*$AJ561,Paramètres!$F$33),0)</f>
        <v>0</v>
      </c>
      <c r="X561" s="20" t="n">
        <f aca="false" t="array" ref="X561:X561">IF(AND(INDEX(Profils!$R$5:$R$34,$AE561)&gt;0,INDEX(Profils!$AG$5:$AG$34,$AE561)&lt;=$AH561),ROUND(INDEX(Profils!$R$5:$R$34,$AE561)*Paramètres!$E$34*$AG561*$AJ561,Paramètres!$F$34),0)</f>
        <v>0.022</v>
      </c>
      <c r="Y561" s="20" t="n">
        <f aca="false" t="array" ref="Y561:Y561">IF(AND(INDEX(Profils!$S$5:$S$34,$AE561)&gt;0,INDEX(Profils!$AH$5:$AH$34,$AE561)&lt;=$AH561),ROUND(INDEX(Profils!$S$5:$S$34,$AE561)*Paramètres!$E$35*$AG561*$AJ561,Paramètres!$F$35),0)</f>
        <v>0.015</v>
      </c>
      <c r="Z561" s="21" t="n">
        <f aca="false">ROUND(L561/Paramètres!$E$22+M561/Paramètres!$E$23+N561/Paramètres!$E$24+O561/Paramètres!$E$25+P561/Paramètres!$E$26+Q561/Paramètres!$E$27+R561/Paramètres!$E$28+S561/Paramètres!$E$29+T561/Paramètres!$E$30+U561/Paramètres!$E$31+V561/Paramètres!$E$32+W561/Paramètres!$E$33+X561/Paramètres!$E$34+Y561/Paramètres!$E$35,1)</f>
        <v>6.1</v>
      </c>
      <c r="AA561" s="22" t="s">
        <v>109</v>
      </c>
      <c r="AB561" s="22" t="s">
        <v>109</v>
      </c>
      <c r="AC561" s="15" t="str">
        <f aca="false">$E561</f>
        <v>étoffe astrale</v>
      </c>
      <c r="AD561" s="16" t="n">
        <f aca="false" t="array" ref="AD561:AD561">IF($I561&gt;=$AI561,"Max",ROUND(Paramètres!$B$40*($I561+1)^Paramètres!$B$41*INDEX(Paramètres!$H$6:$H$12,$AF561),0))</f>
        <v>6</v>
      </c>
      <c r="AE561" s="23" t="n">
        <f aca="false">MATCH($B561&amp;"|"&amp;$C561,Profils!$A$5:$A$34,0)</f>
        <v>18</v>
      </c>
      <c r="AF561" s="23" t="n">
        <v>5</v>
      </c>
      <c r="AG561" s="24" t="n">
        <f aca="false" t="array" ref="AG561:AG561">INDEX(Paramètres!$C$6:$C$12,$AF561)</f>
        <v>2.1</v>
      </c>
      <c r="AH561" s="23" t="n">
        <f aca="false" t="array" ref="AH561:AH561">INDEX(Paramètres!$D$6:$D$12,$AF561)</f>
        <v>6</v>
      </c>
      <c r="AI561" s="23" t="n">
        <f aca="false" t="array" ref="AI561:AI561">INDEX(Matériaux!$C$16:$C$20,$D561)</f>
        <v>30</v>
      </c>
      <c r="AJ561" s="25" t="n">
        <f aca="false">Paramètres!$B$16+(1-Paramètres!$B$16)*(($J561-Paramètres!$B$14)/(Paramètres!$B$15-Paramètres!$B$14))^Paramètres!$B$17</f>
        <v>0.665999387952727</v>
      </c>
    </row>
    <row r="562" customFormat="false" ht="15.75" hidden="false" customHeight="true" outlineLevel="0" collapsed="false">
      <c r="A562" s="14" t="s">
        <v>678</v>
      </c>
      <c r="B562" s="15" t="s">
        <v>29</v>
      </c>
      <c r="C562" s="15" t="s">
        <v>337</v>
      </c>
      <c r="D562" s="16" t="n">
        <v>5</v>
      </c>
      <c r="E562" s="15" t="str">
        <f aca="false" t="array" ref="E562:E562">INDEX(Matériaux!$B$5:$F$12,MATCH(INDEX(Profils!$E$5:$E$34,$AE562),Matériaux!$A$5:$A$12,0),$D562)</f>
        <v>étoffe astrale</v>
      </c>
      <c r="F562" s="30" t="s">
        <v>119</v>
      </c>
      <c r="G562" s="10" t="str">
        <f aca="false" t="array" ref="G562:G562">INDEX(Profils!$D$5:$D$34,$AE562)&amp;" en "&amp;$E562</f>
        <v>Ceinture en étoffe astrale</v>
      </c>
      <c r="H562" s="16" t="n">
        <f aca="false" t="array" ref="H562:H562">INDEX(Matériaux!$B$16:$B$20,$D562)</f>
        <v>70</v>
      </c>
      <c r="I562" s="16" t="n">
        <f aca="false">IF(ISNUMBER($C$3),MIN(MAX(0,ROUND($C$3,0)),$AI562),$AI562)</f>
        <v>0</v>
      </c>
      <c r="J562" s="18" t="n">
        <f aca="false">$H562+$I562</f>
        <v>70</v>
      </c>
      <c r="K562" s="15" t="s">
        <v>109</v>
      </c>
      <c r="L562" s="19" t="n">
        <f aca="false" t="array" ref="L562:L562">IF(AND(INDEX(Profils!$F$5:$F$34,$AE562)&gt;0,INDEX(Profils!$U$5:$U$34,$AE562)&lt;=$AH562),ROUND(INDEX(Profils!$F$5:$F$34,$AE562)*Paramètres!$E$22*$AG562*$AJ562,Paramètres!$F$22),0)</f>
        <v>36</v>
      </c>
      <c r="M562" s="19" t="n">
        <f aca="false" t="array" ref="M562:M562">IF(AND(INDEX(Profils!$G$5:$G$34,$AE562)&gt;0,INDEX(Profils!$V$5:$V$34,$AE562)&lt;=$AH562),ROUND(INDEX(Profils!$G$5:$G$34,$AE562)*Paramètres!$E$23*$AG562*$AJ562,Paramètres!$F$23),0)</f>
        <v>0</v>
      </c>
      <c r="N562" s="19" t="n">
        <f aca="false" t="array" ref="N562:N562">IF(AND(INDEX(Profils!$H$5:$H$34,$AE562)&gt;0,INDEX(Profils!$W$5:$W$34,$AE562)&lt;=$AH562),ROUND(INDEX(Profils!$H$5:$H$34,$AE562)*Paramètres!$E$24*$AG562*$AJ562,Paramètres!$F$24),0)</f>
        <v>0</v>
      </c>
      <c r="O562" s="19" t="n">
        <f aca="false" t="array" ref="O562:O562">IF(AND(INDEX(Profils!$I$5:$I$34,$AE562)&gt;0,INDEX(Profils!$X$5:$X$34,$AE562)&lt;=$AH562),ROUND(INDEX(Profils!$I$5:$I$34,$AE562)*Paramètres!$E$25*$AG562*$AJ562,Paramètres!$F$25),0)</f>
        <v>19</v>
      </c>
      <c r="P562" s="19" t="n">
        <f aca="false" t="array" ref="P562:P562">IF(AND(INDEX(Profils!$J$5:$J$34,$AE562)&gt;0,INDEX(Profils!$Y$5:$Y$34,$AE562)&lt;=$AH562),ROUND(INDEX(Profils!$J$5:$J$34,$AE562)*Paramètres!$E$26*$AG562*$AJ562,Paramètres!$F$26),0)</f>
        <v>10</v>
      </c>
      <c r="Q562" s="19" t="n">
        <f aca="false" t="array" ref="Q562:Q562">IF(AND(INDEX(Profils!$K$5:$K$34,$AE562)&gt;0,INDEX(Profils!$Z$5:$Z$34,$AE562)&lt;=$AH562),ROUND(INDEX(Profils!$K$5:$K$34,$AE562)*Paramètres!$E$27*$AG562*$AJ562,Paramètres!$F$27),0)</f>
        <v>0</v>
      </c>
      <c r="R562" s="20" t="n">
        <f aca="false" t="array" ref="R562:R562">IF(AND(INDEX(Profils!$L$5:$L$34,$AE562)&gt;0,INDEX(Profils!$AA$5:$AA$34,$AE562)&lt;=$AH562),ROUND(INDEX(Profils!$L$5:$L$34,$AE562)*Paramètres!$E$28*$AG562*$AJ562,Paramètres!$F$28),0)</f>
        <v>0</v>
      </c>
      <c r="S562" s="20" t="n">
        <f aca="false" t="array" ref="S562:S562">IF(AND(INDEX(Profils!$M$5:$M$34,$AE562)&gt;0,INDEX(Profils!$AB$5:$AB$34,$AE562)&lt;=$AH562),ROUND(INDEX(Profils!$M$5:$M$34,$AE562)*Paramètres!$E$29*$AG562*$AJ562,Paramètres!$F$29),0)</f>
        <v>0.01</v>
      </c>
      <c r="T562" s="20" t="n">
        <f aca="false" t="array" ref="T562:T562">IF(AND(INDEX(Profils!$N$5:$N$34,$AE562)&gt;0,INDEX(Profils!$AC$5:$AC$34,$AE562)&lt;=$AH562),ROUND(INDEX(Profils!$N$5:$N$34,$AE562)*Paramètres!$E$30*$AG562*$AJ562,Paramètres!$F$30),0)</f>
        <v>0</v>
      </c>
      <c r="U562" s="19" t="n">
        <f aca="false" t="array" ref="U562:U562">IF(AND(INDEX(Profils!$O$5:$O$34,$AE562)&gt;0,INDEX(Profils!$AD$5:$AD$34,$AE562)&lt;=$AH562),ROUND(INDEX(Profils!$O$5:$O$34,$AE562)*Paramètres!$E$31*$AG562*$AJ562,Paramètres!$F$31),0)</f>
        <v>0</v>
      </c>
      <c r="V562" s="20" t="n">
        <f aca="false" t="array" ref="V562:V562">IF(AND(INDEX(Profils!$P$5:$P$34,$AE562)&gt;0,INDEX(Profils!$AE$5:$AE$34,$AE562)&lt;=$AH562),ROUND(INDEX(Profils!$P$5:$P$34,$AE562)*Paramètres!$E$32*$AG562*$AJ562,Paramètres!$F$32),0)</f>
        <v>0.017</v>
      </c>
      <c r="W562" s="20" t="n">
        <f aca="false" t="array" ref="W562:W562">IF(AND(INDEX(Profils!$Q$5:$Q$34,$AE562)&gt;0,INDEX(Profils!$AF$5:$AF$34,$AE562)&lt;=$AH562),ROUND(INDEX(Profils!$Q$5:$Q$34,$AE562)*Paramètres!$E$33*$AG562*$AJ562,Paramètres!$F$33),0)</f>
        <v>0</v>
      </c>
      <c r="X562" s="20" t="n">
        <f aca="false" t="array" ref="X562:X562">IF(AND(INDEX(Profils!$R$5:$R$34,$AE562)&gt;0,INDEX(Profils!$AG$5:$AG$34,$AE562)&lt;=$AH562),ROUND(INDEX(Profils!$R$5:$R$34,$AE562)*Paramètres!$E$34*$AG562*$AJ562,Paramètres!$F$34),0)</f>
        <v>0.026</v>
      </c>
      <c r="Y562" s="20" t="n">
        <f aca="false" t="array" ref="Y562:Y562">IF(AND(INDEX(Profils!$S$5:$S$34,$AE562)&gt;0,INDEX(Profils!$AH$5:$AH$34,$AE562)&lt;=$AH562),ROUND(INDEX(Profils!$S$5:$S$34,$AE562)*Paramètres!$E$35*$AG562*$AJ562,Paramètres!$F$35),0)</f>
        <v>0.017</v>
      </c>
      <c r="Z562" s="21" t="n">
        <f aca="false">ROUND(L562/Paramètres!$E$22+M562/Paramètres!$E$23+N562/Paramètres!$E$24+O562/Paramètres!$E$25+P562/Paramètres!$E$26+Q562/Paramètres!$E$27+R562/Paramètres!$E$28+S562/Paramètres!$E$29+T562/Paramètres!$E$30+U562/Paramètres!$E$31+V562/Paramètres!$E$32+W562/Paramètres!$E$33+X562/Paramètres!$E$34+Y562/Paramètres!$E$35,1)</f>
        <v>7.9</v>
      </c>
      <c r="AA562" s="22" t="s">
        <v>109</v>
      </c>
      <c r="AB562" s="22" t="s">
        <v>109</v>
      </c>
      <c r="AC562" s="15" t="str">
        <f aca="false">$E562</f>
        <v>étoffe astrale</v>
      </c>
      <c r="AD562" s="16" t="n">
        <f aca="false" t="array" ref="AD562:AD562">IF($I562&gt;=$AI562,"Max",ROUND(Paramètres!$B$40*($I562+1)^Paramètres!$B$41*INDEX(Paramètres!$H$6:$H$12,$AF562),0))</f>
        <v>8</v>
      </c>
      <c r="AE562" s="23" t="n">
        <f aca="false">MATCH($B562&amp;"|"&amp;$C562,Profils!$A$5:$A$34,0)</f>
        <v>18</v>
      </c>
      <c r="AF562" s="23" t="n">
        <v>6</v>
      </c>
      <c r="AG562" s="24" t="n">
        <f aca="false" t="array" ref="AG562:AG562">INDEX(Paramètres!$C$6:$C$12,$AF562)</f>
        <v>2.4</v>
      </c>
      <c r="AH562" s="23" t="n">
        <f aca="false" t="array" ref="AH562:AH562">INDEX(Paramètres!$D$6:$D$12,$AF562)</f>
        <v>7</v>
      </c>
      <c r="AI562" s="23" t="n">
        <f aca="false" t="array" ref="AI562:AI562">INDEX(Matériaux!$C$16:$C$20,$D562)</f>
        <v>30</v>
      </c>
      <c r="AJ562" s="25" t="n">
        <f aca="false">Paramètres!$B$16+(1-Paramètres!$B$16)*(($J562-Paramètres!$B$14)/(Paramètres!$B$15-Paramètres!$B$14))^Paramètres!$B$17</f>
        <v>0.665999387952727</v>
      </c>
    </row>
    <row r="563" customFormat="false" ht="15.75" hidden="false" customHeight="true" outlineLevel="0" collapsed="false">
      <c r="A563" s="14" t="s">
        <v>679</v>
      </c>
      <c r="B563" s="15" t="s">
        <v>29</v>
      </c>
      <c r="C563" s="15" t="s">
        <v>337</v>
      </c>
      <c r="D563" s="16" t="s">
        <v>109</v>
      </c>
      <c r="E563" s="15" t="s">
        <v>109</v>
      </c>
      <c r="F563" s="31" t="s">
        <v>38</v>
      </c>
      <c r="G563" s="10" t="str">
        <f aca="false" t="array" ref="G563:G563">INDEX(Uniques!$E$5:$E$34,MATCH($B563&amp;"|"&amp;$C563,Uniques!$A$5:$A$34,0))</f>
        <v>Ceinture du Feu Intérieur</v>
      </c>
      <c r="H563" s="16" t="n">
        <f aca="false" t="array" ref="H563:H563">INDEX(Uniques!$L$5:$L$34,MATCH($B563&amp;"|"&amp;$C563,Uniques!$A$5:$A$34,0))</f>
        <v>21</v>
      </c>
      <c r="I563" s="16" t="n">
        <f aca="false">IF(ISNUMBER($C$3),MIN(MAX(0,ROUND($C$3,0)),$AI563),$AI563)</f>
        <v>0</v>
      </c>
      <c r="J563" s="18" t="n">
        <f aca="false">$H563+$I563</f>
        <v>21</v>
      </c>
      <c r="K563" s="15" t="str">
        <f aca="false" t="array" ref="K563:K563">INDEX(Uniques!$F$5:$F$34,MATCH($B563&amp;"|"&amp;$C563,Uniques!$A$5:$A$34,0))</f>
        <v>Feu</v>
      </c>
      <c r="L563" s="19" t="n">
        <f aca="false" t="array" ref="L563:L563">IF(AND(INDEX(Profils!$F$5:$F$34,$AE563)&gt;0,INDEX(Profils!$U$5:$U$34,$AE563)&lt;=$AH563),ROUND(INDEX(Profils!$F$5:$F$34,$AE563)*Paramètres!$E$22*$AG563*$AJ563,Paramètres!$F$22),0)</f>
        <v>11</v>
      </c>
      <c r="M563" s="19" t="n">
        <f aca="false" t="array" ref="M563:M563">IF(AND(INDEX(Profils!$G$5:$G$34,$AE563)&gt;0,INDEX(Profils!$V$5:$V$34,$AE563)&lt;=$AH563),ROUND(INDEX(Profils!$G$5:$G$34,$AE563)*Paramètres!$E$23*$AG563*$AJ563,Paramètres!$F$23),0)</f>
        <v>0</v>
      </c>
      <c r="N563" s="19" t="n">
        <f aca="false" t="array" ref="N563:N563">IF(AND(INDEX(Profils!$H$5:$H$34,$AE563)&gt;0,INDEX(Profils!$W$5:$W$34,$AE563)&lt;=$AH563),ROUND(INDEX(Profils!$H$5:$H$34,$AE563)*Paramètres!$E$24*$AG563*$AJ563,Paramètres!$F$24),0)</f>
        <v>0</v>
      </c>
      <c r="O563" s="19" t="n">
        <f aca="false" t="array" ref="O563:O563">IF(AND(INDEX(Profils!$I$5:$I$34,$AE563)&gt;0,INDEX(Profils!$X$5:$X$34,$AE563)&lt;=$AH563),ROUND(INDEX(Profils!$I$5:$I$34,$AE563)*Paramètres!$E$25*$AG563*$AJ563,Paramètres!$F$25),0)</f>
        <v>6</v>
      </c>
      <c r="P563" s="19" t="n">
        <f aca="false" t="array" ref="P563:P563">IF(AND(INDEX(Profils!$J$5:$J$34,$AE563)&gt;0,INDEX(Profils!$Y$5:$Y$34,$AE563)&lt;=$AH563),ROUND(INDEX(Profils!$J$5:$J$34,$AE563)*Paramètres!$E$26*$AG563*$AJ563,Paramètres!$F$26),0)</f>
        <v>3</v>
      </c>
      <c r="Q563" s="19" t="n">
        <f aca="false" t="array" ref="Q563:Q563">IF(AND(INDEX(Profils!$K$5:$K$34,$AE563)&gt;0,INDEX(Profils!$Z$5:$Z$34,$AE563)&lt;=$AH563),ROUND(INDEX(Profils!$K$5:$K$34,$AE563)*Paramètres!$E$27*$AG563*$AJ563,Paramètres!$F$27),0)</f>
        <v>0</v>
      </c>
      <c r="R563" s="20" t="n">
        <f aca="false" t="array" ref="R563:R563">IF(AND(INDEX(Profils!$L$5:$L$34,$AE563)&gt;0,INDEX(Profils!$AA$5:$AA$34,$AE563)&lt;=$AH563),ROUND(INDEX(Profils!$L$5:$L$34,$AE563)*Paramètres!$E$28*$AG563*$AJ563,Paramètres!$F$28),0)</f>
        <v>0</v>
      </c>
      <c r="S563" s="20" t="n">
        <f aca="false" t="array" ref="S563:S563">IF(AND(INDEX(Profils!$M$5:$M$34,$AE563)&gt;0,INDEX(Profils!$AB$5:$AB$34,$AE563)&lt;=$AH563),ROUND(INDEX(Profils!$M$5:$M$34,$AE563)*Paramètres!$E$29*$AG563*$AJ563,Paramètres!$F$29),0)</f>
        <v>0.003</v>
      </c>
      <c r="T563" s="20" t="n">
        <f aca="false" t="array" ref="T563:T563">IF(AND(INDEX(Profils!$N$5:$N$34,$AE563)&gt;0,INDEX(Profils!$AC$5:$AC$34,$AE563)&lt;=$AH563),ROUND(INDEX(Profils!$N$5:$N$34,$AE563)*Paramètres!$E$30*$AG563*$AJ563,Paramètres!$F$30),0)</f>
        <v>0</v>
      </c>
      <c r="U563" s="19" t="n">
        <f aca="false" t="array" ref="U563:U563">IF(AND(INDEX(Profils!$O$5:$O$34,$AE563)&gt;0,INDEX(Profils!$AD$5:$AD$34,$AE563)&lt;=$AH563),ROUND(INDEX(Profils!$O$5:$O$34,$AE563)*Paramètres!$E$31*$AG563*$AJ563,Paramètres!$F$31),0)</f>
        <v>0</v>
      </c>
      <c r="V563" s="20" t="n">
        <f aca="false" t="array" ref="V563:V563">IF(AND(INDEX(Profils!$P$5:$P$34,$AE563)&gt;0,INDEX(Profils!$AE$5:$AE$34,$AE563)&lt;=$AH563),ROUND(INDEX(Profils!$P$5:$P$34,$AE563)*Paramètres!$E$32*$AG563*$AJ563,Paramètres!$F$32),0)</f>
        <v>0.005</v>
      </c>
      <c r="W563" s="20" t="n">
        <f aca="false" t="array" ref="W563:W563">IF(AND(INDEX(Profils!$Q$5:$Q$34,$AE563)&gt;0,INDEX(Profils!$AF$5:$AF$34,$AE563)&lt;=$AH563),ROUND(INDEX(Profils!$Q$5:$Q$34,$AE563)*Paramètres!$E$33*$AG563*$AJ563,Paramètres!$F$33),0)</f>
        <v>0</v>
      </c>
      <c r="X563" s="20" t="n">
        <f aca="false" t="array" ref="X563:X563">IF(AND(INDEX(Profils!$R$5:$R$34,$AE563)&gt;0,INDEX(Profils!$AG$5:$AG$34,$AE563)&lt;=$AH563),ROUND(INDEX(Profils!$R$5:$R$34,$AE563)*Paramètres!$E$34*$AG563*$AJ563,Paramètres!$F$34),0)</f>
        <v>0.008</v>
      </c>
      <c r="Y563" s="20" t="n">
        <f aca="false" t="array" ref="Y563:Y563">IF(AND(INDEX(Profils!$S$5:$S$34,$AE563)&gt;0,INDEX(Profils!$AH$5:$AH$34,$AE563)&lt;=$AH563),ROUND(INDEX(Profils!$S$5:$S$34,$AE563)*Paramètres!$E$35*$AG563*$AJ563,Paramètres!$F$35),0)</f>
        <v>0.005</v>
      </c>
      <c r="Z563" s="21" t="n">
        <f aca="false">ROUND(L563/Paramètres!$E$22+M563/Paramètres!$E$23+N563/Paramètres!$E$24+O563/Paramètres!$E$25+P563/Paramètres!$E$26+Q563/Paramètres!$E$27+R563/Paramètres!$E$28+S563/Paramètres!$E$29+T563/Paramètres!$E$30+U563/Paramètres!$E$31+V563/Paramètres!$E$32+W563/Paramètres!$E$33+X563/Paramètres!$E$34+Y563/Paramètres!$E$35,1)</f>
        <v>2.4</v>
      </c>
      <c r="AA563" s="22" t="str">
        <f aca="false" t="array" ref="AA563:AA563">INDEX(Uniques!$G$5:$G$34,MATCH($B563&amp;"|"&amp;$C563,Uniques!$A$5:$A$34,0))</f>
        <v>Flamme vive</v>
      </c>
      <c r="AB563" s="22" t="str">
        <f aca="false" t="array" ref="AB563:AB563">INDEX(Uniques!$H$5:$H$34,MATCH($B563&amp;"|"&amp;$C563,Uniques!$A$5:$A$34,0))&amp;" ["&amp;INDEX(Uniques!$I$5:$I$34,MATCH($B563&amp;"|"&amp;$C563,Uniques!$A$5:$A$34,0))&amp;"]"</f>
        <v>Les compétences de Feu appliquent Brûlure pendant 2 tours (10 % de la Magie par tour). [1 Brûlure par cible ; durée rafraîchie, jamais cumulée.]</v>
      </c>
      <c r="AC563" s="15" t="str">
        <f aca="false" t="array" ref="AC563:AC563">INDEX(Matériaux!$B$5:$F$12,MATCH(INDEX(Profils!$E$5:$E$34,$AE563),Matériaux!$A$5:$A$12,0),MATCH(MIN($J563+1,100),Matériaux!$B$16:$B$20,1))</f>
        <v>laine</v>
      </c>
      <c r="AD563" s="16" t="n">
        <f aca="false" t="array" ref="AD563:AD563">IF($I563&gt;=$AI563,"Max",ROUND(Paramètres!$B$40*($I563+1)^Paramètres!$B$41*INDEX(Paramètres!$H$6:$H$12,$AF563),0))</f>
        <v>9</v>
      </c>
      <c r="AE563" s="23" t="n">
        <f aca="false">MATCH($B563&amp;"|"&amp;$C563,Profils!$A$5:$A$34,0)</f>
        <v>18</v>
      </c>
      <c r="AF563" s="23" t="n">
        <v>7</v>
      </c>
      <c r="AG563" s="24" t="n">
        <f aca="false" t="array" ref="AG563:AG563">INDEX(Paramètres!$C$6:$C$12,$AF563)</f>
        <v>2.5</v>
      </c>
      <c r="AH563" s="23" t="n">
        <f aca="false" t="array" ref="AH563:AH563">INDEX(Paramètres!$D$6:$D$12,$AF563)</f>
        <v>7</v>
      </c>
      <c r="AI563" s="23" t="n">
        <f aca="false" t="array" ref="AI563:AI563">INDEX(Uniques!$M$5:$M$34,MATCH($B563&amp;"|"&amp;$C563,Uniques!$A$5:$A$34,0))</f>
        <v>79</v>
      </c>
      <c r="AJ563" s="25" t="n">
        <f aca="false">Paramètres!$B$16+(1-Paramètres!$B$16)*(($J563-Paramètres!$B$14)/(Paramètres!$B$15-Paramètres!$B$14))^Paramètres!$B$17</f>
        <v>0.189379007156239</v>
      </c>
    </row>
    <row r="564" customFormat="false" ht="15.75" hidden="false" customHeight="true" outlineLevel="0" collapsed="false">
      <c r="A564" s="14" t="s">
        <v>680</v>
      </c>
      <c r="B564" s="15" t="s">
        <v>29</v>
      </c>
      <c r="C564" s="15" t="s">
        <v>369</v>
      </c>
      <c r="D564" s="16" t="n">
        <v>1</v>
      </c>
      <c r="E564" s="15" t="str">
        <f aca="false" t="array" ref="E564:E564">INDEX(Matériaux!$B$5:$F$12,MATCH(INDEX(Profils!$E$5:$E$34,$AE564),Matériaux!$A$5:$A$12,0),$D564)</f>
        <v>bois</v>
      </c>
      <c r="F564" s="17" t="s">
        <v>108</v>
      </c>
      <c r="G564" s="10" t="str">
        <f aca="false" t="array" ref="G564:G564">INDEX(Profils!$D$5:$D$34,$AE564)&amp;" en "&amp;$E564</f>
        <v>Bâton en bois</v>
      </c>
      <c r="H564" s="16" t="n">
        <f aca="false" t="array" ref="H564:H564">INDEX(Matériaux!$B$16:$B$20,$D564)</f>
        <v>1</v>
      </c>
      <c r="I564" s="16" t="n">
        <f aca="false">IF(ISNUMBER($C$3),MIN(MAX(0,ROUND($C$3,0)),$AI564),$AI564)</f>
        <v>0</v>
      </c>
      <c r="J564" s="18" t="n">
        <f aca="false">$H564+$I564</f>
        <v>1</v>
      </c>
      <c r="K564" s="15" t="s">
        <v>109</v>
      </c>
      <c r="L564" s="19" t="n">
        <f aca="false" t="array" ref="L564:L564">IF(AND(INDEX(Profils!$F$5:$F$34,$AE564)&gt;0,INDEX(Profils!$U$5:$U$34,$AE564)&lt;=$AH564),ROUND(INDEX(Profils!$F$5:$F$34,$AE564)*Paramètres!$E$22*$AG564*$AJ564,Paramètres!$F$22),0)</f>
        <v>0</v>
      </c>
      <c r="M564" s="19" t="n">
        <f aca="false" t="array" ref="M564:M564">IF(AND(INDEX(Profils!$G$5:$G$34,$AE564)&gt;0,INDEX(Profils!$V$5:$V$34,$AE564)&lt;=$AH564),ROUND(INDEX(Profils!$G$5:$G$34,$AE564)*Paramètres!$E$23*$AG564*$AJ564,Paramètres!$F$23),0)</f>
        <v>0</v>
      </c>
      <c r="N564" s="19" t="n">
        <f aca="false" t="array" ref="N564:N564">IF(AND(INDEX(Profils!$H$5:$H$34,$AE564)&gt;0,INDEX(Profils!$W$5:$W$34,$AE564)&lt;=$AH564),ROUND(INDEX(Profils!$H$5:$H$34,$AE564)*Paramètres!$E$24*$AG564*$AJ564,Paramètres!$F$24),0)</f>
        <v>0</v>
      </c>
      <c r="O564" s="19" t="n">
        <f aca="false" t="array" ref="O564:O564">IF(AND(INDEX(Profils!$I$5:$I$34,$AE564)&gt;0,INDEX(Profils!$X$5:$X$34,$AE564)&lt;=$AH564),ROUND(INDEX(Profils!$I$5:$I$34,$AE564)*Paramètres!$E$25*$AG564*$AJ564,Paramètres!$F$25),0)</f>
        <v>2</v>
      </c>
      <c r="P564" s="19" t="n">
        <f aca="false" t="array" ref="P564:P564">IF(AND(INDEX(Profils!$J$5:$J$34,$AE564)&gt;0,INDEX(Profils!$Y$5:$Y$34,$AE564)&lt;=$AH564),ROUND(INDEX(Profils!$J$5:$J$34,$AE564)*Paramètres!$E$26*$AG564*$AJ564,Paramètres!$F$26),0)</f>
        <v>0</v>
      </c>
      <c r="Q564" s="19" t="n">
        <f aca="false" t="array" ref="Q564:Q564">IF(AND(INDEX(Profils!$K$5:$K$34,$AE564)&gt;0,INDEX(Profils!$Z$5:$Z$34,$AE564)&lt;=$AH564),ROUND(INDEX(Profils!$K$5:$K$34,$AE564)*Paramètres!$E$27*$AG564*$AJ564,Paramètres!$F$27),0)</f>
        <v>0</v>
      </c>
      <c r="R564" s="20" t="n">
        <f aca="false" t="array" ref="R564:R564">IF(AND(INDEX(Profils!$L$5:$L$34,$AE564)&gt;0,INDEX(Profils!$AA$5:$AA$34,$AE564)&lt;=$AH564),ROUND(INDEX(Profils!$L$5:$L$34,$AE564)*Paramètres!$E$28*$AG564*$AJ564,Paramètres!$F$28),0)</f>
        <v>0</v>
      </c>
      <c r="S564" s="20" t="n">
        <f aca="false" t="array" ref="S564:S564">IF(AND(INDEX(Profils!$M$5:$M$34,$AE564)&gt;0,INDEX(Profils!$AB$5:$AB$34,$AE564)&lt;=$AH564),ROUND(INDEX(Profils!$M$5:$M$34,$AE564)*Paramètres!$E$29*$AG564*$AJ564,Paramètres!$F$29),0)</f>
        <v>0</v>
      </c>
      <c r="T564" s="20" t="n">
        <f aca="false" t="array" ref="T564:T564">IF(AND(INDEX(Profils!$N$5:$N$34,$AE564)&gt;0,INDEX(Profils!$AC$5:$AC$34,$AE564)&lt;=$AH564),ROUND(INDEX(Profils!$N$5:$N$34,$AE564)*Paramètres!$E$30*$AG564*$AJ564,Paramètres!$F$30),0)</f>
        <v>0</v>
      </c>
      <c r="U564" s="19" t="n">
        <f aca="false" t="array" ref="U564:U564">IF(AND(INDEX(Profils!$O$5:$O$34,$AE564)&gt;0,INDEX(Profils!$AD$5:$AD$34,$AE564)&lt;=$AH564),ROUND(INDEX(Profils!$O$5:$O$34,$AE564)*Paramètres!$E$31*$AG564*$AJ564,Paramètres!$F$31),0)</f>
        <v>0</v>
      </c>
      <c r="V564" s="20" t="n">
        <f aca="false" t="array" ref="V564:V564">IF(AND(INDEX(Profils!$P$5:$P$34,$AE564)&gt;0,INDEX(Profils!$AE$5:$AE$34,$AE564)&lt;=$AH564),ROUND(INDEX(Profils!$P$5:$P$34,$AE564)*Paramètres!$E$32*$AG564*$AJ564,Paramètres!$F$32),0)</f>
        <v>0.001</v>
      </c>
      <c r="W564" s="20" t="n">
        <f aca="false" t="array" ref="W564:W564">IF(AND(INDEX(Profils!$Q$5:$Q$34,$AE564)&gt;0,INDEX(Profils!$AF$5:$AF$34,$AE564)&lt;=$AH564),ROUND(INDEX(Profils!$Q$5:$Q$34,$AE564)*Paramètres!$E$33*$AG564*$AJ564,Paramètres!$F$33),0)</f>
        <v>0</v>
      </c>
      <c r="X564" s="20" t="n">
        <f aca="false" t="array" ref="X564:X564">IF(AND(INDEX(Profils!$R$5:$R$34,$AE564)&gt;0,INDEX(Profils!$AG$5:$AG$34,$AE564)&lt;=$AH564),ROUND(INDEX(Profils!$R$5:$R$34,$AE564)*Paramètres!$E$34*$AG564*$AJ564,Paramètres!$F$34),0)</f>
        <v>0</v>
      </c>
      <c r="Y564" s="20" t="n">
        <f aca="false" t="array" ref="Y564:Y564">IF(AND(INDEX(Profils!$S$5:$S$34,$AE564)&gt;0,INDEX(Profils!$AH$5:$AH$34,$AE564)&lt;=$AH564),ROUND(INDEX(Profils!$S$5:$S$34,$AE564)*Paramètres!$E$35*$AG564*$AJ564,Paramètres!$F$35),0)</f>
        <v>0</v>
      </c>
      <c r="Z564" s="21" t="n">
        <f aca="false">ROUND(L564/Paramètres!$E$22+M564/Paramètres!$E$23+N564/Paramètres!$E$24+O564/Paramètres!$E$25+P564/Paramètres!$E$26+Q564/Paramètres!$E$27+R564/Paramètres!$E$28+S564/Paramètres!$E$29+T564/Paramètres!$E$30+U564/Paramètres!$E$31+V564/Paramètres!$E$32+W564/Paramètres!$E$33+X564/Paramètres!$E$34+Y564/Paramètres!$E$35,1)</f>
        <v>0.2</v>
      </c>
      <c r="AA564" s="22" t="s">
        <v>109</v>
      </c>
      <c r="AB564" s="22" t="s">
        <v>109</v>
      </c>
      <c r="AC564" s="15" t="str">
        <f aca="false">$E564</f>
        <v>bois</v>
      </c>
      <c r="AD564" s="16" t="n">
        <f aca="false" t="array" ref="AD564:AD564">IF($I564&gt;=$AI564,"Max",ROUND(Paramètres!$B$40*($I564+1)^Paramètres!$B$41*INDEX(Paramètres!$H$6:$H$12,$AF564),0))</f>
        <v>3</v>
      </c>
      <c r="AE564" s="23" t="n">
        <f aca="false">MATCH($B564&amp;"|"&amp;$C564,Profils!$A$5:$A$34,0)</f>
        <v>19</v>
      </c>
      <c r="AF564" s="23" t="n">
        <v>1</v>
      </c>
      <c r="AG564" s="24" t="n">
        <f aca="false" t="array" ref="AG564:AG564">INDEX(Paramètres!$C$6:$C$12,$AF564)</f>
        <v>1</v>
      </c>
      <c r="AH564" s="23" t="n">
        <f aca="false" t="array" ref="AH564:AH564">INDEX(Paramètres!$D$6:$D$12,$AF564)</f>
        <v>2</v>
      </c>
      <c r="AI564" s="23" t="n">
        <f aca="false" t="array" ref="AI564:AI564">INDEX(Matériaux!$C$16:$C$20,$D564)</f>
        <v>19</v>
      </c>
      <c r="AJ564" s="25" t="n">
        <f aca="false">Paramètres!$B$16+(1-Paramètres!$B$16)*(($J564-Paramètres!$B$14)/(Paramètres!$B$15-Paramètres!$B$14))^Paramètres!$B$17</f>
        <v>0.05</v>
      </c>
    </row>
    <row r="565" customFormat="false" ht="15.75" hidden="false" customHeight="true" outlineLevel="0" collapsed="false">
      <c r="A565" s="14" t="s">
        <v>681</v>
      </c>
      <c r="B565" s="15" t="s">
        <v>29</v>
      </c>
      <c r="C565" s="15" t="s">
        <v>369</v>
      </c>
      <c r="D565" s="16" t="n">
        <v>1</v>
      </c>
      <c r="E565" s="15" t="str">
        <f aca="false" t="array" ref="E565:E565">INDEX(Matériaux!$B$5:$F$12,MATCH(INDEX(Profils!$E$5:$E$34,$AE565),Matériaux!$A$5:$A$12,0),$D565)</f>
        <v>bois</v>
      </c>
      <c r="F565" s="26" t="s">
        <v>111</v>
      </c>
      <c r="G565" s="10" t="str">
        <f aca="false" t="array" ref="G565:G565">INDEX(Profils!$D$5:$D$34,$AE565)&amp;" en "&amp;$E565</f>
        <v>Bâton en bois</v>
      </c>
      <c r="H565" s="16" t="n">
        <f aca="false" t="array" ref="H565:H565">INDEX(Matériaux!$B$16:$B$20,$D565)</f>
        <v>1</v>
      </c>
      <c r="I565" s="16" t="n">
        <f aca="false">IF(ISNUMBER($C$3),MIN(MAX(0,ROUND($C$3,0)),$AI565),$AI565)</f>
        <v>0</v>
      </c>
      <c r="J565" s="18" t="n">
        <f aca="false">$H565+$I565</f>
        <v>1</v>
      </c>
      <c r="K565" s="15" t="s">
        <v>109</v>
      </c>
      <c r="L565" s="19" t="n">
        <f aca="false" t="array" ref="L565:L565">IF(AND(INDEX(Profils!$F$5:$F$34,$AE565)&gt;0,INDEX(Profils!$U$5:$U$34,$AE565)&lt;=$AH565),ROUND(INDEX(Profils!$F$5:$F$34,$AE565)*Paramètres!$E$22*$AG565*$AJ565,Paramètres!$F$22),0)</f>
        <v>0</v>
      </c>
      <c r="M565" s="19" t="n">
        <f aca="false" t="array" ref="M565:M565">IF(AND(INDEX(Profils!$G$5:$G$34,$AE565)&gt;0,INDEX(Profils!$V$5:$V$34,$AE565)&lt;=$AH565),ROUND(INDEX(Profils!$G$5:$G$34,$AE565)*Paramètres!$E$23*$AG565*$AJ565,Paramètres!$F$23),0)</f>
        <v>0</v>
      </c>
      <c r="N565" s="19" t="n">
        <f aca="false" t="array" ref="N565:N565">IF(AND(INDEX(Profils!$H$5:$H$34,$AE565)&gt;0,INDEX(Profils!$W$5:$W$34,$AE565)&lt;=$AH565),ROUND(INDEX(Profils!$H$5:$H$34,$AE565)*Paramètres!$E$24*$AG565*$AJ565,Paramètres!$F$24),0)</f>
        <v>0</v>
      </c>
      <c r="O565" s="19" t="n">
        <f aca="false" t="array" ref="O565:O565">IF(AND(INDEX(Profils!$I$5:$I$34,$AE565)&gt;0,INDEX(Profils!$X$5:$X$34,$AE565)&lt;=$AH565),ROUND(INDEX(Profils!$I$5:$I$34,$AE565)*Paramètres!$E$25*$AG565*$AJ565,Paramètres!$F$25),0)</f>
        <v>2</v>
      </c>
      <c r="P565" s="19" t="n">
        <f aca="false" t="array" ref="P565:P565">IF(AND(INDEX(Profils!$J$5:$J$34,$AE565)&gt;0,INDEX(Profils!$Y$5:$Y$34,$AE565)&lt;=$AH565),ROUND(INDEX(Profils!$J$5:$J$34,$AE565)*Paramètres!$E$26*$AG565*$AJ565,Paramètres!$F$26),0)</f>
        <v>0</v>
      </c>
      <c r="Q565" s="19" t="n">
        <f aca="false" t="array" ref="Q565:Q565">IF(AND(INDEX(Profils!$K$5:$K$34,$AE565)&gt;0,INDEX(Profils!$Z$5:$Z$34,$AE565)&lt;=$AH565),ROUND(INDEX(Profils!$K$5:$K$34,$AE565)*Paramètres!$E$27*$AG565*$AJ565,Paramètres!$F$27),0)</f>
        <v>0</v>
      </c>
      <c r="R565" s="20" t="n">
        <f aca="false" t="array" ref="R565:R565">IF(AND(INDEX(Profils!$L$5:$L$34,$AE565)&gt;0,INDEX(Profils!$AA$5:$AA$34,$AE565)&lt;=$AH565),ROUND(INDEX(Profils!$L$5:$L$34,$AE565)*Paramètres!$E$28*$AG565*$AJ565,Paramètres!$F$28),0)</f>
        <v>0</v>
      </c>
      <c r="S565" s="20" t="n">
        <f aca="false" t="array" ref="S565:S565">IF(AND(INDEX(Profils!$M$5:$M$34,$AE565)&gt;0,INDEX(Profils!$AB$5:$AB$34,$AE565)&lt;=$AH565),ROUND(INDEX(Profils!$M$5:$M$34,$AE565)*Paramètres!$E$29*$AG565*$AJ565,Paramètres!$F$29),0)</f>
        <v>0.001</v>
      </c>
      <c r="T565" s="20" t="n">
        <f aca="false" t="array" ref="T565:T565">IF(AND(INDEX(Profils!$N$5:$N$34,$AE565)&gt;0,INDEX(Profils!$AC$5:$AC$34,$AE565)&lt;=$AH565),ROUND(INDEX(Profils!$N$5:$N$34,$AE565)*Paramètres!$E$30*$AG565*$AJ565,Paramètres!$F$30),0)</f>
        <v>0</v>
      </c>
      <c r="U565" s="19" t="n">
        <f aca="false" t="array" ref="U565:U565">IF(AND(INDEX(Profils!$O$5:$O$34,$AE565)&gt;0,INDEX(Profils!$AD$5:$AD$34,$AE565)&lt;=$AH565),ROUND(INDEX(Profils!$O$5:$O$34,$AE565)*Paramètres!$E$31*$AG565*$AJ565,Paramètres!$F$31),0)</f>
        <v>0</v>
      </c>
      <c r="V565" s="20" t="n">
        <f aca="false" t="array" ref="V565:V565">IF(AND(INDEX(Profils!$P$5:$P$34,$AE565)&gt;0,INDEX(Profils!$AE$5:$AE$34,$AE565)&lt;=$AH565),ROUND(INDEX(Profils!$P$5:$P$34,$AE565)*Paramètres!$E$32*$AG565*$AJ565,Paramètres!$F$32),0)</f>
        <v>0.002</v>
      </c>
      <c r="W565" s="20" t="n">
        <f aca="false" t="array" ref="W565:W565">IF(AND(INDEX(Profils!$Q$5:$Q$34,$AE565)&gt;0,INDEX(Profils!$AF$5:$AF$34,$AE565)&lt;=$AH565),ROUND(INDEX(Profils!$Q$5:$Q$34,$AE565)*Paramètres!$E$33*$AG565*$AJ565,Paramètres!$F$33),0)</f>
        <v>0</v>
      </c>
      <c r="X565" s="20" t="n">
        <f aca="false" t="array" ref="X565:X565">IF(AND(INDEX(Profils!$R$5:$R$34,$AE565)&gt;0,INDEX(Profils!$AG$5:$AG$34,$AE565)&lt;=$AH565),ROUND(INDEX(Profils!$R$5:$R$34,$AE565)*Paramètres!$E$34*$AG565*$AJ565,Paramètres!$F$34),0)</f>
        <v>0</v>
      </c>
      <c r="Y565" s="20" t="n">
        <f aca="false" t="array" ref="Y565:Y565">IF(AND(INDEX(Profils!$S$5:$S$34,$AE565)&gt;0,INDEX(Profils!$AH$5:$AH$34,$AE565)&lt;=$AH565),ROUND(INDEX(Profils!$S$5:$S$34,$AE565)*Paramètres!$E$35*$AG565*$AJ565,Paramètres!$F$35),0)</f>
        <v>0</v>
      </c>
      <c r="Z565" s="21" t="n">
        <f aca="false">ROUND(L565/Paramètres!$E$22+M565/Paramètres!$E$23+N565/Paramètres!$E$24+O565/Paramètres!$E$25+P565/Paramètres!$E$26+Q565/Paramètres!$E$27+R565/Paramètres!$E$28+S565/Paramètres!$E$29+T565/Paramètres!$E$30+U565/Paramètres!$E$31+V565/Paramètres!$E$32+W565/Paramètres!$E$33+X565/Paramètres!$E$34+Y565/Paramètres!$E$35,1)</f>
        <v>0.4</v>
      </c>
      <c r="AA565" s="22" t="s">
        <v>109</v>
      </c>
      <c r="AB565" s="22" t="s">
        <v>109</v>
      </c>
      <c r="AC565" s="15" t="str">
        <f aca="false">$E565</f>
        <v>bois</v>
      </c>
      <c r="AD565" s="16" t="n">
        <f aca="false" t="array" ref="AD565:AD565">IF($I565&gt;=$AI565,"Max",ROUND(Paramètres!$B$40*($I565+1)^Paramètres!$B$41*INDEX(Paramètres!$H$6:$H$12,$AF565),0))</f>
        <v>4</v>
      </c>
      <c r="AE565" s="23" t="n">
        <f aca="false">MATCH($B565&amp;"|"&amp;$C565,Profils!$A$5:$A$34,0)</f>
        <v>19</v>
      </c>
      <c r="AF565" s="23" t="n">
        <v>2</v>
      </c>
      <c r="AG565" s="24" t="n">
        <f aca="false" t="array" ref="AG565:AG565">INDEX(Paramètres!$C$6:$C$12,$AF565)</f>
        <v>1.2</v>
      </c>
      <c r="AH565" s="23" t="n">
        <f aca="false" t="array" ref="AH565:AH565">INDEX(Paramètres!$D$6:$D$12,$AF565)</f>
        <v>3</v>
      </c>
      <c r="AI565" s="23" t="n">
        <f aca="false" t="array" ref="AI565:AI565">INDEX(Matériaux!$C$16:$C$20,$D565)</f>
        <v>19</v>
      </c>
      <c r="AJ565" s="25" t="n">
        <f aca="false">Paramètres!$B$16+(1-Paramètres!$B$16)*(($J565-Paramètres!$B$14)/(Paramètres!$B$15-Paramètres!$B$14))^Paramètres!$B$17</f>
        <v>0.05</v>
      </c>
    </row>
    <row r="566" customFormat="false" ht="15.75" hidden="false" customHeight="true" outlineLevel="0" collapsed="false">
      <c r="A566" s="14" t="s">
        <v>682</v>
      </c>
      <c r="B566" s="15" t="s">
        <v>29</v>
      </c>
      <c r="C566" s="15" t="s">
        <v>369</v>
      </c>
      <c r="D566" s="16" t="n">
        <v>1</v>
      </c>
      <c r="E566" s="15" t="str">
        <f aca="false" t="array" ref="E566:E566">INDEX(Matériaux!$B$5:$F$12,MATCH(INDEX(Profils!$E$5:$E$34,$AE566),Matériaux!$A$5:$A$12,0),$D566)</f>
        <v>bois</v>
      </c>
      <c r="F566" s="27" t="s">
        <v>113</v>
      </c>
      <c r="G566" s="10" t="str">
        <f aca="false" t="array" ref="G566:G566">INDEX(Profils!$D$5:$D$34,$AE566)&amp;" en "&amp;$E566</f>
        <v>Bâton en bois</v>
      </c>
      <c r="H566" s="16" t="n">
        <f aca="false" t="array" ref="H566:H566">INDEX(Matériaux!$B$16:$B$20,$D566)</f>
        <v>1</v>
      </c>
      <c r="I566" s="16" t="n">
        <f aca="false">IF(ISNUMBER($C$3),MIN(MAX(0,ROUND($C$3,0)),$AI566),$AI566)</f>
        <v>0</v>
      </c>
      <c r="J566" s="18" t="n">
        <f aca="false">$H566+$I566</f>
        <v>1</v>
      </c>
      <c r="K566" s="15" t="s">
        <v>109</v>
      </c>
      <c r="L566" s="19" t="n">
        <f aca="false" t="array" ref="L566:L566">IF(AND(INDEX(Profils!$F$5:$F$34,$AE566)&gt;0,INDEX(Profils!$U$5:$U$34,$AE566)&lt;=$AH566),ROUND(INDEX(Profils!$F$5:$F$34,$AE566)*Paramètres!$E$22*$AG566*$AJ566,Paramètres!$F$22),0)</f>
        <v>0</v>
      </c>
      <c r="M566" s="19" t="n">
        <f aca="false" t="array" ref="M566:M566">IF(AND(INDEX(Profils!$G$5:$G$34,$AE566)&gt;0,INDEX(Profils!$V$5:$V$34,$AE566)&lt;=$AH566),ROUND(INDEX(Profils!$G$5:$G$34,$AE566)*Paramètres!$E$23*$AG566*$AJ566,Paramètres!$F$23),0)</f>
        <v>0</v>
      </c>
      <c r="N566" s="19" t="n">
        <f aca="false" t="array" ref="N566:N566">IF(AND(INDEX(Profils!$H$5:$H$34,$AE566)&gt;0,INDEX(Profils!$W$5:$W$34,$AE566)&lt;=$AH566),ROUND(INDEX(Profils!$H$5:$H$34,$AE566)*Paramètres!$E$24*$AG566*$AJ566,Paramètres!$F$24),0)</f>
        <v>0</v>
      </c>
      <c r="O566" s="19" t="n">
        <f aca="false" t="array" ref="O566:O566">IF(AND(INDEX(Profils!$I$5:$I$34,$AE566)&gt;0,INDEX(Profils!$X$5:$X$34,$AE566)&lt;=$AH566),ROUND(INDEX(Profils!$I$5:$I$34,$AE566)*Paramètres!$E$25*$AG566*$AJ566,Paramètres!$F$25),0)</f>
        <v>3</v>
      </c>
      <c r="P566" s="19" t="n">
        <f aca="false" t="array" ref="P566:P566">IF(AND(INDEX(Profils!$J$5:$J$34,$AE566)&gt;0,INDEX(Profils!$Y$5:$Y$34,$AE566)&lt;=$AH566),ROUND(INDEX(Profils!$J$5:$J$34,$AE566)*Paramètres!$E$26*$AG566*$AJ566,Paramètres!$F$26),0)</f>
        <v>0</v>
      </c>
      <c r="Q566" s="19" t="n">
        <f aca="false" t="array" ref="Q566:Q566">IF(AND(INDEX(Profils!$K$5:$K$34,$AE566)&gt;0,INDEX(Profils!$Z$5:$Z$34,$AE566)&lt;=$AH566),ROUND(INDEX(Profils!$K$5:$K$34,$AE566)*Paramètres!$E$27*$AG566*$AJ566,Paramètres!$F$27),0)</f>
        <v>0</v>
      </c>
      <c r="R566" s="20" t="n">
        <f aca="false" t="array" ref="R566:R566">IF(AND(INDEX(Profils!$L$5:$L$34,$AE566)&gt;0,INDEX(Profils!$AA$5:$AA$34,$AE566)&lt;=$AH566),ROUND(INDEX(Profils!$L$5:$L$34,$AE566)*Paramètres!$E$28*$AG566*$AJ566,Paramètres!$F$28),0)</f>
        <v>0</v>
      </c>
      <c r="S566" s="20" t="n">
        <f aca="false" t="array" ref="S566:S566">IF(AND(INDEX(Profils!$M$5:$M$34,$AE566)&gt;0,INDEX(Profils!$AB$5:$AB$34,$AE566)&lt;=$AH566),ROUND(INDEX(Profils!$M$5:$M$34,$AE566)*Paramètres!$E$29*$AG566*$AJ566,Paramètres!$F$29),0)</f>
        <v>0.001</v>
      </c>
      <c r="T566" s="20" t="n">
        <f aca="false" t="array" ref="T566:T566">IF(AND(INDEX(Profils!$N$5:$N$34,$AE566)&gt;0,INDEX(Profils!$AC$5:$AC$34,$AE566)&lt;=$AH566),ROUND(INDEX(Profils!$N$5:$N$34,$AE566)*Paramètres!$E$30*$AG566*$AJ566,Paramètres!$F$30),0)</f>
        <v>0.003</v>
      </c>
      <c r="U566" s="19" t="n">
        <f aca="false" t="array" ref="U566:U566">IF(AND(INDEX(Profils!$O$5:$O$34,$AE566)&gt;0,INDEX(Profils!$AD$5:$AD$34,$AE566)&lt;=$AH566),ROUND(INDEX(Profils!$O$5:$O$34,$AE566)*Paramètres!$E$31*$AG566*$AJ566,Paramètres!$F$31),0)</f>
        <v>0</v>
      </c>
      <c r="V566" s="20" t="n">
        <f aca="false" t="array" ref="V566:V566">IF(AND(INDEX(Profils!$P$5:$P$34,$AE566)&gt;0,INDEX(Profils!$AE$5:$AE$34,$AE566)&lt;=$AH566),ROUND(INDEX(Profils!$P$5:$P$34,$AE566)*Paramètres!$E$32*$AG566*$AJ566,Paramètres!$F$32),0)</f>
        <v>0.002</v>
      </c>
      <c r="W566" s="20" t="n">
        <f aca="false" t="array" ref="W566:W566">IF(AND(INDEX(Profils!$Q$5:$Q$34,$AE566)&gt;0,INDEX(Profils!$AF$5:$AF$34,$AE566)&lt;=$AH566),ROUND(INDEX(Profils!$Q$5:$Q$34,$AE566)*Paramètres!$E$33*$AG566*$AJ566,Paramètres!$F$33),0)</f>
        <v>0</v>
      </c>
      <c r="X566" s="20" t="n">
        <f aca="false" t="array" ref="X566:X566">IF(AND(INDEX(Profils!$R$5:$R$34,$AE566)&gt;0,INDEX(Profils!$AG$5:$AG$34,$AE566)&lt;=$AH566),ROUND(INDEX(Profils!$R$5:$R$34,$AE566)*Paramètres!$E$34*$AG566*$AJ566,Paramètres!$F$34),0)</f>
        <v>0</v>
      </c>
      <c r="Y566" s="20" t="n">
        <f aca="false" t="array" ref="Y566:Y566">IF(AND(INDEX(Profils!$S$5:$S$34,$AE566)&gt;0,INDEX(Profils!$AH$5:$AH$34,$AE566)&lt;=$AH566),ROUND(INDEX(Profils!$S$5:$S$34,$AE566)*Paramètres!$E$35*$AG566*$AJ566,Paramètres!$F$35),0)</f>
        <v>0</v>
      </c>
      <c r="Z566" s="21" t="n">
        <f aca="false">ROUND(L566/Paramètres!$E$22+M566/Paramètres!$E$23+N566/Paramètres!$E$24+O566/Paramètres!$E$25+P566/Paramètres!$E$26+Q566/Paramètres!$E$27+R566/Paramètres!$E$28+S566/Paramètres!$E$29+T566/Paramètres!$E$30+U566/Paramètres!$E$31+V566/Paramètres!$E$32+W566/Paramètres!$E$33+X566/Paramètres!$E$34+Y566/Paramètres!$E$35,1)</f>
        <v>0.5</v>
      </c>
      <c r="AA566" s="22" t="s">
        <v>109</v>
      </c>
      <c r="AB566" s="22" t="s">
        <v>109</v>
      </c>
      <c r="AC566" s="15" t="str">
        <f aca="false">$E566</f>
        <v>bois</v>
      </c>
      <c r="AD566" s="16" t="n">
        <f aca="false" t="array" ref="AD566:AD566">IF($I566&gt;=$AI566,"Max",ROUND(Paramètres!$B$40*($I566+1)^Paramètres!$B$41*INDEX(Paramètres!$H$6:$H$12,$AF566),0))</f>
        <v>4</v>
      </c>
      <c r="AE566" s="23" t="n">
        <f aca="false">MATCH($B566&amp;"|"&amp;$C566,Profils!$A$5:$A$34,0)</f>
        <v>19</v>
      </c>
      <c r="AF566" s="23" t="n">
        <v>3</v>
      </c>
      <c r="AG566" s="24" t="n">
        <f aca="false" t="array" ref="AG566:AG566">INDEX(Paramètres!$C$6:$C$12,$AF566)</f>
        <v>1.45</v>
      </c>
      <c r="AH566" s="23" t="n">
        <f aca="false" t="array" ref="AH566:AH566">INDEX(Paramètres!$D$6:$D$12,$AF566)</f>
        <v>4</v>
      </c>
      <c r="AI566" s="23" t="n">
        <f aca="false" t="array" ref="AI566:AI566">INDEX(Matériaux!$C$16:$C$20,$D566)</f>
        <v>19</v>
      </c>
      <c r="AJ566" s="25" t="n">
        <f aca="false">Paramètres!$B$16+(1-Paramètres!$B$16)*(($J566-Paramètres!$B$14)/(Paramètres!$B$15-Paramètres!$B$14))^Paramètres!$B$17</f>
        <v>0.05</v>
      </c>
    </row>
    <row r="567" customFormat="false" ht="15.75" hidden="false" customHeight="true" outlineLevel="0" collapsed="false">
      <c r="A567" s="14" t="s">
        <v>683</v>
      </c>
      <c r="B567" s="15" t="s">
        <v>29</v>
      </c>
      <c r="C567" s="15" t="s">
        <v>369</v>
      </c>
      <c r="D567" s="16" t="n">
        <v>1</v>
      </c>
      <c r="E567" s="15" t="str">
        <f aca="false" t="array" ref="E567:E567">INDEX(Matériaux!$B$5:$F$12,MATCH(INDEX(Profils!$E$5:$E$34,$AE567),Matériaux!$A$5:$A$12,0),$D567)</f>
        <v>bois</v>
      </c>
      <c r="F567" s="28" t="s">
        <v>115</v>
      </c>
      <c r="G567" s="10" t="str">
        <f aca="false" t="array" ref="G567:G567">INDEX(Profils!$D$5:$D$34,$AE567)&amp;" en "&amp;$E567</f>
        <v>Bâton en bois</v>
      </c>
      <c r="H567" s="16" t="n">
        <f aca="false" t="array" ref="H567:H567">INDEX(Matériaux!$B$16:$B$20,$D567)</f>
        <v>1</v>
      </c>
      <c r="I567" s="16" t="n">
        <f aca="false">IF(ISNUMBER($C$3),MIN(MAX(0,ROUND($C$3,0)),$AI567),$AI567)</f>
        <v>0</v>
      </c>
      <c r="J567" s="18" t="n">
        <f aca="false">$H567+$I567</f>
        <v>1</v>
      </c>
      <c r="K567" s="15" t="s">
        <v>109</v>
      </c>
      <c r="L567" s="19" t="n">
        <f aca="false" t="array" ref="L567:L567">IF(AND(INDEX(Profils!$F$5:$F$34,$AE567)&gt;0,INDEX(Profils!$U$5:$U$34,$AE567)&lt;=$AH567),ROUND(INDEX(Profils!$F$5:$F$34,$AE567)*Paramètres!$E$22*$AG567*$AJ567,Paramètres!$F$22),0)</f>
        <v>0</v>
      </c>
      <c r="M567" s="19" t="n">
        <f aca="false" t="array" ref="M567:M567">IF(AND(INDEX(Profils!$G$5:$G$34,$AE567)&gt;0,INDEX(Profils!$V$5:$V$34,$AE567)&lt;=$AH567),ROUND(INDEX(Profils!$G$5:$G$34,$AE567)*Paramètres!$E$23*$AG567*$AJ567,Paramètres!$F$23),0)</f>
        <v>0</v>
      </c>
      <c r="N567" s="19" t="n">
        <f aca="false" t="array" ref="N567:N567">IF(AND(INDEX(Profils!$H$5:$H$34,$AE567)&gt;0,INDEX(Profils!$W$5:$W$34,$AE567)&lt;=$AH567),ROUND(INDEX(Profils!$H$5:$H$34,$AE567)*Paramètres!$E$24*$AG567*$AJ567,Paramètres!$F$24),0)</f>
        <v>0</v>
      </c>
      <c r="O567" s="19" t="n">
        <f aca="false" t="array" ref="O567:O567">IF(AND(INDEX(Profils!$I$5:$I$34,$AE567)&gt;0,INDEX(Profils!$X$5:$X$34,$AE567)&lt;=$AH567),ROUND(INDEX(Profils!$I$5:$I$34,$AE567)*Paramètres!$E$25*$AG567*$AJ567,Paramètres!$F$25),0)</f>
        <v>3</v>
      </c>
      <c r="P567" s="19" t="n">
        <f aca="false" t="array" ref="P567:P567">IF(AND(INDEX(Profils!$J$5:$J$34,$AE567)&gt;0,INDEX(Profils!$Y$5:$Y$34,$AE567)&lt;=$AH567),ROUND(INDEX(Profils!$J$5:$J$34,$AE567)*Paramètres!$E$26*$AG567*$AJ567,Paramètres!$F$26),0)</f>
        <v>0</v>
      </c>
      <c r="Q567" s="19" t="n">
        <f aca="false" t="array" ref="Q567:Q567">IF(AND(INDEX(Profils!$K$5:$K$34,$AE567)&gt;0,INDEX(Profils!$Z$5:$Z$34,$AE567)&lt;=$AH567),ROUND(INDEX(Profils!$K$5:$K$34,$AE567)*Paramètres!$E$27*$AG567*$AJ567,Paramètres!$F$27),0)</f>
        <v>0</v>
      </c>
      <c r="R567" s="20" t="n">
        <f aca="false" t="array" ref="R567:R567">IF(AND(INDEX(Profils!$L$5:$L$34,$AE567)&gt;0,INDEX(Profils!$AA$5:$AA$34,$AE567)&lt;=$AH567),ROUND(INDEX(Profils!$L$5:$L$34,$AE567)*Paramètres!$E$28*$AG567*$AJ567,Paramètres!$F$28),0)</f>
        <v>0.002</v>
      </c>
      <c r="S567" s="20" t="n">
        <f aca="false" t="array" ref="S567:S567">IF(AND(INDEX(Profils!$M$5:$M$34,$AE567)&gt;0,INDEX(Profils!$AB$5:$AB$34,$AE567)&lt;=$AH567),ROUND(INDEX(Profils!$M$5:$M$34,$AE567)*Paramètres!$E$29*$AG567*$AJ567,Paramètres!$F$29),0)</f>
        <v>0.002</v>
      </c>
      <c r="T567" s="20" t="n">
        <f aca="false" t="array" ref="T567:T567">IF(AND(INDEX(Profils!$N$5:$N$34,$AE567)&gt;0,INDEX(Profils!$AC$5:$AC$34,$AE567)&lt;=$AH567),ROUND(INDEX(Profils!$N$5:$N$34,$AE567)*Paramètres!$E$30*$AG567*$AJ567,Paramètres!$F$30),0)</f>
        <v>0.004</v>
      </c>
      <c r="U567" s="19" t="n">
        <f aca="false" t="array" ref="U567:U567">IF(AND(INDEX(Profils!$O$5:$O$34,$AE567)&gt;0,INDEX(Profils!$AD$5:$AD$34,$AE567)&lt;=$AH567),ROUND(INDEX(Profils!$O$5:$O$34,$AE567)*Paramètres!$E$31*$AG567*$AJ567,Paramètres!$F$31),0)</f>
        <v>0</v>
      </c>
      <c r="V567" s="20" t="n">
        <f aca="false" t="array" ref="V567:V567">IF(AND(INDEX(Profils!$P$5:$P$34,$AE567)&gt;0,INDEX(Profils!$AE$5:$AE$34,$AE567)&lt;=$AH567),ROUND(INDEX(Profils!$P$5:$P$34,$AE567)*Paramètres!$E$32*$AG567*$AJ567,Paramètres!$F$32),0)</f>
        <v>0.002</v>
      </c>
      <c r="W567" s="20" t="n">
        <f aca="false" t="array" ref="W567:W567">IF(AND(INDEX(Profils!$Q$5:$Q$34,$AE567)&gt;0,INDEX(Profils!$AF$5:$AF$34,$AE567)&lt;=$AH567),ROUND(INDEX(Profils!$Q$5:$Q$34,$AE567)*Paramètres!$E$33*$AG567*$AJ567,Paramètres!$F$33),0)</f>
        <v>0</v>
      </c>
      <c r="X567" s="20" t="n">
        <f aca="false" t="array" ref="X567:X567">IF(AND(INDEX(Profils!$R$5:$R$34,$AE567)&gt;0,INDEX(Profils!$AG$5:$AG$34,$AE567)&lt;=$AH567),ROUND(INDEX(Profils!$R$5:$R$34,$AE567)*Paramètres!$E$34*$AG567*$AJ567,Paramètres!$F$34),0)</f>
        <v>0</v>
      </c>
      <c r="Y567" s="20" t="n">
        <f aca="false" t="array" ref="Y567:Y567">IF(AND(INDEX(Profils!$S$5:$S$34,$AE567)&gt;0,INDEX(Profils!$AH$5:$AH$34,$AE567)&lt;=$AH567),ROUND(INDEX(Profils!$S$5:$S$34,$AE567)*Paramètres!$E$35*$AG567*$AJ567,Paramètres!$F$35),0)</f>
        <v>0</v>
      </c>
      <c r="Z567" s="21" t="n">
        <f aca="false">ROUND(L567/Paramètres!$E$22+M567/Paramètres!$E$23+N567/Paramètres!$E$24+O567/Paramètres!$E$25+P567/Paramètres!$E$26+Q567/Paramètres!$E$27+R567/Paramètres!$E$28+S567/Paramètres!$E$29+T567/Paramètres!$E$30+U567/Paramètres!$E$31+V567/Paramètres!$E$32+W567/Paramètres!$E$33+X567/Paramètres!$E$34+Y567/Paramètres!$E$35,1)</f>
        <v>0.8</v>
      </c>
      <c r="AA567" s="22" t="s">
        <v>109</v>
      </c>
      <c r="AB567" s="22" t="s">
        <v>109</v>
      </c>
      <c r="AC567" s="15" t="str">
        <f aca="false">$E567</f>
        <v>bois</v>
      </c>
      <c r="AD567" s="16" t="n">
        <f aca="false" t="array" ref="AD567:AD567">IF($I567&gt;=$AI567,"Max",ROUND(Paramètres!$B$40*($I567+1)^Paramètres!$B$41*INDEX(Paramètres!$H$6:$H$12,$AF567),0))</f>
        <v>5</v>
      </c>
      <c r="AE567" s="23" t="n">
        <f aca="false">MATCH($B567&amp;"|"&amp;$C567,Profils!$A$5:$A$34,0)</f>
        <v>19</v>
      </c>
      <c r="AF567" s="23" t="n">
        <v>4</v>
      </c>
      <c r="AG567" s="24" t="n">
        <f aca="false" t="array" ref="AG567:AG567">INDEX(Paramètres!$C$6:$C$12,$AF567)</f>
        <v>1.75</v>
      </c>
      <c r="AH567" s="23" t="n">
        <f aca="false" t="array" ref="AH567:AH567">INDEX(Paramètres!$D$6:$D$12,$AF567)</f>
        <v>5</v>
      </c>
      <c r="AI567" s="23" t="n">
        <f aca="false" t="array" ref="AI567:AI567">INDEX(Matériaux!$C$16:$C$20,$D567)</f>
        <v>19</v>
      </c>
      <c r="AJ567" s="25" t="n">
        <f aca="false">Paramètres!$B$16+(1-Paramètres!$B$16)*(($J567-Paramètres!$B$14)/(Paramètres!$B$15-Paramètres!$B$14))^Paramètres!$B$17</f>
        <v>0.05</v>
      </c>
    </row>
    <row r="568" customFormat="false" ht="15.75" hidden="false" customHeight="true" outlineLevel="0" collapsed="false">
      <c r="A568" s="14" t="s">
        <v>684</v>
      </c>
      <c r="B568" s="15" t="s">
        <v>29</v>
      </c>
      <c r="C568" s="15" t="s">
        <v>369</v>
      </c>
      <c r="D568" s="16" t="n">
        <v>1</v>
      </c>
      <c r="E568" s="15" t="str">
        <f aca="false" t="array" ref="E568:E568">INDEX(Matériaux!$B$5:$F$12,MATCH(INDEX(Profils!$E$5:$E$34,$AE568),Matériaux!$A$5:$A$12,0),$D568)</f>
        <v>bois</v>
      </c>
      <c r="F568" s="29" t="s">
        <v>117</v>
      </c>
      <c r="G568" s="10" t="str">
        <f aca="false" t="array" ref="G568:G568">INDEX(Profils!$D$5:$D$34,$AE568)&amp;" en "&amp;$E568</f>
        <v>Bâton en bois</v>
      </c>
      <c r="H568" s="16" t="n">
        <f aca="false" t="array" ref="H568:H568">INDEX(Matériaux!$B$16:$B$20,$D568)</f>
        <v>1</v>
      </c>
      <c r="I568" s="16" t="n">
        <f aca="false">IF(ISNUMBER($C$3),MIN(MAX(0,ROUND($C$3,0)),$AI568),$AI568)</f>
        <v>0</v>
      </c>
      <c r="J568" s="18" t="n">
        <f aca="false">$H568+$I568</f>
        <v>1</v>
      </c>
      <c r="K568" s="15" t="s">
        <v>109</v>
      </c>
      <c r="L568" s="19" t="n">
        <f aca="false" t="array" ref="L568:L568">IF(AND(INDEX(Profils!$F$5:$F$34,$AE568)&gt;0,INDEX(Profils!$U$5:$U$34,$AE568)&lt;=$AH568),ROUND(INDEX(Profils!$F$5:$F$34,$AE568)*Paramètres!$E$22*$AG568*$AJ568,Paramètres!$F$22),0)</f>
        <v>0</v>
      </c>
      <c r="M568" s="19" t="n">
        <f aca="false" t="array" ref="M568:M568">IF(AND(INDEX(Profils!$G$5:$G$34,$AE568)&gt;0,INDEX(Profils!$V$5:$V$34,$AE568)&lt;=$AH568),ROUND(INDEX(Profils!$G$5:$G$34,$AE568)*Paramètres!$E$23*$AG568*$AJ568,Paramètres!$F$23),0)</f>
        <v>0</v>
      </c>
      <c r="N568" s="19" t="n">
        <f aca="false" t="array" ref="N568:N568">IF(AND(INDEX(Profils!$H$5:$H$34,$AE568)&gt;0,INDEX(Profils!$W$5:$W$34,$AE568)&lt;=$AH568),ROUND(INDEX(Profils!$H$5:$H$34,$AE568)*Paramètres!$E$24*$AG568*$AJ568,Paramètres!$F$24),0)</f>
        <v>0</v>
      </c>
      <c r="O568" s="19" t="n">
        <f aca="false" t="array" ref="O568:O568">IF(AND(INDEX(Profils!$I$5:$I$34,$AE568)&gt;0,INDEX(Profils!$X$5:$X$34,$AE568)&lt;=$AH568),ROUND(INDEX(Profils!$I$5:$I$34,$AE568)*Paramètres!$E$25*$AG568*$AJ568,Paramètres!$F$25),0)</f>
        <v>4</v>
      </c>
      <c r="P568" s="19" t="n">
        <f aca="false" t="array" ref="P568:P568">IF(AND(INDEX(Profils!$J$5:$J$34,$AE568)&gt;0,INDEX(Profils!$Y$5:$Y$34,$AE568)&lt;=$AH568),ROUND(INDEX(Profils!$J$5:$J$34,$AE568)*Paramètres!$E$26*$AG568*$AJ568,Paramètres!$F$26),0)</f>
        <v>0</v>
      </c>
      <c r="Q568" s="19" t="n">
        <f aca="false" t="array" ref="Q568:Q568">IF(AND(INDEX(Profils!$K$5:$K$34,$AE568)&gt;0,INDEX(Profils!$Z$5:$Z$34,$AE568)&lt;=$AH568),ROUND(INDEX(Profils!$K$5:$K$34,$AE568)*Paramètres!$E$27*$AG568*$AJ568,Paramètres!$F$27),0)</f>
        <v>0</v>
      </c>
      <c r="R568" s="20" t="n">
        <f aca="false" t="array" ref="R568:R568">IF(AND(INDEX(Profils!$L$5:$L$34,$AE568)&gt;0,INDEX(Profils!$AA$5:$AA$34,$AE568)&lt;=$AH568),ROUND(INDEX(Profils!$L$5:$L$34,$AE568)*Paramètres!$E$28*$AG568*$AJ568,Paramètres!$F$28),0)</f>
        <v>0.002</v>
      </c>
      <c r="S568" s="20" t="n">
        <f aca="false" t="array" ref="S568:S568">IF(AND(INDEX(Profils!$M$5:$M$34,$AE568)&gt;0,INDEX(Profils!$AB$5:$AB$34,$AE568)&lt;=$AH568),ROUND(INDEX(Profils!$M$5:$M$34,$AE568)*Paramètres!$E$29*$AG568*$AJ568,Paramètres!$F$29),0)</f>
        <v>0.002</v>
      </c>
      <c r="T568" s="20" t="n">
        <f aca="false" t="array" ref="T568:T568">IF(AND(INDEX(Profils!$N$5:$N$34,$AE568)&gt;0,INDEX(Profils!$AC$5:$AC$34,$AE568)&lt;=$AH568),ROUND(INDEX(Profils!$N$5:$N$34,$AE568)*Paramètres!$E$30*$AG568*$AJ568,Paramètres!$F$30),0)</f>
        <v>0.005</v>
      </c>
      <c r="U568" s="19" t="n">
        <f aca="false" t="array" ref="U568:U568">IF(AND(INDEX(Profils!$O$5:$O$34,$AE568)&gt;0,INDEX(Profils!$AD$5:$AD$34,$AE568)&lt;=$AH568),ROUND(INDEX(Profils!$O$5:$O$34,$AE568)*Paramètres!$E$31*$AG568*$AJ568,Paramètres!$F$31),0)</f>
        <v>0</v>
      </c>
      <c r="V568" s="20" t="n">
        <f aca="false" t="array" ref="V568:V568">IF(AND(INDEX(Profils!$P$5:$P$34,$AE568)&gt;0,INDEX(Profils!$AE$5:$AE$34,$AE568)&lt;=$AH568),ROUND(INDEX(Profils!$P$5:$P$34,$AE568)*Paramètres!$E$32*$AG568*$AJ568,Paramètres!$F$32),0)</f>
        <v>0.003</v>
      </c>
      <c r="W568" s="20" t="n">
        <f aca="false" t="array" ref="W568:W568">IF(AND(INDEX(Profils!$Q$5:$Q$34,$AE568)&gt;0,INDEX(Profils!$AF$5:$AF$34,$AE568)&lt;=$AH568),ROUND(INDEX(Profils!$Q$5:$Q$34,$AE568)*Paramètres!$E$33*$AG568*$AJ568,Paramètres!$F$33),0)</f>
        <v>0</v>
      </c>
      <c r="X568" s="20" t="n">
        <f aca="false" t="array" ref="X568:X568">IF(AND(INDEX(Profils!$R$5:$R$34,$AE568)&gt;0,INDEX(Profils!$AG$5:$AG$34,$AE568)&lt;=$AH568),ROUND(INDEX(Profils!$R$5:$R$34,$AE568)*Paramètres!$E$34*$AG568*$AJ568,Paramètres!$F$34),0)</f>
        <v>0.002</v>
      </c>
      <c r="Y568" s="20" t="n">
        <f aca="false" t="array" ref="Y568:Y568">IF(AND(INDEX(Profils!$S$5:$S$34,$AE568)&gt;0,INDEX(Profils!$AH$5:$AH$34,$AE568)&lt;=$AH568),ROUND(INDEX(Profils!$S$5:$S$34,$AE568)*Paramètres!$E$35*$AG568*$AJ568,Paramètres!$F$35),0)</f>
        <v>0</v>
      </c>
      <c r="Z568" s="21" t="n">
        <f aca="false">ROUND(L568/Paramètres!$E$22+M568/Paramètres!$E$23+N568/Paramètres!$E$24+O568/Paramètres!$E$25+P568/Paramètres!$E$26+Q568/Paramètres!$E$27+R568/Paramètres!$E$28+S568/Paramètres!$E$29+T568/Paramètres!$E$30+U568/Paramètres!$E$31+V568/Paramètres!$E$32+W568/Paramètres!$E$33+X568/Paramètres!$E$34+Y568/Paramètres!$E$35,1)</f>
        <v>1</v>
      </c>
      <c r="AA568" s="22" t="s">
        <v>109</v>
      </c>
      <c r="AB568" s="22" t="s">
        <v>109</v>
      </c>
      <c r="AC568" s="15" t="str">
        <f aca="false">$E568</f>
        <v>bois</v>
      </c>
      <c r="AD568" s="16" t="n">
        <f aca="false" t="array" ref="AD568:AD568">IF($I568&gt;=$AI568,"Max",ROUND(Paramètres!$B$40*($I568+1)^Paramètres!$B$41*INDEX(Paramètres!$H$6:$H$12,$AF568),0))</f>
        <v>6</v>
      </c>
      <c r="AE568" s="23" t="n">
        <f aca="false">MATCH($B568&amp;"|"&amp;$C568,Profils!$A$5:$A$34,0)</f>
        <v>19</v>
      </c>
      <c r="AF568" s="23" t="n">
        <v>5</v>
      </c>
      <c r="AG568" s="24" t="n">
        <f aca="false" t="array" ref="AG568:AG568">INDEX(Paramètres!$C$6:$C$12,$AF568)</f>
        <v>2.1</v>
      </c>
      <c r="AH568" s="23" t="n">
        <f aca="false" t="array" ref="AH568:AH568">INDEX(Paramètres!$D$6:$D$12,$AF568)</f>
        <v>6</v>
      </c>
      <c r="AI568" s="23" t="n">
        <f aca="false" t="array" ref="AI568:AI568">INDEX(Matériaux!$C$16:$C$20,$D568)</f>
        <v>19</v>
      </c>
      <c r="AJ568" s="25" t="n">
        <f aca="false">Paramètres!$B$16+(1-Paramètres!$B$16)*(($J568-Paramètres!$B$14)/(Paramètres!$B$15-Paramètres!$B$14))^Paramètres!$B$17</f>
        <v>0.05</v>
      </c>
    </row>
    <row r="569" customFormat="false" ht="15.75" hidden="false" customHeight="true" outlineLevel="0" collapsed="false">
      <c r="A569" s="14" t="s">
        <v>685</v>
      </c>
      <c r="B569" s="15" t="s">
        <v>29</v>
      </c>
      <c r="C569" s="15" t="s">
        <v>369</v>
      </c>
      <c r="D569" s="16" t="n">
        <v>1</v>
      </c>
      <c r="E569" s="15" t="str">
        <f aca="false" t="array" ref="E569:E569">INDEX(Matériaux!$B$5:$F$12,MATCH(INDEX(Profils!$E$5:$E$34,$AE569),Matériaux!$A$5:$A$12,0),$D569)</f>
        <v>bois</v>
      </c>
      <c r="F569" s="30" t="s">
        <v>119</v>
      </c>
      <c r="G569" s="10" t="str">
        <f aca="false" t="array" ref="G569:G569">INDEX(Profils!$D$5:$D$34,$AE569)&amp;" en "&amp;$E569</f>
        <v>Bâton en bois</v>
      </c>
      <c r="H569" s="16" t="n">
        <f aca="false" t="array" ref="H569:H569">INDEX(Matériaux!$B$16:$B$20,$D569)</f>
        <v>1</v>
      </c>
      <c r="I569" s="16" t="n">
        <f aca="false">IF(ISNUMBER($C$3),MIN(MAX(0,ROUND($C$3,0)),$AI569),$AI569)</f>
        <v>0</v>
      </c>
      <c r="J569" s="18" t="n">
        <f aca="false">$H569+$I569</f>
        <v>1</v>
      </c>
      <c r="K569" s="15" t="s">
        <v>109</v>
      </c>
      <c r="L569" s="19" t="n">
        <f aca="false" t="array" ref="L569:L569">IF(AND(INDEX(Profils!$F$5:$F$34,$AE569)&gt;0,INDEX(Profils!$U$5:$U$34,$AE569)&lt;=$AH569),ROUND(INDEX(Profils!$F$5:$F$34,$AE569)*Paramètres!$E$22*$AG569*$AJ569,Paramètres!$F$22),0)</f>
        <v>2</v>
      </c>
      <c r="M569" s="19" t="n">
        <f aca="false" t="array" ref="M569:M569">IF(AND(INDEX(Profils!$G$5:$G$34,$AE569)&gt;0,INDEX(Profils!$V$5:$V$34,$AE569)&lt;=$AH569),ROUND(INDEX(Profils!$G$5:$G$34,$AE569)*Paramètres!$E$23*$AG569*$AJ569,Paramètres!$F$23),0)</f>
        <v>0</v>
      </c>
      <c r="N569" s="19" t="n">
        <f aca="false" t="array" ref="N569:N569">IF(AND(INDEX(Profils!$H$5:$H$34,$AE569)&gt;0,INDEX(Profils!$W$5:$W$34,$AE569)&lt;=$AH569),ROUND(INDEX(Profils!$H$5:$H$34,$AE569)*Paramètres!$E$24*$AG569*$AJ569,Paramètres!$F$24),0)</f>
        <v>0</v>
      </c>
      <c r="O569" s="19" t="n">
        <f aca="false" t="array" ref="O569:O569">IF(AND(INDEX(Profils!$I$5:$I$34,$AE569)&gt;0,INDEX(Profils!$X$5:$X$34,$AE569)&lt;=$AH569),ROUND(INDEX(Profils!$I$5:$I$34,$AE569)*Paramètres!$E$25*$AG569*$AJ569,Paramètres!$F$25),0)</f>
        <v>4</v>
      </c>
      <c r="P569" s="19" t="n">
        <f aca="false" t="array" ref="P569:P569">IF(AND(INDEX(Profils!$J$5:$J$34,$AE569)&gt;0,INDEX(Profils!$Y$5:$Y$34,$AE569)&lt;=$AH569),ROUND(INDEX(Profils!$J$5:$J$34,$AE569)*Paramètres!$E$26*$AG569*$AJ569,Paramètres!$F$26),0)</f>
        <v>0</v>
      </c>
      <c r="Q569" s="19" t="n">
        <f aca="false" t="array" ref="Q569:Q569">IF(AND(INDEX(Profils!$K$5:$K$34,$AE569)&gt;0,INDEX(Profils!$Z$5:$Z$34,$AE569)&lt;=$AH569),ROUND(INDEX(Profils!$K$5:$K$34,$AE569)*Paramètres!$E$27*$AG569*$AJ569,Paramètres!$F$27),0)</f>
        <v>0</v>
      </c>
      <c r="R569" s="20" t="n">
        <f aca="false" t="array" ref="R569:R569">IF(AND(INDEX(Profils!$L$5:$L$34,$AE569)&gt;0,INDEX(Profils!$AA$5:$AA$34,$AE569)&lt;=$AH569),ROUND(INDEX(Profils!$L$5:$L$34,$AE569)*Paramètres!$E$28*$AG569*$AJ569,Paramètres!$F$28),0)</f>
        <v>0.002</v>
      </c>
      <c r="S569" s="20" t="n">
        <f aca="false" t="array" ref="S569:S569">IF(AND(INDEX(Profils!$M$5:$M$34,$AE569)&gt;0,INDEX(Profils!$AB$5:$AB$34,$AE569)&lt;=$AH569),ROUND(INDEX(Profils!$M$5:$M$34,$AE569)*Paramètres!$E$29*$AG569*$AJ569,Paramètres!$F$29),0)</f>
        <v>0.002</v>
      </c>
      <c r="T569" s="20" t="n">
        <f aca="false" t="array" ref="T569:T569">IF(AND(INDEX(Profils!$N$5:$N$34,$AE569)&gt;0,INDEX(Profils!$AC$5:$AC$34,$AE569)&lt;=$AH569),ROUND(INDEX(Profils!$N$5:$N$34,$AE569)*Paramètres!$E$30*$AG569*$AJ569,Paramètres!$F$30),0)</f>
        <v>0.006</v>
      </c>
      <c r="U569" s="19" t="n">
        <f aca="false" t="array" ref="U569:U569">IF(AND(INDEX(Profils!$O$5:$O$34,$AE569)&gt;0,INDEX(Profils!$AD$5:$AD$34,$AE569)&lt;=$AH569),ROUND(INDEX(Profils!$O$5:$O$34,$AE569)*Paramètres!$E$31*$AG569*$AJ569,Paramètres!$F$31),0)</f>
        <v>0</v>
      </c>
      <c r="V569" s="20" t="n">
        <f aca="false" t="array" ref="V569:V569">IF(AND(INDEX(Profils!$P$5:$P$34,$AE569)&gt;0,INDEX(Profils!$AE$5:$AE$34,$AE569)&lt;=$AH569),ROUND(INDEX(Profils!$P$5:$P$34,$AE569)*Paramètres!$E$32*$AG569*$AJ569,Paramètres!$F$32),0)</f>
        <v>0.003</v>
      </c>
      <c r="W569" s="20" t="n">
        <f aca="false" t="array" ref="W569:W569">IF(AND(INDEX(Profils!$Q$5:$Q$34,$AE569)&gt;0,INDEX(Profils!$AF$5:$AF$34,$AE569)&lt;=$AH569),ROUND(INDEX(Profils!$Q$5:$Q$34,$AE569)*Paramètres!$E$33*$AG569*$AJ569,Paramètres!$F$33),0)</f>
        <v>0</v>
      </c>
      <c r="X569" s="20" t="n">
        <f aca="false" t="array" ref="X569:X569">IF(AND(INDEX(Profils!$R$5:$R$34,$AE569)&gt;0,INDEX(Profils!$AG$5:$AG$34,$AE569)&lt;=$AH569),ROUND(INDEX(Profils!$R$5:$R$34,$AE569)*Paramètres!$E$34*$AG569*$AJ569,Paramètres!$F$34),0)</f>
        <v>0.002</v>
      </c>
      <c r="Y569" s="20" t="n">
        <f aca="false" t="array" ref="Y569:Y569">IF(AND(INDEX(Profils!$S$5:$S$34,$AE569)&gt;0,INDEX(Profils!$AH$5:$AH$34,$AE569)&lt;=$AH569),ROUND(INDEX(Profils!$S$5:$S$34,$AE569)*Paramètres!$E$35*$AG569*$AJ569,Paramètres!$F$35),0)</f>
        <v>0</v>
      </c>
      <c r="Z569" s="21" t="n">
        <f aca="false">ROUND(L569/Paramètres!$E$22+M569/Paramètres!$E$23+N569/Paramètres!$E$24+O569/Paramètres!$E$25+P569/Paramètres!$E$26+Q569/Paramètres!$E$27+R569/Paramètres!$E$28+S569/Paramètres!$E$29+T569/Paramètres!$E$30+U569/Paramètres!$E$31+V569/Paramètres!$E$32+W569/Paramètres!$E$33+X569/Paramètres!$E$34+Y569/Paramètres!$E$35,1)</f>
        <v>1.1</v>
      </c>
      <c r="AA569" s="22" t="s">
        <v>109</v>
      </c>
      <c r="AB569" s="22" t="s">
        <v>109</v>
      </c>
      <c r="AC569" s="15" t="str">
        <f aca="false">$E569</f>
        <v>bois</v>
      </c>
      <c r="AD569" s="16" t="n">
        <f aca="false" t="array" ref="AD569:AD569">IF($I569&gt;=$AI569,"Max",ROUND(Paramètres!$B$40*($I569+1)^Paramètres!$B$41*INDEX(Paramètres!$H$6:$H$12,$AF569),0))</f>
        <v>8</v>
      </c>
      <c r="AE569" s="23" t="n">
        <f aca="false">MATCH($B569&amp;"|"&amp;$C569,Profils!$A$5:$A$34,0)</f>
        <v>19</v>
      </c>
      <c r="AF569" s="23" t="n">
        <v>6</v>
      </c>
      <c r="AG569" s="24" t="n">
        <f aca="false" t="array" ref="AG569:AG569">INDEX(Paramètres!$C$6:$C$12,$AF569)</f>
        <v>2.4</v>
      </c>
      <c r="AH569" s="23" t="n">
        <f aca="false" t="array" ref="AH569:AH569">INDEX(Paramètres!$D$6:$D$12,$AF569)</f>
        <v>7</v>
      </c>
      <c r="AI569" s="23" t="n">
        <f aca="false" t="array" ref="AI569:AI569">INDEX(Matériaux!$C$16:$C$20,$D569)</f>
        <v>19</v>
      </c>
      <c r="AJ569" s="25" t="n">
        <f aca="false">Paramètres!$B$16+(1-Paramètres!$B$16)*(($J569-Paramètres!$B$14)/(Paramètres!$B$15-Paramètres!$B$14))^Paramètres!$B$17</f>
        <v>0.05</v>
      </c>
    </row>
    <row r="570" customFormat="false" ht="15.75" hidden="false" customHeight="true" outlineLevel="0" collapsed="false">
      <c r="A570" s="14" t="s">
        <v>686</v>
      </c>
      <c r="B570" s="15" t="s">
        <v>29</v>
      </c>
      <c r="C570" s="15" t="s">
        <v>369</v>
      </c>
      <c r="D570" s="16" t="n">
        <v>2</v>
      </c>
      <c r="E570" s="15" t="str">
        <f aca="false" t="array" ref="E570:E570">INDEX(Matériaux!$B$5:$F$12,MATCH(INDEX(Profils!$E$5:$E$34,$AE570),Matériaux!$A$5:$A$12,0),$D570)</f>
        <v>chêne</v>
      </c>
      <c r="F570" s="17" t="s">
        <v>108</v>
      </c>
      <c r="G570" s="10" t="str">
        <f aca="false" t="array" ref="G570:G570">INDEX(Profils!$D$5:$D$34,$AE570)&amp;" en "&amp;$E570</f>
        <v>Bâton en chêne</v>
      </c>
      <c r="H570" s="16" t="n">
        <f aca="false" t="array" ref="H570:H570">INDEX(Matériaux!$B$16:$B$20,$D570)</f>
        <v>15</v>
      </c>
      <c r="I570" s="16" t="n">
        <f aca="false">IF(ISNUMBER($C$3),MIN(MAX(0,ROUND($C$3,0)),$AI570),$AI570)</f>
        <v>0</v>
      </c>
      <c r="J570" s="18" t="n">
        <f aca="false">$H570+$I570</f>
        <v>15</v>
      </c>
      <c r="K570" s="15" t="s">
        <v>109</v>
      </c>
      <c r="L570" s="19" t="n">
        <f aca="false" t="array" ref="L570:L570">IF(AND(INDEX(Profils!$F$5:$F$34,$AE570)&gt;0,INDEX(Profils!$U$5:$U$34,$AE570)&lt;=$AH570),ROUND(INDEX(Profils!$F$5:$F$34,$AE570)*Paramètres!$E$22*$AG570*$AJ570,Paramètres!$F$22),0)</f>
        <v>0</v>
      </c>
      <c r="M570" s="19" t="n">
        <f aca="false" t="array" ref="M570:M570">IF(AND(INDEX(Profils!$G$5:$G$34,$AE570)&gt;0,INDEX(Profils!$V$5:$V$34,$AE570)&lt;=$AH570),ROUND(INDEX(Profils!$G$5:$G$34,$AE570)*Paramètres!$E$23*$AG570*$AJ570,Paramètres!$F$23),0)</f>
        <v>0</v>
      </c>
      <c r="N570" s="19" t="n">
        <f aca="false" t="array" ref="N570:N570">IF(AND(INDEX(Profils!$H$5:$H$34,$AE570)&gt;0,INDEX(Profils!$W$5:$W$34,$AE570)&lt;=$AH570),ROUND(INDEX(Profils!$H$5:$H$34,$AE570)*Paramètres!$E$24*$AG570*$AJ570,Paramètres!$F$24),0)</f>
        <v>0</v>
      </c>
      <c r="O570" s="19" t="n">
        <f aca="false" t="array" ref="O570:O570">IF(AND(INDEX(Profils!$I$5:$I$34,$AE570)&gt;0,INDEX(Profils!$X$5:$X$34,$AE570)&lt;=$AH570),ROUND(INDEX(Profils!$I$5:$I$34,$AE570)*Paramètres!$E$25*$AG570*$AJ570,Paramètres!$F$25),0)</f>
        <v>5</v>
      </c>
      <c r="P570" s="19" t="n">
        <f aca="false" t="array" ref="P570:P570">IF(AND(INDEX(Profils!$J$5:$J$34,$AE570)&gt;0,INDEX(Profils!$Y$5:$Y$34,$AE570)&lt;=$AH570),ROUND(INDEX(Profils!$J$5:$J$34,$AE570)*Paramètres!$E$26*$AG570*$AJ570,Paramètres!$F$26),0)</f>
        <v>0</v>
      </c>
      <c r="Q570" s="19" t="n">
        <f aca="false" t="array" ref="Q570:Q570">IF(AND(INDEX(Profils!$K$5:$K$34,$AE570)&gt;0,INDEX(Profils!$Z$5:$Z$34,$AE570)&lt;=$AH570),ROUND(INDEX(Profils!$K$5:$K$34,$AE570)*Paramètres!$E$27*$AG570*$AJ570,Paramètres!$F$27),0)</f>
        <v>0</v>
      </c>
      <c r="R570" s="20" t="n">
        <f aca="false" t="array" ref="R570:R570">IF(AND(INDEX(Profils!$L$5:$L$34,$AE570)&gt;0,INDEX(Profils!$AA$5:$AA$34,$AE570)&lt;=$AH570),ROUND(INDEX(Profils!$L$5:$L$34,$AE570)*Paramètres!$E$28*$AG570*$AJ570,Paramètres!$F$28),0)</f>
        <v>0</v>
      </c>
      <c r="S570" s="20" t="n">
        <f aca="false" t="array" ref="S570:S570">IF(AND(INDEX(Profils!$M$5:$M$34,$AE570)&gt;0,INDEX(Profils!$AB$5:$AB$34,$AE570)&lt;=$AH570),ROUND(INDEX(Profils!$M$5:$M$34,$AE570)*Paramètres!$E$29*$AG570*$AJ570,Paramètres!$F$29),0)</f>
        <v>0</v>
      </c>
      <c r="T570" s="20" t="n">
        <f aca="false" t="array" ref="T570:T570">IF(AND(INDEX(Profils!$N$5:$N$34,$AE570)&gt;0,INDEX(Profils!$AC$5:$AC$34,$AE570)&lt;=$AH570),ROUND(INDEX(Profils!$N$5:$N$34,$AE570)*Paramètres!$E$30*$AG570*$AJ570,Paramètres!$F$30),0)</f>
        <v>0</v>
      </c>
      <c r="U570" s="19" t="n">
        <f aca="false" t="array" ref="U570:U570">IF(AND(INDEX(Profils!$O$5:$O$34,$AE570)&gt;0,INDEX(Profils!$AD$5:$AD$34,$AE570)&lt;=$AH570),ROUND(INDEX(Profils!$O$5:$O$34,$AE570)*Paramètres!$E$31*$AG570*$AJ570,Paramètres!$F$31),0)</f>
        <v>0</v>
      </c>
      <c r="V570" s="20" t="n">
        <f aca="false" t="array" ref="V570:V570">IF(AND(INDEX(Profils!$P$5:$P$34,$AE570)&gt;0,INDEX(Profils!$AE$5:$AE$34,$AE570)&lt;=$AH570),ROUND(INDEX(Profils!$P$5:$P$34,$AE570)*Paramètres!$E$32*$AG570*$AJ570,Paramètres!$F$32),0)</f>
        <v>0.004</v>
      </c>
      <c r="W570" s="20" t="n">
        <f aca="false" t="array" ref="W570:W570">IF(AND(INDEX(Profils!$Q$5:$Q$34,$AE570)&gt;0,INDEX(Profils!$AF$5:$AF$34,$AE570)&lt;=$AH570),ROUND(INDEX(Profils!$Q$5:$Q$34,$AE570)*Paramètres!$E$33*$AG570*$AJ570,Paramètres!$F$33),0)</f>
        <v>0</v>
      </c>
      <c r="X570" s="20" t="n">
        <f aca="false" t="array" ref="X570:X570">IF(AND(INDEX(Profils!$R$5:$R$34,$AE570)&gt;0,INDEX(Profils!$AG$5:$AG$34,$AE570)&lt;=$AH570),ROUND(INDEX(Profils!$R$5:$R$34,$AE570)*Paramètres!$E$34*$AG570*$AJ570,Paramètres!$F$34),0)</f>
        <v>0</v>
      </c>
      <c r="Y570" s="20" t="n">
        <f aca="false" t="array" ref="Y570:Y570">IF(AND(INDEX(Profils!$S$5:$S$34,$AE570)&gt;0,INDEX(Profils!$AH$5:$AH$34,$AE570)&lt;=$AH570),ROUND(INDEX(Profils!$S$5:$S$34,$AE570)*Paramètres!$E$35*$AG570*$AJ570,Paramètres!$F$35),0)</f>
        <v>0</v>
      </c>
      <c r="Z570" s="21" t="n">
        <f aca="false">ROUND(L570/Paramètres!$E$22+M570/Paramètres!$E$23+N570/Paramètres!$E$24+O570/Paramètres!$E$25+P570/Paramètres!$E$26+Q570/Paramètres!$E$27+R570/Paramètres!$E$28+S570/Paramètres!$E$29+T570/Paramètres!$E$30+U570/Paramètres!$E$31+V570/Paramètres!$E$32+W570/Paramètres!$E$33+X570/Paramètres!$E$34+Y570/Paramètres!$E$35,1)</f>
        <v>0.6</v>
      </c>
      <c r="AA570" s="22" t="s">
        <v>109</v>
      </c>
      <c r="AB570" s="22" t="s">
        <v>109</v>
      </c>
      <c r="AC570" s="15" t="str">
        <f aca="false">$E570</f>
        <v>chêne</v>
      </c>
      <c r="AD570" s="16" t="n">
        <f aca="false" t="array" ref="AD570:AD570">IF($I570&gt;=$AI570,"Max",ROUND(Paramètres!$B$40*($I570+1)^Paramètres!$B$41*INDEX(Paramètres!$H$6:$H$12,$AF570),0))</f>
        <v>3</v>
      </c>
      <c r="AE570" s="23" t="n">
        <f aca="false">MATCH($B570&amp;"|"&amp;$C570,Profils!$A$5:$A$34,0)</f>
        <v>19</v>
      </c>
      <c r="AF570" s="23" t="n">
        <v>1</v>
      </c>
      <c r="AG570" s="24" t="n">
        <f aca="false" t="array" ref="AG570:AG570">INDEX(Paramètres!$C$6:$C$12,$AF570)</f>
        <v>1</v>
      </c>
      <c r="AH570" s="23" t="n">
        <f aca="false" t="array" ref="AH570:AH570">INDEX(Paramètres!$D$6:$D$12,$AF570)</f>
        <v>2</v>
      </c>
      <c r="AI570" s="23" t="n">
        <f aca="false" t="array" ref="AI570:AI570">INDEX(Matériaux!$C$16:$C$20,$D570)</f>
        <v>20</v>
      </c>
      <c r="AJ570" s="25" t="n">
        <f aca="false">Paramètres!$B$16+(1-Paramètres!$B$16)*(($J570-Paramètres!$B$14)/(Paramètres!$B$15-Paramètres!$B$14))^Paramètres!$B$17</f>
        <v>0.140847925475674</v>
      </c>
    </row>
    <row r="571" customFormat="false" ht="15.75" hidden="false" customHeight="true" outlineLevel="0" collapsed="false">
      <c r="A571" s="14" t="s">
        <v>687</v>
      </c>
      <c r="B571" s="15" t="s">
        <v>29</v>
      </c>
      <c r="C571" s="15" t="s">
        <v>369</v>
      </c>
      <c r="D571" s="16" t="n">
        <v>2</v>
      </c>
      <c r="E571" s="15" t="str">
        <f aca="false" t="array" ref="E571:E571">INDEX(Matériaux!$B$5:$F$12,MATCH(INDEX(Profils!$E$5:$E$34,$AE571),Matériaux!$A$5:$A$12,0),$D571)</f>
        <v>chêne</v>
      </c>
      <c r="F571" s="26" t="s">
        <v>111</v>
      </c>
      <c r="G571" s="10" t="str">
        <f aca="false" t="array" ref="G571:G571">INDEX(Profils!$D$5:$D$34,$AE571)&amp;" en "&amp;$E571</f>
        <v>Bâton en chêne</v>
      </c>
      <c r="H571" s="16" t="n">
        <f aca="false" t="array" ref="H571:H571">INDEX(Matériaux!$B$16:$B$20,$D571)</f>
        <v>15</v>
      </c>
      <c r="I571" s="16" t="n">
        <f aca="false">IF(ISNUMBER($C$3),MIN(MAX(0,ROUND($C$3,0)),$AI571),$AI571)</f>
        <v>0</v>
      </c>
      <c r="J571" s="18" t="n">
        <f aca="false">$H571+$I571</f>
        <v>15</v>
      </c>
      <c r="K571" s="15" t="s">
        <v>109</v>
      </c>
      <c r="L571" s="19" t="n">
        <f aca="false" t="array" ref="L571:L571">IF(AND(INDEX(Profils!$F$5:$F$34,$AE571)&gt;0,INDEX(Profils!$U$5:$U$34,$AE571)&lt;=$AH571),ROUND(INDEX(Profils!$F$5:$F$34,$AE571)*Paramètres!$E$22*$AG571*$AJ571,Paramètres!$F$22),0)</f>
        <v>0</v>
      </c>
      <c r="M571" s="19" t="n">
        <f aca="false" t="array" ref="M571:M571">IF(AND(INDEX(Profils!$G$5:$G$34,$AE571)&gt;0,INDEX(Profils!$V$5:$V$34,$AE571)&lt;=$AH571),ROUND(INDEX(Profils!$G$5:$G$34,$AE571)*Paramètres!$E$23*$AG571*$AJ571,Paramètres!$F$23),0)</f>
        <v>0</v>
      </c>
      <c r="N571" s="19" t="n">
        <f aca="false" t="array" ref="N571:N571">IF(AND(INDEX(Profils!$H$5:$H$34,$AE571)&gt;0,INDEX(Profils!$W$5:$W$34,$AE571)&lt;=$AH571),ROUND(INDEX(Profils!$H$5:$H$34,$AE571)*Paramètres!$E$24*$AG571*$AJ571,Paramètres!$F$24),0)</f>
        <v>0</v>
      </c>
      <c r="O571" s="19" t="n">
        <f aca="false" t="array" ref="O571:O571">IF(AND(INDEX(Profils!$I$5:$I$34,$AE571)&gt;0,INDEX(Profils!$X$5:$X$34,$AE571)&lt;=$AH571),ROUND(INDEX(Profils!$I$5:$I$34,$AE571)*Paramètres!$E$25*$AG571*$AJ571,Paramètres!$F$25),0)</f>
        <v>6</v>
      </c>
      <c r="P571" s="19" t="n">
        <f aca="false" t="array" ref="P571:P571">IF(AND(INDEX(Profils!$J$5:$J$34,$AE571)&gt;0,INDEX(Profils!$Y$5:$Y$34,$AE571)&lt;=$AH571),ROUND(INDEX(Profils!$J$5:$J$34,$AE571)*Paramètres!$E$26*$AG571*$AJ571,Paramètres!$F$26),0)</f>
        <v>0</v>
      </c>
      <c r="Q571" s="19" t="n">
        <f aca="false" t="array" ref="Q571:Q571">IF(AND(INDEX(Profils!$K$5:$K$34,$AE571)&gt;0,INDEX(Profils!$Z$5:$Z$34,$AE571)&lt;=$AH571),ROUND(INDEX(Profils!$K$5:$K$34,$AE571)*Paramètres!$E$27*$AG571*$AJ571,Paramètres!$F$27),0)</f>
        <v>0</v>
      </c>
      <c r="R571" s="20" t="n">
        <f aca="false" t="array" ref="R571:R571">IF(AND(INDEX(Profils!$L$5:$L$34,$AE571)&gt;0,INDEX(Profils!$AA$5:$AA$34,$AE571)&lt;=$AH571),ROUND(INDEX(Profils!$L$5:$L$34,$AE571)*Paramètres!$E$28*$AG571*$AJ571,Paramètres!$F$28),0)</f>
        <v>0</v>
      </c>
      <c r="S571" s="20" t="n">
        <f aca="false" t="array" ref="S571:S571">IF(AND(INDEX(Profils!$M$5:$M$34,$AE571)&gt;0,INDEX(Profils!$AB$5:$AB$34,$AE571)&lt;=$AH571),ROUND(INDEX(Profils!$M$5:$M$34,$AE571)*Paramètres!$E$29*$AG571*$AJ571,Paramètres!$F$29),0)</f>
        <v>0.003</v>
      </c>
      <c r="T571" s="20" t="n">
        <f aca="false" t="array" ref="T571:T571">IF(AND(INDEX(Profils!$N$5:$N$34,$AE571)&gt;0,INDEX(Profils!$AC$5:$AC$34,$AE571)&lt;=$AH571),ROUND(INDEX(Profils!$N$5:$N$34,$AE571)*Paramètres!$E$30*$AG571*$AJ571,Paramètres!$F$30),0)</f>
        <v>0</v>
      </c>
      <c r="U571" s="19" t="n">
        <f aca="false" t="array" ref="U571:U571">IF(AND(INDEX(Profils!$O$5:$O$34,$AE571)&gt;0,INDEX(Profils!$AD$5:$AD$34,$AE571)&lt;=$AH571),ROUND(INDEX(Profils!$O$5:$O$34,$AE571)*Paramètres!$E$31*$AG571*$AJ571,Paramètres!$F$31),0)</f>
        <v>0</v>
      </c>
      <c r="V571" s="20" t="n">
        <f aca="false" t="array" ref="V571:V571">IF(AND(INDEX(Profils!$P$5:$P$34,$AE571)&gt;0,INDEX(Profils!$AE$5:$AE$34,$AE571)&lt;=$AH571),ROUND(INDEX(Profils!$P$5:$P$34,$AE571)*Paramètres!$E$32*$AG571*$AJ571,Paramètres!$F$32),0)</f>
        <v>0.005</v>
      </c>
      <c r="W571" s="20" t="n">
        <f aca="false" t="array" ref="W571:W571">IF(AND(INDEX(Profils!$Q$5:$Q$34,$AE571)&gt;0,INDEX(Profils!$AF$5:$AF$34,$AE571)&lt;=$AH571),ROUND(INDEX(Profils!$Q$5:$Q$34,$AE571)*Paramètres!$E$33*$AG571*$AJ571,Paramètres!$F$33),0)</f>
        <v>0</v>
      </c>
      <c r="X571" s="20" t="n">
        <f aca="false" t="array" ref="X571:X571">IF(AND(INDEX(Profils!$R$5:$R$34,$AE571)&gt;0,INDEX(Profils!$AG$5:$AG$34,$AE571)&lt;=$AH571),ROUND(INDEX(Profils!$R$5:$R$34,$AE571)*Paramètres!$E$34*$AG571*$AJ571,Paramètres!$F$34),0)</f>
        <v>0</v>
      </c>
      <c r="Y571" s="20" t="n">
        <f aca="false" t="array" ref="Y571:Y571">IF(AND(INDEX(Profils!$S$5:$S$34,$AE571)&gt;0,INDEX(Profils!$AH$5:$AH$34,$AE571)&lt;=$AH571),ROUND(INDEX(Profils!$S$5:$S$34,$AE571)*Paramètres!$E$35*$AG571*$AJ571,Paramètres!$F$35),0)</f>
        <v>0</v>
      </c>
      <c r="Z571" s="21" t="n">
        <f aca="false">ROUND(L571/Paramètres!$E$22+M571/Paramètres!$E$23+N571/Paramètres!$E$24+O571/Paramètres!$E$25+P571/Paramètres!$E$26+Q571/Paramètres!$E$27+R571/Paramètres!$E$28+S571/Paramètres!$E$29+T571/Paramètres!$E$30+U571/Paramètres!$E$31+V571/Paramètres!$E$32+W571/Paramètres!$E$33+X571/Paramètres!$E$34+Y571/Paramètres!$E$35,1)</f>
        <v>1</v>
      </c>
      <c r="AA571" s="22" t="s">
        <v>109</v>
      </c>
      <c r="AB571" s="22" t="s">
        <v>109</v>
      </c>
      <c r="AC571" s="15" t="str">
        <f aca="false">$E571</f>
        <v>chêne</v>
      </c>
      <c r="AD571" s="16" t="n">
        <f aca="false" t="array" ref="AD571:AD571">IF($I571&gt;=$AI571,"Max",ROUND(Paramètres!$B$40*($I571+1)^Paramètres!$B$41*INDEX(Paramètres!$H$6:$H$12,$AF571),0))</f>
        <v>4</v>
      </c>
      <c r="AE571" s="23" t="n">
        <f aca="false">MATCH($B571&amp;"|"&amp;$C571,Profils!$A$5:$A$34,0)</f>
        <v>19</v>
      </c>
      <c r="AF571" s="23" t="n">
        <v>2</v>
      </c>
      <c r="AG571" s="24" t="n">
        <f aca="false" t="array" ref="AG571:AG571">INDEX(Paramètres!$C$6:$C$12,$AF571)</f>
        <v>1.2</v>
      </c>
      <c r="AH571" s="23" t="n">
        <f aca="false" t="array" ref="AH571:AH571">INDEX(Paramètres!$D$6:$D$12,$AF571)</f>
        <v>3</v>
      </c>
      <c r="AI571" s="23" t="n">
        <f aca="false" t="array" ref="AI571:AI571">INDEX(Matériaux!$C$16:$C$20,$D571)</f>
        <v>20</v>
      </c>
      <c r="AJ571" s="25" t="n">
        <f aca="false">Paramètres!$B$16+(1-Paramètres!$B$16)*(($J571-Paramètres!$B$14)/(Paramètres!$B$15-Paramètres!$B$14))^Paramètres!$B$17</f>
        <v>0.140847925475674</v>
      </c>
    </row>
    <row r="572" customFormat="false" ht="15.75" hidden="false" customHeight="true" outlineLevel="0" collapsed="false">
      <c r="A572" s="14" t="s">
        <v>688</v>
      </c>
      <c r="B572" s="15" t="s">
        <v>29</v>
      </c>
      <c r="C572" s="15" t="s">
        <v>369</v>
      </c>
      <c r="D572" s="16" t="n">
        <v>2</v>
      </c>
      <c r="E572" s="15" t="str">
        <f aca="false" t="array" ref="E572:E572">INDEX(Matériaux!$B$5:$F$12,MATCH(INDEX(Profils!$E$5:$E$34,$AE572),Matériaux!$A$5:$A$12,0),$D572)</f>
        <v>chêne</v>
      </c>
      <c r="F572" s="27" t="s">
        <v>113</v>
      </c>
      <c r="G572" s="10" t="str">
        <f aca="false" t="array" ref="G572:G572">INDEX(Profils!$D$5:$D$34,$AE572)&amp;" en "&amp;$E572</f>
        <v>Bâton en chêne</v>
      </c>
      <c r="H572" s="16" t="n">
        <f aca="false" t="array" ref="H572:H572">INDEX(Matériaux!$B$16:$B$20,$D572)</f>
        <v>15</v>
      </c>
      <c r="I572" s="16" t="n">
        <f aca="false">IF(ISNUMBER($C$3),MIN(MAX(0,ROUND($C$3,0)),$AI572),$AI572)</f>
        <v>0</v>
      </c>
      <c r="J572" s="18" t="n">
        <f aca="false">$H572+$I572</f>
        <v>15</v>
      </c>
      <c r="K572" s="15" t="s">
        <v>109</v>
      </c>
      <c r="L572" s="19" t="n">
        <f aca="false" t="array" ref="L572:L572">IF(AND(INDEX(Profils!$F$5:$F$34,$AE572)&gt;0,INDEX(Profils!$U$5:$U$34,$AE572)&lt;=$AH572),ROUND(INDEX(Profils!$F$5:$F$34,$AE572)*Paramètres!$E$22*$AG572*$AJ572,Paramètres!$F$22),0)</f>
        <v>0</v>
      </c>
      <c r="M572" s="19" t="n">
        <f aca="false" t="array" ref="M572:M572">IF(AND(INDEX(Profils!$G$5:$G$34,$AE572)&gt;0,INDEX(Profils!$V$5:$V$34,$AE572)&lt;=$AH572),ROUND(INDEX(Profils!$G$5:$G$34,$AE572)*Paramètres!$E$23*$AG572*$AJ572,Paramètres!$F$23),0)</f>
        <v>0</v>
      </c>
      <c r="N572" s="19" t="n">
        <f aca="false" t="array" ref="N572:N572">IF(AND(INDEX(Profils!$H$5:$H$34,$AE572)&gt;0,INDEX(Profils!$W$5:$W$34,$AE572)&lt;=$AH572),ROUND(INDEX(Profils!$H$5:$H$34,$AE572)*Paramètres!$E$24*$AG572*$AJ572,Paramètres!$F$24),0)</f>
        <v>0</v>
      </c>
      <c r="O572" s="19" t="n">
        <f aca="false" t="array" ref="O572:O572">IF(AND(INDEX(Profils!$I$5:$I$34,$AE572)&gt;0,INDEX(Profils!$X$5:$X$34,$AE572)&lt;=$AH572),ROUND(INDEX(Profils!$I$5:$I$34,$AE572)*Paramètres!$E$25*$AG572*$AJ572,Paramètres!$F$25),0)</f>
        <v>7</v>
      </c>
      <c r="P572" s="19" t="n">
        <f aca="false" t="array" ref="P572:P572">IF(AND(INDEX(Profils!$J$5:$J$34,$AE572)&gt;0,INDEX(Profils!$Y$5:$Y$34,$AE572)&lt;=$AH572),ROUND(INDEX(Profils!$J$5:$J$34,$AE572)*Paramètres!$E$26*$AG572*$AJ572,Paramètres!$F$26),0)</f>
        <v>0</v>
      </c>
      <c r="Q572" s="19" t="n">
        <f aca="false" t="array" ref="Q572:Q572">IF(AND(INDEX(Profils!$K$5:$K$34,$AE572)&gt;0,INDEX(Profils!$Z$5:$Z$34,$AE572)&lt;=$AH572),ROUND(INDEX(Profils!$K$5:$K$34,$AE572)*Paramètres!$E$27*$AG572*$AJ572,Paramètres!$F$27),0)</f>
        <v>0</v>
      </c>
      <c r="R572" s="20" t="n">
        <f aca="false" t="array" ref="R572:R572">IF(AND(INDEX(Profils!$L$5:$L$34,$AE572)&gt;0,INDEX(Profils!$AA$5:$AA$34,$AE572)&lt;=$AH572),ROUND(INDEX(Profils!$L$5:$L$34,$AE572)*Paramètres!$E$28*$AG572*$AJ572,Paramètres!$F$28),0)</f>
        <v>0</v>
      </c>
      <c r="S572" s="20" t="n">
        <f aca="false" t="array" ref="S572:S572">IF(AND(INDEX(Profils!$M$5:$M$34,$AE572)&gt;0,INDEX(Profils!$AB$5:$AB$34,$AE572)&lt;=$AH572),ROUND(INDEX(Profils!$M$5:$M$34,$AE572)*Paramètres!$E$29*$AG572*$AJ572,Paramètres!$F$29),0)</f>
        <v>0.004</v>
      </c>
      <c r="T572" s="20" t="n">
        <f aca="false" t="array" ref="T572:T572">IF(AND(INDEX(Profils!$N$5:$N$34,$AE572)&gt;0,INDEX(Profils!$AC$5:$AC$34,$AE572)&lt;=$AH572),ROUND(INDEX(Profils!$N$5:$N$34,$AE572)*Paramètres!$E$30*$AG572*$AJ572,Paramètres!$F$30),0)</f>
        <v>0.01</v>
      </c>
      <c r="U572" s="19" t="n">
        <f aca="false" t="array" ref="U572:U572">IF(AND(INDEX(Profils!$O$5:$O$34,$AE572)&gt;0,INDEX(Profils!$AD$5:$AD$34,$AE572)&lt;=$AH572),ROUND(INDEX(Profils!$O$5:$O$34,$AE572)*Paramètres!$E$31*$AG572*$AJ572,Paramètres!$F$31),0)</f>
        <v>0</v>
      </c>
      <c r="V572" s="20" t="n">
        <f aca="false" t="array" ref="V572:V572">IF(AND(INDEX(Profils!$P$5:$P$34,$AE572)&gt;0,INDEX(Profils!$AE$5:$AE$34,$AE572)&lt;=$AH572),ROUND(INDEX(Profils!$P$5:$P$34,$AE572)*Paramètres!$E$32*$AG572*$AJ572,Paramètres!$F$32),0)</f>
        <v>0.006</v>
      </c>
      <c r="W572" s="20" t="n">
        <f aca="false" t="array" ref="W572:W572">IF(AND(INDEX(Profils!$Q$5:$Q$34,$AE572)&gt;0,INDEX(Profils!$AF$5:$AF$34,$AE572)&lt;=$AH572),ROUND(INDEX(Profils!$Q$5:$Q$34,$AE572)*Paramètres!$E$33*$AG572*$AJ572,Paramètres!$F$33),0)</f>
        <v>0</v>
      </c>
      <c r="X572" s="20" t="n">
        <f aca="false" t="array" ref="X572:X572">IF(AND(INDEX(Profils!$R$5:$R$34,$AE572)&gt;0,INDEX(Profils!$AG$5:$AG$34,$AE572)&lt;=$AH572),ROUND(INDEX(Profils!$R$5:$R$34,$AE572)*Paramètres!$E$34*$AG572*$AJ572,Paramètres!$F$34),0)</f>
        <v>0</v>
      </c>
      <c r="Y572" s="20" t="n">
        <f aca="false" t="array" ref="Y572:Y572">IF(AND(INDEX(Profils!$S$5:$S$34,$AE572)&gt;0,INDEX(Profils!$AH$5:$AH$34,$AE572)&lt;=$AH572),ROUND(INDEX(Profils!$S$5:$S$34,$AE572)*Paramètres!$E$35*$AG572*$AJ572,Paramètres!$F$35),0)</f>
        <v>0</v>
      </c>
      <c r="Z572" s="21" t="n">
        <f aca="false">ROUND(L572/Paramètres!$E$22+M572/Paramètres!$E$23+N572/Paramètres!$E$24+O572/Paramètres!$E$25+P572/Paramètres!$E$26+Q572/Paramètres!$E$27+R572/Paramètres!$E$28+S572/Paramètres!$E$29+T572/Paramètres!$E$30+U572/Paramètres!$E$31+V572/Paramètres!$E$32+W572/Paramètres!$E$33+X572/Paramètres!$E$34+Y572/Paramètres!$E$35,1)</f>
        <v>1.5</v>
      </c>
      <c r="AA572" s="22" t="s">
        <v>109</v>
      </c>
      <c r="AB572" s="22" t="s">
        <v>109</v>
      </c>
      <c r="AC572" s="15" t="str">
        <f aca="false">$E572</f>
        <v>chêne</v>
      </c>
      <c r="AD572" s="16" t="n">
        <f aca="false" t="array" ref="AD572:AD572">IF($I572&gt;=$AI572,"Max",ROUND(Paramètres!$B$40*($I572+1)^Paramètres!$B$41*INDEX(Paramètres!$H$6:$H$12,$AF572),0))</f>
        <v>4</v>
      </c>
      <c r="AE572" s="23" t="n">
        <f aca="false">MATCH($B572&amp;"|"&amp;$C572,Profils!$A$5:$A$34,0)</f>
        <v>19</v>
      </c>
      <c r="AF572" s="23" t="n">
        <v>3</v>
      </c>
      <c r="AG572" s="24" t="n">
        <f aca="false" t="array" ref="AG572:AG572">INDEX(Paramètres!$C$6:$C$12,$AF572)</f>
        <v>1.45</v>
      </c>
      <c r="AH572" s="23" t="n">
        <f aca="false" t="array" ref="AH572:AH572">INDEX(Paramètres!$D$6:$D$12,$AF572)</f>
        <v>4</v>
      </c>
      <c r="AI572" s="23" t="n">
        <f aca="false" t="array" ref="AI572:AI572">INDEX(Matériaux!$C$16:$C$20,$D572)</f>
        <v>20</v>
      </c>
      <c r="AJ572" s="25" t="n">
        <f aca="false">Paramètres!$B$16+(1-Paramètres!$B$16)*(($J572-Paramètres!$B$14)/(Paramètres!$B$15-Paramètres!$B$14))^Paramètres!$B$17</f>
        <v>0.140847925475674</v>
      </c>
    </row>
    <row r="573" customFormat="false" ht="15.75" hidden="false" customHeight="true" outlineLevel="0" collapsed="false">
      <c r="A573" s="14" t="s">
        <v>689</v>
      </c>
      <c r="B573" s="15" t="s">
        <v>29</v>
      </c>
      <c r="C573" s="15" t="s">
        <v>369</v>
      </c>
      <c r="D573" s="16" t="n">
        <v>2</v>
      </c>
      <c r="E573" s="15" t="str">
        <f aca="false" t="array" ref="E573:E573">INDEX(Matériaux!$B$5:$F$12,MATCH(INDEX(Profils!$E$5:$E$34,$AE573),Matériaux!$A$5:$A$12,0),$D573)</f>
        <v>chêne</v>
      </c>
      <c r="F573" s="28" t="s">
        <v>115</v>
      </c>
      <c r="G573" s="10" t="str">
        <f aca="false" t="array" ref="G573:G573">INDEX(Profils!$D$5:$D$34,$AE573)&amp;" en "&amp;$E573</f>
        <v>Bâton en chêne</v>
      </c>
      <c r="H573" s="16" t="n">
        <f aca="false" t="array" ref="H573:H573">INDEX(Matériaux!$B$16:$B$20,$D573)</f>
        <v>15</v>
      </c>
      <c r="I573" s="16" t="n">
        <f aca="false">IF(ISNUMBER($C$3),MIN(MAX(0,ROUND($C$3,0)),$AI573),$AI573)</f>
        <v>0</v>
      </c>
      <c r="J573" s="18" t="n">
        <f aca="false">$H573+$I573</f>
        <v>15</v>
      </c>
      <c r="K573" s="15" t="s">
        <v>109</v>
      </c>
      <c r="L573" s="19" t="n">
        <f aca="false" t="array" ref="L573:L573">IF(AND(INDEX(Profils!$F$5:$F$34,$AE573)&gt;0,INDEX(Profils!$U$5:$U$34,$AE573)&lt;=$AH573),ROUND(INDEX(Profils!$F$5:$F$34,$AE573)*Paramètres!$E$22*$AG573*$AJ573,Paramètres!$F$22),0)</f>
        <v>0</v>
      </c>
      <c r="M573" s="19" t="n">
        <f aca="false" t="array" ref="M573:M573">IF(AND(INDEX(Profils!$G$5:$G$34,$AE573)&gt;0,INDEX(Profils!$V$5:$V$34,$AE573)&lt;=$AH573),ROUND(INDEX(Profils!$G$5:$G$34,$AE573)*Paramètres!$E$23*$AG573*$AJ573,Paramètres!$F$23),0)</f>
        <v>0</v>
      </c>
      <c r="N573" s="19" t="n">
        <f aca="false" t="array" ref="N573:N573">IF(AND(INDEX(Profils!$H$5:$H$34,$AE573)&gt;0,INDEX(Profils!$W$5:$W$34,$AE573)&lt;=$AH573),ROUND(INDEX(Profils!$H$5:$H$34,$AE573)*Paramètres!$E$24*$AG573*$AJ573,Paramètres!$F$24),0)</f>
        <v>0</v>
      </c>
      <c r="O573" s="19" t="n">
        <f aca="false" t="array" ref="O573:O573">IF(AND(INDEX(Profils!$I$5:$I$34,$AE573)&gt;0,INDEX(Profils!$X$5:$X$34,$AE573)&lt;=$AH573),ROUND(INDEX(Profils!$I$5:$I$34,$AE573)*Paramètres!$E$25*$AG573*$AJ573,Paramètres!$F$25),0)</f>
        <v>9</v>
      </c>
      <c r="P573" s="19" t="n">
        <f aca="false" t="array" ref="P573:P573">IF(AND(INDEX(Profils!$J$5:$J$34,$AE573)&gt;0,INDEX(Profils!$Y$5:$Y$34,$AE573)&lt;=$AH573),ROUND(INDEX(Profils!$J$5:$J$34,$AE573)*Paramètres!$E$26*$AG573*$AJ573,Paramètres!$F$26),0)</f>
        <v>0</v>
      </c>
      <c r="Q573" s="19" t="n">
        <f aca="false" t="array" ref="Q573:Q573">IF(AND(INDEX(Profils!$K$5:$K$34,$AE573)&gt;0,INDEX(Profils!$Z$5:$Z$34,$AE573)&lt;=$AH573),ROUND(INDEX(Profils!$K$5:$K$34,$AE573)*Paramètres!$E$27*$AG573*$AJ573,Paramètres!$F$27),0)</f>
        <v>0</v>
      </c>
      <c r="R573" s="20" t="n">
        <f aca="false" t="array" ref="R573:R573">IF(AND(INDEX(Profils!$L$5:$L$34,$AE573)&gt;0,INDEX(Profils!$AA$5:$AA$34,$AE573)&lt;=$AH573),ROUND(INDEX(Profils!$L$5:$L$34,$AE573)*Paramètres!$E$28*$AG573*$AJ573,Paramètres!$F$28),0)</f>
        <v>0.004</v>
      </c>
      <c r="S573" s="20" t="n">
        <f aca="false" t="array" ref="S573:S573">IF(AND(INDEX(Profils!$M$5:$M$34,$AE573)&gt;0,INDEX(Profils!$AB$5:$AB$34,$AE573)&lt;=$AH573),ROUND(INDEX(Profils!$M$5:$M$34,$AE573)*Paramètres!$E$29*$AG573*$AJ573,Paramètres!$F$29),0)</f>
        <v>0.005</v>
      </c>
      <c r="T573" s="20" t="n">
        <f aca="false" t="array" ref="T573:T573">IF(AND(INDEX(Profils!$N$5:$N$34,$AE573)&gt;0,INDEX(Profils!$AC$5:$AC$34,$AE573)&lt;=$AH573),ROUND(INDEX(Profils!$N$5:$N$34,$AE573)*Paramètres!$E$30*$AG573*$AJ573,Paramètres!$F$30),0)</f>
        <v>0.012</v>
      </c>
      <c r="U573" s="19" t="n">
        <f aca="false" t="array" ref="U573:U573">IF(AND(INDEX(Profils!$O$5:$O$34,$AE573)&gt;0,INDEX(Profils!$AD$5:$AD$34,$AE573)&lt;=$AH573),ROUND(INDEX(Profils!$O$5:$O$34,$AE573)*Paramètres!$E$31*$AG573*$AJ573,Paramètres!$F$31),0)</f>
        <v>0</v>
      </c>
      <c r="V573" s="20" t="n">
        <f aca="false" t="array" ref="V573:V573">IF(AND(INDEX(Profils!$P$5:$P$34,$AE573)&gt;0,INDEX(Profils!$AE$5:$AE$34,$AE573)&lt;=$AH573),ROUND(INDEX(Profils!$P$5:$P$34,$AE573)*Paramètres!$E$32*$AG573*$AJ573,Paramètres!$F$32),0)</f>
        <v>0.007</v>
      </c>
      <c r="W573" s="20" t="n">
        <f aca="false" t="array" ref="W573:W573">IF(AND(INDEX(Profils!$Q$5:$Q$34,$AE573)&gt;0,INDEX(Profils!$AF$5:$AF$34,$AE573)&lt;=$AH573),ROUND(INDEX(Profils!$Q$5:$Q$34,$AE573)*Paramètres!$E$33*$AG573*$AJ573,Paramètres!$F$33),0)</f>
        <v>0</v>
      </c>
      <c r="X573" s="20" t="n">
        <f aca="false" t="array" ref="X573:X573">IF(AND(INDEX(Profils!$R$5:$R$34,$AE573)&gt;0,INDEX(Profils!$AG$5:$AG$34,$AE573)&lt;=$AH573),ROUND(INDEX(Profils!$R$5:$R$34,$AE573)*Paramètres!$E$34*$AG573*$AJ573,Paramètres!$F$34),0)</f>
        <v>0</v>
      </c>
      <c r="Y573" s="20" t="n">
        <f aca="false" t="array" ref="Y573:Y573">IF(AND(INDEX(Profils!$S$5:$S$34,$AE573)&gt;0,INDEX(Profils!$AH$5:$AH$34,$AE573)&lt;=$AH573),ROUND(INDEX(Profils!$S$5:$S$34,$AE573)*Paramètres!$E$35*$AG573*$AJ573,Paramètres!$F$35),0)</f>
        <v>0</v>
      </c>
      <c r="Z573" s="21" t="n">
        <f aca="false">ROUND(L573/Paramètres!$E$22+M573/Paramètres!$E$23+N573/Paramètres!$E$24+O573/Paramètres!$E$25+P573/Paramètres!$E$26+Q573/Paramètres!$E$27+R573/Paramètres!$E$28+S573/Paramètres!$E$29+T573/Paramètres!$E$30+U573/Paramètres!$E$31+V573/Paramètres!$E$32+W573/Paramètres!$E$33+X573/Paramètres!$E$34+Y573/Paramètres!$E$35,1)</f>
        <v>2.2</v>
      </c>
      <c r="AA573" s="22" t="s">
        <v>109</v>
      </c>
      <c r="AB573" s="22" t="s">
        <v>109</v>
      </c>
      <c r="AC573" s="15" t="str">
        <f aca="false">$E573</f>
        <v>chêne</v>
      </c>
      <c r="AD573" s="16" t="n">
        <f aca="false" t="array" ref="AD573:AD573">IF($I573&gt;=$AI573,"Max",ROUND(Paramètres!$B$40*($I573+1)^Paramètres!$B$41*INDEX(Paramètres!$H$6:$H$12,$AF573),0))</f>
        <v>5</v>
      </c>
      <c r="AE573" s="23" t="n">
        <f aca="false">MATCH($B573&amp;"|"&amp;$C573,Profils!$A$5:$A$34,0)</f>
        <v>19</v>
      </c>
      <c r="AF573" s="23" t="n">
        <v>4</v>
      </c>
      <c r="AG573" s="24" t="n">
        <f aca="false" t="array" ref="AG573:AG573">INDEX(Paramètres!$C$6:$C$12,$AF573)</f>
        <v>1.75</v>
      </c>
      <c r="AH573" s="23" t="n">
        <f aca="false" t="array" ref="AH573:AH573">INDEX(Paramètres!$D$6:$D$12,$AF573)</f>
        <v>5</v>
      </c>
      <c r="AI573" s="23" t="n">
        <f aca="false" t="array" ref="AI573:AI573">INDEX(Matériaux!$C$16:$C$20,$D573)</f>
        <v>20</v>
      </c>
      <c r="AJ573" s="25" t="n">
        <f aca="false">Paramètres!$B$16+(1-Paramètres!$B$16)*(($J573-Paramètres!$B$14)/(Paramètres!$B$15-Paramètres!$B$14))^Paramètres!$B$17</f>
        <v>0.140847925475674</v>
      </c>
    </row>
    <row r="574" customFormat="false" ht="15.75" hidden="false" customHeight="true" outlineLevel="0" collapsed="false">
      <c r="A574" s="14" t="s">
        <v>690</v>
      </c>
      <c r="B574" s="15" t="s">
        <v>29</v>
      </c>
      <c r="C574" s="15" t="s">
        <v>369</v>
      </c>
      <c r="D574" s="16" t="n">
        <v>2</v>
      </c>
      <c r="E574" s="15" t="str">
        <f aca="false" t="array" ref="E574:E574">INDEX(Matériaux!$B$5:$F$12,MATCH(INDEX(Profils!$E$5:$E$34,$AE574),Matériaux!$A$5:$A$12,0),$D574)</f>
        <v>chêne</v>
      </c>
      <c r="F574" s="29" t="s">
        <v>117</v>
      </c>
      <c r="G574" s="10" t="str">
        <f aca="false" t="array" ref="G574:G574">INDEX(Profils!$D$5:$D$34,$AE574)&amp;" en "&amp;$E574</f>
        <v>Bâton en chêne</v>
      </c>
      <c r="H574" s="16" t="n">
        <f aca="false" t="array" ref="H574:H574">INDEX(Matériaux!$B$16:$B$20,$D574)</f>
        <v>15</v>
      </c>
      <c r="I574" s="16" t="n">
        <f aca="false">IF(ISNUMBER($C$3),MIN(MAX(0,ROUND($C$3,0)),$AI574),$AI574)</f>
        <v>0</v>
      </c>
      <c r="J574" s="18" t="n">
        <f aca="false">$H574+$I574</f>
        <v>15</v>
      </c>
      <c r="K574" s="15" t="s">
        <v>109</v>
      </c>
      <c r="L574" s="19" t="n">
        <f aca="false" t="array" ref="L574:L574">IF(AND(INDEX(Profils!$F$5:$F$34,$AE574)&gt;0,INDEX(Profils!$U$5:$U$34,$AE574)&lt;=$AH574),ROUND(INDEX(Profils!$F$5:$F$34,$AE574)*Paramètres!$E$22*$AG574*$AJ574,Paramètres!$F$22),0)</f>
        <v>0</v>
      </c>
      <c r="M574" s="19" t="n">
        <f aca="false" t="array" ref="M574:M574">IF(AND(INDEX(Profils!$G$5:$G$34,$AE574)&gt;0,INDEX(Profils!$V$5:$V$34,$AE574)&lt;=$AH574),ROUND(INDEX(Profils!$G$5:$G$34,$AE574)*Paramètres!$E$23*$AG574*$AJ574,Paramètres!$F$23),0)</f>
        <v>0</v>
      </c>
      <c r="N574" s="19" t="n">
        <f aca="false" t="array" ref="N574:N574">IF(AND(INDEX(Profils!$H$5:$H$34,$AE574)&gt;0,INDEX(Profils!$W$5:$W$34,$AE574)&lt;=$AH574),ROUND(INDEX(Profils!$H$5:$H$34,$AE574)*Paramètres!$E$24*$AG574*$AJ574,Paramètres!$F$24),0)</f>
        <v>0</v>
      </c>
      <c r="O574" s="19" t="n">
        <f aca="false" t="array" ref="O574:O574">IF(AND(INDEX(Profils!$I$5:$I$34,$AE574)&gt;0,INDEX(Profils!$X$5:$X$34,$AE574)&lt;=$AH574),ROUND(INDEX(Profils!$I$5:$I$34,$AE574)*Paramètres!$E$25*$AG574*$AJ574,Paramètres!$F$25),0)</f>
        <v>11</v>
      </c>
      <c r="P574" s="19" t="n">
        <f aca="false" t="array" ref="P574:P574">IF(AND(INDEX(Profils!$J$5:$J$34,$AE574)&gt;0,INDEX(Profils!$Y$5:$Y$34,$AE574)&lt;=$AH574),ROUND(INDEX(Profils!$J$5:$J$34,$AE574)*Paramètres!$E$26*$AG574*$AJ574,Paramètres!$F$26),0)</f>
        <v>0</v>
      </c>
      <c r="Q574" s="19" t="n">
        <f aca="false" t="array" ref="Q574:Q574">IF(AND(INDEX(Profils!$K$5:$K$34,$AE574)&gt;0,INDEX(Profils!$Z$5:$Z$34,$AE574)&lt;=$AH574),ROUND(INDEX(Profils!$K$5:$K$34,$AE574)*Paramètres!$E$27*$AG574*$AJ574,Paramètres!$F$27),0)</f>
        <v>0</v>
      </c>
      <c r="R574" s="20" t="n">
        <f aca="false" t="array" ref="R574:R574">IF(AND(INDEX(Profils!$L$5:$L$34,$AE574)&gt;0,INDEX(Profils!$AA$5:$AA$34,$AE574)&lt;=$AH574),ROUND(INDEX(Profils!$L$5:$L$34,$AE574)*Paramètres!$E$28*$AG574*$AJ574,Paramètres!$F$28),0)</f>
        <v>0.005</v>
      </c>
      <c r="S574" s="20" t="n">
        <f aca="false" t="array" ref="S574:S574">IF(AND(INDEX(Profils!$M$5:$M$34,$AE574)&gt;0,INDEX(Profils!$AB$5:$AB$34,$AE574)&lt;=$AH574),ROUND(INDEX(Profils!$M$5:$M$34,$AE574)*Paramètres!$E$29*$AG574*$AJ574,Paramètres!$F$29),0)</f>
        <v>0.006</v>
      </c>
      <c r="T574" s="20" t="n">
        <f aca="false" t="array" ref="T574:T574">IF(AND(INDEX(Profils!$N$5:$N$34,$AE574)&gt;0,INDEX(Profils!$AC$5:$AC$34,$AE574)&lt;=$AH574),ROUND(INDEX(Profils!$N$5:$N$34,$AE574)*Paramètres!$E$30*$AG574*$AJ574,Paramètres!$F$30),0)</f>
        <v>0.014</v>
      </c>
      <c r="U574" s="19" t="n">
        <f aca="false" t="array" ref="U574:U574">IF(AND(INDEX(Profils!$O$5:$O$34,$AE574)&gt;0,INDEX(Profils!$AD$5:$AD$34,$AE574)&lt;=$AH574),ROUND(INDEX(Profils!$O$5:$O$34,$AE574)*Paramètres!$E$31*$AG574*$AJ574,Paramètres!$F$31),0)</f>
        <v>0</v>
      </c>
      <c r="V574" s="20" t="n">
        <f aca="false" t="array" ref="V574:V574">IF(AND(INDEX(Profils!$P$5:$P$34,$AE574)&gt;0,INDEX(Profils!$AE$5:$AE$34,$AE574)&lt;=$AH574),ROUND(INDEX(Profils!$P$5:$P$34,$AE574)*Paramètres!$E$32*$AG574*$AJ574,Paramètres!$F$32),0)</f>
        <v>0.008</v>
      </c>
      <c r="W574" s="20" t="n">
        <f aca="false" t="array" ref="W574:W574">IF(AND(INDEX(Profils!$Q$5:$Q$34,$AE574)&gt;0,INDEX(Profils!$AF$5:$AF$34,$AE574)&lt;=$AH574),ROUND(INDEX(Profils!$Q$5:$Q$34,$AE574)*Paramètres!$E$33*$AG574*$AJ574,Paramètres!$F$33),0)</f>
        <v>0</v>
      </c>
      <c r="X574" s="20" t="n">
        <f aca="false" t="array" ref="X574:X574">IF(AND(INDEX(Profils!$R$5:$R$34,$AE574)&gt;0,INDEX(Profils!$AG$5:$AG$34,$AE574)&lt;=$AH574),ROUND(INDEX(Profils!$R$5:$R$34,$AE574)*Paramètres!$E$34*$AG574*$AJ574,Paramètres!$F$34),0)</f>
        <v>0.006</v>
      </c>
      <c r="Y574" s="20" t="n">
        <f aca="false" t="array" ref="Y574:Y574">IF(AND(INDEX(Profils!$S$5:$S$34,$AE574)&gt;0,INDEX(Profils!$AH$5:$AH$34,$AE574)&lt;=$AH574),ROUND(INDEX(Profils!$S$5:$S$34,$AE574)*Paramètres!$E$35*$AG574*$AJ574,Paramètres!$F$35),0)</f>
        <v>0</v>
      </c>
      <c r="Z574" s="21" t="n">
        <f aca="false">ROUND(L574/Paramètres!$E$22+M574/Paramètres!$E$23+N574/Paramètres!$E$24+O574/Paramètres!$E$25+P574/Paramètres!$E$26+Q574/Paramètres!$E$27+R574/Paramètres!$E$28+S574/Paramètres!$E$29+T574/Paramètres!$E$30+U574/Paramètres!$E$31+V574/Paramètres!$E$32+W574/Paramètres!$E$33+X574/Paramètres!$E$34+Y574/Paramètres!$E$35,1)</f>
        <v>2.9</v>
      </c>
      <c r="AA574" s="22" t="s">
        <v>109</v>
      </c>
      <c r="AB574" s="22" t="s">
        <v>109</v>
      </c>
      <c r="AC574" s="15" t="str">
        <f aca="false">$E574</f>
        <v>chêne</v>
      </c>
      <c r="AD574" s="16" t="n">
        <f aca="false" t="array" ref="AD574:AD574">IF($I574&gt;=$AI574,"Max",ROUND(Paramètres!$B$40*($I574+1)^Paramètres!$B$41*INDEX(Paramètres!$H$6:$H$12,$AF574),0))</f>
        <v>6</v>
      </c>
      <c r="AE574" s="23" t="n">
        <f aca="false">MATCH($B574&amp;"|"&amp;$C574,Profils!$A$5:$A$34,0)</f>
        <v>19</v>
      </c>
      <c r="AF574" s="23" t="n">
        <v>5</v>
      </c>
      <c r="AG574" s="24" t="n">
        <f aca="false" t="array" ref="AG574:AG574">INDEX(Paramètres!$C$6:$C$12,$AF574)</f>
        <v>2.1</v>
      </c>
      <c r="AH574" s="23" t="n">
        <f aca="false" t="array" ref="AH574:AH574">INDEX(Paramètres!$D$6:$D$12,$AF574)</f>
        <v>6</v>
      </c>
      <c r="AI574" s="23" t="n">
        <f aca="false" t="array" ref="AI574:AI574">INDEX(Matériaux!$C$16:$C$20,$D574)</f>
        <v>20</v>
      </c>
      <c r="AJ574" s="25" t="n">
        <f aca="false">Paramètres!$B$16+(1-Paramètres!$B$16)*(($J574-Paramètres!$B$14)/(Paramètres!$B$15-Paramètres!$B$14))^Paramètres!$B$17</f>
        <v>0.140847925475674</v>
      </c>
    </row>
    <row r="575" customFormat="false" ht="15.75" hidden="false" customHeight="true" outlineLevel="0" collapsed="false">
      <c r="A575" s="14" t="s">
        <v>691</v>
      </c>
      <c r="B575" s="15" t="s">
        <v>29</v>
      </c>
      <c r="C575" s="15" t="s">
        <v>369</v>
      </c>
      <c r="D575" s="16" t="n">
        <v>2</v>
      </c>
      <c r="E575" s="15" t="str">
        <f aca="false" t="array" ref="E575:E575">INDEX(Matériaux!$B$5:$F$12,MATCH(INDEX(Profils!$E$5:$E$34,$AE575),Matériaux!$A$5:$A$12,0),$D575)</f>
        <v>chêne</v>
      </c>
      <c r="F575" s="30" t="s">
        <v>119</v>
      </c>
      <c r="G575" s="10" t="str">
        <f aca="false" t="array" ref="G575:G575">INDEX(Profils!$D$5:$D$34,$AE575)&amp;" en "&amp;$E575</f>
        <v>Bâton en chêne</v>
      </c>
      <c r="H575" s="16" t="n">
        <f aca="false" t="array" ref="H575:H575">INDEX(Matériaux!$B$16:$B$20,$D575)</f>
        <v>15</v>
      </c>
      <c r="I575" s="16" t="n">
        <f aca="false">IF(ISNUMBER($C$3),MIN(MAX(0,ROUND($C$3,0)),$AI575),$AI575)</f>
        <v>0</v>
      </c>
      <c r="J575" s="18" t="n">
        <f aca="false">$H575+$I575</f>
        <v>15</v>
      </c>
      <c r="K575" s="15" t="s">
        <v>109</v>
      </c>
      <c r="L575" s="19" t="n">
        <f aca="false" t="array" ref="L575:L575">IF(AND(INDEX(Profils!$F$5:$F$34,$AE575)&gt;0,INDEX(Profils!$U$5:$U$34,$AE575)&lt;=$AH575),ROUND(INDEX(Profils!$F$5:$F$34,$AE575)*Paramètres!$E$22*$AG575*$AJ575,Paramètres!$F$22),0)</f>
        <v>7</v>
      </c>
      <c r="M575" s="19" t="n">
        <f aca="false" t="array" ref="M575:M575">IF(AND(INDEX(Profils!$G$5:$G$34,$AE575)&gt;0,INDEX(Profils!$V$5:$V$34,$AE575)&lt;=$AH575),ROUND(INDEX(Profils!$G$5:$G$34,$AE575)*Paramètres!$E$23*$AG575*$AJ575,Paramètres!$F$23),0)</f>
        <v>0</v>
      </c>
      <c r="N575" s="19" t="n">
        <f aca="false" t="array" ref="N575:N575">IF(AND(INDEX(Profils!$H$5:$H$34,$AE575)&gt;0,INDEX(Profils!$W$5:$W$34,$AE575)&lt;=$AH575),ROUND(INDEX(Profils!$H$5:$H$34,$AE575)*Paramètres!$E$24*$AG575*$AJ575,Paramètres!$F$24),0)</f>
        <v>0</v>
      </c>
      <c r="O575" s="19" t="n">
        <f aca="false" t="array" ref="O575:O575">IF(AND(INDEX(Profils!$I$5:$I$34,$AE575)&gt;0,INDEX(Profils!$X$5:$X$34,$AE575)&lt;=$AH575),ROUND(INDEX(Profils!$I$5:$I$34,$AE575)*Paramètres!$E$25*$AG575*$AJ575,Paramètres!$F$25),0)</f>
        <v>12</v>
      </c>
      <c r="P575" s="19" t="n">
        <f aca="false" t="array" ref="P575:P575">IF(AND(INDEX(Profils!$J$5:$J$34,$AE575)&gt;0,INDEX(Profils!$Y$5:$Y$34,$AE575)&lt;=$AH575),ROUND(INDEX(Profils!$J$5:$J$34,$AE575)*Paramètres!$E$26*$AG575*$AJ575,Paramètres!$F$26),0)</f>
        <v>0</v>
      </c>
      <c r="Q575" s="19" t="n">
        <f aca="false" t="array" ref="Q575:Q575">IF(AND(INDEX(Profils!$K$5:$K$34,$AE575)&gt;0,INDEX(Profils!$Z$5:$Z$34,$AE575)&lt;=$AH575),ROUND(INDEX(Profils!$K$5:$K$34,$AE575)*Paramètres!$E$27*$AG575*$AJ575,Paramètres!$F$27),0)</f>
        <v>0</v>
      </c>
      <c r="R575" s="20" t="n">
        <f aca="false" t="array" ref="R575:R575">IF(AND(INDEX(Profils!$L$5:$L$34,$AE575)&gt;0,INDEX(Profils!$AA$5:$AA$34,$AE575)&lt;=$AH575),ROUND(INDEX(Profils!$L$5:$L$34,$AE575)*Paramètres!$E$28*$AG575*$AJ575,Paramètres!$F$28),0)</f>
        <v>0.006</v>
      </c>
      <c r="S575" s="20" t="n">
        <f aca="false" t="array" ref="S575:S575">IF(AND(INDEX(Profils!$M$5:$M$34,$AE575)&gt;0,INDEX(Profils!$AB$5:$AB$34,$AE575)&lt;=$AH575),ROUND(INDEX(Profils!$M$5:$M$34,$AE575)*Paramètres!$E$29*$AG575*$AJ575,Paramètres!$F$29),0)</f>
        <v>0.006</v>
      </c>
      <c r="T575" s="20" t="n">
        <f aca="false" t="array" ref="T575:T575">IF(AND(INDEX(Profils!$N$5:$N$34,$AE575)&gt;0,INDEX(Profils!$AC$5:$AC$34,$AE575)&lt;=$AH575),ROUND(INDEX(Profils!$N$5:$N$34,$AE575)*Paramètres!$E$30*$AG575*$AJ575,Paramètres!$F$30),0)</f>
        <v>0.016</v>
      </c>
      <c r="U575" s="19" t="n">
        <f aca="false" t="array" ref="U575:U575">IF(AND(INDEX(Profils!$O$5:$O$34,$AE575)&gt;0,INDEX(Profils!$AD$5:$AD$34,$AE575)&lt;=$AH575),ROUND(INDEX(Profils!$O$5:$O$34,$AE575)*Paramètres!$E$31*$AG575*$AJ575,Paramètres!$F$31),0)</f>
        <v>0</v>
      </c>
      <c r="V575" s="20" t="n">
        <f aca="false" t="array" ref="V575:V575">IF(AND(INDEX(Profils!$P$5:$P$34,$AE575)&gt;0,INDEX(Profils!$AE$5:$AE$34,$AE575)&lt;=$AH575),ROUND(INDEX(Profils!$P$5:$P$34,$AE575)*Paramètres!$E$32*$AG575*$AJ575,Paramètres!$F$32),0)</f>
        <v>0.009</v>
      </c>
      <c r="W575" s="20" t="n">
        <f aca="false" t="array" ref="W575:W575">IF(AND(INDEX(Profils!$Q$5:$Q$34,$AE575)&gt;0,INDEX(Profils!$AF$5:$AF$34,$AE575)&lt;=$AH575),ROUND(INDEX(Profils!$Q$5:$Q$34,$AE575)*Paramètres!$E$33*$AG575*$AJ575,Paramètres!$F$33),0)</f>
        <v>0</v>
      </c>
      <c r="X575" s="20" t="n">
        <f aca="false" t="array" ref="X575:X575">IF(AND(INDEX(Profils!$R$5:$R$34,$AE575)&gt;0,INDEX(Profils!$AG$5:$AG$34,$AE575)&lt;=$AH575),ROUND(INDEX(Profils!$R$5:$R$34,$AE575)*Paramètres!$E$34*$AG575*$AJ575,Paramètres!$F$34),0)</f>
        <v>0.007</v>
      </c>
      <c r="Y575" s="20" t="n">
        <f aca="false" t="array" ref="Y575:Y575">IF(AND(INDEX(Profils!$S$5:$S$34,$AE575)&gt;0,INDEX(Profils!$AH$5:$AH$34,$AE575)&lt;=$AH575),ROUND(INDEX(Profils!$S$5:$S$34,$AE575)*Paramètres!$E$35*$AG575*$AJ575,Paramètres!$F$35),0)</f>
        <v>0</v>
      </c>
      <c r="Z575" s="21" t="n">
        <f aca="false">ROUND(L575/Paramètres!$E$22+M575/Paramètres!$E$23+N575/Paramètres!$E$24+O575/Paramètres!$E$25+P575/Paramètres!$E$26+Q575/Paramètres!$E$27+R575/Paramètres!$E$28+S575/Paramètres!$E$29+T575/Paramètres!$E$30+U575/Paramètres!$E$31+V575/Paramètres!$E$32+W575/Paramètres!$E$33+X575/Paramètres!$E$34+Y575/Paramètres!$E$35,1)</f>
        <v>3.5</v>
      </c>
      <c r="AA575" s="22" t="s">
        <v>109</v>
      </c>
      <c r="AB575" s="22" t="s">
        <v>109</v>
      </c>
      <c r="AC575" s="15" t="str">
        <f aca="false">$E575</f>
        <v>chêne</v>
      </c>
      <c r="AD575" s="16" t="n">
        <f aca="false" t="array" ref="AD575:AD575">IF($I575&gt;=$AI575,"Max",ROUND(Paramètres!$B$40*($I575+1)^Paramètres!$B$41*INDEX(Paramètres!$H$6:$H$12,$AF575),0))</f>
        <v>8</v>
      </c>
      <c r="AE575" s="23" t="n">
        <f aca="false">MATCH($B575&amp;"|"&amp;$C575,Profils!$A$5:$A$34,0)</f>
        <v>19</v>
      </c>
      <c r="AF575" s="23" t="n">
        <v>6</v>
      </c>
      <c r="AG575" s="24" t="n">
        <f aca="false" t="array" ref="AG575:AG575">INDEX(Paramètres!$C$6:$C$12,$AF575)</f>
        <v>2.4</v>
      </c>
      <c r="AH575" s="23" t="n">
        <f aca="false" t="array" ref="AH575:AH575">INDEX(Paramètres!$D$6:$D$12,$AF575)</f>
        <v>7</v>
      </c>
      <c r="AI575" s="23" t="n">
        <f aca="false" t="array" ref="AI575:AI575">INDEX(Matériaux!$C$16:$C$20,$D575)</f>
        <v>20</v>
      </c>
      <c r="AJ575" s="25" t="n">
        <f aca="false">Paramètres!$B$16+(1-Paramètres!$B$16)*(($J575-Paramètres!$B$14)/(Paramètres!$B$15-Paramètres!$B$14))^Paramètres!$B$17</f>
        <v>0.140847925475674</v>
      </c>
    </row>
    <row r="576" customFormat="false" ht="15.75" hidden="false" customHeight="true" outlineLevel="0" collapsed="false">
      <c r="A576" s="14" t="s">
        <v>692</v>
      </c>
      <c r="B576" s="15" t="s">
        <v>29</v>
      </c>
      <c r="C576" s="15" t="s">
        <v>369</v>
      </c>
      <c r="D576" s="16" t="n">
        <v>3</v>
      </c>
      <c r="E576" s="15" t="str">
        <f aca="false" t="array" ref="E576:E576">INDEX(Matériaux!$B$5:$F$12,MATCH(INDEX(Profils!$E$5:$E$34,$AE576),Matériaux!$A$5:$A$12,0),$D576)</f>
        <v>ébène</v>
      </c>
      <c r="F576" s="17" t="s">
        <v>108</v>
      </c>
      <c r="G576" s="10" t="str">
        <f aca="false" t="array" ref="G576:G576">INDEX(Profils!$D$5:$D$34,$AE576)&amp;" en "&amp;$E576</f>
        <v>Bâton en ébène</v>
      </c>
      <c r="H576" s="16" t="n">
        <f aca="false" t="array" ref="H576:H576">INDEX(Matériaux!$B$16:$B$20,$D576)</f>
        <v>30</v>
      </c>
      <c r="I576" s="16" t="n">
        <f aca="false">IF(ISNUMBER($C$3),MIN(MAX(0,ROUND($C$3,0)),$AI576),$AI576)</f>
        <v>0</v>
      </c>
      <c r="J576" s="18" t="n">
        <f aca="false">$H576+$I576</f>
        <v>30</v>
      </c>
      <c r="K576" s="15" t="s">
        <v>109</v>
      </c>
      <c r="L576" s="19" t="n">
        <f aca="false" t="array" ref="L576:L576">IF(AND(INDEX(Profils!$F$5:$F$34,$AE576)&gt;0,INDEX(Profils!$U$5:$U$34,$AE576)&lt;=$AH576),ROUND(INDEX(Profils!$F$5:$F$34,$AE576)*Paramètres!$E$22*$AG576*$AJ576,Paramètres!$F$22),0)</f>
        <v>0</v>
      </c>
      <c r="M576" s="19" t="n">
        <f aca="false" t="array" ref="M576:M576">IF(AND(INDEX(Profils!$G$5:$G$34,$AE576)&gt;0,INDEX(Profils!$V$5:$V$34,$AE576)&lt;=$AH576),ROUND(INDEX(Profils!$G$5:$G$34,$AE576)*Paramètres!$E$23*$AG576*$AJ576,Paramètres!$F$23),0)</f>
        <v>0</v>
      </c>
      <c r="N576" s="19" t="n">
        <f aca="false" t="array" ref="N576:N576">IF(AND(INDEX(Profils!$H$5:$H$34,$AE576)&gt;0,INDEX(Profils!$W$5:$W$34,$AE576)&lt;=$AH576),ROUND(INDEX(Profils!$H$5:$H$34,$AE576)*Paramètres!$E$24*$AG576*$AJ576,Paramètres!$F$24),0)</f>
        <v>0</v>
      </c>
      <c r="O576" s="19" t="n">
        <f aca="false" t="array" ref="O576:O576">IF(AND(INDEX(Profils!$I$5:$I$34,$AE576)&gt;0,INDEX(Profils!$X$5:$X$34,$AE576)&lt;=$AH576),ROUND(INDEX(Profils!$I$5:$I$34,$AE576)*Paramètres!$E$25*$AG576*$AJ576,Paramètres!$F$25),0)</f>
        <v>10</v>
      </c>
      <c r="P576" s="19" t="n">
        <f aca="false" t="array" ref="P576:P576">IF(AND(INDEX(Profils!$J$5:$J$34,$AE576)&gt;0,INDEX(Profils!$Y$5:$Y$34,$AE576)&lt;=$AH576),ROUND(INDEX(Profils!$J$5:$J$34,$AE576)*Paramètres!$E$26*$AG576*$AJ576,Paramètres!$F$26),0)</f>
        <v>0</v>
      </c>
      <c r="Q576" s="19" t="n">
        <f aca="false" t="array" ref="Q576:Q576">IF(AND(INDEX(Profils!$K$5:$K$34,$AE576)&gt;0,INDEX(Profils!$Z$5:$Z$34,$AE576)&lt;=$AH576),ROUND(INDEX(Profils!$K$5:$K$34,$AE576)*Paramètres!$E$27*$AG576*$AJ576,Paramètres!$F$27),0)</f>
        <v>0</v>
      </c>
      <c r="R576" s="20" t="n">
        <f aca="false" t="array" ref="R576:R576">IF(AND(INDEX(Profils!$L$5:$L$34,$AE576)&gt;0,INDEX(Profils!$AA$5:$AA$34,$AE576)&lt;=$AH576),ROUND(INDEX(Profils!$L$5:$L$34,$AE576)*Paramètres!$E$28*$AG576*$AJ576,Paramètres!$F$28),0)</f>
        <v>0</v>
      </c>
      <c r="S576" s="20" t="n">
        <f aca="false" t="array" ref="S576:S576">IF(AND(INDEX(Profils!$M$5:$M$34,$AE576)&gt;0,INDEX(Profils!$AB$5:$AB$34,$AE576)&lt;=$AH576),ROUND(INDEX(Profils!$M$5:$M$34,$AE576)*Paramètres!$E$29*$AG576*$AJ576,Paramètres!$F$29),0)</f>
        <v>0</v>
      </c>
      <c r="T576" s="20" t="n">
        <f aca="false" t="array" ref="T576:T576">IF(AND(INDEX(Profils!$N$5:$N$34,$AE576)&gt;0,INDEX(Profils!$AC$5:$AC$34,$AE576)&lt;=$AH576),ROUND(INDEX(Profils!$N$5:$N$34,$AE576)*Paramètres!$E$30*$AG576*$AJ576,Paramètres!$F$30),0)</f>
        <v>0</v>
      </c>
      <c r="U576" s="19" t="n">
        <f aca="false" t="array" ref="U576:U576">IF(AND(INDEX(Profils!$O$5:$O$34,$AE576)&gt;0,INDEX(Profils!$AD$5:$AD$34,$AE576)&lt;=$AH576),ROUND(INDEX(Profils!$O$5:$O$34,$AE576)*Paramètres!$E$31*$AG576*$AJ576,Paramètres!$F$31),0)</f>
        <v>0</v>
      </c>
      <c r="V576" s="20" t="n">
        <f aca="false" t="array" ref="V576:V576">IF(AND(INDEX(Profils!$P$5:$P$34,$AE576)&gt;0,INDEX(Profils!$AE$5:$AE$34,$AE576)&lt;=$AH576),ROUND(INDEX(Profils!$P$5:$P$34,$AE576)*Paramètres!$E$32*$AG576*$AJ576,Paramètres!$F$32),0)</f>
        <v>0.007</v>
      </c>
      <c r="W576" s="20" t="n">
        <f aca="false" t="array" ref="W576:W576">IF(AND(INDEX(Profils!$Q$5:$Q$34,$AE576)&gt;0,INDEX(Profils!$AF$5:$AF$34,$AE576)&lt;=$AH576),ROUND(INDEX(Profils!$Q$5:$Q$34,$AE576)*Paramètres!$E$33*$AG576*$AJ576,Paramètres!$F$33),0)</f>
        <v>0</v>
      </c>
      <c r="X576" s="20" t="n">
        <f aca="false" t="array" ref="X576:X576">IF(AND(INDEX(Profils!$R$5:$R$34,$AE576)&gt;0,INDEX(Profils!$AG$5:$AG$34,$AE576)&lt;=$AH576),ROUND(INDEX(Profils!$R$5:$R$34,$AE576)*Paramètres!$E$34*$AG576*$AJ576,Paramètres!$F$34),0)</f>
        <v>0</v>
      </c>
      <c r="Y576" s="20" t="n">
        <f aca="false" t="array" ref="Y576:Y576">IF(AND(INDEX(Profils!$S$5:$S$34,$AE576)&gt;0,INDEX(Profils!$AH$5:$AH$34,$AE576)&lt;=$AH576),ROUND(INDEX(Profils!$S$5:$S$34,$AE576)*Paramètres!$E$35*$AG576*$AJ576,Paramètres!$F$35),0)</f>
        <v>0</v>
      </c>
      <c r="Z576" s="21" t="n">
        <f aca="false">ROUND(L576/Paramètres!$E$22+M576/Paramètres!$E$23+N576/Paramètres!$E$24+O576/Paramètres!$E$25+P576/Paramètres!$E$26+Q576/Paramètres!$E$27+R576/Paramètres!$E$28+S576/Paramètres!$E$29+T576/Paramètres!$E$30+U576/Paramètres!$E$31+V576/Paramètres!$E$32+W576/Paramètres!$E$33+X576/Paramètres!$E$34+Y576/Paramètres!$E$35,1)</f>
        <v>1.1</v>
      </c>
      <c r="AA576" s="22" t="s">
        <v>109</v>
      </c>
      <c r="AB576" s="22" t="s">
        <v>109</v>
      </c>
      <c r="AC576" s="15" t="str">
        <f aca="false">$E576</f>
        <v>ébène</v>
      </c>
      <c r="AD576" s="16" t="n">
        <f aca="false" t="array" ref="AD576:AD576">IF($I576&gt;=$AI576,"Max",ROUND(Paramètres!$B$40*($I576+1)^Paramètres!$B$41*INDEX(Paramètres!$H$6:$H$12,$AF576),0))</f>
        <v>3</v>
      </c>
      <c r="AE576" s="23" t="n">
        <f aca="false">MATCH($B576&amp;"|"&amp;$C576,Profils!$A$5:$A$34,0)</f>
        <v>19</v>
      </c>
      <c r="AF576" s="23" t="n">
        <v>1</v>
      </c>
      <c r="AG576" s="24" t="n">
        <f aca="false" t="array" ref="AG576:AG576">INDEX(Paramètres!$C$6:$C$12,$AF576)</f>
        <v>1</v>
      </c>
      <c r="AH576" s="23" t="n">
        <f aca="false" t="array" ref="AH576:AH576">INDEX(Paramètres!$D$6:$D$12,$AF576)</f>
        <v>2</v>
      </c>
      <c r="AI576" s="23" t="n">
        <f aca="false" t="array" ref="AI576:AI576">INDEX(Matériaux!$C$16:$C$20,$D576)</f>
        <v>25</v>
      </c>
      <c r="AJ576" s="25" t="n">
        <f aca="false">Paramètres!$B$16+(1-Paramètres!$B$16)*(($J576-Paramètres!$B$14)/(Paramètres!$B$15-Paramètres!$B$14))^Paramètres!$B$17</f>
        <v>0.26769024555533</v>
      </c>
    </row>
    <row r="577" customFormat="false" ht="15.75" hidden="false" customHeight="true" outlineLevel="0" collapsed="false">
      <c r="A577" s="14" t="s">
        <v>693</v>
      </c>
      <c r="B577" s="15" t="s">
        <v>29</v>
      </c>
      <c r="C577" s="15" t="s">
        <v>369</v>
      </c>
      <c r="D577" s="16" t="n">
        <v>3</v>
      </c>
      <c r="E577" s="15" t="str">
        <f aca="false" t="array" ref="E577:E577">INDEX(Matériaux!$B$5:$F$12,MATCH(INDEX(Profils!$E$5:$E$34,$AE577),Matériaux!$A$5:$A$12,0),$D577)</f>
        <v>ébène</v>
      </c>
      <c r="F577" s="26" t="s">
        <v>111</v>
      </c>
      <c r="G577" s="10" t="str">
        <f aca="false" t="array" ref="G577:G577">INDEX(Profils!$D$5:$D$34,$AE577)&amp;" en "&amp;$E577</f>
        <v>Bâton en ébène</v>
      </c>
      <c r="H577" s="16" t="n">
        <f aca="false" t="array" ref="H577:H577">INDEX(Matériaux!$B$16:$B$20,$D577)</f>
        <v>30</v>
      </c>
      <c r="I577" s="16" t="n">
        <f aca="false">IF(ISNUMBER($C$3),MIN(MAX(0,ROUND($C$3,0)),$AI577),$AI577)</f>
        <v>0</v>
      </c>
      <c r="J577" s="18" t="n">
        <f aca="false">$H577+$I577</f>
        <v>30</v>
      </c>
      <c r="K577" s="15" t="s">
        <v>109</v>
      </c>
      <c r="L577" s="19" t="n">
        <f aca="false" t="array" ref="L577:L577">IF(AND(INDEX(Profils!$F$5:$F$34,$AE577)&gt;0,INDEX(Profils!$U$5:$U$34,$AE577)&lt;=$AH577),ROUND(INDEX(Profils!$F$5:$F$34,$AE577)*Paramètres!$E$22*$AG577*$AJ577,Paramètres!$F$22),0)</f>
        <v>0</v>
      </c>
      <c r="M577" s="19" t="n">
        <f aca="false" t="array" ref="M577:M577">IF(AND(INDEX(Profils!$G$5:$G$34,$AE577)&gt;0,INDEX(Profils!$V$5:$V$34,$AE577)&lt;=$AH577),ROUND(INDEX(Profils!$G$5:$G$34,$AE577)*Paramètres!$E$23*$AG577*$AJ577,Paramètres!$F$23),0)</f>
        <v>0</v>
      </c>
      <c r="N577" s="19" t="n">
        <f aca="false" t="array" ref="N577:N577">IF(AND(INDEX(Profils!$H$5:$H$34,$AE577)&gt;0,INDEX(Profils!$W$5:$W$34,$AE577)&lt;=$AH577),ROUND(INDEX(Profils!$H$5:$H$34,$AE577)*Paramètres!$E$24*$AG577*$AJ577,Paramètres!$F$24),0)</f>
        <v>0</v>
      </c>
      <c r="O577" s="19" t="n">
        <f aca="false" t="array" ref="O577:O577">IF(AND(INDEX(Profils!$I$5:$I$34,$AE577)&gt;0,INDEX(Profils!$X$5:$X$34,$AE577)&lt;=$AH577),ROUND(INDEX(Profils!$I$5:$I$34,$AE577)*Paramètres!$E$25*$AG577*$AJ577,Paramètres!$F$25),0)</f>
        <v>12</v>
      </c>
      <c r="P577" s="19" t="n">
        <f aca="false" t="array" ref="P577:P577">IF(AND(INDEX(Profils!$J$5:$J$34,$AE577)&gt;0,INDEX(Profils!$Y$5:$Y$34,$AE577)&lt;=$AH577),ROUND(INDEX(Profils!$J$5:$J$34,$AE577)*Paramètres!$E$26*$AG577*$AJ577,Paramètres!$F$26),0)</f>
        <v>0</v>
      </c>
      <c r="Q577" s="19" t="n">
        <f aca="false" t="array" ref="Q577:Q577">IF(AND(INDEX(Profils!$K$5:$K$34,$AE577)&gt;0,INDEX(Profils!$Z$5:$Z$34,$AE577)&lt;=$AH577),ROUND(INDEX(Profils!$K$5:$K$34,$AE577)*Paramètres!$E$27*$AG577*$AJ577,Paramètres!$F$27),0)</f>
        <v>0</v>
      </c>
      <c r="R577" s="20" t="n">
        <f aca="false" t="array" ref="R577:R577">IF(AND(INDEX(Profils!$L$5:$L$34,$AE577)&gt;0,INDEX(Profils!$AA$5:$AA$34,$AE577)&lt;=$AH577),ROUND(INDEX(Profils!$L$5:$L$34,$AE577)*Paramètres!$E$28*$AG577*$AJ577,Paramètres!$F$28),0)</f>
        <v>0</v>
      </c>
      <c r="S577" s="20" t="n">
        <f aca="false" t="array" ref="S577:S577">IF(AND(INDEX(Profils!$M$5:$M$34,$AE577)&gt;0,INDEX(Profils!$AB$5:$AB$34,$AE577)&lt;=$AH577),ROUND(INDEX(Profils!$M$5:$M$34,$AE577)*Paramètres!$E$29*$AG577*$AJ577,Paramètres!$F$29),0)</f>
        <v>0.006</v>
      </c>
      <c r="T577" s="20" t="n">
        <f aca="false" t="array" ref="T577:T577">IF(AND(INDEX(Profils!$N$5:$N$34,$AE577)&gt;0,INDEX(Profils!$AC$5:$AC$34,$AE577)&lt;=$AH577),ROUND(INDEX(Profils!$N$5:$N$34,$AE577)*Paramètres!$E$30*$AG577*$AJ577,Paramètres!$F$30),0)</f>
        <v>0</v>
      </c>
      <c r="U577" s="19" t="n">
        <f aca="false" t="array" ref="U577:U577">IF(AND(INDEX(Profils!$O$5:$O$34,$AE577)&gt;0,INDEX(Profils!$AD$5:$AD$34,$AE577)&lt;=$AH577),ROUND(INDEX(Profils!$O$5:$O$34,$AE577)*Paramètres!$E$31*$AG577*$AJ577,Paramètres!$F$31),0)</f>
        <v>0</v>
      </c>
      <c r="V577" s="20" t="n">
        <f aca="false" t="array" ref="V577:V577">IF(AND(INDEX(Profils!$P$5:$P$34,$AE577)&gt;0,INDEX(Profils!$AE$5:$AE$34,$AE577)&lt;=$AH577),ROUND(INDEX(Profils!$P$5:$P$34,$AE577)*Paramètres!$E$32*$AG577*$AJ577,Paramètres!$F$32),0)</f>
        <v>0.009</v>
      </c>
      <c r="W577" s="20" t="n">
        <f aca="false" t="array" ref="W577:W577">IF(AND(INDEX(Profils!$Q$5:$Q$34,$AE577)&gt;0,INDEX(Profils!$AF$5:$AF$34,$AE577)&lt;=$AH577),ROUND(INDEX(Profils!$Q$5:$Q$34,$AE577)*Paramètres!$E$33*$AG577*$AJ577,Paramètres!$F$33),0)</f>
        <v>0</v>
      </c>
      <c r="X577" s="20" t="n">
        <f aca="false" t="array" ref="X577:X577">IF(AND(INDEX(Profils!$R$5:$R$34,$AE577)&gt;0,INDEX(Profils!$AG$5:$AG$34,$AE577)&lt;=$AH577),ROUND(INDEX(Profils!$R$5:$R$34,$AE577)*Paramètres!$E$34*$AG577*$AJ577,Paramètres!$F$34),0)</f>
        <v>0</v>
      </c>
      <c r="Y577" s="20" t="n">
        <f aca="false" t="array" ref="Y577:Y577">IF(AND(INDEX(Profils!$S$5:$S$34,$AE577)&gt;0,INDEX(Profils!$AH$5:$AH$34,$AE577)&lt;=$AH577),ROUND(INDEX(Profils!$S$5:$S$34,$AE577)*Paramètres!$E$35*$AG577*$AJ577,Paramètres!$F$35),0)</f>
        <v>0</v>
      </c>
      <c r="Z577" s="21" t="n">
        <f aca="false">ROUND(L577/Paramètres!$E$22+M577/Paramètres!$E$23+N577/Paramètres!$E$24+O577/Paramètres!$E$25+P577/Paramètres!$E$26+Q577/Paramètres!$E$27+R577/Paramètres!$E$28+S577/Paramètres!$E$29+T577/Paramètres!$E$30+U577/Paramètres!$E$31+V577/Paramètres!$E$32+W577/Paramètres!$E$33+X577/Paramètres!$E$34+Y577/Paramètres!$E$35,1)</f>
        <v>1.9</v>
      </c>
      <c r="AA577" s="22" t="s">
        <v>109</v>
      </c>
      <c r="AB577" s="22" t="s">
        <v>109</v>
      </c>
      <c r="AC577" s="15" t="str">
        <f aca="false">$E577</f>
        <v>ébène</v>
      </c>
      <c r="AD577" s="16" t="n">
        <f aca="false" t="array" ref="AD577:AD577">IF($I577&gt;=$AI577,"Max",ROUND(Paramètres!$B$40*($I577+1)^Paramètres!$B$41*INDEX(Paramètres!$H$6:$H$12,$AF577),0))</f>
        <v>4</v>
      </c>
      <c r="AE577" s="23" t="n">
        <f aca="false">MATCH($B577&amp;"|"&amp;$C577,Profils!$A$5:$A$34,0)</f>
        <v>19</v>
      </c>
      <c r="AF577" s="23" t="n">
        <v>2</v>
      </c>
      <c r="AG577" s="24" t="n">
        <f aca="false" t="array" ref="AG577:AG577">INDEX(Paramètres!$C$6:$C$12,$AF577)</f>
        <v>1.2</v>
      </c>
      <c r="AH577" s="23" t="n">
        <f aca="false" t="array" ref="AH577:AH577">INDEX(Paramètres!$D$6:$D$12,$AF577)</f>
        <v>3</v>
      </c>
      <c r="AI577" s="23" t="n">
        <f aca="false" t="array" ref="AI577:AI577">INDEX(Matériaux!$C$16:$C$20,$D577)</f>
        <v>25</v>
      </c>
      <c r="AJ577" s="25" t="n">
        <f aca="false">Paramètres!$B$16+(1-Paramètres!$B$16)*(($J577-Paramètres!$B$14)/(Paramètres!$B$15-Paramètres!$B$14))^Paramètres!$B$17</f>
        <v>0.26769024555533</v>
      </c>
    </row>
    <row r="578" customFormat="false" ht="15.75" hidden="false" customHeight="true" outlineLevel="0" collapsed="false">
      <c r="A578" s="14" t="s">
        <v>694</v>
      </c>
      <c r="B578" s="15" t="s">
        <v>29</v>
      </c>
      <c r="C578" s="15" t="s">
        <v>369</v>
      </c>
      <c r="D578" s="16" t="n">
        <v>3</v>
      </c>
      <c r="E578" s="15" t="str">
        <f aca="false" t="array" ref="E578:E578">INDEX(Matériaux!$B$5:$F$12,MATCH(INDEX(Profils!$E$5:$E$34,$AE578),Matériaux!$A$5:$A$12,0),$D578)</f>
        <v>ébène</v>
      </c>
      <c r="F578" s="27" t="s">
        <v>113</v>
      </c>
      <c r="G578" s="10" t="str">
        <f aca="false" t="array" ref="G578:G578">INDEX(Profils!$D$5:$D$34,$AE578)&amp;" en "&amp;$E578</f>
        <v>Bâton en ébène</v>
      </c>
      <c r="H578" s="16" t="n">
        <f aca="false" t="array" ref="H578:H578">INDEX(Matériaux!$B$16:$B$20,$D578)</f>
        <v>30</v>
      </c>
      <c r="I578" s="16" t="n">
        <f aca="false">IF(ISNUMBER($C$3),MIN(MAX(0,ROUND($C$3,0)),$AI578),$AI578)</f>
        <v>0</v>
      </c>
      <c r="J578" s="18" t="n">
        <f aca="false">$H578+$I578</f>
        <v>30</v>
      </c>
      <c r="K578" s="15" t="s">
        <v>109</v>
      </c>
      <c r="L578" s="19" t="n">
        <f aca="false" t="array" ref="L578:L578">IF(AND(INDEX(Profils!$F$5:$F$34,$AE578)&gt;0,INDEX(Profils!$U$5:$U$34,$AE578)&lt;=$AH578),ROUND(INDEX(Profils!$F$5:$F$34,$AE578)*Paramètres!$E$22*$AG578*$AJ578,Paramètres!$F$22),0)</f>
        <v>0</v>
      </c>
      <c r="M578" s="19" t="n">
        <f aca="false" t="array" ref="M578:M578">IF(AND(INDEX(Profils!$G$5:$G$34,$AE578)&gt;0,INDEX(Profils!$V$5:$V$34,$AE578)&lt;=$AH578),ROUND(INDEX(Profils!$G$5:$G$34,$AE578)*Paramètres!$E$23*$AG578*$AJ578,Paramètres!$F$23),0)</f>
        <v>0</v>
      </c>
      <c r="N578" s="19" t="n">
        <f aca="false" t="array" ref="N578:N578">IF(AND(INDEX(Profils!$H$5:$H$34,$AE578)&gt;0,INDEX(Profils!$W$5:$W$34,$AE578)&lt;=$AH578),ROUND(INDEX(Profils!$H$5:$H$34,$AE578)*Paramètres!$E$24*$AG578*$AJ578,Paramètres!$F$24),0)</f>
        <v>0</v>
      </c>
      <c r="O578" s="19" t="n">
        <f aca="false" t="array" ref="O578:O578">IF(AND(INDEX(Profils!$I$5:$I$34,$AE578)&gt;0,INDEX(Profils!$X$5:$X$34,$AE578)&lt;=$AH578),ROUND(INDEX(Profils!$I$5:$I$34,$AE578)*Paramètres!$E$25*$AG578*$AJ578,Paramètres!$F$25),0)</f>
        <v>14</v>
      </c>
      <c r="P578" s="19" t="n">
        <f aca="false" t="array" ref="P578:P578">IF(AND(INDEX(Profils!$J$5:$J$34,$AE578)&gt;0,INDEX(Profils!$Y$5:$Y$34,$AE578)&lt;=$AH578),ROUND(INDEX(Profils!$J$5:$J$34,$AE578)*Paramètres!$E$26*$AG578*$AJ578,Paramètres!$F$26),0)</f>
        <v>0</v>
      </c>
      <c r="Q578" s="19" t="n">
        <f aca="false" t="array" ref="Q578:Q578">IF(AND(INDEX(Profils!$K$5:$K$34,$AE578)&gt;0,INDEX(Profils!$Z$5:$Z$34,$AE578)&lt;=$AH578),ROUND(INDEX(Profils!$K$5:$K$34,$AE578)*Paramètres!$E$27*$AG578*$AJ578,Paramètres!$F$27),0)</f>
        <v>0</v>
      </c>
      <c r="R578" s="20" t="n">
        <f aca="false" t="array" ref="R578:R578">IF(AND(INDEX(Profils!$L$5:$L$34,$AE578)&gt;0,INDEX(Profils!$AA$5:$AA$34,$AE578)&lt;=$AH578),ROUND(INDEX(Profils!$L$5:$L$34,$AE578)*Paramètres!$E$28*$AG578*$AJ578,Paramètres!$F$28),0)</f>
        <v>0</v>
      </c>
      <c r="S578" s="20" t="n">
        <f aca="false" t="array" ref="S578:S578">IF(AND(INDEX(Profils!$M$5:$M$34,$AE578)&gt;0,INDEX(Profils!$AB$5:$AB$34,$AE578)&lt;=$AH578),ROUND(INDEX(Profils!$M$5:$M$34,$AE578)*Paramètres!$E$29*$AG578*$AJ578,Paramètres!$F$29),0)</f>
        <v>0.007</v>
      </c>
      <c r="T578" s="20" t="n">
        <f aca="false" t="array" ref="T578:T578">IF(AND(INDEX(Profils!$N$5:$N$34,$AE578)&gt;0,INDEX(Profils!$AC$5:$AC$34,$AE578)&lt;=$AH578),ROUND(INDEX(Profils!$N$5:$N$34,$AE578)*Paramètres!$E$30*$AG578*$AJ578,Paramètres!$F$30),0)</f>
        <v>0.019</v>
      </c>
      <c r="U578" s="19" t="n">
        <f aca="false" t="array" ref="U578:U578">IF(AND(INDEX(Profils!$O$5:$O$34,$AE578)&gt;0,INDEX(Profils!$AD$5:$AD$34,$AE578)&lt;=$AH578),ROUND(INDEX(Profils!$O$5:$O$34,$AE578)*Paramètres!$E$31*$AG578*$AJ578,Paramètres!$F$31),0)</f>
        <v>0</v>
      </c>
      <c r="V578" s="20" t="n">
        <f aca="false" t="array" ref="V578:V578">IF(AND(INDEX(Profils!$P$5:$P$34,$AE578)&gt;0,INDEX(Profils!$AE$5:$AE$34,$AE578)&lt;=$AH578),ROUND(INDEX(Profils!$P$5:$P$34,$AE578)*Paramètres!$E$32*$AG578*$AJ578,Paramètres!$F$32),0)</f>
        <v>0.01</v>
      </c>
      <c r="W578" s="20" t="n">
        <f aca="false" t="array" ref="W578:W578">IF(AND(INDEX(Profils!$Q$5:$Q$34,$AE578)&gt;0,INDEX(Profils!$AF$5:$AF$34,$AE578)&lt;=$AH578),ROUND(INDEX(Profils!$Q$5:$Q$34,$AE578)*Paramètres!$E$33*$AG578*$AJ578,Paramètres!$F$33),0)</f>
        <v>0</v>
      </c>
      <c r="X578" s="20" t="n">
        <f aca="false" t="array" ref="X578:X578">IF(AND(INDEX(Profils!$R$5:$R$34,$AE578)&gt;0,INDEX(Profils!$AG$5:$AG$34,$AE578)&lt;=$AH578),ROUND(INDEX(Profils!$R$5:$R$34,$AE578)*Paramètres!$E$34*$AG578*$AJ578,Paramètres!$F$34),0)</f>
        <v>0</v>
      </c>
      <c r="Y578" s="20" t="n">
        <f aca="false" t="array" ref="Y578:Y578">IF(AND(INDEX(Profils!$S$5:$S$34,$AE578)&gt;0,INDEX(Profils!$AH$5:$AH$34,$AE578)&lt;=$AH578),ROUND(INDEX(Profils!$S$5:$S$34,$AE578)*Paramètres!$E$35*$AG578*$AJ578,Paramètres!$F$35),0)</f>
        <v>0</v>
      </c>
      <c r="Z578" s="21" t="n">
        <f aca="false">ROUND(L578/Paramètres!$E$22+M578/Paramètres!$E$23+N578/Paramètres!$E$24+O578/Paramètres!$E$25+P578/Paramètres!$E$26+Q578/Paramètres!$E$27+R578/Paramètres!$E$28+S578/Paramètres!$E$29+T578/Paramètres!$E$30+U578/Paramètres!$E$31+V578/Paramètres!$E$32+W578/Paramètres!$E$33+X578/Paramètres!$E$34+Y578/Paramètres!$E$35,1)</f>
        <v>2.8</v>
      </c>
      <c r="AA578" s="22" t="s">
        <v>109</v>
      </c>
      <c r="AB578" s="22" t="s">
        <v>109</v>
      </c>
      <c r="AC578" s="15" t="str">
        <f aca="false">$E578</f>
        <v>ébène</v>
      </c>
      <c r="AD578" s="16" t="n">
        <f aca="false" t="array" ref="AD578:AD578">IF($I578&gt;=$AI578,"Max",ROUND(Paramètres!$B$40*($I578+1)^Paramètres!$B$41*INDEX(Paramètres!$H$6:$H$12,$AF578),0))</f>
        <v>4</v>
      </c>
      <c r="AE578" s="23" t="n">
        <f aca="false">MATCH($B578&amp;"|"&amp;$C578,Profils!$A$5:$A$34,0)</f>
        <v>19</v>
      </c>
      <c r="AF578" s="23" t="n">
        <v>3</v>
      </c>
      <c r="AG578" s="24" t="n">
        <f aca="false" t="array" ref="AG578:AG578">INDEX(Paramètres!$C$6:$C$12,$AF578)</f>
        <v>1.45</v>
      </c>
      <c r="AH578" s="23" t="n">
        <f aca="false" t="array" ref="AH578:AH578">INDEX(Paramètres!$D$6:$D$12,$AF578)</f>
        <v>4</v>
      </c>
      <c r="AI578" s="23" t="n">
        <f aca="false" t="array" ref="AI578:AI578">INDEX(Matériaux!$C$16:$C$20,$D578)</f>
        <v>25</v>
      </c>
      <c r="AJ578" s="25" t="n">
        <f aca="false">Paramètres!$B$16+(1-Paramètres!$B$16)*(($J578-Paramètres!$B$14)/(Paramètres!$B$15-Paramètres!$B$14))^Paramètres!$B$17</f>
        <v>0.26769024555533</v>
      </c>
    </row>
    <row r="579" customFormat="false" ht="15.75" hidden="false" customHeight="true" outlineLevel="0" collapsed="false">
      <c r="A579" s="14" t="s">
        <v>695</v>
      </c>
      <c r="B579" s="15" t="s">
        <v>29</v>
      </c>
      <c r="C579" s="15" t="s">
        <v>369</v>
      </c>
      <c r="D579" s="16" t="n">
        <v>3</v>
      </c>
      <c r="E579" s="15" t="str">
        <f aca="false" t="array" ref="E579:E579">INDEX(Matériaux!$B$5:$F$12,MATCH(INDEX(Profils!$E$5:$E$34,$AE579),Matériaux!$A$5:$A$12,0),$D579)</f>
        <v>ébène</v>
      </c>
      <c r="F579" s="28" t="s">
        <v>115</v>
      </c>
      <c r="G579" s="10" t="str">
        <f aca="false" t="array" ref="G579:G579">INDEX(Profils!$D$5:$D$34,$AE579)&amp;" en "&amp;$E579</f>
        <v>Bâton en ébène</v>
      </c>
      <c r="H579" s="16" t="n">
        <f aca="false" t="array" ref="H579:H579">INDEX(Matériaux!$B$16:$B$20,$D579)</f>
        <v>30</v>
      </c>
      <c r="I579" s="16" t="n">
        <f aca="false">IF(ISNUMBER($C$3),MIN(MAX(0,ROUND($C$3,0)),$AI579),$AI579)</f>
        <v>0</v>
      </c>
      <c r="J579" s="18" t="n">
        <f aca="false">$H579+$I579</f>
        <v>30</v>
      </c>
      <c r="K579" s="15" t="s">
        <v>109</v>
      </c>
      <c r="L579" s="19" t="n">
        <f aca="false" t="array" ref="L579:L579">IF(AND(INDEX(Profils!$F$5:$F$34,$AE579)&gt;0,INDEX(Profils!$U$5:$U$34,$AE579)&lt;=$AH579),ROUND(INDEX(Profils!$F$5:$F$34,$AE579)*Paramètres!$E$22*$AG579*$AJ579,Paramètres!$F$22),0)</f>
        <v>0</v>
      </c>
      <c r="M579" s="19" t="n">
        <f aca="false" t="array" ref="M579:M579">IF(AND(INDEX(Profils!$G$5:$G$34,$AE579)&gt;0,INDEX(Profils!$V$5:$V$34,$AE579)&lt;=$AH579),ROUND(INDEX(Profils!$G$5:$G$34,$AE579)*Paramètres!$E$23*$AG579*$AJ579,Paramètres!$F$23),0)</f>
        <v>0</v>
      </c>
      <c r="N579" s="19" t="n">
        <f aca="false" t="array" ref="N579:N579">IF(AND(INDEX(Profils!$H$5:$H$34,$AE579)&gt;0,INDEX(Profils!$W$5:$W$34,$AE579)&lt;=$AH579),ROUND(INDEX(Profils!$H$5:$H$34,$AE579)*Paramètres!$E$24*$AG579*$AJ579,Paramètres!$F$24),0)</f>
        <v>0</v>
      </c>
      <c r="O579" s="19" t="n">
        <f aca="false" t="array" ref="O579:O579">IF(AND(INDEX(Profils!$I$5:$I$34,$AE579)&gt;0,INDEX(Profils!$X$5:$X$34,$AE579)&lt;=$AH579),ROUND(INDEX(Profils!$I$5:$I$34,$AE579)*Paramètres!$E$25*$AG579*$AJ579,Paramètres!$F$25),0)</f>
        <v>17</v>
      </c>
      <c r="P579" s="19" t="n">
        <f aca="false" t="array" ref="P579:P579">IF(AND(INDEX(Profils!$J$5:$J$34,$AE579)&gt;0,INDEX(Profils!$Y$5:$Y$34,$AE579)&lt;=$AH579),ROUND(INDEX(Profils!$J$5:$J$34,$AE579)*Paramètres!$E$26*$AG579*$AJ579,Paramètres!$F$26),0)</f>
        <v>0</v>
      </c>
      <c r="Q579" s="19" t="n">
        <f aca="false" t="array" ref="Q579:Q579">IF(AND(INDEX(Profils!$K$5:$K$34,$AE579)&gt;0,INDEX(Profils!$Z$5:$Z$34,$AE579)&lt;=$AH579),ROUND(INDEX(Profils!$K$5:$K$34,$AE579)*Paramètres!$E$27*$AG579*$AJ579,Paramètres!$F$27),0)</f>
        <v>0</v>
      </c>
      <c r="R579" s="20" t="n">
        <f aca="false" t="array" ref="R579:R579">IF(AND(INDEX(Profils!$L$5:$L$34,$AE579)&gt;0,INDEX(Profils!$AA$5:$AA$34,$AE579)&lt;=$AH579),ROUND(INDEX(Profils!$L$5:$L$34,$AE579)*Paramètres!$E$28*$AG579*$AJ579,Paramètres!$F$28),0)</f>
        <v>0.008</v>
      </c>
      <c r="S579" s="20" t="n">
        <f aca="false" t="array" ref="S579:S579">IF(AND(INDEX(Profils!$M$5:$M$34,$AE579)&gt;0,INDEX(Profils!$AB$5:$AB$34,$AE579)&lt;=$AH579),ROUND(INDEX(Profils!$M$5:$M$34,$AE579)*Paramètres!$E$29*$AG579*$AJ579,Paramètres!$F$29),0)</f>
        <v>0.009</v>
      </c>
      <c r="T579" s="20" t="n">
        <f aca="false" t="array" ref="T579:T579">IF(AND(INDEX(Profils!$N$5:$N$34,$AE579)&gt;0,INDEX(Profils!$AC$5:$AC$34,$AE579)&lt;=$AH579),ROUND(INDEX(Profils!$N$5:$N$34,$AE579)*Paramètres!$E$30*$AG579*$AJ579,Paramètres!$F$30),0)</f>
        <v>0.022</v>
      </c>
      <c r="U579" s="19" t="n">
        <f aca="false" t="array" ref="U579:U579">IF(AND(INDEX(Profils!$O$5:$O$34,$AE579)&gt;0,INDEX(Profils!$AD$5:$AD$34,$AE579)&lt;=$AH579),ROUND(INDEX(Profils!$O$5:$O$34,$AE579)*Paramètres!$E$31*$AG579*$AJ579,Paramètres!$F$31),0)</f>
        <v>0</v>
      </c>
      <c r="V579" s="20" t="n">
        <f aca="false" t="array" ref="V579:V579">IF(AND(INDEX(Profils!$P$5:$P$34,$AE579)&gt;0,INDEX(Profils!$AE$5:$AE$34,$AE579)&lt;=$AH579),ROUND(INDEX(Profils!$P$5:$P$34,$AE579)*Paramètres!$E$32*$AG579*$AJ579,Paramètres!$F$32),0)</f>
        <v>0.013</v>
      </c>
      <c r="W579" s="20" t="n">
        <f aca="false" t="array" ref="W579:W579">IF(AND(INDEX(Profils!$Q$5:$Q$34,$AE579)&gt;0,INDEX(Profils!$AF$5:$AF$34,$AE579)&lt;=$AH579),ROUND(INDEX(Profils!$Q$5:$Q$34,$AE579)*Paramètres!$E$33*$AG579*$AJ579,Paramètres!$F$33),0)</f>
        <v>0</v>
      </c>
      <c r="X579" s="20" t="n">
        <f aca="false" t="array" ref="X579:X579">IF(AND(INDEX(Profils!$R$5:$R$34,$AE579)&gt;0,INDEX(Profils!$AG$5:$AG$34,$AE579)&lt;=$AH579),ROUND(INDEX(Profils!$R$5:$R$34,$AE579)*Paramètres!$E$34*$AG579*$AJ579,Paramètres!$F$34),0)</f>
        <v>0</v>
      </c>
      <c r="Y579" s="20" t="n">
        <f aca="false" t="array" ref="Y579:Y579">IF(AND(INDEX(Profils!$S$5:$S$34,$AE579)&gt;0,INDEX(Profils!$AH$5:$AH$34,$AE579)&lt;=$AH579),ROUND(INDEX(Profils!$S$5:$S$34,$AE579)*Paramètres!$E$35*$AG579*$AJ579,Paramètres!$F$35),0)</f>
        <v>0</v>
      </c>
      <c r="Z579" s="21" t="n">
        <f aca="false">ROUND(L579/Paramètres!$E$22+M579/Paramètres!$E$23+N579/Paramètres!$E$24+O579/Paramètres!$E$25+P579/Paramètres!$E$26+Q579/Paramètres!$E$27+R579/Paramètres!$E$28+S579/Paramètres!$E$29+T579/Paramètres!$E$30+U579/Paramètres!$E$31+V579/Paramètres!$E$32+W579/Paramètres!$E$33+X579/Paramètres!$E$34+Y579/Paramètres!$E$35,1)</f>
        <v>4</v>
      </c>
      <c r="AA579" s="22" t="s">
        <v>109</v>
      </c>
      <c r="AB579" s="22" t="s">
        <v>109</v>
      </c>
      <c r="AC579" s="15" t="str">
        <f aca="false">$E579</f>
        <v>ébène</v>
      </c>
      <c r="AD579" s="16" t="n">
        <f aca="false" t="array" ref="AD579:AD579">IF($I579&gt;=$AI579,"Max",ROUND(Paramètres!$B$40*($I579+1)^Paramètres!$B$41*INDEX(Paramètres!$H$6:$H$12,$AF579),0))</f>
        <v>5</v>
      </c>
      <c r="AE579" s="23" t="n">
        <f aca="false">MATCH($B579&amp;"|"&amp;$C579,Profils!$A$5:$A$34,0)</f>
        <v>19</v>
      </c>
      <c r="AF579" s="23" t="n">
        <v>4</v>
      </c>
      <c r="AG579" s="24" t="n">
        <f aca="false" t="array" ref="AG579:AG579">INDEX(Paramètres!$C$6:$C$12,$AF579)</f>
        <v>1.75</v>
      </c>
      <c r="AH579" s="23" t="n">
        <f aca="false" t="array" ref="AH579:AH579">INDEX(Paramètres!$D$6:$D$12,$AF579)</f>
        <v>5</v>
      </c>
      <c r="AI579" s="23" t="n">
        <f aca="false" t="array" ref="AI579:AI579">INDEX(Matériaux!$C$16:$C$20,$D579)</f>
        <v>25</v>
      </c>
      <c r="AJ579" s="25" t="n">
        <f aca="false">Paramètres!$B$16+(1-Paramètres!$B$16)*(($J579-Paramètres!$B$14)/(Paramètres!$B$15-Paramètres!$B$14))^Paramètres!$B$17</f>
        <v>0.26769024555533</v>
      </c>
    </row>
    <row r="580" customFormat="false" ht="15.75" hidden="false" customHeight="true" outlineLevel="0" collapsed="false">
      <c r="A580" s="14" t="s">
        <v>696</v>
      </c>
      <c r="B580" s="15" t="s">
        <v>29</v>
      </c>
      <c r="C580" s="15" t="s">
        <v>369</v>
      </c>
      <c r="D580" s="16" t="n">
        <v>3</v>
      </c>
      <c r="E580" s="15" t="str">
        <f aca="false" t="array" ref="E580:E580">INDEX(Matériaux!$B$5:$F$12,MATCH(INDEX(Profils!$E$5:$E$34,$AE580),Matériaux!$A$5:$A$12,0),$D580)</f>
        <v>ébène</v>
      </c>
      <c r="F580" s="29" t="s">
        <v>117</v>
      </c>
      <c r="G580" s="10" t="str">
        <f aca="false" t="array" ref="G580:G580">INDEX(Profils!$D$5:$D$34,$AE580)&amp;" en "&amp;$E580</f>
        <v>Bâton en ébène</v>
      </c>
      <c r="H580" s="16" t="n">
        <f aca="false" t="array" ref="H580:H580">INDEX(Matériaux!$B$16:$B$20,$D580)</f>
        <v>30</v>
      </c>
      <c r="I580" s="16" t="n">
        <f aca="false">IF(ISNUMBER($C$3),MIN(MAX(0,ROUND($C$3,0)),$AI580),$AI580)</f>
        <v>0</v>
      </c>
      <c r="J580" s="18" t="n">
        <f aca="false">$H580+$I580</f>
        <v>30</v>
      </c>
      <c r="K580" s="15" t="s">
        <v>109</v>
      </c>
      <c r="L580" s="19" t="n">
        <f aca="false" t="array" ref="L580:L580">IF(AND(INDEX(Profils!$F$5:$F$34,$AE580)&gt;0,INDEX(Profils!$U$5:$U$34,$AE580)&lt;=$AH580),ROUND(INDEX(Profils!$F$5:$F$34,$AE580)*Paramètres!$E$22*$AG580*$AJ580,Paramètres!$F$22),0)</f>
        <v>0</v>
      </c>
      <c r="M580" s="19" t="n">
        <f aca="false" t="array" ref="M580:M580">IF(AND(INDEX(Profils!$G$5:$G$34,$AE580)&gt;0,INDEX(Profils!$V$5:$V$34,$AE580)&lt;=$AH580),ROUND(INDEX(Profils!$G$5:$G$34,$AE580)*Paramètres!$E$23*$AG580*$AJ580,Paramètres!$F$23),0)</f>
        <v>0</v>
      </c>
      <c r="N580" s="19" t="n">
        <f aca="false" t="array" ref="N580:N580">IF(AND(INDEX(Profils!$H$5:$H$34,$AE580)&gt;0,INDEX(Profils!$W$5:$W$34,$AE580)&lt;=$AH580),ROUND(INDEX(Profils!$H$5:$H$34,$AE580)*Paramètres!$E$24*$AG580*$AJ580,Paramètres!$F$24),0)</f>
        <v>0</v>
      </c>
      <c r="O580" s="19" t="n">
        <f aca="false" t="array" ref="O580:O580">IF(AND(INDEX(Profils!$I$5:$I$34,$AE580)&gt;0,INDEX(Profils!$X$5:$X$34,$AE580)&lt;=$AH580),ROUND(INDEX(Profils!$I$5:$I$34,$AE580)*Paramètres!$E$25*$AG580*$AJ580,Paramètres!$F$25),0)</f>
        <v>20</v>
      </c>
      <c r="P580" s="19" t="n">
        <f aca="false" t="array" ref="P580:P580">IF(AND(INDEX(Profils!$J$5:$J$34,$AE580)&gt;0,INDEX(Profils!$Y$5:$Y$34,$AE580)&lt;=$AH580),ROUND(INDEX(Profils!$J$5:$J$34,$AE580)*Paramètres!$E$26*$AG580*$AJ580,Paramètres!$F$26),0)</f>
        <v>0</v>
      </c>
      <c r="Q580" s="19" t="n">
        <f aca="false" t="array" ref="Q580:Q580">IF(AND(INDEX(Profils!$K$5:$K$34,$AE580)&gt;0,INDEX(Profils!$Z$5:$Z$34,$AE580)&lt;=$AH580),ROUND(INDEX(Profils!$K$5:$K$34,$AE580)*Paramètres!$E$27*$AG580*$AJ580,Paramètres!$F$27),0)</f>
        <v>0</v>
      </c>
      <c r="R580" s="20" t="n">
        <f aca="false" t="array" ref="R580:R580">IF(AND(INDEX(Profils!$L$5:$L$34,$AE580)&gt;0,INDEX(Profils!$AA$5:$AA$34,$AE580)&lt;=$AH580),ROUND(INDEX(Profils!$L$5:$L$34,$AE580)*Paramètres!$E$28*$AG580*$AJ580,Paramètres!$F$28),0)</f>
        <v>0.01</v>
      </c>
      <c r="S580" s="20" t="n">
        <f aca="false" t="array" ref="S580:S580">IF(AND(INDEX(Profils!$M$5:$M$34,$AE580)&gt;0,INDEX(Profils!$AB$5:$AB$34,$AE580)&lt;=$AH580),ROUND(INDEX(Profils!$M$5:$M$34,$AE580)*Paramètres!$E$29*$AG580*$AJ580,Paramètres!$F$29),0)</f>
        <v>0.011</v>
      </c>
      <c r="T580" s="20" t="n">
        <f aca="false" t="array" ref="T580:T580">IF(AND(INDEX(Profils!$N$5:$N$34,$AE580)&gt;0,INDEX(Profils!$AC$5:$AC$34,$AE580)&lt;=$AH580),ROUND(INDEX(Profils!$N$5:$N$34,$AE580)*Paramètres!$E$30*$AG580*$AJ580,Paramètres!$F$30),0)</f>
        <v>0.027</v>
      </c>
      <c r="U580" s="19" t="n">
        <f aca="false" t="array" ref="U580:U580">IF(AND(INDEX(Profils!$O$5:$O$34,$AE580)&gt;0,INDEX(Profils!$AD$5:$AD$34,$AE580)&lt;=$AH580),ROUND(INDEX(Profils!$O$5:$O$34,$AE580)*Paramètres!$E$31*$AG580*$AJ580,Paramètres!$F$31),0)</f>
        <v>0</v>
      </c>
      <c r="V580" s="20" t="n">
        <f aca="false" t="array" ref="V580:V580">IF(AND(INDEX(Profils!$P$5:$P$34,$AE580)&gt;0,INDEX(Profils!$AE$5:$AE$34,$AE580)&lt;=$AH580),ROUND(INDEX(Profils!$P$5:$P$34,$AE580)*Paramètres!$E$32*$AG580*$AJ580,Paramètres!$F$32),0)</f>
        <v>0.015</v>
      </c>
      <c r="W580" s="20" t="n">
        <f aca="false" t="array" ref="W580:W580">IF(AND(INDEX(Profils!$Q$5:$Q$34,$AE580)&gt;0,INDEX(Profils!$AF$5:$AF$34,$AE580)&lt;=$AH580),ROUND(INDEX(Profils!$Q$5:$Q$34,$AE580)*Paramètres!$E$33*$AG580*$AJ580,Paramètres!$F$33),0)</f>
        <v>0</v>
      </c>
      <c r="X580" s="20" t="n">
        <f aca="false" t="array" ref="X580:X580">IF(AND(INDEX(Profils!$R$5:$R$34,$AE580)&gt;0,INDEX(Profils!$AG$5:$AG$34,$AE580)&lt;=$AH580),ROUND(INDEX(Profils!$R$5:$R$34,$AE580)*Paramètres!$E$34*$AG580*$AJ580,Paramètres!$F$34),0)</f>
        <v>0.011</v>
      </c>
      <c r="Y580" s="20" t="n">
        <f aca="false" t="array" ref="Y580:Y580">IF(AND(INDEX(Profils!$S$5:$S$34,$AE580)&gt;0,INDEX(Profils!$AH$5:$AH$34,$AE580)&lt;=$AH580),ROUND(INDEX(Profils!$S$5:$S$34,$AE580)*Paramètres!$E$35*$AG580*$AJ580,Paramètres!$F$35),0)</f>
        <v>0</v>
      </c>
      <c r="Z580" s="21" t="n">
        <f aca="false">ROUND(L580/Paramètres!$E$22+M580/Paramètres!$E$23+N580/Paramètres!$E$24+O580/Paramètres!$E$25+P580/Paramètres!$E$26+Q580/Paramètres!$E$27+R580/Paramètres!$E$28+S580/Paramètres!$E$29+T580/Paramètres!$E$30+U580/Paramètres!$E$31+V580/Paramètres!$E$32+W580/Paramètres!$E$33+X580/Paramètres!$E$34+Y580/Paramètres!$E$35,1)</f>
        <v>5.4</v>
      </c>
      <c r="AA580" s="22" t="s">
        <v>109</v>
      </c>
      <c r="AB580" s="22" t="s">
        <v>109</v>
      </c>
      <c r="AC580" s="15" t="str">
        <f aca="false">$E580</f>
        <v>ébène</v>
      </c>
      <c r="AD580" s="16" t="n">
        <f aca="false" t="array" ref="AD580:AD580">IF($I580&gt;=$AI580,"Max",ROUND(Paramètres!$B$40*($I580+1)^Paramètres!$B$41*INDEX(Paramètres!$H$6:$H$12,$AF580),0))</f>
        <v>6</v>
      </c>
      <c r="AE580" s="23" t="n">
        <f aca="false">MATCH($B580&amp;"|"&amp;$C580,Profils!$A$5:$A$34,0)</f>
        <v>19</v>
      </c>
      <c r="AF580" s="23" t="n">
        <v>5</v>
      </c>
      <c r="AG580" s="24" t="n">
        <f aca="false" t="array" ref="AG580:AG580">INDEX(Paramètres!$C$6:$C$12,$AF580)</f>
        <v>2.1</v>
      </c>
      <c r="AH580" s="23" t="n">
        <f aca="false" t="array" ref="AH580:AH580">INDEX(Paramètres!$D$6:$D$12,$AF580)</f>
        <v>6</v>
      </c>
      <c r="AI580" s="23" t="n">
        <f aca="false" t="array" ref="AI580:AI580">INDEX(Matériaux!$C$16:$C$20,$D580)</f>
        <v>25</v>
      </c>
      <c r="AJ580" s="25" t="n">
        <f aca="false">Paramètres!$B$16+(1-Paramètres!$B$16)*(($J580-Paramètres!$B$14)/(Paramètres!$B$15-Paramètres!$B$14))^Paramètres!$B$17</f>
        <v>0.26769024555533</v>
      </c>
    </row>
    <row r="581" customFormat="false" ht="15.75" hidden="false" customHeight="true" outlineLevel="0" collapsed="false">
      <c r="A581" s="14" t="s">
        <v>697</v>
      </c>
      <c r="B581" s="15" t="s">
        <v>29</v>
      </c>
      <c r="C581" s="15" t="s">
        <v>369</v>
      </c>
      <c r="D581" s="16" t="n">
        <v>3</v>
      </c>
      <c r="E581" s="15" t="str">
        <f aca="false" t="array" ref="E581:E581">INDEX(Matériaux!$B$5:$F$12,MATCH(INDEX(Profils!$E$5:$E$34,$AE581),Matériaux!$A$5:$A$12,0),$D581)</f>
        <v>ébène</v>
      </c>
      <c r="F581" s="30" t="s">
        <v>119</v>
      </c>
      <c r="G581" s="10" t="str">
        <f aca="false" t="array" ref="G581:G581">INDEX(Profils!$D$5:$D$34,$AE581)&amp;" en "&amp;$E581</f>
        <v>Bâton en ébène</v>
      </c>
      <c r="H581" s="16" t="n">
        <f aca="false" t="array" ref="H581:H581">INDEX(Matériaux!$B$16:$B$20,$D581)</f>
        <v>30</v>
      </c>
      <c r="I581" s="16" t="n">
        <f aca="false">IF(ISNUMBER($C$3),MIN(MAX(0,ROUND($C$3,0)),$AI581),$AI581)</f>
        <v>0</v>
      </c>
      <c r="J581" s="18" t="n">
        <f aca="false">$H581+$I581</f>
        <v>30</v>
      </c>
      <c r="K581" s="15" t="s">
        <v>109</v>
      </c>
      <c r="L581" s="19" t="n">
        <f aca="false" t="array" ref="L581:L581">IF(AND(INDEX(Profils!$F$5:$F$34,$AE581)&gt;0,INDEX(Profils!$U$5:$U$34,$AE581)&lt;=$AH581),ROUND(INDEX(Profils!$F$5:$F$34,$AE581)*Paramètres!$E$22*$AG581*$AJ581,Paramètres!$F$22),0)</f>
        <v>13</v>
      </c>
      <c r="M581" s="19" t="n">
        <f aca="false" t="array" ref="M581:M581">IF(AND(INDEX(Profils!$G$5:$G$34,$AE581)&gt;0,INDEX(Profils!$V$5:$V$34,$AE581)&lt;=$AH581),ROUND(INDEX(Profils!$G$5:$G$34,$AE581)*Paramètres!$E$23*$AG581*$AJ581,Paramètres!$F$23),0)</f>
        <v>0</v>
      </c>
      <c r="N581" s="19" t="n">
        <f aca="false" t="array" ref="N581:N581">IF(AND(INDEX(Profils!$H$5:$H$34,$AE581)&gt;0,INDEX(Profils!$W$5:$W$34,$AE581)&lt;=$AH581),ROUND(INDEX(Profils!$H$5:$H$34,$AE581)*Paramètres!$E$24*$AG581*$AJ581,Paramètres!$F$24),0)</f>
        <v>0</v>
      </c>
      <c r="O581" s="19" t="n">
        <f aca="false" t="array" ref="O581:O581">IF(AND(INDEX(Profils!$I$5:$I$34,$AE581)&gt;0,INDEX(Profils!$X$5:$X$34,$AE581)&lt;=$AH581),ROUND(INDEX(Profils!$I$5:$I$34,$AE581)*Paramètres!$E$25*$AG581*$AJ581,Paramètres!$F$25),0)</f>
        <v>23</v>
      </c>
      <c r="P581" s="19" t="n">
        <f aca="false" t="array" ref="P581:P581">IF(AND(INDEX(Profils!$J$5:$J$34,$AE581)&gt;0,INDEX(Profils!$Y$5:$Y$34,$AE581)&lt;=$AH581),ROUND(INDEX(Profils!$J$5:$J$34,$AE581)*Paramètres!$E$26*$AG581*$AJ581,Paramètres!$F$26),0)</f>
        <v>0</v>
      </c>
      <c r="Q581" s="19" t="n">
        <f aca="false" t="array" ref="Q581:Q581">IF(AND(INDEX(Profils!$K$5:$K$34,$AE581)&gt;0,INDEX(Profils!$Z$5:$Z$34,$AE581)&lt;=$AH581),ROUND(INDEX(Profils!$K$5:$K$34,$AE581)*Paramètres!$E$27*$AG581*$AJ581,Paramètres!$F$27),0)</f>
        <v>0</v>
      </c>
      <c r="R581" s="20" t="n">
        <f aca="false" t="array" ref="R581:R581">IF(AND(INDEX(Profils!$L$5:$L$34,$AE581)&gt;0,INDEX(Profils!$AA$5:$AA$34,$AE581)&lt;=$AH581),ROUND(INDEX(Profils!$L$5:$L$34,$AE581)*Paramètres!$E$28*$AG581*$AJ581,Paramètres!$F$28),0)</f>
        <v>0.012</v>
      </c>
      <c r="S581" s="20" t="n">
        <f aca="false" t="array" ref="S581:S581">IF(AND(INDEX(Profils!$M$5:$M$34,$AE581)&gt;0,INDEX(Profils!$AB$5:$AB$34,$AE581)&lt;=$AH581),ROUND(INDEX(Profils!$M$5:$M$34,$AE581)*Paramètres!$E$29*$AG581*$AJ581,Paramètres!$F$29),0)</f>
        <v>0.012</v>
      </c>
      <c r="T581" s="20" t="n">
        <f aca="false" t="array" ref="T581:T581">IF(AND(INDEX(Profils!$N$5:$N$34,$AE581)&gt;0,INDEX(Profils!$AC$5:$AC$34,$AE581)&lt;=$AH581),ROUND(INDEX(Profils!$N$5:$N$34,$AE581)*Paramètres!$E$30*$AG581*$AJ581,Paramètres!$F$30),0)</f>
        <v>0.031</v>
      </c>
      <c r="U581" s="19" t="n">
        <f aca="false" t="array" ref="U581:U581">IF(AND(INDEX(Profils!$O$5:$O$34,$AE581)&gt;0,INDEX(Profils!$AD$5:$AD$34,$AE581)&lt;=$AH581),ROUND(INDEX(Profils!$O$5:$O$34,$AE581)*Paramètres!$E$31*$AG581*$AJ581,Paramètres!$F$31),0)</f>
        <v>0</v>
      </c>
      <c r="V581" s="20" t="n">
        <f aca="false" t="array" ref="V581:V581">IF(AND(INDEX(Profils!$P$5:$P$34,$AE581)&gt;0,INDEX(Profils!$AE$5:$AE$34,$AE581)&lt;=$AH581),ROUND(INDEX(Profils!$P$5:$P$34,$AE581)*Paramètres!$E$32*$AG581*$AJ581,Paramètres!$F$32),0)</f>
        <v>0.017</v>
      </c>
      <c r="W581" s="20" t="n">
        <f aca="false" t="array" ref="W581:W581">IF(AND(INDEX(Profils!$Q$5:$Q$34,$AE581)&gt;0,INDEX(Profils!$AF$5:$AF$34,$AE581)&lt;=$AH581),ROUND(INDEX(Profils!$Q$5:$Q$34,$AE581)*Paramètres!$E$33*$AG581*$AJ581,Paramètres!$F$33),0)</f>
        <v>0</v>
      </c>
      <c r="X581" s="20" t="n">
        <f aca="false" t="array" ref="X581:X581">IF(AND(INDEX(Profils!$R$5:$R$34,$AE581)&gt;0,INDEX(Profils!$AG$5:$AG$34,$AE581)&lt;=$AH581),ROUND(INDEX(Profils!$R$5:$R$34,$AE581)*Paramètres!$E$34*$AG581*$AJ581,Paramètres!$F$34),0)</f>
        <v>0.013</v>
      </c>
      <c r="Y581" s="20" t="n">
        <f aca="false" t="array" ref="Y581:Y581">IF(AND(INDEX(Profils!$S$5:$S$34,$AE581)&gt;0,INDEX(Profils!$AH$5:$AH$34,$AE581)&lt;=$AH581),ROUND(INDEX(Profils!$S$5:$S$34,$AE581)*Paramètres!$E$35*$AG581*$AJ581,Paramètres!$F$35),0)</f>
        <v>0</v>
      </c>
      <c r="Z581" s="21" t="n">
        <f aca="false">ROUND(L581/Paramètres!$E$22+M581/Paramètres!$E$23+N581/Paramètres!$E$24+O581/Paramètres!$E$25+P581/Paramètres!$E$26+Q581/Paramètres!$E$27+R581/Paramètres!$E$28+S581/Paramètres!$E$29+T581/Paramètres!$E$30+U581/Paramètres!$E$31+V581/Paramètres!$E$32+W581/Paramètres!$E$33+X581/Paramètres!$E$34+Y581/Paramètres!$E$35,1)</f>
        <v>6.7</v>
      </c>
      <c r="AA581" s="22" t="s">
        <v>109</v>
      </c>
      <c r="AB581" s="22" t="s">
        <v>109</v>
      </c>
      <c r="AC581" s="15" t="str">
        <f aca="false">$E581</f>
        <v>ébène</v>
      </c>
      <c r="AD581" s="16" t="n">
        <f aca="false" t="array" ref="AD581:AD581">IF($I581&gt;=$AI581,"Max",ROUND(Paramètres!$B$40*($I581+1)^Paramètres!$B$41*INDEX(Paramètres!$H$6:$H$12,$AF581),0))</f>
        <v>8</v>
      </c>
      <c r="AE581" s="23" t="n">
        <f aca="false">MATCH($B581&amp;"|"&amp;$C581,Profils!$A$5:$A$34,0)</f>
        <v>19</v>
      </c>
      <c r="AF581" s="23" t="n">
        <v>6</v>
      </c>
      <c r="AG581" s="24" t="n">
        <f aca="false" t="array" ref="AG581:AG581">INDEX(Paramètres!$C$6:$C$12,$AF581)</f>
        <v>2.4</v>
      </c>
      <c r="AH581" s="23" t="n">
        <f aca="false" t="array" ref="AH581:AH581">INDEX(Paramètres!$D$6:$D$12,$AF581)</f>
        <v>7</v>
      </c>
      <c r="AI581" s="23" t="n">
        <f aca="false" t="array" ref="AI581:AI581">INDEX(Matériaux!$C$16:$C$20,$D581)</f>
        <v>25</v>
      </c>
      <c r="AJ581" s="25" t="n">
        <f aca="false">Paramètres!$B$16+(1-Paramètres!$B$16)*(($J581-Paramètres!$B$14)/(Paramètres!$B$15-Paramètres!$B$14))^Paramètres!$B$17</f>
        <v>0.26769024555533</v>
      </c>
    </row>
    <row r="582" customFormat="false" ht="15.75" hidden="false" customHeight="true" outlineLevel="0" collapsed="false">
      <c r="A582" s="14" t="s">
        <v>698</v>
      </c>
      <c r="B582" s="15" t="s">
        <v>29</v>
      </c>
      <c r="C582" s="15" t="s">
        <v>369</v>
      </c>
      <c r="D582" s="16" t="n">
        <v>4</v>
      </c>
      <c r="E582" s="15" t="str">
        <f aca="false" t="array" ref="E582:E582">INDEX(Matériaux!$B$5:$F$12,MATCH(INDEX(Profils!$E$5:$E$34,$AE582),Matériaux!$A$5:$A$12,0),$D582)</f>
        <v>cristal</v>
      </c>
      <c r="F582" s="17" t="s">
        <v>108</v>
      </c>
      <c r="G582" s="10" t="str">
        <f aca="false" t="array" ref="G582:G582">INDEX(Profils!$D$5:$D$34,$AE582)&amp;" en "&amp;$E582</f>
        <v>Bâton en cristal</v>
      </c>
      <c r="H582" s="16" t="n">
        <f aca="false" t="array" ref="H582:H582">INDEX(Matériaux!$B$16:$B$20,$D582)</f>
        <v>50</v>
      </c>
      <c r="I582" s="16" t="n">
        <f aca="false">IF(ISNUMBER($C$3),MIN(MAX(0,ROUND($C$3,0)),$AI582),$AI582)</f>
        <v>0</v>
      </c>
      <c r="J582" s="18" t="n">
        <f aca="false">$H582+$I582</f>
        <v>50</v>
      </c>
      <c r="K582" s="15" t="s">
        <v>109</v>
      </c>
      <c r="L582" s="19" t="n">
        <f aca="false" t="array" ref="L582:L582">IF(AND(INDEX(Profils!$F$5:$F$34,$AE582)&gt;0,INDEX(Profils!$U$5:$U$34,$AE582)&lt;=$AH582),ROUND(INDEX(Profils!$F$5:$F$34,$AE582)*Paramètres!$E$22*$AG582*$AJ582,Paramètres!$F$22),0)</f>
        <v>0</v>
      </c>
      <c r="M582" s="19" t="n">
        <f aca="false" t="array" ref="M582:M582">IF(AND(INDEX(Profils!$G$5:$G$34,$AE582)&gt;0,INDEX(Profils!$V$5:$V$34,$AE582)&lt;=$AH582),ROUND(INDEX(Profils!$G$5:$G$34,$AE582)*Paramètres!$E$23*$AG582*$AJ582,Paramètres!$F$23),0)</f>
        <v>0</v>
      </c>
      <c r="N582" s="19" t="n">
        <f aca="false" t="array" ref="N582:N582">IF(AND(INDEX(Profils!$H$5:$H$34,$AE582)&gt;0,INDEX(Profils!$W$5:$W$34,$AE582)&lt;=$AH582),ROUND(INDEX(Profils!$H$5:$H$34,$AE582)*Paramètres!$E$24*$AG582*$AJ582,Paramètres!$F$24),0)</f>
        <v>0</v>
      </c>
      <c r="O582" s="19" t="n">
        <f aca="false" t="array" ref="O582:O582">IF(AND(INDEX(Profils!$I$5:$I$34,$AE582)&gt;0,INDEX(Profils!$X$5:$X$34,$AE582)&lt;=$AH582),ROUND(INDEX(Profils!$I$5:$I$34,$AE582)*Paramètres!$E$25*$AG582*$AJ582,Paramètres!$F$25),0)</f>
        <v>17</v>
      </c>
      <c r="P582" s="19" t="n">
        <f aca="false" t="array" ref="P582:P582">IF(AND(INDEX(Profils!$J$5:$J$34,$AE582)&gt;0,INDEX(Profils!$Y$5:$Y$34,$AE582)&lt;=$AH582),ROUND(INDEX(Profils!$J$5:$J$34,$AE582)*Paramètres!$E$26*$AG582*$AJ582,Paramètres!$F$26),0)</f>
        <v>0</v>
      </c>
      <c r="Q582" s="19" t="n">
        <f aca="false" t="array" ref="Q582:Q582">IF(AND(INDEX(Profils!$K$5:$K$34,$AE582)&gt;0,INDEX(Profils!$Z$5:$Z$34,$AE582)&lt;=$AH582),ROUND(INDEX(Profils!$K$5:$K$34,$AE582)*Paramètres!$E$27*$AG582*$AJ582,Paramètres!$F$27),0)</f>
        <v>0</v>
      </c>
      <c r="R582" s="20" t="n">
        <f aca="false" t="array" ref="R582:R582">IF(AND(INDEX(Profils!$L$5:$L$34,$AE582)&gt;0,INDEX(Profils!$AA$5:$AA$34,$AE582)&lt;=$AH582),ROUND(INDEX(Profils!$L$5:$L$34,$AE582)*Paramètres!$E$28*$AG582*$AJ582,Paramètres!$F$28),0)</f>
        <v>0</v>
      </c>
      <c r="S582" s="20" t="n">
        <f aca="false" t="array" ref="S582:S582">IF(AND(INDEX(Profils!$M$5:$M$34,$AE582)&gt;0,INDEX(Profils!$AB$5:$AB$34,$AE582)&lt;=$AH582),ROUND(INDEX(Profils!$M$5:$M$34,$AE582)*Paramètres!$E$29*$AG582*$AJ582,Paramètres!$F$29),0)</f>
        <v>0</v>
      </c>
      <c r="T582" s="20" t="n">
        <f aca="false" t="array" ref="T582:T582">IF(AND(INDEX(Profils!$N$5:$N$34,$AE582)&gt;0,INDEX(Profils!$AC$5:$AC$34,$AE582)&lt;=$AH582),ROUND(INDEX(Profils!$N$5:$N$34,$AE582)*Paramètres!$E$30*$AG582*$AJ582,Paramètres!$F$30),0)</f>
        <v>0</v>
      </c>
      <c r="U582" s="19" t="n">
        <f aca="false" t="array" ref="U582:U582">IF(AND(INDEX(Profils!$O$5:$O$34,$AE582)&gt;0,INDEX(Profils!$AD$5:$AD$34,$AE582)&lt;=$AH582),ROUND(INDEX(Profils!$O$5:$O$34,$AE582)*Paramètres!$E$31*$AG582*$AJ582,Paramètres!$F$31),0)</f>
        <v>0</v>
      </c>
      <c r="V582" s="20" t="n">
        <f aca="false" t="array" ref="V582:V582">IF(AND(INDEX(Profils!$P$5:$P$34,$AE582)&gt;0,INDEX(Profils!$AE$5:$AE$34,$AE582)&lt;=$AH582),ROUND(INDEX(Profils!$P$5:$P$34,$AE582)*Paramètres!$E$32*$AG582*$AJ582,Paramètres!$F$32),0)</f>
        <v>0.012</v>
      </c>
      <c r="W582" s="20" t="n">
        <f aca="false" t="array" ref="W582:W582">IF(AND(INDEX(Profils!$Q$5:$Q$34,$AE582)&gt;0,INDEX(Profils!$AF$5:$AF$34,$AE582)&lt;=$AH582),ROUND(INDEX(Profils!$Q$5:$Q$34,$AE582)*Paramètres!$E$33*$AG582*$AJ582,Paramètres!$F$33),0)</f>
        <v>0</v>
      </c>
      <c r="X582" s="20" t="n">
        <f aca="false" t="array" ref="X582:X582">IF(AND(INDEX(Profils!$R$5:$R$34,$AE582)&gt;0,INDEX(Profils!$AG$5:$AG$34,$AE582)&lt;=$AH582),ROUND(INDEX(Profils!$R$5:$R$34,$AE582)*Paramètres!$E$34*$AG582*$AJ582,Paramètres!$F$34),0)</f>
        <v>0</v>
      </c>
      <c r="Y582" s="20" t="n">
        <f aca="false" t="array" ref="Y582:Y582">IF(AND(INDEX(Profils!$S$5:$S$34,$AE582)&gt;0,INDEX(Profils!$AH$5:$AH$34,$AE582)&lt;=$AH582),ROUND(INDEX(Profils!$S$5:$S$34,$AE582)*Paramètres!$E$35*$AG582*$AJ582,Paramètres!$F$35),0)</f>
        <v>0</v>
      </c>
      <c r="Z582" s="21" t="n">
        <f aca="false">ROUND(L582/Paramètres!$E$22+M582/Paramètres!$E$23+N582/Paramètres!$E$24+O582/Paramètres!$E$25+P582/Paramètres!$E$26+Q582/Paramètres!$E$27+R582/Paramètres!$E$28+S582/Paramètres!$E$29+T582/Paramètres!$E$30+U582/Paramètres!$E$31+V582/Paramètres!$E$32+W582/Paramètres!$E$33+X582/Paramètres!$E$34+Y582/Paramètres!$E$35,1)</f>
        <v>1.9</v>
      </c>
      <c r="AA582" s="22" t="s">
        <v>109</v>
      </c>
      <c r="AB582" s="22" t="s">
        <v>109</v>
      </c>
      <c r="AC582" s="15" t="str">
        <f aca="false">$E582</f>
        <v>cristal</v>
      </c>
      <c r="AD582" s="16" t="n">
        <f aca="false" t="array" ref="AD582:AD582">IF($I582&gt;=$AI582,"Max",ROUND(Paramètres!$B$40*($I582+1)^Paramètres!$B$41*INDEX(Paramètres!$H$6:$H$12,$AF582),0))</f>
        <v>3</v>
      </c>
      <c r="AE582" s="23" t="n">
        <f aca="false">MATCH($B582&amp;"|"&amp;$C582,Profils!$A$5:$A$34,0)</f>
        <v>19</v>
      </c>
      <c r="AF582" s="23" t="n">
        <v>1</v>
      </c>
      <c r="AG582" s="24" t="n">
        <f aca="false" t="array" ref="AG582:AG582">INDEX(Paramètres!$C$6:$C$12,$AF582)</f>
        <v>1</v>
      </c>
      <c r="AH582" s="23" t="n">
        <f aca="false" t="array" ref="AH582:AH582">INDEX(Paramètres!$D$6:$D$12,$AF582)</f>
        <v>2</v>
      </c>
      <c r="AI582" s="23" t="n">
        <f aca="false" t="array" ref="AI582:AI582">INDEX(Matériaux!$C$16:$C$20,$D582)</f>
        <v>25</v>
      </c>
      <c r="AJ582" s="25" t="n">
        <f aca="false">Paramètres!$B$16+(1-Paramètres!$B$16)*(($J582-Paramètres!$B$14)/(Paramètres!$B$15-Paramètres!$B$14))^Paramètres!$B$17</f>
        <v>0.458504333336152</v>
      </c>
    </row>
    <row r="583" customFormat="false" ht="15.75" hidden="false" customHeight="true" outlineLevel="0" collapsed="false">
      <c r="A583" s="14" t="s">
        <v>699</v>
      </c>
      <c r="B583" s="15" t="s">
        <v>29</v>
      </c>
      <c r="C583" s="15" t="s">
        <v>369</v>
      </c>
      <c r="D583" s="16" t="n">
        <v>4</v>
      </c>
      <c r="E583" s="15" t="str">
        <f aca="false" t="array" ref="E583:E583">INDEX(Matériaux!$B$5:$F$12,MATCH(INDEX(Profils!$E$5:$E$34,$AE583),Matériaux!$A$5:$A$12,0),$D583)</f>
        <v>cristal</v>
      </c>
      <c r="F583" s="26" t="s">
        <v>111</v>
      </c>
      <c r="G583" s="10" t="str">
        <f aca="false" t="array" ref="G583:G583">INDEX(Profils!$D$5:$D$34,$AE583)&amp;" en "&amp;$E583</f>
        <v>Bâton en cristal</v>
      </c>
      <c r="H583" s="16" t="n">
        <f aca="false" t="array" ref="H583:H583">INDEX(Matériaux!$B$16:$B$20,$D583)</f>
        <v>50</v>
      </c>
      <c r="I583" s="16" t="n">
        <f aca="false">IF(ISNUMBER($C$3),MIN(MAX(0,ROUND($C$3,0)),$AI583),$AI583)</f>
        <v>0</v>
      </c>
      <c r="J583" s="18" t="n">
        <f aca="false">$H583+$I583</f>
        <v>50</v>
      </c>
      <c r="K583" s="15" t="s">
        <v>109</v>
      </c>
      <c r="L583" s="19" t="n">
        <f aca="false" t="array" ref="L583:L583">IF(AND(INDEX(Profils!$F$5:$F$34,$AE583)&gt;0,INDEX(Profils!$U$5:$U$34,$AE583)&lt;=$AH583),ROUND(INDEX(Profils!$F$5:$F$34,$AE583)*Paramètres!$E$22*$AG583*$AJ583,Paramètres!$F$22),0)</f>
        <v>0</v>
      </c>
      <c r="M583" s="19" t="n">
        <f aca="false" t="array" ref="M583:M583">IF(AND(INDEX(Profils!$G$5:$G$34,$AE583)&gt;0,INDEX(Profils!$V$5:$V$34,$AE583)&lt;=$AH583),ROUND(INDEX(Profils!$G$5:$G$34,$AE583)*Paramètres!$E$23*$AG583*$AJ583,Paramètres!$F$23),0)</f>
        <v>0</v>
      </c>
      <c r="N583" s="19" t="n">
        <f aca="false" t="array" ref="N583:N583">IF(AND(INDEX(Profils!$H$5:$H$34,$AE583)&gt;0,INDEX(Profils!$W$5:$W$34,$AE583)&lt;=$AH583),ROUND(INDEX(Profils!$H$5:$H$34,$AE583)*Paramètres!$E$24*$AG583*$AJ583,Paramètres!$F$24),0)</f>
        <v>0</v>
      </c>
      <c r="O583" s="19" t="n">
        <f aca="false" t="array" ref="O583:O583">IF(AND(INDEX(Profils!$I$5:$I$34,$AE583)&gt;0,INDEX(Profils!$X$5:$X$34,$AE583)&lt;=$AH583),ROUND(INDEX(Profils!$I$5:$I$34,$AE583)*Paramètres!$E$25*$AG583*$AJ583,Paramètres!$F$25),0)</f>
        <v>20</v>
      </c>
      <c r="P583" s="19" t="n">
        <f aca="false" t="array" ref="P583:P583">IF(AND(INDEX(Profils!$J$5:$J$34,$AE583)&gt;0,INDEX(Profils!$Y$5:$Y$34,$AE583)&lt;=$AH583),ROUND(INDEX(Profils!$J$5:$J$34,$AE583)*Paramètres!$E$26*$AG583*$AJ583,Paramètres!$F$26),0)</f>
        <v>0</v>
      </c>
      <c r="Q583" s="19" t="n">
        <f aca="false" t="array" ref="Q583:Q583">IF(AND(INDEX(Profils!$K$5:$K$34,$AE583)&gt;0,INDEX(Profils!$Z$5:$Z$34,$AE583)&lt;=$AH583),ROUND(INDEX(Profils!$K$5:$K$34,$AE583)*Paramètres!$E$27*$AG583*$AJ583,Paramètres!$F$27),0)</f>
        <v>0</v>
      </c>
      <c r="R583" s="20" t="n">
        <f aca="false" t="array" ref="R583:R583">IF(AND(INDEX(Profils!$L$5:$L$34,$AE583)&gt;0,INDEX(Profils!$AA$5:$AA$34,$AE583)&lt;=$AH583),ROUND(INDEX(Profils!$L$5:$L$34,$AE583)*Paramètres!$E$28*$AG583*$AJ583,Paramètres!$F$28),0)</f>
        <v>0</v>
      </c>
      <c r="S583" s="20" t="n">
        <f aca="false" t="array" ref="S583:S583">IF(AND(INDEX(Profils!$M$5:$M$34,$AE583)&gt;0,INDEX(Profils!$AB$5:$AB$34,$AE583)&lt;=$AH583),ROUND(INDEX(Profils!$M$5:$M$34,$AE583)*Paramètres!$E$29*$AG583*$AJ583,Paramètres!$F$29),0)</f>
        <v>0.011</v>
      </c>
      <c r="T583" s="20" t="n">
        <f aca="false" t="array" ref="T583:T583">IF(AND(INDEX(Profils!$N$5:$N$34,$AE583)&gt;0,INDEX(Profils!$AC$5:$AC$34,$AE583)&lt;=$AH583),ROUND(INDEX(Profils!$N$5:$N$34,$AE583)*Paramètres!$E$30*$AG583*$AJ583,Paramètres!$F$30),0)</f>
        <v>0</v>
      </c>
      <c r="U583" s="19" t="n">
        <f aca="false" t="array" ref="U583:U583">IF(AND(INDEX(Profils!$O$5:$O$34,$AE583)&gt;0,INDEX(Profils!$AD$5:$AD$34,$AE583)&lt;=$AH583),ROUND(INDEX(Profils!$O$5:$O$34,$AE583)*Paramètres!$E$31*$AG583*$AJ583,Paramètres!$F$31),0)</f>
        <v>0</v>
      </c>
      <c r="V583" s="20" t="n">
        <f aca="false" t="array" ref="V583:V583">IF(AND(INDEX(Profils!$P$5:$P$34,$AE583)&gt;0,INDEX(Profils!$AE$5:$AE$34,$AE583)&lt;=$AH583),ROUND(INDEX(Profils!$P$5:$P$34,$AE583)*Paramètres!$E$32*$AG583*$AJ583,Paramètres!$F$32),0)</f>
        <v>0.015</v>
      </c>
      <c r="W583" s="20" t="n">
        <f aca="false" t="array" ref="W583:W583">IF(AND(INDEX(Profils!$Q$5:$Q$34,$AE583)&gt;0,INDEX(Profils!$AF$5:$AF$34,$AE583)&lt;=$AH583),ROUND(INDEX(Profils!$Q$5:$Q$34,$AE583)*Paramètres!$E$33*$AG583*$AJ583,Paramètres!$F$33),0)</f>
        <v>0</v>
      </c>
      <c r="X583" s="20" t="n">
        <f aca="false" t="array" ref="X583:X583">IF(AND(INDEX(Profils!$R$5:$R$34,$AE583)&gt;0,INDEX(Profils!$AG$5:$AG$34,$AE583)&lt;=$AH583),ROUND(INDEX(Profils!$R$5:$R$34,$AE583)*Paramètres!$E$34*$AG583*$AJ583,Paramètres!$F$34),0)</f>
        <v>0</v>
      </c>
      <c r="Y583" s="20" t="n">
        <f aca="false" t="array" ref="Y583:Y583">IF(AND(INDEX(Profils!$S$5:$S$34,$AE583)&gt;0,INDEX(Profils!$AH$5:$AH$34,$AE583)&lt;=$AH583),ROUND(INDEX(Profils!$S$5:$S$34,$AE583)*Paramètres!$E$35*$AG583*$AJ583,Paramètres!$F$35),0)</f>
        <v>0</v>
      </c>
      <c r="Z583" s="21" t="n">
        <f aca="false">ROUND(L583/Paramètres!$E$22+M583/Paramètres!$E$23+N583/Paramètres!$E$24+O583/Paramètres!$E$25+P583/Paramètres!$E$26+Q583/Paramètres!$E$27+R583/Paramètres!$E$28+S583/Paramètres!$E$29+T583/Paramètres!$E$30+U583/Paramètres!$E$31+V583/Paramètres!$E$32+W583/Paramètres!$E$33+X583/Paramètres!$E$34+Y583/Paramètres!$E$35,1)</f>
        <v>3.3</v>
      </c>
      <c r="AA583" s="22" t="s">
        <v>109</v>
      </c>
      <c r="AB583" s="22" t="s">
        <v>109</v>
      </c>
      <c r="AC583" s="15" t="str">
        <f aca="false">$E583</f>
        <v>cristal</v>
      </c>
      <c r="AD583" s="16" t="n">
        <f aca="false" t="array" ref="AD583:AD583">IF($I583&gt;=$AI583,"Max",ROUND(Paramètres!$B$40*($I583+1)^Paramètres!$B$41*INDEX(Paramètres!$H$6:$H$12,$AF583),0))</f>
        <v>4</v>
      </c>
      <c r="AE583" s="23" t="n">
        <f aca="false">MATCH($B583&amp;"|"&amp;$C583,Profils!$A$5:$A$34,0)</f>
        <v>19</v>
      </c>
      <c r="AF583" s="23" t="n">
        <v>2</v>
      </c>
      <c r="AG583" s="24" t="n">
        <f aca="false" t="array" ref="AG583:AG583">INDEX(Paramètres!$C$6:$C$12,$AF583)</f>
        <v>1.2</v>
      </c>
      <c r="AH583" s="23" t="n">
        <f aca="false" t="array" ref="AH583:AH583">INDEX(Paramètres!$D$6:$D$12,$AF583)</f>
        <v>3</v>
      </c>
      <c r="AI583" s="23" t="n">
        <f aca="false" t="array" ref="AI583:AI583">INDEX(Matériaux!$C$16:$C$20,$D583)</f>
        <v>25</v>
      </c>
      <c r="AJ583" s="25" t="n">
        <f aca="false">Paramètres!$B$16+(1-Paramètres!$B$16)*(($J583-Paramètres!$B$14)/(Paramètres!$B$15-Paramètres!$B$14))^Paramètres!$B$17</f>
        <v>0.458504333336152</v>
      </c>
    </row>
    <row r="584" customFormat="false" ht="15.75" hidden="false" customHeight="true" outlineLevel="0" collapsed="false">
      <c r="A584" s="14" t="s">
        <v>700</v>
      </c>
      <c r="B584" s="15" t="s">
        <v>29</v>
      </c>
      <c r="C584" s="15" t="s">
        <v>369</v>
      </c>
      <c r="D584" s="16" t="n">
        <v>4</v>
      </c>
      <c r="E584" s="15" t="str">
        <f aca="false" t="array" ref="E584:E584">INDEX(Matériaux!$B$5:$F$12,MATCH(INDEX(Profils!$E$5:$E$34,$AE584),Matériaux!$A$5:$A$12,0),$D584)</f>
        <v>cristal</v>
      </c>
      <c r="F584" s="27" t="s">
        <v>113</v>
      </c>
      <c r="G584" s="10" t="str">
        <f aca="false" t="array" ref="G584:G584">INDEX(Profils!$D$5:$D$34,$AE584)&amp;" en "&amp;$E584</f>
        <v>Bâton en cristal</v>
      </c>
      <c r="H584" s="16" t="n">
        <f aca="false" t="array" ref="H584:H584">INDEX(Matériaux!$B$16:$B$20,$D584)</f>
        <v>50</v>
      </c>
      <c r="I584" s="16" t="n">
        <f aca="false">IF(ISNUMBER($C$3),MIN(MAX(0,ROUND($C$3,0)),$AI584),$AI584)</f>
        <v>0</v>
      </c>
      <c r="J584" s="18" t="n">
        <f aca="false">$H584+$I584</f>
        <v>50</v>
      </c>
      <c r="K584" s="15" t="s">
        <v>109</v>
      </c>
      <c r="L584" s="19" t="n">
        <f aca="false" t="array" ref="L584:L584">IF(AND(INDEX(Profils!$F$5:$F$34,$AE584)&gt;0,INDEX(Profils!$U$5:$U$34,$AE584)&lt;=$AH584),ROUND(INDEX(Profils!$F$5:$F$34,$AE584)*Paramètres!$E$22*$AG584*$AJ584,Paramètres!$F$22),0)</f>
        <v>0</v>
      </c>
      <c r="M584" s="19" t="n">
        <f aca="false" t="array" ref="M584:M584">IF(AND(INDEX(Profils!$G$5:$G$34,$AE584)&gt;0,INDEX(Profils!$V$5:$V$34,$AE584)&lt;=$AH584),ROUND(INDEX(Profils!$G$5:$G$34,$AE584)*Paramètres!$E$23*$AG584*$AJ584,Paramètres!$F$23),0)</f>
        <v>0</v>
      </c>
      <c r="N584" s="19" t="n">
        <f aca="false" t="array" ref="N584:N584">IF(AND(INDEX(Profils!$H$5:$H$34,$AE584)&gt;0,INDEX(Profils!$W$5:$W$34,$AE584)&lt;=$AH584),ROUND(INDEX(Profils!$H$5:$H$34,$AE584)*Paramètres!$E$24*$AG584*$AJ584,Paramètres!$F$24),0)</f>
        <v>0</v>
      </c>
      <c r="O584" s="19" t="n">
        <f aca="false" t="array" ref="O584:O584">IF(AND(INDEX(Profils!$I$5:$I$34,$AE584)&gt;0,INDEX(Profils!$X$5:$X$34,$AE584)&lt;=$AH584),ROUND(INDEX(Profils!$I$5:$I$34,$AE584)*Paramètres!$E$25*$AG584*$AJ584,Paramètres!$F$25),0)</f>
        <v>24</v>
      </c>
      <c r="P584" s="19" t="n">
        <f aca="false" t="array" ref="P584:P584">IF(AND(INDEX(Profils!$J$5:$J$34,$AE584)&gt;0,INDEX(Profils!$Y$5:$Y$34,$AE584)&lt;=$AH584),ROUND(INDEX(Profils!$J$5:$J$34,$AE584)*Paramètres!$E$26*$AG584*$AJ584,Paramètres!$F$26),0)</f>
        <v>0</v>
      </c>
      <c r="Q584" s="19" t="n">
        <f aca="false" t="array" ref="Q584:Q584">IF(AND(INDEX(Profils!$K$5:$K$34,$AE584)&gt;0,INDEX(Profils!$Z$5:$Z$34,$AE584)&lt;=$AH584),ROUND(INDEX(Profils!$K$5:$K$34,$AE584)*Paramètres!$E$27*$AG584*$AJ584,Paramètres!$F$27),0)</f>
        <v>0</v>
      </c>
      <c r="R584" s="20" t="n">
        <f aca="false" t="array" ref="R584:R584">IF(AND(INDEX(Profils!$L$5:$L$34,$AE584)&gt;0,INDEX(Profils!$AA$5:$AA$34,$AE584)&lt;=$AH584),ROUND(INDEX(Profils!$L$5:$L$34,$AE584)*Paramètres!$E$28*$AG584*$AJ584,Paramètres!$F$28),0)</f>
        <v>0</v>
      </c>
      <c r="S584" s="20" t="n">
        <f aca="false" t="array" ref="S584:S584">IF(AND(INDEX(Profils!$M$5:$M$34,$AE584)&gt;0,INDEX(Profils!$AB$5:$AB$34,$AE584)&lt;=$AH584),ROUND(INDEX(Profils!$M$5:$M$34,$AE584)*Paramètres!$E$29*$AG584*$AJ584,Paramètres!$F$29),0)</f>
        <v>0.013</v>
      </c>
      <c r="T584" s="20" t="n">
        <f aca="false" t="array" ref="T584:T584">IF(AND(INDEX(Profils!$N$5:$N$34,$AE584)&gt;0,INDEX(Profils!$AC$5:$AC$34,$AE584)&lt;=$AH584),ROUND(INDEX(Profils!$N$5:$N$34,$AE584)*Paramètres!$E$30*$AG584*$AJ584,Paramètres!$F$30),0)</f>
        <v>0.032</v>
      </c>
      <c r="U584" s="19" t="n">
        <f aca="false" t="array" ref="U584:U584">IF(AND(INDEX(Profils!$O$5:$O$34,$AE584)&gt;0,INDEX(Profils!$AD$5:$AD$34,$AE584)&lt;=$AH584),ROUND(INDEX(Profils!$O$5:$O$34,$AE584)*Paramètres!$E$31*$AG584*$AJ584,Paramètres!$F$31),0)</f>
        <v>0</v>
      </c>
      <c r="V584" s="20" t="n">
        <f aca="false" t="array" ref="V584:V584">IF(AND(INDEX(Profils!$P$5:$P$34,$AE584)&gt;0,INDEX(Profils!$AE$5:$AE$34,$AE584)&lt;=$AH584),ROUND(INDEX(Profils!$P$5:$P$34,$AE584)*Paramètres!$E$32*$AG584*$AJ584,Paramètres!$F$32),0)</f>
        <v>0.018</v>
      </c>
      <c r="W584" s="20" t="n">
        <f aca="false" t="array" ref="W584:W584">IF(AND(INDEX(Profils!$Q$5:$Q$34,$AE584)&gt;0,INDEX(Profils!$AF$5:$AF$34,$AE584)&lt;=$AH584),ROUND(INDEX(Profils!$Q$5:$Q$34,$AE584)*Paramètres!$E$33*$AG584*$AJ584,Paramètres!$F$33),0)</f>
        <v>0</v>
      </c>
      <c r="X584" s="20" t="n">
        <f aca="false" t="array" ref="X584:X584">IF(AND(INDEX(Profils!$R$5:$R$34,$AE584)&gt;0,INDEX(Profils!$AG$5:$AG$34,$AE584)&lt;=$AH584),ROUND(INDEX(Profils!$R$5:$R$34,$AE584)*Paramètres!$E$34*$AG584*$AJ584,Paramètres!$F$34),0)</f>
        <v>0</v>
      </c>
      <c r="Y584" s="20" t="n">
        <f aca="false" t="array" ref="Y584:Y584">IF(AND(INDEX(Profils!$S$5:$S$34,$AE584)&gt;0,INDEX(Profils!$AH$5:$AH$34,$AE584)&lt;=$AH584),ROUND(INDEX(Profils!$S$5:$S$34,$AE584)*Paramètres!$E$35*$AG584*$AJ584,Paramètres!$F$35),0)</f>
        <v>0</v>
      </c>
      <c r="Z584" s="21" t="n">
        <f aca="false">ROUND(L584/Paramètres!$E$22+M584/Paramètres!$E$23+N584/Paramètres!$E$24+O584/Paramètres!$E$25+P584/Paramètres!$E$26+Q584/Paramètres!$E$27+R584/Paramètres!$E$28+S584/Paramètres!$E$29+T584/Paramètres!$E$30+U584/Paramètres!$E$31+V584/Paramètres!$E$32+W584/Paramètres!$E$33+X584/Paramètres!$E$34+Y584/Paramètres!$E$35,1)</f>
        <v>5</v>
      </c>
      <c r="AA584" s="22" t="s">
        <v>109</v>
      </c>
      <c r="AB584" s="22" t="s">
        <v>109</v>
      </c>
      <c r="AC584" s="15" t="str">
        <f aca="false">$E584</f>
        <v>cristal</v>
      </c>
      <c r="AD584" s="16" t="n">
        <f aca="false" t="array" ref="AD584:AD584">IF($I584&gt;=$AI584,"Max",ROUND(Paramètres!$B$40*($I584+1)^Paramètres!$B$41*INDEX(Paramètres!$H$6:$H$12,$AF584),0))</f>
        <v>4</v>
      </c>
      <c r="AE584" s="23" t="n">
        <f aca="false">MATCH($B584&amp;"|"&amp;$C584,Profils!$A$5:$A$34,0)</f>
        <v>19</v>
      </c>
      <c r="AF584" s="23" t="n">
        <v>3</v>
      </c>
      <c r="AG584" s="24" t="n">
        <f aca="false" t="array" ref="AG584:AG584">INDEX(Paramètres!$C$6:$C$12,$AF584)</f>
        <v>1.45</v>
      </c>
      <c r="AH584" s="23" t="n">
        <f aca="false" t="array" ref="AH584:AH584">INDEX(Paramètres!$D$6:$D$12,$AF584)</f>
        <v>4</v>
      </c>
      <c r="AI584" s="23" t="n">
        <f aca="false" t="array" ref="AI584:AI584">INDEX(Matériaux!$C$16:$C$20,$D584)</f>
        <v>25</v>
      </c>
      <c r="AJ584" s="25" t="n">
        <f aca="false">Paramètres!$B$16+(1-Paramètres!$B$16)*(($J584-Paramètres!$B$14)/(Paramètres!$B$15-Paramètres!$B$14))^Paramètres!$B$17</f>
        <v>0.458504333336152</v>
      </c>
    </row>
    <row r="585" customFormat="false" ht="15.75" hidden="false" customHeight="true" outlineLevel="0" collapsed="false">
      <c r="A585" s="14" t="s">
        <v>701</v>
      </c>
      <c r="B585" s="15" t="s">
        <v>29</v>
      </c>
      <c r="C585" s="15" t="s">
        <v>369</v>
      </c>
      <c r="D585" s="16" t="n">
        <v>4</v>
      </c>
      <c r="E585" s="15" t="str">
        <f aca="false" t="array" ref="E585:E585">INDEX(Matériaux!$B$5:$F$12,MATCH(INDEX(Profils!$E$5:$E$34,$AE585),Matériaux!$A$5:$A$12,0),$D585)</f>
        <v>cristal</v>
      </c>
      <c r="F585" s="28" t="s">
        <v>115</v>
      </c>
      <c r="G585" s="10" t="str">
        <f aca="false" t="array" ref="G585:G585">INDEX(Profils!$D$5:$D$34,$AE585)&amp;" en "&amp;$E585</f>
        <v>Bâton en cristal</v>
      </c>
      <c r="H585" s="16" t="n">
        <f aca="false" t="array" ref="H585:H585">INDEX(Matériaux!$B$16:$B$20,$D585)</f>
        <v>50</v>
      </c>
      <c r="I585" s="16" t="n">
        <f aca="false">IF(ISNUMBER($C$3),MIN(MAX(0,ROUND($C$3,0)),$AI585),$AI585)</f>
        <v>0</v>
      </c>
      <c r="J585" s="18" t="n">
        <f aca="false">$H585+$I585</f>
        <v>50</v>
      </c>
      <c r="K585" s="15" t="s">
        <v>109</v>
      </c>
      <c r="L585" s="19" t="n">
        <f aca="false" t="array" ref="L585:L585">IF(AND(INDEX(Profils!$F$5:$F$34,$AE585)&gt;0,INDEX(Profils!$U$5:$U$34,$AE585)&lt;=$AH585),ROUND(INDEX(Profils!$F$5:$F$34,$AE585)*Paramètres!$E$22*$AG585*$AJ585,Paramètres!$F$22),0)</f>
        <v>0</v>
      </c>
      <c r="M585" s="19" t="n">
        <f aca="false" t="array" ref="M585:M585">IF(AND(INDEX(Profils!$G$5:$G$34,$AE585)&gt;0,INDEX(Profils!$V$5:$V$34,$AE585)&lt;=$AH585),ROUND(INDEX(Profils!$G$5:$G$34,$AE585)*Paramètres!$E$23*$AG585*$AJ585,Paramètres!$F$23),0)</f>
        <v>0</v>
      </c>
      <c r="N585" s="19" t="n">
        <f aca="false" t="array" ref="N585:N585">IF(AND(INDEX(Profils!$H$5:$H$34,$AE585)&gt;0,INDEX(Profils!$W$5:$W$34,$AE585)&lt;=$AH585),ROUND(INDEX(Profils!$H$5:$H$34,$AE585)*Paramètres!$E$24*$AG585*$AJ585,Paramètres!$F$24),0)</f>
        <v>0</v>
      </c>
      <c r="O585" s="19" t="n">
        <f aca="false" t="array" ref="O585:O585">IF(AND(INDEX(Profils!$I$5:$I$34,$AE585)&gt;0,INDEX(Profils!$X$5:$X$34,$AE585)&lt;=$AH585),ROUND(INDEX(Profils!$I$5:$I$34,$AE585)*Paramètres!$E$25*$AG585*$AJ585,Paramètres!$F$25),0)</f>
        <v>29</v>
      </c>
      <c r="P585" s="19" t="n">
        <f aca="false" t="array" ref="P585:P585">IF(AND(INDEX(Profils!$J$5:$J$34,$AE585)&gt;0,INDEX(Profils!$Y$5:$Y$34,$AE585)&lt;=$AH585),ROUND(INDEX(Profils!$J$5:$J$34,$AE585)*Paramètres!$E$26*$AG585*$AJ585,Paramètres!$F$26),0)</f>
        <v>0</v>
      </c>
      <c r="Q585" s="19" t="n">
        <f aca="false" t="array" ref="Q585:Q585">IF(AND(INDEX(Profils!$K$5:$K$34,$AE585)&gt;0,INDEX(Profils!$Z$5:$Z$34,$AE585)&lt;=$AH585),ROUND(INDEX(Profils!$K$5:$K$34,$AE585)*Paramètres!$E$27*$AG585*$AJ585,Paramètres!$F$27),0)</f>
        <v>0</v>
      </c>
      <c r="R585" s="20" t="n">
        <f aca="false" t="array" ref="R585:R585">IF(AND(INDEX(Profils!$L$5:$L$34,$AE585)&gt;0,INDEX(Profils!$AA$5:$AA$34,$AE585)&lt;=$AH585),ROUND(INDEX(Profils!$L$5:$L$34,$AE585)*Paramètres!$E$28*$AG585*$AJ585,Paramètres!$F$28),0)</f>
        <v>0.014</v>
      </c>
      <c r="S585" s="20" t="n">
        <f aca="false" t="array" ref="S585:S585">IF(AND(INDEX(Profils!$M$5:$M$34,$AE585)&gt;0,INDEX(Profils!$AB$5:$AB$34,$AE585)&lt;=$AH585),ROUND(INDEX(Profils!$M$5:$M$34,$AE585)*Paramètres!$E$29*$AG585*$AJ585,Paramètres!$F$29),0)</f>
        <v>0.015</v>
      </c>
      <c r="T585" s="20" t="n">
        <f aca="false" t="array" ref="T585:T585">IF(AND(INDEX(Profils!$N$5:$N$34,$AE585)&gt;0,INDEX(Profils!$AC$5:$AC$34,$AE585)&lt;=$AH585),ROUND(INDEX(Profils!$N$5:$N$34,$AE585)*Paramètres!$E$30*$AG585*$AJ585,Paramètres!$F$30),0)</f>
        <v>0.039</v>
      </c>
      <c r="U585" s="19" t="n">
        <f aca="false" t="array" ref="U585:U585">IF(AND(INDEX(Profils!$O$5:$O$34,$AE585)&gt;0,INDEX(Profils!$AD$5:$AD$34,$AE585)&lt;=$AH585),ROUND(INDEX(Profils!$O$5:$O$34,$AE585)*Paramètres!$E$31*$AG585*$AJ585,Paramètres!$F$31),0)</f>
        <v>0</v>
      </c>
      <c r="V585" s="20" t="n">
        <f aca="false" t="array" ref="V585:V585">IF(AND(INDEX(Profils!$P$5:$P$34,$AE585)&gt;0,INDEX(Profils!$AE$5:$AE$34,$AE585)&lt;=$AH585),ROUND(INDEX(Profils!$P$5:$P$34,$AE585)*Paramètres!$E$32*$AG585*$AJ585,Paramètres!$F$32),0)</f>
        <v>0.022</v>
      </c>
      <c r="W585" s="20" t="n">
        <f aca="false" t="array" ref="W585:W585">IF(AND(INDEX(Profils!$Q$5:$Q$34,$AE585)&gt;0,INDEX(Profils!$AF$5:$AF$34,$AE585)&lt;=$AH585),ROUND(INDEX(Profils!$Q$5:$Q$34,$AE585)*Paramètres!$E$33*$AG585*$AJ585,Paramètres!$F$33),0)</f>
        <v>0</v>
      </c>
      <c r="X585" s="20" t="n">
        <f aca="false" t="array" ref="X585:X585">IF(AND(INDEX(Profils!$R$5:$R$34,$AE585)&gt;0,INDEX(Profils!$AG$5:$AG$34,$AE585)&lt;=$AH585),ROUND(INDEX(Profils!$R$5:$R$34,$AE585)*Paramètres!$E$34*$AG585*$AJ585,Paramètres!$F$34),0)</f>
        <v>0</v>
      </c>
      <c r="Y585" s="20" t="n">
        <f aca="false" t="array" ref="Y585:Y585">IF(AND(INDEX(Profils!$S$5:$S$34,$AE585)&gt;0,INDEX(Profils!$AH$5:$AH$34,$AE585)&lt;=$AH585),ROUND(INDEX(Profils!$S$5:$S$34,$AE585)*Paramètres!$E$35*$AG585*$AJ585,Paramètres!$F$35),0)</f>
        <v>0</v>
      </c>
      <c r="Z585" s="21" t="n">
        <f aca="false">ROUND(L585/Paramètres!$E$22+M585/Paramètres!$E$23+N585/Paramètres!$E$24+O585/Paramètres!$E$25+P585/Paramètres!$E$26+Q585/Paramètres!$E$27+R585/Paramètres!$E$28+S585/Paramètres!$E$29+T585/Paramètres!$E$30+U585/Paramètres!$E$31+V585/Paramètres!$E$32+W585/Paramètres!$E$33+X585/Paramètres!$E$34+Y585/Paramètres!$E$35,1)</f>
        <v>6.9</v>
      </c>
      <c r="AA585" s="22" t="s">
        <v>109</v>
      </c>
      <c r="AB585" s="22" t="s">
        <v>109</v>
      </c>
      <c r="AC585" s="15" t="str">
        <f aca="false">$E585</f>
        <v>cristal</v>
      </c>
      <c r="AD585" s="16" t="n">
        <f aca="false" t="array" ref="AD585:AD585">IF($I585&gt;=$AI585,"Max",ROUND(Paramètres!$B$40*($I585+1)^Paramètres!$B$41*INDEX(Paramètres!$H$6:$H$12,$AF585),0))</f>
        <v>5</v>
      </c>
      <c r="AE585" s="23" t="n">
        <f aca="false">MATCH($B585&amp;"|"&amp;$C585,Profils!$A$5:$A$34,0)</f>
        <v>19</v>
      </c>
      <c r="AF585" s="23" t="n">
        <v>4</v>
      </c>
      <c r="AG585" s="24" t="n">
        <f aca="false" t="array" ref="AG585:AG585">INDEX(Paramètres!$C$6:$C$12,$AF585)</f>
        <v>1.75</v>
      </c>
      <c r="AH585" s="23" t="n">
        <f aca="false" t="array" ref="AH585:AH585">INDEX(Paramètres!$D$6:$D$12,$AF585)</f>
        <v>5</v>
      </c>
      <c r="AI585" s="23" t="n">
        <f aca="false" t="array" ref="AI585:AI585">INDEX(Matériaux!$C$16:$C$20,$D585)</f>
        <v>25</v>
      </c>
      <c r="AJ585" s="25" t="n">
        <f aca="false">Paramètres!$B$16+(1-Paramètres!$B$16)*(($J585-Paramètres!$B$14)/(Paramètres!$B$15-Paramètres!$B$14))^Paramètres!$B$17</f>
        <v>0.458504333336152</v>
      </c>
    </row>
    <row r="586" customFormat="false" ht="15.75" hidden="false" customHeight="true" outlineLevel="0" collapsed="false">
      <c r="A586" s="14" t="s">
        <v>702</v>
      </c>
      <c r="B586" s="15" t="s">
        <v>29</v>
      </c>
      <c r="C586" s="15" t="s">
        <v>369</v>
      </c>
      <c r="D586" s="16" t="n">
        <v>4</v>
      </c>
      <c r="E586" s="15" t="str">
        <f aca="false" t="array" ref="E586:E586">INDEX(Matériaux!$B$5:$F$12,MATCH(INDEX(Profils!$E$5:$E$34,$AE586),Matériaux!$A$5:$A$12,0),$D586)</f>
        <v>cristal</v>
      </c>
      <c r="F586" s="29" t="s">
        <v>117</v>
      </c>
      <c r="G586" s="10" t="str">
        <f aca="false" t="array" ref="G586:G586">INDEX(Profils!$D$5:$D$34,$AE586)&amp;" en "&amp;$E586</f>
        <v>Bâton en cristal</v>
      </c>
      <c r="H586" s="16" t="n">
        <f aca="false" t="array" ref="H586:H586">INDEX(Matériaux!$B$16:$B$20,$D586)</f>
        <v>50</v>
      </c>
      <c r="I586" s="16" t="n">
        <f aca="false">IF(ISNUMBER($C$3),MIN(MAX(0,ROUND($C$3,0)),$AI586),$AI586)</f>
        <v>0</v>
      </c>
      <c r="J586" s="18" t="n">
        <f aca="false">$H586+$I586</f>
        <v>50</v>
      </c>
      <c r="K586" s="15" t="s">
        <v>109</v>
      </c>
      <c r="L586" s="19" t="n">
        <f aca="false" t="array" ref="L586:L586">IF(AND(INDEX(Profils!$F$5:$F$34,$AE586)&gt;0,INDEX(Profils!$U$5:$U$34,$AE586)&lt;=$AH586),ROUND(INDEX(Profils!$F$5:$F$34,$AE586)*Paramètres!$E$22*$AG586*$AJ586,Paramètres!$F$22),0)</f>
        <v>0</v>
      </c>
      <c r="M586" s="19" t="n">
        <f aca="false" t="array" ref="M586:M586">IF(AND(INDEX(Profils!$G$5:$G$34,$AE586)&gt;0,INDEX(Profils!$V$5:$V$34,$AE586)&lt;=$AH586),ROUND(INDEX(Profils!$G$5:$G$34,$AE586)*Paramètres!$E$23*$AG586*$AJ586,Paramètres!$F$23),0)</f>
        <v>0</v>
      </c>
      <c r="N586" s="19" t="n">
        <f aca="false" t="array" ref="N586:N586">IF(AND(INDEX(Profils!$H$5:$H$34,$AE586)&gt;0,INDEX(Profils!$W$5:$W$34,$AE586)&lt;=$AH586),ROUND(INDEX(Profils!$H$5:$H$34,$AE586)*Paramètres!$E$24*$AG586*$AJ586,Paramètres!$F$24),0)</f>
        <v>0</v>
      </c>
      <c r="O586" s="19" t="n">
        <f aca="false" t="array" ref="O586:O586">IF(AND(INDEX(Profils!$I$5:$I$34,$AE586)&gt;0,INDEX(Profils!$X$5:$X$34,$AE586)&lt;=$AH586),ROUND(INDEX(Profils!$I$5:$I$34,$AE586)*Paramètres!$E$25*$AG586*$AJ586,Paramètres!$F$25),0)</f>
        <v>35</v>
      </c>
      <c r="P586" s="19" t="n">
        <f aca="false" t="array" ref="P586:P586">IF(AND(INDEX(Profils!$J$5:$J$34,$AE586)&gt;0,INDEX(Profils!$Y$5:$Y$34,$AE586)&lt;=$AH586),ROUND(INDEX(Profils!$J$5:$J$34,$AE586)*Paramètres!$E$26*$AG586*$AJ586,Paramètres!$F$26),0)</f>
        <v>0</v>
      </c>
      <c r="Q586" s="19" t="n">
        <f aca="false" t="array" ref="Q586:Q586">IF(AND(INDEX(Profils!$K$5:$K$34,$AE586)&gt;0,INDEX(Profils!$Z$5:$Z$34,$AE586)&lt;=$AH586),ROUND(INDEX(Profils!$K$5:$K$34,$AE586)*Paramètres!$E$27*$AG586*$AJ586,Paramètres!$F$27),0)</f>
        <v>0</v>
      </c>
      <c r="R586" s="20" t="n">
        <f aca="false" t="array" ref="R586:R586">IF(AND(INDEX(Profils!$L$5:$L$34,$AE586)&gt;0,INDEX(Profils!$AA$5:$AA$34,$AE586)&lt;=$AH586),ROUND(INDEX(Profils!$L$5:$L$34,$AE586)*Paramètres!$E$28*$AG586*$AJ586,Paramètres!$F$28),0)</f>
        <v>0.017</v>
      </c>
      <c r="S586" s="20" t="n">
        <f aca="false" t="array" ref="S586:S586">IF(AND(INDEX(Profils!$M$5:$M$34,$AE586)&gt;0,INDEX(Profils!$AB$5:$AB$34,$AE586)&lt;=$AH586),ROUND(INDEX(Profils!$M$5:$M$34,$AE586)*Paramètres!$E$29*$AG586*$AJ586,Paramètres!$F$29),0)</f>
        <v>0.018</v>
      </c>
      <c r="T586" s="20" t="n">
        <f aca="false" t="array" ref="T586:T586">IF(AND(INDEX(Profils!$N$5:$N$34,$AE586)&gt;0,INDEX(Profils!$AC$5:$AC$34,$AE586)&lt;=$AH586),ROUND(INDEX(Profils!$N$5:$N$34,$AE586)*Paramètres!$E$30*$AG586*$AJ586,Paramètres!$F$30),0)</f>
        <v>0.046</v>
      </c>
      <c r="U586" s="19" t="n">
        <f aca="false" t="array" ref="U586:U586">IF(AND(INDEX(Profils!$O$5:$O$34,$AE586)&gt;0,INDEX(Profils!$AD$5:$AD$34,$AE586)&lt;=$AH586),ROUND(INDEX(Profils!$O$5:$O$34,$AE586)*Paramètres!$E$31*$AG586*$AJ586,Paramètres!$F$31),0)</f>
        <v>0</v>
      </c>
      <c r="V586" s="20" t="n">
        <f aca="false" t="array" ref="V586:V586">IF(AND(INDEX(Profils!$P$5:$P$34,$AE586)&gt;0,INDEX(Profils!$AE$5:$AE$34,$AE586)&lt;=$AH586),ROUND(INDEX(Profils!$P$5:$P$34,$AE586)*Paramètres!$E$32*$AG586*$AJ586,Paramètres!$F$32),0)</f>
        <v>0.026</v>
      </c>
      <c r="W586" s="20" t="n">
        <f aca="false" t="array" ref="W586:W586">IF(AND(INDEX(Profils!$Q$5:$Q$34,$AE586)&gt;0,INDEX(Profils!$AF$5:$AF$34,$AE586)&lt;=$AH586),ROUND(INDEX(Profils!$Q$5:$Q$34,$AE586)*Paramètres!$E$33*$AG586*$AJ586,Paramètres!$F$33),0)</f>
        <v>0</v>
      </c>
      <c r="X586" s="20" t="n">
        <f aca="false" t="array" ref="X586:X586">IF(AND(INDEX(Profils!$R$5:$R$34,$AE586)&gt;0,INDEX(Profils!$AG$5:$AG$34,$AE586)&lt;=$AH586),ROUND(INDEX(Profils!$R$5:$R$34,$AE586)*Paramètres!$E$34*$AG586*$AJ586,Paramètres!$F$34),0)</f>
        <v>0.019</v>
      </c>
      <c r="Y586" s="20" t="n">
        <f aca="false" t="array" ref="Y586:Y586">IF(AND(INDEX(Profils!$S$5:$S$34,$AE586)&gt;0,INDEX(Profils!$AH$5:$AH$34,$AE586)&lt;=$AH586),ROUND(INDEX(Profils!$S$5:$S$34,$AE586)*Paramètres!$E$35*$AG586*$AJ586,Paramètres!$F$35),0)</f>
        <v>0</v>
      </c>
      <c r="Z586" s="21" t="n">
        <f aca="false">ROUND(L586/Paramètres!$E$22+M586/Paramètres!$E$23+N586/Paramètres!$E$24+O586/Paramètres!$E$25+P586/Paramètres!$E$26+Q586/Paramètres!$E$27+R586/Paramètres!$E$28+S586/Paramètres!$E$29+T586/Paramètres!$E$30+U586/Paramètres!$E$31+V586/Paramètres!$E$32+W586/Paramètres!$E$33+X586/Paramètres!$E$34+Y586/Paramètres!$E$35,1)</f>
        <v>9.2</v>
      </c>
      <c r="AA586" s="22" t="s">
        <v>109</v>
      </c>
      <c r="AB586" s="22" t="s">
        <v>109</v>
      </c>
      <c r="AC586" s="15" t="str">
        <f aca="false">$E586</f>
        <v>cristal</v>
      </c>
      <c r="AD586" s="16" t="n">
        <f aca="false" t="array" ref="AD586:AD586">IF($I586&gt;=$AI586,"Max",ROUND(Paramètres!$B$40*($I586+1)^Paramètres!$B$41*INDEX(Paramètres!$H$6:$H$12,$AF586),0))</f>
        <v>6</v>
      </c>
      <c r="AE586" s="23" t="n">
        <f aca="false">MATCH($B586&amp;"|"&amp;$C586,Profils!$A$5:$A$34,0)</f>
        <v>19</v>
      </c>
      <c r="AF586" s="23" t="n">
        <v>5</v>
      </c>
      <c r="AG586" s="24" t="n">
        <f aca="false" t="array" ref="AG586:AG586">INDEX(Paramètres!$C$6:$C$12,$AF586)</f>
        <v>2.1</v>
      </c>
      <c r="AH586" s="23" t="n">
        <f aca="false" t="array" ref="AH586:AH586">INDEX(Paramètres!$D$6:$D$12,$AF586)</f>
        <v>6</v>
      </c>
      <c r="AI586" s="23" t="n">
        <f aca="false" t="array" ref="AI586:AI586">INDEX(Matériaux!$C$16:$C$20,$D586)</f>
        <v>25</v>
      </c>
      <c r="AJ586" s="25" t="n">
        <f aca="false">Paramètres!$B$16+(1-Paramètres!$B$16)*(($J586-Paramètres!$B$14)/(Paramètres!$B$15-Paramètres!$B$14))^Paramètres!$B$17</f>
        <v>0.458504333336152</v>
      </c>
    </row>
    <row r="587" customFormat="false" ht="15.75" hidden="false" customHeight="true" outlineLevel="0" collapsed="false">
      <c r="A587" s="14" t="s">
        <v>703</v>
      </c>
      <c r="B587" s="15" t="s">
        <v>29</v>
      </c>
      <c r="C587" s="15" t="s">
        <v>369</v>
      </c>
      <c r="D587" s="16" t="n">
        <v>4</v>
      </c>
      <c r="E587" s="15" t="str">
        <f aca="false" t="array" ref="E587:E587">INDEX(Matériaux!$B$5:$F$12,MATCH(INDEX(Profils!$E$5:$E$34,$AE587),Matériaux!$A$5:$A$12,0),$D587)</f>
        <v>cristal</v>
      </c>
      <c r="F587" s="30" t="s">
        <v>119</v>
      </c>
      <c r="G587" s="10" t="str">
        <f aca="false" t="array" ref="G587:G587">INDEX(Profils!$D$5:$D$34,$AE587)&amp;" en "&amp;$E587</f>
        <v>Bâton en cristal</v>
      </c>
      <c r="H587" s="16" t="n">
        <f aca="false" t="array" ref="H587:H587">INDEX(Matériaux!$B$16:$B$20,$D587)</f>
        <v>50</v>
      </c>
      <c r="I587" s="16" t="n">
        <f aca="false">IF(ISNUMBER($C$3),MIN(MAX(0,ROUND($C$3,0)),$AI587),$AI587)</f>
        <v>0</v>
      </c>
      <c r="J587" s="18" t="n">
        <f aca="false">$H587+$I587</f>
        <v>50</v>
      </c>
      <c r="K587" s="15" t="s">
        <v>109</v>
      </c>
      <c r="L587" s="19" t="n">
        <f aca="false" t="array" ref="L587:L587">IF(AND(INDEX(Profils!$F$5:$F$34,$AE587)&gt;0,INDEX(Profils!$U$5:$U$34,$AE587)&lt;=$AH587),ROUND(INDEX(Profils!$F$5:$F$34,$AE587)*Paramètres!$E$22*$AG587*$AJ587,Paramètres!$F$22),0)</f>
        <v>22</v>
      </c>
      <c r="M587" s="19" t="n">
        <f aca="false" t="array" ref="M587:M587">IF(AND(INDEX(Profils!$G$5:$G$34,$AE587)&gt;0,INDEX(Profils!$V$5:$V$34,$AE587)&lt;=$AH587),ROUND(INDEX(Profils!$G$5:$G$34,$AE587)*Paramètres!$E$23*$AG587*$AJ587,Paramètres!$F$23),0)</f>
        <v>0</v>
      </c>
      <c r="N587" s="19" t="n">
        <f aca="false" t="array" ref="N587:N587">IF(AND(INDEX(Profils!$H$5:$H$34,$AE587)&gt;0,INDEX(Profils!$W$5:$W$34,$AE587)&lt;=$AH587),ROUND(INDEX(Profils!$H$5:$H$34,$AE587)*Paramètres!$E$24*$AG587*$AJ587,Paramètres!$F$24),0)</f>
        <v>0</v>
      </c>
      <c r="O587" s="19" t="n">
        <f aca="false" t="array" ref="O587:O587">IF(AND(INDEX(Profils!$I$5:$I$34,$AE587)&gt;0,INDEX(Profils!$X$5:$X$34,$AE587)&lt;=$AH587),ROUND(INDEX(Profils!$I$5:$I$34,$AE587)*Paramètres!$E$25*$AG587*$AJ587,Paramètres!$F$25),0)</f>
        <v>40</v>
      </c>
      <c r="P587" s="19" t="n">
        <f aca="false" t="array" ref="P587:P587">IF(AND(INDEX(Profils!$J$5:$J$34,$AE587)&gt;0,INDEX(Profils!$Y$5:$Y$34,$AE587)&lt;=$AH587),ROUND(INDEX(Profils!$J$5:$J$34,$AE587)*Paramètres!$E$26*$AG587*$AJ587,Paramètres!$F$26),0)</f>
        <v>0</v>
      </c>
      <c r="Q587" s="19" t="n">
        <f aca="false" t="array" ref="Q587:Q587">IF(AND(INDEX(Profils!$K$5:$K$34,$AE587)&gt;0,INDEX(Profils!$Z$5:$Z$34,$AE587)&lt;=$AH587),ROUND(INDEX(Profils!$K$5:$K$34,$AE587)*Paramètres!$E$27*$AG587*$AJ587,Paramètres!$F$27),0)</f>
        <v>0</v>
      </c>
      <c r="R587" s="20" t="n">
        <f aca="false" t="array" ref="R587:R587">IF(AND(INDEX(Profils!$L$5:$L$34,$AE587)&gt;0,INDEX(Profils!$AA$5:$AA$34,$AE587)&lt;=$AH587),ROUND(INDEX(Profils!$L$5:$L$34,$AE587)*Paramètres!$E$28*$AG587*$AJ587,Paramètres!$F$28),0)</f>
        <v>0.02</v>
      </c>
      <c r="S587" s="20" t="n">
        <f aca="false" t="array" ref="S587:S587">IF(AND(INDEX(Profils!$M$5:$M$34,$AE587)&gt;0,INDEX(Profils!$AB$5:$AB$34,$AE587)&lt;=$AH587),ROUND(INDEX(Profils!$M$5:$M$34,$AE587)*Paramètres!$E$29*$AG587*$AJ587,Paramètres!$F$29),0)</f>
        <v>0.021</v>
      </c>
      <c r="T587" s="20" t="n">
        <f aca="false" t="array" ref="T587:T587">IF(AND(INDEX(Profils!$N$5:$N$34,$AE587)&gt;0,INDEX(Profils!$AC$5:$AC$34,$AE587)&lt;=$AH587),ROUND(INDEX(Profils!$N$5:$N$34,$AE587)*Paramètres!$E$30*$AG587*$AJ587,Paramètres!$F$30),0)</f>
        <v>0.053</v>
      </c>
      <c r="U587" s="19" t="n">
        <f aca="false" t="array" ref="U587:U587">IF(AND(INDEX(Profils!$O$5:$O$34,$AE587)&gt;0,INDEX(Profils!$AD$5:$AD$34,$AE587)&lt;=$AH587),ROUND(INDEX(Profils!$O$5:$O$34,$AE587)*Paramètres!$E$31*$AG587*$AJ587,Paramètres!$F$31),0)</f>
        <v>0</v>
      </c>
      <c r="V587" s="20" t="n">
        <f aca="false" t="array" ref="V587:V587">IF(AND(INDEX(Profils!$P$5:$P$34,$AE587)&gt;0,INDEX(Profils!$AE$5:$AE$34,$AE587)&lt;=$AH587),ROUND(INDEX(Profils!$P$5:$P$34,$AE587)*Paramètres!$E$32*$AG587*$AJ587,Paramètres!$F$32),0)</f>
        <v>0.03</v>
      </c>
      <c r="W587" s="20" t="n">
        <f aca="false" t="array" ref="W587:W587">IF(AND(INDEX(Profils!$Q$5:$Q$34,$AE587)&gt;0,INDEX(Profils!$AF$5:$AF$34,$AE587)&lt;=$AH587),ROUND(INDEX(Profils!$Q$5:$Q$34,$AE587)*Paramètres!$E$33*$AG587*$AJ587,Paramètres!$F$33),0)</f>
        <v>0</v>
      </c>
      <c r="X587" s="20" t="n">
        <f aca="false" t="array" ref="X587:X587">IF(AND(INDEX(Profils!$R$5:$R$34,$AE587)&gt;0,INDEX(Profils!$AG$5:$AG$34,$AE587)&lt;=$AH587),ROUND(INDEX(Profils!$R$5:$R$34,$AE587)*Paramètres!$E$34*$AG587*$AJ587,Paramètres!$F$34),0)</f>
        <v>0.022</v>
      </c>
      <c r="Y587" s="20" t="n">
        <f aca="false" t="array" ref="Y587:Y587">IF(AND(INDEX(Profils!$S$5:$S$34,$AE587)&gt;0,INDEX(Profils!$AH$5:$AH$34,$AE587)&lt;=$AH587),ROUND(INDEX(Profils!$S$5:$S$34,$AE587)*Paramètres!$E$35*$AG587*$AJ587,Paramètres!$F$35),0)</f>
        <v>0</v>
      </c>
      <c r="Z587" s="21" t="n">
        <f aca="false">ROUND(L587/Paramètres!$E$22+M587/Paramètres!$E$23+N587/Paramètres!$E$24+O587/Paramètres!$E$25+P587/Paramètres!$E$26+Q587/Paramètres!$E$27+R587/Paramètres!$E$28+S587/Paramètres!$E$29+T587/Paramètres!$E$30+U587/Paramètres!$E$31+V587/Paramètres!$E$32+W587/Paramètres!$E$33+X587/Paramètres!$E$34+Y587/Paramètres!$E$35,1)</f>
        <v>11.5</v>
      </c>
      <c r="AA587" s="22" t="s">
        <v>109</v>
      </c>
      <c r="AB587" s="22" t="s">
        <v>109</v>
      </c>
      <c r="AC587" s="15" t="str">
        <f aca="false">$E587</f>
        <v>cristal</v>
      </c>
      <c r="AD587" s="16" t="n">
        <f aca="false" t="array" ref="AD587:AD587">IF($I587&gt;=$AI587,"Max",ROUND(Paramètres!$B$40*($I587+1)^Paramètres!$B$41*INDEX(Paramètres!$H$6:$H$12,$AF587),0))</f>
        <v>8</v>
      </c>
      <c r="AE587" s="23" t="n">
        <f aca="false">MATCH($B587&amp;"|"&amp;$C587,Profils!$A$5:$A$34,0)</f>
        <v>19</v>
      </c>
      <c r="AF587" s="23" t="n">
        <v>6</v>
      </c>
      <c r="AG587" s="24" t="n">
        <f aca="false" t="array" ref="AG587:AG587">INDEX(Paramètres!$C$6:$C$12,$AF587)</f>
        <v>2.4</v>
      </c>
      <c r="AH587" s="23" t="n">
        <f aca="false" t="array" ref="AH587:AH587">INDEX(Paramètres!$D$6:$D$12,$AF587)</f>
        <v>7</v>
      </c>
      <c r="AI587" s="23" t="n">
        <f aca="false" t="array" ref="AI587:AI587">INDEX(Matériaux!$C$16:$C$20,$D587)</f>
        <v>25</v>
      </c>
      <c r="AJ587" s="25" t="n">
        <f aca="false">Paramètres!$B$16+(1-Paramètres!$B$16)*(($J587-Paramètres!$B$14)/(Paramètres!$B$15-Paramètres!$B$14))^Paramètres!$B$17</f>
        <v>0.458504333336152</v>
      </c>
    </row>
    <row r="588" customFormat="false" ht="15.75" hidden="false" customHeight="true" outlineLevel="0" collapsed="false">
      <c r="A588" s="14" t="s">
        <v>704</v>
      </c>
      <c r="B588" s="15" t="s">
        <v>29</v>
      </c>
      <c r="C588" s="15" t="s">
        <v>369</v>
      </c>
      <c r="D588" s="16" t="n">
        <v>5</v>
      </c>
      <c r="E588" s="15" t="str">
        <f aca="false" t="array" ref="E588:E588">INDEX(Matériaux!$B$5:$F$12,MATCH(INDEX(Profils!$E$5:$E$34,$AE588),Matériaux!$A$5:$A$12,0),$D588)</f>
        <v>éther</v>
      </c>
      <c r="F588" s="17" t="s">
        <v>108</v>
      </c>
      <c r="G588" s="10" t="str">
        <f aca="false" t="array" ref="G588:G588">INDEX(Profils!$D$5:$D$34,$AE588)&amp;" en "&amp;$E588</f>
        <v>Bâton en éther</v>
      </c>
      <c r="H588" s="16" t="n">
        <f aca="false" t="array" ref="H588:H588">INDEX(Matériaux!$B$16:$B$20,$D588)</f>
        <v>70</v>
      </c>
      <c r="I588" s="16" t="n">
        <f aca="false">IF(ISNUMBER($C$3),MIN(MAX(0,ROUND($C$3,0)),$AI588),$AI588)</f>
        <v>0</v>
      </c>
      <c r="J588" s="18" t="n">
        <f aca="false">$H588+$I588</f>
        <v>70</v>
      </c>
      <c r="K588" s="15" t="s">
        <v>109</v>
      </c>
      <c r="L588" s="19" t="n">
        <f aca="false" t="array" ref="L588:L588">IF(AND(INDEX(Profils!$F$5:$F$34,$AE588)&gt;0,INDEX(Profils!$U$5:$U$34,$AE588)&lt;=$AH588),ROUND(INDEX(Profils!$F$5:$F$34,$AE588)*Paramètres!$E$22*$AG588*$AJ588,Paramètres!$F$22),0)</f>
        <v>0</v>
      </c>
      <c r="M588" s="19" t="n">
        <f aca="false" t="array" ref="M588:M588">IF(AND(INDEX(Profils!$G$5:$G$34,$AE588)&gt;0,INDEX(Profils!$V$5:$V$34,$AE588)&lt;=$AH588),ROUND(INDEX(Profils!$G$5:$G$34,$AE588)*Paramètres!$E$23*$AG588*$AJ588,Paramètres!$F$23),0)</f>
        <v>0</v>
      </c>
      <c r="N588" s="19" t="n">
        <f aca="false" t="array" ref="N588:N588">IF(AND(INDEX(Profils!$H$5:$H$34,$AE588)&gt;0,INDEX(Profils!$W$5:$W$34,$AE588)&lt;=$AH588),ROUND(INDEX(Profils!$H$5:$H$34,$AE588)*Paramètres!$E$24*$AG588*$AJ588,Paramètres!$F$24),0)</f>
        <v>0</v>
      </c>
      <c r="O588" s="19" t="n">
        <f aca="false" t="array" ref="O588:O588">IF(AND(INDEX(Profils!$I$5:$I$34,$AE588)&gt;0,INDEX(Profils!$X$5:$X$34,$AE588)&lt;=$AH588),ROUND(INDEX(Profils!$I$5:$I$34,$AE588)*Paramètres!$E$25*$AG588*$AJ588,Paramètres!$F$25),0)</f>
        <v>24</v>
      </c>
      <c r="P588" s="19" t="n">
        <f aca="false" t="array" ref="P588:P588">IF(AND(INDEX(Profils!$J$5:$J$34,$AE588)&gt;0,INDEX(Profils!$Y$5:$Y$34,$AE588)&lt;=$AH588),ROUND(INDEX(Profils!$J$5:$J$34,$AE588)*Paramètres!$E$26*$AG588*$AJ588,Paramètres!$F$26),0)</f>
        <v>0</v>
      </c>
      <c r="Q588" s="19" t="n">
        <f aca="false" t="array" ref="Q588:Q588">IF(AND(INDEX(Profils!$K$5:$K$34,$AE588)&gt;0,INDEX(Profils!$Z$5:$Z$34,$AE588)&lt;=$AH588),ROUND(INDEX(Profils!$K$5:$K$34,$AE588)*Paramètres!$E$27*$AG588*$AJ588,Paramètres!$F$27),0)</f>
        <v>0</v>
      </c>
      <c r="R588" s="20" t="n">
        <f aca="false" t="array" ref="R588:R588">IF(AND(INDEX(Profils!$L$5:$L$34,$AE588)&gt;0,INDEX(Profils!$AA$5:$AA$34,$AE588)&lt;=$AH588),ROUND(INDEX(Profils!$L$5:$L$34,$AE588)*Paramètres!$E$28*$AG588*$AJ588,Paramètres!$F$28),0)</f>
        <v>0</v>
      </c>
      <c r="S588" s="20" t="n">
        <f aca="false" t="array" ref="S588:S588">IF(AND(INDEX(Profils!$M$5:$M$34,$AE588)&gt;0,INDEX(Profils!$AB$5:$AB$34,$AE588)&lt;=$AH588),ROUND(INDEX(Profils!$M$5:$M$34,$AE588)*Paramètres!$E$29*$AG588*$AJ588,Paramètres!$F$29),0)</f>
        <v>0</v>
      </c>
      <c r="T588" s="20" t="n">
        <f aca="false" t="array" ref="T588:T588">IF(AND(INDEX(Profils!$N$5:$N$34,$AE588)&gt;0,INDEX(Profils!$AC$5:$AC$34,$AE588)&lt;=$AH588),ROUND(INDEX(Profils!$N$5:$N$34,$AE588)*Paramètres!$E$30*$AG588*$AJ588,Paramètres!$F$30),0)</f>
        <v>0</v>
      </c>
      <c r="U588" s="19" t="n">
        <f aca="false" t="array" ref="U588:U588">IF(AND(INDEX(Profils!$O$5:$O$34,$AE588)&gt;0,INDEX(Profils!$AD$5:$AD$34,$AE588)&lt;=$AH588),ROUND(INDEX(Profils!$O$5:$O$34,$AE588)*Paramètres!$E$31*$AG588*$AJ588,Paramètres!$F$31),0)</f>
        <v>0</v>
      </c>
      <c r="V588" s="20" t="n">
        <f aca="false" t="array" ref="V588:V588">IF(AND(INDEX(Profils!$P$5:$P$34,$AE588)&gt;0,INDEX(Profils!$AE$5:$AE$34,$AE588)&lt;=$AH588),ROUND(INDEX(Profils!$P$5:$P$34,$AE588)*Paramètres!$E$32*$AG588*$AJ588,Paramètres!$F$32),0)</f>
        <v>0.018</v>
      </c>
      <c r="W588" s="20" t="n">
        <f aca="false" t="array" ref="W588:W588">IF(AND(INDEX(Profils!$Q$5:$Q$34,$AE588)&gt;0,INDEX(Profils!$AF$5:$AF$34,$AE588)&lt;=$AH588),ROUND(INDEX(Profils!$Q$5:$Q$34,$AE588)*Paramètres!$E$33*$AG588*$AJ588,Paramètres!$F$33),0)</f>
        <v>0</v>
      </c>
      <c r="X588" s="20" t="n">
        <f aca="false" t="array" ref="X588:X588">IF(AND(INDEX(Profils!$R$5:$R$34,$AE588)&gt;0,INDEX(Profils!$AG$5:$AG$34,$AE588)&lt;=$AH588),ROUND(INDEX(Profils!$R$5:$R$34,$AE588)*Paramètres!$E$34*$AG588*$AJ588,Paramètres!$F$34),0)</f>
        <v>0</v>
      </c>
      <c r="Y588" s="20" t="n">
        <f aca="false" t="array" ref="Y588:Y588">IF(AND(INDEX(Profils!$S$5:$S$34,$AE588)&gt;0,INDEX(Profils!$AH$5:$AH$34,$AE588)&lt;=$AH588),ROUND(INDEX(Profils!$S$5:$S$34,$AE588)*Paramètres!$E$35*$AG588*$AJ588,Paramètres!$F$35),0)</f>
        <v>0</v>
      </c>
      <c r="Z588" s="21" t="n">
        <f aca="false">ROUND(L588/Paramètres!$E$22+M588/Paramètres!$E$23+N588/Paramètres!$E$24+O588/Paramètres!$E$25+P588/Paramètres!$E$26+Q588/Paramètres!$E$27+R588/Paramètres!$E$28+S588/Paramètres!$E$29+T588/Paramètres!$E$30+U588/Paramètres!$E$31+V588/Paramètres!$E$32+W588/Paramètres!$E$33+X588/Paramètres!$E$34+Y588/Paramètres!$E$35,1)</f>
        <v>2.8</v>
      </c>
      <c r="AA588" s="22" t="s">
        <v>109</v>
      </c>
      <c r="AB588" s="22" t="s">
        <v>109</v>
      </c>
      <c r="AC588" s="15" t="str">
        <f aca="false">$E588</f>
        <v>éther</v>
      </c>
      <c r="AD588" s="16" t="n">
        <f aca="false" t="array" ref="AD588:AD588">IF($I588&gt;=$AI588,"Max",ROUND(Paramètres!$B$40*($I588+1)^Paramètres!$B$41*INDEX(Paramètres!$H$6:$H$12,$AF588),0))</f>
        <v>3</v>
      </c>
      <c r="AE588" s="23" t="n">
        <f aca="false">MATCH($B588&amp;"|"&amp;$C588,Profils!$A$5:$A$34,0)</f>
        <v>19</v>
      </c>
      <c r="AF588" s="23" t="n">
        <v>1</v>
      </c>
      <c r="AG588" s="24" t="n">
        <f aca="false" t="array" ref="AG588:AG588">INDEX(Paramètres!$C$6:$C$12,$AF588)</f>
        <v>1</v>
      </c>
      <c r="AH588" s="23" t="n">
        <f aca="false" t="array" ref="AH588:AH588">INDEX(Paramètres!$D$6:$D$12,$AF588)</f>
        <v>2</v>
      </c>
      <c r="AI588" s="23" t="n">
        <f aca="false" t="array" ref="AI588:AI588">INDEX(Matériaux!$C$16:$C$20,$D588)</f>
        <v>30</v>
      </c>
      <c r="AJ588" s="25" t="n">
        <f aca="false">Paramètres!$B$16+(1-Paramètres!$B$16)*(($J588-Paramètres!$B$14)/(Paramètres!$B$15-Paramètres!$B$14))^Paramètres!$B$17</f>
        <v>0.665999387952727</v>
      </c>
    </row>
    <row r="589" customFormat="false" ht="15.75" hidden="false" customHeight="true" outlineLevel="0" collapsed="false">
      <c r="A589" s="14" t="s">
        <v>705</v>
      </c>
      <c r="B589" s="15" t="s">
        <v>29</v>
      </c>
      <c r="C589" s="15" t="s">
        <v>369</v>
      </c>
      <c r="D589" s="16" t="n">
        <v>5</v>
      </c>
      <c r="E589" s="15" t="str">
        <f aca="false" t="array" ref="E589:E589">INDEX(Matériaux!$B$5:$F$12,MATCH(INDEX(Profils!$E$5:$E$34,$AE589),Matériaux!$A$5:$A$12,0),$D589)</f>
        <v>éther</v>
      </c>
      <c r="F589" s="26" t="s">
        <v>111</v>
      </c>
      <c r="G589" s="10" t="str">
        <f aca="false" t="array" ref="G589:G589">INDEX(Profils!$D$5:$D$34,$AE589)&amp;" en "&amp;$E589</f>
        <v>Bâton en éther</v>
      </c>
      <c r="H589" s="16" t="n">
        <f aca="false" t="array" ref="H589:H589">INDEX(Matériaux!$B$16:$B$20,$D589)</f>
        <v>70</v>
      </c>
      <c r="I589" s="16" t="n">
        <f aca="false">IF(ISNUMBER($C$3),MIN(MAX(0,ROUND($C$3,0)),$AI589),$AI589)</f>
        <v>0</v>
      </c>
      <c r="J589" s="18" t="n">
        <f aca="false">$H589+$I589</f>
        <v>70</v>
      </c>
      <c r="K589" s="15" t="s">
        <v>109</v>
      </c>
      <c r="L589" s="19" t="n">
        <f aca="false" t="array" ref="L589:L589">IF(AND(INDEX(Profils!$F$5:$F$34,$AE589)&gt;0,INDEX(Profils!$U$5:$U$34,$AE589)&lt;=$AH589),ROUND(INDEX(Profils!$F$5:$F$34,$AE589)*Paramètres!$E$22*$AG589*$AJ589,Paramètres!$F$22),0)</f>
        <v>0</v>
      </c>
      <c r="M589" s="19" t="n">
        <f aca="false" t="array" ref="M589:M589">IF(AND(INDEX(Profils!$G$5:$G$34,$AE589)&gt;0,INDEX(Profils!$V$5:$V$34,$AE589)&lt;=$AH589),ROUND(INDEX(Profils!$G$5:$G$34,$AE589)*Paramètres!$E$23*$AG589*$AJ589,Paramètres!$F$23),0)</f>
        <v>0</v>
      </c>
      <c r="N589" s="19" t="n">
        <f aca="false" t="array" ref="N589:N589">IF(AND(INDEX(Profils!$H$5:$H$34,$AE589)&gt;0,INDEX(Profils!$W$5:$W$34,$AE589)&lt;=$AH589),ROUND(INDEX(Profils!$H$5:$H$34,$AE589)*Paramètres!$E$24*$AG589*$AJ589,Paramètres!$F$24),0)</f>
        <v>0</v>
      </c>
      <c r="O589" s="19" t="n">
        <f aca="false" t="array" ref="O589:O589">IF(AND(INDEX(Profils!$I$5:$I$34,$AE589)&gt;0,INDEX(Profils!$X$5:$X$34,$AE589)&lt;=$AH589),ROUND(INDEX(Profils!$I$5:$I$34,$AE589)*Paramètres!$E$25*$AG589*$AJ589,Paramètres!$F$25),0)</f>
        <v>29</v>
      </c>
      <c r="P589" s="19" t="n">
        <f aca="false" t="array" ref="P589:P589">IF(AND(INDEX(Profils!$J$5:$J$34,$AE589)&gt;0,INDEX(Profils!$Y$5:$Y$34,$AE589)&lt;=$AH589),ROUND(INDEX(Profils!$J$5:$J$34,$AE589)*Paramètres!$E$26*$AG589*$AJ589,Paramètres!$F$26),0)</f>
        <v>0</v>
      </c>
      <c r="Q589" s="19" t="n">
        <f aca="false" t="array" ref="Q589:Q589">IF(AND(INDEX(Profils!$K$5:$K$34,$AE589)&gt;0,INDEX(Profils!$Z$5:$Z$34,$AE589)&lt;=$AH589),ROUND(INDEX(Profils!$K$5:$K$34,$AE589)*Paramètres!$E$27*$AG589*$AJ589,Paramètres!$F$27),0)</f>
        <v>0</v>
      </c>
      <c r="R589" s="20" t="n">
        <f aca="false" t="array" ref="R589:R589">IF(AND(INDEX(Profils!$L$5:$L$34,$AE589)&gt;0,INDEX(Profils!$AA$5:$AA$34,$AE589)&lt;=$AH589),ROUND(INDEX(Profils!$L$5:$L$34,$AE589)*Paramètres!$E$28*$AG589*$AJ589,Paramètres!$F$28),0)</f>
        <v>0</v>
      </c>
      <c r="S589" s="20" t="n">
        <f aca="false" t="array" ref="S589:S589">IF(AND(INDEX(Profils!$M$5:$M$34,$AE589)&gt;0,INDEX(Profils!$AB$5:$AB$34,$AE589)&lt;=$AH589),ROUND(INDEX(Profils!$M$5:$M$34,$AE589)*Paramètres!$E$29*$AG589*$AJ589,Paramètres!$F$29),0)</f>
        <v>0.015</v>
      </c>
      <c r="T589" s="20" t="n">
        <f aca="false" t="array" ref="T589:T589">IF(AND(INDEX(Profils!$N$5:$N$34,$AE589)&gt;0,INDEX(Profils!$AC$5:$AC$34,$AE589)&lt;=$AH589),ROUND(INDEX(Profils!$N$5:$N$34,$AE589)*Paramètres!$E$30*$AG589*$AJ589,Paramètres!$F$30),0)</f>
        <v>0</v>
      </c>
      <c r="U589" s="19" t="n">
        <f aca="false" t="array" ref="U589:U589">IF(AND(INDEX(Profils!$O$5:$O$34,$AE589)&gt;0,INDEX(Profils!$AD$5:$AD$34,$AE589)&lt;=$AH589),ROUND(INDEX(Profils!$O$5:$O$34,$AE589)*Paramètres!$E$31*$AG589*$AJ589,Paramètres!$F$31),0)</f>
        <v>0</v>
      </c>
      <c r="V589" s="20" t="n">
        <f aca="false" t="array" ref="V589:V589">IF(AND(INDEX(Profils!$P$5:$P$34,$AE589)&gt;0,INDEX(Profils!$AE$5:$AE$34,$AE589)&lt;=$AH589),ROUND(INDEX(Profils!$P$5:$P$34,$AE589)*Paramètres!$E$32*$AG589*$AJ589,Paramètres!$F$32),0)</f>
        <v>0.022</v>
      </c>
      <c r="W589" s="20" t="n">
        <f aca="false" t="array" ref="W589:W589">IF(AND(INDEX(Profils!$Q$5:$Q$34,$AE589)&gt;0,INDEX(Profils!$AF$5:$AF$34,$AE589)&lt;=$AH589),ROUND(INDEX(Profils!$Q$5:$Q$34,$AE589)*Paramètres!$E$33*$AG589*$AJ589,Paramètres!$F$33),0)</f>
        <v>0</v>
      </c>
      <c r="X589" s="20" t="n">
        <f aca="false" t="array" ref="X589:X589">IF(AND(INDEX(Profils!$R$5:$R$34,$AE589)&gt;0,INDEX(Profils!$AG$5:$AG$34,$AE589)&lt;=$AH589),ROUND(INDEX(Profils!$R$5:$R$34,$AE589)*Paramètres!$E$34*$AG589*$AJ589,Paramètres!$F$34),0)</f>
        <v>0</v>
      </c>
      <c r="Y589" s="20" t="n">
        <f aca="false" t="array" ref="Y589:Y589">IF(AND(INDEX(Profils!$S$5:$S$34,$AE589)&gt;0,INDEX(Profils!$AH$5:$AH$34,$AE589)&lt;=$AH589),ROUND(INDEX(Profils!$S$5:$S$34,$AE589)*Paramètres!$E$35*$AG589*$AJ589,Paramètres!$F$35),0)</f>
        <v>0</v>
      </c>
      <c r="Z589" s="21" t="n">
        <f aca="false">ROUND(L589/Paramètres!$E$22+M589/Paramètres!$E$23+N589/Paramètres!$E$24+O589/Paramètres!$E$25+P589/Paramètres!$E$26+Q589/Paramètres!$E$27+R589/Paramètres!$E$28+S589/Paramètres!$E$29+T589/Paramètres!$E$30+U589/Paramètres!$E$31+V589/Paramètres!$E$32+W589/Paramètres!$E$33+X589/Paramètres!$E$34+Y589/Paramètres!$E$35,1)</f>
        <v>4.7</v>
      </c>
      <c r="AA589" s="22" t="s">
        <v>109</v>
      </c>
      <c r="AB589" s="22" t="s">
        <v>109</v>
      </c>
      <c r="AC589" s="15" t="str">
        <f aca="false">$E589</f>
        <v>éther</v>
      </c>
      <c r="AD589" s="16" t="n">
        <f aca="false" t="array" ref="AD589:AD589">IF($I589&gt;=$AI589,"Max",ROUND(Paramètres!$B$40*($I589+1)^Paramètres!$B$41*INDEX(Paramètres!$H$6:$H$12,$AF589),0))</f>
        <v>4</v>
      </c>
      <c r="AE589" s="23" t="n">
        <f aca="false">MATCH($B589&amp;"|"&amp;$C589,Profils!$A$5:$A$34,0)</f>
        <v>19</v>
      </c>
      <c r="AF589" s="23" t="n">
        <v>2</v>
      </c>
      <c r="AG589" s="24" t="n">
        <f aca="false" t="array" ref="AG589:AG589">INDEX(Paramètres!$C$6:$C$12,$AF589)</f>
        <v>1.2</v>
      </c>
      <c r="AH589" s="23" t="n">
        <f aca="false" t="array" ref="AH589:AH589">INDEX(Paramètres!$D$6:$D$12,$AF589)</f>
        <v>3</v>
      </c>
      <c r="AI589" s="23" t="n">
        <f aca="false" t="array" ref="AI589:AI589">INDEX(Matériaux!$C$16:$C$20,$D589)</f>
        <v>30</v>
      </c>
      <c r="AJ589" s="25" t="n">
        <f aca="false">Paramètres!$B$16+(1-Paramètres!$B$16)*(($J589-Paramètres!$B$14)/(Paramètres!$B$15-Paramètres!$B$14))^Paramètres!$B$17</f>
        <v>0.665999387952727</v>
      </c>
    </row>
    <row r="590" customFormat="false" ht="15.75" hidden="false" customHeight="true" outlineLevel="0" collapsed="false">
      <c r="A590" s="14" t="s">
        <v>706</v>
      </c>
      <c r="B590" s="15" t="s">
        <v>29</v>
      </c>
      <c r="C590" s="15" t="s">
        <v>369</v>
      </c>
      <c r="D590" s="16" t="n">
        <v>5</v>
      </c>
      <c r="E590" s="15" t="str">
        <f aca="false" t="array" ref="E590:E590">INDEX(Matériaux!$B$5:$F$12,MATCH(INDEX(Profils!$E$5:$E$34,$AE590),Matériaux!$A$5:$A$12,0),$D590)</f>
        <v>éther</v>
      </c>
      <c r="F590" s="27" t="s">
        <v>113</v>
      </c>
      <c r="G590" s="10" t="str">
        <f aca="false" t="array" ref="G590:G590">INDEX(Profils!$D$5:$D$34,$AE590)&amp;" en "&amp;$E590</f>
        <v>Bâton en éther</v>
      </c>
      <c r="H590" s="16" t="n">
        <f aca="false" t="array" ref="H590:H590">INDEX(Matériaux!$B$16:$B$20,$D590)</f>
        <v>70</v>
      </c>
      <c r="I590" s="16" t="n">
        <f aca="false">IF(ISNUMBER($C$3),MIN(MAX(0,ROUND($C$3,0)),$AI590),$AI590)</f>
        <v>0</v>
      </c>
      <c r="J590" s="18" t="n">
        <f aca="false">$H590+$I590</f>
        <v>70</v>
      </c>
      <c r="K590" s="15" t="s">
        <v>109</v>
      </c>
      <c r="L590" s="19" t="n">
        <f aca="false" t="array" ref="L590:L590">IF(AND(INDEX(Profils!$F$5:$F$34,$AE590)&gt;0,INDEX(Profils!$U$5:$U$34,$AE590)&lt;=$AH590),ROUND(INDEX(Profils!$F$5:$F$34,$AE590)*Paramètres!$E$22*$AG590*$AJ590,Paramètres!$F$22),0)</f>
        <v>0</v>
      </c>
      <c r="M590" s="19" t="n">
        <f aca="false" t="array" ref="M590:M590">IF(AND(INDEX(Profils!$G$5:$G$34,$AE590)&gt;0,INDEX(Profils!$V$5:$V$34,$AE590)&lt;=$AH590),ROUND(INDEX(Profils!$G$5:$G$34,$AE590)*Paramètres!$E$23*$AG590*$AJ590,Paramètres!$F$23),0)</f>
        <v>0</v>
      </c>
      <c r="N590" s="19" t="n">
        <f aca="false" t="array" ref="N590:N590">IF(AND(INDEX(Profils!$H$5:$H$34,$AE590)&gt;0,INDEX(Profils!$W$5:$W$34,$AE590)&lt;=$AH590),ROUND(INDEX(Profils!$H$5:$H$34,$AE590)*Paramètres!$E$24*$AG590*$AJ590,Paramètres!$F$24),0)</f>
        <v>0</v>
      </c>
      <c r="O590" s="19" t="n">
        <f aca="false" t="array" ref="O590:O590">IF(AND(INDEX(Profils!$I$5:$I$34,$AE590)&gt;0,INDEX(Profils!$X$5:$X$34,$AE590)&lt;=$AH590),ROUND(INDEX(Profils!$I$5:$I$34,$AE590)*Paramètres!$E$25*$AG590*$AJ590,Paramètres!$F$25),0)</f>
        <v>35</v>
      </c>
      <c r="P590" s="19" t="n">
        <f aca="false" t="array" ref="P590:P590">IF(AND(INDEX(Profils!$J$5:$J$34,$AE590)&gt;0,INDEX(Profils!$Y$5:$Y$34,$AE590)&lt;=$AH590),ROUND(INDEX(Profils!$J$5:$J$34,$AE590)*Paramètres!$E$26*$AG590*$AJ590,Paramètres!$F$26),0)</f>
        <v>0</v>
      </c>
      <c r="Q590" s="19" t="n">
        <f aca="false" t="array" ref="Q590:Q590">IF(AND(INDEX(Profils!$K$5:$K$34,$AE590)&gt;0,INDEX(Profils!$Z$5:$Z$34,$AE590)&lt;=$AH590),ROUND(INDEX(Profils!$K$5:$K$34,$AE590)*Paramètres!$E$27*$AG590*$AJ590,Paramètres!$F$27),0)</f>
        <v>0</v>
      </c>
      <c r="R590" s="20" t="n">
        <f aca="false" t="array" ref="R590:R590">IF(AND(INDEX(Profils!$L$5:$L$34,$AE590)&gt;0,INDEX(Profils!$AA$5:$AA$34,$AE590)&lt;=$AH590),ROUND(INDEX(Profils!$L$5:$L$34,$AE590)*Paramètres!$E$28*$AG590*$AJ590,Paramètres!$F$28),0)</f>
        <v>0</v>
      </c>
      <c r="S590" s="20" t="n">
        <f aca="false" t="array" ref="S590:S590">IF(AND(INDEX(Profils!$M$5:$M$34,$AE590)&gt;0,INDEX(Profils!$AB$5:$AB$34,$AE590)&lt;=$AH590),ROUND(INDEX(Profils!$M$5:$M$34,$AE590)*Paramètres!$E$29*$AG590*$AJ590,Paramètres!$F$29),0)</f>
        <v>0.019</v>
      </c>
      <c r="T590" s="20" t="n">
        <f aca="false" t="array" ref="T590:T590">IF(AND(INDEX(Profils!$N$5:$N$34,$AE590)&gt;0,INDEX(Profils!$AC$5:$AC$34,$AE590)&lt;=$AH590),ROUND(INDEX(Profils!$N$5:$N$34,$AE590)*Paramètres!$E$30*$AG590*$AJ590,Paramètres!$F$30),0)</f>
        <v>0.046</v>
      </c>
      <c r="U590" s="19" t="n">
        <f aca="false" t="array" ref="U590:U590">IF(AND(INDEX(Profils!$O$5:$O$34,$AE590)&gt;0,INDEX(Profils!$AD$5:$AD$34,$AE590)&lt;=$AH590),ROUND(INDEX(Profils!$O$5:$O$34,$AE590)*Paramètres!$E$31*$AG590*$AJ590,Paramètres!$F$31),0)</f>
        <v>0</v>
      </c>
      <c r="V590" s="20" t="n">
        <f aca="false" t="array" ref="V590:V590">IF(AND(INDEX(Profils!$P$5:$P$34,$AE590)&gt;0,INDEX(Profils!$AE$5:$AE$34,$AE590)&lt;=$AH590),ROUND(INDEX(Profils!$P$5:$P$34,$AE590)*Paramètres!$E$32*$AG590*$AJ590,Paramètres!$F$32),0)</f>
        <v>0.026</v>
      </c>
      <c r="W590" s="20" t="n">
        <f aca="false" t="array" ref="W590:W590">IF(AND(INDEX(Profils!$Q$5:$Q$34,$AE590)&gt;0,INDEX(Profils!$AF$5:$AF$34,$AE590)&lt;=$AH590),ROUND(INDEX(Profils!$Q$5:$Q$34,$AE590)*Paramètres!$E$33*$AG590*$AJ590,Paramètres!$F$33),0)</f>
        <v>0</v>
      </c>
      <c r="X590" s="20" t="n">
        <f aca="false" t="array" ref="X590:X590">IF(AND(INDEX(Profils!$R$5:$R$34,$AE590)&gt;0,INDEX(Profils!$AG$5:$AG$34,$AE590)&lt;=$AH590),ROUND(INDEX(Profils!$R$5:$R$34,$AE590)*Paramètres!$E$34*$AG590*$AJ590,Paramètres!$F$34),0)</f>
        <v>0</v>
      </c>
      <c r="Y590" s="20" t="n">
        <f aca="false" t="array" ref="Y590:Y590">IF(AND(INDEX(Profils!$S$5:$S$34,$AE590)&gt;0,INDEX(Profils!$AH$5:$AH$34,$AE590)&lt;=$AH590),ROUND(INDEX(Profils!$S$5:$S$34,$AE590)*Paramètres!$E$35*$AG590*$AJ590,Paramètres!$F$35),0)</f>
        <v>0</v>
      </c>
      <c r="Z590" s="21" t="n">
        <f aca="false">ROUND(L590/Paramètres!$E$22+M590/Paramètres!$E$23+N590/Paramètres!$E$24+O590/Paramètres!$E$25+P590/Paramètres!$E$26+Q590/Paramètres!$E$27+R590/Paramètres!$E$28+S590/Paramètres!$E$29+T590/Paramètres!$E$30+U590/Paramètres!$E$31+V590/Paramètres!$E$32+W590/Paramètres!$E$33+X590/Paramètres!$E$34+Y590/Paramètres!$E$35,1)</f>
        <v>7.2</v>
      </c>
      <c r="AA590" s="22" t="s">
        <v>109</v>
      </c>
      <c r="AB590" s="22" t="s">
        <v>109</v>
      </c>
      <c r="AC590" s="15" t="str">
        <f aca="false">$E590</f>
        <v>éther</v>
      </c>
      <c r="AD590" s="16" t="n">
        <f aca="false" t="array" ref="AD590:AD590">IF($I590&gt;=$AI590,"Max",ROUND(Paramètres!$B$40*($I590+1)^Paramètres!$B$41*INDEX(Paramètres!$H$6:$H$12,$AF590),0))</f>
        <v>4</v>
      </c>
      <c r="AE590" s="23" t="n">
        <f aca="false">MATCH($B590&amp;"|"&amp;$C590,Profils!$A$5:$A$34,0)</f>
        <v>19</v>
      </c>
      <c r="AF590" s="23" t="n">
        <v>3</v>
      </c>
      <c r="AG590" s="24" t="n">
        <f aca="false" t="array" ref="AG590:AG590">INDEX(Paramètres!$C$6:$C$12,$AF590)</f>
        <v>1.45</v>
      </c>
      <c r="AH590" s="23" t="n">
        <f aca="false" t="array" ref="AH590:AH590">INDEX(Paramètres!$D$6:$D$12,$AF590)</f>
        <v>4</v>
      </c>
      <c r="AI590" s="23" t="n">
        <f aca="false" t="array" ref="AI590:AI590">INDEX(Matériaux!$C$16:$C$20,$D590)</f>
        <v>30</v>
      </c>
      <c r="AJ590" s="25" t="n">
        <f aca="false">Paramètres!$B$16+(1-Paramètres!$B$16)*(($J590-Paramètres!$B$14)/(Paramètres!$B$15-Paramètres!$B$14))^Paramètres!$B$17</f>
        <v>0.665999387952727</v>
      </c>
    </row>
    <row r="591" customFormat="false" ht="15.75" hidden="false" customHeight="true" outlineLevel="0" collapsed="false">
      <c r="A591" s="14" t="s">
        <v>707</v>
      </c>
      <c r="B591" s="15" t="s">
        <v>29</v>
      </c>
      <c r="C591" s="15" t="s">
        <v>369</v>
      </c>
      <c r="D591" s="16" t="n">
        <v>5</v>
      </c>
      <c r="E591" s="15" t="str">
        <f aca="false" t="array" ref="E591:E591">INDEX(Matériaux!$B$5:$F$12,MATCH(INDEX(Profils!$E$5:$E$34,$AE591),Matériaux!$A$5:$A$12,0),$D591)</f>
        <v>éther</v>
      </c>
      <c r="F591" s="28" t="s">
        <v>115</v>
      </c>
      <c r="G591" s="10" t="str">
        <f aca="false" t="array" ref="G591:G591">INDEX(Profils!$D$5:$D$34,$AE591)&amp;" en "&amp;$E591</f>
        <v>Bâton en éther</v>
      </c>
      <c r="H591" s="16" t="n">
        <f aca="false" t="array" ref="H591:H591">INDEX(Matériaux!$B$16:$B$20,$D591)</f>
        <v>70</v>
      </c>
      <c r="I591" s="16" t="n">
        <f aca="false">IF(ISNUMBER($C$3),MIN(MAX(0,ROUND($C$3,0)),$AI591),$AI591)</f>
        <v>0</v>
      </c>
      <c r="J591" s="18" t="n">
        <f aca="false">$H591+$I591</f>
        <v>70</v>
      </c>
      <c r="K591" s="15" t="s">
        <v>109</v>
      </c>
      <c r="L591" s="19" t="n">
        <f aca="false" t="array" ref="L591:L591">IF(AND(INDEX(Profils!$F$5:$F$34,$AE591)&gt;0,INDEX(Profils!$U$5:$U$34,$AE591)&lt;=$AH591),ROUND(INDEX(Profils!$F$5:$F$34,$AE591)*Paramètres!$E$22*$AG591*$AJ591,Paramètres!$F$22),0)</f>
        <v>0</v>
      </c>
      <c r="M591" s="19" t="n">
        <f aca="false" t="array" ref="M591:M591">IF(AND(INDEX(Profils!$G$5:$G$34,$AE591)&gt;0,INDEX(Profils!$V$5:$V$34,$AE591)&lt;=$AH591),ROUND(INDEX(Profils!$G$5:$G$34,$AE591)*Paramètres!$E$23*$AG591*$AJ591,Paramètres!$F$23),0)</f>
        <v>0</v>
      </c>
      <c r="N591" s="19" t="n">
        <f aca="false" t="array" ref="N591:N591">IF(AND(INDEX(Profils!$H$5:$H$34,$AE591)&gt;0,INDEX(Profils!$W$5:$W$34,$AE591)&lt;=$AH591),ROUND(INDEX(Profils!$H$5:$H$34,$AE591)*Paramètres!$E$24*$AG591*$AJ591,Paramètres!$F$24),0)</f>
        <v>0</v>
      </c>
      <c r="O591" s="19" t="n">
        <f aca="false" t="array" ref="O591:O591">IF(AND(INDEX(Profils!$I$5:$I$34,$AE591)&gt;0,INDEX(Profils!$X$5:$X$34,$AE591)&lt;=$AH591),ROUND(INDEX(Profils!$I$5:$I$34,$AE591)*Paramètres!$E$25*$AG591*$AJ591,Paramètres!$F$25),0)</f>
        <v>42</v>
      </c>
      <c r="P591" s="19" t="n">
        <f aca="false" t="array" ref="P591:P591">IF(AND(INDEX(Profils!$J$5:$J$34,$AE591)&gt;0,INDEX(Profils!$Y$5:$Y$34,$AE591)&lt;=$AH591),ROUND(INDEX(Profils!$J$5:$J$34,$AE591)*Paramètres!$E$26*$AG591*$AJ591,Paramètres!$F$26),0)</f>
        <v>0</v>
      </c>
      <c r="Q591" s="19" t="n">
        <f aca="false" t="array" ref="Q591:Q591">IF(AND(INDEX(Profils!$K$5:$K$34,$AE591)&gt;0,INDEX(Profils!$Z$5:$Z$34,$AE591)&lt;=$AH591),ROUND(INDEX(Profils!$K$5:$K$34,$AE591)*Paramètres!$E$27*$AG591*$AJ591,Paramètres!$F$27),0)</f>
        <v>0</v>
      </c>
      <c r="R591" s="20" t="n">
        <f aca="false" t="array" ref="R591:R591">IF(AND(INDEX(Profils!$L$5:$L$34,$AE591)&gt;0,INDEX(Profils!$AA$5:$AA$34,$AE591)&lt;=$AH591),ROUND(INDEX(Profils!$L$5:$L$34,$AE591)*Paramètres!$E$28*$AG591*$AJ591,Paramètres!$F$28),0)</f>
        <v>0.021</v>
      </c>
      <c r="S591" s="20" t="n">
        <f aca="false" t="array" ref="S591:S591">IF(AND(INDEX(Profils!$M$5:$M$34,$AE591)&gt;0,INDEX(Profils!$AB$5:$AB$34,$AE591)&lt;=$AH591),ROUND(INDEX(Profils!$M$5:$M$34,$AE591)*Paramètres!$E$29*$AG591*$AJ591,Paramètres!$F$29),0)</f>
        <v>0.022</v>
      </c>
      <c r="T591" s="20" t="n">
        <f aca="false" t="array" ref="T591:T591">IF(AND(INDEX(Profils!$N$5:$N$34,$AE591)&gt;0,INDEX(Profils!$AC$5:$AC$34,$AE591)&lt;=$AH591),ROUND(INDEX(Profils!$N$5:$N$34,$AE591)*Paramètres!$E$30*$AG591*$AJ591,Paramètres!$F$30),0)</f>
        <v>0.056</v>
      </c>
      <c r="U591" s="19" t="n">
        <f aca="false" t="array" ref="U591:U591">IF(AND(INDEX(Profils!$O$5:$O$34,$AE591)&gt;0,INDEX(Profils!$AD$5:$AD$34,$AE591)&lt;=$AH591),ROUND(INDEX(Profils!$O$5:$O$34,$AE591)*Paramètres!$E$31*$AG591*$AJ591,Paramètres!$F$31),0)</f>
        <v>0</v>
      </c>
      <c r="V591" s="20" t="n">
        <f aca="false" t="array" ref="V591:V591">IF(AND(INDEX(Profils!$P$5:$P$34,$AE591)&gt;0,INDEX(Profils!$AE$5:$AE$34,$AE591)&lt;=$AH591),ROUND(INDEX(Profils!$P$5:$P$34,$AE591)*Paramètres!$E$32*$AG591*$AJ591,Paramètres!$F$32),0)</f>
        <v>0.031</v>
      </c>
      <c r="W591" s="20" t="n">
        <f aca="false" t="array" ref="W591:W591">IF(AND(INDEX(Profils!$Q$5:$Q$34,$AE591)&gt;0,INDEX(Profils!$AF$5:$AF$34,$AE591)&lt;=$AH591),ROUND(INDEX(Profils!$Q$5:$Q$34,$AE591)*Paramètres!$E$33*$AG591*$AJ591,Paramètres!$F$33),0)</f>
        <v>0</v>
      </c>
      <c r="X591" s="20" t="n">
        <f aca="false" t="array" ref="X591:X591">IF(AND(INDEX(Profils!$R$5:$R$34,$AE591)&gt;0,INDEX(Profils!$AG$5:$AG$34,$AE591)&lt;=$AH591),ROUND(INDEX(Profils!$R$5:$R$34,$AE591)*Paramètres!$E$34*$AG591*$AJ591,Paramètres!$F$34),0)</f>
        <v>0</v>
      </c>
      <c r="Y591" s="20" t="n">
        <f aca="false" t="array" ref="Y591:Y591">IF(AND(INDEX(Profils!$S$5:$S$34,$AE591)&gt;0,INDEX(Profils!$AH$5:$AH$34,$AE591)&lt;=$AH591),ROUND(INDEX(Profils!$S$5:$S$34,$AE591)*Paramètres!$E$35*$AG591*$AJ591,Paramètres!$F$35),0)</f>
        <v>0</v>
      </c>
      <c r="Z591" s="21" t="n">
        <f aca="false">ROUND(L591/Paramètres!$E$22+M591/Paramètres!$E$23+N591/Paramètres!$E$24+O591/Paramètres!$E$25+P591/Paramètres!$E$26+Q591/Paramètres!$E$27+R591/Paramètres!$E$28+S591/Paramètres!$E$29+T591/Paramètres!$E$30+U591/Paramètres!$E$31+V591/Paramètres!$E$32+W591/Paramètres!$E$33+X591/Paramètres!$E$34+Y591/Paramètres!$E$35,1)</f>
        <v>10</v>
      </c>
      <c r="AA591" s="22" t="s">
        <v>109</v>
      </c>
      <c r="AB591" s="22" t="s">
        <v>109</v>
      </c>
      <c r="AC591" s="15" t="str">
        <f aca="false">$E591</f>
        <v>éther</v>
      </c>
      <c r="AD591" s="16" t="n">
        <f aca="false" t="array" ref="AD591:AD591">IF($I591&gt;=$AI591,"Max",ROUND(Paramètres!$B$40*($I591+1)^Paramètres!$B$41*INDEX(Paramètres!$H$6:$H$12,$AF591),0))</f>
        <v>5</v>
      </c>
      <c r="AE591" s="23" t="n">
        <f aca="false">MATCH($B591&amp;"|"&amp;$C591,Profils!$A$5:$A$34,0)</f>
        <v>19</v>
      </c>
      <c r="AF591" s="23" t="n">
        <v>4</v>
      </c>
      <c r="AG591" s="24" t="n">
        <f aca="false" t="array" ref="AG591:AG591">INDEX(Paramètres!$C$6:$C$12,$AF591)</f>
        <v>1.75</v>
      </c>
      <c r="AH591" s="23" t="n">
        <f aca="false" t="array" ref="AH591:AH591">INDEX(Paramètres!$D$6:$D$12,$AF591)</f>
        <v>5</v>
      </c>
      <c r="AI591" s="23" t="n">
        <f aca="false" t="array" ref="AI591:AI591">INDEX(Matériaux!$C$16:$C$20,$D591)</f>
        <v>30</v>
      </c>
      <c r="AJ591" s="25" t="n">
        <f aca="false">Paramètres!$B$16+(1-Paramètres!$B$16)*(($J591-Paramètres!$B$14)/(Paramètres!$B$15-Paramètres!$B$14))^Paramètres!$B$17</f>
        <v>0.665999387952727</v>
      </c>
    </row>
    <row r="592" customFormat="false" ht="15.75" hidden="false" customHeight="true" outlineLevel="0" collapsed="false">
      <c r="A592" s="14" t="s">
        <v>708</v>
      </c>
      <c r="B592" s="15" t="s">
        <v>29</v>
      </c>
      <c r="C592" s="15" t="s">
        <v>369</v>
      </c>
      <c r="D592" s="16" t="n">
        <v>5</v>
      </c>
      <c r="E592" s="15" t="str">
        <f aca="false" t="array" ref="E592:E592">INDEX(Matériaux!$B$5:$F$12,MATCH(INDEX(Profils!$E$5:$E$34,$AE592),Matériaux!$A$5:$A$12,0),$D592)</f>
        <v>éther</v>
      </c>
      <c r="F592" s="29" t="s">
        <v>117</v>
      </c>
      <c r="G592" s="10" t="str">
        <f aca="false" t="array" ref="G592:G592">INDEX(Profils!$D$5:$D$34,$AE592)&amp;" en "&amp;$E592</f>
        <v>Bâton en éther</v>
      </c>
      <c r="H592" s="16" t="n">
        <f aca="false" t="array" ref="H592:H592">INDEX(Matériaux!$B$16:$B$20,$D592)</f>
        <v>70</v>
      </c>
      <c r="I592" s="16" t="n">
        <f aca="false">IF(ISNUMBER($C$3),MIN(MAX(0,ROUND($C$3,0)),$AI592),$AI592)</f>
        <v>0</v>
      </c>
      <c r="J592" s="18" t="n">
        <f aca="false">$H592+$I592</f>
        <v>70</v>
      </c>
      <c r="K592" s="15" t="s">
        <v>109</v>
      </c>
      <c r="L592" s="19" t="n">
        <f aca="false" t="array" ref="L592:L592">IF(AND(INDEX(Profils!$F$5:$F$34,$AE592)&gt;0,INDEX(Profils!$U$5:$U$34,$AE592)&lt;=$AH592),ROUND(INDEX(Profils!$F$5:$F$34,$AE592)*Paramètres!$E$22*$AG592*$AJ592,Paramètres!$F$22),0)</f>
        <v>0</v>
      </c>
      <c r="M592" s="19" t="n">
        <f aca="false" t="array" ref="M592:M592">IF(AND(INDEX(Profils!$G$5:$G$34,$AE592)&gt;0,INDEX(Profils!$V$5:$V$34,$AE592)&lt;=$AH592),ROUND(INDEX(Profils!$G$5:$G$34,$AE592)*Paramètres!$E$23*$AG592*$AJ592,Paramètres!$F$23),0)</f>
        <v>0</v>
      </c>
      <c r="N592" s="19" t="n">
        <f aca="false" t="array" ref="N592:N592">IF(AND(INDEX(Profils!$H$5:$H$34,$AE592)&gt;0,INDEX(Profils!$W$5:$W$34,$AE592)&lt;=$AH592),ROUND(INDEX(Profils!$H$5:$H$34,$AE592)*Paramètres!$E$24*$AG592*$AJ592,Paramètres!$F$24),0)</f>
        <v>0</v>
      </c>
      <c r="O592" s="19" t="n">
        <f aca="false" t="array" ref="O592:O592">IF(AND(INDEX(Profils!$I$5:$I$34,$AE592)&gt;0,INDEX(Profils!$X$5:$X$34,$AE592)&lt;=$AH592),ROUND(INDEX(Profils!$I$5:$I$34,$AE592)*Paramètres!$E$25*$AG592*$AJ592,Paramètres!$F$25),0)</f>
        <v>50</v>
      </c>
      <c r="P592" s="19" t="n">
        <f aca="false" t="array" ref="P592:P592">IF(AND(INDEX(Profils!$J$5:$J$34,$AE592)&gt;0,INDEX(Profils!$Y$5:$Y$34,$AE592)&lt;=$AH592),ROUND(INDEX(Profils!$J$5:$J$34,$AE592)*Paramètres!$E$26*$AG592*$AJ592,Paramètres!$F$26),0)</f>
        <v>0</v>
      </c>
      <c r="Q592" s="19" t="n">
        <f aca="false" t="array" ref="Q592:Q592">IF(AND(INDEX(Profils!$K$5:$K$34,$AE592)&gt;0,INDEX(Profils!$Z$5:$Z$34,$AE592)&lt;=$AH592),ROUND(INDEX(Profils!$K$5:$K$34,$AE592)*Paramètres!$E$27*$AG592*$AJ592,Paramètres!$F$27),0)</f>
        <v>0</v>
      </c>
      <c r="R592" s="20" t="n">
        <f aca="false" t="array" ref="R592:R592">IF(AND(INDEX(Profils!$L$5:$L$34,$AE592)&gt;0,INDEX(Profils!$AA$5:$AA$34,$AE592)&lt;=$AH592),ROUND(INDEX(Profils!$L$5:$L$34,$AE592)*Paramètres!$E$28*$AG592*$AJ592,Paramètres!$F$28),0)</f>
        <v>0.025</v>
      </c>
      <c r="S592" s="20" t="n">
        <f aca="false" t="array" ref="S592:S592">IF(AND(INDEX(Profils!$M$5:$M$34,$AE592)&gt;0,INDEX(Profils!$AB$5:$AB$34,$AE592)&lt;=$AH592),ROUND(INDEX(Profils!$M$5:$M$34,$AE592)*Paramètres!$E$29*$AG592*$AJ592,Paramètres!$F$29),0)</f>
        <v>0.027</v>
      </c>
      <c r="T592" s="20" t="n">
        <f aca="false" t="array" ref="T592:T592">IF(AND(INDEX(Profils!$N$5:$N$34,$AE592)&gt;0,INDEX(Profils!$AC$5:$AC$34,$AE592)&lt;=$AH592),ROUND(INDEX(Profils!$N$5:$N$34,$AE592)*Paramètres!$E$30*$AG592*$AJ592,Paramètres!$F$30),0)</f>
        <v>0.067</v>
      </c>
      <c r="U592" s="19" t="n">
        <f aca="false" t="array" ref="U592:U592">IF(AND(INDEX(Profils!$O$5:$O$34,$AE592)&gt;0,INDEX(Profils!$AD$5:$AD$34,$AE592)&lt;=$AH592),ROUND(INDEX(Profils!$O$5:$O$34,$AE592)*Paramètres!$E$31*$AG592*$AJ592,Paramètres!$F$31),0)</f>
        <v>0</v>
      </c>
      <c r="V592" s="20" t="n">
        <f aca="false" t="array" ref="V592:V592">IF(AND(INDEX(Profils!$P$5:$P$34,$AE592)&gt;0,INDEX(Profils!$AE$5:$AE$34,$AE592)&lt;=$AH592),ROUND(INDEX(Profils!$P$5:$P$34,$AE592)*Paramètres!$E$32*$AG592*$AJ592,Paramètres!$F$32),0)</f>
        <v>0.038</v>
      </c>
      <c r="W592" s="20" t="n">
        <f aca="false" t="array" ref="W592:W592">IF(AND(INDEX(Profils!$Q$5:$Q$34,$AE592)&gt;0,INDEX(Profils!$AF$5:$AF$34,$AE592)&lt;=$AH592),ROUND(INDEX(Profils!$Q$5:$Q$34,$AE592)*Paramètres!$E$33*$AG592*$AJ592,Paramètres!$F$33),0)</f>
        <v>0</v>
      </c>
      <c r="X592" s="20" t="n">
        <f aca="false" t="array" ref="X592:X592">IF(AND(INDEX(Profils!$R$5:$R$34,$AE592)&gt;0,INDEX(Profils!$AG$5:$AG$34,$AE592)&lt;=$AH592),ROUND(INDEX(Profils!$R$5:$R$34,$AE592)*Paramètres!$E$34*$AG592*$AJ592,Paramètres!$F$34),0)</f>
        <v>0.028</v>
      </c>
      <c r="Y592" s="20" t="n">
        <f aca="false" t="array" ref="Y592:Y592">IF(AND(INDEX(Profils!$S$5:$S$34,$AE592)&gt;0,INDEX(Profils!$AH$5:$AH$34,$AE592)&lt;=$AH592),ROUND(INDEX(Profils!$S$5:$S$34,$AE592)*Paramètres!$E$35*$AG592*$AJ592,Paramètres!$F$35),0)</f>
        <v>0</v>
      </c>
      <c r="Z592" s="21" t="n">
        <f aca="false">ROUND(L592/Paramètres!$E$22+M592/Paramètres!$E$23+N592/Paramètres!$E$24+O592/Paramètres!$E$25+P592/Paramètres!$E$26+Q592/Paramètres!$E$27+R592/Paramètres!$E$28+S592/Paramètres!$E$29+T592/Paramètres!$E$30+U592/Paramètres!$E$31+V592/Paramètres!$E$32+W592/Paramètres!$E$33+X592/Paramètres!$E$34+Y592/Paramètres!$E$35,1)</f>
        <v>13.4</v>
      </c>
      <c r="AA592" s="22" t="s">
        <v>109</v>
      </c>
      <c r="AB592" s="22" t="s">
        <v>109</v>
      </c>
      <c r="AC592" s="15" t="str">
        <f aca="false">$E592</f>
        <v>éther</v>
      </c>
      <c r="AD592" s="16" t="n">
        <f aca="false" t="array" ref="AD592:AD592">IF($I592&gt;=$AI592,"Max",ROUND(Paramètres!$B$40*($I592+1)^Paramètres!$B$41*INDEX(Paramètres!$H$6:$H$12,$AF592),0))</f>
        <v>6</v>
      </c>
      <c r="AE592" s="23" t="n">
        <f aca="false">MATCH($B592&amp;"|"&amp;$C592,Profils!$A$5:$A$34,0)</f>
        <v>19</v>
      </c>
      <c r="AF592" s="23" t="n">
        <v>5</v>
      </c>
      <c r="AG592" s="24" t="n">
        <f aca="false" t="array" ref="AG592:AG592">INDEX(Paramètres!$C$6:$C$12,$AF592)</f>
        <v>2.1</v>
      </c>
      <c r="AH592" s="23" t="n">
        <f aca="false" t="array" ref="AH592:AH592">INDEX(Paramètres!$D$6:$D$12,$AF592)</f>
        <v>6</v>
      </c>
      <c r="AI592" s="23" t="n">
        <f aca="false" t="array" ref="AI592:AI592">INDEX(Matériaux!$C$16:$C$20,$D592)</f>
        <v>30</v>
      </c>
      <c r="AJ592" s="25" t="n">
        <f aca="false">Paramètres!$B$16+(1-Paramètres!$B$16)*(($J592-Paramètres!$B$14)/(Paramètres!$B$15-Paramètres!$B$14))^Paramètres!$B$17</f>
        <v>0.665999387952727</v>
      </c>
    </row>
    <row r="593" customFormat="false" ht="15.75" hidden="false" customHeight="true" outlineLevel="0" collapsed="false">
      <c r="A593" s="14" t="s">
        <v>709</v>
      </c>
      <c r="B593" s="15" t="s">
        <v>29</v>
      </c>
      <c r="C593" s="15" t="s">
        <v>369</v>
      </c>
      <c r="D593" s="16" t="n">
        <v>5</v>
      </c>
      <c r="E593" s="15" t="str">
        <f aca="false" t="array" ref="E593:E593">INDEX(Matériaux!$B$5:$F$12,MATCH(INDEX(Profils!$E$5:$E$34,$AE593),Matériaux!$A$5:$A$12,0),$D593)</f>
        <v>éther</v>
      </c>
      <c r="F593" s="30" t="s">
        <v>119</v>
      </c>
      <c r="G593" s="10" t="str">
        <f aca="false" t="array" ref="G593:G593">INDEX(Profils!$D$5:$D$34,$AE593)&amp;" en "&amp;$E593</f>
        <v>Bâton en éther</v>
      </c>
      <c r="H593" s="16" t="n">
        <f aca="false" t="array" ref="H593:H593">INDEX(Matériaux!$B$16:$B$20,$D593)</f>
        <v>70</v>
      </c>
      <c r="I593" s="16" t="n">
        <f aca="false">IF(ISNUMBER($C$3),MIN(MAX(0,ROUND($C$3,0)),$AI593),$AI593)</f>
        <v>0</v>
      </c>
      <c r="J593" s="18" t="n">
        <f aca="false">$H593+$I593</f>
        <v>70</v>
      </c>
      <c r="K593" s="15" t="s">
        <v>109</v>
      </c>
      <c r="L593" s="19" t="n">
        <f aca="false" t="array" ref="L593:L593">IF(AND(INDEX(Profils!$F$5:$F$34,$AE593)&gt;0,INDEX(Profils!$U$5:$U$34,$AE593)&lt;=$AH593),ROUND(INDEX(Profils!$F$5:$F$34,$AE593)*Paramètres!$E$22*$AG593*$AJ593,Paramètres!$F$22),0)</f>
        <v>32</v>
      </c>
      <c r="M593" s="19" t="n">
        <f aca="false" t="array" ref="M593:M593">IF(AND(INDEX(Profils!$G$5:$G$34,$AE593)&gt;0,INDEX(Profils!$V$5:$V$34,$AE593)&lt;=$AH593),ROUND(INDEX(Profils!$G$5:$G$34,$AE593)*Paramètres!$E$23*$AG593*$AJ593,Paramètres!$F$23),0)</f>
        <v>0</v>
      </c>
      <c r="N593" s="19" t="n">
        <f aca="false" t="array" ref="N593:N593">IF(AND(INDEX(Profils!$H$5:$H$34,$AE593)&gt;0,INDEX(Profils!$W$5:$W$34,$AE593)&lt;=$AH593),ROUND(INDEX(Profils!$H$5:$H$34,$AE593)*Paramètres!$E$24*$AG593*$AJ593,Paramètres!$F$24),0)</f>
        <v>0</v>
      </c>
      <c r="O593" s="19" t="n">
        <f aca="false" t="array" ref="O593:O593">IF(AND(INDEX(Profils!$I$5:$I$34,$AE593)&gt;0,INDEX(Profils!$X$5:$X$34,$AE593)&lt;=$AH593),ROUND(INDEX(Profils!$I$5:$I$34,$AE593)*Paramètres!$E$25*$AG593*$AJ593,Paramètres!$F$25),0)</f>
        <v>58</v>
      </c>
      <c r="P593" s="19" t="n">
        <f aca="false" t="array" ref="P593:P593">IF(AND(INDEX(Profils!$J$5:$J$34,$AE593)&gt;0,INDEX(Profils!$Y$5:$Y$34,$AE593)&lt;=$AH593),ROUND(INDEX(Profils!$J$5:$J$34,$AE593)*Paramètres!$E$26*$AG593*$AJ593,Paramètres!$F$26),0)</f>
        <v>0</v>
      </c>
      <c r="Q593" s="19" t="n">
        <f aca="false" t="array" ref="Q593:Q593">IF(AND(INDEX(Profils!$K$5:$K$34,$AE593)&gt;0,INDEX(Profils!$Z$5:$Z$34,$AE593)&lt;=$AH593),ROUND(INDEX(Profils!$K$5:$K$34,$AE593)*Paramètres!$E$27*$AG593*$AJ593,Paramètres!$F$27),0)</f>
        <v>0</v>
      </c>
      <c r="R593" s="20" t="n">
        <f aca="false" t="array" ref="R593:R593">IF(AND(INDEX(Profils!$L$5:$L$34,$AE593)&gt;0,INDEX(Profils!$AA$5:$AA$34,$AE593)&lt;=$AH593),ROUND(INDEX(Profils!$L$5:$L$34,$AE593)*Paramètres!$E$28*$AG593*$AJ593,Paramètres!$F$28),0)</f>
        <v>0.029</v>
      </c>
      <c r="S593" s="20" t="n">
        <f aca="false" t="array" ref="S593:S593">IF(AND(INDEX(Profils!$M$5:$M$34,$AE593)&gt;0,INDEX(Profils!$AB$5:$AB$34,$AE593)&lt;=$AH593),ROUND(INDEX(Profils!$M$5:$M$34,$AE593)*Paramètres!$E$29*$AG593*$AJ593,Paramètres!$F$29),0)</f>
        <v>0.031</v>
      </c>
      <c r="T593" s="20" t="n">
        <f aca="false" t="array" ref="T593:T593">IF(AND(INDEX(Profils!$N$5:$N$34,$AE593)&gt;0,INDEX(Profils!$AC$5:$AC$34,$AE593)&lt;=$AH593),ROUND(INDEX(Profils!$N$5:$N$34,$AE593)*Paramètres!$E$30*$AG593*$AJ593,Paramètres!$F$30),0)</f>
        <v>0.077</v>
      </c>
      <c r="U593" s="19" t="n">
        <f aca="false" t="array" ref="U593:U593">IF(AND(INDEX(Profils!$O$5:$O$34,$AE593)&gt;0,INDEX(Profils!$AD$5:$AD$34,$AE593)&lt;=$AH593),ROUND(INDEX(Profils!$O$5:$O$34,$AE593)*Paramètres!$E$31*$AG593*$AJ593,Paramètres!$F$31),0)</f>
        <v>0</v>
      </c>
      <c r="V593" s="20" t="n">
        <f aca="false" t="array" ref="V593:V593">IF(AND(INDEX(Profils!$P$5:$P$34,$AE593)&gt;0,INDEX(Profils!$AE$5:$AE$34,$AE593)&lt;=$AH593),ROUND(INDEX(Profils!$P$5:$P$34,$AE593)*Paramètres!$E$32*$AG593*$AJ593,Paramètres!$F$32),0)</f>
        <v>0.043</v>
      </c>
      <c r="W593" s="20" t="n">
        <f aca="false" t="array" ref="W593:W593">IF(AND(INDEX(Profils!$Q$5:$Q$34,$AE593)&gt;0,INDEX(Profils!$AF$5:$AF$34,$AE593)&lt;=$AH593),ROUND(INDEX(Profils!$Q$5:$Q$34,$AE593)*Paramètres!$E$33*$AG593*$AJ593,Paramètres!$F$33),0)</f>
        <v>0</v>
      </c>
      <c r="X593" s="20" t="n">
        <f aca="false" t="array" ref="X593:X593">IF(AND(INDEX(Profils!$R$5:$R$34,$AE593)&gt;0,INDEX(Profils!$AG$5:$AG$34,$AE593)&lt;=$AH593),ROUND(INDEX(Profils!$R$5:$R$34,$AE593)*Paramètres!$E$34*$AG593*$AJ593,Paramètres!$F$34),0)</f>
        <v>0.032</v>
      </c>
      <c r="Y593" s="20" t="n">
        <f aca="false" t="array" ref="Y593:Y593">IF(AND(INDEX(Profils!$S$5:$S$34,$AE593)&gt;0,INDEX(Profils!$AH$5:$AH$34,$AE593)&lt;=$AH593),ROUND(INDEX(Profils!$S$5:$S$34,$AE593)*Paramètres!$E$35*$AG593*$AJ593,Paramètres!$F$35),0)</f>
        <v>0</v>
      </c>
      <c r="Z593" s="21" t="n">
        <f aca="false">ROUND(L593/Paramètres!$E$22+M593/Paramètres!$E$23+N593/Paramètres!$E$24+O593/Paramètres!$E$25+P593/Paramètres!$E$26+Q593/Paramètres!$E$27+R593/Paramètres!$E$28+S593/Paramètres!$E$29+T593/Paramètres!$E$30+U593/Paramètres!$E$31+V593/Paramètres!$E$32+W593/Paramètres!$E$33+X593/Paramètres!$E$34+Y593/Paramètres!$E$35,1)</f>
        <v>16.7</v>
      </c>
      <c r="AA593" s="22" t="s">
        <v>109</v>
      </c>
      <c r="AB593" s="22" t="s">
        <v>109</v>
      </c>
      <c r="AC593" s="15" t="str">
        <f aca="false">$E593</f>
        <v>éther</v>
      </c>
      <c r="AD593" s="16" t="n">
        <f aca="false" t="array" ref="AD593:AD593">IF($I593&gt;=$AI593,"Max",ROUND(Paramètres!$B$40*($I593+1)^Paramètres!$B$41*INDEX(Paramètres!$H$6:$H$12,$AF593),0))</f>
        <v>8</v>
      </c>
      <c r="AE593" s="23" t="n">
        <f aca="false">MATCH($B593&amp;"|"&amp;$C593,Profils!$A$5:$A$34,0)</f>
        <v>19</v>
      </c>
      <c r="AF593" s="23" t="n">
        <v>6</v>
      </c>
      <c r="AG593" s="24" t="n">
        <f aca="false" t="array" ref="AG593:AG593">INDEX(Paramètres!$C$6:$C$12,$AF593)</f>
        <v>2.4</v>
      </c>
      <c r="AH593" s="23" t="n">
        <f aca="false" t="array" ref="AH593:AH593">INDEX(Paramètres!$D$6:$D$12,$AF593)</f>
        <v>7</v>
      </c>
      <c r="AI593" s="23" t="n">
        <f aca="false" t="array" ref="AI593:AI593">INDEX(Matériaux!$C$16:$C$20,$D593)</f>
        <v>30</v>
      </c>
      <c r="AJ593" s="25" t="n">
        <f aca="false">Paramètres!$B$16+(1-Paramètres!$B$16)*(($J593-Paramètres!$B$14)/(Paramètres!$B$15-Paramètres!$B$14))^Paramètres!$B$17</f>
        <v>0.665999387952727</v>
      </c>
    </row>
    <row r="594" customFormat="false" ht="15.75" hidden="false" customHeight="true" outlineLevel="0" collapsed="false">
      <c r="A594" s="14" t="s">
        <v>710</v>
      </c>
      <c r="B594" s="15" t="s">
        <v>29</v>
      </c>
      <c r="C594" s="15" t="s">
        <v>369</v>
      </c>
      <c r="D594" s="16" t="s">
        <v>109</v>
      </c>
      <c r="E594" s="15" t="s">
        <v>109</v>
      </c>
      <c r="F594" s="31" t="s">
        <v>38</v>
      </c>
      <c r="G594" s="10" t="str">
        <f aca="false" t="array" ref="G594:G594">INDEX(Uniques!$E$5:$E$34,MATCH($B594&amp;"|"&amp;$C594,Uniques!$A$5:$A$34,0))</f>
        <v>Bâton de la Singularité</v>
      </c>
      <c r="H594" s="16" t="n">
        <f aca="false" t="array" ref="H594:H594">INDEX(Uniques!$L$5:$L$34,MATCH($B594&amp;"|"&amp;$C594,Uniques!$A$5:$A$34,0))</f>
        <v>1</v>
      </c>
      <c r="I594" s="16" t="n">
        <f aca="false">IF(ISNUMBER($C$3),MIN(MAX(0,ROUND($C$3,0)),$AI594),$AI594)</f>
        <v>0</v>
      </c>
      <c r="J594" s="18" t="n">
        <f aca="false">$H594+$I594</f>
        <v>1</v>
      </c>
      <c r="K594" s="15" t="str">
        <f aca="false" t="array" ref="K594:K594">INDEX(Uniques!$F$5:$F$34,MATCH($B594&amp;"|"&amp;$C594,Uniques!$A$5:$A$34,0))</f>
        <v>Neutre</v>
      </c>
      <c r="L594" s="19" t="n">
        <f aca="false" t="array" ref="L594:L594">IF(AND(INDEX(Profils!$F$5:$F$34,$AE594)&gt;0,INDEX(Profils!$U$5:$U$34,$AE594)&lt;=$AH594),ROUND(INDEX(Profils!$F$5:$F$34,$AE594)*Paramètres!$E$22*$AG594*$AJ594,Paramètres!$F$22),0)</f>
        <v>3</v>
      </c>
      <c r="M594" s="19" t="n">
        <f aca="false" t="array" ref="M594:M594">IF(AND(INDEX(Profils!$G$5:$G$34,$AE594)&gt;0,INDEX(Profils!$V$5:$V$34,$AE594)&lt;=$AH594),ROUND(INDEX(Profils!$G$5:$G$34,$AE594)*Paramètres!$E$23*$AG594*$AJ594,Paramètres!$F$23),0)</f>
        <v>0</v>
      </c>
      <c r="N594" s="19" t="n">
        <f aca="false" t="array" ref="N594:N594">IF(AND(INDEX(Profils!$H$5:$H$34,$AE594)&gt;0,INDEX(Profils!$W$5:$W$34,$AE594)&lt;=$AH594),ROUND(INDEX(Profils!$H$5:$H$34,$AE594)*Paramètres!$E$24*$AG594*$AJ594,Paramètres!$F$24),0)</f>
        <v>0</v>
      </c>
      <c r="O594" s="19" t="n">
        <f aca="false" t="array" ref="O594:O594">IF(AND(INDEX(Profils!$I$5:$I$34,$AE594)&gt;0,INDEX(Profils!$X$5:$X$34,$AE594)&lt;=$AH594),ROUND(INDEX(Profils!$I$5:$I$34,$AE594)*Paramètres!$E$25*$AG594*$AJ594,Paramètres!$F$25),0)</f>
        <v>5</v>
      </c>
      <c r="P594" s="19" t="n">
        <f aca="false" t="array" ref="P594:P594">IF(AND(INDEX(Profils!$J$5:$J$34,$AE594)&gt;0,INDEX(Profils!$Y$5:$Y$34,$AE594)&lt;=$AH594),ROUND(INDEX(Profils!$J$5:$J$34,$AE594)*Paramètres!$E$26*$AG594*$AJ594,Paramètres!$F$26),0)</f>
        <v>0</v>
      </c>
      <c r="Q594" s="19" t="n">
        <f aca="false" t="array" ref="Q594:Q594">IF(AND(INDEX(Profils!$K$5:$K$34,$AE594)&gt;0,INDEX(Profils!$Z$5:$Z$34,$AE594)&lt;=$AH594),ROUND(INDEX(Profils!$K$5:$K$34,$AE594)*Paramètres!$E$27*$AG594*$AJ594,Paramètres!$F$27),0)</f>
        <v>0</v>
      </c>
      <c r="R594" s="20" t="n">
        <f aca="false" t="array" ref="R594:R594">IF(AND(INDEX(Profils!$L$5:$L$34,$AE594)&gt;0,INDEX(Profils!$AA$5:$AA$34,$AE594)&lt;=$AH594),ROUND(INDEX(Profils!$L$5:$L$34,$AE594)*Paramètres!$E$28*$AG594*$AJ594,Paramètres!$F$28),0)</f>
        <v>0.002</v>
      </c>
      <c r="S594" s="20" t="n">
        <f aca="false" t="array" ref="S594:S594">IF(AND(INDEX(Profils!$M$5:$M$34,$AE594)&gt;0,INDEX(Profils!$AB$5:$AB$34,$AE594)&lt;=$AH594),ROUND(INDEX(Profils!$M$5:$M$34,$AE594)*Paramètres!$E$29*$AG594*$AJ594,Paramètres!$F$29),0)</f>
        <v>0.002</v>
      </c>
      <c r="T594" s="20" t="n">
        <f aca="false" t="array" ref="T594:T594">IF(AND(INDEX(Profils!$N$5:$N$34,$AE594)&gt;0,INDEX(Profils!$AC$5:$AC$34,$AE594)&lt;=$AH594),ROUND(INDEX(Profils!$N$5:$N$34,$AE594)*Paramètres!$E$30*$AG594*$AJ594,Paramètres!$F$30),0)</f>
        <v>0.006</v>
      </c>
      <c r="U594" s="19" t="n">
        <f aca="false" t="array" ref="U594:U594">IF(AND(INDEX(Profils!$O$5:$O$34,$AE594)&gt;0,INDEX(Profils!$AD$5:$AD$34,$AE594)&lt;=$AH594),ROUND(INDEX(Profils!$O$5:$O$34,$AE594)*Paramètres!$E$31*$AG594*$AJ594,Paramètres!$F$31),0)</f>
        <v>0</v>
      </c>
      <c r="V594" s="20" t="n">
        <f aca="false" t="array" ref="V594:V594">IF(AND(INDEX(Profils!$P$5:$P$34,$AE594)&gt;0,INDEX(Profils!$AE$5:$AE$34,$AE594)&lt;=$AH594),ROUND(INDEX(Profils!$P$5:$P$34,$AE594)*Paramètres!$E$32*$AG594*$AJ594,Paramètres!$F$32),0)</f>
        <v>0.003</v>
      </c>
      <c r="W594" s="20" t="n">
        <f aca="false" t="array" ref="W594:W594">IF(AND(INDEX(Profils!$Q$5:$Q$34,$AE594)&gt;0,INDEX(Profils!$AF$5:$AF$34,$AE594)&lt;=$AH594),ROUND(INDEX(Profils!$Q$5:$Q$34,$AE594)*Paramètres!$E$33*$AG594*$AJ594,Paramètres!$F$33),0)</f>
        <v>0</v>
      </c>
      <c r="X594" s="20" t="n">
        <f aca="false" t="array" ref="X594:X594">IF(AND(INDEX(Profils!$R$5:$R$34,$AE594)&gt;0,INDEX(Profils!$AG$5:$AG$34,$AE594)&lt;=$AH594),ROUND(INDEX(Profils!$R$5:$R$34,$AE594)*Paramètres!$E$34*$AG594*$AJ594,Paramètres!$F$34),0)</f>
        <v>0.003</v>
      </c>
      <c r="Y594" s="20" t="n">
        <f aca="false" t="array" ref="Y594:Y594">IF(AND(INDEX(Profils!$S$5:$S$34,$AE594)&gt;0,INDEX(Profils!$AH$5:$AH$34,$AE594)&lt;=$AH594),ROUND(INDEX(Profils!$S$5:$S$34,$AE594)*Paramètres!$E$35*$AG594*$AJ594,Paramètres!$F$35),0)</f>
        <v>0</v>
      </c>
      <c r="Z594" s="21" t="n">
        <f aca="false">ROUND(L594/Paramètres!$E$22+M594/Paramètres!$E$23+N594/Paramètres!$E$24+O594/Paramètres!$E$25+P594/Paramètres!$E$26+Q594/Paramètres!$E$27+R594/Paramètres!$E$28+S594/Paramètres!$E$29+T594/Paramètres!$E$30+U594/Paramètres!$E$31+V594/Paramètres!$E$32+W594/Paramètres!$E$33+X594/Paramètres!$E$34+Y594/Paramètres!$E$35,1)</f>
        <v>1.3</v>
      </c>
      <c r="AA594" s="22" t="str">
        <f aca="false" t="array" ref="AA594:AA594">INDEX(Uniques!$G$5:$G$34,MATCH($B594&amp;"|"&amp;$C594,Uniques!$A$5:$A$34,0))</f>
        <v>Surcharge arcanique</v>
      </c>
      <c r="AB594" s="22" t="str">
        <f aca="false" t="array" ref="AB594:AB594">INDEX(Uniques!$H$5:$H$34,MATCH($B594&amp;"|"&amp;$C594,Uniques!$A$5:$A$34,0))&amp;" ["&amp;INDEX(Uniques!$I$5:$I$34,MATCH($B594&amp;"|"&amp;$C594,Uniques!$A$5:$A$34,0))&amp;"]"</f>
        <v>Chaque compétence lancée donne 1 charge ; à 5 charges, la compétence suivante inflige +60 % de dégâts et consomme les charges. [5 charges max ; réinitialisées à la fin du combat.]</v>
      </c>
      <c r="AC594" s="15" t="str">
        <f aca="false" t="array" ref="AC594:AC594">INDEX(Matériaux!$B$5:$F$12,MATCH(INDEX(Profils!$E$5:$E$34,$AE594),Matériaux!$A$5:$A$12,0),MATCH(MIN($J594+1,100),Matériaux!$B$16:$B$20,1))</f>
        <v>bois</v>
      </c>
      <c r="AD594" s="16" t="n">
        <f aca="false" t="array" ref="AD594:AD594">IF($I594&gt;=$AI594,"Max",ROUND(Paramètres!$B$40*($I594+1)^Paramètres!$B$41*INDEX(Paramètres!$H$6:$H$12,$AF594),0))</f>
        <v>9</v>
      </c>
      <c r="AE594" s="23" t="n">
        <f aca="false">MATCH($B594&amp;"|"&amp;$C594,Profils!$A$5:$A$34,0)</f>
        <v>19</v>
      </c>
      <c r="AF594" s="23" t="n">
        <v>7</v>
      </c>
      <c r="AG594" s="24" t="n">
        <f aca="false" t="array" ref="AG594:AG594">INDEX(Paramètres!$C$6:$C$12,$AF594)</f>
        <v>2.5</v>
      </c>
      <c r="AH594" s="23" t="n">
        <f aca="false" t="array" ref="AH594:AH594">INDEX(Paramètres!$D$6:$D$12,$AF594)</f>
        <v>7</v>
      </c>
      <c r="AI594" s="23" t="n">
        <f aca="false" t="array" ref="AI594:AI594">INDEX(Uniques!$M$5:$M$34,MATCH($B594&amp;"|"&amp;$C594,Uniques!$A$5:$A$34,0))</f>
        <v>99</v>
      </c>
      <c r="AJ594" s="25" t="n">
        <f aca="false">Paramètres!$B$16+(1-Paramètres!$B$16)*(($J594-Paramètres!$B$14)/(Paramètres!$B$15-Paramètres!$B$14))^Paramètres!$B$17</f>
        <v>0.05</v>
      </c>
    </row>
    <row r="595" customFormat="false" ht="15.75" hidden="false" customHeight="true" outlineLevel="0" collapsed="false">
      <c r="A595" s="14" t="s">
        <v>711</v>
      </c>
      <c r="B595" s="15" t="s">
        <v>29</v>
      </c>
      <c r="C595" s="15" t="s">
        <v>401</v>
      </c>
      <c r="D595" s="16" t="n">
        <v>1</v>
      </c>
      <c r="E595" s="15" t="str">
        <f aca="false" t="array" ref="E595:E595">INDEX(Matériaux!$B$5:$F$12,MATCH(INDEX(Profils!$E$5:$E$34,$AE595),Matériaux!$A$5:$A$12,0),$D595)</f>
        <v>verre</v>
      </c>
      <c r="F595" s="17" t="s">
        <v>108</v>
      </c>
      <c r="G595" s="10" t="str">
        <f aca="false" t="array" ref="G595:G595">INDEX(Profils!$D$5:$D$34,$AE595)&amp;" en "&amp;$E595</f>
        <v>Orbe en verre</v>
      </c>
      <c r="H595" s="16" t="n">
        <f aca="false" t="array" ref="H595:H595">INDEX(Matériaux!$B$16:$B$20,$D595)</f>
        <v>1</v>
      </c>
      <c r="I595" s="16" t="n">
        <f aca="false">IF(ISNUMBER($C$3),MIN(MAX(0,ROUND($C$3,0)),$AI595),$AI595)</f>
        <v>0</v>
      </c>
      <c r="J595" s="18" t="n">
        <f aca="false">$H595+$I595</f>
        <v>1</v>
      </c>
      <c r="K595" s="15" t="s">
        <v>109</v>
      </c>
      <c r="L595" s="19" t="n">
        <f aca="false" t="array" ref="L595:L595">IF(AND(INDEX(Profils!$F$5:$F$34,$AE595)&gt;0,INDEX(Profils!$U$5:$U$34,$AE595)&lt;=$AH595),ROUND(INDEX(Profils!$F$5:$F$34,$AE595)*Paramètres!$E$22*$AG595*$AJ595,Paramètres!$F$22),0)</f>
        <v>0</v>
      </c>
      <c r="M595" s="19" t="n">
        <f aca="false" t="array" ref="M595:M595">IF(AND(INDEX(Profils!$G$5:$G$34,$AE595)&gt;0,INDEX(Profils!$V$5:$V$34,$AE595)&lt;=$AH595),ROUND(INDEX(Profils!$G$5:$G$34,$AE595)*Paramètres!$E$23*$AG595*$AJ595,Paramètres!$F$23),0)</f>
        <v>0</v>
      </c>
      <c r="N595" s="19" t="n">
        <f aca="false" t="array" ref="N595:N595">IF(AND(INDEX(Profils!$H$5:$H$34,$AE595)&gt;0,INDEX(Profils!$W$5:$W$34,$AE595)&lt;=$AH595),ROUND(INDEX(Profils!$H$5:$H$34,$AE595)*Paramètres!$E$24*$AG595*$AJ595,Paramètres!$F$24),0)</f>
        <v>0</v>
      </c>
      <c r="O595" s="19" t="n">
        <f aca="false" t="array" ref="O595:O595">IF(AND(INDEX(Profils!$I$5:$I$34,$AE595)&gt;0,INDEX(Profils!$X$5:$X$34,$AE595)&lt;=$AH595),ROUND(INDEX(Profils!$I$5:$I$34,$AE595)*Paramètres!$E$25*$AG595*$AJ595,Paramètres!$F$25),0)</f>
        <v>1</v>
      </c>
      <c r="P595" s="19" t="n">
        <f aca="false" t="array" ref="P595:P595">IF(AND(INDEX(Profils!$J$5:$J$34,$AE595)&gt;0,INDEX(Profils!$Y$5:$Y$34,$AE595)&lt;=$AH595),ROUND(INDEX(Profils!$J$5:$J$34,$AE595)*Paramètres!$E$26*$AG595*$AJ595,Paramètres!$F$26),0)</f>
        <v>0</v>
      </c>
      <c r="Q595" s="19" t="n">
        <f aca="false" t="array" ref="Q595:Q595">IF(AND(INDEX(Profils!$K$5:$K$34,$AE595)&gt;0,INDEX(Profils!$Z$5:$Z$34,$AE595)&lt;=$AH595),ROUND(INDEX(Profils!$K$5:$K$34,$AE595)*Paramètres!$E$27*$AG595*$AJ595,Paramètres!$F$27),0)</f>
        <v>0</v>
      </c>
      <c r="R595" s="20" t="n">
        <f aca="false" t="array" ref="R595:R595">IF(AND(INDEX(Profils!$L$5:$L$34,$AE595)&gt;0,INDEX(Profils!$AA$5:$AA$34,$AE595)&lt;=$AH595),ROUND(INDEX(Profils!$L$5:$L$34,$AE595)*Paramètres!$E$28*$AG595*$AJ595,Paramètres!$F$28),0)</f>
        <v>0</v>
      </c>
      <c r="S595" s="20" t="n">
        <f aca="false" t="array" ref="S595:S595">IF(AND(INDEX(Profils!$M$5:$M$34,$AE595)&gt;0,INDEX(Profils!$AB$5:$AB$34,$AE595)&lt;=$AH595),ROUND(INDEX(Profils!$M$5:$M$34,$AE595)*Paramètres!$E$29*$AG595*$AJ595,Paramètres!$F$29),0)</f>
        <v>0</v>
      </c>
      <c r="T595" s="20" t="n">
        <f aca="false" t="array" ref="T595:T595">IF(AND(INDEX(Profils!$N$5:$N$34,$AE595)&gt;0,INDEX(Profils!$AC$5:$AC$34,$AE595)&lt;=$AH595),ROUND(INDEX(Profils!$N$5:$N$34,$AE595)*Paramètres!$E$30*$AG595*$AJ595,Paramètres!$F$30),0)</f>
        <v>0</v>
      </c>
      <c r="U595" s="19" t="n">
        <f aca="false" t="array" ref="U595:U595">IF(AND(INDEX(Profils!$O$5:$O$34,$AE595)&gt;0,INDEX(Profils!$AD$5:$AD$34,$AE595)&lt;=$AH595),ROUND(INDEX(Profils!$O$5:$O$34,$AE595)*Paramètres!$E$31*$AG595*$AJ595,Paramètres!$F$31),0)</f>
        <v>0</v>
      </c>
      <c r="V595" s="20" t="n">
        <f aca="false" t="array" ref="V595:V595">IF(AND(INDEX(Profils!$P$5:$P$34,$AE595)&gt;0,INDEX(Profils!$AE$5:$AE$34,$AE595)&lt;=$AH595),ROUND(INDEX(Profils!$P$5:$P$34,$AE595)*Paramètres!$E$32*$AG595*$AJ595,Paramètres!$F$32),0)</f>
        <v>0</v>
      </c>
      <c r="W595" s="20" t="n">
        <f aca="false" t="array" ref="W595:W595">IF(AND(INDEX(Profils!$Q$5:$Q$34,$AE595)&gt;0,INDEX(Profils!$AF$5:$AF$34,$AE595)&lt;=$AH595),ROUND(INDEX(Profils!$Q$5:$Q$34,$AE595)*Paramètres!$E$33*$AG595*$AJ595,Paramètres!$F$33),0)</f>
        <v>0</v>
      </c>
      <c r="X595" s="20" t="n">
        <f aca="false" t="array" ref="X595:X595">IF(AND(INDEX(Profils!$R$5:$R$34,$AE595)&gt;0,INDEX(Profils!$AG$5:$AG$34,$AE595)&lt;=$AH595),ROUND(INDEX(Profils!$R$5:$R$34,$AE595)*Paramètres!$E$34*$AG595*$AJ595,Paramètres!$F$34),0)</f>
        <v>0.002</v>
      </c>
      <c r="Y595" s="20" t="n">
        <f aca="false" t="array" ref="Y595:Y595">IF(AND(INDEX(Profils!$S$5:$S$34,$AE595)&gt;0,INDEX(Profils!$AH$5:$AH$34,$AE595)&lt;=$AH595),ROUND(INDEX(Profils!$S$5:$S$34,$AE595)*Paramètres!$E$35*$AG595*$AJ595,Paramètres!$F$35),0)</f>
        <v>0</v>
      </c>
      <c r="Z595" s="21" t="n">
        <f aca="false">ROUND(L595/Paramètres!$E$22+M595/Paramètres!$E$23+N595/Paramètres!$E$24+O595/Paramètres!$E$25+P595/Paramètres!$E$26+Q595/Paramètres!$E$27+R595/Paramètres!$E$28+S595/Paramètres!$E$29+T595/Paramètres!$E$30+U595/Paramètres!$E$31+V595/Paramètres!$E$32+W595/Paramètres!$E$33+X595/Paramètres!$E$34+Y595/Paramètres!$E$35,1)</f>
        <v>0.2</v>
      </c>
      <c r="AA595" s="22" t="s">
        <v>109</v>
      </c>
      <c r="AB595" s="22" t="s">
        <v>109</v>
      </c>
      <c r="AC595" s="15" t="str">
        <f aca="false">$E595</f>
        <v>verre</v>
      </c>
      <c r="AD595" s="16" t="n">
        <f aca="false" t="array" ref="AD595:AD595">IF($I595&gt;=$AI595,"Max",ROUND(Paramètres!$B$40*($I595+1)^Paramètres!$B$41*INDEX(Paramètres!$H$6:$H$12,$AF595),0))</f>
        <v>3</v>
      </c>
      <c r="AE595" s="23" t="n">
        <f aca="false">MATCH($B595&amp;"|"&amp;$C595,Profils!$A$5:$A$34,0)</f>
        <v>20</v>
      </c>
      <c r="AF595" s="23" t="n">
        <v>1</v>
      </c>
      <c r="AG595" s="24" t="n">
        <f aca="false" t="array" ref="AG595:AG595">INDEX(Paramètres!$C$6:$C$12,$AF595)</f>
        <v>1</v>
      </c>
      <c r="AH595" s="23" t="n">
        <f aca="false" t="array" ref="AH595:AH595">INDEX(Paramètres!$D$6:$D$12,$AF595)</f>
        <v>2</v>
      </c>
      <c r="AI595" s="23" t="n">
        <f aca="false" t="array" ref="AI595:AI595">INDEX(Matériaux!$C$16:$C$20,$D595)</f>
        <v>19</v>
      </c>
      <c r="AJ595" s="25" t="n">
        <f aca="false">Paramètres!$B$16+(1-Paramètres!$B$16)*(($J595-Paramètres!$B$14)/(Paramètres!$B$15-Paramètres!$B$14))^Paramètres!$B$17</f>
        <v>0.05</v>
      </c>
    </row>
    <row r="596" customFormat="false" ht="15.75" hidden="false" customHeight="true" outlineLevel="0" collapsed="false">
      <c r="A596" s="14" t="s">
        <v>712</v>
      </c>
      <c r="B596" s="15" t="s">
        <v>29</v>
      </c>
      <c r="C596" s="15" t="s">
        <v>401</v>
      </c>
      <c r="D596" s="16" t="n">
        <v>1</v>
      </c>
      <c r="E596" s="15" t="str">
        <f aca="false" t="array" ref="E596:E596">INDEX(Matériaux!$B$5:$F$12,MATCH(INDEX(Profils!$E$5:$E$34,$AE596),Matériaux!$A$5:$A$12,0),$D596)</f>
        <v>verre</v>
      </c>
      <c r="F596" s="26" t="s">
        <v>111</v>
      </c>
      <c r="G596" s="10" t="str">
        <f aca="false" t="array" ref="G596:G596">INDEX(Profils!$D$5:$D$34,$AE596)&amp;" en "&amp;$E596</f>
        <v>Orbe en verre</v>
      </c>
      <c r="H596" s="16" t="n">
        <f aca="false" t="array" ref="H596:H596">INDEX(Matériaux!$B$16:$B$20,$D596)</f>
        <v>1</v>
      </c>
      <c r="I596" s="16" t="n">
        <f aca="false">IF(ISNUMBER($C$3),MIN(MAX(0,ROUND($C$3,0)),$AI596),$AI596)</f>
        <v>0</v>
      </c>
      <c r="J596" s="18" t="n">
        <f aca="false">$H596+$I596</f>
        <v>1</v>
      </c>
      <c r="K596" s="15" t="s">
        <v>109</v>
      </c>
      <c r="L596" s="19" t="n">
        <f aca="false" t="array" ref="L596:L596">IF(AND(INDEX(Profils!$F$5:$F$34,$AE596)&gt;0,INDEX(Profils!$U$5:$U$34,$AE596)&lt;=$AH596),ROUND(INDEX(Profils!$F$5:$F$34,$AE596)*Paramètres!$E$22*$AG596*$AJ596,Paramètres!$F$22),0)</f>
        <v>0</v>
      </c>
      <c r="M596" s="19" t="n">
        <f aca="false" t="array" ref="M596:M596">IF(AND(INDEX(Profils!$G$5:$G$34,$AE596)&gt;0,INDEX(Profils!$V$5:$V$34,$AE596)&lt;=$AH596),ROUND(INDEX(Profils!$G$5:$G$34,$AE596)*Paramètres!$E$23*$AG596*$AJ596,Paramètres!$F$23),0)</f>
        <v>0</v>
      </c>
      <c r="N596" s="19" t="n">
        <f aca="false" t="array" ref="N596:N596">IF(AND(INDEX(Profils!$H$5:$H$34,$AE596)&gt;0,INDEX(Profils!$W$5:$W$34,$AE596)&lt;=$AH596),ROUND(INDEX(Profils!$H$5:$H$34,$AE596)*Paramètres!$E$24*$AG596*$AJ596,Paramètres!$F$24),0)</f>
        <v>0</v>
      </c>
      <c r="O596" s="19" t="n">
        <f aca="false" t="array" ref="O596:O596">IF(AND(INDEX(Profils!$I$5:$I$34,$AE596)&gt;0,INDEX(Profils!$X$5:$X$34,$AE596)&lt;=$AH596),ROUND(INDEX(Profils!$I$5:$I$34,$AE596)*Paramètres!$E$25*$AG596*$AJ596,Paramètres!$F$25),0)</f>
        <v>1</v>
      </c>
      <c r="P596" s="19" t="n">
        <f aca="false" t="array" ref="P596:P596">IF(AND(INDEX(Profils!$J$5:$J$34,$AE596)&gt;0,INDEX(Profils!$Y$5:$Y$34,$AE596)&lt;=$AH596),ROUND(INDEX(Profils!$J$5:$J$34,$AE596)*Paramètres!$E$26*$AG596*$AJ596,Paramètres!$F$26),0)</f>
        <v>0</v>
      </c>
      <c r="Q596" s="19" t="n">
        <f aca="false" t="array" ref="Q596:Q596">IF(AND(INDEX(Profils!$K$5:$K$34,$AE596)&gt;0,INDEX(Profils!$Z$5:$Z$34,$AE596)&lt;=$AH596),ROUND(INDEX(Profils!$K$5:$K$34,$AE596)*Paramètres!$E$27*$AG596*$AJ596,Paramètres!$F$27),0)</f>
        <v>0</v>
      </c>
      <c r="R596" s="20" t="n">
        <f aca="false" t="array" ref="R596:R596">IF(AND(INDEX(Profils!$L$5:$L$34,$AE596)&gt;0,INDEX(Profils!$AA$5:$AA$34,$AE596)&lt;=$AH596),ROUND(INDEX(Profils!$L$5:$L$34,$AE596)*Paramètres!$E$28*$AG596*$AJ596,Paramètres!$F$28),0)</f>
        <v>0</v>
      </c>
      <c r="S596" s="20" t="n">
        <f aca="false" t="array" ref="S596:S596">IF(AND(INDEX(Profils!$M$5:$M$34,$AE596)&gt;0,INDEX(Profils!$AB$5:$AB$34,$AE596)&lt;=$AH596),ROUND(INDEX(Profils!$M$5:$M$34,$AE596)*Paramètres!$E$29*$AG596*$AJ596,Paramètres!$F$29),0)</f>
        <v>0</v>
      </c>
      <c r="T596" s="20" t="n">
        <f aca="false" t="array" ref="T596:T596">IF(AND(INDEX(Profils!$N$5:$N$34,$AE596)&gt;0,INDEX(Profils!$AC$5:$AC$34,$AE596)&lt;=$AH596),ROUND(INDEX(Profils!$N$5:$N$34,$AE596)*Paramètres!$E$30*$AG596*$AJ596,Paramètres!$F$30),0)</f>
        <v>0</v>
      </c>
      <c r="U596" s="19" t="n">
        <f aca="false" t="array" ref="U596:U596">IF(AND(INDEX(Profils!$O$5:$O$34,$AE596)&gt;0,INDEX(Profils!$AD$5:$AD$34,$AE596)&lt;=$AH596),ROUND(INDEX(Profils!$O$5:$O$34,$AE596)*Paramètres!$E$31*$AG596*$AJ596,Paramètres!$F$31),0)</f>
        <v>0</v>
      </c>
      <c r="V596" s="20" t="n">
        <f aca="false" t="array" ref="V596:V596">IF(AND(INDEX(Profils!$P$5:$P$34,$AE596)&gt;0,INDEX(Profils!$AE$5:$AE$34,$AE596)&lt;=$AH596),ROUND(INDEX(Profils!$P$5:$P$34,$AE596)*Paramètres!$E$32*$AG596*$AJ596,Paramètres!$F$32),0)</f>
        <v>0</v>
      </c>
      <c r="W596" s="20" t="n">
        <f aca="false" t="array" ref="W596:W596">IF(AND(INDEX(Profils!$Q$5:$Q$34,$AE596)&gt;0,INDEX(Profils!$AF$5:$AF$34,$AE596)&lt;=$AH596),ROUND(INDEX(Profils!$Q$5:$Q$34,$AE596)*Paramètres!$E$33*$AG596*$AJ596,Paramètres!$F$33),0)</f>
        <v>0.001</v>
      </c>
      <c r="X596" s="20" t="n">
        <f aca="false" t="array" ref="X596:X596">IF(AND(INDEX(Profils!$R$5:$R$34,$AE596)&gt;0,INDEX(Profils!$AG$5:$AG$34,$AE596)&lt;=$AH596),ROUND(INDEX(Profils!$R$5:$R$34,$AE596)*Paramètres!$E$34*$AG596*$AJ596,Paramètres!$F$34),0)</f>
        <v>0.002</v>
      </c>
      <c r="Y596" s="20" t="n">
        <f aca="false" t="array" ref="Y596:Y596">IF(AND(INDEX(Profils!$S$5:$S$34,$AE596)&gt;0,INDEX(Profils!$AH$5:$AH$34,$AE596)&lt;=$AH596),ROUND(INDEX(Profils!$S$5:$S$34,$AE596)*Paramètres!$E$35*$AG596*$AJ596,Paramètres!$F$35),0)</f>
        <v>0</v>
      </c>
      <c r="Z596" s="21" t="n">
        <f aca="false">ROUND(L596/Paramètres!$E$22+M596/Paramètres!$E$23+N596/Paramètres!$E$24+O596/Paramètres!$E$25+P596/Paramètres!$E$26+Q596/Paramètres!$E$27+R596/Paramètres!$E$28+S596/Paramètres!$E$29+T596/Paramètres!$E$30+U596/Paramètres!$E$31+V596/Paramètres!$E$32+W596/Paramètres!$E$33+X596/Paramètres!$E$34+Y596/Paramètres!$E$35,1)</f>
        <v>0.2</v>
      </c>
      <c r="AA596" s="22" t="s">
        <v>109</v>
      </c>
      <c r="AB596" s="22" t="s">
        <v>109</v>
      </c>
      <c r="AC596" s="15" t="str">
        <f aca="false">$E596</f>
        <v>verre</v>
      </c>
      <c r="AD596" s="16" t="n">
        <f aca="false" t="array" ref="AD596:AD596">IF($I596&gt;=$AI596,"Max",ROUND(Paramètres!$B$40*($I596+1)^Paramètres!$B$41*INDEX(Paramètres!$H$6:$H$12,$AF596),0))</f>
        <v>4</v>
      </c>
      <c r="AE596" s="23" t="n">
        <f aca="false">MATCH($B596&amp;"|"&amp;$C596,Profils!$A$5:$A$34,0)</f>
        <v>20</v>
      </c>
      <c r="AF596" s="23" t="n">
        <v>2</v>
      </c>
      <c r="AG596" s="24" t="n">
        <f aca="false" t="array" ref="AG596:AG596">INDEX(Paramètres!$C$6:$C$12,$AF596)</f>
        <v>1.2</v>
      </c>
      <c r="AH596" s="23" t="n">
        <f aca="false" t="array" ref="AH596:AH596">INDEX(Paramètres!$D$6:$D$12,$AF596)</f>
        <v>3</v>
      </c>
      <c r="AI596" s="23" t="n">
        <f aca="false" t="array" ref="AI596:AI596">INDEX(Matériaux!$C$16:$C$20,$D596)</f>
        <v>19</v>
      </c>
      <c r="AJ596" s="25" t="n">
        <f aca="false">Paramètres!$B$16+(1-Paramètres!$B$16)*(($J596-Paramètres!$B$14)/(Paramètres!$B$15-Paramètres!$B$14))^Paramètres!$B$17</f>
        <v>0.05</v>
      </c>
    </row>
    <row r="597" customFormat="false" ht="15.75" hidden="false" customHeight="true" outlineLevel="0" collapsed="false">
      <c r="A597" s="14" t="s">
        <v>713</v>
      </c>
      <c r="B597" s="15" t="s">
        <v>29</v>
      </c>
      <c r="C597" s="15" t="s">
        <v>401</v>
      </c>
      <c r="D597" s="16" t="n">
        <v>1</v>
      </c>
      <c r="E597" s="15" t="str">
        <f aca="false" t="array" ref="E597:E597">INDEX(Matériaux!$B$5:$F$12,MATCH(INDEX(Profils!$E$5:$E$34,$AE597),Matériaux!$A$5:$A$12,0),$D597)</f>
        <v>verre</v>
      </c>
      <c r="F597" s="27" t="s">
        <v>113</v>
      </c>
      <c r="G597" s="10" t="str">
        <f aca="false" t="array" ref="G597:G597">INDEX(Profils!$D$5:$D$34,$AE597)&amp;" en "&amp;$E597</f>
        <v>Orbe en verre</v>
      </c>
      <c r="H597" s="16" t="n">
        <f aca="false" t="array" ref="H597:H597">INDEX(Matériaux!$B$16:$B$20,$D597)</f>
        <v>1</v>
      </c>
      <c r="I597" s="16" t="n">
        <f aca="false">IF(ISNUMBER($C$3),MIN(MAX(0,ROUND($C$3,0)),$AI597),$AI597)</f>
        <v>0</v>
      </c>
      <c r="J597" s="18" t="n">
        <f aca="false">$H597+$I597</f>
        <v>1</v>
      </c>
      <c r="K597" s="15" t="s">
        <v>109</v>
      </c>
      <c r="L597" s="19" t="n">
        <f aca="false" t="array" ref="L597:L597">IF(AND(INDEX(Profils!$F$5:$F$34,$AE597)&gt;0,INDEX(Profils!$U$5:$U$34,$AE597)&lt;=$AH597),ROUND(INDEX(Profils!$F$5:$F$34,$AE597)*Paramètres!$E$22*$AG597*$AJ597,Paramètres!$F$22),0)</f>
        <v>2</v>
      </c>
      <c r="M597" s="19" t="n">
        <f aca="false" t="array" ref="M597:M597">IF(AND(INDEX(Profils!$G$5:$G$34,$AE597)&gt;0,INDEX(Profils!$V$5:$V$34,$AE597)&lt;=$AH597),ROUND(INDEX(Profils!$G$5:$G$34,$AE597)*Paramètres!$E$23*$AG597*$AJ597,Paramètres!$F$23),0)</f>
        <v>0</v>
      </c>
      <c r="N597" s="19" t="n">
        <f aca="false" t="array" ref="N597:N597">IF(AND(INDEX(Profils!$H$5:$H$34,$AE597)&gt;0,INDEX(Profils!$W$5:$W$34,$AE597)&lt;=$AH597),ROUND(INDEX(Profils!$H$5:$H$34,$AE597)*Paramètres!$E$24*$AG597*$AJ597,Paramètres!$F$24),0)</f>
        <v>0</v>
      </c>
      <c r="O597" s="19" t="n">
        <f aca="false" t="array" ref="O597:O597">IF(AND(INDEX(Profils!$I$5:$I$34,$AE597)&gt;0,INDEX(Profils!$X$5:$X$34,$AE597)&lt;=$AH597),ROUND(INDEX(Profils!$I$5:$I$34,$AE597)*Paramètres!$E$25*$AG597*$AJ597,Paramètres!$F$25),0)</f>
        <v>2</v>
      </c>
      <c r="P597" s="19" t="n">
        <f aca="false" t="array" ref="P597:P597">IF(AND(INDEX(Profils!$J$5:$J$34,$AE597)&gt;0,INDEX(Profils!$Y$5:$Y$34,$AE597)&lt;=$AH597),ROUND(INDEX(Profils!$J$5:$J$34,$AE597)*Paramètres!$E$26*$AG597*$AJ597,Paramètres!$F$26),0)</f>
        <v>0</v>
      </c>
      <c r="Q597" s="19" t="n">
        <f aca="false" t="array" ref="Q597:Q597">IF(AND(INDEX(Profils!$K$5:$K$34,$AE597)&gt;0,INDEX(Profils!$Z$5:$Z$34,$AE597)&lt;=$AH597),ROUND(INDEX(Profils!$K$5:$K$34,$AE597)*Paramètres!$E$27*$AG597*$AJ597,Paramètres!$F$27),0)</f>
        <v>0</v>
      </c>
      <c r="R597" s="20" t="n">
        <f aca="false" t="array" ref="R597:R597">IF(AND(INDEX(Profils!$L$5:$L$34,$AE597)&gt;0,INDEX(Profils!$AA$5:$AA$34,$AE597)&lt;=$AH597),ROUND(INDEX(Profils!$L$5:$L$34,$AE597)*Paramètres!$E$28*$AG597*$AJ597,Paramètres!$F$28),0)</f>
        <v>0</v>
      </c>
      <c r="S597" s="20" t="n">
        <f aca="false" t="array" ref="S597:S597">IF(AND(INDEX(Profils!$M$5:$M$34,$AE597)&gt;0,INDEX(Profils!$AB$5:$AB$34,$AE597)&lt;=$AH597),ROUND(INDEX(Profils!$M$5:$M$34,$AE597)*Paramètres!$E$29*$AG597*$AJ597,Paramètres!$F$29),0)</f>
        <v>0</v>
      </c>
      <c r="T597" s="20" t="n">
        <f aca="false" t="array" ref="T597:T597">IF(AND(INDEX(Profils!$N$5:$N$34,$AE597)&gt;0,INDEX(Profils!$AC$5:$AC$34,$AE597)&lt;=$AH597),ROUND(INDEX(Profils!$N$5:$N$34,$AE597)*Paramètres!$E$30*$AG597*$AJ597,Paramètres!$F$30),0)</f>
        <v>0</v>
      </c>
      <c r="U597" s="19" t="n">
        <f aca="false" t="array" ref="U597:U597">IF(AND(INDEX(Profils!$O$5:$O$34,$AE597)&gt;0,INDEX(Profils!$AD$5:$AD$34,$AE597)&lt;=$AH597),ROUND(INDEX(Profils!$O$5:$O$34,$AE597)*Paramètres!$E$31*$AG597*$AJ597,Paramètres!$F$31),0)</f>
        <v>0</v>
      </c>
      <c r="V597" s="20" t="n">
        <f aca="false" t="array" ref="V597:V597">IF(AND(INDEX(Profils!$P$5:$P$34,$AE597)&gt;0,INDEX(Profils!$AE$5:$AE$34,$AE597)&lt;=$AH597),ROUND(INDEX(Profils!$P$5:$P$34,$AE597)*Paramètres!$E$32*$AG597*$AJ597,Paramètres!$F$32),0)</f>
        <v>0</v>
      </c>
      <c r="W597" s="20" t="n">
        <f aca="false" t="array" ref="W597:W597">IF(AND(INDEX(Profils!$Q$5:$Q$34,$AE597)&gt;0,INDEX(Profils!$AF$5:$AF$34,$AE597)&lt;=$AH597),ROUND(INDEX(Profils!$Q$5:$Q$34,$AE597)*Paramètres!$E$33*$AG597*$AJ597,Paramètres!$F$33),0)</f>
        <v>0.002</v>
      </c>
      <c r="X597" s="20" t="n">
        <f aca="false" t="array" ref="X597:X597">IF(AND(INDEX(Profils!$R$5:$R$34,$AE597)&gt;0,INDEX(Profils!$AG$5:$AG$34,$AE597)&lt;=$AH597),ROUND(INDEX(Profils!$R$5:$R$34,$AE597)*Paramètres!$E$34*$AG597*$AJ597,Paramètres!$F$34),0)</f>
        <v>0.002</v>
      </c>
      <c r="Y597" s="20" t="n">
        <f aca="false" t="array" ref="Y597:Y597">IF(AND(INDEX(Profils!$S$5:$S$34,$AE597)&gt;0,INDEX(Profils!$AH$5:$AH$34,$AE597)&lt;=$AH597),ROUND(INDEX(Profils!$S$5:$S$34,$AE597)*Paramètres!$E$35*$AG597*$AJ597,Paramètres!$F$35),0)</f>
        <v>0</v>
      </c>
      <c r="Z597" s="21" t="n">
        <f aca="false">ROUND(L597/Paramètres!$E$22+M597/Paramètres!$E$23+N597/Paramètres!$E$24+O597/Paramètres!$E$25+P597/Paramètres!$E$26+Q597/Paramètres!$E$27+R597/Paramètres!$E$28+S597/Paramètres!$E$29+T597/Paramètres!$E$30+U597/Paramètres!$E$31+V597/Paramètres!$E$32+W597/Paramètres!$E$33+X597/Paramètres!$E$34+Y597/Paramètres!$E$35,1)</f>
        <v>0.4</v>
      </c>
      <c r="AA597" s="22" t="s">
        <v>109</v>
      </c>
      <c r="AB597" s="22" t="s">
        <v>109</v>
      </c>
      <c r="AC597" s="15" t="str">
        <f aca="false">$E597</f>
        <v>verre</v>
      </c>
      <c r="AD597" s="16" t="n">
        <f aca="false" t="array" ref="AD597:AD597">IF($I597&gt;=$AI597,"Max",ROUND(Paramètres!$B$40*($I597+1)^Paramètres!$B$41*INDEX(Paramètres!$H$6:$H$12,$AF597),0))</f>
        <v>4</v>
      </c>
      <c r="AE597" s="23" t="n">
        <f aca="false">MATCH($B597&amp;"|"&amp;$C597,Profils!$A$5:$A$34,0)</f>
        <v>20</v>
      </c>
      <c r="AF597" s="23" t="n">
        <v>3</v>
      </c>
      <c r="AG597" s="24" t="n">
        <f aca="false" t="array" ref="AG597:AG597">INDEX(Paramètres!$C$6:$C$12,$AF597)</f>
        <v>1.45</v>
      </c>
      <c r="AH597" s="23" t="n">
        <f aca="false" t="array" ref="AH597:AH597">INDEX(Paramètres!$D$6:$D$12,$AF597)</f>
        <v>4</v>
      </c>
      <c r="AI597" s="23" t="n">
        <f aca="false" t="array" ref="AI597:AI597">INDEX(Matériaux!$C$16:$C$20,$D597)</f>
        <v>19</v>
      </c>
      <c r="AJ597" s="25" t="n">
        <f aca="false">Paramètres!$B$16+(1-Paramètres!$B$16)*(($J597-Paramètres!$B$14)/(Paramètres!$B$15-Paramètres!$B$14))^Paramètres!$B$17</f>
        <v>0.05</v>
      </c>
    </row>
    <row r="598" customFormat="false" ht="15.75" hidden="false" customHeight="true" outlineLevel="0" collapsed="false">
      <c r="A598" s="14" t="s">
        <v>714</v>
      </c>
      <c r="B598" s="15" t="s">
        <v>29</v>
      </c>
      <c r="C598" s="15" t="s">
        <v>401</v>
      </c>
      <c r="D598" s="16" t="n">
        <v>1</v>
      </c>
      <c r="E598" s="15" t="str">
        <f aca="false" t="array" ref="E598:E598">INDEX(Matériaux!$B$5:$F$12,MATCH(INDEX(Profils!$E$5:$E$34,$AE598),Matériaux!$A$5:$A$12,0),$D598)</f>
        <v>verre</v>
      </c>
      <c r="F598" s="28" t="s">
        <v>115</v>
      </c>
      <c r="G598" s="10" t="str">
        <f aca="false" t="array" ref="G598:G598">INDEX(Profils!$D$5:$D$34,$AE598)&amp;" en "&amp;$E598</f>
        <v>Orbe en verre</v>
      </c>
      <c r="H598" s="16" t="n">
        <f aca="false" t="array" ref="H598:H598">INDEX(Matériaux!$B$16:$B$20,$D598)</f>
        <v>1</v>
      </c>
      <c r="I598" s="16" t="n">
        <f aca="false">IF(ISNUMBER($C$3),MIN(MAX(0,ROUND($C$3,0)),$AI598),$AI598)</f>
        <v>0</v>
      </c>
      <c r="J598" s="18" t="n">
        <f aca="false">$H598+$I598</f>
        <v>1</v>
      </c>
      <c r="K598" s="15" t="s">
        <v>109</v>
      </c>
      <c r="L598" s="19" t="n">
        <f aca="false" t="array" ref="L598:L598">IF(AND(INDEX(Profils!$F$5:$F$34,$AE598)&gt;0,INDEX(Profils!$U$5:$U$34,$AE598)&lt;=$AH598),ROUND(INDEX(Profils!$F$5:$F$34,$AE598)*Paramètres!$E$22*$AG598*$AJ598,Paramètres!$F$22),0)</f>
        <v>2</v>
      </c>
      <c r="M598" s="19" t="n">
        <f aca="false" t="array" ref="M598:M598">IF(AND(INDEX(Profils!$G$5:$G$34,$AE598)&gt;0,INDEX(Profils!$V$5:$V$34,$AE598)&lt;=$AH598),ROUND(INDEX(Profils!$G$5:$G$34,$AE598)*Paramètres!$E$23*$AG598*$AJ598,Paramètres!$F$23),0)</f>
        <v>0</v>
      </c>
      <c r="N598" s="19" t="n">
        <f aca="false" t="array" ref="N598:N598">IF(AND(INDEX(Profils!$H$5:$H$34,$AE598)&gt;0,INDEX(Profils!$W$5:$W$34,$AE598)&lt;=$AH598),ROUND(INDEX(Profils!$H$5:$H$34,$AE598)*Paramètres!$E$24*$AG598*$AJ598,Paramètres!$F$24),0)</f>
        <v>0</v>
      </c>
      <c r="O598" s="19" t="n">
        <f aca="false" t="array" ref="O598:O598">IF(AND(INDEX(Profils!$I$5:$I$34,$AE598)&gt;0,INDEX(Profils!$X$5:$X$34,$AE598)&lt;=$AH598),ROUND(INDEX(Profils!$I$5:$I$34,$AE598)*Paramètres!$E$25*$AG598*$AJ598,Paramètres!$F$25),0)</f>
        <v>2</v>
      </c>
      <c r="P598" s="19" t="n">
        <f aca="false" t="array" ref="P598:P598">IF(AND(INDEX(Profils!$J$5:$J$34,$AE598)&gt;0,INDEX(Profils!$Y$5:$Y$34,$AE598)&lt;=$AH598),ROUND(INDEX(Profils!$J$5:$J$34,$AE598)*Paramètres!$E$26*$AG598*$AJ598,Paramètres!$F$26),0)</f>
        <v>0</v>
      </c>
      <c r="Q598" s="19" t="n">
        <f aca="false" t="array" ref="Q598:Q598">IF(AND(INDEX(Profils!$K$5:$K$34,$AE598)&gt;0,INDEX(Profils!$Z$5:$Z$34,$AE598)&lt;=$AH598),ROUND(INDEX(Profils!$K$5:$K$34,$AE598)*Paramètres!$E$27*$AG598*$AJ598,Paramètres!$F$27),0)</f>
        <v>0</v>
      </c>
      <c r="R598" s="20" t="n">
        <f aca="false" t="array" ref="R598:R598">IF(AND(INDEX(Profils!$L$5:$L$34,$AE598)&gt;0,INDEX(Profils!$AA$5:$AA$34,$AE598)&lt;=$AH598),ROUND(INDEX(Profils!$L$5:$L$34,$AE598)*Paramètres!$E$28*$AG598*$AJ598,Paramètres!$F$28),0)</f>
        <v>0</v>
      </c>
      <c r="S598" s="20" t="n">
        <f aca="false" t="array" ref="S598:S598">IF(AND(INDEX(Profils!$M$5:$M$34,$AE598)&gt;0,INDEX(Profils!$AB$5:$AB$34,$AE598)&lt;=$AH598),ROUND(INDEX(Profils!$M$5:$M$34,$AE598)*Paramètres!$E$29*$AG598*$AJ598,Paramètres!$F$29),0)</f>
        <v>0</v>
      </c>
      <c r="T598" s="20" t="n">
        <f aca="false" t="array" ref="T598:T598">IF(AND(INDEX(Profils!$N$5:$N$34,$AE598)&gt;0,INDEX(Profils!$AC$5:$AC$34,$AE598)&lt;=$AH598),ROUND(INDEX(Profils!$N$5:$N$34,$AE598)*Paramètres!$E$30*$AG598*$AJ598,Paramètres!$F$30),0)</f>
        <v>0</v>
      </c>
      <c r="U598" s="19" t="n">
        <f aca="false" t="array" ref="U598:U598">IF(AND(INDEX(Profils!$O$5:$O$34,$AE598)&gt;0,INDEX(Profils!$AD$5:$AD$34,$AE598)&lt;=$AH598),ROUND(INDEX(Profils!$O$5:$O$34,$AE598)*Paramètres!$E$31*$AG598*$AJ598,Paramètres!$F$31),0)</f>
        <v>0</v>
      </c>
      <c r="V598" s="20" t="n">
        <f aca="false" t="array" ref="V598:V598">IF(AND(INDEX(Profils!$P$5:$P$34,$AE598)&gt;0,INDEX(Profils!$AE$5:$AE$34,$AE598)&lt;=$AH598),ROUND(INDEX(Profils!$P$5:$P$34,$AE598)*Paramètres!$E$32*$AG598*$AJ598,Paramètres!$F$32),0)</f>
        <v>0</v>
      </c>
      <c r="W598" s="20" t="n">
        <f aca="false" t="array" ref="W598:W598">IF(AND(INDEX(Profils!$Q$5:$Q$34,$AE598)&gt;0,INDEX(Profils!$AF$5:$AF$34,$AE598)&lt;=$AH598),ROUND(INDEX(Profils!$Q$5:$Q$34,$AE598)*Paramètres!$E$33*$AG598*$AJ598,Paramètres!$F$33),0)</f>
        <v>0.002</v>
      </c>
      <c r="X598" s="20" t="n">
        <f aca="false" t="array" ref="X598:X598">IF(AND(INDEX(Profils!$R$5:$R$34,$AE598)&gt;0,INDEX(Profils!$AG$5:$AG$34,$AE598)&lt;=$AH598),ROUND(INDEX(Profils!$R$5:$R$34,$AE598)*Paramètres!$E$34*$AG598*$AJ598,Paramètres!$F$34),0)</f>
        <v>0.003</v>
      </c>
      <c r="Y598" s="20" t="n">
        <f aca="false" t="array" ref="Y598:Y598">IF(AND(INDEX(Profils!$S$5:$S$34,$AE598)&gt;0,INDEX(Profils!$AH$5:$AH$34,$AE598)&lt;=$AH598),ROUND(INDEX(Profils!$S$5:$S$34,$AE598)*Paramètres!$E$35*$AG598*$AJ598,Paramètres!$F$35),0)</f>
        <v>0.001</v>
      </c>
      <c r="Z598" s="21" t="n">
        <f aca="false">ROUND(L598/Paramètres!$E$22+M598/Paramètres!$E$23+N598/Paramètres!$E$24+O598/Paramètres!$E$25+P598/Paramètres!$E$26+Q598/Paramètres!$E$27+R598/Paramètres!$E$28+S598/Paramètres!$E$29+T598/Paramètres!$E$30+U598/Paramètres!$E$31+V598/Paramètres!$E$32+W598/Paramètres!$E$33+X598/Paramètres!$E$34+Y598/Paramètres!$E$35,1)</f>
        <v>0.6</v>
      </c>
      <c r="AA598" s="22" t="s">
        <v>109</v>
      </c>
      <c r="AB598" s="22" t="s">
        <v>109</v>
      </c>
      <c r="AC598" s="15" t="str">
        <f aca="false">$E598</f>
        <v>verre</v>
      </c>
      <c r="AD598" s="16" t="n">
        <f aca="false" t="array" ref="AD598:AD598">IF($I598&gt;=$AI598,"Max",ROUND(Paramètres!$B$40*($I598+1)^Paramètres!$B$41*INDEX(Paramètres!$H$6:$H$12,$AF598),0))</f>
        <v>5</v>
      </c>
      <c r="AE598" s="23" t="n">
        <f aca="false">MATCH($B598&amp;"|"&amp;$C598,Profils!$A$5:$A$34,0)</f>
        <v>20</v>
      </c>
      <c r="AF598" s="23" t="n">
        <v>4</v>
      </c>
      <c r="AG598" s="24" t="n">
        <f aca="false" t="array" ref="AG598:AG598">INDEX(Paramètres!$C$6:$C$12,$AF598)</f>
        <v>1.75</v>
      </c>
      <c r="AH598" s="23" t="n">
        <f aca="false" t="array" ref="AH598:AH598">INDEX(Paramètres!$D$6:$D$12,$AF598)</f>
        <v>5</v>
      </c>
      <c r="AI598" s="23" t="n">
        <f aca="false" t="array" ref="AI598:AI598">INDEX(Matériaux!$C$16:$C$20,$D598)</f>
        <v>19</v>
      </c>
      <c r="AJ598" s="25" t="n">
        <f aca="false">Paramètres!$B$16+(1-Paramètres!$B$16)*(($J598-Paramètres!$B$14)/(Paramètres!$B$15-Paramètres!$B$14))^Paramètres!$B$17</f>
        <v>0.05</v>
      </c>
    </row>
    <row r="599" customFormat="false" ht="15.75" hidden="false" customHeight="true" outlineLevel="0" collapsed="false">
      <c r="A599" s="14" t="s">
        <v>715</v>
      </c>
      <c r="B599" s="15" t="s">
        <v>29</v>
      </c>
      <c r="C599" s="15" t="s">
        <v>401</v>
      </c>
      <c r="D599" s="16" t="n">
        <v>1</v>
      </c>
      <c r="E599" s="15" t="str">
        <f aca="false" t="array" ref="E599:E599">INDEX(Matériaux!$B$5:$F$12,MATCH(INDEX(Profils!$E$5:$E$34,$AE599),Matériaux!$A$5:$A$12,0),$D599)</f>
        <v>verre</v>
      </c>
      <c r="F599" s="29" t="s">
        <v>117</v>
      </c>
      <c r="G599" s="10" t="str">
        <f aca="false" t="array" ref="G599:G599">INDEX(Profils!$D$5:$D$34,$AE599)&amp;" en "&amp;$E599</f>
        <v>Orbe en verre</v>
      </c>
      <c r="H599" s="16" t="n">
        <f aca="false" t="array" ref="H599:H599">INDEX(Matériaux!$B$16:$B$20,$D599)</f>
        <v>1</v>
      </c>
      <c r="I599" s="16" t="n">
        <f aca="false">IF(ISNUMBER($C$3),MIN(MAX(0,ROUND($C$3,0)),$AI599),$AI599)</f>
        <v>0</v>
      </c>
      <c r="J599" s="18" t="n">
        <f aca="false">$H599+$I599</f>
        <v>1</v>
      </c>
      <c r="K599" s="15" t="s">
        <v>109</v>
      </c>
      <c r="L599" s="19" t="n">
        <f aca="false" t="array" ref="L599:L599">IF(AND(INDEX(Profils!$F$5:$F$34,$AE599)&gt;0,INDEX(Profils!$U$5:$U$34,$AE599)&lt;=$AH599),ROUND(INDEX(Profils!$F$5:$F$34,$AE599)*Paramètres!$E$22*$AG599*$AJ599,Paramètres!$F$22),0)</f>
        <v>3</v>
      </c>
      <c r="M599" s="19" t="n">
        <f aca="false" t="array" ref="M599:M599">IF(AND(INDEX(Profils!$G$5:$G$34,$AE599)&gt;0,INDEX(Profils!$V$5:$V$34,$AE599)&lt;=$AH599),ROUND(INDEX(Profils!$G$5:$G$34,$AE599)*Paramètres!$E$23*$AG599*$AJ599,Paramètres!$F$23),0)</f>
        <v>0</v>
      </c>
      <c r="N599" s="19" t="n">
        <f aca="false" t="array" ref="N599:N599">IF(AND(INDEX(Profils!$H$5:$H$34,$AE599)&gt;0,INDEX(Profils!$W$5:$W$34,$AE599)&lt;=$AH599),ROUND(INDEX(Profils!$H$5:$H$34,$AE599)*Paramètres!$E$24*$AG599*$AJ599,Paramètres!$F$24),0)</f>
        <v>0</v>
      </c>
      <c r="O599" s="19" t="n">
        <f aca="false" t="array" ref="O599:O599">IF(AND(INDEX(Profils!$I$5:$I$34,$AE599)&gt;0,INDEX(Profils!$X$5:$X$34,$AE599)&lt;=$AH599),ROUND(INDEX(Profils!$I$5:$I$34,$AE599)*Paramètres!$E$25*$AG599*$AJ599,Paramètres!$F$25),0)</f>
        <v>2</v>
      </c>
      <c r="P599" s="19" t="n">
        <f aca="false" t="array" ref="P599:P599">IF(AND(INDEX(Profils!$J$5:$J$34,$AE599)&gt;0,INDEX(Profils!$Y$5:$Y$34,$AE599)&lt;=$AH599),ROUND(INDEX(Profils!$J$5:$J$34,$AE599)*Paramètres!$E$26*$AG599*$AJ599,Paramètres!$F$26),0)</f>
        <v>0</v>
      </c>
      <c r="Q599" s="19" t="n">
        <f aca="false" t="array" ref="Q599:Q599">IF(AND(INDEX(Profils!$K$5:$K$34,$AE599)&gt;0,INDEX(Profils!$Z$5:$Z$34,$AE599)&lt;=$AH599),ROUND(INDEX(Profils!$K$5:$K$34,$AE599)*Paramètres!$E$27*$AG599*$AJ599,Paramètres!$F$27),0)</f>
        <v>0</v>
      </c>
      <c r="R599" s="20" t="n">
        <f aca="false" t="array" ref="R599:R599">IF(AND(INDEX(Profils!$L$5:$L$34,$AE599)&gt;0,INDEX(Profils!$AA$5:$AA$34,$AE599)&lt;=$AH599),ROUND(INDEX(Profils!$L$5:$L$34,$AE599)*Paramètres!$E$28*$AG599*$AJ599,Paramètres!$F$28),0)</f>
        <v>0</v>
      </c>
      <c r="S599" s="20" t="n">
        <f aca="false" t="array" ref="S599:S599">IF(AND(INDEX(Profils!$M$5:$M$34,$AE599)&gt;0,INDEX(Profils!$AB$5:$AB$34,$AE599)&lt;=$AH599),ROUND(INDEX(Profils!$M$5:$M$34,$AE599)*Paramètres!$E$29*$AG599*$AJ599,Paramètres!$F$29),0)</f>
        <v>0</v>
      </c>
      <c r="T599" s="20" t="n">
        <f aca="false" t="array" ref="T599:T599">IF(AND(INDEX(Profils!$N$5:$N$34,$AE599)&gt;0,INDEX(Profils!$AC$5:$AC$34,$AE599)&lt;=$AH599),ROUND(INDEX(Profils!$N$5:$N$34,$AE599)*Paramètres!$E$30*$AG599*$AJ599,Paramètres!$F$30),0)</f>
        <v>0.003</v>
      </c>
      <c r="U599" s="19" t="n">
        <f aca="false" t="array" ref="U599:U599">IF(AND(INDEX(Profils!$O$5:$O$34,$AE599)&gt;0,INDEX(Profils!$AD$5:$AD$34,$AE599)&lt;=$AH599),ROUND(INDEX(Profils!$O$5:$O$34,$AE599)*Paramètres!$E$31*$AG599*$AJ599,Paramètres!$F$31),0)</f>
        <v>0</v>
      </c>
      <c r="V599" s="20" t="n">
        <f aca="false" t="array" ref="V599:V599">IF(AND(INDEX(Profils!$P$5:$P$34,$AE599)&gt;0,INDEX(Profils!$AE$5:$AE$34,$AE599)&lt;=$AH599),ROUND(INDEX(Profils!$P$5:$P$34,$AE599)*Paramètres!$E$32*$AG599*$AJ599,Paramètres!$F$32),0)</f>
        <v>0</v>
      </c>
      <c r="W599" s="20" t="n">
        <f aca="false" t="array" ref="W599:W599">IF(AND(INDEX(Profils!$Q$5:$Q$34,$AE599)&gt;0,INDEX(Profils!$AF$5:$AF$34,$AE599)&lt;=$AH599),ROUND(INDEX(Profils!$Q$5:$Q$34,$AE599)*Paramètres!$E$33*$AG599*$AJ599,Paramètres!$F$33),0)</f>
        <v>0.002</v>
      </c>
      <c r="X599" s="20" t="n">
        <f aca="false" t="array" ref="X599:X599">IF(AND(INDEX(Profils!$R$5:$R$34,$AE599)&gt;0,INDEX(Profils!$AG$5:$AG$34,$AE599)&lt;=$AH599),ROUND(INDEX(Profils!$R$5:$R$34,$AE599)*Paramètres!$E$34*$AG599*$AJ599,Paramètres!$F$34),0)</f>
        <v>0.003</v>
      </c>
      <c r="Y599" s="20" t="n">
        <f aca="false" t="array" ref="Y599:Y599">IF(AND(INDEX(Profils!$S$5:$S$34,$AE599)&gt;0,INDEX(Profils!$AH$5:$AH$34,$AE599)&lt;=$AH599),ROUND(INDEX(Profils!$S$5:$S$34,$AE599)*Paramètres!$E$35*$AG599*$AJ599,Paramètres!$F$35),0)</f>
        <v>0.002</v>
      </c>
      <c r="Z599" s="21" t="n">
        <f aca="false">ROUND(L599/Paramètres!$E$22+M599/Paramètres!$E$23+N599/Paramètres!$E$24+O599/Paramètres!$E$25+P599/Paramètres!$E$26+Q599/Paramètres!$E$27+R599/Paramètres!$E$28+S599/Paramètres!$E$29+T599/Paramètres!$E$30+U599/Paramètres!$E$31+V599/Paramètres!$E$32+W599/Paramètres!$E$33+X599/Paramètres!$E$34+Y599/Paramètres!$E$35,1)</f>
        <v>0.8</v>
      </c>
      <c r="AA599" s="22" t="s">
        <v>109</v>
      </c>
      <c r="AB599" s="22" t="s">
        <v>109</v>
      </c>
      <c r="AC599" s="15" t="str">
        <f aca="false">$E599</f>
        <v>verre</v>
      </c>
      <c r="AD599" s="16" t="n">
        <f aca="false" t="array" ref="AD599:AD599">IF($I599&gt;=$AI599,"Max",ROUND(Paramètres!$B$40*($I599+1)^Paramètres!$B$41*INDEX(Paramètres!$H$6:$H$12,$AF599),0))</f>
        <v>6</v>
      </c>
      <c r="AE599" s="23" t="n">
        <f aca="false">MATCH($B599&amp;"|"&amp;$C599,Profils!$A$5:$A$34,0)</f>
        <v>20</v>
      </c>
      <c r="AF599" s="23" t="n">
        <v>5</v>
      </c>
      <c r="AG599" s="24" t="n">
        <f aca="false" t="array" ref="AG599:AG599">INDEX(Paramètres!$C$6:$C$12,$AF599)</f>
        <v>2.1</v>
      </c>
      <c r="AH599" s="23" t="n">
        <f aca="false" t="array" ref="AH599:AH599">INDEX(Paramètres!$D$6:$D$12,$AF599)</f>
        <v>6</v>
      </c>
      <c r="AI599" s="23" t="n">
        <f aca="false" t="array" ref="AI599:AI599">INDEX(Matériaux!$C$16:$C$20,$D599)</f>
        <v>19</v>
      </c>
      <c r="AJ599" s="25" t="n">
        <f aca="false">Paramètres!$B$16+(1-Paramètres!$B$16)*(($J599-Paramètres!$B$14)/(Paramètres!$B$15-Paramètres!$B$14))^Paramètres!$B$17</f>
        <v>0.05</v>
      </c>
    </row>
    <row r="600" customFormat="false" ht="15.75" hidden="false" customHeight="true" outlineLevel="0" collapsed="false">
      <c r="A600" s="14" t="s">
        <v>716</v>
      </c>
      <c r="B600" s="15" t="s">
        <v>29</v>
      </c>
      <c r="C600" s="15" t="s">
        <v>401</v>
      </c>
      <c r="D600" s="16" t="n">
        <v>1</v>
      </c>
      <c r="E600" s="15" t="str">
        <f aca="false" t="array" ref="E600:E600">INDEX(Matériaux!$B$5:$F$12,MATCH(INDEX(Profils!$E$5:$E$34,$AE600),Matériaux!$A$5:$A$12,0),$D600)</f>
        <v>verre</v>
      </c>
      <c r="F600" s="30" t="s">
        <v>119</v>
      </c>
      <c r="G600" s="10" t="str">
        <f aca="false" t="array" ref="G600:G600">INDEX(Profils!$D$5:$D$34,$AE600)&amp;" en "&amp;$E600</f>
        <v>Orbe en verre</v>
      </c>
      <c r="H600" s="16" t="n">
        <f aca="false" t="array" ref="H600:H600">INDEX(Matériaux!$B$16:$B$20,$D600)</f>
        <v>1</v>
      </c>
      <c r="I600" s="16" t="n">
        <f aca="false">IF(ISNUMBER($C$3),MIN(MAX(0,ROUND($C$3,0)),$AI600),$AI600)</f>
        <v>0</v>
      </c>
      <c r="J600" s="18" t="n">
        <f aca="false">$H600+$I600</f>
        <v>1</v>
      </c>
      <c r="K600" s="15" t="s">
        <v>109</v>
      </c>
      <c r="L600" s="19" t="n">
        <f aca="false" t="array" ref="L600:L600">IF(AND(INDEX(Profils!$F$5:$F$34,$AE600)&gt;0,INDEX(Profils!$U$5:$U$34,$AE600)&lt;=$AH600),ROUND(INDEX(Profils!$F$5:$F$34,$AE600)*Paramètres!$E$22*$AG600*$AJ600,Paramètres!$F$22),0)</f>
        <v>3</v>
      </c>
      <c r="M600" s="19" t="n">
        <f aca="false" t="array" ref="M600:M600">IF(AND(INDEX(Profils!$G$5:$G$34,$AE600)&gt;0,INDEX(Profils!$V$5:$V$34,$AE600)&lt;=$AH600),ROUND(INDEX(Profils!$G$5:$G$34,$AE600)*Paramètres!$E$23*$AG600*$AJ600,Paramètres!$F$23),0)</f>
        <v>0</v>
      </c>
      <c r="N600" s="19" t="n">
        <f aca="false" t="array" ref="N600:N600">IF(AND(INDEX(Profils!$H$5:$H$34,$AE600)&gt;0,INDEX(Profils!$W$5:$W$34,$AE600)&lt;=$AH600),ROUND(INDEX(Profils!$H$5:$H$34,$AE600)*Paramètres!$E$24*$AG600*$AJ600,Paramètres!$F$24),0)</f>
        <v>0</v>
      </c>
      <c r="O600" s="19" t="n">
        <f aca="false" t="array" ref="O600:O600">IF(AND(INDEX(Profils!$I$5:$I$34,$AE600)&gt;0,INDEX(Profils!$X$5:$X$34,$AE600)&lt;=$AH600),ROUND(INDEX(Profils!$I$5:$I$34,$AE600)*Paramètres!$E$25*$AG600*$AJ600,Paramètres!$F$25),0)</f>
        <v>3</v>
      </c>
      <c r="P600" s="19" t="n">
        <f aca="false" t="array" ref="P600:P600">IF(AND(INDEX(Profils!$J$5:$J$34,$AE600)&gt;0,INDEX(Profils!$Y$5:$Y$34,$AE600)&lt;=$AH600),ROUND(INDEX(Profils!$J$5:$J$34,$AE600)*Paramètres!$E$26*$AG600*$AJ600,Paramètres!$F$26),0)</f>
        <v>0</v>
      </c>
      <c r="Q600" s="19" t="n">
        <f aca="false" t="array" ref="Q600:Q600">IF(AND(INDEX(Profils!$K$5:$K$34,$AE600)&gt;0,INDEX(Profils!$Z$5:$Z$34,$AE600)&lt;=$AH600),ROUND(INDEX(Profils!$K$5:$K$34,$AE600)*Paramètres!$E$27*$AG600*$AJ600,Paramètres!$F$27),0)</f>
        <v>0</v>
      </c>
      <c r="R600" s="20" t="n">
        <f aca="false" t="array" ref="R600:R600">IF(AND(INDEX(Profils!$L$5:$L$34,$AE600)&gt;0,INDEX(Profils!$AA$5:$AA$34,$AE600)&lt;=$AH600),ROUND(INDEX(Profils!$L$5:$L$34,$AE600)*Paramètres!$E$28*$AG600*$AJ600,Paramètres!$F$28),0)</f>
        <v>0</v>
      </c>
      <c r="S600" s="20" t="n">
        <f aca="false" t="array" ref="S600:S600">IF(AND(INDEX(Profils!$M$5:$M$34,$AE600)&gt;0,INDEX(Profils!$AB$5:$AB$34,$AE600)&lt;=$AH600),ROUND(INDEX(Profils!$M$5:$M$34,$AE600)*Paramètres!$E$29*$AG600*$AJ600,Paramètres!$F$29),0)</f>
        <v>0.001</v>
      </c>
      <c r="T600" s="20" t="n">
        <f aca="false" t="array" ref="T600:T600">IF(AND(INDEX(Profils!$N$5:$N$34,$AE600)&gt;0,INDEX(Profils!$AC$5:$AC$34,$AE600)&lt;=$AH600),ROUND(INDEX(Profils!$N$5:$N$34,$AE600)*Paramètres!$E$30*$AG600*$AJ600,Paramètres!$F$30),0)</f>
        <v>0.003</v>
      </c>
      <c r="U600" s="19" t="n">
        <f aca="false" t="array" ref="U600:U600">IF(AND(INDEX(Profils!$O$5:$O$34,$AE600)&gt;0,INDEX(Profils!$AD$5:$AD$34,$AE600)&lt;=$AH600),ROUND(INDEX(Profils!$O$5:$O$34,$AE600)*Paramètres!$E$31*$AG600*$AJ600,Paramètres!$F$31),0)</f>
        <v>0</v>
      </c>
      <c r="V600" s="20" t="n">
        <f aca="false" t="array" ref="V600:V600">IF(AND(INDEX(Profils!$P$5:$P$34,$AE600)&gt;0,INDEX(Profils!$AE$5:$AE$34,$AE600)&lt;=$AH600),ROUND(INDEX(Profils!$P$5:$P$34,$AE600)*Paramètres!$E$32*$AG600*$AJ600,Paramètres!$F$32),0)</f>
        <v>0</v>
      </c>
      <c r="W600" s="20" t="n">
        <f aca="false" t="array" ref="W600:W600">IF(AND(INDEX(Profils!$Q$5:$Q$34,$AE600)&gt;0,INDEX(Profils!$AF$5:$AF$34,$AE600)&lt;=$AH600),ROUND(INDEX(Profils!$Q$5:$Q$34,$AE600)*Paramètres!$E$33*$AG600*$AJ600,Paramètres!$F$33),0)</f>
        <v>0.003</v>
      </c>
      <c r="X600" s="20" t="n">
        <f aca="false" t="array" ref="X600:X600">IF(AND(INDEX(Profils!$R$5:$R$34,$AE600)&gt;0,INDEX(Profils!$AG$5:$AG$34,$AE600)&lt;=$AH600),ROUND(INDEX(Profils!$R$5:$R$34,$AE600)*Paramètres!$E$34*$AG600*$AJ600,Paramètres!$F$34),0)</f>
        <v>0.004</v>
      </c>
      <c r="Y600" s="20" t="n">
        <f aca="false" t="array" ref="Y600:Y600">IF(AND(INDEX(Profils!$S$5:$S$34,$AE600)&gt;0,INDEX(Profils!$AH$5:$AH$34,$AE600)&lt;=$AH600),ROUND(INDEX(Profils!$S$5:$S$34,$AE600)*Paramètres!$E$35*$AG600*$AJ600,Paramètres!$F$35),0)</f>
        <v>0.002</v>
      </c>
      <c r="Z600" s="21" t="n">
        <f aca="false">ROUND(L600/Paramètres!$E$22+M600/Paramètres!$E$23+N600/Paramètres!$E$24+O600/Paramètres!$E$25+P600/Paramètres!$E$26+Q600/Paramètres!$E$27+R600/Paramètres!$E$28+S600/Paramètres!$E$29+T600/Paramètres!$E$30+U600/Paramètres!$E$31+V600/Paramètres!$E$32+W600/Paramètres!$E$33+X600/Paramètres!$E$34+Y600/Paramètres!$E$35,1)</f>
        <v>1</v>
      </c>
      <c r="AA600" s="22" t="s">
        <v>109</v>
      </c>
      <c r="AB600" s="22" t="s">
        <v>109</v>
      </c>
      <c r="AC600" s="15" t="str">
        <f aca="false">$E600</f>
        <v>verre</v>
      </c>
      <c r="AD600" s="16" t="n">
        <f aca="false" t="array" ref="AD600:AD600">IF($I600&gt;=$AI600,"Max",ROUND(Paramètres!$B$40*($I600+1)^Paramètres!$B$41*INDEX(Paramètres!$H$6:$H$12,$AF600),0))</f>
        <v>8</v>
      </c>
      <c r="AE600" s="23" t="n">
        <f aca="false">MATCH($B600&amp;"|"&amp;$C600,Profils!$A$5:$A$34,0)</f>
        <v>20</v>
      </c>
      <c r="AF600" s="23" t="n">
        <v>6</v>
      </c>
      <c r="AG600" s="24" t="n">
        <f aca="false" t="array" ref="AG600:AG600">INDEX(Paramètres!$C$6:$C$12,$AF600)</f>
        <v>2.4</v>
      </c>
      <c r="AH600" s="23" t="n">
        <f aca="false" t="array" ref="AH600:AH600">INDEX(Paramètres!$D$6:$D$12,$AF600)</f>
        <v>7</v>
      </c>
      <c r="AI600" s="23" t="n">
        <f aca="false" t="array" ref="AI600:AI600">INDEX(Matériaux!$C$16:$C$20,$D600)</f>
        <v>19</v>
      </c>
      <c r="AJ600" s="25" t="n">
        <f aca="false">Paramètres!$B$16+(1-Paramètres!$B$16)*(($J600-Paramètres!$B$14)/(Paramètres!$B$15-Paramètres!$B$14))^Paramètres!$B$17</f>
        <v>0.05</v>
      </c>
    </row>
    <row r="601" customFormat="false" ht="15.75" hidden="false" customHeight="true" outlineLevel="0" collapsed="false">
      <c r="A601" s="14" t="s">
        <v>717</v>
      </c>
      <c r="B601" s="15" t="s">
        <v>29</v>
      </c>
      <c r="C601" s="15" t="s">
        <v>401</v>
      </c>
      <c r="D601" s="16" t="n">
        <v>2</v>
      </c>
      <c r="E601" s="15" t="str">
        <f aca="false" t="array" ref="E601:E601">INDEX(Matériaux!$B$5:$F$12,MATCH(INDEX(Profils!$E$5:$E$34,$AE601),Matériaux!$A$5:$A$12,0),$D601)</f>
        <v>quartz</v>
      </c>
      <c r="F601" s="17" t="s">
        <v>108</v>
      </c>
      <c r="G601" s="10" t="str">
        <f aca="false" t="array" ref="G601:G601">INDEX(Profils!$D$5:$D$34,$AE601)&amp;" en "&amp;$E601</f>
        <v>Orbe en quartz</v>
      </c>
      <c r="H601" s="16" t="n">
        <f aca="false" t="array" ref="H601:H601">INDEX(Matériaux!$B$16:$B$20,$D601)</f>
        <v>15</v>
      </c>
      <c r="I601" s="16" t="n">
        <f aca="false">IF(ISNUMBER($C$3),MIN(MAX(0,ROUND($C$3,0)),$AI601),$AI601)</f>
        <v>0</v>
      </c>
      <c r="J601" s="18" t="n">
        <f aca="false">$H601+$I601</f>
        <v>15</v>
      </c>
      <c r="K601" s="15" t="s">
        <v>109</v>
      </c>
      <c r="L601" s="19" t="n">
        <f aca="false" t="array" ref="L601:L601">IF(AND(INDEX(Profils!$F$5:$F$34,$AE601)&gt;0,INDEX(Profils!$U$5:$U$34,$AE601)&lt;=$AH601),ROUND(INDEX(Profils!$F$5:$F$34,$AE601)*Paramètres!$E$22*$AG601*$AJ601,Paramètres!$F$22),0)</f>
        <v>0</v>
      </c>
      <c r="M601" s="19" t="n">
        <f aca="false" t="array" ref="M601:M601">IF(AND(INDEX(Profils!$G$5:$G$34,$AE601)&gt;0,INDEX(Profils!$V$5:$V$34,$AE601)&lt;=$AH601),ROUND(INDEX(Profils!$G$5:$G$34,$AE601)*Paramètres!$E$23*$AG601*$AJ601,Paramètres!$F$23),0)</f>
        <v>0</v>
      </c>
      <c r="N601" s="19" t="n">
        <f aca="false" t="array" ref="N601:N601">IF(AND(INDEX(Profils!$H$5:$H$34,$AE601)&gt;0,INDEX(Profils!$W$5:$W$34,$AE601)&lt;=$AH601),ROUND(INDEX(Profils!$H$5:$H$34,$AE601)*Paramètres!$E$24*$AG601*$AJ601,Paramètres!$F$24),0)</f>
        <v>0</v>
      </c>
      <c r="O601" s="19" t="n">
        <f aca="false" t="array" ref="O601:O601">IF(AND(INDEX(Profils!$I$5:$I$34,$AE601)&gt;0,INDEX(Profils!$X$5:$X$34,$AE601)&lt;=$AH601),ROUND(INDEX(Profils!$I$5:$I$34,$AE601)*Paramètres!$E$25*$AG601*$AJ601,Paramètres!$F$25),0)</f>
        <v>3</v>
      </c>
      <c r="P601" s="19" t="n">
        <f aca="false" t="array" ref="P601:P601">IF(AND(INDEX(Profils!$J$5:$J$34,$AE601)&gt;0,INDEX(Profils!$Y$5:$Y$34,$AE601)&lt;=$AH601),ROUND(INDEX(Profils!$J$5:$J$34,$AE601)*Paramètres!$E$26*$AG601*$AJ601,Paramètres!$F$26),0)</f>
        <v>0</v>
      </c>
      <c r="Q601" s="19" t="n">
        <f aca="false" t="array" ref="Q601:Q601">IF(AND(INDEX(Profils!$K$5:$K$34,$AE601)&gt;0,INDEX(Profils!$Z$5:$Z$34,$AE601)&lt;=$AH601),ROUND(INDEX(Profils!$K$5:$K$34,$AE601)*Paramètres!$E$27*$AG601*$AJ601,Paramètres!$F$27),0)</f>
        <v>0</v>
      </c>
      <c r="R601" s="20" t="n">
        <f aca="false" t="array" ref="R601:R601">IF(AND(INDEX(Profils!$L$5:$L$34,$AE601)&gt;0,INDEX(Profils!$AA$5:$AA$34,$AE601)&lt;=$AH601),ROUND(INDEX(Profils!$L$5:$L$34,$AE601)*Paramètres!$E$28*$AG601*$AJ601,Paramètres!$F$28),0)</f>
        <v>0</v>
      </c>
      <c r="S601" s="20" t="n">
        <f aca="false" t="array" ref="S601:S601">IF(AND(INDEX(Profils!$M$5:$M$34,$AE601)&gt;0,INDEX(Profils!$AB$5:$AB$34,$AE601)&lt;=$AH601),ROUND(INDEX(Profils!$M$5:$M$34,$AE601)*Paramètres!$E$29*$AG601*$AJ601,Paramètres!$F$29),0)</f>
        <v>0</v>
      </c>
      <c r="T601" s="20" t="n">
        <f aca="false" t="array" ref="T601:T601">IF(AND(INDEX(Profils!$N$5:$N$34,$AE601)&gt;0,INDEX(Profils!$AC$5:$AC$34,$AE601)&lt;=$AH601),ROUND(INDEX(Profils!$N$5:$N$34,$AE601)*Paramètres!$E$30*$AG601*$AJ601,Paramètres!$F$30),0)</f>
        <v>0</v>
      </c>
      <c r="U601" s="19" t="n">
        <f aca="false" t="array" ref="U601:U601">IF(AND(INDEX(Profils!$O$5:$O$34,$AE601)&gt;0,INDEX(Profils!$AD$5:$AD$34,$AE601)&lt;=$AH601),ROUND(INDEX(Profils!$O$5:$O$34,$AE601)*Paramètres!$E$31*$AG601*$AJ601,Paramètres!$F$31),0)</f>
        <v>0</v>
      </c>
      <c r="V601" s="20" t="n">
        <f aca="false" t="array" ref="V601:V601">IF(AND(INDEX(Profils!$P$5:$P$34,$AE601)&gt;0,INDEX(Profils!$AE$5:$AE$34,$AE601)&lt;=$AH601),ROUND(INDEX(Profils!$P$5:$P$34,$AE601)*Paramètres!$E$32*$AG601*$AJ601,Paramètres!$F$32),0)</f>
        <v>0</v>
      </c>
      <c r="W601" s="20" t="n">
        <f aca="false" t="array" ref="W601:W601">IF(AND(INDEX(Profils!$Q$5:$Q$34,$AE601)&gt;0,INDEX(Profils!$AF$5:$AF$34,$AE601)&lt;=$AH601),ROUND(INDEX(Profils!$Q$5:$Q$34,$AE601)*Paramètres!$E$33*$AG601*$AJ601,Paramètres!$F$33),0)</f>
        <v>0</v>
      </c>
      <c r="X601" s="20" t="n">
        <f aca="false" t="array" ref="X601:X601">IF(AND(INDEX(Profils!$R$5:$R$34,$AE601)&gt;0,INDEX(Profils!$AG$5:$AG$34,$AE601)&lt;=$AH601),ROUND(INDEX(Profils!$R$5:$R$34,$AE601)*Paramètres!$E$34*$AG601*$AJ601,Paramètres!$F$34),0)</f>
        <v>0.005</v>
      </c>
      <c r="Y601" s="20" t="n">
        <f aca="false" t="array" ref="Y601:Y601">IF(AND(INDEX(Profils!$S$5:$S$34,$AE601)&gt;0,INDEX(Profils!$AH$5:$AH$34,$AE601)&lt;=$AH601),ROUND(INDEX(Profils!$S$5:$S$34,$AE601)*Paramètres!$E$35*$AG601*$AJ601,Paramètres!$F$35),0)</f>
        <v>0</v>
      </c>
      <c r="Z601" s="21" t="n">
        <f aca="false">ROUND(L601/Paramètres!$E$22+M601/Paramètres!$E$23+N601/Paramètres!$E$24+O601/Paramètres!$E$25+P601/Paramètres!$E$26+Q601/Paramètres!$E$27+R601/Paramètres!$E$28+S601/Paramètres!$E$29+T601/Paramètres!$E$30+U601/Paramètres!$E$31+V601/Paramètres!$E$32+W601/Paramètres!$E$33+X601/Paramètres!$E$34+Y601/Paramètres!$E$35,1)</f>
        <v>0.5</v>
      </c>
      <c r="AA601" s="22" t="s">
        <v>109</v>
      </c>
      <c r="AB601" s="22" t="s">
        <v>109</v>
      </c>
      <c r="AC601" s="15" t="str">
        <f aca="false">$E601</f>
        <v>quartz</v>
      </c>
      <c r="AD601" s="16" t="n">
        <f aca="false" t="array" ref="AD601:AD601">IF($I601&gt;=$AI601,"Max",ROUND(Paramètres!$B$40*($I601+1)^Paramètres!$B$41*INDEX(Paramètres!$H$6:$H$12,$AF601),0))</f>
        <v>3</v>
      </c>
      <c r="AE601" s="23" t="n">
        <f aca="false">MATCH($B601&amp;"|"&amp;$C601,Profils!$A$5:$A$34,0)</f>
        <v>20</v>
      </c>
      <c r="AF601" s="23" t="n">
        <v>1</v>
      </c>
      <c r="AG601" s="24" t="n">
        <f aca="false" t="array" ref="AG601:AG601">INDEX(Paramètres!$C$6:$C$12,$AF601)</f>
        <v>1</v>
      </c>
      <c r="AH601" s="23" t="n">
        <f aca="false" t="array" ref="AH601:AH601">INDEX(Paramètres!$D$6:$D$12,$AF601)</f>
        <v>2</v>
      </c>
      <c r="AI601" s="23" t="n">
        <f aca="false" t="array" ref="AI601:AI601">INDEX(Matériaux!$C$16:$C$20,$D601)</f>
        <v>20</v>
      </c>
      <c r="AJ601" s="25" t="n">
        <f aca="false">Paramètres!$B$16+(1-Paramètres!$B$16)*(($J601-Paramètres!$B$14)/(Paramètres!$B$15-Paramètres!$B$14))^Paramètres!$B$17</f>
        <v>0.140847925475674</v>
      </c>
    </row>
    <row r="602" customFormat="false" ht="15.75" hidden="false" customHeight="true" outlineLevel="0" collapsed="false">
      <c r="A602" s="14" t="s">
        <v>718</v>
      </c>
      <c r="B602" s="15" t="s">
        <v>29</v>
      </c>
      <c r="C602" s="15" t="s">
        <v>401</v>
      </c>
      <c r="D602" s="16" t="n">
        <v>2</v>
      </c>
      <c r="E602" s="15" t="str">
        <f aca="false" t="array" ref="E602:E602">INDEX(Matériaux!$B$5:$F$12,MATCH(INDEX(Profils!$E$5:$E$34,$AE602),Matériaux!$A$5:$A$12,0),$D602)</f>
        <v>quartz</v>
      </c>
      <c r="F602" s="26" t="s">
        <v>111</v>
      </c>
      <c r="G602" s="10" t="str">
        <f aca="false" t="array" ref="G602:G602">INDEX(Profils!$D$5:$D$34,$AE602)&amp;" en "&amp;$E602</f>
        <v>Orbe en quartz</v>
      </c>
      <c r="H602" s="16" t="n">
        <f aca="false" t="array" ref="H602:H602">INDEX(Matériaux!$B$16:$B$20,$D602)</f>
        <v>15</v>
      </c>
      <c r="I602" s="16" t="n">
        <f aca="false">IF(ISNUMBER($C$3),MIN(MAX(0,ROUND($C$3,0)),$AI602),$AI602)</f>
        <v>0</v>
      </c>
      <c r="J602" s="18" t="n">
        <f aca="false">$H602+$I602</f>
        <v>15</v>
      </c>
      <c r="K602" s="15" t="s">
        <v>109</v>
      </c>
      <c r="L602" s="19" t="n">
        <f aca="false" t="array" ref="L602:L602">IF(AND(INDEX(Profils!$F$5:$F$34,$AE602)&gt;0,INDEX(Profils!$U$5:$U$34,$AE602)&lt;=$AH602),ROUND(INDEX(Profils!$F$5:$F$34,$AE602)*Paramètres!$E$22*$AG602*$AJ602,Paramètres!$F$22),0)</f>
        <v>0</v>
      </c>
      <c r="M602" s="19" t="n">
        <f aca="false" t="array" ref="M602:M602">IF(AND(INDEX(Profils!$G$5:$G$34,$AE602)&gt;0,INDEX(Profils!$V$5:$V$34,$AE602)&lt;=$AH602),ROUND(INDEX(Profils!$G$5:$G$34,$AE602)*Paramètres!$E$23*$AG602*$AJ602,Paramètres!$F$23),0)</f>
        <v>0</v>
      </c>
      <c r="N602" s="19" t="n">
        <f aca="false" t="array" ref="N602:N602">IF(AND(INDEX(Profils!$H$5:$H$34,$AE602)&gt;0,INDEX(Profils!$W$5:$W$34,$AE602)&lt;=$AH602),ROUND(INDEX(Profils!$H$5:$H$34,$AE602)*Paramètres!$E$24*$AG602*$AJ602,Paramètres!$F$24),0)</f>
        <v>0</v>
      </c>
      <c r="O602" s="19" t="n">
        <f aca="false" t="array" ref="O602:O602">IF(AND(INDEX(Profils!$I$5:$I$34,$AE602)&gt;0,INDEX(Profils!$X$5:$X$34,$AE602)&lt;=$AH602),ROUND(INDEX(Profils!$I$5:$I$34,$AE602)*Paramètres!$E$25*$AG602*$AJ602,Paramètres!$F$25),0)</f>
        <v>4</v>
      </c>
      <c r="P602" s="19" t="n">
        <f aca="false" t="array" ref="P602:P602">IF(AND(INDEX(Profils!$J$5:$J$34,$AE602)&gt;0,INDEX(Profils!$Y$5:$Y$34,$AE602)&lt;=$AH602),ROUND(INDEX(Profils!$J$5:$J$34,$AE602)*Paramètres!$E$26*$AG602*$AJ602,Paramètres!$F$26),0)</f>
        <v>0</v>
      </c>
      <c r="Q602" s="19" t="n">
        <f aca="false" t="array" ref="Q602:Q602">IF(AND(INDEX(Profils!$K$5:$K$34,$AE602)&gt;0,INDEX(Profils!$Z$5:$Z$34,$AE602)&lt;=$AH602),ROUND(INDEX(Profils!$K$5:$K$34,$AE602)*Paramètres!$E$27*$AG602*$AJ602,Paramètres!$F$27),0)</f>
        <v>0</v>
      </c>
      <c r="R602" s="20" t="n">
        <f aca="false" t="array" ref="R602:R602">IF(AND(INDEX(Profils!$L$5:$L$34,$AE602)&gt;0,INDEX(Profils!$AA$5:$AA$34,$AE602)&lt;=$AH602),ROUND(INDEX(Profils!$L$5:$L$34,$AE602)*Paramètres!$E$28*$AG602*$AJ602,Paramètres!$F$28),0)</f>
        <v>0</v>
      </c>
      <c r="S602" s="20" t="n">
        <f aca="false" t="array" ref="S602:S602">IF(AND(INDEX(Profils!$M$5:$M$34,$AE602)&gt;0,INDEX(Profils!$AB$5:$AB$34,$AE602)&lt;=$AH602),ROUND(INDEX(Profils!$M$5:$M$34,$AE602)*Paramètres!$E$29*$AG602*$AJ602,Paramètres!$F$29),0)</f>
        <v>0</v>
      </c>
      <c r="T602" s="20" t="n">
        <f aca="false" t="array" ref="T602:T602">IF(AND(INDEX(Profils!$N$5:$N$34,$AE602)&gt;0,INDEX(Profils!$AC$5:$AC$34,$AE602)&lt;=$AH602),ROUND(INDEX(Profils!$N$5:$N$34,$AE602)*Paramètres!$E$30*$AG602*$AJ602,Paramètres!$F$30),0)</f>
        <v>0</v>
      </c>
      <c r="U602" s="19" t="n">
        <f aca="false" t="array" ref="U602:U602">IF(AND(INDEX(Profils!$O$5:$O$34,$AE602)&gt;0,INDEX(Profils!$AD$5:$AD$34,$AE602)&lt;=$AH602),ROUND(INDEX(Profils!$O$5:$O$34,$AE602)*Paramètres!$E$31*$AG602*$AJ602,Paramètres!$F$31),0)</f>
        <v>0</v>
      </c>
      <c r="V602" s="20" t="n">
        <f aca="false" t="array" ref="V602:V602">IF(AND(INDEX(Profils!$P$5:$P$34,$AE602)&gt;0,INDEX(Profils!$AE$5:$AE$34,$AE602)&lt;=$AH602),ROUND(INDEX(Profils!$P$5:$P$34,$AE602)*Paramètres!$E$32*$AG602*$AJ602,Paramètres!$F$32),0)</f>
        <v>0</v>
      </c>
      <c r="W602" s="20" t="n">
        <f aca="false" t="array" ref="W602:W602">IF(AND(INDEX(Profils!$Q$5:$Q$34,$AE602)&gt;0,INDEX(Profils!$AF$5:$AF$34,$AE602)&lt;=$AH602),ROUND(INDEX(Profils!$Q$5:$Q$34,$AE602)*Paramètres!$E$33*$AG602*$AJ602,Paramètres!$F$33),0)</f>
        <v>0.004</v>
      </c>
      <c r="X602" s="20" t="n">
        <f aca="false" t="array" ref="X602:X602">IF(AND(INDEX(Profils!$R$5:$R$34,$AE602)&gt;0,INDEX(Profils!$AG$5:$AG$34,$AE602)&lt;=$AH602),ROUND(INDEX(Profils!$R$5:$R$34,$AE602)*Paramètres!$E$34*$AG602*$AJ602,Paramètres!$F$34),0)</f>
        <v>0.005</v>
      </c>
      <c r="Y602" s="20" t="n">
        <f aca="false" t="array" ref="Y602:Y602">IF(AND(INDEX(Profils!$S$5:$S$34,$AE602)&gt;0,INDEX(Profils!$AH$5:$AH$34,$AE602)&lt;=$AH602),ROUND(INDEX(Profils!$S$5:$S$34,$AE602)*Paramètres!$E$35*$AG602*$AJ602,Paramètres!$F$35),0)</f>
        <v>0</v>
      </c>
      <c r="Z602" s="21" t="n">
        <f aca="false">ROUND(L602/Paramètres!$E$22+M602/Paramètres!$E$23+N602/Paramètres!$E$24+O602/Paramètres!$E$25+P602/Paramètres!$E$26+Q602/Paramètres!$E$27+R602/Paramètres!$E$28+S602/Paramètres!$E$29+T602/Paramètres!$E$30+U602/Paramètres!$E$31+V602/Paramètres!$E$32+W602/Paramètres!$E$33+X602/Paramètres!$E$34+Y602/Paramètres!$E$35,1)</f>
        <v>0.8</v>
      </c>
      <c r="AA602" s="22" t="s">
        <v>109</v>
      </c>
      <c r="AB602" s="22" t="s">
        <v>109</v>
      </c>
      <c r="AC602" s="15" t="str">
        <f aca="false">$E602</f>
        <v>quartz</v>
      </c>
      <c r="AD602" s="16" t="n">
        <f aca="false" t="array" ref="AD602:AD602">IF($I602&gt;=$AI602,"Max",ROUND(Paramètres!$B$40*($I602+1)^Paramètres!$B$41*INDEX(Paramètres!$H$6:$H$12,$AF602),0))</f>
        <v>4</v>
      </c>
      <c r="AE602" s="23" t="n">
        <f aca="false">MATCH($B602&amp;"|"&amp;$C602,Profils!$A$5:$A$34,0)</f>
        <v>20</v>
      </c>
      <c r="AF602" s="23" t="n">
        <v>2</v>
      </c>
      <c r="AG602" s="24" t="n">
        <f aca="false" t="array" ref="AG602:AG602">INDEX(Paramètres!$C$6:$C$12,$AF602)</f>
        <v>1.2</v>
      </c>
      <c r="AH602" s="23" t="n">
        <f aca="false" t="array" ref="AH602:AH602">INDEX(Paramètres!$D$6:$D$12,$AF602)</f>
        <v>3</v>
      </c>
      <c r="AI602" s="23" t="n">
        <f aca="false" t="array" ref="AI602:AI602">INDEX(Matériaux!$C$16:$C$20,$D602)</f>
        <v>20</v>
      </c>
      <c r="AJ602" s="25" t="n">
        <f aca="false">Paramètres!$B$16+(1-Paramètres!$B$16)*(($J602-Paramètres!$B$14)/(Paramètres!$B$15-Paramètres!$B$14))^Paramètres!$B$17</f>
        <v>0.140847925475674</v>
      </c>
    </row>
    <row r="603" customFormat="false" ht="15.75" hidden="false" customHeight="true" outlineLevel="0" collapsed="false">
      <c r="A603" s="14" t="s">
        <v>719</v>
      </c>
      <c r="B603" s="15" t="s">
        <v>29</v>
      </c>
      <c r="C603" s="15" t="s">
        <v>401</v>
      </c>
      <c r="D603" s="16" t="n">
        <v>2</v>
      </c>
      <c r="E603" s="15" t="str">
        <f aca="false" t="array" ref="E603:E603">INDEX(Matériaux!$B$5:$F$12,MATCH(INDEX(Profils!$E$5:$E$34,$AE603),Matériaux!$A$5:$A$12,0),$D603)</f>
        <v>quartz</v>
      </c>
      <c r="F603" s="27" t="s">
        <v>113</v>
      </c>
      <c r="G603" s="10" t="str">
        <f aca="false" t="array" ref="G603:G603">INDEX(Profils!$D$5:$D$34,$AE603)&amp;" en "&amp;$E603</f>
        <v>Orbe en quartz</v>
      </c>
      <c r="H603" s="16" t="n">
        <f aca="false" t="array" ref="H603:H603">INDEX(Matériaux!$B$16:$B$20,$D603)</f>
        <v>15</v>
      </c>
      <c r="I603" s="16" t="n">
        <f aca="false">IF(ISNUMBER($C$3),MIN(MAX(0,ROUND($C$3,0)),$AI603),$AI603)</f>
        <v>0</v>
      </c>
      <c r="J603" s="18" t="n">
        <f aca="false">$H603+$I603</f>
        <v>15</v>
      </c>
      <c r="K603" s="15" t="s">
        <v>109</v>
      </c>
      <c r="L603" s="19" t="n">
        <f aca="false" t="array" ref="L603:L603">IF(AND(INDEX(Profils!$F$5:$F$34,$AE603)&gt;0,INDEX(Profils!$U$5:$U$34,$AE603)&lt;=$AH603),ROUND(INDEX(Profils!$F$5:$F$34,$AE603)*Paramètres!$E$22*$AG603*$AJ603,Paramètres!$F$22),0)</f>
        <v>5</v>
      </c>
      <c r="M603" s="19" t="n">
        <f aca="false" t="array" ref="M603:M603">IF(AND(INDEX(Profils!$G$5:$G$34,$AE603)&gt;0,INDEX(Profils!$V$5:$V$34,$AE603)&lt;=$AH603),ROUND(INDEX(Profils!$G$5:$G$34,$AE603)*Paramètres!$E$23*$AG603*$AJ603,Paramètres!$F$23),0)</f>
        <v>0</v>
      </c>
      <c r="N603" s="19" t="n">
        <f aca="false" t="array" ref="N603:N603">IF(AND(INDEX(Profils!$H$5:$H$34,$AE603)&gt;0,INDEX(Profils!$W$5:$W$34,$AE603)&lt;=$AH603),ROUND(INDEX(Profils!$H$5:$H$34,$AE603)*Paramètres!$E$24*$AG603*$AJ603,Paramètres!$F$24),0)</f>
        <v>0</v>
      </c>
      <c r="O603" s="19" t="n">
        <f aca="false" t="array" ref="O603:O603">IF(AND(INDEX(Profils!$I$5:$I$34,$AE603)&gt;0,INDEX(Profils!$X$5:$X$34,$AE603)&lt;=$AH603),ROUND(INDEX(Profils!$I$5:$I$34,$AE603)*Paramètres!$E$25*$AG603*$AJ603,Paramètres!$F$25),0)</f>
        <v>5</v>
      </c>
      <c r="P603" s="19" t="n">
        <f aca="false" t="array" ref="P603:P603">IF(AND(INDEX(Profils!$J$5:$J$34,$AE603)&gt;0,INDEX(Profils!$Y$5:$Y$34,$AE603)&lt;=$AH603),ROUND(INDEX(Profils!$J$5:$J$34,$AE603)*Paramètres!$E$26*$AG603*$AJ603,Paramètres!$F$26),0)</f>
        <v>0</v>
      </c>
      <c r="Q603" s="19" t="n">
        <f aca="false" t="array" ref="Q603:Q603">IF(AND(INDEX(Profils!$K$5:$K$34,$AE603)&gt;0,INDEX(Profils!$Z$5:$Z$34,$AE603)&lt;=$AH603),ROUND(INDEX(Profils!$K$5:$K$34,$AE603)*Paramètres!$E$27*$AG603*$AJ603,Paramètres!$F$27),0)</f>
        <v>0</v>
      </c>
      <c r="R603" s="20" t="n">
        <f aca="false" t="array" ref="R603:R603">IF(AND(INDEX(Profils!$L$5:$L$34,$AE603)&gt;0,INDEX(Profils!$AA$5:$AA$34,$AE603)&lt;=$AH603),ROUND(INDEX(Profils!$L$5:$L$34,$AE603)*Paramètres!$E$28*$AG603*$AJ603,Paramètres!$F$28),0)</f>
        <v>0</v>
      </c>
      <c r="S603" s="20" t="n">
        <f aca="false" t="array" ref="S603:S603">IF(AND(INDEX(Profils!$M$5:$M$34,$AE603)&gt;0,INDEX(Profils!$AB$5:$AB$34,$AE603)&lt;=$AH603),ROUND(INDEX(Profils!$M$5:$M$34,$AE603)*Paramètres!$E$29*$AG603*$AJ603,Paramètres!$F$29),0)</f>
        <v>0</v>
      </c>
      <c r="T603" s="20" t="n">
        <f aca="false" t="array" ref="T603:T603">IF(AND(INDEX(Profils!$N$5:$N$34,$AE603)&gt;0,INDEX(Profils!$AC$5:$AC$34,$AE603)&lt;=$AH603),ROUND(INDEX(Profils!$N$5:$N$34,$AE603)*Paramètres!$E$30*$AG603*$AJ603,Paramètres!$F$30),0)</f>
        <v>0</v>
      </c>
      <c r="U603" s="19" t="n">
        <f aca="false" t="array" ref="U603:U603">IF(AND(INDEX(Profils!$O$5:$O$34,$AE603)&gt;0,INDEX(Profils!$AD$5:$AD$34,$AE603)&lt;=$AH603),ROUND(INDEX(Profils!$O$5:$O$34,$AE603)*Paramètres!$E$31*$AG603*$AJ603,Paramètres!$F$31),0)</f>
        <v>0</v>
      </c>
      <c r="V603" s="20" t="n">
        <f aca="false" t="array" ref="V603:V603">IF(AND(INDEX(Profils!$P$5:$P$34,$AE603)&gt;0,INDEX(Profils!$AE$5:$AE$34,$AE603)&lt;=$AH603),ROUND(INDEX(Profils!$P$5:$P$34,$AE603)*Paramètres!$E$32*$AG603*$AJ603,Paramètres!$F$32),0)</f>
        <v>0</v>
      </c>
      <c r="W603" s="20" t="n">
        <f aca="false" t="array" ref="W603:W603">IF(AND(INDEX(Profils!$Q$5:$Q$34,$AE603)&gt;0,INDEX(Profils!$AF$5:$AF$34,$AE603)&lt;=$AH603),ROUND(INDEX(Profils!$Q$5:$Q$34,$AE603)*Paramètres!$E$33*$AG603*$AJ603,Paramètres!$F$33),0)</f>
        <v>0.004</v>
      </c>
      <c r="X603" s="20" t="n">
        <f aca="false" t="array" ref="X603:X603">IF(AND(INDEX(Profils!$R$5:$R$34,$AE603)&gt;0,INDEX(Profils!$AG$5:$AG$34,$AE603)&lt;=$AH603),ROUND(INDEX(Profils!$R$5:$R$34,$AE603)*Paramètres!$E$34*$AG603*$AJ603,Paramètres!$F$34),0)</f>
        <v>0.007</v>
      </c>
      <c r="Y603" s="20" t="n">
        <f aca="false" t="array" ref="Y603:Y603">IF(AND(INDEX(Profils!$S$5:$S$34,$AE603)&gt;0,INDEX(Profils!$AH$5:$AH$34,$AE603)&lt;=$AH603),ROUND(INDEX(Profils!$S$5:$S$34,$AE603)*Paramètres!$E$35*$AG603*$AJ603,Paramètres!$F$35),0)</f>
        <v>0</v>
      </c>
      <c r="Z603" s="21" t="n">
        <f aca="false">ROUND(L603/Paramètres!$E$22+M603/Paramètres!$E$23+N603/Paramètres!$E$24+O603/Paramètres!$E$25+P603/Paramètres!$E$26+Q603/Paramètres!$E$27+R603/Paramètres!$E$28+S603/Paramètres!$E$29+T603/Paramètres!$E$30+U603/Paramètres!$E$31+V603/Paramètres!$E$32+W603/Paramètres!$E$33+X603/Paramètres!$E$34+Y603/Paramètres!$E$35,1)</f>
        <v>1.2</v>
      </c>
      <c r="AA603" s="22" t="s">
        <v>109</v>
      </c>
      <c r="AB603" s="22" t="s">
        <v>109</v>
      </c>
      <c r="AC603" s="15" t="str">
        <f aca="false">$E603</f>
        <v>quartz</v>
      </c>
      <c r="AD603" s="16" t="n">
        <f aca="false" t="array" ref="AD603:AD603">IF($I603&gt;=$AI603,"Max",ROUND(Paramètres!$B$40*($I603+1)^Paramètres!$B$41*INDEX(Paramètres!$H$6:$H$12,$AF603),0))</f>
        <v>4</v>
      </c>
      <c r="AE603" s="23" t="n">
        <f aca="false">MATCH($B603&amp;"|"&amp;$C603,Profils!$A$5:$A$34,0)</f>
        <v>20</v>
      </c>
      <c r="AF603" s="23" t="n">
        <v>3</v>
      </c>
      <c r="AG603" s="24" t="n">
        <f aca="false" t="array" ref="AG603:AG603">INDEX(Paramètres!$C$6:$C$12,$AF603)</f>
        <v>1.45</v>
      </c>
      <c r="AH603" s="23" t="n">
        <f aca="false" t="array" ref="AH603:AH603">INDEX(Paramètres!$D$6:$D$12,$AF603)</f>
        <v>4</v>
      </c>
      <c r="AI603" s="23" t="n">
        <f aca="false" t="array" ref="AI603:AI603">INDEX(Matériaux!$C$16:$C$20,$D603)</f>
        <v>20</v>
      </c>
      <c r="AJ603" s="25" t="n">
        <f aca="false">Paramètres!$B$16+(1-Paramètres!$B$16)*(($J603-Paramètres!$B$14)/(Paramètres!$B$15-Paramètres!$B$14))^Paramètres!$B$17</f>
        <v>0.140847925475674</v>
      </c>
    </row>
    <row r="604" customFormat="false" ht="15.75" hidden="false" customHeight="true" outlineLevel="0" collapsed="false">
      <c r="A604" s="14" t="s">
        <v>720</v>
      </c>
      <c r="B604" s="15" t="s">
        <v>29</v>
      </c>
      <c r="C604" s="15" t="s">
        <v>401</v>
      </c>
      <c r="D604" s="16" t="n">
        <v>2</v>
      </c>
      <c r="E604" s="15" t="str">
        <f aca="false" t="array" ref="E604:E604">INDEX(Matériaux!$B$5:$F$12,MATCH(INDEX(Profils!$E$5:$E$34,$AE604),Matériaux!$A$5:$A$12,0),$D604)</f>
        <v>quartz</v>
      </c>
      <c r="F604" s="28" t="s">
        <v>115</v>
      </c>
      <c r="G604" s="10" t="str">
        <f aca="false" t="array" ref="G604:G604">INDEX(Profils!$D$5:$D$34,$AE604)&amp;" en "&amp;$E604</f>
        <v>Orbe en quartz</v>
      </c>
      <c r="H604" s="16" t="n">
        <f aca="false" t="array" ref="H604:H604">INDEX(Matériaux!$B$16:$B$20,$D604)</f>
        <v>15</v>
      </c>
      <c r="I604" s="16" t="n">
        <f aca="false">IF(ISNUMBER($C$3),MIN(MAX(0,ROUND($C$3,0)),$AI604),$AI604)</f>
        <v>0</v>
      </c>
      <c r="J604" s="18" t="n">
        <f aca="false">$H604+$I604</f>
        <v>15</v>
      </c>
      <c r="K604" s="15" t="s">
        <v>109</v>
      </c>
      <c r="L604" s="19" t="n">
        <f aca="false" t="array" ref="L604:L604">IF(AND(INDEX(Profils!$F$5:$F$34,$AE604)&gt;0,INDEX(Profils!$U$5:$U$34,$AE604)&lt;=$AH604),ROUND(INDEX(Profils!$F$5:$F$34,$AE604)*Paramètres!$E$22*$AG604*$AJ604,Paramètres!$F$22),0)</f>
        <v>6</v>
      </c>
      <c r="M604" s="19" t="n">
        <f aca="false" t="array" ref="M604:M604">IF(AND(INDEX(Profils!$G$5:$G$34,$AE604)&gt;0,INDEX(Profils!$V$5:$V$34,$AE604)&lt;=$AH604),ROUND(INDEX(Profils!$G$5:$G$34,$AE604)*Paramètres!$E$23*$AG604*$AJ604,Paramètres!$F$23),0)</f>
        <v>0</v>
      </c>
      <c r="N604" s="19" t="n">
        <f aca="false" t="array" ref="N604:N604">IF(AND(INDEX(Profils!$H$5:$H$34,$AE604)&gt;0,INDEX(Profils!$W$5:$W$34,$AE604)&lt;=$AH604),ROUND(INDEX(Profils!$H$5:$H$34,$AE604)*Paramètres!$E$24*$AG604*$AJ604,Paramètres!$F$24),0)</f>
        <v>0</v>
      </c>
      <c r="O604" s="19" t="n">
        <f aca="false" t="array" ref="O604:O604">IF(AND(INDEX(Profils!$I$5:$I$34,$AE604)&gt;0,INDEX(Profils!$X$5:$X$34,$AE604)&lt;=$AH604),ROUND(INDEX(Profils!$I$5:$I$34,$AE604)*Paramètres!$E$25*$AG604*$AJ604,Paramètres!$F$25),0)</f>
        <v>6</v>
      </c>
      <c r="P604" s="19" t="n">
        <f aca="false" t="array" ref="P604:P604">IF(AND(INDEX(Profils!$J$5:$J$34,$AE604)&gt;0,INDEX(Profils!$Y$5:$Y$34,$AE604)&lt;=$AH604),ROUND(INDEX(Profils!$J$5:$J$34,$AE604)*Paramètres!$E$26*$AG604*$AJ604,Paramètres!$F$26),0)</f>
        <v>0</v>
      </c>
      <c r="Q604" s="19" t="n">
        <f aca="false" t="array" ref="Q604:Q604">IF(AND(INDEX(Profils!$K$5:$K$34,$AE604)&gt;0,INDEX(Profils!$Z$5:$Z$34,$AE604)&lt;=$AH604),ROUND(INDEX(Profils!$K$5:$K$34,$AE604)*Paramètres!$E$27*$AG604*$AJ604,Paramètres!$F$27),0)</f>
        <v>0</v>
      </c>
      <c r="R604" s="20" t="n">
        <f aca="false" t="array" ref="R604:R604">IF(AND(INDEX(Profils!$L$5:$L$34,$AE604)&gt;0,INDEX(Profils!$AA$5:$AA$34,$AE604)&lt;=$AH604),ROUND(INDEX(Profils!$L$5:$L$34,$AE604)*Paramètres!$E$28*$AG604*$AJ604,Paramètres!$F$28),0)</f>
        <v>0</v>
      </c>
      <c r="S604" s="20" t="n">
        <f aca="false" t="array" ref="S604:S604">IF(AND(INDEX(Profils!$M$5:$M$34,$AE604)&gt;0,INDEX(Profils!$AB$5:$AB$34,$AE604)&lt;=$AH604),ROUND(INDEX(Profils!$M$5:$M$34,$AE604)*Paramètres!$E$29*$AG604*$AJ604,Paramètres!$F$29),0)</f>
        <v>0</v>
      </c>
      <c r="T604" s="20" t="n">
        <f aca="false" t="array" ref="T604:T604">IF(AND(INDEX(Profils!$N$5:$N$34,$AE604)&gt;0,INDEX(Profils!$AC$5:$AC$34,$AE604)&lt;=$AH604),ROUND(INDEX(Profils!$N$5:$N$34,$AE604)*Paramètres!$E$30*$AG604*$AJ604,Paramètres!$F$30),0)</f>
        <v>0</v>
      </c>
      <c r="U604" s="19" t="n">
        <f aca="false" t="array" ref="U604:U604">IF(AND(INDEX(Profils!$O$5:$O$34,$AE604)&gt;0,INDEX(Profils!$AD$5:$AD$34,$AE604)&lt;=$AH604),ROUND(INDEX(Profils!$O$5:$O$34,$AE604)*Paramètres!$E$31*$AG604*$AJ604,Paramètres!$F$31),0)</f>
        <v>0</v>
      </c>
      <c r="V604" s="20" t="n">
        <f aca="false" t="array" ref="V604:V604">IF(AND(INDEX(Profils!$P$5:$P$34,$AE604)&gt;0,INDEX(Profils!$AE$5:$AE$34,$AE604)&lt;=$AH604),ROUND(INDEX(Profils!$P$5:$P$34,$AE604)*Paramètres!$E$32*$AG604*$AJ604,Paramètres!$F$32),0)</f>
        <v>0</v>
      </c>
      <c r="W604" s="20" t="n">
        <f aca="false" t="array" ref="W604:W604">IF(AND(INDEX(Profils!$Q$5:$Q$34,$AE604)&gt;0,INDEX(Profils!$AF$5:$AF$34,$AE604)&lt;=$AH604),ROUND(INDEX(Profils!$Q$5:$Q$34,$AE604)*Paramètres!$E$33*$AG604*$AJ604,Paramètres!$F$33),0)</f>
        <v>0.005</v>
      </c>
      <c r="X604" s="20" t="n">
        <f aca="false" t="array" ref="X604:X604">IF(AND(INDEX(Profils!$R$5:$R$34,$AE604)&gt;0,INDEX(Profils!$AG$5:$AG$34,$AE604)&lt;=$AH604),ROUND(INDEX(Profils!$R$5:$R$34,$AE604)*Paramètres!$E$34*$AG604*$AJ604,Paramètres!$F$34),0)</f>
        <v>0.008</v>
      </c>
      <c r="Y604" s="20" t="n">
        <f aca="false" t="array" ref="Y604:Y604">IF(AND(INDEX(Profils!$S$5:$S$34,$AE604)&gt;0,INDEX(Profils!$AH$5:$AH$34,$AE604)&lt;=$AH604),ROUND(INDEX(Profils!$S$5:$S$34,$AE604)*Paramètres!$E$35*$AG604*$AJ604,Paramètres!$F$35),0)</f>
        <v>0.004</v>
      </c>
      <c r="Z604" s="21" t="n">
        <f aca="false">ROUND(L604/Paramètres!$E$22+M604/Paramètres!$E$23+N604/Paramètres!$E$24+O604/Paramètres!$E$25+P604/Paramètres!$E$26+Q604/Paramètres!$E$27+R604/Paramètres!$E$28+S604/Paramètres!$E$29+T604/Paramètres!$E$30+U604/Paramètres!$E$31+V604/Paramètres!$E$32+W604/Paramètres!$E$33+X604/Paramètres!$E$34+Y604/Paramètres!$E$35,1)</f>
        <v>1.6</v>
      </c>
      <c r="AA604" s="22" t="s">
        <v>109</v>
      </c>
      <c r="AB604" s="22" t="s">
        <v>109</v>
      </c>
      <c r="AC604" s="15" t="str">
        <f aca="false">$E604</f>
        <v>quartz</v>
      </c>
      <c r="AD604" s="16" t="n">
        <f aca="false" t="array" ref="AD604:AD604">IF($I604&gt;=$AI604,"Max",ROUND(Paramètres!$B$40*($I604+1)^Paramètres!$B$41*INDEX(Paramètres!$H$6:$H$12,$AF604),0))</f>
        <v>5</v>
      </c>
      <c r="AE604" s="23" t="n">
        <f aca="false">MATCH($B604&amp;"|"&amp;$C604,Profils!$A$5:$A$34,0)</f>
        <v>20</v>
      </c>
      <c r="AF604" s="23" t="n">
        <v>4</v>
      </c>
      <c r="AG604" s="24" t="n">
        <f aca="false" t="array" ref="AG604:AG604">INDEX(Paramètres!$C$6:$C$12,$AF604)</f>
        <v>1.75</v>
      </c>
      <c r="AH604" s="23" t="n">
        <f aca="false" t="array" ref="AH604:AH604">INDEX(Paramètres!$D$6:$D$12,$AF604)</f>
        <v>5</v>
      </c>
      <c r="AI604" s="23" t="n">
        <f aca="false" t="array" ref="AI604:AI604">INDEX(Matériaux!$C$16:$C$20,$D604)</f>
        <v>20</v>
      </c>
      <c r="AJ604" s="25" t="n">
        <f aca="false">Paramètres!$B$16+(1-Paramètres!$B$16)*(($J604-Paramètres!$B$14)/(Paramètres!$B$15-Paramètres!$B$14))^Paramètres!$B$17</f>
        <v>0.140847925475674</v>
      </c>
    </row>
    <row r="605" customFormat="false" ht="15.75" hidden="false" customHeight="true" outlineLevel="0" collapsed="false">
      <c r="A605" s="14" t="s">
        <v>721</v>
      </c>
      <c r="B605" s="15" t="s">
        <v>29</v>
      </c>
      <c r="C605" s="15" t="s">
        <v>401</v>
      </c>
      <c r="D605" s="16" t="n">
        <v>2</v>
      </c>
      <c r="E605" s="15" t="str">
        <f aca="false" t="array" ref="E605:E605">INDEX(Matériaux!$B$5:$F$12,MATCH(INDEX(Profils!$E$5:$E$34,$AE605),Matériaux!$A$5:$A$12,0),$D605)</f>
        <v>quartz</v>
      </c>
      <c r="F605" s="29" t="s">
        <v>117</v>
      </c>
      <c r="G605" s="10" t="str">
        <f aca="false" t="array" ref="G605:G605">INDEX(Profils!$D$5:$D$34,$AE605)&amp;" en "&amp;$E605</f>
        <v>Orbe en quartz</v>
      </c>
      <c r="H605" s="16" t="n">
        <f aca="false" t="array" ref="H605:H605">INDEX(Matériaux!$B$16:$B$20,$D605)</f>
        <v>15</v>
      </c>
      <c r="I605" s="16" t="n">
        <f aca="false">IF(ISNUMBER($C$3),MIN(MAX(0,ROUND($C$3,0)),$AI605),$AI605)</f>
        <v>0</v>
      </c>
      <c r="J605" s="18" t="n">
        <f aca="false">$H605+$I605</f>
        <v>15</v>
      </c>
      <c r="K605" s="15" t="s">
        <v>109</v>
      </c>
      <c r="L605" s="19" t="n">
        <f aca="false" t="array" ref="L605:L605">IF(AND(INDEX(Profils!$F$5:$F$34,$AE605)&gt;0,INDEX(Profils!$U$5:$U$34,$AE605)&lt;=$AH605),ROUND(INDEX(Profils!$F$5:$F$34,$AE605)*Paramètres!$E$22*$AG605*$AJ605,Paramètres!$F$22),0)</f>
        <v>7</v>
      </c>
      <c r="M605" s="19" t="n">
        <f aca="false" t="array" ref="M605:M605">IF(AND(INDEX(Profils!$G$5:$G$34,$AE605)&gt;0,INDEX(Profils!$V$5:$V$34,$AE605)&lt;=$AH605),ROUND(INDEX(Profils!$G$5:$G$34,$AE605)*Paramètres!$E$23*$AG605*$AJ605,Paramètres!$F$23),0)</f>
        <v>0</v>
      </c>
      <c r="N605" s="19" t="n">
        <f aca="false" t="array" ref="N605:N605">IF(AND(INDEX(Profils!$H$5:$H$34,$AE605)&gt;0,INDEX(Profils!$W$5:$W$34,$AE605)&lt;=$AH605),ROUND(INDEX(Profils!$H$5:$H$34,$AE605)*Paramètres!$E$24*$AG605*$AJ605,Paramètres!$F$24),0)</f>
        <v>0</v>
      </c>
      <c r="O605" s="19" t="n">
        <f aca="false" t="array" ref="O605:O605">IF(AND(INDEX(Profils!$I$5:$I$34,$AE605)&gt;0,INDEX(Profils!$X$5:$X$34,$AE605)&lt;=$AH605),ROUND(INDEX(Profils!$I$5:$I$34,$AE605)*Paramètres!$E$25*$AG605*$AJ605,Paramètres!$F$25),0)</f>
        <v>7</v>
      </c>
      <c r="P605" s="19" t="n">
        <f aca="false" t="array" ref="P605:P605">IF(AND(INDEX(Profils!$J$5:$J$34,$AE605)&gt;0,INDEX(Profils!$Y$5:$Y$34,$AE605)&lt;=$AH605),ROUND(INDEX(Profils!$J$5:$J$34,$AE605)*Paramètres!$E$26*$AG605*$AJ605,Paramètres!$F$26),0)</f>
        <v>0</v>
      </c>
      <c r="Q605" s="19" t="n">
        <f aca="false" t="array" ref="Q605:Q605">IF(AND(INDEX(Profils!$K$5:$K$34,$AE605)&gt;0,INDEX(Profils!$Z$5:$Z$34,$AE605)&lt;=$AH605),ROUND(INDEX(Profils!$K$5:$K$34,$AE605)*Paramètres!$E$27*$AG605*$AJ605,Paramètres!$F$27),0)</f>
        <v>0</v>
      </c>
      <c r="R605" s="20" t="n">
        <f aca="false" t="array" ref="R605:R605">IF(AND(INDEX(Profils!$L$5:$L$34,$AE605)&gt;0,INDEX(Profils!$AA$5:$AA$34,$AE605)&lt;=$AH605),ROUND(INDEX(Profils!$L$5:$L$34,$AE605)*Paramètres!$E$28*$AG605*$AJ605,Paramètres!$F$28),0)</f>
        <v>0</v>
      </c>
      <c r="S605" s="20" t="n">
        <f aca="false" t="array" ref="S605:S605">IF(AND(INDEX(Profils!$M$5:$M$34,$AE605)&gt;0,INDEX(Profils!$AB$5:$AB$34,$AE605)&lt;=$AH605),ROUND(INDEX(Profils!$M$5:$M$34,$AE605)*Paramètres!$E$29*$AG605*$AJ605,Paramètres!$F$29),0)</f>
        <v>0</v>
      </c>
      <c r="T605" s="20" t="n">
        <f aca="false" t="array" ref="T605:T605">IF(AND(INDEX(Profils!$N$5:$N$34,$AE605)&gt;0,INDEX(Profils!$AC$5:$AC$34,$AE605)&lt;=$AH605),ROUND(INDEX(Profils!$N$5:$N$34,$AE605)*Paramètres!$E$30*$AG605*$AJ605,Paramètres!$F$30),0)</f>
        <v>0.008</v>
      </c>
      <c r="U605" s="19" t="n">
        <f aca="false" t="array" ref="U605:U605">IF(AND(INDEX(Profils!$O$5:$O$34,$AE605)&gt;0,INDEX(Profils!$AD$5:$AD$34,$AE605)&lt;=$AH605),ROUND(INDEX(Profils!$O$5:$O$34,$AE605)*Paramètres!$E$31*$AG605*$AJ605,Paramètres!$F$31),0)</f>
        <v>0</v>
      </c>
      <c r="V605" s="20" t="n">
        <f aca="false" t="array" ref="V605:V605">IF(AND(INDEX(Profils!$P$5:$P$34,$AE605)&gt;0,INDEX(Profils!$AE$5:$AE$34,$AE605)&lt;=$AH605),ROUND(INDEX(Profils!$P$5:$P$34,$AE605)*Paramètres!$E$32*$AG605*$AJ605,Paramètres!$F$32),0)</f>
        <v>0</v>
      </c>
      <c r="W605" s="20" t="n">
        <f aca="false" t="array" ref="W605:W605">IF(AND(INDEX(Profils!$Q$5:$Q$34,$AE605)&gt;0,INDEX(Profils!$AF$5:$AF$34,$AE605)&lt;=$AH605),ROUND(INDEX(Profils!$Q$5:$Q$34,$AE605)*Paramètres!$E$33*$AG605*$AJ605,Paramètres!$F$33),0)</f>
        <v>0.006</v>
      </c>
      <c r="X605" s="20" t="n">
        <f aca="false" t="array" ref="X605:X605">IF(AND(INDEX(Profils!$R$5:$R$34,$AE605)&gt;0,INDEX(Profils!$AG$5:$AG$34,$AE605)&lt;=$AH605),ROUND(INDEX(Profils!$R$5:$R$34,$AE605)*Paramètres!$E$34*$AG605*$AJ605,Paramètres!$F$34),0)</f>
        <v>0.009</v>
      </c>
      <c r="Y605" s="20" t="n">
        <f aca="false" t="array" ref="Y605:Y605">IF(AND(INDEX(Profils!$S$5:$S$34,$AE605)&gt;0,INDEX(Profils!$AH$5:$AH$34,$AE605)&lt;=$AH605),ROUND(INDEX(Profils!$S$5:$S$34,$AE605)*Paramètres!$E$35*$AG605*$AJ605,Paramètres!$F$35),0)</f>
        <v>0.004</v>
      </c>
      <c r="Z605" s="21" t="n">
        <f aca="false">ROUND(L605/Paramètres!$E$22+M605/Paramètres!$E$23+N605/Paramètres!$E$24+O605/Paramètres!$E$25+P605/Paramètres!$E$26+Q605/Paramètres!$E$27+R605/Paramètres!$E$28+S605/Paramètres!$E$29+T605/Paramètres!$E$30+U605/Paramètres!$E$31+V605/Paramètres!$E$32+W605/Paramètres!$E$33+X605/Paramètres!$E$34+Y605/Paramètres!$E$35,1)</f>
        <v>2.1</v>
      </c>
      <c r="AA605" s="22" t="s">
        <v>109</v>
      </c>
      <c r="AB605" s="22" t="s">
        <v>109</v>
      </c>
      <c r="AC605" s="15" t="str">
        <f aca="false">$E605</f>
        <v>quartz</v>
      </c>
      <c r="AD605" s="16" t="n">
        <f aca="false" t="array" ref="AD605:AD605">IF($I605&gt;=$AI605,"Max",ROUND(Paramètres!$B$40*($I605+1)^Paramètres!$B$41*INDEX(Paramètres!$H$6:$H$12,$AF605),0))</f>
        <v>6</v>
      </c>
      <c r="AE605" s="23" t="n">
        <f aca="false">MATCH($B605&amp;"|"&amp;$C605,Profils!$A$5:$A$34,0)</f>
        <v>20</v>
      </c>
      <c r="AF605" s="23" t="n">
        <v>5</v>
      </c>
      <c r="AG605" s="24" t="n">
        <f aca="false" t="array" ref="AG605:AG605">INDEX(Paramètres!$C$6:$C$12,$AF605)</f>
        <v>2.1</v>
      </c>
      <c r="AH605" s="23" t="n">
        <f aca="false" t="array" ref="AH605:AH605">INDEX(Paramètres!$D$6:$D$12,$AF605)</f>
        <v>6</v>
      </c>
      <c r="AI605" s="23" t="n">
        <f aca="false" t="array" ref="AI605:AI605">INDEX(Matériaux!$C$16:$C$20,$D605)</f>
        <v>20</v>
      </c>
      <c r="AJ605" s="25" t="n">
        <f aca="false">Paramètres!$B$16+(1-Paramètres!$B$16)*(($J605-Paramètres!$B$14)/(Paramètres!$B$15-Paramètres!$B$14))^Paramètres!$B$17</f>
        <v>0.140847925475674</v>
      </c>
    </row>
    <row r="606" customFormat="false" ht="15.75" hidden="false" customHeight="true" outlineLevel="0" collapsed="false">
      <c r="A606" s="14" t="s">
        <v>722</v>
      </c>
      <c r="B606" s="15" t="s">
        <v>29</v>
      </c>
      <c r="C606" s="15" t="s">
        <v>401</v>
      </c>
      <c r="D606" s="16" t="n">
        <v>2</v>
      </c>
      <c r="E606" s="15" t="str">
        <f aca="false" t="array" ref="E606:E606">INDEX(Matériaux!$B$5:$F$12,MATCH(INDEX(Profils!$E$5:$E$34,$AE606),Matériaux!$A$5:$A$12,0),$D606)</f>
        <v>quartz</v>
      </c>
      <c r="F606" s="30" t="s">
        <v>119</v>
      </c>
      <c r="G606" s="10" t="str">
        <f aca="false" t="array" ref="G606:G606">INDEX(Profils!$D$5:$D$34,$AE606)&amp;" en "&amp;$E606</f>
        <v>Orbe en quartz</v>
      </c>
      <c r="H606" s="16" t="n">
        <f aca="false" t="array" ref="H606:H606">INDEX(Matériaux!$B$16:$B$20,$D606)</f>
        <v>15</v>
      </c>
      <c r="I606" s="16" t="n">
        <f aca="false">IF(ISNUMBER($C$3),MIN(MAX(0,ROUND($C$3,0)),$AI606),$AI606)</f>
        <v>0</v>
      </c>
      <c r="J606" s="18" t="n">
        <f aca="false">$H606+$I606</f>
        <v>15</v>
      </c>
      <c r="K606" s="15" t="s">
        <v>109</v>
      </c>
      <c r="L606" s="19" t="n">
        <f aca="false" t="array" ref="L606:L606">IF(AND(INDEX(Profils!$F$5:$F$34,$AE606)&gt;0,INDEX(Profils!$U$5:$U$34,$AE606)&lt;=$AH606),ROUND(INDEX(Profils!$F$5:$F$34,$AE606)*Paramètres!$E$22*$AG606*$AJ606,Paramètres!$F$22),0)</f>
        <v>8</v>
      </c>
      <c r="M606" s="19" t="n">
        <f aca="false" t="array" ref="M606:M606">IF(AND(INDEX(Profils!$G$5:$G$34,$AE606)&gt;0,INDEX(Profils!$V$5:$V$34,$AE606)&lt;=$AH606),ROUND(INDEX(Profils!$G$5:$G$34,$AE606)*Paramètres!$E$23*$AG606*$AJ606,Paramètres!$F$23),0)</f>
        <v>0</v>
      </c>
      <c r="N606" s="19" t="n">
        <f aca="false" t="array" ref="N606:N606">IF(AND(INDEX(Profils!$H$5:$H$34,$AE606)&gt;0,INDEX(Profils!$W$5:$W$34,$AE606)&lt;=$AH606),ROUND(INDEX(Profils!$H$5:$H$34,$AE606)*Paramètres!$E$24*$AG606*$AJ606,Paramètres!$F$24),0)</f>
        <v>0</v>
      </c>
      <c r="O606" s="19" t="n">
        <f aca="false" t="array" ref="O606:O606">IF(AND(INDEX(Profils!$I$5:$I$34,$AE606)&gt;0,INDEX(Profils!$X$5:$X$34,$AE606)&lt;=$AH606),ROUND(INDEX(Profils!$I$5:$I$34,$AE606)*Paramètres!$E$25*$AG606*$AJ606,Paramètres!$F$25),0)</f>
        <v>8</v>
      </c>
      <c r="P606" s="19" t="n">
        <f aca="false" t="array" ref="P606:P606">IF(AND(INDEX(Profils!$J$5:$J$34,$AE606)&gt;0,INDEX(Profils!$Y$5:$Y$34,$AE606)&lt;=$AH606),ROUND(INDEX(Profils!$J$5:$J$34,$AE606)*Paramètres!$E$26*$AG606*$AJ606,Paramètres!$F$26),0)</f>
        <v>0</v>
      </c>
      <c r="Q606" s="19" t="n">
        <f aca="false" t="array" ref="Q606:Q606">IF(AND(INDEX(Profils!$K$5:$K$34,$AE606)&gt;0,INDEX(Profils!$Z$5:$Z$34,$AE606)&lt;=$AH606),ROUND(INDEX(Profils!$K$5:$K$34,$AE606)*Paramètres!$E$27*$AG606*$AJ606,Paramètres!$F$27),0)</f>
        <v>0</v>
      </c>
      <c r="R606" s="20" t="n">
        <f aca="false" t="array" ref="R606:R606">IF(AND(INDEX(Profils!$L$5:$L$34,$AE606)&gt;0,INDEX(Profils!$AA$5:$AA$34,$AE606)&lt;=$AH606),ROUND(INDEX(Profils!$L$5:$L$34,$AE606)*Paramètres!$E$28*$AG606*$AJ606,Paramètres!$F$28),0)</f>
        <v>0</v>
      </c>
      <c r="S606" s="20" t="n">
        <f aca="false" t="array" ref="S606:S606">IF(AND(INDEX(Profils!$M$5:$M$34,$AE606)&gt;0,INDEX(Profils!$AB$5:$AB$34,$AE606)&lt;=$AH606),ROUND(INDEX(Profils!$M$5:$M$34,$AE606)*Paramètres!$E$29*$AG606*$AJ606,Paramètres!$F$29),0)</f>
        <v>0.003</v>
      </c>
      <c r="T606" s="20" t="n">
        <f aca="false" t="array" ref="T606:T606">IF(AND(INDEX(Profils!$N$5:$N$34,$AE606)&gt;0,INDEX(Profils!$AC$5:$AC$34,$AE606)&lt;=$AH606),ROUND(INDEX(Profils!$N$5:$N$34,$AE606)*Paramètres!$E$30*$AG606*$AJ606,Paramètres!$F$30),0)</f>
        <v>0.009</v>
      </c>
      <c r="U606" s="19" t="n">
        <f aca="false" t="array" ref="U606:U606">IF(AND(INDEX(Profils!$O$5:$O$34,$AE606)&gt;0,INDEX(Profils!$AD$5:$AD$34,$AE606)&lt;=$AH606),ROUND(INDEX(Profils!$O$5:$O$34,$AE606)*Paramètres!$E$31*$AG606*$AJ606,Paramètres!$F$31),0)</f>
        <v>0</v>
      </c>
      <c r="V606" s="20" t="n">
        <f aca="false" t="array" ref="V606:V606">IF(AND(INDEX(Profils!$P$5:$P$34,$AE606)&gt;0,INDEX(Profils!$AE$5:$AE$34,$AE606)&lt;=$AH606),ROUND(INDEX(Profils!$P$5:$P$34,$AE606)*Paramètres!$E$32*$AG606*$AJ606,Paramètres!$F$32),0)</f>
        <v>0</v>
      </c>
      <c r="W606" s="20" t="n">
        <f aca="false" t="array" ref="W606:W606">IF(AND(INDEX(Profils!$Q$5:$Q$34,$AE606)&gt;0,INDEX(Profils!$AF$5:$AF$34,$AE606)&lt;=$AH606),ROUND(INDEX(Profils!$Q$5:$Q$34,$AE606)*Paramètres!$E$33*$AG606*$AJ606,Paramètres!$F$33),0)</f>
        <v>0.007</v>
      </c>
      <c r="X606" s="20" t="n">
        <f aca="false" t="array" ref="X606:X606">IF(AND(INDEX(Profils!$R$5:$R$34,$AE606)&gt;0,INDEX(Profils!$AG$5:$AG$34,$AE606)&lt;=$AH606),ROUND(INDEX(Profils!$R$5:$R$34,$AE606)*Paramètres!$E$34*$AG606*$AJ606,Paramètres!$F$34),0)</f>
        <v>0.011</v>
      </c>
      <c r="Y606" s="20" t="n">
        <f aca="false" t="array" ref="Y606:Y606">IF(AND(INDEX(Profils!$S$5:$S$34,$AE606)&gt;0,INDEX(Profils!$AH$5:$AH$34,$AE606)&lt;=$AH606),ROUND(INDEX(Profils!$S$5:$S$34,$AE606)*Paramètres!$E$35*$AG606*$AJ606,Paramètres!$F$35),0)</f>
        <v>0.005</v>
      </c>
      <c r="Z606" s="21" t="n">
        <f aca="false">ROUND(L606/Paramètres!$E$22+M606/Paramètres!$E$23+N606/Paramètres!$E$24+O606/Paramètres!$E$25+P606/Paramètres!$E$26+Q606/Paramètres!$E$27+R606/Paramètres!$E$28+S606/Paramètres!$E$29+T606/Paramètres!$E$30+U606/Paramètres!$E$31+V606/Paramètres!$E$32+W606/Paramètres!$E$33+X606/Paramètres!$E$34+Y606/Paramètres!$E$35,1)</f>
        <v>2.8</v>
      </c>
      <c r="AA606" s="22" t="s">
        <v>109</v>
      </c>
      <c r="AB606" s="22" t="s">
        <v>109</v>
      </c>
      <c r="AC606" s="15" t="str">
        <f aca="false">$E606</f>
        <v>quartz</v>
      </c>
      <c r="AD606" s="16" t="n">
        <f aca="false" t="array" ref="AD606:AD606">IF($I606&gt;=$AI606,"Max",ROUND(Paramètres!$B$40*($I606+1)^Paramètres!$B$41*INDEX(Paramètres!$H$6:$H$12,$AF606),0))</f>
        <v>8</v>
      </c>
      <c r="AE606" s="23" t="n">
        <f aca="false">MATCH($B606&amp;"|"&amp;$C606,Profils!$A$5:$A$34,0)</f>
        <v>20</v>
      </c>
      <c r="AF606" s="23" t="n">
        <v>6</v>
      </c>
      <c r="AG606" s="24" t="n">
        <f aca="false" t="array" ref="AG606:AG606">INDEX(Paramètres!$C$6:$C$12,$AF606)</f>
        <v>2.4</v>
      </c>
      <c r="AH606" s="23" t="n">
        <f aca="false" t="array" ref="AH606:AH606">INDEX(Paramètres!$D$6:$D$12,$AF606)</f>
        <v>7</v>
      </c>
      <c r="AI606" s="23" t="n">
        <f aca="false" t="array" ref="AI606:AI606">INDEX(Matériaux!$C$16:$C$20,$D606)</f>
        <v>20</v>
      </c>
      <c r="AJ606" s="25" t="n">
        <f aca="false">Paramètres!$B$16+(1-Paramètres!$B$16)*(($J606-Paramètres!$B$14)/(Paramètres!$B$15-Paramètres!$B$14))^Paramètres!$B$17</f>
        <v>0.140847925475674</v>
      </c>
    </row>
    <row r="607" customFormat="false" ht="15.75" hidden="false" customHeight="true" outlineLevel="0" collapsed="false">
      <c r="A607" s="14" t="s">
        <v>723</v>
      </c>
      <c r="B607" s="15" t="s">
        <v>29</v>
      </c>
      <c r="C607" s="15" t="s">
        <v>401</v>
      </c>
      <c r="D607" s="16" t="n">
        <v>3</v>
      </c>
      <c r="E607" s="15" t="str">
        <f aca="false" t="array" ref="E607:E607">INDEX(Matériaux!$B$5:$F$12,MATCH(INDEX(Profils!$E$5:$E$34,$AE607),Matériaux!$A$5:$A$12,0),$D607)</f>
        <v>améthyste</v>
      </c>
      <c r="F607" s="17" t="s">
        <v>108</v>
      </c>
      <c r="G607" s="10" t="str">
        <f aca="false" t="array" ref="G607:G607">INDEX(Profils!$D$5:$D$34,$AE607)&amp;" en "&amp;$E607</f>
        <v>Orbe en améthyste</v>
      </c>
      <c r="H607" s="16" t="n">
        <f aca="false" t="array" ref="H607:H607">INDEX(Matériaux!$B$16:$B$20,$D607)</f>
        <v>30</v>
      </c>
      <c r="I607" s="16" t="n">
        <f aca="false">IF(ISNUMBER($C$3),MIN(MAX(0,ROUND($C$3,0)),$AI607),$AI607)</f>
        <v>0</v>
      </c>
      <c r="J607" s="18" t="n">
        <f aca="false">$H607+$I607</f>
        <v>30</v>
      </c>
      <c r="K607" s="15" t="s">
        <v>109</v>
      </c>
      <c r="L607" s="19" t="n">
        <f aca="false" t="array" ref="L607:L607">IF(AND(INDEX(Profils!$F$5:$F$34,$AE607)&gt;0,INDEX(Profils!$U$5:$U$34,$AE607)&lt;=$AH607),ROUND(INDEX(Profils!$F$5:$F$34,$AE607)*Paramètres!$E$22*$AG607*$AJ607,Paramètres!$F$22),0)</f>
        <v>0</v>
      </c>
      <c r="M607" s="19" t="n">
        <f aca="false" t="array" ref="M607:M607">IF(AND(INDEX(Profils!$G$5:$G$34,$AE607)&gt;0,INDEX(Profils!$V$5:$V$34,$AE607)&lt;=$AH607),ROUND(INDEX(Profils!$G$5:$G$34,$AE607)*Paramètres!$E$23*$AG607*$AJ607,Paramètres!$F$23),0)</f>
        <v>0</v>
      </c>
      <c r="N607" s="19" t="n">
        <f aca="false" t="array" ref="N607:N607">IF(AND(INDEX(Profils!$H$5:$H$34,$AE607)&gt;0,INDEX(Profils!$W$5:$W$34,$AE607)&lt;=$AH607),ROUND(INDEX(Profils!$H$5:$H$34,$AE607)*Paramètres!$E$24*$AG607*$AJ607,Paramètres!$F$24),0)</f>
        <v>0</v>
      </c>
      <c r="O607" s="19" t="n">
        <f aca="false" t="array" ref="O607:O607">IF(AND(INDEX(Profils!$I$5:$I$34,$AE607)&gt;0,INDEX(Profils!$X$5:$X$34,$AE607)&lt;=$AH607),ROUND(INDEX(Profils!$I$5:$I$34,$AE607)*Paramètres!$E$25*$AG607*$AJ607,Paramètres!$F$25),0)</f>
        <v>6</v>
      </c>
      <c r="P607" s="19" t="n">
        <f aca="false" t="array" ref="P607:P607">IF(AND(INDEX(Profils!$J$5:$J$34,$AE607)&gt;0,INDEX(Profils!$Y$5:$Y$34,$AE607)&lt;=$AH607),ROUND(INDEX(Profils!$J$5:$J$34,$AE607)*Paramètres!$E$26*$AG607*$AJ607,Paramètres!$F$26),0)</f>
        <v>0</v>
      </c>
      <c r="Q607" s="19" t="n">
        <f aca="false" t="array" ref="Q607:Q607">IF(AND(INDEX(Profils!$K$5:$K$34,$AE607)&gt;0,INDEX(Profils!$Z$5:$Z$34,$AE607)&lt;=$AH607),ROUND(INDEX(Profils!$K$5:$K$34,$AE607)*Paramètres!$E$27*$AG607*$AJ607,Paramètres!$F$27),0)</f>
        <v>0</v>
      </c>
      <c r="R607" s="20" t="n">
        <f aca="false" t="array" ref="R607:R607">IF(AND(INDEX(Profils!$L$5:$L$34,$AE607)&gt;0,INDEX(Profils!$AA$5:$AA$34,$AE607)&lt;=$AH607),ROUND(INDEX(Profils!$L$5:$L$34,$AE607)*Paramètres!$E$28*$AG607*$AJ607,Paramètres!$F$28),0)</f>
        <v>0</v>
      </c>
      <c r="S607" s="20" t="n">
        <f aca="false" t="array" ref="S607:S607">IF(AND(INDEX(Profils!$M$5:$M$34,$AE607)&gt;0,INDEX(Profils!$AB$5:$AB$34,$AE607)&lt;=$AH607),ROUND(INDEX(Profils!$M$5:$M$34,$AE607)*Paramètres!$E$29*$AG607*$AJ607,Paramètres!$F$29),0)</f>
        <v>0</v>
      </c>
      <c r="T607" s="20" t="n">
        <f aca="false" t="array" ref="T607:T607">IF(AND(INDEX(Profils!$N$5:$N$34,$AE607)&gt;0,INDEX(Profils!$AC$5:$AC$34,$AE607)&lt;=$AH607),ROUND(INDEX(Profils!$N$5:$N$34,$AE607)*Paramètres!$E$30*$AG607*$AJ607,Paramètres!$F$30),0)</f>
        <v>0</v>
      </c>
      <c r="U607" s="19" t="n">
        <f aca="false" t="array" ref="U607:U607">IF(AND(INDEX(Profils!$O$5:$O$34,$AE607)&gt;0,INDEX(Profils!$AD$5:$AD$34,$AE607)&lt;=$AH607),ROUND(INDEX(Profils!$O$5:$O$34,$AE607)*Paramètres!$E$31*$AG607*$AJ607,Paramètres!$F$31),0)</f>
        <v>0</v>
      </c>
      <c r="V607" s="20" t="n">
        <f aca="false" t="array" ref="V607:V607">IF(AND(INDEX(Profils!$P$5:$P$34,$AE607)&gt;0,INDEX(Profils!$AE$5:$AE$34,$AE607)&lt;=$AH607),ROUND(INDEX(Profils!$P$5:$P$34,$AE607)*Paramètres!$E$32*$AG607*$AJ607,Paramètres!$F$32),0)</f>
        <v>0</v>
      </c>
      <c r="W607" s="20" t="n">
        <f aca="false" t="array" ref="W607:W607">IF(AND(INDEX(Profils!$Q$5:$Q$34,$AE607)&gt;0,INDEX(Profils!$AF$5:$AF$34,$AE607)&lt;=$AH607),ROUND(INDEX(Profils!$Q$5:$Q$34,$AE607)*Paramètres!$E$33*$AG607*$AJ607,Paramètres!$F$33),0)</f>
        <v>0</v>
      </c>
      <c r="X607" s="20" t="n">
        <f aca="false" t="array" ref="X607:X607">IF(AND(INDEX(Profils!$R$5:$R$34,$AE607)&gt;0,INDEX(Profils!$AG$5:$AG$34,$AE607)&lt;=$AH607),ROUND(INDEX(Profils!$R$5:$R$34,$AE607)*Paramètres!$E$34*$AG607*$AJ607,Paramètres!$F$34),0)</f>
        <v>0.009</v>
      </c>
      <c r="Y607" s="20" t="n">
        <f aca="false" t="array" ref="Y607:Y607">IF(AND(INDEX(Profils!$S$5:$S$34,$AE607)&gt;0,INDEX(Profils!$AH$5:$AH$34,$AE607)&lt;=$AH607),ROUND(INDEX(Profils!$S$5:$S$34,$AE607)*Paramètres!$E$35*$AG607*$AJ607,Paramètres!$F$35),0)</f>
        <v>0</v>
      </c>
      <c r="Z607" s="21" t="n">
        <f aca="false">ROUND(L607/Paramètres!$E$22+M607/Paramètres!$E$23+N607/Paramètres!$E$24+O607/Paramètres!$E$25+P607/Paramètres!$E$26+Q607/Paramètres!$E$27+R607/Paramètres!$E$28+S607/Paramètres!$E$29+T607/Paramètres!$E$30+U607/Paramètres!$E$31+V607/Paramètres!$E$32+W607/Paramètres!$E$33+X607/Paramètres!$E$34+Y607/Paramètres!$E$35,1)</f>
        <v>0.9</v>
      </c>
      <c r="AA607" s="22" t="s">
        <v>109</v>
      </c>
      <c r="AB607" s="22" t="s">
        <v>109</v>
      </c>
      <c r="AC607" s="15" t="str">
        <f aca="false">$E607</f>
        <v>améthyste</v>
      </c>
      <c r="AD607" s="16" t="n">
        <f aca="false" t="array" ref="AD607:AD607">IF($I607&gt;=$AI607,"Max",ROUND(Paramètres!$B$40*($I607+1)^Paramètres!$B$41*INDEX(Paramètres!$H$6:$H$12,$AF607),0))</f>
        <v>3</v>
      </c>
      <c r="AE607" s="23" t="n">
        <f aca="false">MATCH($B607&amp;"|"&amp;$C607,Profils!$A$5:$A$34,0)</f>
        <v>20</v>
      </c>
      <c r="AF607" s="23" t="n">
        <v>1</v>
      </c>
      <c r="AG607" s="24" t="n">
        <f aca="false" t="array" ref="AG607:AG607">INDEX(Paramètres!$C$6:$C$12,$AF607)</f>
        <v>1</v>
      </c>
      <c r="AH607" s="23" t="n">
        <f aca="false" t="array" ref="AH607:AH607">INDEX(Paramètres!$D$6:$D$12,$AF607)</f>
        <v>2</v>
      </c>
      <c r="AI607" s="23" t="n">
        <f aca="false" t="array" ref="AI607:AI607">INDEX(Matériaux!$C$16:$C$20,$D607)</f>
        <v>25</v>
      </c>
      <c r="AJ607" s="25" t="n">
        <f aca="false">Paramètres!$B$16+(1-Paramètres!$B$16)*(($J607-Paramètres!$B$14)/(Paramètres!$B$15-Paramètres!$B$14))^Paramètres!$B$17</f>
        <v>0.26769024555533</v>
      </c>
    </row>
    <row r="608" customFormat="false" ht="15.75" hidden="false" customHeight="true" outlineLevel="0" collapsed="false">
      <c r="A608" s="14" t="s">
        <v>724</v>
      </c>
      <c r="B608" s="15" t="s">
        <v>29</v>
      </c>
      <c r="C608" s="15" t="s">
        <v>401</v>
      </c>
      <c r="D608" s="16" t="n">
        <v>3</v>
      </c>
      <c r="E608" s="15" t="str">
        <f aca="false" t="array" ref="E608:E608">INDEX(Matériaux!$B$5:$F$12,MATCH(INDEX(Profils!$E$5:$E$34,$AE608),Matériaux!$A$5:$A$12,0),$D608)</f>
        <v>améthyste</v>
      </c>
      <c r="F608" s="26" t="s">
        <v>111</v>
      </c>
      <c r="G608" s="10" t="str">
        <f aca="false" t="array" ref="G608:G608">INDEX(Profils!$D$5:$D$34,$AE608)&amp;" en "&amp;$E608</f>
        <v>Orbe en améthyste</v>
      </c>
      <c r="H608" s="16" t="n">
        <f aca="false" t="array" ref="H608:H608">INDEX(Matériaux!$B$16:$B$20,$D608)</f>
        <v>30</v>
      </c>
      <c r="I608" s="16" t="n">
        <f aca="false">IF(ISNUMBER($C$3),MIN(MAX(0,ROUND($C$3,0)),$AI608),$AI608)</f>
        <v>0</v>
      </c>
      <c r="J608" s="18" t="n">
        <f aca="false">$H608+$I608</f>
        <v>30</v>
      </c>
      <c r="K608" s="15" t="s">
        <v>109</v>
      </c>
      <c r="L608" s="19" t="n">
        <f aca="false" t="array" ref="L608:L608">IF(AND(INDEX(Profils!$F$5:$F$34,$AE608)&gt;0,INDEX(Profils!$U$5:$U$34,$AE608)&lt;=$AH608),ROUND(INDEX(Profils!$F$5:$F$34,$AE608)*Paramètres!$E$22*$AG608*$AJ608,Paramètres!$F$22),0)</f>
        <v>0</v>
      </c>
      <c r="M608" s="19" t="n">
        <f aca="false" t="array" ref="M608:M608">IF(AND(INDEX(Profils!$G$5:$G$34,$AE608)&gt;0,INDEX(Profils!$V$5:$V$34,$AE608)&lt;=$AH608),ROUND(INDEX(Profils!$G$5:$G$34,$AE608)*Paramètres!$E$23*$AG608*$AJ608,Paramètres!$F$23),0)</f>
        <v>0</v>
      </c>
      <c r="N608" s="19" t="n">
        <f aca="false" t="array" ref="N608:N608">IF(AND(INDEX(Profils!$H$5:$H$34,$AE608)&gt;0,INDEX(Profils!$W$5:$W$34,$AE608)&lt;=$AH608),ROUND(INDEX(Profils!$H$5:$H$34,$AE608)*Paramètres!$E$24*$AG608*$AJ608,Paramètres!$F$24),0)</f>
        <v>0</v>
      </c>
      <c r="O608" s="19" t="n">
        <f aca="false" t="array" ref="O608:O608">IF(AND(INDEX(Profils!$I$5:$I$34,$AE608)&gt;0,INDEX(Profils!$X$5:$X$34,$AE608)&lt;=$AH608),ROUND(INDEX(Profils!$I$5:$I$34,$AE608)*Paramètres!$E$25*$AG608*$AJ608,Paramètres!$F$25),0)</f>
        <v>7</v>
      </c>
      <c r="P608" s="19" t="n">
        <f aca="false" t="array" ref="P608:P608">IF(AND(INDEX(Profils!$J$5:$J$34,$AE608)&gt;0,INDEX(Profils!$Y$5:$Y$34,$AE608)&lt;=$AH608),ROUND(INDEX(Profils!$J$5:$J$34,$AE608)*Paramètres!$E$26*$AG608*$AJ608,Paramètres!$F$26),0)</f>
        <v>0</v>
      </c>
      <c r="Q608" s="19" t="n">
        <f aca="false" t="array" ref="Q608:Q608">IF(AND(INDEX(Profils!$K$5:$K$34,$AE608)&gt;0,INDEX(Profils!$Z$5:$Z$34,$AE608)&lt;=$AH608),ROUND(INDEX(Profils!$K$5:$K$34,$AE608)*Paramètres!$E$27*$AG608*$AJ608,Paramètres!$F$27),0)</f>
        <v>0</v>
      </c>
      <c r="R608" s="20" t="n">
        <f aca="false" t="array" ref="R608:R608">IF(AND(INDEX(Profils!$L$5:$L$34,$AE608)&gt;0,INDEX(Profils!$AA$5:$AA$34,$AE608)&lt;=$AH608),ROUND(INDEX(Profils!$L$5:$L$34,$AE608)*Paramètres!$E$28*$AG608*$AJ608,Paramètres!$F$28),0)</f>
        <v>0</v>
      </c>
      <c r="S608" s="20" t="n">
        <f aca="false" t="array" ref="S608:S608">IF(AND(INDEX(Profils!$M$5:$M$34,$AE608)&gt;0,INDEX(Profils!$AB$5:$AB$34,$AE608)&lt;=$AH608),ROUND(INDEX(Profils!$M$5:$M$34,$AE608)*Paramètres!$E$29*$AG608*$AJ608,Paramètres!$F$29),0)</f>
        <v>0</v>
      </c>
      <c r="T608" s="20" t="n">
        <f aca="false" t="array" ref="T608:T608">IF(AND(INDEX(Profils!$N$5:$N$34,$AE608)&gt;0,INDEX(Profils!$AC$5:$AC$34,$AE608)&lt;=$AH608),ROUND(INDEX(Profils!$N$5:$N$34,$AE608)*Paramètres!$E$30*$AG608*$AJ608,Paramètres!$F$30),0)</f>
        <v>0</v>
      </c>
      <c r="U608" s="19" t="n">
        <f aca="false" t="array" ref="U608:U608">IF(AND(INDEX(Profils!$O$5:$O$34,$AE608)&gt;0,INDEX(Profils!$AD$5:$AD$34,$AE608)&lt;=$AH608),ROUND(INDEX(Profils!$O$5:$O$34,$AE608)*Paramètres!$E$31*$AG608*$AJ608,Paramètres!$F$31),0)</f>
        <v>0</v>
      </c>
      <c r="V608" s="20" t="n">
        <f aca="false" t="array" ref="V608:V608">IF(AND(INDEX(Profils!$P$5:$P$34,$AE608)&gt;0,INDEX(Profils!$AE$5:$AE$34,$AE608)&lt;=$AH608),ROUND(INDEX(Profils!$P$5:$P$34,$AE608)*Paramètres!$E$32*$AG608*$AJ608,Paramètres!$F$32),0)</f>
        <v>0</v>
      </c>
      <c r="W608" s="20" t="n">
        <f aca="false" t="array" ref="W608:W608">IF(AND(INDEX(Profils!$Q$5:$Q$34,$AE608)&gt;0,INDEX(Profils!$AF$5:$AF$34,$AE608)&lt;=$AH608),ROUND(INDEX(Profils!$Q$5:$Q$34,$AE608)*Paramètres!$E$33*$AG608*$AJ608,Paramètres!$F$33),0)</f>
        <v>0.007</v>
      </c>
      <c r="X608" s="20" t="n">
        <f aca="false" t="array" ref="X608:X608">IF(AND(INDEX(Profils!$R$5:$R$34,$AE608)&gt;0,INDEX(Profils!$AG$5:$AG$34,$AE608)&lt;=$AH608),ROUND(INDEX(Profils!$R$5:$R$34,$AE608)*Paramètres!$E$34*$AG608*$AJ608,Paramètres!$F$34),0)</f>
        <v>0.01</v>
      </c>
      <c r="Y608" s="20" t="n">
        <f aca="false" t="array" ref="Y608:Y608">IF(AND(INDEX(Profils!$S$5:$S$34,$AE608)&gt;0,INDEX(Profils!$AH$5:$AH$34,$AE608)&lt;=$AH608),ROUND(INDEX(Profils!$S$5:$S$34,$AE608)*Paramètres!$E$35*$AG608*$AJ608,Paramètres!$F$35),0)</f>
        <v>0</v>
      </c>
      <c r="Z608" s="21" t="n">
        <f aca="false">ROUND(L608/Paramètres!$E$22+M608/Paramètres!$E$23+N608/Paramètres!$E$24+O608/Paramètres!$E$25+P608/Paramètres!$E$26+Q608/Paramètres!$E$27+R608/Paramètres!$E$28+S608/Paramètres!$E$29+T608/Paramètres!$E$30+U608/Paramètres!$E$31+V608/Paramètres!$E$32+W608/Paramètres!$E$33+X608/Paramètres!$E$34+Y608/Paramètres!$E$35,1)</f>
        <v>1.4</v>
      </c>
      <c r="AA608" s="22" t="s">
        <v>109</v>
      </c>
      <c r="AB608" s="22" t="s">
        <v>109</v>
      </c>
      <c r="AC608" s="15" t="str">
        <f aca="false">$E608</f>
        <v>améthyste</v>
      </c>
      <c r="AD608" s="16" t="n">
        <f aca="false" t="array" ref="AD608:AD608">IF($I608&gt;=$AI608,"Max",ROUND(Paramètres!$B$40*($I608+1)^Paramètres!$B$41*INDEX(Paramètres!$H$6:$H$12,$AF608),0))</f>
        <v>4</v>
      </c>
      <c r="AE608" s="23" t="n">
        <f aca="false">MATCH($B608&amp;"|"&amp;$C608,Profils!$A$5:$A$34,0)</f>
        <v>20</v>
      </c>
      <c r="AF608" s="23" t="n">
        <v>2</v>
      </c>
      <c r="AG608" s="24" t="n">
        <f aca="false" t="array" ref="AG608:AG608">INDEX(Paramètres!$C$6:$C$12,$AF608)</f>
        <v>1.2</v>
      </c>
      <c r="AH608" s="23" t="n">
        <f aca="false" t="array" ref="AH608:AH608">INDEX(Paramètres!$D$6:$D$12,$AF608)</f>
        <v>3</v>
      </c>
      <c r="AI608" s="23" t="n">
        <f aca="false" t="array" ref="AI608:AI608">INDEX(Matériaux!$C$16:$C$20,$D608)</f>
        <v>25</v>
      </c>
      <c r="AJ608" s="25" t="n">
        <f aca="false">Paramètres!$B$16+(1-Paramètres!$B$16)*(($J608-Paramètres!$B$14)/(Paramètres!$B$15-Paramètres!$B$14))^Paramètres!$B$17</f>
        <v>0.26769024555533</v>
      </c>
    </row>
    <row r="609" customFormat="false" ht="15.75" hidden="false" customHeight="true" outlineLevel="0" collapsed="false">
      <c r="A609" s="14" t="s">
        <v>725</v>
      </c>
      <c r="B609" s="15" t="s">
        <v>29</v>
      </c>
      <c r="C609" s="15" t="s">
        <v>401</v>
      </c>
      <c r="D609" s="16" t="n">
        <v>3</v>
      </c>
      <c r="E609" s="15" t="str">
        <f aca="false" t="array" ref="E609:E609">INDEX(Matériaux!$B$5:$F$12,MATCH(INDEX(Profils!$E$5:$E$34,$AE609),Matériaux!$A$5:$A$12,0),$D609)</f>
        <v>améthyste</v>
      </c>
      <c r="F609" s="27" t="s">
        <v>113</v>
      </c>
      <c r="G609" s="10" t="str">
        <f aca="false" t="array" ref="G609:G609">INDEX(Profils!$D$5:$D$34,$AE609)&amp;" en "&amp;$E609</f>
        <v>Orbe en améthyste</v>
      </c>
      <c r="H609" s="16" t="n">
        <f aca="false" t="array" ref="H609:H609">INDEX(Matériaux!$B$16:$B$20,$D609)</f>
        <v>30</v>
      </c>
      <c r="I609" s="16" t="n">
        <f aca="false">IF(ISNUMBER($C$3),MIN(MAX(0,ROUND($C$3,0)),$AI609),$AI609)</f>
        <v>0</v>
      </c>
      <c r="J609" s="18" t="n">
        <f aca="false">$H609+$I609</f>
        <v>30</v>
      </c>
      <c r="K609" s="15" t="s">
        <v>109</v>
      </c>
      <c r="L609" s="19" t="n">
        <f aca="false" t="array" ref="L609:L609">IF(AND(INDEX(Profils!$F$5:$F$34,$AE609)&gt;0,INDEX(Profils!$U$5:$U$34,$AE609)&lt;=$AH609),ROUND(INDEX(Profils!$F$5:$F$34,$AE609)*Paramètres!$E$22*$AG609*$AJ609,Paramètres!$F$22),0)</f>
        <v>10</v>
      </c>
      <c r="M609" s="19" t="n">
        <f aca="false" t="array" ref="M609:M609">IF(AND(INDEX(Profils!$G$5:$G$34,$AE609)&gt;0,INDEX(Profils!$V$5:$V$34,$AE609)&lt;=$AH609),ROUND(INDEX(Profils!$G$5:$G$34,$AE609)*Paramètres!$E$23*$AG609*$AJ609,Paramètres!$F$23),0)</f>
        <v>0</v>
      </c>
      <c r="N609" s="19" t="n">
        <f aca="false" t="array" ref="N609:N609">IF(AND(INDEX(Profils!$H$5:$H$34,$AE609)&gt;0,INDEX(Profils!$W$5:$W$34,$AE609)&lt;=$AH609),ROUND(INDEX(Profils!$H$5:$H$34,$AE609)*Paramètres!$E$24*$AG609*$AJ609,Paramètres!$F$24),0)</f>
        <v>0</v>
      </c>
      <c r="O609" s="19" t="n">
        <f aca="false" t="array" ref="O609:O609">IF(AND(INDEX(Profils!$I$5:$I$34,$AE609)&gt;0,INDEX(Profils!$X$5:$X$34,$AE609)&lt;=$AH609),ROUND(INDEX(Profils!$I$5:$I$34,$AE609)*Paramètres!$E$25*$AG609*$AJ609,Paramètres!$F$25),0)</f>
        <v>9</v>
      </c>
      <c r="P609" s="19" t="n">
        <f aca="false" t="array" ref="P609:P609">IF(AND(INDEX(Profils!$J$5:$J$34,$AE609)&gt;0,INDEX(Profils!$Y$5:$Y$34,$AE609)&lt;=$AH609),ROUND(INDEX(Profils!$J$5:$J$34,$AE609)*Paramètres!$E$26*$AG609*$AJ609,Paramètres!$F$26),0)</f>
        <v>0</v>
      </c>
      <c r="Q609" s="19" t="n">
        <f aca="false" t="array" ref="Q609:Q609">IF(AND(INDEX(Profils!$K$5:$K$34,$AE609)&gt;0,INDEX(Profils!$Z$5:$Z$34,$AE609)&lt;=$AH609),ROUND(INDEX(Profils!$K$5:$K$34,$AE609)*Paramètres!$E$27*$AG609*$AJ609,Paramètres!$F$27),0)</f>
        <v>0</v>
      </c>
      <c r="R609" s="20" t="n">
        <f aca="false" t="array" ref="R609:R609">IF(AND(INDEX(Profils!$L$5:$L$34,$AE609)&gt;0,INDEX(Profils!$AA$5:$AA$34,$AE609)&lt;=$AH609),ROUND(INDEX(Profils!$L$5:$L$34,$AE609)*Paramètres!$E$28*$AG609*$AJ609,Paramètres!$F$28),0)</f>
        <v>0</v>
      </c>
      <c r="S609" s="20" t="n">
        <f aca="false" t="array" ref="S609:S609">IF(AND(INDEX(Profils!$M$5:$M$34,$AE609)&gt;0,INDEX(Profils!$AB$5:$AB$34,$AE609)&lt;=$AH609),ROUND(INDEX(Profils!$M$5:$M$34,$AE609)*Paramètres!$E$29*$AG609*$AJ609,Paramètres!$F$29),0)</f>
        <v>0</v>
      </c>
      <c r="T609" s="20" t="n">
        <f aca="false" t="array" ref="T609:T609">IF(AND(INDEX(Profils!$N$5:$N$34,$AE609)&gt;0,INDEX(Profils!$AC$5:$AC$34,$AE609)&lt;=$AH609),ROUND(INDEX(Profils!$N$5:$N$34,$AE609)*Paramètres!$E$30*$AG609*$AJ609,Paramètres!$F$30),0)</f>
        <v>0</v>
      </c>
      <c r="U609" s="19" t="n">
        <f aca="false" t="array" ref="U609:U609">IF(AND(INDEX(Profils!$O$5:$O$34,$AE609)&gt;0,INDEX(Profils!$AD$5:$AD$34,$AE609)&lt;=$AH609),ROUND(INDEX(Profils!$O$5:$O$34,$AE609)*Paramètres!$E$31*$AG609*$AJ609,Paramètres!$F$31),0)</f>
        <v>0</v>
      </c>
      <c r="V609" s="20" t="n">
        <f aca="false" t="array" ref="V609:V609">IF(AND(INDEX(Profils!$P$5:$P$34,$AE609)&gt;0,INDEX(Profils!$AE$5:$AE$34,$AE609)&lt;=$AH609),ROUND(INDEX(Profils!$P$5:$P$34,$AE609)*Paramètres!$E$32*$AG609*$AJ609,Paramètres!$F$32),0)</f>
        <v>0</v>
      </c>
      <c r="W609" s="20" t="n">
        <f aca="false" t="array" ref="W609:W609">IF(AND(INDEX(Profils!$Q$5:$Q$34,$AE609)&gt;0,INDEX(Profils!$AF$5:$AF$34,$AE609)&lt;=$AH609),ROUND(INDEX(Profils!$Q$5:$Q$34,$AE609)*Paramètres!$E$33*$AG609*$AJ609,Paramètres!$F$33),0)</f>
        <v>0.008</v>
      </c>
      <c r="X609" s="20" t="n">
        <f aca="false" t="array" ref="X609:X609">IF(AND(INDEX(Profils!$R$5:$R$34,$AE609)&gt;0,INDEX(Profils!$AG$5:$AG$34,$AE609)&lt;=$AH609),ROUND(INDEX(Profils!$R$5:$R$34,$AE609)*Paramètres!$E$34*$AG609*$AJ609,Paramètres!$F$34),0)</f>
        <v>0.012</v>
      </c>
      <c r="Y609" s="20" t="n">
        <f aca="false" t="array" ref="Y609:Y609">IF(AND(INDEX(Profils!$S$5:$S$34,$AE609)&gt;0,INDEX(Profils!$AH$5:$AH$34,$AE609)&lt;=$AH609),ROUND(INDEX(Profils!$S$5:$S$34,$AE609)*Paramètres!$E$35*$AG609*$AJ609,Paramètres!$F$35),0)</f>
        <v>0</v>
      </c>
      <c r="Z609" s="21" t="n">
        <f aca="false">ROUND(L609/Paramètres!$E$22+M609/Paramètres!$E$23+N609/Paramètres!$E$24+O609/Paramètres!$E$25+P609/Paramètres!$E$26+Q609/Paramètres!$E$27+R609/Paramètres!$E$28+S609/Paramètres!$E$29+T609/Paramètres!$E$30+U609/Paramètres!$E$31+V609/Paramètres!$E$32+W609/Paramètres!$E$33+X609/Paramètres!$E$34+Y609/Paramètres!$E$35,1)</f>
        <v>2.1</v>
      </c>
      <c r="AA609" s="22" t="s">
        <v>109</v>
      </c>
      <c r="AB609" s="22" t="s">
        <v>109</v>
      </c>
      <c r="AC609" s="15" t="str">
        <f aca="false">$E609</f>
        <v>améthyste</v>
      </c>
      <c r="AD609" s="16" t="n">
        <f aca="false" t="array" ref="AD609:AD609">IF($I609&gt;=$AI609,"Max",ROUND(Paramètres!$B$40*($I609+1)^Paramètres!$B$41*INDEX(Paramètres!$H$6:$H$12,$AF609),0))</f>
        <v>4</v>
      </c>
      <c r="AE609" s="23" t="n">
        <f aca="false">MATCH($B609&amp;"|"&amp;$C609,Profils!$A$5:$A$34,0)</f>
        <v>20</v>
      </c>
      <c r="AF609" s="23" t="n">
        <v>3</v>
      </c>
      <c r="AG609" s="24" t="n">
        <f aca="false" t="array" ref="AG609:AG609">INDEX(Paramètres!$C$6:$C$12,$AF609)</f>
        <v>1.45</v>
      </c>
      <c r="AH609" s="23" t="n">
        <f aca="false" t="array" ref="AH609:AH609">INDEX(Paramètres!$D$6:$D$12,$AF609)</f>
        <v>4</v>
      </c>
      <c r="AI609" s="23" t="n">
        <f aca="false" t="array" ref="AI609:AI609">INDEX(Matériaux!$C$16:$C$20,$D609)</f>
        <v>25</v>
      </c>
      <c r="AJ609" s="25" t="n">
        <f aca="false">Paramètres!$B$16+(1-Paramètres!$B$16)*(($J609-Paramètres!$B$14)/(Paramètres!$B$15-Paramètres!$B$14))^Paramètres!$B$17</f>
        <v>0.26769024555533</v>
      </c>
    </row>
    <row r="610" customFormat="false" ht="15.75" hidden="false" customHeight="true" outlineLevel="0" collapsed="false">
      <c r="A610" s="14" t="s">
        <v>726</v>
      </c>
      <c r="B610" s="15" t="s">
        <v>29</v>
      </c>
      <c r="C610" s="15" t="s">
        <v>401</v>
      </c>
      <c r="D610" s="16" t="n">
        <v>3</v>
      </c>
      <c r="E610" s="15" t="str">
        <f aca="false" t="array" ref="E610:E610">INDEX(Matériaux!$B$5:$F$12,MATCH(INDEX(Profils!$E$5:$E$34,$AE610),Matériaux!$A$5:$A$12,0),$D610)</f>
        <v>améthyste</v>
      </c>
      <c r="F610" s="28" t="s">
        <v>115</v>
      </c>
      <c r="G610" s="10" t="str">
        <f aca="false" t="array" ref="G610:G610">INDEX(Profils!$D$5:$D$34,$AE610)&amp;" en "&amp;$E610</f>
        <v>Orbe en améthyste</v>
      </c>
      <c r="H610" s="16" t="n">
        <f aca="false" t="array" ref="H610:H610">INDEX(Matériaux!$B$16:$B$20,$D610)</f>
        <v>30</v>
      </c>
      <c r="I610" s="16" t="n">
        <f aca="false">IF(ISNUMBER($C$3),MIN(MAX(0,ROUND($C$3,0)),$AI610),$AI610)</f>
        <v>0</v>
      </c>
      <c r="J610" s="18" t="n">
        <f aca="false">$H610+$I610</f>
        <v>30</v>
      </c>
      <c r="K610" s="15" t="s">
        <v>109</v>
      </c>
      <c r="L610" s="19" t="n">
        <f aca="false" t="array" ref="L610:L610">IF(AND(INDEX(Profils!$F$5:$F$34,$AE610)&gt;0,INDEX(Profils!$U$5:$U$34,$AE610)&lt;=$AH610),ROUND(INDEX(Profils!$F$5:$F$34,$AE610)*Paramètres!$E$22*$AG610*$AJ610,Paramètres!$F$22),0)</f>
        <v>12</v>
      </c>
      <c r="M610" s="19" t="n">
        <f aca="false" t="array" ref="M610:M610">IF(AND(INDEX(Profils!$G$5:$G$34,$AE610)&gt;0,INDEX(Profils!$V$5:$V$34,$AE610)&lt;=$AH610),ROUND(INDEX(Profils!$G$5:$G$34,$AE610)*Paramètres!$E$23*$AG610*$AJ610,Paramètres!$F$23),0)</f>
        <v>0</v>
      </c>
      <c r="N610" s="19" t="n">
        <f aca="false" t="array" ref="N610:N610">IF(AND(INDEX(Profils!$H$5:$H$34,$AE610)&gt;0,INDEX(Profils!$W$5:$W$34,$AE610)&lt;=$AH610),ROUND(INDEX(Profils!$H$5:$H$34,$AE610)*Paramètres!$E$24*$AG610*$AJ610,Paramètres!$F$24),0)</f>
        <v>0</v>
      </c>
      <c r="O610" s="19" t="n">
        <f aca="false" t="array" ref="O610:O610">IF(AND(INDEX(Profils!$I$5:$I$34,$AE610)&gt;0,INDEX(Profils!$X$5:$X$34,$AE610)&lt;=$AH610),ROUND(INDEX(Profils!$I$5:$I$34,$AE610)*Paramètres!$E$25*$AG610*$AJ610,Paramètres!$F$25),0)</f>
        <v>11</v>
      </c>
      <c r="P610" s="19" t="n">
        <f aca="false" t="array" ref="P610:P610">IF(AND(INDEX(Profils!$J$5:$J$34,$AE610)&gt;0,INDEX(Profils!$Y$5:$Y$34,$AE610)&lt;=$AH610),ROUND(INDEX(Profils!$J$5:$J$34,$AE610)*Paramètres!$E$26*$AG610*$AJ610,Paramètres!$F$26),0)</f>
        <v>0</v>
      </c>
      <c r="Q610" s="19" t="n">
        <f aca="false" t="array" ref="Q610:Q610">IF(AND(INDEX(Profils!$K$5:$K$34,$AE610)&gt;0,INDEX(Profils!$Z$5:$Z$34,$AE610)&lt;=$AH610),ROUND(INDEX(Profils!$K$5:$K$34,$AE610)*Paramètres!$E$27*$AG610*$AJ610,Paramètres!$F$27),0)</f>
        <v>0</v>
      </c>
      <c r="R610" s="20" t="n">
        <f aca="false" t="array" ref="R610:R610">IF(AND(INDEX(Profils!$L$5:$L$34,$AE610)&gt;0,INDEX(Profils!$AA$5:$AA$34,$AE610)&lt;=$AH610),ROUND(INDEX(Profils!$L$5:$L$34,$AE610)*Paramètres!$E$28*$AG610*$AJ610,Paramètres!$F$28),0)</f>
        <v>0</v>
      </c>
      <c r="S610" s="20" t="n">
        <f aca="false" t="array" ref="S610:S610">IF(AND(INDEX(Profils!$M$5:$M$34,$AE610)&gt;0,INDEX(Profils!$AB$5:$AB$34,$AE610)&lt;=$AH610),ROUND(INDEX(Profils!$M$5:$M$34,$AE610)*Paramètres!$E$29*$AG610*$AJ610,Paramètres!$F$29),0)</f>
        <v>0</v>
      </c>
      <c r="T610" s="20" t="n">
        <f aca="false" t="array" ref="T610:T610">IF(AND(INDEX(Profils!$N$5:$N$34,$AE610)&gt;0,INDEX(Profils!$AC$5:$AC$34,$AE610)&lt;=$AH610),ROUND(INDEX(Profils!$N$5:$N$34,$AE610)*Paramètres!$E$30*$AG610*$AJ610,Paramètres!$F$30),0)</f>
        <v>0</v>
      </c>
      <c r="U610" s="19" t="n">
        <f aca="false" t="array" ref="U610:U610">IF(AND(INDEX(Profils!$O$5:$O$34,$AE610)&gt;0,INDEX(Profils!$AD$5:$AD$34,$AE610)&lt;=$AH610),ROUND(INDEX(Profils!$O$5:$O$34,$AE610)*Paramètres!$E$31*$AG610*$AJ610,Paramètres!$F$31),0)</f>
        <v>0</v>
      </c>
      <c r="V610" s="20" t="n">
        <f aca="false" t="array" ref="V610:V610">IF(AND(INDEX(Profils!$P$5:$P$34,$AE610)&gt;0,INDEX(Profils!$AE$5:$AE$34,$AE610)&lt;=$AH610),ROUND(INDEX(Profils!$P$5:$P$34,$AE610)*Paramètres!$E$32*$AG610*$AJ610,Paramètres!$F$32),0)</f>
        <v>0</v>
      </c>
      <c r="W610" s="20" t="n">
        <f aca="false" t="array" ref="W610:W610">IF(AND(INDEX(Profils!$Q$5:$Q$34,$AE610)&gt;0,INDEX(Profils!$AF$5:$AF$34,$AE610)&lt;=$AH610),ROUND(INDEX(Profils!$Q$5:$Q$34,$AE610)*Paramètres!$E$33*$AG610*$AJ610,Paramètres!$F$33),0)</f>
        <v>0.01</v>
      </c>
      <c r="X610" s="20" t="n">
        <f aca="false" t="array" ref="X610:X610">IF(AND(INDEX(Profils!$R$5:$R$34,$AE610)&gt;0,INDEX(Profils!$AG$5:$AG$34,$AE610)&lt;=$AH610),ROUND(INDEX(Profils!$R$5:$R$34,$AE610)*Paramètres!$E$34*$AG610*$AJ610,Paramètres!$F$34),0)</f>
        <v>0.015</v>
      </c>
      <c r="Y610" s="20" t="n">
        <f aca="false" t="array" ref="Y610:Y610">IF(AND(INDEX(Profils!$S$5:$S$34,$AE610)&gt;0,INDEX(Profils!$AH$5:$AH$34,$AE610)&lt;=$AH610),ROUND(INDEX(Profils!$S$5:$S$34,$AE610)*Paramètres!$E$35*$AG610*$AJ610,Paramètres!$F$35),0)</f>
        <v>0.007</v>
      </c>
      <c r="Z610" s="21" t="n">
        <f aca="false">ROUND(L610/Paramètres!$E$22+M610/Paramètres!$E$23+N610/Paramètres!$E$24+O610/Paramètres!$E$25+P610/Paramètres!$E$26+Q610/Paramètres!$E$27+R610/Paramètres!$E$28+S610/Paramètres!$E$29+T610/Paramètres!$E$30+U610/Paramètres!$E$31+V610/Paramètres!$E$32+W610/Paramètres!$E$33+X610/Paramètres!$E$34+Y610/Paramètres!$E$35,1)</f>
        <v>3.1</v>
      </c>
      <c r="AA610" s="22" t="s">
        <v>109</v>
      </c>
      <c r="AB610" s="22" t="s">
        <v>109</v>
      </c>
      <c r="AC610" s="15" t="str">
        <f aca="false">$E610</f>
        <v>améthyste</v>
      </c>
      <c r="AD610" s="16" t="n">
        <f aca="false" t="array" ref="AD610:AD610">IF($I610&gt;=$AI610,"Max",ROUND(Paramètres!$B$40*($I610+1)^Paramètres!$B$41*INDEX(Paramètres!$H$6:$H$12,$AF610),0))</f>
        <v>5</v>
      </c>
      <c r="AE610" s="23" t="n">
        <f aca="false">MATCH($B610&amp;"|"&amp;$C610,Profils!$A$5:$A$34,0)</f>
        <v>20</v>
      </c>
      <c r="AF610" s="23" t="n">
        <v>4</v>
      </c>
      <c r="AG610" s="24" t="n">
        <f aca="false" t="array" ref="AG610:AG610">INDEX(Paramètres!$C$6:$C$12,$AF610)</f>
        <v>1.75</v>
      </c>
      <c r="AH610" s="23" t="n">
        <f aca="false" t="array" ref="AH610:AH610">INDEX(Paramètres!$D$6:$D$12,$AF610)</f>
        <v>5</v>
      </c>
      <c r="AI610" s="23" t="n">
        <f aca="false" t="array" ref="AI610:AI610">INDEX(Matériaux!$C$16:$C$20,$D610)</f>
        <v>25</v>
      </c>
      <c r="AJ610" s="25" t="n">
        <f aca="false">Paramètres!$B$16+(1-Paramètres!$B$16)*(($J610-Paramètres!$B$14)/(Paramètres!$B$15-Paramètres!$B$14))^Paramètres!$B$17</f>
        <v>0.26769024555533</v>
      </c>
    </row>
    <row r="611" customFormat="false" ht="15.75" hidden="false" customHeight="true" outlineLevel="0" collapsed="false">
      <c r="A611" s="14" t="s">
        <v>727</v>
      </c>
      <c r="B611" s="15" t="s">
        <v>29</v>
      </c>
      <c r="C611" s="15" t="s">
        <v>401</v>
      </c>
      <c r="D611" s="16" t="n">
        <v>3</v>
      </c>
      <c r="E611" s="15" t="str">
        <f aca="false" t="array" ref="E611:E611">INDEX(Matériaux!$B$5:$F$12,MATCH(INDEX(Profils!$E$5:$E$34,$AE611),Matériaux!$A$5:$A$12,0),$D611)</f>
        <v>améthyste</v>
      </c>
      <c r="F611" s="29" t="s">
        <v>117</v>
      </c>
      <c r="G611" s="10" t="str">
        <f aca="false" t="array" ref="G611:G611">INDEX(Profils!$D$5:$D$34,$AE611)&amp;" en "&amp;$E611</f>
        <v>Orbe en améthyste</v>
      </c>
      <c r="H611" s="16" t="n">
        <f aca="false" t="array" ref="H611:H611">INDEX(Matériaux!$B$16:$B$20,$D611)</f>
        <v>30</v>
      </c>
      <c r="I611" s="16" t="n">
        <f aca="false">IF(ISNUMBER($C$3),MIN(MAX(0,ROUND($C$3,0)),$AI611),$AI611)</f>
        <v>0</v>
      </c>
      <c r="J611" s="18" t="n">
        <f aca="false">$H611+$I611</f>
        <v>30</v>
      </c>
      <c r="K611" s="15" t="s">
        <v>109</v>
      </c>
      <c r="L611" s="19" t="n">
        <f aca="false" t="array" ref="L611:L611">IF(AND(INDEX(Profils!$F$5:$F$34,$AE611)&gt;0,INDEX(Profils!$U$5:$U$34,$AE611)&lt;=$AH611),ROUND(INDEX(Profils!$F$5:$F$34,$AE611)*Paramètres!$E$22*$AG611*$AJ611,Paramètres!$F$22),0)</f>
        <v>14</v>
      </c>
      <c r="M611" s="19" t="n">
        <f aca="false" t="array" ref="M611:M611">IF(AND(INDEX(Profils!$G$5:$G$34,$AE611)&gt;0,INDEX(Profils!$V$5:$V$34,$AE611)&lt;=$AH611),ROUND(INDEX(Profils!$G$5:$G$34,$AE611)*Paramètres!$E$23*$AG611*$AJ611,Paramètres!$F$23),0)</f>
        <v>0</v>
      </c>
      <c r="N611" s="19" t="n">
        <f aca="false" t="array" ref="N611:N611">IF(AND(INDEX(Profils!$H$5:$H$34,$AE611)&gt;0,INDEX(Profils!$W$5:$W$34,$AE611)&lt;=$AH611),ROUND(INDEX(Profils!$H$5:$H$34,$AE611)*Paramètres!$E$24*$AG611*$AJ611,Paramètres!$F$24),0)</f>
        <v>0</v>
      </c>
      <c r="O611" s="19" t="n">
        <f aca="false" t="array" ref="O611:O611">IF(AND(INDEX(Profils!$I$5:$I$34,$AE611)&gt;0,INDEX(Profils!$X$5:$X$34,$AE611)&lt;=$AH611),ROUND(INDEX(Profils!$I$5:$I$34,$AE611)*Paramètres!$E$25*$AG611*$AJ611,Paramètres!$F$25),0)</f>
        <v>13</v>
      </c>
      <c r="P611" s="19" t="n">
        <f aca="false" t="array" ref="P611:P611">IF(AND(INDEX(Profils!$J$5:$J$34,$AE611)&gt;0,INDEX(Profils!$Y$5:$Y$34,$AE611)&lt;=$AH611),ROUND(INDEX(Profils!$J$5:$J$34,$AE611)*Paramètres!$E$26*$AG611*$AJ611,Paramètres!$F$26),0)</f>
        <v>0</v>
      </c>
      <c r="Q611" s="19" t="n">
        <f aca="false" t="array" ref="Q611:Q611">IF(AND(INDEX(Profils!$K$5:$K$34,$AE611)&gt;0,INDEX(Profils!$Z$5:$Z$34,$AE611)&lt;=$AH611),ROUND(INDEX(Profils!$K$5:$K$34,$AE611)*Paramètres!$E$27*$AG611*$AJ611,Paramètres!$F$27),0)</f>
        <v>0</v>
      </c>
      <c r="R611" s="20" t="n">
        <f aca="false" t="array" ref="R611:R611">IF(AND(INDEX(Profils!$L$5:$L$34,$AE611)&gt;0,INDEX(Profils!$AA$5:$AA$34,$AE611)&lt;=$AH611),ROUND(INDEX(Profils!$L$5:$L$34,$AE611)*Paramètres!$E$28*$AG611*$AJ611,Paramètres!$F$28),0)</f>
        <v>0</v>
      </c>
      <c r="S611" s="20" t="n">
        <f aca="false" t="array" ref="S611:S611">IF(AND(INDEX(Profils!$M$5:$M$34,$AE611)&gt;0,INDEX(Profils!$AB$5:$AB$34,$AE611)&lt;=$AH611),ROUND(INDEX(Profils!$M$5:$M$34,$AE611)*Paramètres!$E$29*$AG611*$AJ611,Paramètres!$F$29),0)</f>
        <v>0</v>
      </c>
      <c r="T611" s="20" t="n">
        <f aca="false" t="array" ref="T611:T611">IF(AND(INDEX(Profils!$N$5:$N$34,$AE611)&gt;0,INDEX(Profils!$AC$5:$AC$34,$AE611)&lt;=$AH611),ROUND(INDEX(Profils!$N$5:$N$34,$AE611)*Paramètres!$E$30*$AG611*$AJ611,Paramètres!$F$30),0)</f>
        <v>0.015</v>
      </c>
      <c r="U611" s="19" t="n">
        <f aca="false" t="array" ref="U611:U611">IF(AND(INDEX(Profils!$O$5:$O$34,$AE611)&gt;0,INDEX(Profils!$AD$5:$AD$34,$AE611)&lt;=$AH611),ROUND(INDEX(Profils!$O$5:$O$34,$AE611)*Paramètres!$E$31*$AG611*$AJ611,Paramètres!$F$31),0)</f>
        <v>0</v>
      </c>
      <c r="V611" s="20" t="n">
        <f aca="false" t="array" ref="V611:V611">IF(AND(INDEX(Profils!$P$5:$P$34,$AE611)&gt;0,INDEX(Profils!$AE$5:$AE$34,$AE611)&lt;=$AH611),ROUND(INDEX(Profils!$P$5:$P$34,$AE611)*Paramètres!$E$32*$AG611*$AJ611,Paramètres!$F$32),0)</f>
        <v>0</v>
      </c>
      <c r="W611" s="20" t="n">
        <f aca="false" t="array" ref="W611:W611">IF(AND(INDEX(Profils!$Q$5:$Q$34,$AE611)&gt;0,INDEX(Profils!$AF$5:$AF$34,$AE611)&lt;=$AH611),ROUND(INDEX(Profils!$Q$5:$Q$34,$AE611)*Paramètres!$E$33*$AG611*$AJ611,Paramètres!$F$33),0)</f>
        <v>0.012</v>
      </c>
      <c r="X611" s="20" t="n">
        <f aca="false" t="array" ref="X611:X611">IF(AND(INDEX(Profils!$R$5:$R$34,$AE611)&gt;0,INDEX(Profils!$AG$5:$AG$34,$AE611)&lt;=$AH611),ROUND(INDEX(Profils!$R$5:$R$34,$AE611)*Paramètres!$E$34*$AG611*$AJ611,Paramètres!$F$34),0)</f>
        <v>0.018</v>
      </c>
      <c r="Y611" s="20" t="n">
        <f aca="false" t="array" ref="Y611:Y611">IF(AND(INDEX(Profils!$S$5:$S$34,$AE611)&gt;0,INDEX(Profils!$AH$5:$AH$34,$AE611)&lt;=$AH611),ROUND(INDEX(Profils!$S$5:$S$34,$AE611)*Paramètres!$E$35*$AG611*$AJ611,Paramètres!$F$35),0)</f>
        <v>0.008</v>
      </c>
      <c r="Z611" s="21" t="n">
        <f aca="false">ROUND(L611/Paramètres!$E$22+M611/Paramètres!$E$23+N611/Paramètres!$E$24+O611/Paramètres!$E$25+P611/Paramètres!$E$26+Q611/Paramètres!$E$27+R611/Paramètres!$E$28+S611/Paramètres!$E$29+T611/Paramètres!$E$30+U611/Paramètres!$E$31+V611/Paramètres!$E$32+W611/Paramètres!$E$33+X611/Paramètres!$E$34+Y611/Paramètres!$E$35,1)</f>
        <v>4.2</v>
      </c>
      <c r="AA611" s="22" t="s">
        <v>109</v>
      </c>
      <c r="AB611" s="22" t="s">
        <v>109</v>
      </c>
      <c r="AC611" s="15" t="str">
        <f aca="false">$E611</f>
        <v>améthyste</v>
      </c>
      <c r="AD611" s="16" t="n">
        <f aca="false" t="array" ref="AD611:AD611">IF($I611&gt;=$AI611,"Max",ROUND(Paramètres!$B$40*($I611+1)^Paramètres!$B$41*INDEX(Paramètres!$H$6:$H$12,$AF611),0))</f>
        <v>6</v>
      </c>
      <c r="AE611" s="23" t="n">
        <f aca="false">MATCH($B611&amp;"|"&amp;$C611,Profils!$A$5:$A$34,0)</f>
        <v>20</v>
      </c>
      <c r="AF611" s="23" t="n">
        <v>5</v>
      </c>
      <c r="AG611" s="24" t="n">
        <f aca="false" t="array" ref="AG611:AG611">INDEX(Paramètres!$C$6:$C$12,$AF611)</f>
        <v>2.1</v>
      </c>
      <c r="AH611" s="23" t="n">
        <f aca="false" t="array" ref="AH611:AH611">INDEX(Paramètres!$D$6:$D$12,$AF611)</f>
        <v>6</v>
      </c>
      <c r="AI611" s="23" t="n">
        <f aca="false" t="array" ref="AI611:AI611">INDEX(Matériaux!$C$16:$C$20,$D611)</f>
        <v>25</v>
      </c>
      <c r="AJ611" s="25" t="n">
        <f aca="false">Paramètres!$B$16+(1-Paramètres!$B$16)*(($J611-Paramètres!$B$14)/(Paramètres!$B$15-Paramètres!$B$14))^Paramètres!$B$17</f>
        <v>0.26769024555533</v>
      </c>
    </row>
    <row r="612" customFormat="false" ht="15.75" hidden="false" customHeight="true" outlineLevel="0" collapsed="false">
      <c r="A612" s="14" t="s">
        <v>728</v>
      </c>
      <c r="B612" s="15" t="s">
        <v>29</v>
      </c>
      <c r="C612" s="15" t="s">
        <v>401</v>
      </c>
      <c r="D612" s="16" t="n">
        <v>3</v>
      </c>
      <c r="E612" s="15" t="str">
        <f aca="false" t="array" ref="E612:E612">INDEX(Matériaux!$B$5:$F$12,MATCH(INDEX(Profils!$E$5:$E$34,$AE612),Matériaux!$A$5:$A$12,0),$D612)</f>
        <v>améthyste</v>
      </c>
      <c r="F612" s="30" t="s">
        <v>119</v>
      </c>
      <c r="G612" s="10" t="str">
        <f aca="false" t="array" ref="G612:G612">INDEX(Profils!$D$5:$D$34,$AE612)&amp;" en "&amp;$E612</f>
        <v>Orbe en améthyste</v>
      </c>
      <c r="H612" s="16" t="n">
        <f aca="false" t="array" ref="H612:H612">INDEX(Matériaux!$B$16:$B$20,$D612)</f>
        <v>30</v>
      </c>
      <c r="I612" s="16" t="n">
        <f aca="false">IF(ISNUMBER($C$3),MIN(MAX(0,ROUND($C$3,0)),$AI612),$AI612)</f>
        <v>0</v>
      </c>
      <c r="J612" s="18" t="n">
        <f aca="false">$H612+$I612</f>
        <v>30</v>
      </c>
      <c r="K612" s="15" t="s">
        <v>109</v>
      </c>
      <c r="L612" s="19" t="n">
        <f aca="false" t="array" ref="L612:L612">IF(AND(INDEX(Profils!$F$5:$F$34,$AE612)&gt;0,INDEX(Profils!$U$5:$U$34,$AE612)&lt;=$AH612),ROUND(INDEX(Profils!$F$5:$F$34,$AE612)*Paramètres!$E$22*$AG612*$AJ612,Paramètres!$F$22),0)</f>
        <v>16</v>
      </c>
      <c r="M612" s="19" t="n">
        <f aca="false" t="array" ref="M612:M612">IF(AND(INDEX(Profils!$G$5:$G$34,$AE612)&gt;0,INDEX(Profils!$V$5:$V$34,$AE612)&lt;=$AH612),ROUND(INDEX(Profils!$G$5:$G$34,$AE612)*Paramètres!$E$23*$AG612*$AJ612,Paramètres!$F$23),0)</f>
        <v>0</v>
      </c>
      <c r="N612" s="19" t="n">
        <f aca="false" t="array" ref="N612:N612">IF(AND(INDEX(Profils!$H$5:$H$34,$AE612)&gt;0,INDEX(Profils!$W$5:$W$34,$AE612)&lt;=$AH612),ROUND(INDEX(Profils!$H$5:$H$34,$AE612)*Paramètres!$E$24*$AG612*$AJ612,Paramètres!$F$24),0)</f>
        <v>0</v>
      </c>
      <c r="O612" s="19" t="n">
        <f aca="false" t="array" ref="O612:O612">IF(AND(INDEX(Profils!$I$5:$I$34,$AE612)&gt;0,INDEX(Profils!$X$5:$X$34,$AE612)&lt;=$AH612),ROUND(INDEX(Profils!$I$5:$I$34,$AE612)*Paramètres!$E$25*$AG612*$AJ612,Paramètres!$F$25),0)</f>
        <v>14</v>
      </c>
      <c r="P612" s="19" t="n">
        <f aca="false" t="array" ref="P612:P612">IF(AND(INDEX(Profils!$J$5:$J$34,$AE612)&gt;0,INDEX(Profils!$Y$5:$Y$34,$AE612)&lt;=$AH612),ROUND(INDEX(Profils!$J$5:$J$34,$AE612)*Paramètres!$E$26*$AG612*$AJ612,Paramètres!$F$26),0)</f>
        <v>0</v>
      </c>
      <c r="Q612" s="19" t="n">
        <f aca="false" t="array" ref="Q612:Q612">IF(AND(INDEX(Profils!$K$5:$K$34,$AE612)&gt;0,INDEX(Profils!$Z$5:$Z$34,$AE612)&lt;=$AH612),ROUND(INDEX(Profils!$K$5:$K$34,$AE612)*Paramètres!$E$27*$AG612*$AJ612,Paramètres!$F$27),0)</f>
        <v>0</v>
      </c>
      <c r="R612" s="20" t="n">
        <f aca="false" t="array" ref="R612:R612">IF(AND(INDEX(Profils!$L$5:$L$34,$AE612)&gt;0,INDEX(Profils!$AA$5:$AA$34,$AE612)&lt;=$AH612),ROUND(INDEX(Profils!$L$5:$L$34,$AE612)*Paramètres!$E$28*$AG612*$AJ612,Paramètres!$F$28),0)</f>
        <v>0</v>
      </c>
      <c r="S612" s="20" t="n">
        <f aca="false" t="array" ref="S612:S612">IF(AND(INDEX(Profils!$M$5:$M$34,$AE612)&gt;0,INDEX(Profils!$AB$5:$AB$34,$AE612)&lt;=$AH612),ROUND(INDEX(Profils!$M$5:$M$34,$AE612)*Paramètres!$E$29*$AG612*$AJ612,Paramètres!$F$29),0)</f>
        <v>0.006</v>
      </c>
      <c r="T612" s="20" t="n">
        <f aca="false" t="array" ref="T612:T612">IF(AND(INDEX(Profils!$N$5:$N$34,$AE612)&gt;0,INDEX(Profils!$AC$5:$AC$34,$AE612)&lt;=$AH612),ROUND(INDEX(Profils!$N$5:$N$34,$AE612)*Paramètres!$E$30*$AG612*$AJ612,Paramètres!$F$30),0)</f>
        <v>0.017</v>
      </c>
      <c r="U612" s="19" t="n">
        <f aca="false" t="array" ref="U612:U612">IF(AND(INDEX(Profils!$O$5:$O$34,$AE612)&gt;0,INDEX(Profils!$AD$5:$AD$34,$AE612)&lt;=$AH612),ROUND(INDEX(Profils!$O$5:$O$34,$AE612)*Paramètres!$E$31*$AG612*$AJ612,Paramètres!$F$31),0)</f>
        <v>0</v>
      </c>
      <c r="V612" s="20" t="n">
        <f aca="false" t="array" ref="V612:V612">IF(AND(INDEX(Profils!$P$5:$P$34,$AE612)&gt;0,INDEX(Profils!$AE$5:$AE$34,$AE612)&lt;=$AH612),ROUND(INDEX(Profils!$P$5:$P$34,$AE612)*Paramètres!$E$32*$AG612*$AJ612,Paramètres!$F$32),0)</f>
        <v>0</v>
      </c>
      <c r="W612" s="20" t="n">
        <f aca="false" t="array" ref="W612:W612">IF(AND(INDEX(Profils!$Q$5:$Q$34,$AE612)&gt;0,INDEX(Profils!$AF$5:$AF$34,$AE612)&lt;=$AH612),ROUND(INDEX(Profils!$Q$5:$Q$34,$AE612)*Paramètres!$E$33*$AG612*$AJ612,Paramètres!$F$33),0)</f>
        <v>0.013</v>
      </c>
      <c r="X612" s="20" t="n">
        <f aca="false" t="array" ref="X612:X612">IF(AND(INDEX(Profils!$R$5:$R$34,$AE612)&gt;0,INDEX(Profils!$AG$5:$AG$34,$AE612)&lt;=$AH612),ROUND(INDEX(Profils!$R$5:$R$34,$AE612)*Paramètres!$E$34*$AG612*$AJ612,Paramètres!$F$34),0)</f>
        <v>0.021</v>
      </c>
      <c r="Y612" s="20" t="n">
        <f aca="false" t="array" ref="Y612:Y612">IF(AND(INDEX(Profils!$S$5:$S$34,$AE612)&gt;0,INDEX(Profils!$AH$5:$AH$34,$AE612)&lt;=$AH612),ROUND(INDEX(Profils!$S$5:$S$34,$AE612)*Paramètres!$E$35*$AG612*$AJ612,Paramètres!$F$35),0)</f>
        <v>0.01</v>
      </c>
      <c r="Z612" s="21" t="n">
        <f aca="false">ROUND(L612/Paramètres!$E$22+M612/Paramètres!$E$23+N612/Paramètres!$E$24+O612/Paramètres!$E$25+P612/Paramètres!$E$26+Q612/Paramètres!$E$27+R612/Paramètres!$E$28+S612/Paramètres!$E$29+T612/Paramètres!$E$30+U612/Paramètres!$E$31+V612/Paramètres!$E$32+W612/Paramètres!$E$33+X612/Paramètres!$E$34+Y612/Paramètres!$E$35,1)</f>
        <v>5.2</v>
      </c>
      <c r="AA612" s="22" t="s">
        <v>109</v>
      </c>
      <c r="AB612" s="22" t="s">
        <v>109</v>
      </c>
      <c r="AC612" s="15" t="str">
        <f aca="false">$E612</f>
        <v>améthyste</v>
      </c>
      <c r="AD612" s="16" t="n">
        <f aca="false" t="array" ref="AD612:AD612">IF($I612&gt;=$AI612,"Max",ROUND(Paramètres!$B$40*($I612+1)^Paramètres!$B$41*INDEX(Paramètres!$H$6:$H$12,$AF612),0))</f>
        <v>8</v>
      </c>
      <c r="AE612" s="23" t="n">
        <f aca="false">MATCH($B612&amp;"|"&amp;$C612,Profils!$A$5:$A$34,0)</f>
        <v>20</v>
      </c>
      <c r="AF612" s="23" t="n">
        <v>6</v>
      </c>
      <c r="AG612" s="24" t="n">
        <f aca="false" t="array" ref="AG612:AG612">INDEX(Paramètres!$C$6:$C$12,$AF612)</f>
        <v>2.4</v>
      </c>
      <c r="AH612" s="23" t="n">
        <f aca="false" t="array" ref="AH612:AH612">INDEX(Paramètres!$D$6:$D$12,$AF612)</f>
        <v>7</v>
      </c>
      <c r="AI612" s="23" t="n">
        <f aca="false" t="array" ref="AI612:AI612">INDEX(Matériaux!$C$16:$C$20,$D612)</f>
        <v>25</v>
      </c>
      <c r="AJ612" s="25" t="n">
        <f aca="false">Paramètres!$B$16+(1-Paramètres!$B$16)*(($J612-Paramètres!$B$14)/(Paramètres!$B$15-Paramètres!$B$14))^Paramètres!$B$17</f>
        <v>0.26769024555533</v>
      </c>
    </row>
    <row r="613" customFormat="false" ht="15.75" hidden="false" customHeight="true" outlineLevel="0" collapsed="false">
      <c r="A613" s="14" t="s">
        <v>729</v>
      </c>
      <c r="B613" s="15" t="s">
        <v>29</v>
      </c>
      <c r="C613" s="15" t="s">
        <v>401</v>
      </c>
      <c r="D613" s="16" t="n">
        <v>4</v>
      </c>
      <c r="E613" s="15" t="str">
        <f aca="false" t="array" ref="E613:E613">INDEX(Matériaux!$B$5:$F$12,MATCH(INDEX(Profils!$E$5:$E$34,$AE613),Matériaux!$A$5:$A$12,0),$D613)</f>
        <v>saphir</v>
      </c>
      <c r="F613" s="17" t="s">
        <v>108</v>
      </c>
      <c r="G613" s="10" t="str">
        <f aca="false" t="array" ref="G613:G613">INDEX(Profils!$D$5:$D$34,$AE613)&amp;" en "&amp;$E613</f>
        <v>Orbe en saphir</v>
      </c>
      <c r="H613" s="16" t="n">
        <f aca="false" t="array" ref="H613:H613">INDEX(Matériaux!$B$16:$B$20,$D613)</f>
        <v>50</v>
      </c>
      <c r="I613" s="16" t="n">
        <f aca="false">IF(ISNUMBER($C$3),MIN(MAX(0,ROUND($C$3,0)),$AI613),$AI613)</f>
        <v>0</v>
      </c>
      <c r="J613" s="18" t="n">
        <f aca="false">$H613+$I613</f>
        <v>50</v>
      </c>
      <c r="K613" s="15" t="s">
        <v>109</v>
      </c>
      <c r="L613" s="19" t="n">
        <f aca="false" t="array" ref="L613:L613">IF(AND(INDEX(Profils!$F$5:$F$34,$AE613)&gt;0,INDEX(Profils!$U$5:$U$34,$AE613)&lt;=$AH613),ROUND(INDEX(Profils!$F$5:$F$34,$AE613)*Paramètres!$E$22*$AG613*$AJ613,Paramètres!$F$22),0)</f>
        <v>0</v>
      </c>
      <c r="M613" s="19" t="n">
        <f aca="false" t="array" ref="M613:M613">IF(AND(INDEX(Profils!$G$5:$G$34,$AE613)&gt;0,INDEX(Profils!$V$5:$V$34,$AE613)&lt;=$AH613),ROUND(INDEX(Profils!$G$5:$G$34,$AE613)*Paramètres!$E$23*$AG613*$AJ613,Paramètres!$F$23),0)</f>
        <v>0</v>
      </c>
      <c r="N613" s="19" t="n">
        <f aca="false" t="array" ref="N613:N613">IF(AND(INDEX(Profils!$H$5:$H$34,$AE613)&gt;0,INDEX(Profils!$W$5:$W$34,$AE613)&lt;=$AH613),ROUND(INDEX(Profils!$H$5:$H$34,$AE613)*Paramètres!$E$24*$AG613*$AJ613,Paramètres!$F$24),0)</f>
        <v>0</v>
      </c>
      <c r="O613" s="19" t="n">
        <f aca="false" t="array" ref="O613:O613">IF(AND(INDEX(Profils!$I$5:$I$34,$AE613)&gt;0,INDEX(Profils!$X$5:$X$34,$AE613)&lt;=$AH613),ROUND(INDEX(Profils!$I$5:$I$34,$AE613)*Paramètres!$E$25*$AG613*$AJ613,Paramètres!$F$25),0)</f>
        <v>10</v>
      </c>
      <c r="P613" s="19" t="n">
        <f aca="false" t="array" ref="P613:P613">IF(AND(INDEX(Profils!$J$5:$J$34,$AE613)&gt;0,INDEX(Profils!$Y$5:$Y$34,$AE613)&lt;=$AH613),ROUND(INDEX(Profils!$J$5:$J$34,$AE613)*Paramètres!$E$26*$AG613*$AJ613,Paramètres!$F$26),0)</f>
        <v>0</v>
      </c>
      <c r="Q613" s="19" t="n">
        <f aca="false" t="array" ref="Q613:Q613">IF(AND(INDEX(Profils!$K$5:$K$34,$AE613)&gt;0,INDEX(Profils!$Z$5:$Z$34,$AE613)&lt;=$AH613),ROUND(INDEX(Profils!$K$5:$K$34,$AE613)*Paramètres!$E$27*$AG613*$AJ613,Paramètres!$F$27),0)</f>
        <v>0</v>
      </c>
      <c r="R613" s="20" t="n">
        <f aca="false" t="array" ref="R613:R613">IF(AND(INDEX(Profils!$L$5:$L$34,$AE613)&gt;0,INDEX(Profils!$AA$5:$AA$34,$AE613)&lt;=$AH613),ROUND(INDEX(Profils!$L$5:$L$34,$AE613)*Paramètres!$E$28*$AG613*$AJ613,Paramètres!$F$28),0)</f>
        <v>0</v>
      </c>
      <c r="S613" s="20" t="n">
        <f aca="false" t="array" ref="S613:S613">IF(AND(INDEX(Profils!$M$5:$M$34,$AE613)&gt;0,INDEX(Profils!$AB$5:$AB$34,$AE613)&lt;=$AH613),ROUND(INDEX(Profils!$M$5:$M$34,$AE613)*Paramètres!$E$29*$AG613*$AJ613,Paramètres!$F$29),0)</f>
        <v>0</v>
      </c>
      <c r="T613" s="20" t="n">
        <f aca="false" t="array" ref="T613:T613">IF(AND(INDEX(Profils!$N$5:$N$34,$AE613)&gt;0,INDEX(Profils!$AC$5:$AC$34,$AE613)&lt;=$AH613),ROUND(INDEX(Profils!$N$5:$N$34,$AE613)*Paramètres!$E$30*$AG613*$AJ613,Paramètres!$F$30),0)</f>
        <v>0</v>
      </c>
      <c r="U613" s="19" t="n">
        <f aca="false" t="array" ref="U613:U613">IF(AND(INDEX(Profils!$O$5:$O$34,$AE613)&gt;0,INDEX(Profils!$AD$5:$AD$34,$AE613)&lt;=$AH613),ROUND(INDEX(Profils!$O$5:$O$34,$AE613)*Paramètres!$E$31*$AG613*$AJ613,Paramètres!$F$31),0)</f>
        <v>0</v>
      </c>
      <c r="V613" s="20" t="n">
        <f aca="false" t="array" ref="V613:V613">IF(AND(INDEX(Profils!$P$5:$P$34,$AE613)&gt;0,INDEX(Profils!$AE$5:$AE$34,$AE613)&lt;=$AH613),ROUND(INDEX(Profils!$P$5:$P$34,$AE613)*Paramètres!$E$32*$AG613*$AJ613,Paramètres!$F$32),0)</f>
        <v>0</v>
      </c>
      <c r="W613" s="20" t="n">
        <f aca="false" t="array" ref="W613:W613">IF(AND(INDEX(Profils!$Q$5:$Q$34,$AE613)&gt;0,INDEX(Profils!$AF$5:$AF$34,$AE613)&lt;=$AH613),ROUND(INDEX(Profils!$Q$5:$Q$34,$AE613)*Paramètres!$E$33*$AG613*$AJ613,Paramètres!$F$33),0)</f>
        <v>0</v>
      </c>
      <c r="X613" s="20" t="n">
        <f aca="false" t="array" ref="X613:X613">IF(AND(INDEX(Profils!$R$5:$R$34,$AE613)&gt;0,INDEX(Profils!$AG$5:$AG$34,$AE613)&lt;=$AH613),ROUND(INDEX(Profils!$R$5:$R$34,$AE613)*Paramètres!$E$34*$AG613*$AJ613,Paramètres!$F$34),0)</f>
        <v>0.015</v>
      </c>
      <c r="Y613" s="20" t="n">
        <f aca="false" t="array" ref="Y613:Y613">IF(AND(INDEX(Profils!$S$5:$S$34,$AE613)&gt;0,INDEX(Profils!$AH$5:$AH$34,$AE613)&lt;=$AH613),ROUND(INDEX(Profils!$S$5:$S$34,$AE613)*Paramètres!$E$35*$AG613*$AJ613,Paramètres!$F$35),0)</f>
        <v>0</v>
      </c>
      <c r="Z613" s="21" t="n">
        <f aca="false">ROUND(L613/Paramètres!$E$22+M613/Paramètres!$E$23+N613/Paramètres!$E$24+O613/Paramètres!$E$25+P613/Paramètres!$E$26+Q613/Paramètres!$E$27+R613/Paramètres!$E$28+S613/Paramètres!$E$29+T613/Paramètres!$E$30+U613/Paramètres!$E$31+V613/Paramètres!$E$32+W613/Paramètres!$E$33+X613/Paramètres!$E$34+Y613/Paramètres!$E$35,1)</f>
        <v>1.4</v>
      </c>
      <c r="AA613" s="22" t="s">
        <v>109</v>
      </c>
      <c r="AB613" s="22" t="s">
        <v>109</v>
      </c>
      <c r="AC613" s="15" t="str">
        <f aca="false">$E613</f>
        <v>saphir</v>
      </c>
      <c r="AD613" s="16" t="n">
        <f aca="false" t="array" ref="AD613:AD613">IF($I613&gt;=$AI613,"Max",ROUND(Paramètres!$B$40*($I613+1)^Paramètres!$B$41*INDEX(Paramètres!$H$6:$H$12,$AF613),0))</f>
        <v>3</v>
      </c>
      <c r="AE613" s="23" t="n">
        <f aca="false">MATCH($B613&amp;"|"&amp;$C613,Profils!$A$5:$A$34,0)</f>
        <v>20</v>
      </c>
      <c r="AF613" s="23" t="n">
        <v>1</v>
      </c>
      <c r="AG613" s="24" t="n">
        <f aca="false" t="array" ref="AG613:AG613">INDEX(Paramètres!$C$6:$C$12,$AF613)</f>
        <v>1</v>
      </c>
      <c r="AH613" s="23" t="n">
        <f aca="false" t="array" ref="AH613:AH613">INDEX(Paramètres!$D$6:$D$12,$AF613)</f>
        <v>2</v>
      </c>
      <c r="AI613" s="23" t="n">
        <f aca="false" t="array" ref="AI613:AI613">INDEX(Matériaux!$C$16:$C$20,$D613)</f>
        <v>25</v>
      </c>
      <c r="AJ613" s="25" t="n">
        <f aca="false">Paramètres!$B$16+(1-Paramètres!$B$16)*(($J613-Paramètres!$B$14)/(Paramètres!$B$15-Paramètres!$B$14))^Paramètres!$B$17</f>
        <v>0.458504333336152</v>
      </c>
    </row>
    <row r="614" customFormat="false" ht="15.75" hidden="false" customHeight="true" outlineLevel="0" collapsed="false">
      <c r="A614" s="14" t="s">
        <v>730</v>
      </c>
      <c r="B614" s="15" t="s">
        <v>29</v>
      </c>
      <c r="C614" s="15" t="s">
        <v>401</v>
      </c>
      <c r="D614" s="16" t="n">
        <v>4</v>
      </c>
      <c r="E614" s="15" t="str">
        <f aca="false" t="array" ref="E614:E614">INDEX(Matériaux!$B$5:$F$12,MATCH(INDEX(Profils!$E$5:$E$34,$AE614),Matériaux!$A$5:$A$12,0),$D614)</f>
        <v>saphir</v>
      </c>
      <c r="F614" s="26" t="s">
        <v>111</v>
      </c>
      <c r="G614" s="10" t="str">
        <f aca="false" t="array" ref="G614:G614">INDEX(Profils!$D$5:$D$34,$AE614)&amp;" en "&amp;$E614</f>
        <v>Orbe en saphir</v>
      </c>
      <c r="H614" s="16" t="n">
        <f aca="false" t="array" ref="H614:H614">INDEX(Matériaux!$B$16:$B$20,$D614)</f>
        <v>50</v>
      </c>
      <c r="I614" s="16" t="n">
        <f aca="false">IF(ISNUMBER($C$3),MIN(MAX(0,ROUND($C$3,0)),$AI614),$AI614)</f>
        <v>0</v>
      </c>
      <c r="J614" s="18" t="n">
        <f aca="false">$H614+$I614</f>
        <v>50</v>
      </c>
      <c r="K614" s="15" t="s">
        <v>109</v>
      </c>
      <c r="L614" s="19" t="n">
        <f aca="false" t="array" ref="L614:L614">IF(AND(INDEX(Profils!$F$5:$F$34,$AE614)&gt;0,INDEX(Profils!$U$5:$U$34,$AE614)&lt;=$AH614),ROUND(INDEX(Profils!$F$5:$F$34,$AE614)*Paramètres!$E$22*$AG614*$AJ614,Paramètres!$F$22),0)</f>
        <v>0</v>
      </c>
      <c r="M614" s="19" t="n">
        <f aca="false" t="array" ref="M614:M614">IF(AND(INDEX(Profils!$G$5:$G$34,$AE614)&gt;0,INDEX(Profils!$V$5:$V$34,$AE614)&lt;=$AH614),ROUND(INDEX(Profils!$G$5:$G$34,$AE614)*Paramètres!$E$23*$AG614*$AJ614,Paramètres!$F$23),0)</f>
        <v>0</v>
      </c>
      <c r="N614" s="19" t="n">
        <f aca="false" t="array" ref="N614:N614">IF(AND(INDEX(Profils!$H$5:$H$34,$AE614)&gt;0,INDEX(Profils!$W$5:$W$34,$AE614)&lt;=$AH614),ROUND(INDEX(Profils!$H$5:$H$34,$AE614)*Paramètres!$E$24*$AG614*$AJ614,Paramètres!$F$24),0)</f>
        <v>0</v>
      </c>
      <c r="O614" s="19" t="n">
        <f aca="false" t="array" ref="O614:O614">IF(AND(INDEX(Profils!$I$5:$I$34,$AE614)&gt;0,INDEX(Profils!$X$5:$X$34,$AE614)&lt;=$AH614),ROUND(INDEX(Profils!$I$5:$I$34,$AE614)*Paramètres!$E$25*$AG614*$AJ614,Paramètres!$F$25),0)</f>
        <v>12</v>
      </c>
      <c r="P614" s="19" t="n">
        <f aca="false" t="array" ref="P614:P614">IF(AND(INDEX(Profils!$J$5:$J$34,$AE614)&gt;0,INDEX(Profils!$Y$5:$Y$34,$AE614)&lt;=$AH614),ROUND(INDEX(Profils!$J$5:$J$34,$AE614)*Paramètres!$E$26*$AG614*$AJ614,Paramètres!$F$26),0)</f>
        <v>0</v>
      </c>
      <c r="Q614" s="19" t="n">
        <f aca="false" t="array" ref="Q614:Q614">IF(AND(INDEX(Profils!$K$5:$K$34,$AE614)&gt;0,INDEX(Profils!$Z$5:$Z$34,$AE614)&lt;=$AH614),ROUND(INDEX(Profils!$K$5:$K$34,$AE614)*Paramètres!$E$27*$AG614*$AJ614,Paramètres!$F$27),0)</f>
        <v>0</v>
      </c>
      <c r="R614" s="20" t="n">
        <f aca="false" t="array" ref="R614:R614">IF(AND(INDEX(Profils!$L$5:$L$34,$AE614)&gt;0,INDEX(Profils!$AA$5:$AA$34,$AE614)&lt;=$AH614),ROUND(INDEX(Profils!$L$5:$L$34,$AE614)*Paramètres!$E$28*$AG614*$AJ614,Paramètres!$F$28),0)</f>
        <v>0</v>
      </c>
      <c r="S614" s="20" t="n">
        <f aca="false" t="array" ref="S614:S614">IF(AND(INDEX(Profils!$M$5:$M$34,$AE614)&gt;0,INDEX(Profils!$AB$5:$AB$34,$AE614)&lt;=$AH614),ROUND(INDEX(Profils!$M$5:$M$34,$AE614)*Paramètres!$E$29*$AG614*$AJ614,Paramètres!$F$29),0)</f>
        <v>0</v>
      </c>
      <c r="T614" s="20" t="n">
        <f aca="false" t="array" ref="T614:T614">IF(AND(INDEX(Profils!$N$5:$N$34,$AE614)&gt;0,INDEX(Profils!$AC$5:$AC$34,$AE614)&lt;=$AH614),ROUND(INDEX(Profils!$N$5:$N$34,$AE614)*Paramètres!$E$30*$AG614*$AJ614,Paramètres!$F$30),0)</f>
        <v>0</v>
      </c>
      <c r="U614" s="19" t="n">
        <f aca="false" t="array" ref="U614:U614">IF(AND(INDEX(Profils!$O$5:$O$34,$AE614)&gt;0,INDEX(Profils!$AD$5:$AD$34,$AE614)&lt;=$AH614),ROUND(INDEX(Profils!$O$5:$O$34,$AE614)*Paramètres!$E$31*$AG614*$AJ614,Paramètres!$F$31),0)</f>
        <v>0</v>
      </c>
      <c r="V614" s="20" t="n">
        <f aca="false" t="array" ref="V614:V614">IF(AND(INDEX(Profils!$P$5:$P$34,$AE614)&gt;0,INDEX(Profils!$AE$5:$AE$34,$AE614)&lt;=$AH614),ROUND(INDEX(Profils!$P$5:$P$34,$AE614)*Paramètres!$E$32*$AG614*$AJ614,Paramètres!$F$32),0)</f>
        <v>0</v>
      </c>
      <c r="W614" s="20" t="n">
        <f aca="false" t="array" ref="W614:W614">IF(AND(INDEX(Profils!$Q$5:$Q$34,$AE614)&gt;0,INDEX(Profils!$AF$5:$AF$34,$AE614)&lt;=$AH614),ROUND(INDEX(Profils!$Q$5:$Q$34,$AE614)*Paramètres!$E$33*$AG614*$AJ614,Paramètres!$F$33),0)</f>
        <v>0.012</v>
      </c>
      <c r="X614" s="20" t="n">
        <f aca="false" t="array" ref="X614:X614">IF(AND(INDEX(Profils!$R$5:$R$34,$AE614)&gt;0,INDEX(Profils!$AG$5:$AG$34,$AE614)&lt;=$AH614),ROUND(INDEX(Profils!$R$5:$R$34,$AE614)*Paramètres!$E$34*$AG614*$AJ614,Paramètres!$F$34),0)</f>
        <v>0.018</v>
      </c>
      <c r="Y614" s="20" t="n">
        <f aca="false" t="array" ref="Y614:Y614">IF(AND(INDEX(Profils!$S$5:$S$34,$AE614)&gt;0,INDEX(Profils!$AH$5:$AH$34,$AE614)&lt;=$AH614),ROUND(INDEX(Profils!$S$5:$S$34,$AE614)*Paramètres!$E$35*$AG614*$AJ614,Paramètres!$F$35),0)</f>
        <v>0</v>
      </c>
      <c r="Z614" s="21" t="n">
        <f aca="false">ROUND(L614/Paramètres!$E$22+M614/Paramètres!$E$23+N614/Paramètres!$E$24+O614/Paramètres!$E$25+P614/Paramètres!$E$26+Q614/Paramètres!$E$27+R614/Paramètres!$E$28+S614/Paramètres!$E$29+T614/Paramètres!$E$30+U614/Paramètres!$E$31+V614/Paramètres!$E$32+W614/Paramètres!$E$33+X614/Paramètres!$E$34+Y614/Paramètres!$E$35,1)</f>
        <v>2.5</v>
      </c>
      <c r="AA614" s="22" t="s">
        <v>109</v>
      </c>
      <c r="AB614" s="22" t="s">
        <v>109</v>
      </c>
      <c r="AC614" s="15" t="str">
        <f aca="false">$E614</f>
        <v>saphir</v>
      </c>
      <c r="AD614" s="16" t="n">
        <f aca="false" t="array" ref="AD614:AD614">IF($I614&gt;=$AI614,"Max",ROUND(Paramètres!$B$40*($I614+1)^Paramètres!$B$41*INDEX(Paramètres!$H$6:$H$12,$AF614),0))</f>
        <v>4</v>
      </c>
      <c r="AE614" s="23" t="n">
        <f aca="false">MATCH($B614&amp;"|"&amp;$C614,Profils!$A$5:$A$34,0)</f>
        <v>20</v>
      </c>
      <c r="AF614" s="23" t="n">
        <v>2</v>
      </c>
      <c r="AG614" s="24" t="n">
        <f aca="false" t="array" ref="AG614:AG614">INDEX(Paramètres!$C$6:$C$12,$AF614)</f>
        <v>1.2</v>
      </c>
      <c r="AH614" s="23" t="n">
        <f aca="false" t="array" ref="AH614:AH614">INDEX(Paramètres!$D$6:$D$12,$AF614)</f>
        <v>3</v>
      </c>
      <c r="AI614" s="23" t="n">
        <f aca="false" t="array" ref="AI614:AI614">INDEX(Matériaux!$C$16:$C$20,$D614)</f>
        <v>25</v>
      </c>
      <c r="AJ614" s="25" t="n">
        <f aca="false">Paramètres!$B$16+(1-Paramètres!$B$16)*(($J614-Paramètres!$B$14)/(Paramètres!$B$15-Paramètres!$B$14))^Paramètres!$B$17</f>
        <v>0.458504333336152</v>
      </c>
    </row>
    <row r="615" customFormat="false" ht="15.75" hidden="false" customHeight="true" outlineLevel="0" collapsed="false">
      <c r="A615" s="14" t="s">
        <v>731</v>
      </c>
      <c r="B615" s="15" t="s">
        <v>29</v>
      </c>
      <c r="C615" s="15" t="s">
        <v>401</v>
      </c>
      <c r="D615" s="16" t="n">
        <v>4</v>
      </c>
      <c r="E615" s="15" t="str">
        <f aca="false" t="array" ref="E615:E615">INDEX(Matériaux!$B$5:$F$12,MATCH(INDEX(Profils!$E$5:$E$34,$AE615),Matériaux!$A$5:$A$12,0),$D615)</f>
        <v>saphir</v>
      </c>
      <c r="F615" s="27" t="s">
        <v>113</v>
      </c>
      <c r="G615" s="10" t="str">
        <f aca="false" t="array" ref="G615:G615">INDEX(Profils!$D$5:$D$34,$AE615)&amp;" en "&amp;$E615</f>
        <v>Orbe en saphir</v>
      </c>
      <c r="H615" s="16" t="n">
        <f aca="false" t="array" ref="H615:H615">INDEX(Matériaux!$B$16:$B$20,$D615)</f>
        <v>50</v>
      </c>
      <c r="I615" s="16" t="n">
        <f aca="false">IF(ISNUMBER($C$3),MIN(MAX(0,ROUND($C$3,0)),$AI615),$AI615)</f>
        <v>0</v>
      </c>
      <c r="J615" s="18" t="n">
        <f aca="false">$H615+$I615</f>
        <v>50</v>
      </c>
      <c r="K615" s="15" t="s">
        <v>109</v>
      </c>
      <c r="L615" s="19" t="n">
        <f aca="false" t="array" ref="L615:L615">IF(AND(INDEX(Profils!$F$5:$F$34,$AE615)&gt;0,INDEX(Profils!$U$5:$U$34,$AE615)&lt;=$AH615),ROUND(INDEX(Profils!$F$5:$F$34,$AE615)*Paramètres!$E$22*$AG615*$AJ615,Paramètres!$F$22),0)</f>
        <v>17</v>
      </c>
      <c r="M615" s="19" t="n">
        <f aca="false" t="array" ref="M615:M615">IF(AND(INDEX(Profils!$G$5:$G$34,$AE615)&gt;0,INDEX(Profils!$V$5:$V$34,$AE615)&lt;=$AH615),ROUND(INDEX(Profils!$G$5:$G$34,$AE615)*Paramètres!$E$23*$AG615*$AJ615,Paramètres!$F$23),0)</f>
        <v>0</v>
      </c>
      <c r="N615" s="19" t="n">
        <f aca="false" t="array" ref="N615:N615">IF(AND(INDEX(Profils!$H$5:$H$34,$AE615)&gt;0,INDEX(Profils!$W$5:$W$34,$AE615)&lt;=$AH615),ROUND(INDEX(Profils!$H$5:$H$34,$AE615)*Paramètres!$E$24*$AG615*$AJ615,Paramètres!$F$24),0)</f>
        <v>0</v>
      </c>
      <c r="O615" s="19" t="n">
        <f aca="false" t="array" ref="O615:O615">IF(AND(INDEX(Profils!$I$5:$I$34,$AE615)&gt;0,INDEX(Profils!$X$5:$X$34,$AE615)&lt;=$AH615),ROUND(INDEX(Profils!$I$5:$I$34,$AE615)*Paramètres!$E$25*$AG615*$AJ615,Paramètres!$F$25),0)</f>
        <v>15</v>
      </c>
      <c r="P615" s="19" t="n">
        <f aca="false" t="array" ref="P615:P615">IF(AND(INDEX(Profils!$J$5:$J$34,$AE615)&gt;0,INDEX(Profils!$Y$5:$Y$34,$AE615)&lt;=$AH615),ROUND(INDEX(Profils!$J$5:$J$34,$AE615)*Paramètres!$E$26*$AG615*$AJ615,Paramètres!$F$26),0)</f>
        <v>0</v>
      </c>
      <c r="Q615" s="19" t="n">
        <f aca="false" t="array" ref="Q615:Q615">IF(AND(INDEX(Profils!$K$5:$K$34,$AE615)&gt;0,INDEX(Profils!$Z$5:$Z$34,$AE615)&lt;=$AH615),ROUND(INDEX(Profils!$K$5:$K$34,$AE615)*Paramètres!$E$27*$AG615*$AJ615,Paramètres!$F$27),0)</f>
        <v>0</v>
      </c>
      <c r="R615" s="20" t="n">
        <f aca="false" t="array" ref="R615:R615">IF(AND(INDEX(Profils!$L$5:$L$34,$AE615)&gt;0,INDEX(Profils!$AA$5:$AA$34,$AE615)&lt;=$AH615),ROUND(INDEX(Profils!$L$5:$L$34,$AE615)*Paramètres!$E$28*$AG615*$AJ615,Paramètres!$F$28),0)</f>
        <v>0</v>
      </c>
      <c r="S615" s="20" t="n">
        <f aca="false" t="array" ref="S615:S615">IF(AND(INDEX(Profils!$M$5:$M$34,$AE615)&gt;0,INDEX(Profils!$AB$5:$AB$34,$AE615)&lt;=$AH615),ROUND(INDEX(Profils!$M$5:$M$34,$AE615)*Paramètres!$E$29*$AG615*$AJ615,Paramètres!$F$29),0)</f>
        <v>0</v>
      </c>
      <c r="T615" s="20" t="n">
        <f aca="false" t="array" ref="T615:T615">IF(AND(INDEX(Profils!$N$5:$N$34,$AE615)&gt;0,INDEX(Profils!$AC$5:$AC$34,$AE615)&lt;=$AH615),ROUND(INDEX(Profils!$N$5:$N$34,$AE615)*Paramètres!$E$30*$AG615*$AJ615,Paramètres!$F$30),0)</f>
        <v>0</v>
      </c>
      <c r="U615" s="19" t="n">
        <f aca="false" t="array" ref="U615:U615">IF(AND(INDEX(Profils!$O$5:$O$34,$AE615)&gt;0,INDEX(Profils!$AD$5:$AD$34,$AE615)&lt;=$AH615),ROUND(INDEX(Profils!$O$5:$O$34,$AE615)*Paramètres!$E$31*$AG615*$AJ615,Paramètres!$F$31),0)</f>
        <v>0</v>
      </c>
      <c r="V615" s="20" t="n">
        <f aca="false" t="array" ref="V615:V615">IF(AND(INDEX(Profils!$P$5:$P$34,$AE615)&gt;0,INDEX(Profils!$AE$5:$AE$34,$AE615)&lt;=$AH615),ROUND(INDEX(Profils!$P$5:$P$34,$AE615)*Paramètres!$E$32*$AG615*$AJ615,Paramètres!$F$32),0)</f>
        <v>0</v>
      </c>
      <c r="W615" s="20" t="n">
        <f aca="false" t="array" ref="W615:W615">IF(AND(INDEX(Profils!$Q$5:$Q$34,$AE615)&gt;0,INDEX(Profils!$AF$5:$AF$34,$AE615)&lt;=$AH615),ROUND(INDEX(Profils!$Q$5:$Q$34,$AE615)*Paramètres!$E$33*$AG615*$AJ615,Paramètres!$F$33),0)</f>
        <v>0.014</v>
      </c>
      <c r="X615" s="20" t="n">
        <f aca="false" t="array" ref="X615:X615">IF(AND(INDEX(Profils!$R$5:$R$34,$AE615)&gt;0,INDEX(Profils!$AG$5:$AG$34,$AE615)&lt;=$AH615),ROUND(INDEX(Profils!$R$5:$R$34,$AE615)*Paramètres!$E$34*$AG615*$AJ615,Paramètres!$F$34),0)</f>
        <v>0.021</v>
      </c>
      <c r="Y615" s="20" t="n">
        <f aca="false" t="array" ref="Y615:Y615">IF(AND(INDEX(Profils!$S$5:$S$34,$AE615)&gt;0,INDEX(Profils!$AH$5:$AH$34,$AE615)&lt;=$AH615),ROUND(INDEX(Profils!$S$5:$S$34,$AE615)*Paramètres!$E$35*$AG615*$AJ615,Paramètres!$F$35),0)</f>
        <v>0</v>
      </c>
      <c r="Z615" s="21" t="n">
        <f aca="false">ROUND(L615/Paramètres!$E$22+M615/Paramètres!$E$23+N615/Paramètres!$E$24+O615/Paramètres!$E$25+P615/Paramètres!$E$26+Q615/Paramètres!$E$27+R615/Paramètres!$E$28+S615/Paramètres!$E$29+T615/Paramètres!$E$30+U615/Paramètres!$E$31+V615/Paramètres!$E$32+W615/Paramètres!$E$33+X615/Paramètres!$E$34+Y615/Paramètres!$E$35,1)</f>
        <v>3.7</v>
      </c>
      <c r="AA615" s="22" t="s">
        <v>109</v>
      </c>
      <c r="AB615" s="22" t="s">
        <v>109</v>
      </c>
      <c r="AC615" s="15" t="str">
        <f aca="false">$E615</f>
        <v>saphir</v>
      </c>
      <c r="AD615" s="16" t="n">
        <f aca="false" t="array" ref="AD615:AD615">IF($I615&gt;=$AI615,"Max",ROUND(Paramètres!$B$40*($I615+1)^Paramètres!$B$41*INDEX(Paramètres!$H$6:$H$12,$AF615),0))</f>
        <v>4</v>
      </c>
      <c r="AE615" s="23" t="n">
        <f aca="false">MATCH($B615&amp;"|"&amp;$C615,Profils!$A$5:$A$34,0)</f>
        <v>20</v>
      </c>
      <c r="AF615" s="23" t="n">
        <v>3</v>
      </c>
      <c r="AG615" s="24" t="n">
        <f aca="false" t="array" ref="AG615:AG615">INDEX(Paramètres!$C$6:$C$12,$AF615)</f>
        <v>1.45</v>
      </c>
      <c r="AH615" s="23" t="n">
        <f aca="false" t="array" ref="AH615:AH615">INDEX(Paramètres!$D$6:$D$12,$AF615)</f>
        <v>4</v>
      </c>
      <c r="AI615" s="23" t="n">
        <f aca="false" t="array" ref="AI615:AI615">INDEX(Matériaux!$C$16:$C$20,$D615)</f>
        <v>25</v>
      </c>
      <c r="AJ615" s="25" t="n">
        <f aca="false">Paramètres!$B$16+(1-Paramètres!$B$16)*(($J615-Paramètres!$B$14)/(Paramètres!$B$15-Paramètres!$B$14))^Paramètres!$B$17</f>
        <v>0.458504333336152</v>
      </c>
    </row>
    <row r="616" customFormat="false" ht="15.75" hidden="false" customHeight="true" outlineLevel="0" collapsed="false">
      <c r="A616" s="14" t="s">
        <v>732</v>
      </c>
      <c r="B616" s="15" t="s">
        <v>29</v>
      </c>
      <c r="C616" s="15" t="s">
        <v>401</v>
      </c>
      <c r="D616" s="16" t="n">
        <v>4</v>
      </c>
      <c r="E616" s="15" t="str">
        <f aca="false" t="array" ref="E616:E616">INDEX(Matériaux!$B$5:$F$12,MATCH(INDEX(Profils!$E$5:$E$34,$AE616),Matériaux!$A$5:$A$12,0),$D616)</f>
        <v>saphir</v>
      </c>
      <c r="F616" s="28" t="s">
        <v>115</v>
      </c>
      <c r="G616" s="10" t="str">
        <f aca="false" t="array" ref="G616:G616">INDEX(Profils!$D$5:$D$34,$AE616)&amp;" en "&amp;$E616</f>
        <v>Orbe en saphir</v>
      </c>
      <c r="H616" s="16" t="n">
        <f aca="false" t="array" ref="H616:H616">INDEX(Matériaux!$B$16:$B$20,$D616)</f>
        <v>50</v>
      </c>
      <c r="I616" s="16" t="n">
        <f aca="false">IF(ISNUMBER($C$3),MIN(MAX(0,ROUND($C$3,0)),$AI616),$AI616)</f>
        <v>0</v>
      </c>
      <c r="J616" s="18" t="n">
        <f aca="false">$H616+$I616</f>
        <v>50</v>
      </c>
      <c r="K616" s="15" t="s">
        <v>109</v>
      </c>
      <c r="L616" s="19" t="n">
        <f aca="false" t="array" ref="L616:L616">IF(AND(INDEX(Profils!$F$5:$F$34,$AE616)&gt;0,INDEX(Profils!$U$5:$U$34,$AE616)&lt;=$AH616),ROUND(INDEX(Profils!$F$5:$F$34,$AE616)*Paramètres!$E$22*$AG616*$AJ616,Paramètres!$F$22),0)</f>
        <v>20</v>
      </c>
      <c r="M616" s="19" t="n">
        <f aca="false" t="array" ref="M616:M616">IF(AND(INDEX(Profils!$G$5:$G$34,$AE616)&gt;0,INDEX(Profils!$V$5:$V$34,$AE616)&lt;=$AH616),ROUND(INDEX(Profils!$G$5:$G$34,$AE616)*Paramètres!$E$23*$AG616*$AJ616,Paramètres!$F$23),0)</f>
        <v>0</v>
      </c>
      <c r="N616" s="19" t="n">
        <f aca="false" t="array" ref="N616:N616">IF(AND(INDEX(Profils!$H$5:$H$34,$AE616)&gt;0,INDEX(Profils!$W$5:$W$34,$AE616)&lt;=$AH616),ROUND(INDEX(Profils!$H$5:$H$34,$AE616)*Paramètres!$E$24*$AG616*$AJ616,Paramètres!$F$24),0)</f>
        <v>0</v>
      </c>
      <c r="O616" s="19" t="n">
        <f aca="false" t="array" ref="O616:O616">IF(AND(INDEX(Profils!$I$5:$I$34,$AE616)&gt;0,INDEX(Profils!$X$5:$X$34,$AE616)&lt;=$AH616),ROUND(INDEX(Profils!$I$5:$I$34,$AE616)*Paramètres!$E$25*$AG616*$AJ616,Paramètres!$F$25),0)</f>
        <v>18</v>
      </c>
      <c r="P616" s="19" t="n">
        <f aca="false" t="array" ref="P616:P616">IF(AND(INDEX(Profils!$J$5:$J$34,$AE616)&gt;0,INDEX(Profils!$Y$5:$Y$34,$AE616)&lt;=$AH616),ROUND(INDEX(Profils!$J$5:$J$34,$AE616)*Paramètres!$E$26*$AG616*$AJ616,Paramètres!$F$26),0)</f>
        <v>0</v>
      </c>
      <c r="Q616" s="19" t="n">
        <f aca="false" t="array" ref="Q616:Q616">IF(AND(INDEX(Profils!$K$5:$K$34,$AE616)&gt;0,INDEX(Profils!$Z$5:$Z$34,$AE616)&lt;=$AH616),ROUND(INDEX(Profils!$K$5:$K$34,$AE616)*Paramètres!$E$27*$AG616*$AJ616,Paramètres!$F$27),0)</f>
        <v>0</v>
      </c>
      <c r="R616" s="20" t="n">
        <f aca="false" t="array" ref="R616:R616">IF(AND(INDEX(Profils!$L$5:$L$34,$AE616)&gt;0,INDEX(Profils!$AA$5:$AA$34,$AE616)&lt;=$AH616),ROUND(INDEX(Profils!$L$5:$L$34,$AE616)*Paramètres!$E$28*$AG616*$AJ616,Paramètres!$F$28),0)</f>
        <v>0</v>
      </c>
      <c r="S616" s="20" t="n">
        <f aca="false" t="array" ref="S616:S616">IF(AND(INDEX(Profils!$M$5:$M$34,$AE616)&gt;0,INDEX(Profils!$AB$5:$AB$34,$AE616)&lt;=$AH616),ROUND(INDEX(Profils!$M$5:$M$34,$AE616)*Paramètres!$E$29*$AG616*$AJ616,Paramètres!$F$29),0)</f>
        <v>0</v>
      </c>
      <c r="T616" s="20" t="n">
        <f aca="false" t="array" ref="T616:T616">IF(AND(INDEX(Profils!$N$5:$N$34,$AE616)&gt;0,INDEX(Profils!$AC$5:$AC$34,$AE616)&lt;=$AH616),ROUND(INDEX(Profils!$N$5:$N$34,$AE616)*Paramètres!$E$30*$AG616*$AJ616,Paramètres!$F$30),0)</f>
        <v>0</v>
      </c>
      <c r="U616" s="19" t="n">
        <f aca="false" t="array" ref="U616:U616">IF(AND(INDEX(Profils!$O$5:$O$34,$AE616)&gt;0,INDEX(Profils!$AD$5:$AD$34,$AE616)&lt;=$AH616),ROUND(INDEX(Profils!$O$5:$O$34,$AE616)*Paramètres!$E$31*$AG616*$AJ616,Paramètres!$F$31),0)</f>
        <v>0</v>
      </c>
      <c r="V616" s="20" t="n">
        <f aca="false" t="array" ref="V616:V616">IF(AND(INDEX(Profils!$P$5:$P$34,$AE616)&gt;0,INDEX(Profils!$AE$5:$AE$34,$AE616)&lt;=$AH616),ROUND(INDEX(Profils!$P$5:$P$34,$AE616)*Paramètres!$E$32*$AG616*$AJ616,Paramètres!$F$32),0)</f>
        <v>0</v>
      </c>
      <c r="W616" s="20" t="n">
        <f aca="false" t="array" ref="W616:W616">IF(AND(INDEX(Profils!$Q$5:$Q$34,$AE616)&gt;0,INDEX(Profils!$AF$5:$AF$34,$AE616)&lt;=$AH616),ROUND(INDEX(Profils!$Q$5:$Q$34,$AE616)*Paramètres!$E$33*$AG616*$AJ616,Paramètres!$F$33),0)</f>
        <v>0.017</v>
      </c>
      <c r="X616" s="20" t="n">
        <f aca="false" t="array" ref="X616:X616">IF(AND(INDEX(Profils!$R$5:$R$34,$AE616)&gt;0,INDEX(Profils!$AG$5:$AG$34,$AE616)&lt;=$AH616),ROUND(INDEX(Profils!$R$5:$R$34,$AE616)*Paramètres!$E$34*$AG616*$AJ616,Paramètres!$F$34),0)</f>
        <v>0.026</v>
      </c>
      <c r="Y616" s="20" t="n">
        <f aca="false" t="array" ref="Y616:Y616">IF(AND(INDEX(Profils!$S$5:$S$34,$AE616)&gt;0,INDEX(Profils!$AH$5:$AH$34,$AE616)&lt;=$AH616),ROUND(INDEX(Profils!$S$5:$S$34,$AE616)*Paramètres!$E$35*$AG616*$AJ616,Paramètres!$F$35),0)</f>
        <v>0.012</v>
      </c>
      <c r="Z616" s="21" t="n">
        <f aca="false">ROUND(L616/Paramètres!$E$22+M616/Paramètres!$E$23+N616/Paramètres!$E$24+O616/Paramètres!$E$25+P616/Paramètres!$E$26+Q616/Paramètres!$E$27+R616/Paramètres!$E$28+S616/Paramètres!$E$29+T616/Paramètres!$E$30+U616/Paramètres!$E$31+V616/Paramètres!$E$32+W616/Paramètres!$E$33+X616/Paramètres!$E$34+Y616/Paramètres!$E$35,1)</f>
        <v>5.2</v>
      </c>
      <c r="AA616" s="22" t="s">
        <v>109</v>
      </c>
      <c r="AB616" s="22" t="s">
        <v>109</v>
      </c>
      <c r="AC616" s="15" t="str">
        <f aca="false">$E616</f>
        <v>saphir</v>
      </c>
      <c r="AD616" s="16" t="n">
        <f aca="false" t="array" ref="AD616:AD616">IF($I616&gt;=$AI616,"Max",ROUND(Paramètres!$B$40*($I616+1)^Paramètres!$B$41*INDEX(Paramètres!$H$6:$H$12,$AF616),0))</f>
        <v>5</v>
      </c>
      <c r="AE616" s="23" t="n">
        <f aca="false">MATCH($B616&amp;"|"&amp;$C616,Profils!$A$5:$A$34,0)</f>
        <v>20</v>
      </c>
      <c r="AF616" s="23" t="n">
        <v>4</v>
      </c>
      <c r="AG616" s="24" t="n">
        <f aca="false" t="array" ref="AG616:AG616">INDEX(Paramètres!$C$6:$C$12,$AF616)</f>
        <v>1.75</v>
      </c>
      <c r="AH616" s="23" t="n">
        <f aca="false" t="array" ref="AH616:AH616">INDEX(Paramètres!$D$6:$D$12,$AF616)</f>
        <v>5</v>
      </c>
      <c r="AI616" s="23" t="n">
        <f aca="false" t="array" ref="AI616:AI616">INDEX(Matériaux!$C$16:$C$20,$D616)</f>
        <v>25</v>
      </c>
      <c r="AJ616" s="25" t="n">
        <f aca="false">Paramètres!$B$16+(1-Paramètres!$B$16)*(($J616-Paramètres!$B$14)/(Paramètres!$B$15-Paramètres!$B$14))^Paramètres!$B$17</f>
        <v>0.458504333336152</v>
      </c>
    </row>
    <row r="617" customFormat="false" ht="15.75" hidden="false" customHeight="true" outlineLevel="0" collapsed="false">
      <c r="A617" s="14" t="s">
        <v>733</v>
      </c>
      <c r="B617" s="15" t="s">
        <v>29</v>
      </c>
      <c r="C617" s="15" t="s">
        <v>401</v>
      </c>
      <c r="D617" s="16" t="n">
        <v>4</v>
      </c>
      <c r="E617" s="15" t="str">
        <f aca="false" t="array" ref="E617:E617">INDEX(Matériaux!$B$5:$F$12,MATCH(INDEX(Profils!$E$5:$E$34,$AE617),Matériaux!$A$5:$A$12,0),$D617)</f>
        <v>saphir</v>
      </c>
      <c r="F617" s="29" t="s">
        <v>117</v>
      </c>
      <c r="G617" s="10" t="str">
        <f aca="false" t="array" ref="G617:G617">INDEX(Profils!$D$5:$D$34,$AE617)&amp;" en "&amp;$E617</f>
        <v>Orbe en saphir</v>
      </c>
      <c r="H617" s="16" t="n">
        <f aca="false" t="array" ref="H617:H617">INDEX(Matériaux!$B$16:$B$20,$D617)</f>
        <v>50</v>
      </c>
      <c r="I617" s="16" t="n">
        <f aca="false">IF(ISNUMBER($C$3),MIN(MAX(0,ROUND($C$3,0)),$AI617),$AI617)</f>
        <v>0</v>
      </c>
      <c r="J617" s="18" t="n">
        <f aca="false">$H617+$I617</f>
        <v>50</v>
      </c>
      <c r="K617" s="15" t="s">
        <v>109</v>
      </c>
      <c r="L617" s="19" t="n">
        <f aca="false" t="array" ref="L617:L617">IF(AND(INDEX(Profils!$F$5:$F$34,$AE617)&gt;0,INDEX(Profils!$U$5:$U$34,$AE617)&lt;=$AH617),ROUND(INDEX(Profils!$F$5:$F$34,$AE617)*Paramètres!$E$22*$AG617*$AJ617,Paramètres!$F$22),0)</f>
        <v>24</v>
      </c>
      <c r="M617" s="19" t="n">
        <f aca="false" t="array" ref="M617:M617">IF(AND(INDEX(Profils!$G$5:$G$34,$AE617)&gt;0,INDEX(Profils!$V$5:$V$34,$AE617)&lt;=$AH617),ROUND(INDEX(Profils!$G$5:$G$34,$AE617)*Paramètres!$E$23*$AG617*$AJ617,Paramètres!$F$23),0)</f>
        <v>0</v>
      </c>
      <c r="N617" s="19" t="n">
        <f aca="false" t="array" ref="N617:N617">IF(AND(INDEX(Profils!$H$5:$H$34,$AE617)&gt;0,INDEX(Profils!$W$5:$W$34,$AE617)&lt;=$AH617),ROUND(INDEX(Profils!$H$5:$H$34,$AE617)*Paramètres!$E$24*$AG617*$AJ617,Paramètres!$F$24),0)</f>
        <v>0</v>
      </c>
      <c r="O617" s="19" t="n">
        <f aca="false" t="array" ref="O617:O617">IF(AND(INDEX(Profils!$I$5:$I$34,$AE617)&gt;0,INDEX(Profils!$X$5:$X$34,$AE617)&lt;=$AH617),ROUND(INDEX(Profils!$I$5:$I$34,$AE617)*Paramètres!$E$25*$AG617*$AJ617,Paramètres!$F$25),0)</f>
        <v>22</v>
      </c>
      <c r="P617" s="19" t="n">
        <f aca="false" t="array" ref="P617:P617">IF(AND(INDEX(Profils!$J$5:$J$34,$AE617)&gt;0,INDEX(Profils!$Y$5:$Y$34,$AE617)&lt;=$AH617),ROUND(INDEX(Profils!$J$5:$J$34,$AE617)*Paramètres!$E$26*$AG617*$AJ617,Paramètres!$F$26),0)</f>
        <v>0</v>
      </c>
      <c r="Q617" s="19" t="n">
        <f aca="false" t="array" ref="Q617:Q617">IF(AND(INDEX(Profils!$K$5:$K$34,$AE617)&gt;0,INDEX(Profils!$Z$5:$Z$34,$AE617)&lt;=$AH617),ROUND(INDEX(Profils!$K$5:$K$34,$AE617)*Paramètres!$E$27*$AG617*$AJ617,Paramètres!$F$27),0)</f>
        <v>0</v>
      </c>
      <c r="R617" s="20" t="n">
        <f aca="false" t="array" ref="R617:R617">IF(AND(INDEX(Profils!$L$5:$L$34,$AE617)&gt;0,INDEX(Profils!$AA$5:$AA$34,$AE617)&lt;=$AH617),ROUND(INDEX(Profils!$L$5:$L$34,$AE617)*Paramètres!$E$28*$AG617*$AJ617,Paramètres!$F$28),0)</f>
        <v>0</v>
      </c>
      <c r="S617" s="20" t="n">
        <f aca="false" t="array" ref="S617:S617">IF(AND(INDEX(Profils!$M$5:$M$34,$AE617)&gt;0,INDEX(Profils!$AB$5:$AB$34,$AE617)&lt;=$AH617),ROUND(INDEX(Profils!$M$5:$M$34,$AE617)*Paramètres!$E$29*$AG617*$AJ617,Paramètres!$F$29),0)</f>
        <v>0</v>
      </c>
      <c r="T617" s="20" t="n">
        <f aca="false" t="array" ref="T617:T617">IF(AND(INDEX(Profils!$N$5:$N$34,$AE617)&gt;0,INDEX(Profils!$AC$5:$AC$34,$AE617)&lt;=$AH617),ROUND(INDEX(Profils!$N$5:$N$34,$AE617)*Paramètres!$E$30*$AG617*$AJ617,Paramètres!$F$30),0)</f>
        <v>0.026</v>
      </c>
      <c r="U617" s="19" t="n">
        <f aca="false" t="array" ref="U617:U617">IF(AND(INDEX(Profils!$O$5:$O$34,$AE617)&gt;0,INDEX(Profils!$AD$5:$AD$34,$AE617)&lt;=$AH617),ROUND(INDEX(Profils!$O$5:$O$34,$AE617)*Paramètres!$E$31*$AG617*$AJ617,Paramètres!$F$31),0)</f>
        <v>0</v>
      </c>
      <c r="V617" s="20" t="n">
        <f aca="false" t="array" ref="V617:V617">IF(AND(INDEX(Profils!$P$5:$P$34,$AE617)&gt;0,INDEX(Profils!$AE$5:$AE$34,$AE617)&lt;=$AH617),ROUND(INDEX(Profils!$P$5:$P$34,$AE617)*Paramètres!$E$32*$AG617*$AJ617,Paramètres!$F$32),0)</f>
        <v>0</v>
      </c>
      <c r="W617" s="20" t="n">
        <f aca="false" t="array" ref="W617:W617">IF(AND(INDEX(Profils!$Q$5:$Q$34,$AE617)&gt;0,INDEX(Profils!$AF$5:$AF$34,$AE617)&lt;=$AH617),ROUND(INDEX(Profils!$Q$5:$Q$34,$AE617)*Paramètres!$E$33*$AG617*$AJ617,Paramètres!$F$33),0)</f>
        <v>0.02</v>
      </c>
      <c r="X617" s="20" t="n">
        <f aca="false" t="array" ref="X617:X617">IF(AND(INDEX(Profils!$R$5:$R$34,$AE617)&gt;0,INDEX(Profils!$AG$5:$AG$34,$AE617)&lt;=$AH617),ROUND(INDEX(Profils!$R$5:$R$34,$AE617)*Paramètres!$E$34*$AG617*$AJ617,Paramètres!$F$34),0)</f>
        <v>0.031</v>
      </c>
      <c r="Y617" s="20" t="n">
        <f aca="false" t="array" ref="Y617:Y617">IF(AND(INDEX(Profils!$S$5:$S$34,$AE617)&gt;0,INDEX(Profils!$AH$5:$AH$34,$AE617)&lt;=$AH617),ROUND(INDEX(Profils!$S$5:$S$34,$AE617)*Paramètres!$E$35*$AG617*$AJ617,Paramètres!$F$35),0)</f>
        <v>0.014</v>
      </c>
      <c r="Z617" s="21" t="n">
        <f aca="false">ROUND(L617/Paramètres!$E$22+M617/Paramètres!$E$23+N617/Paramètres!$E$24+O617/Paramètres!$E$25+P617/Paramètres!$E$26+Q617/Paramètres!$E$27+R617/Paramètres!$E$28+S617/Paramètres!$E$29+T617/Paramètres!$E$30+U617/Paramètres!$E$31+V617/Paramètres!$E$32+W617/Paramètres!$E$33+X617/Paramètres!$E$34+Y617/Paramètres!$E$35,1)</f>
        <v>7.1</v>
      </c>
      <c r="AA617" s="22" t="s">
        <v>109</v>
      </c>
      <c r="AB617" s="22" t="s">
        <v>109</v>
      </c>
      <c r="AC617" s="15" t="str">
        <f aca="false">$E617</f>
        <v>saphir</v>
      </c>
      <c r="AD617" s="16" t="n">
        <f aca="false" t="array" ref="AD617:AD617">IF($I617&gt;=$AI617,"Max",ROUND(Paramètres!$B$40*($I617+1)^Paramètres!$B$41*INDEX(Paramètres!$H$6:$H$12,$AF617),0))</f>
        <v>6</v>
      </c>
      <c r="AE617" s="23" t="n">
        <f aca="false">MATCH($B617&amp;"|"&amp;$C617,Profils!$A$5:$A$34,0)</f>
        <v>20</v>
      </c>
      <c r="AF617" s="23" t="n">
        <v>5</v>
      </c>
      <c r="AG617" s="24" t="n">
        <f aca="false" t="array" ref="AG617:AG617">INDEX(Paramètres!$C$6:$C$12,$AF617)</f>
        <v>2.1</v>
      </c>
      <c r="AH617" s="23" t="n">
        <f aca="false" t="array" ref="AH617:AH617">INDEX(Paramètres!$D$6:$D$12,$AF617)</f>
        <v>6</v>
      </c>
      <c r="AI617" s="23" t="n">
        <f aca="false" t="array" ref="AI617:AI617">INDEX(Matériaux!$C$16:$C$20,$D617)</f>
        <v>25</v>
      </c>
      <c r="AJ617" s="25" t="n">
        <f aca="false">Paramètres!$B$16+(1-Paramètres!$B$16)*(($J617-Paramètres!$B$14)/(Paramètres!$B$15-Paramètres!$B$14))^Paramètres!$B$17</f>
        <v>0.458504333336152</v>
      </c>
    </row>
    <row r="618" customFormat="false" ht="15.75" hidden="false" customHeight="true" outlineLevel="0" collapsed="false">
      <c r="A618" s="14" t="s">
        <v>734</v>
      </c>
      <c r="B618" s="15" t="s">
        <v>29</v>
      </c>
      <c r="C618" s="15" t="s">
        <v>401</v>
      </c>
      <c r="D618" s="16" t="n">
        <v>4</v>
      </c>
      <c r="E618" s="15" t="str">
        <f aca="false" t="array" ref="E618:E618">INDEX(Matériaux!$B$5:$F$12,MATCH(INDEX(Profils!$E$5:$E$34,$AE618),Matériaux!$A$5:$A$12,0),$D618)</f>
        <v>saphir</v>
      </c>
      <c r="F618" s="30" t="s">
        <v>119</v>
      </c>
      <c r="G618" s="10" t="str">
        <f aca="false" t="array" ref="G618:G618">INDEX(Profils!$D$5:$D$34,$AE618)&amp;" en "&amp;$E618</f>
        <v>Orbe en saphir</v>
      </c>
      <c r="H618" s="16" t="n">
        <f aca="false" t="array" ref="H618:H618">INDEX(Matériaux!$B$16:$B$20,$D618)</f>
        <v>50</v>
      </c>
      <c r="I618" s="16" t="n">
        <f aca="false">IF(ISNUMBER($C$3),MIN(MAX(0,ROUND($C$3,0)),$AI618),$AI618)</f>
        <v>0</v>
      </c>
      <c r="J618" s="18" t="n">
        <f aca="false">$H618+$I618</f>
        <v>50</v>
      </c>
      <c r="K618" s="15" t="s">
        <v>109</v>
      </c>
      <c r="L618" s="19" t="n">
        <f aca="false" t="array" ref="L618:L618">IF(AND(INDEX(Profils!$F$5:$F$34,$AE618)&gt;0,INDEX(Profils!$U$5:$U$34,$AE618)&lt;=$AH618),ROUND(INDEX(Profils!$F$5:$F$34,$AE618)*Paramètres!$E$22*$AG618*$AJ618,Paramètres!$F$22),0)</f>
        <v>28</v>
      </c>
      <c r="M618" s="19" t="n">
        <f aca="false" t="array" ref="M618:M618">IF(AND(INDEX(Profils!$G$5:$G$34,$AE618)&gt;0,INDEX(Profils!$V$5:$V$34,$AE618)&lt;=$AH618),ROUND(INDEX(Profils!$G$5:$G$34,$AE618)*Paramètres!$E$23*$AG618*$AJ618,Paramètres!$F$23),0)</f>
        <v>0</v>
      </c>
      <c r="N618" s="19" t="n">
        <f aca="false" t="array" ref="N618:N618">IF(AND(INDEX(Profils!$H$5:$H$34,$AE618)&gt;0,INDEX(Profils!$W$5:$W$34,$AE618)&lt;=$AH618),ROUND(INDEX(Profils!$H$5:$H$34,$AE618)*Paramètres!$E$24*$AG618*$AJ618,Paramètres!$F$24),0)</f>
        <v>0</v>
      </c>
      <c r="O618" s="19" t="n">
        <f aca="false" t="array" ref="O618:O618">IF(AND(INDEX(Profils!$I$5:$I$34,$AE618)&gt;0,INDEX(Profils!$X$5:$X$34,$AE618)&lt;=$AH618),ROUND(INDEX(Profils!$I$5:$I$34,$AE618)*Paramètres!$E$25*$AG618*$AJ618,Paramètres!$F$25),0)</f>
        <v>25</v>
      </c>
      <c r="P618" s="19" t="n">
        <f aca="false" t="array" ref="P618:P618">IF(AND(INDEX(Profils!$J$5:$J$34,$AE618)&gt;0,INDEX(Profils!$Y$5:$Y$34,$AE618)&lt;=$AH618),ROUND(INDEX(Profils!$J$5:$J$34,$AE618)*Paramètres!$E$26*$AG618*$AJ618,Paramètres!$F$26),0)</f>
        <v>0</v>
      </c>
      <c r="Q618" s="19" t="n">
        <f aca="false" t="array" ref="Q618:Q618">IF(AND(INDEX(Profils!$K$5:$K$34,$AE618)&gt;0,INDEX(Profils!$Z$5:$Z$34,$AE618)&lt;=$AH618),ROUND(INDEX(Profils!$K$5:$K$34,$AE618)*Paramètres!$E$27*$AG618*$AJ618,Paramètres!$F$27),0)</f>
        <v>0</v>
      </c>
      <c r="R618" s="20" t="n">
        <f aca="false" t="array" ref="R618:R618">IF(AND(INDEX(Profils!$L$5:$L$34,$AE618)&gt;0,INDEX(Profils!$AA$5:$AA$34,$AE618)&lt;=$AH618),ROUND(INDEX(Profils!$L$5:$L$34,$AE618)*Paramètres!$E$28*$AG618*$AJ618,Paramètres!$F$28),0)</f>
        <v>0</v>
      </c>
      <c r="S618" s="20" t="n">
        <f aca="false" t="array" ref="S618:S618">IF(AND(INDEX(Profils!$M$5:$M$34,$AE618)&gt;0,INDEX(Profils!$AB$5:$AB$34,$AE618)&lt;=$AH618),ROUND(INDEX(Profils!$M$5:$M$34,$AE618)*Paramètres!$E$29*$AG618*$AJ618,Paramètres!$F$29),0)</f>
        <v>0.011</v>
      </c>
      <c r="T618" s="20" t="n">
        <f aca="false" t="array" ref="T618:T618">IF(AND(INDEX(Profils!$N$5:$N$34,$AE618)&gt;0,INDEX(Profils!$AC$5:$AC$34,$AE618)&lt;=$AH618),ROUND(INDEX(Profils!$N$5:$N$34,$AE618)*Paramètres!$E$30*$AG618*$AJ618,Paramètres!$F$30),0)</f>
        <v>0.03</v>
      </c>
      <c r="U618" s="19" t="n">
        <f aca="false" t="array" ref="U618:U618">IF(AND(INDEX(Profils!$O$5:$O$34,$AE618)&gt;0,INDEX(Profils!$AD$5:$AD$34,$AE618)&lt;=$AH618),ROUND(INDEX(Profils!$O$5:$O$34,$AE618)*Paramètres!$E$31*$AG618*$AJ618,Paramètres!$F$31),0)</f>
        <v>0</v>
      </c>
      <c r="V618" s="20" t="n">
        <f aca="false" t="array" ref="V618:V618">IF(AND(INDEX(Profils!$P$5:$P$34,$AE618)&gt;0,INDEX(Profils!$AE$5:$AE$34,$AE618)&lt;=$AH618),ROUND(INDEX(Profils!$P$5:$P$34,$AE618)*Paramètres!$E$32*$AG618*$AJ618,Paramètres!$F$32),0)</f>
        <v>0</v>
      </c>
      <c r="W618" s="20" t="n">
        <f aca="false" t="array" ref="W618:W618">IF(AND(INDEX(Profils!$Q$5:$Q$34,$AE618)&gt;0,INDEX(Profils!$AF$5:$AF$34,$AE618)&lt;=$AH618),ROUND(INDEX(Profils!$Q$5:$Q$34,$AE618)*Paramètres!$E$33*$AG618*$AJ618,Paramètres!$F$33),0)</f>
        <v>0.023</v>
      </c>
      <c r="X618" s="20" t="n">
        <f aca="false" t="array" ref="X618:X618">IF(AND(INDEX(Profils!$R$5:$R$34,$AE618)&gt;0,INDEX(Profils!$AG$5:$AG$34,$AE618)&lt;=$AH618),ROUND(INDEX(Profils!$R$5:$R$34,$AE618)*Paramètres!$E$34*$AG618*$AJ618,Paramètres!$F$34),0)</f>
        <v>0.035</v>
      </c>
      <c r="Y618" s="20" t="n">
        <f aca="false" t="array" ref="Y618:Y618">IF(AND(INDEX(Profils!$S$5:$S$34,$AE618)&gt;0,INDEX(Profils!$AH$5:$AH$34,$AE618)&lt;=$AH618),ROUND(INDEX(Profils!$S$5:$S$34,$AE618)*Paramètres!$E$35*$AG618*$AJ618,Paramètres!$F$35),0)</f>
        <v>0.017</v>
      </c>
      <c r="Z618" s="21" t="n">
        <f aca="false">ROUND(L618/Paramètres!$E$22+M618/Paramètres!$E$23+N618/Paramètres!$E$24+O618/Paramètres!$E$25+P618/Paramètres!$E$26+Q618/Paramètres!$E$27+R618/Paramètres!$E$28+S618/Paramètres!$E$29+T618/Paramètres!$E$30+U618/Paramètres!$E$31+V618/Paramètres!$E$32+W618/Paramètres!$E$33+X618/Paramètres!$E$34+Y618/Paramètres!$E$35,1)</f>
        <v>9.1</v>
      </c>
      <c r="AA618" s="22" t="s">
        <v>109</v>
      </c>
      <c r="AB618" s="22" t="s">
        <v>109</v>
      </c>
      <c r="AC618" s="15" t="str">
        <f aca="false">$E618</f>
        <v>saphir</v>
      </c>
      <c r="AD618" s="16" t="n">
        <f aca="false" t="array" ref="AD618:AD618">IF($I618&gt;=$AI618,"Max",ROUND(Paramètres!$B$40*($I618+1)^Paramètres!$B$41*INDEX(Paramètres!$H$6:$H$12,$AF618),0))</f>
        <v>8</v>
      </c>
      <c r="AE618" s="23" t="n">
        <f aca="false">MATCH($B618&amp;"|"&amp;$C618,Profils!$A$5:$A$34,0)</f>
        <v>20</v>
      </c>
      <c r="AF618" s="23" t="n">
        <v>6</v>
      </c>
      <c r="AG618" s="24" t="n">
        <f aca="false" t="array" ref="AG618:AG618">INDEX(Paramètres!$C$6:$C$12,$AF618)</f>
        <v>2.4</v>
      </c>
      <c r="AH618" s="23" t="n">
        <f aca="false" t="array" ref="AH618:AH618">INDEX(Paramètres!$D$6:$D$12,$AF618)</f>
        <v>7</v>
      </c>
      <c r="AI618" s="23" t="n">
        <f aca="false" t="array" ref="AI618:AI618">INDEX(Matériaux!$C$16:$C$20,$D618)</f>
        <v>25</v>
      </c>
      <c r="AJ618" s="25" t="n">
        <f aca="false">Paramètres!$B$16+(1-Paramètres!$B$16)*(($J618-Paramètres!$B$14)/(Paramètres!$B$15-Paramètres!$B$14))^Paramètres!$B$17</f>
        <v>0.458504333336152</v>
      </c>
    </row>
    <row r="619" customFormat="false" ht="15.75" hidden="false" customHeight="true" outlineLevel="0" collapsed="false">
      <c r="A619" s="14" t="s">
        <v>735</v>
      </c>
      <c r="B619" s="15" t="s">
        <v>29</v>
      </c>
      <c r="C619" s="15" t="s">
        <v>401</v>
      </c>
      <c r="D619" s="16" t="n">
        <v>5</v>
      </c>
      <c r="E619" s="15" t="str">
        <f aca="false" t="array" ref="E619:E619">INDEX(Matériaux!$B$5:$F$12,MATCH(INDEX(Profils!$E$5:$E$34,$AE619),Matériaux!$A$5:$A$12,0),$D619)</f>
        <v>diamant</v>
      </c>
      <c r="F619" s="17" t="s">
        <v>108</v>
      </c>
      <c r="G619" s="10" t="str">
        <f aca="false" t="array" ref="G619:G619">INDEX(Profils!$D$5:$D$34,$AE619)&amp;" en "&amp;$E619</f>
        <v>Orbe en diamant</v>
      </c>
      <c r="H619" s="16" t="n">
        <f aca="false" t="array" ref="H619:H619">INDEX(Matériaux!$B$16:$B$20,$D619)</f>
        <v>70</v>
      </c>
      <c r="I619" s="16" t="n">
        <f aca="false">IF(ISNUMBER($C$3),MIN(MAX(0,ROUND($C$3,0)),$AI619),$AI619)</f>
        <v>0</v>
      </c>
      <c r="J619" s="18" t="n">
        <f aca="false">$H619+$I619</f>
        <v>70</v>
      </c>
      <c r="K619" s="15" t="s">
        <v>109</v>
      </c>
      <c r="L619" s="19" t="n">
        <f aca="false" t="array" ref="L619:L619">IF(AND(INDEX(Profils!$F$5:$F$34,$AE619)&gt;0,INDEX(Profils!$U$5:$U$34,$AE619)&lt;=$AH619),ROUND(INDEX(Profils!$F$5:$F$34,$AE619)*Paramètres!$E$22*$AG619*$AJ619,Paramètres!$F$22),0)</f>
        <v>0</v>
      </c>
      <c r="M619" s="19" t="n">
        <f aca="false" t="array" ref="M619:M619">IF(AND(INDEX(Profils!$G$5:$G$34,$AE619)&gt;0,INDEX(Profils!$V$5:$V$34,$AE619)&lt;=$AH619),ROUND(INDEX(Profils!$G$5:$G$34,$AE619)*Paramètres!$E$23*$AG619*$AJ619,Paramètres!$F$23),0)</f>
        <v>0</v>
      </c>
      <c r="N619" s="19" t="n">
        <f aca="false" t="array" ref="N619:N619">IF(AND(INDEX(Profils!$H$5:$H$34,$AE619)&gt;0,INDEX(Profils!$W$5:$W$34,$AE619)&lt;=$AH619),ROUND(INDEX(Profils!$H$5:$H$34,$AE619)*Paramètres!$E$24*$AG619*$AJ619,Paramètres!$F$24),0)</f>
        <v>0</v>
      </c>
      <c r="O619" s="19" t="n">
        <f aca="false" t="array" ref="O619:O619">IF(AND(INDEX(Profils!$I$5:$I$34,$AE619)&gt;0,INDEX(Profils!$X$5:$X$34,$AE619)&lt;=$AH619),ROUND(INDEX(Profils!$I$5:$I$34,$AE619)*Paramètres!$E$25*$AG619*$AJ619,Paramètres!$F$25),0)</f>
        <v>15</v>
      </c>
      <c r="P619" s="19" t="n">
        <f aca="false" t="array" ref="P619:P619">IF(AND(INDEX(Profils!$J$5:$J$34,$AE619)&gt;0,INDEX(Profils!$Y$5:$Y$34,$AE619)&lt;=$AH619),ROUND(INDEX(Profils!$J$5:$J$34,$AE619)*Paramètres!$E$26*$AG619*$AJ619,Paramètres!$F$26),0)</f>
        <v>0</v>
      </c>
      <c r="Q619" s="19" t="n">
        <f aca="false" t="array" ref="Q619:Q619">IF(AND(INDEX(Profils!$K$5:$K$34,$AE619)&gt;0,INDEX(Profils!$Z$5:$Z$34,$AE619)&lt;=$AH619),ROUND(INDEX(Profils!$K$5:$K$34,$AE619)*Paramètres!$E$27*$AG619*$AJ619,Paramètres!$F$27),0)</f>
        <v>0</v>
      </c>
      <c r="R619" s="20" t="n">
        <f aca="false" t="array" ref="R619:R619">IF(AND(INDEX(Profils!$L$5:$L$34,$AE619)&gt;0,INDEX(Profils!$AA$5:$AA$34,$AE619)&lt;=$AH619),ROUND(INDEX(Profils!$L$5:$L$34,$AE619)*Paramètres!$E$28*$AG619*$AJ619,Paramètres!$F$28),0)</f>
        <v>0</v>
      </c>
      <c r="S619" s="20" t="n">
        <f aca="false" t="array" ref="S619:S619">IF(AND(INDEX(Profils!$M$5:$M$34,$AE619)&gt;0,INDEX(Profils!$AB$5:$AB$34,$AE619)&lt;=$AH619),ROUND(INDEX(Profils!$M$5:$M$34,$AE619)*Paramètres!$E$29*$AG619*$AJ619,Paramètres!$F$29),0)</f>
        <v>0</v>
      </c>
      <c r="T619" s="20" t="n">
        <f aca="false" t="array" ref="T619:T619">IF(AND(INDEX(Profils!$N$5:$N$34,$AE619)&gt;0,INDEX(Profils!$AC$5:$AC$34,$AE619)&lt;=$AH619),ROUND(INDEX(Profils!$N$5:$N$34,$AE619)*Paramètres!$E$30*$AG619*$AJ619,Paramètres!$F$30),0)</f>
        <v>0</v>
      </c>
      <c r="U619" s="19" t="n">
        <f aca="false" t="array" ref="U619:U619">IF(AND(INDEX(Profils!$O$5:$O$34,$AE619)&gt;0,INDEX(Profils!$AD$5:$AD$34,$AE619)&lt;=$AH619),ROUND(INDEX(Profils!$O$5:$O$34,$AE619)*Paramètres!$E$31*$AG619*$AJ619,Paramètres!$F$31),0)</f>
        <v>0</v>
      </c>
      <c r="V619" s="20" t="n">
        <f aca="false" t="array" ref="V619:V619">IF(AND(INDEX(Profils!$P$5:$P$34,$AE619)&gt;0,INDEX(Profils!$AE$5:$AE$34,$AE619)&lt;=$AH619),ROUND(INDEX(Profils!$P$5:$P$34,$AE619)*Paramètres!$E$32*$AG619*$AJ619,Paramètres!$F$32),0)</f>
        <v>0</v>
      </c>
      <c r="W619" s="20" t="n">
        <f aca="false" t="array" ref="W619:W619">IF(AND(INDEX(Profils!$Q$5:$Q$34,$AE619)&gt;0,INDEX(Profils!$AF$5:$AF$34,$AE619)&lt;=$AH619),ROUND(INDEX(Profils!$Q$5:$Q$34,$AE619)*Paramètres!$E$33*$AG619*$AJ619,Paramètres!$F$33),0)</f>
        <v>0</v>
      </c>
      <c r="X619" s="20" t="n">
        <f aca="false" t="array" ref="X619:X619">IF(AND(INDEX(Profils!$R$5:$R$34,$AE619)&gt;0,INDEX(Profils!$AG$5:$AG$34,$AE619)&lt;=$AH619),ROUND(INDEX(Profils!$R$5:$R$34,$AE619)*Paramètres!$E$34*$AG619*$AJ619,Paramètres!$F$34),0)</f>
        <v>0.021</v>
      </c>
      <c r="Y619" s="20" t="n">
        <f aca="false" t="array" ref="Y619:Y619">IF(AND(INDEX(Profils!$S$5:$S$34,$AE619)&gt;0,INDEX(Profils!$AH$5:$AH$34,$AE619)&lt;=$AH619),ROUND(INDEX(Profils!$S$5:$S$34,$AE619)*Paramètres!$E$35*$AG619*$AJ619,Paramètres!$F$35),0)</f>
        <v>0</v>
      </c>
      <c r="Z619" s="21" t="n">
        <f aca="false">ROUND(L619/Paramètres!$E$22+M619/Paramètres!$E$23+N619/Paramètres!$E$24+O619/Paramètres!$E$25+P619/Paramètres!$E$26+Q619/Paramètres!$E$27+R619/Paramètres!$E$28+S619/Paramètres!$E$29+T619/Paramètres!$E$30+U619/Paramètres!$E$31+V619/Paramètres!$E$32+W619/Paramètres!$E$33+X619/Paramètres!$E$34+Y619/Paramètres!$E$35,1)</f>
        <v>2.1</v>
      </c>
      <c r="AA619" s="22" t="s">
        <v>109</v>
      </c>
      <c r="AB619" s="22" t="s">
        <v>109</v>
      </c>
      <c r="AC619" s="15" t="str">
        <f aca="false">$E619</f>
        <v>diamant</v>
      </c>
      <c r="AD619" s="16" t="n">
        <f aca="false" t="array" ref="AD619:AD619">IF($I619&gt;=$AI619,"Max",ROUND(Paramètres!$B$40*($I619+1)^Paramètres!$B$41*INDEX(Paramètres!$H$6:$H$12,$AF619),0))</f>
        <v>3</v>
      </c>
      <c r="AE619" s="23" t="n">
        <f aca="false">MATCH($B619&amp;"|"&amp;$C619,Profils!$A$5:$A$34,0)</f>
        <v>20</v>
      </c>
      <c r="AF619" s="23" t="n">
        <v>1</v>
      </c>
      <c r="AG619" s="24" t="n">
        <f aca="false" t="array" ref="AG619:AG619">INDEX(Paramètres!$C$6:$C$12,$AF619)</f>
        <v>1</v>
      </c>
      <c r="AH619" s="23" t="n">
        <f aca="false" t="array" ref="AH619:AH619">INDEX(Paramètres!$D$6:$D$12,$AF619)</f>
        <v>2</v>
      </c>
      <c r="AI619" s="23" t="n">
        <f aca="false" t="array" ref="AI619:AI619">INDEX(Matériaux!$C$16:$C$20,$D619)</f>
        <v>30</v>
      </c>
      <c r="AJ619" s="25" t="n">
        <f aca="false">Paramètres!$B$16+(1-Paramètres!$B$16)*(($J619-Paramètres!$B$14)/(Paramètres!$B$15-Paramètres!$B$14))^Paramètres!$B$17</f>
        <v>0.665999387952727</v>
      </c>
    </row>
    <row r="620" customFormat="false" ht="15.75" hidden="false" customHeight="true" outlineLevel="0" collapsed="false">
      <c r="A620" s="14" t="s">
        <v>736</v>
      </c>
      <c r="B620" s="15" t="s">
        <v>29</v>
      </c>
      <c r="C620" s="15" t="s">
        <v>401</v>
      </c>
      <c r="D620" s="16" t="n">
        <v>5</v>
      </c>
      <c r="E620" s="15" t="str">
        <f aca="false" t="array" ref="E620:E620">INDEX(Matériaux!$B$5:$F$12,MATCH(INDEX(Profils!$E$5:$E$34,$AE620),Matériaux!$A$5:$A$12,0),$D620)</f>
        <v>diamant</v>
      </c>
      <c r="F620" s="26" t="s">
        <v>111</v>
      </c>
      <c r="G620" s="10" t="str">
        <f aca="false" t="array" ref="G620:G620">INDEX(Profils!$D$5:$D$34,$AE620)&amp;" en "&amp;$E620</f>
        <v>Orbe en diamant</v>
      </c>
      <c r="H620" s="16" t="n">
        <f aca="false" t="array" ref="H620:H620">INDEX(Matériaux!$B$16:$B$20,$D620)</f>
        <v>70</v>
      </c>
      <c r="I620" s="16" t="n">
        <f aca="false">IF(ISNUMBER($C$3),MIN(MAX(0,ROUND($C$3,0)),$AI620),$AI620)</f>
        <v>0</v>
      </c>
      <c r="J620" s="18" t="n">
        <f aca="false">$H620+$I620</f>
        <v>70</v>
      </c>
      <c r="K620" s="15" t="s">
        <v>109</v>
      </c>
      <c r="L620" s="19" t="n">
        <f aca="false" t="array" ref="L620:L620">IF(AND(INDEX(Profils!$F$5:$F$34,$AE620)&gt;0,INDEX(Profils!$U$5:$U$34,$AE620)&lt;=$AH620),ROUND(INDEX(Profils!$F$5:$F$34,$AE620)*Paramètres!$E$22*$AG620*$AJ620,Paramètres!$F$22),0)</f>
        <v>0</v>
      </c>
      <c r="M620" s="19" t="n">
        <f aca="false" t="array" ref="M620:M620">IF(AND(INDEX(Profils!$G$5:$G$34,$AE620)&gt;0,INDEX(Profils!$V$5:$V$34,$AE620)&lt;=$AH620),ROUND(INDEX(Profils!$G$5:$G$34,$AE620)*Paramètres!$E$23*$AG620*$AJ620,Paramètres!$F$23),0)</f>
        <v>0</v>
      </c>
      <c r="N620" s="19" t="n">
        <f aca="false" t="array" ref="N620:N620">IF(AND(INDEX(Profils!$H$5:$H$34,$AE620)&gt;0,INDEX(Profils!$W$5:$W$34,$AE620)&lt;=$AH620),ROUND(INDEX(Profils!$H$5:$H$34,$AE620)*Paramètres!$E$24*$AG620*$AJ620,Paramètres!$F$24),0)</f>
        <v>0</v>
      </c>
      <c r="O620" s="19" t="n">
        <f aca="false" t="array" ref="O620:O620">IF(AND(INDEX(Profils!$I$5:$I$34,$AE620)&gt;0,INDEX(Profils!$X$5:$X$34,$AE620)&lt;=$AH620),ROUND(INDEX(Profils!$I$5:$I$34,$AE620)*Paramètres!$E$25*$AG620*$AJ620,Paramètres!$F$25),0)</f>
        <v>18</v>
      </c>
      <c r="P620" s="19" t="n">
        <f aca="false" t="array" ref="P620:P620">IF(AND(INDEX(Profils!$J$5:$J$34,$AE620)&gt;0,INDEX(Profils!$Y$5:$Y$34,$AE620)&lt;=$AH620),ROUND(INDEX(Profils!$J$5:$J$34,$AE620)*Paramètres!$E$26*$AG620*$AJ620,Paramètres!$F$26),0)</f>
        <v>0</v>
      </c>
      <c r="Q620" s="19" t="n">
        <f aca="false" t="array" ref="Q620:Q620">IF(AND(INDEX(Profils!$K$5:$K$34,$AE620)&gt;0,INDEX(Profils!$Z$5:$Z$34,$AE620)&lt;=$AH620),ROUND(INDEX(Profils!$K$5:$K$34,$AE620)*Paramètres!$E$27*$AG620*$AJ620,Paramètres!$F$27),0)</f>
        <v>0</v>
      </c>
      <c r="R620" s="20" t="n">
        <f aca="false" t="array" ref="R620:R620">IF(AND(INDEX(Profils!$L$5:$L$34,$AE620)&gt;0,INDEX(Profils!$AA$5:$AA$34,$AE620)&lt;=$AH620),ROUND(INDEX(Profils!$L$5:$L$34,$AE620)*Paramètres!$E$28*$AG620*$AJ620,Paramètres!$F$28),0)</f>
        <v>0</v>
      </c>
      <c r="S620" s="20" t="n">
        <f aca="false" t="array" ref="S620:S620">IF(AND(INDEX(Profils!$M$5:$M$34,$AE620)&gt;0,INDEX(Profils!$AB$5:$AB$34,$AE620)&lt;=$AH620),ROUND(INDEX(Profils!$M$5:$M$34,$AE620)*Paramètres!$E$29*$AG620*$AJ620,Paramètres!$F$29),0)</f>
        <v>0</v>
      </c>
      <c r="T620" s="20" t="n">
        <f aca="false" t="array" ref="T620:T620">IF(AND(INDEX(Profils!$N$5:$N$34,$AE620)&gt;0,INDEX(Profils!$AC$5:$AC$34,$AE620)&lt;=$AH620),ROUND(INDEX(Profils!$N$5:$N$34,$AE620)*Paramètres!$E$30*$AG620*$AJ620,Paramètres!$F$30),0)</f>
        <v>0</v>
      </c>
      <c r="U620" s="19" t="n">
        <f aca="false" t="array" ref="U620:U620">IF(AND(INDEX(Profils!$O$5:$O$34,$AE620)&gt;0,INDEX(Profils!$AD$5:$AD$34,$AE620)&lt;=$AH620),ROUND(INDEX(Profils!$O$5:$O$34,$AE620)*Paramètres!$E$31*$AG620*$AJ620,Paramètres!$F$31),0)</f>
        <v>0</v>
      </c>
      <c r="V620" s="20" t="n">
        <f aca="false" t="array" ref="V620:V620">IF(AND(INDEX(Profils!$P$5:$P$34,$AE620)&gt;0,INDEX(Profils!$AE$5:$AE$34,$AE620)&lt;=$AH620),ROUND(INDEX(Profils!$P$5:$P$34,$AE620)*Paramètres!$E$32*$AG620*$AJ620,Paramètres!$F$32),0)</f>
        <v>0</v>
      </c>
      <c r="W620" s="20" t="n">
        <f aca="false" t="array" ref="W620:W620">IF(AND(INDEX(Profils!$Q$5:$Q$34,$AE620)&gt;0,INDEX(Profils!$AF$5:$AF$34,$AE620)&lt;=$AH620),ROUND(INDEX(Profils!$Q$5:$Q$34,$AE620)*Paramètres!$E$33*$AG620*$AJ620,Paramètres!$F$33),0)</f>
        <v>0.017</v>
      </c>
      <c r="X620" s="20" t="n">
        <f aca="false" t="array" ref="X620:X620">IF(AND(INDEX(Profils!$R$5:$R$34,$AE620)&gt;0,INDEX(Profils!$AG$5:$AG$34,$AE620)&lt;=$AH620),ROUND(INDEX(Profils!$R$5:$R$34,$AE620)*Paramètres!$E$34*$AG620*$AJ620,Paramètres!$F$34),0)</f>
        <v>0.026</v>
      </c>
      <c r="Y620" s="20" t="n">
        <f aca="false" t="array" ref="Y620:Y620">IF(AND(INDEX(Profils!$S$5:$S$34,$AE620)&gt;0,INDEX(Profils!$AH$5:$AH$34,$AE620)&lt;=$AH620),ROUND(INDEX(Profils!$S$5:$S$34,$AE620)*Paramètres!$E$35*$AG620*$AJ620,Paramètres!$F$35),0)</f>
        <v>0</v>
      </c>
      <c r="Z620" s="21" t="n">
        <f aca="false">ROUND(L620/Paramètres!$E$22+M620/Paramètres!$E$23+N620/Paramètres!$E$24+O620/Paramètres!$E$25+P620/Paramètres!$E$26+Q620/Paramètres!$E$27+R620/Paramètres!$E$28+S620/Paramètres!$E$29+T620/Paramètres!$E$30+U620/Paramètres!$E$31+V620/Paramètres!$E$32+W620/Paramètres!$E$33+X620/Paramètres!$E$34+Y620/Paramètres!$E$35,1)</f>
        <v>3.6</v>
      </c>
      <c r="AA620" s="22" t="s">
        <v>109</v>
      </c>
      <c r="AB620" s="22" t="s">
        <v>109</v>
      </c>
      <c r="AC620" s="15" t="str">
        <f aca="false">$E620</f>
        <v>diamant</v>
      </c>
      <c r="AD620" s="16" t="n">
        <f aca="false" t="array" ref="AD620:AD620">IF($I620&gt;=$AI620,"Max",ROUND(Paramètres!$B$40*($I620+1)^Paramètres!$B$41*INDEX(Paramètres!$H$6:$H$12,$AF620),0))</f>
        <v>4</v>
      </c>
      <c r="AE620" s="23" t="n">
        <f aca="false">MATCH($B620&amp;"|"&amp;$C620,Profils!$A$5:$A$34,0)</f>
        <v>20</v>
      </c>
      <c r="AF620" s="23" t="n">
        <v>2</v>
      </c>
      <c r="AG620" s="24" t="n">
        <f aca="false" t="array" ref="AG620:AG620">INDEX(Paramètres!$C$6:$C$12,$AF620)</f>
        <v>1.2</v>
      </c>
      <c r="AH620" s="23" t="n">
        <f aca="false" t="array" ref="AH620:AH620">INDEX(Paramètres!$D$6:$D$12,$AF620)</f>
        <v>3</v>
      </c>
      <c r="AI620" s="23" t="n">
        <f aca="false" t="array" ref="AI620:AI620">INDEX(Matériaux!$C$16:$C$20,$D620)</f>
        <v>30</v>
      </c>
      <c r="AJ620" s="25" t="n">
        <f aca="false">Paramètres!$B$16+(1-Paramètres!$B$16)*(($J620-Paramètres!$B$14)/(Paramètres!$B$15-Paramètres!$B$14))^Paramètres!$B$17</f>
        <v>0.665999387952727</v>
      </c>
    </row>
    <row r="621" customFormat="false" ht="15.75" hidden="false" customHeight="true" outlineLevel="0" collapsed="false">
      <c r="A621" s="14" t="s">
        <v>737</v>
      </c>
      <c r="B621" s="15" t="s">
        <v>29</v>
      </c>
      <c r="C621" s="15" t="s">
        <v>401</v>
      </c>
      <c r="D621" s="16" t="n">
        <v>5</v>
      </c>
      <c r="E621" s="15" t="str">
        <f aca="false" t="array" ref="E621:E621">INDEX(Matériaux!$B$5:$F$12,MATCH(INDEX(Profils!$E$5:$E$34,$AE621),Matériaux!$A$5:$A$12,0),$D621)</f>
        <v>diamant</v>
      </c>
      <c r="F621" s="27" t="s">
        <v>113</v>
      </c>
      <c r="G621" s="10" t="str">
        <f aca="false" t="array" ref="G621:G621">INDEX(Profils!$D$5:$D$34,$AE621)&amp;" en "&amp;$E621</f>
        <v>Orbe en diamant</v>
      </c>
      <c r="H621" s="16" t="n">
        <f aca="false" t="array" ref="H621:H621">INDEX(Matériaux!$B$16:$B$20,$D621)</f>
        <v>70</v>
      </c>
      <c r="I621" s="16" t="n">
        <f aca="false">IF(ISNUMBER($C$3),MIN(MAX(0,ROUND($C$3,0)),$AI621),$AI621)</f>
        <v>0</v>
      </c>
      <c r="J621" s="18" t="n">
        <f aca="false">$H621+$I621</f>
        <v>70</v>
      </c>
      <c r="K621" s="15" t="s">
        <v>109</v>
      </c>
      <c r="L621" s="19" t="n">
        <f aca="false" t="array" ref="L621:L621">IF(AND(INDEX(Profils!$F$5:$F$34,$AE621)&gt;0,INDEX(Profils!$U$5:$U$34,$AE621)&lt;=$AH621),ROUND(INDEX(Profils!$F$5:$F$34,$AE621)*Paramètres!$E$22*$AG621*$AJ621,Paramètres!$F$22),0)</f>
        <v>24</v>
      </c>
      <c r="M621" s="19" t="n">
        <f aca="false" t="array" ref="M621:M621">IF(AND(INDEX(Profils!$G$5:$G$34,$AE621)&gt;0,INDEX(Profils!$V$5:$V$34,$AE621)&lt;=$AH621),ROUND(INDEX(Profils!$G$5:$G$34,$AE621)*Paramètres!$E$23*$AG621*$AJ621,Paramètres!$F$23),0)</f>
        <v>0</v>
      </c>
      <c r="N621" s="19" t="n">
        <f aca="false" t="array" ref="N621:N621">IF(AND(INDEX(Profils!$H$5:$H$34,$AE621)&gt;0,INDEX(Profils!$W$5:$W$34,$AE621)&lt;=$AH621),ROUND(INDEX(Profils!$H$5:$H$34,$AE621)*Paramètres!$E$24*$AG621*$AJ621,Paramètres!$F$24),0)</f>
        <v>0</v>
      </c>
      <c r="O621" s="19" t="n">
        <f aca="false" t="array" ref="O621:O621">IF(AND(INDEX(Profils!$I$5:$I$34,$AE621)&gt;0,INDEX(Profils!$X$5:$X$34,$AE621)&lt;=$AH621),ROUND(INDEX(Profils!$I$5:$I$34,$AE621)*Paramètres!$E$25*$AG621*$AJ621,Paramètres!$F$25),0)</f>
        <v>22</v>
      </c>
      <c r="P621" s="19" t="n">
        <f aca="false" t="array" ref="P621:P621">IF(AND(INDEX(Profils!$J$5:$J$34,$AE621)&gt;0,INDEX(Profils!$Y$5:$Y$34,$AE621)&lt;=$AH621),ROUND(INDEX(Profils!$J$5:$J$34,$AE621)*Paramètres!$E$26*$AG621*$AJ621,Paramètres!$F$26),0)</f>
        <v>0</v>
      </c>
      <c r="Q621" s="19" t="n">
        <f aca="false" t="array" ref="Q621:Q621">IF(AND(INDEX(Profils!$K$5:$K$34,$AE621)&gt;0,INDEX(Profils!$Z$5:$Z$34,$AE621)&lt;=$AH621),ROUND(INDEX(Profils!$K$5:$K$34,$AE621)*Paramètres!$E$27*$AG621*$AJ621,Paramètres!$F$27),0)</f>
        <v>0</v>
      </c>
      <c r="R621" s="20" t="n">
        <f aca="false" t="array" ref="R621:R621">IF(AND(INDEX(Profils!$L$5:$L$34,$AE621)&gt;0,INDEX(Profils!$AA$5:$AA$34,$AE621)&lt;=$AH621),ROUND(INDEX(Profils!$L$5:$L$34,$AE621)*Paramètres!$E$28*$AG621*$AJ621,Paramètres!$F$28),0)</f>
        <v>0</v>
      </c>
      <c r="S621" s="20" t="n">
        <f aca="false" t="array" ref="S621:S621">IF(AND(INDEX(Profils!$M$5:$M$34,$AE621)&gt;0,INDEX(Profils!$AB$5:$AB$34,$AE621)&lt;=$AH621),ROUND(INDEX(Profils!$M$5:$M$34,$AE621)*Paramètres!$E$29*$AG621*$AJ621,Paramètres!$F$29),0)</f>
        <v>0</v>
      </c>
      <c r="T621" s="20" t="n">
        <f aca="false" t="array" ref="T621:T621">IF(AND(INDEX(Profils!$N$5:$N$34,$AE621)&gt;0,INDEX(Profils!$AC$5:$AC$34,$AE621)&lt;=$AH621),ROUND(INDEX(Profils!$N$5:$N$34,$AE621)*Paramètres!$E$30*$AG621*$AJ621,Paramètres!$F$30),0)</f>
        <v>0</v>
      </c>
      <c r="U621" s="19" t="n">
        <f aca="false" t="array" ref="U621:U621">IF(AND(INDEX(Profils!$O$5:$O$34,$AE621)&gt;0,INDEX(Profils!$AD$5:$AD$34,$AE621)&lt;=$AH621),ROUND(INDEX(Profils!$O$5:$O$34,$AE621)*Paramètres!$E$31*$AG621*$AJ621,Paramètres!$F$31),0)</f>
        <v>0</v>
      </c>
      <c r="V621" s="20" t="n">
        <f aca="false" t="array" ref="V621:V621">IF(AND(INDEX(Profils!$P$5:$P$34,$AE621)&gt;0,INDEX(Profils!$AE$5:$AE$34,$AE621)&lt;=$AH621),ROUND(INDEX(Profils!$P$5:$P$34,$AE621)*Paramètres!$E$32*$AG621*$AJ621,Paramètres!$F$32),0)</f>
        <v>0</v>
      </c>
      <c r="W621" s="20" t="n">
        <f aca="false" t="array" ref="W621:W621">IF(AND(INDEX(Profils!$Q$5:$Q$34,$AE621)&gt;0,INDEX(Profils!$AF$5:$AF$34,$AE621)&lt;=$AH621),ROUND(INDEX(Profils!$Q$5:$Q$34,$AE621)*Paramètres!$E$33*$AG621*$AJ621,Paramètres!$F$33),0)</f>
        <v>0.02</v>
      </c>
      <c r="X621" s="20" t="n">
        <f aca="false" t="array" ref="X621:X621">IF(AND(INDEX(Profils!$R$5:$R$34,$AE621)&gt;0,INDEX(Profils!$AG$5:$AG$34,$AE621)&lt;=$AH621),ROUND(INDEX(Profils!$R$5:$R$34,$AE621)*Paramètres!$E$34*$AG621*$AJ621,Paramètres!$F$34),0)</f>
        <v>0.031</v>
      </c>
      <c r="Y621" s="20" t="n">
        <f aca="false" t="array" ref="Y621:Y621">IF(AND(INDEX(Profils!$S$5:$S$34,$AE621)&gt;0,INDEX(Profils!$AH$5:$AH$34,$AE621)&lt;=$AH621),ROUND(INDEX(Profils!$S$5:$S$34,$AE621)*Paramètres!$E$35*$AG621*$AJ621,Paramètres!$F$35),0)</f>
        <v>0</v>
      </c>
      <c r="Z621" s="21" t="n">
        <f aca="false">ROUND(L621/Paramètres!$E$22+M621/Paramètres!$E$23+N621/Paramètres!$E$24+O621/Paramètres!$E$25+P621/Paramètres!$E$26+Q621/Paramètres!$E$27+R621/Paramètres!$E$28+S621/Paramètres!$E$29+T621/Paramètres!$E$30+U621/Paramètres!$E$31+V621/Paramètres!$E$32+W621/Paramètres!$E$33+X621/Paramètres!$E$34+Y621/Paramètres!$E$35,1)</f>
        <v>5.3</v>
      </c>
      <c r="AA621" s="22" t="s">
        <v>109</v>
      </c>
      <c r="AB621" s="22" t="s">
        <v>109</v>
      </c>
      <c r="AC621" s="15" t="str">
        <f aca="false">$E621</f>
        <v>diamant</v>
      </c>
      <c r="AD621" s="16" t="n">
        <f aca="false" t="array" ref="AD621:AD621">IF($I621&gt;=$AI621,"Max",ROUND(Paramètres!$B$40*($I621+1)^Paramètres!$B$41*INDEX(Paramètres!$H$6:$H$12,$AF621),0))</f>
        <v>4</v>
      </c>
      <c r="AE621" s="23" t="n">
        <f aca="false">MATCH($B621&amp;"|"&amp;$C621,Profils!$A$5:$A$34,0)</f>
        <v>20</v>
      </c>
      <c r="AF621" s="23" t="n">
        <v>3</v>
      </c>
      <c r="AG621" s="24" t="n">
        <f aca="false" t="array" ref="AG621:AG621">INDEX(Paramètres!$C$6:$C$12,$AF621)</f>
        <v>1.45</v>
      </c>
      <c r="AH621" s="23" t="n">
        <f aca="false" t="array" ref="AH621:AH621">INDEX(Paramètres!$D$6:$D$12,$AF621)</f>
        <v>4</v>
      </c>
      <c r="AI621" s="23" t="n">
        <f aca="false" t="array" ref="AI621:AI621">INDEX(Matériaux!$C$16:$C$20,$D621)</f>
        <v>30</v>
      </c>
      <c r="AJ621" s="25" t="n">
        <f aca="false">Paramètres!$B$16+(1-Paramètres!$B$16)*(($J621-Paramètres!$B$14)/(Paramètres!$B$15-Paramètres!$B$14))^Paramètres!$B$17</f>
        <v>0.665999387952727</v>
      </c>
    </row>
    <row r="622" customFormat="false" ht="15.75" hidden="false" customHeight="true" outlineLevel="0" collapsed="false">
      <c r="A622" s="14" t="s">
        <v>738</v>
      </c>
      <c r="B622" s="15" t="s">
        <v>29</v>
      </c>
      <c r="C622" s="15" t="s">
        <v>401</v>
      </c>
      <c r="D622" s="16" t="n">
        <v>5</v>
      </c>
      <c r="E622" s="15" t="str">
        <f aca="false" t="array" ref="E622:E622">INDEX(Matériaux!$B$5:$F$12,MATCH(INDEX(Profils!$E$5:$E$34,$AE622),Matériaux!$A$5:$A$12,0),$D622)</f>
        <v>diamant</v>
      </c>
      <c r="F622" s="28" t="s">
        <v>115</v>
      </c>
      <c r="G622" s="10" t="str">
        <f aca="false" t="array" ref="G622:G622">INDEX(Profils!$D$5:$D$34,$AE622)&amp;" en "&amp;$E622</f>
        <v>Orbe en diamant</v>
      </c>
      <c r="H622" s="16" t="n">
        <f aca="false" t="array" ref="H622:H622">INDEX(Matériaux!$B$16:$B$20,$D622)</f>
        <v>70</v>
      </c>
      <c r="I622" s="16" t="n">
        <f aca="false">IF(ISNUMBER($C$3),MIN(MAX(0,ROUND($C$3,0)),$AI622),$AI622)</f>
        <v>0</v>
      </c>
      <c r="J622" s="18" t="n">
        <f aca="false">$H622+$I622</f>
        <v>70</v>
      </c>
      <c r="K622" s="15" t="s">
        <v>109</v>
      </c>
      <c r="L622" s="19" t="n">
        <f aca="false" t="array" ref="L622:L622">IF(AND(INDEX(Profils!$F$5:$F$34,$AE622)&gt;0,INDEX(Profils!$U$5:$U$34,$AE622)&lt;=$AH622),ROUND(INDEX(Profils!$F$5:$F$34,$AE622)*Paramètres!$E$22*$AG622*$AJ622,Paramètres!$F$22),0)</f>
        <v>29</v>
      </c>
      <c r="M622" s="19" t="n">
        <f aca="false" t="array" ref="M622:M622">IF(AND(INDEX(Profils!$G$5:$G$34,$AE622)&gt;0,INDEX(Profils!$V$5:$V$34,$AE622)&lt;=$AH622),ROUND(INDEX(Profils!$G$5:$G$34,$AE622)*Paramètres!$E$23*$AG622*$AJ622,Paramètres!$F$23),0)</f>
        <v>0</v>
      </c>
      <c r="N622" s="19" t="n">
        <f aca="false" t="array" ref="N622:N622">IF(AND(INDEX(Profils!$H$5:$H$34,$AE622)&gt;0,INDEX(Profils!$W$5:$W$34,$AE622)&lt;=$AH622),ROUND(INDEX(Profils!$H$5:$H$34,$AE622)*Paramètres!$E$24*$AG622*$AJ622,Paramètres!$F$24),0)</f>
        <v>0</v>
      </c>
      <c r="O622" s="19" t="n">
        <f aca="false" t="array" ref="O622:O622">IF(AND(INDEX(Profils!$I$5:$I$34,$AE622)&gt;0,INDEX(Profils!$X$5:$X$34,$AE622)&lt;=$AH622),ROUND(INDEX(Profils!$I$5:$I$34,$AE622)*Paramètres!$E$25*$AG622*$AJ622,Paramètres!$F$25),0)</f>
        <v>26</v>
      </c>
      <c r="P622" s="19" t="n">
        <f aca="false" t="array" ref="P622:P622">IF(AND(INDEX(Profils!$J$5:$J$34,$AE622)&gt;0,INDEX(Profils!$Y$5:$Y$34,$AE622)&lt;=$AH622),ROUND(INDEX(Profils!$J$5:$J$34,$AE622)*Paramètres!$E$26*$AG622*$AJ622,Paramètres!$F$26),0)</f>
        <v>0</v>
      </c>
      <c r="Q622" s="19" t="n">
        <f aca="false" t="array" ref="Q622:Q622">IF(AND(INDEX(Profils!$K$5:$K$34,$AE622)&gt;0,INDEX(Profils!$Z$5:$Z$34,$AE622)&lt;=$AH622),ROUND(INDEX(Profils!$K$5:$K$34,$AE622)*Paramètres!$E$27*$AG622*$AJ622,Paramètres!$F$27),0)</f>
        <v>0</v>
      </c>
      <c r="R622" s="20" t="n">
        <f aca="false" t="array" ref="R622:R622">IF(AND(INDEX(Profils!$L$5:$L$34,$AE622)&gt;0,INDEX(Profils!$AA$5:$AA$34,$AE622)&lt;=$AH622),ROUND(INDEX(Profils!$L$5:$L$34,$AE622)*Paramètres!$E$28*$AG622*$AJ622,Paramètres!$F$28),0)</f>
        <v>0</v>
      </c>
      <c r="S622" s="20" t="n">
        <f aca="false" t="array" ref="S622:S622">IF(AND(INDEX(Profils!$M$5:$M$34,$AE622)&gt;0,INDEX(Profils!$AB$5:$AB$34,$AE622)&lt;=$AH622),ROUND(INDEX(Profils!$M$5:$M$34,$AE622)*Paramètres!$E$29*$AG622*$AJ622,Paramètres!$F$29),0)</f>
        <v>0</v>
      </c>
      <c r="T622" s="20" t="n">
        <f aca="false" t="array" ref="T622:T622">IF(AND(INDEX(Profils!$N$5:$N$34,$AE622)&gt;0,INDEX(Profils!$AC$5:$AC$34,$AE622)&lt;=$AH622),ROUND(INDEX(Profils!$N$5:$N$34,$AE622)*Paramètres!$E$30*$AG622*$AJ622,Paramètres!$F$30),0)</f>
        <v>0</v>
      </c>
      <c r="U622" s="19" t="n">
        <f aca="false" t="array" ref="U622:U622">IF(AND(INDEX(Profils!$O$5:$O$34,$AE622)&gt;0,INDEX(Profils!$AD$5:$AD$34,$AE622)&lt;=$AH622),ROUND(INDEX(Profils!$O$5:$O$34,$AE622)*Paramètres!$E$31*$AG622*$AJ622,Paramètres!$F$31),0)</f>
        <v>0</v>
      </c>
      <c r="V622" s="20" t="n">
        <f aca="false" t="array" ref="V622:V622">IF(AND(INDEX(Profils!$P$5:$P$34,$AE622)&gt;0,INDEX(Profils!$AE$5:$AE$34,$AE622)&lt;=$AH622),ROUND(INDEX(Profils!$P$5:$P$34,$AE622)*Paramètres!$E$32*$AG622*$AJ622,Paramètres!$F$32),0)</f>
        <v>0</v>
      </c>
      <c r="W622" s="20" t="n">
        <f aca="false" t="array" ref="W622:W622">IF(AND(INDEX(Profils!$Q$5:$Q$34,$AE622)&gt;0,INDEX(Profils!$AF$5:$AF$34,$AE622)&lt;=$AH622),ROUND(INDEX(Profils!$Q$5:$Q$34,$AE622)*Paramètres!$E$33*$AG622*$AJ622,Paramètres!$F$33),0)</f>
        <v>0.024</v>
      </c>
      <c r="X622" s="20" t="n">
        <f aca="false" t="array" ref="X622:X622">IF(AND(INDEX(Profils!$R$5:$R$34,$AE622)&gt;0,INDEX(Profils!$AG$5:$AG$34,$AE622)&lt;=$AH622),ROUND(INDEX(Profils!$R$5:$R$34,$AE622)*Paramètres!$E$34*$AG622*$AJ622,Paramètres!$F$34),0)</f>
        <v>0.037</v>
      </c>
      <c r="Y622" s="20" t="n">
        <f aca="false" t="array" ref="Y622:Y622">IF(AND(INDEX(Profils!$S$5:$S$34,$AE622)&gt;0,INDEX(Profils!$AH$5:$AH$34,$AE622)&lt;=$AH622),ROUND(INDEX(Profils!$S$5:$S$34,$AE622)*Paramètres!$E$35*$AG622*$AJ622,Paramètres!$F$35),0)</f>
        <v>0.017</v>
      </c>
      <c r="Z622" s="21" t="n">
        <f aca="false">ROUND(L622/Paramètres!$E$22+M622/Paramètres!$E$23+N622/Paramètres!$E$24+O622/Paramètres!$E$25+P622/Paramètres!$E$26+Q622/Paramètres!$E$27+R622/Paramètres!$E$28+S622/Paramètres!$E$29+T622/Paramètres!$E$30+U622/Paramètres!$E$31+V622/Paramètres!$E$32+W622/Paramètres!$E$33+X622/Paramètres!$E$34+Y622/Paramètres!$E$35,1)</f>
        <v>7.5</v>
      </c>
      <c r="AA622" s="22" t="s">
        <v>109</v>
      </c>
      <c r="AB622" s="22" t="s">
        <v>109</v>
      </c>
      <c r="AC622" s="15" t="str">
        <f aca="false">$E622</f>
        <v>diamant</v>
      </c>
      <c r="AD622" s="16" t="n">
        <f aca="false" t="array" ref="AD622:AD622">IF($I622&gt;=$AI622,"Max",ROUND(Paramètres!$B$40*($I622+1)^Paramètres!$B$41*INDEX(Paramètres!$H$6:$H$12,$AF622),0))</f>
        <v>5</v>
      </c>
      <c r="AE622" s="23" t="n">
        <f aca="false">MATCH($B622&amp;"|"&amp;$C622,Profils!$A$5:$A$34,0)</f>
        <v>20</v>
      </c>
      <c r="AF622" s="23" t="n">
        <v>4</v>
      </c>
      <c r="AG622" s="24" t="n">
        <f aca="false" t="array" ref="AG622:AG622">INDEX(Paramètres!$C$6:$C$12,$AF622)</f>
        <v>1.75</v>
      </c>
      <c r="AH622" s="23" t="n">
        <f aca="false" t="array" ref="AH622:AH622">INDEX(Paramètres!$D$6:$D$12,$AF622)</f>
        <v>5</v>
      </c>
      <c r="AI622" s="23" t="n">
        <f aca="false" t="array" ref="AI622:AI622">INDEX(Matériaux!$C$16:$C$20,$D622)</f>
        <v>30</v>
      </c>
      <c r="AJ622" s="25" t="n">
        <f aca="false">Paramètres!$B$16+(1-Paramètres!$B$16)*(($J622-Paramètres!$B$14)/(Paramètres!$B$15-Paramètres!$B$14))^Paramètres!$B$17</f>
        <v>0.665999387952727</v>
      </c>
    </row>
    <row r="623" customFormat="false" ht="15.75" hidden="false" customHeight="true" outlineLevel="0" collapsed="false">
      <c r="A623" s="14" t="s">
        <v>739</v>
      </c>
      <c r="B623" s="15" t="s">
        <v>29</v>
      </c>
      <c r="C623" s="15" t="s">
        <v>401</v>
      </c>
      <c r="D623" s="16" t="n">
        <v>5</v>
      </c>
      <c r="E623" s="15" t="str">
        <f aca="false" t="array" ref="E623:E623">INDEX(Matériaux!$B$5:$F$12,MATCH(INDEX(Profils!$E$5:$E$34,$AE623),Matériaux!$A$5:$A$12,0),$D623)</f>
        <v>diamant</v>
      </c>
      <c r="F623" s="29" t="s">
        <v>117</v>
      </c>
      <c r="G623" s="10" t="str">
        <f aca="false" t="array" ref="G623:G623">INDEX(Profils!$D$5:$D$34,$AE623)&amp;" en "&amp;$E623</f>
        <v>Orbe en diamant</v>
      </c>
      <c r="H623" s="16" t="n">
        <f aca="false" t="array" ref="H623:H623">INDEX(Matériaux!$B$16:$B$20,$D623)</f>
        <v>70</v>
      </c>
      <c r="I623" s="16" t="n">
        <f aca="false">IF(ISNUMBER($C$3),MIN(MAX(0,ROUND($C$3,0)),$AI623),$AI623)</f>
        <v>0</v>
      </c>
      <c r="J623" s="18" t="n">
        <f aca="false">$H623+$I623</f>
        <v>70</v>
      </c>
      <c r="K623" s="15" t="s">
        <v>109</v>
      </c>
      <c r="L623" s="19" t="n">
        <f aca="false" t="array" ref="L623:L623">IF(AND(INDEX(Profils!$F$5:$F$34,$AE623)&gt;0,INDEX(Profils!$U$5:$U$34,$AE623)&lt;=$AH623),ROUND(INDEX(Profils!$F$5:$F$34,$AE623)*Paramètres!$E$22*$AG623*$AJ623,Paramètres!$F$22),0)</f>
        <v>35</v>
      </c>
      <c r="M623" s="19" t="n">
        <f aca="false" t="array" ref="M623:M623">IF(AND(INDEX(Profils!$G$5:$G$34,$AE623)&gt;0,INDEX(Profils!$V$5:$V$34,$AE623)&lt;=$AH623),ROUND(INDEX(Profils!$G$5:$G$34,$AE623)*Paramètres!$E$23*$AG623*$AJ623,Paramètres!$F$23),0)</f>
        <v>0</v>
      </c>
      <c r="N623" s="19" t="n">
        <f aca="false" t="array" ref="N623:N623">IF(AND(INDEX(Profils!$H$5:$H$34,$AE623)&gt;0,INDEX(Profils!$W$5:$W$34,$AE623)&lt;=$AH623),ROUND(INDEX(Profils!$H$5:$H$34,$AE623)*Paramètres!$E$24*$AG623*$AJ623,Paramètres!$F$24),0)</f>
        <v>0</v>
      </c>
      <c r="O623" s="19" t="n">
        <f aca="false" t="array" ref="O623:O623">IF(AND(INDEX(Profils!$I$5:$I$34,$AE623)&gt;0,INDEX(Profils!$X$5:$X$34,$AE623)&lt;=$AH623),ROUND(INDEX(Profils!$I$5:$I$34,$AE623)*Paramètres!$E$25*$AG623*$AJ623,Paramètres!$F$25),0)</f>
        <v>31</v>
      </c>
      <c r="P623" s="19" t="n">
        <f aca="false" t="array" ref="P623:P623">IF(AND(INDEX(Profils!$J$5:$J$34,$AE623)&gt;0,INDEX(Profils!$Y$5:$Y$34,$AE623)&lt;=$AH623),ROUND(INDEX(Profils!$J$5:$J$34,$AE623)*Paramètres!$E$26*$AG623*$AJ623,Paramètres!$F$26),0)</f>
        <v>0</v>
      </c>
      <c r="Q623" s="19" t="n">
        <f aca="false" t="array" ref="Q623:Q623">IF(AND(INDEX(Profils!$K$5:$K$34,$AE623)&gt;0,INDEX(Profils!$Z$5:$Z$34,$AE623)&lt;=$AH623),ROUND(INDEX(Profils!$K$5:$K$34,$AE623)*Paramètres!$E$27*$AG623*$AJ623,Paramètres!$F$27),0)</f>
        <v>0</v>
      </c>
      <c r="R623" s="20" t="n">
        <f aca="false" t="array" ref="R623:R623">IF(AND(INDEX(Profils!$L$5:$L$34,$AE623)&gt;0,INDEX(Profils!$AA$5:$AA$34,$AE623)&lt;=$AH623),ROUND(INDEX(Profils!$L$5:$L$34,$AE623)*Paramètres!$E$28*$AG623*$AJ623,Paramètres!$F$28),0)</f>
        <v>0</v>
      </c>
      <c r="S623" s="20" t="n">
        <f aca="false" t="array" ref="S623:S623">IF(AND(INDEX(Profils!$M$5:$M$34,$AE623)&gt;0,INDEX(Profils!$AB$5:$AB$34,$AE623)&lt;=$AH623),ROUND(INDEX(Profils!$M$5:$M$34,$AE623)*Paramètres!$E$29*$AG623*$AJ623,Paramètres!$F$29),0)</f>
        <v>0</v>
      </c>
      <c r="T623" s="20" t="n">
        <f aca="false" t="array" ref="T623:T623">IF(AND(INDEX(Profils!$N$5:$N$34,$AE623)&gt;0,INDEX(Profils!$AC$5:$AC$34,$AE623)&lt;=$AH623),ROUND(INDEX(Profils!$N$5:$N$34,$AE623)*Paramètres!$E$30*$AG623*$AJ623,Paramètres!$F$30),0)</f>
        <v>0.038</v>
      </c>
      <c r="U623" s="19" t="n">
        <f aca="false" t="array" ref="U623:U623">IF(AND(INDEX(Profils!$O$5:$O$34,$AE623)&gt;0,INDEX(Profils!$AD$5:$AD$34,$AE623)&lt;=$AH623),ROUND(INDEX(Profils!$O$5:$O$34,$AE623)*Paramètres!$E$31*$AG623*$AJ623,Paramètres!$F$31),0)</f>
        <v>0</v>
      </c>
      <c r="V623" s="20" t="n">
        <f aca="false" t="array" ref="V623:V623">IF(AND(INDEX(Profils!$P$5:$P$34,$AE623)&gt;0,INDEX(Profils!$AE$5:$AE$34,$AE623)&lt;=$AH623),ROUND(INDEX(Profils!$P$5:$P$34,$AE623)*Paramètres!$E$32*$AG623*$AJ623,Paramètres!$F$32),0)</f>
        <v>0</v>
      </c>
      <c r="W623" s="20" t="n">
        <f aca="false" t="array" ref="W623:W623">IF(AND(INDEX(Profils!$Q$5:$Q$34,$AE623)&gt;0,INDEX(Profils!$AF$5:$AF$34,$AE623)&lt;=$AH623),ROUND(INDEX(Profils!$Q$5:$Q$34,$AE623)*Paramètres!$E$33*$AG623*$AJ623,Paramètres!$F$33),0)</f>
        <v>0.029</v>
      </c>
      <c r="X623" s="20" t="n">
        <f aca="false" t="array" ref="X623:X623">IF(AND(INDEX(Profils!$R$5:$R$34,$AE623)&gt;0,INDEX(Profils!$AG$5:$AG$34,$AE623)&lt;=$AH623),ROUND(INDEX(Profils!$R$5:$R$34,$AE623)*Paramètres!$E$34*$AG623*$AJ623,Paramètres!$F$34),0)</f>
        <v>0.045</v>
      </c>
      <c r="Y623" s="20" t="n">
        <f aca="false" t="array" ref="Y623:Y623">IF(AND(INDEX(Profils!$S$5:$S$34,$AE623)&gt;0,INDEX(Profils!$AH$5:$AH$34,$AE623)&lt;=$AH623),ROUND(INDEX(Profils!$S$5:$S$34,$AE623)*Paramètres!$E$35*$AG623*$AJ623,Paramètres!$F$35),0)</f>
        <v>0.021</v>
      </c>
      <c r="Z623" s="21" t="n">
        <f aca="false">ROUND(L623/Paramètres!$E$22+M623/Paramètres!$E$23+N623/Paramètres!$E$24+O623/Paramètres!$E$25+P623/Paramètres!$E$26+Q623/Paramètres!$E$27+R623/Paramètres!$E$28+S623/Paramètres!$E$29+T623/Paramètres!$E$30+U623/Paramètres!$E$31+V623/Paramètres!$E$32+W623/Paramètres!$E$33+X623/Paramètres!$E$34+Y623/Paramètres!$E$35,1)</f>
        <v>10.3</v>
      </c>
      <c r="AA623" s="22" t="s">
        <v>109</v>
      </c>
      <c r="AB623" s="22" t="s">
        <v>109</v>
      </c>
      <c r="AC623" s="15" t="str">
        <f aca="false">$E623</f>
        <v>diamant</v>
      </c>
      <c r="AD623" s="16" t="n">
        <f aca="false" t="array" ref="AD623:AD623">IF($I623&gt;=$AI623,"Max",ROUND(Paramètres!$B$40*($I623+1)^Paramètres!$B$41*INDEX(Paramètres!$H$6:$H$12,$AF623),0))</f>
        <v>6</v>
      </c>
      <c r="AE623" s="23" t="n">
        <f aca="false">MATCH($B623&amp;"|"&amp;$C623,Profils!$A$5:$A$34,0)</f>
        <v>20</v>
      </c>
      <c r="AF623" s="23" t="n">
        <v>5</v>
      </c>
      <c r="AG623" s="24" t="n">
        <f aca="false" t="array" ref="AG623:AG623">INDEX(Paramètres!$C$6:$C$12,$AF623)</f>
        <v>2.1</v>
      </c>
      <c r="AH623" s="23" t="n">
        <f aca="false" t="array" ref="AH623:AH623">INDEX(Paramètres!$D$6:$D$12,$AF623)</f>
        <v>6</v>
      </c>
      <c r="AI623" s="23" t="n">
        <f aca="false" t="array" ref="AI623:AI623">INDEX(Matériaux!$C$16:$C$20,$D623)</f>
        <v>30</v>
      </c>
      <c r="AJ623" s="25" t="n">
        <f aca="false">Paramètres!$B$16+(1-Paramètres!$B$16)*(($J623-Paramètres!$B$14)/(Paramètres!$B$15-Paramètres!$B$14))^Paramètres!$B$17</f>
        <v>0.665999387952727</v>
      </c>
    </row>
    <row r="624" customFormat="false" ht="15.75" hidden="false" customHeight="true" outlineLevel="0" collapsed="false">
      <c r="A624" s="14" t="s">
        <v>740</v>
      </c>
      <c r="B624" s="15" t="s">
        <v>29</v>
      </c>
      <c r="C624" s="15" t="s">
        <v>401</v>
      </c>
      <c r="D624" s="16" t="n">
        <v>5</v>
      </c>
      <c r="E624" s="15" t="str">
        <f aca="false" t="array" ref="E624:E624">INDEX(Matériaux!$B$5:$F$12,MATCH(INDEX(Profils!$E$5:$E$34,$AE624),Matériaux!$A$5:$A$12,0),$D624)</f>
        <v>diamant</v>
      </c>
      <c r="F624" s="30" t="s">
        <v>119</v>
      </c>
      <c r="G624" s="10" t="str">
        <f aca="false" t="array" ref="G624:G624">INDEX(Profils!$D$5:$D$34,$AE624)&amp;" en "&amp;$E624</f>
        <v>Orbe en diamant</v>
      </c>
      <c r="H624" s="16" t="n">
        <f aca="false" t="array" ref="H624:H624">INDEX(Matériaux!$B$16:$B$20,$D624)</f>
        <v>70</v>
      </c>
      <c r="I624" s="16" t="n">
        <f aca="false">IF(ISNUMBER($C$3),MIN(MAX(0,ROUND($C$3,0)),$AI624),$AI624)</f>
        <v>0</v>
      </c>
      <c r="J624" s="18" t="n">
        <f aca="false">$H624+$I624</f>
        <v>70</v>
      </c>
      <c r="K624" s="15" t="s">
        <v>109</v>
      </c>
      <c r="L624" s="19" t="n">
        <f aca="false" t="array" ref="L624:L624">IF(AND(INDEX(Profils!$F$5:$F$34,$AE624)&gt;0,INDEX(Profils!$U$5:$U$34,$AE624)&lt;=$AH624),ROUND(INDEX(Profils!$F$5:$F$34,$AE624)*Paramètres!$E$22*$AG624*$AJ624,Paramètres!$F$22),0)</f>
        <v>40</v>
      </c>
      <c r="M624" s="19" t="n">
        <f aca="false" t="array" ref="M624:M624">IF(AND(INDEX(Profils!$G$5:$G$34,$AE624)&gt;0,INDEX(Profils!$V$5:$V$34,$AE624)&lt;=$AH624),ROUND(INDEX(Profils!$G$5:$G$34,$AE624)*Paramètres!$E$23*$AG624*$AJ624,Paramètres!$F$23),0)</f>
        <v>0</v>
      </c>
      <c r="N624" s="19" t="n">
        <f aca="false" t="array" ref="N624:N624">IF(AND(INDEX(Profils!$H$5:$H$34,$AE624)&gt;0,INDEX(Profils!$W$5:$W$34,$AE624)&lt;=$AH624),ROUND(INDEX(Profils!$H$5:$H$34,$AE624)*Paramètres!$E$24*$AG624*$AJ624,Paramètres!$F$24),0)</f>
        <v>0</v>
      </c>
      <c r="O624" s="19" t="n">
        <f aca="false" t="array" ref="O624:O624">IF(AND(INDEX(Profils!$I$5:$I$34,$AE624)&gt;0,INDEX(Profils!$X$5:$X$34,$AE624)&lt;=$AH624),ROUND(INDEX(Profils!$I$5:$I$34,$AE624)*Paramètres!$E$25*$AG624*$AJ624,Paramètres!$F$25),0)</f>
        <v>36</v>
      </c>
      <c r="P624" s="19" t="n">
        <f aca="false" t="array" ref="P624:P624">IF(AND(INDEX(Profils!$J$5:$J$34,$AE624)&gt;0,INDEX(Profils!$Y$5:$Y$34,$AE624)&lt;=$AH624),ROUND(INDEX(Profils!$J$5:$J$34,$AE624)*Paramètres!$E$26*$AG624*$AJ624,Paramètres!$F$26),0)</f>
        <v>0</v>
      </c>
      <c r="Q624" s="19" t="n">
        <f aca="false" t="array" ref="Q624:Q624">IF(AND(INDEX(Profils!$K$5:$K$34,$AE624)&gt;0,INDEX(Profils!$Z$5:$Z$34,$AE624)&lt;=$AH624),ROUND(INDEX(Profils!$K$5:$K$34,$AE624)*Paramètres!$E$27*$AG624*$AJ624,Paramètres!$F$27),0)</f>
        <v>0</v>
      </c>
      <c r="R624" s="20" t="n">
        <f aca="false" t="array" ref="R624:R624">IF(AND(INDEX(Profils!$L$5:$L$34,$AE624)&gt;0,INDEX(Profils!$AA$5:$AA$34,$AE624)&lt;=$AH624),ROUND(INDEX(Profils!$L$5:$L$34,$AE624)*Paramètres!$E$28*$AG624*$AJ624,Paramètres!$F$28),0)</f>
        <v>0</v>
      </c>
      <c r="S624" s="20" t="n">
        <f aca="false" t="array" ref="S624:S624">IF(AND(INDEX(Profils!$M$5:$M$34,$AE624)&gt;0,INDEX(Profils!$AB$5:$AB$34,$AE624)&lt;=$AH624),ROUND(INDEX(Profils!$M$5:$M$34,$AE624)*Paramètres!$E$29*$AG624*$AJ624,Paramètres!$F$29),0)</f>
        <v>0.015</v>
      </c>
      <c r="T624" s="20" t="n">
        <f aca="false" t="array" ref="T624:T624">IF(AND(INDEX(Profils!$N$5:$N$34,$AE624)&gt;0,INDEX(Profils!$AC$5:$AC$34,$AE624)&lt;=$AH624),ROUND(INDEX(Profils!$N$5:$N$34,$AE624)*Paramètres!$E$30*$AG624*$AJ624,Paramètres!$F$30),0)</f>
        <v>0.043</v>
      </c>
      <c r="U624" s="19" t="n">
        <f aca="false" t="array" ref="U624:U624">IF(AND(INDEX(Profils!$O$5:$O$34,$AE624)&gt;0,INDEX(Profils!$AD$5:$AD$34,$AE624)&lt;=$AH624),ROUND(INDEX(Profils!$O$5:$O$34,$AE624)*Paramètres!$E$31*$AG624*$AJ624,Paramètres!$F$31),0)</f>
        <v>0</v>
      </c>
      <c r="V624" s="20" t="n">
        <f aca="false" t="array" ref="V624:V624">IF(AND(INDEX(Profils!$P$5:$P$34,$AE624)&gt;0,INDEX(Profils!$AE$5:$AE$34,$AE624)&lt;=$AH624),ROUND(INDEX(Profils!$P$5:$P$34,$AE624)*Paramètres!$E$32*$AG624*$AJ624,Paramètres!$F$32),0)</f>
        <v>0</v>
      </c>
      <c r="W624" s="20" t="n">
        <f aca="false" t="array" ref="W624:W624">IF(AND(INDEX(Profils!$Q$5:$Q$34,$AE624)&gt;0,INDEX(Profils!$AF$5:$AF$34,$AE624)&lt;=$AH624),ROUND(INDEX(Profils!$Q$5:$Q$34,$AE624)*Paramètres!$E$33*$AG624*$AJ624,Paramètres!$F$33),0)</f>
        <v>0.034</v>
      </c>
      <c r="X624" s="20" t="n">
        <f aca="false" t="array" ref="X624:X624">IF(AND(INDEX(Profils!$R$5:$R$34,$AE624)&gt;0,INDEX(Profils!$AG$5:$AG$34,$AE624)&lt;=$AH624),ROUND(INDEX(Profils!$R$5:$R$34,$AE624)*Paramètres!$E$34*$AG624*$AJ624,Paramètres!$F$34),0)</f>
        <v>0.051</v>
      </c>
      <c r="Y624" s="20" t="n">
        <f aca="false" t="array" ref="Y624:Y624">IF(AND(INDEX(Profils!$S$5:$S$34,$AE624)&gt;0,INDEX(Profils!$AH$5:$AH$34,$AE624)&lt;=$AH624),ROUND(INDEX(Profils!$S$5:$S$34,$AE624)*Paramètres!$E$35*$AG624*$AJ624,Paramètres!$F$35),0)</f>
        <v>0.024</v>
      </c>
      <c r="Z624" s="21" t="n">
        <f aca="false">ROUND(L624/Paramètres!$E$22+M624/Paramètres!$E$23+N624/Paramètres!$E$24+O624/Paramètres!$E$25+P624/Paramètres!$E$26+Q624/Paramètres!$E$27+R624/Paramètres!$E$28+S624/Paramètres!$E$29+T624/Paramètres!$E$30+U624/Paramètres!$E$31+V624/Paramètres!$E$32+W624/Paramètres!$E$33+X624/Paramètres!$E$34+Y624/Paramètres!$E$35,1)</f>
        <v>13.1</v>
      </c>
      <c r="AA624" s="22" t="s">
        <v>109</v>
      </c>
      <c r="AB624" s="22" t="s">
        <v>109</v>
      </c>
      <c r="AC624" s="15" t="str">
        <f aca="false">$E624</f>
        <v>diamant</v>
      </c>
      <c r="AD624" s="16" t="n">
        <f aca="false" t="array" ref="AD624:AD624">IF($I624&gt;=$AI624,"Max",ROUND(Paramètres!$B$40*($I624+1)^Paramètres!$B$41*INDEX(Paramètres!$H$6:$H$12,$AF624),0))</f>
        <v>8</v>
      </c>
      <c r="AE624" s="23" t="n">
        <f aca="false">MATCH($B624&amp;"|"&amp;$C624,Profils!$A$5:$A$34,0)</f>
        <v>20</v>
      </c>
      <c r="AF624" s="23" t="n">
        <v>6</v>
      </c>
      <c r="AG624" s="24" t="n">
        <f aca="false" t="array" ref="AG624:AG624">INDEX(Paramètres!$C$6:$C$12,$AF624)</f>
        <v>2.4</v>
      </c>
      <c r="AH624" s="23" t="n">
        <f aca="false" t="array" ref="AH624:AH624">INDEX(Paramètres!$D$6:$D$12,$AF624)</f>
        <v>7</v>
      </c>
      <c r="AI624" s="23" t="n">
        <f aca="false" t="array" ref="AI624:AI624">INDEX(Matériaux!$C$16:$C$20,$D624)</f>
        <v>30</v>
      </c>
      <c r="AJ624" s="25" t="n">
        <f aca="false">Paramètres!$B$16+(1-Paramètres!$B$16)*(($J624-Paramètres!$B$14)/(Paramètres!$B$15-Paramètres!$B$14))^Paramètres!$B$17</f>
        <v>0.665999387952727</v>
      </c>
    </row>
    <row r="625" customFormat="false" ht="15.75" hidden="false" customHeight="true" outlineLevel="0" collapsed="false">
      <c r="A625" s="14" t="s">
        <v>741</v>
      </c>
      <c r="B625" s="15" t="s">
        <v>29</v>
      </c>
      <c r="C625" s="15" t="s">
        <v>401</v>
      </c>
      <c r="D625" s="16" t="s">
        <v>109</v>
      </c>
      <c r="E625" s="15" t="s">
        <v>109</v>
      </c>
      <c r="F625" s="31" t="s">
        <v>38</v>
      </c>
      <c r="G625" s="10" t="str">
        <f aca="false" t="array" ref="G625:G625">INDEX(Uniques!$E$5:$E$34,MATCH($B625&amp;"|"&amp;$C625,Uniques!$A$5:$A$34,0))</f>
        <v>Orbe de l'Éclipse</v>
      </c>
      <c r="H625" s="16" t="n">
        <f aca="false" t="array" ref="H625:H625">INDEX(Uniques!$L$5:$L$34,MATCH($B625&amp;"|"&amp;$C625,Uniques!$A$5:$A$34,0))</f>
        <v>81</v>
      </c>
      <c r="I625" s="16" t="n">
        <f aca="false">IF(ISNUMBER($C$3),MIN(MAX(0,ROUND($C$3,0)),$AI625),$AI625)</f>
        <v>0</v>
      </c>
      <c r="J625" s="18" t="n">
        <f aca="false">$H625+$I625</f>
        <v>81</v>
      </c>
      <c r="K625" s="15" t="str">
        <f aca="false" t="array" ref="K625:K625">INDEX(Uniques!$F$5:$F$34,MATCH($B625&amp;"|"&amp;$C625,Uniques!$A$5:$A$34,0))</f>
        <v>Lumière</v>
      </c>
      <c r="L625" s="19" t="n">
        <f aca="false" t="array" ref="L625:L625">IF(AND(INDEX(Profils!$F$5:$F$34,$AE625)&gt;0,INDEX(Profils!$U$5:$U$34,$AE625)&lt;=$AH625),ROUND(INDEX(Profils!$F$5:$F$34,$AE625)*Paramètres!$E$22*$AG625*$AJ625,Paramètres!$F$22),0)</f>
        <v>49</v>
      </c>
      <c r="M625" s="19" t="n">
        <f aca="false" t="array" ref="M625:M625">IF(AND(INDEX(Profils!$G$5:$G$34,$AE625)&gt;0,INDEX(Profils!$V$5:$V$34,$AE625)&lt;=$AH625),ROUND(INDEX(Profils!$G$5:$G$34,$AE625)*Paramètres!$E$23*$AG625*$AJ625,Paramètres!$F$23),0)</f>
        <v>0</v>
      </c>
      <c r="N625" s="19" t="n">
        <f aca="false" t="array" ref="N625:N625">IF(AND(INDEX(Profils!$H$5:$H$34,$AE625)&gt;0,INDEX(Profils!$W$5:$W$34,$AE625)&lt;=$AH625),ROUND(INDEX(Profils!$H$5:$H$34,$AE625)*Paramètres!$E$24*$AG625*$AJ625,Paramètres!$F$24),0)</f>
        <v>0</v>
      </c>
      <c r="O625" s="19" t="n">
        <f aca="false" t="array" ref="O625:O625">IF(AND(INDEX(Profils!$I$5:$I$34,$AE625)&gt;0,INDEX(Profils!$X$5:$X$34,$AE625)&lt;=$AH625),ROUND(INDEX(Profils!$I$5:$I$34,$AE625)*Paramètres!$E$25*$AG625*$AJ625,Paramètres!$F$25),0)</f>
        <v>44</v>
      </c>
      <c r="P625" s="19" t="n">
        <f aca="false" t="array" ref="P625:P625">IF(AND(INDEX(Profils!$J$5:$J$34,$AE625)&gt;0,INDEX(Profils!$Y$5:$Y$34,$AE625)&lt;=$AH625),ROUND(INDEX(Profils!$J$5:$J$34,$AE625)*Paramètres!$E$26*$AG625*$AJ625,Paramètres!$F$26),0)</f>
        <v>0</v>
      </c>
      <c r="Q625" s="19" t="n">
        <f aca="false" t="array" ref="Q625:Q625">IF(AND(INDEX(Profils!$K$5:$K$34,$AE625)&gt;0,INDEX(Profils!$Z$5:$Z$34,$AE625)&lt;=$AH625),ROUND(INDEX(Profils!$K$5:$K$34,$AE625)*Paramètres!$E$27*$AG625*$AJ625,Paramètres!$F$27),0)</f>
        <v>0</v>
      </c>
      <c r="R625" s="20" t="n">
        <f aca="false" t="array" ref="R625:R625">IF(AND(INDEX(Profils!$L$5:$L$34,$AE625)&gt;0,INDEX(Profils!$AA$5:$AA$34,$AE625)&lt;=$AH625),ROUND(INDEX(Profils!$L$5:$L$34,$AE625)*Paramètres!$E$28*$AG625*$AJ625,Paramètres!$F$28),0)</f>
        <v>0</v>
      </c>
      <c r="S625" s="20" t="n">
        <f aca="false" t="array" ref="S625:S625">IF(AND(INDEX(Profils!$M$5:$M$34,$AE625)&gt;0,INDEX(Profils!$AB$5:$AB$34,$AE625)&lt;=$AH625),ROUND(INDEX(Profils!$M$5:$M$34,$AE625)*Paramètres!$E$29*$AG625*$AJ625,Paramètres!$F$29),0)</f>
        <v>0.019</v>
      </c>
      <c r="T625" s="20" t="n">
        <f aca="false" t="array" ref="T625:T625">IF(AND(INDEX(Profils!$N$5:$N$34,$AE625)&gt;0,INDEX(Profils!$AC$5:$AC$34,$AE625)&lt;=$AH625),ROUND(INDEX(Profils!$N$5:$N$34,$AE625)*Paramètres!$E$30*$AG625*$AJ625,Paramètres!$F$30),0)</f>
        <v>0.053</v>
      </c>
      <c r="U625" s="19" t="n">
        <f aca="false" t="array" ref="U625:U625">IF(AND(INDEX(Profils!$O$5:$O$34,$AE625)&gt;0,INDEX(Profils!$AD$5:$AD$34,$AE625)&lt;=$AH625),ROUND(INDEX(Profils!$O$5:$O$34,$AE625)*Paramètres!$E$31*$AG625*$AJ625,Paramètres!$F$31),0)</f>
        <v>0</v>
      </c>
      <c r="V625" s="20" t="n">
        <f aca="false" t="array" ref="V625:V625">IF(AND(INDEX(Profils!$P$5:$P$34,$AE625)&gt;0,INDEX(Profils!$AE$5:$AE$34,$AE625)&lt;=$AH625),ROUND(INDEX(Profils!$P$5:$P$34,$AE625)*Paramètres!$E$32*$AG625*$AJ625,Paramètres!$F$32),0)</f>
        <v>0</v>
      </c>
      <c r="W625" s="20" t="n">
        <f aca="false" t="array" ref="W625:W625">IF(AND(INDEX(Profils!$Q$5:$Q$34,$AE625)&gt;0,INDEX(Profils!$AF$5:$AF$34,$AE625)&lt;=$AH625),ROUND(INDEX(Profils!$Q$5:$Q$34,$AE625)*Paramètres!$E$33*$AG625*$AJ625,Paramètres!$F$33),0)</f>
        <v>0.041</v>
      </c>
      <c r="X625" s="20" t="n">
        <f aca="false" t="array" ref="X625:X625">IF(AND(INDEX(Profils!$R$5:$R$34,$AE625)&gt;0,INDEX(Profils!$AG$5:$AG$34,$AE625)&lt;=$AH625),ROUND(INDEX(Profils!$R$5:$R$34,$AE625)*Paramètres!$E$34*$AG625*$AJ625,Paramètres!$F$34),0)</f>
        <v>0.063</v>
      </c>
      <c r="Y625" s="20" t="n">
        <f aca="false" t="array" ref="Y625:Y625">IF(AND(INDEX(Profils!$S$5:$S$34,$AE625)&gt;0,INDEX(Profils!$AH$5:$AH$34,$AE625)&lt;=$AH625),ROUND(INDEX(Profils!$S$5:$S$34,$AE625)*Paramètres!$E$35*$AG625*$AJ625,Paramètres!$F$35),0)</f>
        <v>0.029</v>
      </c>
      <c r="Z625" s="21" t="n">
        <f aca="false">ROUND(L625/Paramètres!$E$22+M625/Paramètres!$E$23+N625/Paramètres!$E$24+O625/Paramètres!$E$25+P625/Paramètres!$E$26+Q625/Paramètres!$E$27+R625/Paramètres!$E$28+S625/Paramètres!$E$29+T625/Paramètres!$E$30+U625/Paramètres!$E$31+V625/Paramètres!$E$32+W625/Paramètres!$E$33+X625/Paramètres!$E$34+Y625/Paramètres!$E$35,1)</f>
        <v>16.1</v>
      </c>
      <c r="AA625" s="22" t="str">
        <f aca="false" t="array" ref="AA625:AA625">INDEX(Uniques!$G$5:$G$34,MATCH($B625&amp;"|"&amp;$C625,Uniques!$A$5:$A$34,0))</f>
        <v>Alternance</v>
      </c>
      <c r="AB625" s="22" t="str">
        <f aca="false" t="array" ref="AB625:AB625">INDEX(Uniques!$H$5:$H$34,MATCH($B625&amp;"|"&amp;$C625,Uniques!$A$5:$A$34,0))&amp;" ["&amp;INDEX(Uniques!$I$5:$I$34,MATCH($B625&amp;"|"&amp;$C625,Uniques!$A$5:$A$34,0))&amp;"]"</f>
        <v>Chaque tour alterne entre phase de Lumière (+15 % de soins prodigués) et phase d'Ombre (+15 % de dégâts magiques). [La phase de Lumière débute au tour 1 ; pas d'autre limite.]</v>
      </c>
      <c r="AC625" s="15" t="str">
        <f aca="false" t="array" ref="AC625:AC625">INDEX(Matériaux!$B$5:$F$12,MATCH(INDEX(Profils!$E$5:$E$34,$AE625),Matériaux!$A$5:$A$12,0),MATCH(MIN($J625+1,100),Matériaux!$B$16:$B$20,1))</f>
        <v>diamant</v>
      </c>
      <c r="AD625" s="16" t="n">
        <f aca="false" t="array" ref="AD625:AD625">IF($I625&gt;=$AI625,"Max",ROUND(Paramètres!$B$40*($I625+1)^Paramètres!$B$41*INDEX(Paramètres!$H$6:$H$12,$AF625),0))</f>
        <v>9</v>
      </c>
      <c r="AE625" s="23" t="n">
        <f aca="false">MATCH($B625&amp;"|"&amp;$C625,Profils!$A$5:$A$34,0)</f>
        <v>20</v>
      </c>
      <c r="AF625" s="23" t="n">
        <v>7</v>
      </c>
      <c r="AG625" s="24" t="n">
        <f aca="false" t="array" ref="AG625:AG625">INDEX(Paramètres!$C$6:$C$12,$AF625)</f>
        <v>2.5</v>
      </c>
      <c r="AH625" s="23" t="n">
        <f aca="false" t="array" ref="AH625:AH625">INDEX(Paramètres!$D$6:$D$12,$AF625)</f>
        <v>7</v>
      </c>
      <c r="AI625" s="23" t="n">
        <f aca="false" t="array" ref="AI625:AI625">INDEX(Uniques!$M$5:$M$34,MATCH($B625&amp;"|"&amp;$C625,Uniques!$A$5:$A$34,0))</f>
        <v>19</v>
      </c>
      <c r="AJ625" s="25" t="n">
        <f aca="false">Paramètres!$B$16+(1-Paramètres!$B$16)*(($J625-Paramètres!$B$14)/(Paramètres!$B$15-Paramètres!$B$14))^Paramètres!$B$17</f>
        <v>0.785646810153318</v>
      </c>
    </row>
    <row r="626" customFormat="false" ht="15.75" hidden="false" customHeight="true" outlineLevel="0" collapsed="false">
      <c r="A626" s="14" t="s">
        <v>742</v>
      </c>
      <c r="B626" s="15" t="s">
        <v>31</v>
      </c>
      <c r="C626" s="15" t="s">
        <v>107</v>
      </c>
      <c r="D626" s="16" t="n">
        <v>1</v>
      </c>
      <c r="E626" s="15" t="str">
        <f aca="false" t="array" ref="E626:E626">INDEX(Matériaux!$B$5:$F$12,MATCH(INDEX(Profils!$E$5:$E$34,$AE626),Matériaux!$A$5:$A$12,0),$D626)</f>
        <v>toile</v>
      </c>
      <c r="F626" s="17" t="s">
        <v>108</v>
      </c>
      <c r="G626" s="10" t="str">
        <f aca="false" t="array" ref="G626:G626">INDEX(Profils!$D$5:$D$34,$AE626)&amp;" en "&amp;$E626</f>
        <v>Capuche en toile</v>
      </c>
      <c r="H626" s="16" t="n">
        <f aca="false" t="array" ref="H626:H626">INDEX(Matériaux!$B$16:$B$20,$D626)</f>
        <v>1</v>
      </c>
      <c r="I626" s="16" t="n">
        <f aca="false">IF(ISNUMBER($C$3),MIN(MAX(0,ROUND($C$3,0)),$AI626),$AI626)</f>
        <v>0</v>
      </c>
      <c r="J626" s="18" t="n">
        <f aca="false">$H626+$I626</f>
        <v>1</v>
      </c>
      <c r="K626" s="15" t="s">
        <v>109</v>
      </c>
      <c r="L626" s="19" t="n">
        <f aca="false" t="array" ref="L626:L626">IF(AND(INDEX(Profils!$F$5:$F$34,$AE626)&gt;0,INDEX(Profils!$U$5:$U$34,$AE626)&lt;=$AH626),ROUND(INDEX(Profils!$F$5:$F$34,$AE626)*Paramètres!$E$22*$AG626*$AJ626,Paramètres!$F$22),0)</f>
        <v>0</v>
      </c>
      <c r="M626" s="19" t="n">
        <f aca="false" t="array" ref="M626:M626">IF(AND(INDEX(Profils!$G$5:$G$34,$AE626)&gt;0,INDEX(Profils!$V$5:$V$34,$AE626)&lt;=$AH626),ROUND(INDEX(Profils!$G$5:$G$34,$AE626)*Paramètres!$E$23*$AG626*$AJ626,Paramètres!$F$23),0)</f>
        <v>0</v>
      </c>
      <c r="N626" s="19" t="n">
        <f aca="false" t="array" ref="N626:N626">IF(AND(INDEX(Profils!$H$5:$H$34,$AE626)&gt;0,INDEX(Profils!$W$5:$W$34,$AE626)&lt;=$AH626),ROUND(INDEX(Profils!$H$5:$H$34,$AE626)*Paramètres!$E$24*$AG626*$AJ626,Paramètres!$F$24),0)</f>
        <v>0</v>
      </c>
      <c r="O626" s="19" t="n">
        <f aca="false" t="array" ref="O626:O626">IF(AND(INDEX(Profils!$I$5:$I$34,$AE626)&gt;0,INDEX(Profils!$X$5:$X$34,$AE626)&lt;=$AH626),ROUND(INDEX(Profils!$I$5:$I$34,$AE626)*Paramètres!$E$25*$AG626*$AJ626,Paramètres!$F$25),0)</f>
        <v>0</v>
      </c>
      <c r="P626" s="19" t="n">
        <f aca="false" t="array" ref="P626:P626">IF(AND(INDEX(Profils!$J$5:$J$34,$AE626)&gt;0,INDEX(Profils!$Y$5:$Y$34,$AE626)&lt;=$AH626),ROUND(INDEX(Profils!$J$5:$J$34,$AE626)*Paramètres!$E$26*$AG626*$AJ626,Paramètres!$F$26),0)</f>
        <v>1</v>
      </c>
      <c r="Q626" s="19" t="n">
        <f aca="false" t="array" ref="Q626:Q626">IF(AND(INDEX(Profils!$K$5:$K$34,$AE626)&gt;0,INDEX(Profils!$Z$5:$Z$34,$AE626)&lt;=$AH626),ROUND(INDEX(Profils!$K$5:$K$34,$AE626)*Paramètres!$E$27*$AG626*$AJ626,Paramètres!$F$27),0)</f>
        <v>0</v>
      </c>
      <c r="R626" s="20" t="n">
        <f aca="false" t="array" ref="R626:R626">IF(AND(INDEX(Profils!$L$5:$L$34,$AE626)&gt;0,INDEX(Profils!$AA$5:$AA$34,$AE626)&lt;=$AH626),ROUND(INDEX(Profils!$L$5:$L$34,$AE626)*Paramètres!$E$28*$AG626*$AJ626,Paramètres!$F$28),0)</f>
        <v>0.001</v>
      </c>
      <c r="S626" s="20" t="n">
        <f aca="false" t="array" ref="S626:S626">IF(AND(INDEX(Profils!$M$5:$M$34,$AE626)&gt;0,INDEX(Profils!$AB$5:$AB$34,$AE626)&lt;=$AH626),ROUND(INDEX(Profils!$M$5:$M$34,$AE626)*Paramètres!$E$29*$AG626*$AJ626,Paramètres!$F$29),0)</f>
        <v>0</v>
      </c>
      <c r="T626" s="20" t="n">
        <f aca="false" t="array" ref="T626:T626">IF(AND(INDEX(Profils!$N$5:$N$34,$AE626)&gt;0,INDEX(Profils!$AC$5:$AC$34,$AE626)&lt;=$AH626),ROUND(INDEX(Profils!$N$5:$N$34,$AE626)*Paramètres!$E$30*$AG626*$AJ626,Paramètres!$F$30),0)</f>
        <v>0</v>
      </c>
      <c r="U626" s="19" t="n">
        <f aca="false" t="array" ref="U626:U626">IF(AND(INDEX(Profils!$O$5:$O$34,$AE626)&gt;0,INDEX(Profils!$AD$5:$AD$34,$AE626)&lt;=$AH626),ROUND(INDEX(Profils!$O$5:$O$34,$AE626)*Paramètres!$E$31*$AG626*$AJ626,Paramètres!$F$31),0)</f>
        <v>0</v>
      </c>
      <c r="V626" s="20" t="n">
        <f aca="false" t="array" ref="V626:V626">IF(AND(INDEX(Profils!$P$5:$P$34,$AE626)&gt;0,INDEX(Profils!$AE$5:$AE$34,$AE626)&lt;=$AH626),ROUND(INDEX(Profils!$P$5:$P$34,$AE626)*Paramètres!$E$32*$AG626*$AJ626,Paramètres!$F$32),0)</f>
        <v>0</v>
      </c>
      <c r="W626" s="20" t="n">
        <f aca="false" t="array" ref="W626:W626">IF(AND(INDEX(Profils!$Q$5:$Q$34,$AE626)&gt;0,INDEX(Profils!$AF$5:$AF$34,$AE626)&lt;=$AH626),ROUND(INDEX(Profils!$Q$5:$Q$34,$AE626)*Paramètres!$E$33*$AG626*$AJ626,Paramètres!$F$33),0)</f>
        <v>0</v>
      </c>
      <c r="X626" s="20" t="n">
        <f aca="false" t="array" ref="X626:X626">IF(AND(INDEX(Profils!$R$5:$R$34,$AE626)&gt;0,INDEX(Profils!$AG$5:$AG$34,$AE626)&lt;=$AH626),ROUND(INDEX(Profils!$R$5:$R$34,$AE626)*Paramètres!$E$34*$AG626*$AJ626,Paramètres!$F$34),0)</f>
        <v>0</v>
      </c>
      <c r="Y626" s="20" t="n">
        <f aca="false" t="array" ref="Y626:Y626">IF(AND(INDEX(Profils!$S$5:$S$34,$AE626)&gt;0,INDEX(Profils!$AH$5:$AH$34,$AE626)&lt;=$AH626),ROUND(INDEX(Profils!$S$5:$S$34,$AE626)*Paramètres!$E$35*$AG626*$AJ626,Paramètres!$F$35),0)</f>
        <v>0</v>
      </c>
      <c r="Z626" s="21" t="n">
        <f aca="false">ROUND(L626/Paramètres!$E$22+M626/Paramètres!$E$23+N626/Paramètres!$E$24+O626/Paramètres!$E$25+P626/Paramètres!$E$26+Q626/Paramètres!$E$27+R626/Paramètres!$E$28+S626/Paramètres!$E$29+T626/Paramètres!$E$30+U626/Paramètres!$E$31+V626/Paramètres!$E$32+W626/Paramètres!$E$33+X626/Paramètres!$E$34+Y626/Paramètres!$E$35,1)</f>
        <v>0.2</v>
      </c>
      <c r="AA626" s="22" t="s">
        <v>109</v>
      </c>
      <c r="AB626" s="22" t="s">
        <v>109</v>
      </c>
      <c r="AC626" s="15" t="str">
        <f aca="false">$E626</f>
        <v>toile</v>
      </c>
      <c r="AD626" s="16" t="n">
        <f aca="false" t="array" ref="AD626:AD626">IF($I626&gt;=$AI626,"Max",ROUND(Paramètres!$B$40*($I626+1)^Paramètres!$B$41*INDEX(Paramètres!$H$6:$H$12,$AF626),0))</f>
        <v>3</v>
      </c>
      <c r="AE626" s="23" t="n">
        <f aca="false">MATCH($B626&amp;"|"&amp;$C626,Profils!$A$5:$A$34,0)</f>
        <v>21</v>
      </c>
      <c r="AF626" s="23" t="n">
        <v>1</v>
      </c>
      <c r="AG626" s="24" t="n">
        <f aca="false" t="array" ref="AG626:AG626">INDEX(Paramètres!$C$6:$C$12,$AF626)</f>
        <v>1</v>
      </c>
      <c r="AH626" s="23" t="n">
        <f aca="false" t="array" ref="AH626:AH626">INDEX(Paramètres!$D$6:$D$12,$AF626)</f>
        <v>2</v>
      </c>
      <c r="AI626" s="23" t="n">
        <f aca="false" t="array" ref="AI626:AI626">INDEX(Matériaux!$C$16:$C$20,$D626)</f>
        <v>19</v>
      </c>
      <c r="AJ626" s="25" t="n">
        <f aca="false">Paramètres!$B$16+(1-Paramètres!$B$16)*(($J626-Paramètres!$B$14)/(Paramètres!$B$15-Paramètres!$B$14))^Paramètres!$B$17</f>
        <v>0.05</v>
      </c>
    </row>
    <row r="627" customFormat="false" ht="15.75" hidden="false" customHeight="true" outlineLevel="0" collapsed="false">
      <c r="A627" s="14" t="s">
        <v>743</v>
      </c>
      <c r="B627" s="15" t="s">
        <v>31</v>
      </c>
      <c r="C627" s="15" t="s">
        <v>107</v>
      </c>
      <c r="D627" s="16" t="n">
        <v>1</v>
      </c>
      <c r="E627" s="15" t="str">
        <f aca="false" t="array" ref="E627:E627">INDEX(Matériaux!$B$5:$F$12,MATCH(INDEX(Profils!$E$5:$E$34,$AE627),Matériaux!$A$5:$A$12,0),$D627)</f>
        <v>toile</v>
      </c>
      <c r="F627" s="26" t="s">
        <v>111</v>
      </c>
      <c r="G627" s="10" t="str">
        <f aca="false" t="array" ref="G627:G627">INDEX(Profils!$D$5:$D$34,$AE627)&amp;" en "&amp;$E627</f>
        <v>Capuche en toile</v>
      </c>
      <c r="H627" s="16" t="n">
        <f aca="false" t="array" ref="H627:H627">INDEX(Matériaux!$B$16:$B$20,$D627)</f>
        <v>1</v>
      </c>
      <c r="I627" s="16" t="n">
        <f aca="false">IF(ISNUMBER($C$3),MIN(MAX(0,ROUND($C$3,0)),$AI627),$AI627)</f>
        <v>0</v>
      </c>
      <c r="J627" s="18" t="n">
        <f aca="false">$H627+$I627</f>
        <v>1</v>
      </c>
      <c r="K627" s="15" t="s">
        <v>109</v>
      </c>
      <c r="L627" s="19" t="n">
        <f aca="false" t="array" ref="L627:L627">IF(AND(INDEX(Profils!$F$5:$F$34,$AE627)&gt;0,INDEX(Profils!$U$5:$U$34,$AE627)&lt;=$AH627),ROUND(INDEX(Profils!$F$5:$F$34,$AE627)*Paramètres!$E$22*$AG627*$AJ627,Paramètres!$F$22),0)</f>
        <v>2</v>
      </c>
      <c r="M627" s="19" t="n">
        <f aca="false" t="array" ref="M627:M627">IF(AND(INDEX(Profils!$G$5:$G$34,$AE627)&gt;0,INDEX(Profils!$V$5:$V$34,$AE627)&lt;=$AH627),ROUND(INDEX(Profils!$G$5:$G$34,$AE627)*Paramètres!$E$23*$AG627*$AJ627,Paramètres!$F$23),0)</f>
        <v>0</v>
      </c>
      <c r="N627" s="19" t="n">
        <f aca="false" t="array" ref="N627:N627">IF(AND(INDEX(Profils!$H$5:$H$34,$AE627)&gt;0,INDEX(Profils!$W$5:$W$34,$AE627)&lt;=$AH627),ROUND(INDEX(Profils!$H$5:$H$34,$AE627)*Paramètres!$E$24*$AG627*$AJ627,Paramètres!$F$24),0)</f>
        <v>0</v>
      </c>
      <c r="O627" s="19" t="n">
        <f aca="false" t="array" ref="O627:O627">IF(AND(INDEX(Profils!$I$5:$I$34,$AE627)&gt;0,INDEX(Profils!$X$5:$X$34,$AE627)&lt;=$AH627),ROUND(INDEX(Profils!$I$5:$I$34,$AE627)*Paramètres!$E$25*$AG627*$AJ627,Paramètres!$F$25),0)</f>
        <v>0</v>
      </c>
      <c r="P627" s="19" t="n">
        <f aca="false" t="array" ref="P627:P627">IF(AND(INDEX(Profils!$J$5:$J$34,$AE627)&gt;0,INDEX(Profils!$Y$5:$Y$34,$AE627)&lt;=$AH627),ROUND(INDEX(Profils!$J$5:$J$34,$AE627)*Paramètres!$E$26*$AG627*$AJ627,Paramètres!$F$26),0)</f>
        <v>1</v>
      </c>
      <c r="Q627" s="19" t="n">
        <f aca="false" t="array" ref="Q627:Q627">IF(AND(INDEX(Profils!$K$5:$K$34,$AE627)&gt;0,INDEX(Profils!$Z$5:$Z$34,$AE627)&lt;=$AH627),ROUND(INDEX(Profils!$K$5:$K$34,$AE627)*Paramètres!$E$27*$AG627*$AJ627,Paramètres!$F$27),0)</f>
        <v>0</v>
      </c>
      <c r="R627" s="20" t="n">
        <f aca="false" t="array" ref="R627:R627">IF(AND(INDEX(Profils!$L$5:$L$34,$AE627)&gt;0,INDEX(Profils!$AA$5:$AA$34,$AE627)&lt;=$AH627),ROUND(INDEX(Profils!$L$5:$L$34,$AE627)*Paramètres!$E$28*$AG627*$AJ627,Paramètres!$F$28),0)</f>
        <v>0.001</v>
      </c>
      <c r="S627" s="20" t="n">
        <f aca="false" t="array" ref="S627:S627">IF(AND(INDEX(Profils!$M$5:$M$34,$AE627)&gt;0,INDEX(Profils!$AB$5:$AB$34,$AE627)&lt;=$AH627),ROUND(INDEX(Profils!$M$5:$M$34,$AE627)*Paramètres!$E$29*$AG627*$AJ627,Paramètres!$F$29),0)</f>
        <v>0</v>
      </c>
      <c r="T627" s="20" t="n">
        <f aca="false" t="array" ref="T627:T627">IF(AND(INDEX(Profils!$N$5:$N$34,$AE627)&gt;0,INDEX(Profils!$AC$5:$AC$34,$AE627)&lt;=$AH627),ROUND(INDEX(Profils!$N$5:$N$34,$AE627)*Paramètres!$E$30*$AG627*$AJ627,Paramètres!$F$30),0)</f>
        <v>0</v>
      </c>
      <c r="U627" s="19" t="n">
        <f aca="false" t="array" ref="U627:U627">IF(AND(INDEX(Profils!$O$5:$O$34,$AE627)&gt;0,INDEX(Profils!$AD$5:$AD$34,$AE627)&lt;=$AH627),ROUND(INDEX(Profils!$O$5:$O$34,$AE627)*Paramètres!$E$31*$AG627*$AJ627,Paramètres!$F$31),0)</f>
        <v>0</v>
      </c>
      <c r="V627" s="20" t="n">
        <f aca="false" t="array" ref="V627:V627">IF(AND(INDEX(Profils!$P$5:$P$34,$AE627)&gt;0,INDEX(Profils!$AE$5:$AE$34,$AE627)&lt;=$AH627),ROUND(INDEX(Profils!$P$5:$P$34,$AE627)*Paramètres!$E$32*$AG627*$AJ627,Paramètres!$F$32),0)</f>
        <v>0</v>
      </c>
      <c r="W627" s="20" t="n">
        <f aca="false" t="array" ref="W627:W627">IF(AND(INDEX(Profils!$Q$5:$Q$34,$AE627)&gt;0,INDEX(Profils!$AF$5:$AF$34,$AE627)&lt;=$AH627),ROUND(INDEX(Profils!$Q$5:$Q$34,$AE627)*Paramètres!$E$33*$AG627*$AJ627,Paramètres!$F$33),0)</f>
        <v>0</v>
      </c>
      <c r="X627" s="20" t="n">
        <f aca="false" t="array" ref="X627:X627">IF(AND(INDEX(Profils!$R$5:$R$34,$AE627)&gt;0,INDEX(Profils!$AG$5:$AG$34,$AE627)&lt;=$AH627),ROUND(INDEX(Profils!$R$5:$R$34,$AE627)*Paramètres!$E$34*$AG627*$AJ627,Paramètres!$F$34),0)</f>
        <v>0</v>
      </c>
      <c r="Y627" s="20" t="n">
        <f aca="false" t="array" ref="Y627:Y627">IF(AND(INDEX(Profils!$S$5:$S$34,$AE627)&gt;0,INDEX(Profils!$AH$5:$AH$34,$AE627)&lt;=$AH627),ROUND(INDEX(Profils!$S$5:$S$34,$AE627)*Paramètres!$E$35*$AG627*$AJ627,Paramètres!$F$35),0)</f>
        <v>0</v>
      </c>
      <c r="Z627" s="21" t="n">
        <f aca="false">ROUND(L627/Paramètres!$E$22+M627/Paramètres!$E$23+N627/Paramètres!$E$24+O627/Paramètres!$E$25+P627/Paramètres!$E$26+Q627/Paramètres!$E$27+R627/Paramètres!$E$28+S627/Paramètres!$E$29+T627/Paramètres!$E$30+U627/Paramètres!$E$31+V627/Paramètres!$E$32+W627/Paramètres!$E$33+X627/Paramètres!$E$34+Y627/Paramètres!$E$35,1)</f>
        <v>0.2</v>
      </c>
      <c r="AA627" s="22" t="s">
        <v>109</v>
      </c>
      <c r="AB627" s="22" t="s">
        <v>109</v>
      </c>
      <c r="AC627" s="15" t="str">
        <f aca="false">$E627</f>
        <v>toile</v>
      </c>
      <c r="AD627" s="16" t="n">
        <f aca="false" t="array" ref="AD627:AD627">IF($I627&gt;=$AI627,"Max",ROUND(Paramètres!$B$40*($I627+1)^Paramètres!$B$41*INDEX(Paramètres!$H$6:$H$12,$AF627),0))</f>
        <v>4</v>
      </c>
      <c r="AE627" s="23" t="n">
        <f aca="false">MATCH($B627&amp;"|"&amp;$C627,Profils!$A$5:$A$34,0)</f>
        <v>21</v>
      </c>
      <c r="AF627" s="23" t="n">
        <v>2</v>
      </c>
      <c r="AG627" s="24" t="n">
        <f aca="false" t="array" ref="AG627:AG627">INDEX(Paramètres!$C$6:$C$12,$AF627)</f>
        <v>1.2</v>
      </c>
      <c r="AH627" s="23" t="n">
        <f aca="false" t="array" ref="AH627:AH627">INDEX(Paramètres!$D$6:$D$12,$AF627)</f>
        <v>3</v>
      </c>
      <c r="AI627" s="23" t="n">
        <f aca="false" t="array" ref="AI627:AI627">INDEX(Matériaux!$C$16:$C$20,$D627)</f>
        <v>19</v>
      </c>
      <c r="AJ627" s="25" t="n">
        <f aca="false">Paramètres!$B$16+(1-Paramètres!$B$16)*(($J627-Paramètres!$B$14)/(Paramètres!$B$15-Paramètres!$B$14))^Paramètres!$B$17</f>
        <v>0.05</v>
      </c>
    </row>
    <row r="628" customFormat="false" ht="15.75" hidden="false" customHeight="true" outlineLevel="0" collapsed="false">
      <c r="A628" s="14" t="s">
        <v>744</v>
      </c>
      <c r="B628" s="15" t="s">
        <v>31</v>
      </c>
      <c r="C628" s="15" t="s">
        <v>107</v>
      </c>
      <c r="D628" s="16" t="n">
        <v>1</v>
      </c>
      <c r="E628" s="15" t="str">
        <f aca="false" t="array" ref="E628:E628">INDEX(Matériaux!$B$5:$F$12,MATCH(INDEX(Profils!$E$5:$E$34,$AE628),Matériaux!$A$5:$A$12,0),$D628)</f>
        <v>toile</v>
      </c>
      <c r="F628" s="27" t="s">
        <v>113</v>
      </c>
      <c r="G628" s="10" t="str">
        <f aca="false" t="array" ref="G628:G628">INDEX(Profils!$D$5:$D$34,$AE628)&amp;" en "&amp;$E628</f>
        <v>Capuche en toile</v>
      </c>
      <c r="H628" s="16" t="n">
        <f aca="false" t="array" ref="H628:H628">INDEX(Matériaux!$B$16:$B$20,$D628)</f>
        <v>1</v>
      </c>
      <c r="I628" s="16" t="n">
        <f aca="false">IF(ISNUMBER($C$3),MIN(MAX(0,ROUND($C$3,0)),$AI628),$AI628)</f>
        <v>0</v>
      </c>
      <c r="J628" s="18" t="n">
        <f aca="false">$H628+$I628</f>
        <v>1</v>
      </c>
      <c r="K628" s="15" t="s">
        <v>109</v>
      </c>
      <c r="L628" s="19" t="n">
        <f aca="false" t="array" ref="L628:L628">IF(AND(INDEX(Profils!$F$5:$F$34,$AE628)&gt;0,INDEX(Profils!$U$5:$U$34,$AE628)&lt;=$AH628),ROUND(INDEX(Profils!$F$5:$F$34,$AE628)*Paramètres!$E$22*$AG628*$AJ628,Paramètres!$F$22),0)</f>
        <v>2</v>
      </c>
      <c r="M628" s="19" t="n">
        <f aca="false" t="array" ref="M628:M628">IF(AND(INDEX(Profils!$G$5:$G$34,$AE628)&gt;0,INDEX(Profils!$V$5:$V$34,$AE628)&lt;=$AH628),ROUND(INDEX(Profils!$G$5:$G$34,$AE628)*Paramètres!$E$23*$AG628*$AJ628,Paramètres!$F$23),0)</f>
        <v>0</v>
      </c>
      <c r="N628" s="19" t="n">
        <f aca="false" t="array" ref="N628:N628">IF(AND(INDEX(Profils!$H$5:$H$34,$AE628)&gt;0,INDEX(Profils!$W$5:$W$34,$AE628)&lt;=$AH628),ROUND(INDEX(Profils!$H$5:$H$34,$AE628)*Paramètres!$E$24*$AG628*$AJ628,Paramètres!$F$24),0)</f>
        <v>0</v>
      </c>
      <c r="O628" s="19" t="n">
        <f aca="false" t="array" ref="O628:O628">IF(AND(INDEX(Profils!$I$5:$I$34,$AE628)&gt;0,INDEX(Profils!$X$5:$X$34,$AE628)&lt;=$AH628),ROUND(INDEX(Profils!$I$5:$I$34,$AE628)*Paramètres!$E$25*$AG628*$AJ628,Paramètres!$F$25),0)</f>
        <v>0</v>
      </c>
      <c r="P628" s="19" t="n">
        <f aca="false" t="array" ref="P628:P628">IF(AND(INDEX(Profils!$J$5:$J$34,$AE628)&gt;0,INDEX(Profils!$Y$5:$Y$34,$AE628)&lt;=$AH628),ROUND(INDEX(Profils!$J$5:$J$34,$AE628)*Paramètres!$E$26*$AG628*$AJ628,Paramètres!$F$26),0)</f>
        <v>1</v>
      </c>
      <c r="Q628" s="19" t="n">
        <f aca="false" t="array" ref="Q628:Q628">IF(AND(INDEX(Profils!$K$5:$K$34,$AE628)&gt;0,INDEX(Profils!$Z$5:$Z$34,$AE628)&lt;=$AH628),ROUND(INDEX(Profils!$K$5:$K$34,$AE628)*Paramètres!$E$27*$AG628*$AJ628,Paramètres!$F$27),0)</f>
        <v>0</v>
      </c>
      <c r="R628" s="20" t="n">
        <f aca="false" t="array" ref="R628:R628">IF(AND(INDEX(Profils!$L$5:$L$34,$AE628)&gt;0,INDEX(Profils!$AA$5:$AA$34,$AE628)&lt;=$AH628),ROUND(INDEX(Profils!$L$5:$L$34,$AE628)*Paramètres!$E$28*$AG628*$AJ628,Paramètres!$F$28),0)</f>
        <v>0.001</v>
      </c>
      <c r="S628" s="20" t="n">
        <f aca="false" t="array" ref="S628:S628">IF(AND(INDEX(Profils!$M$5:$M$34,$AE628)&gt;0,INDEX(Profils!$AB$5:$AB$34,$AE628)&lt;=$AH628),ROUND(INDEX(Profils!$M$5:$M$34,$AE628)*Paramètres!$E$29*$AG628*$AJ628,Paramètres!$F$29),0)</f>
        <v>0.001</v>
      </c>
      <c r="T628" s="20" t="n">
        <f aca="false" t="array" ref="T628:T628">IF(AND(INDEX(Profils!$N$5:$N$34,$AE628)&gt;0,INDEX(Profils!$AC$5:$AC$34,$AE628)&lt;=$AH628),ROUND(INDEX(Profils!$N$5:$N$34,$AE628)*Paramètres!$E$30*$AG628*$AJ628,Paramètres!$F$30),0)</f>
        <v>0</v>
      </c>
      <c r="U628" s="19" t="n">
        <f aca="false" t="array" ref="U628:U628">IF(AND(INDEX(Profils!$O$5:$O$34,$AE628)&gt;0,INDEX(Profils!$AD$5:$AD$34,$AE628)&lt;=$AH628),ROUND(INDEX(Profils!$O$5:$O$34,$AE628)*Paramètres!$E$31*$AG628*$AJ628,Paramètres!$F$31),0)</f>
        <v>0</v>
      </c>
      <c r="V628" s="20" t="n">
        <f aca="false" t="array" ref="V628:V628">IF(AND(INDEX(Profils!$P$5:$P$34,$AE628)&gt;0,INDEX(Profils!$AE$5:$AE$34,$AE628)&lt;=$AH628),ROUND(INDEX(Profils!$P$5:$P$34,$AE628)*Paramètres!$E$32*$AG628*$AJ628,Paramètres!$F$32),0)</f>
        <v>0</v>
      </c>
      <c r="W628" s="20" t="n">
        <f aca="false" t="array" ref="W628:W628">IF(AND(INDEX(Profils!$Q$5:$Q$34,$AE628)&gt;0,INDEX(Profils!$AF$5:$AF$34,$AE628)&lt;=$AH628),ROUND(INDEX(Profils!$Q$5:$Q$34,$AE628)*Paramètres!$E$33*$AG628*$AJ628,Paramètres!$F$33),0)</f>
        <v>0</v>
      </c>
      <c r="X628" s="20" t="n">
        <f aca="false" t="array" ref="X628:X628">IF(AND(INDEX(Profils!$R$5:$R$34,$AE628)&gt;0,INDEX(Profils!$AG$5:$AG$34,$AE628)&lt;=$AH628),ROUND(INDEX(Profils!$R$5:$R$34,$AE628)*Paramètres!$E$34*$AG628*$AJ628,Paramètres!$F$34),0)</f>
        <v>0</v>
      </c>
      <c r="Y628" s="20" t="n">
        <f aca="false" t="array" ref="Y628:Y628">IF(AND(INDEX(Profils!$S$5:$S$34,$AE628)&gt;0,INDEX(Profils!$AH$5:$AH$34,$AE628)&lt;=$AH628),ROUND(INDEX(Profils!$S$5:$S$34,$AE628)*Paramètres!$E$35*$AG628*$AJ628,Paramètres!$F$35),0)</f>
        <v>0</v>
      </c>
      <c r="Z628" s="21" t="n">
        <f aca="false">ROUND(L628/Paramètres!$E$22+M628/Paramètres!$E$23+N628/Paramètres!$E$24+O628/Paramètres!$E$25+P628/Paramètres!$E$26+Q628/Paramètres!$E$27+R628/Paramètres!$E$28+S628/Paramètres!$E$29+T628/Paramètres!$E$30+U628/Paramètres!$E$31+V628/Paramètres!$E$32+W628/Paramètres!$E$33+X628/Paramètres!$E$34+Y628/Paramètres!$E$35,1)</f>
        <v>0.3</v>
      </c>
      <c r="AA628" s="22" t="s">
        <v>109</v>
      </c>
      <c r="AB628" s="22" t="s">
        <v>109</v>
      </c>
      <c r="AC628" s="15" t="str">
        <f aca="false">$E628</f>
        <v>toile</v>
      </c>
      <c r="AD628" s="16" t="n">
        <f aca="false" t="array" ref="AD628:AD628">IF($I628&gt;=$AI628,"Max",ROUND(Paramètres!$B$40*($I628+1)^Paramètres!$B$41*INDEX(Paramètres!$H$6:$H$12,$AF628),0))</f>
        <v>4</v>
      </c>
      <c r="AE628" s="23" t="n">
        <f aca="false">MATCH($B628&amp;"|"&amp;$C628,Profils!$A$5:$A$34,0)</f>
        <v>21</v>
      </c>
      <c r="AF628" s="23" t="n">
        <v>3</v>
      </c>
      <c r="AG628" s="24" t="n">
        <f aca="false" t="array" ref="AG628:AG628">INDEX(Paramètres!$C$6:$C$12,$AF628)</f>
        <v>1.45</v>
      </c>
      <c r="AH628" s="23" t="n">
        <f aca="false" t="array" ref="AH628:AH628">INDEX(Paramètres!$D$6:$D$12,$AF628)</f>
        <v>4</v>
      </c>
      <c r="AI628" s="23" t="n">
        <f aca="false" t="array" ref="AI628:AI628">INDEX(Matériaux!$C$16:$C$20,$D628)</f>
        <v>19</v>
      </c>
      <c r="AJ628" s="25" t="n">
        <f aca="false">Paramètres!$B$16+(1-Paramètres!$B$16)*(($J628-Paramètres!$B$14)/(Paramètres!$B$15-Paramètres!$B$14))^Paramètres!$B$17</f>
        <v>0.05</v>
      </c>
    </row>
    <row r="629" customFormat="false" ht="15.75" hidden="false" customHeight="true" outlineLevel="0" collapsed="false">
      <c r="A629" s="14" t="s">
        <v>745</v>
      </c>
      <c r="B629" s="15" t="s">
        <v>31</v>
      </c>
      <c r="C629" s="15" t="s">
        <v>107</v>
      </c>
      <c r="D629" s="16" t="n">
        <v>1</v>
      </c>
      <c r="E629" s="15" t="str">
        <f aca="false" t="array" ref="E629:E629">INDEX(Matériaux!$B$5:$F$12,MATCH(INDEX(Profils!$E$5:$E$34,$AE629),Matériaux!$A$5:$A$12,0),$D629)</f>
        <v>toile</v>
      </c>
      <c r="F629" s="28" t="s">
        <v>115</v>
      </c>
      <c r="G629" s="10" t="str">
        <f aca="false" t="array" ref="G629:G629">INDEX(Profils!$D$5:$D$34,$AE629)&amp;" en "&amp;$E629</f>
        <v>Capuche en toile</v>
      </c>
      <c r="H629" s="16" t="n">
        <f aca="false" t="array" ref="H629:H629">INDEX(Matériaux!$B$16:$B$20,$D629)</f>
        <v>1</v>
      </c>
      <c r="I629" s="16" t="n">
        <f aca="false">IF(ISNUMBER($C$3),MIN(MAX(0,ROUND($C$3,0)),$AI629),$AI629)</f>
        <v>0</v>
      </c>
      <c r="J629" s="18" t="n">
        <f aca="false">$H629+$I629</f>
        <v>1</v>
      </c>
      <c r="K629" s="15" t="s">
        <v>109</v>
      </c>
      <c r="L629" s="19" t="n">
        <f aca="false" t="array" ref="L629:L629">IF(AND(INDEX(Profils!$F$5:$F$34,$AE629)&gt;0,INDEX(Profils!$U$5:$U$34,$AE629)&lt;=$AH629),ROUND(INDEX(Profils!$F$5:$F$34,$AE629)*Paramètres!$E$22*$AG629*$AJ629,Paramètres!$F$22),0)</f>
        <v>2</v>
      </c>
      <c r="M629" s="19" t="n">
        <f aca="false" t="array" ref="M629:M629">IF(AND(INDEX(Profils!$G$5:$G$34,$AE629)&gt;0,INDEX(Profils!$V$5:$V$34,$AE629)&lt;=$AH629),ROUND(INDEX(Profils!$G$5:$G$34,$AE629)*Paramètres!$E$23*$AG629*$AJ629,Paramètres!$F$23),0)</f>
        <v>0</v>
      </c>
      <c r="N629" s="19" t="n">
        <f aca="false" t="array" ref="N629:N629">IF(AND(INDEX(Profils!$H$5:$H$34,$AE629)&gt;0,INDEX(Profils!$W$5:$W$34,$AE629)&lt;=$AH629),ROUND(INDEX(Profils!$H$5:$H$34,$AE629)*Paramètres!$E$24*$AG629*$AJ629,Paramètres!$F$24),0)</f>
        <v>0</v>
      </c>
      <c r="O629" s="19" t="n">
        <f aca="false" t="array" ref="O629:O629">IF(AND(INDEX(Profils!$I$5:$I$34,$AE629)&gt;0,INDEX(Profils!$X$5:$X$34,$AE629)&lt;=$AH629),ROUND(INDEX(Profils!$I$5:$I$34,$AE629)*Paramètres!$E$25*$AG629*$AJ629,Paramètres!$F$25),0)</f>
        <v>0</v>
      </c>
      <c r="P629" s="19" t="n">
        <f aca="false" t="array" ref="P629:P629">IF(AND(INDEX(Profils!$J$5:$J$34,$AE629)&gt;0,INDEX(Profils!$Y$5:$Y$34,$AE629)&lt;=$AH629),ROUND(INDEX(Profils!$J$5:$J$34,$AE629)*Paramètres!$E$26*$AG629*$AJ629,Paramètres!$F$26),0)</f>
        <v>1</v>
      </c>
      <c r="Q629" s="19" t="n">
        <f aca="false" t="array" ref="Q629:Q629">IF(AND(INDEX(Profils!$K$5:$K$34,$AE629)&gt;0,INDEX(Profils!$Z$5:$Z$34,$AE629)&lt;=$AH629),ROUND(INDEX(Profils!$K$5:$K$34,$AE629)*Paramètres!$E$27*$AG629*$AJ629,Paramètres!$F$27),0)</f>
        <v>0</v>
      </c>
      <c r="R629" s="20" t="n">
        <f aca="false" t="array" ref="R629:R629">IF(AND(INDEX(Profils!$L$5:$L$34,$AE629)&gt;0,INDEX(Profils!$AA$5:$AA$34,$AE629)&lt;=$AH629),ROUND(INDEX(Profils!$L$5:$L$34,$AE629)*Paramètres!$E$28*$AG629*$AJ629,Paramètres!$F$28),0)</f>
        <v>0.002</v>
      </c>
      <c r="S629" s="20" t="n">
        <f aca="false" t="array" ref="S629:S629">IF(AND(INDEX(Profils!$M$5:$M$34,$AE629)&gt;0,INDEX(Profils!$AB$5:$AB$34,$AE629)&lt;=$AH629),ROUND(INDEX(Profils!$M$5:$M$34,$AE629)*Paramètres!$E$29*$AG629*$AJ629,Paramètres!$F$29),0)</f>
        <v>0.001</v>
      </c>
      <c r="T629" s="20" t="n">
        <f aca="false" t="array" ref="T629:T629">IF(AND(INDEX(Profils!$N$5:$N$34,$AE629)&gt;0,INDEX(Profils!$AC$5:$AC$34,$AE629)&lt;=$AH629),ROUND(INDEX(Profils!$N$5:$N$34,$AE629)*Paramètres!$E$30*$AG629*$AJ629,Paramètres!$F$30),0)</f>
        <v>0</v>
      </c>
      <c r="U629" s="19" t="n">
        <f aca="false" t="array" ref="U629:U629">IF(AND(INDEX(Profils!$O$5:$O$34,$AE629)&gt;0,INDEX(Profils!$AD$5:$AD$34,$AE629)&lt;=$AH629),ROUND(INDEX(Profils!$O$5:$O$34,$AE629)*Paramètres!$E$31*$AG629*$AJ629,Paramètres!$F$31),0)</f>
        <v>0</v>
      </c>
      <c r="V629" s="20" t="n">
        <f aca="false" t="array" ref="V629:V629">IF(AND(INDEX(Profils!$P$5:$P$34,$AE629)&gt;0,INDEX(Profils!$AE$5:$AE$34,$AE629)&lt;=$AH629),ROUND(INDEX(Profils!$P$5:$P$34,$AE629)*Paramètres!$E$32*$AG629*$AJ629,Paramètres!$F$32),0)</f>
        <v>0</v>
      </c>
      <c r="W629" s="20" t="n">
        <f aca="false" t="array" ref="W629:W629">IF(AND(INDEX(Profils!$Q$5:$Q$34,$AE629)&gt;0,INDEX(Profils!$AF$5:$AF$34,$AE629)&lt;=$AH629),ROUND(INDEX(Profils!$Q$5:$Q$34,$AE629)*Paramètres!$E$33*$AG629*$AJ629,Paramètres!$F$33),0)</f>
        <v>0</v>
      </c>
      <c r="X629" s="20" t="n">
        <f aca="false" t="array" ref="X629:X629">IF(AND(INDEX(Profils!$R$5:$R$34,$AE629)&gt;0,INDEX(Profils!$AG$5:$AG$34,$AE629)&lt;=$AH629),ROUND(INDEX(Profils!$R$5:$R$34,$AE629)*Paramètres!$E$34*$AG629*$AJ629,Paramètres!$F$34),0)</f>
        <v>0</v>
      </c>
      <c r="Y629" s="20" t="n">
        <f aca="false" t="array" ref="Y629:Y629">IF(AND(INDEX(Profils!$S$5:$S$34,$AE629)&gt;0,INDEX(Profils!$AH$5:$AH$34,$AE629)&lt;=$AH629),ROUND(INDEX(Profils!$S$5:$S$34,$AE629)*Paramètres!$E$35*$AG629*$AJ629,Paramètres!$F$35),0)</f>
        <v>0.001</v>
      </c>
      <c r="Z629" s="21" t="n">
        <f aca="false">ROUND(L629/Paramètres!$E$22+M629/Paramètres!$E$23+N629/Paramètres!$E$24+O629/Paramètres!$E$25+P629/Paramètres!$E$26+Q629/Paramètres!$E$27+R629/Paramètres!$E$28+S629/Paramètres!$E$29+T629/Paramètres!$E$30+U629/Paramètres!$E$31+V629/Paramètres!$E$32+W629/Paramètres!$E$33+X629/Paramètres!$E$34+Y629/Paramètres!$E$35,1)</f>
        <v>0.4</v>
      </c>
      <c r="AA629" s="22" t="s">
        <v>109</v>
      </c>
      <c r="AB629" s="22" t="s">
        <v>109</v>
      </c>
      <c r="AC629" s="15" t="str">
        <f aca="false">$E629</f>
        <v>toile</v>
      </c>
      <c r="AD629" s="16" t="n">
        <f aca="false" t="array" ref="AD629:AD629">IF($I629&gt;=$AI629,"Max",ROUND(Paramètres!$B$40*($I629+1)^Paramètres!$B$41*INDEX(Paramètres!$H$6:$H$12,$AF629),0))</f>
        <v>5</v>
      </c>
      <c r="AE629" s="23" t="n">
        <f aca="false">MATCH($B629&amp;"|"&amp;$C629,Profils!$A$5:$A$34,0)</f>
        <v>21</v>
      </c>
      <c r="AF629" s="23" t="n">
        <v>4</v>
      </c>
      <c r="AG629" s="24" t="n">
        <f aca="false" t="array" ref="AG629:AG629">INDEX(Paramètres!$C$6:$C$12,$AF629)</f>
        <v>1.75</v>
      </c>
      <c r="AH629" s="23" t="n">
        <f aca="false" t="array" ref="AH629:AH629">INDEX(Paramètres!$D$6:$D$12,$AF629)</f>
        <v>5</v>
      </c>
      <c r="AI629" s="23" t="n">
        <f aca="false" t="array" ref="AI629:AI629">INDEX(Matériaux!$C$16:$C$20,$D629)</f>
        <v>19</v>
      </c>
      <c r="AJ629" s="25" t="n">
        <f aca="false">Paramètres!$B$16+(1-Paramètres!$B$16)*(($J629-Paramètres!$B$14)/(Paramètres!$B$15-Paramètres!$B$14))^Paramètres!$B$17</f>
        <v>0.05</v>
      </c>
    </row>
    <row r="630" customFormat="false" ht="15.75" hidden="false" customHeight="true" outlineLevel="0" collapsed="false">
      <c r="A630" s="14" t="s">
        <v>746</v>
      </c>
      <c r="B630" s="15" t="s">
        <v>31</v>
      </c>
      <c r="C630" s="15" t="s">
        <v>107</v>
      </c>
      <c r="D630" s="16" t="n">
        <v>1</v>
      </c>
      <c r="E630" s="15" t="str">
        <f aca="false" t="array" ref="E630:E630">INDEX(Matériaux!$B$5:$F$12,MATCH(INDEX(Profils!$E$5:$E$34,$AE630),Matériaux!$A$5:$A$12,0),$D630)</f>
        <v>toile</v>
      </c>
      <c r="F630" s="29" t="s">
        <v>117</v>
      </c>
      <c r="G630" s="10" t="str">
        <f aca="false" t="array" ref="G630:G630">INDEX(Profils!$D$5:$D$34,$AE630)&amp;" en "&amp;$E630</f>
        <v>Capuche en toile</v>
      </c>
      <c r="H630" s="16" t="n">
        <f aca="false" t="array" ref="H630:H630">INDEX(Matériaux!$B$16:$B$20,$D630)</f>
        <v>1</v>
      </c>
      <c r="I630" s="16" t="n">
        <f aca="false">IF(ISNUMBER($C$3),MIN(MAX(0,ROUND($C$3,0)),$AI630),$AI630)</f>
        <v>0</v>
      </c>
      <c r="J630" s="18" t="n">
        <f aca="false">$H630+$I630</f>
        <v>1</v>
      </c>
      <c r="K630" s="15" t="s">
        <v>109</v>
      </c>
      <c r="L630" s="19" t="n">
        <f aca="false" t="array" ref="L630:L630">IF(AND(INDEX(Profils!$F$5:$F$34,$AE630)&gt;0,INDEX(Profils!$U$5:$U$34,$AE630)&lt;=$AH630),ROUND(INDEX(Profils!$F$5:$F$34,$AE630)*Paramètres!$E$22*$AG630*$AJ630,Paramètres!$F$22),0)</f>
        <v>3</v>
      </c>
      <c r="M630" s="19" t="n">
        <f aca="false" t="array" ref="M630:M630">IF(AND(INDEX(Profils!$G$5:$G$34,$AE630)&gt;0,INDEX(Profils!$V$5:$V$34,$AE630)&lt;=$AH630),ROUND(INDEX(Profils!$G$5:$G$34,$AE630)*Paramètres!$E$23*$AG630*$AJ630,Paramètres!$F$23),0)</f>
        <v>0</v>
      </c>
      <c r="N630" s="19" t="n">
        <f aca="false" t="array" ref="N630:N630">IF(AND(INDEX(Profils!$H$5:$H$34,$AE630)&gt;0,INDEX(Profils!$W$5:$W$34,$AE630)&lt;=$AH630),ROUND(INDEX(Profils!$H$5:$H$34,$AE630)*Paramètres!$E$24*$AG630*$AJ630,Paramètres!$F$24),0)</f>
        <v>1</v>
      </c>
      <c r="O630" s="19" t="n">
        <f aca="false" t="array" ref="O630:O630">IF(AND(INDEX(Profils!$I$5:$I$34,$AE630)&gt;0,INDEX(Profils!$X$5:$X$34,$AE630)&lt;=$AH630),ROUND(INDEX(Profils!$I$5:$I$34,$AE630)*Paramètres!$E$25*$AG630*$AJ630,Paramètres!$F$25),0)</f>
        <v>0</v>
      </c>
      <c r="P630" s="19" t="n">
        <f aca="false" t="array" ref="P630:P630">IF(AND(INDEX(Profils!$J$5:$J$34,$AE630)&gt;0,INDEX(Profils!$Y$5:$Y$34,$AE630)&lt;=$AH630),ROUND(INDEX(Profils!$J$5:$J$34,$AE630)*Paramètres!$E$26*$AG630*$AJ630,Paramètres!$F$26),0)</f>
        <v>2</v>
      </c>
      <c r="Q630" s="19" t="n">
        <f aca="false" t="array" ref="Q630:Q630">IF(AND(INDEX(Profils!$K$5:$K$34,$AE630)&gt;0,INDEX(Profils!$Z$5:$Z$34,$AE630)&lt;=$AH630),ROUND(INDEX(Profils!$K$5:$K$34,$AE630)*Paramètres!$E$27*$AG630*$AJ630,Paramètres!$F$27),0)</f>
        <v>0</v>
      </c>
      <c r="R630" s="20" t="n">
        <f aca="false" t="array" ref="R630:R630">IF(AND(INDEX(Profils!$L$5:$L$34,$AE630)&gt;0,INDEX(Profils!$AA$5:$AA$34,$AE630)&lt;=$AH630),ROUND(INDEX(Profils!$L$5:$L$34,$AE630)*Paramètres!$E$28*$AG630*$AJ630,Paramètres!$F$28),0)</f>
        <v>0.002</v>
      </c>
      <c r="S630" s="20" t="n">
        <f aca="false" t="array" ref="S630:S630">IF(AND(INDEX(Profils!$M$5:$M$34,$AE630)&gt;0,INDEX(Profils!$AB$5:$AB$34,$AE630)&lt;=$AH630),ROUND(INDEX(Profils!$M$5:$M$34,$AE630)*Paramètres!$E$29*$AG630*$AJ630,Paramètres!$F$29),0)</f>
        <v>0.001</v>
      </c>
      <c r="T630" s="20" t="n">
        <f aca="false" t="array" ref="T630:T630">IF(AND(INDEX(Profils!$N$5:$N$34,$AE630)&gt;0,INDEX(Profils!$AC$5:$AC$34,$AE630)&lt;=$AH630),ROUND(INDEX(Profils!$N$5:$N$34,$AE630)*Paramètres!$E$30*$AG630*$AJ630,Paramètres!$F$30),0)</f>
        <v>0</v>
      </c>
      <c r="U630" s="19" t="n">
        <f aca="false" t="array" ref="U630:U630">IF(AND(INDEX(Profils!$O$5:$O$34,$AE630)&gt;0,INDEX(Profils!$AD$5:$AD$34,$AE630)&lt;=$AH630),ROUND(INDEX(Profils!$O$5:$O$34,$AE630)*Paramètres!$E$31*$AG630*$AJ630,Paramètres!$F$31),0)</f>
        <v>0</v>
      </c>
      <c r="V630" s="20" t="n">
        <f aca="false" t="array" ref="V630:V630">IF(AND(INDEX(Profils!$P$5:$P$34,$AE630)&gt;0,INDEX(Profils!$AE$5:$AE$34,$AE630)&lt;=$AH630),ROUND(INDEX(Profils!$P$5:$P$34,$AE630)*Paramètres!$E$32*$AG630*$AJ630,Paramètres!$F$32),0)</f>
        <v>0</v>
      </c>
      <c r="W630" s="20" t="n">
        <f aca="false" t="array" ref="W630:W630">IF(AND(INDEX(Profils!$Q$5:$Q$34,$AE630)&gt;0,INDEX(Profils!$AF$5:$AF$34,$AE630)&lt;=$AH630),ROUND(INDEX(Profils!$Q$5:$Q$34,$AE630)*Paramètres!$E$33*$AG630*$AJ630,Paramètres!$F$33),0)</f>
        <v>0</v>
      </c>
      <c r="X630" s="20" t="n">
        <f aca="false" t="array" ref="X630:X630">IF(AND(INDEX(Profils!$R$5:$R$34,$AE630)&gt;0,INDEX(Profils!$AG$5:$AG$34,$AE630)&lt;=$AH630),ROUND(INDEX(Profils!$R$5:$R$34,$AE630)*Paramètres!$E$34*$AG630*$AJ630,Paramètres!$F$34),0)</f>
        <v>0</v>
      </c>
      <c r="Y630" s="20" t="n">
        <f aca="false" t="array" ref="Y630:Y630">IF(AND(INDEX(Profils!$S$5:$S$34,$AE630)&gt;0,INDEX(Profils!$AH$5:$AH$34,$AE630)&lt;=$AH630),ROUND(INDEX(Profils!$S$5:$S$34,$AE630)*Paramètres!$E$35*$AG630*$AJ630,Paramètres!$F$35),0)</f>
        <v>0.001</v>
      </c>
      <c r="Z630" s="21" t="n">
        <f aca="false">ROUND(L630/Paramètres!$E$22+M630/Paramètres!$E$23+N630/Paramètres!$E$24+O630/Paramètres!$E$25+P630/Paramètres!$E$26+Q630/Paramètres!$E$27+R630/Paramètres!$E$28+S630/Paramètres!$E$29+T630/Paramètres!$E$30+U630/Paramètres!$E$31+V630/Paramètres!$E$32+W630/Paramètres!$E$33+X630/Paramètres!$E$34+Y630/Paramètres!$E$35,1)</f>
        <v>0.6</v>
      </c>
      <c r="AA630" s="22" t="s">
        <v>109</v>
      </c>
      <c r="AB630" s="22" t="s">
        <v>109</v>
      </c>
      <c r="AC630" s="15" t="str">
        <f aca="false">$E630</f>
        <v>toile</v>
      </c>
      <c r="AD630" s="16" t="n">
        <f aca="false" t="array" ref="AD630:AD630">IF($I630&gt;=$AI630,"Max",ROUND(Paramètres!$B$40*($I630+1)^Paramètres!$B$41*INDEX(Paramètres!$H$6:$H$12,$AF630),0))</f>
        <v>6</v>
      </c>
      <c r="AE630" s="23" t="n">
        <f aca="false">MATCH($B630&amp;"|"&amp;$C630,Profils!$A$5:$A$34,0)</f>
        <v>21</v>
      </c>
      <c r="AF630" s="23" t="n">
        <v>5</v>
      </c>
      <c r="AG630" s="24" t="n">
        <f aca="false" t="array" ref="AG630:AG630">INDEX(Paramètres!$C$6:$C$12,$AF630)</f>
        <v>2.1</v>
      </c>
      <c r="AH630" s="23" t="n">
        <f aca="false" t="array" ref="AH630:AH630">INDEX(Paramètres!$D$6:$D$12,$AF630)</f>
        <v>6</v>
      </c>
      <c r="AI630" s="23" t="n">
        <f aca="false" t="array" ref="AI630:AI630">INDEX(Matériaux!$C$16:$C$20,$D630)</f>
        <v>19</v>
      </c>
      <c r="AJ630" s="25" t="n">
        <f aca="false">Paramètres!$B$16+(1-Paramètres!$B$16)*(($J630-Paramètres!$B$14)/(Paramètres!$B$15-Paramètres!$B$14))^Paramètres!$B$17</f>
        <v>0.05</v>
      </c>
    </row>
    <row r="631" customFormat="false" ht="15.75" hidden="false" customHeight="true" outlineLevel="0" collapsed="false">
      <c r="A631" s="14" t="s">
        <v>747</v>
      </c>
      <c r="B631" s="15" t="s">
        <v>31</v>
      </c>
      <c r="C631" s="15" t="s">
        <v>107</v>
      </c>
      <c r="D631" s="16" t="n">
        <v>1</v>
      </c>
      <c r="E631" s="15" t="str">
        <f aca="false" t="array" ref="E631:E631">INDEX(Matériaux!$B$5:$F$12,MATCH(INDEX(Profils!$E$5:$E$34,$AE631),Matériaux!$A$5:$A$12,0),$D631)</f>
        <v>toile</v>
      </c>
      <c r="F631" s="30" t="s">
        <v>119</v>
      </c>
      <c r="G631" s="10" t="str">
        <f aca="false" t="array" ref="G631:G631">INDEX(Profils!$D$5:$D$34,$AE631)&amp;" en "&amp;$E631</f>
        <v>Capuche en toile</v>
      </c>
      <c r="H631" s="16" t="n">
        <f aca="false" t="array" ref="H631:H631">INDEX(Matériaux!$B$16:$B$20,$D631)</f>
        <v>1</v>
      </c>
      <c r="I631" s="16" t="n">
        <f aca="false">IF(ISNUMBER($C$3),MIN(MAX(0,ROUND($C$3,0)),$AI631),$AI631)</f>
        <v>0</v>
      </c>
      <c r="J631" s="18" t="n">
        <f aca="false">$H631+$I631</f>
        <v>1</v>
      </c>
      <c r="K631" s="15" t="s">
        <v>109</v>
      </c>
      <c r="L631" s="19" t="n">
        <f aca="false" t="array" ref="L631:L631">IF(AND(INDEX(Profils!$F$5:$F$34,$AE631)&gt;0,INDEX(Profils!$U$5:$U$34,$AE631)&lt;=$AH631),ROUND(INDEX(Profils!$F$5:$F$34,$AE631)*Paramètres!$E$22*$AG631*$AJ631,Paramètres!$F$22),0)</f>
        <v>3</v>
      </c>
      <c r="M631" s="19" t="n">
        <f aca="false" t="array" ref="M631:M631">IF(AND(INDEX(Profils!$G$5:$G$34,$AE631)&gt;0,INDEX(Profils!$V$5:$V$34,$AE631)&lt;=$AH631),ROUND(INDEX(Profils!$G$5:$G$34,$AE631)*Paramètres!$E$23*$AG631*$AJ631,Paramètres!$F$23),0)</f>
        <v>0</v>
      </c>
      <c r="N631" s="19" t="n">
        <f aca="false" t="array" ref="N631:N631">IF(AND(INDEX(Profils!$H$5:$H$34,$AE631)&gt;0,INDEX(Profils!$W$5:$W$34,$AE631)&lt;=$AH631),ROUND(INDEX(Profils!$H$5:$H$34,$AE631)*Paramètres!$E$24*$AG631*$AJ631,Paramètres!$F$24),0)</f>
        <v>1</v>
      </c>
      <c r="O631" s="19" t="n">
        <f aca="false" t="array" ref="O631:O631">IF(AND(INDEX(Profils!$I$5:$I$34,$AE631)&gt;0,INDEX(Profils!$X$5:$X$34,$AE631)&lt;=$AH631),ROUND(INDEX(Profils!$I$5:$I$34,$AE631)*Paramètres!$E$25*$AG631*$AJ631,Paramètres!$F$25),0)</f>
        <v>0</v>
      </c>
      <c r="P631" s="19" t="n">
        <f aca="false" t="array" ref="P631:P631">IF(AND(INDEX(Profils!$J$5:$J$34,$AE631)&gt;0,INDEX(Profils!$Y$5:$Y$34,$AE631)&lt;=$AH631),ROUND(INDEX(Profils!$J$5:$J$34,$AE631)*Paramètres!$E$26*$AG631*$AJ631,Paramètres!$F$26),0)</f>
        <v>2</v>
      </c>
      <c r="Q631" s="19" t="n">
        <f aca="false" t="array" ref="Q631:Q631">IF(AND(INDEX(Profils!$K$5:$K$34,$AE631)&gt;0,INDEX(Profils!$Z$5:$Z$34,$AE631)&lt;=$AH631),ROUND(INDEX(Profils!$K$5:$K$34,$AE631)*Paramètres!$E$27*$AG631*$AJ631,Paramètres!$F$27),0)</f>
        <v>1</v>
      </c>
      <c r="R631" s="20" t="n">
        <f aca="false" t="array" ref="R631:R631">IF(AND(INDEX(Profils!$L$5:$L$34,$AE631)&gt;0,INDEX(Profils!$AA$5:$AA$34,$AE631)&lt;=$AH631),ROUND(INDEX(Profils!$L$5:$L$34,$AE631)*Paramètres!$E$28*$AG631*$AJ631,Paramètres!$F$28),0)</f>
        <v>0.002</v>
      </c>
      <c r="S631" s="20" t="n">
        <f aca="false" t="array" ref="S631:S631">IF(AND(INDEX(Profils!$M$5:$M$34,$AE631)&gt;0,INDEX(Profils!$AB$5:$AB$34,$AE631)&lt;=$AH631),ROUND(INDEX(Profils!$M$5:$M$34,$AE631)*Paramètres!$E$29*$AG631*$AJ631,Paramètres!$F$29),0)</f>
        <v>0.001</v>
      </c>
      <c r="T631" s="20" t="n">
        <f aca="false" t="array" ref="T631:T631">IF(AND(INDEX(Profils!$N$5:$N$34,$AE631)&gt;0,INDEX(Profils!$AC$5:$AC$34,$AE631)&lt;=$AH631),ROUND(INDEX(Profils!$N$5:$N$34,$AE631)*Paramètres!$E$30*$AG631*$AJ631,Paramètres!$F$30),0)</f>
        <v>0</v>
      </c>
      <c r="U631" s="19" t="n">
        <f aca="false" t="array" ref="U631:U631">IF(AND(INDEX(Profils!$O$5:$O$34,$AE631)&gt;0,INDEX(Profils!$AD$5:$AD$34,$AE631)&lt;=$AH631),ROUND(INDEX(Profils!$O$5:$O$34,$AE631)*Paramètres!$E$31*$AG631*$AJ631,Paramètres!$F$31),0)</f>
        <v>0</v>
      </c>
      <c r="V631" s="20" t="n">
        <f aca="false" t="array" ref="V631:V631">IF(AND(INDEX(Profils!$P$5:$P$34,$AE631)&gt;0,INDEX(Profils!$AE$5:$AE$34,$AE631)&lt;=$AH631),ROUND(INDEX(Profils!$P$5:$P$34,$AE631)*Paramètres!$E$32*$AG631*$AJ631,Paramètres!$F$32),0)</f>
        <v>0</v>
      </c>
      <c r="W631" s="20" t="n">
        <f aca="false" t="array" ref="W631:W631">IF(AND(INDEX(Profils!$Q$5:$Q$34,$AE631)&gt;0,INDEX(Profils!$AF$5:$AF$34,$AE631)&lt;=$AH631),ROUND(INDEX(Profils!$Q$5:$Q$34,$AE631)*Paramètres!$E$33*$AG631*$AJ631,Paramètres!$F$33),0)</f>
        <v>0</v>
      </c>
      <c r="X631" s="20" t="n">
        <f aca="false" t="array" ref="X631:X631">IF(AND(INDEX(Profils!$R$5:$R$34,$AE631)&gt;0,INDEX(Profils!$AG$5:$AG$34,$AE631)&lt;=$AH631),ROUND(INDEX(Profils!$R$5:$R$34,$AE631)*Paramètres!$E$34*$AG631*$AJ631,Paramètres!$F$34),0)</f>
        <v>0</v>
      </c>
      <c r="Y631" s="20" t="n">
        <f aca="false" t="array" ref="Y631:Y631">IF(AND(INDEX(Profils!$S$5:$S$34,$AE631)&gt;0,INDEX(Profils!$AH$5:$AH$34,$AE631)&lt;=$AH631),ROUND(INDEX(Profils!$S$5:$S$34,$AE631)*Paramètres!$E$35*$AG631*$AJ631,Paramètres!$F$35),0)</f>
        <v>0.001</v>
      </c>
      <c r="Z631" s="21" t="n">
        <f aca="false">ROUND(L631/Paramètres!$E$22+M631/Paramètres!$E$23+N631/Paramètres!$E$24+O631/Paramètres!$E$25+P631/Paramètres!$E$26+Q631/Paramètres!$E$27+R631/Paramètres!$E$28+S631/Paramètres!$E$29+T631/Paramètres!$E$30+U631/Paramètres!$E$31+V631/Paramètres!$E$32+W631/Paramètres!$E$33+X631/Paramètres!$E$34+Y631/Paramètres!$E$35,1)</f>
        <v>0.7</v>
      </c>
      <c r="AA631" s="22" t="s">
        <v>109</v>
      </c>
      <c r="AB631" s="22" t="s">
        <v>109</v>
      </c>
      <c r="AC631" s="15" t="str">
        <f aca="false">$E631</f>
        <v>toile</v>
      </c>
      <c r="AD631" s="16" t="n">
        <f aca="false" t="array" ref="AD631:AD631">IF($I631&gt;=$AI631,"Max",ROUND(Paramètres!$B$40*($I631+1)^Paramètres!$B$41*INDEX(Paramètres!$H$6:$H$12,$AF631),0))</f>
        <v>8</v>
      </c>
      <c r="AE631" s="23" t="n">
        <f aca="false">MATCH($B631&amp;"|"&amp;$C631,Profils!$A$5:$A$34,0)</f>
        <v>21</v>
      </c>
      <c r="AF631" s="23" t="n">
        <v>6</v>
      </c>
      <c r="AG631" s="24" t="n">
        <f aca="false" t="array" ref="AG631:AG631">INDEX(Paramètres!$C$6:$C$12,$AF631)</f>
        <v>2.4</v>
      </c>
      <c r="AH631" s="23" t="n">
        <f aca="false" t="array" ref="AH631:AH631">INDEX(Paramètres!$D$6:$D$12,$AF631)</f>
        <v>7</v>
      </c>
      <c r="AI631" s="23" t="n">
        <f aca="false" t="array" ref="AI631:AI631">INDEX(Matériaux!$C$16:$C$20,$D631)</f>
        <v>19</v>
      </c>
      <c r="AJ631" s="25" t="n">
        <f aca="false">Paramètres!$B$16+(1-Paramètres!$B$16)*(($J631-Paramètres!$B$14)/(Paramètres!$B$15-Paramètres!$B$14))^Paramètres!$B$17</f>
        <v>0.05</v>
      </c>
    </row>
    <row r="632" customFormat="false" ht="15.75" hidden="false" customHeight="true" outlineLevel="0" collapsed="false">
      <c r="A632" s="14" t="s">
        <v>748</v>
      </c>
      <c r="B632" s="15" t="s">
        <v>31</v>
      </c>
      <c r="C632" s="15" t="s">
        <v>107</v>
      </c>
      <c r="D632" s="16" t="n">
        <v>2</v>
      </c>
      <c r="E632" s="15" t="str">
        <f aca="false" t="array" ref="E632:E632">INDEX(Matériaux!$B$5:$F$12,MATCH(INDEX(Profils!$E$5:$E$34,$AE632),Matériaux!$A$5:$A$12,0),$D632)</f>
        <v>cuir</v>
      </c>
      <c r="F632" s="17" t="s">
        <v>108</v>
      </c>
      <c r="G632" s="10" t="str">
        <f aca="false" t="array" ref="G632:G632">INDEX(Profils!$D$5:$D$34,$AE632)&amp;" en "&amp;$E632</f>
        <v>Capuche en cuir</v>
      </c>
      <c r="H632" s="16" t="n">
        <f aca="false" t="array" ref="H632:H632">INDEX(Matériaux!$B$16:$B$20,$D632)</f>
        <v>15</v>
      </c>
      <c r="I632" s="16" t="n">
        <f aca="false">IF(ISNUMBER($C$3),MIN(MAX(0,ROUND($C$3,0)),$AI632),$AI632)</f>
        <v>0</v>
      </c>
      <c r="J632" s="18" t="n">
        <f aca="false">$H632+$I632</f>
        <v>15</v>
      </c>
      <c r="K632" s="15" t="s">
        <v>109</v>
      </c>
      <c r="L632" s="19" t="n">
        <f aca="false" t="array" ref="L632:L632">IF(AND(INDEX(Profils!$F$5:$F$34,$AE632)&gt;0,INDEX(Profils!$U$5:$U$34,$AE632)&lt;=$AH632),ROUND(INDEX(Profils!$F$5:$F$34,$AE632)*Paramètres!$E$22*$AG632*$AJ632,Paramètres!$F$22),0)</f>
        <v>0</v>
      </c>
      <c r="M632" s="19" t="n">
        <f aca="false" t="array" ref="M632:M632">IF(AND(INDEX(Profils!$G$5:$G$34,$AE632)&gt;0,INDEX(Profils!$V$5:$V$34,$AE632)&lt;=$AH632),ROUND(INDEX(Profils!$G$5:$G$34,$AE632)*Paramètres!$E$23*$AG632*$AJ632,Paramètres!$F$23),0)</f>
        <v>0</v>
      </c>
      <c r="N632" s="19" t="n">
        <f aca="false" t="array" ref="N632:N632">IF(AND(INDEX(Profils!$H$5:$H$34,$AE632)&gt;0,INDEX(Profils!$W$5:$W$34,$AE632)&lt;=$AH632),ROUND(INDEX(Profils!$H$5:$H$34,$AE632)*Paramètres!$E$24*$AG632*$AJ632,Paramètres!$F$24),0)</f>
        <v>0</v>
      </c>
      <c r="O632" s="19" t="n">
        <f aca="false" t="array" ref="O632:O632">IF(AND(INDEX(Profils!$I$5:$I$34,$AE632)&gt;0,INDEX(Profils!$X$5:$X$34,$AE632)&lt;=$AH632),ROUND(INDEX(Profils!$I$5:$I$34,$AE632)*Paramètres!$E$25*$AG632*$AJ632,Paramètres!$F$25),0)</f>
        <v>0</v>
      </c>
      <c r="P632" s="19" t="n">
        <f aca="false" t="array" ref="P632:P632">IF(AND(INDEX(Profils!$J$5:$J$34,$AE632)&gt;0,INDEX(Profils!$Y$5:$Y$34,$AE632)&lt;=$AH632),ROUND(INDEX(Profils!$J$5:$J$34,$AE632)*Paramètres!$E$26*$AG632*$AJ632,Paramètres!$F$26),0)</f>
        <v>2</v>
      </c>
      <c r="Q632" s="19" t="n">
        <f aca="false" t="array" ref="Q632:Q632">IF(AND(INDEX(Profils!$K$5:$K$34,$AE632)&gt;0,INDEX(Profils!$Z$5:$Z$34,$AE632)&lt;=$AH632),ROUND(INDEX(Profils!$K$5:$K$34,$AE632)*Paramètres!$E$27*$AG632*$AJ632,Paramètres!$F$27),0)</f>
        <v>0</v>
      </c>
      <c r="R632" s="20" t="n">
        <f aca="false" t="array" ref="R632:R632">IF(AND(INDEX(Profils!$L$5:$L$34,$AE632)&gt;0,INDEX(Profils!$AA$5:$AA$34,$AE632)&lt;=$AH632),ROUND(INDEX(Profils!$L$5:$L$34,$AE632)*Paramètres!$E$28*$AG632*$AJ632,Paramètres!$F$28),0)</f>
        <v>0.003</v>
      </c>
      <c r="S632" s="20" t="n">
        <f aca="false" t="array" ref="S632:S632">IF(AND(INDEX(Profils!$M$5:$M$34,$AE632)&gt;0,INDEX(Profils!$AB$5:$AB$34,$AE632)&lt;=$AH632),ROUND(INDEX(Profils!$M$5:$M$34,$AE632)*Paramètres!$E$29*$AG632*$AJ632,Paramètres!$F$29),0)</f>
        <v>0</v>
      </c>
      <c r="T632" s="20" t="n">
        <f aca="false" t="array" ref="T632:T632">IF(AND(INDEX(Profils!$N$5:$N$34,$AE632)&gt;0,INDEX(Profils!$AC$5:$AC$34,$AE632)&lt;=$AH632),ROUND(INDEX(Profils!$N$5:$N$34,$AE632)*Paramètres!$E$30*$AG632*$AJ632,Paramètres!$F$30),0)</f>
        <v>0</v>
      </c>
      <c r="U632" s="19" t="n">
        <f aca="false" t="array" ref="U632:U632">IF(AND(INDEX(Profils!$O$5:$O$34,$AE632)&gt;0,INDEX(Profils!$AD$5:$AD$34,$AE632)&lt;=$AH632),ROUND(INDEX(Profils!$O$5:$O$34,$AE632)*Paramètres!$E$31*$AG632*$AJ632,Paramètres!$F$31),0)</f>
        <v>0</v>
      </c>
      <c r="V632" s="20" t="n">
        <f aca="false" t="array" ref="V632:V632">IF(AND(INDEX(Profils!$P$5:$P$34,$AE632)&gt;0,INDEX(Profils!$AE$5:$AE$34,$AE632)&lt;=$AH632),ROUND(INDEX(Profils!$P$5:$P$34,$AE632)*Paramètres!$E$32*$AG632*$AJ632,Paramètres!$F$32),0)</f>
        <v>0</v>
      </c>
      <c r="W632" s="20" t="n">
        <f aca="false" t="array" ref="W632:W632">IF(AND(INDEX(Profils!$Q$5:$Q$34,$AE632)&gt;0,INDEX(Profils!$AF$5:$AF$34,$AE632)&lt;=$AH632),ROUND(INDEX(Profils!$Q$5:$Q$34,$AE632)*Paramètres!$E$33*$AG632*$AJ632,Paramètres!$F$33),0)</f>
        <v>0</v>
      </c>
      <c r="X632" s="20" t="n">
        <f aca="false" t="array" ref="X632:X632">IF(AND(INDEX(Profils!$R$5:$R$34,$AE632)&gt;0,INDEX(Profils!$AG$5:$AG$34,$AE632)&lt;=$AH632),ROUND(INDEX(Profils!$R$5:$R$34,$AE632)*Paramètres!$E$34*$AG632*$AJ632,Paramètres!$F$34),0)</f>
        <v>0</v>
      </c>
      <c r="Y632" s="20" t="n">
        <f aca="false" t="array" ref="Y632:Y632">IF(AND(INDEX(Profils!$S$5:$S$34,$AE632)&gt;0,INDEX(Profils!$AH$5:$AH$34,$AE632)&lt;=$AH632),ROUND(INDEX(Profils!$S$5:$S$34,$AE632)*Paramètres!$E$35*$AG632*$AJ632,Paramètres!$F$35),0)</f>
        <v>0</v>
      </c>
      <c r="Z632" s="21" t="n">
        <f aca="false">ROUND(L632/Paramètres!$E$22+M632/Paramètres!$E$23+N632/Paramètres!$E$24+O632/Paramètres!$E$25+P632/Paramètres!$E$26+Q632/Paramètres!$E$27+R632/Paramètres!$E$28+S632/Paramètres!$E$29+T632/Paramètres!$E$30+U632/Paramètres!$E$31+V632/Paramètres!$E$32+W632/Paramètres!$E$33+X632/Paramètres!$E$34+Y632/Paramètres!$E$35,1)</f>
        <v>0.4</v>
      </c>
      <c r="AA632" s="22" t="s">
        <v>109</v>
      </c>
      <c r="AB632" s="22" t="s">
        <v>109</v>
      </c>
      <c r="AC632" s="15" t="str">
        <f aca="false">$E632</f>
        <v>cuir</v>
      </c>
      <c r="AD632" s="16" t="n">
        <f aca="false" t="array" ref="AD632:AD632">IF($I632&gt;=$AI632,"Max",ROUND(Paramètres!$B$40*($I632+1)^Paramètres!$B$41*INDEX(Paramètres!$H$6:$H$12,$AF632),0))</f>
        <v>3</v>
      </c>
      <c r="AE632" s="23" t="n">
        <f aca="false">MATCH($B632&amp;"|"&amp;$C632,Profils!$A$5:$A$34,0)</f>
        <v>21</v>
      </c>
      <c r="AF632" s="23" t="n">
        <v>1</v>
      </c>
      <c r="AG632" s="24" t="n">
        <f aca="false" t="array" ref="AG632:AG632">INDEX(Paramètres!$C$6:$C$12,$AF632)</f>
        <v>1</v>
      </c>
      <c r="AH632" s="23" t="n">
        <f aca="false" t="array" ref="AH632:AH632">INDEX(Paramètres!$D$6:$D$12,$AF632)</f>
        <v>2</v>
      </c>
      <c r="AI632" s="23" t="n">
        <f aca="false" t="array" ref="AI632:AI632">INDEX(Matériaux!$C$16:$C$20,$D632)</f>
        <v>20</v>
      </c>
      <c r="AJ632" s="25" t="n">
        <f aca="false">Paramètres!$B$16+(1-Paramètres!$B$16)*(($J632-Paramètres!$B$14)/(Paramètres!$B$15-Paramètres!$B$14))^Paramètres!$B$17</f>
        <v>0.140847925475674</v>
      </c>
    </row>
    <row r="633" customFormat="false" ht="15.75" hidden="false" customHeight="true" outlineLevel="0" collapsed="false">
      <c r="A633" s="14" t="s">
        <v>749</v>
      </c>
      <c r="B633" s="15" t="s">
        <v>31</v>
      </c>
      <c r="C633" s="15" t="s">
        <v>107</v>
      </c>
      <c r="D633" s="16" t="n">
        <v>2</v>
      </c>
      <c r="E633" s="15" t="str">
        <f aca="false" t="array" ref="E633:E633">INDEX(Matériaux!$B$5:$F$12,MATCH(INDEX(Profils!$E$5:$E$34,$AE633),Matériaux!$A$5:$A$12,0),$D633)</f>
        <v>cuir</v>
      </c>
      <c r="F633" s="26" t="s">
        <v>111</v>
      </c>
      <c r="G633" s="10" t="str">
        <f aca="false" t="array" ref="G633:G633">INDEX(Profils!$D$5:$D$34,$AE633)&amp;" en "&amp;$E633</f>
        <v>Capuche en cuir</v>
      </c>
      <c r="H633" s="16" t="n">
        <f aca="false" t="array" ref="H633:H633">INDEX(Matériaux!$B$16:$B$20,$D633)</f>
        <v>15</v>
      </c>
      <c r="I633" s="16" t="n">
        <f aca="false">IF(ISNUMBER($C$3),MIN(MAX(0,ROUND($C$3,0)),$AI633),$AI633)</f>
        <v>0</v>
      </c>
      <c r="J633" s="18" t="n">
        <f aca="false">$H633+$I633</f>
        <v>15</v>
      </c>
      <c r="K633" s="15" t="s">
        <v>109</v>
      </c>
      <c r="L633" s="19" t="n">
        <f aca="false" t="array" ref="L633:L633">IF(AND(INDEX(Profils!$F$5:$F$34,$AE633)&gt;0,INDEX(Profils!$U$5:$U$34,$AE633)&lt;=$AH633),ROUND(INDEX(Profils!$F$5:$F$34,$AE633)*Paramètres!$E$22*$AG633*$AJ633,Paramètres!$F$22),0)</f>
        <v>4</v>
      </c>
      <c r="M633" s="19" t="n">
        <f aca="false" t="array" ref="M633:M633">IF(AND(INDEX(Profils!$G$5:$G$34,$AE633)&gt;0,INDEX(Profils!$V$5:$V$34,$AE633)&lt;=$AH633),ROUND(INDEX(Profils!$G$5:$G$34,$AE633)*Paramètres!$E$23*$AG633*$AJ633,Paramètres!$F$23),0)</f>
        <v>0</v>
      </c>
      <c r="N633" s="19" t="n">
        <f aca="false" t="array" ref="N633:N633">IF(AND(INDEX(Profils!$H$5:$H$34,$AE633)&gt;0,INDEX(Profils!$W$5:$W$34,$AE633)&lt;=$AH633),ROUND(INDEX(Profils!$H$5:$H$34,$AE633)*Paramètres!$E$24*$AG633*$AJ633,Paramètres!$F$24),0)</f>
        <v>0</v>
      </c>
      <c r="O633" s="19" t="n">
        <f aca="false" t="array" ref="O633:O633">IF(AND(INDEX(Profils!$I$5:$I$34,$AE633)&gt;0,INDEX(Profils!$X$5:$X$34,$AE633)&lt;=$AH633),ROUND(INDEX(Profils!$I$5:$I$34,$AE633)*Paramètres!$E$25*$AG633*$AJ633,Paramètres!$F$25),0)</f>
        <v>0</v>
      </c>
      <c r="P633" s="19" t="n">
        <f aca="false" t="array" ref="P633:P633">IF(AND(INDEX(Profils!$J$5:$J$34,$AE633)&gt;0,INDEX(Profils!$Y$5:$Y$34,$AE633)&lt;=$AH633),ROUND(INDEX(Profils!$J$5:$J$34,$AE633)*Paramètres!$E$26*$AG633*$AJ633,Paramètres!$F$26),0)</f>
        <v>2</v>
      </c>
      <c r="Q633" s="19" t="n">
        <f aca="false" t="array" ref="Q633:Q633">IF(AND(INDEX(Profils!$K$5:$K$34,$AE633)&gt;0,INDEX(Profils!$Z$5:$Z$34,$AE633)&lt;=$AH633),ROUND(INDEX(Profils!$K$5:$K$34,$AE633)*Paramètres!$E$27*$AG633*$AJ633,Paramètres!$F$27),0)</f>
        <v>0</v>
      </c>
      <c r="R633" s="20" t="n">
        <f aca="false" t="array" ref="R633:R633">IF(AND(INDEX(Profils!$L$5:$L$34,$AE633)&gt;0,INDEX(Profils!$AA$5:$AA$34,$AE633)&lt;=$AH633),ROUND(INDEX(Profils!$L$5:$L$34,$AE633)*Paramètres!$E$28*$AG633*$AJ633,Paramètres!$F$28),0)</f>
        <v>0.003</v>
      </c>
      <c r="S633" s="20" t="n">
        <f aca="false" t="array" ref="S633:S633">IF(AND(INDEX(Profils!$M$5:$M$34,$AE633)&gt;0,INDEX(Profils!$AB$5:$AB$34,$AE633)&lt;=$AH633),ROUND(INDEX(Profils!$M$5:$M$34,$AE633)*Paramètres!$E$29*$AG633*$AJ633,Paramètres!$F$29),0)</f>
        <v>0</v>
      </c>
      <c r="T633" s="20" t="n">
        <f aca="false" t="array" ref="T633:T633">IF(AND(INDEX(Profils!$N$5:$N$34,$AE633)&gt;0,INDEX(Profils!$AC$5:$AC$34,$AE633)&lt;=$AH633),ROUND(INDEX(Profils!$N$5:$N$34,$AE633)*Paramètres!$E$30*$AG633*$AJ633,Paramètres!$F$30),0)</f>
        <v>0</v>
      </c>
      <c r="U633" s="19" t="n">
        <f aca="false" t="array" ref="U633:U633">IF(AND(INDEX(Profils!$O$5:$O$34,$AE633)&gt;0,INDEX(Profils!$AD$5:$AD$34,$AE633)&lt;=$AH633),ROUND(INDEX(Profils!$O$5:$O$34,$AE633)*Paramètres!$E$31*$AG633*$AJ633,Paramètres!$F$31),0)</f>
        <v>0</v>
      </c>
      <c r="V633" s="20" t="n">
        <f aca="false" t="array" ref="V633:V633">IF(AND(INDEX(Profils!$P$5:$P$34,$AE633)&gt;0,INDEX(Profils!$AE$5:$AE$34,$AE633)&lt;=$AH633),ROUND(INDEX(Profils!$P$5:$P$34,$AE633)*Paramètres!$E$32*$AG633*$AJ633,Paramètres!$F$32),0)</f>
        <v>0</v>
      </c>
      <c r="W633" s="20" t="n">
        <f aca="false" t="array" ref="W633:W633">IF(AND(INDEX(Profils!$Q$5:$Q$34,$AE633)&gt;0,INDEX(Profils!$AF$5:$AF$34,$AE633)&lt;=$AH633),ROUND(INDEX(Profils!$Q$5:$Q$34,$AE633)*Paramètres!$E$33*$AG633*$AJ633,Paramètres!$F$33),0)</f>
        <v>0</v>
      </c>
      <c r="X633" s="20" t="n">
        <f aca="false" t="array" ref="X633:X633">IF(AND(INDEX(Profils!$R$5:$R$34,$AE633)&gt;0,INDEX(Profils!$AG$5:$AG$34,$AE633)&lt;=$AH633),ROUND(INDEX(Profils!$R$5:$R$34,$AE633)*Paramètres!$E$34*$AG633*$AJ633,Paramètres!$F$34),0)</f>
        <v>0</v>
      </c>
      <c r="Y633" s="20" t="n">
        <f aca="false" t="array" ref="Y633:Y633">IF(AND(INDEX(Profils!$S$5:$S$34,$AE633)&gt;0,INDEX(Profils!$AH$5:$AH$34,$AE633)&lt;=$AH633),ROUND(INDEX(Profils!$S$5:$S$34,$AE633)*Paramètres!$E$35*$AG633*$AJ633,Paramètres!$F$35),0)</f>
        <v>0</v>
      </c>
      <c r="Z633" s="21" t="n">
        <f aca="false">ROUND(L633/Paramètres!$E$22+M633/Paramètres!$E$23+N633/Paramètres!$E$24+O633/Paramètres!$E$25+P633/Paramètres!$E$26+Q633/Paramètres!$E$27+R633/Paramètres!$E$28+S633/Paramètres!$E$29+T633/Paramètres!$E$30+U633/Paramètres!$E$31+V633/Paramètres!$E$32+W633/Paramètres!$E$33+X633/Paramètres!$E$34+Y633/Paramètres!$E$35,1)</f>
        <v>0.5</v>
      </c>
      <c r="AA633" s="22" t="s">
        <v>109</v>
      </c>
      <c r="AB633" s="22" t="s">
        <v>109</v>
      </c>
      <c r="AC633" s="15" t="str">
        <f aca="false">$E633</f>
        <v>cuir</v>
      </c>
      <c r="AD633" s="16" t="n">
        <f aca="false" t="array" ref="AD633:AD633">IF($I633&gt;=$AI633,"Max",ROUND(Paramètres!$B$40*($I633+1)^Paramètres!$B$41*INDEX(Paramètres!$H$6:$H$12,$AF633),0))</f>
        <v>4</v>
      </c>
      <c r="AE633" s="23" t="n">
        <f aca="false">MATCH($B633&amp;"|"&amp;$C633,Profils!$A$5:$A$34,0)</f>
        <v>21</v>
      </c>
      <c r="AF633" s="23" t="n">
        <v>2</v>
      </c>
      <c r="AG633" s="24" t="n">
        <f aca="false" t="array" ref="AG633:AG633">INDEX(Paramètres!$C$6:$C$12,$AF633)</f>
        <v>1.2</v>
      </c>
      <c r="AH633" s="23" t="n">
        <f aca="false" t="array" ref="AH633:AH633">INDEX(Paramètres!$D$6:$D$12,$AF633)</f>
        <v>3</v>
      </c>
      <c r="AI633" s="23" t="n">
        <f aca="false" t="array" ref="AI633:AI633">INDEX(Matériaux!$C$16:$C$20,$D633)</f>
        <v>20</v>
      </c>
      <c r="AJ633" s="25" t="n">
        <f aca="false">Paramètres!$B$16+(1-Paramètres!$B$16)*(($J633-Paramètres!$B$14)/(Paramètres!$B$15-Paramètres!$B$14))^Paramètres!$B$17</f>
        <v>0.140847925475674</v>
      </c>
    </row>
    <row r="634" customFormat="false" ht="15.75" hidden="false" customHeight="true" outlineLevel="0" collapsed="false">
      <c r="A634" s="14" t="s">
        <v>750</v>
      </c>
      <c r="B634" s="15" t="s">
        <v>31</v>
      </c>
      <c r="C634" s="15" t="s">
        <v>107</v>
      </c>
      <c r="D634" s="16" t="n">
        <v>2</v>
      </c>
      <c r="E634" s="15" t="str">
        <f aca="false" t="array" ref="E634:E634">INDEX(Matériaux!$B$5:$F$12,MATCH(INDEX(Profils!$E$5:$E$34,$AE634),Matériaux!$A$5:$A$12,0),$D634)</f>
        <v>cuir</v>
      </c>
      <c r="F634" s="27" t="s">
        <v>113</v>
      </c>
      <c r="G634" s="10" t="str">
        <f aca="false" t="array" ref="G634:G634">INDEX(Profils!$D$5:$D$34,$AE634)&amp;" en "&amp;$E634</f>
        <v>Capuche en cuir</v>
      </c>
      <c r="H634" s="16" t="n">
        <f aca="false" t="array" ref="H634:H634">INDEX(Matériaux!$B$16:$B$20,$D634)</f>
        <v>15</v>
      </c>
      <c r="I634" s="16" t="n">
        <f aca="false">IF(ISNUMBER($C$3),MIN(MAX(0,ROUND($C$3,0)),$AI634),$AI634)</f>
        <v>0</v>
      </c>
      <c r="J634" s="18" t="n">
        <f aca="false">$H634+$I634</f>
        <v>15</v>
      </c>
      <c r="K634" s="15" t="s">
        <v>109</v>
      </c>
      <c r="L634" s="19" t="n">
        <f aca="false" t="array" ref="L634:L634">IF(AND(INDEX(Profils!$F$5:$F$34,$AE634)&gt;0,INDEX(Profils!$U$5:$U$34,$AE634)&lt;=$AH634),ROUND(INDEX(Profils!$F$5:$F$34,$AE634)*Paramètres!$E$22*$AG634*$AJ634,Paramètres!$F$22),0)</f>
        <v>5</v>
      </c>
      <c r="M634" s="19" t="n">
        <f aca="false" t="array" ref="M634:M634">IF(AND(INDEX(Profils!$G$5:$G$34,$AE634)&gt;0,INDEX(Profils!$V$5:$V$34,$AE634)&lt;=$AH634),ROUND(INDEX(Profils!$G$5:$G$34,$AE634)*Paramètres!$E$23*$AG634*$AJ634,Paramètres!$F$23),0)</f>
        <v>0</v>
      </c>
      <c r="N634" s="19" t="n">
        <f aca="false" t="array" ref="N634:N634">IF(AND(INDEX(Profils!$H$5:$H$34,$AE634)&gt;0,INDEX(Profils!$W$5:$W$34,$AE634)&lt;=$AH634),ROUND(INDEX(Profils!$H$5:$H$34,$AE634)*Paramètres!$E$24*$AG634*$AJ634,Paramètres!$F$24),0)</f>
        <v>0</v>
      </c>
      <c r="O634" s="19" t="n">
        <f aca="false" t="array" ref="O634:O634">IF(AND(INDEX(Profils!$I$5:$I$34,$AE634)&gt;0,INDEX(Profils!$X$5:$X$34,$AE634)&lt;=$AH634),ROUND(INDEX(Profils!$I$5:$I$34,$AE634)*Paramètres!$E$25*$AG634*$AJ634,Paramètres!$F$25),0)</f>
        <v>0</v>
      </c>
      <c r="P634" s="19" t="n">
        <f aca="false" t="array" ref="P634:P634">IF(AND(INDEX(Profils!$J$5:$J$34,$AE634)&gt;0,INDEX(Profils!$Y$5:$Y$34,$AE634)&lt;=$AH634),ROUND(INDEX(Profils!$J$5:$J$34,$AE634)*Paramètres!$E$26*$AG634*$AJ634,Paramètres!$F$26),0)</f>
        <v>3</v>
      </c>
      <c r="Q634" s="19" t="n">
        <f aca="false" t="array" ref="Q634:Q634">IF(AND(INDEX(Profils!$K$5:$K$34,$AE634)&gt;0,INDEX(Profils!$Z$5:$Z$34,$AE634)&lt;=$AH634),ROUND(INDEX(Profils!$K$5:$K$34,$AE634)*Paramètres!$E$27*$AG634*$AJ634,Paramètres!$F$27),0)</f>
        <v>0</v>
      </c>
      <c r="R634" s="20" t="n">
        <f aca="false" t="array" ref="R634:R634">IF(AND(INDEX(Profils!$L$5:$L$34,$AE634)&gt;0,INDEX(Profils!$AA$5:$AA$34,$AE634)&lt;=$AH634),ROUND(INDEX(Profils!$L$5:$L$34,$AE634)*Paramètres!$E$28*$AG634*$AJ634,Paramètres!$F$28),0)</f>
        <v>0.004</v>
      </c>
      <c r="S634" s="20" t="n">
        <f aca="false" t="array" ref="S634:S634">IF(AND(INDEX(Profils!$M$5:$M$34,$AE634)&gt;0,INDEX(Profils!$AB$5:$AB$34,$AE634)&lt;=$AH634),ROUND(INDEX(Profils!$M$5:$M$34,$AE634)*Paramètres!$E$29*$AG634*$AJ634,Paramètres!$F$29),0)</f>
        <v>0.002</v>
      </c>
      <c r="T634" s="20" t="n">
        <f aca="false" t="array" ref="T634:T634">IF(AND(INDEX(Profils!$N$5:$N$34,$AE634)&gt;0,INDEX(Profils!$AC$5:$AC$34,$AE634)&lt;=$AH634),ROUND(INDEX(Profils!$N$5:$N$34,$AE634)*Paramètres!$E$30*$AG634*$AJ634,Paramètres!$F$30),0)</f>
        <v>0</v>
      </c>
      <c r="U634" s="19" t="n">
        <f aca="false" t="array" ref="U634:U634">IF(AND(INDEX(Profils!$O$5:$O$34,$AE634)&gt;0,INDEX(Profils!$AD$5:$AD$34,$AE634)&lt;=$AH634),ROUND(INDEX(Profils!$O$5:$O$34,$AE634)*Paramètres!$E$31*$AG634*$AJ634,Paramètres!$F$31),0)</f>
        <v>0</v>
      </c>
      <c r="V634" s="20" t="n">
        <f aca="false" t="array" ref="V634:V634">IF(AND(INDEX(Profils!$P$5:$P$34,$AE634)&gt;0,INDEX(Profils!$AE$5:$AE$34,$AE634)&lt;=$AH634),ROUND(INDEX(Profils!$P$5:$P$34,$AE634)*Paramètres!$E$32*$AG634*$AJ634,Paramètres!$F$32),0)</f>
        <v>0</v>
      </c>
      <c r="W634" s="20" t="n">
        <f aca="false" t="array" ref="W634:W634">IF(AND(INDEX(Profils!$Q$5:$Q$34,$AE634)&gt;0,INDEX(Profils!$AF$5:$AF$34,$AE634)&lt;=$AH634),ROUND(INDEX(Profils!$Q$5:$Q$34,$AE634)*Paramètres!$E$33*$AG634*$AJ634,Paramètres!$F$33),0)</f>
        <v>0</v>
      </c>
      <c r="X634" s="20" t="n">
        <f aca="false" t="array" ref="X634:X634">IF(AND(INDEX(Profils!$R$5:$R$34,$AE634)&gt;0,INDEX(Profils!$AG$5:$AG$34,$AE634)&lt;=$AH634),ROUND(INDEX(Profils!$R$5:$R$34,$AE634)*Paramètres!$E$34*$AG634*$AJ634,Paramètres!$F$34),0)</f>
        <v>0</v>
      </c>
      <c r="Y634" s="20" t="n">
        <f aca="false" t="array" ref="Y634:Y634">IF(AND(INDEX(Profils!$S$5:$S$34,$AE634)&gt;0,INDEX(Profils!$AH$5:$AH$34,$AE634)&lt;=$AH634),ROUND(INDEX(Profils!$S$5:$S$34,$AE634)*Paramètres!$E$35*$AG634*$AJ634,Paramètres!$F$35),0)</f>
        <v>0</v>
      </c>
      <c r="Z634" s="21" t="n">
        <f aca="false">ROUND(L634/Paramètres!$E$22+M634/Paramètres!$E$23+N634/Paramètres!$E$24+O634/Paramètres!$E$25+P634/Paramètres!$E$26+Q634/Paramètres!$E$27+R634/Paramètres!$E$28+S634/Paramètres!$E$29+T634/Paramètres!$E$30+U634/Paramètres!$E$31+V634/Paramètres!$E$32+W634/Paramètres!$E$33+X634/Paramètres!$E$34+Y634/Paramètres!$E$35,1)</f>
        <v>0.9</v>
      </c>
      <c r="AA634" s="22" t="s">
        <v>109</v>
      </c>
      <c r="AB634" s="22" t="s">
        <v>109</v>
      </c>
      <c r="AC634" s="15" t="str">
        <f aca="false">$E634</f>
        <v>cuir</v>
      </c>
      <c r="AD634" s="16" t="n">
        <f aca="false" t="array" ref="AD634:AD634">IF($I634&gt;=$AI634,"Max",ROUND(Paramètres!$B$40*($I634+1)^Paramètres!$B$41*INDEX(Paramètres!$H$6:$H$12,$AF634),0))</f>
        <v>4</v>
      </c>
      <c r="AE634" s="23" t="n">
        <f aca="false">MATCH($B634&amp;"|"&amp;$C634,Profils!$A$5:$A$34,0)</f>
        <v>21</v>
      </c>
      <c r="AF634" s="23" t="n">
        <v>3</v>
      </c>
      <c r="AG634" s="24" t="n">
        <f aca="false" t="array" ref="AG634:AG634">INDEX(Paramètres!$C$6:$C$12,$AF634)</f>
        <v>1.45</v>
      </c>
      <c r="AH634" s="23" t="n">
        <f aca="false" t="array" ref="AH634:AH634">INDEX(Paramètres!$D$6:$D$12,$AF634)</f>
        <v>4</v>
      </c>
      <c r="AI634" s="23" t="n">
        <f aca="false" t="array" ref="AI634:AI634">INDEX(Matériaux!$C$16:$C$20,$D634)</f>
        <v>20</v>
      </c>
      <c r="AJ634" s="25" t="n">
        <f aca="false">Paramètres!$B$16+(1-Paramètres!$B$16)*(($J634-Paramètres!$B$14)/(Paramètres!$B$15-Paramètres!$B$14))^Paramètres!$B$17</f>
        <v>0.140847925475674</v>
      </c>
    </row>
    <row r="635" customFormat="false" ht="15.75" hidden="false" customHeight="true" outlineLevel="0" collapsed="false">
      <c r="A635" s="14" t="s">
        <v>751</v>
      </c>
      <c r="B635" s="15" t="s">
        <v>31</v>
      </c>
      <c r="C635" s="15" t="s">
        <v>107</v>
      </c>
      <c r="D635" s="16" t="n">
        <v>2</v>
      </c>
      <c r="E635" s="15" t="str">
        <f aca="false" t="array" ref="E635:E635">INDEX(Matériaux!$B$5:$F$12,MATCH(INDEX(Profils!$E$5:$E$34,$AE635),Matériaux!$A$5:$A$12,0),$D635)</f>
        <v>cuir</v>
      </c>
      <c r="F635" s="28" t="s">
        <v>115</v>
      </c>
      <c r="G635" s="10" t="str">
        <f aca="false" t="array" ref="G635:G635">INDEX(Profils!$D$5:$D$34,$AE635)&amp;" en "&amp;$E635</f>
        <v>Capuche en cuir</v>
      </c>
      <c r="H635" s="16" t="n">
        <f aca="false" t="array" ref="H635:H635">INDEX(Matériaux!$B$16:$B$20,$D635)</f>
        <v>15</v>
      </c>
      <c r="I635" s="16" t="n">
        <f aca="false">IF(ISNUMBER($C$3),MIN(MAX(0,ROUND($C$3,0)),$AI635),$AI635)</f>
        <v>0</v>
      </c>
      <c r="J635" s="18" t="n">
        <f aca="false">$H635+$I635</f>
        <v>15</v>
      </c>
      <c r="K635" s="15" t="s">
        <v>109</v>
      </c>
      <c r="L635" s="19" t="n">
        <f aca="false" t="array" ref="L635:L635">IF(AND(INDEX(Profils!$F$5:$F$34,$AE635)&gt;0,INDEX(Profils!$U$5:$U$34,$AE635)&lt;=$AH635),ROUND(INDEX(Profils!$F$5:$F$34,$AE635)*Paramètres!$E$22*$AG635*$AJ635,Paramètres!$F$22),0)</f>
        <v>6</v>
      </c>
      <c r="M635" s="19" t="n">
        <f aca="false" t="array" ref="M635:M635">IF(AND(INDEX(Profils!$G$5:$G$34,$AE635)&gt;0,INDEX(Profils!$V$5:$V$34,$AE635)&lt;=$AH635),ROUND(INDEX(Profils!$G$5:$G$34,$AE635)*Paramètres!$E$23*$AG635*$AJ635,Paramètres!$F$23),0)</f>
        <v>0</v>
      </c>
      <c r="N635" s="19" t="n">
        <f aca="false" t="array" ref="N635:N635">IF(AND(INDEX(Profils!$H$5:$H$34,$AE635)&gt;0,INDEX(Profils!$W$5:$W$34,$AE635)&lt;=$AH635),ROUND(INDEX(Profils!$H$5:$H$34,$AE635)*Paramètres!$E$24*$AG635*$AJ635,Paramètres!$F$24),0)</f>
        <v>0</v>
      </c>
      <c r="O635" s="19" t="n">
        <f aca="false" t="array" ref="O635:O635">IF(AND(INDEX(Profils!$I$5:$I$34,$AE635)&gt;0,INDEX(Profils!$X$5:$X$34,$AE635)&lt;=$AH635),ROUND(INDEX(Profils!$I$5:$I$34,$AE635)*Paramètres!$E$25*$AG635*$AJ635,Paramètres!$F$25),0)</f>
        <v>0</v>
      </c>
      <c r="P635" s="19" t="n">
        <f aca="false" t="array" ref="P635:P635">IF(AND(INDEX(Profils!$J$5:$J$34,$AE635)&gt;0,INDEX(Profils!$Y$5:$Y$34,$AE635)&lt;=$AH635),ROUND(INDEX(Profils!$J$5:$J$34,$AE635)*Paramètres!$E$26*$AG635*$AJ635,Paramètres!$F$26),0)</f>
        <v>4</v>
      </c>
      <c r="Q635" s="19" t="n">
        <f aca="false" t="array" ref="Q635:Q635">IF(AND(INDEX(Profils!$K$5:$K$34,$AE635)&gt;0,INDEX(Profils!$Z$5:$Z$34,$AE635)&lt;=$AH635),ROUND(INDEX(Profils!$K$5:$K$34,$AE635)*Paramètres!$E$27*$AG635*$AJ635,Paramètres!$F$27),0)</f>
        <v>0</v>
      </c>
      <c r="R635" s="20" t="n">
        <f aca="false" t="array" ref="R635:R635">IF(AND(INDEX(Profils!$L$5:$L$34,$AE635)&gt;0,INDEX(Profils!$AA$5:$AA$34,$AE635)&lt;=$AH635),ROUND(INDEX(Profils!$L$5:$L$34,$AE635)*Paramètres!$E$28*$AG635*$AJ635,Paramètres!$F$28),0)</f>
        <v>0.004</v>
      </c>
      <c r="S635" s="20" t="n">
        <f aca="false" t="array" ref="S635:S635">IF(AND(INDEX(Profils!$M$5:$M$34,$AE635)&gt;0,INDEX(Profils!$AB$5:$AB$34,$AE635)&lt;=$AH635),ROUND(INDEX(Profils!$M$5:$M$34,$AE635)*Paramètres!$E$29*$AG635*$AJ635,Paramètres!$F$29),0)</f>
        <v>0.002</v>
      </c>
      <c r="T635" s="20" t="n">
        <f aca="false" t="array" ref="T635:T635">IF(AND(INDEX(Profils!$N$5:$N$34,$AE635)&gt;0,INDEX(Profils!$AC$5:$AC$34,$AE635)&lt;=$AH635),ROUND(INDEX(Profils!$N$5:$N$34,$AE635)*Paramètres!$E$30*$AG635*$AJ635,Paramètres!$F$30),0)</f>
        <v>0</v>
      </c>
      <c r="U635" s="19" t="n">
        <f aca="false" t="array" ref="U635:U635">IF(AND(INDEX(Profils!$O$5:$O$34,$AE635)&gt;0,INDEX(Profils!$AD$5:$AD$34,$AE635)&lt;=$AH635),ROUND(INDEX(Profils!$O$5:$O$34,$AE635)*Paramètres!$E$31*$AG635*$AJ635,Paramètres!$F$31),0)</f>
        <v>0</v>
      </c>
      <c r="V635" s="20" t="n">
        <f aca="false" t="array" ref="V635:V635">IF(AND(INDEX(Profils!$P$5:$P$34,$AE635)&gt;0,INDEX(Profils!$AE$5:$AE$34,$AE635)&lt;=$AH635),ROUND(INDEX(Profils!$P$5:$P$34,$AE635)*Paramètres!$E$32*$AG635*$AJ635,Paramètres!$F$32),0)</f>
        <v>0</v>
      </c>
      <c r="W635" s="20" t="n">
        <f aca="false" t="array" ref="W635:W635">IF(AND(INDEX(Profils!$Q$5:$Q$34,$AE635)&gt;0,INDEX(Profils!$AF$5:$AF$34,$AE635)&lt;=$AH635),ROUND(INDEX(Profils!$Q$5:$Q$34,$AE635)*Paramètres!$E$33*$AG635*$AJ635,Paramètres!$F$33),0)</f>
        <v>0</v>
      </c>
      <c r="X635" s="20" t="n">
        <f aca="false" t="array" ref="X635:X635">IF(AND(INDEX(Profils!$R$5:$R$34,$AE635)&gt;0,INDEX(Profils!$AG$5:$AG$34,$AE635)&lt;=$AH635),ROUND(INDEX(Profils!$R$5:$R$34,$AE635)*Paramètres!$E$34*$AG635*$AJ635,Paramètres!$F$34),0)</f>
        <v>0</v>
      </c>
      <c r="Y635" s="20" t="n">
        <f aca="false" t="array" ref="Y635:Y635">IF(AND(INDEX(Profils!$S$5:$S$34,$AE635)&gt;0,INDEX(Profils!$AH$5:$AH$34,$AE635)&lt;=$AH635),ROUND(INDEX(Profils!$S$5:$S$34,$AE635)*Paramètres!$E$35*$AG635*$AJ635,Paramètres!$F$35),0)</f>
        <v>0.003</v>
      </c>
      <c r="Z635" s="21" t="n">
        <f aca="false">ROUND(L635/Paramètres!$E$22+M635/Paramètres!$E$23+N635/Paramètres!$E$24+O635/Paramètres!$E$25+P635/Paramètres!$E$26+Q635/Paramètres!$E$27+R635/Paramètres!$E$28+S635/Paramètres!$E$29+T635/Paramètres!$E$30+U635/Paramètres!$E$31+V635/Paramètres!$E$32+W635/Paramètres!$E$33+X635/Paramètres!$E$34+Y635/Paramètres!$E$35,1)</f>
        <v>1.2</v>
      </c>
      <c r="AA635" s="22" t="s">
        <v>109</v>
      </c>
      <c r="AB635" s="22" t="s">
        <v>109</v>
      </c>
      <c r="AC635" s="15" t="str">
        <f aca="false">$E635</f>
        <v>cuir</v>
      </c>
      <c r="AD635" s="16" t="n">
        <f aca="false" t="array" ref="AD635:AD635">IF($I635&gt;=$AI635,"Max",ROUND(Paramètres!$B$40*($I635+1)^Paramètres!$B$41*INDEX(Paramètres!$H$6:$H$12,$AF635),0))</f>
        <v>5</v>
      </c>
      <c r="AE635" s="23" t="n">
        <f aca="false">MATCH($B635&amp;"|"&amp;$C635,Profils!$A$5:$A$34,0)</f>
        <v>21</v>
      </c>
      <c r="AF635" s="23" t="n">
        <v>4</v>
      </c>
      <c r="AG635" s="24" t="n">
        <f aca="false" t="array" ref="AG635:AG635">INDEX(Paramètres!$C$6:$C$12,$AF635)</f>
        <v>1.75</v>
      </c>
      <c r="AH635" s="23" t="n">
        <f aca="false" t="array" ref="AH635:AH635">INDEX(Paramètres!$D$6:$D$12,$AF635)</f>
        <v>5</v>
      </c>
      <c r="AI635" s="23" t="n">
        <f aca="false" t="array" ref="AI635:AI635">INDEX(Matériaux!$C$16:$C$20,$D635)</f>
        <v>20</v>
      </c>
      <c r="AJ635" s="25" t="n">
        <f aca="false">Paramètres!$B$16+(1-Paramètres!$B$16)*(($J635-Paramètres!$B$14)/(Paramètres!$B$15-Paramètres!$B$14))^Paramètres!$B$17</f>
        <v>0.140847925475674</v>
      </c>
    </row>
    <row r="636" customFormat="false" ht="15.75" hidden="false" customHeight="true" outlineLevel="0" collapsed="false">
      <c r="A636" s="14" t="s">
        <v>752</v>
      </c>
      <c r="B636" s="15" t="s">
        <v>31</v>
      </c>
      <c r="C636" s="15" t="s">
        <v>107</v>
      </c>
      <c r="D636" s="16" t="n">
        <v>2</v>
      </c>
      <c r="E636" s="15" t="str">
        <f aca="false" t="array" ref="E636:E636">INDEX(Matériaux!$B$5:$F$12,MATCH(INDEX(Profils!$E$5:$E$34,$AE636),Matériaux!$A$5:$A$12,0),$D636)</f>
        <v>cuir</v>
      </c>
      <c r="F636" s="29" t="s">
        <v>117</v>
      </c>
      <c r="G636" s="10" t="str">
        <f aca="false" t="array" ref="G636:G636">INDEX(Profils!$D$5:$D$34,$AE636)&amp;" en "&amp;$E636</f>
        <v>Capuche en cuir</v>
      </c>
      <c r="H636" s="16" t="n">
        <f aca="false" t="array" ref="H636:H636">INDEX(Matériaux!$B$16:$B$20,$D636)</f>
        <v>15</v>
      </c>
      <c r="I636" s="16" t="n">
        <f aca="false">IF(ISNUMBER($C$3),MIN(MAX(0,ROUND($C$3,0)),$AI636),$AI636)</f>
        <v>0</v>
      </c>
      <c r="J636" s="18" t="n">
        <f aca="false">$H636+$I636</f>
        <v>15</v>
      </c>
      <c r="K636" s="15" t="s">
        <v>109</v>
      </c>
      <c r="L636" s="19" t="n">
        <f aca="false" t="array" ref="L636:L636">IF(AND(INDEX(Profils!$F$5:$F$34,$AE636)&gt;0,INDEX(Profils!$U$5:$U$34,$AE636)&lt;=$AH636),ROUND(INDEX(Profils!$F$5:$F$34,$AE636)*Paramètres!$E$22*$AG636*$AJ636,Paramètres!$F$22),0)</f>
        <v>7</v>
      </c>
      <c r="M636" s="19" t="n">
        <f aca="false" t="array" ref="M636:M636">IF(AND(INDEX(Profils!$G$5:$G$34,$AE636)&gt;0,INDEX(Profils!$V$5:$V$34,$AE636)&lt;=$AH636),ROUND(INDEX(Profils!$G$5:$G$34,$AE636)*Paramètres!$E$23*$AG636*$AJ636,Paramètres!$F$23),0)</f>
        <v>0</v>
      </c>
      <c r="N636" s="19" t="n">
        <f aca="false" t="array" ref="N636:N636">IF(AND(INDEX(Profils!$H$5:$H$34,$AE636)&gt;0,INDEX(Profils!$W$5:$W$34,$AE636)&lt;=$AH636),ROUND(INDEX(Profils!$H$5:$H$34,$AE636)*Paramètres!$E$24*$AG636*$AJ636,Paramètres!$F$24),0)</f>
        <v>3</v>
      </c>
      <c r="O636" s="19" t="n">
        <f aca="false" t="array" ref="O636:O636">IF(AND(INDEX(Profils!$I$5:$I$34,$AE636)&gt;0,INDEX(Profils!$X$5:$X$34,$AE636)&lt;=$AH636),ROUND(INDEX(Profils!$I$5:$I$34,$AE636)*Paramètres!$E$25*$AG636*$AJ636,Paramètres!$F$25),0)</f>
        <v>0</v>
      </c>
      <c r="P636" s="19" t="n">
        <f aca="false" t="array" ref="P636:P636">IF(AND(INDEX(Profils!$J$5:$J$34,$AE636)&gt;0,INDEX(Profils!$Y$5:$Y$34,$AE636)&lt;=$AH636),ROUND(INDEX(Profils!$J$5:$J$34,$AE636)*Paramètres!$E$26*$AG636*$AJ636,Paramètres!$F$26),0)</f>
        <v>4</v>
      </c>
      <c r="Q636" s="19" t="n">
        <f aca="false" t="array" ref="Q636:Q636">IF(AND(INDEX(Profils!$K$5:$K$34,$AE636)&gt;0,INDEX(Profils!$Z$5:$Z$34,$AE636)&lt;=$AH636),ROUND(INDEX(Profils!$K$5:$K$34,$AE636)*Paramètres!$E$27*$AG636*$AJ636,Paramètres!$F$27),0)</f>
        <v>0</v>
      </c>
      <c r="R636" s="20" t="n">
        <f aca="false" t="array" ref="R636:R636">IF(AND(INDEX(Profils!$L$5:$L$34,$AE636)&gt;0,INDEX(Profils!$AA$5:$AA$34,$AE636)&lt;=$AH636),ROUND(INDEX(Profils!$L$5:$L$34,$AE636)*Paramètres!$E$28*$AG636*$AJ636,Paramètres!$F$28),0)</f>
        <v>0.005</v>
      </c>
      <c r="S636" s="20" t="n">
        <f aca="false" t="array" ref="S636:S636">IF(AND(INDEX(Profils!$M$5:$M$34,$AE636)&gt;0,INDEX(Profils!$AB$5:$AB$34,$AE636)&lt;=$AH636),ROUND(INDEX(Profils!$M$5:$M$34,$AE636)*Paramètres!$E$29*$AG636*$AJ636,Paramètres!$F$29),0)</f>
        <v>0.003</v>
      </c>
      <c r="T636" s="20" t="n">
        <f aca="false" t="array" ref="T636:T636">IF(AND(INDEX(Profils!$N$5:$N$34,$AE636)&gt;0,INDEX(Profils!$AC$5:$AC$34,$AE636)&lt;=$AH636),ROUND(INDEX(Profils!$N$5:$N$34,$AE636)*Paramètres!$E$30*$AG636*$AJ636,Paramètres!$F$30),0)</f>
        <v>0</v>
      </c>
      <c r="U636" s="19" t="n">
        <f aca="false" t="array" ref="U636:U636">IF(AND(INDEX(Profils!$O$5:$O$34,$AE636)&gt;0,INDEX(Profils!$AD$5:$AD$34,$AE636)&lt;=$AH636),ROUND(INDEX(Profils!$O$5:$O$34,$AE636)*Paramètres!$E$31*$AG636*$AJ636,Paramètres!$F$31),0)</f>
        <v>0</v>
      </c>
      <c r="V636" s="20" t="n">
        <f aca="false" t="array" ref="V636:V636">IF(AND(INDEX(Profils!$P$5:$P$34,$AE636)&gt;0,INDEX(Profils!$AE$5:$AE$34,$AE636)&lt;=$AH636),ROUND(INDEX(Profils!$P$5:$P$34,$AE636)*Paramètres!$E$32*$AG636*$AJ636,Paramètres!$F$32),0)</f>
        <v>0</v>
      </c>
      <c r="W636" s="20" t="n">
        <f aca="false" t="array" ref="W636:W636">IF(AND(INDEX(Profils!$Q$5:$Q$34,$AE636)&gt;0,INDEX(Profils!$AF$5:$AF$34,$AE636)&lt;=$AH636),ROUND(INDEX(Profils!$Q$5:$Q$34,$AE636)*Paramètres!$E$33*$AG636*$AJ636,Paramètres!$F$33),0)</f>
        <v>0</v>
      </c>
      <c r="X636" s="20" t="n">
        <f aca="false" t="array" ref="X636:X636">IF(AND(INDEX(Profils!$R$5:$R$34,$AE636)&gt;0,INDEX(Profils!$AG$5:$AG$34,$AE636)&lt;=$AH636),ROUND(INDEX(Profils!$R$5:$R$34,$AE636)*Paramètres!$E$34*$AG636*$AJ636,Paramètres!$F$34),0)</f>
        <v>0</v>
      </c>
      <c r="Y636" s="20" t="n">
        <f aca="false" t="array" ref="Y636:Y636">IF(AND(INDEX(Profils!$S$5:$S$34,$AE636)&gt;0,INDEX(Profils!$AH$5:$AH$34,$AE636)&lt;=$AH636),ROUND(INDEX(Profils!$S$5:$S$34,$AE636)*Paramètres!$E$35*$AG636*$AJ636,Paramètres!$F$35),0)</f>
        <v>0.003</v>
      </c>
      <c r="Z636" s="21" t="n">
        <f aca="false">ROUND(L636/Paramètres!$E$22+M636/Paramètres!$E$23+N636/Paramètres!$E$24+O636/Paramètres!$E$25+P636/Paramètres!$E$26+Q636/Paramètres!$E$27+R636/Paramètres!$E$28+S636/Paramètres!$E$29+T636/Paramètres!$E$30+U636/Paramètres!$E$31+V636/Paramètres!$E$32+W636/Paramètres!$E$33+X636/Paramètres!$E$34+Y636/Paramètres!$E$35,1)</f>
        <v>1.6</v>
      </c>
      <c r="AA636" s="22" t="s">
        <v>109</v>
      </c>
      <c r="AB636" s="22" t="s">
        <v>109</v>
      </c>
      <c r="AC636" s="15" t="str">
        <f aca="false">$E636</f>
        <v>cuir</v>
      </c>
      <c r="AD636" s="16" t="n">
        <f aca="false" t="array" ref="AD636:AD636">IF($I636&gt;=$AI636,"Max",ROUND(Paramètres!$B$40*($I636+1)^Paramètres!$B$41*INDEX(Paramètres!$H$6:$H$12,$AF636),0))</f>
        <v>6</v>
      </c>
      <c r="AE636" s="23" t="n">
        <f aca="false">MATCH($B636&amp;"|"&amp;$C636,Profils!$A$5:$A$34,0)</f>
        <v>21</v>
      </c>
      <c r="AF636" s="23" t="n">
        <v>5</v>
      </c>
      <c r="AG636" s="24" t="n">
        <f aca="false" t="array" ref="AG636:AG636">INDEX(Paramètres!$C$6:$C$12,$AF636)</f>
        <v>2.1</v>
      </c>
      <c r="AH636" s="23" t="n">
        <f aca="false" t="array" ref="AH636:AH636">INDEX(Paramètres!$D$6:$D$12,$AF636)</f>
        <v>6</v>
      </c>
      <c r="AI636" s="23" t="n">
        <f aca="false" t="array" ref="AI636:AI636">INDEX(Matériaux!$C$16:$C$20,$D636)</f>
        <v>20</v>
      </c>
      <c r="AJ636" s="25" t="n">
        <f aca="false">Paramètres!$B$16+(1-Paramètres!$B$16)*(($J636-Paramètres!$B$14)/(Paramètres!$B$15-Paramètres!$B$14))^Paramètres!$B$17</f>
        <v>0.140847925475674</v>
      </c>
    </row>
    <row r="637" customFormat="false" ht="15.75" hidden="false" customHeight="true" outlineLevel="0" collapsed="false">
      <c r="A637" s="14" t="s">
        <v>753</v>
      </c>
      <c r="B637" s="15" t="s">
        <v>31</v>
      </c>
      <c r="C637" s="15" t="s">
        <v>107</v>
      </c>
      <c r="D637" s="16" t="n">
        <v>2</v>
      </c>
      <c r="E637" s="15" t="str">
        <f aca="false" t="array" ref="E637:E637">INDEX(Matériaux!$B$5:$F$12,MATCH(INDEX(Profils!$E$5:$E$34,$AE637),Matériaux!$A$5:$A$12,0),$D637)</f>
        <v>cuir</v>
      </c>
      <c r="F637" s="30" t="s">
        <v>119</v>
      </c>
      <c r="G637" s="10" t="str">
        <f aca="false" t="array" ref="G637:G637">INDEX(Profils!$D$5:$D$34,$AE637)&amp;" en "&amp;$E637</f>
        <v>Capuche en cuir</v>
      </c>
      <c r="H637" s="16" t="n">
        <f aca="false" t="array" ref="H637:H637">INDEX(Matériaux!$B$16:$B$20,$D637)</f>
        <v>15</v>
      </c>
      <c r="I637" s="16" t="n">
        <f aca="false">IF(ISNUMBER($C$3),MIN(MAX(0,ROUND($C$3,0)),$AI637),$AI637)</f>
        <v>0</v>
      </c>
      <c r="J637" s="18" t="n">
        <f aca="false">$H637+$I637</f>
        <v>15</v>
      </c>
      <c r="K637" s="15" t="s">
        <v>109</v>
      </c>
      <c r="L637" s="19" t="n">
        <f aca="false" t="array" ref="L637:L637">IF(AND(INDEX(Profils!$F$5:$F$34,$AE637)&gt;0,INDEX(Profils!$U$5:$U$34,$AE637)&lt;=$AH637),ROUND(INDEX(Profils!$F$5:$F$34,$AE637)*Paramètres!$E$22*$AG637*$AJ637,Paramètres!$F$22),0)</f>
        <v>8</v>
      </c>
      <c r="M637" s="19" t="n">
        <f aca="false" t="array" ref="M637:M637">IF(AND(INDEX(Profils!$G$5:$G$34,$AE637)&gt;0,INDEX(Profils!$V$5:$V$34,$AE637)&lt;=$AH637),ROUND(INDEX(Profils!$G$5:$G$34,$AE637)*Paramètres!$E$23*$AG637*$AJ637,Paramètres!$F$23),0)</f>
        <v>0</v>
      </c>
      <c r="N637" s="19" t="n">
        <f aca="false" t="array" ref="N637:N637">IF(AND(INDEX(Profils!$H$5:$H$34,$AE637)&gt;0,INDEX(Profils!$W$5:$W$34,$AE637)&lt;=$AH637),ROUND(INDEX(Profils!$H$5:$H$34,$AE637)*Paramètres!$E$24*$AG637*$AJ637,Paramètres!$F$24),0)</f>
        <v>3</v>
      </c>
      <c r="O637" s="19" t="n">
        <f aca="false" t="array" ref="O637:O637">IF(AND(INDEX(Profils!$I$5:$I$34,$AE637)&gt;0,INDEX(Profils!$X$5:$X$34,$AE637)&lt;=$AH637),ROUND(INDEX(Profils!$I$5:$I$34,$AE637)*Paramètres!$E$25*$AG637*$AJ637,Paramètres!$F$25),0)</f>
        <v>0</v>
      </c>
      <c r="P637" s="19" t="n">
        <f aca="false" t="array" ref="P637:P637">IF(AND(INDEX(Profils!$J$5:$J$34,$AE637)&gt;0,INDEX(Profils!$Y$5:$Y$34,$AE637)&lt;=$AH637),ROUND(INDEX(Profils!$J$5:$J$34,$AE637)*Paramètres!$E$26*$AG637*$AJ637,Paramètres!$F$26),0)</f>
        <v>5</v>
      </c>
      <c r="Q637" s="19" t="n">
        <f aca="false" t="array" ref="Q637:Q637">IF(AND(INDEX(Profils!$K$5:$K$34,$AE637)&gt;0,INDEX(Profils!$Z$5:$Z$34,$AE637)&lt;=$AH637),ROUND(INDEX(Profils!$K$5:$K$34,$AE637)*Paramètres!$E$27*$AG637*$AJ637,Paramètres!$F$27),0)</f>
        <v>2</v>
      </c>
      <c r="R637" s="20" t="n">
        <f aca="false" t="array" ref="R637:R637">IF(AND(INDEX(Profils!$L$5:$L$34,$AE637)&gt;0,INDEX(Profils!$AA$5:$AA$34,$AE637)&lt;=$AH637),ROUND(INDEX(Profils!$L$5:$L$34,$AE637)*Paramètres!$E$28*$AG637*$AJ637,Paramètres!$F$28),0)</f>
        <v>0.006</v>
      </c>
      <c r="S637" s="20" t="n">
        <f aca="false" t="array" ref="S637:S637">IF(AND(INDEX(Profils!$M$5:$M$34,$AE637)&gt;0,INDEX(Profils!$AB$5:$AB$34,$AE637)&lt;=$AH637),ROUND(INDEX(Profils!$M$5:$M$34,$AE637)*Paramètres!$E$29*$AG637*$AJ637,Paramètres!$F$29),0)</f>
        <v>0.003</v>
      </c>
      <c r="T637" s="20" t="n">
        <f aca="false" t="array" ref="T637:T637">IF(AND(INDEX(Profils!$N$5:$N$34,$AE637)&gt;0,INDEX(Profils!$AC$5:$AC$34,$AE637)&lt;=$AH637),ROUND(INDEX(Profils!$N$5:$N$34,$AE637)*Paramètres!$E$30*$AG637*$AJ637,Paramètres!$F$30),0)</f>
        <v>0</v>
      </c>
      <c r="U637" s="19" t="n">
        <f aca="false" t="array" ref="U637:U637">IF(AND(INDEX(Profils!$O$5:$O$34,$AE637)&gt;0,INDEX(Profils!$AD$5:$AD$34,$AE637)&lt;=$AH637),ROUND(INDEX(Profils!$O$5:$O$34,$AE637)*Paramètres!$E$31*$AG637*$AJ637,Paramètres!$F$31),0)</f>
        <v>0</v>
      </c>
      <c r="V637" s="20" t="n">
        <f aca="false" t="array" ref="V637:V637">IF(AND(INDEX(Profils!$P$5:$P$34,$AE637)&gt;0,INDEX(Profils!$AE$5:$AE$34,$AE637)&lt;=$AH637),ROUND(INDEX(Profils!$P$5:$P$34,$AE637)*Paramètres!$E$32*$AG637*$AJ637,Paramètres!$F$32),0)</f>
        <v>0</v>
      </c>
      <c r="W637" s="20" t="n">
        <f aca="false" t="array" ref="W637:W637">IF(AND(INDEX(Profils!$Q$5:$Q$34,$AE637)&gt;0,INDEX(Profils!$AF$5:$AF$34,$AE637)&lt;=$AH637),ROUND(INDEX(Profils!$Q$5:$Q$34,$AE637)*Paramètres!$E$33*$AG637*$AJ637,Paramètres!$F$33),0)</f>
        <v>0</v>
      </c>
      <c r="X637" s="20" t="n">
        <f aca="false" t="array" ref="X637:X637">IF(AND(INDEX(Profils!$R$5:$R$34,$AE637)&gt;0,INDEX(Profils!$AG$5:$AG$34,$AE637)&lt;=$AH637),ROUND(INDEX(Profils!$R$5:$R$34,$AE637)*Paramètres!$E$34*$AG637*$AJ637,Paramètres!$F$34),0)</f>
        <v>0</v>
      </c>
      <c r="Y637" s="20" t="n">
        <f aca="false" t="array" ref="Y637:Y637">IF(AND(INDEX(Profils!$S$5:$S$34,$AE637)&gt;0,INDEX(Profils!$AH$5:$AH$34,$AE637)&lt;=$AH637),ROUND(INDEX(Profils!$S$5:$S$34,$AE637)*Paramètres!$E$35*$AG637*$AJ637,Paramètres!$F$35),0)</f>
        <v>0.004</v>
      </c>
      <c r="Z637" s="21" t="n">
        <f aca="false">ROUND(L637/Paramètres!$E$22+M637/Paramètres!$E$23+N637/Paramètres!$E$24+O637/Paramètres!$E$25+P637/Paramètres!$E$26+Q637/Paramètres!$E$27+R637/Paramètres!$E$28+S637/Paramètres!$E$29+T637/Paramètres!$E$30+U637/Paramètres!$E$31+V637/Paramètres!$E$32+W637/Paramètres!$E$33+X637/Paramètres!$E$34+Y637/Paramètres!$E$35,1)</f>
        <v>2.1</v>
      </c>
      <c r="AA637" s="22" t="s">
        <v>109</v>
      </c>
      <c r="AB637" s="22" t="s">
        <v>109</v>
      </c>
      <c r="AC637" s="15" t="str">
        <f aca="false">$E637</f>
        <v>cuir</v>
      </c>
      <c r="AD637" s="16" t="n">
        <f aca="false" t="array" ref="AD637:AD637">IF($I637&gt;=$AI637,"Max",ROUND(Paramètres!$B$40*($I637+1)^Paramètres!$B$41*INDEX(Paramètres!$H$6:$H$12,$AF637),0))</f>
        <v>8</v>
      </c>
      <c r="AE637" s="23" t="n">
        <f aca="false">MATCH($B637&amp;"|"&amp;$C637,Profils!$A$5:$A$34,0)</f>
        <v>21</v>
      </c>
      <c r="AF637" s="23" t="n">
        <v>6</v>
      </c>
      <c r="AG637" s="24" t="n">
        <f aca="false" t="array" ref="AG637:AG637">INDEX(Paramètres!$C$6:$C$12,$AF637)</f>
        <v>2.4</v>
      </c>
      <c r="AH637" s="23" t="n">
        <f aca="false" t="array" ref="AH637:AH637">INDEX(Paramètres!$D$6:$D$12,$AF637)</f>
        <v>7</v>
      </c>
      <c r="AI637" s="23" t="n">
        <f aca="false" t="array" ref="AI637:AI637">INDEX(Matériaux!$C$16:$C$20,$D637)</f>
        <v>20</v>
      </c>
      <c r="AJ637" s="25" t="n">
        <f aca="false">Paramètres!$B$16+(1-Paramètres!$B$16)*(($J637-Paramètres!$B$14)/(Paramètres!$B$15-Paramètres!$B$14))^Paramètres!$B$17</f>
        <v>0.140847925475674</v>
      </c>
    </row>
    <row r="638" customFormat="false" ht="15.75" hidden="false" customHeight="true" outlineLevel="0" collapsed="false">
      <c r="A638" s="14" t="s">
        <v>754</v>
      </c>
      <c r="B638" s="15" t="s">
        <v>31</v>
      </c>
      <c r="C638" s="15" t="s">
        <v>107</v>
      </c>
      <c r="D638" s="16" t="n">
        <v>3</v>
      </c>
      <c r="E638" s="15" t="str">
        <f aca="false" t="array" ref="E638:E638">INDEX(Matériaux!$B$5:$F$12,MATCH(INDEX(Profils!$E$5:$E$34,$AE638),Matériaux!$A$5:$A$12,0),$D638)</f>
        <v>cuir clouté</v>
      </c>
      <c r="F638" s="17" t="s">
        <v>108</v>
      </c>
      <c r="G638" s="10" t="str">
        <f aca="false" t="array" ref="G638:G638">INDEX(Profils!$D$5:$D$34,$AE638)&amp;" en "&amp;$E638</f>
        <v>Capuche en cuir clouté</v>
      </c>
      <c r="H638" s="16" t="n">
        <f aca="false" t="array" ref="H638:H638">INDEX(Matériaux!$B$16:$B$20,$D638)</f>
        <v>30</v>
      </c>
      <c r="I638" s="16" t="n">
        <f aca="false">IF(ISNUMBER($C$3),MIN(MAX(0,ROUND($C$3,0)),$AI638),$AI638)</f>
        <v>0</v>
      </c>
      <c r="J638" s="18" t="n">
        <f aca="false">$H638+$I638</f>
        <v>30</v>
      </c>
      <c r="K638" s="15" t="s">
        <v>109</v>
      </c>
      <c r="L638" s="19" t="n">
        <f aca="false" t="array" ref="L638:L638">IF(AND(INDEX(Profils!$F$5:$F$34,$AE638)&gt;0,INDEX(Profils!$U$5:$U$34,$AE638)&lt;=$AH638),ROUND(INDEX(Profils!$F$5:$F$34,$AE638)*Paramètres!$E$22*$AG638*$AJ638,Paramètres!$F$22),0)</f>
        <v>0</v>
      </c>
      <c r="M638" s="19" t="n">
        <f aca="false" t="array" ref="M638:M638">IF(AND(INDEX(Profils!$G$5:$G$34,$AE638)&gt;0,INDEX(Profils!$V$5:$V$34,$AE638)&lt;=$AH638),ROUND(INDEX(Profils!$G$5:$G$34,$AE638)*Paramètres!$E$23*$AG638*$AJ638,Paramètres!$F$23),0)</f>
        <v>0</v>
      </c>
      <c r="N638" s="19" t="n">
        <f aca="false" t="array" ref="N638:N638">IF(AND(INDEX(Profils!$H$5:$H$34,$AE638)&gt;0,INDEX(Profils!$W$5:$W$34,$AE638)&lt;=$AH638),ROUND(INDEX(Profils!$H$5:$H$34,$AE638)*Paramètres!$E$24*$AG638*$AJ638,Paramètres!$F$24),0)</f>
        <v>0</v>
      </c>
      <c r="O638" s="19" t="n">
        <f aca="false" t="array" ref="O638:O638">IF(AND(INDEX(Profils!$I$5:$I$34,$AE638)&gt;0,INDEX(Profils!$X$5:$X$34,$AE638)&lt;=$AH638),ROUND(INDEX(Profils!$I$5:$I$34,$AE638)*Paramètres!$E$25*$AG638*$AJ638,Paramètres!$F$25),0)</f>
        <v>0</v>
      </c>
      <c r="P638" s="19" t="n">
        <f aca="false" t="array" ref="P638:P638">IF(AND(INDEX(Profils!$J$5:$J$34,$AE638)&gt;0,INDEX(Profils!$Y$5:$Y$34,$AE638)&lt;=$AH638),ROUND(INDEX(Profils!$J$5:$J$34,$AE638)*Paramètres!$E$26*$AG638*$AJ638,Paramètres!$F$26),0)</f>
        <v>4</v>
      </c>
      <c r="Q638" s="19" t="n">
        <f aca="false" t="array" ref="Q638:Q638">IF(AND(INDEX(Profils!$K$5:$K$34,$AE638)&gt;0,INDEX(Profils!$Z$5:$Z$34,$AE638)&lt;=$AH638),ROUND(INDEX(Profils!$K$5:$K$34,$AE638)*Paramètres!$E$27*$AG638*$AJ638,Paramètres!$F$27),0)</f>
        <v>0</v>
      </c>
      <c r="R638" s="20" t="n">
        <f aca="false" t="array" ref="R638:R638">IF(AND(INDEX(Profils!$L$5:$L$34,$AE638)&gt;0,INDEX(Profils!$AA$5:$AA$34,$AE638)&lt;=$AH638),ROUND(INDEX(Profils!$L$5:$L$34,$AE638)*Paramètres!$E$28*$AG638*$AJ638,Paramètres!$F$28),0)</f>
        <v>0.005</v>
      </c>
      <c r="S638" s="20" t="n">
        <f aca="false" t="array" ref="S638:S638">IF(AND(INDEX(Profils!$M$5:$M$34,$AE638)&gt;0,INDEX(Profils!$AB$5:$AB$34,$AE638)&lt;=$AH638),ROUND(INDEX(Profils!$M$5:$M$34,$AE638)*Paramètres!$E$29*$AG638*$AJ638,Paramètres!$F$29),0)</f>
        <v>0</v>
      </c>
      <c r="T638" s="20" t="n">
        <f aca="false" t="array" ref="T638:T638">IF(AND(INDEX(Profils!$N$5:$N$34,$AE638)&gt;0,INDEX(Profils!$AC$5:$AC$34,$AE638)&lt;=$AH638),ROUND(INDEX(Profils!$N$5:$N$34,$AE638)*Paramètres!$E$30*$AG638*$AJ638,Paramètres!$F$30),0)</f>
        <v>0</v>
      </c>
      <c r="U638" s="19" t="n">
        <f aca="false" t="array" ref="U638:U638">IF(AND(INDEX(Profils!$O$5:$O$34,$AE638)&gt;0,INDEX(Profils!$AD$5:$AD$34,$AE638)&lt;=$AH638),ROUND(INDEX(Profils!$O$5:$O$34,$AE638)*Paramètres!$E$31*$AG638*$AJ638,Paramètres!$F$31),0)</f>
        <v>0</v>
      </c>
      <c r="V638" s="20" t="n">
        <f aca="false" t="array" ref="V638:V638">IF(AND(INDEX(Profils!$P$5:$P$34,$AE638)&gt;0,INDEX(Profils!$AE$5:$AE$34,$AE638)&lt;=$AH638),ROUND(INDEX(Profils!$P$5:$P$34,$AE638)*Paramètres!$E$32*$AG638*$AJ638,Paramètres!$F$32),0)</f>
        <v>0</v>
      </c>
      <c r="W638" s="20" t="n">
        <f aca="false" t="array" ref="W638:W638">IF(AND(INDEX(Profils!$Q$5:$Q$34,$AE638)&gt;0,INDEX(Profils!$AF$5:$AF$34,$AE638)&lt;=$AH638),ROUND(INDEX(Profils!$Q$5:$Q$34,$AE638)*Paramètres!$E$33*$AG638*$AJ638,Paramètres!$F$33),0)</f>
        <v>0</v>
      </c>
      <c r="X638" s="20" t="n">
        <f aca="false" t="array" ref="X638:X638">IF(AND(INDEX(Profils!$R$5:$R$34,$AE638)&gt;0,INDEX(Profils!$AG$5:$AG$34,$AE638)&lt;=$AH638),ROUND(INDEX(Profils!$R$5:$R$34,$AE638)*Paramètres!$E$34*$AG638*$AJ638,Paramètres!$F$34),0)</f>
        <v>0</v>
      </c>
      <c r="Y638" s="20" t="n">
        <f aca="false" t="array" ref="Y638:Y638">IF(AND(INDEX(Profils!$S$5:$S$34,$AE638)&gt;0,INDEX(Profils!$AH$5:$AH$34,$AE638)&lt;=$AH638),ROUND(INDEX(Profils!$S$5:$S$34,$AE638)*Paramètres!$E$35*$AG638*$AJ638,Paramètres!$F$35),0)</f>
        <v>0</v>
      </c>
      <c r="Z638" s="21" t="n">
        <f aca="false">ROUND(L638/Paramètres!$E$22+M638/Paramètres!$E$23+N638/Paramètres!$E$24+O638/Paramètres!$E$25+P638/Paramètres!$E$26+Q638/Paramètres!$E$27+R638/Paramètres!$E$28+S638/Paramètres!$E$29+T638/Paramètres!$E$30+U638/Paramètres!$E$31+V638/Paramètres!$E$32+W638/Paramètres!$E$33+X638/Paramètres!$E$34+Y638/Paramètres!$E$35,1)</f>
        <v>0.7</v>
      </c>
      <c r="AA638" s="22" t="s">
        <v>109</v>
      </c>
      <c r="AB638" s="22" t="s">
        <v>109</v>
      </c>
      <c r="AC638" s="15" t="str">
        <f aca="false">$E638</f>
        <v>cuir clouté</v>
      </c>
      <c r="AD638" s="16" t="n">
        <f aca="false" t="array" ref="AD638:AD638">IF($I638&gt;=$AI638,"Max",ROUND(Paramètres!$B$40*($I638+1)^Paramètres!$B$41*INDEX(Paramètres!$H$6:$H$12,$AF638),0))</f>
        <v>3</v>
      </c>
      <c r="AE638" s="23" t="n">
        <f aca="false">MATCH($B638&amp;"|"&amp;$C638,Profils!$A$5:$A$34,0)</f>
        <v>21</v>
      </c>
      <c r="AF638" s="23" t="n">
        <v>1</v>
      </c>
      <c r="AG638" s="24" t="n">
        <f aca="false" t="array" ref="AG638:AG638">INDEX(Paramètres!$C$6:$C$12,$AF638)</f>
        <v>1</v>
      </c>
      <c r="AH638" s="23" t="n">
        <f aca="false" t="array" ref="AH638:AH638">INDEX(Paramètres!$D$6:$D$12,$AF638)</f>
        <v>2</v>
      </c>
      <c r="AI638" s="23" t="n">
        <f aca="false" t="array" ref="AI638:AI638">INDEX(Matériaux!$C$16:$C$20,$D638)</f>
        <v>25</v>
      </c>
      <c r="AJ638" s="25" t="n">
        <f aca="false">Paramètres!$B$16+(1-Paramètres!$B$16)*(($J638-Paramètres!$B$14)/(Paramètres!$B$15-Paramètres!$B$14))^Paramètres!$B$17</f>
        <v>0.26769024555533</v>
      </c>
    </row>
    <row r="639" customFormat="false" ht="15.75" hidden="false" customHeight="true" outlineLevel="0" collapsed="false">
      <c r="A639" s="14" t="s">
        <v>755</v>
      </c>
      <c r="B639" s="15" t="s">
        <v>31</v>
      </c>
      <c r="C639" s="15" t="s">
        <v>107</v>
      </c>
      <c r="D639" s="16" t="n">
        <v>3</v>
      </c>
      <c r="E639" s="15" t="str">
        <f aca="false" t="array" ref="E639:E639">INDEX(Matériaux!$B$5:$F$12,MATCH(INDEX(Profils!$E$5:$E$34,$AE639),Matériaux!$A$5:$A$12,0),$D639)</f>
        <v>cuir clouté</v>
      </c>
      <c r="F639" s="26" t="s">
        <v>111</v>
      </c>
      <c r="G639" s="10" t="str">
        <f aca="false" t="array" ref="G639:G639">INDEX(Profils!$D$5:$D$34,$AE639)&amp;" en "&amp;$E639</f>
        <v>Capuche en cuir clouté</v>
      </c>
      <c r="H639" s="16" t="n">
        <f aca="false" t="array" ref="H639:H639">INDEX(Matériaux!$B$16:$B$20,$D639)</f>
        <v>30</v>
      </c>
      <c r="I639" s="16" t="n">
        <f aca="false">IF(ISNUMBER($C$3),MIN(MAX(0,ROUND($C$3,0)),$AI639),$AI639)</f>
        <v>0</v>
      </c>
      <c r="J639" s="18" t="n">
        <f aca="false">$H639+$I639</f>
        <v>30</v>
      </c>
      <c r="K639" s="15" t="s">
        <v>109</v>
      </c>
      <c r="L639" s="19" t="n">
        <f aca="false" t="array" ref="L639:L639">IF(AND(INDEX(Profils!$F$5:$F$34,$AE639)&gt;0,INDEX(Profils!$U$5:$U$34,$AE639)&lt;=$AH639),ROUND(INDEX(Profils!$F$5:$F$34,$AE639)*Paramètres!$E$22*$AG639*$AJ639,Paramètres!$F$22),0)</f>
        <v>8</v>
      </c>
      <c r="M639" s="19" t="n">
        <f aca="false" t="array" ref="M639:M639">IF(AND(INDEX(Profils!$G$5:$G$34,$AE639)&gt;0,INDEX(Profils!$V$5:$V$34,$AE639)&lt;=$AH639),ROUND(INDEX(Profils!$G$5:$G$34,$AE639)*Paramètres!$E$23*$AG639*$AJ639,Paramètres!$F$23),0)</f>
        <v>0</v>
      </c>
      <c r="N639" s="19" t="n">
        <f aca="false" t="array" ref="N639:N639">IF(AND(INDEX(Profils!$H$5:$H$34,$AE639)&gt;0,INDEX(Profils!$W$5:$W$34,$AE639)&lt;=$AH639),ROUND(INDEX(Profils!$H$5:$H$34,$AE639)*Paramètres!$E$24*$AG639*$AJ639,Paramètres!$F$24),0)</f>
        <v>0</v>
      </c>
      <c r="O639" s="19" t="n">
        <f aca="false" t="array" ref="O639:O639">IF(AND(INDEX(Profils!$I$5:$I$34,$AE639)&gt;0,INDEX(Profils!$X$5:$X$34,$AE639)&lt;=$AH639),ROUND(INDEX(Profils!$I$5:$I$34,$AE639)*Paramètres!$E$25*$AG639*$AJ639,Paramètres!$F$25),0)</f>
        <v>0</v>
      </c>
      <c r="P639" s="19" t="n">
        <f aca="false" t="array" ref="P639:P639">IF(AND(INDEX(Profils!$J$5:$J$34,$AE639)&gt;0,INDEX(Profils!$Y$5:$Y$34,$AE639)&lt;=$AH639),ROUND(INDEX(Profils!$J$5:$J$34,$AE639)*Paramètres!$E$26*$AG639*$AJ639,Paramètres!$F$26),0)</f>
        <v>5</v>
      </c>
      <c r="Q639" s="19" t="n">
        <f aca="false" t="array" ref="Q639:Q639">IF(AND(INDEX(Profils!$K$5:$K$34,$AE639)&gt;0,INDEX(Profils!$Z$5:$Z$34,$AE639)&lt;=$AH639),ROUND(INDEX(Profils!$K$5:$K$34,$AE639)*Paramètres!$E$27*$AG639*$AJ639,Paramètres!$F$27),0)</f>
        <v>0</v>
      </c>
      <c r="R639" s="20" t="n">
        <f aca="false" t="array" ref="R639:R639">IF(AND(INDEX(Profils!$L$5:$L$34,$AE639)&gt;0,INDEX(Profils!$AA$5:$AA$34,$AE639)&lt;=$AH639),ROUND(INDEX(Profils!$L$5:$L$34,$AE639)*Paramètres!$E$28*$AG639*$AJ639,Paramètres!$F$28),0)</f>
        <v>0.006</v>
      </c>
      <c r="S639" s="20" t="n">
        <f aca="false" t="array" ref="S639:S639">IF(AND(INDEX(Profils!$M$5:$M$34,$AE639)&gt;0,INDEX(Profils!$AB$5:$AB$34,$AE639)&lt;=$AH639),ROUND(INDEX(Profils!$M$5:$M$34,$AE639)*Paramètres!$E$29*$AG639*$AJ639,Paramètres!$F$29),0)</f>
        <v>0</v>
      </c>
      <c r="T639" s="20" t="n">
        <f aca="false" t="array" ref="T639:T639">IF(AND(INDEX(Profils!$N$5:$N$34,$AE639)&gt;0,INDEX(Profils!$AC$5:$AC$34,$AE639)&lt;=$AH639),ROUND(INDEX(Profils!$N$5:$N$34,$AE639)*Paramètres!$E$30*$AG639*$AJ639,Paramètres!$F$30),0)</f>
        <v>0</v>
      </c>
      <c r="U639" s="19" t="n">
        <f aca="false" t="array" ref="U639:U639">IF(AND(INDEX(Profils!$O$5:$O$34,$AE639)&gt;0,INDEX(Profils!$AD$5:$AD$34,$AE639)&lt;=$AH639),ROUND(INDEX(Profils!$O$5:$O$34,$AE639)*Paramètres!$E$31*$AG639*$AJ639,Paramètres!$F$31),0)</f>
        <v>0</v>
      </c>
      <c r="V639" s="20" t="n">
        <f aca="false" t="array" ref="V639:V639">IF(AND(INDEX(Profils!$P$5:$P$34,$AE639)&gt;0,INDEX(Profils!$AE$5:$AE$34,$AE639)&lt;=$AH639),ROUND(INDEX(Profils!$P$5:$P$34,$AE639)*Paramètres!$E$32*$AG639*$AJ639,Paramètres!$F$32),0)</f>
        <v>0</v>
      </c>
      <c r="W639" s="20" t="n">
        <f aca="false" t="array" ref="W639:W639">IF(AND(INDEX(Profils!$Q$5:$Q$34,$AE639)&gt;0,INDEX(Profils!$AF$5:$AF$34,$AE639)&lt;=$AH639),ROUND(INDEX(Profils!$Q$5:$Q$34,$AE639)*Paramètres!$E$33*$AG639*$AJ639,Paramètres!$F$33),0)</f>
        <v>0</v>
      </c>
      <c r="X639" s="20" t="n">
        <f aca="false" t="array" ref="X639:X639">IF(AND(INDEX(Profils!$R$5:$R$34,$AE639)&gt;0,INDEX(Profils!$AG$5:$AG$34,$AE639)&lt;=$AH639),ROUND(INDEX(Profils!$R$5:$R$34,$AE639)*Paramètres!$E$34*$AG639*$AJ639,Paramètres!$F$34),0)</f>
        <v>0</v>
      </c>
      <c r="Y639" s="20" t="n">
        <f aca="false" t="array" ref="Y639:Y639">IF(AND(INDEX(Profils!$S$5:$S$34,$AE639)&gt;0,INDEX(Profils!$AH$5:$AH$34,$AE639)&lt;=$AH639),ROUND(INDEX(Profils!$S$5:$S$34,$AE639)*Paramètres!$E$35*$AG639*$AJ639,Paramètres!$F$35),0)</f>
        <v>0</v>
      </c>
      <c r="Z639" s="21" t="n">
        <f aca="false">ROUND(L639/Paramètres!$E$22+M639/Paramètres!$E$23+N639/Paramètres!$E$24+O639/Paramètres!$E$25+P639/Paramètres!$E$26+Q639/Paramètres!$E$27+R639/Paramètres!$E$28+S639/Paramètres!$E$29+T639/Paramètres!$E$30+U639/Paramètres!$E$31+V639/Paramètres!$E$32+W639/Paramètres!$E$33+X639/Paramètres!$E$34+Y639/Paramètres!$E$35,1)</f>
        <v>1.1</v>
      </c>
      <c r="AA639" s="22" t="s">
        <v>109</v>
      </c>
      <c r="AB639" s="22" t="s">
        <v>109</v>
      </c>
      <c r="AC639" s="15" t="str">
        <f aca="false">$E639</f>
        <v>cuir clouté</v>
      </c>
      <c r="AD639" s="16" t="n">
        <f aca="false" t="array" ref="AD639:AD639">IF($I639&gt;=$AI639,"Max",ROUND(Paramètres!$B$40*($I639+1)^Paramètres!$B$41*INDEX(Paramètres!$H$6:$H$12,$AF639),0))</f>
        <v>4</v>
      </c>
      <c r="AE639" s="23" t="n">
        <f aca="false">MATCH($B639&amp;"|"&amp;$C639,Profils!$A$5:$A$34,0)</f>
        <v>21</v>
      </c>
      <c r="AF639" s="23" t="n">
        <v>2</v>
      </c>
      <c r="AG639" s="24" t="n">
        <f aca="false" t="array" ref="AG639:AG639">INDEX(Paramètres!$C$6:$C$12,$AF639)</f>
        <v>1.2</v>
      </c>
      <c r="AH639" s="23" t="n">
        <f aca="false" t="array" ref="AH639:AH639">INDEX(Paramètres!$D$6:$D$12,$AF639)</f>
        <v>3</v>
      </c>
      <c r="AI639" s="23" t="n">
        <f aca="false" t="array" ref="AI639:AI639">INDEX(Matériaux!$C$16:$C$20,$D639)</f>
        <v>25</v>
      </c>
      <c r="AJ639" s="25" t="n">
        <f aca="false">Paramètres!$B$16+(1-Paramètres!$B$16)*(($J639-Paramètres!$B$14)/(Paramètres!$B$15-Paramètres!$B$14))^Paramètres!$B$17</f>
        <v>0.26769024555533</v>
      </c>
    </row>
    <row r="640" customFormat="false" ht="15.75" hidden="false" customHeight="true" outlineLevel="0" collapsed="false">
      <c r="A640" s="14" t="s">
        <v>756</v>
      </c>
      <c r="B640" s="15" t="s">
        <v>31</v>
      </c>
      <c r="C640" s="15" t="s">
        <v>107</v>
      </c>
      <c r="D640" s="16" t="n">
        <v>3</v>
      </c>
      <c r="E640" s="15" t="str">
        <f aca="false" t="array" ref="E640:E640">INDEX(Matériaux!$B$5:$F$12,MATCH(INDEX(Profils!$E$5:$E$34,$AE640),Matériaux!$A$5:$A$12,0),$D640)</f>
        <v>cuir clouté</v>
      </c>
      <c r="F640" s="27" t="s">
        <v>113</v>
      </c>
      <c r="G640" s="10" t="str">
        <f aca="false" t="array" ref="G640:G640">INDEX(Profils!$D$5:$D$34,$AE640)&amp;" en "&amp;$E640</f>
        <v>Capuche en cuir clouté</v>
      </c>
      <c r="H640" s="16" t="n">
        <f aca="false" t="array" ref="H640:H640">INDEX(Matériaux!$B$16:$B$20,$D640)</f>
        <v>30</v>
      </c>
      <c r="I640" s="16" t="n">
        <f aca="false">IF(ISNUMBER($C$3),MIN(MAX(0,ROUND($C$3,0)),$AI640),$AI640)</f>
        <v>0</v>
      </c>
      <c r="J640" s="18" t="n">
        <f aca="false">$H640+$I640</f>
        <v>30</v>
      </c>
      <c r="K640" s="15" t="s">
        <v>109</v>
      </c>
      <c r="L640" s="19" t="n">
        <f aca="false" t="array" ref="L640:L640">IF(AND(INDEX(Profils!$F$5:$F$34,$AE640)&gt;0,INDEX(Profils!$U$5:$U$34,$AE640)&lt;=$AH640),ROUND(INDEX(Profils!$F$5:$F$34,$AE640)*Paramètres!$E$22*$AG640*$AJ640,Paramètres!$F$22),0)</f>
        <v>10</v>
      </c>
      <c r="M640" s="19" t="n">
        <f aca="false" t="array" ref="M640:M640">IF(AND(INDEX(Profils!$G$5:$G$34,$AE640)&gt;0,INDEX(Profils!$V$5:$V$34,$AE640)&lt;=$AH640),ROUND(INDEX(Profils!$G$5:$G$34,$AE640)*Paramètres!$E$23*$AG640*$AJ640,Paramètres!$F$23),0)</f>
        <v>0</v>
      </c>
      <c r="N640" s="19" t="n">
        <f aca="false" t="array" ref="N640:N640">IF(AND(INDEX(Profils!$H$5:$H$34,$AE640)&gt;0,INDEX(Profils!$W$5:$W$34,$AE640)&lt;=$AH640),ROUND(INDEX(Profils!$H$5:$H$34,$AE640)*Paramètres!$E$24*$AG640*$AJ640,Paramètres!$F$24),0)</f>
        <v>0</v>
      </c>
      <c r="O640" s="19" t="n">
        <f aca="false" t="array" ref="O640:O640">IF(AND(INDEX(Profils!$I$5:$I$34,$AE640)&gt;0,INDEX(Profils!$X$5:$X$34,$AE640)&lt;=$AH640),ROUND(INDEX(Profils!$I$5:$I$34,$AE640)*Paramètres!$E$25*$AG640*$AJ640,Paramètres!$F$25),0)</f>
        <v>0</v>
      </c>
      <c r="P640" s="19" t="n">
        <f aca="false" t="array" ref="P640:P640">IF(AND(INDEX(Profils!$J$5:$J$34,$AE640)&gt;0,INDEX(Profils!$Y$5:$Y$34,$AE640)&lt;=$AH640),ROUND(INDEX(Profils!$J$5:$J$34,$AE640)*Paramètres!$E$26*$AG640*$AJ640,Paramètres!$F$26),0)</f>
        <v>6</v>
      </c>
      <c r="Q640" s="19" t="n">
        <f aca="false" t="array" ref="Q640:Q640">IF(AND(INDEX(Profils!$K$5:$K$34,$AE640)&gt;0,INDEX(Profils!$Z$5:$Z$34,$AE640)&lt;=$AH640),ROUND(INDEX(Profils!$K$5:$K$34,$AE640)*Paramètres!$E$27*$AG640*$AJ640,Paramètres!$F$27),0)</f>
        <v>0</v>
      </c>
      <c r="R640" s="20" t="n">
        <f aca="false" t="array" ref="R640:R640">IF(AND(INDEX(Profils!$L$5:$L$34,$AE640)&gt;0,INDEX(Profils!$AA$5:$AA$34,$AE640)&lt;=$AH640),ROUND(INDEX(Profils!$L$5:$L$34,$AE640)*Paramètres!$E$28*$AG640*$AJ640,Paramètres!$F$28),0)</f>
        <v>0.007</v>
      </c>
      <c r="S640" s="20" t="n">
        <f aca="false" t="array" ref="S640:S640">IF(AND(INDEX(Profils!$M$5:$M$34,$AE640)&gt;0,INDEX(Profils!$AB$5:$AB$34,$AE640)&lt;=$AH640),ROUND(INDEX(Profils!$M$5:$M$34,$AE640)*Paramètres!$E$29*$AG640*$AJ640,Paramètres!$F$29),0)</f>
        <v>0.004</v>
      </c>
      <c r="T640" s="20" t="n">
        <f aca="false" t="array" ref="T640:T640">IF(AND(INDEX(Profils!$N$5:$N$34,$AE640)&gt;0,INDEX(Profils!$AC$5:$AC$34,$AE640)&lt;=$AH640),ROUND(INDEX(Profils!$N$5:$N$34,$AE640)*Paramètres!$E$30*$AG640*$AJ640,Paramètres!$F$30),0)</f>
        <v>0</v>
      </c>
      <c r="U640" s="19" t="n">
        <f aca="false" t="array" ref="U640:U640">IF(AND(INDEX(Profils!$O$5:$O$34,$AE640)&gt;0,INDEX(Profils!$AD$5:$AD$34,$AE640)&lt;=$AH640),ROUND(INDEX(Profils!$O$5:$O$34,$AE640)*Paramètres!$E$31*$AG640*$AJ640,Paramètres!$F$31),0)</f>
        <v>0</v>
      </c>
      <c r="V640" s="20" t="n">
        <f aca="false" t="array" ref="V640:V640">IF(AND(INDEX(Profils!$P$5:$P$34,$AE640)&gt;0,INDEX(Profils!$AE$5:$AE$34,$AE640)&lt;=$AH640),ROUND(INDEX(Profils!$P$5:$P$34,$AE640)*Paramètres!$E$32*$AG640*$AJ640,Paramètres!$F$32),0)</f>
        <v>0</v>
      </c>
      <c r="W640" s="20" t="n">
        <f aca="false" t="array" ref="W640:W640">IF(AND(INDEX(Profils!$Q$5:$Q$34,$AE640)&gt;0,INDEX(Profils!$AF$5:$AF$34,$AE640)&lt;=$AH640),ROUND(INDEX(Profils!$Q$5:$Q$34,$AE640)*Paramètres!$E$33*$AG640*$AJ640,Paramètres!$F$33),0)</f>
        <v>0</v>
      </c>
      <c r="X640" s="20" t="n">
        <f aca="false" t="array" ref="X640:X640">IF(AND(INDEX(Profils!$R$5:$R$34,$AE640)&gt;0,INDEX(Profils!$AG$5:$AG$34,$AE640)&lt;=$AH640),ROUND(INDEX(Profils!$R$5:$R$34,$AE640)*Paramètres!$E$34*$AG640*$AJ640,Paramètres!$F$34),0)</f>
        <v>0</v>
      </c>
      <c r="Y640" s="20" t="n">
        <f aca="false" t="array" ref="Y640:Y640">IF(AND(INDEX(Profils!$S$5:$S$34,$AE640)&gt;0,INDEX(Profils!$AH$5:$AH$34,$AE640)&lt;=$AH640),ROUND(INDEX(Profils!$S$5:$S$34,$AE640)*Paramètres!$E$35*$AG640*$AJ640,Paramètres!$F$35),0)</f>
        <v>0</v>
      </c>
      <c r="Z640" s="21" t="n">
        <f aca="false">ROUND(L640/Paramètres!$E$22+M640/Paramètres!$E$23+N640/Paramètres!$E$24+O640/Paramètres!$E$25+P640/Paramètres!$E$26+Q640/Paramètres!$E$27+R640/Paramètres!$E$28+S640/Paramètres!$E$29+T640/Paramètres!$E$30+U640/Paramètres!$E$31+V640/Paramètres!$E$32+W640/Paramètres!$E$33+X640/Paramètres!$E$34+Y640/Paramètres!$E$35,1)</f>
        <v>1.7</v>
      </c>
      <c r="AA640" s="22" t="s">
        <v>109</v>
      </c>
      <c r="AB640" s="22" t="s">
        <v>109</v>
      </c>
      <c r="AC640" s="15" t="str">
        <f aca="false">$E640</f>
        <v>cuir clouté</v>
      </c>
      <c r="AD640" s="16" t="n">
        <f aca="false" t="array" ref="AD640:AD640">IF($I640&gt;=$AI640,"Max",ROUND(Paramètres!$B$40*($I640+1)^Paramètres!$B$41*INDEX(Paramètres!$H$6:$H$12,$AF640),0))</f>
        <v>4</v>
      </c>
      <c r="AE640" s="23" t="n">
        <f aca="false">MATCH($B640&amp;"|"&amp;$C640,Profils!$A$5:$A$34,0)</f>
        <v>21</v>
      </c>
      <c r="AF640" s="23" t="n">
        <v>3</v>
      </c>
      <c r="AG640" s="24" t="n">
        <f aca="false" t="array" ref="AG640:AG640">INDEX(Paramètres!$C$6:$C$12,$AF640)</f>
        <v>1.45</v>
      </c>
      <c r="AH640" s="23" t="n">
        <f aca="false" t="array" ref="AH640:AH640">INDEX(Paramètres!$D$6:$D$12,$AF640)</f>
        <v>4</v>
      </c>
      <c r="AI640" s="23" t="n">
        <f aca="false" t="array" ref="AI640:AI640">INDEX(Matériaux!$C$16:$C$20,$D640)</f>
        <v>25</v>
      </c>
      <c r="AJ640" s="25" t="n">
        <f aca="false">Paramètres!$B$16+(1-Paramètres!$B$16)*(($J640-Paramètres!$B$14)/(Paramètres!$B$15-Paramètres!$B$14))^Paramètres!$B$17</f>
        <v>0.26769024555533</v>
      </c>
    </row>
    <row r="641" customFormat="false" ht="15.75" hidden="false" customHeight="true" outlineLevel="0" collapsed="false">
      <c r="A641" s="14" t="s">
        <v>757</v>
      </c>
      <c r="B641" s="15" t="s">
        <v>31</v>
      </c>
      <c r="C641" s="15" t="s">
        <v>107</v>
      </c>
      <c r="D641" s="16" t="n">
        <v>3</v>
      </c>
      <c r="E641" s="15" t="str">
        <f aca="false" t="array" ref="E641:E641">INDEX(Matériaux!$B$5:$F$12,MATCH(INDEX(Profils!$E$5:$E$34,$AE641),Matériaux!$A$5:$A$12,0),$D641)</f>
        <v>cuir clouté</v>
      </c>
      <c r="F641" s="28" t="s">
        <v>115</v>
      </c>
      <c r="G641" s="10" t="str">
        <f aca="false" t="array" ref="G641:G641">INDEX(Profils!$D$5:$D$34,$AE641)&amp;" en "&amp;$E641</f>
        <v>Capuche en cuir clouté</v>
      </c>
      <c r="H641" s="16" t="n">
        <f aca="false" t="array" ref="H641:H641">INDEX(Matériaux!$B$16:$B$20,$D641)</f>
        <v>30</v>
      </c>
      <c r="I641" s="16" t="n">
        <f aca="false">IF(ISNUMBER($C$3),MIN(MAX(0,ROUND($C$3,0)),$AI641),$AI641)</f>
        <v>0</v>
      </c>
      <c r="J641" s="18" t="n">
        <f aca="false">$H641+$I641</f>
        <v>30</v>
      </c>
      <c r="K641" s="15" t="s">
        <v>109</v>
      </c>
      <c r="L641" s="19" t="n">
        <f aca="false" t="array" ref="L641:L641">IF(AND(INDEX(Profils!$F$5:$F$34,$AE641)&gt;0,INDEX(Profils!$U$5:$U$34,$AE641)&lt;=$AH641),ROUND(INDEX(Profils!$F$5:$F$34,$AE641)*Paramètres!$E$22*$AG641*$AJ641,Paramètres!$F$22),0)</f>
        <v>12</v>
      </c>
      <c r="M641" s="19" t="n">
        <f aca="false" t="array" ref="M641:M641">IF(AND(INDEX(Profils!$G$5:$G$34,$AE641)&gt;0,INDEX(Profils!$V$5:$V$34,$AE641)&lt;=$AH641),ROUND(INDEX(Profils!$G$5:$G$34,$AE641)*Paramètres!$E$23*$AG641*$AJ641,Paramètres!$F$23),0)</f>
        <v>0</v>
      </c>
      <c r="N641" s="19" t="n">
        <f aca="false" t="array" ref="N641:N641">IF(AND(INDEX(Profils!$H$5:$H$34,$AE641)&gt;0,INDEX(Profils!$W$5:$W$34,$AE641)&lt;=$AH641),ROUND(INDEX(Profils!$H$5:$H$34,$AE641)*Paramètres!$E$24*$AG641*$AJ641,Paramètres!$F$24),0)</f>
        <v>0</v>
      </c>
      <c r="O641" s="19" t="n">
        <f aca="false" t="array" ref="O641:O641">IF(AND(INDEX(Profils!$I$5:$I$34,$AE641)&gt;0,INDEX(Profils!$X$5:$X$34,$AE641)&lt;=$AH641),ROUND(INDEX(Profils!$I$5:$I$34,$AE641)*Paramètres!$E$25*$AG641*$AJ641,Paramètres!$F$25),0)</f>
        <v>0</v>
      </c>
      <c r="P641" s="19" t="n">
        <f aca="false" t="array" ref="P641:P641">IF(AND(INDEX(Profils!$J$5:$J$34,$AE641)&gt;0,INDEX(Profils!$Y$5:$Y$34,$AE641)&lt;=$AH641),ROUND(INDEX(Profils!$J$5:$J$34,$AE641)*Paramètres!$E$26*$AG641*$AJ641,Paramètres!$F$26),0)</f>
        <v>7</v>
      </c>
      <c r="Q641" s="19" t="n">
        <f aca="false" t="array" ref="Q641:Q641">IF(AND(INDEX(Profils!$K$5:$K$34,$AE641)&gt;0,INDEX(Profils!$Z$5:$Z$34,$AE641)&lt;=$AH641),ROUND(INDEX(Profils!$K$5:$K$34,$AE641)*Paramètres!$E$27*$AG641*$AJ641,Paramètres!$F$27),0)</f>
        <v>0</v>
      </c>
      <c r="R641" s="20" t="n">
        <f aca="false" t="array" ref="R641:R641">IF(AND(INDEX(Profils!$L$5:$L$34,$AE641)&gt;0,INDEX(Profils!$AA$5:$AA$34,$AE641)&lt;=$AH641),ROUND(INDEX(Profils!$L$5:$L$34,$AE641)*Paramètres!$E$28*$AG641*$AJ641,Paramètres!$F$28),0)</f>
        <v>0.008</v>
      </c>
      <c r="S641" s="20" t="n">
        <f aca="false" t="array" ref="S641:S641">IF(AND(INDEX(Profils!$M$5:$M$34,$AE641)&gt;0,INDEX(Profils!$AB$5:$AB$34,$AE641)&lt;=$AH641),ROUND(INDEX(Profils!$M$5:$M$34,$AE641)*Paramètres!$E$29*$AG641*$AJ641,Paramètres!$F$29),0)</f>
        <v>0.004</v>
      </c>
      <c r="T641" s="20" t="n">
        <f aca="false" t="array" ref="T641:T641">IF(AND(INDEX(Profils!$N$5:$N$34,$AE641)&gt;0,INDEX(Profils!$AC$5:$AC$34,$AE641)&lt;=$AH641),ROUND(INDEX(Profils!$N$5:$N$34,$AE641)*Paramètres!$E$30*$AG641*$AJ641,Paramètres!$F$30),0)</f>
        <v>0</v>
      </c>
      <c r="U641" s="19" t="n">
        <f aca="false" t="array" ref="U641:U641">IF(AND(INDEX(Profils!$O$5:$O$34,$AE641)&gt;0,INDEX(Profils!$AD$5:$AD$34,$AE641)&lt;=$AH641),ROUND(INDEX(Profils!$O$5:$O$34,$AE641)*Paramètres!$E$31*$AG641*$AJ641,Paramètres!$F$31),0)</f>
        <v>0</v>
      </c>
      <c r="V641" s="20" t="n">
        <f aca="false" t="array" ref="V641:V641">IF(AND(INDEX(Profils!$P$5:$P$34,$AE641)&gt;0,INDEX(Profils!$AE$5:$AE$34,$AE641)&lt;=$AH641),ROUND(INDEX(Profils!$P$5:$P$34,$AE641)*Paramètres!$E$32*$AG641*$AJ641,Paramètres!$F$32),0)</f>
        <v>0</v>
      </c>
      <c r="W641" s="20" t="n">
        <f aca="false" t="array" ref="W641:W641">IF(AND(INDEX(Profils!$Q$5:$Q$34,$AE641)&gt;0,INDEX(Profils!$AF$5:$AF$34,$AE641)&lt;=$AH641),ROUND(INDEX(Profils!$Q$5:$Q$34,$AE641)*Paramètres!$E$33*$AG641*$AJ641,Paramètres!$F$33),0)</f>
        <v>0</v>
      </c>
      <c r="X641" s="20" t="n">
        <f aca="false" t="array" ref="X641:X641">IF(AND(INDEX(Profils!$R$5:$R$34,$AE641)&gt;0,INDEX(Profils!$AG$5:$AG$34,$AE641)&lt;=$AH641),ROUND(INDEX(Profils!$R$5:$R$34,$AE641)*Paramètres!$E$34*$AG641*$AJ641,Paramètres!$F$34),0)</f>
        <v>0</v>
      </c>
      <c r="Y641" s="20" t="n">
        <f aca="false" t="array" ref="Y641:Y641">IF(AND(INDEX(Profils!$S$5:$S$34,$AE641)&gt;0,INDEX(Profils!$AH$5:$AH$34,$AE641)&lt;=$AH641),ROUND(INDEX(Profils!$S$5:$S$34,$AE641)*Paramètres!$E$35*$AG641*$AJ641,Paramètres!$F$35),0)</f>
        <v>0.005</v>
      </c>
      <c r="Z641" s="21" t="n">
        <f aca="false">ROUND(L641/Paramètres!$E$22+M641/Paramètres!$E$23+N641/Paramètres!$E$24+O641/Paramètres!$E$25+P641/Paramètres!$E$26+Q641/Paramètres!$E$27+R641/Paramètres!$E$28+S641/Paramètres!$E$29+T641/Paramètres!$E$30+U641/Paramètres!$E$31+V641/Paramètres!$E$32+W641/Paramètres!$E$33+X641/Paramètres!$E$34+Y641/Paramètres!$E$35,1)</f>
        <v>2.3</v>
      </c>
      <c r="AA641" s="22" t="s">
        <v>109</v>
      </c>
      <c r="AB641" s="22" t="s">
        <v>109</v>
      </c>
      <c r="AC641" s="15" t="str">
        <f aca="false">$E641</f>
        <v>cuir clouté</v>
      </c>
      <c r="AD641" s="16" t="n">
        <f aca="false" t="array" ref="AD641:AD641">IF($I641&gt;=$AI641,"Max",ROUND(Paramètres!$B$40*($I641+1)^Paramètres!$B$41*INDEX(Paramètres!$H$6:$H$12,$AF641),0))</f>
        <v>5</v>
      </c>
      <c r="AE641" s="23" t="n">
        <f aca="false">MATCH($B641&amp;"|"&amp;$C641,Profils!$A$5:$A$34,0)</f>
        <v>21</v>
      </c>
      <c r="AF641" s="23" t="n">
        <v>4</v>
      </c>
      <c r="AG641" s="24" t="n">
        <f aca="false" t="array" ref="AG641:AG641">INDEX(Paramètres!$C$6:$C$12,$AF641)</f>
        <v>1.75</v>
      </c>
      <c r="AH641" s="23" t="n">
        <f aca="false" t="array" ref="AH641:AH641">INDEX(Paramètres!$D$6:$D$12,$AF641)</f>
        <v>5</v>
      </c>
      <c r="AI641" s="23" t="n">
        <f aca="false" t="array" ref="AI641:AI641">INDEX(Matériaux!$C$16:$C$20,$D641)</f>
        <v>25</v>
      </c>
      <c r="AJ641" s="25" t="n">
        <f aca="false">Paramètres!$B$16+(1-Paramètres!$B$16)*(($J641-Paramètres!$B$14)/(Paramètres!$B$15-Paramètres!$B$14))^Paramètres!$B$17</f>
        <v>0.26769024555533</v>
      </c>
    </row>
    <row r="642" customFormat="false" ht="15.75" hidden="false" customHeight="true" outlineLevel="0" collapsed="false">
      <c r="A642" s="14" t="s">
        <v>758</v>
      </c>
      <c r="B642" s="15" t="s">
        <v>31</v>
      </c>
      <c r="C642" s="15" t="s">
        <v>107</v>
      </c>
      <c r="D642" s="16" t="n">
        <v>3</v>
      </c>
      <c r="E642" s="15" t="str">
        <f aca="false" t="array" ref="E642:E642">INDEX(Matériaux!$B$5:$F$12,MATCH(INDEX(Profils!$E$5:$E$34,$AE642),Matériaux!$A$5:$A$12,0),$D642)</f>
        <v>cuir clouté</v>
      </c>
      <c r="F642" s="29" t="s">
        <v>117</v>
      </c>
      <c r="G642" s="10" t="str">
        <f aca="false" t="array" ref="G642:G642">INDEX(Profils!$D$5:$D$34,$AE642)&amp;" en "&amp;$E642</f>
        <v>Capuche en cuir clouté</v>
      </c>
      <c r="H642" s="16" t="n">
        <f aca="false" t="array" ref="H642:H642">INDEX(Matériaux!$B$16:$B$20,$D642)</f>
        <v>30</v>
      </c>
      <c r="I642" s="16" t="n">
        <f aca="false">IF(ISNUMBER($C$3),MIN(MAX(0,ROUND($C$3,0)),$AI642),$AI642)</f>
        <v>0</v>
      </c>
      <c r="J642" s="18" t="n">
        <f aca="false">$H642+$I642</f>
        <v>30</v>
      </c>
      <c r="K642" s="15" t="s">
        <v>109</v>
      </c>
      <c r="L642" s="19" t="n">
        <f aca="false" t="array" ref="L642:L642">IF(AND(INDEX(Profils!$F$5:$F$34,$AE642)&gt;0,INDEX(Profils!$U$5:$U$34,$AE642)&lt;=$AH642),ROUND(INDEX(Profils!$F$5:$F$34,$AE642)*Paramètres!$E$22*$AG642*$AJ642,Paramètres!$F$22),0)</f>
        <v>14</v>
      </c>
      <c r="M642" s="19" t="n">
        <f aca="false" t="array" ref="M642:M642">IF(AND(INDEX(Profils!$G$5:$G$34,$AE642)&gt;0,INDEX(Profils!$V$5:$V$34,$AE642)&lt;=$AH642),ROUND(INDEX(Profils!$G$5:$G$34,$AE642)*Paramètres!$E$23*$AG642*$AJ642,Paramètres!$F$23),0)</f>
        <v>0</v>
      </c>
      <c r="N642" s="19" t="n">
        <f aca="false" t="array" ref="N642:N642">IF(AND(INDEX(Profils!$H$5:$H$34,$AE642)&gt;0,INDEX(Profils!$W$5:$W$34,$AE642)&lt;=$AH642),ROUND(INDEX(Profils!$H$5:$H$34,$AE642)*Paramètres!$E$24*$AG642*$AJ642,Paramètres!$F$24),0)</f>
        <v>5</v>
      </c>
      <c r="O642" s="19" t="n">
        <f aca="false" t="array" ref="O642:O642">IF(AND(INDEX(Profils!$I$5:$I$34,$AE642)&gt;0,INDEX(Profils!$X$5:$X$34,$AE642)&lt;=$AH642),ROUND(INDEX(Profils!$I$5:$I$34,$AE642)*Paramètres!$E$25*$AG642*$AJ642,Paramètres!$F$25),0)</f>
        <v>0</v>
      </c>
      <c r="P642" s="19" t="n">
        <f aca="false" t="array" ref="P642:P642">IF(AND(INDEX(Profils!$J$5:$J$34,$AE642)&gt;0,INDEX(Profils!$Y$5:$Y$34,$AE642)&lt;=$AH642),ROUND(INDEX(Profils!$J$5:$J$34,$AE642)*Paramètres!$E$26*$AG642*$AJ642,Paramètres!$F$26),0)</f>
        <v>8</v>
      </c>
      <c r="Q642" s="19" t="n">
        <f aca="false" t="array" ref="Q642:Q642">IF(AND(INDEX(Profils!$K$5:$K$34,$AE642)&gt;0,INDEX(Profils!$Z$5:$Z$34,$AE642)&lt;=$AH642),ROUND(INDEX(Profils!$K$5:$K$34,$AE642)*Paramètres!$E$27*$AG642*$AJ642,Paramètres!$F$27),0)</f>
        <v>0</v>
      </c>
      <c r="R642" s="20" t="n">
        <f aca="false" t="array" ref="R642:R642">IF(AND(INDEX(Profils!$L$5:$L$34,$AE642)&gt;0,INDEX(Profils!$AA$5:$AA$34,$AE642)&lt;=$AH642),ROUND(INDEX(Profils!$L$5:$L$34,$AE642)*Paramètres!$E$28*$AG642*$AJ642,Paramètres!$F$28),0)</f>
        <v>0.01</v>
      </c>
      <c r="S642" s="20" t="n">
        <f aca="false" t="array" ref="S642:S642">IF(AND(INDEX(Profils!$M$5:$M$34,$AE642)&gt;0,INDEX(Profils!$AB$5:$AB$34,$AE642)&lt;=$AH642),ROUND(INDEX(Profils!$M$5:$M$34,$AE642)*Paramètres!$E$29*$AG642*$AJ642,Paramètres!$F$29),0)</f>
        <v>0.005</v>
      </c>
      <c r="T642" s="20" t="n">
        <f aca="false" t="array" ref="T642:T642">IF(AND(INDEX(Profils!$N$5:$N$34,$AE642)&gt;0,INDEX(Profils!$AC$5:$AC$34,$AE642)&lt;=$AH642),ROUND(INDEX(Profils!$N$5:$N$34,$AE642)*Paramètres!$E$30*$AG642*$AJ642,Paramètres!$F$30),0)</f>
        <v>0</v>
      </c>
      <c r="U642" s="19" t="n">
        <f aca="false" t="array" ref="U642:U642">IF(AND(INDEX(Profils!$O$5:$O$34,$AE642)&gt;0,INDEX(Profils!$AD$5:$AD$34,$AE642)&lt;=$AH642),ROUND(INDEX(Profils!$O$5:$O$34,$AE642)*Paramètres!$E$31*$AG642*$AJ642,Paramètres!$F$31),0)</f>
        <v>0</v>
      </c>
      <c r="V642" s="20" t="n">
        <f aca="false" t="array" ref="V642:V642">IF(AND(INDEX(Profils!$P$5:$P$34,$AE642)&gt;0,INDEX(Profils!$AE$5:$AE$34,$AE642)&lt;=$AH642),ROUND(INDEX(Profils!$P$5:$P$34,$AE642)*Paramètres!$E$32*$AG642*$AJ642,Paramètres!$F$32),0)</f>
        <v>0</v>
      </c>
      <c r="W642" s="20" t="n">
        <f aca="false" t="array" ref="W642:W642">IF(AND(INDEX(Profils!$Q$5:$Q$34,$AE642)&gt;0,INDEX(Profils!$AF$5:$AF$34,$AE642)&lt;=$AH642),ROUND(INDEX(Profils!$Q$5:$Q$34,$AE642)*Paramètres!$E$33*$AG642*$AJ642,Paramètres!$F$33),0)</f>
        <v>0</v>
      </c>
      <c r="X642" s="20" t="n">
        <f aca="false" t="array" ref="X642:X642">IF(AND(INDEX(Profils!$R$5:$R$34,$AE642)&gt;0,INDEX(Profils!$AG$5:$AG$34,$AE642)&lt;=$AH642),ROUND(INDEX(Profils!$R$5:$R$34,$AE642)*Paramètres!$E$34*$AG642*$AJ642,Paramètres!$F$34),0)</f>
        <v>0</v>
      </c>
      <c r="Y642" s="20" t="n">
        <f aca="false" t="array" ref="Y642:Y642">IF(AND(INDEX(Profils!$S$5:$S$34,$AE642)&gt;0,INDEX(Profils!$AH$5:$AH$34,$AE642)&lt;=$AH642),ROUND(INDEX(Profils!$S$5:$S$34,$AE642)*Paramètres!$E$35*$AG642*$AJ642,Paramètres!$F$35),0)</f>
        <v>0.006</v>
      </c>
      <c r="Z642" s="21" t="n">
        <f aca="false">ROUND(L642/Paramètres!$E$22+M642/Paramètres!$E$23+N642/Paramètres!$E$24+O642/Paramètres!$E$25+P642/Paramètres!$E$26+Q642/Paramètres!$E$27+R642/Paramètres!$E$28+S642/Paramètres!$E$29+T642/Paramètres!$E$30+U642/Paramètres!$E$31+V642/Paramètres!$E$32+W642/Paramètres!$E$33+X642/Paramètres!$E$34+Y642/Paramètres!$E$35,1)</f>
        <v>3</v>
      </c>
      <c r="AA642" s="22" t="s">
        <v>109</v>
      </c>
      <c r="AB642" s="22" t="s">
        <v>109</v>
      </c>
      <c r="AC642" s="15" t="str">
        <f aca="false">$E642</f>
        <v>cuir clouté</v>
      </c>
      <c r="AD642" s="16" t="n">
        <f aca="false" t="array" ref="AD642:AD642">IF($I642&gt;=$AI642,"Max",ROUND(Paramètres!$B$40*($I642+1)^Paramètres!$B$41*INDEX(Paramètres!$H$6:$H$12,$AF642),0))</f>
        <v>6</v>
      </c>
      <c r="AE642" s="23" t="n">
        <f aca="false">MATCH($B642&amp;"|"&amp;$C642,Profils!$A$5:$A$34,0)</f>
        <v>21</v>
      </c>
      <c r="AF642" s="23" t="n">
        <v>5</v>
      </c>
      <c r="AG642" s="24" t="n">
        <f aca="false" t="array" ref="AG642:AG642">INDEX(Paramètres!$C$6:$C$12,$AF642)</f>
        <v>2.1</v>
      </c>
      <c r="AH642" s="23" t="n">
        <f aca="false" t="array" ref="AH642:AH642">INDEX(Paramètres!$D$6:$D$12,$AF642)</f>
        <v>6</v>
      </c>
      <c r="AI642" s="23" t="n">
        <f aca="false" t="array" ref="AI642:AI642">INDEX(Matériaux!$C$16:$C$20,$D642)</f>
        <v>25</v>
      </c>
      <c r="AJ642" s="25" t="n">
        <f aca="false">Paramètres!$B$16+(1-Paramètres!$B$16)*(($J642-Paramètres!$B$14)/(Paramètres!$B$15-Paramètres!$B$14))^Paramètres!$B$17</f>
        <v>0.26769024555533</v>
      </c>
    </row>
    <row r="643" customFormat="false" ht="15.75" hidden="false" customHeight="true" outlineLevel="0" collapsed="false">
      <c r="A643" s="14" t="s">
        <v>759</v>
      </c>
      <c r="B643" s="15" t="s">
        <v>31</v>
      </c>
      <c r="C643" s="15" t="s">
        <v>107</v>
      </c>
      <c r="D643" s="16" t="n">
        <v>3</v>
      </c>
      <c r="E643" s="15" t="str">
        <f aca="false" t="array" ref="E643:E643">INDEX(Matériaux!$B$5:$F$12,MATCH(INDEX(Profils!$E$5:$E$34,$AE643),Matériaux!$A$5:$A$12,0),$D643)</f>
        <v>cuir clouté</v>
      </c>
      <c r="F643" s="30" t="s">
        <v>119</v>
      </c>
      <c r="G643" s="10" t="str">
        <f aca="false" t="array" ref="G643:G643">INDEX(Profils!$D$5:$D$34,$AE643)&amp;" en "&amp;$E643</f>
        <v>Capuche en cuir clouté</v>
      </c>
      <c r="H643" s="16" t="n">
        <f aca="false" t="array" ref="H643:H643">INDEX(Matériaux!$B$16:$B$20,$D643)</f>
        <v>30</v>
      </c>
      <c r="I643" s="16" t="n">
        <f aca="false">IF(ISNUMBER($C$3),MIN(MAX(0,ROUND($C$3,0)),$AI643),$AI643)</f>
        <v>0</v>
      </c>
      <c r="J643" s="18" t="n">
        <f aca="false">$H643+$I643</f>
        <v>30</v>
      </c>
      <c r="K643" s="15" t="s">
        <v>109</v>
      </c>
      <c r="L643" s="19" t="n">
        <f aca="false" t="array" ref="L643:L643">IF(AND(INDEX(Profils!$F$5:$F$34,$AE643)&gt;0,INDEX(Profils!$U$5:$U$34,$AE643)&lt;=$AH643),ROUND(INDEX(Profils!$F$5:$F$34,$AE643)*Paramètres!$E$22*$AG643*$AJ643,Paramètres!$F$22),0)</f>
        <v>16</v>
      </c>
      <c r="M643" s="19" t="n">
        <f aca="false" t="array" ref="M643:M643">IF(AND(INDEX(Profils!$G$5:$G$34,$AE643)&gt;0,INDEX(Profils!$V$5:$V$34,$AE643)&lt;=$AH643),ROUND(INDEX(Profils!$G$5:$G$34,$AE643)*Paramètres!$E$23*$AG643*$AJ643,Paramètres!$F$23),0)</f>
        <v>0</v>
      </c>
      <c r="N643" s="19" t="n">
        <f aca="false" t="array" ref="N643:N643">IF(AND(INDEX(Profils!$H$5:$H$34,$AE643)&gt;0,INDEX(Profils!$W$5:$W$34,$AE643)&lt;=$AH643),ROUND(INDEX(Profils!$H$5:$H$34,$AE643)*Paramètres!$E$24*$AG643*$AJ643,Paramètres!$F$24),0)</f>
        <v>6</v>
      </c>
      <c r="O643" s="19" t="n">
        <f aca="false" t="array" ref="O643:O643">IF(AND(INDEX(Profils!$I$5:$I$34,$AE643)&gt;0,INDEX(Profils!$X$5:$X$34,$AE643)&lt;=$AH643),ROUND(INDEX(Profils!$I$5:$I$34,$AE643)*Paramètres!$E$25*$AG643*$AJ643,Paramètres!$F$25),0)</f>
        <v>0</v>
      </c>
      <c r="P643" s="19" t="n">
        <f aca="false" t="array" ref="P643:P643">IF(AND(INDEX(Profils!$J$5:$J$34,$AE643)&gt;0,INDEX(Profils!$Y$5:$Y$34,$AE643)&lt;=$AH643),ROUND(INDEX(Profils!$J$5:$J$34,$AE643)*Paramètres!$E$26*$AG643*$AJ643,Paramètres!$F$26),0)</f>
        <v>9</v>
      </c>
      <c r="Q643" s="19" t="n">
        <f aca="false" t="array" ref="Q643:Q643">IF(AND(INDEX(Profils!$K$5:$K$34,$AE643)&gt;0,INDEX(Profils!$Z$5:$Z$34,$AE643)&lt;=$AH643),ROUND(INDEX(Profils!$K$5:$K$34,$AE643)*Paramètres!$E$27*$AG643*$AJ643,Paramètres!$F$27),0)</f>
        <v>4</v>
      </c>
      <c r="R643" s="20" t="n">
        <f aca="false" t="array" ref="R643:R643">IF(AND(INDEX(Profils!$L$5:$L$34,$AE643)&gt;0,INDEX(Profils!$AA$5:$AA$34,$AE643)&lt;=$AH643),ROUND(INDEX(Profils!$L$5:$L$34,$AE643)*Paramètres!$E$28*$AG643*$AJ643,Paramètres!$F$28),0)</f>
        <v>0.012</v>
      </c>
      <c r="S643" s="20" t="n">
        <f aca="false" t="array" ref="S643:S643">IF(AND(INDEX(Profils!$M$5:$M$34,$AE643)&gt;0,INDEX(Profils!$AB$5:$AB$34,$AE643)&lt;=$AH643),ROUND(INDEX(Profils!$M$5:$M$34,$AE643)*Paramètres!$E$29*$AG643*$AJ643,Paramètres!$F$29),0)</f>
        <v>0.006</v>
      </c>
      <c r="T643" s="20" t="n">
        <f aca="false" t="array" ref="T643:T643">IF(AND(INDEX(Profils!$N$5:$N$34,$AE643)&gt;0,INDEX(Profils!$AC$5:$AC$34,$AE643)&lt;=$AH643),ROUND(INDEX(Profils!$N$5:$N$34,$AE643)*Paramètres!$E$30*$AG643*$AJ643,Paramètres!$F$30),0)</f>
        <v>0</v>
      </c>
      <c r="U643" s="19" t="n">
        <f aca="false" t="array" ref="U643:U643">IF(AND(INDEX(Profils!$O$5:$O$34,$AE643)&gt;0,INDEX(Profils!$AD$5:$AD$34,$AE643)&lt;=$AH643),ROUND(INDEX(Profils!$O$5:$O$34,$AE643)*Paramètres!$E$31*$AG643*$AJ643,Paramètres!$F$31),0)</f>
        <v>0</v>
      </c>
      <c r="V643" s="20" t="n">
        <f aca="false" t="array" ref="V643:V643">IF(AND(INDEX(Profils!$P$5:$P$34,$AE643)&gt;0,INDEX(Profils!$AE$5:$AE$34,$AE643)&lt;=$AH643),ROUND(INDEX(Profils!$P$5:$P$34,$AE643)*Paramètres!$E$32*$AG643*$AJ643,Paramètres!$F$32),0)</f>
        <v>0</v>
      </c>
      <c r="W643" s="20" t="n">
        <f aca="false" t="array" ref="W643:W643">IF(AND(INDEX(Profils!$Q$5:$Q$34,$AE643)&gt;0,INDEX(Profils!$AF$5:$AF$34,$AE643)&lt;=$AH643),ROUND(INDEX(Profils!$Q$5:$Q$34,$AE643)*Paramètres!$E$33*$AG643*$AJ643,Paramètres!$F$33),0)</f>
        <v>0</v>
      </c>
      <c r="X643" s="20" t="n">
        <f aca="false" t="array" ref="X643:X643">IF(AND(INDEX(Profils!$R$5:$R$34,$AE643)&gt;0,INDEX(Profils!$AG$5:$AG$34,$AE643)&lt;=$AH643),ROUND(INDEX(Profils!$R$5:$R$34,$AE643)*Paramètres!$E$34*$AG643*$AJ643,Paramètres!$F$34),0)</f>
        <v>0</v>
      </c>
      <c r="Y643" s="20" t="n">
        <f aca="false" t="array" ref="Y643:Y643">IF(AND(INDEX(Profils!$S$5:$S$34,$AE643)&gt;0,INDEX(Profils!$AH$5:$AH$34,$AE643)&lt;=$AH643),ROUND(INDEX(Profils!$S$5:$S$34,$AE643)*Paramètres!$E$35*$AG643*$AJ643,Paramètres!$F$35),0)</f>
        <v>0.007</v>
      </c>
      <c r="Z643" s="21" t="n">
        <f aca="false">ROUND(L643/Paramètres!$E$22+M643/Paramètres!$E$23+N643/Paramètres!$E$24+O643/Paramètres!$E$25+P643/Paramètres!$E$26+Q643/Paramètres!$E$27+R643/Paramètres!$E$28+S643/Paramètres!$E$29+T643/Paramètres!$E$30+U643/Paramètres!$E$31+V643/Paramètres!$E$32+W643/Paramètres!$E$33+X643/Paramètres!$E$34+Y643/Paramètres!$E$35,1)</f>
        <v>4</v>
      </c>
      <c r="AA643" s="22" t="s">
        <v>109</v>
      </c>
      <c r="AB643" s="22" t="s">
        <v>109</v>
      </c>
      <c r="AC643" s="15" t="str">
        <f aca="false">$E643</f>
        <v>cuir clouté</v>
      </c>
      <c r="AD643" s="16" t="n">
        <f aca="false" t="array" ref="AD643:AD643">IF($I643&gt;=$AI643,"Max",ROUND(Paramètres!$B$40*($I643+1)^Paramètres!$B$41*INDEX(Paramètres!$H$6:$H$12,$AF643),0))</f>
        <v>8</v>
      </c>
      <c r="AE643" s="23" t="n">
        <f aca="false">MATCH($B643&amp;"|"&amp;$C643,Profils!$A$5:$A$34,0)</f>
        <v>21</v>
      </c>
      <c r="AF643" s="23" t="n">
        <v>6</v>
      </c>
      <c r="AG643" s="24" t="n">
        <f aca="false" t="array" ref="AG643:AG643">INDEX(Paramètres!$C$6:$C$12,$AF643)</f>
        <v>2.4</v>
      </c>
      <c r="AH643" s="23" t="n">
        <f aca="false" t="array" ref="AH643:AH643">INDEX(Paramètres!$D$6:$D$12,$AF643)</f>
        <v>7</v>
      </c>
      <c r="AI643" s="23" t="n">
        <f aca="false" t="array" ref="AI643:AI643">INDEX(Matériaux!$C$16:$C$20,$D643)</f>
        <v>25</v>
      </c>
      <c r="AJ643" s="25" t="n">
        <f aca="false">Paramètres!$B$16+(1-Paramètres!$B$16)*(($J643-Paramètres!$B$14)/(Paramètres!$B$15-Paramètres!$B$14))^Paramètres!$B$17</f>
        <v>0.26769024555533</v>
      </c>
    </row>
    <row r="644" customFormat="false" ht="15.75" hidden="false" customHeight="true" outlineLevel="0" collapsed="false">
      <c r="A644" s="14" t="s">
        <v>760</v>
      </c>
      <c r="B644" s="15" t="s">
        <v>31</v>
      </c>
      <c r="C644" s="15" t="s">
        <v>107</v>
      </c>
      <c r="D644" s="16" t="n">
        <v>4</v>
      </c>
      <c r="E644" s="15" t="str">
        <f aca="false" t="array" ref="E644:E644">INDEX(Matériaux!$B$5:$F$12,MATCH(INDEX(Profils!$E$5:$E$34,$AE644),Matériaux!$A$5:$A$12,0),$D644)</f>
        <v>écailles</v>
      </c>
      <c r="F644" s="17" t="s">
        <v>108</v>
      </c>
      <c r="G644" s="10" t="str">
        <f aca="false" t="array" ref="G644:G644">INDEX(Profils!$D$5:$D$34,$AE644)&amp;" en "&amp;$E644</f>
        <v>Capuche en écailles</v>
      </c>
      <c r="H644" s="16" t="n">
        <f aca="false" t="array" ref="H644:H644">INDEX(Matériaux!$B$16:$B$20,$D644)</f>
        <v>50</v>
      </c>
      <c r="I644" s="16" t="n">
        <f aca="false">IF(ISNUMBER($C$3),MIN(MAX(0,ROUND($C$3,0)),$AI644),$AI644)</f>
        <v>0</v>
      </c>
      <c r="J644" s="18" t="n">
        <f aca="false">$H644+$I644</f>
        <v>50</v>
      </c>
      <c r="K644" s="15" t="s">
        <v>109</v>
      </c>
      <c r="L644" s="19" t="n">
        <f aca="false" t="array" ref="L644:L644">IF(AND(INDEX(Profils!$F$5:$F$34,$AE644)&gt;0,INDEX(Profils!$U$5:$U$34,$AE644)&lt;=$AH644),ROUND(INDEX(Profils!$F$5:$F$34,$AE644)*Paramètres!$E$22*$AG644*$AJ644,Paramètres!$F$22),0)</f>
        <v>0</v>
      </c>
      <c r="M644" s="19" t="n">
        <f aca="false" t="array" ref="M644:M644">IF(AND(INDEX(Profils!$G$5:$G$34,$AE644)&gt;0,INDEX(Profils!$V$5:$V$34,$AE644)&lt;=$AH644),ROUND(INDEX(Profils!$G$5:$G$34,$AE644)*Paramètres!$E$23*$AG644*$AJ644,Paramètres!$F$23),0)</f>
        <v>0</v>
      </c>
      <c r="N644" s="19" t="n">
        <f aca="false" t="array" ref="N644:N644">IF(AND(INDEX(Profils!$H$5:$H$34,$AE644)&gt;0,INDEX(Profils!$W$5:$W$34,$AE644)&lt;=$AH644),ROUND(INDEX(Profils!$H$5:$H$34,$AE644)*Paramètres!$E$24*$AG644*$AJ644,Paramètres!$F$24),0)</f>
        <v>0</v>
      </c>
      <c r="O644" s="19" t="n">
        <f aca="false" t="array" ref="O644:O644">IF(AND(INDEX(Profils!$I$5:$I$34,$AE644)&gt;0,INDEX(Profils!$X$5:$X$34,$AE644)&lt;=$AH644),ROUND(INDEX(Profils!$I$5:$I$34,$AE644)*Paramètres!$E$25*$AG644*$AJ644,Paramètres!$F$25),0)</f>
        <v>0</v>
      </c>
      <c r="P644" s="19" t="n">
        <f aca="false" t="array" ref="P644:P644">IF(AND(INDEX(Profils!$J$5:$J$34,$AE644)&gt;0,INDEX(Profils!$Y$5:$Y$34,$AE644)&lt;=$AH644),ROUND(INDEX(Profils!$J$5:$J$34,$AE644)*Paramètres!$E$26*$AG644*$AJ644,Paramètres!$F$26),0)</f>
        <v>7</v>
      </c>
      <c r="Q644" s="19" t="n">
        <f aca="false" t="array" ref="Q644:Q644">IF(AND(INDEX(Profils!$K$5:$K$34,$AE644)&gt;0,INDEX(Profils!$Z$5:$Z$34,$AE644)&lt;=$AH644),ROUND(INDEX(Profils!$K$5:$K$34,$AE644)*Paramètres!$E$27*$AG644*$AJ644,Paramètres!$F$27),0)</f>
        <v>0</v>
      </c>
      <c r="R644" s="20" t="n">
        <f aca="false" t="array" ref="R644:R644">IF(AND(INDEX(Profils!$L$5:$L$34,$AE644)&gt;0,INDEX(Profils!$AA$5:$AA$34,$AE644)&lt;=$AH644),ROUND(INDEX(Profils!$L$5:$L$34,$AE644)*Paramètres!$E$28*$AG644*$AJ644,Paramètres!$F$28),0)</f>
        <v>0.008</v>
      </c>
      <c r="S644" s="20" t="n">
        <f aca="false" t="array" ref="S644:S644">IF(AND(INDEX(Profils!$M$5:$M$34,$AE644)&gt;0,INDEX(Profils!$AB$5:$AB$34,$AE644)&lt;=$AH644),ROUND(INDEX(Profils!$M$5:$M$34,$AE644)*Paramètres!$E$29*$AG644*$AJ644,Paramètres!$F$29),0)</f>
        <v>0</v>
      </c>
      <c r="T644" s="20" t="n">
        <f aca="false" t="array" ref="T644:T644">IF(AND(INDEX(Profils!$N$5:$N$34,$AE644)&gt;0,INDEX(Profils!$AC$5:$AC$34,$AE644)&lt;=$AH644),ROUND(INDEX(Profils!$N$5:$N$34,$AE644)*Paramètres!$E$30*$AG644*$AJ644,Paramètres!$F$30),0)</f>
        <v>0</v>
      </c>
      <c r="U644" s="19" t="n">
        <f aca="false" t="array" ref="U644:U644">IF(AND(INDEX(Profils!$O$5:$O$34,$AE644)&gt;0,INDEX(Profils!$AD$5:$AD$34,$AE644)&lt;=$AH644),ROUND(INDEX(Profils!$O$5:$O$34,$AE644)*Paramètres!$E$31*$AG644*$AJ644,Paramètres!$F$31),0)</f>
        <v>0</v>
      </c>
      <c r="V644" s="20" t="n">
        <f aca="false" t="array" ref="V644:V644">IF(AND(INDEX(Profils!$P$5:$P$34,$AE644)&gt;0,INDEX(Profils!$AE$5:$AE$34,$AE644)&lt;=$AH644),ROUND(INDEX(Profils!$P$5:$P$34,$AE644)*Paramètres!$E$32*$AG644*$AJ644,Paramètres!$F$32),0)</f>
        <v>0</v>
      </c>
      <c r="W644" s="20" t="n">
        <f aca="false" t="array" ref="W644:W644">IF(AND(INDEX(Profils!$Q$5:$Q$34,$AE644)&gt;0,INDEX(Profils!$AF$5:$AF$34,$AE644)&lt;=$AH644),ROUND(INDEX(Profils!$Q$5:$Q$34,$AE644)*Paramètres!$E$33*$AG644*$AJ644,Paramètres!$F$33),0)</f>
        <v>0</v>
      </c>
      <c r="X644" s="20" t="n">
        <f aca="false" t="array" ref="X644:X644">IF(AND(INDEX(Profils!$R$5:$R$34,$AE644)&gt;0,INDEX(Profils!$AG$5:$AG$34,$AE644)&lt;=$AH644),ROUND(INDEX(Profils!$R$5:$R$34,$AE644)*Paramètres!$E$34*$AG644*$AJ644,Paramètres!$F$34),0)</f>
        <v>0</v>
      </c>
      <c r="Y644" s="20" t="n">
        <f aca="false" t="array" ref="Y644:Y644">IF(AND(INDEX(Profils!$S$5:$S$34,$AE644)&gt;0,INDEX(Profils!$AH$5:$AH$34,$AE644)&lt;=$AH644),ROUND(INDEX(Profils!$S$5:$S$34,$AE644)*Paramètres!$E$35*$AG644*$AJ644,Paramètres!$F$35),0)</f>
        <v>0</v>
      </c>
      <c r="Z644" s="21" t="n">
        <f aca="false">ROUND(L644/Paramètres!$E$22+M644/Paramètres!$E$23+N644/Paramètres!$E$24+O644/Paramètres!$E$25+P644/Paramètres!$E$26+Q644/Paramètres!$E$27+R644/Paramètres!$E$28+S644/Paramètres!$E$29+T644/Paramètres!$E$30+U644/Paramètres!$E$31+V644/Paramètres!$E$32+W644/Paramètres!$E$33+X644/Paramètres!$E$34+Y644/Paramètres!$E$35,1)</f>
        <v>1.1</v>
      </c>
      <c r="AA644" s="22" t="s">
        <v>109</v>
      </c>
      <c r="AB644" s="22" t="s">
        <v>109</v>
      </c>
      <c r="AC644" s="15" t="str">
        <f aca="false">$E644</f>
        <v>écailles</v>
      </c>
      <c r="AD644" s="16" t="n">
        <f aca="false" t="array" ref="AD644:AD644">IF($I644&gt;=$AI644,"Max",ROUND(Paramètres!$B$40*($I644+1)^Paramètres!$B$41*INDEX(Paramètres!$H$6:$H$12,$AF644),0))</f>
        <v>3</v>
      </c>
      <c r="AE644" s="23" t="n">
        <f aca="false">MATCH($B644&amp;"|"&amp;$C644,Profils!$A$5:$A$34,0)</f>
        <v>21</v>
      </c>
      <c r="AF644" s="23" t="n">
        <v>1</v>
      </c>
      <c r="AG644" s="24" t="n">
        <f aca="false" t="array" ref="AG644:AG644">INDEX(Paramètres!$C$6:$C$12,$AF644)</f>
        <v>1</v>
      </c>
      <c r="AH644" s="23" t="n">
        <f aca="false" t="array" ref="AH644:AH644">INDEX(Paramètres!$D$6:$D$12,$AF644)</f>
        <v>2</v>
      </c>
      <c r="AI644" s="23" t="n">
        <f aca="false" t="array" ref="AI644:AI644">INDEX(Matériaux!$C$16:$C$20,$D644)</f>
        <v>25</v>
      </c>
      <c r="AJ644" s="25" t="n">
        <f aca="false">Paramètres!$B$16+(1-Paramètres!$B$16)*(($J644-Paramètres!$B$14)/(Paramètres!$B$15-Paramètres!$B$14))^Paramètres!$B$17</f>
        <v>0.458504333336152</v>
      </c>
    </row>
    <row r="645" customFormat="false" ht="15.75" hidden="false" customHeight="true" outlineLevel="0" collapsed="false">
      <c r="A645" s="14" t="s">
        <v>761</v>
      </c>
      <c r="B645" s="15" t="s">
        <v>31</v>
      </c>
      <c r="C645" s="15" t="s">
        <v>107</v>
      </c>
      <c r="D645" s="16" t="n">
        <v>4</v>
      </c>
      <c r="E645" s="15" t="str">
        <f aca="false" t="array" ref="E645:E645">INDEX(Matériaux!$B$5:$F$12,MATCH(INDEX(Profils!$E$5:$E$34,$AE645),Matériaux!$A$5:$A$12,0),$D645)</f>
        <v>écailles</v>
      </c>
      <c r="F645" s="26" t="s">
        <v>111</v>
      </c>
      <c r="G645" s="10" t="str">
        <f aca="false" t="array" ref="G645:G645">INDEX(Profils!$D$5:$D$34,$AE645)&amp;" en "&amp;$E645</f>
        <v>Capuche en écailles</v>
      </c>
      <c r="H645" s="16" t="n">
        <f aca="false" t="array" ref="H645:H645">INDEX(Matériaux!$B$16:$B$20,$D645)</f>
        <v>50</v>
      </c>
      <c r="I645" s="16" t="n">
        <f aca="false">IF(ISNUMBER($C$3),MIN(MAX(0,ROUND($C$3,0)),$AI645),$AI645)</f>
        <v>0</v>
      </c>
      <c r="J645" s="18" t="n">
        <f aca="false">$H645+$I645</f>
        <v>50</v>
      </c>
      <c r="K645" s="15" t="s">
        <v>109</v>
      </c>
      <c r="L645" s="19" t="n">
        <f aca="false" t="array" ref="L645:L645">IF(AND(INDEX(Profils!$F$5:$F$34,$AE645)&gt;0,INDEX(Profils!$U$5:$U$34,$AE645)&lt;=$AH645),ROUND(INDEX(Profils!$F$5:$F$34,$AE645)*Paramètres!$E$22*$AG645*$AJ645,Paramètres!$F$22),0)</f>
        <v>14</v>
      </c>
      <c r="M645" s="19" t="n">
        <f aca="false" t="array" ref="M645:M645">IF(AND(INDEX(Profils!$G$5:$G$34,$AE645)&gt;0,INDEX(Profils!$V$5:$V$34,$AE645)&lt;=$AH645),ROUND(INDEX(Profils!$G$5:$G$34,$AE645)*Paramètres!$E$23*$AG645*$AJ645,Paramètres!$F$23),0)</f>
        <v>0</v>
      </c>
      <c r="N645" s="19" t="n">
        <f aca="false" t="array" ref="N645:N645">IF(AND(INDEX(Profils!$H$5:$H$34,$AE645)&gt;0,INDEX(Profils!$W$5:$W$34,$AE645)&lt;=$AH645),ROUND(INDEX(Profils!$H$5:$H$34,$AE645)*Paramètres!$E$24*$AG645*$AJ645,Paramètres!$F$24),0)</f>
        <v>0</v>
      </c>
      <c r="O645" s="19" t="n">
        <f aca="false" t="array" ref="O645:O645">IF(AND(INDEX(Profils!$I$5:$I$34,$AE645)&gt;0,INDEX(Profils!$X$5:$X$34,$AE645)&lt;=$AH645),ROUND(INDEX(Profils!$I$5:$I$34,$AE645)*Paramètres!$E$25*$AG645*$AJ645,Paramètres!$F$25),0)</f>
        <v>0</v>
      </c>
      <c r="P645" s="19" t="n">
        <f aca="false" t="array" ref="P645:P645">IF(AND(INDEX(Profils!$J$5:$J$34,$AE645)&gt;0,INDEX(Profils!$Y$5:$Y$34,$AE645)&lt;=$AH645),ROUND(INDEX(Profils!$J$5:$J$34,$AE645)*Paramètres!$E$26*$AG645*$AJ645,Paramètres!$F$26),0)</f>
        <v>8</v>
      </c>
      <c r="Q645" s="19" t="n">
        <f aca="false" t="array" ref="Q645:Q645">IF(AND(INDEX(Profils!$K$5:$K$34,$AE645)&gt;0,INDEX(Profils!$Z$5:$Z$34,$AE645)&lt;=$AH645),ROUND(INDEX(Profils!$K$5:$K$34,$AE645)*Paramètres!$E$27*$AG645*$AJ645,Paramètres!$F$27),0)</f>
        <v>0</v>
      </c>
      <c r="R645" s="20" t="n">
        <f aca="false" t="array" ref="R645:R645">IF(AND(INDEX(Profils!$L$5:$L$34,$AE645)&gt;0,INDEX(Profils!$AA$5:$AA$34,$AE645)&lt;=$AH645),ROUND(INDEX(Profils!$L$5:$L$34,$AE645)*Paramètres!$E$28*$AG645*$AJ645,Paramètres!$F$28),0)</f>
        <v>0.01</v>
      </c>
      <c r="S645" s="20" t="n">
        <f aca="false" t="array" ref="S645:S645">IF(AND(INDEX(Profils!$M$5:$M$34,$AE645)&gt;0,INDEX(Profils!$AB$5:$AB$34,$AE645)&lt;=$AH645),ROUND(INDEX(Profils!$M$5:$M$34,$AE645)*Paramètres!$E$29*$AG645*$AJ645,Paramètres!$F$29),0)</f>
        <v>0</v>
      </c>
      <c r="T645" s="20" t="n">
        <f aca="false" t="array" ref="T645:T645">IF(AND(INDEX(Profils!$N$5:$N$34,$AE645)&gt;0,INDEX(Profils!$AC$5:$AC$34,$AE645)&lt;=$AH645),ROUND(INDEX(Profils!$N$5:$N$34,$AE645)*Paramètres!$E$30*$AG645*$AJ645,Paramètres!$F$30),0)</f>
        <v>0</v>
      </c>
      <c r="U645" s="19" t="n">
        <f aca="false" t="array" ref="U645:U645">IF(AND(INDEX(Profils!$O$5:$O$34,$AE645)&gt;0,INDEX(Profils!$AD$5:$AD$34,$AE645)&lt;=$AH645),ROUND(INDEX(Profils!$O$5:$O$34,$AE645)*Paramètres!$E$31*$AG645*$AJ645,Paramètres!$F$31),0)</f>
        <v>0</v>
      </c>
      <c r="V645" s="20" t="n">
        <f aca="false" t="array" ref="V645:V645">IF(AND(INDEX(Profils!$P$5:$P$34,$AE645)&gt;0,INDEX(Profils!$AE$5:$AE$34,$AE645)&lt;=$AH645),ROUND(INDEX(Profils!$P$5:$P$34,$AE645)*Paramètres!$E$32*$AG645*$AJ645,Paramètres!$F$32),0)</f>
        <v>0</v>
      </c>
      <c r="W645" s="20" t="n">
        <f aca="false" t="array" ref="W645:W645">IF(AND(INDEX(Profils!$Q$5:$Q$34,$AE645)&gt;0,INDEX(Profils!$AF$5:$AF$34,$AE645)&lt;=$AH645),ROUND(INDEX(Profils!$Q$5:$Q$34,$AE645)*Paramètres!$E$33*$AG645*$AJ645,Paramètres!$F$33),0)</f>
        <v>0</v>
      </c>
      <c r="X645" s="20" t="n">
        <f aca="false" t="array" ref="X645:X645">IF(AND(INDEX(Profils!$R$5:$R$34,$AE645)&gt;0,INDEX(Profils!$AG$5:$AG$34,$AE645)&lt;=$AH645),ROUND(INDEX(Profils!$R$5:$R$34,$AE645)*Paramètres!$E$34*$AG645*$AJ645,Paramètres!$F$34),0)</f>
        <v>0</v>
      </c>
      <c r="Y645" s="20" t="n">
        <f aca="false" t="array" ref="Y645:Y645">IF(AND(INDEX(Profils!$S$5:$S$34,$AE645)&gt;0,INDEX(Profils!$AH$5:$AH$34,$AE645)&lt;=$AH645),ROUND(INDEX(Profils!$S$5:$S$34,$AE645)*Paramètres!$E$35*$AG645*$AJ645,Paramètres!$F$35),0)</f>
        <v>0</v>
      </c>
      <c r="Z645" s="21" t="n">
        <f aca="false">ROUND(L645/Paramètres!$E$22+M645/Paramètres!$E$23+N645/Paramètres!$E$24+O645/Paramètres!$E$25+P645/Paramètres!$E$26+Q645/Paramètres!$E$27+R645/Paramètres!$E$28+S645/Paramètres!$E$29+T645/Paramètres!$E$30+U645/Paramètres!$E$31+V645/Paramètres!$E$32+W645/Paramètres!$E$33+X645/Paramètres!$E$34+Y645/Paramètres!$E$35,1)</f>
        <v>1.9</v>
      </c>
      <c r="AA645" s="22" t="s">
        <v>109</v>
      </c>
      <c r="AB645" s="22" t="s">
        <v>109</v>
      </c>
      <c r="AC645" s="15" t="str">
        <f aca="false">$E645</f>
        <v>écailles</v>
      </c>
      <c r="AD645" s="16" t="n">
        <f aca="false" t="array" ref="AD645:AD645">IF($I645&gt;=$AI645,"Max",ROUND(Paramètres!$B$40*($I645+1)^Paramètres!$B$41*INDEX(Paramètres!$H$6:$H$12,$AF645),0))</f>
        <v>4</v>
      </c>
      <c r="AE645" s="23" t="n">
        <f aca="false">MATCH($B645&amp;"|"&amp;$C645,Profils!$A$5:$A$34,0)</f>
        <v>21</v>
      </c>
      <c r="AF645" s="23" t="n">
        <v>2</v>
      </c>
      <c r="AG645" s="24" t="n">
        <f aca="false" t="array" ref="AG645:AG645">INDEX(Paramètres!$C$6:$C$12,$AF645)</f>
        <v>1.2</v>
      </c>
      <c r="AH645" s="23" t="n">
        <f aca="false" t="array" ref="AH645:AH645">INDEX(Paramètres!$D$6:$D$12,$AF645)</f>
        <v>3</v>
      </c>
      <c r="AI645" s="23" t="n">
        <f aca="false" t="array" ref="AI645:AI645">INDEX(Matériaux!$C$16:$C$20,$D645)</f>
        <v>25</v>
      </c>
      <c r="AJ645" s="25" t="n">
        <f aca="false">Paramètres!$B$16+(1-Paramètres!$B$16)*(($J645-Paramètres!$B$14)/(Paramètres!$B$15-Paramètres!$B$14))^Paramètres!$B$17</f>
        <v>0.458504333336152</v>
      </c>
    </row>
    <row r="646" customFormat="false" ht="15.75" hidden="false" customHeight="true" outlineLevel="0" collapsed="false">
      <c r="A646" s="14" t="s">
        <v>762</v>
      </c>
      <c r="B646" s="15" t="s">
        <v>31</v>
      </c>
      <c r="C646" s="15" t="s">
        <v>107</v>
      </c>
      <c r="D646" s="16" t="n">
        <v>4</v>
      </c>
      <c r="E646" s="15" t="str">
        <f aca="false" t="array" ref="E646:E646">INDEX(Matériaux!$B$5:$F$12,MATCH(INDEX(Profils!$E$5:$E$34,$AE646),Matériaux!$A$5:$A$12,0),$D646)</f>
        <v>écailles</v>
      </c>
      <c r="F646" s="27" t="s">
        <v>113</v>
      </c>
      <c r="G646" s="10" t="str">
        <f aca="false" t="array" ref="G646:G646">INDEX(Profils!$D$5:$D$34,$AE646)&amp;" en "&amp;$E646</f>
        <v>Capuche en écailles</v>
      </c>
      <c r="H646" s="16" t="n">
        <f aca="false" t="array" ref="H646:H646">INDEX(Matériaux!$B$16:$B$20,$D646)</f>
        <v>50</v>
      </c>
      <c r="I646" s="16" t="n">
        <f aca="false">IF(ISNUMBER($C$3),MIN(MAX(0,ROUND($C$3,0)),$AI646),$AI646)</f>
        <v>0</v>
      </c>
      <c r="J646" s="18" t="n">
        <f aca="false">$H646+$I646</f>
        <v>50</v>
      </c>
      <c r="K646" s="15" t="s">
        <v>109</v>
      </c>
      <c r="L646" s="19" t="n">
        <f aca="false" t="array" ref="L646:L646">IF(AND(INDEX(Profils!$F$5:$F$34,$AE646)&gt;0,INDEX(Profils!$U$5:$U$34,$AE646)&lt;=$AH646),ROUND(INDEX(Profils!$F$5:$F$34,$AE646)*Paramètres!$E$22*$AG646*$AJ646,Paramètres!$F$22),0)</f>
        <v>17</v>
      </c>
      <c r="M646" s="19" t="n">
        <f aca="false" t="array" ref="M646:M646">IF(AND(INDEX(Profils!$G$5:$G$34,$AE646)&gt;0,INDEX(Profils!$V$5:$V$34,$AE646)&lt;=$AH646),ROUND(INDEX(Profils!$G$5:$G$34,$AE646)*Paramètres!$E$23*$AG646*$AJ646,Paramètres!$F$23),0)</f>
        <v>0</v>
      </c>
      <c r="N646" s="19" t="n">
        <f aca="false" t="array" ref="N646:N646">IF(AND(INDEX(Profils!$H$5:$H$34,$AE646)&gt;0,INDEX(Profils!$W$5:$W$34,$AE646)&lt;=$AH646),ROUND(INDEX(Profils!$H$5:$H$34,$AE646)*Paramètres!$E$24*$AG646*$AJ646,Paramètres!$F$24),0)</f>
        <v>0</v>
      </c>
      <c r="O646" s="19" t="n">
        <f aca="false" t="array" ref="O646:O646">IF(AND(INDEX(Profils!$I$5:$I$34,$AE646)&gt;0,INDEX(Profils!$X$5:$X$34,$AE646)&lt;=$AH646),ROUND(INDEX(Profils!$I$5:$I$34,$AE646)*Paramètres!$E$25*$AG646*$AJ646,Paramètres!$F$25),0)</f>
        <v>0</v>
      </c>
      <c r="P646" s="19" t="n">
        <f aca="false" t="array" ref="P646:P646">IF(AND(INDEX(Profils!$J$5:$J$34,$AE646)&gt;0,INDEX(Profils!$Y$5:$Y$34,$AE646)&lt;=$AH646),ROUND(INDEX(Profils!$J$5:$J$34,$AE646)*Paramètres!$E$26*$AG646*$AJ646,Paramètres!$F$26),0)</f>
        <v>10</v>
      </c>
      <c r="Q646" s="19" t="n">
        <f aca="false" t="array" ref="Q646:Q646">IF(AND(INDEX(Profils!$K$5:$K$34,$AE646)&gt;0,INDEX(Profils!$Z$5:$Z$34,$AE646)&lt;=$AH646),ROUND(INDEX(Profils!$K$5:$K$34,$AE646)*Paramètres!$E$27*$AG646*$AJ646,Paramètres!$F$27),0)</f>
        <v>0</v>
      </c>
      <c r="R646" s="20" t="n">
        <f aca="false" t="array" ref="R646:R646">IF(AND(INDEX(Profils!$L$5:$L$34,$AE646)&gt;0,INDEX(Profils!$AA$5:$AA$34,$AE646)&lt;=$AH646),ROUND(INDEX(Profils!$L$5:$L$34,$AE646)*Paramètres!$E$28*$AG646*$AJ646,Paramètres!$F$28),0)</f>
        <v>0.012</v>
      </c>
      <c r="S646" s="20" t="n">
        <f aca="false" t="array" ref="S646:S646">IF(AND(INDEX(Profils!$M$5:$M$34,$AE646)&gt;0,INDEX(Profils!$AB$5:$AB$34,$AE646)&lt;=$AH646),ROUND(INDEX(Profils!$M$5:$M$34,$AE646)*Paramètres!$E$29*$AG646*$AJ646,Paramètres!$F$29),0)</f>
        <v>0.006</v>
      </c>
      <c r="T646" s="20" t="n">
        <f aca="false" t="array" ref="T646:T646">IF(AND(INDEX(Profils!$N$5:$N$34,$AE646)&gt;0,INDEX(Profils!$AC$5:$AC$34,$AE646)&lt;=$AH646),ROUND(INDEX(Profils!$N$5:$N$34,$AE646)*Paramètres!$E$30*$AG646*$AJ646,Paramètres!$F$30),0)</f>
        <v>0</v>
      </c>
      <c r="U646" s="19" t="n">
        <f aca="false" t="array" ref="U646:U646">IF(AND(INDEX(Profils!$O$5:$O$34,$AE646)&gt;0,INDEX(Profils!$AD$5:$AD$34,$AE646)&lt;=$AH646),ROUND(INDEX(Profils!$O$5:$O$34,$AE646)*Paramètres!$E$31*$AG646*$AJ646,Paramètres!$F$31),0)</f>
        <v>0</v>
      </c>
      <c r="V646" s="20" t="n">
        <f aca="false" t="array" ref="V646:V646">IF(AND(INDEX(Profils!$P$5:$P$34,$AE646)&gt;0,INDEX(Profils!$AE$5:$AE$34,$AE646)&lt;=$AH646),ROUND(INDEX(Profils!$P$5:$P$34,$AE646)*Paramètres!$E$32*$AG646*$AJ646,Paramètres!$F$32),0)</f>
        <v>0</v>
      </c>
      <c r="W646" s="20" t="n">
        <f aca="false" t="array" ref="W646:W646">IF(AND(INDEX(Profils!$Q$5:$Q$34,$AE646)&gt;0,INDEX(Profils!$AF$5:$AF$34,$AE646)&lt;=$AH646),ROUND(INDEX(Profils!$Q$5:$Q$34,$AE646)*Paramètres!$E$33*$AG646*$AJ646,Paramètres!$F$33),0)</f>
        <v>0</v>
      </c>
      <c r="X646" s="20" t="n">
        <f aca="false" t="array" ref="X646:X646">IF(AND(INDEX(Profils!$R$5:$R$34,$AE646)&gt;0,INDEX(Profils!$AG$5:$AG$34,$AE646)&lt;=$AH646),ROUND(INDEX(Profils!$R$5:$R$34,$AE646)*Paramètres!$E$34*$AG646*$AJ646,Paramètres!$F$34),0)</f>
        <v>0</v>
      </c>
      <c r="Y646" s="20" t="n">
        <f aca="false" t="array" ref="Y646:Y646">IF(AND(INDEX(Profils!$S$5:$S$34,$AE646)&gt;0,INDEX(Profils!$AH$5:$AH$34,$AE646)&lt;=$AH646),ROUND(INDEX(Profils!$S$5:$S$34,$AE646)*Paramètres!$E$35*$AG646*$AJ646,Paramètres!$F$35),0)</f>
        <v>0</v>
      </c>
      <c r="Z646" s="21" t="n">
        <f aca="false">ROUND(L646/Paramètres!$E$22+M646/Paramètres!$E$23+N646/Paramètres!$E$24+O646/Paramètres!$E$25+P646/Paramètres!$E$26+Q646/Paramètres!$E$27+R646/Paramètres!$E$28+S646/Paramètres!$E$29+T646/Paramètres!$E$30+U646/Paramètres!$E$31+V646/Paramètres!$E$32+W646/Paramètres!$E$33+X646/Paramètres!$E$34+Y646/Paramètres!$E$35,1)</f>
        <v>2.8</v>
      </c>
      <c r="AA646" s="22" t="s">
        <v>109</v>
      </c>
      <c r="AB646" s="22" t="s">
        <v>109</v>
      </c>
      <c r="AC646" s="15" t="str">
        <f aca="false">$E646</f>
        <v>écailles</v>
      </c>
      <c r="AD646" s="16" t="n">
        <f aca="false" t="array" ref="AD646:AD646">IF($I646&gt;=$AI646,"Max",ROUND(Paramètres!$B$40*($I646+1)^Paramètres!$B$41*INDEX(Paramètres!$H$6:$H$12,$AF646),0))</f>
        <v>4</v>
      </c>
      <c r="AE646" s="23" t="n">
        <f aca="false">MATCH($B646&amp;"|"&amp;$C646,Profils!$A$5:$A$34,0)</f>
        <v>21</v>
      </c>
      <c r="AF646" s="23" t="n">
        <v>3</v>
      </c>
      <c r="AG646" s="24" t="n">
        <f aca="false" t="array" ref="AG646:AG646">INDEX(Paramètres!$C$6:$C$12,$AF646)</f>
        <v>1.45</v>
      </c>
      <c r="AH646" s="23" t="n">
        <f aca="false" t="array" ref="AH646:AH646">INDEX(Paramètres!$D$6:$D$12,$AF646)</f>
        <v>4</v>
      </c>
      <c r="AI646" s="23" t="n">
        <f aca="false" t="array" ref="AI646:AI646">INDEX(Matériaux!$C$16:$C$20,$D646)</f>
        <v>25</v>
      </c>
      <c r="AJ646" s="25" t="n">
        <f aca="false">Paramètres!$B$16+(1-Paramètres!$B$16)*(($J646-Paramètres!$B$14)/(Paramètres!$B$15-Paramètres!$B$14))^Paramètres!$B$17</f>
        <v>0.458504333336152</v>
      </c>
    </row>
    <row r="647" customFormat="false" ht="15.75" hidden="false" customHeight="true" outlineLevel="0" collapsed="false">
      <c r="A647" s="14" t="s">
        <v>763</v>
      </c>
      <c r="B647" s="15" t="s">
        <v>31</v>
      </c>
      <c r="C647" s="15" t="s">
        <v>107</v>
      </c>
      <c r="D647" s="16" t="n">
        <v>4</v>
      </c>
      <c r="E647" s="15" t="str">
        <f aca="false" t="array" ref="E647:E647">INDEX(Matériaux!$B$5:$F$12,MATCH(INDEX(Profils!$E$5:$E$34,$AE647),Matériaux!$A$5:$A$12,0),$D647)</f>
        <v>écailles</v>
      </c>
      <c r="F647" s="28" t="s">
        <v>115</v>
      </c>
      <c r="G647" s="10" t="str">
        <f aca="false" t="array" ref="G647:G647">INDEX(Profils!$D$5:$D$34,$AE647)&amp;" en "&amp;$E647</f>
        <v>Capuche en écailles</v>
      </c>
      <c r="H647" s="16" t="n">
        <f aca="false" t="array" ref="H647:H647">INDEX(Matériaux!$B$16:$B$20,$D647)</f>
        <v>50</v>
      </c>
      <c r="I647" s="16" t="n">
        <f aca="false">IF(ISNUMBER($C$3),MIN(MAX(0,ROUND($C$3,0)),$AI647),$AI647)</f>
        <v>0</v>
      </c>
      <c r="J647" s="18" t="n">
        <f aca="false">$H647+$I647</f>
        <v>50</v>
      </c>
      <c r="K647" s="15" t="s">
        <v>109</v>
      </c>
      <c r="L647" s="19" t="n">
        <f aca="false" t="array" ref="L647:L647">IF(AND(INDEX(Profils!$F$5:$F$34,$AE647)&gt;0,INDEX(Profils!$U$5:$U$34,$AE647)&lt;=$AH647),ROUND(INDEX(Profils!$F$5:$F$34,$AE647)*Paramètres!$E$22*$AG647*$AJ647,Paramètres!$F$22),0)</f>
        <v>20</v>
      </c>
      <c r="M647" s="19" t="n">
        <f aca="false" t="array" ref="M647:M647">IF(AND(INDEX(Profils!$G$5:$G$34,$AE647)&gt;0,INDEX(Profils!$V$5:$V$34,$AE647)&lt;=$AH647),ROUND(INDEX(Profils!$G$5:$G$34,$AE647)*Paramètres!$E$23*$AG647*$AJ647,Paramètres!$F$23),0)</f>
        <v>0</v>
      </c>
      <c r="N647" s="19" t="n">
        <f aca="false" t="array" ref="N647:N647">IF(AND(INDEX(Profils!$H$5:$H$34,$AE647)&gt;0,INDEX(Profils!$W$5:$W$34,$AE647)&lt;=$AH647),ROUND(INDEX(Profils!$H$5:$H$34,$AE647)*Paramètres!$E$24*$AG647*$AJ647,Paramètres!$F$24),0)</f>
        <v>0</v>
      </c>
      <c r="O647" s="19" t="n">
        <f aca="false" t="array" ref="O647:O647">IF(AND(INDEX(Profils!$I$5:$I$34,$AE647)&gt;0,INDEX(Profils!$X$5:$X$34,$AE647)&lt;=$AH647),ROUND(INDEX(Profils!$I$5:$I$34,$AE647)*Paramètres!$E$25*$AG647*$AJ647,Paramètres!$F$25),0)</f>
        <v>0</v>
      </c>
      <c r="P647" s="19" t="n">
        <f aca="false" t="array" ref="P647:P647">IF(AND(INDEX(Profils!$J$5:$J$34,$AE647)&gt;0,INDEX(Profils!$Y$5:$Y$34,$AE647)&lt;=$AH647),ROUND(INDEX(Profils!$J$5:$J$34,$AE647)*Paramètres!$E$26*$AG647*$AJ647,Paramètres!$F$26),0)</f>
        <v>12</v>
      </c>
      <c r="Q647" s="19" t="n">
        <f aca="false" t="array" ref="Q647:Q647">IF(AND(INDEX(Profils!$K$5:$K$34,$AE647)&gt;0,INDEX(Profils!$Z$5:$Z$34,$AE647)&lt;=$AH647),ROUND(INDEX(Profils!$K$5:$K$34,$AE647)*Paramètres!$E$27*$AG647*$AJ647,Paramètres!$F$27),0)</f>
        <v>0</v>
      </c>
      <c r="R647" s="20" t="n">
        <f aca="false" t="array" ref="R647:R647">IF(AND(INDEX(Profils!$L$5:$L$34,$AE647)&gt;0,INDEX(Profils!$AA$5:$AA$34,$AE647)&lt;=$AH647),ROUND(INDEX(Profils!$L$5:$L$34,$AE647)*Paramètres!$E$28*$AG647*$AJ647,Paramètres!$F$28),0)</f>
        <v>0.014</v>
      </c>
      <c r="S647" s="20" t="n">
        <f aca="false" t="array" ref="S647:S647">IF(AND(INDEX(Profils!$M$5:$M$34,$AE647)&gt;0,INDEX(Profils!$AB$5:$AB$34,$AE647)&lt;=$AH647),ROUND(INDEX(Profils!$M$5:$M$34,$AE647)*Paramètres!$E$29*$AG647*$AJ647,Paramètres!$F$29),0)</f>
        <v>0.008</v>
      </c>
      <c r="T647" s="20" t="n">
        <f aca="false" t="array" ref="T647:T647">IF(AND(INDEX(Profils!$N$5:$N$34,$AE647)&gt;0,INDEX(Profils!$AC$5:$AC$34,$AE647)&lt;=$AH647),ROUND(INDEX(Profils!$N$5:$N$34,$AE647)*Paramètres!$E$30*$AG647*$AJ647,Paramètres!$F$30),0)</f>
        <v>0</v>
      </c>
      <c r="U647" s="19" t="n">
        <f aca="false" t="array" ref="U647:U647">IF(AND(INDEX(Profils!$O$5:$O$34,$AE647)&gt;0,INDEX(Profils!$AD$5:$AD$34,$AE647)&lt;=$AH647),ROUND(INDEX(Profils!$O$5:$O$34,$AE647)*Paramètres!$E$31*$AG647*$AJ647,Paramètres!$F$31),0)</f>
        <v>0</v>
      </c>
      <c r="V647" s="20" t="n">
        <f aca="false" t="array" ref="V647:V647">IF(AND(INDEX(Profils!$P$5:$P$34,$AE647)&gt;0,INDEX(Profils!$AE$5:$AE$34,$AE647)&lt;=$AH647),ROUND(INDEX(Profils!$P$5:$P$34,$AE647)*Paramètres!$E$32*$AG647*$AJ647,Paramètres!$F$32),0)</f>
        <v>0</v>
      </c>
      <c r="W647" s="20" t="n">
        <f aca="false" t="array" ref="W647:W647">IF(AND(INDEX(Profils!$Q$5:$Q$34,$AE647)&gt;0,INDEX(Profils!$AF$5:$AF$34,$AE647)&lt;=$AH647),ROUND(INDEX(Profils!$Q$5:$Q$34,$AE647)*Paramètres!$E$33*$AG647*$AJ647,Paramètres!$F$33),0)</f>
        <v>0</v>
      </c>
      <c r="X647" s="20" t="n">
        <f aca="false" t="array" ref="X647:X647">IF(AND(INDEX(Profils!$R$5:$R$34,$AE647)&gt;0,INDEX(Profils!$AG$5:$AG$34,$AE647)&lt;=$AH647),ROUND(INDEX(Profils!$R$5:$R$34,$AE647)*Paramètres!$E$34*$AG647*$AJ647,Paramètres!$F$34),0)</f>
        <v>0</v>
      </c>
      <c r="Y647" s="20" t="n">
        <f aca="false" t="array" ref="Y647:Y647">IF(AND(INDEX(Profils!$S$5:$S$34,$AE647)&gt;0,INDEX(Profils!$AH$5:$AH$34,$AE647)&lt;=$AH647),ROUND(INDEX(Profils!$S$5:$S$34,$AE647)*Paramètres!$E$35*$AG647*$AJ647,Paramètres!$F$35),0)</f>
        <v>0.008</v>
      </c>
      <c r="Z647" s="21" t="n">
        <f aca="false">ROUND(L647/Paramètres!$E$22+M647/Paramètres!$E$23+N647/Paramètres!$E$24+O647/Paramètres!$E$25+P647/Paramètres!$E$26+Q647/Paramètres!$E$27+R647/Paramètres!$E$28+S647/Paramètres!$E$29+T647/Paramètres!$E$30+U647/Paramètres!$E$31+V647/Paramètres!$E$32+W647/Paramètres!$E$33+X647/Paramètres!$E$34+Y647/Paramètres!$E$35,1)</f>
        <v>3.9</v>
      </c>
      <c r="AA647" s="22" t="s">
        <v>109</v>
      </c>
      <c r="AB647" s="22" t="s">
        <v>109</v>
      </c>
      <c r="AC647" s="15" t="str">
        <f aca="false">$E647</f>
        <v>écailles</v>
      </c>
      <c r="AD647" s="16" t="n">
        <f aca="false" t="array" ref="AD647:AD647">IF($I647&gt;=$AI647,"Max",ROUND(Paramètres!$B$40*($I647+1)^Paramètres!$B$41*INDEX(Paramètres!$H$6:$H$12,$AF647),0))</f>
        <v>5</v>
      </c>
      <c r="AE647" s="23" t="n">
        <f aca="false">MATCH($B647&amp;"|"&amp;$C647,Profils!$A$5:$A$34,0)</f>
        <v>21</v>
      </c>
      <c r="AF647" s="23" t="n">
        <v>4</v>
      </c>
      <c r="AG647" s="24" t="n">
        <f aca="false" t="array" ref="AG647:AG647">INDEX(Paramètres!$C$6:$C$12,$AF647)</f>
        <v>1.75</v>
      </c>
      <c r="AH647" s="23" t="n">
        <f aca="false" t="array" ref="AH647:AH647">INDEX(Paramètres!$D$6:$D$12,$AF647)</f>
        <v>5</v>
      </c>
      <c r="AI647" s="23" t="n">
        <f aca="false" t="array" ref="AI647:AI647">INDEX(Matériaux!$C$16:$C$20,$D647)</f>
        <v>25</v>
      </c>
      <c r="AJ647" s="25" t="n">
        <f aca="false">Paramètres!$B$16+(1-Paramètres!$B$16)*(($J647-Paramètres!$B$14)/(Paramètres!$B$15-Paramètres!$B$14))^Paramètres!$B$17</f>
        <v>0.458504333336152</v>
      </c>
    </row>
    <row r="648" customFormat="false" ht="15.75" hidden="false" customHeight="true" outlineLevel="0" collapsed="false">
      <c r="A648" s="14" t="s">
        <v>764</v>
      </c>
      <c r="B648" s="15" t="s">
        <v>31</v>
      </c>
      <c r="C648" s="15" t="s">
        <v>107</v>
      </c>
      <c r="D648" s="16" t="n">
        <v>4</v>
      </c>
      <c r="E648" s="15" t="str">
        <f aca="false" t="array" ref="E648:E648">INDEX(Matériaux!$B$5:$F$12,MATCH(INDEX(Profils!$E$5:$E$34,$AE648),Matériaux!$A$5:$A$12,0),$D648)</f>
        <v>écailles</v>
      </c>
      <c r="F648" s="29" t="s">
        <v>117</v>
      </c>
      <c r="G648" s="10" t="str">
        <f aca="false" t="array" ref="G648:G648">INDEX(Profils!$D$5:$D$34,$AE648)&amp;" en "&amp;$E648</f>
        <v>Capuche en écailles</v>
      </c>
      <c r="H648" s="16" t="n">
        <f aca="false" t="array" ref="H648:H648">INDEX(Matériaux!$B$16:$B$20,$D648)</f>
        <v>50</v>
      </c>
      <c r="I648" s="16" t="n">
        <f aca="false">IF(ISNUMBER($C$3),MIN(MAX(0,ROUND($C$3,0)),$AI648),$AI648)</f>
        <v>0</v>
      </c>
      <c r="J648" s="18" t="n">
        <f aca="false">$H648+$I648</f>
        <v>50</v>
      </c>
      <c r="K648" s="15" t="s">
        <v>109</v>
      </c>
      <c r="L648" s="19" t="n">
        <f aca="false" t="array" ref="L648:L648">IF(AND(INDEX(Profils!$F$5:$F$34,$AE648)&gt;0,INDEX(Profils!$U$5:$U$34,$AE648)&lt;=$AH648),ROUND(INDEX(Profils!$F$5:$F$34,$AE648)*Paramètres!$E$22*$AG648*$AJ648,Paramètres!$F$22),0)</f>
        <v>24</v>
      </c>
      <c r="M648" s="19" t="n">
        <f aca="false" t="array" ref="M648:M648">IF(AND(INDEX(Profils!$G$5:$G$34,$AE648)&gt;0,INDEX(Profils!$V$5:$V$34,$AE648)&lt;=$AH648),ROUND(INDEX(Profils!$G$5:$G$34,$AE648)*Paramètres!$E$23*$AG648*$AJ648,Paramètres!$F$23),0)</f>
        <v>0</v>
      </c>
      <c r="N648" s="19" t="n">
        <f aca="false" t="array" ref="N648:N648">IF(AND(INDEX(Profils!$H$5:$H$34,$AE648)&gt;0,INDEX(Profils!$W$5:$W$34,$AE648)&lt;=$AH648),ROUND(INDEX(Profils!$H$5:$H$34,$AE648)*Paramètres!$E$24*$AG648*$AJ648,Paramètres!$F$24),0)</f>
        <v>9</v>
      </c>
      <c r="O648" s="19" t="n">
        <f aca="false" t="array" ref="O648:O648">IF(AND(INDEX(Profils!$I$5:$I$34,$AE648)&gt;0,INDEX(Profils!$X$5:$X$34,$AE648)&lt;=$AH648),ROUND(INDEX(Profils!$I$5:$I$34,$AE648)*Paramètres!$E$25*$AG648*$AJ648,Paramètres!$F$25),0)</f>
        <v>0</v>
      </c>
      <c r="P648" s="19" t="n">
        <f aca="false" t="array" ref="P648:P648">IF(AND(INDEX(Profils!$J$5:$J$34,$AE648)&gt;0,INDEX(Profils!$Y$5:$Y$34,$AE648)&lt;=$AH648),ROUND(INDEX(Profils!$J$5:$J$34,$AE648)*Paramètres!$E$26*$AG648*$AJ648,Paramètres!$F$26),0)</f>
        <v>14</v>
      </c>
      <c r="Q648" s="19" t="n">
        <f aca="false" t="array" ref="Q648:Q648">IF(AND(INDEX(Profils!$K$5:$K$34,$AE648)&gt;0,INDEX(Profils!$Z$5:$Z$34,$AE648)&lt;=$AH648),ROUND(INDEX(Profils!$K$5:$K$34,$AE648)*Paramètres!$E$27*$AG648*$AJ648,Paramètres!$F$27),0)</f>
        <v>0</v>
      </c>
      <c r="R648" s="20" t="n">
        <f aca="false" t="array" ref="R648:R648">IF(AND(INDEX(Profils!$L$5:$L$34,$AE648)&gt;0,INDEX(Profils!$AA$5:$AA$34,$AE648)&lt;=$AH648),ROUND(INDEX(Profils!$L$5:$L$34,$AE648)*Paramètres!$E$28*$AG648*$AJ648,Paramètres!$F$28),0)</f>
        <v>0.017</v>
      </c>
      <c r="S648" s="20" t="n">
        <f aca="false" t="array" ref="S648:S648">IF(AND(INDEX(Profils!$M$5:$M$34,$AE648)&gt;0,INDEX(Profils!$AB$5:$AB$34,$AE648)&lt;=$AH648),ROUND(INDEX(Profils!$M$5:$M$34,$AE648)*Paramètres!$E$29*$AG648*$AJ648,Paramètres!$F$29),0)</f>
        <v>0.009</v>
      </c>
      <c r="T648" s="20" t="n">
        <f aca="false" t="array" ref="T648:T648">IF(AND(INDEX(Profils!$N$5:$N$34,$AE648)&gt;0,INDEX(Profils!$AC$5:$AC$34,$AE648)&lt;=$AH648),ROUND(INDEX(Profils!$N$5:$N$34,$AE648)*Paramètres!$E$30*$AG648*$AJ648,Paramètres!$F$30),0)</f>
        <v>0</v>
      </c>
      <c r="U648" s="19" t="n">
        <f aca="false" t="array" ref="U648:U648">IF(AND(INDEX(Profils!$O$5:$O$34,$AE648)&gt;0,INDEX(Profils!$AD$5:$AD$34,$AE648)&lt;=$AH648),ROUND(INDEX(Profils!$O$5:$O$34,$AE648)*Paramètres!$E$31*$AG648*$AJ648,Paramètres!$F$31),0)</f>
        <v>0</v>
      </c>
      <c r="V648" s="20" t="n">
        <f aca="false" t="array" ref="V648:V648">IF(AND(INDEX(Profils!$P$5:$P$34,$AE648)&gt;0,INDEX(Profils!$AE$5:$AE$34,$AE648)&lt;=$AH648),ROUND(INDEX(Profils!$P$5:$P$34,$AE648)*Paramètres!$E$32*$AG648*$AJ648,Paramètres!$F$32),0)</f>
        <v>0</v>
      </c>
      <c r="W648" s="20" t="n">
        <f aca="false" t="array" ref="W648:W648">IF(AND(INDEX(Profils!$Q$5:$Q$34,$AE648)&gt;0,INDEX(Profils!$AF$5:$AF$34,$AE648)&lt;=$AH648),ROUND(INDEX(Profils!$Q$5:$Q$34,$AE648)*Paramètres!$E$33*$AG648*$AJ648,Paramètres!$F$33),0)</f>
        <v>0</v>
      </c>
      <c r="X648" s="20" t="n">
        <f aca="false" t="array" ref="X648:X648">IF(AND(INDEX(Profils!$R$5:$R$34,$AE648)&gt;0,INDEX(Profils!$AG$5:$AG$34,$AE648)&lt;=$AH648),ROUND(INDEX(Profils!$R$5:$R$34,$AE648)*Paramètres!$E$34*$AG648*$AJ648,Paramètres!$F$34),0)</f>
        <v>0</v>
      </c>
      <c r="Y648" s="20" t="n">
        <f aca="false" t="array" ref="Y648:Y648">IF(AND(INDEX(Profils!$S$5:$S$34,$AE648)&gt;0,INDEX(Profils!$AH$5:$AH$34,$AE648)&lt;=$AH648),ROUND(INDEX(Profils!$S$5:$S$34,$AE648)*Paramètres!$E$35*$AG648*$AJ648,Paramètres!$F$35),0)</f>
        <v>0.01</v>
      </c>
      <c r="Z648" s="21" t="n">
        <f aca="false">ROUND(L648/Paramètres!$E$22+M648/Paramètres!$E$23+N648/Paramètres!$E$24+O648/Paramètres!$E$25+P648/Paramètres!$E$26+Q648/Paramètres!$E$27+R648/Paramètres!$E$28+S648/Paramètres!$E$29+T648/Paramètres!$E$30+U648/Paramètres!$E$31+V648/Paramètres!$E$32+W648/Paramètres!$E$33+X648/Paramètres!$E$34+Y648/Paramètres!$E$35,1)</f>
        <v>5.3</v>
      </c>
      <c r="AA648" s="22" t="s">
        <v>109</v>
      </c>
      <c r="AB648" s="22" t="s">
        <v>109</v>
      </c>
      <c r="AC648" s="15" t="str">
        <f aca="false">$E648</f>
        <v>écailles</v>
      </c>
      <c r="AD648" s="16" t="n">
        <f aca="false" t="array" ref="AD648:AD648">IF($I648&gt;=$AI648,"Max",ROUND(Paramètres!$B$40*($I648+1)^Paramètres!$B$41*INDEX(Paramètres!$H$6:$H$12,$AF648),0))</f>
        <v>6</v>
      </c>
      <c r="AE648" s="23" t="n">
        <f aca="false">MATCH($B648&amp;"|"&amp;$C648,Profils!$A$5:$A$34,0)</f>
        <v>21</v>
      </c>
      <c r="AF648" s="23" t="n">
        <v>5</v>
      </c>
      <c r="AG648" s="24" t="n">
        <f aca="false" t="array" ref="AG648:AG648">INDEX(Paramètres!$C$6:$C$12,$AF648)</f>
        <v>2.1</v>
      </c>
      <c r="AH648" s="23" t="n">
        <f aca="false" t="array" ref="AH648:AH648">INDEX(Paramètres!$D$6:$D$12,$AF648)</f>
        <v>6</v>
      </c>
      <c r="AI648" s="23" t="n">
        <f aca="false" t="array" ref="AI648:AI648">INDEX(Matériaux!$C$16:$C$20,$D648)</f>
        <v>25</v>
      </c>
      <c r="AJ648" s="25" t="n">
        <f aca="false">Paramètres!$B$16+(1-Paramètres!$B$16)*(($J648-Paramètres!$B$14)/(Paramètres!$B$15-Paramètres!$B$14))^Paramètres!$B$17</f>
        <v>0.458504333336152</v>
      </c>
    </row>
    <row r="649" customFormat="false" ht="15.75" hidden="false" customHeight="true" outlineLevel="0" collapsed="false">
      <c r="A649" s="14" t="s">
        <v>765</v>
      </c>
      <c r="B649" s="15" t="s">
        <v>31</v>
      </c>
      <c r="C649" s="15" t="s">
        <v>107</v>
      </c>
      <c r="D649" s="16" t="n">
        <v>4</v>
      </c>
      <c r="E649" s="15" t="str">
        <f aca="false" t="array" ref="E649:E649">INDEX(Matériaux!$B$5:$F$12,MATCH(INDEX(Profils!$E$5:$E$34,$AE649),Matériaux!$A$5:$A$12,0),$D649)</f>
        <v>écailles</v>
      </c>
      <c r="F649" s="30" t="s">
        <v>119</v>
      </c>
      <c r="G649" s="10" t="str">
        <f aca="false" t="array" ref="G649:G649">INDEX(Profils!$D$5:$D$34,$AE649)&amp;" en "&amp;$E649</f>
        <v>Capuche en écailles</v>
      </c>
      <c r="H649" s="16" t="n">
        <f aca="false" t="array" ref="H649:H649">INDEX(Matériaux!$B$16:$B$20,$D649)</f>
        <v>50</v>
      </c>
      <c r="I649" s="16" t="n">
        <f aca="false">IF(ISNUMBER($C$3),MIN(MAX(0,ROUND($C$3,0)),$AI649),$AI649)</f>
        <v>0</v>
      </c>
      <c r="J649" s="18" t="n">
        <f aca="false">$H649+$I649</f>
        <v>50</v>
      </c>
      <c r="K649" s="15" t="s">
        <v>109</v>
      </c>
      <c r="L649" s="19" t="n">
        <f aca="false" t="array" ref="L649:L649">IF(AND(INDEX(Profils!$F$5:$F$34,$AE649)&gt;0,INDEX(Profils!$U$5:$U$34,$AE649)&lt;=$AH649),ROUND(INDEX(Profils!$F$5:$F$34,$AE649)*Paramètres!$E$22*$AG649*$AJ649,Paramètres!$F$22),0)</f>
        <v>28</v>
      </c>
      <c r="M649" s="19" t="n">
        <f aca="false" t="array" ref="M649:M649">IF(AND(INDEX(Profils!$G$5:$G$34,$AE649)&gt;0,INDEX(Profils!$V$5:$V$34,$AE649)&lt;=$AH649),ROUND(INDEX(Profils!$G$5:$G$34,$AE649)*Paramètres!$E$23*$AG649*$AJ649,Paramètres!$F$23),0)</f>
        <v>0</v>
      </c>
      <c r="N649" s="19" t="n">
        <f aca="false" t="array" ref="N649:N649">IF(AND(INDEX(Profils!$H$5:$H$34,$AE649)&gt;0,INDEX(Profils!$W$5:$W$34,$AE649)&lt;=$AH649),ROUND(INDEX(Profils!$H$5:$H$34,$AE649)*Paramètres!$E$24*$AG649*$AJ649,Paramètres!$F$24),0)</f>
        <v>10</v>
      </c>
      <c r="O649" s="19" t="n">
        <f aca="false" t="array" ref="O649:O649">IF(AND(INDEX(Profils!$I$5:$I$34,$AE649)&gt;0,INDEX(Profils!$X$5:$X$34,$AE649)&lt;=$AH649),ROUND(INDEX(Profils!$I$5:$I$34,$AE649)*Paramètres!$E$25*$AG649*$AJ649,Paramètres!$F$25),0)</f>
        <v>0</v>
      </c>
      <c r="P649" s="19" t="n">
        <f aca="false" t="array" ref="P649:P649">IF(AND(INDEX(Profils!$J$5:$J$34,$AE649)&gt;0,INDEX(Profils!$Y$5:$Y$34,$AE649)&lt;=$AH649),ROUND(INDEX(Profils!$J$5:$J$34,$AE649)*Paramètres!$E$26*$AG649*$AJ649,Paramètres!$F$26),0)</f>
        <v>16</v>
      </c>
      <c r="Q649" s="19" t="n">
        <f aca="false" t="array" ref="Q649:Q649">IF(AND(INDEX(Profils!$K$5:$K$34,$AE649)&gt;0,INDEX(Profils!$Z$5:$Z$34,$AE649)&lt;=$AH649),ROUND(INDEX(Profils!$K$5:$K$34,$AE649)*Paramètres!$E$27*$AG649*$AJ649,Paramètres!$F$27),0)</f>
        <v>7</v>
      </c>
      <c r="R649" s="20" t="n">
        <f aca="false" t="array" ref="R649:R649">IF(AND(INDEX(Profils!$L$5:$L$34,$AE649)&gt;0,INDEX(Profils!$AA$5:$AA$34,$AE649)&lt;=$AH649),ROUND(INDEX(Profils!$L$5:$L$34,$AE649)*Paramètres!$E$28*$AG649*$AJ649,Paramètres!$F$28),0)</f>
        <v>0.02</v>
      </c>
      <c r="S649" s="20" t="n">
        <f aca="false" t="array" ref="S649:S649">IF(AND(INDEX(Profils!$M$5:$M$34,$AE649)&gt;0,INDEX(Profils!$AB$5:$AB$34,$AE649)&lt;=$AH649),ROUND(INDEX(Profils!$M$5:$M$34,$AE649)*Paramètres!$E$29*$AG649*$AJ649,Paramètres!$F$29),0)</f>
        <v>0.011</v>
      </c>
      <c r="T649" s="20" t="n">
        <f aca="false" t="array" ref="T649:T649">IF(AND(INDEX(Profils!$N$5:$N$34,$AE649)&gt;0,INDEX(Profils!$AC$5:$AC$34,$AE649)&lt;=$AH649),ROUND(INDEX(Profils!$N$5:$N$34,$AE649)*Paramètres!$E$30*$AG649*$AJ649,Paramètres!$F$30),0)</f>
        <v>0</v>
      </c>
      <c r="U649" s="19" t="n">
        <f aca="false" t="array" ref="U649:U649">IF(AND(INDEX(Profils!$O$5:$O$34,$AE649)&gt;0,INDEX(Profils!$AD$5:$AD$34,$AE649)&lt;=$AH649),ROUND(INDEX(Profils!$O$5:$O$34,$AE649)*Paramètres!$E$31*$AG649*$AJ649,Paramètres!$F$31),0)</f>
        <v>0</v>
      </c>
      <c r="V649" s="20" t="n">
        <f aca="false" t="array" ref="V649:V649">IF(AND(INDEX(Profils!$P$5:$P$34,$AE649)&gt;0,INDEX(Profils!$AE$5:$AE$34,$AE649)&lt;=$AH649),ROUND(INDEX(Profils!$P$5:$P$34,$AE649)*Paramètres!$E$32*$AG649*$AJ649,Paramètres!$F$32),0)</f>
        <v>0</v>
      </c>
      <c r="W649" s="20" t="n">
        <f aca="false" t="array" ref="W649:W649">IF(AND(INDEX(Profils!$Q$5:$Q$34,$AE649)&gt;0,INDEX(Profils!$AF$5:$AF$34,$AE649)&lt;=$AH649),ROUND(INDEX(Profils!$Q$5:$Q$34,$AE649)*Paramètres!$E$33*$AG649*$AJ649,Paramètres!$F$33),0)</f>
        <v>0</v>
      </c>
      <c r="X649" s="20" t="n">
        <f aca="false" t="array" ref="X649:X649">IF(AND(INDEX(Profils!$R$5:$R$34,$AE649)&gt;0,INDEX(Profils!$AG$5:$AG$34,$AE649)&lt;=$AH649),ROUND(INDEX(Profils!$R$5:$R$34,$AE649)*Paramètres!$E$34*$AG649*$AJ649,Paramètres!$F$34),0)</f>
        <v>0</v>
      </c>
      <c r="Y649" s="20" t="n">
        <f aca="false" t="array" ref="Y649:Y649">IF(AND(INDEX(Profils!$S$5:$S$34,$AE649)&gt;0,INDEX(Profils!$AH$5:$AH$34,$AE649)&lt;=$AH649),ROUND(INDEX(Profils!$S$5:$S$34,$AE649)*Paramètres!$E$35*$AG649*$AJ649,Paramètres!$F$35),0)</f>
        <v>0.012</v>
      </c>
      <c r="Z649" s="21" t="n">
        <f aca="false">ROUND(L649/Paramètres!$E$22+M649/Paramètres!$E$23+N649/Paramètres!$E$24+O649/Paramètres!$E$25+P649/Paramètres!$E$26+Q649/Paramètres!$E$27+R649/Paramètres!$E$28+S649/Paramètres!$E$29+T649/Paramètres!$E$30+U649/Paramètres!$E$31+V649/Paramètres!$E$32+W649/Paramètres!$E$33+X649/Paramètres!$E$34+Y649/Paramètres!$E$35,1)</f>
        <v>6.9</v>
      </c>
      <c r="AA649" s="22" t="s">
        <v>109</v>
      </c>
      <c r="AB649" s="22" t="s">
        <v>109</v>
      </c>
      <c r="AC649" s="15" t="str">
        <f aca="false">$E649</f>
        <v>écailles</v>
      </c>
      <c r="AD649" s="16" t="n">
        <f aca="false" t="array" ref="AD649:AD649">IF($I649&gt;=$AI649,"Max",ROUND(Paramètres!$B$40*($I649+1)^Paramètres!$B$41*INDEX(Paramètres!$H$6:$H$12,$AF649),0))</f>
        <v>8</v>
      </c>
      <c r="AE649" s="23" t="n">
        <f aca="false">MATCH($B649&amp;"|"&amp;$C649,Profils!$A$5:$A$34,0)</f>
        <v>21</v>
      </c>
      <c r="AF649" s="23" t="n">
        <v>6</v>
      </c>
      <c r="AG649" s="24" t="n">
        <f aca="false" t="array" ref="AG649:AG649">INDEX(Paramètres!$C$6:$C$12,$AF649)</f>
        <v>2.4</v>
      </c>
      <c r="AH649" s="23" t="n">
        <f aca="false" t="array" ref="AH649:AH649">INDEX(Paramètres!$D$6:$D$12,$AF649)</f>
        <v>7</v>
      </c>
      <c r="AI649" s="23" t="n">
        <f aca="false" t="array" ref="AI649:AI649">INDEX(Matériaux!$C$16:$C$20,$D649)</f>
        <v>25</v>
      </c>
      <c r="AJ649" s="25" t="n">
        <f aca="false">Paramètres!$B$16+(1-Paramètres!$B$16)*(($J649-Paramètres!$B$14)/(Paramètres!$B$15-Paramètres!$B$14))^Paramètres!$B$17</f>
        <v>0.458504333336152</v>
      </c>
    </row>
    <row r="650" customFormat="false" ht="15.75" hidden="false" customHeight="true" outlineLevel="0" collapsed="false">
      <c r="A650" s="14" t="s">
        <v>766</v>
      </c>
      <c r="B650" s="15" t="s">
        <v>31</v>
      </c>
      <c r="C650" s="15" t="s">
        <v>107</v>
      </c>
      <c r="D650" s="16" t="n">
        <v>5</v>
      </c>
      <c r="E650" s="15" t="str">
        <f aca="false" t="array" ref="E650:E650">INDEX(Matériaux!$B$5:$F$12,MATCH(INDEX(Profils!$E$5:$E$34,$AE650),Matériaux!$A$5:$A$12,0),$D650)</f>
        <v>peau de dragon</v>
      </c>
      <c r="F650" s="17" t="s">
        <v>108</v>
      </c>
      <c r="G650" s="10" t="str">
        <f aca="false" t="array" ref="G650:G650">INDEX(Profils!$D$5:$D$34,$AE650)&amp;" en "&amp;$E650</f>
        <v>Capuche en peau de dragon</v>
      </c>
      <c r="H650" s="16" t="n">
        <f aca="false" t="array" ref="H650:H650">INDEX(Matériaux!$B$16:$B$20,$D650)</f>
        <v>70</v>
      </c>
      <c r="I650" s="16" t="n">
        <f aca="false">IF(ISNUMBER($C$3),MIN(MAX(0,ROUND($C$3,0)),$AI650),$AI650)</f>
        <v>0</v>
      </c>
      <c r="J650" s="18" t="n">
        <f aca="false">$H650+$I650</f>
        <v>70</v>
      </c>
      <c r="K650" s="15" t="s">
        <v>109</v>
      </c>
      <c r="L650" s="19" t="n">
        <f aca="false" t="array" ref="L650:L650">IF(AND(INDEX(Profils!$F$5:$F$34,$AE650)&gt;0,INDEX(Profils!$U$5:$U$34,$AE650)&lt;=$AH650),ROUND(INDEX(Profils!$F$5:$F$34,$AE650)*Paramètres!$E$22*$AG650*$AJ650,Paramètres!$F$22),0)</f>
        <v>0</v>
      </c>
      <c r="M650" s="19" t="n">
        <f aca="false" t="array" ref="M650:M650">IF(AND(INDEX(Profils!$G$5:$G$34,$AE650)&gt;0,INDEX(Profils!$V$5:$V$34,$AE650)&lt;=$AH650),ROUND(INDEX(Profils!$G$5:$G$34,$AE650)*Paramètres!$E$23*$AG650*$AJ650,Paramètres!$F$23),0)</f>
        <v>0</v>
      </c>
      <c r="N650" s="19" t="n">
        <f aca="false" t="array" ref="N650:N650">IF(AND(INDEX(Profils!$H$5:$H$34,$AE650)&gt;0,INDEX(Profils!$W$5:$W$34,$AE650)&lt;=$AH650),ROUND(INDEX(Profils!$H$5:$H$34,$AE650)*Paramètres!$E$24*$AG650*$AJ650,Paramètres!$F$24),0)</f>
        <v>0</v>
      </c>
      <c r="O650" s="19" t="n">
        <f aca="false" t="array" ref="O650:O650">IF(AND(INDEX(Profils!$I$5:$I$34,$AE650)&gt;0,INDEX(Profils!$X$5:$X$34,$AE650)&lt;=$AH650),ROUND(INDEX(Profils!$I$5:$I$34,$AE650)*Paramètres!$E$25*$AG650*$AJ650,Paramètres!$F$25),0)</f>
        <v>0</v>
      </c>
      <c r="P650" s="19" t="n">
        <f aca="false" t="array" ref="P650:P650">IF(AND(INDEX(Profils!$J$5:$J$34,$AE650)&gt;0,INDEX(Profils!$Y$5:$Y$34,$AE650)&lt;=$AH650),ROUND(INDEX(Profils!$J$5:$J$34,$AE650)*Paramètres!$E$26*$AG650*$AJ650,Paramètres!$F$26),0)</f>
        <v>10</v>
      </c>
      <c r="Q650" s="19" t="n">
        <f aca="false" t="array" ref="Q650:Q650">IF(AND(INDEX(Profils!$K$5:$K$34,$AE650)&gt;0,INDEX(Profils!$Z$5:$Z$34,$AE650)&lt;=$AH650),ROUND(INDEX(Profils!$K$5:$K$34,$AE650)*Paramètres!$E$27*$AG650*$AJ650,Paramètres!$F$27),0)</f>
        <v>0</v>
      </c>
      <c r="R650" s="20" t="n">
        <f aca="false" t="array" ref="R650:R650">IF(AND(INDEX(Profils!$L$5:$L$34,$AE650)&gt;0,INDEX(Profils!$AA$5:$AA$34,$AE650)&lt;=$AH650),ROUND(INDEX(Profils!$L$5:$L$34,$AE650)*Paramètres!$E$28*$AG650*$AJ650,Paramètres!$F$28),0)</f>
        <v>0.012</v>
      </c>
      <c r="S650" s="20" t="n">
        <f aca="false" t="array" ref="S650:S650">IF(AND(INDEX(Profils!$M$5:$M$34,$AE650)&gt;0,INDEX(Profils!$AB$5:$AB$34,$AE650)&lt;=$AH650),ROUND(INDEX(Profils!$M$5:$M$34,$AE650)*Paramètres!$E$29*$AG650*$AJ650,Paramètres!$F$29),0)</f>
        <v>0</v>
      </c>
      <c r="T650" s="20" t="n">
        <f aca="false" t="array" ref="T650:T650">IF(AND(INDEX(Profils!$N$5:$N$34,$AE650)&gt;0,INDEX(Profils!$AC$5:$AC$34,$AE650)&lt;=$AH650),ROUND(INDEX(Profils!$N$5:$N$34,$AE650)*Paramètres!$E$30*$AG650*$AJ650,Paramètres!$F$30),0)</f>
        <v>0</v>
      </c>
      <c r="U650" s="19" t="n">
        <f aca="false" t="array" ref="U650:U650">IF(AND(INDEX(Profils!$O$5:$O$34,$AE650)&gt;0,INDEX(Profils!$AD$5:$AD$34,$AE650)&lt;=$AH650),ROUND(INDEX(Profils!$O$5:$O$34,$AE650)*Paramètres!$E$31*$AG650*$AJ650,Paramètres!$F$31),0)</f>
        <v>0</v>
      </c>
      <c r="V650" s="20" t="n">
        <f aca="false" t="array" ref="V650:V650">IF(AND(INDEX(Profils!$P$5:$P$34,$AE650)&gt;0,INDEX(Profils!$AE$5:$AE$34,$AE650)&lt;=$AH650),ROUND(INDEX(Profils!$P$5:$P$34,$AE650)*Paramètres!$E$32*$AG650*$AJ650,Paramètres!$F$32),0)</f>
        <v>0</v>
      </c>
      <c r="W650" s="20" t="n">
        <f aca="false" t="array" ref="W650:W650">IF(AND(INDEX(Profils!$Q$5:$Q$34,$AE650)&gt;0,INDEX(Profils!$AF$5:$AF$34,$AE650)&lt;=$AH650),ROUND(INDEX(Profils!$Q$5:$Q$34,$AE650)*Paramètres!$E$33*$AG650*$AJ650,Paramètres!$F$33),0)</f>
        <v>0</v>
      </c>
      <c r="X650" s="20" t="n">
        <f aca="false" t="array" ref="X650:X650">IF(AND(INDEX(Profils!$R$5:$R$34,$AE650)&gt;0,INDEX(Profils!$AG$5:$AG$34,$AE650)&lt;=$AH650),ROUND(INDEX(Profils!$R$5:$R$34,$AE650)*Paramètres!$E$34*$AG650*$AJ650,Paramètres!$F$34),0)</f>
        <v>0</v>
      </c>
      <c r="Y650" s="20" t="n">
        <f aca="false" t="array" ref="Y650:Y650">IF(AND(INDEX(Profils!$S$5:$S$34,$AE650)&gt;0,INDEX(Profils!$AH$5:$AH$34,$AE650)&lt;=$AH650),ROUND(INDEX(Profils!$S$5:$S$34,$AE650)*Paramètres!$E$35*$AG650*$AJ650,Paramètres!$F$35),0)</f>
        <v>0</v>
      </c>
      <c r="Z650" s="21" t="n">
        <f aca="false">ROUND(L650/Paramètres!$E$22+M650/Paramètres!$E$23+N650/Paramètres!$E$24+O650/Paramètres!$E$25+P650/Paramètres!$E$26+Q650/Paramètres!$E$27+R650/Paramètres!$E$28+S650/Paramètres!$E$29+T650/Paramètres!$E$30+U650/Paramètres!$E$31+V650/Paramètres!$E$32+W650/Paramètres!$E$33+X650/Paramètres!$E$34+Y650/Paramètres!$E$35,1)</f>
        <v>1.6</v>
      </c>
      <c r="AA650" s="22" t="s">
        <v>109</v>
      </c>
      <c r="AB650" s="22" t="s">
        <v>109</v>
      </c>
      <c r="AC650" s="15" t="str">
        <f aca="false">$E650</f>
        <v>peau de dragon</v>
      </c>
      <c r="AD650" s="16" t="n">
        <f aca="false" t="array" ref="AD650:AD650">IF($I650&gt;=$AI650,"Max",ROUND(Paramètres!$B$40*($I650+1)^Paramètres!$B$41*INDEX(Paramètres!$H$6:$H$12,$AF650),0))</f>
        <v>3</v>
      </c>
      <c r="AE650" s="23" t="n">
        <f aca="false">MATCH($B650&amp;"|"&amp;$C650,Profils!$A$5:$A$34,0)</f>
        <v>21</v>
      </c>
      <c r="AF650" s="23" t="n">
        <v>1</v>
      </c>
      <c r="AG650" s="24" t="n">
        <f aca="false" t="array" ref="AG650:AG650">INDEX(Paramètres!$C$6:$C$12,$AF650)</f>
        <v>1</v>
      </c>
      <c r="AH650" s="23" t="n">
        <f aca="false" t="array" ref="AH650:AH650">INDEX(Paramètres!$D$6:$D$12,$AF650)</f>
        <v>2</v>
      </c>
      <c r="AI650" s="23" t="n">
        <f aca="false" t="array" ref="AI650:AI650">INDEX(Matériaux!$C$16:$C$20,$D650)</f>
        <v>30</v>
      </c>
      <c r="AJ650" s="25" t="n">
        <f aca="false">Paramètres!$B$16+(1-Paramètres!$B$16)*(($J650-Paramètres!$B$14)/(Paramètres!$B$15-Paramètres!$B$14))^Paramètres!$B$17</f>
        <v>0.665999387952727</v>
      </c>
    </row>
    <row r="651" customFormat="false" ht="15.75" hidden="false" customHeight="true" outlineLevel="0" collapsed="false">
      <c r="A651" s="14" t="s">
        <v>767</v>
      </c>
      <c r="B651" s="15" t="s">
        <v>31</v>
      </c>
      <c r="C651" s="15" t="s">
        <v>107</v>
      </c>
      <c r="D651" s="16" t="n">
        <v>5</v>
      </c>
      <c r="E651" s="15" t="str">
        <f aca="false" t="array" ref="E651:E651">INDEX(Matériaux!$B$5:$F$12,MATCH(INDEX(Profils!$E$5:$E$34,$AE651),Matériaux!$A$5:$A$12,0),$D651)</f>
        <v>peau de dragon</v>
      </c>
      <c r="F651" s="26" t="s">
        <v>111</v>
      </c>
      <c r="G651" s="10" t="str">
        <f aca="false" t="array" ref="G651:G651">INDEX(Profils!$D$5:$D$34,$AE651)&amp;" en "&amp;$E651</f>
        <v>Capuche en peau de dragon</v>
      </c>
      <c r="H651" s="16" t="n">
        <f aca="false" t="array" ref="H651:H651">INDEX(Matériaux!$B$16:$B$20,$D651)</f>
        <v>70</v>
      </c>
      <c r="I651" s="16" t="n">
        <f aca="false">IF(ISNUMBER($C$3),MIN(MAX(0,ROUND($C$3,0)),$AI651),$AI651)</f>
        <v>0</v>
      </c>
      <c r="J651" s="18" t="n">
        <f aca="false">$H651+$I651</f>
        <v>70</v>
      </c>
      <c r="K651" s="15" t="s">
        <v>109</v>
      </c>
      <c r="L651" s="19" t="n">
        <f aca="false" t="array" ref="L651:L651">IF(AND(INDEX(Profils!$F$5:$F$34,$AE651)&gt;0,INDEX(Profils!$U$5:$U$34,$AE651)&lt;=$AH651),ROUND(INDEX(Profils!$F$5:$F$34,$AE651)*Paramètres!$E$22*$AG651*$AJ651,Paramètres!$F$22),0)</f>
        <v>20</v>
      </c>
      <c r="M651" s="19" t="n">
        <f aca="false" t="array" ref="M651:M651">IF(AND(INDEX(Profils!$G$5:$G$34,$AE651)&gt;0,INDEX(Profils!$V$5:$V$34,$AE651)&lt;=$AH651),ROUND(INDEX(Profils!$G$5:$G$34,$AE651)*Paramètres!$E$23*$AG651*$AJ651,Paramètres!$F$23),0)</f>
        <v>0</v>
      </c>
      <c r="N651" s="19" t="n">
        <f aca="false" t="array" ref="N651:N651">IF(AND(INDEX(Profils!$H$5:$H$34,$AE651)&gt;0,INDEX(Profils!$W$5:$W$34,$AE651)&lt;=$AH651),ROUND(INDEX(Profils!$H$5:$H$34,$AE651)*Paramètres!$E$24*$AG651*$AJ651,Paramètres!$F$24),0)</f>
        <v>0</v>
      </c>
      <c r="O651" s="19" t="n">
        <f aca="false" t="array" ref="O651:O651">IF(AND(INDEX(Profils!$I$5:$I$34,$AE651)&gt;0,INDEX(Profils!$X$5:$X$34,$AE651)&lt;=$AH651),ROUND(INDEX(Profils!$I$5:$I$34,$AE651)*Paramètres!$E$25*$AG651*$AJ651,Paramètres!$F$25),0)</f>
        <v>0</v>
      </c>
      <c r="P651" s="19" t="n">
        <f aca="false" t="array" ref="P651:P651">IF(AND(INDEX(Profils!$J$5:$J$34,$AE651)&gt;0,INDEX(Profils!$Y$5:$Y$34,$AE651)&lt;=$AH651),ROUND(INDEX(Profils!$J$5:$J$34,$AE651)*Paramètres!$E$26*$AG651*$AJ651,Paramètres!$F$26),0)</f>
        <v>12</v>
      </c>
      <c r="Q651" s="19" t="n">
        <f aca="false" t="array" ref="Q651:Q651">IF(AND(INDEX(Profils!$K$5:$K$34,$AE651)&gt;0,INDEX(Profils!$Z$5:$Z$34,$AE651)&lt;=$AH651),ROUND(INDEX(Profils!$K$5:$K$34,$AE651)*Paramètres!$E$27*$AG651*$AJ651,Paramètres!$F$27),0)</f>
        <v>0</v>
      </c>
      <c r="R651" s="20" t="n">
        <f aca="false" t="array" ref="R651:R651">IF(AND(INDEX(Profils!$L$5:$L$34,$AE651)&gt;0,INDEX(Profils!$AA$5:$AA$34,$AE651)&lt;=$AH651),ROUND(INDEX(Profils!$L$5:$L$34,$AE651)*Paramètres!$E$28*$AG651*$AJ651,Paramètres!$F$28),0)</f>
        <v>0.014</v>
      </c>
      <c r="S651" s="20" t="n">
        <f aca="false" t="array" ref="S651:S651">IF(AND(INDEX(Profils!$M$5:$M$34,$AE651)&gt;0,INDEX(Profils!$AB$5:$AB$34,$AE651)&lt;=$AH651),ROUND(INDEX(Profils!$M$5:$M$34,$AE651)*Paramètres!$E$29*$AG651*$AJ651,Paramètres!$F$29),0)</f>
        <v>0</v>
      </c>
      <c r="T651" s="20" t="n">
        <f aca="false" t="array" ref="T651:T651">IF(AND(INDEX(Profils!$N$5:$N$34,$AE651)&gt;0,INDEX(Profils!$AC$5:$AC$34,$AE651)&lt;=$AH651),ROUND(INDEX(Profils!$N$5:$N$34,$AE651)*Paramètres!$E$30*$AG651*$AJ651,Paramètres!$F$30),0)</f>
        <v>0</v>
      </c>
      <c r="U651" s="19" t="n">
        <f aca="false" t="array" ref="U651:U651">IF(AND(INDEX(Profils!$O$5:$O$34,$AE651)&gt;0,INDEX(Profils!$AD$5:$AD$34,$AE651)&lt;=$AH651),ROUND(INDEX(Profils!$O$5:$O$34,$AE651)*Paramètres!$E$31*$AG651*$AJ651,Paramètres!$F$31),0)</f>
        <v>0</v>
      </c>
      <c r="V651" s="20" t="n">
        <f aca="false" t="array" ref="V651:V651">IF(AND(INDEX(Profils!$P$5:$P$34,$AE651)&gt;0,INDEX(Profils!$AE$5:$AE$34,$AE651)&lt;=$AH651),ROUND(INDEX(Profils!$P$5:$P$34,$AE651)*Paramètres!$E$32*$AG651*$AJ651,Paramètres!$F$32),0)</f>
        <v>0</v>
      </c>
      <c r="W651" s="20" t="n">
        <f aca="false" t="array" ref="W651:W651">IF(AND(INDEX(Profils!$Q$5:$Q$34,$AE651)&gt;0,INDEX(Profils!$AF$5:$AF$34,$AE651)&lt;=$AH651),ROUND(INDEX(Profils!$Q$5:$Q$34,$AE651)*Paramètres!$E$33*$AG651*$AJ651,Paramètres!$F$33),0)</f>
        <v>0</v>
      </c>
      <c r="X651" s="20" t="n">
        <f aca="false" t="array" ref="X651:X651">IF(AND(INDEX(Profils!$R$5:$R$34,$AE651)&gt;0,INDEX(Profils!$AG$5:$AG$34,$AE651)&lt;=$AH651),ROUND(INDEX(Profils!$R$5:$R$34,$AE651)*Paramètres!$E$34*$AG651*$AJ651,Paramètres!$F$34),0)</f>
        <v>0</v>
      </c>
      <c r="Y651" s="20" t="n">
        <f aca="false" t="array" ref="Y651:Y651">IF(AND(INDEX(Profils!$S$5:$S$34,$AE651)&gt;0,INDEX(Profils!$AH$5:$AH$34,$AE651)&lt;=$AH651),ROUND(INDEX(Profils!$S$5:$S$34,$AE651)*Paramètres!$E$35*$AG651*$AJ651,Paramètres!$F$35),0)</f>
        <v>0</v>
      </c>
      <c r="Z651" s="21" t="n">
        <f aca="false">ROUND(L651/Paramètres!$E$22+M651/Paramètres!$E$23+N651/Paramètres!$E$24+O651/Paramètres!$E$25+P651/Paramètres!$E$26+Q651/Paramètres!$E$27+R651/Paramètres!$E$28+S651/Paramètres!$E$29+T651/Paramètres!$E$30+U651/Paramètres!$E$31+V651/Paramètres!$E$32+W651/Paramètres!$E$33+X651/Paramètres!$E$34+Y651/Paramètres!$E$35,1)</f>
        <v>2.7</v>
      </c>
      <c r="AA651" s="22" t="s">
        <v>109</v>
      </c>
      <c r="AB651" s="22" t="s">
        <v>109</v>
      </c>
      <c r="AC651" s="15" t="str">
        <f aca="false">$E651</f>
        <v>peau de dragon</v>
      </c>
      <c r="AD651" s="16" t="n">
        <f aca="false" t="array" ref="AD651:AD651">IF($I651&gt;=$AI651,"Max",ROUND(Paramètres!$B$40*($I651+1)^Paramètres!$B$41*INDEX(Paramètres!$H$6:$H$12,$AF651),0))</f>
        <v>4</v>
      </c>
      <c r="AE651" s="23" t="n">
        <f aca="false">MATCH($B651&amp;"|"&amp;$C651,Profils!$A$5:$A$34,0)</f>
        <v>21</v>
      </c>
      <c r="AF651" s="23" t="n">
        <v>2</v>
      </c>
      <c r="AG651" s="24" t="n">
        <f aca="false" t="array" ref="AG651:AG651">INDEX(Paramètres!$C$6:$C$12,$AF651)</f>
        <v>1.2</v>
      </c>
      <c r="AH651" s="23" t="n">
        <f aca="false" t="array" ref="AH651:AH651">INDEX(Paramètres!$D$6:$D$12,$AF651)</f>
        <v>3</v>
      </c>
      <c r="AI651" s="23" t="n">
        <f aca="false" t="array" ref="AI651:AI651">INDEX(Matériaux!$C$16:$C$20,$D651)</f>
        <v>30</v>
      </c>
      <c r="AJ651" s="25" t="n">
        <f aca="false">Paramètres!$B$16+(1-Paramètres!$B$16)*(($J651-Paramètres!$B$14)/(Paramètres!$B$15-Paramètres!$B$14))^Paramètres!$B$17</f>
        <v>0.665999387952727</v>
      </c>
    </row>
    <row r="652" customFormat="false" ht="15.75" hidden="false" customHeight="true" outlineLevel="0" collapsed="false">
      <c r="A652" s="14" t="s">
        <v>768</v>
      </c>
      <c r="B652" s="15" t="s">
        <v>31</v>
      </c>
      <c r="C652" s="15" t="s">
        <v>107</v>
      </c>
      <c r="D652" s="16" t="n">
        <v>5</v>
      </c>
      <c r="E652" s="15" t="str">
        <f aca="false" t="array" ref="E652:E652">INDEX(Matériaux!$B$5:$F$12,MATCH(INDEX(Profils!$E$5:$E$34,$AE652),Matériaux!$A$5:$A$12,0),$D652)</f>
        <v>peau de dragon</v>
      </c>
      <c r="F652" s="27" t="s">
        <v>113</v>
      </c>
      <c r="G652" s="10" t="str">
        <f aca="false" t="array" ref="G652:G652">INDEX(Profils!$D$5:$D$34,$AE652)&amp;" en "&amp;$E652</f>
        <v>Capuche en peau de dragon</v>
      </c>
      <c r="H652" s="16" t="n">
        <f aca="false" t="array" ref="H652:H652">INDEX(Matériaux!$B$16:$B$20,$D652)</f>
        <v>70</v>
      </c>
      <c r="I652" s="16" t="n">
        <f aca="false">IF(ISNUMBER($C$3),MIN(MAX(0,ROUND($C$3,0)),$AI652),$AI652)</f>
        <v>0</v>
      </c>
      <c r="J652" s="18" t="n">
        <f aca="false">$H652+$I652</f>
        <v>70</v>
      </c>
      <c r="K652" s="15" t="s">
        <v>109</v>
      </c>
      <c r="L652" s="19" t="n">
        <f aca="false" t="array" ref="L652:L652">IF(AND(INDEX(Profils!$F$5:$F$34,$AE652)&gt;0,INDEX(Profils!$U$5:$U$34,$AE652)&lt;=$AH652),ROUND(INDEX(Profils!$F$5:$F$34,$AE652)*Paramètres!$E$22*$AG652*$AJ652,Paramètres!$F$22),0)</f>
        <v>24</v>
      </c>
      <c r="M652" s="19" t="n">
        <f aca="false" t="array" ref="M652:M652">IF(AND(INDEX(Profils!$G$5:$G$34,$AE652)&gt;0,INDEX(Profils!$V$5:$V$34,$AE652)&lt;=$AH652),ROUND(INDEX(Profils!$G$5:$G$34,$AE652)*Paramètres!$E$23*$AG652*$AJ652,Paramètres!$F$23),0)</f>
        <v>0</v>
      </c>
      <c r="N652" s="19" t="n">
        <f aca="false" t="array" ref="N652:N652">IF(AND(INDEX(Profils!$H$5:$H$34,$AE652)&gt;0,INDEX(Profils!$W$5:$W$34,$AE652)&lt;=$AH652),ROUND(INDEX(Profils!$H$5:$H$34,$AE652)*Paramètres!$E$24*$AG652*$AJ652,Paramètres!$F$24),0)</f>
        <v>0</v>
      </c>
      <c r="O652" s="19" t="n">
        <f aca="false" t="array" ref="O652:O652">IF(AND(INDEX(Profils!$I$5:$I$34,$AE652)&gt;0,INDEX(Profils!$X$5:$X$34,$AE652)&lt;=$AH652),ROUND(INDEX(Profils!$I$5:$I$34,$AE652)*Paramètres!$E$25*$AG652*$AJ652,Paramètres!$F$25),0)</f>
        <v>0</v>
      </c>
      <c r="P652" s="19" t="n">
        <f aca="false" t="array" ref="P652:P652">IF(AND(INDEX(Profils!$J$5:$J$34,$AE652)&gt;0,INDEX(Profils!$Y$5:$Y$34,$AE652)&lt;=$AH652),ROUND(INDEX(Profils!$J$5:$J$34,$AE652)*Paramètres!$E$26*$AG652*$AJ652,Paramètres!$F$26),0)</f>
        <v>14</v>
      </c>
      <c r="Q652" s="19" t="n">
        <f aca="false" t="array" ref="Q652:Q652">IF(AND(INDEX(Profils!$K$5:$K$34,$AE652)&gt;0,INDEX(Profils!$Z$5:$Z$34,$AE652)&lt;=$AH652),ROUND(INDEX(Profils!$K$5:$K$34,$AE652)*Paramètres!$E$27*$AG652*$AJ652,Paramètres!$F$27),0)</f>
        <v>0</v>
      </c>
      <c r="R652" s="20" t="n">
        <f aca="false" t="array" ref="R652:R652">IF(AND(INDEX(Profils!$L$5:$L$34,$AE652)&gt;0,INDEX(Profils!$AA$5:$AA$34,$AE652)&lt;=$AH652),ROUND(INDEX(Profils!$L$5:$L$34,$AE652)*Paramètres!$E$28*$AG652*$AJ652,Paramètres!$F$28),0)</f>
        <v>0.017</v>
      </c>
      <c r="S652" s="20" t="n">
        <f aca="false" t="array" ref="S652:S652">IF(AND(INDEX(Profils!$M$5:$M$34,$AE652)&gt;0,INDEX(Profils!$AB$5:$AB$34,$AE652)&lt;=$AH652),ROUND(INDEX(Profils!$M$5:$M$34,$AE652)*Paramètres!$E$29*$AG652*$AJ652,Paramètres!$F$29),0)</f>
        <v>0.009</v>
      </c>
      <c r="T652" s="20" t="n">
        <f aca="false" t="array" ref="T652:T652">IF(AND(INDEX(Profils!$N$5:$N$34,$AE652)&gt;0,INDEX(Profils!$AC$5:$AC$34,$AE652)&lt;=$AH652),ROUND(INDEX(Profils!$N$5:$N$34,$AE652)*Paramètres!$E$30*$AG652*$AJ652,Paramètres!$F$30),0)</f>
        <v>0</v>
      </c>
      <c r="U652" s="19" t="n">
        <f aca="false" t="array" ref="U652:U652">IF(AND(INDEX(Profils!$O$5:$O$34,$AE652)&gt;0,INDEX(Profils!$AD$5:$AD$34,$AE652)&lt;=$AH652),ROUND(INDEX(Profils!$O$5:$O$34,$AE652)*Paramètres!$E$31*$AG652*$AJ652,Paramètres!$F$31),0)</f>
        <v>0</v>
      </c>
      <c r="V652" s="20" t="n">
        <f aca="false" t="array" ref="V652:V652">IF(AND(INDEX(Profils!$P$5:$P$34,$AE652)&gt;0,INDEX(Profils!$AE$5:$AE$34,$AE652)&lt;=$AH652),ROUND(INDEX(Profils!$P$5:$P$34,$AE652)*Paramètres!$E$32*$AG652*$AJ652,Paramètres!$F$32),0)</f>
        <v>0</v>
      </c>
      <c r="W652" s="20" t="n">
        <f aca="false" t="array" ref="W652:W652">IF(AND(INDEX(Profils!$Q$5:$Q$34,$AE652)&gt;0,INDEX(Profils!$AF$5:$AF$34,$AE652)&lt;=$AH652),ROUND(INDEX(Profils!$Q$5:$Q$34,$AE652)*Paramètres!$E$33*$AG652*$AJ652,Paramètres!$F$33),0)</f>
        <v>0</v>
      </c>
      <c r="X652" s="20" t="n">
        <f aca="false" t="array" ref="X652:X652">IF(AND(INDEX(Profils!$R$5:$R$34,$AE652)&gt;0,INDEX(Profils!$AG$5:$AG$34,$AE652)&lt;=$AH652),ROUND(INDEX(Profils!$R$5:$R$34,$AE652)*Paramètres!$E$34*$AG652*$AJ652,Paramètres!$F$34),0)</f>
        <v>0</v>
      </c>
      <c r="Y652" s="20" t="n">
        <f aca="false" t="array" ref="Y652:Y652">IF(AND(INDEX(Profils!$S$5:$S$34,$AE652)&gt;0,INDEX(Profils!$AH$5:$AH$34,$AE652)&lt;=$AH652),ROUND(INDEX(Profils!$S$5:$S$34,$AE652)*Paramètres!$E$35*$AG652*$AJ652,Paramètres!$F$35),0)</f>
        <v>0</v>
      </c>
      <c r="Z652" s="21" t="n">
        <f aca="false">ROUND(L652/Paramètres!$E$22+M652/Paramètres!$E$23+N652/Paramètres!$E$24+O652/Paramètres!$E$25+P652/Paramètres!$E$26+Q652/Paramètres!$E$27+R652/Paramètres!$E$28+S652/Paramètres!$E$29+T652/Paramètres!$E$30+U652/Paramètres!$E$31+V652/Paramètres!$E$32+W652/Paramètres!$E$33+X652/Paramètres!$E$34+Y652/Paramètres!$E$35,1)</f>
        <v>4</v>
      </c>
      <c r="AA652" s="22" t="s">
        <v>109</v>
      </c>
      <c r="AB652" s="22" t="s">
        <v>109</v>
      </c>
      <c r="AC652" s="15" t="str">
        <f aca="false">$E652</f>
        <v>peau de dragon</v>
      </c>
      <c r="AD652" s="16" t="n">
        <f aca="false" t="array" ref="AD652:AD652">IF($I652&gt;=$AI652,"Max",ROUND(Paramètres!$B$40*($I652+1)^Paramètres!$B$41*INDEX(Paramètres!$H$6:$H$12,$AF652),0))</f>
        <v>4</v>
      </c>
      <c r="AE652" s="23" t="n">
        <f aca="false">MATCH($B652&amp;"|"&amp;$C652,Profils!$A$5:$A$34,0)</f>
        <v>21</v>
      </c>
      <c r="AF652" s="23" t="n">
        <v>3</v>
      </c>
      <c r="AG652" s="24" t="n">
        <f aca="false" t="array" ref="AG652:AG652">INDEX(Paramètres!$C$6:$C$12,$AF652)</f>
        <v>1.45</v>
      </c>
      <c r="AH652" s="23" t="n">
        <f aca="false" t="array" ref="AH652:AH652">INDEX(Paramètres!$D$6:$D$12,$AF652)</f>
        <v>4</v>
      </c>
      <c r="AI652" s="23" t="n">
        <f aca="false" t="array" ref="AI652:AI652">INDEX(Matériaux!$C$16:$C$20,$D652)</f>
        <v>30</v>
      </c>
      <c r="AJ652" s="25" t="n">
        <f aca="false">Paramètres!$B$16+(1-Paramètres!$B$16)*(($J652-Paramètres!$B$14)/(Paramètres!$B$15-Paramètres!$B$14))^Paramètres!$B$17</f>
        <v>0.665999387952727</v>
      </c>
    </row>
    <row r="653" customFormat="false" ht="15.75" hidden="false" customHeight="true" outlineLevel="0" collapsed="false">
      <c r="A653" s="14" t="s">
        <v>769</v>
      </c>
      <c r="B653" s="15" t="s">
        <v>31</v>
      </c>
      <c r="C653" s="15" t="s">
        <v>107</v>
      </c>
      <c r="D653" s="16" t="n">
        <v>5</v>
      </c>
      <c r="E653" s="15" t="str">
        <f aca="false" t="array" ref="E653:E653">INDEX(Matériaux!$B$5:$F$12,MATCH(INDEX(Profils!$E$5:$E$34,$AE653),Matériaux!$A$5:$A$12,0),$D653)</f>
        <v>peau de dragon</v>
      </c>
      <c r="F653" s="28" t="s">
        <v>115</v>
      </c>
      <c r="G653" s="10" t="str">
        <f aca="false" t="array" ref="G653:G653">INDEX(Profils!$D$5:$D$34,$AE653)&amp;" en "&amp;$E653</f>
        <v>Capuche en peau de dragon</v>
      </c>
      <c r="H653" s="16" t="n">
        <f aca="false" t="array" ref="H653:H653">INDEX(Matériaux!$B$16:$B$20,$D653)</f>
        <v>70</v>
      </c>
      <c r="I653" s="16" t="n">
        <f aca="false">IF(ISNUMBER($C$3),MIN(MAX(0,ROUND($C$3,0)),$AI653),$AI653)</f>
        <v>0</v>
      </c>
      <c r="J653" s="18" t="n">
        <f aca="false">$H653+$I653</f>
        <v>70</v>
      </c>
      <c r="K653" s="15" t="s">
        <v>109</v>
      </c>
      <c r="L653" s="19" t="n">
        <f aca="false" t="array" ref="L653:L653">IF(AND(INDEX(Profils!$F$5:$F$34,$AE653)&gt;0,INDEX(Profils!$U$5:$U$34,$AE653)&lt;=$AH653),ROUND(INDEX(Profils!$F$5:$F$34,$AE653)*Paramètres!$E$22*$AG653*$AJ653,Paramètres!$F$22),0)</f>
        <v>29</v>
      </c>
      <c r="M653" s="19" t="n">
        <f aca="false" t="array" ref="M653:M653">IF(AND(INDEX(Profils!$G$5:$G$34,$AE653)&gt;0,INDEX(Profils!$V$5:$V$34,$AE653)&lt;=$AH653),ROUND(INDEX(Profils!$G$5:$G$34,$AE653)*Paramètres!$E$23*$AG653*$AJ653,Paramètres!$F$23),0)</f>
        <v>0</v>
      </c>
      <c r="N653" s="19" t="n">
        <f aca="false" t="array" ref="N653:N653">IF(AND(INDEX(Profils!$H$5:$H$34,$AE653)&gt;0,INDEX(Profils!$W$5:$W$34,$AE653)&lt;=$AH653),ROUND(INDEX(Profils!$H$5:$H$34,$AE653)*Paramètres!$E$24*$AG653*$AJ653,Paramètres!$F$24),0)</f>
        <v>0</v>
      </c>
      <c r="O653" s="19" t="n">
        <f aca="false" t="array" ref="O653:O653">IF(AND(INDEX(Profils!$I$5:$I$34,$AE653)&gt;0,INDEX(Profils!$X$5:$X$34,$AE653)&lt;=$AH653),ROUND(INDEX(Profils!$I$5:$I$34,$AE653)*Paramètres!$E$25*$AG653*$AJ653,Paramètres!$F$25),0)</f>
        <v>0</v>
      </c>
      <c r="P653" s="19" t="n">
        <f aca="false" t="array" ref="P653:P653">IF(AND(INDEX(Profils!$J$5:$J$34,$AE653)&gt;0,INDEX(Profils!$Y$5:$Y$34,$AE653)&lt;=$AH653),ROUND(INDEX(Profils!$J$5:$J$34,$AE653)*Paramètres!$E$26*$AG653*$AJ653,Paramètres!$F$26),0)</f>
        <v>17</v>
      </c>
      <c r="Q653" s="19" t="n">
        <f aca="false" t="array" ref="Q653:Q653">IF(AND(INDEX(Profils!$K$5:$K$34,$AE653)&gt;0,INDEX(Profils!$Z$5:$Z$34,$AE653)&lt;=$AH653),ROUND(INDEX(Profils!$K$5:$K$34,$AE653)*Paramètres!$E$27*$AG653*$AJ653,Paramètres!$F$27),0)</f>
        <v>0</v>
      </c>
      <c r="R653" s="20" t="n">
        <f aca="false" t="array" ref="R653:R653">IF(AND(INDEX(Profils!$L$5:$L$34,$AE653)&gt;0,INDEX(Profils!$AA$5:$AA$34,$AE653)&lt;=$AH653),ROUND(INDEX(Profils!$L$5:$L$34,$AE653)*Paramètres!$E$28*$AG653*$AJ653,Paramètres!$F$28),0)</f>
        <v>0.021</v>
      </c>
      <c r="S653" s="20" t="n">
        <f aca="false" t="array" ref="S653:S653">IF(AND(INDEX(Profils!$M$5:$M$34,$AE653)&gt;0,INDEX(Profils!$AB$5:$AB$34,$AE653)&lt;=$AH653),ROUND(INDEX(Profils!$M$5:$M$34,$AE653)*Paramètres!$E$29*$AG653*$AJ653,Paramètres!$F$29),0)</f>
        <v>0.011</v>
      </c>
      <c r="T653" s="20" t="n">
        <f aca="false" t="array" ref="T653:T653">IF(AND(INDEX(Profils!$N$5:$N$34,$AE653)&gt;0,INDEX(Profils!$AC$5:$AC$34,$AE653)&lt;=$AH653),ROUND(INDEX(Profils!$N$5:$N$34,$AE653)*Paramètres!$E$30*$AG653*$AJ653,Paramètres!$F$30),0)</f>
        <v>0</v>
      </c>
      <c r="U653" s="19" t="n">
        <f aca="false" t="array" ref="U653:U653">IF(AND(INDEX(Profils!$O$5:$O$34,$AE653)&gt;0,INDEX(Profils!$AD$5:$AD$34,$AE653)&lt;=$AH653),ROUND(INDEX(Profils!$O$5:$O$34,$AE653)*Paramètres!$E$31*$AG653*$AJ653,Paramètres!$F$31),0)</f>
        <v>0</v>
      </c>
      <c r="V653" s="20" t="n">
        <f aca="false" t="array" ref="V653:V653">IF(AND(INDEX(Profils!$P$5:$P$34,$AE653)&gt;0,INDEX(Profils!$AE$5:$AE$34,$AE653)&lt;=$AH653),ROUND(INDEX(Profils!$P$5:$P$34,$AE653)*Paramètres!$E$32*$AG653*$AJ653,Paramètres!$F$32),0)</f>
        <v>0</v>
      </c>
      <c r="W653" s="20" t="n">
        <f aca="false" t="array" ref="W653:W653">IF(AND(INDEX(Profils!$Q$5:$Q$34,$AE653)&gt;0,INDEX(Profils!$AF$5:$AF$34,$AE653)&lt;=$AH653),ROUND(INDEX(Profils!$Q$5:$Q$34,$AE653)*Paramètres!$E$33*$AG653*$AJ653,Paramètres!$F$33),0)</f>
        <v>0</v>
      </c>
      <c r="X653" s="20" t="n">
        <f aca="false" t="array" ref="X653:X653">IF(AND(INDEX(Profils!$R$5:$R$34,$AE653)&gt;0,INDEX(Profils!$AG$5:$AG$34,$AE653)&lt;=$AH653),ROUND(INDEX(Profils!$R$5:$R$34,$AE653)*Paramètres!$E$34*$AG653*$AJ653,Paramètres!$F$34),0)</f>
        <v>0</v>
      </c>
      <c r="Y653" s="20" t="n">
        <f aca="false" t="array" ref="Y653:Y653">IF(AND(INDEX(Profils!$S$5:$S$34,$AE653)&gt;0,INDEX(Profils!$AH$5:$AH$34,$AE653)&lt;=$AH653),ROUND(INDEX(Profils!$S$5:$S$34,$AE653)*Paramètres!$E$35*$AG653*$AJ653,Paramètres!$F$35),0)</f>
        <v>0.012</v>
      </c>
      <c r="Z653" s="21" t="n">
        <f aca="false">ROUND(L653/Paramètres!$E$22+M653/Paramètres!$E$23+N653/Paramètres!$E$24+O653/Paramètres!$E$25+P653/Paramètres!$E$26+Q653/Paramètres!$E$27+R653/Paramètres!$E$28+S653/Paramètres!$E$29+T653/Paramètres!$E$30+U653/Paramètres!$E$31+V653/Paramètres!$E$32+W653/Paramètres!$E$33+X653/Paramètres!$E$34+Y653/Paramètres!$E$35,1)</f>
        <v>5.7</v>
      </c>
      <c r="AA653" s="22" t="s">
        <v>109</v>
      </c>
      <c r="AB653" s="22" t="s">
        <v>109</v>
      </c>
      <c r="AC653" s="15" t="str">
        <f aca="false">$E653</f>
        <v>peau de dragon</v>
      </c>
      <c r="AD653" s="16" t="n">
        <f aca="false" t="array" ref="AD653:AD653">IF($I653&gt;=$AI653,"Max",ROUND(Paramètres!$B$40*($I653+1)^Paramètres!$B$41*INDEX(Paramètres!$H$6:$H$12,$AF653),0))</f>
        <v>5</v>
      </c>
      <c r="AE653" s="23" t="n">
        <f aca="false">MATCH($B653&amp;"|"&amp;$C653,Profils!$A$5:$A$34,0)</f>
        <v>21</v>
      </c>
      <c r="AF653" s="23" t="n">
        <v>4</v>
      </c>
      <c r="AG653" s="24" t="n">
        <f aca="false" t="array" ref="AG653:AG653">INDEX(Paramètres!$C$6:$C$12,$AF653)</f>
        <v>1.75</v>
      </c>
      <c r="AH653" s="23" t="n">
        <f aca="false" t="array" ref="AH653:AH653">INDEX(Paramètres!$D$6:$D$12,$AF653)</f>
        <v>5</v>
      </c>
      <c r="AI653" s="23" t="n">
        <f aca="false" t="array" ref="AI653:AI653">INDEX(Matériaux!$C$16:$C$20,$D653)</f>
        <v>30</v>
      </c>
      <c r="AJ653" s="25" t="n">
        <f aca="false">Paramètres!$B$16+(1-Paramètres!$B$16)*(($J653-Paramètres!$B$14)/(Paramètres!$B$15-Paramètres!$B$14))^Paramètres!$B$17</f>
        <v>0.665999387952727</v>
      </c>
    </row>
    <row r="654" customFormat="false" ht="15.75" hidden="false" customHeight="true" outlineLevel="0" collapsed="false">
      <c r="A654" s="14" t="s">
        <v>770</v>
      </c>
      <c r="B654" s="15" t="s">
        <v>31</v>
      </c>
      <c r="C654" s="15" t="s">
        <v>107</v>
      </c>
      <c r="D654" s="16" t="n">
        <v>5</v>
      </c>
      <c r="E654" s="15" t="str">
        <f aca="false" t="array" ref="E654:E654">INDEX(Matériaux!$B$5:$F$12,MATCH(INDEX(Profils!$E$5:$E$34,$AE654),Matériaux!$A$5:$A$12,0),$D654)</f>
        <v>peau de dragon</v>
      </c>
      <c r="F654" s="29" t="s">
        <v>117</v>
      </c>
      <c r="G654" s="10" t="str">
        <f aca="false" t="array" ref="G654:G654">INDEX(Profils!$D$5:$D$34,$AE654)&amp;" en "&amp;$E654</f>
        <v>Capuche en peau de dragon</v>
      </c>
      <c r="H654" s="16" t="n">
        <f aca="false" t="array" ref="H654:H654">INDEX(Matériaux!$B$16:$B$20,$D654)</f>
        <v>70</v>
      </c>
      <c r="I654" s="16" t="n">
        <f aca="false">IF(ISNUMBER($C$3),MIN(MAX(0,ROUND($C$3,0)),$AI654),$AI654)</f>
        <v>0</v>
      </c>
      <c r="J654" s="18" t="n">
        <f aca="false">$H654+$I654</f>
        <v>70</v>
      </c>
      <c r="K654" s="15" t="s">
        <v>109</v>
      </c>
      <c r="L654" s="19" t="n">
        <f aca="false" t="array" ref="L654:L654">IF(AND(INDEX(Profils!$F$5:$F$34,$AE654)&gt;0,INDEX(Profils!$U$5:$U$34,$AE654)&lt;=$AH654),ROUND(INDEX(Profils!$F$5:$F$34,$AE654)*Paramètres!$E$22*$AG654*$AJ654,Paramètres!$F$22),0)</f>
        <v>35</v>
      </c>
      <c r="M654" s="19" t="n">
        <f aca="false" t="array" ref="M654:M654">IF(AND(INDEX(Profils!$G$5:$G$34,$AE654)&gt;0,INDEX(Profils!$V$5:$V$34,$AE654)&lt;=$AH654),ROUND(INDEX(Profils!$G$5:$G$34,$AE654)*Paramètres!$E$23*$AG654*$AJ654,Paramètres!$F$23),0)</f>
        <v>0</v>
      </c>
      <c r="N654" s="19" t="n">
        <f aca="false" t="array" ref="N654:N654">IF(AND(INDEX(Profils!$H$5:$H$34,$AE654)&gt;0,INDEX(Profils!$W$5:$W$34,$AE654)&lt;=$AH654),ROUND(INDEX(Profils!$H$5:$H$34,$AE654)*Paramètres!$E$24*$AG654*$AJ654,Paramètres!$F$24),0)</f>
        <v>13</v>
      </c>
      <c r="O654" s="19" t="n">
        <f aca="false" t="array" ref="O654:O654">IF(AND(INDEX(Profils!$I$5:$I$34,$AE654)&gt;0,INDEX(Profils!$X$5:$X$34,$AE654)&lt;=$AH654),ROUND(INDEX(Profils!$I$5:$I$34,$AE654)*Paramètres!$E$25*$AG654*$AJ654,Paramètres!$F$25),0)</f>
        <v>0</v>
      </c>
      <c r="P654" s="19" t="n">
        <f aca="false" t="array" ref="P654:P654">IF(AND(INDEX(Profils!$J$5:$J$34,$AE654)&gt;0,INDEX(Profils!$Y$5:$Y$34,$AE654)&lt;=$AH654),ROUND(INDEX(Profils!$J$5:$J$34,$AE654)*Paramètres!$E$26*$AG654*$AJ654,Paramètres!$F$26),0)</f>
        <v>20</v>
      </c>
      <c r="Q654" s="19" t="n">
        <f aca="false" t="array" ref="Q654:Q654">IF(AND(INDEX(Profils!$K$5:$K$34,$AE654)&gt;0,INDEX(Profils!$Z$5:$Z$34,$AE654)&lt;=$AH654),ROUND(INDEX(Profils!$K$5:$K$34,$AE654)*Paramètres!$E$27*$AG654*$AJ654,Paramètres!$F$27),0)</f>
        <v>0</v>
      </c>
      <c r="R654" s="20" t="n">
        <f aca="false" t="array" ref="R654:R654">IF(AND(INDEX(Profils!$L$5:$L$34,$AE654)&gt;0,INDEX(Profils!$AA$5:$AA$34,$AE654)&lt;=$AH654),ROUND(INDEX(Profils!$L$5:$L$34,$AE654)*Paramètres!$E$28*$AG654*$AJ654,Paramètres!$F$28),0)</f>
        <v>0.025</v>
      </c>
      <c r="S654" s="20" t="n">
        <f aca="false" t="array" ref="S654:S654">IF(AND(INDEX(Profils!$M$5:$M$34,$AE654)&gt;0,INDEX(Profils!$AB$5:$AB$34,$AE654)&lt;=$AH654),ROUND(INDEX(Profils!$M$5:$M$34,$AE654)*Paramètres!$E$29*$AG654*$AJ654,Paramètres!$F$29),0)</f>
        <v>0.013</v>
      </c>
      <c r="T654" s="20" t="n">
        <f aca="false" t="array" ref="T654:T654">IF(AND(INDEX(Profils!$N$5:$N$34,$AE654)&gt;0,INDEX(Profils!$AC$5:$AC$34,$AE654)&lt;=$AH654),ROUND(INDEX(Profils!$N$5:$N$34,$AE654)*Paramètres!$E$30*$AG654*$AJ654,Paramètres!$F$30),0)</f>
        <v>0</v>
      </c>
      <c r="U654" s="19" t="n">
        <f aca="false" t="array" ref="U654:U654">IF(AND(INDEX(Profils!$O$5:$O$34,$AE654)&gt;0,INDEX(Profils!$AD$5:$AD$34,$AE654)&lt;=$AH654),ROUND(INDEX(Profils!$O$5:$O$34,$AE654)*Paramètres!$E$31*$AG654*$AJ654,Paramètres!$F$31),0)</f>
        <v>0</v>
      </c>
      <c r="V654" s="20" t="n">
        <f aca="false" t="array" ref="V654:V654">IF(AND(INDEX(Profils!$P$5:$P$34,$AE654)&gt;0,INDEX(Profils!$AE$5:$AE$34,$AE654)&lt;=$AH654),ROUND(INDEX(Profils!$P$5:$P$34,$AE654)*Paramètres!$E$32*$AG654*$AJ654,Paramètres!$F$32),0)</f>
        <v>0</v>
      </c>
      <c r="W654" s="20" t="n">
        <f aca="false" t="array" ref="W654:W654">IF(AND(INDEX(Profils!$Q$5:$Q$34,$AE654)&gt;0,INDEX(Profils!$AF$5:$AF$34,$AE654)&lt;=$AH654),ROUND(INDEX(Profils!$Q$5:$Q$34,$AE654)*Paramètres!$E$33*$AG654*$AJ654,Paramètres!$F$33),0)</f>
        <v>0</v>
      </c>
      <c r="X654" s="20" t="n">
        <f aca="false" t="array" ref="X654:X654">IF(AND(INDEX(Profils!$R$5:$R$34,$AE654)&gt;0,INDEX(Profils!$AG$5:$AG$34,$AE654)&lt;=$AH654),ROUND(INDEX(Profils!$R$5:$R$34,$AE654)*Paramètres!$E$34*$AG654*$AJ654,Paramètres!$F$34),0)</f>
        <v>0</v>
      </c>
      <c r="Y654" s="20" t="n">
        <f aca="false" t="array" ref="Y654:Y654">IF(AND(INDEX(Profils!$S$5:$S$34,$AE654)&gt;0,INDEX(Profils!$AH$5:$AH$34,$AE654)&lt;=$AH654),ROUND(INDEX(Profils!$S$5:$S$34,$AE654)*Paramètres!$E$35*$AG654*$AJ654,Paramètres!$F$35),0)</f>
        <v>0.015</v>
      </c>
      <c r="Z654" s="21" t="n">
        <f aca="false">ROUND(L654/Paramètres!$E$22+M654/Paramètres!$E$23+N654/Paramètres!$E$24+O654/Paramètres!$E$25+P654/Paramètres!$E$26+Q654/Paramètres!$E$27+R654/Paramètres!$E$28+S654/Paramètres!$E$29+T654/Paramètres!$E$30+U654/Paramètres!$E$31+V654/Paramètres!$E$32+W654/Paramètres!$E$33+X654/Paramètres!$E$34+Y654/Paramètres!$E$35,1)</f>
        <v>7.7</v>
      </c>
      <c r="AA654" s="22" t="s">
        <v>109</v>
      </c>
      <c r="AB654" s="22" t="s">
        <v>109</v>
      </c>
      <c r="AC654" s="15" t="str">
        <f aca="false">$E654</f>
        <v>peau de dragon</v>
      </c>
      <c r="AD654" s="16" t="n">
        <f aca="false" t="array" ref="AD654:AD654">IF($I654&gt;=$AI654,"Max",ROUND(Paramètres!$B$40*($I654+1)^Paramètres!$B$41*INDEX(Paramètres!$H$6:$H$12,$AF654),0))</f>
        <v>6</v>
      </c>
      <c r="AE654" s="23" t="n">
        <f aca="false">MATCH($B654&amp;"|"&amp;$C654,Profils!$A$5:$A$34,0)</f>
        <v>21</v>
      </c>
      <c r="AF654" s="23" t="n">
        <v>5</v>
      </c>
      <c r="AG654" s="24" t="n">
        <f aca="false" t="array" ref="AG654:AG654">INDEX(Paramètres!$C$6:$C$12,$AF654)</f>
        <v>2.1</v>
      </c>
      <c r="AH654" s="23" t="n">
        <f aca="false" t="array" ref="AH654:AH654">INDEX(Paramètres!$D$6:$D$12,$AF654)</f>
        <v>6</v>
      </c>
      <c r="AI654" s="23" t="n">
        <f aca="false" t="array" ref="AI654:AI654">INDEX(Matériaux!$C$16:$C$20,$D654)</f>
        <v>30</v>
      </c>
      <c r="AJ654" s="25" t="n">
        <f aca="false">Paramètres!$B$16+(1-Paramètres!$B$16)*(($J654-Paramètres!$B$14)/(Paramètres!$B$15-Paramètres!$B$14))^Paramètres!$B$17</f>
        <v>0.665999387952727</v>
      </c>
    </row>
    <row r="655" customFormat="false" ht="15.75" hidden="false" customHeight="true" outlineLevel="0" collapsed="false">
      <c r="A655" s="14" t="s">
        <v>771</v>
      </c>
      <c r="B655" s="15" t="s">
        <v>31</v>
      </c>
      <c r="C655" s="15" t="s">
        <v>107</v>
      </c>
      <c r="D655" s="16" t="n">
        <v>5</v>
      </c>
      <c r="E655" s="15" t="str">
        <f aca="false" t="array" ref="E655:E655">INDEX(Matériaux!$B$5:$F$12,MATCH(INDEX(Profils!$E$5:$E$34,$AE655),Matériaux!$A$5:$A$12,0),$D655)</f>
        <v>peau de dragon</v>
      </c>
      <c r="F655" s="30" t="s">
        <v>119</v>
      </c>
      <c r="G655" s="10" t="str">
        <f aca="false" t="array" ref="G655:G655">INDEX(Profils!$D$5:$D$34,$AE655)&amp;" en "&amp;$E655</f>
        <v>Capuche en peau de dragon</v>
      </c>
      <c r="H655" s="16" t="n">
        <f aca="false" t="array" ref="H655:H655">INDEX(Matériaux!$B$16:$B$20,$D655)</f>
        <v>70</v>
      </c>
      <c r="I655" s="16" t="n">
        <f aca="false">IF(ISNUMBER($C$3),MIN(MAX(0,ROUND($C$3,0)),$AI655),$AI655)</f>
        <v>0</v>
      </c>
      <c r="J655" s="18" t="n">
        <f aca="false">$H655+$I655</f>
        <v>70</v>
      </c>
      <c r="K655" s="15" t="s">
        <v>109</v>
      </c>
      <c r="L655" s="19" t="n">
        <f aca="false" t="array" ref="L655:L655">IF(AND(INDEX(Profils!$F$5:$F$34,$AE655)&gt;0,INDEX(Profils!$U$5:$U$34,$AE655)&lt;=$AH655),ROUND(INDEX(Profils!$F$5:$F$34,$AE655)*Paramètres!$E$22*$AG655*$AJ655,Paramètres!$F$22),0)</f>
        <v>40</v>
      </c>
      <c r="M655" s="19" t="n">
        <f aca="false" t="array" ref="M655:M655">IF(AND(INDEX(Profils!$G$5:$G$34,$AE655)&gt;0,INDEX(Profils!$V$5:$V$34,$AE655)&lt;=$AH655),ROUND(INDEX(Profils!$G$5:$G$34,$AE655)*Paramètres!$E$23*$AG655*$AJ655,Paramètres!$F$23),0)</f>
        <v>0</v>
      </c>
      <c r="N655" s="19" t="n">
        <f aca="false" t="array" ref="N655:N655">IF(AND(INDEX(Profils!$H$5:$H$34,$AE655)&gt;0,INDEX(Profils!$W$5:$W$34,$AE655)&lt;=$AH655),ROUND(INDEX(Profils!$H$5:$H$34,$AE655)*Paramètres!$E$24*$AG655*$AJ655,Paramètres!$F$24),0)</f>
        <v>14</v>
      </c>
      <c r="O655" s="19" t="n">
        <f aca="false" t="array" ref="O655:O655">IF(AND(INDEX(Profils!$I$5:$I$34,$AE655)&gt;0,INDEX(Profils!$X$5:$X$34,$AE655)&lt;=$AH655),ROUND(INDEX(Profils!$I$5:$I$34,$AE655)*Paramètres!$E$25*$AG655*$AJ655,Paramètres!$F$25),0)</f>
        <v>0</v>
      </c>
      <c r="P655" s="19" t="n">
        <f aca="false" t="array" ref="P655:P655">IF(AND(INDEX(Profils!$J$5:$J$34,$AE655)&gt;0,INDEX(Profils!$Y$5:$Y$34,$AE655)&lt;=$AH655),ROUND(INDEX(Profils!$J$5:$J$34,$AE655)*Paramètres!$E$26*$AG655*$AJ655,Paramètres!$F$26),0)</f>
        <v>23</v>
      </c>
      <c r="Q655" s="19" t="n">
        <f aca="false" t="array" ref="Q655:Q655">IF(AND(INDEX(Profils!$K$5:$K$34,$AE655)&gt;0,INDEX(Profils!$Z$5:$Z$34,$AE655)&lt;=$AH655),ROUND(INDEX(Profils!$K$5:$K$34,$AE655)*Paramètres!$E$27*$AG655*$AJ655,Paramètres!$F$27),0)</f>
        <v>10</v>
      </c>
      <c r="R655" s="20" t="n">
        <f aca="false" t="array" ref="R655:R655">IF(AND(INDEX(Profils!$L$5:$L$34,$AE655)&gt;0,INDEX(Profils!$AA$5:$AA$34,$AE655)&lt;=$AH655),ROUND(INDEX(Profils!$L$5:$L$34,$AE655)*Paramètres!$E$28*$AG655*$AJ655,Paramètres!$F$28),0)</f>
        <v>0.029</v>
      </c>
      <c r="S655" s="20" t="n">
        <f aca="false" t="array" ref="S655:S655">IF(AND(INDEX(Profils!$M$5:$M$34,$AE655)&gt;0,INDEX(Profils!$AB$5:$AB$34,$AE655)&lt;=$AH655),ROUND(INDEX(Profils!$M$5:$M$34,$AE655)*Paramètres!$E$29*$AG655*$AJ655,Paramètres!$F$29),0)</f>
        <v>0.015</v>
      </c>
      <c r="T655" s="20" t="n">
        <f aca="false" t="array" ref="T655:T655">IF(AND(INDEX(Profils!$N$5:$N$34,$AE655)&gt;0,INDEX(Profils!$AC$5:$AC$34,$AE655)&lt;=$AH655),ROUND(INDEX(Profils!$N$5:$N$34,$AE655)*Paramètres!$E$30*$AG655*$AJ655,Paramètres!$F$30),0)</f>
        <v>0</v>
      </c>
      <c r="U655" s="19" t="n">
        <f aca="false" t="array" ref="U655:U655">IF(AND(INDEX(Profils!$O$5:$O$34,$AE655)&gt;0,INDEX(Profils!$AD$5:$AD$34,$AE655)&lt;=$AH655),ROUND(INDEX(Profils!$O$5:$O$34,$AE655)*Paramètres!$E$31*$AG655*$AJ655,Paramètres!$F$31),0)</f>
        <v>0</v>
      </c>
      <c r="V655" s="20" t="n">
        <f aca="false" t="array" ref="V655:V655">IF(AND(INDEX(Profils!$P$5:$P$34,$AE655)&gt;0,INDEX(Profils!$AE$5:$AE$34,$AE655)&lt;=$AH655),ROUND(INDEX(Profils!$P$5:$P$34,$AE655)*Paramètres!$E$32*$AG655*$AJ655,Paramètres!$F$32),0)</f>
        <v>0</v>
      </c>
      <c r="W655" s="20" t="n">
        <f aca="false" t="array" ref="W655:W655">IF(AND(INDEX(Profils!$Q$5:$Q$34,$AE655)&gt;0,INDEX(Profils!$AF$5:$AF$34,$AE655)&lt;=$AH655),ROUND(INDEX(Profils!$Q$5:$Q$34,$AE655)*Paramètres!$E$33*$AG655*$AJ655,Paramètres!$F$33),0)</f>
        <v>0</v>
      </c>
      <c r="X655" s="20" t="n">
        <f aca="false" t="array" ref="X655:X655">IF(AND(INDEX(Profils!$R$5:$R$34,$AE655)&gt;0,INDEX(Profils!$AG$5:$AG$34,$AE655)&lt;=$AH655),ROUND(INDEX(Profils!$R$5:$R$34,$AE655)*Paramètres!$E$34*$AG655*$AJ655,Paramètres!$F$34),0)</f>
        <v>0</v>
      </c>
      <c r="Y655" s="20" t="n">
        <f aca="false" t="array" ref="Y655:Y655">IF(AND(INDEX(Profils!$S$5:$S$34,$AE655)&gt;0,INDEX(Profils!$AH$5:$AH$34,$AE655)&lt;=$AH655),ROUND(INDEX(Profils!$S$5:$S$34,$AE655)*Paramètres!$E$35*$AG655*$AJ655,Paramètres!$F$35),0)</f>
        <v>0.017</v>
      </c>
      <c r="Z655" s="21" t="n">
        <f aca="false">ROUND(L655/Paramètres!$E$22+M655/Paramètres!$E$23+N655/Paramètres!$E$24+O655/Paramètres!$E$25+P655/Paramètres!$E$26+Q655/Paramètres!$E$27+R655/Paramètres!$E$28+S655/Paramètres!$E$29+T655/Paramètres!$E$30+U655/Paramètres!$E$31+V655/Paramètres!$E$32+W655/Paramètres!$E$33+X655/Paramètres!$E$34+Y655/Paramètres!$E$35,1)</f>
        <v>9.8</v>
      </c>
      <c r="AA655" s="22" t="s">
        <v>109</v>
      </c>
      <c r="AB655" s="22" t="s">
        <v>109</v>
      </c>
      <c r="AC655" s="15" t="str">
        <f aca="false">$E655</f>
        <v>peau de dragon</v>
      </c>
      <c r="AD655" s="16" t="n">
        <f aca="false" t="array" ref="AD655:AD655">IF($I655&gt;=$AI655,"Max",ROUND(Paramètres!$B$40*($I655+1)^Paramètres!$B$41*INDEX(Paramètres!$H$6:$H$12,$AF655),0))</f>
        <v>8</v>
      </c>
      <c r="AE655" s="23" t="n">
        <f aca="false">MATCH($B655&amp;"|"&amp;$C655,Profils!$A$5:$A$34,0)</f>
        <v>21</v>
      </c>
      <c r="AF655" s="23" t="n">
        <v>6</v>
      </c>
      <c r="AG655" s="24" t="n">
        <f aca="false" t="array" ref="AG655:AG655">INDEX(Paramètres!$C$6:$C$12,$AF655)</f>
        <v>2.4</v>
      </c>
      <c r="AH655" s="23" t="n">
        <f aca="false" t="array" ref="AH655:AH655">INDEX(Paramètres!$D$6:$D$12,$AF655)</f>
        <v>7</v>
      </c>
      <c r="AI655" s="23" t="n">
        <f aca="false" t="array" ref="AI655:AI655">INDEX(Matériaux!$C$16:$C$20,$D655)</f>
        <v>30</v>
      </c>
      <c r="AJ655" s="25" t="n">
        <f aca="false">Paramètres!$B$16+(1-Paramètres!$B$16)*(($J655-Paramètres!$B$14)/(Paramètres!$B$15-Paramètres!$B$14))^Paramètres!$B$17</f>
        <v>0.665999387952727</v>
      </c>
    </row>
    <row r="656" customFormat="false" ht="15.75" hidden="false" customHeight="true" outlineLevel="0" collapsed="false">
      <c r="A656" s="14" t="s">
        <v>772</v>
      </c>
      <c r="B656" s="15" t="s">
        <v>31</v>
      </c>
      <c r="C656" s="15" t="s">
        <v>107</v>
      </c>
      <c r="D656" s="16" t="s">
        <v>109</v>
      </c>
      <c r="E656" s="15" t="s">
        <v>109</v>
      </c>
      <c r="F656" s="31" t="s">
        <v>38</v>
      </c>
      <c r="G656" s="10" t="str">
        <f aca="false" t="array" ref="G656:G656">INDEX(Uniques!$E$5:$E$34,MATCH($B656&amp;"|"&amp;$C656,Uniques!$A$5:$A$34,0))</f>
        <v>Capuche de l'Œil du Faucon</v>
      </c>
      <c r="H656" s="16" t="n">
        <f aca="false" t="array" ref="H656:H656">INDEX(Uniques!$L$5:$L$34,MATCH($B656&amp;"|"&amp;$C656,Uniques!$A$5:$A$34,0))</f>
        <v>81</v>
      </c>
      <c r="I656" s="16" t="n">
        <f aca="false">IF(ISNUMBER($C$3),MIN(MAX(0,ROUND($C$3,0)),$AI656),$AI656)</f>
        <v>0</v>
      </c>
      <c r="J656" s="18" t="n">
        <f aca="false">$H656+$I656</f>
        <v>81</v>
      </c>
      <c r="K656" s="15" t="str">
        <f aca="false" t="array" ref="K656:K656">INDEX(Uniques!$F$5:$F$34,MATCH($B656&amp;"|"&amp;$C656,Uniques!$A$5:$A$34,0))</f>
        <v>Lumière</v>
      </c>
      <c r="L656" s="19" t="n">
        <f aca="false" t="array" ref="L656:L656">IF(AND(INDEX(Profils!$F$5:$F$34,$AE656)&gt;0,INDEX(Profils!$U$5:$U$34,$AE656)&lt;=$AH656),ROUND(INDEX(Profils!$F$5:$F$34,$AE656)*Paramètres!$E$22*$AG656*$AJ656,Paramètres!$F$22),0)</f>
        <v>49</v>
      </c>
      <c r="M656" s="19" t="n">
        <f aca="false" t="array" ref="M656:M656">IF(AND(INDEX(Profils!$G$5:$G$34,$AE656)&gt;0,INDEX(Profils!$V$5:$V$34,$AE656)&lt;=$AH656),ROUND(INDEX(Profils!$G$5:$G$34,$AE656)*Paramètres!$E$23*$AG656*$AJ656,Paramètres!$F$23),0)</f>
        <v>0</v>
      </c>
      <c r="N656" s="19" t="n">
        <f aca="false" t="array" ref="N656:N656">IF(AND(INDEX(Profils!$H$5:$H$34,$AE656)&gt;0,INDEX(Profils!$W$5:$W$34,$AE656)&lt;=$AH656),ROUND(INDEX(Profils!$H$5:$H$34,$AE656)*Paramètres!$E$24*$AG656*$AJ656,Paramètres!$F$24),0)</f>
        <v>18</v>
      </c>
      <c r="O656" s="19" t="n">
        <f aca="false" t="array" ref="O656:O656">IF(AND(INDEX(Profils!$I$5:$I$34,$AE656)&gt;0,INDEX(Profils!$X$5:$X$34,$AE656)&lt;=$AH656),ROUND(INDEX(Profils!$I$5:$I$34,$AE656)*Paramètres!$E$25*$AG656*$AJ656,Paramètres!$F$25),0)</f>
        <v>0</v>
      </c>
      <c r="P656" s="19" t="n">
        <f aca="false" t="array" ref="P656:P656">IF(AND(INDEX(Profils!$J$5:$J$34,$AE656)&gt;0,INDEX(Profils!$Y$5:$Y$34,$AE656)&lt;=$AH656),ROUND(INDEX(Profils!$J$5:$J$34,$AE656)*Paramètres!$E$26*$AG656*$AJ656,Paramètres!$F$26),0)</f>
        <v>28</v>
      </c>
      <c r="Q656" s="19" t="n">
        <f aca="false" t="array" ref="Q656:Q656">IF(AND(INDEX(Profils!$K$5:$K$34,$AE656)&gt;0,INDEX(Profils!$Z$5:$Z$34,$AE656)&lt;=$AH656),ROUND(INDEX(Profils!$K$5:$K$34,$AE656)*Paramètres!$E$27*$AG656*$AJ656,Paramètres!$F$27),0)</f>
        <v>12</v>
      </c>
      <c r="R656" s="20" t="n">
        <f aca="false" t="array" ref="R656:R656">IF(AND(INDEX(Profils!$L$5:$L$34,$AE656)&gt;0,INDEX(Profils!$AA$5:$AA$34,$AE656)&lt;=$AH656),ROUND(INDEX(Profils!$L$5:$L$34,$AE656)*Paramètres!$E$28*$AG656*$AJ656,Paramètres!$F$28),0)</f>
        <v>0.035</v>
      </c>
      <c r="S656" s="20" t="n">
        <f aca="false" t="array" ref="S656:S656">IF(AND(INDEX(Profils!$M$5:$M$34,$AE656)&gt;0,INDEX(Profils!$AB$5:$AB$34,$AE656)&lt;=$AH656),ROUND(INDEX(Profils!$M$5:$M$34,$AE656)*Paramètres!$E$29*$AG656*$AJ656,Paramètres!$F$29),0)</f>
        <v>0.019</v>
      </c>
      <c r="T656" s="20" t="n">
        <f aca="false" t="array" ref="T656:T656">IF(AND(INDEX(Profils!$N$5:$N$34,$AE656)&gt;0,INDEX(Profils!$AC$5:$AC$34,$AE656)&lt;=$AH656),ROUND(INDEX(Profils!$N$5:$N$34,$AE656)*Paramètres!$E$30*$AG656*$AJ656,Paramètres!$F$30),0)</f>
        <v>0</v>
      </c>
      <c r="U656" s="19" t="n">
        <f aca="false" t="array" ref="U656:U656">IF(AND(INDEX(Profils!$O$5:$O$34,$AE656)&gt;0,INDEX(Profils!$AD$5:$AD$34,$AE656)&lt;=$AH656),ROUND(INDEX(Profils!$O$5:$O$34,$AE656)*Paramètres!$E$31*$AG656*$AJ656,Paramètres!$F$31),0)</f>
        <v>0</v>
      </c>
      <c r="V656" s="20" t="n">
        <f aca="false" t="array" ref="V656:V656">IF(AND(INDEX(Profils!$P$5:$P$34,$AE656)&gt;0,INDEX(Profils!$AE$5:$AE$34,$AE656)&lt;=$AH656),ROUND(INDEX(Profils!$P$5:$P$34,$AE656)*Paramètres!$E$32*$AG656*$AJ656,Paramètres!$F$32),0)</f>
        <v>0</v>
      </c>
      <c r="W656" s="20" t="n">
        <f aca="false" t="array" ref="W656:W656">IF(AND(INDEX(Profils!$Q$5:$Q$34,$AE656)&gt;0,INDEX(Profils!$AF$5:$AF$34,$AE656)&lt;=$AH656),ROUND(INDEX(Profils!$Q$5:$Q$34,$AE656)*Paramètres!$E$33*$AG656*$AJ656,Paramètres!$F$33),0)</f>
        <v>0</v>
      </c>
      <c r="X656" s="20" t="n">
        <f aca="false" t="array" ref="X656:X656">IF(AND(INDEX(Profils!$R$5:$R$34,$AE656)&gt;0,INDEX(Profils!$AG$5:$AG$34,$AE656)&lt;=$AH656),ROUND(INDEX(Profils!$R$5:$R$34,$AE656)*Paramètres!$E$34*$AG656*$AJ656,Paramètres!$F$34),0)</f>
        <v>0</v>
      </c>
      <c r="Y656" s="20" t="n">
        <f aca="false" t="array" ref="Y656:Y656">IF(AND(INDEX(Profils!$S$5:$S$34,$AE656)&gt;0,INDEX(Profils!$AH$5:$AH$34,$AE656)&lt;=$AH656),ROUND(INDEX(Profils!$S$5:$S$34,$AE656)*Paramètres!$E$35*$AG656*$AJ656,Paramètres!$F$35),0)</f>
        <v>0.021</v>
      </c>
      <c r="Z656" s="21" t="n">
        <f aca="false">ROUND(L656/Paramètres!$E$22+M656/Paramètres!$E$23+N656/Paramètres!$E$24+O656/Paramètres!$E$25+P656/Paramètres!$E$26+Q656/Paramètres!$E$27+R656/Paramètres!$E$28+S656/Paramètres!$E$29+T656/Paramètres!$E$30+U656/Paramètres!$E$31+V656/Paramètres!$E$32+W656/Paramètres!$E$33+X656/Paramètres!$E$34+Y656/Paramètres!$E$35,1)</f>
        <v>12</v>
      </c>
      <c r="AA656" s="22" t="str">
        <f aca="false" t="array" ref="AA656:AA656">INDEX(Uniques!$G$5:$G$34,MATCH($B656&amp;"|"&amp;$C656,Uniques!$A$5:$A$34,0))</f>
        <v>Regard perçant</v>
      </c>
      <c r="AB656" s="22" t="str">
        <f aca="false" t="array" ref="AB656:AB656">INDEX(Uniques!$H$5:$H$34,MATCH($B656&amp;"|"&amp;$C656,Uniques!$A$5:$A$34,0))&amp;" ["&amp;INDEX(Uniques!$I$5:$I$34,MATCH($B656&amp;"|"&amp;$C656,Uniques!$A$5:$A$34,0))&amp;"]"</f>
        <v>La première attaque de chaque tour ne peut pas être esquivée et révèle les cibles dissimulées. [1 fois par tour.]</v>
      </c>
      <c r="AC656" s="15" t="str">
        <f aca="false" t="array" ref="AC656:AC656">INDEX(Matériaux!$B$5:$F$12,MATCH(INDEX(Profils!$E$5:$E$34,$AE656),Matériaux!$A$5:$A$12,0),MATCH(MIN($J656+1,100),Matériaux!$B$16:$B$20,1))</f>
        <v>peau de dragon</v>
      </c>
      <c r="AD656" s="16" t="n">
        <f aca="false" t="array" ref="AD656:AD656">IF($I656&gt;=$AI656,"Max",ROUND(Paramètres!$B$40*($I656+1)^Paramètres!$B$41*INDEX(Paramètres!$H$6:$H$12,$AF656),0))</f>
        <v>9</v>
      </c>
      <c r="AE656" s="23" t="n">
        <f aca="false">MATCH($B656&amp;"|"&amp;$C656,Profils!$A$5:$A$34,0)</f>
        <v>21</v>
      </c>
      <c r="AF656" s="23" t="n">
        <v>7</v>
      </c>
      <c r="AG656" s="24" t="n">
        <f aca="false" t="array" ref="AG656:AG656">INDEX(Paramètres!$C$6:$C$12,$AF656)</f>
        <v>2.5</v>
      </c>
      <c r="AH656" s="23" t="n">
        <f aca="false" t="array" ref="AH656:AH656">INDEX(Paramètres!$D$6:$D$12,$AF656)</f>
        <v>7</v>
      </c>
      <c r="AI656" s="23" t="n">
        <f aca="false" t="array" ref="AI656:AI656">INDEX(Uniques!$M$5:$M$34,MATCH($B656&amp;"|"&amp;$C656,Uniques!$A$5:$A$34,0))</f>
        <v>19</v>
      </c>
      <c r="AJ656" s="25" t="n">
        <f aca="false">Paramètres!$B$16+(1-Paramètres!$B$16)*(($J656-Paramètres!$B$14)/(Paramètres!$B$15-Paramètres!$B$14))^Paramètres!$B$17</f>
        <v>0.785646810153318</v>
      </c>
    </row>
    <row r="657" customFormat="false" ht="15.75" hidden="false" customHeight="true" outlineLevel="0" collapsed="false">
      <c r="A657" s="14" t="s">
        <v>773</v>
      </c>
      <c r="B657" s="15" t="s">
        <v>31</v>
      </c>
      <c r="C657" s="15" t="s">
        <v>90</v>
      </c>
      <c r="D657" s="16" t="n">
        <v>1</v>
      </c>
      <c r="E657" s="15" t="str">
        <f aca="false" t="array" ref="E657:E657">INDEX(Matériaux!$B$5:$F$12,MATCH(INDEX(Profils!$E$5:$E$34,$AE657),Matériaux!$A$5:$A$12,0),$D657)</f>
        <v>toile</v>
      </c>
      <c r="F657" s="17" t="s">
        <v>108</v>
      </c>
      <c r="G657" s="10" t="str">
        <f aca="false" t="array" ref="G657:G657">INDEX(Profils!$D$5:$D$34,$AE657)&amp;" en "&amp;$E657</f>
        <v>Veste en toile</v>
      </c>
      <c r="H657" s="16" t="n">
        <f aca="false" t="array" ref="H657:H657">INDEX(Matériaux!$B$16:$B$20,$D657)</f>
        <v>1</v>
      </c>
      <c r="I657" s="16" t="n">
        <f aca="false">IF(ISNUMBER($C$3),MIN(MAX(0,ROUND($C$3,0)),$AI657),$AI657)</f>
        <v>0</v>
      </c>
      <c r="J657" s="18" t="n">
        <f aca="false">$H657+$I657</f>
        <v>1</v>
      </c>
      <c r="K657" s="15" t="s">
        <v>109</v>
      </c>
      <c r="L657" s="19" t="n">
        <f aca="false" t="array" ref="L657:L657">IF(AND(INDEX(Profils!$F$5:$F$34,$AE657)&gt;0,INDEX(Profils!$U$5:$U$34,$AE657)&lt;=$AH657),ROUND(INDEX(Profils!$F$5:$F$34,$AE657)*Paramètres!$E$22*$AG657*$AJ657,Paramètres!$F$22),0)</f>
        <v>2</v>
      </c>
      <c r="M657" s="19" t="n">
        <f aca="false" t="array" ref="M657:M657">IF(AND(INDEX(Profils!$G$5:$G$34,$AE657)&gt;0,INDEX(Profils!$V$5:$V$34,$AE657)&lt;=$AH657),ROUND(INDEX(Profils!$G$5:$G$34,$AE657)*Paramètres!$E$23*$AG657*$AJ657,Paramètres!$F$23),0)</f>
        <v>0</v>
      </c>
      <c r="N657" s="19" t="n">
        <f aca="false" t="array" ref="N657:N657">IF(AND(INDEX(Profils!$H$5:$H$34,$AE657)&gt;0,INDEX(Profils!$W$5:$W$34,$AE657)&lt;=$AH657),ROUND(INDEX(Profils!$H$5:$H$34,$AE657)*Paramètres!$E$24*$AG657*$AJ657,Paramètres!$F$24),0)</f>
        <v>0</v>
      </c>
      <c r="O657" s="19" t="n">
        <f aca="false" t="array" ref="O657:O657">IF(AND(INDEX(Profils!$I$5:$I$34,$AE657)&gt;0,INDEX(Profils!$X$5:$X$34,$AE657)&lt;=$AH657),ROUND(INDEX(Profils!$I$5:$I$34,$AE657)*Paramètres!$E$25*$AG657*$AJ657,Paramètres!$F$25),0)</f>
        <v>0</v>
      </c>
      <c r="P657" s="19" t="n">
        <f aca="false" t="array" ref="P657:P657">IF(AND(INDEX(Profils!$J$5:$J$34,$AE657)&gt;0,INDEX(Profils!$Y$5:$Y$34,$AE657)&lt;=$AH657),ROUND(INDEX(Profils!$J$5:$J$34,$AE657)*Paramètres!$E$26*$AG657*$AJ657,Paramètres!$F$26),0)</f>
        <v>1</v>
      </c>
      <c r="Q657" s="19" t="n">
        <f aca="false" t="array" ref="Q657:Q657">IF(AND(INDEX(Profils!$K$5:$K$34,$AE657)&gt;0,INDEX(Profils!$Z$5:$Z$34,$AE657)&lt;=$AH657),ROUND(INDEX(Profils!$K$5:$K$34,$AE657)*Paramètres!$E$27*$AG657*$AJ657,Paramètres!$F$27),0)</f>
        <v>0</v>
      </c>
      <c r="R657" s="20" t="n">
        <f aca="false" t="array" ref="R657:R657">IF(AND(INDEX(Profils!$L$5:$L$34,$AE657)&gt;0,INDEX(Profils!$AA$5:$AA$34,$AE657)&lt;=$AH657),ROUND(INDEX(Profils!$L$5:$L$34,$AE657)*Paramètres!$E$28*$AG657*$AJ657,Paramètres!$F$28),0)</f>
        <v>0</v>
      </c>
      <c r="S657" s="20" t="n">
        <f aca="false" t="array" ref="S657:S657">IF(AND(INDEX(Profils!$M$5:$M$34,$AE657)&gt;0,INDEX(Profils!$AB$5:$AB$34,$AE657)&lt;=$AH657),ROUND(INDEX(Profils!$M$5:$M$34,$AE657)*Paramètres!$E$29*$AG657*$AJ657,Paramètres!$F$29),0)</f>
        <v>0</v>
      </c>
      <c r="T657" s="20" t="n">
        <f aca="false" t="array" ref="T657:T657">IF(AND(INDEX(Profils!$N$5:$N$34,$AE657)&gt;0,INDEX(Profils!$AC$5:$AC$34,$AE657)&lt;=$AH657),ROUND(INDEX(Profils!$N$5:$N$34,$AE657)*Paramètres!$E$30*$AG657*$AJ657,Paramètres!$F$30),0)</f>
        <v>0</v>
      </c>
      <c r="U657" s="19" t="n">
        <f aca="false" t="array" ref="U657:U657">IF(AND(INDEX(Profils!$O$5:$O$34,$AE657)&gt;0,INDEX(Profils!$AD$5:$AD$34,$AE657)&lt;=$AH657),ROUND(INDEX(Profils!$O$5:$O$34,$AE657)*Paramètres!$E$31*$AG657*$AJ657,Paramètres!$F$31),0)</f>
        <v>0</v>
      </c>
      <c r="V657" s="20" t="n">
        <f aca="false" t="array" ref="V657:V657">IF(AND(INDEX(Profils!$P$5:$P$34,$AE657)&gt;0,INDEX(Profils!$AE$5:$AE$34,$AE657)&lt;=$AH657),ROUND(INDEX(Profils!$P$5:$P$34,$AE657)*Paramètres!$E$32*$AG657*$AJ657,Paramètres!$F$32),0)</f>
        <v>0</v>
      </c>
      <c r="W657" s="20" t="n">
        <f aca="false" t="array" ref="W657:W657">IF(AND(INDEX(Profils!$Q$5:$Q$34,$AE657)&gt;0,INDEX(Profils!$AF$5:$AF$34,$AE657)&lt;=$AH657),ROUND(INDEX(Profils!$Q$5:$Q$34,$AE657)*Paramètres!$E$33*$AG657*$AJ657,Paramètres!$F$33),0)</f>
        <v>0</v>
      </c>
      <c r="X657" s="20" t="n">
        <f aca="false" t="array" ref="X657:X657">IF(AND(INDEX(Profils!$R$5:$R$34,$AE657)&gt;0,INDEX(Profils!$AG$5:$AG$34,$AE657)&lt;=$AH657),ROUND(INDEX(Profils!$R$5:$R$34,$AE657)*Paramètres!$E$34*$AG657*$AJ657,Paramètres!$F$34),0)</f>
        <v>0</v>
      </c>
      <c r="Y657" s="20" t="n">
        <f aca="false" t="array" ref="Y657:Y657">IF(AND(INDEX(Profils!$S$5:$S$34,$AE657)&gt;0,INDEX(Profils!$AH$5:$AH$34,$AE657)&lt;=$AH657),ROUND(INDEX(Profils!$S$5:$S$34,$AE657)*Paramètres!$E$35*$AG657*$AJ657,Paramètres!$F$35),0)</f>
        <v>0</v>
      </c>
      <c r="Z657" s="21" t="n">
        <f aca="false">ROUND(L657/Paramètres!$E$22+M657/Paramètres!$E$23+N657/Paramètres!$E$24+O657/Paramètres!$E$25+P657/Paramètres!$E$26+Q657/Paramètres!$E$27+R657/Paramètres!$E$28+S657/Paramètres!$E$29+T657/Paramètres!$E$30+U657/Paramètres!$E$31+V657/Paramètres!$E$32+W657/Paramètres!$E$33+X657/Paramètres!$E$34+Y657/Paramètres!$E$35,1)</f>
        <v>0.2</v>
      </c>
      <c r="AA657" s="22" t="s">
        <v>109</v>
      </c>
      <c r="AB657" s="22" t="s">
        <v>109</v>
      </c>
      <c r="AC657" s="15" t="str">
        <f aca="false">$E657</f>
        <v>toile</v>
      </c>
      <c r="AD657" s="16" t="n">
        <f aca="false" t="array" ref="AD657:AD657">IF($I657&gt;=$AI657,"Max",ROUND(Paramètres!$B$40*($I657+1)^Paramètres!$B$41*INDEX(Paramètres!$H$6:$H$12,$AF657),0))</f>
        <v>3</v>
      </c>
      <c r="AE657" s="23" t="n">
        <f aca="false">MATCH($B657&amp;"|"&amp;$C657,Profils!$A$5:$A$34,0)</f>
        <v>22</v>
      </c>
      <c r="AF657" s="23" t="n">
        <v>1</v>
      </c>
      <c r="AG657" s="24" t="n">
        <f aca="false" t="array" ref="AG657:AG657">INDEX(Paramètres!$C$6:$C$12,$AF657)</f>
        <v>1</v>
      </c>
      <c r="AH657" s="23" t="n">
        <f aca="false" t="array" ref="AH657:AH657">INDEX(Paramètres!$D$6:$D$12,$AF657)</f>
        <v>2</v>
      </c>
      <c r="AI657" s="23" t="n">
        <f aca="false" t="array" ref="AI657:AI657">INDEX(Matériaux!$C$16:$C$20,$D657)</f>
        <v>19</v>
      </c>
      <c r="AJ657" s="25" t="n">
        <f aca="false">Paramètres!$B$16+(1-Paramètres!$B$16)*(($J657-Paramètres!$B$14)/(Paramètres!$B$15-Paramètres!$B$14))^Paramètres!$B$17</f>
        <v>0.05</v>
      </c>
    </row>
    <row r="658" customFormat="false" ht="15.75" hidden="false" customHeight="true" outlineLevel="0" collapsed="false">
      <c r="A658" s="14" t="s">
        <v>774</v>
      </c>
      <c r="B658" s="15" t="s">
        <v>31</v>
      </c>
      <c r="C658" s="15" t="s">
        <v>90</v>
      </c>
      <c r="D658" s="16" t="n">
        <v>1</v>
      </c>
      <c r="E658" s="15" t="str">
        <f aca="false" t="array" ref="E658:E658">INDEX(Matériaux!$B$5:$F$12,MATCH(INDEX(Profils!$E$5:$E$34,$AE658),Matériaux!$A$5:$A$12,0),$D658)</f>
        <v>toile</v>
      </c>
      <c r="F658" s="26" t="s">
        <v>111</v>
      </c>
      <c r="G658" s="10" t="str">
        <f aca="false" t="array" ref="G658:G658">INDEX(Profils!$D$5:$D$34,$AE658)&amp;" en "&amp;$E658</f>
        <v>Veste en toile</v>
      </c>
      <c r="H658" s="16" t="n">
        <f aca="false" t="array" ref="H658:H658">INDEX(Matériaux!$B$16:$B$20,$D658)</f>
        <v>1</v>
      </c>
      <c r="I658" s="16" t="n">
        <f aca="false">IF(ISNUMBER($C$3),MIN(MAX(0,ROUND($C$3,0)),$AI658),$AI658)</f>
        <v>0</v>
      </c>
      <c r="J658" s="18" t="n">
        <f aca="false">$H658+$I658</f>
        <v>1</v>
      </c>
      <c r="K658" s="15" t="s">
        <v>109</v>
      </c>
      <c r="L658" s="19" t="n">
        <f aca="false" t="array" ref="L658:L658">IF(AND(INDEX(Profils!$F$5:$F$34,$AE658)&gt;0,INDEX(Profils!$U$5:$U$34,$AE658)&lt;=$AH658),ROUND(INDEX(Profils!$F$5:$F$34,$AE658)*Paramètres!$E$22*$AG658*$AJ658,Paramètres!$F$22),0)</f>
        <v>2</v>
      </c>
      <c r="M658" s="19" t="n">
        <f aca="false" t="array" ref="M658:M658">IF(AND(INDEX(Profils!$G$5:$G$34,$AE658)&gt;0,INDEX(Profils!$V$5:$V$34,$AE658)&lt;=$AH658),ROUND(INDEX(Profils!$G$5:$G$34,$AE658)*Paramètres!$E$23*$AG658*$AJ658,Paramètres!$F$23),0)</f>
        <v>0</v>
      </c>
      <c r="N658" s="19" t="n">
        <f aca="false" t="array" ref="N658:N658">IF(AND(INDEX(Profils!$H$5:$H$34,$AE658)&gt;0,INDEX(Profils!$W$5:$W$34,$AE658)&lt;=$AH658),ROUND(INDEX(Profils!$H$5:$H$34,$AE658)*Paramètres!$E$24*$AG658*$AJ658,Paramètres!$F$24),0)</f>
        <v>0</v>
      </c>
      <c r="O658" s="19" t="n">
        <f aca="false" t="array" ref="O658:O658">IF(AND(INDEX(Profils!$I$5:$I$34,$AE658)&gt;0,INDEX(Profils!$X$5:$X$34,$AE658)&lt;=$AH658),ROUND(INDEX(Profils!$I$5:$I$34,$AE658)*Paramètres!$E$25*$AG658*$AJ658,Paramètres!$F$25),0)</f>
        <v>0</v>
      </c>
      <c r="P658" s="19" t="n">
        <f aca="false" t="array" ref="P658:P658">IF(AND(INDEX(Profils!$J$5:$J$34,$AE658)&gt;0,INDEX(Profils!$Y$5:$Y$34,$AE658)&lt;=$AH658),ROUND(INDEX(Profils!$J$5:$J$34,$AE658)*Paramètres!$E$26*$AG658*$AJ658,Paramètres!$F$26),0)</f>
        <v>1</v>
      </c>
      <c r="Q658" s="19" t="n">
        <f aca="false" t="array" ref="Q658:Q658">IF(AND(INDEX(Profils!$K$5:$K$34,$AE658)&gt;0,INDEX(Profils!$Z$5:$Z$34,$AE658)&lt;=$AH658),ROUND(INDEX(Profils!$K$5:$K$34,$AE658)*Paramètres!$E$27*$AG658*$AJ658,Paramètres!$F$27),0)</f>
        <v>0</v>
      </c>
      <c r="R658" s="20" t="n">
        <f aca="false" t="array" ref="R658:R658">IF(AND(INDEX(Profils!$L$5:$L$34,$AE658)&gt;0,INDEX(Profils!$AA$5:$AA$34,$AE658)&lt;=$AH658),ROUND(INDEX(Profils!$L$5:$L$34,$AE658)*Paramètres!$E$28*$AG658*$AJ658,Paramètres!$F$28),0)</f>
        <v>0</v>
      </c>
      <c r="S658" s="20" t="n">
        <f aca="false" t="array" ref="S658:S658">IF(AND(INDEX(Profils!$M$5:$M$34,$AE658)&gt;0,INDEX(Profils!$AB$5:$AB$34,$AE658)&lt;=$AH658),ROUND(INDEX(Profils!$M$5:$M$34,$AE658)*Paramètres!$E$29*$AG658*$AJ658,Paramètres!$F$29),0)</f>
        <v>0</v>
      </c>
      <c r="T658" s="20" t="n">
        <f aca="false" t="array" ref="T658:T658">IF(AND(INDEX(Profils!$N$5:$N$34,$AE658)&gt;0,INDEX(Profils!$AC$5:$AC$34,$AE658)&lt;=$AH658),ROUND(INDEX(Profils!$N$5:$N$34,$AE658)*Paramètres!$E$30*$AG658*$AJ658,Paramètres!$F$30),0)</f>
        <v>0</v>
      </c>
      <c r="U658" s="19" t="n">
        <f aca="false" t="array" ref="U658:U658">IF(AND(INDEX(Profils!$O$5:$O$34,$AE658)&gt;0,INDEX(Profils!$AD$5:$AD$34,$AE658)&lt;=$AH658),ROUND(INDEX(Profils!$O$5:$O$34,$AE658)*Paramètres!$E$31*$AG658*$AJ658,Paramètres!$F$31),0)</f>
        <v>2</v>
      </c>
      <c r="V658" s="20" t="n">
        <f aca="false" t="array" ref="V658:V658">IF(AND(INDEX(Profils!$P$5:$P$34,$AE658)&gt;0,INDEX(Profils!$AE$5:$AE$34,$AE658)&lt;=$AH658),ROUND(INDEX(Profils!$P$5:$P$34,$AE658)*Paramètres!$E$32*$AG658*$AJ658,Paramètres!$F$32),0)</f>
        <v>0</v>
      </c>
      <c r="W658" s="20" t="n">
        <f aca="false" t="array" ref="W658:W658">IF(AND(INDEX(Profils!$Q$5:$Q$34,$AE658)&gt;0,INDEX(Profils!$AF$5:$AF$34,$AE658)&lt;=$AH658),ROUND(INDEX(Profils!$Q$5:$Q$34,$AE658)*Paramètres!$E$33*$AG658*$AJ658,Paramètres!$F$33),0)</f>
        <v>0</v>
      </c>
      <c r="X658" s="20" t="n">
        <f aca="false" t="array" ref="X658:X658">IF(AND(INDEX(Profils!$R$5:$R$34,$AE658)&gt;0,INDEX(Profils!$AG$5:$AG$34,$AE658)&lt;=$AH658),ROUND(INDEX(Profils!$R$5:$R$34,$AE658)*Paramètres!$E$34*$AG658*$AJ658,Paramètres!$F$34),0)</f>
        <v>0</v>
      </c>
      <c r="Y658" s="20" t="n">
        <f aca="false" t="array" ref="Y658:Y658">IF(AND(INDEX(Profils!$S$5:$S$34,$AE658)&gt;0,INDEX(Profils!$AH$5:$AH$34,$AE658)&lt;=$AH658),ROUND(INDEX(Profils!$S$5:$S$34,$AE658)*Paramètres!$E$35*$AG658*$AJ658,Paramètres!$F$35),0)</f>
        <v>0</v>
      </c>
      <c r="Z658" s="21" t="n">
        <f aca="false">ROUND(L658/Paramètres!$E$22+M658/Paramètres!$E$23+N658/Paramètres!$E$24+O658/Paramètres!$E$25+P658/Paramètres!$E$26+Q658/Paramètres!$E$27+R658/Paramètres!$E$28+S658/Paramètres!$E$29+T658/Paramètres!$E$30+U658/Paramètres!$E$31+V658/Paramètres!$E$32+W658/Paramètres!$E$33+X658/Paramètres!$E$34+Y658/Paramètres!$E$35,1)</f>
        <v>0.3</v>
      </c>
      <c r="AA658" s="22" t="s">
        <v>109</v>
      </c>
      <c r="AB658" s="22" t="s">
        <v>109</v>
      </c>
      <c r="AC658" s="15" t="str">
        <f aca="false">$E658</f>
        <v>toile</v>
      </c>
      <c r="AD658" s="16" t="n">
        <f aca="false" t="array" ref="AD658:AD658">IF($I658&gt;=$AI658,"Max",ROUND(Paramètres!$B$40*($I658+1)^Paramètres!$B$41*INDEX(Paramètres!$H$6:$H$12,$AF658),0))</f>
        <v>4</v>
      </c>
      <c r="AE658" s="23" t="n">
        <f aca="false">MATCH($B658&amp;"|"&amp;$C658,Profils!$A$5:$A$34,0)</f>
        <v>22</v>
      </c>
      <c r="AF658" s="23" t="n">
        <v>2</v>
      </c>
      <c r="AG658" s="24" t="n">
        <f aca="false" t="array" ref="AG658:AG658">INDEX(Paramètres!$C$6:$C$12,$AF658)</f>
        <v>1.2</v>
      </c>
      <c r="AH658" s="23" t="n">
        <f aca="false" t="array" ref="AH658:AH658">INDEX(Paramètres!$D$6:$D$12,$AF658)</f>
        <v>3</v>
      </c>
      <c r="AI658" s="23" t="n">
        <f aca="false" t="array" ref="AI658:AI658">INDEX(Matériaux!$C$16:$C$20,$D658)</f>
        <v>19</v>
      </c>
      <c r="AJ658" s="25" t="n">
        <f aca="false">Paramètres!$B$16+(1-Paramètres!$B$16)*(($J658-Paramètres!$B$14)/(Paramètres!$B$15-Paramètres!$B$14))^Paramètres!$B$17</f>
        <v>0.05</v>
      </c>
    </row>
    <row r="659" customFormat="false" ht="15.75" hidden="false" customHeight="true" outlineLevel="0" collapsed="false">
      <c r="A659" s="14" t="s">
        <v>775</v>
      </c>
      <c r="B659" s="15" t="s">
        <v>31</v>
      </c>
      <c r="C659" s="15" t="s">
        <v>90</v>
      </c>
      <c r="D659" s="16" t="n">
        <v>1</v>
      </c>
      <c r="E659" s="15" t="str">
        <f aca="false" t="array" ref="E659:E659">INDEX(Matériaux!$B$5:$F$12,MATCH(INDEX(Profils!$E$5:$E$34,$AE659),Matériaux!$A$5:$A$12,0),$D659)</f>
        <v>toile</v>
      </c>
      <c r="F659" s="27" t="s">
        <v>113</v>
      </c>
      <c r="G659" s="10" t="str">
        <f aca="false" t="array" ref="G659:G659">INDEX(Profils!$D$5:$D$34,$AE659)&amp;" en "&amp;$E659</f>
        <v>Veste en toile</v>
      </c>
      <c r="H659" s="16" t="n">
        <f aca="false" t="array" ref="H659:H659">INDEX(Matériaux!$B$16:$B$20,$D659)</f>
        <v>1</v>
      </c>
      <c r="I659" s="16" t="n">
        <f aca="false">IF(ISNUMBER($C$3),MIN(MAX(0,ROUND($C$3,0)),$AI659),$AI659)</f>
        <v>0</v>
      </c>
      <c r="J659" s="18" t="n">
        <f aca="false">$H659+$I659</f>
        <v>1</v>
      </c>
      <c r="K659" s="15" t="s">
        <v>109</v>
      </c>
      <c r="L659" s="19" t="n">
        <f aca="false" t="array" ref="L659:L659">IF(AND(INDEX(Profils!$F$5:$F$34,$AE659)&gt;0,INDEX(Profils!$U$5:$U$34,$AE659)&lt;=$AH659),ROUND(INDEX(Profils!$F$5:$F$34,$AE659)*Paramètres!$E$22*$AG659*$AJ659,Paramètres!$F$22),0)</f>
        <v>3</v>
      </c>
      <c r="M659" s="19" t="n">
        <f aca="false" t="array" ref="M659:M659">IF(AND(INDEX(Profils!$G$5:$G$34,$AE659)&gt;0,INDEX(Profils!$V$5:$V$34,$AE659)&lt;=$AH659),ROUND(INDEX(Profils!$G$5:$G$34,$AE659)*Paramètres!$E$23*$AG659*$AJ659,Paramètres!$F$23),0)</f>
        <v>0</v>
      </c>
      <c r="N659" s="19" t="n">
        <f aca="false" t="array" ref="N659:N659">IF(AND(INDEX(Profils!$H$5:$H$34,$AE659)&gt;0,INDEX(Profils!$W$5:$W$34,$AE659)&lt;=$AH659),ROUND(INDEX(Profils!$H$5:$H$34,$AE659)*Paramètres!$E$24*$AG659*$AJ659,Paramètres!$F$24),0)</f>
        <v>1</v>
      </c>
      <c r="O659" s="19" t="n">
        <f aca="false" t="array" ref="O659:O659">IF(AND(INDEX(Profils!$I$5:$I$34,$AE659)&gt;0,INDEX(Profils!$X$5:$X$34,$AE659)&lt;=$AH659),ROUND(INDEX(Profils!$I$5:$I$34,$AE659)*Paramètres!$E$25*$AG659*$AJ659,Paramètres!$F$25),0)</f>
        <v>0</v>
      </c>
      <c r="P659" s="19" t="n">
        <f aca="false" t="array" ref="P659:P659">IF(AND(INDEX(Profils!$J$5:$J$34,$AE659)&gt;0,INDEX(Profils!$Y$5:$Y$34,$AE659)&lt;=$AH659),ROUND(INDEX(Profils!$J$5:$J$34,$AE659)*Paramètres!$E$26*$AG659*$AJ659,Paramètres!$F$26),0)</f>
        <v>1</v>
      </c>
      <c r="Q659" s="19" t="n">
        <f aca="false" t="array" ref="Q659:Q659">IF(AND(INDEX(Profils!$K$5:$K$34,$AE659)&gt;0,INDEX(Profils!$Z$5:$Z$34,$AE659)&lt;=$AH659),ROUND(INDEX(Profils!$K$5:$K$34,$AE659)*Paramètres!$E$27*$AG659*$AJ659,Paramètres!$F$27),0)</f>
        <v>0</v>
      </c>
      <c r="R659" s="20" t="n">
        <f aca="false" t="array" ref="R659:R659">IF(AND(INDEX(Profils!$L$5:$L$34,$AE659)&gt;0,INDEX(Profils!$AA$5:$AA$34,$AE659)&lt;=$AH659),ROUND(INDEX(Profils!$L$5:$L$34,$AE659)*Paramètres!$E$28*$AG659*$AJ659,Paramètres!$F$28),0)</f>
        <v>0</v>
      </c>
      <c r="S659" s="20" t="n">
        <f aca="false" t="array" ref="S659:S659">IF(AND(INDEX(Profils!$M$5:$M$34,$AE659)&gt;0,INDEX(Profils!$AB$5:$AB$34,$AE659)&lt;=$AH659),ROUND(INDEX(Profils!$M$5:$M$34,$AE659)*Paramètres!$E$29*$AG659*$AJ659,Paramètres!$F$29),0)</f>
        <v>0</v>
      </c>
      <c r="T659" s="20" t="n">
        <f aca="false" t="array" ref="T659:T659">IF(AND(INDEX(Profils!$N$5:$N$34,$AE659)&gt;0,INDEX(Profils!$AC$5:$AC$34,$AE659)&lt;=$AH659),ROUND(INDEX(Profils!$N$5:$N$34,$AE659)*Paramètres!$E$30*$AG659*$AJ659,Paramètres!$F$30),0)</f>
        <v>0</v>
      </c>
      <c r="U659" s="19" t="n">
        <f aca="false" t="array" ref="U659:U659">IF(AND(INDEX(Profils!$O$5:$O$34,$AE659)&gt;0,INDEX(Profils!$AD$5:$AD$34,$AE659)&lt;=$AH659),ROUND(INDEX(Profils!$O$5:$O$34,$AE659)*Paramètres!$E$31*$AG659*$AJ659,Paramètres!$F$31),0)</f>
        <v>2</v>
      </c>
      <c r="V659" s="20" t="n">
        <f aca="false" t="array" ref="V659:V659">IF(AND(INDEX(Profils!$P$5:$P$34,$AE659)&gt;0,INDEX(Profils!$AE$5:$AE$34,$AE659)&lt;=$AH659),ROUND(INDEX(Profils!$P$5:$P$34,$AE659)*Paramètres!$E$32*$AG659*$AJ659,Paramètres!$F$32),0)</f>
        <v>0</v>
      </c>
      <c r="W659" s="20" t="n">
        <f aca="false" t="array" ref="W659:W659">IF(AND(INDEX(Profils!$Q$5:$Q$34,$AE659)&gt;0,INDEX(Profils!$AF$5:$AF$34,$AE659)&lt;=$AH659),ROUND(INDEX(Profils!$Q$5:$Q$34,$AE659)*Paramètres!$E$33*$AG659*$AJ659,Paramètres!$F$33),0)</f>
        <v>0</v>
      </c>
      <c r="X659" s="20" t="n">
        <f aca="false" t="array" ref="X659:X659">IF(AND(INDEX(Profils!$R$5:$R$34,$AE659)&gt;0,INDEX(Profils!$AG$5:$AG$34,$AE659)&lt;=$AH659),ROUND(INDEX(Profils!$R$5:$R$34,$AE659)*Paramètres!$E$34*$AG659*$AJ659,Paramètres!$F$34),0)</f>
        <v>0</v>
      </c>
      <c r="Y659" s="20" t="n">
        <f aca="false" t="array" ref="Y659:Y659">IF(AND(INDEX(Profils!$S$5:$S$34,$AE659)&gt;0,INDEX(Profils!$AH$5:$AH$34,$AE659)&lt;=$AH659),ROUND(INDEX(Profils!$S$5:$S$34,$AE659)*Paramètres!$E$35*$AG659*$AJ659,Paramètres!$F$35),0)</f>
        <v>0</v>
      </c>
      <c r="Z659" s="21" t="n">
        <f aca="false">ROUND(L659/Paramètres!$E$22+M659/Paramètres!$E$23+N659/Paramètres!$E$24+O659/Paramètres!$E$25+P659/Paramètres!$E$26+Q659/Paramètres!$E$27+R659/Paramètres!$E$28+S659/Paramètres!$E$29+T659/Paramètres!$E$30+U659/Paramètres!$E$31+V659/Paramètres!$E$32+W659/Paramètres!$E$33+X659/Paramètres!$E$34+Y659/Paramètres!$E$35,1)</f>
        <v>0.4</v>
      </c>
      <c r="AA659" s="22" t="s">
        <v>109</v>
      </c>
      <c r="AB659" s="22" t="s">
        <v>109</v>
      </c>
      <c r="AC659" s="15" t="str">
        <f aca="false">$E659</f>
        <v>toile</v>
      </c>
      <c r="AD659" s="16" t="n">
        <f aca="false" t="array" ref="AD659:AD659">IF($I659&gt;=$AI659,"Max",ROUND(Paramètres!$B$40*($I659+1)^Paramètres!$B$41*INDEX(Paramètres!$H$6:$H$12,$AF659),0))</f>
        <v>4</v>
      </c>
      <c r="AE659" s="23" t="n">
        <f aca="false">MATCH($B659&amp;"|"&amp;$C659,Profils!$A$5:$A$34,0)</f>
        <v>22</v>
      </c>
      <c r="AF659" s="23" t="n">
        <v>3</v>
      </c>
      <c r="AG659" s="24" t="n">
        <f aca="false" t="array" ref="AG659:AG659">INDEX(Paramètres!$C$6:$C$12,$AF659)</f>
        <v>1.45</v>
      </c>
      <c r="AH659" s="23" t="n">
        <f aca="false" t="array" ref="AH659:AH659">INDEX(Paramètres!$D$6:$D$12,$AF659)</f>
        <v>4</v>
      </c>
      <c r="AI659" s="23" t="n">
        <f aca="false" t="array" ref="AI659:AI659">INDEX(Matériaux!$C$16:$C$20,$D659)</f>
        <v>19</v>
      </c>
      <c r="AJ659" s="25" t="n">
        <f aca="false">Paramètres!$B$16+(1-Paramètres!$B$16)*(($J659-Paramètres!$B$14)/(Paramètres!$B$15-Paramètres!$B$14))^Paramètres!$B$17</f>
        <v>0.05</v>
      </c>
    </row>
    <row r="660" customFormat="false" ht="15.75" hidden="false" customHeight="true" outlineLevel="0" collapsed="false">
      <c r="A660" s="14" t="s">
        <v>776</v>
      </c>
      <c r="B660" s="15" t="s">
        <v>31</v>
      </c>
      <c r="C660" s="15" t="s">
        <v>90</v>
      </c>
      <c r="D660" s="16" t="n">
        <v>1</v>
      </c>
      <c r="E660" s="15" t="str">
        <f aca="false" t="array" ref="E660:E660">INDEX(Matériaux!$B$5:$F$12,MATCH(INDEX(Profils!$E$5:$E$34,$AE660),Matériaux!$A$5:$A$12,0),$D660)</f>
        <v>toile</v>
      </c>
      <c r="F660" s="28" t="s">
        <v>115</v>
      </c>
      <c r="G660" s="10" t="str">
        <f aca="false" t="array" ref="G660:G660">INDEX(Profils!$D$5:$D$34,$AE660)&amp;" en "&amp;$E660</f>
        <v>Veste en toile</v>
      </c>
      <c r="H660" s="16" t="n">
        <f aca="false" t="array" ref="H660:H660">INDEX(Matériaux!$B$16:$B$20,$D660)</f>
        <v>1</v>
      </c>
      <c r="I660" s="16" t="n">
        <f aca="false">IF(ISNUMBER($C$3),MIN(MAX(0,ROUND($C$3,0)),$AI660),$AI660)</f>
        <v>0</v>
      </c>
      <c r="J660" s="18" t="n">
        <f aca="false">$H660+$I660</f>
        <v>1</v>
      </c>
      <c r="K660" s="15" t="s">
        <v>109</v>
      </c>
      <c r="L660" s="19" t="n">
        <f aca="false" t="array" ref="L660:L660">IF(AND(INDEX(Profils!$F$5:$F$34,$AE660)&gt;0,INDEX(Profils!$U$5:$U$34,$AE660)&lt;=$AH660),ROUND(INDEX(Profils!$F$5:$F$34,$AE660)*Paramètres!$E$22*$AG660*$AJ660,Paramètres!$F$22),0)</f>
        <v>4</v>
      </c>
      <c r="M660" s="19" t="n">
        <f aca="false" t="array" ref="M660:M660">IF(AND(INDEX(Profils!$G$5:$G$34,$AE660)&gt;0,INDEX(Profils!$V$5:$V$34,$AE660)&lt;=$AH660),ROUND(INDEX(Profils!$G$5:$G$34,$AE660)*Paramètres!$E$23*$AG660*$AJ660,Paramètres!$F$23),0)</f>
        <v>0</v>
      </c>
      <c r="N660" s="19" t="n">
        <f aca="false" t="array" ref="N660:N660">IF(AND(INDEX(Profils!$H$5:$H$34,$AE660)&gt;0,INDEX(Profils!$W$5:$W$34,$AE660)&lt;=$AH660),ROUND(INDEX(Profils!$H$5:$H$34,$AE660)*Paramètres!$E$24*$AG660*$AJ660,Paramètres!$F$24),0)</f>
        <v>1</v>
      </c>
      <c r="O660" s="19" t="n">
        <f aca="false" t="array" ref="O660:O660">IF(AND(INDEX(Profils!$I$5:$I$34,$AE660)&gt;0,INDEX(Profils!$X$5:$X$34,$AE660)&lt;=$AH660),ROUND(INDEX(Profils!$I$5:$I$34,$AE660)*Paramètres!$E$25*$AG660*$AJ660,Paramètres!$F$25),0)</f>
        <v>0</v>
      </c>
      <c r="P660" s="19" t="n">
        <f aca="false" t="array" ref="P660:P660">IF(AND(INDEX(Profils!$J$5:$J$34,$AE660)&gt;0,INDEX(Profils!$Y$5:$Y$34,$AE660)&lt;=$AH660),ROUND(INDEX(Profils!$J$5:$J$34,$AE660)*Paramètres!$E$26*$AG660*$AJ660,Paramètres!$F$26),0)</f>
        <v>2</v>
      </c>
      <c r="Q660" s="19" t="n">
        <f aca="false" t="array" ref="Q660:Q660">IF(AND(INDEX(Profils!$K$5:$K$34,$AE660)&gt;0,INDEX(Profils!$Z$5:$Z$34,$AE660)&lt;=$AH660),ROUND(INDEX(Profils!$K$5:$K$34,$AE660)*Paramètres!$E$27*$AG660*$AJ660,Paramètres!$F$27),0)</f>
        <v>0</v>
      </c>
      <c r="R660" s="20" t="n">
        <f aca="false" t="array" ref="R660:R660">IF(AND(INDEX(Profils!$L$5:$L$34,$AE660)&gt;0,INDEX(Profils!$AA$5:$AA$34,$AE660)&lt;=$AH660),ROUND(INDEX(Profils!$L$5:$L$34,$AE660)*Paramètres!$E$28*$AG660*$AJ660,Paramètres!$F$28),0)</f>
        <v>0.001</v>
      </c>
      <c r="S660" s="20" t="n">
        <f aca="false" t="array" ref="S660:S660">IF(AND(INDEX(Profils!$M$5:$M$34,$AE660)&gt;0,INDEX(Profils!$AB$5:$AB$34,$AE660)&lt;=$AH660),ROUND(INDEX(Profils!$M$5:$M$34,$AE660)*Paramètres!$E$29*$AG660*$AJ660,Paramètres!$F$29),0)</f>
        <v>0</v>
      </c>
      <c r="T660" s="20" t="n">
        <f aca="false" t="array" ref="T660:T660">IF(AND(INDEX(Profils!$N$5:$N$34,$AE660)&gt;0,INDEX(Profils!$AC$5:$AC$34,$AE660)&lt;=$AH660),ROUND(INDEX(Profils!$N$5:$N$34,$AE660)*Paramètres!$E$30*$AG660*$AJ660,Paramètres!$F$30),0)</f>
        <v>0</v>
      </c>
      <c r="U660" s="19" t="n">
        <f aca="false" t="array" ref="U660:U660">IF(AND(INDEX(Profils!$O$5:$O$34,$AE660)&gt;0,INDEX(Profils!$AD$5:$AD$34,$AE660)&lt;=$AH660),ROUND(INDEX(Profils!$O$5:$O$34,$AE660)*Paramètres!$E$31*$AG660*$AJ660,Paramètres!$F$31),0)</f>
        <v>2</v>
      </c>
      <c r="V660" s="20" t="n">
        <f aca="false" t="array" ref="V660:V660">IF(AND(INDEX(Profils!$P$5:$P$34,$AE660)&gt;0,INDEX(Profils!$AE$5:$AE$34,$AE660)&lt;=$AH660),ROUND(INDEX(Profils!$P$5:$P$34,$AE660)*Paramètres!$E$32*$AG660*$AJ660,Paramètres!$F$32),0)</f>
        <v>0</v>
      </c>
      <c r="W660" s="20" t="n">
        <f aca="false" t="array" ref="W660:W660">IF(AND(INDEX(Profils!$Q$5:$Q$34,$AE660)&gt;0,INDEX(Profils!$AF$5:$AF$34,$AE660)&lt;=$AH660),ROUND(INDEX(Profils!$Q$5:$Q$34,$AE660)*Paramètres!$E$33*$AG660*$AJ660,Paramètres!$F$33),0)</f>
        <v>0</v>
      </c>
      <c r="X660" s="20" t="n">
        <f aca="false" t="array" ref="X660:X660">IF(AND(INDEX(Profils!$R$5:$R$34,$AE660)&gt;0,INDEX(Profils!$AG$5:$AG$34,$AE660)&lt;=$AH660),ROUND(INDEX(Profils!$R$5:$R$34,$AE660)*Paramètres!$E$34*$AG660*$AJ660,Paramètres!$F$34),0)</f>
        <v>0</v>
      </c>
      <c r="Y660" s="20" t="n">
        <f aca="false" t="array" ref="Y660:Y660">IF(AND(INDEX(Profils!$S$5:$S$34,$AE660)&gt;0,INDEX(Profils!$AH$5:$AH$34,$AE660)&lt;=$AH660),ROUND(INDEX(Profils!$S$5:$S$34,$AE660)*Paramètres!$E$35*$AG660*$AJ660,Paramètres!$F$35),0)</f>
        <v>0</v>
      </c>
      <c r="Z660" s="21" t="n">
        <f aca="false">ROUND(L660/Paramètres!$E$22+M660/Paramètres!$E$23+N660/Paramètres!$E$24+O660/Paramètres!$E$25+P660/Paramètres!$E$26+Q660/Paramètres!$E$27+R660/Paramètres!$E$28+S660/Paramètres!$E$29+T660/Paramètres!$E$30+U660/Paramètres!$E$31+V660/Paramètres!$E$32+W660/Paramètres!$E$33+X660/Paramètres!$E$34+Y660/Paramètres!$E$35,1)</f>
        <v>0.6</v>
      </c>
      <c r="AA660" s="22" t="s">
        <v>109</v>
      </c>
      <c r="AB660" s="22" t="s">
        <v>109</v>
      </c>
      <c r="AC660" s="15" t="str">
        <f aca="false">$E660</f>
        <v>toile</v>
      </c>
      <c r="AD660" s="16" t="n">
        <f aca="false" t="array" ref="AD660:AD660">IF($I660&gt;=$AI660,"Max",ROUND(Paramètres!$B$40*($I660+1)^Paramètres!$B$41*INDEX(Paramètres!$H$6:$H$12,$AF660),0))</f>
        <v>5</v>
      </c>
      <c r="AE660" s="23" t="n">
        <f aca="false">MATCH($B660&amp;"|"&amp;$C660,Profils!$A$5:$A$34,0)</f>
        <v>22</v>
      </c>
      <c r="AF660" s="23" t="n">
        <v>4</v>
      </c>
      <c r="AG660" s="24" t="n">
        <f aca="false" t="array" ref="AG660:AG660">INDEX(Paramètres!$C$6:$C$12,$AF660)</f>
        <v>1.75</v>
      </c>
      <c r="AH660" s="23" t="n">
        <f aca="false" t="array" ref="AH660:AH660">INDEX(Paramètres!$D$6:$D$12,$AF660)</f>
        <v>5</v>
      </c>
      <c r="AI660" s="23" t="n">
        <f aca="false" t="array" ref="AI660:AI660">INDEX(Matériaux!$C$16:$C$20,$D660)</f>
        <v>19</v>
      </c>
      <c r="AJ660" s="25" t="n">
        <f aca="false">Paramètres!$B$16+(1-Paramètres!$B$16)*(($J660-Paramètres!$B$14)/(Paramètres!$B$15-Paramètres!$B$14))^Paramètres!$B$17</f>
        <v>0.05</v>
      </c>
    </row>
    <row r="661" customFormat="false" ht="15.75" hidden="false" customHeight="true" outlineLevel="0" collapsed="false">
      <c r="A661" s="14" t="s">
        <v>777</v>
      </c>
      <c r="B661" s="15" t="s">
        <v>31</v>
      </c>
      <c r="C661" s="15" t="s">
        <v>90</v>
      </c>
      <c r="D661" s="16" t="n">
        <v>1</v>
      </c>
      <c r="E661" s="15" t="str">
        <f aca="false" t="array" ref="E661:E661">INDEX(Matériaux!$B$5:$F$12,MATCH(INDEX(Profils!$E$5:$E$34,$AE661),Matériaux!$A$5:$A$12,0),$D661)</f>
        <v>toile</v>
      </c>
      <c r="F661" s="29" t="s">
        <v>117</v>
      </c>
      <c r="G661" s="10" t="str">
        <f aca="false" t="array" ref="G661:G661">INDEX(Profils!$D$5:$D$34,$AE661)&amp;" en "&amp;$E661</f>
        <v>Veste en toile</v>
      </c>
      <c r="H661" s="16" t="n">
        <f aca="false" t="array" ref="H661:H661">INDEX(Matériaux!$B$16:$B$20,$D661)</f>
        <v>1</v>
      </c>
      <c r="I661" s="16" t="n">
        <f aca="false">IF(ISNUMBER($C$3),MIN(MAX(0,ROUND($C$3,0)),$AI661),$AI661)</f>
        <v>0</v>
      </c>
      <c r="J661" s="18" t="n">
        <f aca="false">$H661+$I661</f>
        <v>1</v>
      </c>
      <c r="K661" s="15" t="s">
        <v>109</v>
      </c>
      <c r="L661" s="19" t="n">
        <f aca="false" t="array" ref="L661:L661">IF(AND(INDEX(Profils!$F$5:$F$34,$AE661)&gt;0,INDEX(Profils!$U$5:$U$34,$AE661)&lt;=$AH661),ROUND(INDEX(Profils!$F$5:$F$34,$AE661)*Paramètres!$E$22*$AG661*$AJ661,Paramètres!$F$22),0)</f>
        <v>4</v>
      </c>
      <c r="M661" s="19" t="n">
        <f aca="false" t="array" ref="M661:M661">IF(AND(INDEX(Profils!$G$5:$G$34,$AE661)&gt;0,INDEX(Profils!$V$5:$V$34,$AE661)&lt;=$AH661),ROUND(INDEX(Profils!$G$5:$G$34,$AE661)*Paramètres!$E$23*$AG661*$AJ661,Paramètres!$F$23),0)</f>
        <v>1</v>
      </c>
      <c r="N661" s="19" t="n">
        <f aca="false" t="array" ref="N661:N661">IF(AND(INDEX(Profils!$H$5:$H$34,$AE661)&gt;0,INDEX(Profils!$W$5:$W$34,$AE661)&lt;=$AH661),ROUND(INDEX(Profils!$H$5:$H$34,$AE661)*Paramètres!$E$24*$AG661*$AJ661,Paramètres!$F$24),0)</f>
        <v>2</v>
      </c>
      <c r="O661" s="19" t="n">
        <f aca="false" t="array" ref="O661:O661">IF(AND(INDEX(Profils!$I$5:$I$34,$AE661)&gt;0,INDEX(Profils!$X$5:$X$34,$AE661)&lt;=$AH661),ROUND(INDEX(Profils!$I$5:$I$34,$AE661)*Paramètres!$E$25*$AG661*$AJ661,Paramètres!$F$25),0)</f>
        <v>0</v>
      </c>
      <c r="P661" s="19" t="n">
        <f aca="false" t="array" ref="P661:P661">IF(AND(INDEX(Profils!$J$5:$J$34,$AE661)&gt;0,INDEX(Profils!$Y$5:$Y$34,$AE661)&lt;=$AH661),ROUND(INDEX(Profils!$J$5:$J$34,$AE661)*Paramètres!$E$26*$AG661*$AJ661,Paramètres!$F$26),0)</f>
        <v>2</v>
      </c>
      <c r="Q661" s="19" t="n">
        <f aca="false" t="array" ref="Q661:Q661">IF(AND(INDEX(Profils!$K$5:$K$34,$AE661)&gt;0,INDEX(Profils!$Z$5:$Z$34,$AE661)&lt;=$AH661),ROUND(INDEX(Profils!$K$5:$K$34,$AE661)*Paramètres!$E$27*$AG661*$AJ661,Paramètres!$F$27),0)</f>
        <v>0</v>
      </c>
      <c r="R661" s="20" t="n">
        <f aca="false" t="array" ref="R661:R661">IF(AND(INDEX(Profils!$L$5:$L$34,$AE661)&gt;0,INDEX(Profils!$AA$5:$AA$34,$AE661)&lt;=$AH661),ROUND(INDEX(Profils!$L$5:$L$34,$AE661)*Paramètres!$E$28*$AG661*$AJ661,Paramètres!$F$28),0)</f>
        <v>0.001</v>
      </c>
      <c r="S661" s="20" t="n">
        <f aca="false" t="array" ref="S661:S661">IF(AND(INDEX(Profils!$M$5:$M$34,$AE661)&gt;0,INDEX(Profils!$AB$5:$AB$34,$AE661)&lt;=$AH661),ROUND(INDEX(Profils!$M$5:$M$34,$AE661)*Paramètres!$E$29*$AG661*$AJ661,Paramètres!$F$29),0)</f>
        <v>0</v>
      </c>
      <c r="T661" s="20" t="n">
        <f aca="false" t="array" ref="T661:T661">IF(AND(INDEX(Profils!$N$5:$N$34,$AE661)&gt;0,INDEX(Profils!$AC$5:$AC$34,$AE661)&lt;=$AH661),ROUND(INDEX(Profils!$N$5:$N$34,$AE661)*Paramètres!$E$30*$AG661*$AJ661,Paramètres!$F$30),0)</f>
        <v>0</v>
      </c>
      <c r="U661" s="19" t="n">
        <f aca="false" t="array" ref="U661:U661">IF(AND(INDEX(Profils!$O$5:$O$34,$AE661)&gt;0,INDEX(Profils!$AD$5:$AD$34,$AE661)&lt;=$AH661),ROUND(INDEX(Profils!$O$5:$O$34,$AE661)*Paramètres!$E$31*$AG661*$AJ661,Paramètres!$F$31),0)</f>
        <v>3</v>
      </c>
      <c r="V661" s="20" t="n">
        <f aca="false" t="array" ref="V661:V661">IF(AND(INDEX(Profils!$P$5:$P$34,$AE661)&gt;0,INDEX(Profils!$AE$5:$AE$34,$AE661)&lt;=$AH661),ROUND(INDEX(Profils!$P$5:$P$34,$AE661)*Paramètres!$E$32*$AG661*$AJ661,Paramètres!$F$32),0)</f>
        <v>0</v>
      </c>
      <c r="W661" s="20" t="n">
        <f aca="false" t="array" ref="W661:W661">IF(AND(INDEX(Profils!$Q$5:$Q$34,$AE661)&gt;0,INDEX(Profils!$AF$5:$AF$34,$AE661)&lt;=$AH661),ROUND(INDEX(Profils!$Q$5:$Q$34,$AE661)*Paramètres!$E$33*$AG661*$AJ661,Paramètres!$F$33),0)</f>
        <v>0</v>
      </c>
      <c r="X661" s="20" t="n">
        <f aca="false" t="array" ref="X661:X661">IF(AND(INDEX(Profils!$R$5:$R$34,$AE661)&gt;0,INDEX(Profils!$AG$5:$AG$34,$AE661)&lt;=$AH661),ROUND(INDEX(Profils!$R$5:$R$34,$AE661)*Paramètres!$E$34*$AG661*$AJ661,Paramètres!$F$34),0)</f>
        <v>0</v>
      </c>
      <c r="Y661" s="20" t="n">
        <f aca="false" t="array" ref="Y661:Y661">IF(AND(INDEX(Profils!$S$5:$S$34,$AE661)&gt;0,INDEX(Profils!$AH$5:$AH$34,$AE661)&lt;=$AH661),ROUND(INDEX(Profils!$S$5:$S$34,$AE661)*Paramètres!$E$35*$AG661*$AJ661,Paramètres!$F$35),0)</f>
        <v>0</v>
      </c>
      <c r="Z661" s="21" t="n">
        <f aca="false">ROUND(L661/Paramètres!$E$22+M661/Paramètres!$E$23+N661/Paramètres!$E$24+O661/Paramètres!$E$25+P661/Paramètres!$E$26+Q661/Paramètres!$E$27+R661/Paramètres!$E$28+S661/Paramètres!$E$29+T661/Paramètres!$E$30+U661/Paramètres!$E$31+V661/Paramètres!$E$32+W661/Paramètres!$E$33+X661/Paramètres!$E$34+Y661/Paramètres!$E$35,1)</f>
        <v>0.7</v>
      </c>
      <c r="AA661" s="22" t="s">
        <v>109</v>
      </c>
      <c r="AB661" s="22" t="s">
        <v>109</v>
      </c>
      <c r="AC661" s="15" t="str">
        <f aca="false">$E661</f>
        <v>toile</v>
      </c>
      <c r="AD661" s="16" t="n">
        <f aca="false" t="array" ref="AD661:AD661">IF($I661&gt;=$AI661,"Max",ROUND(Paramètres!$B$40*($I661+1)^Paramètres!$B$41*INDEX(Paramètres!$H$6:$H$12,$AF661),0))</f>
        <v>6</v>
      </c>
      <c r="AE661" s="23" t="n">
        <f aca="false">MATCH($B661&amp;"|"&amp;$C661,Profils!$A$5:$A$34,0)</f>
        <v>22</v>
      </c>
      <c r="AF661" s="23" t="n">
        <v>5</v>
      </c>
      <c r="AG661" s="24" t="n">
        <f aca="false" t="array" ref="AG661:AG661">INDEX(Paramètres!$C$6:$C$12,$AF661)</f>
        <v>2.1</v>
      </c>
      <c r="AH661" s="23" t="n">
        <f aca="false" t="array" ref="AH661:AH661">INDEX(Paramètres!$D$6:$D$12,$AF661)</f>
        <v>6</v>
      </c>
      <c r="AI661" s="23" t="n">
        <f aca="false" t="array" ref="AI661:AI661">INDEX(Matériaux!$C$16:$C$20,$D661)</f>
        <v>19</v>
      </c>
      <c r="AJ661" s="25" t="n">
        <f aca="false">Paramètres!$B$16+(1-Paramètres!$B$16)*(($J661-Paramètres!$B$14)/(Paramètres!$B$15-Paramètres!$B$14))^Paramètres!$B$17</f>
        <v>0.05</v>
      </c>
    </row>
    <row r="662" customFormat="false" ht="15.75" hidden="false" customHeight="true" outlineLevel="0" collapsed="false">
      <c r="A662" s="14" t="s">
        <v>778</v>
      </c>
      <c r="B662" s="15" t="s">
        <v>31</v>
      </c>
      <c r="C662" s="15" t="s">
        <v>90</v>
      </c>
      <c r="D662" s="16" t="n">
        <v>1</v>
      </c>
      <c r="E662" s="15" t="str">
        <f aca="false" t="array" ref="E662:E662">INDEX(Matériaux!$B$5:$F$12,MATCH(INDEX(Profils!$E$5:$E$34,$AE662),Matériaux!$A$5:$A$12,0),$D662)</f>
        <v>toile</v>
      </c>
      <c r="F662" s="30" t="s">
        <v>119</v>
      </c>
      <c r="G662" s="10" t="str">
        <f aca="false" t="array" ref="G662:G662">INDEX(Profils!$D$5:$D$34,$AE662)&amp;" en "&amp;$E662</f>
        <v>Veste en toile</v>
      </c>
      <c r="H662" s="16" t="n">
        <f aca="false" t="array" ref="H662:H662">INDEX(Matériaux!$B$16:$B$20,$D662)</f>
        <v>1</v>
      </c>
      <c r="I662" s="16" t="n">
        <f aca="false">IF(ISNUMBER($C$3),MIN(MAX(0,ROUND($C$3,0)),$AI662),$AI662)</f>
        <v>0</v>
      </c>
      <c r="J662" s="18" t="n">
        <f aca="false">$H662+$I662</f>
        <v>1</v>
      </c>
      <c r="K662" s="15" t="s">
        <v>109</v>
      </c>
      <c r="L662" s="19" t="n">
        <f aca="false" t="array" ref="L662:L662">IF(AND(INDEX(Profils!$F$5:$F$34,$AE662)&gt;0,INDEX(Profils!$U$5:$U$34,$AE662)&lt;=$AH662),ROUND(INDEX(Profils!$F$5:$F$34,$AE662)*Paramètres!$E$22*$AG662*$AJ662,Paramètres!$F$22),0)</f>
        <v>5</v>
      </c>
      <c r="M662" s="19" t="n">
        <f aca="false" t="array" ref="M662:M662">IF(AND(INDEX(Profils!$G$5:$G$34,$AE662)&gt;0,INDEX(Profils!$V$5:$V$34,$AE662)&lt;=$AH662),ROUND(INDEX(Profils!$G$5:$G$34,$AE662)*Paramètres!$E$23*$AG662*$AJ662,Paramètres!$F$23),0)</f>
        <v>1</v>
      </c>
      <c r="N662" s="19" t="n">
        <f aca="false" t="array" ref="N662:N662">IF(AND(INDEX(Profils!$H$5:$H$34,$AE662)&gt;0,INDEX(Profils!$W$5:$W$34,$AE662)&lt;=$AH662),ROUND(INDEX(Profils!$H$5:$H$34,$AE662)*Paramètres!$E$24*$AG662*$AJ662,Paramètres!$F$24),0)</f>
        <v>2</v>
      </c>
      <c r="O662" s="19" t="n">
        <f aca="false" t="array" ref="O662:O662">IF(AND(INDEX(Profils!$I$5:$I$34,$AE662)&gt;0,INDEX(Profils!$X$5:$X$34,$AE662)&lt;=$AH662),ROUND(INDEX(Profils!$I$5:$I$34,$AE662)*Paramètres!$E$25*$AG662*$AJ662,Paramètres!$F$25),0)</f>
        <v>0</v>
      </c>
      <c r="P662" s="19" t="n">
        <f aca="false" t="array" ref="P662:P662">IF(AND(INDEX(Profils!$J$5:$J$34,$AE662)&gt;0,INDEX(Profils!$Y$5:$Y$34,$AE662)&lt;=$AH662),ROUND(INDEX(Profils!$J$5:$J$34,$AE662)*Paramètres!$E$26*$AG662*$AJ662,Paramètres!$F$26),0)</f>
        <v>2</v>
      </c>
      <c r="Q662" s="19" t="n">
        <f aca="false" t="array" ref="Q662:Q662">IF(AND(INDEX(Profils!$K$5:$K$34,$AE662)&gt;0,INDEX(Profils!$Z$5:$Z$34,$AE662)&lt;=$AH662),ROUND(INDEX(Profils!$K$5:$K$34,$AE662)*Paramètres!$E$27*$AG662*$AJ662,Paramètres!$F$27),0)</f>
        <v>0</v>
      </c>
      <c r="R662" s="20" t="n">
        <f aca="false" t="array" ref="R662:R662">IF(AND(INDEX(Profils!$L$5:$L$34,$AE662)&gt;0,INDEX(Profils!$AA$5:$AA$34,$AE662)&lt;=$AH662),ROUND(INDEX(Profils!$L$5:$L$34,$AE662)*Paramètres!$E$28*$AG662*$AJ662,Paramètres!$F$28),0)</f>
        <v>0.001</v>
      </c>
      <c r="S662" s="20" t="n">
        <f aca="false" t="array" ref="S662:S662">IF(AND(INDEX(Profils!$M$5:$M$34,$AE662)&gt;0,INDEX(Profils!$AB$5:$AB$34,$AE662)&lt;=$AH662),ROUND(INDEX(Profils!$M$5:$M$34,$AE662)*Paramètres!$E$29*$AG662*$AJ662,Paramètres!$F$29),0)</f>
        <v>0</v>
      </c>
      <c r="T662" s="20" t="n">
        <f aca="false" t="array" ref="T662:T662">IF(AND(INDEX(Profils!$N$5:$N$34,$AE662)&gt;0,INDEX(Profils!$AC$5:$AC$34,$AE662)&lt;=$AH662),ROUND(INDEX(Profils!$N$5:$N$34,$AE662)*Paramètres!$E$30*$AG662*$AJ662,Paramètres!$F$30),0)</f>
        <v>0</v>
      </c>
      <c r="U662" s="19" t="n">
        <f aca="false" t="array" ref="U662:U662">IF(AND(INDEX(Profils!$O$5:$O$34,$AE662)&gt;0,INDEX(Profils!$AD$5:$AD$34,$AE662)&lt;=$AH662),ROUND(INDEX(Profils!$O$5:$O$34,$AE662)*Paramètres!$E$31*$AG662*$AJ662,Paramètres!$F$31),0)</f>
        <v>3</v>
      </c>
      <c r="V662" s="20" t="n">
        <f aca="false" t="array" ref="V662:V662">IF(AND(INDEX(Profils!$P$5:$P$34,$AE662)&gt;0,INDEX(Profils!$AE$5:$AE$34,$AE662)&lt;=$AH662),ROUND(INDEX(Profils!$P$5:$P$34,$AE662)*Paramètres!$E$32*$AG662*$AJ662,Paramètres!$F$32),0)</f>
        <v>0</v>
      </c>
      <c r="W662" s="20" t="n">
        <f aca="false" t="array" ref="W662:W662">IF(AND(INDEX(Profils!$Q$5:$Q$34,$AE662)&gt;0,INDEX(Profils!$AF$5:$AF$34,$AE662)&lt;=$AH662),ROUND(INDEX(Profils!$Q$5:$Q$34,$AE662)*Paramètres!$E$33*$AG662*$AJ662,Paramètres!$F$33),0)</f>
        <v>0.001</v>
      </c>
      <c r="X662" s="20" t="n">
        <f aca="false" t="array" ref="X662:X662">IF(AND(INDEX(Profils!$R$5:$R$34,$AE662)&gt;0,INDEX(Profils!$AG$5:$AG$34,$AE662)&lt;=$AH662),ROUND(INDEX(Profils!$R$5:$R$34,$AE662)*Paramètres!$E$34*$AG662*$AJ662,Paramètres!$F$34),0)</f>
        <v>0</v>
      </c>
      <c r="Y662" s="20" t="n">
        <f aca="false" t="array" ref="Y662:Y662">IF(AND(INDEX(Profils!$S$5:$S$34,$AE662)&gt;0,INDEX(Profils!$AH$5:$AH$34,$AE662)&lt;=$AH662),ROUND(INDEX(Profils!$S$5:$S$34,$AE662)*Paramètres!$E$35*$AG662*$AJ662,Paramètres!$F$35),0)</f>
        <v>0</v>
      </c>
      <c r="Z662" s="21" t="n">
        <f aca="false">ROUND(L662/Paramètres!$E$22+M662/Paramètres!$E$23+N662/Paramètres!$E$24+O662/Paramètres!$E$25+P662/Paramètres!$E$26+Q662/Paramètres!$E$27+R662/Paramètres!$E$28+S662/Paramètres!$E$29+T662/Paramètres!$E$30+U662/Paramètres!$E$31+V662/Paramètres!$E$32+W662/Paramètres!$E$33+X662/Paramètres!$E$34+Y662/Paramètres!$E$35,1)</f>
        <v>0.9</v>
      </c>
      <c r="AA662" s="22" t="s">
        <v>109</v>
      </c>
      <c r="AB662" s="22" t="s">
        <v>109</v>
      </c>
      <c r="AC662" s="15" t="str">
        <f aca="false">$E662</f>
        <v>toile</v>
      </c>
      <c r="AD662" s="16" t="n">
        <f aca="false" t="array" ref="AD662:AD662">IF($I662&gt;=$AI662,"Max",ROUND(Paramètres!$B$40*($I662+1)^Paramètres!$B$41*INDEX(Paramètres!$H$6:$H$12,$AF662),0))</f>
        <v>8</v>
      </c>
      <c r="AE662" s="23" t="n">
        <f aca="false">MATCH($B662&amp;"|"&amp;$C662,Profils!$A$5:$A$34,0)</f>
        <v>22</v>
      </c>
      <c r="AF662" s="23" t="n">
        <v>6</v>
      </c>
      <c r="AG662" s="24" t="n">
        <f aca="false" t="array" ref="AG662:AG662">INDEX(Paramètres!$C$6:$C$12,$AF662)</f>
        <v>2.4</v>
      </c>
      <c r="AH662" s="23" t="n">
        <f aca="false" t="array" ref="AH662:AH662">INDEX(Paramètres!$D$6:$D$12,$AF662)</f>
        <v>7</v>
      </c>
      <c r="AI662" s="23" t="n">
        <f aca="false" t="array" ref="AI662:AI662">INDEX(Matériaux!$C$16:$C$20,$D662)</f>
        <v>19</v>
      </c>
      <c r="AJ662" s="25" t="n">
        <f aca="false">Paramètres!$B$16+(1-Paramètres!$B$16)*(($J662-Paramètres!$B$14)/(Paramètres!$B$15-Paramètres!$B$14))^Paramètres!$B$17</f>
        <v>0.05</v>
      </c>
    </row>
    <row r="663" customFormat="false" ht="15.75" hidden="false" customHeight="true" outlineLevel="0" collapsed="false">
      <c r="A663" s="14" t="s">
        <v>779</v>
      </c>
      <c r="B663" s="15" t="s">
        <v>31</v>
      </c>
      <c r="C663" s="15" t="s">
        <v>90</v>
      </c>
      <c r="D663" s="16" t="n">
        <v>2</v>
      </c>
      <c r="E663" s="15" t="str">
        <f aca="false" t="array" ref="E663:E663">INDEX(Matériaux!$B$5:$F$12,MATCH(INDEX(Profils!$E$5:$E$34,$AE663),Matériaux!$A$5:$A$12,0),$D663)</f>
        <v>cuir</v>
      </c>
      <c r="F663" s="17" t="s">
        <v>108</v>
      </c>
      <c r="G663" s="10" t="str">
        <f aca="false" t="array" ref="G663:G663">INDEX(Profils!$D$5:$D$34,$AE663)&amp;" en "&amp;$E663</f>
        <v>Veste en cuir</v>
      </c>
      <c r="H663" s="16" t="n">
        <f aca="false" t="array" ref="H663:H663">INDEX(Matériaux!$B$16:$B$20,$D663)</f>
        <v>15</v>
      </c>
      <c r="I663" s="16" t="n">
        <f aca="false">IF(ISNUMBER($C$3),MIN(MAX(0,ROUND($C$3,0)),$AI663),$AI663)</f>
        <v>0</v>
      </c>
      <c r="J663" s="18" t="n">
        <f aca="false">$H663+$I663</f>
        <v>15</v>
      </c>
      <c r="K663" s="15" t="s">
        <v>109</v>
      </c>
      <c r="L663" s="19" t="n">
        <f aca="false" t="array" ref="L663:L663">IF(AND(INDEX(Profils!$F$5:$F$34,$AE663)&gt;0,INDEX(Profils!$U$5:$U$34,$AE663)&lt;=$AH663),ROUND(INDEX(Profils!$F$5:$F$34,$AE663)*Paramètres!$E$22*$AG663*$AJ663,Paramètres!$F$22),0)</f>
        <v>6</v>
      </c>
      <c r="M663" s="19" t="n">
        <f aca="false" t="array" ref="M663:M663">IF(AND(INDEX(Profils!$G$5:$G$34,$AE663)&gt;0,INDEX(Profils!$V$5:$V$34,$AE663)&lt;=$AH663),ROUND(INDEX(Profils!$G$5:$G$34,$AE663)*Paramètres!$E$23*$AG663*$AJ663,Paramètres!$F$23),0)</f>
        <v>0</v>
      </c>
      <c r="N663" s="19" t="n">
        <f aca="false" t="array" ref="N663:N663">IF(AND(INDEX(Profils!$H$5:$H$34,$AE663)&gt;0,INDEX(Profils!$W$5:$W$34,$AE663)&lt;=$AH663),ROUND(INDEX(Profils!$H$5:$H$34,$AE663)*Paramètres!$E$24*$AG663*$AJ663,Paramètres!$F$24),0)</f>
        <v>0</v>
      </c>
      <c r="O663" s="19" t="n">
        <f aca="false" t="array" ref="O663:O663">IF(AND(INDEX(Profils!$I$5:$I$34,$AE663)&gt;0,INDEX(Profils!$X$5:$X$34,$AE663)&lt;=$AH663),ROUND(INDEX(Profils!$I$5:$I$34,$AE663)*Paramètres!$E$25*$AG663*$AJ663,Paramètres!$F$25),0)</f>
        <v>0</v>
      </c>
      <c r="P663" s="19" t="n">
        <f aca="false" t="array" ref="P663:P663">IF(AND(INDEX(Profils!$J$5:$J$34,$AE663)&gt;0,INDEX(Profils!$Y$5:$Y$34,$AE663)&lt;=$AH663),ROUND(INDEX(Profils!$J$5:$J$34,$AE663)*Paramètres!$E$26*$AG663*$AJ663,Paramètres!$F$26),0)</f>
        <v>3</v>
      </c>
      <c r="Q663" s="19" t="n">
        <f aca="false" t="array" ref="Q663:Q663">IF(AND(INDEX(Profils!$K$5:$K$34,$AE663)&gt;0,INDEX(Profils!$Z$5:$Z$34,$AE663)&lt;=$AH663),ROUND(INDEX(Profils!$K$5:$K$34,$AE663)*Paramètres!$E$27*$AG663*$AJ663,Paramètres!$F$27),0)</f>
        <v>0</v>
      </c>
      <c r="R663" s="20" t="n">
        <f aca="false" t="array" ref="R663:R663">IF(AND(INDEX(Profils!$L$5:$L$34,$AE663)&gt;0,INDEX(Profils!$AA$5:$AA$34,$AE663)&lt;=$AH663),ROUND(INDEX(Profils!$L$5:$L$34,$AE663)*Paramètres!$E$28*$AG663*$AJ663,Paramètres!$F$28),0)</f>
        <v>0</v>
      </c>
      <c r="S663" s="20" t="n">
        <f aca="false" t="array" ref="S663:S663">IF(AND(INDEX(Profils!$M$5:$M$34,$AE663)&gt;0,INDEX(Profils!$AB$5:$AB$34,$AE663)&lt;=$AH663),ROUND(INDEX(Profils!$M$5:$M$34,$AE663)*Paramètres!$E$29*$AG663*$AJ663,Paramètres!$F$29),0)</f>
        <v>0</v>
      </c>
      <c r="T663" s="20" t="n">
        <f aca="false" t="array" ref="T663:T663">IF(AND(INDEX(Profils!$N$5:$N$34,$AE663)&gt;0,INDEX(Profils!$AC$5:$AC$34,$AE663)&lt;=$AH663),ROUND(INDEX(Profils!$N$5:$N$34,$AE663)*Paramètres!$E$30*$AG663*$AJ663,Paramètres!$F$30),0)</f>
        <v>0</v>
      </c>
      <c r="U663" s="19" t="n">
        <f aca="false" t="array" ref="U663:U663">IF(AND(INDEX(Profils!$O$5:$O$34,$AE663)&gt;0,INDEX(Profils!$AD$5:$AD$34,$AE663)&lt;=$AH663),ROUND(INDEX(Profils!$O$5:$O$34,$AE663)*Paramètres!$E$31*$AG663*$AJ663,Paramètres!$F$31),0)</f>
        <v>0</v>
      </c>
      <c r="V663" s="20" t="n">
        <f aca="false" t="array" ref="V663:V663">IF(AND(INDEX(Profils!$P$5:$P$34,$AE663)&gt;0,INDEX(Profils!$AE$5:$AE$34,$AE663)&lt;=$AH663),ROUND(INDEX(Profils!$P$5:$P$34,$AE663)*Paramètres!$E$32*$AG663*$AJ663,Paramètres!$F$32),0)</f>
        <v>0</v>
      </c>
      <c r="W663" s="20" t="n">
        <f aca="false" t="array" ref="W663:W663">IF(AND(INDEX(Profils!$Q$5:$Q$34,$AE663)&gt;0,INDEX(Profils!$AF$5:$AF$34,$AE663)&lt;=$AH663),ROUND(INDEX(Profils!$Q$5:$Q$34,$AE663)*Paramètres!$E$33*$AG663*$AJ663,Paramètres!$F$33),0)</f>
        <v>0</v>
      </c>
      <c r="X663" s="20" t="n">
        <f aca="false" t="array" ref="X663:X663">IF(AND(INDEX(Profils!$R$5:$R$34,$AE663)&gt;0,INDEX(Profils!$AG$5:$AG$34,$AE663)&lt;=$AH663),ROUND(INDEX(Profils!$R$5:$R$34,$AE663)*Paramètres!$E$34*$AG663*$AJ663,Paramètres!$F$34),0)</f>
        <v>0</v>
      </c>
      <c r="Y663" s="20" t="n">
        <f aca="false" t="array" ref="Y663:Y663">IF(AND(INDEX(Profils!$S$5:$S$34,$AE663)&gt;0,INDEX(Profils!$AH$5:$AH$34,$AE663)&lt;=$AH663),ROUND(INDEX(Profils!$S$5:$S$34,$AE663)*Paramètres!$E$35*$AG663*$AJ663,Paramètres!$F$35),0)</f>
        <v>0</v>
      </c>
      <c r="Z663" s="21" t="n">
        <f aca="false">ROUND(L663/Paramètres!$E$22+M663/Paramètres!$E$23+N663/Paramètres!$E$24+O663/Paramètres!$E$25+P663/Paramètres!$E$26+Q663/Paramètres!$E$27+R663/Paramètres!$E$28+S663/Paramètres!$E$29+T663/Paramètres!$E$30+U663/Paramètres!$E$31+V663/Paramètres!$E$32+W663/Paramètres!$E$33+X663/Paramètres!$E$34+Y663/Paramètres!$E$35,1)</f>
        <v>0.5</v>
      </c>
      <c r="AA663" s="22" t="s">
        <v>109</v>
      </c>
      <c r="AB663" s="22" t="s">
        <v>109</v>
      </c>
      <c r="AC663" s="15" t="str">
        <f aca="false">$E663</f>
        <v>cuir</v>
      </c>
      <c r="AD663" s="16" t="n">
        <f aca="false" t="array" ref="AD663:AD663">IF($I663&gt;=$AI663,"Max",ROUND(Paramètres!$B$40*($I663+1)^Paramètres!$B$41*INDEX(Paramètres!$H$6:$H$12,$AF663),0))</f>
        <v>3</v>
      </c>
      <c r="AE663" s="23" t="n">
        <f aca="false">MATCH($B663&amp;"|"&amp;$C663,Profils!$A$5:$A$34,0)</f>
        <v>22</v>
      </c>
      <c r="AF663" s="23" t="n">
        <v>1</v>
      </c>
      <c r="AG663" s="24" t="n">
        <f aca="false" t="array" ref="AG663:AG663">INDEX(Paramètres!$C$6:$C$12,$AF663)</f>
        <v>1</v>
      </c>
      <c r="AH663" s="23" t="n">
        <f aca="false" t="array" ref="AH663:AH663">INDEX(Paramètres!$D$6:$D$12,$AF663)</f>
        <v>2</v>
      </c>
      <c r="AI663" s="23" t="n">
        <f aca="false" t="array" ref="AI663:AI663">INDEX(Matériaux!$C$16:$C$20,$D663)</f>
        <v>20</v>
      </c>
      <c r="AJ663" s="25" t="n">
        <f aca="false">Paramètres!$B$16+(1-Paramètres!$B$16)*(($J663-Paramètres!$B$14)/(Paramètres!$B$15-Paramètres!$B$14))^Paramètres!$B$17</f>
        <v>0.140847925475674</v>
      </c>
    </row>
    <row r="664" customFormat="false" ht="15.75" hidden="false" customHeight="true" outlineLevel="0" collapsed="false">
      <c r="A664" s="14" t="s">
        <v>780</v>
      </c>
      <c r="B664" s="15" t="s">
        <v>31</v>
      </c>
      <c r="C664" s="15" t="s">
        <v>90</v>
      </c>
      <c r="D664" s="16" t="n">
        <v>2</v>
      </c>
      <c r="E664" s="15" t="str">
        <f aca="false" t="array" ref="E664:E664">INDEX(Matériaux!$B$5:$F$12,MATCH(INDEX(Profils!$E$5:$E$34,$AE664),Matériaux!$A$5:$A$12,0),$D664)</f>
        <v>cuir</v>
      </c>
      <c r="F664" s="26" t="s">
        <v>111</v>
      </c>
      <c r="G664" s="10" t="str">
        <f aca="false" t="array" ref="G664:G664">INDEX(Profils!$D$5:$D$34,$AE664)&amp;" en "&amp;$E664</f>
        <v>Veste en cuir</v>
      </c>
      <c r="H664" s="16" t="n">
        <f aca="false" t="array" ref="H664:H664">INDEX(Matériaux!$B$16:$B$20,$D664)</f>
        <v>15</v>
      </c>
      <c r="I664" s="16" t="n">
        <f aca="false">IF(ISNUMBER($C$3),MIN(MAX(0,ROUND($C$3,0)),$AI664),$AI664)</f>
        <v>0</v>
      </c>
      <c r="J664" s="18" t="n">
        <f aca="false">$H664+$I664</f>
        <v>15</v>
      </c>
      <c r="K664" s="15" t="s">
        <v>109</v>
      </c>
      <c r="L664" s="19" t="n">
        <f aca="false" t="array" ref="L664:L664">IF(AND(INDEX(Profils!$F$5:$F$34,$AE664)&gt;0,INDEX(Profils!$U$5:$U$34,$AE664)&lt;=$AH664),ROUND(INDEX(Profils!$F$5:$F$34,$AE664)*Paramètres!$E$22*$AG664*$AJ664,Paramètres!$F$22),0)</f>
        <v>7</v>
      </c>
      <c r="M664" s="19" t="n">
        <f aca="false" t="array" ref="M664:M664">IF(AND(INDEX(Profils!$G$5:$G$34,$AE664)&gt;0,INDEX(Profils!$V$5:$V$34,$AE664)&lt;=$AH664),ROUND(INDEX(Profils!$G$5:$G$34,$AE664)*Paramètres!$E$23*$AG664*$AJ664,Paramètres!$F$23),0)</f>
        <v>0</v>
      </c>
      <c r="N664" s="19" t="n">
        <f aca="false" t="array" ref="N664:N664">IF(AND(INDEX(Profils!$H$5:$H$34,$AE664)&gt;0,INDEX(Profils!$W$5:$W$34,$AE664)&lt;=$AH664),ROUND(INDEX(Profils!$H$5:$H$34,$AE664)*Paramètres!$E$24*$AG664*$AJ664,Paramètres!$F$24),0)</f>
        <v>0</v>
      </c>
      <c r="O664" s="19" t="n">
        <f aca="false" t="array" ref="O664:O664">IF(AND(INDEX(Profils!$I$5:$I$34,$AE664)&gt;0,INDEX(Profils!$X$5:$X$34,$AE664)&lt;=$AH664),ROUND(INDEX(Profils!$I$5:$I$34,$AE664)*Paramètres!$E$25*$AG664*$AJ664,Paramètres!$F$25),0)</f>
        <v>0</v>
      </c>
      <c r="P664" s="19" t="n">
        <f aca="false" t="array" ref="P664:P664">IF(AND(INDEX(Profils!$J$5:$J$34,$AE664)&gt;0,INDEX(Profils!$Y$5:$Y$34,$AE664)&lt;=$AH664),ROUND(INDEX(Profils!$J$5:$J$34,$AE664)*Paramètres!$E$26*$AG664*$AJ664,Paramètres!$F$26),0)</f>
        <v>3</v>
      </c>
      <c r="Q664" s="19" t="n">
        <f aca="false" t="array" ref="Q664:Q664">IF(AND(INDEX(Profils!$K$5:$K$34,$AE664)&gt;0,INDEX(Profils!$Z$5:$Z$34,$AE664)&lt;=$AH664),ROUND(INDEX(Profils!$K$5:$K$34,$AE664)*Paramètres!$E$27*$AG664*$AJ664,Paramètres!$F$27),0)</f>
        <v>0</v>
      </c>
      <c r="R664" s="20" t="n">
        <f aca="false" t="array" ref="R664:R664">IF(AND(INDEX(Profils!$L$5:$L$34,$AE664)&gt;0,INDEX(Profils!$AA$5:$AA$34,$AE664)&lt;=$AH664),ROUND(INDEX(Profils!$L$5:$L$34,$AE664)*Paramètres!$E$28*$AG664*$AJ664,Paramètres!$F$28),0)</f>
        <v>0</v>
      </c>
      <c r="S664" s="20" t="n">
        <f aca="false" t="array" ref="S664:S664">IF(AND(INDEX(Profils!$M$5:$M$34,$AE664)&gt;0,INDEX(Profils!$AB$5:$AB$34,$AE664)&lt;=$AH664),ROUND(INDEX(Profils!$M$5:$M$34,$AE664)*Paramètres!$E$29*$AG664*$AJ664,Paramètres!$F$29),0)</f>
        <v>0</v>
      </c>
      <c r="T664" s="20" t="n">
        <f aca="false" t="array" ref="T664:T664">IF(AND(INDEX(Profils!$N$5:$N$34,$AE664)&gt;0,INDEX(Profils!$AC$5:$AC$34,$AE664)&lt;=$AH664),ROUND(INDEX(Profils!$N$5:$N$34,$AE664)*Paramètres!$E$30*$AG664*$AJ664,Paramètres!$F$30),0)</f>
        <v>0</v>
      </c>
      <c r="U664" s="19" t="n">
        <f aca="false" t="array" ref="U664:U664">IF(AND(INDEX(Profils!$O$5:$O$34,$AE664)&gt;0,INDEX(Profils!$AD$5:$AD$34,$AE664)&lt;=$AH664),ROUND(INDEX(Profils!$O$5:$O$34,$AE664)*Paramètres!$E$31*$AG664*$AJ664,Paramètres!$F$31),0)</f>
        <v>5</v>
      </c>
      <c r="V664" s="20" t="n">
        <f aca="false" t="array" ref="V664:V664">IF(AND(INDEX(Profils!$P$5:$P$34,$AE664)&gt;0,INDEX(Profils!$AE$5:$AE$34,$AE664)&lt;=$AH664),ROUND(INDEX(Profils!$P$5:$P$34,$AE664)*Paramètres!$E$32*$AG664*$AJ664,Paramètres!$F$32),0)</f>
        <v>0</v>
      </c>
      <c r="W664" s="20" t="n">
        <f aca="false" t="array" ref="W664:W664">IF(AND(INDEX(Profils!$Q$5:$Q$34,$AE664)&gt;0,INDEX(Profils!$AF$5:$AF$34,$AE664)&lt;=$AH664),ROUND(INDEX(Profils!$Q$5:$Q$34,$AE664)*Paramètres!$E$33*$AG664*$AJ664,Paramètres!$F$33),0)</f>
        <v>0</v>
      </c>
      <c r="X664" s="20" t="n">
        <f aca="false" t="array" ref="X664:X664">IF(AND(INDEX(Profils!$R$5:$R$34,$AE664)&gt;0,INDEX(Profils!$AG$5:$AG$34,$AE664)&lt;=$AH664),ROUND(INDEX(Profils!$R$5:$R$34,$AE664)*Paramètres!$E$34*$AG664*$AJ664,Paramètres!$F$34),0)</f>
        <v>0</v>
      </c>
      <c r="Y664" s="20" t="n">
        <f aca="false" t="array" ref="Y664:Y664">IF(AND(INDEX(Profils!$S$5:$S$34,$AE664)&gt;0,INDEX(Profils!$AH$5:$AH$34,$AE664)&lt;=$AH664),ROUND(INDEX(Profils!$S$5:$S$34,$AE664)*Paramètres!$E$35*$AG664*$AJ664,Paramètres!$F$35),0)</f>
        <v>0</v>
      </c>
      <c r="Z664" s="21" t="n">
        <f aca="false">ROUND(L664/Paramètres!$E$22+M664/Paramètres!$E$23+N664/Paramètres!$E$24+O664/Paramètres!$E$25+P664/Paramètres!$E$26+Q664/Paramètres!$E$27+R664/Paramètres!$E$28+S664/Paramètres!$E$29+T664/Paramètres!$E$30+U664/Paramètres!$E$31+V664/Paramètres!$E$32+W664/Paramètres!$E$33+X664/Paramètres!$E$34+Y664/Paramètres!$E$35,1)</f>
        <v>0.8</v>
      </c>
      <c r="AA664" s="22" t="s">
        <v>109</v>
      </c>
      <c r="AB664" s="22" t="s">
        <v>109</v>
      </c>
      <c r="AC664" s="15" t="str">
        <f aca="false">$E664</f>
        <v>cuir</v>
      </c>
      <c r="AD664" s="16" t="n">
        <f aca="false" t="array" ref="AD664:AD664">IF($I664&gt;=$AI664,"Max",ROUND(Paramètres!$B$40*($I664+1)^Paramètres!$B$41*INDEX(Paramètres!$H$6:$H$12,$AF664),0))</f>
        <v>4</v>
      </c>
      <c r="AE664" s="23" t="n">
        <f aca="false">MATCH($B664&amp;"|"&amp;$C664,Profils!$A$5:$A$34,0)</f>
        <v>22</v>
      </c>
      <c r="AF664" s="23" t="n">
        <v>2</v>
      </c>
      <c r="AG664" s="24" t="n">
        <f aca="false" t="array" ref="AG664:AG664">INDEX(Paramètres!$C$6:$C$12,$AF664)</f>
        <v>1.2</v>
      </c>
      <c r="AH664" s="23" t="n">
        <f aca="false" t="array" ref="AH664:AH664">INDEX(Paramètres!$D$6:$D$12,$AF664)</f>
        <v>3</v>
      </c>
      <c r="AI664" s="23" t="n">
        <f aca="false" t="array" ref="AI664:AI664">INDEX(Matériaux!$C$16:$C$20,$D664)</f>
        <v>20</v>
      </c>
      <c r="AJ664" s="25" t="n">
        <f aca="false">Paramètres!$B$16+(1-Paramètres!$B$16)*(($J664-Paramètres!$B$14)/(Paramètres!$B$15-Paramètres!$B$14))^Paramètres!$B$17</f>
        <v>0.140847925475674</v>
      </c>
    </row>
    <row r="665" customFormat="false" ht="15.75" hidden="false" customHeight="true" outlineLevel="0" collapsed="false">
      <c r="A665" s="14" t="s">
        <v>781</v>
      </c>
      <c r="B665" s="15" t="s">
        <v>31</v>
      </c>
      <c r="C665" s="15" t="s">
        <v>90</v>
      </c>
      <c r="D665" s="16" t="n">
        <v>2</v>
      </c>
      <c r="E665" s="15" t="str">
        <f aca="false" t="array" ref="E665:E665">INDEX(Matériaux!$B$5:$F$12,MATCH(INDEX(Profils!$E$5:$E$34,$AE665),Matériaux!$A$5:$A$12,0),$D665)</f>
        <v>cuir</v>
      </c>
      <c r="F665" s="27" t="s">
        <v>113</v>
      </c>
      <c r="G665" s="10" t="str">
        <f aca="false" t="array" ref="G665:G665">INDEX(Profils!$D$5:$D$34,$AE665)&amp;" en "&amp;$E665</f>
        <v>Veste en cuir</v>
      </c>
      <c r="H665" s="16" t="n">
        <f aca="false" t="array" ref="H665:H665">INDEX(Matériaux!$B$16:$B$20,$D665)</f>
        <v>15</v>
      </c>
      <c r="I665" s="16" t="n">
        <f aca="false">IF(ISNUMBER($C$3),MIN(MAX(0,ROUND($C$3,0)),$AI665),$AI665)</f>
        <v>0</v>
      </c>
      <c r="J665" s="18" t="n">
        <f aca="false">$H665+$I665</f>
        <v>15</v>
      </c>
      <c r="K665" s="15" t="s">
        <v>109</v>
      </c>
      <c r="L665" s="19" t="n">
        <f aca="false" t="array" ref="L665:L665">IF(AND(INDEX(Profils!$F$5:$F$34,$AE665)&gt;0,INDEX(Profils!$U$5:$U$34,$AE665)&lt;=$AH665),ROUND(INDEX(Profils!$F$5:$F$34,$AE665)*Paramètres!$E$22*$AG665*$AJ665,Paramètres!$F$22),0)</f>
        <v>8</v>
      </c>
      <c r="M665" s="19" t="n">
        <f aca="false" t="array" ref="M665:M665">IF(AND(INDEX(Profils!$G$5:$G$34,$AE665)&gt;0,INDEX(Profils!$V$5:$V$34,$AE665)&lt;=$AH665),ROUND(INDEX(Profils!$G$5:$G$34,$AE665)*Paramètres!$E$23*$AG665*$AJ665,Paramètres!$F$23),0)</f>
        <v>0</v>
      </c>
      <c r="N665" s="19" t="n">
        <f aca="false" t="array" ref="N665:N665">IF(AND(INDEX(Profils!$H$5:$H$34,$AE665)&gt;0,INDEX(Profils!$W$5:$W$34,$AE665)&lt;=$AH665),ROUND(INDEX(Profils!$H$5:$H$34,$AE665)*Paramètres!$E$24*$AG665*$AJ665,Paramètres!$F$24),0)</f>
        <v>3</v>
      </c>
      <c r="O665" s="19" t="n">
        <f aca="false" t="array" ref="O665:O665">IF(AND(INDEX(Profils!$I$5:$I$34,$AE665)&gt;0,INDEX(Profils!$X$5:$X$34,$AE665)&lt;=$AH665),ROUND(INDEX(Profils!$I$5:$I$34,$AE665)*Paramètres!$E$25*$AG665*$AJ665,Paramètres!$F$25),0)</f>
        <v>0</v>
      </c>
      <c r="P665" s="19" t="n">
        <f aca="false" t="array" ref="P665:P665">IF(AND(INDEX(Profils!$J$5:$J$34,$AE665)&gt;0,INDEX(Profils!$Y$5:$Y$34,$AE665)&lt;=$AH665),ROUND(INDEX(Profils!$J$5:$J$34,$AE665)*Paramètres!$E$26*$AG665*$AJ665,Paramètres!$F$26),0)</f>
        <v>4</v>
      </c>
      <c r="Q665" s="19" t="n">
        <f aca="false" t="array" ref="Q665:Q665">IF(AND(INDEX(Profils!$K$5:$K$34,$AE665)&gt;0,INDEX(Profils!$Z$5:$Z$34,$AE665)&lt;=$AH665),ROUND(INDEX(Profils!$K$5:$K$34,$AE665)*Paramètres!$E$27*$AG665*$AJ665,Paramètres!$F$27),0)</f>
        <v>0</v>
      </c>
      <c r="R665" s="20" t="n">
        <f aca="false" t="array" ref="R665:R665">IF(AND(INDEX(Profils!$L$5:$L$34,$AE665)&gt;0,INDEX(Profils!$AA$5:$AA$34,$AE665)&lt;=$AH665),ROUND(INDEX(Profils!$L$5:$L$34,$AE665)*Paramètres!$E$28*$AG665*$AJ665,Paramètres!$F$28),0)</f>
        <v>0</v>
      </c>
      <c r="S665" s="20" t="n">
        <f aca="false" t="array" ref="S665:S665">IF(AND(INDEX(Profils!$M$5:$M$34,$AE665)&gt;0,INDEX(Profils!$AB$5:$AB$34,$AE665)&lt;=$AH665),ROUND(INDEX(Profils!$M$5:$M$34,$AE665)*Paramètres!$E$29*$AG665*$AJ665,Paramètres!$F$29),0)</f>
        <v>0</v>
      </c>
      <c r="T665" s="20" t="n">
        <f aca="false" t="array" ref="T665:T665">IF(AND(INDEX(Profils!$N$5:$N$34,$AE665)&gt;0,INDEX(Profils!$AC$5:$AC$34,$AE665)&lt;=$AH665),ROUND(INDEX(Profils!$N$5:$N$34,$AE665)*Paramètres!$E$30*$AG665*$AJ665,Paramètres!$F$30),0)</f>
        <v>0</v>
      </c>
      <c r="U665" s="19" t="n">
        <f aca="false" t="array" ref="U665:U665">IF(AND(INDEX(Profils!$O$5:$O$34,$AE665)&gt;0,INDEX(Profils!$AD$5:$AD$34,$AE665)&lt;=$AH665),ROUND(INDEX(Profils!$O$5:$O$34,$AE665)*Paramètres!$E$31*$AG665*$AJ665,Paramètres!$F$31),0)</f>
        <v>6</v>
      </c>
      <c r="V665" s="20" t="n">
        <f aca="false" t="array" ref="V665:V665">IF(AND(INDEX(Profils!$P$5:$P$34,$AE665)&gt;0,INDEX(Profils!$AE$5:$AE$34,$AE665)&lt;=$AH665),ROUND(INDEX(Profils!$P$5:$P$34,$AE665)*Paramètres!$E$32*$AG665*$AJ665,Paramètres!$F$32),0)</f>
        <v>0</v>
      </c>
      <c r="W665" s="20" t="n">
        <f aca="false" t="array" ref="W665:W665">IF(AND(INDEX(Profils!$Q$5:$Q$34,$AE665)&gt;0,INDEX(Profils!$AF$5:$AF$34,$AE665)&lt;=$AH665),ROUND(INDEX(Profils!$Q$5:$Q$34,$AE665)*Paramètres!$E$33*$AG665*$AJ665,Paramètres!$F$33),0)</f>
        <v>0</v>
      </c>
      <c r="X665" s="20" t="n">
        <f aca="false" t="array" ref="X665:X665">IF(AND(INDEX(Profils!$R$5:$R$34,$AE665)&gt;0,INDEX(Profils!$AG$5:$AG$34,$AE665)&lt;=$AH665),ROUND(INDEX(Profils!$R$5:$R$34,$AE665)*Paramètres!$E$34*$AG665*$AJ665,Paramètres!$F$34),0)</f>
        <v>0</v>
      </c>
      <c r="Y665" s="20" t="n">
        <f aca="false" t="array" ref="Y665:Y665">IF(AND(INDEX(Profils!$S$5:$S$34,$AE665)&gt;0,INDEX(Profils!$AH$5:$AH$34,$AE665)&lt;=$AH665),ROUND(INDEX(Profils!$S$5:$S$34,$AE665)*Paramètres!$E$35*$AG665*$AJ665,Paramètres!$F$35),0)</f>
        <v>0</v>
      </c>
      <c r="Z665" s="21" t="n">
        <f aca="false">ROUND(L665/Paramètres!$E$22+M665/Paramètres!$E$23+N665/Paramètres!$E$24+O665/Paramètres!$E$25+P665/Paramètres!$E$26+Q665/Paramètres!$E$27+R665/Paramètres!$E$28+S665/Paramètres!$E$29+T665/Paramètres!$E$30+U665/Paramètres!$E$31+V665/Paramètres!$E$32+W665/Paramètres!$E$33+X665/Paramètres!$E$34+Y665/Paramètres!$E$35,1)</f>
        <v>1.2</v>
      </c>
      <c r="AA665" s="22" t="s">
        <v>109</v>
      </c>
      <c r="AB665" s="22" t="s">
        <v>109</v>
      </c>
      <c r="AC665" s="15" t="str">
        <f aca="false">$E665</f>
        <v>cuir</v>
      </c>
      <c r="AD665" s="16" t="n">
        <f aca="false" t="array" ref="AD665:AD665">IF($I665&gt;=$AI665,"Max",ROUND(Paramètres!$B$40*($I665+1)^Paramètres!$B$41*INDEX(Paramètres!$H$6:$H$12,$AF665),0))</f>
        <v>4</v>
      </c>
      <c r="AE665" s="23" t="n">
        <f aca="false">MATCH($B665&amp;"|"&amp;$C665,Profils!$A$5:$A$34,0)</f>
        <v>22</v>
      </c>
      <c r="AF665" s="23" t="n">
        <v>3</v>
      </c>
      <c r="AG665" s="24" t="n">
        <f aca="false" t="array" ref="AG665:AG665">INDEX(Paramètres!$C$6:$C$12,$AF665)</f>
        <v>1.45</v>
      </c>
      <c r="AH665" s="23" t="n">
        <f aca="false" t="array" ref="AH665:AH665">INDEX(Paramètres!$D$6:$D$12,$AF665)</f>
        <v>4</v>
      </c>
      <c r="AI665" s="23" t="n">
        <f aca="false" t="array" ref="AI665:AI665">INDEX(Matériaux!$C$16:$C$20,$D665)</f>
        <v>20</v>
      </c>
      <c r="AJ665" s="25" t="n">
        <f aca="false">Paramètres!$B$16+(1-Paramètres!$B$16)*(($J665-Paramètres!$B$14)/(Paramètres!$B$15-Paramètres!$B$14))^Paramètres!$B$17</f>
        <v>0.140847925475674</v>
      </c>
    </row>
    <row r="666" customFormat="false" ht="15.75" hidden="false" customHeight="true" outlineLevel="0" collapsed="false">
      <c r="A666" s="14" t="s">
        <v>782</v>
      </c>
      <c r="B666" s="15" t="s">
        <v>31</v>
      </c>
      <c r="C666" s="15" t="s">
        <v>90</v>
      </c>
      <c r="D666" s="16" t="n">
        <v>2</v>
      </c>
      <c r="E666" s="15" t="str">
        <f aca="false" t="array" ref="E666:E666">INDEX(Matériaux!$B$5:$F$12,MATCH(INDEX(Profils!$E$5:$E$34,$AE666),Matériaux!$A$5:$A$12,0),$D666)</f>
        <v>cuir</v>
      </c>
      <c r="F666" s="28" t="s">
        <v>115</v>
      </c>
      <c r="G666" s="10" t="str">
        <f aca="false" t="array" ref="G666:G666">INDEX(Profils!$D$5:$D$34,$AE666)&amp;" en "&amp;$E666</f>
        <v>Veste en cuir</v>
      </c>
      <c r="H666" s="16" t="n">
        <f aca="false" t="array" ref="H666:H666">INDEX(Matériaux!$B$16:$B$20,$D666)</f>
        <v>15</v>
      </c>
      <c r="I666" s="16" t="n">
        <f aca="false">IF(ISNUMBER($C$3),MIN(MAX(0,ROUND($C$3,0)),$AI666),$AI666)</f>
        <v>0</v>
      </c>
      <c r="J666" s="18" t="n">
        <f aca="false">$H666+$I666</f>
        <v>15</v>
      </c>
      <c r="K666" s="15" t="s">
        <v>109</v>
      </c>
      <c r="L666" s="19" t="n">
        <f aca="false" t="array" ref="L666:L666">IF(AND(INDEX(Profils!$F$5:$F$34,$AE666)&gt;0,INDEX(Profils!$U$5:$U$34,$AE666)&lt;=$AH666),ROUND(INDEX(Profils!$F$5:$F$34,$AE666)*Paramètres!$E$22*$AG666*$AJ666,Paramètres!$F$22),0)</f>
        <v>10</v>
      </c>
      <c r="M666" s="19" t="n">
        <f aca="false" t="array" ref="M666:M666">IF(AND(INDEX(Profils!$G$5:$G$34,$AE666)&gt;0,INDEX(Profils!$V$5:$V$34,$AE666)&lt;=$AH666),ROUND(INDEX(Profils!$G$5:$G$34,$AE666)*Paramètres!$E$23*$AG666*$AJ666,Paramètres!$F$23),0)</f>
        <v>0</v>
      </c>
      <c r="N666" s="19" t="n">
        <f aca="false" t="array" ref="N666:N666">IF(AND(INDEX(Profils!$H$5:$H$34,$AE666)&gt;0,INDEX(Profils!$W$5:$W$34,$AE666)&lt;=$AH666),ROUND(INDEX(Profils!$H$5:$H$34,$AE666)*Paramètres!$E$24*$AG666*$AJ666,Paramètres!$F$24),0)</f>
        <v>4</v>
      </c>
      <c r="O666" s="19" t="n">
        <f aca="false" t="array" ref="O666:O666">IF(AND(INDEX(Profils!$I$5:$I$34,$AE666)&gt;0,INDEX(Profils!$X$5:$X$34,$AE666)&lt;=$AH666),ROUND(INDEX(Profils!$I$5:$I$34,$AE666)*Paramètres!$E$25*$AG666*$AJ666,Paramètres!$F$25),0)</f>
        <v>0</v>
      </c>
      <c r="P666" s="19" t="n">
        <f aca="false" t="array" ref="P666:P666">IF(AND(INDEX(Profils!$J$5:$J$34,$AE666)&gt;0,INDEX(Profils!$Y$5:$Y$34,$AE666)&lt;=$AH666),ROUND(INDEX(Profils!$J$5:$J$34,$AE666)*Paramètres!$E$26*$AG666*$AJ666,Paramètres!$F$26),0)</f>
        <v>5</v>
      </c>
      <c r="Q666" s="19" t="n">
        <f aca="false" t="array" ref="Q666:Q666">IF(AND(INDEX(Profils!$K$5:$K$34,$AE666)&gt;0,INDEX(Profils!$Z$5:$Z$34,$AE666)&lt;=$AH666),ROUND(INDEX(Profils!$K$5:$K$34,$AE666)*Paramètres!$E$27*$AG666*$AJ666,Paramètres!$F$27),0)</f>
        <v>0</v>
      </c>
      <c r="R666" s="20" t="n">
        <f aca="false" t="array" ref="R666:R666">IF(AND(INDEX(Profils!$L$5:$L$34,$AE666)&gt;0,INDEX(Profils!$AA$5:$AA$34,$AE666)&lt;=$AH666),ROUND(INDEX(Profils!$L$5:$L$34,$AE666)*Paramètres!$E$28*$AG666*$AJ666,Paramètres!$F$28),0)</f>
        <v>0.003</v>
      </c>
      <c r="S666" s="20" t="n">
        <f aca="false" t="array" ref="S666:S666">IF(AND(INDEX(Profils!$M$5:$M$34,$AE666)&gt;0,INDEX(Profils!$AB$5:$AB$34,$AE666)&lt;=$AH666),ROUND(INDEX(Profils!$M$5:$M$34,$AE666)*Paramètres!$E$29*$AG666*$AJ666,Paramètres!$F$29),0)</f>
        <v>0</v>
      </c>
      <c r="T666" s="20" t="n">
        <f aca="false" t="array" ref="T666:T666">IF(AND(INDEX(Profils!$N$5:$N$34,$AE666)&gt;0,INDEX(Profils!$AC$5:$AC$34,$AE666)&lt;=$AH666),ROUND(INDEX(Profils!$N$5:$N$34,$AE666)*Paramètres!$E$30*$AG666*$AJ666,Paramètres!$F$30),0)</f>
        <v>0</v>
      </c>
      <c r="U666" s="19" t="n">
        <f aca="false" t="array" ref="U666:U666">IF(AND(INDEX(Profils!$O$5:$O$34,$AE666)&gt;0,INDEX(Profils!$AD$5:$AD$34,$AE666)&lt;=$AH666),ROUND(INDEX(Profils!$O$5:$O$34,$AE666)*Paramètres!$E$31*$AG666*$AJ666,Paramètres!$F$31),0)</f>
        <v>7</v>
      </c>
      <c r="V666" s="20" t="n">
        <f aca="false" t="array" ref="V666:V666">IF(AND(INDEX(Profils!$P$5:$P$34,$AE666)&gt;0,INDEX(Profils!$AE$5:$AE$34,$AE666)&lt;=$AH666),ROUND(INDEX(Profils!$P$5:$P$34,$AE666)*Paramètres!$E$32*$AG666*$AJ666,Paramètres!$F$32),0)</f>
        <v>0</v>
      </c>
      <c r="W666" s="20" t="n">
        <f aca="false" t="array" ref="W666:W666">IF(AND(INDEX(Profils!$Q$5:$Q$34,$AE666)&gt;0,INDEX(Profils!$AF$5:$AF$34,$AE666)&lt;=$AH666),ROUND(INDEX(Profils!$Q$5:$Q$34,$AE666)*Paramètres!$E$33*$AG666*$AJ666,Paramètres!$F$33),0)</f>
        <v>0</v>
      </c>
      <c r="X666" s="20" t="n">
        <f aca="false" t="array" ref="X666:X666">IF(AND(INDEX(Profils!$R$5:$R$34,$AE666)&gt;0,INDEX(Profils!$AG$5:$AG$34,$AE666)&lt;=$AH666),ROUND(INDEX(Profils!$R$5:$R$34,$AE666)*Paramètres!$E$34*$AG666*$AJ666,Paramètres!$F$34),0)</f>
        <v>0</v>
      </c>
      <c r="Y666" s="20" t="n">
        <f aca="false" t="array" ref="Y666:Y666">IF(AND(INDEX(Profils!$S$5:$S$34,$AE666)&gt;0,INDEX(Profils!$AH$5:$AH$34,$AE666)&lt;=$AH666),ROUND(INDEX(Profils!$S$5:$S$34,$AE666)*Paramètres!$E$35*$AG666*$AJ666,Paramètres!$F$35),0)</f>
        <v>0</v>
      </c>
      <c r="Z666" s="21" t="n">
        <f aca="false">ROUND(L666/Paramètres!$E$22+M666/Paramètres!$E$23+N666/Paramètres!$E$24+O666/Paramètres!$E$25+P666/Paramètres!$E$26+Q666/Paramètres!$E$27+R666/Paramètres!$E$28+S666/Paramètres!$E$29+T666/Paramètres!$E$30+U666/Paramètres!$E$31+V666/Paramètres!$E$32+W666/Paramètres!$E$33+X666/Paramètres!$E$34+Y666/Paramètres!$E$35,1)</f>
        <v>1.6</v>
      </c>
      <c r="AA666" s="22" t="s">
        <v>109</v>
      </c>
      <c r="AB666" s="22" t="s">
        <v>109</v>
      </c>
      <c r="AC666" s="15" t="str">
        <f aca="false">$E666</f>
        <v>cuir</v>
      </c>
      <c r="AD666" s="16" t="n">
        <f aca="false" t="array" ref="AD666:AD666">IF($I666&gt;=$AI666,"Max",ROUND(Paramètres!$B$40*($I666+1)^Paramètres!$B$41*INDEX(Paramètres!$H$6:$H$12,$AF666),0))</f>
        <v>5</v>
      </c>
      <c r="AE666" s="23" t="n">
        <f aca="false">MATCH($B666&amp;"|"&amp;$C666,Profils!$A$5:$A$34,0)</f>
        <v>22</v>
      </c>
      <c r="AF666" s="23" t="n">
        <v>4</v>
      </c>
      <c r="AG666" s="24" t="n">
        <f aca="false" t="array" ref="AG666:AG666">INDEX(Paramètres!$C$6:$C$12,$AF666)</f>
        <v>1.75</v>
      </c>
      <c r="AH666" s="23" t="n">
        <f aca="false" t="array" ref="AH666:AH666">INDEX(Paramètres!$D$6:$D$12,$AF666)</f>
        <v>5</v>
      </c>
      <c r="AI666" s="23" t="n">
        <f aca="false" t="array" ref="AI666:AI666">INDEX(Matériaux!$C$16:$C$20,$D666)</f>
        <v>20</v>
      </c>
      <c r="AJ666" s="25" t="n">
        <f aca="false">Paramètres!$B$16+(1-Paramètres!$B$16)*(($J666-Paramètres!$B$14)/(Paramètres!$B$15-Paramètres!$B$14))^Paramètres!$B$17</f>
        <v>0.140847925475674</v>
      </c>
    </row>
    <row r="667" customFormat="false" ht="15.75" hidden="false" customHeight="true" outlineLevel="0" collapsed="false">
      <c r="A667" s="14" t="s">
        <v>783</v>
      </c>
      <c r="B667" s="15" t="s">
        <v>31</v>
      </c>
      <c r="C667" s="15" t="s">
        <v>90</v>
      </c>
      <c r="D667" s="16" t="n">
        <v>2</v>
      </c>
      <c r="E667" s="15" t="str">
        <f aca="false" t="array" ref="E667:E667">INDEX(Matériaux!$B$5:$F$12,MATCH(INDEX(Profils!$E$5:$E$34,$AE667),Matériaux!$A$5:$A$12,0),$D667)</f>
        <v>cuir</v>
      </c>
      <c r="F667" s="29" t="s">
        <v>117</v>
      </c>
      <c r="G667" s="10" t="str">
        <f aca="false" t="array" ref="G667:G667">INDEX(Profils!$D$5:$D$34,$AE667)&amp;" en "&amp;$E667</f>
        <v>Veste en cuir</v>
      </c>
      <c r="H667" s="16" t="n">
        <f aca="false" t="array" ref="H667:H667">INDEX(Matériaux!$B$16:$B$20,$D667)</f>
        <v>15</v>
      </c>
      <c r="I667" s="16" t="n">
        <f aca="false">IF(ISNUMBER($C$3),MIN(MAX(0,ROUND($C$3,0)),$AI667),$AI667)</f>
        <v>0</v>
      </c>
      <c r="J667" s="18" t="n">
        <f aca="false">$H667+$I667</f>
        <v>15</v>
      </c>
      <c r="K667" s="15" t="s">
        <v>109</v>
      </c>
      <c r="L667" s="19" t="n">
        <f aca="false" t="array" ref="L667:L667">IF(AND(INDEX(Profils!$F$5:$F$34,$AE667)&gt;0,INDEX(Profils!$U$5:$U$34,$AE667)&lt;=$AH667),ROUND(INDEX(Profils!$F$5:$F$34,$AE667)*Paramètres!$E$22*$AG667*$AJ667,Paramètres!$F$22),0)</f>
        <v>12</v>
      </c>
      <c r="M667" s="19" t="n">
        <f aca="false" t="array" ref="M667:M667">IF(AND(INDEX(Profils!$G$5:$G$34,$AE667)&gt;0,INDEX(Profils!$V$5:$V$34,$AE667)&lt;=$AH667),ROUND(INDEX(Profils!$G$5:$G$34,$AE667)*Paramètres!$E$23*$AG667*$AJ667,Paramètres!$F$23),0)</f>
        <v>3</v>
      </c>
      <c r="N667" s="19" t="n">
        <f aca="false" t="array" ref="N667:N667">IF(AND(INDEX(Profils!$H$5:$H$34,$AE667)&gt;0,INDEX(Profils!$W$5:$W$34,$AE667)&lt;=$AH667),ROUND(INDEX(Profils!$H$5:$H$34,$AE667)*Paramètres!$E$24*$AG667*$AJ667,Paramètres!$F$24),0)</f>
        <v>4</v>
      </c>
      <c r="O667" s="19" t="n">
        <f aca="false" t="array" ref="O667:O667">IF(AND(INDEX(Profils!$I$5:$I$34,$AE667)&gt;0,INDEX(Profils!$X$5:$X$34,$AE667)&lt;=$AH667),ROUND(INDEX(Profils!$I$5:$I$34,$AE667)*Paramètres!$E$25*$AG667*$AJ667,Paramètres!$F$25),0)</f>
        <v>0</v>
      </c>
      <c r="P667" s="19" t="n">
        <f aca="false" t="array" ref="P667:P667">IF(AND(INDEX(Profils!$J$5:$J$34,$AE667)&gt;0,INDEX(Profils!$Y$5:$Y$34,$AE667)&lt;=$AH667),ROUND(INDEX(Profils!$J$5:$J$34,$AE667)*Paramètres!$E$26*$AG667*$AJ667,Paramètres!$F$26),0)</f>
        <v>6</v>
      </c>
      <c r="Q667" s="19" t="n">
        <f aca="false" t="array" ref="Q667:Q667">IF(AND(INDEX(Profils!$K$5:$K$34,$AE667)&gt;0,INDEX(Profils!$Z$5:$Z$34,$AE667)&lt;=$AH667),ROUND(INDEX(Profils!$K$5:$K$34,$AE667)*Paramètres!$E$27*$AG667*$AJ667,Paramètres!$F$27),0)</f>
        <v>0</v>
      </c>
      <c r="R667" s="20" t="n">
        <f aca="false" t="array" ref="R667:R667">IF(AND(INDEX(Profils!$L$5:$L$34,$AE667)&gt;0,INDEX(Profils!$AA$5:$AA$34,$AE667)&lt;=$AH667),ROUND(INDEX(Profils!$L$5:$L$34,$AE667)*Paramètres!$E$28*$AG667*$AJ667,Paramètres!$F$28),0)</f>
        <v>0.004</v>
      </c>
      <c r="S667" s="20" t="n">
        <f aca="false" t="array" ref="S667:S667">IF(AND(INDEX(Profils!$M$5:$M$34,$AE667)&gt;0,INDEX(Profils!$AB$5:$AB$34,$AE667)&lt;=$AH667),ROUND(INDEX(Profils!$M$5:$M$34,$AE667)*Paramètres!$E$29*$AG667*$AJ667,Paramètres!$F$29),0)</f>
        <v>0</v>
      </c>
      <c r="T667" s="20" t="n">
        <f aca="false" t="array" ref="T667:T667">IF(AND(INDEX(Profils!$N$5:$N$34,$AE667)&gt;0,INDEX(Profils!$AC$5:$AC$34,$AE667)&lt;=$AH667),ROUND(INDEX(Profils!$N$5:$N$34,$AE667)*Paramètres!$E$30*$AG667*$AJ667,Paramètres!$F$30),0)</f>
        <v>0</v>
      </c>
      <c r="U667" s="19" t="n">
        <f aca="false" t="array" ref="U667:U667">IF(AND(INDEX(Profils!$O$5:$O$34,$AE667)&gt;0,INDEX(Profils!$AD$5:$AD$34,$AE667)&lt;=$AH667),ROUND(INDEX(Profils!$O$5:$O$34,$AE667)*Paramètres!$E$31*$AG667*$AJ667,Paramètres!$F$31),0)</f>
        <v>8</v>
      </c>
      <c r="V667" s="20" t="n">
        <f aca="false" t="array" ref="V667:V667">IF(AND(INDEX(Profils!$P$5:$P$34,$AE667)&gt;0,INDEX(Profils!$AE$5:$AE$34,$AE667)&lt;=$AH667),ROUND(INDEX(Profils!$P$5:$P$34,$AE667)*Paramètres!$E$32*$AG667*$AJ667,Paramètres!$F$32),0)</f>
        <v>0</v>
      </c>
      <c r="W667" s="20" t="n">
        <f aca="false" t="array" ref="W667:W667">IF(AND(INDEX(Profils!$Q$5:$Q$34,$AE667)&gt;0,INDEX(Profils!$AF$5:$AF$34,$AE667)&lt;=$AH667),ROUND(INDEX(Profils!$Q$5:$Q$34,$AE667)*Paramètres!$E$33*$AG667*$AJ667,Paramètres!$F$33),0)</f>
        <v>0</v>
      </c>
      <c r="X667" s="20" t="n">
        <f aca="false" t="array" ref="X667:X667">IF(AND(INDEX(Profils!$R$5:$R$34,$AE667)&gt;0,INDEX(Profils!$AG$5:$AG$34,$AE667)&lt;=$AH667),ROUND(INDEX(Profils!$R$5:$R$34,$AE667)*Paramètres!$E$34*$AG667*$AJ667,Paramètres!$F$34),0)</f>
        <v>0</v>
      </c>
      <c r="Y667" s="20" t="n">
        <f aca="false" t="array" ref="Y667:Y667">IF(AND(INDEX(Profils!$S$5:$S$34,$AE667)&gt;0,INDEX(Profils!$AH$5:$AH$34,$AE667)&lt;=$AH667),ROUND(INDEX(Profils!$S$5:$S$34,$AE667)*Paramètres!$E$35*$AG667*$AJ667,Paramètres!$F$35),0)</f>
        <v>0</v>
      </c>
      <c r="Z667" s="21" t="n">
        <f aca="false">ROUND(L667/Paramètres!$E$22+M667/Paramètres!$E$23+N667/Paramètres!$E$24+O667/Paramètres!$E$25+P667/Paramètres!$E$26+Q667/Paramètres!$E$27+R667/Paramètres!$E$28+S667/Paramètres!$E$29+T667/Paramètres!$E$30+U667/Paramètres!$E$31+V667/Paramètres!$E$32+W667/Paramètres!$E$33+X667/Paramètres!$E$34+Y667/Paramètres!$E$35,1)</f>
        <v>2.1</v>
      </c>
      <c r="AA667" s="22" t="s">
        <v>109</v>
      </c>
      <c r="AB667" s="22" t="s">
        <v>109</v>
      </c>
      <c r="AC667" s="15" t="str">
        <f aca="false">$E667</f>
        <v>cuir</v>
      </c>
      <c r="AD667" s="16" t="n">
        <f aca="false" t="array" ref="AD667:AD667">IF($I667&gt;=$AI667,"Max",ROUND(Paramètres!$B$40*($I667+1)^Paramètres!$B$41*INDEX(Paramètres!$H$6:$H$12,$AF667),0))</f>
        <v>6</v>
      </c>
      <c r="AE667" s="23" t="n">
        <f aca="false">MATCH($B667&amp;"|"&amp;$C667,Profils!$A$5:$A$34,0)</f>
        <v>22</v>
      </c>
      <c r="AF667" s="23" t="n">
        <v>5</v>
      </c>
      <c r="AG667" s="24" t="n">
        <f aca="false" t="array" ref="AG667:AG667">INDEX(Paramètres!$C$6:$C$12,$AF667)</f>
        <v>2.1</v>
      </c>
      <c r="AH667" s="23" t="n">
        <f aca="false" t="array" ref="AH667:AH667">INDEX(Paramètres!$D$6:$D$12,$AF667)</f>
        <v>6</v>
      </c>
      <c r="AI667" s="23" t="n">
        <f aca="false" t="array" ref="AI667:AI667">INDEX(Matériaux!$C$16:$C$20,$D667)</f>
        <v>20</v>
      </c>
      <c r="AJ667" s="25" t="n">
        <f aca="false">Paramètres!$B$16+(1-Paramètres!$B$16)*(($J667-Paramètres!$B$14)/(Paramètres!$B$15-Paramètres!$B$14))^Paramètres!$B$17</f>
        <v>0.140847925475674</v>
      </c>
    </row>
    <row r="668" customFormat="false" ht="15.75" hidden="false" customHeight="true" outlineLevel="0" collapsed="false">
      <c r="A668" s="14" t="s">
        <v>784</v>
      </c>
      <c r="B668" s="15" t="s">
        <v>31</v>
      </c>
      <c r="C668" s="15" t="s">
        <v>90</v>
      </c>
      <c r="D668" s="16" t="n">
        <v>2</v>
      </c>
      <c r="E668" s="15" t="str">
        <f aca="false" t="array" ref="E668:E668">INDEX(Matériaux!$B$5:$F$12,MATCH(INDEX(Profils!$E$5:$E$34,$AE668),Matériaux!$A$5:$A$12,0),$D668)</f>
        <v>cuir</v>
      </c>
      <c r="F668" s="30" t="s">
        <v>119</v>
      </c>
      <c r="G668" s="10" t="str">
        <f aca="false" t="array" ref="G668:G668">INDEX(Profils!$D$5:$D$34,$AE668)&amp;" en "&amp;$E668</f>
        <v>Veste en cuir</v>
      </c>
      <c r="H668" s="16" t="n">
        <f aca="false" t="array" ref="H668:H668">INDEX(Matériaux!$B$16:$B$20,$D668)</f>
        <v>15</v>
      </c>
      <c r="I668" s="16" t="n">
        <f aca="false">IF(ISNUMBER($C$3),MIN(MAX(0,ROUND($C$3,0)),$AI668),$AI668)</f>
        <v>0</v>
      </c>
      <c r="J668" s="18" t="n">
        <f aca="false">$H668+$I668</f>
        <v>15</v>
      </c>
      <c r="K668" s="15" t="s">
        <v>109</v>
      </c>
      <c r="L668" s="19" t="n">
        <f aca="false" t="array" ref="L668:L668">IF(AND(INDEX(Profils!$F$5:$F$34,$AE668)&gt;0,INDEX(Profils!$U$5:$U$34,$AE668)&lt;=$AH668),ROUND(INDEX(Profils!$F$5:$F$34,$AE668)*Paramètres!$E$22*$AG668*$AJ668,Paramètres!$F$22),0)</f>
        <v>14</v>
      </c>
      <c r="M668" s="19" t="n">
        <f aca="false" t="array" ref="M668:M668">IF(AND(INDEX(Profils!$G$5:$G$34,$AE668)&gt;0,INDEX(Profils!$V$5:$V$34,$AE668)&lt;=$AH668),ROUND(INDEX(Profils!$G$5:$G$34,$AE668)*Paramètres!$E$23*$AG668*$AJ668,Paramètres!$F$23),0)</f>
        <v>3</v>
      </c>
      <c r="N668" s="19" t="n">
        <f aca="false" t="array" ref="N668:N668">IF(AND(INDEX(Profils!$H$5:$H$34,$AE668)&gt;0,INDEX(Profils!$W$5:$W$34,$AE668)&lt;=$AH668),ROUND(INDEX(Profils!$H$5:$H$34,$AE668)*Paramètres!$E$24*$AG668*$AJ668,Paramètres!$F$24),0)</f>
        <v>5</v>
      </c>
      <c r="O668" s="19" t="n">
        <f aca="false" t="array" ref="O668:O668">IF(AND(INDEX(Profils!$I$5:$I$34,$AE668)&gt;0,INDEX(Profils!$X$5:$X$34,$AE668)&lt;=$AH668),ROUND(INDEX(Profils!$I$5:$I$34,$AE668)*Paramètres!$E$25*$AG668*$AJ668,Paramètres!$F$25),0)</f>
        <v>0</v>
      </c>
      <c r="P668" s="19" t="n">
        <f aca="false" t="array" ref="P668:P668">IF(AND(INDEX(Profils!$J$5:$J$34,$AE668)&gt;0,INDEX(Profils!$Y$5:$Y$34,$AE668)&lt;=$AH668),ROUND(INDEX(Profils!$J$5:$J$34,$AE668)*Paramètres!$E$26*$AG668*$AJ668,Paramètres!$F$26),0)</f>
        <v>6</v>
      </c>
      <c r="Q668" s="19" t="n">
        <f aca="false" t="array" ref="Q668:Q668">IF(AND(INDEX(Profils!$K$5:$K$34,$AE668)&gt;0,INDEX(Profils!$Z$5:$Z$34,$AE668)&lt;=$AH668),ROUND(INDEX(Profils!$K$5:$K$34,$AE668)*Paramètres!$E$27*$AG668*$AJ668,Paramètres!$F$27),0)</f>
        <v>0</v>
      </c>
      <c r="R668" s="20" t="n">
        <f aca="false" t="array" ref="R668:R668">IF(AND(INDEX(Profils!$L$5:$L$34,$AE668)&gt;0,INDEX(Profils!$AA$5:$AA$34,$AE668)&lt;=$AH668),ROUND(INDEX(Profils!$L$5:$L$34,$AE668)*Paramètres!$E$28*$AG668*$AJ668,Paramètres!$F$28),0)</f>
        <v>0.004</v>
      </c>
      <c r="S668" s="20" t="n">
        <f aca="false" t="array" ref="S668:S668">IF(AND(INDEX(Profils!$M$5:$M$34,$AE668)&gt;0,INDEX(Profils!$AB$5:$AB$34,$AE668)&lt;=$AH668),ROUND(INDEX(Profils!$M$5:$M$34,$AE668)*Paramètres!$E$29*$AG668*$AJ668,Paramètres!$F$29),0)</f>
        <v>0</v>
      </c>
      <c r="T668" s="20" t="n">
        <f aca="false" t="array" ref="T668:T668">IF(AND(INDEX(Profils!$N$5:$N$34,$AE668)&gt;0,INDEX(Profils!$AC$5:$AC$34,$AE668)&lt;=$AH668),ROUND(INDEX(Profils!$N$5:$N$34,$AE668)*Paramètres!$E$30*$AG668*$AJ668,Paramètres!$F$30),0)</f>
        <v>0</v>
      </c>
      <c r="U668" s="19" t="n">
        <f aca="false" t="array" ref="U668:U668">IF(AND(INDEX(Profils!$O$5:$O$34,$AE668)&gt;0,INDEX(Profils!$AD$5:$AD$34,$AE668)&lt;=$AH668),ROUND(INDEX(Profils!$O$5:$O$34,$AE668)*Paramètres!$E$31*$AG668*$AJ668,Paramètres!$F$31),0)</f>
        <v>9</v>
      </c>
      <c r="V668" s="20" t="n">
        <f aca="false" t="array" ref="V668:V668">IF(AND(INDEX(Profils!$P$5:$P$34,$AE668)&gt;0,INDEX(Profils!$AE$5:$AE$34,$AE668)&lt;=$AH668),ROUND(INDEX(Profils!$P$5:$P$34,$AE668)*Paramètres!$E$32*$AG668*$AJ668,Paramètres!$F$32),0)</f>
        <v>0</v>
      </c>
      <c r="W668" s="20" t="n">
        <f aca="false" t="array" ref="W668:W668">IF(AND(INDEX(Profils!$Q$5:$Q$34,$AE668)&gt;0,INDEX(Profils!$AF$5:$AF$34,$AE668)&lt;=$AH668),ROUND(INDEX(Profils!$Q$5:$Q$34,$AE668)*Paramètres!$E$33*$AG668*$AJ668,Paramètres!$F$33),0)</f>
        <v>0.003</v>
      </c>
      <c r="X668" s="20" t="n">
        <f aca="false" t="array" ref="X668:X668">IF(AND(INDEX(Profils!$R$5:$R$34,$AE668)&gt;0,INDEX(Profils!$AG$5:$AG$34,$AE668)&lt;=$AH668),ROUND(INDEX(Profils!$R$5:$R$34,$AE668)*Paramètres!$E$34*$AG668*$AJ668,Paramètres!$F$34),0)</f>
        <v>0</v>
      </c>
      <c r="Y668" s="20" t="n">
        <f aca="false" t="array" ref="Y668:Y668">IF(AND(INDEX(Profils!$S$5:$S$34,$AE668)&gt;0,INDEX(Profils!$AH$5:$AH$34,$AE668)&lt;=$AH668),ROUND(INDEX(Profils!$S$5:$S$34,$AE668)*Paramètres!$E$35*$AG668*$AJ668,Paramètres!$F$35),0)</f>
        <v>0</v>
      </c>
      <c r="Z668" s="21" t="n">
        <f aca="false">ROUND(L668/Paramètres!$E$22+M668/Paramètres!$E$23+N668/Paramètres!$E$24+O668/Paramètres!$E$25+P668/Paramètres!$E$26+Q668/Paramètres!$E$27+R668/Paramètres!$E$28+S668/Paramètres!$E$29+T668/Paramètres!$E$30+U668/Paramètres!$E$31+V668/Paramètres!$E$32+W668/Paramètres!$E$33+X668/Paramètres!$E$34+Y668/Paramètres!$E$35,1)</f>
        <v>2.5</v>
      </c>
      <c r="AA668" s="22" t="s">
        <v>109</v>
      </c>
      <c r="AB668" s="22" t="s">
        <v>109</v>
      </c>
      <c r="AC668" s="15" t="str">
        <f aca="false">$E668</f>
        <v>cuir</v>
      </c>
      <c r="AD668" s="16" t="n">
        <f aca="false" t="array" ref="AD668:AD668">IF($I668&gt;=$AI668,"Max",ROUND(Paramètres!$B$40*($I668+1)^Paramètres!$B$41*INDEX(Paramètres!$H$6:$H$12,$AF668),0))</f>
        <v>8</v>
      </c>
      <c r="AE668" s="23" t="n">
        <f aca="false">MATCH($B668&amp;"|"&amp;$C668,Profils!$A$5:$A$34,0)</f>
        <v>22</v>
      </c>
      <c r="AF668" s="23" t="n">
        <v>6</v>
      </c>
      <c r="AG668" s="24" t="n">
        <f aca="false" t="array" ref="AG668:AG668">INDEX(Paramètres!$C$6:$C$12,$AF668)</f>
        <v>2.4</v>
      </c>
      <c r="AH668" s="23" t="n">
        <f aca="false" t="array" ref="AH668:AH668">INDEX(Paramètres!$D$6:$D$12,$AF668)</f>
        <v>7</v>
      </c>
      <c r="AI668" s="23" t="n">
        <f aca="false" t="array" ref="AI668:AI668">INDEX(Matériaux!$C$16:$C$20,$D668)</f>
        <v>20</v>
      </c>
      <c r="AJ668" s="25" t="n">
        <f aca="false">Paramètres!$B$16+(1-Paramètres!$B$16)*(($J668-Paramètres!$B$14)/(Paramètres!$B$15-Paramètres!$B$14))^Paramètres!$B$17</f>
        <v>0.140847925475674</v>
      </c>
    </row>
    <row r="669" customFormat="false" ht="15.75" hidden="false" customHeight="true" outlineLevel="0" collapsed="false">
      <c r="A669" s="14" t="s">
        <v>785</v>
      </c>
      <c r="B669" s="15" t="s">
        <v>31</v>
      </c>
      <c r="C669" s="15" t="s">
        <v>90</v>
      </c>
      <c r="D669" s="16" t="n">
        <v>3</v>
      </c>
      <c r="E669" s="15" t="str">
        <f aca="false" t="array" ref="E669:E669">INDEX(Matériaux!$B$5:$F$12,MATCH(INDEX(Profils!$E$5:$E$34,$AE669),Matériaux!$A$5:$A$12,0),$D669)</f>
        <v>cuir clouté</v>
      </c>
      <c r="F669" s="17" t="s">
        <v>108</v>
      </c>
      <c r="G669" s="10" t="str">
        <f aca="false" t="array" ref="G669:G669">INDEX(Profils!$D$5:$D$34,$AE669)&amp;" en "&amp;$E669</f>
        <v>Veste en cuir clouté</v>
      </c>
      <c r="H669" s="16" t="n">
        <f aca="false" t="array" ref="H669:H669">INDEX(Matériaux!$B$16:$B$20,$D669)</f>
        <v>30</v>
      </c>
      <c r="I669" s="16" t="n">
        <f aca="false">IF(ISNUMBER($C$3),MIN(MAX(0,ROUND($C$3,0)),$AI669),$AI669)</f>
        <v>0</v>
      </c>
      <c r="J669" s="18" t="n">
        <f aca="false">$H669+$I669</f>
        <v>30</v>
      </c>
      <c r="K669" s="15" t="s">
        <v>109</v>
      </c>
      <c r="L669" s="19" t="n">
        <f aca="false" t="array" ref="L669:L669">IF(AND(INDEX(Profils!$F$5:$F$34,$AE669)&gt;0,INDEX(Profils!$U$5:$U$34,$AE669)&lt;=$AH669),ROUND(INDEX(Profils!$F$5:$F$34,$AE669)*Paramètres!$E$22*$AG669*$AJ669,Paramètres!$F$22),0)</f>
        <v>11</v>
      </c>
      <c r="M669" s="19" t="n">
        <f aca="false" t="array" ref="M669:M669">IF(AND(INDEX(Profils!$G$5:$G$34,$AE669)&gt;0,INDEX(Profils!$V$5:$V$34,$AE669)&lt;=$AH669),ROUND(INDEX(Profils!$G$5:$G$34,$AE669)*Paramètres!$E$23*$AG669*$AJ669,Paramètres!$F$23),0)</f>
        <v>0</v>
      </c>
      <c r="N669" s="19" t="n">
        <f aca="false" t="array" ref="N669:N669">IF(AND(INDEX(Profils!$H$5:$H$34,$AE669)&gt;0,INDEX(Profils!$W$5:$W$34,$AE669)&lt;=$AH669),ROUND(INDEX(Profils!$H$5:$H$34,$AE669)*Paramètres!$E$24*$AG669*$AJ669,Paramètres!$F$24),0)</f>
        <v>0</v>
      </c>
      <c r="O669" s="19" t="n">
        <f aca="false" t="array" ref="O669:O669">IF(AND(INDEX(Profils!$I$5:$I$34,$AE669)&gt;0,INDEX(Profils!$X$5:$X$34,$AE669)&lt;=$AH669),ROUND(INDEX(Profils!$I$5:$I$34,$AE669)*Paramètres!$E$25*$AG669*$AJ669,Paramètres!$F$25),0)</f>
        <v>0</v>
      </c>
      <c r="P669" s="19" t="n">
        <f aca="false" t="array" ref="P669:P669">IF(AND(INDEX(Profils!$J$5:$J$34,$AE669)&gt;0,INDEX(Profils!$Y$5:$Y$34,$AE669)&lt;=$AH669),ROUND(INDEX(Profils!$J$5:$J$34,$AE669)*Paramètres!$E$26*$AG669*$AJ669,Paramètres!$F$26),0)</f>
        <v>5</v>
      </c>
      <c r="Q669" s="19" t="n">
        <f aca="false" t="array" ref="Q669:Q669">IF(AND(INDEX(Profils!$K$5:$K$34,$AE669)&gt;0,INDEX(Profils!$Z$5:$Z$34,$AE669)&lt;=$AH669),ROUND(INDEX(Profils!$K$5:$K$34,$AE669)*Paramètres!$E$27*$AG669*$AJ669,Paramètres!$F$27),0)</f>
        <v>0</v>
      </c>
      <c r="R669" s="20" t="n">
        <f aca="false" t="array" ref="R669:R669">IF(AND(INDEX(Profils!$L$5:$L$34,$AE669)&gt;0,INDEX(Profils!$AA$5:$AA$34,$AE669)&lt;=$AH669),ROUND(INDEX(Profils!$L$5:$L$34,$AE669)*Paramètres!$E$28*$AG669*$AJ669,Paramètres!$F$28),0)</f>
        <v>0</v>
      </c>
      <c r="S669" s="20" t="n">
        <f aca="false" t="array" ref="S669:S669">IF(AND(INDEX(Profils!$M$5:$M$34,$AE669)&gt;0,INDEX(Profils!$AB$5:$AB$34,$AE669)&lt;=$AH669),ROUND(INDEX(Profils!$M$5:$M$34,$AE669)*Paramètres!$E$29*$AG669*$AJ669,Paramètres!$F$29),0)</f>
        <v>0</v>
      </c>
      <c r="T669" s="20" t="n">
        <f aca="false" t="array" ref="T669:T669">IF(AND(INDEX(Profils!$N$5:$N$34,$AE669)&gt;0,INDEX(Profils!$AC$5:$AC$34,$AE669)&lt;=$AH669),ROUND(INDEX(Profils!$N$5:$N$34,$AE669)*Paramètres!$E$30*$AG669*$AJ669,Paramètres!$F$30),0)</f>
        <v>0</v>
      </c>
      <c r="U669" s="19" t="n">
        <f aca="false" t="array" ref="U669:U669">IF(AND(INDEX(Profils!$O$5:$O$34,$AE669)&gt;0,INDEX(Profils!$AD$5:$AD$34,$AE669)&lt;=$AH669),ROUND(INDEX(Profils!$O$5:$O$34,$AE669)*Paramètres!$E$31*$AG669*$AJ669,Paramètres!$F$31),0)</f>
        <v>0</v>
      </c>
      <c r="V669" s="20" t="n">
        <f aca="false" t="array" ref="V669:V669">IF(AND(INDEX(Profils!$P$5:$P$34,$AE669)&gt;0,INDEX(Profils!$AE$5:$AE$34,$AE669)&lt;=$AH669),ROUND(INDEX(Profils!$P$5:$P$34,$AE669)*Paramètres!$E$32*$AG669*$AJ669,Paramètres!$F$32),0)</f>
        <v>0</v>
      </c>
      <c r="W669" s="20" t="n">
        <f aca="false" t="array" ref="W669:W669">IF(AND(INDEX(Profils!$Q$5:$Q$34,$AE669)&gt;0,INDEX(Profils!$AF$5:$AF$34,$AE669)&lt;=$AH669),ROUND(INDEX(Profils!$Q$5:$Q$34,$AE669)*Paramètres!$E$33*$AG669*$AJ669,Paramètres!$F$33),0)</f>
        <v>0</v>
      </c>
      <c r="X669" s="20" t="n">
        <f aca="false" t="array" ref="X669:X669">IF(AND(INDEX(Profils!$R$5:$R$34,$AE669)&gt;0,INDEX(Profils!$AG$5:$AG$34,$AE669)&lt;=$AH669),ROUND(INDEX(Profils!$R$5:$R$34,$AE669)*Paramètres!$E$34*$AG669*$AJ669,Paramètres!$F$34),0)</f>
        <v>0</v>
      </c>
      <c r="Y669" s="20" t="n">
        <f aca="false" t="array" ref="Y669:Y669">IF(AND(INDEX(Profils!$S$5:$S$34,$AE669)&gt;0,INDEX(Profils!$AH$5:$AH$34,$AE669)&lt;=$AH669),ROUND(INDEX(Profils!$S$5:$S$34,$AE669)*Paramètres!$E$35*$AG669*$AJ669,Paramètres!$F$35),0)</f>
        <v>0</v>
      </c>
      <c r="Z669" s="21" t="n">
        <f aca="false">ROUND(L669/Paramètres!$E$22+M669/Paramètres!$E$23+N669/Paramètres!$E$24+O669/Paramètres!$E$25+P669/Paramètres!$E$26+Q669/Paramètres!$E$27+R669/Paramètres!$E$28+S669/Paramètres!$E$29+T669/Paramètres!$E$30+U669/Paramètres!$E$31+V669/Paramètres!$E$32+W669/Paramètres!$E$33+X669/Paramètres!$E$34+Y669/Paramètres!$E$35,1)</f>
        <v>0.9</v>
      </c>
      <c r="AA669" s="22" t="s">
        <v>109</v>
      </c>
      <c r="AB669" s="22" t="s">
        <v>109</v>
      </c>
      <c r="AC669" s="15" t="str">
        <f aca="false">$E669</f>
        <v>cuir clouté</v>
      </c>
      <c r="AD669" s="16" t="n">
        <f aca="false" t="array" ref="AD669:AD669">IF($I669&gt;=$AI669,"Max",ROUND(Paramètres!$B$40*($I669+1)^Paramètres!$B$41*INDEX(Paramètres!$H$6:$H$12,$AF669),0))</f>
        <v>3</v>
      </c>
      <c r="AE669" s="23" t="n">
        <f aca="false">MATCH($B669&amp;"|"&amp;$C669,Profils!$A$5:$A$34,0)</f>
        <v>22</v>
      </c>
      <c r="AF669" s="23" t="n">
        <v>1</v>
      </c>
      <c r="AG669" s="24" t="n">
        <f aca="false" t="array" ref="AG669:AG669">INDEX(Paramètres!$C$6:$C$12,$AF669)</f>
        <v>1</v>
      </c>
      <c r="AH669" s="23" t="n">
        <f aca="false" t="array" ref="AH669:AH669">INDEX(Paramètres!$D$6:$D$12,$AF669)</f>
        <v>2</v>
      </c>
      <c r="AI669" s="23" t="n">
        <f aca="false" t="array" ref="AI669:AI669">INDEX(Matériaux!$C$16:$C$20,$D669)</f>
        <v>25</v>
      </c>
      <c r="AJ669" s="25" t="n">
        <f aca="false">Paramètres!$B$16+(1-Paramètres!$B$16)*(($J669-Paramètres!$B$14)/(Paramètres!$B$15-Paramètres!$B$14))^Paramètres!$B$17</f>
        <v>0.26769024555533</v>
      </c>
    </row>
    <row r="670" customFormat="false" ht="15.75" hidden="false" customHeight="true" outlineLevel="0" collapsed="false">
      <c r="A670" s="14" t="s">
        <v>786</v>
      </c>
      <c r="B670" s="15" t="s">
        <v>31</v>
      </c>
      <c r="C670" s="15" t="s">
        <v>90</v>
      </c>
      <c r="D670" s="16" t="n">
        <v>3</v>
      </c>
      <c r="E670" s="15" t="str">
        <f aca="false" t="array" ref="E670:E670">INDEX(Matériaux!$B$5:$F$12,MATCH(INDEX(Profils!$E$5:$E$34,$AE670),Matériaux!$A$5:$A$12,0),$D670)</f>
        <v>cuir clouté</v>
      </c>
      <c r="F670" s="26" t="s">
        <v>111</v>
      </c>
      <c r="G670" s="10" t="str">
        <f aca="false" t="array" ref="G670:G670">INDEX(Profils!$D$5:$D$34,$AE670)&amp;" en "&amp;$E670</f>
        <v>Veste en cuir clouté</v>
      </c>
      <c r="H670" s="16" t="n">
        <f aca="false" t="array" ref="H670:H670">INDEX(Matériaux!$B$16:$B$20,$D670)</f>
        <v>30</v>
      </c>
      <c r="I670" s="16" t="n">
        <f aca="false">IF(ISNUMBER($C$3),MIN(MAX(0,ROUND($C$3,0)),$AI670),$AI670)</f>
        <v>0</v>
      </c>
      <c r="J670" s="18" t="n">
        <f aca="false">$H670+$I670</f>
        <v>30</v>
      </c>
      <c r="K670" s="15" t="s">
        <v>109</v>
      </c>
      <c r="L670" s="19" t="n">
        <f aca="false" t="array" ref="L670:L670">IF(AND(INDEX(Profils!$F$5:$F$34,$AE670)&gt;0,INDEX(Profils!$U$5:$U$34,$AE670)&lt;=$AH670),ROUND(INDEX(Profils!$F$5:$F$34,$AE670)*Paramètres!$E$22*$AG670*$AJ670,Paramètres!$F$22),0)</f>
        <v>13</v>
      </c>
      <c r="M670" s="19" t="n">
        <f aca="false" t="array" ref="M670:M670">IF(AND(INDEX(Profils!$G$5:$G$34,$AE670)&gt;0,INDEX(Profils!$V$5:$V$34,$AE670)&lt;=$AH670),ROUND(INDEX(Profils!$G$5:$G$34,$AE670)*Paramètres!$E$23*$AG670*$AJ670,Paramètres!$F$23),0)</f>
        <v>0</v>
      </c>
      <c r="N670" s="19" t="n">
        <f aca="false" t="array" ref="N670:N670">IF(AND(INDEX(Profils!$H$5:$H$34,$AE670)&gt;0,INDEX(Profils!$W$5:$W$34,$AE670)&lt;=$AH670),ROUND(INDEX(Profils!$H$5:$H$34,$AE670)*Paramètres!$E$24*$AG670*$AJ670,Paramètres!$F$24),0)</f>
        <v>0</v>
      </c>
      <c r="O670" s="19" t="n">
        <f aca="false" t="array" ref="O670:O670">IF(AND(INDEX(Profils!$I$5:$I$34,$AE670)&gt;0,INDEX(Profils!$X$5:$X$34,$AE670)&lt;=$AH670),ROUND(INDEX(Profils!$I$5:$I$34,$AE670)*Paramètres!$E$25*$AG670*$AJ670,Paramètres!$F$25),0)</f>
        <v>0</v>
      </c>
      <c r="P670" s="19" t="n">
        <f aca="false" t="array" ref="P670:P670">IF(AND(INDEX(Profils!$J$5:$J$34,$AE670)&gt;0,INDEX(Profils!$Y$5:$Y$34,$AE670)&lt;=$AH670),ROUND(INDEX(Profils!$J$5:$J$34,$AE670)*Paramètres!$E$26*$AG670*$AJ670,Paramètres!$F$26),0)</f>
        <v>6</v>
      </c>
      <c r="Q670" s="19" t="n">
        <f aca="false" t="array" ref="Q670:Q670">IF(AND(INDEX(Profils!$K$5:$K$34,$AE670)&gt;0,INDEX(Profils!$Z$5:$Z$34,$AE670)&lt;=$AH670),ROUND(INDEX(Profils!$K$5:$K$34,$AE670)*Paramètres!$E$27*$AG670*$AJ670,Paramètres!$F$27),0)</f>
        <v>0</v>
      </c>
      <c r="R670" s="20" t="n">
        <f aca="false" t="array" ref="R670:R670">IF(AND(INDEX(Profils!$L$5:$L$34,$AE670)&gt;0,INDEX(Profils!$AA$5:$AA$34,$AE670)&lt;=$AH670),ROUND(INDEX(Profils!$L$5:$L$34,$AE670)*Paramètres!$E$28*$AG670*$AJ670,Paramètres!$F$28),0)</f>
        <v>0</v>
      </c>
      <c r="S670" s="20" t="n">
        <f aca="false" t="array" ref="S670:S670">IF(AND(INDEX(Profils!$M$5:$M$34,$AE670)&gt;0,INDEX(Profils!$AB$5:$AB$34,$AE670)&lt;=$AH670),ROUND(INDEX(Profils!$M$5:$M$34,$AE670)*Paramètres!$E$29*$AG670*$AJ670,Paramètres!$F$29),0)</f>
        <v>0</v>
      </c>
      <c r="T670" s="20" t="n">
        <f aca="false" t="array" ref="T670:T670">IF(AND(INDEX(Profils!$N$5:$N$34,$AE670)&gt;0,INDEX(Profils!$AC$5:$AC$34,$AE670)&lt;=$AH670),ROUND(INDEX(Profils!$N$5:$N$34,$AE670)*Paramètres!$E$30*$AG670*$AJ670,Paramètres!$F$30),0)</f>
        <v>0</v>
      </c>
      <c r="U670" s="19" t="n">
        <f aca="false" t="array" ref="U670:U670">IF(AND(INDEX(Profils!$O$5:$O$34,$AE670)&gt;0,INDEX(Profils!$AD$5:$AD$34,$AE670)&lt;=$AH670),ROUND(INDEX(Profils!$O$5:$O$34,$AE670)*Paramètres!$E$31*$AG670*$AJ670,Paramètres!$F$31),0)</f>
        <v>9</v>
      </c>
      <c r="V670" s="20" t="n">
        <f aca="false" t="array" ref="V670:V670">IF(AND(INDEX(Profils!$P$5:$P$34,$AE670)&gt;0,INDEX(Profils!$AE$5:$AE$34,$AE670)&lt;=$AH670),ROUND(INDEX(Profils!$P$5:$P$34,$AE670)*Paramètres!$E$32*$AG670*$AJ670,Paramètres!$F$32),0)</f>
        <v>0</v>
      </c>
      <c r="W670" s="20" t="n">
        <f aca="false" t="array" ref="W670:W670">IF(AND(INDEX(Profils!$Q$5:$Q$34,$AE670)&gt;0,INDEX(Profils!$AF$5:$AF$34,$AE670)&lt;=$AH670),ROUND(INDEX(Profils!$Q$5:$Q$34,$AE670)*Paramètres!$E$33*$AG670*$AJ670,Paramètres!$F$33),0)</f>
        <v>0</v>
      </c>
      <c r="X670" s="20" t="n">
        <f aca="false" t="array" ref="X670:X670">IF(AND(INDEX(Profils!$R$5:$R$34,$AE670)&gt;0,INDEX(Profils!$AG$5:$AG$34,$AE670)&lt;=$AH670),ROUND(INDEX(Profils!$R$5:$R$34,$AE670)*Paramètres!$E$34*$AG670*$AJ670,Paramètres!$F$34),0)</f>
        <v>0</v>
      </c>
      <c r="Y670" s="20" t="n">
        <f aca="false" t="array" ref="Y670:Y670">IF(AND(INDEX(Profils!$S$5:$S$34,$AE670)&gt;0,INDEX(Profils!$AH$5:$AH$34,$AE670)&lt;=$AH670),ROUND(INDEX(Profils!$S$5:$S$34,$AE670)*Paramètres!$E$35*$AG670*$AJ670,Paramètres!$F$35),0)</f>
        <v>0</v>
      </c>
      <c r="Z670" s="21" t="n">
        <f aca="false">ROUND(L670/Paramètres!$E$22+M670/Paramètres!$E$23+N670/Paramètres!$E$24+O670/Paramètres!$E$25+P670/Paramètres!$E$26+Q670/Paramètres!$E$27+R670/Paramètres!$E$28+S670/Paramètres!$E$29+T670/Paramètres!$E$30+U670/Paramètres!$E$31+V670/Paramètres!$E$32+W670/Paramètres!$E$33+X670/Paramètres!$E$34+Y670/Paramètres!$E$35,1)</f>
        <v>1.5</v>
      </c>
      <c r="AA670" s="22" t="s">
        <v>109</v>
      </c>
      <c r="AB670" s="22" t="s">
        <v>109</v>
      </c>
      <c r="AC670" s="15" t="str">
        <f aca="false">$E670</f>
        <v>cuir clouté</v>
      </c>
      <c r="AD670" s="16" t="n">
        <f aca="false" t="array" ref="AD670:AD670">IF($I670&gt;=$AI670,"Max",ROUND(Paramètres!$B$40*($I670+1)^Paramètres!$B$41*INDEX(Paramètres!$H$6:$H$12,$AF670),0))</f>
        <v>4</v>
      </c>
      <c r="AE670" s="23" t="n">
        <f aca="false">MATCH($B670&amp;"|"&amp;$C670,Profils!$A$5:$A$34,0)</f>
        <v>22</v>
      </c>
      <c r="AF670" s="23" t="n">
        <v>2</v>
      </c>
      <c r="AG670" s="24" t="n">
        <f aca="false" t="array" ref="AG670:AG670">INDEX(Paramètres!$C$6:$C$12,$AF670)</f>
        <v>1.2</v>
      </c>
      <c r="AH670" s="23" t="n">
        <f aca="false" t="array" ref="AH670:AH670">INDEX(Paramètres!$D$6:$D$12,$AF670)</f>
        <v>3</v>
      </c>
      <c r="AI670" s="23" t="n">
        <f aca="false" t="array" ref="AI670:AI670">INDEX(Matériaux!$C$16:$C$20,$D670)</f>
        <v>25</v>
      </c>
      <c r="AJ670" s="25" t="n">
        <f aca="false">Paramètres!$B$16+(1-Paramètres!$B$16)*(($J670-Paramètres!$B$14)/(Paramètres!$B$15-Paramètres!$B$14))^Paramètres!$B$17</f>
        <v>0.26769024555533</v>
      </c>
    </row>
    <row r="671" customFormat="false" ht="15.75" hidden="false" customHeight="true" outlineLevel="0" collapsed="false">
      <c r="A671" s="14" t="s">
        <v>787</v>
      </c>
      <c r="B671" s="15" t="s">
        <v>31</v>
      </c>
      <c r="C671" s="15" t="s">
        <v>90</v>
      </c>
      <c r="D671" s="16" t="n">
        <v>3</v>
      </c>
      <c r="E671" s="15" t="str">
        <f aca="false" t="array" ref="E671:E671">INDEX(Matériaux!$B$5:$F$12,MATCH(INDEX(Profils!$E$5:$E$34,$AE671),Matériaux!$A$5:$A$12,0),$D671)</f>
        <v>cuir clouté</v>
      </c>
      <c r="F671" s="27" t="s">
        <v>113</v>
      </c>
      <c r="G671" s="10" t="str">
        <f aca="false" t="array" ref="G671:G671">INDEX(Profils!$D$5:$D$34,$AE671)&amp;" en "&amp;$E671</f>
        <v>Veste en cuir clouté</v>
      </c>
      <c r="H671" s="16" t="n">
        <f aca="false" t="array" ref="H671:H671">INDEX(Matériaux!$B$16:$B$20,$D671)</f>
        <v>30</v>
      </c>
      <c r="I671" s="16" t="n">
        <f aca="false">IF(ISNUMBER($C$3),MIN(MAX(0,ROUND($C$3,0)),$AI671),$AI671)</f>
        <v>0</v>
      </c>
      <c r="J671" s="18" t="n">
        <f aca="false">$H671+$I671</f>
        <v>30</v>
      </c>
      <c r="K671" s="15" t="s">
        <v>109</v>
      </c>
      <c r="L671" s="19" t="n">
        <f aca="false" t="array" ref="L671:L671">IF(AND(INDEX(Profils!$F$5:$F$34,$AE671)&gt;0,INDEX(Profils!$U$5:$U$34,$AE671)&lt;=$AH671),ROUND(INDEX(Profils!$F$5:$F$34,$AE671)*Paramètres!$E$22*$AG671*$AJ671,Paramètres!$F$22),0)</f>
        <v>16</v>
      </c>
      <c r="M671" s="19" t="n">
        <f aca="false" t="array" ref="M671:M671">IF(AND(INDEX(Profils!$G$5:$G$34,$AE671)&gt;0,INDEX(Profils!$V$5:$V$34,$AE671)&lt;=$AH671),ROUND(INDEX(Profils!$G$5:$G$34,$AE671)*Paramètres!$E$23*$AG671*$AJ671,Paramètres!$F$23),0)</f>
        <v>0</v>
      </c>
      <c r="N671" s="19" t="n">
        <f aca="false" t="array" ref="N671:N671">IF(AND(INDEX(Profils!$H$5:$H$34,$AE671)&gt;0,INDEX(Profils!$W$5:$W$34,$AE671)&lt;=$AH671),ROUND(INDEX(Profils!$H$5:$H$34,$AE671)*Paramètres!$E$24*$AG671*$AJ671,Paramètres!$F$24),0)</f>
        <v>6</v>
      </c>
      <c r="O671" s="19" t="n">
        <f aca="false" t="array" ref="O671:O671">IF(AND(INDEX(Profils!$I$5:$I$34,$AE671)&gt;0,INDEX(Profils!$X$5:$X$34,$AE671)&lt;=$AH671),ROUND(INDEX(Profils!$I$5:$I$34,$AE671)*Paramètres!$E$25*$AG671*$AJ671,Paramètres!$F$25),0)</f>
        <v>0</v>
      </c>
      <c r="P671" s="19" t="n">
        <f aca="false" t="array" ref="P671:P671">IF(AND(INDEX(Profils!$J$5:$J$34,$AE671)&gt;0,INDEX(Profils!$Y$5:$Y$34,$AE671)&lt;=$AH671),ROUND(INDEX(Profils!$J$5:$J$34,$AE671)*Paramètres!$E$26*$AG671*$AJ671,Paramètres!$F$26),0)</f>
        <v>7</v>
      </c>
      <c r="Q671" s="19" t="n">
        <f aca="false" t="array" ref="Q671:Q671">IF(AND(INDEX(Profils!$K$5:$K$34,$AE671)&gt;0,INDEX(Profils!$Z$5:$Z$34,$AE671)&lt;=$AH671),ROUND(INDEX(Profils!$K$5:$K$34,$AE671)*Paramètres!$E$27*$AG671*$AJ671,Paramètres!$F$27),0)</f>
        <v>0</v>
      </c>
      <c r="R671" s="20" t="n">
        <f aca="false" t="array" ref="R671:R671">IF(AND(INDEX(Profils!$L$5:$L$34,$AE671)&gt;0,INDEX(Profils!$AA$5:$AA$34,$AE671)&lt;=$AH671),ROUND(INDEX(Profils!$L$5:$L$34,$AE671)*Paramètres!$E$28*$AG671*$AJ671,Paramètres!$F$28),0)</f>
        <v>0</v>
      </c>
      <c r="S671" s="20" t="n">
        <f aca="false" t="array" ref="S671:S671">IF(AND(INDEX(Profils!$M$5:$M$34,$AE671)&gt;0,INDEX(Profils!$AB$5:$AB$34,$AE671)&lt;=$AH671),ROUND(INDEX(Profils!$M$5:$M$34,$AE671)*Paramètres!$E$29*$AG671*$AJ671,Paramètres!$F$29),0)</f>
        <v>0</v>
      </c>
      <c r="T671" s="20" t="n">
        <f aca="false" t="array" ref="T671:T671">IF(AND(INDEX(Profils!$N$5:$N$34,$AE671)&gt;0,INDEX(Profils!$AC$5:$AC$34,$AE671)&lt;=$AH671),ROUND(INDEX(Profils!$N$5:$N$34,$AE671)*Paramètres!$E$30*$AG671*$AJ671,Paramètres!$F$30),0)</f>
        <v>0</v>
      </c>
      <c r="U671" s="19" t="n">
        <f aca="false" t="array" ref="U671:U671">IF(AND(INDEX(Profils!$O$5:$O$34,$AE671)&gt;0,INDEX(Profils!$AD$5:$AD$34,$AE671)&lt;=$AH671),ROUND(INDEX(Profils!$O$5:$O$34,$AE671)*Paramètres!$E$31*$AG671*$AJ671,Paramètres!$F$31),0)</f>
        <v>11</v>
      </c>
      <c r="V671" s="20" t="n">
        <f aca="false" t="array" ref="V671:V671">IF(AND(INDEX(Profils!$P$5:$P$34,$AE671)&gt;0,INDEX(Profils!$AE$5:$AE$34,$AE671)&lt;=$AH671),ROUND(INDEX(Profils!$P$5:$P$34,$AE671)*Paramètres!$E$32*$AG671*$AJ671,Paramètres!$F$32),0)</f>
        <v>0</v>
      </c>
      <c r="W671" s="20" t="n">
        <f aca="false" t="array" ref="W671:W671">IF(AND(INDEX(Profils!$Q$5:$Q$34,$AE671)&gt;0,INDEX(Profils!$AF$5:$AF$34,$AE671)&lt;=$AH671),ROUND(INDEX(Profils!$Q$5:$Q$34,$AE671)*Paramètres!$E$33*$AG671*$AJ671,Paramètres!$F$33),0)</f>
        <v>0</v>
      </c>
      <c r="X671" s="20" t="n">
        <f aca="false" t="array" ref="X671:X671">IF(AND(INDEX(Profils!$R$5:$R$34,$AE671)&gt;0,INDEX(Profils!$AG$5:$AG$34,$AE671)&lt;=$AH671),ROUND(INDEX(Profils!$R$5:$R$34,$AE671)*Paramètres!$E$34*$AG671*$AJ671,Paramètres!$F$34),0)</f>
        <v>0</v>
      </c>
      <c r="Y671" s="20" t="n">
        <f aca="false" t="array" ref="Y671:Y671">IF(AND(INDEX(Profils!$S$5:$S$34,$AE671)&gt;0,INDEX(Profils!$AH$5:$AH$34,$AE671)&lt;=$AH671),ROUND(INDEX(Profils!$S$5:$S$34,$AE671)*Paramètres!$E$35*$AG671*$AJ671,Paramètres!$F$35),0)</f>
        <v>0</v>
      </c>
      <c r="Z671" s="21" t="n">
        <f aca="false">ROUND(L671/Paramètres!$E$22+M671/Paramètres!$E$23+N671/Paramètres!$E$24+O671/Paramètres!$E$25+P671/Paramètres!$E$26+Q671/Paramètres!$E$27+R671/Paramètres!$E$28+S671/Paramètres!$E$29+T671/Paramètres!$E$30+U671/Paramètres!$E$31+V671/Paramètres!$E$32+W671/Paramètres!$E$33+X671/Paramètres!$E$34+Y671/Paramètres!$E$35,1)</f>
        <v>2.2</v>
      </c>
      <c r="AA671" s="22" t="s">
        <v>109</v>
      </c>
      <c r="AB671" s="22" t="s">
        <v>109</v>
      </c>
      <c r="AC671" s="15" t="str">
        <f aca="false">$E671</f>
        <v>cuir clouté</v>
      </c>
      <c r="AD671" s="16" t="n">
        <f aca="false" t="array" ref="AD671:AD671">IF($I671&gt;=$AI671,"Max",ROUND(Paramètres!$B$40*($I671+1)^Paramètres!$B$41*INDEX(Paramètres!$H$6:$H$12,$AF671),0))</f>
        <v>4</v>
      </c>
      <c r="AE671" s="23" t="n">
        <f aca="false">MATCH($B671&amp;"|"&amp;$C671,Profils!$A$5:$A$34,0)</f>
        <v>22</v>
      </c>
      <c r="AF671" s="23" t="n">
        <v>3</v>
      </c>
      <c r="AG671" s="24" t="n">
        <f aca="false" t="array" ref="AG671:AG671">INDEX(Paramètres!$C$6:$C$12,$AF671)</f>
        <v>1.45</v>
      </c>
      <c r="AH671" s="23" t="n">
        <f aca="false" t="array" ref="AH671:AH671">INDEX(Paramètres!$D$6:$D$12,$AF671)</f>
        <v>4</v>
      </c>
      <c r="AI671" s="23" t="n">
        <f aca="false" t="array" ref="AI671:AI671">INDEX(Matériaux!$C$16:$C$20,$D671)</f>
        <v>25</v>
      </c>
      <c r="AJ671" s="25" t="n">
        <f aca="false">Paramètres!$B$16+(1-Paramètres!$B$16)*(($J671-Paramètres!$B$14)/(Paramètres!$B$15-Paramètres!$B$14))^Paramètres!$B$17</f>
        <v>0.26769024555533</v>
      </c>
    </row>
    <row r="672" customFormat="false" ht="15.75" hidden="false" customHeight="true" outlineLevel="0" collapsed="false">
      <c r="A672" s="14" t="s">
        <v>788</v>
      </c>
      <c r="B672" s="15" t="s">
        <v>31</v>
      </c>
      <c r="C672" s="15" t="s">
        <v>90</v>
      </c>
      <c r="D672" s="16" t="n">
        <v>3</v>
      </c>
      <c r="E672" s="15" t="str">
        <f aca="false" t="array" ref="E672:E672">INDEX(Matériaux!$B$5:$F$12,MATCH(INDEX(Profils!$E$5:$E$34,$AE672),Matériaux!$A$5:$A$12,0),$D672)</f>
        <v>cuir clouté</v>
      </c>
      <c r="F672" s="28" t="s">
        <v>115</v>
      </c>
      <c r="G672" s="10" t="str">
        <f aca="false" t="array" ref="G672:G672">INDEX(Profils!$D$5:$D$34,$AE672)&amp;" en "&amp;$E672</f>
        <v>Veste en cuir clouté</v>
      </c>
      <c r="H672" s="16" t="n">
        <f aca="false" t="array" ref="H672:H672">INDEX(Matériaux!$B$16:$B$20,$D672)</f>
        <v>30</v>
      </c>
      <c r="I672" s="16" t="n">
        <f aca="false">IF(ISNUMBER($C$3),MIN(MAX(0,ROUND($C$3,0)),$AI672),$AI672)</f>
        <v>0</v>
      </c>
      <c r="J672" s="18" t="n">
        <f aca="false">$H672+$I672</f>
        <v>30</v>
      </c>
      <c r="K672" s="15" t="s">
        <v>109</v>
      </c>
      <c r="L672" s="19" t="n">
        <f aca="false" t="array" ref="L672:L672">IF(AND(INDEX(Profils!$F$5:$F$34,$AE672)&gt;0,INDEX(Profils!$U$5:$U$34,$AE672)&lt;=$AH672),ROUND(INDEX(Profils!$F$5:$F$34,$AE672)*Paramètres!$E$22*$AG672*$AJ672,Paramètres!$F$22),0)</f>
        <v>19</v>
      </c>
      <c r="M672" s="19" t="n">
        <f aca="false" t="array" ref="M672:M672">IF(AND(INDEX(Profils!$G$5:$G$34,$AE672)&gt;0,INDEX(Profils!$V$5:$V$34,$AE672)&lt;=$AH672),ROUND(INDEX(Profils!$G$5:$G$34,$AE672)*Paramètres!$E$23*$AG672*$AJ672,Paramètres!$F$23),0)</f>
        <v>0</v>
      </c>
      <c r="N672" s="19" t="n">
        <f aca="false" t="array" ref="N672:N672">IF(AND(INDEX(Profils!$H$5:$H$34,$AE672)&gt;0,INDEX(Profils!$W$5:$W$34,$AE672)&lt;=$AH672),ROUND(INDEX(Profils!$H$5:$H$34,$AE672)*Paramètres!$E$24*$AG672*$AJ672,Paramètres!$F$24),0)</f>
        <v>7</v>
      </c>
      <c r="O672" s="19" t="n">
        <f aca="false" t="array" ref="O672:O672">IF(AND(INDEX(Profils!$I$5:$I$34,$AE672)&gt;0,INDEX(Profils!$X$5:$X$34,$AE672)&lt;=$AH672),ROUND(INDEX(Profils!$I$5:$I$34,$AE672)*Paramètres!$E$25*$AG672*$AJ672,Paramètres!$F$25),0)</f>
        <v>0</v>
      </c>
      <c r="P672" s="19" t="n">
        <f aca="false" t="array" ref="P672:P672">IF(AND(INDEX(Profils!$J$5:$J$34,$AE672)&gt;0,INDEX(Profils!$Y$5:$Y$34,$AE672)&lt;=$AH672),ROUND(INDEX(Profils!$J$5:$J$34,$AE672)*Paramètres!$E$26*$AG672*$AJ672,Paramètres!$F$26),0)</f>
        <v>9</v>
      </c>
      <c r="Q672" s="19" t="n">
        <f aca="false" t="array" ref="Q672:Q672">IF(AND(INDEX(Profils!$K$5:$K$34,$AE672)&gt;0,INDEX(Profils!$Z$5:$Z$34,$AE672)&lt;=$AH672),ROUND(INDEX(Profils!$K$5:$K$34,$AE672)*Paramètres!$E$27*$AG672*$AJ672,Paramètres!$F$27),0)</f>
        <v>0</v>
      </c>
      <c r="R672" s="20" t="n">
        <f aca="false" t="array" ref="R672:R672">IF(AND(INDEX(Profils!$L$5:$L$34,$AE672)&gt;0,INDEX(Profils!$AA$5:$AA$34,$AE672)&lt;=$AH672),ROUND(INDEX(Profils!$L$5:$L$34,$AE672)*Paramètres!$E$28*$AG672*$AJ672,Paramètres!$F$28),0)</f>
        <v>0.006</v>
      </c>
      <c r="S672" s="20" t="n">
        <f aca="false" t="array" ref="S672:S672">IF(AND(INDEX(Profils!$M$5:$M$34,$AE672)&gt;0,INDEX(Profils!$AB$5:$AB$34,$AE672)&lt;=$AH672),ROUND(INDEX(Profils!$M$5:$M$34,$AE672)*Paramètres!$E$29*$AG672*$AJ672,Paramètres!$F$29),0)</f>
        <v>0</v>
      </c>
      <c r="T672" s="20" t="n">
        <f aca="false" t="array" ref="T672:T672">IF(AND(INDEX(Profils!$N$5:$N$34,$AE672)&gt;0,INDEX(Profils!$AC$5:$AC$34,$AE672)&lt;=$AH672),ROUND(INDEX(Profils!$N$5:$N$34,$AE672)*Paramètres!$E$30*$AG672*$AJ672,Paramètres!$F$30),0)</f>
        <v>0</v>
      </c>
      <c r="U672" s="19" t="n">
        <f aca="false" t="array" ref="U672:U672">IF(AND(INDEX(Profils!$O$5:$O$34,$AE672)&gt;0,INDEX(Profils!$AD$5:$AD$34,$AE672)&lt;=$AH672),ROUND(INDEX(Profils!$O$5:$O$34,$AE672)*Paramètres!$E$31*$AG672*$AJ672,Paramètres!$F$31),0)</f>
        <v>13</v>
      </c>
      <c r="V672" s="20" t="n">
        <f aca="false" t="array" ref="V672:V672">IF(AND(INDEX(Profils!$P$5:$P$34,$AE672)&gt;0,INDEX(Profils!$AE$5:$AE$34,$AE672)&lt;=$AH672),ROUND(INDEX(Profils!$P$5:$P$34,$AE672)*Paramètres!$E$32*$AG672*$AJ672,Paramètres!$F$32),0)</f>
        <v>0</v>
      </c>
      <c r="W672" s="20" t="n">
        <f aca="false" t="array" ref="W672:W672">IF(AND(INDEX(Profils!$Q$5:$Q$34,$AE672)&gt;0,INDEX(Profils!$AF$5:$AF$34,$AE672)&lt;=$AH672),ROUND(INDEX(Profils!$Q$5:$Q$34,$AE672)*Paramètres!$E$33*$AG672*$AJ672,Paramètres!$F$33),0)</f>
        <v>0</v>
      </c>
      <c r="X672" s="20" t="n">
        <f aca="false" t="array" ref="X672:X672">IF(AND(INDEX(Profils!$R$5:$R$34,$AE672)&gt;0,INDEX(Profils!$AG$5:$AG$34,$AE672)&lt;=$AH672),ROUND(INDEX(Profils!$R$5:$R$34,$AE672)*Paramètres!$E$34*$AG672*$AJ672,Paramètres!$F$34),0)</f>
        <v>0</v>
      </c>
      <c r="Y672" s="20" t="n">
        <f aca="false" t="array" ref="Y672:Y672">IF(AND(INDEX(Profils!$S$5:$S$34,$AE672)&gt;0,INDEX(Profils!$AH$5:$AH$34,$AE672)&lt;=$AH672),ROUND(INDEX(Profils!$S$5:$S$34,$AE672)*Paramètres!$E$35*$AG672*$AJ672,Paramètres!$F$35),0)</f>
        <v>0</v>
      </c>
      <c r="Z672" s="21" t="n">
        <f aca="false">ROUND(L672/Paramètres!$E$22+M672/Paramètres!$E$23+N672/Paramètres!$E$24+O672/Paramètres!$E$25+P672/Paramètres!$E$26+Q672/Paramètres!$E$27+R672/Paramètres!$E$28+S672/Paramètres!$E$29+T672/Paramètres!$E$30+U672/Paramètres!$E$31+V672/Paramètres!$E$32+W672/Paramètres!$E$33+X672/Paramètres!$E$34+Y672/Paramètres!$E$35,1)</f>
        <v>3</v>
      </c>
      <c r="AA672" s="22" t="s">
        <v>109</v>
      </c>
      <c r="AB672" s="22" t="s">
        <v>109</v>
      </c>
      <c r="AC672" s="15" t="str">
        <f aca="false">$E672</f>
        <v>cuir clouté</v>
      </c>
      <c r="AD672" s="16" t="n">
        <f aca="false" t="array" ref="AD672:AD672">IF($I672&gt;=$AI672,"Max",ROUND(Paramètres!$B$40*($I672+1)^Paramètres!$B$41*INDEX(Paramètres!$H$6:$H$12,$AF672),0))</f>
        <v>5</v>
      </c>
      <c r="AE672" s="23" t="n">
        <f aca="false">MATCH($B672&amp;"|"&amp;$C672,Profils!$A$5:$A$34,0)</f>
        <v>22</v>
      </c>
      <c r="AF672" s="23" t="n">
        <v>4</v>
      </c>
      <c r="AG672" s="24" t="n">
        <f aca="false" t="array" ref="AG672:AG672">INDEX(Paramètres!$C$6:$C$12,$AF672)</f>
        <v>1.75</v>
      </c>
      <c r="AH672" s="23" t="n">
        <f aca="false" t="array" ref="AH672:AH672">INDEX(Paramètres!$D$6:$D$12,$AF672)</f>
        <v>5</v>
      </c>
      <c r="AI672" s="23" t="n">
        <f aca="false" t="array" ref="AI672:AI672">INDEX(Matériaux!$C$16:$C$20,$D672)</f>
        <v>25</v>
      </c>
      <c r="AJ672" s="25" t="n">
        <f aca="false">Paramètres!$B$16+(1-Paramètres!$B$16)*(($J672-Paramètres!$B$14)/(Paramètres!$B$15-Paramètres!$B$14))^Paramètres!$B$17</f>
        <v>0.26769024555533</v>
      </c>
    </row>
    <row r="673" customFormat="false" ht="15.75" hidden="false" customHeight="true" outlineLevel="0" collapsed="false">
      <c r="A673" s="14" t="s">
        <v>789</v>
      </c>
      <c r="B673" s="15" t="s">
        <v>31</v>
      </c>
      <c r="C673" s="15" t="s">
        <v>90</v>
      </c>
      <c r="D673" s="16" t="n">
        <v>3</v>
      </c>
      <c r="E673" s="15" t="str">
        <f aca="false" t="array" ref="E673:E673">INDEX(Matériaux!$B$5:$F$12,MATCH(INDEX(Profils!$E$5:$E$34,$AE673),Matériaux!$A$5:$A$12,0),$D673)</f>
        <v>cuir clouté</v>
      </c>
      <c r="F673" s="29" t="s">
        <v>117</v>
      </c>
      <c r="G673" s="10" t="str">
        <f aca="false" t="array" ref="G673:G673">INDEX(Profils!$D$5:$D$34,$AE673)&amp;" en "&amp;$E673</f>
        <v>Veste en cuir clouté</v>
      </c>
      <c r="H673" s="16" t="n">
        <f aca="false" t="array" ref="H673:H673">INDEX(Matériaux!$B$16:$B$20,$D673)</f>
        <v>30</v>
      </c>
      <c r="I673" s="16" t="n">
        <f aca="false">IF(ISNUMBER($C$3),MIN(MAX(0,ROUND($C$3,0)),$AI673),$AI673)</f>
        <v>0</v>
      </c>
      <c r="J673" s="18" t="n">
        <f aca="false">$H673+$I673</f>
        <v>30</v>
      </c>
      <c r="K673" s="15" t="s">
        <v>109</v>
      </c>
      <c r="L673" s="19" t="n">
        <f aca="false" t="array" ref="L673:L673">IF(AND(INDEX(Profils!$F$5:$F$34,$AE673)&gt;0,INDEX(Profils!$U$5:$U$34,$AE673)&lt;=$AH673),ROUND(INDEX(Profils!$F$5:$F$34,$AE673)*Paramètres!$E$22*$AG673*$AJ673,Paramètres!$F$22),0)</f>
        <v>22</v>
      </c>
      <c r="M673" s="19" t="n">
        <f aca="false" t="array" ref="M673:M673">IF(AND(INDEX(Profils!$G$5:$G$34,$AE673)&gt;0,INDEX(Profils!$V$5:$V$34,$AE673)&lt;=$AH673),ROUND(INDEX(Profils!$G$5:$G$34,$AE673)*Paramètres!$E$23*$AG673*$AJ673,Paramètres!$F$23),0)</f>
        <v>5</v>
      </c>
      <c r="N673" s="19" t="n">
        <f aca="false" t="array" ref="N673:N673">IF(AND(INDEX(Profils!$H$5:$H$34,$AE673)&gt;0,INDEX(Profils!$W$5:$W$34,$AE673)&lt;=$AH673),ROUND(INDEX(Profils!$H$5:$H$34,$AE673)*Paramètres!$E$24*$AG673*$AJ673,Paramètres!$F$24),0)</f>
        <v>8</v>
      </c>
      <c r="O673" s="19" t="n">
        <f aca="false" t="array" ref="O673:O673">IF(AND(INDEX(Profils!$I$5:$I$34,$AE673)&gt;0,INDEX(Profils!$X$5:$X$34,$AE673)&lt;=$AH673),ROUND(INDEX(Profils!$I$5:$I$34,$AE673)*Paramètres!$E$25*$AG673*$AJ673,Paramètres!$F$25),0)</f>
        <v>0</v>
      </c>
      <c r="P673" s="19" t="n">
        <f aca="false" t="array" ref="P673:P673">IF(AND(INDEX(Profils!$J$5:$J$34,$AE673)&gt;0,INDEX(Profils!$Y$5:$Y$34,$AE673)&lt;=$AH673),ROUND(INDEX(Profils!$J$5:$J$34,$AE673)*Paramètres!$E$26*$AG673*$AJ673,Paramètres!$F$26),0)</f>
        <v>11</v>
      </c>
      <c r="Q673" s="19" t="n">
        <f aca="false" t="array" ref="Q673:Q673">IF(AND(INDEX(Profils!$K$5:$K$34,$AE673)&gt;0,INDEX(Profils!$Z$5:$Z$34,$AE673)&lt;=$AH673),ROUND(INDEX(Profils!$K$5:$K$34,$AE673)*Paramètres!$E$27*$AG673*$AJ673,Paramètres!$F$27),0)</f>
        <v>0</v>
      </c>
      <c r="R673" s="20" t="n">
        <f aca="false" t="array" ref="R673:R673">IF(AND(INDEX(Profils!$L$5:$L$34,$AE673)&gt;0,INDEX(Profils!$AA$5:$AA$34,$AE673)&lt;=$AH673),ROUND(INDEX(Profils!$L$5:$L$34,$AE673)*Paramètres!$E$28*$AG673*$AJ673,Paramètres!$F$28),0)</f>
        <v>0.007</v>
      </c>
      <c r="S673" s="20" t="n">
        <f aca="false" t="array" ref="S673:S673">IF(AND(INDEX(Profils!$M$5:$M$34,$AE673)&gt;0,INDEX(Profils!$AB$5:$AB$34,$AE673)&lt;=$AH673),ROUND(INDEX(Profils!$M$5:$M$34,$AE673)*Paramètres!$E$29*$AG673*$AJ673,Paramètres!$F$29),0)</f>
        <v>0</v>
      </c>
      <c r="T673" s="20" t="n">
        <f aca="false" t="array" ref="T673:T673">IF(AND(INDEX(Profils!$N$5:$N$34,$AE673)&gt;0,INDEX(Profils!$AC$5:$AC$34,$AE673)&lt;=$AH673),ROUND(INDEX(Profils!$N$5:$N$34,$AE673)*Paramètres!$E$30*$AG673*$AJ673,Paramètres!$F$30),0)</f>
        <v>0</v>
      </c>
      <c r="U673" s="19" t="n">
        <f aca="false" t="array" ref="U673:U673">IF(AND(INDEX(Profils!$O$5:$O$34,$AE673)&gt;0,INDEX(Profils!$AD$5:$AD$34,$AE673)&lt;=$AH673),ROUND(INDEX(Profils!$O$5:$O$34,$AE673)*Paramètres!$E$31*$AG673*$AJ673,Paramètres!$F$31),0)</f>
        <v>16</v>
      </c>
      <c r="V673" s="20" t="n">
        <f aca="false" t="array" ref="V673:V673">IF(AND(INDEX(Profils!$P$5:$P$34,$AE673)&gt;0,INDEX(Profils!$AE$5:$AE$34,$AE673)&lt;=$AH673),ROUND(INDEX(Profils!$P$5:$P$34,$AE673)*Paramètres!$E$32*$AG673*$AJ673,Paramètres!$F$32),0)</f>
        <v>0</v>
      </c>
      <c r="W673" s="20" t="n">
        <f aca="false" t="array" ref="W673:W673">IF(AND(INDEX(Profils!$Q$5:$Q$34,$AE673)&gt;0,INDEX(Profils!$AF$5:$AF$34,$AE673)&lt;=$AH673),ROUND(INDEX(Profils!$Q$5:$Q$34,$AE673)*Paramètres!$E$33*$AG673*$AJ673,Paramètres!$F$33),0)</f>
        <v>0</v>
      </c>
      <c r="X673" s="20" t="n">
        <f aca="false" t="array" ref="X673:X673">IF(AND(INDEX(Profils!$R$5:$R$34,$AE673)&gt;0,INDEX(Profils!$AG$5:$AG$34,$AE673)&lt;=$AH673),ROUND(INDEX(Profils!$R$5:$R$34,$AE673)*Paramètres!$E$34*$AG673*$AJ673,Paramètres!$F$34),0)</f>
        <v>0</v>
      </c>
      <c r="Y673" s="20" t="n">
        <f aca="false" t="array" ref="Y673:Y673">IF(AND(INDEX(Profils!$S$5:$S$34,$AE673)&gt;0,INDEX(Profils!$AH$5:$AH$34,$AE673)&lt;=$AH673),ROUND(INDEX(Profils!$S$5:$S$34,$AE673)*Paramètres!$E$35*$AG673*$AJ673,Paramètres!$F$35),0)</f>
        <v>0</v>
      </c>
      <c r="Z673" s="21" t="n">
        <f aca="false">ROUND(L673/Paramètres!$E$22+M673/Paramètres!$E$23+N673/Paramètres!$E$24+O673/Paramètres!$E$25+P673/Paramètres!$E$26+Q673/Paramètres!$E$27+R673/Paramètres!$E$28+S673/Paramètres!$E$29+T673/Paramètres!$E$30+U673/Paramètres!$E$31+V673/Paramètres!$E$32+W673/Paramètres!$E$33+X673/Paramètres!$E$34+Y673/Paramètres!$E$35,1)</f>
        <v>3.9</v>
      </c>
      <c r="AA673" s="22" t="s">
        <v>109</v>
      </c>
      <c r="AB673" s="22" t="s">
        <v>109</v>
      </c>
      <c r="AC673" s="15" t="str">
        <f aca="false">$E673</f>
        <v>cuir clouté</v>
      </c>
      <c r="AD673" s="16" t="n">
        <f aca="false" t="array" ref="AD673:AD673">IF($I673&gt;=$AI673,"Max",ROUND(Paramètres!$B$40*($I673+1)^Paramètres!$B$41*INDEX(Paramètres!$H$6:$H$12,$AF673),0))</f>
        <v>6</v>
      </c>
      <c r="AE673" s="23" t="n">
        <f aca="false">MATCH($B673&amp;"|"&amp;$C673,Profils!$A$5:$A$34,0)</f>
        <v>22</v>
      </c>
      <c r="AF673" s="23" t="n">
        <v>5</v>
      </c>
      <c r="AG673" s="24" t="n">
        <f aca="false" t="array" ref="AG673:AG673">INDEX(Paramètres!$C$6:$C$12,$AF673)</f>
        <v>2.1</v>
      </c>
      <c r="AH673" s="23" t="n">
        <f aca="false" t="array" ref="AH673:AH673">INDEX(Paramètres!$D$6:$D$12,$AF673)</f>
        <v>6</v>
      </c>
      <c r="AI673" s="23" t="n">
        <f aca="false" t="array" ref="AI673:AI673">INDEX(Matériaux!$C$16:$C$20,$D673)</f>
        <v>25</v>
      </c>
      <c r="AJ673" s="25" t="n">
        <f aca="false">Paramètres!$B$16+(1-Paramètres!$B$16)*(($J673-Paramètres!$B$14)/(Paramètres!$B$15-Paramètres!$B$14))^Paramètres!$B$17</f>
        <v>0.26769024555533</v>
      </c>
    </row>
    <row r="674" customFormat="false" ht="15.75" hidden="false" customHeight="true" outlineLevel="0" collapsed="false">
      <c r="A674" s="14" t="s">
        <v>790</v>
      </c>
      <c r="B674" s="15" t="s">
        <v>31</v>
      </c>
      <c r="C674" s="15" t="s">
        <v>90</v>
      </c>
      <c r="D674" s="16" t="n">
        <v>3</v>
      </c>
      <c r="E674" s="15" t="str">
        <f aca="false" t="array" ref="E674:E674">INDEX(Matériaux!$B$5:$F$12,MATCH(INDEX(Profils!$E$5:$E$34,$AE674),Matériaux!$A$5:$A$12,0),$D674)</f>
        <v>cuir clouté</v>
      </c>
      <c r="F674" s="30" t="s">
        <v>119</v>
      </c>
      <c r="G674" s="10" t="str">
        <f aca="false" t="array" ref="G674:G674">INDEX(Profils!$D$5:$D$34,$AE674)&amp;" en "&amp;$E674</f>
        <v>Veste en cuir clouté</v>
      </c>
      <c r="H674" s="16" t="n">
        <f aca="false" t="array" ref="H674:H674">INDEX(Matériaux!$B$16:$B$20,$D674)</f>
        <v>30</v>
      </c>
      <c r="I674" s="16" t="n">
        <f aca="false">IF(ISNUMBER($C$3),MIN(MAX(0,ROUND($C$3,0)),$AI674),$AI674)</f>
        <v>0</v>
      </c>
      <c r="J674" s="18" t="n">
        <f aca="false">$H674+$I674</f>
        <v>30</v>
      </c>
      <c r="K674" s="15" t="s">
        <v>109</v>
      </c>
      <c r="L674" s="19" t="n">
        <f aca="false" t="array" ref="L674:L674">IF(AND(INDEX(Profils!$F$5:$F$34,$AE674)&gt;0,INDEX(Profils!$U$5:$U$34,$AE674)&lt;=$AH674),ROUND(INDEX(Profils!$F$5:$F$34,$AE674)*Paramètres!$E$22*$AG674*$AJ674,Paramètres!$F$22),0)</f>
        <v>26</v>
      </c>
      <c r="M674" s="19" t="n">
        <f aca="false" t="array" ref="M674:M674">IF(AND(INDEX(Profils!$G$5:$G$34,$AE674)&gt;0,INDEX(Profils!$V$5:$V$34,$AE674)&lt;=$AH674),ROUND(INDEX(Profils!$G$5:$G$34,$AE674)*Paramètres!$E$23*$AG674*$AJ674,Paramètres!$F$23),0)</f>
        <v>6</v>
      </c>
      <c r="N674" s="19" t="n">
        <f aca="false" t="array" ref="N674:N674">IF(AND(INDEX(Profils!$H$5:$H$34,$AE674)&gt;0,INDEX(Profils!$W$5:$W$34,$AE674)&lt;=$AH674),ROUND(INDEX(Profils!$H$5:$H$34,$AE674)*Paramètres!$E$24*$AG674*$AJ674,Paramètres!$F$24),0)</f>
        <v>10</v>
      </c>
      <c r="O674" s="19" t="n">
        <f aca="false" t="array" ref="O674:O674">IF(AND(INDEX(Profils!$I$5:$I$34,$AE674)&gt;0,INDEX(Profils!$X$5:$X$34,$AE674)&lt;=$AH674),ROUND(INDEX(Profils!$I$5:$I$34,$AE674)*Paramètres!$E$25*$AG674*$AJ674,Paramètres!$F$25),0)</f>
        <v>0</v>
      </c>
      <c r="P674" s="19" t="n">
        <f aca="false" t="array" ref="P674:P674">IF(AND(INDEX(Profils!$J$5:$J$34,$AE674)&gt;0,INDEX(Profils!$Y$5:$Y$34,$AE674)&lt;=$AH674),ROUND(INDEX(Profils!$J$5:$J$34,$AE674)*Paramètres!$E$26*$AG674*$AJ674,Paramètres!$F$26),0)</f>
        <v>12</v>
      </c>
      <c r="Q674" s="19" t="n">
        <f aca="false" t="array" ref="Q674:Q674">IF(AND(INDEX(Profils!$K$5:$K$34,$AE674)&gt;0,INDEX(Profils!$Z$5:$Z$34,$AE674)&lt;=$AH674),ROUND(INDEX(Profils!$K$5:$K$34,$AE674)*Paramètres!$E$27*$AG674*$AJ674,Paramètres!$F$27),0)</f>
        <v>0</v>
      </c>
      <c r="R674" s="20" t="n">
        <f aca="false" t="array" ref="R674:R674">IF(AND(INDEX(Profils!$L$5:$L$34,$AE674)&gt;0,INDEX(Profils!$AA$5:$AA$34,$AE674)&lt;=$AH674),ROUND(INDEX(Profils!$L$5:$L$34,$AE674)*Paramètres!$E$28*$AG674*$AJ674,Paramètres!$F$28),0)</f>
        <v>0.008</v>
      </c>
      <c r="S674" s="20" t="n">
        <f aca="false" t="array" ref="S674:S674">IF(AND(INDEX(Profils!$M$5:$M$34,$AE674)&gt;0,INDEX(Profils!$AB$5:$AB$34,$AE674)&lt;=$AH674),ROUND(INDEX(Profils!$M$5:$M$34,$AE674)*Paramètres!$E$29*$AG674*$AJ674,Paramètres!$F$29),0)</f>
        <v>0</v>
      </c>
      <c r="T674" s="20" t="n">
        <f aca="false" t="array" ref="T674:T674">IF(AND(INDEX(Profils!$N$5:$N$34,$AE674)&gt;0,INDEX(Profils!$AC$5:$AC$34,$AE674)&lt;=$AH674),ROUND(INDEX(Profils!$N$5:$N$34,$AE674)*Paramètres!$E$30*$AG674*$AJ674,Paramètres!$F$30),0)</f>
        <v>0</v>
      </c>
      <c r="U674" s="19" t="n">
        <f aca="false" t="array" ref="U674:U674">IF(AND(INDEX(Profils!$O$5:$O$34,$AE674)&gt;0,INDEX(Profils!$AD$5:$AD$34,$AE674)&lt;=$AH674),ROUND(INDEX(Profils!$O$5:$O$34,$AE674)*Paramètres!$E$31*$AG674*$AJ674,Paramètres!$F$31),0)</f>
        <v>18</v>
      </c>
      <c r="V674" s="20" t="n">
        <f aca="false" t="array" ref="V674:V674">IF(AND(INDEX(Profils!$P$5:$P$34,$AE674)&gt;0,INDEX(Profils!$AE$5:$AE$34,$AE674)&lt;=$AH674),ROUND(INDEX(Profils!$P$5:$P$34,$AE674)*Paramètres!$E$32*$AG674*$AJ674,Paramètres!$F$32),0)</f>
        <v>0</v>
      </c>
      <c r="W674" s="20" t="n">
        <f aca="false" t="array" ref="W674:W674">IF(AND(INDEX(Profils!$Q$5:$Q$34,$AE674)&gt;0,INDEX(Profils!$AF$5:$AF$34,$AE674)&lt;=$AH674),ROUND(INDEX(Profils!$Q$5:$Q$34,$AE674)*Paramètres!$E$33*$AG674*$AJ674,Paramètres!$F$33),0)</f>
        <v>0.006</v>
      </c>
      <c r="X674" s="20" t="n">
        <f aca="false" t="array" ref="X674:X674">IF(AND(INDEX(Profils!$R$5:$R$34,$AE674)&gt;0,INDEX(Profils!$AG$5:$AG$34,$AE674)&lt;=$AH674),ROUND(INDEX(Profils!$R$5:$R$34,$AE674)*Paramètres!$E$34*$AG674*$AJ674,Paramètres!$F$34),0)</f>
        <v>0</v>
      </c>
      <c r="Y674" s="20" t="n">
        <f aca="false" t="array" ref="Y674:Y674">IF(AND(INDEX(Profils!$S$5:$S$34,$AE674)&gt;0,INDEX(Profils!$AH$5:$AH$34,$AE674)&lt;=$AH674),ROUND(INDEX(Profils!$S$5:$S$34,$AE674)*Paramètres!$E$35*$AG674*$AJ674,Paramètres!$F$35),0)</f>
        <v>0</v>
      </c>
      <c r="Z674" s="21" t="n">
        <f aca="false">ROUND(L674/Paramètres!$E$22+M674/Paramètres!$E$23+N674/Paramètres!$E$24+O674/Paramètres!$E$25+P674/Paramètres!$E$26+Q674/Paramètres!$E$27+R674/Paramètres!$E$28+S674/Paramètres!$E$29+T674/Paramètres!$E$30+U674/Paramètres!$E$31+V674/Paramètres!$E$32+W674/Paramètres!$E$33+X674/Paramètres!$E$34+Y674/Paramètres!$E$35,1)</f>
        <v>4.9</v>
      </c>
      <c r="AA674" s="22" t="s">
        <v>109</v>
      </c>
      <c r="AB674" s="22" t="s">
        <v>109</v>
      </c>
      <c r="AC674" s="15" t="str">
        <f aca="false">$E674</f>
        <v>cuir clouté</v>
      </c>
      <c r="AD674" s="16" t="n">
        <f aca="false" t="array" ref="AD674:AD674">IF($I674&gt;=$AI674,"Max",ROUND(Paramètres!$B$40*($I674+1)^Paramètres!$B$41*INDEX(Paramètres!$H$6:$H$12,$AF674),0))</f>
        <v>8</v>
      </c>
      <c r="AE674" s="23" t="n">
        <f aca="false">MATCH($B674&amp;"|"&amp;$C674,Profils!$A$5:$A$34,0)</f>
        <v>22</v>
      </c>
      <c r="AF674" s="23" t="n">
        <v>6</v>
      </c>
      <c r="AG674" s="24" t="n">
        <f aca="false" t="array" ref="AG674:AG674">INDEX(Paramètres!$C$6:$C$12,$AF674)</f>
        <v>2.4</v>
      </c>
      <c r="AH674" s="23" t="n">
        <f aca="false" t="array" ref="AH674:AH674">INDEX(Paramètres!$D$6:$D$12,$AF674)</f>
        <v>7</v>
      </c>
      <c r="AI674" s="23" t="n">
        <f aca="false" t="array" ref="AI674:AI674">INDEX(Matériaux!$C$16:$C$20,$D674)</f>
        <v>25</v>
      </c>
      <c r="AJ674" s="25" t="n">
        <f aca="false">Paramètres!$B$16+(1-Paramètres!$B$16)*(($J674-Paramètres!$B$14)/(Paramètres!$B$15-Paramètres!$B$14))^Paramètres!$B$17</f>
        <v>0.26769024555533</v>
      </c>
    </row>
    <row r="675" customFormat="false" ht="15.75" hidden="false" customHeight="true" outlineLevel="0" collapsed="false">
      <c r="A675" s="14" t="s">
        <v>791</v>
      </c>
      <c r="B675" s="15" t="s">
        <v>31</v>
      </c>
      <c r="C675" s="15" t="s">
        <v>90</v>
      </c>
      <c r="D675" s="16" t="n">
        <v>4</v>
      </c>
      <c r="E675" s="15" t="str">
        <f aca="false" t="array" ref="E675:E675">INDEX(Matériaux!$B$5:$F$12,MATCH(INDEX(Profils!$E$5:$E$34,$AE675),Matériaux!$A$5:$A$12,0),$D675)</f>
        <v>écailles</v>
      </c>
      <c r="F675" s="17" t="s">
        <v>108</v>
      </c>
      <c r="G675" s="10" t="str">
        <f aca="false" t="array" ref="G675:G675">INDEX(Profils!$D$5:$D$34,$AE675)&amp;" en "&amp;$E675</f>
        <v>Veste en écailles</v>
      </c>
      <c r="H675" s="16" t="n">
        <f aca="false" t="array" ref="H675:H675">INDEX(Matériaux!$B$16:$B$20,$D675)</f>
        <v>50</v>
      </c>
      <c r="I675" s="16" t="n">
        <f aca="false">IF(ISNUMBER($C$3),MIN(MAX(0,ROUND($C$3,0)),$AI675),$AI675)</f>
        <v>0</v>
      </c>
      <c r="J675" s="18" t="n">
        <f aca="false">$H675+$I675</f>
        <v>50</v>
      </c>
      <c r="K675" s="15" t="s">
        <v>109</v>
      </c>
      <c r="L675" s="19" t="n">
        <f aca="false" t="array" ref="L675:L675">IF(AND(INDEX(Profils!$F$5:$F$34,$AE675)&gt;0,INDEX(Profils!$U$5:$U$34,$AE675)&lt;=$AH675),ROUND(INDEX(Profils!$F$5:$F$34,$AE675)*Paramètres!$E$22*$AG675*$AJ675,Paramètres!$F$22),0)</f>
        <v>18</v>
      </c>
      <c r="M675" s="19" t="n">
        <f aca="false" t="array" ref="M675:M675">IF(AND(INDEX(Profils!$G$5:$G$34,$AE675)&gt;0,INDEX(Profils!$V$5:$V$34,$AE675)&lt;=$AH675),ROUND(INDEX(Profils!$G$5:$G$34,$AE675)*Paramètres!$E$23*$AG675*$AJ675,Paramètres!$F$23),0)</f>
        <v>0</v>
      </c>
      <c r="N675" s="19" t="n">
        <f aca="false" t="array" ref="N675:N675">IF(AND(INDEX(Profils!$H$5:$H$34,$AE675)&gt;0,INDEX(Profils!$W$5:$W$34,$AE675)&lt;=$AH675),ROUND(INDEX(Profils!$H$5:$H$34,$AE675)*Paramètres!$E$24*$AG675*$AJ675,Paramètres!$F$24),0)</f>
        <v>0</v>
      </c>
      <c r="O675" s="19" t="n">
        <f aca="false" t="array" ref="O675:O675">IF(AND(INDEX(Profils!$I$5:$I$34,$AE675)&gt;0,INDEX(Profils!$X$5:$X$34,$AE675)&lt;=$AH675),ROUND(INDEX(Profils!$I$5:$I$34,$AE675)*Paramètres!$E$25*$AG675*$AJ675,Paramètres!$F$25),0)</f>
        <v>0</v>
      </c>
      <c r="P675" s="19" t="n">
        <f aca="false" t="array" ref="P675:P675">IF(AND(INDEX(Profils!$J$5:$J$34,$AE675)&gt;0,INDEX(Profils!$Y$5:$Y$34,$AE675)&lt;=$AH675),ROUND(INDEX(Profils!$J$5:$J$34,$AE675)*Paramètres!$E$26*$AG675*$AJ675,Paramètres!$F$26),0)</f>
        <v>9</v>
      </c>
      <c r="Q675" s="19" t="n">
        <f aca="false" t="array" ref="Q675:Q675">IF(AND(INDEX(Profils!$K$5:$K$34,$AE675)&gt;0,INDEX(Profils!$Z$5:$Z$34,$AE675)&lt;=$AH675),ROUND(INDEX(Profils!$K$5:$K$34,$AE675)*Paramètres!$E$27*$AG675*$AJ675,Paramètres!$F$27),0)</f>
        <v>0</v>
      </c>
      <c r="R675" s="20" t="n">
        <f aca="false" t="array" ref="R675:R675">IF(AND(INDEX(Profils!$L$5:$L$34,$AE675)&gt;0,INDEX(Profils!$AA$5:$AA$34,$AE675)&lt;=$AH675),ROUND(INDEX(Profils!$L$5:$L$34,$AE675)*Paramètres!$E$28*$AG675*$AJ675,Paramètres!$F$28),0)</f>
        <v>0</v>
      </c>
      <c r="S675" s="20" t="n">
        <f aca="false" t="array" ref="S675:S675">IF(AND(INDEX(Profils!$M$5:$M$34,$AE675)&gt;0,INDEX(Profils!$AB$5:$AB$34,$AE675)&lt;=$AH675),ROUND(INDEX(Profils!$M$5:$M$34,$AE675)*Paramètres!$E$29*$AG675*$AJ675,Paramètres!$F$29),0)</f>
        <v>0</v>
      </c>
      <c r="T675" s="20" t="n">
        <f aca="false" t="array" ref="T675:T675">IF(AND(INDEX(Profils!$N$5:$N$34,$AE675)&gt;0,INDEX(Profils!$AC$5:$AC$34,$AE675)&lt;=$AH675),ROUND(INDEX(Profils!$N$5:$N$34,$AE675)*Paramètres!$E$30*$AG675*$AJ675,Paramètres!$F$30),0)</f>
        <v>0</v>
      </c>
      <c r="U675" s="19" t="n">
        <f aca="false" t="array" ref="U675:U675">IF(AND(INDEX(Profils!$O$5:$O$34,$AE675)&gt;0,INDEX(Profils!$AD$5:$AD$34,$AE675)&lt;=$AH675),ROUND(INDEX(Profils!$O$5:$O$34,$AE675)*Paramètres!$E$31*$AG675*$AJ675,Paramètres!$F$31),0)</f>
        <v>0</v>
      </c>
      <c r="V675" s="20" t="n">
        <f aca="false" t="array" ref="V675:V675">IF(AND(INDEX(Profils!$P$5:$P$34,$AE675)&gt;0,INDEX(Profils!$AE$5:$AE$34,$AE675)&lt;=$AH675),ROUND(INDEX(Profils!$P$5:$P$34,$AE675)*Paramètres!$E$32*$AG675*$AJ675,Paramètres!$F$32),0)</f>
        <v>0</v>
      </c>
      <c r="W675" s="20" t="n">
        <f aca="false" t="array" ref="W675:W675">IF(AND(INDEX(Profils!$Q$5:$Q$34,$AE675)&gt;0,INDEX(Profils!$AF$5:$AF$34,$AE675)&lt;=$AH675),ROUND(INDEX(Profils!$Q$5:$Q$34,$AE675)*Paramètres!$E$33*$AG675*$AJ675,Paramètres!$F$33),0)</f>
        <v>0</v>
      </c>
      <c r="X675" s="20" t="n">
        <f aca="false" t="array" ref="X675:X675">IF(AND(INDEX(Profils!$R$5:$R$34,$AE675)&gt;0,INDEX(Profils!$AG$5:$AG$34,$AE675)&lt;=$AH675),ROUND(INDEX(Profils!$R$5:$R$34,$AE675)*Paramètres!$E$34*$AG675*$AJ675,Paramètres!$F$34),0)</f>
        <v>0</v>
      </c>
      <c r="Y675" s="20" t="n">
        <f aca="false" t="array" ref="Y675:Y675">IF(AND(INDEX(Profils!$S$5:$S$34,$AE675)&gt;0,INDEX(Profils!$AH$5:$AH$34,$AE675)&lt;=$AH675),ROUND(INDEX(Profils!$S$5:$S$34,$AE675)*Paramètres!$E$35*$AG675*$AJ675,Paramètres!$F$35),0)</f>
        <v>0</v>
      </c>
      <c r="Z675" s="21" t="n">
        <f aca="false">ROUND(L675/Paramètres!$E$22+M675/Paramètres!$E$23+N675/Paramètres!$E$24+O675/Paramètres!$E$25+P675/Paramètres!$E$26+Q675/Paramètres!$E$27+R675/Paramètres!$E$28+S675/Paramètres!$E$29+T675/Paramètres!$E$30+U675/Paramètres!$E$31+V675/Paramètres!$E$32+W675/Paramètres!$E$33+X675/Paramètres!$E$34+Y675/Paramètres!$E$35,1)</f>
        <v>1.5</v>
      </c>
      <c r="AA675" s="22" t="s">
        <v>109</v>
      </c>
      <c r="AB675" s="22" t="s">
        <v>109</v>
      </c>
      <c r="AC675" s="15" t="str">
        <f aca="false">$E675</f>
        <v>écailles</v>
      </c>
      <c r="AD675" s="16" t="n">
        <f aca="false" t="array" ref="AD675:AD675">IF($I675&gt;=$AI675,"Max",ROUND(Paramètres!$B$40*($I675+1)^Paramètres!$B$41*INDEX(Paramètres!$H$6:$H$12,$AF675),0))</f>
        <v>3</v>
      </c>
      <c r="AE675" s="23" t="n">
        <f aca="false">MATCH($B675&amp;"|"&amp;$C675,Profils!$A$5:$A$34,0)</f>
        <v>22</v>
      </c>
      <c r="AF675" s="23" t="n">
        <v>1</v>
      </c>
      <c r="AG675" s="24" t="n">
        <f aca="false" t="array" ref="AG675:AG675">INDEX(Paramètres!$C$6:$C$12,$AF675)</f>
        <v>1</v>
      </c>
      <c r="AH675" s="23" t="n">
        <f aca="false" t="array" ref="AH675:AH675">INDEX(Paramètres!$D$6:$D$12,$AF675)</f>
        <v>2</v>
      </c>
      <c r="AI675" s="23" t="n">
        <f aca="false" t="array" ref="AI675:AI675">INDEX(Matériaux!$C$16:$C$20,$D675)</f>
        <v>25</v>
      </c>
      <c r="AJ675" s="25" t="n">
        <f aca="false">Paramètres!$B$16+(1-Paramètres!$B$16)*(($J675-Paramètres!$B$14)/(Paramètres!$B$15-Paramètres!$B$14))^Paramètres!$B$17</f>
        <v>0.458504333336152</v>
      </c>
    </row>
    <row r="676" customFormat="false" ht="15.75" hidden="false" customHeight="true" outlineLevel="0" collapsed="false">
      <c r="A676" s="14" t="s">
        <v>792</v>
      </c>
      <c r="B676" s="15" t="s">
        <v>31</v>
      </c>
      <c r="C676" s="15" t="s">
        <v>90</v>
      </c>
      <c r="D676" s="16" t="n">
        <v>4</v>
      </c>
      <c r="E676" s="15" t="str">
        <f aca="false" t="array" ref="E676:E676">INDEX(Matériaux!$B$5:$F$12,MATCH(INDEX(Profils!$E$5:$E$34,$AE676),Matériaux!$A$5:$A$12,0),$D676)</f>
        <v>écailles</v>
      </c>
      <c r="F676" s="26" t="s">
        <v>111</v>
      </c>
      <c r="G676" s="10" t="str">
        <f aca="false" t="array" ref="G676:G676">INDEX(Profils!$D$5:$D$34,$AE676)&amp;" en "&amp;$E676</f>
        <v>Veste en écailles</v>
      </c>
      <c r="H676" s="16" t="n">
        <f aca="false" t="array" ref="H676:H676">INDEX(Matériaux!$B$16:$B$20,$D676)</f>
        <v>50</v>
      </c>
      <c r="I676" s="16" t="n">
        <f aca="false">IF(ISNUMBER($C$3),MIN(MAX(0,ROUND($C$3,0)),$AI676),$AI676)</f>
        <v>0</v>
      </c>
      <c r="J676" s="18" t="n">
        <f aca="false">$H676+$I676</f>
        <v>50</v>
      </c>
      <c r="K676" s="15" t="s">
        <v>109</v>
      </c>
      <c r="L676" s="19" t="n">
        <f aca="false" t="array" ref="L676:L676">IF(AND(INDEX(Profils!$F$5:$F$34,$AE676)&gt;0,INDEX(Profils!$U$5:$U$34,$AE676)&lt;=$AH676),ROUND(INDEX(Profils!$F$5:$F$34,$AE676)*Paramètres!$E$22*$AG676*$AJ676,Paramètres!$F$22),0)</f>
        <v>22</v>
      </c>
      <c r="M676" s="19" t="n">
        <f aca="false" t="array" ref="M676:M676">IF(AND(INDEX(Profils!$G$5:$G$34,$AE676)&gt;0,INDEX(Profils!$V$5:$V$34,$AE676)&lt;=$AH676),ROUND(INDEX(Profils!$G$5:$G$34,$AE676)*Paramètres!$E$23*$AG676*$AJ676,Paramètres!$F$23),0)</f>
        <v>0</v>
      </c>
      <c r="N676" s="19" t="n">
        <f aca="false" t="array" ref="N676:N676">IF(AND(INDEX(Profils!$H$5:$H$34,$AE676)&gt;0,INDEX(Profils!$W$5:$W$34,$AE676)&lt;=$AH676),ROUND(INDEX(Profils!$H$5:$H$34,$AE676)*Paramètres!$E$24*$AG676*$AJ676,Paramètres!$F$24),0)</f>
        <v>0</v>
      </c>
      <c r="O676" s="19" t="n">
        <f aca="false" t="array" ref="O676:O676">IF(AND(INDEX(Profils!$I$5:$I$34,$AE676)&gt;0,INDEX(Profils!$X$5:$X$34,$AE676)&lt;=$AH676),ROUND(INDEX(Profils!$I$5:$I$34,$AE676)*Paramètres!$E$25*$AG676*$AJ676,Paramètres!$F$25),0)</f>
        <v>0</v>
      </c>
      <c r="P676" s="19" t="n">
        <f aca="false" t="array" ref="P676:P676">IF(AND(INDEX(Profils!$J$5:$J$34,$AE676)&gt;0,INDEX(Profils!$Y$5:$Y$34,$AE676)&lt;=$AH676),ROUND(INDEX(Profils!$J$5:$J$34,$AE676)*Paramètres!$E$26*$AG676*$AJ676,Paramètres!$F$26),0)</f>
        <v>11</v>
      </c>
      <c r="Q676" s="19" t="n">
        <f aca="false" t="array" ref="Q676:Q676">IF(AND(INDEX(Profils!$K$5:$K$34,$AE676)&gt;0,INDEX(Profils!$Z$5:$Z$34,$AE676)&lt;=$AH676),ROUND(INDEX(Profils!$K$5:$K$34,$AE676)*Paramètres!$E$27*$AG676*$AJ676,Paramètres!$F$27),0)</f>
        <v>0</v>
      </c>
      <c r="R676" s="20" t="n">
        <f aca="false" t="array" ref="R676:R676">IF(AND(INDEX(Profils!$L$5:$L$34,$AE676)&gt;0,INDEX(Profils!$AA$5:$AA$34,$AE676)&lt;=$AH676),ROUND(INDEX(Profils!$L$5:$L$34,$AE676)*Paramètres!$E$28*$AG676*$AJ676,Paramètres!$F$28),0)</f>
        <v>0</v>
      </c>
      <c r="S676" s="20" t="n">
        <f aca="false" t="array" ref="S676:S676">IF(AND(INDEX(Profils!$M$5:$M$34,$AE676)&gt;0,INDEX(Profils!$AB$5:$AB$34,$AE676)&lt;=$AH676),ROUND(INDEX(Profils!$M$5:$M$34,$AE676)*Paramètres!$E$29*$AG676*$AJ676,Paramètres!$F$29),0)</f>
        <v>0</v>
      </c>
      <c r="T676" s="20" t="n">
        <f aca="false" t="array" ref="T676:T676">IF(AND(INDEX(Profils!$N$5:$N$34,$AE676)&gt;0,INDEX(Profils!$AC$5:$AC$34,$AE676)&lt;=$AH676),ROUND(INDEX(Profils!$N$5:$N$34,$AE676)*Paramètres!$E$30*$AG676*$AJ676,Paramètres!$F$30),0)</f>
        <v>0</v>
      </c>
      <c r="U676" s="19" t="n">
        <f aca="false" t="array" ref="U676:U676">IF(AND(INDEX(Profils!$O$5:$O$34,$AE676)&gt;0,INDEX(Profils!$AD$5:$AD$34,$AE676)&lt;=$AH676),ROUND(INDEX(Profils!$O$5:$O$34,$AE676)*Paramètres!$E$31*$AG676*$AJ676,Paramètres!$F$31),0)</f>
        <v>15</v>
      </c>
      <c r="V676" s="20" t="n">
        <f aca="false" t="array" ref="V676:V676">IF(AND(INDEX(Profils!$P$5:$P$34,$AE676)&gt;0,INDEX(Profils!$AE$5:$AE$34,$AE676)&lt;=$AH676),ROUND(INDEX(Profils!$P$5:$P$34,$AE676)*Paramètres!$E$32*$AG676*$AJ676,Paramètres!$F$32),0)</f>
        <v>0</v>
      </c>
      <c r="W676" s="20" t="n">
        <f aca="false" t="array" ref="W676:W676">IF(AND(INDEX(Profils!$Q$5:$Q$34,$AE676)&gt;0,INDEX(Profils!$AF$5:$AF$34,$AE676)&lt;=$AH676),ROUND(INDEX(Profils!$Q$5:$Q$34,$AE676)*Paramètres!$E$33*$AG676*$AJ676,Paramètres!$F$33),0)</f>
        <v>0</v>
      </c>
      <c r="X676" s="20" t="n">
        <f aca="false" t="array" ref="X676:X676">IF(AND(INDEX(Profils!$R$5:$R$34,$AE676)&gt;0,INDEX(Profils!$AG$5:$AG$34,$AE676)&lt;=$AH676),ROUND(INDEX(Profils!$R$5:$R$34,$AE676)*Paramètres!$E$34*$AG676*$AJ676,Paramètres!$F$34),0)</f>
        <v>0</v>
      </c>
      <c r="Y676" s="20" t="n">
        <f aca="false" t="array" ref="Y676:Y676">IF(AND(INDEX(Profils!$S$5:$S$34,$AE676)&gt;0,INDEX(Profils!$AH$5:$AH$34,$AE676)&lt;=$AH676),ROUND(INDEX(Profils!$S$5:$S$34,$AE676)*Paramètres!$E$35*$AG676*$AJ676,Paramètres!$F$35),0)</f>
        <v>0</v>
      </c>
      <c r="Z676" s="21" t="n">
        <f aca="false">ROUND(L676/Paramètres!$E$22+M676/Paramètres!$E$23+N676/Paramètres!$E$24+O676/Paramètres!$E$25+P676/Paramètres!$E$26+Q676/Paramètres!$E$27+R676/Paramètres!$E$28+S676/Paramètres!$E$29+T676/Paramètres!$E$30+U676/Paramètres!$E$31+V676/Paramètres!$E$32+W676/Paramètres!$E$33+X676/Paramètres!$E$34+Y676/Paramètres!$E$35,1)</f>
        <v>2.5</v>
      </c>
      <c r="AA676" s="22" t="s">
        <v>109</v>
      </c>
      <c r="AB676" s="22" t="s">
        <v>109</v>
      </c>
      <c r="AC676" s="15" t="str">
        <f aca="false">$E676</f>
        <v>écailles</v>
      </c>
      <c r="AD676" s="16" t="n">
        <f aca="false" t="array" ref="AD676:AD676">IF($I676&gt;=$AI676,"Max",ROUND(Paramètres!$B$40*($I676+1)^Paramètres!$B$41*INDEX(Paramètres!$H$6:$H$12,$AF676),0))</f>
        <v>4</v>
      </c>
      <c r="AE676" s="23" t="n">
        <f aca="false">MATCH($B676&amp;"|"&amp;$C676,Profils!$A$5:$A$34,0)</f>
        <v>22</v>
      </c>
      <c r="AF676" s="23" t="n">
        <v>2</v>
      </c>
      <c r="AG676" s="24" t="n">
        <f aca="false" t="array" ref="AG676:AG676">INDEX(Paramètres!$C$6:$C$12,$AF676)</f>
        <v>1.2</v>
      </c>
      <c r="AH676" s="23" t="n">
        <f aca="false" t="array" ref="AH676:AH676">INDEX(Paramètres!$D$6:$D$12,$AF676)</f>
        <v>3</v>
      </c>
      <c r="AI676" s="23" t="n">
        <f aca="false" t="array" ref="AI676:AI676">INDEX(Matériaux!$C$16:$C$20,$D676)</f>
        <v>25</v>
      </c>
      <c r="AJ676" s="25" t="n">
        <f aca="false">Paramètres!$B$16+(1-Paramètres!$B$16)*(($J676-Paramètres!$B$14)/(Paramètres!$B$15-Paramètres!$B$14))^Paramètres!$B$17</f>
        <v>0.458504333336152</v>
      </c>
    </row>
    <row r="677" customFormat="false" ht="15.75" hidden="false" customHeight="true" outlineLevel="0" collapsed="false">
      <c r="A677" s="14" t="s">
        <v>793</v>
      </c>
      <c r="B677" s="15" t="s">
        <v>31</v>
      </c>
      <c r="C677" s="15" t="s">
        <v>90</v>
      </c>
      <c r="D677" s="16" t="n">
        <v>4</v>
      </c>
      <c r="E677" s="15" t="str">
        <f aca="false" t="array" ref="E677:E677">INDEX(Matériaux!$B$5:$F$12,MATCH(INDEX(Profils!$E$5:$E$34,$AE677),Matériaux!$A$5:$A$12,0),$D677)</f>
        <v>écailles</v>
      </c>
      <c r="F677" s="27" t="s">
        <v>113</v>
      </c>
      <c r="G677" s="10" t="str">
        <f aca="false" t="array" ref="G677:G677">INDEX(Profils!$D$5:$D$34,$AE677)&amp;" en "&amp;$E677</f>
        <v>Veste en écailles</v>
      </c>
      <c r="H677" s="16" t="n">
        <f aca="false" t="array" ref="H677:H677">INDEX(Matériaux!$B$16:$B$20,$D677)</f>
        <v>50</v>
      </c>
      <c r="I677" s="16" t="n">
        <f aca="false">IF(ISNUMBER($C$3),MIN(MAX(0,ROUND($C$3,0)),$AI677),$AI677)</f>
        <v>0</v>
      </c>
      <c r="J677" s="18" t="n">
        <f aca="false">$H677+$I677</f>
        <v>50</v>
      </c>
      <c r="K677" s="15" t="s">
        <v>109</v>
      </c>
      <c r="L677" s="19" t="n">
        <f aca="false" t="array" ref="L677:L677">IF(AND(INDEX(Profils!$F$5:$F$34,$AE677)&gt;0,INDEX(Profils!$U$5:$U$34,$AE677)&lt;=$AH677),ROUND(INDEX(Profils!$F$5:$F$34,$AE677)*Paramètres!$E$22*$AG677*$AJ677,Paramètres!$F$22),0)</f>
        <v>27</v>
      </c>
      <c r="M677" s="19" t="n">
        <f aca="false" t="array" ref="M677:M677">IF(AND(INDEX(Profils!$G$5:$G$34,$AE677)&gt;0,INDEX(Profils!$V$5:$V$34,$AE677)&lt;=$AH677),ROUND(INDEX(Profils!$G$5:$G$34,$AE677)*Paramètres!$E$23*$AG677*$AJ677,Paramètres!$F$23),0)</f>
        <v>0</v>
      </c>
      <c r="N677" s="19" t="n">
        <f aca="false" t="array" ref="N677:N677">IF(AND(INDEX(Profils!$H$5:$H$34,$AE677)&gt;0,INDEX(Profils!$W$5:$W$34,$AE677)&lt;=$AH677),ROUND(INDEX(Profils!$H$5:$H$34,$AE677)*Paramètres!$E$24*$AG677*$AJ677,Paramètres!$F$24),0)</f>
        <v>10</v>
      </c>
      <c r="O677" s="19" t="n">
        <f aca="false" t="array" ref="O677:O677">IF(AND(INDEX(Profils!$I$5:$I$34,$AE677)&gt;0,INDEX(Profils!$X$5:$X$34,$AE677)&lt;=$AH677),ROUND(INDEX(Profils!$I$5:$I$34,$AE677)*Paramètres!$E$25*$AG677*$AJ677,Paramètres!$F$25),0)</f>
        <v>0</v>
      </c>
      <c r="P677" s="19" t="n">
        <f aca="false" t="array" ref="P677:P677">IF(AND(INDEX(Profils!$J$5:$J$34,$AE677)&gt;0,INDEX(Profils!$Y$5:$Y$34,$AE677)&lt;=$AH677),ROUND(INDEX(Profils!$J$5:$J$34,$AE677)*Paramètres!$E$26*$AG677*$AJ677,Paramètres!$F$26),0)</f>
        <v>13</v>
      </c>
      <c r="Q677" s="19" t="n">
        <f aca="false" t="array" ref="Q677:Q677">IF(AND(INDEX(Profils!$K$5:$K$34,$AE677)&gt;0,INDEX(Profils!$Z$5:$Z$34,$AE677)&lt;=$AH677),ROUND(INDEX(Profils!$K$5:$K$34,$AE677)*Paramètres!$E$27*$AG677*$AJ677,Paramètres!$F$27),0)</f>
        <v>0</v>
      </c>
      <c r="R677" s="20" t="n">
        <f aca="false" t="array" ref="R677:R677">IF(AND(INDEX(Profils!$L$5:$L$34,$AE677)&gt;0,INDEX(Profils!$AA$5:$AA$34,$AE677)&lt;=$AH677),ROUND(INDEX(Profils!$L$5:$L$34,$AE677)*Paramètres!$E$28*$AG677*$AJ677,Paramètres!$F$28),0)</f>
        <v>0</v>
      </c>
      <c r="S677" s="20" t="n">
        <f aca="false" t="array" ref="S677:S677">IF(AND(INDEX(Profils!$M$5:$M$34,$AE677)&gt;0,INDEX(Profils!$AB$5:$AB$34,$AE677)&lt;=$AH677),ROUND(INDEX(Profils!$M$5:$M$34,$AE677)*Paramètres!$E$29*$AG677*$AJ677,Paramètres!$F$29),0)</f>
        <v>0</v>
      </c>
      <c r="T677" s="20" t="n">
        <f aca="false" t="array" ref="T677:T677">IF(AND(INDEX(Profils!$N$5:$N$34,$AE677)&gt;0,INDEX(Profils!$AC$5:$AC$34,$AE677)&lt;=$AH677),ROUND(INDEX(Profils!$N$5:$N$34,$AE677)*Paramètres!$E$30*$AG677*$AJ677,Paramètres!$F$30),0)</f>
        <v>0</v>
      </c>
      <c r="U677" s="19" t="n">
        <f aca="false" t="array" ref="U677:U677">IF(AND(INDEX(Profils!$O$5:$O$34,$AE677)&gt;0,INDEX(Profils!$AD$5:$AD$34,$AE677)&lt;=$AH677),ROUND(INDEX(Profils!$O$5:$O$34,$AE677)*Paramètres!$E$31*$AG677*$AJ677,Paramètres!$F$31),0)</f>
        <v>19</v>
      </c>
      <c r="V677" s="20" t="n">
        <f aca="false" t="array" ref="V677:V677">IF(AND(INDEX(Profils!$P$5:$P$34,$AE677)&gt;0,INDEX(Profils!$AE$5:$AE$34,$AE677)&lt;=$AH677),ROUND(INDEX(Profils!$P$5:$P$34,$AE677)*Paramètres!$E$32*$AG677*$AJ677,Paramètres!$F$32),0)</f>
        <v>0</v>
      </c>
      <c r="W677" s="20" t="n">
        <f aca="false" t="array" ref="W677:W677">IF(AND(INDEX(Profils!$Q$5:$Q$34,$AE677)&gt;0,INDEX(Profils!$AF$5:$AF$34,$AE677)&lt;=$AH677),ROUND(INDEX(Profils!$Q$5:$Q$34,$AE677)*Paramètres!$E$33*$AG677*$AJ677,Paramètres!$F$33),0)</f>
        <v>0</v>
      </c>
      <c r="X677" s="20" t="n">
        <f aca="false" t="array" ref="X677:X677">IF(AND(INDEX(Profils!$R$5:$R$34,$AE677)&gt;0,INDEX(Profils!$AG$5:$AG$34,$AE677)&lt;=$AH677),ROUND(INDEX(Profils!$R$5:$R$34,$AE677)*Paramètres!$E$34*$AG677*$AJ677,Paramètres!$F$34),0)</f>
        <v>0</v>
      </c>
      <c r="Y677" s="20" t="n">
        <f aca="false" t="array" ref="Y677:Y677">IF(AND(INDEX(Profils!$S$5:$S$34,$AE677)&gt;0,INDEX(Profils!$AH$5:$AH$34,$AE677)&lt;=$AH677),ROUND(INDEX(Profils!$S$5:$S$34,$AE677)*Paramètres!$E$35*$AG677*$AJ677,Paramètres!$F$35),0)</f>
        <v>0</v>
      </c>
      <c r="Z677" s="21" t="n">
        <f aca="false">ROUND(L677/Paramètres!$E$22+M677/Paramètres!$E$23+N677/Paramètres!$E$24+O677/Paramètres!$E$25+P677/Paramètres!$E$26+Q677/Paramètres!$E$27+R677/Paramètres!$E$28+S677/Paramètres!$E$29+T677/Paramètres!$E$30+U677/Paramètres!$E$31+V677/Paramètres!$E$32+W677/Paramètres!$E$33+X677/Paramètres!$E$34+Y677/Paramètres!$E$35,1)</f>
        <v>3.8</v>
      </c>
      <c r="AA677" s="22" t="s">
        <v>109</v>
      </c>
      <c r="AB677" s="22" t="s">
        <v>109</v>
      </c>
      <c r="AC677" s="15" t="str">
        <f aca="false">$E677</f>
        <v>écailles</v>
      </c>
      <c r="AD677" s="16" t="n">
        <f aca="false" t="array" ref="AD677:AD677">IF($I677&gt;=$AI677,"Max",ROUND(Paramètres!$B$40*($I677+1)^Paramètres!$B$41*INDEX(Paramètres!$H$6:$H$12,$AF677),0))</f>
        <v>4</v>
      </c>
      <c r="AE677" s="23" t="n">
        <f aca="false">MATCH($B677&amp;"|"&amp;$C677,Profils!$A$5:$A$34,0)</f>
        <v>22</v>
      </c>
      <c r="AF677" s="23" t="n">
        <v>3</v>
      </c>
      <c r="AG677" s="24" t="n">
        <f aca="false" t="array" ref="AG677:AG677">INDEX(Paramètres!$C$6:$C$12,$AF677)</f>
        <v>1.45</v>
      </c>
      <c r="AH677" s="23" t="n">
        <f aca="false" t="array" ref="AH677:AH677">INDEX(Paramètres!$D$6:$D$12,$AF677)</f>
        <v>4</v>
      </c>
      <c r="AI677" s="23" t="n">
        <f aca="false" t="array" ref="AI677:AI677">INDEX(Matériaux!$C$16:$C$20,$D677)</f>
        <v>25</v>
      </c>
      <c r="AJ677" s="25" t="n">
        <f aca="false">Paramètres!$B$16+(1-Paramètres!$B$16)*(($J677-Paramètres!$B$14)/(Paramètres!$B$15-Paramètres!$B$14))^Paramètres!$B$17</f>
        <v>0.458504333336152</v>
      </c>
    </row>
    <row r="678" customFormat="false" ht="15.75" hidden="false" customHeight="true" outlineLevel="0" collapsed="false">
      <c r="A678" s="14" t="s">
        <v>794</v>
      </c>
      <c r="B678" s="15" t="s">
        <v>31</v>
      </c>
      <c r="C678" s="15" t="s">
        <v>90</v>
      </c>
      <c r="D678" s="16" t="n">
        <v>4</v>
      </c>
      <c r="E678" s="15" t="str">
        <f aca="false" t="array" ref="E678:E678">INDEX(Matériaux!$B$5:$F$12,MATCH(INDEX(Profils!$E$5:$E$34,$AE678),Matériaux!$A$5:$A$12,0),$D678)</f>
        <v>écailles</v>
      </c>
      <c r="F678" s="28" t="s">
        <v>115</v>
      </c>
      <c r="G678" s="10" t="str">
        <f aca="false" t="array" ref="G678:G678">INDEX(Profils!$D$5:$D$34,$AE678)&amp;" en "&amp;$E678</f>
        <v>Veste en écailles</v>
      </c>
      <c r="H678" s="16" t="n">
        <f aca="false" t="array" ref="H678:H678">INDEX(Matériaux!$B$16:$B$20,$D678)</f>
        <v>50</v>
      </c>
      <c r="I678" s="16" t="n">
        <f aca="false">IF(ISNUMBER($C$3),MIN(MAX(0,ROUND($C$3,0)),$AI678),$AI678)</f>
        <v>0</v>
      </c>
      <c r="J678" s="18" t="n">
        <f aca="false">$H678+$I678</f>
        <v>50</v>
      </c>
      <c r="K678" s="15" t="s">
        <v>109</v>
      </c>
      <c r="L678" s="19" t="n">
        <f aca="false" t="array" ref="L678:L678">IF(AND(INDEX(Profils!$F$5:$F$34,$AE678)&gt;0,INDEX(Profils!$U$5:$U$34,$AE678)&lt;=$AH678),ROUND(INDEX(Profils!$F$5:$F$34,$AE678)*Paramètres!$E$22*$AG678*$AJ678,Paramètres!$F$22),0)</f>
        <v>32</v>
      </c>
      <c r="M678" s="19" t="n">
        <f aca="false" t="array" ref="M678:M678">IF(AND(INDEX(Profils!$G$5:$G$34,$AE678)&gt;0,INDEX(Profils!$V$5:$V$34,$AE678)&lt;=$AH678),ROUND(INDEX(Profils!$G$5:$G$34,$AE678)*Paramètres!$E$23*$AG678*$AJ678,Paramètres!$F$23),0)</f>
        <v>0</v>
      </c>
      <c r="N678" s="19" t="n">
        <f aca="false" t="array" ref="N678:N678">IF(AND(INDEX(Profils!$H$5:$H$34,$AE678)&gt;0,INDEX(Profils!$W$5:$W$34,$AE678)&lt;=$AH678),ROUND(INDEX(Profils!$H$5:$H$34,$AE678)*Paramètres!$E$24*$AG678*$AJ678,Paramètres!$F$24),0)</f>
        <v>12</v>
      </c>
      <c r="O678" s="19" t="n">
        <f aca="false" t="array" ref="O678:O678">IF(AND(INDEX(Profils!$I$5:$I$34,$AE678)&gt;0,INDEX(Profils!$X$5:$X$34,$AE678)&lt;=$AH678),ROUND(INDEX(Profils!$I$5:$I$34,$AE678)*Paramètres!$E$25*$AG678*$AJ678,Paramètres!$F$25),0)</f>
        <v>0</v>
      </c>
      <c r="P678" s="19" t="n">
        <f aca="false" t="array" ref="P678:P678">IF(AND(INDEX(Profils!$J$5:$J$34,$AE678)&gt;0,INDEX(Profils!$Y$5:$Y$34,$AE678)&lt;=$AH678),ROUND(INDEX(Profils!$J$5:$J$34,$AE678)*Paramètres!$E$26*$AG678*$AJ678,Paramètres!$F$26),0)</f>
        <v>15</v>
      </c>
      <c r="Q678" s="19" t="n">
        <f aca="false" t="array" ref="Q678:Q678">IF(AND(INDEX(Profils!$K$5:$K$34,$AE678)&gt;0,INDEX(Profils!$Z$5:$Z$34,$AE678)&lt;=$AH678),ROUND(INDEX(Profils!$K$5:$K$34,$AE678)*Paramètres!$E$27*$AG678*$AJ678,Paramètres!$F$27),0)</f>
        <v>0</v>
      </c>
      <c r="R678" s="20" t="n">
        <f aca="false" t="array" ref="R678:R678">IF(AND(INDEX(Profils!$L$5:$L$34,$AE678)&gt;0,INDEX(Profils!$AA$5:$AA$34,$AE678)&lt;=$AH678),ROUND(INDEX(Profils!$L$5:$L$34,$AE678)*Paramètres!$E$28*$AG678*$AJ678,Paramètres!$F$28),0)</f>
        <v>0.01</v>
      </c>
      <c r="S678" s="20" t="n">
        <f aca="false" t="array" ref="S678:S678">IF(AND(INDEX(Profils!$M$5:$M$34,$AE678)&gt;0,INDEX(Profils!$AB$5:$AB$34,$AE678)&lt;=$AH678),ROUND(INDEX(Profils!$M$5:$M$34,$AE678)*Paramètres!$E$29*$AG678*$AJ678,Paramètres!$F$29),0)</f>
        <v>0</v>
      </c>
      <c r="T678" s="20" t="n">
        <f aca="false" t="array" ref="T678:T678">IF(AND(INDEX(Profils!$N$5:$N$34,$AE678)&gt;0,INDEX(Profils!$AC$5:$AC$34,$AE678)&lt;=$AH678),ROUND(INDEX(Profils!$N$5:$N$34,$AE678)*Paramètres!$E$30*$AG678*$AJ678,Paramètres!$F$30),0)</f>
        <v>0</v>
      </c>
      <c r="U678" s="19" t="n">
        <f aca="false" t="array" ref="U678:U678">IF(AND(INDEX(Profils!$O$5:$O$34,$AE678)&gt;0,INDEX(Profils!$AD$5:$AD$34,$AE678)&lt;=$AH678),ROUND(INDEX(Profils!$O$5:$O$34,$AE678)*Paramètres!$E$31*$AG678*$AJ678,Paramètres!$F$31),0)</f>
        <v>22</v>
      </c>
      <c r="V678" s="20" t="n">
        <f aca="false" t="array" ref="V678:V678">IF(AND(INDEX(Profils!$P$5:$P$34,$AE678)&gt;0,INDEX(Profils!$AE$5:$AE$34,$AE678)&lt;=$AH678),ROUND(INDEX(Profils!$P$5:$P$34,$AE678)*Paramètres!$E$32*$AG678*$AJ678,Paramètres!$F$32),0)</f>
        <v>0</v>
      </c>
      <c r="W678" s="20" t="n">
        <f aca="false" t="array" ref="W678:W678">IF(AND(INDEX(Profils!$Q$5:$Q$34,$AE678)&gt;0,INDEX(Profils!$AF$5:$AF$34,$AE678)&lt;=$AH678),ROUND(INDEX(Profils!$Q$5:$Q$34,$AE678)*Paramètres!$E$33*$AG678*$AJ678,Paramètres!$F$33),0)</f>
        <v>0</v>
      </c>
      <c r="X678" s="20" t="n">
        <f aca="false" t="array" ref="X678:X678">IF(AND(INDEX(Profils!$R$5:$R$34,$AE678)&gt;0,INDEX(Profils!$AG$5:$AG$34,$AE678)&lt;=$AH678),ROUND(INDEX(Profils!$R$5:$R$34,$AE678)*Paramètres!$E$34*$AG678*$AJ678,Paramètres!$F$34),0)</f>
        <v>0</v>
      </c>
      <c r="Y678" s="20" t="n">
        <f aca="false" t="array" ref="Y678:Y678">IF(AND(INDEX(Profils!$S$5:$S$34,$AE678)&gt;0,INDEX(Profils!$AH$5:$AH$34,$AE678)&lt;=$AH678),ROUND(INDEX(Profils!$S$5:$S$34,$AE678)*Paramètres!$E$35*$AG678*$AJ678,Paramètres!$F$35),0)</f>
        <v>0</v>
      </c>
      <c r="Z678" s="21" t="n">
        <f aca="false">ROUND(L678/Paramètres!$E$22+M678/Paramètres!$E$23+N678/Paramètres!$E$24+O678/Paramètres!$E$25+P678/Paramètres!$E$26+Q678/Paramètres!$E$27+R678/Paramètres!$E$28+S678/Paramètres!$E$29+T678/Paramètres!$E$30+U678/Paramètres!$E$31+V678/Paramètres!$E$32+W678/Paramètres!$E$33+X678/Paramètres!$E$34+Y678/Paramètres!$E$35,1)</f>
        <v>5.1</v>
      </c>
      <c r="AA678" s="22" t="s">
        <v>109</v>
      </c>
      <c r="AB678" s="22" t="s">
        <v>109</v>
      </c>
      <c r="AC678" s="15" t="str">
        <f aca="false">$E678</f>
        <v>écailles</v>
      </c>
      <c r="AD678" s="16" t="n">
        <f aca="false" t="array" ref="AD678:AD678">IF($I678&gt;=$AI678,"Max",ROUND(Paramètres!$B$40*($I678+1)^Paramètres!$B$41*INDEX(Paramètres!$H$6:$H$12,$AF678),0))</f>
        <v>5</v>
      </c>
      <c r="AE678" s="23" t="n">
        <f aca="false">MATCH($B678&amp;"|"&amp;$C678,Profils!$A$5:$A$34,0)</f>
        <v>22</v>
      </c>
      <c r="AF678" s="23" t="n">
        <v>4</v>
      </c>
      <c r="AG678" s="24" t="n">
        <f aca="false" t="array" ref="AG678:AG678">INDEX(Paramètres!$C$6:$C$12,$AF678)</f>
        <v>1.75</v>
      </c>
      <c r="AH678" s="23" t="n">
        <f aca="false" t="array" ref="AH678:AH678">INDEX(Paramètres!$D$6:$D$12,$AF678)</f>
        <v>5</v>
      </c>
      <c r="AI678" s="23" t="n">
        <f aca="false" t="array" ref="AI678:AI678">INDEX(Matériaux!$C$16:$C$20,$D678)</f>
        <v>25</v>
      </c>
      <c r="AJ678" s="25" t="n">
        <f aca="false">Paramètres!$B$16+(1-Paramètres!$B$16)*(($J678-Paramètres!$B$14)/(Paramètres!$B$15-Paramètres!$B$14))^Paramètres!$B$17</f>
        <v>0.458504333336152</v>
      </c>
    </row>
    <row r="679" customFormat="false" ht="15.75" hidden="false" customHeight="true" outlineLevel="0" collapsed="false">
      <c r="A679" s="14" t="s">
        <v>795</v>
      </c>
      <c r="B679" s="15" t="s">
        <v>31</v>
      </c>
      <c r="C679" s="15" t="s">
        <v>90</v>
      </c>
      <c r="D679" s="16" t="n">
        <v>4</v>
      </c>
      <c r="E679" s="15" t="str">
        <f aca="false" t="array" ref="E679:E679">INDEX(Matériaux!$B$5:$F$12,MATCH(INDEX(Profils!$E$5:$E$34,$AE679),Matériaux!$A$5:$A$12,0),$D679)</f>
        <v>écailles</v>
      </c>
      <c r="F679" s="29" t="s">
        <v>117</v>
      </c>
      <c r="G679" s="10" t="str">
        <f aca="false" t="array" ref="G679:G679">INDEX(Profils!$D$5:$D$34,$AE679)&amp;" en "&amp;$E679</f>
        <v>Veste en écailles</v>
      </c>
      <c r="H679" s="16" t="n">
        <f aca="false" t="array" ref="H679:H679">INDEX(Matériaux!$B$16:$B$20,$D679)</f>
        <v>50</v>
      </c>
      <c r="I679" s="16" t="n">
        <f aca="false">IF(ISNUMBER($C$3),MIN(MAX(0,ROUND($C$3,0)),$AI679),$AI679)</f>
        <v>0</v>
      </c>
      <c r="J679" s="18" t="n">
        <f aca="false">$H679+$I679</f>
        <v>50</v>
      </c>
      <c r="K679" s="15" t="s">
        <v>109</v>
      </c>
      <c r="L679" s="19" t="n">
        <f aca="false" t="array" ref="L679:L679">IF(AND(INDEX(Profils!$F$5:$F$34,$AE679)&gt;0,INDEX(Profils!$U$5:$U$34,$AE679)&lt;=$AH679),ROUND(INDEX(Profils!$F$5:$F$34,$AE679)*Paramètres!$E$22*$AG679*$AJ679,Paramètres!$F$22),0)</f>
        <v>39</v>
      </c>
      <c r="M679" s="19" t="n">
        <f aca="false" t="array" ref="M679:M679">IF(AND(INDEX(Profils!$G$5:$G$34,$AE679)&gt;0,INDEX(Profils!$V$5:$V$34,$AE679)&lt;=$AH679),ROUND(INDEX(Profils!$G$5:$G$34,$AE679)*Paramètres!$E$23*$AG679*$AJ679,Paramètres!$F$23),0)</f>
        <v>9</v>
      </c>
      <c r="N679" s="19" t="n">
        <f aca="false" t="array" ref="N679:N679">IF(AND(INDEX(Profils!$H$5:$H$34,$AE679)&gt;0,INDEX(Profils!$W$5:$W$34,$AE679)&lt;=$AH679),ROUND(INDEX(Profils!$H$5:$H$34,$AE679)*Paramètres!$E$24*$AG679*$AJ679,Paramètres!$F$24),0)</f>
        <v>14</v>
      </c>
      <c r="O679" s="19" t="n">
        <f aca="false" t="array" ref="O679:O679">IF(AND(INDEX(Profils!$I$5:$I$34,$AE679)&gt;0,INDEX(Profils!$X$5:$X$34,$AE679)&lt;=$AH679),ROUND(INDEX(Profils!$I$5:$I$34,$AE679)*Paramètres!$E$25*$AG679*$AJ679,Paramètres!$F$25),0)</f>
        <v>0</v>
      </c>
      <c r="P679" s="19" t="n">
        <f aca="false" t="array" ref="P679:P679">IF(AND(INDEX(Profils!$J$5:$J$34,$AE679)&gt;0,INDEX(Profils!$Y$5:$Y$34,$AE679)&lt;=$AH679),ROUND(INDEX(Profils!$J$5:$J$34,$AE679)*Paramètres!$E$26*$AG679*$AJ679,Paramètres!$F$26),0)</f>
        <v>18</v>
      </c>
      <c r="Q679" s="19" t="n">
        <f aca="false" t="array" ref="Q679:Q679">IF(AND(INDEX(Profils!$K$5:$K$34,$AE679)&gt;0,INDEX(Profils!$Z$5:$Z$34,$AE679)&lt;=$AH679),ROUND(INDEX(Profils!$K$5:$K$34,$AE679)*Paramètres!$E$27*$AG679*$AJ679,Paramètres!$F$27),0)</f>
        <v>0</v>
      </c>
      <c r="R679" s="20" t="n">
        <f aca="false" t="array" ref="R679:R679">IF(AND(INDEX(Profils!$L$5:$L$34,$AE679)&gt;0,INDEX(Profils!$AA$5:$AA$34,$AE679)&lt;=$AH679),ROUND(INDEX(Profils!$L$5:$L$34,$AE679)*Paramètres!$E$28*$AG679*$AJ679,Paramètres!$F$28),0)</f>
        <v>0.012</v>
      </c>
      <c r="S679" s="20" t="n">
        <f aca="false" t="array" ref="S679:S679">IF(AND(INDEX(Profils!$M$5:$M$34,$AE679)&gt;0,INDEX(Profils!$AB$5:$AB$34,$AE679)&lt;=$AH679),ROUND(INDEX(Profils!$M$5:$M$34,$AE679)*Paramètres!$E$29*$AG679*$AJ679,Paramètres!$F$29),0)</f>
        <v>0</v>
      </c>
      <c r="T679" s="20" t="n">
        <f aca="false" t="array" ref="T679:T679">IF(AND(INDEX(Profils!$N$5:$N$34,$AE679)&gt;0,INDEX(Profils!$AC$5:$AC$34,$AE679)&lt;=$AH679),ROUND(INDEX(Profils!$N$5:$N$34,$AE679)*Paramètres!$E$30*$AG679*$AJ679,Paramètres!$F$30),0)</f>
        <v>0</v>
      </c>
      <c r="U679" s="19" t="n">
        <f aca="false" t="array" ref="U679:U679">IF(AND(INDEX(Profils!$O$5:$O$34,$AE679)&gt;0,INDEX(Profils!$AD$5:$AD$34,$AE679)&lt;=$AH679),ROUND(INDEX(Profils!$O$5:$O$34,$AE679)*Paramètres!$E$31*$AG679*$AJ679,Paramètres!$F$31),0)</f>
        <v>27</v>
      </c>
      <c r="V679" s="20" t="n">
        <f aca="false" t="array" ref="V679:V679">IF(AND(INDEX(Profils!$P$5:$P$34,$AE679)&gt;0,INDEX(Profils!$AE$5:$AE$34,$AE679)&lt;=$AH679),ROUND(INDEX(Profils!$P$5:$P$34,$AE679)*Paramètres!$E$32*$AG679*$AJ679,Paramètres!$F$32),0)</f>
        <v>0</v>
      </c>
      <c r="W679" s="20" t="n">
        <f aca="false" t="array" ref="W679:W679">IF(AND(INDEX(Profils!$Q$5:$Q$34,$AE679)&gt;0,INDEX(Profils!$AF$5:$AF$34,$AE679)&lt;=$AH679),ROUND(INDEX(Profils!$Q$5:$Q$34,$AE679)*Paramètres!$E$33*$AG679*$AJ679,Paramètres!$F$33),0)</f>
        <v>0</v>
      </c>
      <c r="X679" s="20" t="n">
        <f aca="false" t="array" ref="X679:X679">IF(AND(INDEX(Profils!$R$5:$R$34,$AE679)&gt;0,INDEX(Profils!$AG$5:$AG$34,$AE679)&lt;=$AH679),ROUND(INDEX(Profils!$R$5:$R$34,$AE679)*Paramètres!$E$34*$AG679*$AJ679,Paramètres!$F$34),0)</f>
        <v>0</v>
      </c>
      <c r="Y679" s="20" t="n">
        <f aca="false" t="array" ref="Y679:Y679">IF(AND(INDEX(Profils!$S$5:$S$34,$AE679)&gt;0,INDEX(Profils!$AH$5:$AH$34,$AE679)&lt;=$AH679),ROUND(INDEX(Profils!$S$5:$S$34,$AE679)*Paramètres!$E$35*$AG679*$AJ679,Paramètres!$F$35),0)</f>
        <v>0</v>
      </c>
      <c r="Z679" s="21" t="n">
        <f aca="false">ROUND(L679/Paramètres!$E$22+M679/Paramètres!$E$23+N679/Paramètres!$E$24+O679/Paramètres!$E$25+P679/Paramètres!$E$26+Q679/Paramètres!$E$27+R679/Paramètres!$E$28+S679/Paramètres!$E$29+T679/Paramètres!$E$30+U679/Paramètres!$E$31+V679/Paramètres!$E$32+W679/Paramètres!$E$33+X679/Paramètres!$E$34+Y679/Paramètres!$E$35,1)</f>
        <v>6.7</v>
      </c>
      <c r="AA679" s="22" t="s">
        <v>109</v>
      </c>
      <c r="AB679" s="22" t="s">
        <v>109</v>
      </c>
      <c r="AC679" s="15" t="str">
        <f aca="false">$E679</f>
        <v>écailles</v>
      </c>
      <c r="AD679" s="16" t="n">
        <f aca="false" t="array" ref="AD679:AD679">IF($I679&gt;=$AI679,"Max",ROUND(Paramètres!$B$40*($I679+1)^Paramètres!$B$41*INDEX(Paramètres!$H$6:$H$12,$AF679),0))</f>
        <v>6</v>
      </c>
      <c r="AE679" s="23" t="n">
        <f aca="false">MATCH($B679&amp;"|"&amp;$C679,Profils!$A$5:$A$34,0)</f>
        <v>22</v>
      </c>
      <c r="AF679" s="23" t="n">
        <v>5</v>
      </c>
      <c r="AG679" s="24" t="n">
        <f aca="false" t="array" ref="AG679:AG679">INDEX(Paramètres!$C$6:$C$12,$AF679)</f>
        <v>2.1</v>
      </c>
      <c r="AH679" s="23" t="n">
        <f aca="false" t="array" ref="AH679:AH679">INDEX(Paramètres!$D$6:$D$12,$AF679)</f>
        <v>6</v>
      </c>
      <c r="AI679" s="23" t="n">
        <f aca="false" t="array" ref="AI679:AI679">INDEX(Matériaux!$C$16:$C$20,$D679)</f>
        <v>25</v>
      </c>
      <c r="AJ679" s="25" t="n">
        <f aca="false">Paramètres!$B$16+(1-Paramètres!$B$16)*(($J679-Paramètres!$B$14)/(Paramètres!$B$15-Paramètres!$B$14))^Paramètres!$B$17</f>
        <v>0.458504333336152</v>
      </c>
    </row>
    <row r="680" customFormat="false" ht="15.75" hidden="false" customHeight="true" outlineLevel="0" collapsed="false">
      <c r="A680" s="14" t="s">
        <v>796</v>
      </c>
      <c r="B680" s="15" t="s">
        <v>31</v>
      </c>
      <c r="C680" s="15" t="s">
        <v>90</v>
      </c>
      <c r="D680" s="16" t="n">
        <v>4</v>
      </c>
      <c r="E680" s="15" t="str">
        <f aca="false" t="array" ref="E680:E680">INDEX(Matériaux!$B$5:$F$12,MATCH(INDEX(Profils!$E$5:$E$34,$AE680),Matériaux!$A$5:$A$12,0),$D680)</f>
        <v>écailles</v>
      </c>
      <c r="F680" s="30" t="s">
        <v>119</v>
      </c>
      <c r="G680" s="10" t="str">
        <f aca="false" t="array" ref="G680:G680">INDEX(Profils!$D$5:$D$34,$AE680)&amp;" en "&amp;$E680</f>
        <v>Veste en écailles</v>
      </c>
      <c r="H680" s="16" t="n">
        <f aca="false" t="array" ref="H680:H680">INDEX(Matériaux!$B$16:$B$20,$D680)</f>
        <v>50</v>
      </c>
      <c r="I680" s="16" t="n">
        <f aca="false">IF(ISNUMBER($C$3),MIN(MAX(0,ROUND($C$3,0)),$AI680),$AI680)</f>
        <v>0</v>
      </c>
      <c r="J680" s="18" t="n">
        <f aca="false">$H680+$I680</f>
        <v>50</v>
      </c>
      <c r="K680" s="15" t="s">
        <v>109</v>
      </c>
      <c r="L680" s="19" t="n">
        <f aca="false" t="array" ref="L680:L680">IF(AND(INDEX(Profils!$F$5:$F$34,$AE680)&gt;0,INDEX(Profils!$U$5:$U$34,$AE680)&lt;=$AH680),ROUND(INDEX(Profils!$F$5:$F$34,$AE680)*Paramètres!$E$22*$AG680*$AJ680,Paramètres!$F$22),0)</f>
        <v>44</v>
      </c>
      <c r="M680" s="19" t="n">
        <f aca="false" t="array" ref="M680:M680">IF(AND(INDEX(Profils!$G$5:$G$34,$AE680)&gt;0,INDEX(Profils!$V$5:$V$34,$AE680)&lt;=$AH680),ROUND(INDEX(Profils!$G$5:$G$34,$AE680)*Paramètres!$E$23*$AG680*$AJ680,Paramètres!$F$23),0)</f>
        <v>10</v>
      </c>
      <c r="N680" s="19" t="n">
        <f aca="false" t="array" ref="N680:N680">IF(AND(INDEX(Profils!$H$5:$H$34,$AE680)&gt;0,INDEX(Profils!$W$5:$W$34,$AE680)&lt;=$AH680),ROUND(INDEX(Profils!$H$5:$H$34,$AE680)*Paramètres!$E$24*$AG680*$AJ680,Paramètres!$F$24),0)</f>
        <v>17</v>
      </c>
      <c r="O680" s="19" t="n">
        <f aca="false" t="array" ref="O680:O680">IF(AND(INDEX(Profils!$I$5:$I$34,$AE680)&gt;0,INDEX(Profils!$X$5:$X$34,$AE680)&lt;=$AH680),ROUND(INDEX(Profils!$I$5:$I$34,$AE680)*Paramètres!$E$25*$AG680*$AJ680,Paramètres!$F$25),0)</f>
        <v>0</v>
      </c>
      <c r="P680" s="19" t="n">
        <f aca="false" t="array" ref="P680:P680">IF(AND(INDEX(Profils!$J$5:$J$34,$AE680)&gt;0,INDEX(Profils!$Y$5:$Y$34,$AE680)&lt;=$AH680),ROUND(INDEX(Profils!$J$5:$J$34,$AE680)*Paramètres!$E$26*$AG680*$AJ680,Paramètres!$F$26),0)</f>
        <v>21</v>
      </c>
      <c r="Q680" s="19" t="n">
        <f aca="false" t="array" ref="Q680:Q680">IF(AND(INDEX(Profils!$K$5:$K$34,$AE680)&gt;0,INDEX(Profils!$Z$5:$Z$34,$AE680)&lt;=$AH680),ROUND(INDEX(Profils!$K$5:$K$34,$AE680)*Paramètres!$E$27*$AG680*$AJ680,Paramètres!$F$27),0)</f>
        <v>0</v>
      </c>
      <c r="R680" s="20" t="n">
        <f aca="false" t="array" ref="R680:R680">IF(AND(INDEX(Profils!$L$5:$L$34,$AE680)&gt;0,INDEX(Profils!$AA$5:$AA$34,$AE680)&lt;=$AH680),ROUND(INDEX(Profils!$L$5:$L$34,$AE680)*Paramètres!$E$28*$AG680*$AJ680,Paramètres!$F$28),0)</f>
        <v>0.013</v>
      </c>
      <c r="S680" s="20" t="n">
        <f aca="false" t="array" ref="S680:S680">IF(AND(INDEX(Profils!$M$5:$M$34,$AE680)&gt;0,INDEX(Profils!$AB$5:$AB$34,$AE680)&lt;=$AH680),ROUND(INDEX(Profils!$M$5:$M$34,$AE680)*Paramètres!$E$29*$AG680*$AJ680,Paramètres!$F$29),0)</f>
        <v>0</v>
      </c>
      <c r="T680" s="20" t="n">
        <f aca="false" t="array" ref="T680:T680">IF(AND(INDEX(Profils!$N$5:$N$34,$AE680)&gt;0,INDEX(Profils!$AC$5:$AC$34,$AE680)&lt;=$AH680),ROUND(INDEX(Profils!$N$5:$N$34,$AE680)*Paramètres!$E$30*$AG680*$AJ680,Paramètres!$F$30),0)</f>
        <v>0</v>
      </c>
      <c r="U680" s="19" t="n">
        <f aca="false" t="array" ref="U680:U680">IF(AND(INDEX(Profils!$O$5:$O$34,$AE680)&gt;0,INDEX(Profils!$AD$5:$AD$34,$AE680)&lt;=$AH680),ROUND(INDEX(Profils!$O$5:$O$34,$AE680)*Paramètres!$E$31*$AG680*$AJ680,Paramètres!$F$31),0)</f>
        <v>31</v>
      </c>
      <c r="V680" s="20" t="n">
        <f aca="false" t="array" ref="V680:V680">IF(AND(INDEX(Profils!$P$5:$P$34,$AE680)&gt;0,INDEX(Profils!$AE$5:$AE$34,$AE680)&lt;=$AH680),ROUND(INDEX(Profils!$P$5:$P$34,$AE680)*Paramètres!$E$32*$AG680*$AJ680,Paramètres!$F$32),0)</f>
        <v>0</v>
      </c>
      <c r="W680" s="20" t="n">
        <f aca="false" t="array" ref="W680:W680">IF(AND(INDEX(Profils!$Q$5:$Q$34,$AE680)&gt;0,INDEX(Profils!$AF$5:$AF$34,$AE680)&lt;=$AH680),ROUND(INDEX(Profils!$Q$5:$Q$34,$AE680)*Paramètres!$E$33*$AG680*$AJ680,Paramètres!$F$33),0)</f>
        <v>0.01</v>
      </c>
      <c r="X680" s="20" t="n">
        <f aca="false" t="array" ref="X680:X680">IF(AND(INDEX(Profils!$R$5:$R$34,$AE680)&gt;0,INDEX(Profils!$AG$5:$AG$34,$AE680)&lt;=$AH680),ROUND(INDEX(Profils!$R$5:$R$34,$AE680)*Paramètres!$E$34*$AG680*$AJ680,Paramètres!$F$34),0)</f>
        <v>0</v>
      </c>
      <c r="Y680" s="20" t="n">
        <f aca="false" t="array" ref="Y680:Y680">IF(AND(INDEX(Profils!$S$5:$S$34,$AE680)&gt;0,INDEX(Profils!$AH$5:$AH$34,$AE680)&lt;=$AH680),ROUND(INDEX(Profils!$S$5:$S$34,$AE680)*Paramètres!$E$35*$AG680*$AJ680,Paramètres!$F$35),0)</f>
        <v>0</v>
      </c>
      <c r="Z680" s="21" t="n">
        <f aca="false">ROUND(L680/Paramètres!$E$22+M680/Paramètres!$E$23+N680/Paramètres!$E$24+O680/Paramètres!$E$25+P680/Paramètres!$E$26+Q680/Paramètres!$E$27+R680/Paramètres!$E$28+S680/Paramètres!$E$29+T680/Paramètres!$E$30+U680/Paramètres!$E$31+V680/Paramètres!$E$32+W680/Paramètres!$E$33+X680/Paramètres!$E$34+Y680/Paramètres!$E$35,1)</f>
        <v>8.4</v>
      </c>
      <c r="AA680" s="22" t="s">
        <v>109</v>
      </c>
      <c r="AB680" s="22" t="s">
        <v>109</v>
      </c>
      <c r="AC680" s="15" t="str">
        <f aca="false">$E680</f>
        <v>écailles</v>
      </c>
      <c r="AD680" s="16" t="n">
        <f aca="false" t="array" ref="AD680:AD680">IF($I680&gt;=$AI680,"Max",ROUND(Paramètres!$B$40*($I680+1)^Paramètres!$B$41*INDEX(Paramètres!$H$6:$H$12,$AF680),0))</f>
        <v>8</v>
      </c>
      <c r="AE680" s="23" t="n">
        <f aca="false">MATCH($B680&amp;"|"&amp;$C680,Profils!$A$5:$A$34,0)</f>
        <v>22</v>
      </c>
      <c r="AF680" s="23" t="n">
        <v>6</v>
      </c>
      <c r="AG680" s="24" t="n">
        <f aca="false" t="array" ref="AG680:AG680">INDEX(Paramètres!$C$6:$C$12,$AF680)</f>
        <v>2.4</v>
      </c>
      <c r="AH680" s="23" t="n">
        <f aca="false" t="array" ref="AH680:AH680">INDEX(Paramètres!$D$6:$D$12,$AF680)</f>
        <v>7</v>
      </c>
      <c r="AI680" s="23" t="n">
        <f aca="false" t="array" ref="AI680:AI680">INDEX(Matériaux!$C$16:$C$20,$D680)</f>
        <v>25</v>
      </c>
      <c r="AJ680" s="25" t="n">
        <f aca="false">Paramètres!$B$16+(1-Paramètres!$B$16)*(($J680-Paramètres!$B$14)/(Paramètres!$B$15-Paramètres!$B$14))^Paramètres!$B$17</f>
        <v>0.458504333336152</v>
      </c>
    </row>
    <row r="681" customFormat="false" ht="15.75" hidden="false" customHeight="true" outlineLevel="0" collapsed="false">
      <c r="A681" s="14" t="s">
        <v>797</v>
      </c>
      <c r="B681" s="15" t="s">
        <v>31</v>
      </c>
      <c r="C681" s="15" t="s">
        <v>90</v>
      </c>
      <c r="D681" s="16" t="n">
        <v>5</v>
      </c>
      <c r="E681" s="15" t="str">
        <f aca="false" t="array" ref="E681:E681">INDEX(Matériaux!$B$5:$F$12,MATCH(INDEX(Profils!$E$5:$E$34,$AE681),Matériaux!$A$5:$A$12,0),$D681)</f>
        <v>peau de dragon</v>
      </c>
      <c r="F681" s="17" t="s">
        <v>108</v>
      </c>
      <c r="G681" s="10" t="str">
        <f aca="false" t="array" ref="G681:G681">INDEX(Profils!$D$5:$D$34,$AE681)&amp;" en "&amp;$E681</f>
        <v>Veste en peau de dragon</v>
      </c>
      <c r="H681" s="16" t="n">
        <f aca="false" t="array" ref="H681:H681">INDEX(Matériaux!$B$16:$B$20,$D681)</f>
        <v>70</v>
      </c>
      <c r="I681" s="16" t="n">
        <f aca="false">IF(ISNUMBER($C$3),MIN(MAX(0,ROUND($C$3,0)),$AI681),$AI681)</f>
        <v>0</v>
      </c>
      <c r="J681" s="18" t="n">
        <f aca="false">$H681+$I681</f>
        <v>70</v>
      </c>
      <c r="K681" s="15" t="s">
        <v>109</v>
      </c>
      <c r="L681" s="19" t="n">
        <f aca="false" t="array" ref="L681:L681">IF(AND(INDEX(Profils!$F$5:$F$34,$AE681)&gt;0,INDEX(Profils!$U$5:$U$34,$AE681)&lt;=$AH681),ROUND(INDEX(Profils!$F$5:$F$34,$AE681)*Paramètres!$E$22*$AG681*$AJ681,Paramètres!$F$22),0)</f>
        <v>27</v>
      </c>
      <c r="M681" s="19" t="n">
        <f aca="false" t="array" ref="M681:M681">IF(AND(INDEX(Profils!$G$5:$G$34,$AE681)&gt;0,INDEX(Profils!$V$5:$V$34,$AE681)&lt;=$AH681),ROUND(INDEX(Profils!$G$5:$G$34,$AE681)*Paramètres!$E$23*$AG681*$AJ681,Paramètres!$F$23),0)</f>
        <v>0</v>
      </c>
      <c r="N681" s="19" t="n">
        <f aca="false" t="array" ref="N681:N681">IF(AND(INDEX(Profils!$H$5:$H$34,$AE681)&gt;0,INDEX(Profils!$W$5:$W$34,$AE681)&lt;=$AH681),ROUND(INDEX(Profils!$H$5:$H$34,$AE681)*Paramètres!$E$24*$AG681*$AJ681,Paramètres!$F$24),0)</f>
        <v>0</v>
      </c>
      <c r="O681" s="19" t="n">
        <f aca="false" t="array" ref="O681:O681">IF(AND(INDEX(Profils!$I$5:$I$34,$AE681)&gt;0,INDEX(Profils!$X$5:$X$34,$AE681)&lt;=$AH681),ROUND(INDEX(Profils!$I$5:$I$34,$AE681)*Paramètres!$E$25*$AG681*$AJ681,Paramètres!$F$25),0)</f>
        <v>0</v>
      </c>
      <c r="P681" s="19" t="n">
        <f aca="false" t="array" ref="P681:P681">IF(AND(INDEX(Profils!$J$5:$J$34,$AE681)&gt;0,INDEX(Profils!$Y$5:$Y$34,$AE681)&lt;=$AH681),ROUND(INDEX(Profils!$J$5:$J$34,$AE681)*Paramètres!$E$26*$AG681*$AJ681,Paramètres!$F$26),0)</f>
        <v>13</v>
      </c>
      <c r="Q681" s="19" t="n">
        <f aca="false" t="array" ref="Q681:Q681">IF(AND(INDEX(Profils!$K$5:$K$34,$AE681)&gt;0,INDEX(Profils!$Z$5:$Z$34,$AE681)&lt;=$AH681),ROUND(INDEX(Profils!$K$5:$K$34,$AE681)*Paramètres!$E$27*$AG681*$AJ681,Paramètres!$F$27),0)</f>
        <v>0</v>
      </c>
      <c r="R681" s="20" t="n">
        <f aca="false" t="array" ref="R681:R681">IF(AND(INDEX(Profils!$L$5:$L$34,$AE681)&gt;0,INDEX(Profils!$AA$5:$AA$34,$AE681)&lt;=$AH681),ROUND(INDEX(Profils!$L$5:$L$34,$AE681)*Paramètres!$E$28*$AG681*$AJ681,Paramètres!$F$28),0)</f>
        <v>0</v>
      </c>
      <c r="S681" s="20" t="n">
        <f aca="false" t="array" ref="S681:S681">IF(AND(INDEX(Profils!$M$5:$M$34,$AE681)&gt;0,INDEX(Profils!$AB$5:$AB$34,$AE681)&lt;=$AH681),ROUND(INDEX(Profils!$M$5:$M$34,$AE681)*Paramètres!$E$29*$AG681*$AJ681,Paramètres!$F$29),0)</f>
        <v>0</v>
      </c>
      <c r="T681" s="20" t="n">
        <f aca="false" t="array" ref="T681:T681">IF(AND(INDEX(Profils!$N$5:$N$34,$AE681)&gt;0,INDEX(Profils!$AC$5:$AC$34,$AE681)&lt;=$AH681),ROUND(INDEX(Profils!$N$5:$N$34,$AE681)*Paramètres!$E$30*$AG681*$AJ681,Paramètres!$F$30),0)</f>
        <v>0</v>
      </c>
      <c r="U681" s="19" t="n">
        <f aca="false" t="array" ref="U681:U681">IF(AND(INDEX(Profils!$O$5:$O$34,$AE681)&gt;0,INDEX(Profils!$AD$5:$AD$34,$AE681)&lt;=$AH681),ROUND(INDEX(Profils!$O$5:$O$34,$AE681)*Paramètres!$E$31*$AG681*$AJ681,Paramètres!$F$31),0)</f>
        <v>0</v>
      </c>
      <c r="V681" s="20" t="n">
        <f aca="false" t="array" ref="V681:V681">IF(AND(INDEX(Profils!$P$5:$P$34,$AE681)&gt;0,INDEX(Profils!$AE$5:$AE$34,$AE681)&lt;=$AH681),ROUND(INDEX(Profils!$P$5:$P$34,$AE681)*Paramètres!$E$32*$AG681*$AJ681,Paramètres!$F$32),0)</f>
        <v>0</v>
      </c>
      <c r="W681" s="20" t="n">
        <f aca="false" t="array" ref="W681:W681">IF(AND(INDEX(Profils!$Q$5:$Q$34,$AE681)&gt;0,INDEX(Profils!$AF$5:$AF$34,$AE681)&lt;=$AH681),ROUND(INDEX(Profils!$Q$5:$Q$34,$AE681)*Paramètres!$E$33*$AG681*$AJ681,Paramètres!$F$33),0)</f>
        <v>0</v>
      </c>
      <c r="X681" s="20" t="n">
        <f aca="false" t="array" ref="X681:X681">IF(AND(INDEX(Profils!$R$5:$R$34,$AE681)&gt;0,INDEX(Profils!$AG$5:$AG$34,$AE681)&lt;=$AH681),ROUND(INDEX(Profils!$R$5:$R$34,$AE681)*Paramètres!$E$34*$AG681*$AJ681,Paramètres!$F$34),0)</f>
        <v>0</v>
      </c>
      <c r="Y681" s="20" t="n">
        <f aca="false" t="array" ref="Y681:Y681">IF(AND(INDEX(Profils!$S$5:$S$34,$AE681)&gt;0,INDEX(Profils!$AH$5:$AH$34,$AE681)&lt;=$AH681),ROUND(INDEX(Profils!$S$5:$S$34,$AE681)*Paramètres!$E$35*$AG681*$AJ681,Paramètres!$F$35),0)</f>
        <v>0</v>
      </c>
      <c r="Z681" s="21" t="n">
        <f aca="false">ROUND(L681/Paramètres!$E$22+M681/Paramètres!$E$23+N681/Paramètres!$E$24+O681/Paramètres!$E$25+P681/Paramètres!$E$26+Q681/Paramètres!$E$27+R681/Paramètres!$E$28+S681/Paramètres!$E$29+T681/Paramètres!$E$30+U681/Paramètres!$E$31+V681/Paramètres!$E$32+W681/Paramètres!$E$33+X681/Paramètres!$E$34+Y681/Paramètres!$E$35,1)</f>
        <v>2.2</v>
      </c>
      <c r="AA681" s="22" t="s">
        <v>109</v>
      </c>
      <c r="AB681" s="22" t="s">
        <v>109</v>
      </c>
      <c r="AC681" s="15" t="str">
        <f aca="false">$E681</f>
        <v>peau de dragon</v>
      </c>
      <c r="AD681" s="16" t="n">
        <f aca="false" t="array" ref="AD681:AD681">IF($I681&gt;=$AI681,"Max",ROUND(Paramètres!$B$40*($I681+1)^Paramètres!$B$41*INDEX(Paramètres!$H$6:$H$12,$AF681),0))</f>
        <v>3</v>
      </c>
      <c r="AE681" s="23" t="n">
        <f aca="false">MATCH($B681&amp;"|"&amp;$C681,Profils!$A$5:$A$34,0)</f>
        <v>22</v>
      </c>
      <c r="AF681" s="23" t="n">
        <v>1</v>
      </c>
      <c r="AG681" s="24" t="n">
        <f aca="false" t="array" ref="AG681:AG681">INDEX(Paramètres!$C$6:$C$12,$AF681)</f>
        <v>1</v>
      </c>
      <c r="AH681" s="23" t="n">
        <f aca="false" t="array" ref="AH681:AH681">INDEX(Paramètres!$D$6:$D$12,$AF681)</f>
        <v>2</v>
      </c>
      <c r="AI681" s="23" t="n">
        <f aca="false" t="array" ref="AI681:AI681">INDEX(Matériaux!$C$16:$C$20,$D681)</f>
        <v>30</v>
      </c>
      <c r="AJ681" s="25" t="n">
        <f aca="false">Paramètres!$B$16+(1-Paramètres!$B$16)*(($J681-Paramètres!$B$14)/(Paramètres!$B$15-Paramètres!$B$14))^Paramètres!$B$17</f>
        <v>0.665999387952727</v>
      </c>
    </row>
    <row r="682" customFormat="false" ht="15.75" hidden="false" customHeight="true" outlineLevel="0" collapsed="false">
      <c r="A682" s="14" t="s">
        <v>798</v>
      </c>
      <c r="B682" s="15" t="s">
        <v>31</v>
      </c>
      <c r="C682" s="15" t="s">
        <v>90</v>
      </c>
      <c r="D682" s="16" t="n">
        <v>5</v>
      </c>
      <c r="E682" s="15" t="str">
        <f aca="false" t="array" ref="E682:E682">INDEX(Matériaux!$B$5:$F$12,MATCH(INDEX(Profils!$E$5:$E$34,$AE682),Matériaux!$A$5:$A$12,0),$D682)</f>
        <v>peau de dragon</v>
      </c>
      <c r="F682" s="26" t="s">
        <v>111</v>
      </c>
      <c r="G682" s="10" t="str">
        <f aca="false" t="array" ref="G682:G682">INDEX(Profils!$D$5:$D$34,$AE682)&amp;" en "&amp;$E682</f>
        <v>Veste en peau de dragon</v>
      </c>
      <c r="H682" s="16" t="n">
        <f aca="false" t="array" ref="H682:H682">INDEX(Matériaux!$B$16:$B$20,$D682)</f>
        <v>70</v>
      </c>
      <c r="I682" s="16" t="n">
        <f aca="false">IF(ISNUMBER($C$3),MIN(MAX(0,ROUND($C$3,0)),$AI682),$AI682)</f>
        <v>0</v>
      </c>
      <c r="J682" s="18" t="n">
        <f aca="false">$H682+$I682</f>
        <v>70</v>
      </c>
      <c r="K682" s="15" t="s">
        <v>109</v>
      </c>
      <c r="L682" s="19" t="n">
        <f aca="false" t="array" ref="L682:L682">IF(AND(INDEX(Profils!$F$5:$F$34,$AE682)&gt;0,INDEX(Profils!$U$5:$U$34,$AE682)&lt;=$AH682),ROUND(INDEX(Profils!$F$5:$F$34,$AE682)*Paramètres!$E$22*$AG682*$AJ682,Paramètres!$F$22),0)</f>
        <v>32</v>
      </c>
      <c r="M682" s="19" t="n">
        <f aca="false" t="array" ref="M682:M682">IF(AND(INDEX(Profils!$G$5:$G$34,$AE682)&gt;0,INDEX(Profils!$V$5:$V$34,$AE682)&lt;=$AH682),ROUND(INDEX(Profils!$G$5:$G$34,$AE682)*Paramètres!$E$23*$AG682*$AJ682,Paramètres!$F$23),0)</f>
        <v>0</v>
      </c>
      <c r="N682" s="19" t="n">
        <f aca="false" t="array" ref="N682:N682">IF(AND(INDEX(Profils!$H$5:$H$34,$AE682)&gt;0,INDEX(Profils!$W$5:$W$34,$AE682)&lt;=$AH682),ROUND(INDEX(Profils!$H$5:$H$34,$AE682)*Paramètres!$E$24*$AG682*$AJ682,Paramètres!$F$24),0)</f>
        <v>0</v>
      </c>
      <c r="O682" s="19" t="n">
        <f aca="false" t="array" ref="O682:O682">IF(AND(INDEX(Profils!$I$5:$I$34,$AE682)&gt;0,INDEX(Profils!$X$5:$X$34,$AE682)&lt;=$AH682),ROUND(INDEX(Profils!$I$5:$I$34,$AE682)*Paramètres!$E$25*$AG682*$AJ682,Paramètres!$F$25),0)</f>
        <v>0</v>
      </c>
      <c r="P682" s="19" t="n">
        <f aca="false" t="array" ref="P682:P682">IF(AND(INDEX(Profils!$J$5:$J$34,$AE682)&gt;0,INDEX(Profils!$Y$5:$Y$34,$AE682)&lt;=$AH682),ROUND(INDEX(Profils!$J$5:$J$34,$AE682)*Paramètres!$E$26*$AG682*$AJ682,Paramètres!$F$26),0)</f>
        <v>15</v>
      </c>
      <c r="Q682" s="19" t="n">
        <f aca="false" t="array" ref="Q682:Q682">IF(AND(INDEX(Profils!$K$5:$K$34,$AE682)&gt;0,INDEX(Profils!$Z$5:$Z$34,$AE682)&lt;=$AH682),ROUND(INDEX(Profils!$K$5:$K$34,$AE682)*Paramètres!$E$27*$AG682*$AJ682,Paramètres!$F$27),0)</f>
        <v>0</v>
      </c>
      <c r="R682" s="20" t="n">
        <f aca="false" t="array" ref="R682:R682">IF(AND(INDEX(Profils!$L$5:$L$34,$AE682)&gt;0,INDEX(Profils!$AA$5:$AA$34,$AE682)&lt;=$AH682),ROUND(INDEX(Profils!$L$5:$L$34,$AE682)*Paramètres!$E$28*$AG682*$AJ682,Paramètres!$F$28),0)</f>
        <v>0</v>
      </c>
      <c r="S682" s="20" t="n">
        <f aca="false" t="array" ref="S682:S682">IF(AND(INDEX(Profils!$M$5:$M$34,$AE682)&gt;0,INDEX(Profils!$AB$5:$AB$34,$AE682)&lt;=$AH682),ROUND(INDEX(Profils!$M$5:$M$34,$AE682)*Paramètres!$E$29*$AG682*$AJ682,Paramètres!$F$29),0)</f>
        <v>0</v>
      </c>
      <c r="T682" s="20" t="n">
        <f aca="false" t="array" ref="T682:T682">IF(AND(INDEX(Profils!$N$5:$N$34,$AE682)&gt;0,INDEX(Profils!$AC$5:$AC$34,$AE682)&lt;=$AH682),ROUND(INDEX(Profils!$N$5:$N$34,$AE682)*Paramètres!$E$30*$AG682*$AJ682,Paramètres!$F$30),0)</f>
        <v>0</v>
      </c>
      <c r="U682" s="19" t="n">
        <f aca="false" t="array" ref="U682:U682">IF(AND(INDEX(Profils!$O$5:$O$34,$AE682)&gt;0,INDEX(Profils!$AD$5:$AD$34,$AE682)&lt;=$AH682),ROUND(INDEX(Profils!$O$5:$O$34,$AE682)*Paramètres!$E$31*$AG682*$AJ682,Paramètres!$F$31),0)</f>
        <v>22</v>
      </c>
      <c r="V682" s="20" t="n">
        <f aca="false" t="array" ref="V682:V682">IF(AND(INDEX(Profils!$P$5:$P$34,$AE682)&gt;0,INDEX(Profils!$AE$5:$AE$34,$AE682)&lt;=$AH682),ROUND(INDEX(Profils!$P$5:$P$34,$AE682)*Paramètres!$E$32*$AG682*$AJ682,Paramètres!$F$32),0)</f>
        <v>0</v>
      </c>
      <c r="W682" s="20" t="n">
        <f aca="false" t="array" ref="W682:W682">IF(AND(INDEX(Profils!$Q$5:$Q$34,$AE682)&gt;0,INDEX(Profils!$AF$5:$AF$34,$AE682)&lt;=$AH682),ROUND(INDEX(Profils!$Q$5:$Q$34,$AE682)*Paramètres!$E$33*$AG682*$AJ682,Paramètres!$F$33),0)</f>
        <v>0</v>
      </c>
      <c r="X682" s="20" t="n">
        <f aca="false" t="array" ref="X682:X682">IF(AND(INDEX(Profils!$R$5:$R$34,$AE682)&gt;0,INDEX(Profils!$AG$5:$AG$34,$AE682)&lt;=$AH682),ROUND(INDEX(Profils!$R$5:$R$34,$AE682)*Paramètres!$E$34*$AG682*$AJ682,Paramètres!$F$34),0)</f>
        <v>0</v>
      </c>
      <c r="Y682" s="20" t="n">
        <f aca="false" t="array" ref="Y682:Y682">IF(AND(INDEX(Profils!$S$5:$S$34,$AE682)&gt;0,INDEX(Profils!$AH$5:$AH$34,$AE682)&lt;=$AH682),ROUND(INDEX(Profils!$S$5:$S$34,$AE682)*Paramètres!$E$35*$AG682*$AJ682,Paramètres!$F$35),0)</f>
        <v>0</v>
      </c>
      <c r="Z682" s="21" t="n">
        <f aca="false">ROUND(L682/Paramètres!$E$22+M682/Paramètres!$E$23+N682/Paramètres!$E$24+O682/Paramètres!$E$25+P682/Paramètres!$E$26+Q682/Paramètres!$E$27+R682/Paramètres!$E$28+S682/Paramètres!$E$29+T682/Paramètres!$E$30+U682/Paramètres!$E$31+V682/Paramètres!$E$32+W682/Paramètres!$E$33+X682/Paramètres!$E$34+Y682/Paramètres!$E$35,1)</f>
        <v>3.6</v>
      </c>
      <c r="AA682" s="22" t="s">
        <v>109</v>
      </c>
      <c r="AB682" s="22" t="s">
        <v>109</v>
      </c>
      <c r="AC682" s="15" t="str">
        <f aca="false">$E682</f>
        <v>peau de dragon</v>
      </c>
      <c r="AD682" s="16" t="n">
        <f aca="false" t="array" ref="AD682:AD682">IF($I682&gt;=$AI682,"Max",ROUND(Paramètres!$B$40*($I682+1)^Paramètres!$B$41*INDEX(Paramètres!$H$6:$H$12,$AF682),0))</f>
        <v>4</v>
      </c>
      <c r="AE682" s="23" t="n">
        <f aca="false">MATCH($B682&amp;"|"&amp;$C682,Profils!$A$5:$A$34,0)</f>
        <v>22</v>
      </c>
      <c r="AF682" s="23" t="n">
        <v>2</v>
      </c>
      <c r="AG682" s="24" t="n">
        <f aca="false" t="array" ref="AG682:AG682">INDEX(Paramètres!$C$6:$C$12,$AF682)</f>
        <v>1.2</v>
      </c>
      <c r="AH682" s="23" t="n">
        <f aca="false" t="array" ref="AH682:AH682">INDEX(Paramètres!$D$6:$D$12,$AF682)</f>
        <v>3</v>
      </c>
      <c r="AI682" s="23" t="n">
        <f aca="false" t="array" ref="AI682:AI682">INDEX(Matériaux!$C$16:$C$20,$D682)</f>
        <v>30</v>
      </c>
      <c r="AJ682" s="25" t="n">
        <f aca="false">Paramètres!$B$16+(1-Paramètres!$B$16)*(($J682-Paramètres!$B$14)/(Paramètres!$B$15-Paramètres!$B$14))^Paramètres!$B$17</f>
        <v>0.665999387952727</v>
      </c>
    </row>
    <row r="683" customFormat="false" ht="15.75" hidden="false" customHeight="true" outlineLevel="0" collapsed="false">
      <c r="A683" s="14" t="s">
        <v>799</v>
      </c>
      <c r="B683" s="15" t="s">
        <v>31</v>
      </c>
      <c r="C683" s="15" t="s">
        <v>90</v>
      </c>
      <c r="D683" s="16" t="n">
        <v>5</v>
      </c>
      <c r="E683" s="15" t="str">
        <f aca="false" t="array" ref="E683:E683">INDEX(Matériaux!$B$5:$F$12,MATCH(INDEX(Profils!$E$5:$E$34,$AE683),Matériaux!$A$5:$A$12,0),$D683)</f>
        <v>peau de dragon</v>
      </c>
      <c r="F683" s="27" t="s">
        <v>113</v>
      </c>
      <c r="G683" s="10" t="str">
        <f aca="false" t="array" ref="G683:G683">INDEX(Profils!$D$5:$D$34,$AE683)&amp;" en "&amp;$E683</f>
        <v>Veste en peau de dragon</v>
      </c>
      <c r="H683" s="16" t="n">
        <f aca="false" t="array" ref="H683:H683">INDEX(Matériaux!$B$16:$B$20,$D683)</f>
        <v>70</v>
      </c>
      <c r="I683" s="16" t="n">
        <f aca="false">IF(ISNUMBER($C$3),MIN(MAX(0,ROUND($C$3,0)),$AI683),$AI683)</f>
        <v>0</v>
      </c>
      <c r="J683" s="18" t="n">
        <f aca="false">$H683+$I683</f>
        <v>70</v>
      </c>
      <c r="K683" s="15" t="s">
        <v>109</v>
      </c>
      <c r="L683" s="19" t="n">
        <f aca="false" t="array" ref="L683:L683">IF(AND(INDEX(Profils!$F$5:$F$34,$AE683)&gt;0,INDEX(Profils!$U$5:$U$34,$AE683)&lt;=$AH683),ROUND(INDEX(Profils!$F$5:$F$34,$AE683)*Paramètres!$E$22*$AG683*$AJ683,Paramètres!$F$22),0)</f>
        <v>39</v>
      </c>
      <c r="M683" s="19" t="n">
        <f aca="false" t="array" ref="M683:M683">IF(AND(INDEX(Profils!$G$5:$G$34,$AE683)&gt;0,INDEX(Profils!$V$5:$V$34,$AE683)&lt;=$AH683),ROUND(INDEX(Profils!$G$5:$G$34,$AE683)*Paramètres!$E$23*$AG683*$AJ683,Paramètres!$F$23),0)</f>
        <v>0</v>
      </c>
      <c r="N683" s="19" t="n">
        <f aca="false" t="array" ref="N683:N683">IF(AND(INDEX(Profils!$H$5:$H$34,$AE683)&gt;0,INDEX(Profils!$W$5:$W$34,$AE683)&lt;=$AH683),ROUND(INDEX(Profils!$H$5:$H$34,$AE683)*Paramètres!$E$24*$AG683*$AJ683,Paramètres!$F$24),0)</f>
        <v>14</v>
      </c>
      <c r="O683" s="19" t="n">
        <f aca="false" t="array" ref="O683:O683">IF(AND(INDEX(Profils!$I$5:$I$34,$AE683)&gt;0,INDEX(Profils!$X$5:$X$34,$AE683)&lt;=$AH683),ROUND(INDEX(Profils!$I$5:$I$34,$AE683)*Paramètres!$E$25*$AG683*$AJ683,Paramètres!$F$25),0)</f>
        <v>0</v>
      </c>
      <c r="P683" s="19" t="n">
        <f aca="false" t="array" ref="P683:P683">IF(AND(INDEX(Profils!$J$5:$J$34,$AE683)&gt;0,INDEX(Profils!$Y$5:$Y$34,$AE683)&lt;=$AH683),ROUND(INDEX(Profils!$J$5:$J$34,$AE683)*Paramètres!$E$26*$AG683*$AJ683,Paramètres!$F$26),0)</f>
        <v>19</v>
      </c>
      <c r="Q683" s="19" t="n">
        <f aca="false" t="array" ref="Q683:Q683">IF(AND(INDEX(Profils!$K$5:$K$34,$AE683)&gt;0,INDEX(Profils!$Z$5:$Z$34,$AE683)&lt;=$AH683),ROUND(INDEX(Profils!$K$5:$K$34,$AE683)*Paramètres!$E$27*$AG683*$AJ683,Paramètres!$F$27),0)</f>
        <v>0</v>
      </c>
      <c r="R683" s="20" t="n">
        <f aca="false" t="array" ref="R683:R683">IF(AND(INDEX(Profils!$L$5:$L$34,$AE683)&gt;0,INDEX(Profils!$AA$5:$AA$34,$AE683)&lt;=$AH683),ROUND(INDEX(Profils!$L$5:$L$34,$AE683)*Paramètres!$E$28*$AG683*$AJ683,Paramètres!$F$28),0)</f>
        <v>0</v>
      </c>
      <c r="S683" s="20" t="n">
        <f aca="false" t="array" ref="S683:S683">IF(AND(INDEX(Profils!$M$5:$M$34,$AE683)&gt;0,INDEX(Profils!$AB$5:$AB$34,$AE683)&lt;=$AH683),ROUND(INDEX(Profils!$M$5:$M$34,$AE683)*Paramètres!$E$29*$AG683*$AJ683,Paramètres!$F$29),0)</f>
        <v>0</v>
      </c>
      <c r="T683" s="20" t="n">
        <f aca="false" t="array" ref="T683:T683">IF(AND(INDEX(Profils!$N$5:$N$34,$AE683)&gt;0,INDEX(Profils!$AC$5:$AC$34,$AE683)&lt;=$AH683),ROUND(INDEX(Profils!$N$5:$N$34,$AE683)*Paramètres!$E$30*$AG683*$AJ683,Paramètres!$F$30),0)</f>
        <v>0</v>
      </c>
      <c r="U683" s="19" t="n">
        <f aca="false" t="array" ref="U683:U683">IF(AND(INDEX(Profils!$O$5:$O$34,$AE683)&gt;0,INDEX(Profils!$AD$5:$AD$34,$AE683)&lt;=$AH683),ROUND(INDEX(Profils!$O$5:$O$34,$AE683)*Paramètres!$E$31*$AG683*$AJ683,Paramètres!$F$31),0)</f>
        <v>27</v>
      </c>
      <c r="V683" s="20" t="n">
        <f aca="false" t="array" ref="V683:V683">IF(AND(INDEX(Profils!$P$5:$P$34,$AE683)&gt;0,INDEX(Profils!$AE$5:$AE$34,$AE683)&lt;=$AH683),ROUND(INDEX(Profils!$P$5:$P$34,$AE683)*Paramètres!$E$32*$AG683*$AJ683,Paramètres!$F$32),0)</f>
        <v>0</v>
      </c>
      <c r="W683" s="20" t="n">
        <f aca="false" t="array" ref="W683:W683">IF(AND(INDEX(Profils!$Q$5:$Q$34,$AE683)&gt;0,INDEX(Profils!$AF$5:$AF$34,$AE683)&lt;=$AH683),ROUND(INDEX(Profils!$Q$5:$Q$34,$AE683)*Paramètres!$E$33*$AG683*$AJ683,Paramètres!$F$33),0)</f>
        <v>0</v>
      </c>
      <c r="X683" s="20" t="n">
        <f aca="false" t="array" ref="X683:X683">IF(AND(INDEX(Profils!$R$5:$R$34,$AE683)&gt;0,INDEX(Profils!$AG$5:$AG$34,$AE683)&lt;=$AH683),ROUND(INDEX(Profils!$R$5:$R$34,$AE683)*Paramètres!$E$34*$AG683*$AJ683,Paramètres!$F$34),0)</f>
        <v>0</v>
      </c>
      <c r="Y683" s="20" t="n">
        <f aca="false" t="array" ref="Y683:Y683">IF(AND(INDEX(Profils!$S$5:$S$34,$AE683)&gt;0,INDEX(Profils!$AH$5:$AH$34,$AE683)&lt;=$AH683),ROUND(INDEX(Profils!$S$5:$S$34,$AE683)*Paramètres!$E$35*$AG683*$AJ683,Paramètres!$F$35),0)</f>
        <v>0</v>
      </c>
      <c r="Z683" s="21" t="n">
        <f aca="false">ROUND(L683/Paramètres!$E$22+M683/Paramètres!$E$23+N683/Paramètres!$E$24+O683/Paramètres!$E$25+P683/Paramètres!$E$26+Q683/Paramètres!$E$27+R683/Paramètres!$E$28+S683/Paramètres!$E$29+T683/Paramètres!$E$30+U683/Paramètres!$E$31+V683/Paramètres!$E$32+W683/Paramètres!$E$33+X683/Paramètres!$E$34+Y683/Paramètres!$E$35,1)</f>
        <v>5.4</v>
      </c>
      <c r="AA683" s="22" t="s">
        <v>109</v>
      </c>
      <c r="AB683" s="22" t="s">
        <v>109</v>
      </c>
      <c r="AC683" s="15" t="str">
        <f aca="false">$E683</f>
        <v>peau de dragon</v>
      </c>
      <c r="AD683" s="16" t="n">
        <f aca="false" t="array" ref="AD683:AD683">IF($I683&gt;=$AI683,"Max",ROUND(Paramètres!$B$40*($I683+1)^Paramètres!$B$41*INDEX(Paramètres!$H$6:$H$12,$AF683),0))</f>
        <v>4</v>
      </c>
      <c r="AE683" s="23" t="n">
        <f aca="false">MATCH($B683&amp;"|"&amp;$C683,Profils!$A$5:$A$34,0)</f>
        <v>22</v>
      </c>
      <c r="AF683" s="23" t="n">
        <v>3</v>
      </c>
      <c r="AG683" s="24" t="n">
        <f aca="false" t="array" ref="AG683:AG683">INDEX(Paramètres!$C$6:$C$12,$AF683)</f>
        <v>1.45</v>
      </c>
      <c r="AH683" s="23" t="n">
        <f aca="false" t="array" ref="AH683:AH683">INDEX(Paramètres!$D$6:$D$12,$AF683)</f>
        <v>4</v>
      </c>
      <c r="AI683" s="23" t="n">
        <f aca="false" t="array" ref="AI683:AI683">INDEX(Matériaux!$C$16:$C$20,$D683)</f>
        <v>30</v>
      </c>
      <c r="AJ683" s="25" t="n">
        <f aca="false">Paramètres!$B$16+(1-Paramètres!$B$16)*(($J683-Paramètres!$B$14)/(Paramètres!$B$15-Paramètres!$B$14))^Paramètres!$B$17</f>
        <v>0.665999387952727</v>
      </c>
    </row>
    <row r="684" customFormat="false" ht="15.75" hidden="false" customHeight="true" outlineLevel="0" collapsed="false">
      <c r="A684" s="14" t="s">
        <v>800</v>
      </c>
      <c r="B684" s="15" t="s">
        <v>31</v>
      </c>
      <c r="C684" s="15" t="s">
        <v>90</v>
      </c>
      <c r="D684" s="16" t="n">
        <v>5</v>
      </c>
      <c r="E684" s="15" t="str">
        <f aca="false" t="array" ref="E684:E684">INDEX(Matériaux!$B$5:$F$12,MATCH(INDEX(Profils!$E$5:$E$34,$AE684),Matériaux!$A$5:$A$12,0),$D684)</f>
        <v>peau de dragon</v>
      </c>
      <c r="F684" s="28" t="s">
        <v>115</v>
      </c>
      <c r="G684" s="10" t="str">
        <f aca="false" t="array" ref="G684:G684">INDEX(Profils!$D$5:$D$34,$AE684)&amp;" en "&amp;$E684</f>
        <v>Veste en peau de dragon</v>
      </c>
      <c r="H684" s="16" t="n">
        <f aca="false" t="array" ref="H684:H684">INDEX(Matériaux!$B$16:$B$20,$D684)</f>
        <v>70</v>
      </c>
      <c r="I684" s="16" t="n">
        <f aca="false">IF(ISNUMBER($C$3),MIN(MAX(0,ROUND($C$3,0)),$AI684),$AI684)</f>
        <v>0</v>
      </c>
      <c r="J684" s="18" t="n">
        <f aca="false">$H684+$I684</f>
        <v>70</v>
      </c>
      <c r="K684" s="15" t="s">
        <v>109</v>
      </c>
      <c r="L684" s="19" t="n">
        <f aca="false" t="array" ref="L684:L684">IF(AND(INDEX(Profils!$F$5:$F$34,$AE684)&gt;0,INDEX(Profils!$U$5:$U$34,$AE684)&lt;=$AH684),ROUND(INDEX(Profils!$F$5:$F$34,$AE684)*Paramètres!$E$22*$AG684*$AJ684,Paramètres!$F$22),0)</f>
        <v>47</v>
      </c>
      <c r="M684" s="19" t="n">
        <f aca="false" t="array" ref="M684:M684">IF(AND(INDEX(Profils!$G$5:$G$34,$AE684)&gt;0,INDEX(Profils!$V$5:$V$34,$AE684)&lt;=$AH684),ROUND(INDEX(Profils!$G$5:$G$34,$AE684)*Paramètres!$E$23*$AG684*$AJ684,Paramètres!$F$23),0)</f>
        <v>0</v>
      </c>
      <c r="N684" s="19" t="n">
        <f aca="false" t="array" ref="N684:N684">IF(AND(INDEX(Profils!$H$5:$H$34,$AE684)&gt;0,INDEX(Profils!$W$5:$W$34,$AE684)&lt;=$AH684),ROUND(INDEX(Profils!$H$5:$H$34,$AE684)*Paramètres!$E$24*$AG684*$AJ684,Paramètres!$F$24),0)</f>
        <v>17</v>
      </c>
      <c r="O684" s="19" t="n">
        <f aca="false" t="array" ref="O684:O684">IF(AND(INDEX(Profils!$I$5:$I$34,$AE684)&gt;0,INDEX(Profils!$X$5:$X$34,$AE684)&lt;=$AH684),ROUND(INDEX(Profils!$I$5:$I$34,$AE684)*Paramètres!$E$25*$AG684*$AJ684,Paramètres!$F$25),0)</f>
        <v>0</v>
      </c>
      <c r="P684" s="19" t="n">
        <f aca="false" t="array" ref="P684:P684">IF(AND(INDEX(Profils!$J$5:$J$34,$AE684)&gt;0,INDEX(Profils!$Y$5:$Y$34,$AE684)&lt;=$AH684),ROUND(INDEX(Profils!$J$5:$J$34,$AE684)*Paramètres!$E$26*$AG684*$AJ684,Paramètres!$F$26),0)</f>
        <v>22</v>
      </c>
      <c r="Q684" s="19" t="n">
        <f aca="false" t="array" ref="Q684:Q684">IF(AND(INDEX(Profils!$K$5:$K$34,$AE684)&gt;0,INDEX(Profils!$Z$5:$Z$34,$AE684)&lt;=$AH684),ROUND(INDEX(Profils!$K$5:$K$34,$AE684)*Paramètres!$E$27*$AG684*$AJ684,Paramètres!$F$27),0)</f>
        <v>0</v>
      </c>
      <c r="R684" s="20" t="n">
        <f aca="false" t="array" ref="R684:R684">IF(AND(INDEX(Profils!$L$5:$L$34,$AE684)&gt;0,INDEX(Profils!$AA$5:$AA$34,$AE684)&lt;=$AH684),ROUND(INDEX(Profils!$L$5:$L$34,$AE684)*Paramètres!$E$28*$AG684*$AJ684,Paramètres!$F$28),0)</f>
        <v>0.014</v>
      </c>
      <c r="S684" s="20" t="n">
        <f aca="false" t="array" ref="S684:S684">IF(AND(INDEX(Profils!$M$5:$M$34,$AE684)&gt;0,INDEX(Profils!$AB$5:$AB$34,$AE684)&lt;=$AH684),ROUND(INDEX(Profils!$M$5:$M$34,$AE684)*Paramètres!$E$29*$AG684*$AJ684,Paramètres!$F$29),0)</f>
        <v>0</v>
      </c>
      <c r="T684" s="20" t="n">
        <f aca="false" t="array" ref="T684:T684">IF(AND(INDEX(Profils!$N$5:$N$34,$AE684)&gt;0,INDEX(Profils!$AC$5:$AC$34,$AE684)&lt;=$AH684),ROUND(INDEX(Profils!$N$5:$N$34,$AE684)*Paramètres!$E$30*$AG684*$AJ684,Paramètres!$F$30),0)</f>
        <v>0</v>
      </c>
      <c r="U684" s="19" t="n">
        <f aca="false" t="array" ref="U684:U684">IF(AND(INDEX(Profils!$O$5:$O$34,$AE684)&gt;0,INDEX(Profils!$AD$5:$AD$34,$AE684)&lt;=$AH684),ROUND(INDEX(Profils!$O$5:$O$34,$AE684)*Paramètres!$E$31*$AG684*$AJ684,Paramètres!$F$31),0)</f>
        <v>33</v>
      </c>
      <c r="V684" s="20" t="n">
        <f aca="false" t="array" ref="V684:V684">IF(AND(INDEX(Profils!$P$5:$P$34,$AE684)&gt;0,INDEX(Profils!$AE$5:$AE$34,$AE684)&lt;=$AH684),ROUND(INDEX(Profils!$P$5:$P$34,$AE684)*Paramètres!$E$32*$AG684*$AJ684,Paramètres!$F$32),0)</f>
        <v>0</v>
      </c>
      <c r="W684" s="20" t="n">
        <f aca="false" t="array" ref="W684:W684">IF(AND(INDEX(Profils!$Q$5:$Q$34,$AE684)&gt;0,INDEX(Profils!$AF$5:$AF$34,$AE684)&lt;=$AH684),ROUND(INDEX(Profils!$Q$5:$Q$34,$AE684)*Paramètres!$E$33*$AG684*$AJ684,Paramètres!$F$33),0)</f>
        <v>0</v>
      </c>
      <c r="X684" s="20" t="n">
        <f aca="false" t="array" ref="X684:X684">IF(AND(INDEX(Profils!$R$5:$R$34,$AE684)&gt;0,INDEX(Profils!$AG$5:$AG$34,$AE684)&lt;=$AH684),ROUND(INDEX(Profils!$R$5:$R$34,$AE684)*Paramètres!$E$34*$AG684*$AJ684,Paramètres!$F$34),0)</f>
        <v>0</v>
      </c>
      <c r="Y684" s="20" t="n">
        <f aca="false" t="array" ref="Y684:Y684">IF(AND(INDEX(Profils!$S$5:$S$34,$AE684)&gt;0,INDEX(Profils!$AH$5:$AH$34,$AE684)&lt;=$AH684),ROUND(INDEX(Profils!$S$5:$S$34,$AE684)*Paramètres!$E$35*$AG684*$AJ684,Paramètres!$F$35),0)</f>
        <v>0</v>
      </c>
      <c r="Z684" s="21" t="n">
        <f aca="false">ROUND(L684/Paramètres!$E$22+M684/Paramètres!$E$23+N684/Paramètres!$E$24+O684/Paramètres!$E$25+P684/Paramètres!$E$26+Q684/Paramètres!$E$27+R684/Paramètres!$E$28+S684/Paramètres!$E$29+T684/Paramètres!$E$30+U684/Paramètres!$E$31+V684/Paramètres!$E$32+W684/Paramètres!$E$33+X684/Paramètres!$E$34+Y684/Paramètres!$E$35,1)</f>
        <v>7.4</v>
      </c>
      <c r="AA684" s="22" t="s">
        <v>109</v>
      </c>
      <c r="AB684" s="22" t="s">
        <v>109</v>
      </c>
      <c r="AC684" s="15" t="str">
        <f aca="false">$E684</f>
        <v>peau de dragon</v>
      </c>
      <c r="AD684" s="16" t="n">
        <f aca="false" t="array" ref="AD684:AD684">IF($I684&gt;=$AI684,"Max",ROUND(Paramètres!$B$40*($I684+1)^Paramètres!$B$41*INDEX(Paramètres!$H$6:$H$12,$AF684),0))</f>
        <v>5</v>
      </c>
      <c r="AE684" s="23" t="n">
        <f aca="false">MATCH($B684&amp;"|"&amp;$C684,Profils!$A$5:$A$34,0)</f>
        <v>22</v>
      </c>
      <c r="AF684" s="23" t="n">
        <v>4</v>
      </c>
      <c r="AG684" s="24" t="n">
        <f aca="false" t="array" ref="AG684:AG684">INDEX(Paramètres!$C$6:$C$12,$AF684)</f>
        <v>1.75</v>
      </c>
      <c r="AH684" s="23" t="n">
        <f aca="false" t="array" ref="AH684:AH684">INDEX(Paramètres!$D$6:$D$12,$AF684)</f>
        <v>5</v>
      </c>
      <c r="AI684" s="23" t="n">
        <f aca="false" t="array" ref="AI684:AI684">INDEX(Matériaux!$C$16:$C$20,$D684)</f>
        <v>30</v>
      </c>
      <c r="AJ684" s="25" t="n">
        <f aca="false">Paramètres!$B$16+(1-Paramètres!$B$16)*(($J684-Paramètres!$B$14)/(Paramètres!$B$15-Paramètres!$B$14))^Paramètres!$B$17</f>
        <v>0.665999387952727</v>
      </c>
    </row>
    <row r="685" customFormat="false" ht="15.75" hidden="false" customHeight="true" outlineLevel="0" collapsed="false">
      <c r="A685" s="14" t="s">
        <v>801</v>
      </c>
      <c r="B685" s="15" t="s">
        <v>31</v>
      </c>
      <c r="C685" s="15" t="s">
        <v>90</v>
      </c>
      <c r="D685" s="16" t="n">
        <v>5</v>
      </c>
      <c r="E685" s="15" t="str">
        <f aca="false" t="array" ref="E685:E685">INDEX(Matériaux!$B$5:$F$12,MATCH(INDEX(Profils!$E$5:$E$34,$AE685),Matériaux!$A$5:$A$12,0),$D685)</f>
        <v>peau de dragon</v>
      </c>
      <c r="F685" s="29" t="s">
        <v>117</v>
      </c>
      <c r="G685" s="10" t="str">
        <f aca="false" t="array" ref="G685:G685">INDEX(Profils!$D$5:$D$34,$AE685)&amp;" en "&amp;$E685</f>
        <v>Veste en peau de dragon</v>
      </c>
      <c r="H685" s="16" t="n">
        <f aca="false" t="array" ref="H685:H685">INDEX(Matériaux!$B$16:$B$20,$D685)</f>
        <v>70</v>
      </c>
      <c r="I685" s="16" t="n">
        <f aca="false">IF(ISNUMBER($C$3),MIN(MAX(0,ROUND($C$3,0)),$AI685),$AI685)</f>
        <v>0</v>
      </c>
      <c r="J685" s="18" t="n">
        <f aca="false">$H685+$I685</f>
        <v>70</v>
      </c>
      <c r="K685" s="15" t="s">
        <v>109</v>
      </c>
      <c r="L685" s="19" t="n">
        <f aca="false" t="array" ref="L685:L685">IF(AND(INDEX(Profils!$F$5:$F$34,$AE685)&gt;0,INDEX(Profils!$U$5:$U$34,$AE685)&lt;=$AH685),ROUND(INDEX(Profils!$F$5:$F$34,$AE685)*Paramètres!$E$22*$AG685*$AJ685,Paramètres!$F$22),0)</f>
        <v>56</v>
      </c>
      <c r="M685" s="19" t="n">
        <f aca="false" t="array" ref="M685:M685">IF(AND(INDEX(Profils!$G$5:$G$34,$AE685)&gt;0,INDEX(Profils!$V$5:$V$34,$AE685)&lt;=$AH685),ROUND(INDEX(Profils!$G$5:$G$34,$AE685)*Paramètres!$E$23*$AG685*$AJ685,Paramètres!$F$23),0)</f>
        <v>13</v>
      </c>
      <c r="N685" s="19" t="n">
        <f aca="false" t="array" ref="N685:N685">IF(AND(INDEX(Profils!$H$5:$H$34,$AE685)&gt;0,INDEX(Profils!$W$5:$W$34,$AE685)&lt;=$AH685),ROUND(INDEX(Profils!$H$5:$H$34,$AE685)*Paramètres!$E$24*$AG685*$AJ685,Paramètres!$F$24),0)</f>
        <v>21</v>
      </c>
      <c r="O685" s="19" t="n">
        <f aca="false" t="array" ref="O685:O685">IF(AND(INDEX(Profils!$I$5:$I$34,$AE685)&gt;0,INDEX(Profils!$X$5:$X$34,$AE685)&lt;=$AH685),ROUND(INDEX(Profils!$I$5:$I$34,$AE685)*Paramètres!$E$25*$AG685*$AJ685,Paramètres!$F$25),0)</f>
        <v>0</v>
      </c>
      <c r="P685" s="19" t="n">
        <f aca="false" t="array" ref="P685:P685">IF(AND(INDEX(Profils!$J$5:$J$34,$AE685)&gt;0,INDEX(Profils!$Y$5:$Y$34,$AE685)&lt;=$AH685),ROUND(INDEX(Profils!$J$5:$J$34,$AE685)*Paramètres!$E$26*$AG685*$AJ685,Paramètres!$F$26),0)</f>
        <v>27</v>
      </c>
      <c r="Q685" s="19" t="n">
        <f aca="false" t="array" ref="Q685:Q685">IF(AND(INDEX(Profils!$K$5:$K$34,$AE685)&gt;0,INDEX(Profils!$Z$5:$Z$34,$AE685)&lt;=$AH685),ROUND(INDEX(Profils!$K$5:$K$34,$AE685)*Paramètres!$E$27*$AG685*$AJ685,Paramètres!$F$27),0)</f>
        <v>0</v>
      </c>
      <c r="R685" s="20" t="n">
        <f aca="false" t="array" ref="R685:R685">IF(AND(INDEX(Profils!$L$5:$L$34,$AE685)&gt;0,INDEX(Profils!$AA$5:$AA$34,$AE685)&lt;=$AH685),ROUND(INDEX(Profils!$L$5:$L$34,$AE685)*Paramètres!$E$28*$AG685*$AJ685,Paramètres!$F$28),0)</f>
        <v>0.017</v>
      </c>
      <c r="S685" s="20" t="n">
        <f aca="false" t="array" ref="S685:S685">IF(AND(INDEX(Profils!$M$5:$M$34,$AE685)&gt;0,INDEX(Profils!$AB$5:$AB$34,$AE685)&lt;=$AH685),ROUND(INDEX(Profils!$M$5:$M$34,$AE685)*Paramètres!$E$29*$AG685*$AJ685,Paramètres!$F$29),0)</f>
        <v>0</v>
      </c>
      <c r="T685" s="20" t="n">
        <f aca="false" t="array" ref="T685:T685">IF(AND(INDEX(Profils!$N$5:$N$34,$AE685)&gt;0,INDEX(Profils!$AC$5:$AC$34,$AE685)&lt;=$AH685),ROUND(INDEX(Profils!$N$5:$N$34,$AE685)*Paramètres!$E$30*$AG685*$AJ685,Paramètres!$F$30),0)</f>
        <v>0</v>
      </c>
      <c r="U685" s="19" t="n">
        <f aca="false" t="array" ref="U685:U685">IF(AND(INDEX(Profils!$O$5:$O$34,$AE685)&gt;0,INDEX(Profils!$AD$5:$AD$34,$AE685)&lt;=$AH685),ROUND(INDEX(Profils!$O$5:$O$34,$AE685)*Paramètres!$E$31*$AG685*$AJ685,Paramètres!$F$31),0)</f>
        <v>39</v>
      </c>
      <c r="V685" s="20" t="n">
        <f aca="false" t="array" ref="V685:V685">IF(AND(INDEX(Profils!$P$5:$P$34,$AE685)&gt;0,INDEX(Profils!$AE$5:$AE$34,$AE685)&lt;=$AH685),ROUND(INDEX(Profils!$P$5:$P$34,$AE685)*Paramètres!$E$32*$AG685*$AJ685,Paramètres!$F$32),0)</f>
        <v>0</v>
      </c>
      <c r="W685" s="20" t="n">
        <f aca="false" t="array" ref="W685:W685">IF(AND(INDEX(Profils!$Q$5:$Q$34,$AE685)&gt;0,INDEX(Profils!$AF$5:$AF$34,$AE685)&lt;=$AH685),ROUND(INDEX(Profils!$Q$5:$Q$34,$AE685)*Paramètres!$E$33*$AG685*$AJ685,Paramètres!$F$33),0)</f>
        <v>0</v>
      </c>
      <c r="X685" s="20" t="n">
        <f aca="false" t="array" ref="X685:X685">IF(AND(INDEX(Profils!$R$5:$R$34,$AE685)&gt;0,INDEX(Profils!$AG$5:$AG$34,$AE685)&lt;=$AH685),ROUND(INDEX(Profils!$R$5:$R$34,$AE685)*Paramètres!$E$34*$AG685*$AJ685,Paramètres!$F$34),0)</f>
        <v>0</v>
      </c>
      <c r="Y685" s="20" t="n">
        <f aca="false" t="array" ref="Y685:Y685">IF(AND(INDEX(Profils!$S$5:$S$34,$AE685)&gt;0,INDEX(Profils!$AH$5:$AH$34,$AE685)&lt;=$AH685),ROUND(INDEX(Profils!$S$5:$S$34,$AE685)*Paramètres!$E$35*$AG685*$AJ685,Paramètres!$F$35),0)</f>
        <v>0</v>
      </c>
      <c r="Z685" s="21" t="n">
        <f aca="false">ROUND(L685/Paramètres!$E$22+M685/Paramètres!$E$23+N685/Paramètres!$E$24+O685/Paramètres!$E$25+P685/Paramètres!$E$26+Q685/Paramètres!$E$27+R685/Paramètres!$E$28+S685/Paramètres!$E$29+T685/Paramètres!$E$30+U685/Paramètres!$E$31+V685/Paramètres!$E$32+W685/Paramètres!$E$33+X685/Paramètres!$E$34+Y685/Paramètres!$E$35,1)</f>
        <v>9.8</v>
      </c>
      <c r="AA685" s="22" t="s">
        <v>109</v>
      </c>
      <c r="AB685" s="22" t="s">
        <v>109</v>
      </c>
      <c r="AC685" s="15" t="str">
        <f aca="false">$E685</f>
        <v>peau de dragon</v>
      </c>
      <c r="AD685" s="16" t="n">
        <f aca="false" t="array" ref="AD685:AD685">IF($I685&gt;=$AI685,"Max",ROUND(Paramètres!$B$40*($I685+1)^Paramètres!$B$41*INDEX(Paramètres!$H$6:$H$12,$AF685),0))</f>
        <v>6</v>
      </c>
      <c r="AE685" s="23" t="n">
        <f aca="false">MATCH($B685&amp;"|"&amp;$C685,Profils!$A$5:$A$34,0)</f>
        <v>22</v>
      </c>
      <c r="AF685" s="23" t="n">
        <v>5</v>
      </c>
      <c r="AG685" s="24" t="n">
        <f aca="false" t="array" ref="AG685:AG685">INDEX(Paramètres!$C$6:$C$12,$AF685)</f>
        <v>2.1</v>
      </c>
      <c r="AH685" s="23" t="n">
        <f aca="false" t="array" ref="AH685:AH685">INDEX(Paramètres!$D$6:$D$12,$AF685)</f>
        <v>6</v>
      </c>
      <c r="AI685" s="23" t="n">
        <f aca="false" t="array" ref="AI685:AI685">INDEX(Matériaux!$C$16:$C$20,$D685)</f>
        <v>30</v>
      </c>
      <c r="AJ685" s="25" t="n">
        <f aca="false">Paramètres!$B$16+(1-Paramètres!$B$16)*(($J685-Paramètres!$B$14)/(Paramètres!$B$15-Paramètres!$B$14))^Paramètres!$B$17</f>
        <v>0.665999387952727</v>
      </c>
    </row>
    <row r="686" customFormat="false" ht="15.75" hidden="false" customHeight="true" outlineLevel="0" collapsed="false">
      <c r="A686" s="14" t="s">
        <v>802</v>
      </c>
      <c r="B686" s="15" t="s">
        <v>31</v>
      </c>
      <c r="C686" s="15" t="s">
        <v>90</v>
      </c>
      <c r="D686" s="16" t="n">
        <v>5</v>
      </c>
      <c r="E686" s="15" t="str">
        <f aca="false" t="array" ref="E686:E686">INDEX(Matériaux!$B$5:$F$12,MATCH(INDEX(Profils!$E$5:$E$34,$AE686),Matériaux!$A$5:$A$12,0),$D686)</f>
        <v>peau de dragon</v>
      </c>
      <c r="F686" s="30" t="s">
        <v>119</v>
      </c>
      <c r="G686" s="10" t="str">
        <f aca="false" t="array" ref="G686:G686">INDEX(Profils!$D$5:$D$34,$AE686)&amp;" en "&amp;$E686</f>
        <v>Veste en peau de dragon</v>
      </c>
      <c r="H686" s="16" t="n">
        <f aca="false" t="array" ref="H686:H686">INDEX(Matériaux!$B$16:$B$20,$D686)</f>
        <v>70</v>
      </c>
      <c r="I686" s="16" t="n">
        <f aca="false">IF(ISNUMBER($C$3),MIN(MAX(0,ROUND($C$3,0)),$AI686),$AI686)</f>
        <v>0</v>
      </c>
      <c r="J686" s="18" t="n">
        <f aca="false">$H686+$I686</f>
        <v>70</v>
      </c>
      <c r="K686" s="15" t="s">
        <v>109</v>
      </c>
      <c r="L686" s="19" t="n">
        <f aca="false" t="array" ref="L686:L686">IF(AND(INDEX(Profils!$F$5:$F$34,$AE686)&gt;0,INDEX(Profils!$U$5:$U$34,$AE686)&lt;=$AH686),ROUND(INDEX(Profils!$F$5:$F$34,$AE686)*Paramètres!$E$22*$AG686*$AJ686,Paramètres!$F$22),0)</f>
        <v>64</v>
      </c>
      <c r="M686" s="19" t="n">
        <f aca="false" t="array" ref="M686:M686">IF(AND(INDEX(Profils!$G$5:$G$34,$AE686)&gt;0,INDEX(Profils!$V$5:$V$34,$AE686)&lt;=$AH686),ROUND(INDEX(Profils!$G$5:$G$34,$AE686)*Paramètres!$E$23*$AG686*$AJ686,Paramètres!$F$23),0)</f>
        <v>14</v>
      </c>
      <c r="N686" s="19" t="n">
        <f aca="false" t="array" ref="N686:N686">IF(AND(INDEX(Profils!$H$5:$H$34,$AE686)&gt;0,INDEX(Profils!$W$5:$W$34,$AE686)&lt;=$AH686),ROUND(INDEX(Profils!$H$5:$H$34,$AE686)*Paramètres!$E$24*$AG686*$AJ686,Paramètres!$F$24),0)</f>
        <v>24</v>
      </c>
      <c r="O686" s="19" t="n">
        <f aca="false" t="array" ref="O686:O686">IF(AND(INDEX(Profils!$I$5:$I$34,$AE686)&gt;0,INDEX(Profils!$X$5:$X$34,$AE686)&lt;=$AH686),ROUND(INDEX(Profils!$I$5:$I$34,$AE686)*Paramètres!$E$25*$AG686*$AJ686,Paramètres!$F$25),0)</f>
        <v>0</v>
      </c>
      <c r="P686" s="19" t="n">
        <f aca="false" t="array" ref="P686:P686">IF(AND(INDEX(Profils!$J$5:$J$34,$AE686)&gt;0,INDEX(Profils!$Y$5:$Y$34,$AE686)&lt;=$AH686),ROUND(INDEX(Profils!$J$5:$J$34,$AE686)*Paramètres!$E$26*$AG686*$AJ686,Paramètres!$F$26),0)</f>
        <v>31</v>
      </c>
      <c r="Q686" s="19" t="n">
        <f aca="false" t="array" ref="Q686:Q686">IF(AND(INDEX(Profils!$K$5:$K$34,$AE686)&gt;0,INDEX(Profils!$Z$5:$Z$34,$AE686)&lt;=$AH686),ROUND(INDEX(Profils!$K$5:$K$34,$AE686)*Paramètres!$E$27*$AG686*$AJ686,Paramètres!$F$27),0)</f>
        <v>0</v>
      </c>
      <c r="R686" s="20" t="n">
        <f aca="false" t="array" ref="R686:R686">IF(AND(INDEX(Profils!$L$5:$L$34,$AE686)&gt;0,INDEX(Profils!$AA$5:$AA$34,$AE686)&lt;=$AH686),ROUND(INDEX(Profils!$L$5:$L$34,$AE686)*Paramètres!$E$28*$AG686*$AJ686,Paramètres!$F$28),0)</f>
        <v>0.019</v>
      </c>
      <c r="S686" s="20" t="n">
        <f aca="false" t="array" ref="S686:S686">IF(AND(INDEX(Profils!$M$5:$M$34,$AE686)&gt;0,INDEX(Profils!$AB$5:$AB$34,$AE686)&lt;=$AH686),ROUND(INDEX(Profils!$M$5:$M$34,$AE686)*Paramètres!$E$29*$AG686*$AJ686,Paramètres!$F$29),0)</f>
        <v>0</v>
      </c>
      <c r="T686" s="20" t="n">
        <f aca="false" t="array" ref="T686:T686">IF(AND(INDEX(Profils!$N$5:$N$34,$AE686)&gt;0,INDEX(Profils!$AC$5:$AC$34,$AE686)&lt;=$AH686),ROUND(INDEX(Profils!$N$5:$N$34,$AE686)*Paramètres!$E$30*$AG686*$AJ686,Paramètres!$F$30),0)</f>
        <v>0</v>
      </c>
      <c r="U686" s="19" t="n">
        <f aca="false" t="array" ref="U686:U686">IF(AND(INDEX(Profils!$O$5:$O$34,$AE686)&gt;0,INDEX(Profils!$AD$5:$AD$34,$AE686)&lt;=$AH686),ROUND(INDEX(Profils!$O$5:$O$34,$AE686)*Paramètres!$E$31*$AG686*$AJ686,Paramètres!$F$31),0)</f>
        <v>45</v>
      </c>
      <c r="V686" s="20" t="n">
        <f aca="false" t="array" ref="V686:V686">IF(AND(INDEX(Profils!$P$5:$P$34,$AE686)&gt;0,INDEX(Profils!$AE$5:$AE$34,$AE686)&lt;=$AH686),ROUND(INDEX(Profils!$P$5:$P$34,$AE686)*Paramètres!$E$32*$AG686*$AJ686,Paramètres!$F$32),0)</f>
        <v>0</v>
      </c>
      <c r="W686" s="20" t="n">
        <f aca="false" t="array" ref="W686:W686">IF(AND(INDEX(Profils!$Q$5:$Q$34,$AE686)&gt;0,INDEX(Profils!$AF$5:$AF$34,$AE686)&lt;=$AH686),ROUND(INDEX(Profils!$Q$5:$Q$34,$AE686)*Paramètres!$E$33*$AG686*$AJ686,Paramètres!$F$33),0)</f>
        <v>0.014</v>
      </c>
      <c r="X686" s="20" t="n">
        <f aca="false" t="array" ref="X686:X686">IF(AND(INDEX(Profils!$R$5:$R$34,$AE686)&gt;0,INDEX(Profils!$AG$5:$AG$34,$AE686)&lt;=$AH686),ROUND(INDEX(Profils!$R$5:$R$34,$AE686)*Paramètres!$E$34*$AG686*$AJ686,Paramètres!$F$34),0)</f>
        <v>0</v>
      </c>
      <c r="Y686" s="20" t="n">
        <f aca="false" t="array" ref="Y686:Y686">IF(AND(INDEX(Profils!$S$5:$S$34,$AE686)&gt;0,INDEX(Profils!$AH$5:$AH$34,$AE686)&lt;=$AH686),ROUND(INDEX(Profils!$S$5:$S$34,$AE686)*Paramètres!$E$35*$AG686*$AJ686,Paramètres!$F$35),0)</f>
        <v>0</v>
      </c>
      <c r="Z686" s="21" t="n">
        <f aca="false">ROUND(L686/Paramètres!$E$22+M686/Paramètres!$E$23+N686/Paramètres!$E$24+O686/Paramètres!$E$25+P686/Paramètres!$E$26+Q686/Paramètres!$E$27+R686/Paramètres!$E$28+S686/Paramètres!$E$29+T686/Paramètres!$E$30+U686/Paramètres!$E$31+V686/Paramètres!$E$32+W686/Paramètres!$E$33+X686/Paramètres!$E$34+Y686/Paramètres!$E$35,1)</f>
        <v>12.1</v>
      </c>
      <c r="AA686" s="22" t="s">
        <v>109</v>
      </c>
      <c r="AB686" s="22" t="s">
        <v>109</v>
      </c>
      <c r="AC686" s="15" t="str">
        <f aca="false">$E686</f>
        <v>peau de dragon</v>
      </c>
      <c r="AD686" s="16" t="n">
        <f aca="false" t="array" ref="AD686:AD686">IF($I686&gt;=$AI686,"Max",ROUND(Paramètres!$B$40*($I686+1)^Paramètres!$B$41*INDEX(Paramètres!$H$6:$H$12,$AF686),0))</f>
        <v>8</v>
      </c>
      <c r="AE686" s="23" t="n">
        <f aca="false">MATCH($B686&amp;"|"&amp;$C686,Profils!$A$5:$A$34,0)</f>
        <v>22</v>
      </c>
      <c r="AF686" s="23" t="n">
        <v>6</v>
      </c>
      <c r="AG686" s="24" t="n">
        <f aca="false" t="array" ref="AG686:AG686">INDEX(Paramètres!$C$6:$C$12,$AF686)</f>
        <v>2.4</v>
      </c>
      <c r="AH686" s="23" t="n">
        <f aca="false" t="array" ref="AH686:AH686">INDEX(Paramètres!$D$6:$D$12,$AF686)</f>
        <v>7</v>
      </c>
      <c r="AI686" s="23" t="n">
        <f aca="false" t="array" ref="AI686:AI686">INDEX(Matériaux!$C$16:$C$20,$D686)</f>
        <v>30</v>
      </c>
      <c r="AJ686" s="25" t="n">
        <f aca="false">Paramètres!$B$16+(1-Paramètres!$B$16)*(($J686-Paramètres!$B$14)/(Paramètres!$B$15-Paramètres!$B$14))^Paramètres!$B$17</f>
        <v>0.665999387952727</v>
      </c>
    </row>
    <row r="687" customFormat="false" ht="15.75" hidden="false" customHeight="true" outlineLevel="0" collapsed="false">
      <c r="A687" s="14" t="s">
        <v>803</v>
      </c>
      <c r="B687" s="15" t="s">
        <v>31</v>
      </c>
      <c r="C687" s="15" t="s">
        <v>90</v>
      </c>
      <c r="D687" s="16" t="s">
        <v>109</v>
      </c>
      <c r="E687" s="15" t="s">
        <v>109</v>
      </c>
      <c r="F687" s="31" t="s">
        <v>38</v>
      </c>
      <c r="G687" s="10" t="str">
        <f aca="false" t="array" ref="G687:G687">INDEX(Uniques!$E$5:$E$34,MATCH($B687&amp;"|"&amp;$C687,Uniques!$A$5:$A$34,0))</f>
        <v>Veste du Brouillard Mouvant</v>
      </c>
      <c r="H687" s="16" t="n">
        <f aca="false" t="array" ref="H687:H687">INDEX(Uniques!$L$5:$L$34,MATCH($B687&amp;"|"&amp;$C687,Uniques!$A$5:$A$34,0))</f>
        <v>51</v>
      </c>
      <c r="I687" s="16" t="n">
        <f aca="false">IF(ISNUMBER($C$3),MIN(MAX(0,ROUND($C$3,0)),$AI687),$AI687)</f>
        <v>0</v>
      </c>
      <c r="J687" s="18" t="n">
        <f aca="false">$H687+$I687</f>
        <v>51</v>
      </c>
      <c r="K687" s="15" t="str">
        <f aca="false" t="array" ref="K687:K687">INDEX(Uniques!$F$5:$F$34,MATCH($B687&amp;"|"&amp;$C687,Uniques!$A$5:$A$34,0))</f>
        <v>Eau</v>
      </c>
      <c r="L687" s="19" t="n">
        <f aca="false" t="array" ref="L687:L687">IF(AND(INDEX(Profils!$F$5:$F$34,$AE687)&gt;0,INDEX(Profils!$U$5:$U$34,$AE687)&lt;=$AH687),ROUND(INDEX(Profils!$F$5:$F$34,$AE687)*Paramètres!$E$22*$AG687*$AJ687,Paramètres!$F$22),0)</f>
        <v>47</v>
      </c>
      <c r="M687" s="19" t="n">
        <f aca="false" t="array" ref="M687:M687">IF(AND(INDEX(Profils!$G$5:$G$34,$AE687)&gt;0,INDEX(Profils!$V$5:$V$34,$AE687)&lt;=$AH687),ROUND(INDEX(Profils!$G$5:$G$34,$AE687)*Paramètres!$E$23*$AG687*$AJ687,Paramètres!$F$23),0)</f>
        <v>11</v>
      </c>
      <c r="N687" s="19" t="n">
        <f aca="false" t="array" ref="N687:N687">IF(AND(INDEX(Profils!$H$5:$H$34,$AE687)&gt;0,INDEX(Profils!$W$5:$W$34,$AE687)&lt;=$AH687),ROUND(INDEX(Profils!$H$5:$H$34,$AE687)*Paramètres!$E$24*$AG687*$AJ687,Paramètres!$F$24),0)</f>
        <v>18</v>
      </c>
      <c r="O687" s="19" t="n">
        <f aca="false" t="array" ref="O687:O687">IF(AND(INDEX(Profils!$I$5:$I$34,$AE687)&gt;0,INDEX(Profils!$X$5:$X$34,$AE687)&lt;=$AH687),ROUND(INDEX(Profils!$I$5:$I$34,$AE687)*Paramètres!$E$25*$AG687*$AJ687,Paramètres!$F$25),0)</f>
        <v>0</v>
      </c>
      <c r="P687" s="19" t="n">
        <f aca="false" t="array" ref="P687:P687">IF(AND(INDEX(Profils!$J$5:$J$34,$AE687)&gt;0,INDEX(Profils!$Y$5:$Y$34,$AE687)&lt;=$AH687),ROUND(INDEX(Profils!$J$5:$J$34,$AE687)*Paramètres!$E$26*$AG687*$AJ687,Paramètres!$F$26),0)</f>
        <v>22</v>
      </c>
      <c r="Q687" s="19" t="n">
        <f aca="false" t="array" ref="Q687:Q687">IF(AND(INDEX(Profils!$K$5:$K$34,$AE687)&gt;0,INDEX(Profils!$Z$5:$Z$34,$AE687)&lt;=$AH687),ROUND(INDEX(Profils!$K$5:$K$34,$AE687)*Paramètres!$E$27*$AG687*$AJ687,Paramètres!$F$27),0)</f>
        <v>0</v>
      </c>
      <c r="R687" s="20" t="n">
        <f aca="false" t="array" ref="R687:R687">IF(AND(INDEX(Profils!$L$5:$L$34,$AE687)&gt;0,INDEX(Profils!$AA$5:$AA$34,$AE687)&lt;=$AH687),ROUND(INDEX(Profils!$L$5:$L$34,$AE687)*Paramètres!$E$28*$AG687*$AJ687,Paramètres!$F$28),0)</f>
        <v>0.014</v>
      </c>
      <c r="S687" s="20" t="n">
        <f aca="false" t="array" ref="S687:S687">IF(AND(INDEX(Profils!$M$5:$M$34,$AE687)&gt;0,INDEX(Profils!$AB$5:$AB$34,$AE687)&lt;=$AH687),ROUND(INDEX(Profils!$M$5:$M$34,$AE687)*Paramètres!$E$29*$AG687*$AJ687,Paramètres!$F$29),0)</f>
        <v>0</v>
      </c>
      <c r="T687" s="20" t="n">
        <f aca="false" t="array" ref="T687:T687">IF(AND(INDEX(Profils!$N$5:$N$34,$AE687)&gt;0,INDEX(Profils!$AC$5:$AC$34,$AE687)&lt;=$AH687),ROUND(INDEX(Profils!$N$5:$N$34,$AE687)*Paramètres!$E$30*$AG687*$AJ687,Paramètres!$F$30),0)</f>
        <v>0</v>
      </c>
      <c r="U687" s="19" t="n">
        <f aca="false" t="array" ref="U687:U687">IF(AND(INDEX(Profils!$O$5:$O$34,$AE687)&gt;0,INDEX(Profils!$AD$5:$AD$34,$AE687)&lt;=$AH687),ROUND(INDEX(Profils!$O$5:$O$34,$AE687)*Paramètres!$E$31*$AG687*$AJ687,Paramètres!$F$31),0)</f>
        <v>33</v>
      </c>
      <c r="V687" s="20" t="n">
        <f aca="false" t="array" ref="V687:V687">IF(AND(INDEX(Profils!$P$5:$P$34,$AE687)&gt;0,INDEX(Profils!$AE$5:$AE$34,$AE687)&lt;=$AH687),ROUND(INDEX(Profils!$P$5:$P$34,$AE687)*Paramètres!$E$32*$AG687*$AJ687,Paramètres!$F$32),0)</f>
        <v>0</v>
      </c>
      <c r="W687" s="20" t="n">
        <f aca="false" t="array" ref="W687:W687">IF(AND(INDEX(Profils!$Q$5:$Q$34,$AE687)&gt;0,INDEX(Profils!$AF$5:$AF$34,$AE687)&lt;=$AH687),ROUND(INDEX(Profils!$Q$5:$Q$34,$AE687)*Paramètres!$E$33*$AG687*$AJ687,Paramètres!$F$33),0)</f>
        <v>0.011</v>
      </c>
      <c r="X687" s="20" t="n">
        <f aca="false" t="array" ref="X687:X687">IF(AND(INDEX(Profils!$R$5:$R$34,$AE687)&gt;0,INDEX(Profils!$AG$5:$AG$34,$AE687)&lt;=$AH687),ROUND(INDEX(Profils!$R$5:$R$34,$AE687)*Paramètres!$E$34*$AG687*$AJ687,Paramètres!$F$34),0)</f>
        <v>0</v>
      </c>
      <c r="Y687" s="20" t="n">
        <f aca="false" t="array" ref="Y687:Y687">IF(AND(INDEX(Profils!$S$5:$S$34,$AE687)&gt;0,INDEX(Profils!$AH$5:$AH$34,$AE687)&lt;=$AH687),ROUND(INDEX(Profils!$S$5:$S$34,$AE687)*Paramètres!$E$35*$AG687*$AJ687,Paramètres!$F$35),0)</f>
        <v>0</v>
      </c>
      <c r="Z687" s="21" t="n">
        <f aca="false">ROUND(L687/Paramètres!$E$22+M687/Paramètres!$E$23+N687/Paramètres!$E$24+O687/Paramètres!$E$25+P687/Paramètres!$E$26+Q687/Paramètres!$E$27+R687/Paramètres!$E$28+S687/Paramètres!$E$29+T687/Paramètres!$E$30+U687/Paramètres!$E$31+V687/Paramètres!$E$32+W687/Paramètres!$E$33+X687/Paramètres!$E$34+Y687/Paramètres!$E$35,1)</f>
        <v>9</v>
      </c>
      <c r="AA687" s="22" t="str">
        <f aca="false" t="array" ref="AA687:AA687">INDEX(Uniques!$G$5:$G$34,MATCH($B687&amp;"|"&amp;$C687,Uniques!$A$5:$A$34,0))</f>
        <v>Brume protectrice</v>
      </c>
      <c r="AB687" s="22" t="str">
        <f aca="false" t="array" ref="AB687:AB687">INDEX(Uniques!$H$5:$H$34,MATCH($B687&amp;"|"&amp;$C687,Uniques!$A$5:$A$34,0))&amp;" ["&amp;INDEX(Uniques!$I$5:$I$34,MATCH($B687&amp;"|"&amp;$C687,Uniques!$A$5:$A$34,0))&amp;"]"</f>
        <v>Chaque attaque esquivée donne +5 % d'Esquive pendant 2 tours. [3 piles max (+15 % d'Esquive).]</v>
      </c>
      <c r="AC687" s="15" t="str">
        <f aca="false" t="array" ref="AC687:AC687">INDEX(Matériaux!$B$5:$F$12,MATCH(INDEX(Profils!$E$5:$E$34,$AE687),Matériaux!$A$5:$A$12,0),MATCH(MIN($J687+1,100),Matériaux!$B$16:$B$20,1))</f>
        <v>écailles</v>
      </c>
      <c r="AD687" s="16" t="n">
        <f aca="false" t="array" ref="AD687:AD687">IF($I687&gt;=$AI687,"Max",ROUND(Paramètres!$B$40*($I687+1)^Paramètres!$B$41*INDEX(Paramètres!$H$6:$H$12,$AF687),0))</f>
        <v>9</v>
      </c>
      <c r="AE687" s="23" t="n">
        <f aca="false">MATCH($B687&amp;"|"&amp;$C687,Profils!$A$5:$A$34,0)</f>
        <v>22</v>
      </c>
      <c r="AF687" s="23" t="n">
        <v>7</v>
      </c>
      <c r="AG687" s="24" t="n">
        <f aca="false" t="array" ref="AG687:AG687">INDEX(Paramètres!$C$6:$C$12,$AF687)</f>
        <v>2.5</v>
      </c>
      <c r="AH687" s="23" t="n">
        <f aca="false" t="array" ref="AH687:AH687">INDEX(Paramètres!$D$6:$D$12,$AF687)</f>
        <v>7</v>
      </c>
      <c r="AI687" s="23" t="n">
        <f aca="false" t="array" ref="AI687:AI687">INDEX(Uniques!$M$5:$M$34,MATCH($B687&amp;"|"&amp;$C687,Uniques!$A$5:$A$34,0))</f>
        <v>49</v>
      </c>
      <c r="AJ687" s="25" t="n">
        <f aca="false">Paramètres!$B$16+(1-Paramètres!$B$16)*(($J687-Paramètres!$B$14)/(Paramètres!$B$15-Paramètres!$B$14))^Paramètres!$B$17</f>
        <v>0.468528827698579</v>
      </c>
    </row>
    <row r="688" customFormat="false" ht="15.75" hidden="false" customHeight="true" outlineLevel="0" collapsed="false">
      <c r="A688" s="14" t="s">
        <v>804</v>
      </c>
      <c r="B688" s="15" t="s">
        <v>31</v>
      </c>
      <c r="C688" s="15" t="s">
        <v>177</v>
      </c>
      <c r="D688" s="16" t="n">
        <v>1</v>
      </c>
      <c r="E688" s="15" t="str">
        <f aca="false" t="array" ref="E688:E688">INDEX(Matériaux!$B$5:$F$12,MATCH(INDEX(Profils!$E$5:$E$34,$AE688),Matériaux!$A$5:$A$12,0),$D688)</f>
        <v>toile</v>
      </c>
      <c r="F688" s="17" t="s">
        <v>108</v>
      </c>
      <c r="G688" s="10" t="str">
        <f aca="false" t="array" ref="G688:G688">INDEX(Profils!$D$5:$D$34,$AE688)&amp;" en "&amp;$E688</f>
        <v>Pantalon en toile</v>
      </c>
      <c r="H688" s="16" t="n">
        <f aca="false" t="array" ref="H688:H688">INDEX(Matériaux!$B$16:$B$20,$D688)</f>
        <v>1</v>
      </c>
      <c r="I688" s="16" t="n">
        <f aca="false">IF(ISNUMBER($C$3),MIN(MAX(0,ROUND($C$3,0)),$AI688),$AI688)</f>
        <v>0</v>
      </c>
      <c r="J688" s="18" t="n">
        <f aca="false">$H688+$I688</f>
        <v>1</v>
      </c>
      <c r="K688" s="15" t="s">
        <v>109</v>
      </c>
      <c r="L688" s="19" t="n">
        <f aca="false" t="array" ref="L688:L688">IF(AND(INDEX(Profils!$F$5:$F$34,$AE688)&gt;0,INDEX(Profils!$U$5:$U$34,$AE688)&lt;=$AH688),ROUND(INDEX(Profils!$F$5:$F$34,$AE688)*Paramètres!$E$22*$AG688*$AJ688,Paramètres!$F$22),0)</f>
        <v>2</v>
      </c>
      <c r="M688" s="19" t="n">
        <f aca="false" t="array" ref="M688:M688">IF(AND(INDEX(Profils!$G$5:$G$34,$AE688)&gt;0,INDEX(Profils!$V$5:$V$34,$AE688)&lt;=$AH688),ROUND(INDEX(Profils!$G$5:$G$34,$AE688)*Paramètres!$E$23*$AG688*$AJ688,Paramètres!$F$23),0)</f>
        <v>0</v>
      </c>
      <c r="N688" s="19" t="n">
        <f aca="false" t="array" ref="N688:N688">IF(AND(INDEX(Profils!$H$5:$H$34,$AE688)&gt;0,INDEX(Profils!$W$5:$W$34,$AE688)&lt;=$AH688),ROUND(INDEX(Profils!$H$5:$H$34,$AE688)*Paramètres!$E$24*$AG688*$AJ688,Paramètres!$F$24),0)</f>
        <v>0</v>
      </c>
      <c r="O688" s="19" t="n">
        <f aca="false" t="array" ref="O688:O688">IF(AND(INDEX(Profils!$I$5:$I$34,$AE688)&gt;0,INDEX(Profils!$X$5:$X$34,$AE688)&lt;=$AH688),ROUND(INDEX(Profils!$I$5:$I$34,$AE688)*Paramètres!$E$25*$AG688*$AJ688,Paramètres!$F$25),0)</f>
        <v>0</v>
      </c>
      <c r="P688" s="19" t="n">
        <f aca="false" t="array" ref="P688:P688">IF(AND(INDEX(Profils!$J$5:$J$34,$AE688)&gt;0,INDEX(Profils!$Y$5:$Y$34,$AE688)&lt;=$AH688),ROUND(INDEX(Profils!$J$5:$J$34,$AE688)*Paramètres!$E$26*$AG688*$AJ688,Paramètres!$F$26),0)</f>
        <v>1</v>
      </c>
      <c r="Q688" s="19" t="n">
        <f aca="false" t="array" ref="Q688:Q688">IF(AND(INDEX(Profils!$K$5:$K$34,$AE688)&gt;0,INDEX(Profils!$Z$5:$Z$34,$AE688)&lt;=$AH688),ROUND(INDEX(Profils!$K$5:$K$34,$AE688)*Paramètres!$E$27*$AG688*$AJ688,Paramètres!$F$27),0)</f>
        <v>0</v>
      </c>
      <c r="R688" s="20" t="n">
        <f aca="false" t="array" ref="R688:R688">IF(AND(INDEX(Profils!$L$5:$L$34,$AE688)&gt;0,INDEX(Profils!$AA$5:$AA$34,$AE688)&lt;=$AH688),ROUND(INDEX(Profils!$L$5:$L$34,$AE688)*Paramètres!$E$28*$AG688*$AJ688,Paramètres!$F$28),0)</f>
        <v>0</v>
      </c>
      <c r="S688" s="20" t="n">
        <f aca="false" t="array" ref="S688:S688">IF(AND(INDEX(Profils!$M$5:$M$34,$AE688)&gt;0,INDEX(Profils!$AB$5:$AB$34,$AE688)&lt;=$AH688),ROUND(INDEX(Profils!$M$5:$M$34,$AE688)*Paramètres!$E$29*$AG688*$AJ688,Paramètres!$F$29),0)</f>
        <v>0</v>
      </c>
      <c r="T688" s="20" t="n">
        <f aca="false" t="array" ref="T688:T688">IF(AND(INDEX(Profils!$N$5:$N$34,$AE688)&gt;0,INDEX(Profils!$AC$5:$AC$34,$AE688)&lt;=$AH688),ROUND(INDEX(Profils!$N$5:$N$34,$AE688)*Paramètres!$E$30*$AG688*$AJ688,Paramètres!$F$30),0)</f>
        <v>0</v>
      </c>
      <c r="U688" s="19" t="n">
        <f aca="false" t="array" ref="U688:U688">IF(AND(INDEX(Profils!$O$5:$O$34,$AE688)&gt;0,INDEX(Profils!$AD$5:$AD$34,$AE688)&lt;=$AH688),ROUND(INDEX(Profils!$O$5:$O$34,$AE688)*Paramètres!$E$31*$AG688*$AJ688,Paramètres!$F$31),0)</f>
        <v>0</v>
      </c>
      <c r="V688" s="20" t="n">
        <f aca="false" t="array" ref="V688:V688">IF(AND(INDEX(Profils!$P$5:$P$34,$AE688)&gt;0,INDEX(Profils!$AE$5:$AE$34,$AE688)&lt;=$AH688),ROUND(INDEX(Profils!$P$5:$P$34,$AE688)*Paramètres!$E$32*$AG688*$AJ688,Paramètres!$F$32),0)</f>
        <v>0</v>
      </c>
      <c r="W688" s="20" t="n">
        <f aca="false" t="array" ref="W688:W688">IF(AND(INDEX(Profils!$Q$5:$Q$34,$AE688)&gt;0,INDEX(Profils!$AF$5:$AF$34,$AE688)&lt;=$AH688),ROUND(INDEX(Profils!$Q$5:$Q$34,$AE688)*Paramètres!$E$33*$AG688*$AJ688,Paramètres!$F$33),0)</f>
        <v>0</v>
      </c>
      <c r="X688" s="20" t="n">
        <f aca="false" t="array" ref="X688:X688">IF(AND(INDEX(Profils!$R$5:$R$34,$AE688)&gt;0,INDEX(Profils!$AG$5:$AG$34,$AE688)&lt;=$AH688),ROUND(INDEX(Profils!$R$5:$R$34,$AE688)*Paramètres!$E$34*$AG688*$AJ688,Paramètres!$F$34),0)</f>
        <v>0</v>
      </c>
      <c r="Y688" s="20" t="n">
        <f aca="false" t="array" ref="Y688:Y688">IF(AND(INDEX(Profils!$S$5:$S$34,$AE688)&gt;0,INDEX(Profils!$AH$5:$AH$34,$AE688)&lt;=$AH688),ROUND(INDEX(Profils!$S$5:$S$34,$AE688)*Paramètres!$E$35*$AG688*$AJ688,Paramètres!$F$35),0)</f>
        <v>0</v>
      </c>
      <c r="Z688" s="21" t="n">
        <f aca="false">ROUND(L688/Paramètres!$E$22+M688/Paramètres!$E$23+N688/Paramètres!$E$24+O688/Paramètres!$E$25+P688/Paramètres!$E$26+Q688/Paramètres!$E$27+R688/Paramètres!$E$28+S688/Paramètres!$E$29+T688/Paramètres!$E$30+U688/Paramètres!$E$31+V688/Paramètres!$E$32+W688/Paramètres!$E$33+X688/Paramètres!$E$34+Y688/Paramètres!$E$35,1)</f>
        <v>0.2</v>
      </c>
      <c r="AA688" s="22" t="s">
        <v>109</v>
      </c>
      <c r="AB688" s="22" t="s">
        <v>109</v>
      </c>
      <c r="AC688" s="15" t="str">
        <f aca="false">$E688</f>
        <v>toile</v>
      </c>
      <c r="AD688" s="16" t="n">
        <f aca="false" t="array" ref="AD688:AD688">IF($I688&gt;=$AI688,"Max",ROUND(Paramètres!$B$40*($I688+1)^Paramètres!$B$41*INDEX(Paramètres!$H$6:$H$12,$AF688),0))</f>
        <v>3</v>
      </c>
      <c r="AE688" s="23" t="n">
        <f aca="false">MATCH($B688&amp;"|"&amp;$C688,Profils!$A$5:$A$34,0)</f>
        <v>23</v>
      </c>
      <c r="AF688" s="23" t="n">
        <v>1</v>
      </c>
      <c r="AG688" s="24" t="n">
        <f aca="false" t="array" ref="AG688:AG688">INDEX(Paramètres!$C$6:$C$12,$AF688)</f>
        <v>1</v>
      </c>
      <c r="AH688" s="23" t="n">
        <f aca="false" t="array" ref="AH688:AH688">INDEX(Paramètres!$D$6:$D$12,$AF688)</f>
        <v>2</v>
      </c>
      <c r="AI688" s="23" t="n">
        <f aca="false" t="array" ref="AI688:AI688">INDEX(Matériaux!$C$16:$C$20,$D688)</f>
        <v>19</v>
      </c>
      <c r="AJ688" s="25" t="n">
        <f aca="false">Paramètres!$B$16+(1-Paramètres!$B$16)*(($J688-Paramètres!$B$14)/(Paramètres!$B$15-Paramètres!$B$14))^Paramètres!$B$17</f>
        <v>0.05</v>
      </c>
    </row>
    <row r="689" customFormat="false" ht="15.75" hidden="false" customHeight="true" outlineLevel="0" collapsed="false">
      <c r="A689" s="14" t="s">
        <v>805</v>
      </c>
      <c r="B689" s="15" t="s">
        <v>31</v>
      </c>
      <c r="C689" s="15" t="s">
        <v>177</v>
      </c>
      <c r="D689" s="16" t="n">
        <v>1</v>
      </c>
      <c r="E689" s="15" t="str">
        <f aca="false" t="array" ref="E689:E689">INDEX(Matériaux!$B$5:$F$12,MATCH(INDEX(Profils!$E$5:$E$34,$AE689),Matériaux!$A$5:$A$12,0),$D689)</f>
        <v>toile</v>
      </c>
      <c r="F689" s="26" t="s">
        <v>111</v>
      </c>
      <c r="G689" s="10" t="str">
        <f aca="false" t="array" ref="G689:G689">INDEX(Profils!$D$5:$D$34,$AE689)&amp;" en "&amp;$E689</f>
        <v>Pantalon en toile</v>
      </c>
      <c r="H689" s="16" t="n">
        <f aca="false" t="array" ref="H689:H689">INDEX(Matériaux!$B$16:$B$20,$D689)</f>
        <v>1</v>
      </c>
      <c r="I689" s="16" t="n">
        <f aca="false">IF(ISNUMBER($C$3),MIN(MAX(0,ROUND($C$3,0)),$AI689),$AI689)</f>
        <v>0</v>
      </c>
      <c r="J689" s="18" t="n">
        <f aca="false">$H689+$I689</f>
        <v>1</v>
      </c>
      <c r="K689" s="15" t="s">
        <v>109</v>
      </c>
      <c r="L689" s="19" t="n">
        <f aca="false" t="array" ref="L689:L689">IF(AND(INDEX(Profils!$F$5:$F$34,$AE689)&gt;0,INDEX(Profils!$U$5:$U$34,$AE689)&lt;=$AH689),ROUND(INDEX(Profils!$F$5:$F$34,$AE689)*Paramètres!$E$22*$AG689*$AJ689,Paramètres!$F$22),0)</f>
        <v>2</v>
      </c>
      <c r="M689" s="19" t="n">
        <f aca="false" t="array" ref="M689:M689">IF(AND(INDEX(Profils!$G$5:$G$34,$AE689)&gt;0,INDEX(Profils!$V$5:$V$34,$AE689)&lt;=$AH689),ROUND(INDEX(Profils!$G$5:$G$34,$AE689)*Paramètres!$E$23*$AG689*$AJ689,Paramètres!$F$23),0)</f>
        <v>0</v>
      </c>
      <c r="N689" s="19" t="n">
        <f aca="false" t="array" ref="N689:N689">IF(AND(INDEX(Profils!$H$5:$H$34,$AE689)&gt;0,INDEX(Profils!$W$5:$W$34,$AE689)&lt;=$AH689),ROUND(INDEX(Profils!$H$5:$H$34,$AE689)*Paramètres!$E$24*$AG689*$AJ689,Paramètres!$F$24),0)</f>
        <v>0</v>
      </c>
      <c r="O689" s="19" t="n">
        <f aca="false" t="array" ref="O689:O689">IF(AND(INDEX(Profils!$I$5:$I$34,$AE689)&gt;0,INDEX(Profils!$X$5:$X$34,$AE689)&lt;=$AH689),ROUND(INDEX(Profils!$I$5:$I$34,$AE689)*Paramètres!$E$25*$AG689*$AJ689,Paramètres!$F$25),0)</f>
        <v>0</v>
      </c>
      <c r="P689" s="19" t="n">
        <f aca="false" t="array" ref="P689:P689">IF(AND(INDEX(Profils!$J$5:$J$34,$AE689)&gt;0,INDEX(Profils!$Y$5:$Y$34,$AE689)&lt;=$AH689),ROUND(INDEX(Profils!$J$5:$J$34,$AE689)*Paramètres!$E$26*$AG689*$AJ689,Paramètres!$F$26),0)</f>
        <v>1</v>
      </c>
      <c r="Q689" s="19" t="n">
        <f aca="false" t="array" ref="Q689:Q689">IF(AND(INDEX(Profils!$K$5:$K$34,$AE689)&gt;0,INDEX(Profils!$Z$5:$Z$34,$AE689)&lt;=$AH689),ROUND(INDEX(Profils!$K$5:$K$34,$AE689)*Paramètres!$E$27*$AG689*$AJ689,Paramètres!$F$27),0)</f>
        <v>0</v>
      </c>
      <c r="R689" s="20" t="n">
        <f aca="false" t="array" ref="R689:R689">IF(AND(INDEX(Profils!$L$5:$L$34,$AE689)&gt;0,INDEX(Profils!$AA$5:$AA$34,$AE689)&lt;=$AH689),ROUND(INDEX(Profils!$L$5:$L$34,$AE689)*Paramètres!$E$28*$AG689*$AJ689,Paramètres!$F$28),0)</f>
        <v>0</v>
      </c>
      <c r="S689" s="20" t="n">
        <f aca="false" t="array" ref="S689:S689">IF(AND(INDEX(Profils!$M$5:$M$34,$AE689)&gt;0,INDEX(Profils!$AB$5:$AB$34,$AE689)&lt;=$AH689),ROUND(INDEX(Profils!$M$5:$M$34,$AE689)*Paramètres!$E$29*$AG689*$AJ689,Paramètres!$F$29),0)</f>
        <v>0</v>
      </c>
      <c r="T689" s="20" t="n">
        <f aca="false" t="array" ref="T689:T689">IF(AND(INDEX(Profils!$N$5:$N$34,$AE689)&gt;0,INDEX(Profils!$AC$5:$AC$34,$AE689)&lt;=$AH689),ROUND(INDEX(Profils!$N$5:$N$34,$AE689)*Paramètres!$E$30*$AG689*$AJ689,Paramètres!$F$30),0)</f>
        <v>0</v>
      </c>
      <c r="U689" s="19" t="n">
        <f aca="false" t="array" ref="U689:U689">IF(AND(INDEX(Profils!$O$5:$O$34,$AE689)&gt;0,INDEX(Profils!$AD$5:$AD$34,$AE689)&lt;=$AH689),ROUND(INDEX(Profils!$O$5:$O$34,$AE689)*Paramètres!$E$31*$AG689*$AJ689,Paramètres!$F$31),0)</f>
        <v>1</v>
      </c>
      <c r="V689" s="20" t="n">
        <f aca="false" t="array" ref="V689:V689">IF(AND(INDEX(Profils!$P$5:$P$34,$AE689)&gt;0,INDEX(Profils!$AE$5:$AE$34,$AE689)&lt;=$AH689),ROUND(INDEX(Profils!$P$5:$P$34,$AE689)*Paramètres!$E$32*$AG689*$AJ689,Paramètres!$F$32),0)</f>
        <v>0</v>
      </c>
      <c r="W689" s="20" t="n">
        <f aca="false" t="array" ref="W689:W689">IF(AND(INDEX(Profils!$Q$5:$Q$34,$AE689)&gt;0,INDEX(Profils!$AF$5:$AF$34,$AE689)&lt;=$AH689),ROUND(INDEX(Profils!$Q$5:$Q$34,$AE689)*Paramètres!$E$33*$AG689*$AJ689,Paramètres!$F$33),0)</f>
        <v>0</v>
      </c>
      <c r="X689" s="20" t="n">
        <f aca="false" t="array" ref="X689:X689">IF(AND(INDEX(Profils!$R$5:$R$34,$AE689)&gt;0,INDEX(Profils!$AG$5:$AG$34,$AE689)&lt;=$AH689),ROUND(INDEX(Profils!$R$5:$R$34,$AE689)*Paramètres!$E$34*$AG689*$AJ689,Paramètres!$F$34),0)</f>
        <v>0</v>
      </c>
      <c r="Y689" s="20" t="n">
        <f aca="false" t="array" ref="Y689:Y689">IF(AND(INDEX(Profils!$S$5:$S$34,$AE689)&gt;0,INDEX(Profils!$AH$5:$AH$34,$AE689)&lt;=$AH689),ROUND(INDEX(Profils!$S$5:$S$34,$AE689)*Paramètres!$E$35*$AG689*$AJ689,Paramètres!$F$35),0)</f>
        <v>0</v>
      </c>
      <c r="Z689" s="21" t="n">
        <f aca="false">ROUND(L689/Paramètres!$E$22+M689/Paramètres!$E$23+N689/Paramètres!$E$24+O689/Paramètres!$E$25+P689/Paramètres!$E$26+Q689/Paramètres!$E$27+R689/Paramètres!$E$28+S689/Paramètres!$E$29+T689/Paramètres!$E$30+U689/Paramètres!$E$31+V689/Paramètres!$E$32+W689/Paramètres!$E$33+X689/Paramètres!$E$34+Y689/Paramètres!$E$35,1)</f>
        <v>0.2</v>
      </c>
      <c r="AA689" s="22" t="s">
        <v>109</v>
      </c>
      <c r="AB689" s="22" t="s">
        <v>109</v>
      </c>
      <c r="AC689" s="15" t="str">
        <f aca="false">$E689</f>
        <v>toile</v>
      </c>
      <c r="AD689" s="16" t="n">
        <f aca="false" t="array" ref="AD689:AD689">IF($I689&gt;=$AI689,"Max",ROUND(Paramètres!$B$40*($I689+1)^Paramètres!$B$41*INDEX(Paramètres!$H$6:$H$12,$AF689),0))</f>
        <v>4</v>
      </c>
      <c r="AE689" s="23" t="n">
        <f aca="false">MATCH($B689&amp;"|"&amp;$C689,Profils!$A$5:$A$34,0)</f>
        <v>23</v>
      </c>
      <c r="AF689" s="23" t="n">
        <v>2</v>
      </c>
      <c r="AG689" s="24" t="n">
        <f aca="false" t="array" ref="AG689:AG689">INDEX(Paramètres!$C$6:$C$12,$AF689)</f>
        <v>1.2</v>
      </c>
      <c r="AH689" s="23" t="n">
        <f aca="false" t="array" ref="AH689:AH689">INDEX(Paramètres!$D$6:$D$12,$AF689)</f>
        <v>3</v>
      </c>
      <c r="AI689" s="23" t="n">
        <f aca="false" t="array" ref="AI689:AI689">INDEX(Matériaux!$C$16:$C$20,$D689)</f>
        <v>19</v>
      </c>
      <c r="AJ689" s="25" t="n">
        <f aca="false">Paramètres!$B$16+(1-Paramètres!$B$16)*(($J689-Paramètres!$B$14)/(Paramètres!$B$15-Paramètres!$B$14))^Paramètres!$B$17</f>
        <v>0.05</v>
      </c>
    </row>
    <row r="690" customFormat="false" ht="15.75" hidden="false" customHeight="true" outlineLevel="0" collapsed="false">
      <c r="A690" s="14" t="s">
        <v>806</v>
      </c>
      <c r="B690" s="15" t="s">
        <v>31</v>
      </c>
      <c r="C690" s="15" t="s">
        <v>177</v>
      </c>
      <c r="D690" s="16" t="n">
        <v>1</v>
      </c>
      <c r="E690" s="15" t="str">
        <f aca="false" t="array" ref="E690:E690">INDEX(Matériaux!$B$5:$F$12,MATCH(INDEX(Profils!$E$5:$E$34,$AE690),Matériaux!$A$5:$A$12,0),$D690)</f>
        <v>toile</v>
      </c>
      <c r="F690" s="27" t="s">
        <v>113</v>
      </c>
      <c r="G690" s="10" t="str">
        <f aca="false" t="array" ref="G690:G690">INDEX(Profils!$D$5:$D$34,$AE690)&amp;" en "&amp;$E690</f>
        <v>Pantalon en toile</v>
      </c>
      <c r="H690" s="16" t="n">
        <f aca="false" t="array" ref="H690:H690">INDEX(Matériaux!$B$16:$B$20,$D690)</f>
        <v>1</v>
      </c>
      <c r="I690" s="16" t="n">
        <f aca="false">IF(ISNUMBER($C$3),MIN(MAX(0,ROUND($C$3,0)),$AI690),$AI690)</f>
        <v>0</v>
      </c>
      <c r="J690" s="18" t="n">
        <f aca="false">$H690+$I690</f>
        <v>1</v>
      </c>
      <c r="K690" s="15" t="s">
        <v>109</v>
      </c>
      <c r="L690" s="19" t="n">
        <f aca="false" t="array" ref="L690:L690">IF(AND(INDEX(Profils!$F$5:$F$34,$AE690)&gt;0,INDEX(Profils!$U$5:$U$34,$AE690)&lt;=$AH690),ROUND(INDEX(Profils!$F$5:$F$34,$AE690)*Paramètres!$E$22*$AG690*$AJ690,Paramètres!$F$22),0)</f>
        <v>3</v>
      </c>
      <c r="M690" s="19" t="n">
        <f aca="false" t="array" ref="M690:M690">IF(AND(INDEX(Profils!$G$5:$G$34,$AE690)&gt;0,INDEX(Profils!$V$5:$V$34,$AE690)&lt;=$AH690),ROUND(INDEX(Profils!$G$5:$G$34,$AE690)*Paramètres!$E$23*$AG690*$AJ690,Paramètres!$F$23),0)</f>
        <v>0</v>
      </c>
      <c r="N690" s="19" t="n">
        <f aca="false" t="array" ref="N690:N690">IF(AND(INDEX(Profils!$H$5:$H$34,$AE690)&gt;0,INDEX(Profils!$W$5:$W$34,$AE690)&lt;=$AH690),ROUND(INDEX(Profils!$H$5:$H$34,$AE690)*Paramètres!$E$24*$AG690*$AJ690,Paramètres!$F$24),0)</f>
        <v>1</v>
      </c>
      <c r="O690" s="19" t="n">
        <f aca="false" t="array" ref="O690:O690">IF(AND(INDEX(Profils!$I$5:$I$34,$AE690)&gt;0,INDEX(Profils!$X$5:$X$34,$AE690)&lt;=$AH690),ROUND(INDEX(Profils!$I$5:$I$34,$AE690)*Paramètres!$E$25*$AG690*$AJ690,Paramètres!$F$25),0)</f>
        <v>0</v>
      </c>
      <c r="P690" s="19" t="n">
        <f aca="false" t="array" ref="P690:P690">IF(AND(INDEX(Profils!$J$5:$J$34,$AE690)&gt;0,INDEX(Profils!$Y$5:$Y$34,$AE690)&lt;=$AH690),ROUND(INDEX(Profils!$J$5:$J$34,$AE690)*Paramètres!$E$26*$AG690*$AJ690,Paramètres!$F$26),0)</f>
        <v>1</v>
      </c>
      <c r="Q690" s="19" t="n">
        <f aca="false" t="array" ref="Q690:Q690">IF(AND(INDEX(Profils!$K$5:$K$34,$AE690)&gt;0,INDEX(Profils!$Z$5:$Z$34,$AE690)&lt;=$AH690),ROUND(INDEX(Profils!$K$5:$K$34,$AE690)*Paramètres!$E$27*$AG690*$AJ690,Paramètres!$F$27),0)</f>
        <v>0</v>
      </c>
      <c r="R690" s="20" t="n">
        <f aca="false" t="array" ref="R690:R690">IF(AND(INDEX(Profils!$L$5:$L$34,$AE690)&gt;0,INDEX(Profils!$AA$5:$AA$34,$AE690)&lt;=$AH690),ROUND(INDEX(Profils!$L$5:$L$34,$AE690)*Paramètres!$E$28*$AG690*$AJ690,Paramètres!$F$28),0)</f>
        <v>0</v>
      </c>
      <c r="S690" s="20" t="n">
        <f aca="false" t="array" ref="S690:S690">IF(AND(INDEX(Profils!$M$5:$M$34,$AE690)&gt;0,INDEX(Profils!$AB$5:$AB$34,$AE690)&lt;=$AH690),ROUND(INDEX(Profils!$M$5:$M$34,$AE690)*Paramètres!$E$29*$AG690*$AJ690,Paramètres!$F$29),0)</f>
        <v>0</v>
      </c>
      <c r="T690" s="20" t="n">
        <f aca="false" t="array" ref="T690:T690">IF(AND(INDEX(Profils!$N$5:$N$34,$AE690)&gt;0,INDEX(Profils!$AC$5:$AC$34,$AE690)&lt;=$AH690),ROUND(INDEX(Profils!$N$5:$N$34,$AE690)*Paramètres!$E$30*$AG690*$AJ690,Paramètres!$F$30),0)</f>
        <v>0</v>
      </c>
      <c r="U690" s="19" t="n">
        <f aca="false" t="array" ref="U690:U690">IF(AND(INDEX(Profils!$O$5:$O$34,$AE690)&gt;0,INDEX(Profils!$AD$5:$AD$34,$AE690)&lt;=$AH690),ROUND(INDEX(Profils!$O$5:$O$34,$AE690)*Paramètres!$E$31*$AG690*$AJ690,Paramètres!$F$31),0)</f>
        <v>1</v>
      </c>
      <c r="V690" s="20" t="n">
        <f aca="false" t="array" ref="V690:V690">IF(AND(INDEX(Profils!$P$5:$P$34,$AE690)&gt;0,INDEX(Profils!$AE$5:$AE$34,$AE690)&lt;=$AH690),ROUND(INDEX(Profils!$P$5:$P$34,$AE690)*Paramètres!$E$32*$AG690*$AJ690,Paramètres!$F$32),0)</f>
        <v>0</v>
      </c>
      <c r="W690" s="20" t="n">
        <f aca="false" t="array" ref="W690:W690">IF(AND(INDEX(Profils!$Q$5:$Q$34,$AE690)&gt;0,INDEX(Profils!$AF$5:$AF$34,$AE690)&lt;=$AH690),ROUND(INDEX(Profils!$Q$5:$Q$34,$AE690)*Paramètres!$E$33*$AG690*$AJ690,Paramètres!$F$33),0)</f>
        <v>0</v>
      </c>
      <c r="X690" s="20" t="n">
        <f aca="false" t="array" ref="X690:X690">IF(AND(INDEX(Profils!$R$5:$R$34,$AE690)&gt;0,INDEX(Profils!$AG$5:$AG$34,$AE690)&lt;=$AH690),ROUND(INDEX(Profils!$R$5:$R$34,$AE690)*Paramètres!$E$34*$AG690*$AJ690,Paramètres!$F$34),0)</f>
        <v>0</v>
      </c>
      <c r="Y690" s="20" t="n">
        <f aca="false" t="array" ref="Y690:Y690">IF(AND(INDEX(Profils!$S$5:$S$34,$AE690)&gt;0,INDEX(Profils!$AH$5:$AH$34,$AE690)&lt;=$AH690),ROUND(INDEX(Profils!$S$5:$S$34,$AE690)*Paramètres!$E$35*$AG690*$AJ690,Paramètres!$F$35),0)</f>
        <v>0</v>
      </c>
      <c r="Z690" s="21" t="n">
        <f aca="false">ROUND(L690/Paramètres!$E$22+M690/Paramètres!$E$23+N690/Paramètres!$E$24+O690/Paramètres!$E$25+P690/Paramètres!$E$26+Q690/Paramètres!$E$27+R690/Paramètres!$E$28+S690/Paramètres!$E$29+T690/Paramètres!$E$30+U690/Paramètres!$E$31+V690/Paramètres!$E$32+W690/Paramètres!$E$33+X690/Paramètres!$E$34+Y690/Paramètres!$E$35,1)</f>
        <v>0.3</v>
      </c>
      <c r="AA690" s="22" t="s">
        <v>109</v>
      </c>
      <c r="AB690" s="22" t="s">
        <v>109</v>
      </c>
      <c r="AC690" s="15" t="str">
        <f aca="false">$E690</f>
        <v>toile</v>
      </c>
      <c r="AD690" s="16" t="n">
        <f aca="false" t="array" ref="AD690:AD690">IF($I690&gt;=$AI690,"Max",ROUND(Paramètres!$B$40*($I690+1)^Paramètres!$B$41*INDEX(Paramètres!$H$6:$H$12,$AF690),0))</f>
        <v>4</v>
      </c>
      <c r="AE690" s="23" t="n">
        <f aca="false">MATCH($B690&amp;"|"&amp;$C690,Profils!$A$5:$A$34,0)</f>
        <v>23</v>
      </c>
      <c r="AF690" s="23" t="n">
        <v>3</v>
      </c>
      <c r="AG690" s="24" t="n">
        <f aca="false" t="array" ref="AG690:AG690">INDEX(Paramètres!$C$6:$C$12,$AF690)</f>
        <v>1.45</v>
      </c>
      <c r="AH690" s="23" t="n">
        <f aca="false" t="array" ref="AH690:AH690">INDEX(Paramètres!$D$6:$D$12,$AF690)</f>
        <v>4</v>
      </c>
      <c r="AI690" s="23" t="n">
        <f aca="false" t="array" ref="AI690:AI690">INDEX(Matériaux!$C$16:$C$20,$D690)</f>
        <v>19</v>
      </c>
      <c r="AJ690" s="25" t="n">
        <f aca="false">Paramètres!$B$16+(1-Paramètres!$B$16)*(($J690-Paramètres!$B$14)/(Paramètres!$B$15-Paramètres!$B$14))^Paramètres!$B$17</f>
        <v>0.05</v>
      </c>
    </row>
    <row r="691" customFormat="false" ht="15.75" hidden="false" customHeight="true" outlineLevel="0" collapsed="false">
      <c r="A691" s="14" t="s">
        <v>807</v>
      </c>
      <c r="B691" s="15" t="s">
        <v>31</v>
      </c>
      <c r="C691" s="15" t="s">
        <v>177</v>
      </c>
      <c r="D691" s="16" t="n">
        <v>1</v>
      </c>
      <c r="E691" s="15" t="str">
        <f aca="false" t="array" ref="E691:E691">INDEX(Matériaux!$B$5:$F$12,MATCH(INDEX(Profils!$E$5:$E$34,$AE691),Matériaux!$A$5:$A$12,0),$D691)</f>
        <v>toile</v>
      </c>
      <c r="F691" s="28" t="s">
        <v>115</v>
      </c>
      <c r="G691" s="10" t="str">
        <f aca="false" t="array" ref="G691:G691">INDEX(Profils!$D$5:$D$34,$AE691)&amp;" en "&amp;$E691</f>
        <v>Pantalon en toile</v>
      </c>
      <c r="H691" s="16" t="n">
        <f aca="false" t="array" ref="H691:H691">INDEX(Matériaux!$B$16:$B$20,$D691)</f>
        <v>1</v>
      </c>
      <c r="I691" s="16" t="n">
        <f aca="false">IF(ISNUMBER($C$3),MIN(MAX(0,ROUND($C$3,0)),$AI691),$AI691)</f>
        <v>0</v>
      </c>
      <c r="J691" s="18" t="n">
        <f aca="false">$H691+$I691</f>
        <v>1</v>
      </c>
      <c r="K691" s="15" t="s">
        <v>109</v>
      </c>
      <c r="L691" s="19" t="n">
        <f aca="false" t="array" ref="L691:L691">IF(AND(INDEX(Profils!$F$5:$F$34,$AE691)&gt;0,INDEX(Profils!$U$5:$U$34,$AE691)&lt;=$AH691),ROUND(INDEX(Profils!$F$5:$F$34,$AE691)*Paramètres!$E$22*$AG691*$AJ691,Paramètres!$F$22),0)</f>
        <v>3</v>
      </c>
      <c r="M691" s="19" t="n">
        <f aca="false" t="array" ref="M691:M691">IF(AND(INDEX(Profils!$G$5:$G$34,$AE691)&gt;0,INDEX(Profils!$V$5:$V$34,$AE691)&lt;=$AH691),ROUND(INDEX(Profils!$G$5:$G$34,$AE691)*Paramètres!$E$23*$AG691*$AJ691,Paramètres!$F$23),0)</f>
        <v>0</v>
      </c>
      <c r="N691" s="19" t="n">
        <f aca="false" t="array" ref="N691:N691">IF(AND(INDEX(Profils!$H$5:$H$34,$AE691)&gt;0,INDEX(Profils!$W$5:$W$34,$AE691)&lt;=$AH691),ROUND(INDEX(Profils!$H$5:$H$34,$AE691)*Paramètres!$E$24*$AG691*$AJ691,Paramètres!$F$24),0)</f>
        <v>1</v>
      </c>
      <c r="O691" s="19" t="n">
        <f aca="false" t="array" ref="O691:O691">IF(AND(INDEX(Profils!$I$5:$I$34,$AE691)&gt;0,INDEX(Profils!$X$5:$X$34,$AE691)&lt;=$AH691),ROUND(INDEX(Profils!$I$5:$I$34,$AE691)*Paramètres!$E$25*$AG691*$AJ691,Paramètres!$F$25),0)</f>
        <v>0</v>
      </c>
      <c r="P691" s="19" t="n">
        <f aca="false" t="array" ref="P691:P691">IF(AND(INDEX(Profils!$J$5:$J$34,$AE691)&gt;0,INDEX(Profils!$Y$5:$Y$34,$AE691)&lt;=$AH691),ROUND(INDEX(Profils!$J$5:$J$34,$AE691)*Paramètres!$E$26*$AG691*$AJ691,Paramètres!$F$26),0)</f>
        <v>1</v>
      </c>
      <c r="Q691" s="19" t="n">
        <f aca="false" t="array" ref="Q691:Q691">IF(AND(INDEX(Profils!$K$5:$K$34,$AE691)&gt;0,INDEX(Profils!$Z$5:$Z$34,$AE691)&lt;=$AH691),ROUND(INDEX(Profils!$K$5:$K$34,$AE691)*Paramètres!$E$27*$AG691*$AJ691,Paramètres!$F$27),0)</f>
        <v>0</v>
      </c>
      <c r="R691" s="20" t="n">
        <f aca="false" t="array" ref="R691:R691">IF(AND(INDEX(Profils!$L$5:$L$34,$AE691)&gt;0,INDEX(Profils!$AA$5:$AA$34,$AE691)&lt;=$AH691),ROUND(INDEX(Profils!$L$5:$L$34,$AE691)*Paramètres!$E$28*$AG691*$AJ691,Paramètres!$F$28),0)</f>
        <v>0.001</v>
      </c>
      <c r="S691" s="20" t="n">
        <f aca="false" t="array" ref="S691:S691">IF(AND(INDEX(Profils!$M$5:$M$34,$AE691)&gt;0,INDEX(Profils!$AB$5:$AB$34,$AE691)&lt;=$AH691),ROUND(INDEX(Profils!$M$5:$M$34,$AE691)*Paramètres!$E$29*$AG691*$AJ691,Paramètres!$F$29),0)</f>
        <v>0</v>
      </c>
      <c r="T691" s="20" t="n">
        <f aca="false" t="array" ref="T691:T691">IF(AND(INDEX(Profils!$N$5:$N$34,$AE691)&gt;0,INDEX(Profils!$AC$5:$AC$34,$AE691)&lt;=$AH691),ROUND(INDEX(Profils!$N$5:$N$34,$AE691)*Paramètres!$E$30*$AG691*$AJ691,Paramètres!$F$30),0)</f>
        <v>0</v>
      </c>
      <c r="U691" s="19" t="n">
        <f aca="false" t="array" ref="U691:U691">IF(AND(INDEX(Profils!$O$5:$O$34,$AE691)&gt;0,INDEX(Profils!$AD$5:$AD$34,$AE691)&lt;=$AH691),ROUND(INDEX(Profils!$O$5:$O$34,$AE691)*Paramètres!$E$31*$AG691*$AJ691,Paramètres!$F$31),0)</f>
        <v>2</v>
      </c>
      <c r="V691" s="20" t="n">
        <f aca="false" t="array" ref="V691:V691">IF(AND(INDEX(Profils!$P$5:$P$34,$AE691)&gt;0,INDEX(Profils!$AE$5:$AE$34,$AE691)&lt;=$AH691),ROUND(INDEX(Profils!$P$5:$P$34,$AE691)*Paramètres!$E$32*$AG691*$AJ691,Paramètres!$F$32),0)</f>
        <v>0</v>
      </c>
      <c r="W691" s="20" t="n">
        <f aca="false" t="array" ref="W691:W691">IF(AND(INDEX(Profils!$Q$5:$Q$34,$AE691)&gt;0,INDEX(Profils!$AF$5:$AF$34,$AE691)&lt;=$AH691),ROUND(INDEX(Profils!$Q$5:$Q$34,$AE691)*Paramètres!$E$33*$AG691*$AJ691,Paramètres!$F$33),0)</f>
        <v>0</v>
      </c>
      <c r="X691" s="20" t="n">
        <f aca="false" t="array" ref="X691:X691">IF(AND(INDEX(Profils!$R$5:$R$34,$AE691)&gt;0,INDEX(Profils!$AG$5:$AG$34,$AE691)&lt;=$AH691),ROUND(INDEX(Profils!$R$5:$R$34,$AE691)*Paramètres!$E$34*$AG691*$AJ691,Paramètres!$F$34),0)</f>
        <v>0</v>
      </c>
      <c r="Y691" s="20" t="n">
        <f aca="false" t="array" ref="Y691:Y691">IF(AND(INDEX(Profils!$S$5:$S$34,$AE691)&gt;0,INDEX(Profils!$AH$5:$AH$34,$AE691)&lt;=$AH691),ROUND(INDEX(Profils!$S$5:$S$34,$AE691)*Paramètres!$E$35*$AG691*$AJ691,Paramètres!$F$35),0)</f>
        <v>0</v>
      </c>
      <c r="Z691" s="21" t="n">
        <f aca="false">ROUND(L691/Paramètres!$E$22+M691/Paramètres!$E$23+N691/Paramètres!$E$24+O691/Paramètres!$E$25+P691/Paramètres!$E$26+Q691/Paramètres!$E$27+R691/Paramètres!$E$28+S691/Paramètres!$E$29+T691/Paramètres!$E$30+U691/Paramètres!$E$31+V691/Paramètres!$E$32+W691/Paramètres!$E$33+X691/Paramètres!$E$34+Y691/Paramètres!$E$35,1)</f>
        <v>0.4</v>
      </c>
      <c r="AA691" s="22" t="s">
        <v>109</v>
      </c>
      <c r="AB691" s="22" t="s">
        <v>109</v>
      </c>
      <c r="AC691" s="15" t="str">
        <f aca="false">$E691</f>
        <v>toile</v>
      </c>
      <c r="AD691" s="16" t="n">
        <f aca="false" t="array" ref="AD691:AD691">IF($I691&gt;=$AI691,"Max",ROUND(Paramètres!$B$40*($I691+1)^Paramètres!$B$41*INDEX(Paramètres!$H$6:$H$12,$AF691),0))</f>
        <v>5</v>
      </c>
      <c r="AE691" s="23" t="n">
        <f aca="false">MATCH($B691&amp;"|"&amp;$C691,Profils!$A$5:$A$34,0)</f>
        <v>23</v>
      </c>
      <c r="AF691" s="23" t="n">
        <v>4</v>
      </c>
      <c r="AG691" s="24" t="n">
        <f aca="false" t="array" ref="AG691:AG691">INDEX(Paramètres!$C$6:$C$12,$AF691)</f>
        <v>1.75</v>
      </c>
      <c r="AH691" s="23" t="n">
        <f aca="false" t="array" ref="AH691:AH691">INDEX(Paramètres!$D$6:$D$12,$AF691)</f>
        <v>5</v>
      </c>
      <c r="AI691" s="23" t="n">
        <f aca="false" t="array" ref="AI691:AI691">INDEX(Matériaux!$C$16:$C$20,$D691)</f>
        <v>19</v>
      </c>
      <c r="AJ691" s="25" t="n">
        <f aca="false">Paramètres!$B$16+(1-Paramètres!$B$16)*(($J691-Paramètres!$B$14)/(Paramètres!$B$15-Paramètres!$B$14))^Paramètres!$B$17</f>
        <v>0.05</v>
      </c>
    </row>
    <row r="692" customFormat="false" ht="15.75" hidden="false" customHeight="true" outlineLevel="0" collapsed="false">
      <c r="A692" s="14" t="s">
        <v>808</v>
      </c>
      <c r="B692" s="15" t="s">
        <v>31</v>
      </c>
      <c r="C692" s="15" t="s">
        <v>177</v>
      </c>
      <c r="D692" s="16" t="n">
        <v>1</v>
      </c>
      <c r="E692" s="15" t="str">
        <f aca="false" t="array" ref="E692:E692">INDEX(Matériaux!$B$5:$F$12,MATCH(INDEX(Profils!$E$5:$E$34,$AE692),Matériaux!$A$5:$A$12,0),$D692)</f>
        <v>toile</v>
      </c>
      <c r="F692" s="29" t="s">
        <v>117</v>
      </c>
      <c r="G692" s="10" t="str">
        <f aca="false" t="array" ref="G692:G692">INDEX(Profils!$D$5:$D$34,$AE692)&amp;" en "&amp;$E692</f>
        <v>Pantalon en toile</v>
      </c>
      <c r="H692" s="16" t="n">
        <f aca="false" t="array" ref="H692:H692">INDEX(Matériaux!$B$16:$B$20,$D692)</f>
        <v>1</v>
      </c>
      <c r="I692" s="16" t="n">
        <f aca="false">IF(ISNUMBER($C$3),MIN(MAX(0,ROUND($C$3,0)),$AI692),$AI692)</f>
        <v>0</v>
      </c>
      <c r="J692" s="18" t="n">
        <f aca="false">$H692+$I692</f>
        <v>1</v>
      </c>
      <c r="K692" s="15" t="s">
        <v>109</v>
      </c>
      <c r="L692" s="19" t="n">
        <f aca="false" t="array" ref="L692:L692">IF(AND(INDEX(Profils!$F$5:$F$34,$AE692)&gt;0,INDEX(Profils!$U$5:$U$34,$AE692)&lt;=$AH692),ROUND(INDEX(Profils!$F$5:$F$34,$AE692)*Paramètres!$E$22*$AG692*$AJ692,Paramètres!$F$22),0)</f>
        <v>4</v>
      </c>
      <c r="M692" s="19" t="n">
        <f aca="false" t="array" ref="M692:M692">IF(AND(INDEX(Profils!$G$5:$G$34,$AE692)&gt;0,INDEX(Profils!$V$5:$V$34,$AE692)&lt;=$AH692),ROUND(INDEX(Profils!$G$5:$G$34,$AE692)*Paramètres!$E$23*$AG692*$AJ692,Paramètres!$F$23),0)</f>
        <v>1</v>
      </c>
      <c r="N692" s="19" t="n">
        <f aca="false" t="array" ref="N692:N692">IF(AND(INDEX(Profils!$H$5:$H$34,$AE692)&gt;0,INDEX(Profils!$W$5:$W$34,$AE692)&lt;=$AH692),ROUND(INDEX(Profils!$H$5:$H$34,$AE692)*Paramètres!$E$24*$AG692*$AJ692,Paramètres!$F$24),0)</f>
        <v>1</v>
      </c>
      <c r="O692" s="19" t="n">
        <f aca="false" t="array" ref="O692:O692">IF(AND(INDEX(Profils!$I$5:$I$34,$AE692)&gt;0,INDEX(Profils!$X$5:$X$34,$AE692)&lt;=$AH692),ROUND(INDEX(Profils!$I$5:$I$34,$AE692)*Paramètres!$E$25*$AG692*$AJ692,Paramètres!$F$25),0)</f>
        <v>0</v>
      </c>
      <c r="P692" s="19" t="n">
        <f aca="false" t="array" ref="P692:P692">IF(AND(INDEX(Profils!$J$5:$J$34,$AE692)&gt;0,INDEX(Profils!$Y$5:$Y$34,$AE692)&lt;=$AH692),ROUND(INDEX(Profils!$J$5:$J$34,$AE692)*Paramètres!$E$26*$AG692*$AJ692,Paramètres!$F$26),0)</f>
        <v>2</v>
      </c>
      <c r="Q692" s="19" t="n">
        <f aca="false" t="array" ref="Q692:Q692">IF(AND(INDEX(Profils!$K$5:$K$34,$AE692)&gt;0,INDEX(Profils!$Z$5:$Z$34,$AE692)&lt;=$AH692),ROUND(INDEX(Profils!$K$5:$K$34,$AE692)*Paramètres!$E$27*$AG692*$AJ692,Paramètres!$F$27),0)</f>
        <v>0</v>
      </c>
      <c r="R692" s="20" t="n">
        <f aca="false" t="array" ref="R692:R692">IF(AND(INDEX(Profils!$L$5:$L$34,$AE692)&gt;0,INDEX(Profils!$AA$5:$AA$34,$AE692)&lt;=$AH692),ROUND(INDEX(Profils!$L$5:$L$34,$AE692)*Paramètres!$E$28*$AG692*$AJ692,Paramètres!$F$28),0)</f>
        <v>0.001</v>
      </c>
      <c r="S692" s="20" t="n">
        <f aca="false" t="array" ref="S692:S692">IF(AND(INDEX(Profils!$M$5:$M$34,$AE692)&gt;0,INDEX(Profils!$AB$5:$AB$34,$AE692)&lt;=$AH692),ROUND(INDEX(Profils!$M$5:$M$34,$AE692)*Paramètres!$E$29*$AG692*$AJ692,Paramètres!$F$29),0)</f>
        <v>0</v>
      </c>
      <c r="T692" s="20" t="n">
        <f aca="false" t="array" ref="T692:T692">IF(AND(INDEX(Profils!$N$5:$N$34,$AE692)&gt;0,INDEX(Profils!$AC$5:$AC$34,$AE692)&lt;=$AH692),ROUND(INDEX(Profils!$N$5:$N$34,$AE692)*Paramètres!$E$30*$AG692*$AJ692,Paramètres!$F$30),0)</f>
        <v>0</v>
      </c>
      <c r="U692" s="19" t="n">
        <f aca="false" t="array" ref="U692:U692">IF(AND(INDEX(Profils!$O$5:$O$34,$AE692)&gt;0,INDEX(Profils!$AD$5:$AD$34,$AE692)&lt;=$AH692),ROUND(INDEX(Profils!$O$5:$O$34,$AE692)*Paramètres!$E$31*$AG692*$AJ692,Paramètres!$F$31),0)</f>
        <v>2</v>
      </c>
      <c r="V692" s="20" t="n">
        <f aca="false" t="array" ref="V692:V692">IF(AND(INDEX(Profils!$P$5:$P$34,$AE692)&gt;0,INDEX(Profils!$AE$5:$AE$34,$AE692)&lt;=$AH692),ROUND(INDEX(Profils!$P$5:$P$34,$AE692)*Paramètres!$E$32*$AG692*$AJ692,Paramètres!$F$32),0)</f>
        <v>0</v>
      </c>
      <c r="W692" s="20" t="n">
        <f aca="false" t="array" ref="W692:W692">IF(AND(INDEX(Profils!$Q$5:$Q$34,$AE692)&gt;0,INDEX(Profils!$AF$5:$AF$34,$AE692)&lt;=$AH692),ROUND(INDEX(Profils!$Q$5:$Q$34,$AE692)*Paramètres!$E$33*$AG692*$AJ692,Paramètres!$F$33),0)</f>
        <v>0</v>
      </c>
      <c r="X692" s="20" t="n">
        <f aca="false" t="array" ref="X692:X692">IF(AND(INDEX(Profils!$R$5:$R$34,$AE692)&gt;0,INDEX(Profils!$AG$5:$AG$34,$AE692)&lt;=$AH692),ROUND(INDEX(Profils!$R$5:$R$34,$AE692)*Paramètres!$E$34*$AG692*$AJ692,Paramètres!$F$34),0)</f>
        <v>0</v>
      </c>
      <c r="Y692" s="20" t="n">
        <f aca="false" t="array" ref="Y692:Y692">IF(AND(INDEX(Profils!$S$5:$S$34,$AE692)&gt;0,INDEX(Profils!$AH$5:$AH$34,$AE692)&lt;=$AH692),ROUND(INDEX(Profils!$S$5:$S$34,$AE692)*Paramètres!$E$35*$AG692*$AJ692,Paramètres!$F$35),0)</f>
        <v>0</v>
      </c>
      <c r="Z692" s="21" t="n">
        <f aca="false">ROUND(L692/Paramètres!$E$22+M692/Paramètres!$E$23+N692/Paramètres!$E$24+O692/Paramètres!$E$25+P692/Paramètres!$E$26+Q692/Paramètres!$E$27+R692/Paramètres!$E$28+S692/Paramètres!$E$29+T692/Paramètres!$E$30+U692/Paramètres!$E$31+V692/Paramètres!$E$32+W692/Paramètres!$E$33+X692/Paramètres!$E$34+Y692/Paramètres!$E$35,1)</f>
        <v>0.6</v>
      </c>
      <c r="AA692" s="22" t="s">
        <v>109</v>
      </c>
      <c r="AB692" s="22" t="s">
        <v>109</v>
      </c>
      <c r="AC692" s="15" t="str">
        <f aca="false">$E692</f>
        <v>toile</v>
      </c>
      <c r="AD692" s="16" t="n">
        <f aca="false" t="array" ref="AD692:AD692">IF($I692&gt;=$AI692,"Max",ROUND(Paramètres!$B$40*($I692+1)^Paramètres!$B$41*INDEX(Paramètres!$H$6:$H$12,$AF692),0))</f>
        <v>6</v>
      </c>
      <c r="AE692" s="23" t="n">
        <f aca="false">MATCH($B692&amp;"|"&amp;$C692,Profils!$A$5:$A$34,0)</f>
        <v>23</v>
      </c>
      <c r="AF692" s="23" t="n">
        <v>5</v>
      </c>
      <c r="AG692" s="24" t="n">
        <f aca="false" t="array" ref="AG692:AG692">INDEX(Paramètres!$C$6:$C$12,$AF692)</f>
        <v>2.1</v>
      </c>
      <c r="AH692" s="23" t="n">
        <f aca="false" t="array" ref="AH692:AH692">INDEX(Paramètres!$D$6:$D$12,$AF692)</f>
        <v>6</v>
      </c>
      <c r="AI692" s="23" t="n">
        <f aca="false" t="array" ref="AI692:AI692">INDEX(Matériaux!$C$16:$C$20,$D692)</f>
        <v>19</v>
      </c>
      <c r="AJ692" s="25" t="n">
        <f aca="false">Paramètres!$B$16+(1-Paramètres!$B$16)*(($J692-Paramètres!$B$14)/(Paramètres!$B$15-Paramètres!$B$14))^Paramètres!$B$17</f>
        <v>0.05</v>
      </c>
    </row>
    <row r="693" customFormat="false" ht="15.75" hidden="false" customHeight="true" outlineLevel="0" collapsed="false">
      <c r="A693" s="14" t="s">
        <v>809</v>
      </c>
      <c r="B693" s="15" t="s">
        <v>31</v>
      </c>
      <c r="C693" s="15" t="s">
        <v>177</v>
      </c>
      <c r="D693" s="16" t="n">
        <v>1</v>
      </c>
      <c r="E693" s="15" t="str">
        <f aca="false" t="array" ref="E693:E693">INDEX(Matériaux!$B$5:$F$12,MATCH(INDEX(Profils!$E$5:$E$34,$AE693),Matériaux!$A$5:$A$12,0),$D693)</f>
        <v>toile</v>
      </c>
      <c r="F693" s="30" t="s">
        <v>119</v>
      </c>
      <c r="G693" s="10" t="str">
        <f aca="false" t="array" ref="G693:G693">INDEX(Profils!$D$5:$D$34,$AE693)&amp;" en "&amp;$E693</f>
        <v>Pantalon en toile</v>
      </c>
      <c r="H693" s="16" t="n">
        <f aca="false" t="array" ref="H693:H693">INDEX(Matériaux!$B$16:$B$20,$D693)</f>
        <v>1</v>
      </c>
      <c r="I693" s="16" t="n">
        <f aca="false">IF(ISNUMBER($C$3),MIN(MAX(0,ROUND($C$3,0)),$AI693),$AI693)</f>
        <v>0</v>
      </c>
      <c r="J693" s="18" t="n">
        <f aca="false">$H693+$I693</f>
        <v>1</v>
      </c>
      <c r="K693" s="15" t="s">
        <v>109</v>
      </c>
      <c r="L693" s="19" t="n">
        <f aca="false" t="array" ref="L693:L693">IF(AND(INDEX(Profils!$F$5:$F$34,$AE693)&gt;0,INDEX(Profils!$U$5:$U$34,$AE693)&lt;=$AH693),ROUND(INDEX(Profils!$F$5:$F$34,$AE693)*Paramètres!$E$22*$AG693*$AJ693,Paramètres!$F$22),0)</f>
        <v>5</v>
      </c>
      <c r="M693" s="19" t="n">
        <f aca="false" t="array" ref="M693:M693">IF(AND(INDEX(Profils!$G$5:$G$34,$AE693)&gt;0,INDEX(Profils!$V$5:$V$34,$AE693)&lt;=$AH693),ROUND(INDEX(Profils!$G$5:$G$34,$AE693)*Paramètres!$E$23*$AG693*$AJ693,Paramètres!$F$23),0)</f>
        <v>1</v>
      </c>
      <c r="N693" s="19" t="n">
        <f aca="false" t="array" ref="N693:N693">IF(AND(INDEX(Profils!$H$5:$H$34,$AE693)&gt;0,INDEX(Profils!$W$5:$W$34,$AE693)&lt;=$AH693),ROUND(INDEX(Profils!$H$5:$H$34,$AE693)*Paramètres!$E$24*$AG693*$AJ693,Paramètres!$F$24),0)</f>
        <v>1</v>
      </c>
      <c r="O693" s="19" t="n">
        <f aca="false" t="array" ref="O693:O693">IF(AND(INDEX(Profils!$I$5:$I$34,$AE693)&gt;0,INDEX(Profils!$X$5:$X$34,$AE693)&lt;=$AH693),ROUND(INDEX(Profils!$I$5:$I$34,$AE693)*Paramètres!$E$25*$AG693*$AJ693,Paramètres!$F$25),0)</f>
        <v>0</v>
      </c>
      <c r="P693" s="19" t="n">
        <f aca="false" t="array" ref="P693:P693">IF(AND(INDEX(Profils!$J$5:$J$34,$AE693)&gt;0,INDEX(Profils!$Y$5:$Y$34,$AE693)&lt;=$AH693),ROUND(INDEX(Profils!$J$5:$J$34,$AE693)*Paramètres!$E$26*$AG693*$AJ693,Paramètres!$F$26),0)</f>
        <v>2</v>
      </c>
      <c r="Q693" s="19" t="n">
        <f aca="false" t="array" ref="Q693:Q693">IF(AND(INDEX(Profils!$K$5:$K$34,$AE693)&gt;0,INDEX(Profils!$Z$5:$Z$34,$AE693)&lt;=$AH693),ROUND(INDEX(Profils!$K$5:$K$34,$AE693)*Paramètres!$E$27*$AG693*$AJ693,Paramètres!$F$27),0)</f>
        <v>0</v>
      </c>
      <c r="R693" s="20" t="n">
        <f aca="false" t="array" ref="R693:R693">IF(AND(INDEX(Profils!$L$5:$L$34,$AE693)&gt;0,INDEX(Profils!$AA$5:$AA$34,$AE693)&lt;=$AH693),ROUND(INDEX(Profils!$L$5:$L$34,$AE693)*Paramètres!$E$28*$AG693*$AJ693,Paramètres!$F$28),0)</f>
        <v>0.001</v>
      </c>
      <c r="S693" s="20" t="n">
        <f aca="false" t="array" ref="S693:S693">IF(AND(INDEX(Profils!$M$5:$M$34,$AE693)&gt;0,INDEX(Profils!$AB$5:$AB$34,$AE693)&lt;=$AH693),ROUND(INDEX(Profils!$M$5:$M$34,$AE693)*Paramètres!$E$29*$AG693*$AJ693,Paramètres!$F$29),0)</f>
        <v>0</v>
      </c>
      <c r="T693" s="20" t="n">
        <f aca="false" t="array" ref="T693:T693">IF(AND(INDEX(Profils!$N$5:$N$34,$AE693)&gt;0,INDEX(Profils!$AC$5:$AC$34,$AE693)&lt;=$AH693),ROUND(INDEX(Profils!$N$5:$N$34,$AE693)*Paramètres!$E$30*$AG693*$AJ693,Paramètres!$F$30),0)</f>
        <v>0</v>
      </c>
      <c r="U693" s="19" t="n">
        <f aca="false" t="array" ref="U693:U693">IF(AND(INDEX(Profils!$O$5:$O$34,$AE693)&gt;0,INDEX(Profils!$AD$5:$AD$34,$AE693)&lt;=$AH693),ROUND(INDEX(Profils!$O$5:$O$34,$AE693)*Paramètres!$E$31*$AG693*$AJ693,Paramètres!$F$31),0)</f>
        <v>2</v>
      </c>
      <c r="V693" s="20" t="n">
        <f aca="false" t="array" ref="V693:V693">IF(AND(INDEX(Profils!$P$5:$P$34,$AE693)&gt;0,INDEX(Profils!$AE$5:$AE$34,$AE693)&lt;=$AH693),ROUND(INDEX(Profils!$P$5:$P$34,$AE693)*Paramètres!$E$32*$AG693*$AJ693,Paramètres!$F$32),0)</f>
        <v>0</v>
      </c>
      <c r="W693" s="20" t="n">
        <f aca="false" t="array" ref="W693:W693">IF(AND(INDEX(Profils!$Q$5:$Q$34,$AE693)&gt;0,INDEX(Profils!$AF$5:$AF$34,$AE693)&lt;=$AH693),ROUND(INDEX(Profils!$Q$5:$Q$34,$AE693)*Paramètres!$E$33*$AG693*$AJ693,Paramètres!$F$33),0)</f>
        <v>0.001</v>
      </c>
      <c r="X693" s="20" t="n">
        <f aca="false" t="array" ref="X693:X693">IF(AND(INDEX(Profils!$R$5:$R$34,$AE693)&gt;0,INDEX(Profils!$AG$5:$AG$34,$AE693)&lt;=$AH693),ROUND(INDEX(Profils!$R$5:$R$34,$AE693)*Paramètres!$E$34*$AG693*$AJ693,Paramètres!$F$34),0)</f>
        <v>0</v>
      </c>
      <c r="Y693" s="20" t="n">
        <f aca="false" t="array" ref="Y693:Y693">IF(AND(INDEX(Profils!$S$5:$S$34,$AE693)&gt;0,INDEX(Profils!$AH$5:$AH$34,$AE693)&lt;=$AH693),ROUND(INDEX(Profils!$S$5:$S$34,$AE693)*Paramètres!$E$35*$AG693*$AJ693,Paramètres!$F$35),0)</f>
        <v>0</v>
      </c>
      <c r="Z693" s="21" t="n">
        <f aca="false">ROUND(L693/Paramètres!$E$22+M693/Paramètres!$E$23+N693/Paramètres!$E$24+O693/Paramètres!$E$25+P693/Paramètres!$E$26+Q693/Paramètres!$E$27+R693/Paramètres!$E$28+S693/Paramètres!$E$29+T693/Paramètres!$E$30+U693/Paramètres!$E$31+V693/Paramètres!$E$32+W693/Paramètres!$E$33+X693/Paramètres!$E$34+Y693/Paramètres!$E$35,1)</f>
        <v>0.7</v>
      </c>
      <c r="AA693" s="22" t="s">
        <v>109</v>
      </c>
      <c r="AB693" s="22" t="s">
        <v>109</v>
      </c>
      <c r="AC693" s="15" t="str">
        <f aca="false">$E693</f>
        <v>toile</v>
      </c>
      <c r="AD693" s="16" t="n">
        <f aca="false" t="array" ref="AD693:AD693">IF($I693&gt;=$AI693,"Max",ROUND(Paramètres!$B$40*($I693+1)^Paramètres!$B$41*INDEX(Paramètres!$H$6:$H$12,$AF693),0))</f>
        <v>8</v>
      </c>
      <c r="AE693" s="23" t="n">
        <f aca="false">MATCH($B693&amp;"|"&amp;$C693,Profils!$A$5:$A$34,0)</f>
        <v>23</v>
      </c>
      <c r="AF693" s="23" t="n">
        <v>6</v>
      </c>
      <c r="AG693" s="24" t="n">
        <f aca="false" t="array" ref="AG693:AG693">INDEX(Paramètres!$C$6:$C$12,$AF693)</f>
        <v>2.4</v>
      </c>
      <c r="AH693" s="23" t="n">
        <f aca="false" t="array" ref="AH693:AH693">INDEX(Paramètres!$D$6:$D$12,$AF693)</f>
        <v>7</v>
      </c>
      <c r="AI693" s="23" t="n">
        <f aca="false" t="array" ref="AI693:AI693">INDEX(Matériaux!$C$16:$C$20,$D693)</f>
        <v>19</v>
      </c>
      <c r="AJ693" s="25" t="n">
        <f aca="false">Paramètres!$B$16+(1-Paramètres!$B$16)*(($J693-Paramètres!$B$14)/(Paramètres!$B$15-Paramètres!$B$14))^Paramètres!$B$17</f>
        <v>0.05</v>
      </c>
    </row>
    <row r="694" customFormat="false" ht="15.75" hidden="false" customHeight="true" outlineLevel="0" collapsed="false">
      <c r="A694" s="14" t="s">
        <v>810</v>
      </c>
      <c r="B694" s="15" t="s">
        <v>31</v>
      </c>
      <c r="C694" s="15" t="s">
        <v>177</v>
      </c>
      <c r="D694" s="16" t="n">
        <v>2</v>
      </c>
      <c r="E694" s="15" t="str">
        <f aca="false" t="array" ref="E694:E694">INDEX(Matériaux!$B$5:$F$12,MATCH(INDEX(Profils!$E$5:$E$34,$AE694),Matériaux!$A$5:$A$12,0),$D694)</f>
        <v>cuir</v>
      </c>
      <c r="F694" s="17" t="s">
        <v>108</v>
      </c>
      <c r="G694" s="10" t="str">
        <f aca="false" t="array" ref="G694:G694">INDEX(Profils!$D$5:$D$34,$AE694)&amp;" en "&amp;$E694</f>
        <v>Pantalon en cuir</v>
      </c>
      <c r="H694" s="16" t="n">
        <f aca="false" t="array" ref="H694:H694">INDEX(Matériaux!$B$16:$B$20,$D694)</f>
        <v>15</v>
      </c>
      <c r="I694" s="16" t="n">
        <f aca="false">IF(ISNUMBER($C$3),MIN(MAX(0,ROUND($C$3,0)),$AI694),$AI694)</f>
        <v>0</v>
      </c>
      <c r="J694" s="18" t="n">
        <f aca="false">$H694+$I694</f>
        <v>15</v>
      </c>
      <c r="K694" s="15" t="s">
        <v>109</v>
      </c>
      <c r="L694" s="19" t="n">
        <f aca="false" t="array" ref="L694:L694">IF(AND(INDEX(Profils!$F$5:$F$34,$AE694)&gt;0,INDEX(Profils!$U$5:$U$34,$AE694)&lt;=$AH694),ROUND(INDEX(Profils!$F$5:$F$34,$AE694)*Paramètres!$E$22*$AG694*$AJ694,Paramètres!$F$22),0)</f>
        <v>5</v>
      </c>
      <c r="M694" s="19" t="n">
        <f aca="false" t="array" ref="M694:M694">IF(AND(INDEX(Profils!$G$5:$G$34,$AE694)&gt;0,INDEX(Profils!$V$5:$V$34,$AE694)&lt;=$AH694),ROUND(INDEX(Profils!$G$5:$G$34,$AE694)*Paramètres!$E$23*$AG694*$AJ694,Paramètres!$F$23),0)</f>
        <v>0</v>
      </c>
      <c r="N694" s="19" t="n">
        <f aca="false" t="array" ref="N694:N694">IF(AND(INDEX(Profils!$H$5:$H$34,$AE694)&gt;0,INDEX(Profils!$W$5:$W$34,$AE694)&lt;=$AH694),ROUND(INDEX(Profils!$H$5:$H$34,$AE694)*Paramètres!$E$24*$AG694*$AJ694,Paramètres!$F$24),0)</f>
        <v>0</v>
      </c>
      <c r="O694" s="19" t="n">
        <f aca="false" t="array" ref="O694:O694">IF(AND(INDEX(Profils!$I$5:$I$34,$AE694)&gt;0,INDEX(Profils!$X$5:$X$34,$AE694)&lt;=$AH694),ROUND(INDEX(Profils!$I$5:$I$34,$AE694)*Paramètres!$E$25*$AG694*$AJ694,Paramètres!$F$25),0)</f>
        <v>0</v>
      </c>
      <c r="P694" s="19" t="n">
        <f aca="false" t="array" ref="P694:P694">IF(AND(INDEX(Profils!$J$5:$J$34,$AE694)&gt;0,INDEX(Profils!$Y$5:$Y$34,$AE694)&lt;=$AH694),ROUND(INDEX(Profils!$J$5:$J$34,$AE694)*Paramètres!$E$26*$AG694*$AJ694,Paramètres!$F$26),0)</f>
        <v>2</v>
      </c>
      <c r="Q694" s="19" t="n">
        <f aca="false" t="array" ref="Q694:Q694">IF(AND(INDEX(Profils!$K$5:$K$34,$AE694)&gt;0,INDEX(Profils!$Z$5:$Z$34,$AE694)&lt;=$AH694),ROUND(INDEX(Profils!$K$5:$K$34,$AE694)*Paramètres!$E$27*$AG694*$AJ694,Paramètres!$F$27),0)</f>
        <v>0</v>
      </c>
      <c r="R694" s="20" t="n">
        <f aca="false" t="array" ref="R694:R694">IF(AND(INDEX(Profils!$L$5:$L$34,$AE694)&gt;0,INDEX(Profils!$AA$5:$AA$34,$AE694)&lt;=$AH694),ROUND(INDEX(Profils!$L$5:$L$34,$AE694)*Paramètres!$E$28*$AG694*$AJ694,Paramètres!$F$28),0)</f>
        <v>0</v>
      </c>
      <c r="S694" s="20" t="n">
        <f aca="false" t="array" ref="S694:S694">IF(AND(INDEX(Profils!$M$5:$M$34,$AE694)&gt;0,INDEX(Profils!$AB$5:$AB$34,$AE694)&lt;=$AH694),ROUND(INDEX(Profils!$M$5:$M$34,$AE694)*Paramètres!$E$29*$AG694*$AJ694,Paramètres!$F$29),0)</f>
        <v>0</v>
      </c>
      <c r="T694" s="20" t="n">
        <f aca="false" t="array" ref="T694:T694">IF(AND(INDEX(Profils!$N$5:$N$34,$AE694)&gt;0,INDEX(Profils!$AC$5:$AC$34,$AE694)&lt;=$AH694),ROUND(INDEX(Profils!$N$5:$N$34,$AE694)*Paramètres!$E$30*$AG694*$AJ694,Paramètres!$F$30),0)</f>
        <v>0</v>
      </c>
      <c r="U694" s="19" t="n">
        <f aca="false" t="array" ref="U694:U694">IF(AND(INDEX(Profils!$O$5:$O$34,$AE694)&gt;0,INDEX(Profils!$AD$5:$AD$34,$AE694)&lt;=$AH694),ROUND(INDEX(Profils!$O$5:$O$34,$AE694)*Paramètres!$E$31*$AG694*$AJ694,Paramètres!$F$31),0)</f>
        <v>0</v>
      </c>
      <c r="V694" s="20" t="n">
        <f aca="false" t="array" ref="V694:V694">IF(AND(INDEX(Profils!$P$5:$P$34,$AE694)&gt;0,INDEX(Profils!$AE$5:$AE$34,$AE694)&lt;=$AH694),ROUND(INDEX(Profils!$P$5:$P$34,$AE694)*Paramètres!$E$32*$AG694*$AJ694,Paramètres!$F$32),0)</f>
        <v>0</v>
      </c>
      <c r="W694" s="20" t="n">
        <f aca="false" t="array" ref="W694:W694">IF(AND(INDEX(Profils!$Q$5:$Q$34,$AE694)&gt;0,INDEX(Profils!$AF$5:$AF$34,$AE694)&lt;=$AH694),ROUND(INDEX(Profils!$Q$5:$Q$34,$AE694)*Paramètres!$E$33*$AG694*$AJ694,Paramètres!$F$33),0)</f>
        <v>0</v>
      </c>
      <c r="X694" s="20" t="n">
        <f aca="false" t="array" ref="X694:X694">IF(AND(INDEX(Profils!$R$5:$R$34,$AE694)&gt;0,INDEX(Profils!$AG$5:$AG$34,$AE694)&lt;=$AH694),ROUND(INDEX(Profils!$R$5:$R$34,$AE694)*Paramètres!$E$34*$AG694*$AJ694,Paramètres!$F$34),0)</f>
        <v>0</v>
      </c>
      <c r="Y694" s="20" t="n">
        <f aca="false" t="array" ref="Y694:Y694">IF(AND(INDEX(Profils!$S$5:$S$34,$AE694)&gt;0,INDEX(Profils!$AH$5:$AH$34,$AE694)&lt;=$AH694),ROUND(INDEX(Profils!$S$5:$S$34,$AE694)*Paramètres!$E$35*$AG694*$AJ694,Paramètres!$F$35),0)</f>
        <v>0</v>
      </c>
      <c r="Z694" s="21" t="n">
        <f aca="false">ROUND(L694/Paramètres!$E$22+M694/Paramètres!$E$23+N694/Paramètres!$E$24+O694/Paramètres!$E$25+P694/Paramètres!$E$26+Q694/Paramètres!$E$27+R694/Paramètres!$E$28+S694/Paramètres!$E$29+T694/Paramètres!$E$30+U694/Paramètres!$E$31+V694/Paramètres!$E$32+W694/Paramètres!$E$33+X694/Paramètres!$E$34+Y694/Paramètres!$E$35,1)</f>
        <v>0.4</v>
      </c>
      <c r="AA694" s="22" t="s">
        <v>109</v>
      </c>
      <c r="AB694" s="22" t="s">
        <v>109</v>
      </c>
      <c r="AC694" s="15" t="str">
        <f aca="false">$E694</f>
        <v>cuir</v>
      </c>
      <c r="AD694" s="16" t="n">
        <f aca="false" t="array" ref="AD694:AD694">IF($I694&gt;=$AI694,"Max",ROUND(Paramètres!$B$40*($I694+1)^Paramètres!$B$41*INDEX(Paramètres!$H$6:$H$12,$AF694),0))</f>
        <v>3</v>
      </c>
      <c r="AE694" s="23" t="n">
        <f aca="false">MATCH($B694&amp;"|"&amp;$C694,Profils!$A$5:$A$34,0)</f>
        <v>23</v>
      </c>
      <c r="AF694" s="23" t="n">
        <v>1</v>
      </c>
      <c r="AG694" s="24" t="n">
        <f aca="false" t="array" ref="AG694:AG694">INDEX(Paramètres!$C$6:$C$12,$AF694)</f>
        <v>1</v>
      </c>
      <c r="AH694" s="23" t="n">
        <f aca="false" t="array" ref="AH694:AH694">INDEX(Paramètres!$D$6:$D$12,$AF694)</f>
        <v>2</v>
      </c>
      <c r="AI694" s="23" t="n">
        <f aca="false" t="array" ref="AI694:AI694">INDEX(Matériaux!$C$16:$C$20,$D694)</f>
        <v>20</v>
      </c>
      <c r="AJ694" s="25" t="n">
        <f aca="false">Paramètres!$B$16+(1-Paramètres!$B$16)*(($J694-Paramètres!$B$14)/(Paramètres!$B$15-Paramètres!$B$14))^Paramètres!$B$17</f>
        <v>0.140847925475674</v>
      </c>
    </row>
    <row r="695" customFormat="false" ht="15.75" hidden="false" customHeight="true" outlineLevel="0" collapsed="false">
      <c r="A695" s="14" t="s">
        <v>811</v>
      </c>
      <c r="B695" s="15" t="s">
        <v>31</v>
      </c>
      <c r="C695" s="15" t="s">
        <v>177</v>
      </c>
      <c r="D695" s="16" t="n">
        <v>2</v>
      </c>
      <c r="E695" s="15" t="str">
        <f aca="false" t="array" ref="E695:E695">INDEX(Matériaux!$B$5:$F$12,MATCH(INDEX(Profils!$E$5:$E$34,$AE695),Matériaux!$A$5:$A$12,0),$D695)</f>
        <v>cuir</v>
      </c>
      <c r="F695" s="26" t="s">
        <v>111</v>
      </c>
      <c r="G695" s="10" t="str">
        <f aca="false" t="array" ref="G695:G695">INDEX(Profils!$D$5:$D$34,$AE695)&amp;" en "&amp;$E695</f>
        <v>Pantalon en cuir</v>
      </c>
      <c r="H695" s="16" t="n">
        <f aca="false" t="array" ref="H695:H695">INDEX(Matériaux!$B$16:$B$20,$D695)</f>
        <v>15</v>
      </c>
      <c r="I695" s="16" t="n">
        <f aca="false">IF(ISNUMBER($C$3),MIN(MAX(0,ROUND($C$3,0)),$AI695),$AI695)</f>
        <v>0</v>
      </c>
      <c r="J695" s="18" t="n">
        <f aca="false">$H695+$I695</f>
        <v>15</v>
      </c>
      <c r="K695" s="15" t="s">
        <v>109</v>
      </c>
      <c r="L695" s="19" t="n">
        <f aca="false" t="array" ref="L695:L695">IF(AND(INDEX(Profils!$F$5:$F$34,$AE695)&gt;0,INDEX(Profils!$U$5:$U$34,$AE695)&lt;=$AH695),ROUND(INDEX(Profils!$F$5:$F$34,$AE695)*Paramètres!$E$22*$AG695*$AJ695,Paramètres!$F$22),0)</f>
        <v>6</v>
      </c>
      <c r="M695" s="19" t="n">
        <f aca="false" t="array" ref="M695:M695">IF(AND(INDEX(Profils!$G$5:$G$34,$AE695)&gt;0,INDEX(Profils!$V$5:$V$34,$AE695)&lt;=$AH695),ROUND(INDEX(Profils!$G$5:$G$34,$AE695)*Paramètres!$E$23*$AG695*$AJ695,Paramètres!$F$23),0)</f>
        <v>0</v>
      </c>
      <c r="N695" s="19" t="n">
        <f aca="false" t="array" ref="N695:N695">IF(AND(INDEX(Profils!$H$5:$H$34,$AE695)&gt;0,INDEX(Profils!$W$5:$W$34,$AE695)&lt;=$AH695),ROUND(INDEX(Profils!$H$5:$H$34,$AE695)*Paramètres!$E$24*$AG695*$AJ695,Paramètres!$F$24),0)</f>
        <v>0</v>
      </c>
      <c r="O695" s="19" t="n">
        <f aca="false" t="array" ref="O695:O695">IF(AND(INDEX(Profils!$I$5:$I$34,$AE695)&gt;0,INDEX(Profils!$X$5:$X$34,$AE695)&lt;=$AH695),ROUND(INDEX(Profils!$I$5:$I$34,$AE695)*Paramètres!$E$25*$AG695*$AJ695,Paramètres!$F$25),0)</f>
        <v>0</v>
      </c>
      <c r="P695" s="19" t="n">
        <f aca="false" t="array" ref="P695:P695">IF(AND(INDEX(Profils!$J$5:$J$34,$AE695)&gt;0,INDEX(Profils!$Y$5:$Y$34,$AE695)&lt;=$AH695),ROUND(INDEX(Profils!$J$5:$J$34,$AE695)*Paramètres!$E$26*$AG695*$AJ695,Paramètres!$F$26),0)</f>
        <v>3</v>
      </c>
      <c r="Q695" s="19" t="n">
        <f aca="false" t="array" ref="Q695:Q695">IF(AND(INDEX(Profils!$K$5:$K$34,$AE695)&gt;0,INDEX(Profils!$Z$5:$Z$34,$AE695)&lt;=$AH695),ROUND(INDEX(Profils!$K$5:$K$34,$AE695)*Paramètres!$E$27*$AG695*$AJ695,Paramètres!$F$27),0)</f>
        <v>0</v>
      </c>
      <c r="R695" s="20" t="n">
        <f aca="false" t="array" ref="R695:R695">IF(AND(INDEX(Profils!$L$5:$L$34,$AE695)&gt;0,INDEX(Profils!$AA$5:$AA$34,$AE695)&lt;=$AH695),ROUND(INDEX(Profils!$L$5:$L$34,$AE695)*Paramètres!$E$28*$AG695*$AJ695,Paramètres!$F$28),0)</f>
        <v>0</v>
      </c>
      <c r="S695" s="20" t="n">
        <f aca="false" t="array" ref="S695:S695">IF(AND(INDEX(Profils!$M$5:$M$34,$AE695)&gt;0,INDEX(Profils!$AB$5:$AB$34,$AE695)&lt;=$AH695),ROUND(INDEX(Profils!$M$5:$M$34,$AE695)*Paramètres!$E$29*$AG695*$AJ695,Paramètres!$F$29),0)</f>
        <v>0</v>
      </c>
      <c r="T695" s="20" t="n">
        <f aca="false" t="array" ref="T695:T695">IF(AND(INDEX(Profils!$N$5:$N$34,$AE695)&gt;0,INDEX(Profils!$AC$5:$AC$34,$AE695)&lt;=$AH695),ROUND(INDEX(Profils!$N$5:$N$34,$AE695)*Paramètres!$E$30*$AG695*$AJ695,Paramètres!$F$30),0)</f>
        <v>0</v>
      </c>
      <c r="U695" s="19" t="n">
        <f aca="false" t="array" ref="U695:U695">IF(AND(INDEX(Profils!$O$5:$O$34,$AE695)&gt;0,INDEX(Profils!$AD$5:$AD$34,$AE695)&lt;=$AH695),ROUND(INDEX(Profils!$O$5:$O$34,$AE695)*Paramètres!$E$31*$AG695*$AJ695,Paramètres!$F$31),0)</f>
        <v>3</v>
      </c>
      <c r="V695" s="20" t="n">
        <f aca="false" t="array" ref="V695:V695">IF(AND(INDEX(Profils!$P$5:$P$34,$AE695)&gt;0,INDEX(Profils!$AE$5:$AE$34,$AE695)&lt;=$AH695),ROUND(INDEX(Profils!$P$5:$P$34,$AE695)*Paramètres!$E$32*$AG695*$AJ695,Paramètres!$F$32),0)</f>
        <v>0</v>
      </c>
      <c r="W695" s="20" t="n">
        <f aca="false" t="array" ref="W695:W695">IF(AND(INDEX(Profils!$Q$5:$Q$34,$AE695)&gt;0,INDEX(Profils!$AF$5:$AF$34,$AE695)&lt;=$AH695),ROUND(INDEX(Profils!$Q$5:$Q$34,$AE695)*Paramètres!$E$33*$AG695*$AJ695,Paramètres!$F$33),0)</f>
        <v>0</v>
      </c>
      <c r="X695" s="20" t="n">
        <f aca="false" t="array" ref="X695:X695">IF(AND(INDEX(Profils!$R$5:$R$34,$AE695)&gt;0,INDEX(Profils!$AG$5:$AG$34,$AE695)&lt;=$AH695),ROUND(INDEX(Profils!$R$5:$R$34,$AE695)*Paramètres!$E$34*$AG695*$AJ695,Paramètres!$F$34),0)</f>
        <v>0</v>
      </c>
      <c r="Y695" s="20" t="n">
        <f aca="false" t="array" ref="Y695:Y695">IF(AND(INDEX(Profils!$S$5:$S$34,$AE695)&gt;0,INDEX(Profils!$AH$5:$AH$34,$AE695)&lt;=$AH695),ROUND(INDEX(Profils!$S$5:$S$34,$AE695)*Paramètres!$E$35*$AG695*$AJ695,Paramètres!$F$35),0)</f>
        <v>0</v>
      </c>
      <c r="Z695" s="21" t="n">
        <f aca="false">ROUND(L695/Paramètres!$E$22+M695/Paramètres!$E$23+N695/Paramètres!$E$24+O695/Paramètres!$E$25+P695/Paramètres!$E$26+Q695/Paramètres!$E$27+R695/Paramètres!$E$28+S695/Paramètres!$E$29+T695/Paramètres!$E$30+U695/Paramètres!$E$31+V695/Paramètres!$E$32+W695/Paramètres!$E$33+X695/Paramètres!$E$34+Y695/Paramètres!$E$35,1)</f>
        <v>0.6</v>
      </c>
      <c r="AA695" s="22" t="s">
        <v>109</v>
      </c>
      <c r="AB695" s="22" t="s">
        <v>109</v>
      </c>
      <c r="AC695" s="15" t="str">
        <f aca="false">$E695</f>
        <v>cuir</v>
      </c>
      <c r="AD695" s="16" t="n">
        <f aca="false" t="array" ref="AD695:AD695">IF($I695&gt;=$AI695,"Max",ROUND(Paramètres!$B$40*($I695+1)^Paramètres!$B$41*INDEX(Paramètres!$H$6:$H$12,$AF695),0))</f>
        <v>4</v>
      </c>
      <c r="AE695" s="23" t="n">
        <f aca="false">MATCH($B695&amp;"|"&amp;$C695,Profils!$A$5:$A$34,0)</f>
        <v>23</v>
      </c>
      <c r="AF695" s="23" t="n">
        <v>2</v>
      </c>
      <c r="AG695" s="24" t="n">
        <f aca="false" t="array" ref="AG695:AG695">INDEX(Paramètres!$C$6:$C$12,$AF695)</f>
        <v>1.2</v>
      </c>
      <c r="AH695" s="23" t="n">
        <f aca="false" t="array" ref="AH695:AH695">INDEX(Paramètres!$D$6:$D$12,$AF695)</f>
        <v>3</v>
      </c>
      <c r="AI695" s="23" t="n">
        <f aca="false" t="array" ref="AI695:AI695">INDEX(Matériaux!$C$16:$C$20,$D695)</f>
        <v>20</v>
      </c>
      <c r="AJ695" s="25" t="n">
        <f aca="false">Paramètres!$B$16+(1-Paramètres!$B$16)*(($J695-Paramètres!$B$14)/(Paramètres!$B$15-Paramètres!$B$14))^Paramètres!$B$17</f>
        <v>0.140847925475674</v>
      </c>
    </row>
    <row r="696" customFormat="false" ht="15.75" hidden="false" customHeight="true" outlineLevel="0" collapsed="false">
      <c r="A696" s="14" t="s">
        <v>812</v>
      </c>
      <c r="B696" s="15" t="s">
        <v>31</v>
      </c>
      <c r="C696" s="15" t="s">
        <v>177</v>
      </c>
      <c r="D696" s="16" t="n">
        <v>2</v>
      </c>
      <c r="E696" s="15" t="str">
        <f aca="false" t="array" ref="E696:E696">INDEX(Matériaux!$B$5:$F$12,MATCH(INDEX(Profils!$E$5:$E$34,$AE696),Matériaux!$A$5:$A$12,0),$D696)</f>
        <v>cuir</v>
      </c>
      <c r="F696" s="27" t="s">
        <v>113</v>
      </c>
      <c r="G696" s="10" t="str">
        <f aca="false" t="array" ref="G696:G696">INDEX(Profils!$D$5:$D$34,$AE696)&amp;" en "&amp;$E696</f>
        <v>Pantalon en cuir</v>
      </c>
      <c r="H696" s="16" t="n">
        <f aca="false" t="array" ref="H696:H696">INDEX(Matériaux!$B$16:$B$20,$D696)</f>
        <v>15</v>
      </c>
      <c r="I696" s="16" t="n">
        <f aca="false">IF(ISNUMBER($C$3),MIN(MAX(0,ROUND($C$3,0)),$AI696),$AI696)</f>
        <v>0</v>
      </c>
      <c r="J696" s="18" t="n">
        <f aca="false">$H696+$I696</f>
        <v>15</v>
      </c>
      <c r="K696" s="15" t="s">
        <v>109</v>
      </c>
      <c r="L696" s="19" t="n">
        <f aca="false" t="array" ref="L696:L696">IF(AND(INDEX(Profils!$F$5:$F$34,$AE696)&gt;0,INDEX(Profils!$U$5:$U$34,$AE696)&lt;=$AH696),ROUND(INDEX(Profils!$F$5:$F$34,$AE696)*Paramètres!$E$22*$AG696*$AJ696,Paramètres!$F$22),0)</f>
        <v>8</v>
      </c>
      <c r="M696" s="19" t="n">
        <f aca="false" t="array" ref="M696:M696">IF(AND(INDEX(Profils!$G$5:$G$34,$AE696)&gt;0,INDEX(Profils!$V$5:$V$34,$AE696)&lt;=$AH696),ROUND(INDEX(Profils!$G$5:$G$34,$AE696)*Paramètres!$E$23*$AG696*$AJ696,Paramètres!$F$23),0)</f>
        <v>0</v>
      </c>
      <c r="N696" s="19" t="n">
        <f aca="false" t="array" ref="N696:N696">IF(AND(INDEX(Profils!$H$5:$H$34,$AE696)&gt;0,INDEX(Profils!$W$5:$W$34,$AE696)&lt;=$AH696),ROUND(INDEX(Profils!$H$5:$H$34,$AE696)*Paramètres!$E$24*$AG696*$AJ696,Paramètres!$F$24),0)</f>
        <v>2</v>
      </c>
      <c r="O696" s="19" t="n">
        <f aca="false" t="array" ref="O696:O696">IF(AND(INDEX(Profils!$I$5:$I$34,$AE696)&gt;0,INDEX(Profils!$X$5:$X$34,$AE696)&lt;=$AH696),ROUND(INDEX(Profils!$I$5:$I$34,$AE696)*Paramètres!$E$25*$AG696*$AJ696,Paramètres!$F$25),0)</f>
        <v>0</v>
      </c>
      <c r="P696" s="19" t="n">
        <f aca="false" t="array" ref="P696:P696">IF(AND(INDEX(Profils!$J$5:$J$34,$AE696)&gt;0,INDEX(Profils!$Y$5:$Y$34,$AE696)&lt;=$AH696),ROUND(INDEX(Profils!$J$5:$J$34,$AE696)*Paramètres!$E$26*$AG696*$AJ696,Paramètres!$F$26),0)</f>
        <v>3</v>
      </c>
      <c r="Q696" s="19" t="n">
        <f aca="false" t="array" ref="Q696:Q696">IF(AND(INDEX(Profils!$K$5:$K$34,$AE696)&gt;0,INDEX(Profils!$Z$5:$Z$34,$AE696)&lt;=$AH696),ROUND(INDEX(Profils!$K$5:$K$34,$AE696)*Paramètres!$E$27*$AG696*$AJ696,Paramètres!$F$27),0)</f>
        <v>0</v>
      </c>
      <c r="R696" s="20" t="n">
        <f aca="false" t="array" ref="R696:R696">IF(AND(INDEX(Profils!$L$5:$L$34,$AE696)&gt;0,INDEX(Profils!$AA$5:$AA$34,$AE696)&lt;=$AH696),ROUND(INDEX(Profils!$L$5:$L$34,$AE696)*Paramètres!$E$28*$AG696*$AJ696,Paramètres!$F$28),0)</f>
        <v>0</v>
      </c>
      <c r="S696" s="20" t="n">
        <f aca="false" t="array" ref="S696:S696">IF(AND(INDEX(Profils!$M$5:$M$34,$AE696)&gt;0,INDEX(Profils!$AB$5:$AB$34,$AE696)&lt;=$AH696),ROUND(INDEX(Profils!$M$5:$M$34,$AE696)*Paramètres!$E$29*$AG696*$AJ696,Paramètres!$F$29),0)</f>
        <v>0</v>
      </c>
      <c r="T696" s="20" t="n">
        <f aca="false" t="array" ref="T696:T696">IF(AND(INDEX(Profils!$N$5:$N$34,$AE696)&gt;0,INDEX(Profils!$AC$5:$AC$34,$AE696)&lt;=$AH696),ROUND(INDEX(Profils!$N$5:$N$34,$AE696)*Paramètres!$E$30*$AG696*$AJ696,Paramètres!$F$30),0)</f>
        <v>0</v>
      </c>
      <c r="U696" s="19" t="n">
        <f aca="false" t="array" ref="U696:U696">IF(AND(INDEX(Profils!$O$5:$O$34,$AE696)&gt;0,INDEX(Profils!$AD$5:$AD$34,$AE696)&lt;=$AH696),ROUND(INDEX(Profils!$O$5:$O$34,$AE696)*Paramètres!$E$31*$AG696*$AJ696,Paramètres!$F$31),0)</f>
        <v>4</v>
      </c>
      <c r="V696" s="20" t="n">
        <f aca="false" t="array" ref="V696:V696">IF(AND(INDEX(Profils!$P$5:$P$34,$AE696)&gt;0,INDEX(Profils!$AE$5:$AE$34,$AE696)&lt;=$AH696),ROUND(INDEX(Profils!$P$5:$P$34,$AE696)*Paramètres!$E$32*$AG696*$AJ696,Paramètres!$F$32),0)</f>
        <v>0</v>
      </c>
      <c r="W696" s="20" t="n">
        <f aca="false" t="array" ref="W696:W696">IF(AND(INDEX(Profils!$Q$5:$Q$34,$AE696)&gt;0,INDEX(Profils!$AF$5:$AF$34,$AE696)&lt;=$AH696),ROUND(INDEX(Profils!$Q$5:$Q$34,$AE696)*Paramètres!$E$33*$AG696*$AJ696,Paramètres!$F$33),0)</f>
        <v>0</v>
      </c>
      <c r="X696" s="20" t="n">
        <f aca="false" t="array" ref="X696:X696">IF(AND(INDEX(Profils!$R$5:$R$34,$AE696)&gt;0,INDEX(Profils!$AG$5:$AG$34,$AE696)&lt;=$AH696),ROUND(INDEX(Profils!$R$5:$R$34,$AE696)*Paramètres!$E$34*$AG696*$AJ696,Paramètres!$F$34),0)</f>
        <v>0</v>
      </c>
      <c r="Y696" s="20" t="n">
        <f aca="false" t="array" ref="Y696:Y696">IF(AND(INDEX(Profils!$S$5:$S$34,$AE696)&gt;0,INDEX(Profils!$AH$5:$AH$34,$AE696)&lt;=$AH696),ROUND(INDEX(Profils!$S$5:$S$34,$AE696)*Paramètres!$E$35*$AG696*$AJ696,Paramètres!$F$35),0)</f>
        <v>0</v>
      </c>
      <c r="Z696" s="21" t="n">
        <f aca="false">ROUND(L696/Paramètres!$E$22+M696/Paramètres!$E$23+N696/Paramètres!$E$24+O696/Paramètres!$E$25+P696/Paramètres!$E$26+Q696/Paramètres!$E$27+R696/Paramètres!$E$28+S696/Paramètres!$E$29+T696/Paramètres!$E$30+U696/Paramètres!$E$31+V696/Paramètres!$E$32+W696/Paramètres!$E$33+X696/Paramètres!$E$34+Y696/Paramètres!$E$35,1)</f>
        <v>0.9</v>
      </c>
      <c r="AA696" s="22" t="s">
        <v>109</v>
      </c>
      <c r="AB696" s="22" t="s">
        <v>109</v>
      </c>
      <c r="AC696" s="15" t="str">
        <f aca="false">$E696</f>
        <v>cuir</v>
      </c>
      <c r="AD696" s="16" t="n">
        <f aca="false" t="array" ref="AD696:AD696">IF($I696&gt;=$AI696,"Max",ROUND(Paramètres!$B$40*($I696+1)^Paramètres!$B$41*INDEX(Paramètres!$H$6:$H$12,$AF696),0))</f>
        <v>4</v>
      </c>
      <c r="AE696" s="23" t="n">
        <f aca="false">MATCH($B696&amp;"|"&amp;$C696,Profils!$A$5:$A$34,0)</f>
        <v>23</v>
      </c>
      <c r="AF696" s="23" t="n">
        <v>3</v>
      </c>
      <c r="AG696" s="24" t="n">
        <f aca="false" t="array" ref="AG696:AG696">INDEX(Paramètres!$C$6:$C$12,$AF696)</f>
        <v>1.45</v>
      </c>
      <c r="AH696" s="23" t="n">
        <f aca="false" t="array" ref="AH696:AH696">INDEX(Paramètres!$D$6:$D$12,$AF696)</f>
        <v>4</v>
      </c>
      <c r="AI696" s="23" t="n">
        <f aca="false" t="array" ref="AI696:AI696">INDEX(Matériaux!$C$16:$C$20,$D696)</f>
        <v>20</v>
      </c>
      <c r="AJ696" s="25" t="n">
        <f aca="false">Paramètres!$B$16+(1-Paramètres!$B$16)*(($J696-Paramètres!$B$14)/(Paramètres!$B$15-Paramètres!$B$14))^Paramètres!$B$17</f>
        <v>0.140847925475674</v>
      </c>
    </row>
    <row r="697" customFormat="false" ht="15.75" hidden="false" customHeight="true" outlineLevel="0" collapsed="false">
      <c r="A697" s="14" t="s">
        <v>813</v>
      </c>
      <c r="B697" s="15" t="s">
        <v>31</v>
      </c>
      <c r="C697" s="15" t="s">
        <v>177</v>
      </c>
      <c r="D697" s="16" t="n">
        <v>2</v>
      </c>
      <c r="E697" s="15" t="str">
        <f aca="false" t="array" ref="E697:E697">INDEX(Matériaux!$B$5:$F$12,MATCH(INDEX(Profils!$E$5:$E$34,$AE697),Matériaux!$A$5:$A$12,0),$D697)</f>
        <v>cuir</v>
      </c>
      <c r="F697" s="28" t="s">
        <v>115</v>
      </c>
      <c r="G697" s="10" t="str">
        <f aca="false" t="array" ref="G697:G697">INDEX(Profils!$D$5:$D$34,$AE697)&amp;" en "&amp;$E697</f>
        <v>Pantalon en cuir</v>
      </c>
      <c r="H697" s="16" t="n">
        <f aca="false" t="array" ref="H697:H697">INDEX(Matériaux!$B$16:$B$20,$D697)</f>
        <v>15</v>
      </c>
      <c r="I697" s="16" t="n">
        <f aca="false">IF(ISNUMBER($C$3),MIN(MAX(0,ROUND($C$3,0)),$AI697),$AI697)</f>
        <v>0</v>
      </c>
      <c r="J697" s="18" t="n">
        <f aca="false">$H697+$I697</f>
        <v>15</v>
      </c>
      <c r="K697" s="15" t="s">
        <v>109</v>
      </c>
      <c r="L697" s="19" t="n">
        <f aca="false" t="array" ref="L697:L697">IF(AND(INDEX(Profils!$F$5:$F$34,$AE697)&gt;0,INDEX(Profils!$U$5:$U$34,$AE697)&lt;=$AH697),ROUND(INDEX(Profils!$F$5:$F$34,$AE697)*Paramètres!$E$22*$AG697*$AJ697,Paramètres!$F$22),0)</f>
        <v>9</v>
      </c>
      <c r="M697" s="19" t="n">
        <f aca="false" t="array" ref="M697:M697">IF(AND(INDEX(Profils!$G$5:$G$34,$AE697)&gt;0,INDEX(Profils!$V$5:$V$34,$AE697)&lt;=$AH697),ROUND(INDEX(Profils!$G$5:$G$34,$AE697)*Paramètres!$E$23*$AG697*$AJ697,Paramètres!$F$23),0)</f>
        <v>0</v>
      </c>
      <c r="N697" s="19" t="n">
        <f aca="false" t="array" ref="N697:N697">IF(AND(INDEX(Profils!$H$5:$H$34,$AE697)&gt;0,INDEX(Profils!$W$5:$W$34,$AE697)&lt;=$AH697),ROUND(INDEX(Profils!$H$5:$H$34,$AE697)*Paramètres!$E$24*$AG697*$AJ697,Paramètres!$F$24),0)</f>
        <v>3</v>
      </c>
      <c r="O697" s="19" t="n">
        <f aca="false" t="array" ref="O697:O697">IF(AND(INDEX(Profils!$I$5:$I$34,$AE697)&gt;0,INDEX(Profils!$X$5:$X$34,$AE697)&lt;=$AH697),ROUND(INDEX(Profils!$I$5:$I$34,$AE697)*Paramètres!$E$25*$AG697*$AJ697,Paramètres!$F$25),0)</f>
        <v>0</v>
      </c>
      <c r="P697" s="19" t="n">
        <f aca="false" t="array" ref="P697:P697">IF(AND(INDEX(Profils!$J$5:$J$34,$AE697)&gt;0,INDEX(Profils!$Y$5:$Y$34,$AE697)&lt;=$AH697),ROUND(INDEX(Profils!$J$5:$J$34,$AE697)*Paramètres!$E$26*$AG697*$AJ697,Paramètres!$F$26),0)</f>
        <v>4</v>
      </c>
      <c r="Q697" s="19" t="n">
        <f aca="false" t="array" ref="Q697:Q697">IF(AND(INDEX(Profils!$K$5:$K$34,$AE697)&gt;0,INDEX(Profils!$Z$5:$Z$34,$AE697)&lt;=$AH697),ROUND(INDEX(Profils!$K$5:$K$34,$AE697)*Paramètres!$E$27*$AG697*$AJ697,Paramètres!$F$27),0)</f>
        <v>0</v>
      </c>
      <c r="R697" s="20" t="n">
        <f aca="false" t="array" ref="R697:R697">IF(AND(INDEX(Profils!$L$5:$L$34,$AE697)&gt;0,INDEX(Profils!$AA$5:$AA$34,$AE697)&lt;=$AH697),ROUND(INDEX(Profils!$L$5:$L$34,$AE697)*Paramètres!$E$28*$AG697*$AJ697,Paramètres!$F$28),0)</f>
        <v>0.003</v>
      </c>
      <c r="S697" s="20" t="n">
        <f aca="false" t="array" ref="S697:S697">IF(AND(INDEX(Profils!$M$5:$M$34,$AE697)&gt;0,INDEX(Profils!$AB$5:$AB$34,$AE697)&lt;=$AH697),ROUND(INDEX(Profils!$M$5:$M$34,$AE697)*Paramètres!$E$29*$AG697*$AJ697,Paramètres!$F$29),0)</f>
        <v>0</v>
      </c>
      <c r="T697" s="20" t="n">
        <f aca="false" t="array" ref="T697:T697">IF(AND(INDEX(Profils!$N$5:$N$34,$AE697)&gt;0,INDEX(Profils!$AC$5:$AC$34,$AE697)&lt;=$AH697),ROUND(INDEX(Profils!$N$5:$N$34,$AE697)*Paramètres!$E$30*$AG697*$AJ697,Paramètres!$F$30),0)</f>
        <v>0</v>
      </c>
      <c r="U697" s="19" t="n">
        <f aca="false" t="array" ref="U697:U697">IF(AND(INDEX(Profils!$O$5:$O$34,$AE697)&gt;0,INDEX(Profils!$AD$5:$AD$34,$AE697)&lt;=$AH697),ROUND(INDEX(Profils!$O$5:$O$34,$AE697)*Paramètres!$E$31*$AG697*$AJ697,Paramètres!$F$31),0)</f>
        <v>5</v>
      </c>
      <c r="V697" s="20" t="n">
        <f aca="false" t="array" ref="V697:V697">IF(AND(INDEX(Profils!$P$5:$P$34,$AE697)&gt;0,INDEX(Profils!$AE$5:$AE$34,$AE697)&lt;=$AH697),ROUND(INDEX(Profils!$P$5:$P$34,$AE697)*Paramètres!$E$32*$AG697*$AJ697,Paramètres!$F$32),0)</f>
        <v>0</v>
      </c>
      <c r="W697" s="20" t="n">
        <f aca="false" t="array" ref="W697:W697">IF(AND(INDEX(Profils!$Q$5:$Q$34,$AE697)&gt;0,INDEX(Profils!$AF$5:$AF$34,$AE697)&lt;=$AH697),ROUND(INDEX(Profils!$Q$5:$Q$34,$AE697)*Paramètres!$E$33*$AG697*$AJ697,Paramètres!$F$33),0)</f>
        <v>0</v>
      </c>
      <c r="X697" s="20" t="n">
        <f aca="false" t="array" ref="X697:X697">IF(AND(INDEX(Profils!$R$5:$R$34,$AE697)&gt;0,INDEX(Profils!$AG$5:$AG$34,$AE697)&lt;=$AH697),ROUND(INDEX(Profils!$R$5:$R$34,$AE697)*Paramètres!$E$34*$AG697*$AJ697,Paramètres!$F$34),0)</f>
        <v>0</v>
      </c>
      <c r="Y697" s="20" t="n">
        <f aca="false" t="array" ref="Y697:Y697">IF(AND(INDEX(Profils!$S$5:$S$34,$AE697)&gt;0,INDEX(Profils!$AH$5:$AH$34,$AE697)&lt;=$AH697),ROUND(INDEX(Profils!$S$5:$S$34,$AE697)*Paramètres!$E$35*$AG697*$AJ697,Paramètres!$F$35),0)</f>
        <v>0</v>
      </c>
      <c r="Z697" s="21" t="n">
        <f aca="false">ROUND(L697/Paramètres!$E$22+M697/Paramètres!$E$23+N697/Paramètres!$E$24+O697/Paramètres!$E$25+P697/Paramètres!$E$26+Q697/Paramètres!$E$27+R697/Paramètres!$E$28+S697/Paramètres!$E$29+T697/Paramètres!$E$30+U697/Paramètres!$E$31+V697/Paramètres!$E$32+W697/Paramètres!$E$33+X697/Paramètres!$E$34+Y697/Paramètres!$E$35,1)</f>
        <v>1.3</v>
      </c>
      <c r="AA697" s="22" t="s">
        <v>109</v>
      </c>
      <c r="AB697" s="22" t="s">
        <v>109</v>
      </c>
      <c r="AC697" s="15" t="str">
        <f aca="false">$E697</f>
        <v>cuir</v>
      </c>
      <c r="AD697" s="16" t="n">
        <f aca="false" t="array" ref="AD697:AD697">IF($I697&gt;=$AI697,"Max",ROUND(Paramètres!$B$40*($I697+1)^Paramètres!$B$41*INDEX(Paramètres!$H$6:$H$12,$AF697),0))</f>
        <v>5</v>
      </c>
      <c r="AE697" s="23" t="n">
        <f aca="false">MATCH($B697&amp;"|"&amp;$C697,Profils!$A$5:$A$34,0)</f>
        <v>23</v>
      </c>
      <c r="AF697" s="23" t="n">
        <v>4</v>
      </c>
      <c r="AG697" s="24" t="n">
        <f aca="false" t="array" ref="AG697:AG697">INDEX(Paramètres!$C$6:$C$12,$AF697)</f>
        <v>1.75</v>
      </c>
      <c r="AH697" s="23" t="n">
        <f aca="false" t="array" ref="AH697:AH697">INDEX(Paramètres!$D$6:$D$12,$AF697)</f>
        <v>5</v>
      </c>
      <c r="AI697" s="23" t="n">
        <f aca="false" t="array" ref="AI697:AI697">INDEX(Matériaux!$C$16:$C$20,$D697)</f>
        <v>20</v>
      </c>
      <c r="AJ697" s="25" t="n">
        <f aca="false">Paramètres!$B$16+(1-Paramètres!$B$16)*(($J697-Paramètres!$B$14)/(Paramètres!$B$15-Paramètres!$B$14))^Paramètres!$B$17</f>
        <v>0.140847925475674</v>
      </c>
    </row>
    <row r="698" customFormat="false" ht="15.75" hidden="false" customHeight="true" outlineLevel="0" collapsed="false">
      <c r="A698" s="14" t="s">
        <v>814</v>
      </c>
      <c r="B698" s="15" t="s">
        <v>31</v>
      </c>
      <c r="C698" s="15" t="s">
        <v>177</v>
      </c>
      <c r="D698" s="16" t="n">
        <v>2</v>
      </c>
      <c r="E698" s="15" t="str">
        <f aca="false" t="array" ref="E698:E698">INDEX(Matériaux!$B$5:$F$12,MATCH(INDEX(Profils!$E$5:$E$34,$AE698),Matériaux!$A$5:$A$12,0),$D698)</f>
        <v>cuir</v>
      </c>
      <c r="F698" s="29" t="s">
        <v>117</v>
      </c>
      <c r="G698" s="10" t="str">
        <f aca="false" t="array" ref="G698:G698">INDEX(Profils!$D$5:$D$34,$AE698)&amp;" en "&amp;$E698</f>
        <v>Pantalon en cuir</v>
      </c>
      <c r="H698" s="16" t="n">
        <f aca="false" t="array" ref="H698:H698">INDEX(Matériaux!$B$16:$B$20,$D698)</f>
        <v>15</v>
      </c>
      <c r="I698" s="16" t="n">
        <f aca="false">IF(ISNUMBER($C$3),MIN(MAX(0,ROUND($C$3,0)),$AI698),$AI698)</f>
        <v>0</v>
      </c>
      <c r="J698" s="18" t="n">
        <f aca="false">$H698+$I698</f>
        <v>15</v>
      </c>
      <c r="K698" s="15" t="s">
        <v>109</v>
      </c>
      <c r="L698" s="19" t="n">
        <f aca="false" t="array" ref="L698:L698">IF(AND(INDEX(Profils!$F$5:$F$34,$AE698)&gt;0,INDEX(Profils!$U$5:$U$34,$AE698)&lt;=$AH698),ROUND(INDEX(Profils!$F$5:$F$34,$AE698)*Paramètres!$E$22*$AG698*$AJ698,Paramètres!$F$22),0)</f>
        <v>11</v>
      </c>
      <c r="M698" s="19" t="n">
        <f aca="false" t="array" ref="M698:M698">IF(AND(INDEX(Profils!$G$5:$G$34,$AE698)&gt;0,INDEX(Profils!$V$5:$V$34,$AE698)&lt;=$AH698),ROUND(INDEX(Profils!$G$5:$G$34,$AE698)*Paramètres!$E$23*$AG698*$AJ698,Paramètres!$F$23),0)</f>
        <v>2</v>
      </c>
      <c r="N698" s="19" t="n">
        <f aca="false" t="array" ref="N698:N698">IF(AND(INDEX(Profils!$H$5:$H$34,$AE698)&gt;0,INDEX(Profils!$W$5:$W$34,$AE698)&lt;=$AH698),ROUND(INDEX(Profils!$H$5:$H$34,$AE698)*Paramètres!$E$24*$AG698*$AJ698,Paramètres!$F$24),0)</f>
        <v>4</v>
      </c>
      <c r="O698" s="19" t="n">
        <f aca="false" t="array" ref="O698:O698">IF(AND(INDEX(Profils!$I$5:$I$34,$AE698)&gt;0,INDEX(Profils!$X$5:$X$34,$AE698)&lt;=$AH698),ROUND(INDEX(Profils!$I$5:$I$34,$AE698)*Paramètres!$E$25*$AG698*$AJ698,Paramètres!$F$25),0)</f>
        <v>0</v>
      </c>
      <c r="P698" s="19" t="n">
        <f aca="false" t="array" ref="P698:P698">IF(AND(INDEX(Profils!$J$5:$J$34,$AE698)&gt;0,INDEX(Profils!$Y$5:$Y$34,$AE698)&lt;=$AH698),ROUND(INDEX(Profils!$J$5:$J$34,$AE698)*Paramètres!$E$26*$AG698*$AJ698,Paramètres!$F$26),0)</f>
        <v>5</v>
      </c>
      <c r="Q698" s="19" t="n">
        <f aca="false" t="array" ref="Q698:Q698">IF(AND(INDEX(Profils!$K$5:$K$34,$AE698)&gt;0,INDEX(Profils!$Z$5:$Z$34,$AE698)&lt;=$AH698),ROUND(INDEX(Profils!$K$5:$K$34,$AE698)*Paramètres!$E$27*$AG698*$AJ698,Paramètres!$F$27),0)</f>
        <v>0</v>
      </c>
      <c r="R698" s="20" t="n">
        <f aca="false" t="array" ref="R698:R698">IF(AND(INDEX(Profils!$L$5:$L$34,$AE698)&gt;0,INDEX(Profils!$AA$5:$AA$34,$AE698)&lt;=$AH698),ROUND(INDEX(Profils!$L$5:$L$34,$AE698)*Paramètres!$E$28*$AG698*$AJ698,Paramètres!$F$28),0)</f>
        <v>0.003</v>
      </c>
      <c r="S698" s="20" t="n">
        <f aca="false" t="array" ref="S698:S698">IF(AND(INDEX(Profils!$M$5:$M$34,$AE698)&gt;0,INDEX(Profils!$AB$5:$AB$34,$AE698)&lt;=$AH698),ROUND(INDEX(Profils!$M$5:$M$34,$AE698)*Paramètres!$E$29*$AG698*$AJ698,Paramètres!$F$29),0)</f>
        <v>0</v>
      </c>
      <c r="T698" s="20" t="n">
        <f aca="false" t="array" ref="T698:T698">IF(AND(INDEX(Profils!$N$5:$N$34,$AE698)&gt;0,INDEX(Profils!$AC$5:$AC$34,$AE698)&lt;=$AH698),ROUND(INDEX(Profils!$N$5:$N$34,$AE698)*Paramètres!$E$30*$AG698*$AJ698,Paramètres!$F$30),0)</f>
        <v>0</v>
      </c>
      <c r="U698" s="19" t="n">
        <f aca="false" t="array" ref="U698:U698">IF(AND(INDEX(Profils!$O$5:$O$34,$AE698)&gt;0,INDEX(Profils!$AD$5:$AD$34,$AE698)&lt;=$AH698),ROUND(INDEX(Profils!$O$5:$O$34,$AE698)*Paramètres!$E$31*$AG698*$AJ698,Paramètres!$F$31),0)</f>
        <v>6</v>
      </c>
      <c r="V698" s="20" t="n">
        <f aca="false" t="array" ref="V698:V698">IF(AND(INDEX(Profils!$P$5:$P$34,$AE698)&gt;0,INDEX(Profils!$AE$5:$AE$34,$AE698)&lt;=$AH698),ROUND(INDEX(Profils!$P$5:$P$34,$AE698)*Paramètres!$E$32*$AG698*$AJ698,Paramètres!$F$32),0)</f>
        <v>0</v>
      </c>
      <c r="W698" s="20" t="n">
        <f aca="false" t="array" ref="W698:W698">IF(AND(INDEX(Profils!$Q$5:$Q$34,$AE698)&gt;0,INDEX(Profils!$AF$5:$AF$34,$AE698)&lt;=$AH698),ROUND(INDEX(Profils!$Q$5:$Q$34,$AE698)*Paramètres!$E$33*$AG698*$AJ698,Paramètres!$F$33),0)</f>
        <v>0</v>
      </c>
      <c r="X698" s="20" t="n">
        <f aca="false" t="array" ref="X698:X698">IF(AND(INDEX(Profils!$R$5:$R$34,$AE698)&gt;0,INDEX(Profils!$AG$5:$AG$34,$AE698)&lt;=$AH698),ROUND(INDEX(Profils!$R$5:$R$34,$AE698)*Paramètres!$E$34*$AG698*$AJ698,Paramètres!$F$34),0)</f>
        <v>0</v>
      </c>
      <c r="Y698" s="20" t="n">
        <f aca="false" t="array" ref="Y698:Y698">IF(AND(INDEX(Profils!$S$5:$S$34,$AE698)&gt;0,INDEX(Profils!$AH$5:$AH$34,$AE698)&lt;=$AH698),ROUND(INDEX(Profils!$S$5:$S$34,$AE698)*Paramètres!$E$35*$AG698*$AJ698,Paramètres!$F$35),0)</f>
        <v>0</v>
      </c>
      <c r="Z698" s="21" t="n">
        <f aca="false">ROUND(L698/Paramètres!$E$22+M698/Paramètres!$E$23+N698/Paramètres!$E$24+O698/Paramètres!$E$25+P698/Paramètres!$E$26+Q698/Paramètres!$E$27+R698/Paramètres!$E$28+S698/Paramètres!$E$29+T698/Paramètres!$E$30+U698/Paramètres!$E$31+V698/Paramètres!$E$32+W698/Paramètres!$E$33+X698/Paramètres!$E$34+Y698/Paramètres!$E$35,1)</f>
        <v>1.8</v>
      </c>
      <c r="AA698" s="22" t="s">
        <v>109</v>
      </c>
      <c r="AB698" s="22" t="s">
        <v>109</v>
      </c>
      <c r="AC698" s="15" t="str">
        <f aca="false">$E698</f>
        <v>cuir</v>
      </c>
      <c r="AD698" s="16" t="n">
        <f aca="false" t="array" ref="AD698:AD698">IF($I698&gt;=$AI698,"Max",ROUND(Paramètres!$B$40*($I698+1)^Paramètres!$B$41*INDEX(Paramètres!$H$6:$H$12,$AF698),0))</f>
        <v>6</v>
      </c>
      <c r="AE698" s="23" t="n">
        <f aca="false">MATCH($B698&amp;"|"&amp;$C698,Profils!$A$5:$A$34,0)</f>
        <v>23</v>
      </c>
      <c r="AF698" s="23" t="n">
        <v>5</v>
      </c>
      <c r="AG698" s="24" t="n">
        <f aca="false" t="array" ref="AG698:AG698">INDEX(Paramètres!$C$6:$C$12,$AF698)</f>
        <v>2.1</v>
      </c>
      <c r="AH698" s="23" t="n">
        <f aca="false" t="array" ref="AH698:AH698">INDEX(Paramètres!$D$6:$D$12,$AF698)</f>
        <v>6</v>
      </c>
      <c r="AI698" s="23" t="n">
        <f aca="false" t="array" ref="AI698:AI698">INDEX(Matériaux!$C$16:$C$20,$D698)</f>
        <v>20</v>
      </c>
      <c r="AJ698" s="25" t="n">
        <f aca="false">Paramètres!$B$16+(1-Paramètres!$B$16)*(($J698-Paramètres!$B$14)/(Paramètres!$B$15-Paramètres!$B$14))^Paramètres!$B$17</f>
        <v>0.140847925475674</v>
      </c>
    </row>
    <row r="699" customFormat="false" ht="15.75" hidden="false" customHeight="true" outlineLevel="0" collapsed="false">
      <c r="A699" s="14" t="s">
        <v>815</v>
      </c>
      <c r="B699" s="15" t="s">
        <v>31</v>
      </c>
      <c r="C699" s="15" t="s">
        <v>177</v>
      </c>
      <c r="D699" s="16" t="n">
        <v>2</v>
      </c>
      <c r="E699" s="15" t="str">
        <f aca="false" t="array" ref="E699:E699">INDEX(Matériaux!$B$5:$F$12,MATCH(INDEX(Profils!$E$5:$E$34,$AE699),Matériaux!$A$5:$A$12,0),$D699)</f>
        <v>cuir</v>
      </c>
      <c r="F699" s="30" t="s">
        <v>119</v>
      </c>
      <c r="G699" s="10" t="str">
        <f aca="false" t="array" ref="G699:G699">INDEX(Profils!$D$5:$D$34,$AE699)&amp;" en "&amp;$E699</f>
        <v>Pantalon en cuir</v>
      </c>
      <c r="H699" s="16" t="n">
        <f aca="false" t="array" ref="H699:H699">INDEX(Matériaux!$B$16:$B$20,$D699)</f>
        <v>15</v>
      </c>
      <c r="I699" s="16" t="n">
        <f aca="false">IF(ISNUMBER($C$3),MIN(MAX(0,ROUND($C$3,0)),$AI699),$AI699)</f>
        <v>0</v>
      </c>
      <c r="J699" s="18" t="n">
        <f aca="false">$H699+$I699</f>
        <v>15</v>
      </c>
      <c r="K699" s="15" t="s">
        <v>109</v>
      </c>
      <c r="L699" s="19" t="n">
        <f aca="false" t="array" ref="L699:L699">IF(AND(INDEX(Profils!$F$5:$F$34,$AE699)&gt;0,INDEX(Profils!$U$5:$U$34,$AE699)&lt;=$AH699),ROUND(INDEX(Profils!$F$5:$F$34,$AE699)*Paramètres!$E$22*$AG699*$AJ699,Paramètres!$F$22),0)</f>
        <v>13</v>
      </c>
      <c r="M699" s="19" t="n">
        <f aca="false" t="array" ref="M699:M699">IF(AND(INDEX(Profils!$G$5:$G$34,$AE699)&gt;0,INDEX(Profils!$V$5:$V$34,$AE699)&lt;=$AH699),ROUND(INDEX(Profils!$G$5:$G$34,$AE699)*Paramètres!$E$23*$AG699*$AJ699,Paramètres!$F$23),0)</f>
        <v>3</v>
      </c>
      <c r="N699" s="19" t="n">
        <f aca="false" t="array" ref="N699:N699">IF(AND(INDEX(Profils!$H$5:$H$34,$AE699)&gt;0,INDEX(Profils!$W$5:$W$34,$AE699)&lt;=$AH699),ROUND(INDEX(Profils!$H$5:$H$34,$AE699)*Paramètres!$E$24*$AG699*$AJ699,Paramètres!$F$24),0)</f>
        <v>4</v>
      </c>
      <c r="O699" s="19" t="n">
        <f aca="false" t="array" ref="O699:O699">IF(AND(INDEX(Profils!$I$5:$I$34,$AE699)&gt;0,INDEX(Profils!$X$5:$X$34,$AE699)&lt;=$AH699),ROUND(INDEX(Profils!$I$5:$I$34,$AE699)*Paramètres!$E$25*$AG699*$AJ699,Paramètres!$F$25),0)</f>
        <v>0</v>
      </c>
      <c r="P699" s="19" t="n">
        <f aca="false" t="array" ref="P699:P699">IF(AND(INDEX(Profils!$J$5:$J$34,$AE699)&gt;0,INDEX(Profils!$Y$5:$Y$34,$AE699)&lt;=$AH699),ROUND(INDEX(Profils!$J$5:$J$34,$AE699)*Paramètres!$E$26*$AG699*$AJ699,Paramètres!$F$26),0)</f>
        <v>6</v>
      </c>
      <c r="Q699" s="19" t="n">
        <f aca="false" t="array" ref="Q699:Q699">IF(AND(INDEX(Profils!$K$5:$K$34,$AE699)&gt;0,INDEX(Profils!$Z$5:$Z$34,$AE699)&lt;=$AH699),ROUND(INDEX(Profils!$K$5:$K$34,$AE699)*Paramètres!$E$27*$AG699*$AJ699,Paramètres!$F$27),0)</f>
        <v>0</v>
      </c>
      <c r="R699" s="20" t="n">
        <f aca="false" t="array" ref="R699:R699">IF(AND(INDEX(Profils!$L$5:$L$34,$AE699)&gt;0,INDEX(Profils!$AA$5:$AA$34,$AE699)&lt;=$AH699),ROUND(INDEX(Profils!$L$5:$L$34,$AE699)*Paramètres!$E$28*$AG699*$AJ699,Paramètres!$F$28),0)</f>
        <v>0.004</v>
      </c>
      <c r="S699" s="20" t="n">
        <f aca="false" t="array" ref="S699:S699">IF(AND(INDEX(Profils!$M$5:$M$34,$AE699)&gt;0,INDEX(Profils!$AB$5:$AB$34,$AE699)&lt;=$AH699),ROUND(INDEX(Profils!$M$5:$M$34,$AE699)*Paramètres!$E$29*$AG699*$AJ699,Paramètres!$F$29),0)</f>
        <v>0</v>
      </c>
      <c r="T699" s="20" t="n">
        <f aca="false" t="array" ref="T699:T699">IF(AND(INDEX(Profils!$N$5:$N$34,$AE699)&gt;0,INDEX(Profils!$AC$5:$AC$34,$AE699)&lt;=$AH699),ROUND(INDEX(Profils!$N$5:$N$34,$AE699)*Paramètres!$E$30*$AG699*$AJ699,Paramètres!$F$30),0)</f>
        <v>0</v>
      </c>
      <c r="U699" s="19" t="n">
        <f aca="false" t="array" ref="U699:U699">IF(AND(INDEX(Profils!$O$5:$O$34,$AE699)&gt;0,INDEX(Profils!$AD$5:$AD$34,$AE699)&lt;=$AH699),ROUND(INDEX(Profils!$O$5:$O$34,$AE699)*Paramètres!$E$31*$AG699*$AJ699,Paramètres!$F$31),0)</f>
        <v>7</v>
      </c>
      <c r="V699" s="20" t="n">
        <f aca="false" t="array" ref="V699:V699">IF(AND(INDEX(Profils!$P$5:$P$34,$AE699)&gt;0,INDEX(Profils!$AE$5:$AE$34,$AE699)&lt;=$AH699),ROUND(INDEX(Profils!$P$5:$P$34,$AE699)*Paramètres!$E$32*$AG699*$AJ699,Paramètres!$F$32),0)</f>
        <v>0</v>
      </c>
      <c r="W699" s="20" t="n">
        <f aca="false" t="array" ref="W699:W699">IF(AND(INDEX(Profils!$Q$5:$Q$34,$AE699)&gt;0,INDEX(Profils!$AF$5:$AF$34,$AE699)&lt;=$AH699),ROUND(INDEX(Profils!$Q$5:$Q$34,$AE699)*Paramètres!$E$33*$AG699*$AJ699,Paramètres!$F$33),0)</f>
        <v>0.003</v>
      </c>
      <c r="X699" s="20" t="n">
        <f aca="false" t="array" ref="X699:X699">IF(AND(INDEX(Profils!$R$5:$R$34,$AE699)&gt;0,INDEX(Profils!$AG$5:$AG$34,$AE699)&lt;=$AH699),ROUND(INDEX(Profils!$R$5:$R$34,$AE699)*Paramètres!$E$34*$AG699*$AJ699,Paramètres!$F$34),0)</f>
        <v>0</v>
      </c>
      <c r="Y699" s="20" t="n">
        <f aca="false" t="array" ref="Y699:Y699">IF(AND(INDEX(Profils!$S$5:$S$34,$AE699)&gt;0,INDEX(Profils!$AH$5:$AH$34,$AE699)&lt;=$AH699),ROUND(INDEX(Profils!$S$5:$S$34,$AE699)*Paramètres!$E$35*$AG699*$AJ699,Paramètres!$F$35),0)</f>
        <v>0</v>
      </c>
      <c r="Z699" s="21" t="n">
        <f aca="false">ROUND(L699/Paramètres!$E$22+M699/Paramètres!$E$23+N699/Paramètres!$E$24+O699/Paramètres!$E$25+P699/Paramètres!$E$26+Q699/Paramètres!$E$27+R699/Paramètres!$E$28+S699/Paramètres!$E$29+T699/Paramètres!$E$30+U699/Paramètres!$E$31+V699/Paramètres!$E$32+W699/Paramètres!$E$33+X699/Paramètres!$E$34+Y699/Paramètres!$E$35,1)</f>
        <v>2.3</v>
      </c>
      <c r="AA699" s="22" t="s">
        <v>109</v>
      </c>
      <c r="AB699" s="22" t="s">
        <v>109</v>
      </c>
      <c r="AC699" s="15" t="str">
        <f aca="false">$E699</f>
        <v>cuir</v>
      </c>
      <c r="AD699" s="16" t="n">
        <f aca="false" t="array" ref="AD699:AD699">IF($I699&gt;=$AI699,"Max",ROUND(Paramètres!$B$40*($I699+1)^Paramètres!$B$41*INDEX(Paramètres!$H$6:$H$12,$AF699),0))</f>
        <v>8</v>
      </c>
      <c r="AE699" s="23" t="n">
        <f aca="false">MATCH($B699&amp;"|"&amp;$C699,Profils!$A$5:$A$34,0)</f>
        <v>23</v>
      </c>
      <c r="AF699" s="23" t="n">
        <v>6</v>
      </c>
      <c r="AG699" s="24" t="n">
        <f aca="false" t="array" ref="AG699:AG699">INDEX(Paramètres!$C$6:$C$12,$AF699)</f>
        <v>2.4</v>
      </c>
      <c r="AH699" s="23" t="n">
        <f aca="false" t="array" ref="AH699:AH699">INDEX(Paramètres!$D$6:$D$12,$AF699)</f>
        <v>7</v>
      </c>
      <c r="AI699" s="23" t="n">
        <f aca="false" t="array" ref="AI699:AI699">INDEX(Matériaux!$C$16:$C$20,$D699)</f>
        <v>20</v>
      </c>
      <c r="AJ699" s="25" t="n">
        <f aca="false">Paramètres!$B$16+(1-Paramètres!$B$16)*(($J699-Paramètres!$B$14)/(Paramètres!$B$15-Paramètres!$B$14))^Paramètres!$B$17</f>
        <v>0.140847925475674</v>
      </c>
    </row>
    <row r="700" customFormat="false" ht="15.75" hidden="false" customHeight="true" outlineLevel="0" collapsed="false">
      <c r="A700" s="14" t="s">
        <v>816</v>
      </c>
      <c r="B700" s="15" t="s">
        <v>31</v>
      </c>
      <c r="C700" s="15" t="s">
        <v>177</v>
      </c>
      <c r="D700" s="16" t="n">
        <v>3</v>
      </c>
      <c r="E700" s="15" t="str">
        <f aca="false" t="array" ref="E700:E700">INDEX(Matériaux!$B$5:$F$12,MATCH(INDEX(Profils!$E$5:$E$34,$AE700),Matériaux!$A$5:$A$12,0),$D700)</f>
        <v>cuir clouté</v>
      </c>
      <c r="F700" s="17" t="s">
        <v>108</v>
      </c>
      <c r="G700" s="10" t="str">
        <f aca="false" t="array" ref="G700:G700">INDEX(Profils!$D$5:$D$34,$AE700)&amp;" en "&amp;$E700</f>
        <v>Pantalon en cuir clouté</v>
      </c>
      <c r="H700" s="16" t="n">
        <f aca="false" t="array" ref="H700:H700">INDEX(Matériaux!$B$16:$B$20,$D700)</f>
        <v>30</v>
      </c>
      <c r="I700" s="16" t="n">
        <f aca="false">IF(ISNUMBER($C$3),MIN(MAX(0,ROUND($C$3,0)),$AI700),$AI700)</f>
        <v>0</v>
      </c>
      <c r="J700" s="18" t="n">
        <f aca="false">$H700+$I700</f>
        <v>30</v>
      </c>
      <c r="K700" s="15" t="s">
        <v>109</v>
      </c>
      <c r="L700" s="19" t="n">
        <f aca="false" t="array" ref="L700:L700">IF(AND(INDEX(Profils!$F$5:$F$34,$AE700)&gt;0,INDEX(Profils!$U$5:$U$34,$AE700)&lt;=$AH700),ROUND(INDEX(Profils!$F$5:$F$34,$AE700)*Paramètres!$E$22*$AG700*$AJ700,Paramètres!$F$22),0)</f>
        <v>10</v>
      </c>
      <c r="M700" s="19" t="n">
        <f aca="false" t="array" ref="M700:M700">IF(AND(INDEX(Profils!$G$5:$G$34,$AE700)&gt;0,INDEX(Profils!$V$5:$V$34,$AE700)&lt;=$AH700),ROUND(INDEX(Profils!$G$5:$G$34,$AE700)*Paramètres!$E$23*$AG700*$AJ700,Paramètres!$F$23),0)</f>
        <v>0</v>
      </c>
      <c r="N700" s="19" t="n">
        <f aca="false" t="array" ref="N700:N700">IF(AND(INDEX(Profils!$H$5:$H$34,$AE700)&gt;0,INDEX(Profils!$W$5:$W$34,$AE700)&lt;=$AH700),ROUND(INDEX(Profils!$H$5:$H$34,$AE700)*Paramètres!$E$24*$AG700*$AJ700,Paramètres!$F$24),0)</f>
        <v>0</v>
      </c>
      <c r="O700" s="19" t="n">
        <f aca="false" t="array" ref="O700:O700">IF(AND(INDEX(Profils!$I$5:$I$34,$AE700)&gt;0,INDEX(Profils!$X$5:$X$34,$AE700)&lt;=$AH700),ROUND(INDEX(Profils!$I$5:$I$34,$AE700)*Paramètres!$E$25*$AG700*$AJ700,Paramètres!$F$25),0)</f>
        <v>0</v>
      </c>
      <c r="P700" s="19" t="n">
        <f aca="false" t="array" ref="P700:P700">IF(AND(INDEX(Profils!$J$5:$J$34,$AE700)&gt;0,INDEX(Profils!$Y$5:$Y$34,$AE700)&lt;=$AH700),ROUND(INDEX(Profils!$J$5:$J$34,$AE700)*Paramètres!$E$26*$AG700*$AJ700,Paramètres!$F$26),0)</f>
        <v>4</v>
      </c>
      <c r="Q700" s="19" t="n">
        <f aca="false" t="array" ref="Q700:Q700">IF(AND(INDEX(Profils!$K$5:$K$34,$AE700)&gt;0,INDEX(Profils!$Z$5:$Z$34,$AE700)&lt;=$AH700),ROUND(INDEX(Profils!$K$5:$K$34,$AE700)*Paramètres!$E$27*$AG700*$AJ700,Paramètres!$F$27),0)</f>
        <v>0</v>
      </c>
      <c r="R700" s="20" t="n">
        <f aca="false" t="array" ref="R700:R700">IF(AND(INDEX(Profils!$L$5:$L$34,$AE700)&gt;0,INDEX(Profils!$AA$5:$AA$34,$AE700)&lt;=$AH700),ROUND(INDEX(Profils!$L$5:$L$34,$AE700)*Paramètres!$E$28*$AG700*$AJ700,Paramètres!$F$28),0)</f>
        <v>0</v>
      </c>
      <c r="S700" s="20" t="n">
        <f aca="false" t="array" ref="S700:S700">IF(AND(INDEX(Profils!$M$5:$M$34,$AE700)&gt;0,INDEX(Profils!$AB$5:$AB$34,$AE700)&lt;=$AH700),ROUND(INDEX(Profils!$M$5:$M$34,$AE700)*Paramètres!$E$29*$AG700*$AJ700,Paramètres!$F$29),0)</f>
        <v>0</v>
      </c>
      <c r="T700" s="20" t="n">
        <f aca="false" t="array" ref="T700:T700">IF(AND(INDEX(Profils!$N$5:$N$34,$AE700)&gt;0,INDEX(Profils!$AC$5:$AC$34,$AE700)&lt;=$AH700),ROUND(INDEX(Profils!$N$5:$N$34,$AE700)*Paramètres!$E$30*$AG700*$AJ700,Paramètres!$F$30),0)</f>
        <v>0</v>
      </c>
      <c r="U700" s="19" t="n">
        <f aca="false" t="array" ref="U700:U700">IF(AND(INDEX(Profils!$O$5:$O$34,$AE700)&gt;0,INDEX(Profils!$AD$5:$AD$34,$AE700)&lt;=$AH700),ROUND(INDEX(Profils!$O$5:$O$34,$AE700)*Paramètres!$E$31*$AG700*$AJ700,Paramètres!$F$31),0)</f>
        <v>0</v>
      </c>
      <c r="V700" s="20" t="n">
        <f aca="false" t="array" ref="V700:V700">IF(AND(INDEX(Profils!$P$5:$P$34,$AE700)&gt;0,INDEX(Profils!$AE$5:$AE$34,$AE700)&lt;=$AH700),ROUND(INDEX(Profils!$P$5:$P$34,$AE700)*Paramètres!$E$32*$AG700*$AJ700,Paramètres!$F$32),0)</f>
        <v>0</v>
      </c>
      <c r="W700" s="20" t="n">
        <f aca="false" t="array" ref="W700:W700">IF(AND(INDEX(Profils!$Q$5:$Q$34,$AE700)&gt;0,INDEX(Profils!$AF$5:$AF$34,$AE700)&lt;=$AH700),ROUND(INDEX(Profils!$Q$5:$Q$34,$AE700)*Paramètres!$E$33*$AG700*$AJ700,Paramètres!$F$33),0)</f>
        <v>0</v>
      </c>
      <c r="X700" s="20" t="n">
        <f aca="false" t="array" ref="X700:X700">IF(AND(INDEX(Profils!$R$5:$R$34,$AE700)&gt;0,INDEX(Profils!$AG$5:$AG$34,$AE700)&lt;=$AH700),ROUND(INDEX(Profils!$R$5:$R$34,$AE700)*Paramètres!$E$34*$AG700*$AJ700,Paramètres!$F$34),0)</f>
        <v>0</v>
      </c>
      <c r="Y700" s="20" t="n">
        <f aca="false" t="array" ref="Y700:Y700">IF(AND(INDEX(Profils!$S$5:$S$34,$AE700)&gt;0,INDEX(Profils!$AH$5:$AH$34,$AE700)&lt;=$AH700),ROUND(INDEX(Profils!$S$5:$S$34,$AE700)*Paramètres!$E$35*$AG700*$AJ700,Paramètres!$F$35),0)</f>
        <v>0</v>
      </c>
      <c r="Z700" s="21" t="n">
        <f aca="false">ROUND(L700/Paramètres!$E$22+M700/Paramètres!$E$23+N700/Paramètres!$E$24+O700/Paramètres!$E$25+P700/Paramètres!$E$26+Q700/Paramètres!$E$27+R700/Paramètres!$E$28+S700/Paramètres!$E$29+T700/Paramètres!$E$30+U700/Paramètres!$E$31+V700/Paramètres!$E$32+W700/Paramètres!$E$33+X700/Paramètres!$E$34+Y700/Paramètres!$E$35,1)</f>
        <v>0.7</v>
      </c>
      <c r="AA700" s="22" t="s">
        <v>109</v>
      </c>
      <c r="AB700" s="22" t="s">
        <v>109</v>
      </c>
      <c r="AC700" s="15" t="str">
        <f aca="false">$E700</f>
        <v>cuir clouté</v>
      </c>
      <c r="AD700" s="16" t="n">
        <f aca="false" t="array" ref="AD700:AD700">IF($I700&gt;=$AI700,"Max",ROUND(Paramètres!$B$40*($I700+1)^Paramètres!$B$41*INDEX(Paramètres!$H$6:$H$12,$AF700),0))</f>
        <v>3</v>
      </c>
      <c r="AE700" s="23" t="n">
        <f aca="false">MATCH($B700&amp;"|"&amp;$C700,Profils!$A$5:$A$34,0)</f>
        <v>23</v>
      </c>
      <c r="AF700" s="23" t="n">
        <v>1</v>
      </c>
      <c r="AG700" s="24" t="n">
        <f aca="false" t="array" ref="AG700:AG700">INDEX(Paramètres!$C$6:$C$12,$AF700)</f>
        <v>1</v>
      </c>
      <c r="AH700" s="23" t="n">
        <f aca="false" t="array" ref="AH700:AH700">INDEX(Paramètres!$D$6:$D$12,$AF700)</f>
        <v>2</v>
      </c>
      <c r="AI700" s="23" t="n">
        <f aca="false" t="array" ref="AI700:AI700">INDEX(Matériaux!$C$16:$C$20,$D700)</f>
        <v>25</v>
      </c>
      <c r="AJ700" s="25" t="n">
        <f aca="false">Paramètres!$B$16+(1-Paramètres!$B$16)*(($J700-Paramètres!$B$14)/(Paramètres!$B$15-Paramètres!$B$14))^Paramètres!$B$17</f>
        <v>0.26769024555533</v>
      </c>
    </row>
    <row r="701" customFormat="false" ht="15.75" hidden="false" customHeight="true" outlineLevel="0" collapsed="false">
      <c r="A701" s="14" t="s">
        <v>817</v>
      </c>
      <c r="B701" s="15" t="s">
        <v>31</v>
      </c>
      <c r="C701" s="15" t="s">
        <v>177</v>
      </c>
      <c r="D701" s="16" t="n">
        <v>3</v>
      </c>
      <c r="E701" s="15" t="str">
        <f aca="false" t="array" ref="E701:E701">INDEX(Matériaux!$B$5:$F$12,MATCH(INDEX(Profils!$E$5:$E$34,$AE701),Matériaux!$A$5:$A$12,0),$D701)</f>
        <v>cuir clouté</v>
      </c>
      <c r="F701" s="26" t="s">
        <v>111</v>
      </c>
      <c r="G701" s="10" t="str">
        <f aca="false" t="array" ref="G701:G701">INDEX(Profils!$D$5:$D$34,$AE701)&amp;" en "&amp;$E701</f>
        <v>Pantalon en cuir clouté</v>
      </c>
      <c r="H701" s="16" t="n">
        <f aca="false" t="array" ref="H701:H701">INDEX(Matériaux!$B$16:$B$20,$D701)</f>
        <v>30</v>
      </c>
      <c r="I701" s="16" t="n">
        <f aca="false">IF(ISNUMBER($C$3),MIN(MAX(0,ROUND($C$3,0)),$AI701),$AI701)</f>
        <v>0</v>
      </c>
      <c r="J701" s="18" t="n">
        <f aca="false">$H701+$I701</f>
        <v>30</v>
      </c>
      <c r="K701" s="15" t="s">
        <v>109</v>
      </c>
      <c r="L701" s="19" t="n">
        <f aca="false" t="array" ref="L701:L701">IF(AND(INDEX(Profils!$F$5:$F$34,$AE701)&gt;0,INDEX(Profils!$U$5:$U$34,$AE701)&lt;=$AH701),ROUND(INDEX(Profils!$F$5:$F$34,$AE701)*Paramètres!$E$22*$AG701*$AJ701,Paramètres!$F$22),0)</f>
        <v>12</v>
      </c>
      <c r="M701" s="19" t="n">
        <f aca="false" t="array" ref="M701:M701">IF(AND(INDEX(Profils!$G$5:$G$34,$AE701)&gt;0,INDEX(Profils!$V$5:$V$34,$AE701)&lt;=$AH701),ROUND(INDEX(Profils!$G$5:$G$34,$AE701)*Paramètres!$E$23*$AG701*$AJ701,Paramètres!$F$23),0)</f>
        <v>0</v>
      </c>
      <c r="N701" s="19" t="n">
        <f aca="false" t="array" ref="N701:N701">IF(AND(INDEX(Profils!$H$5:$H$34,$AE701)&gt;0,INDEX(Profils!$W$5:$W$34,$AE701)&lt;=$AH701),ROUND(INDEX(Profils!$H$5:$H$34,$AE701)*Paramètres!$E$24*$AG701*$AJ701,Paramètres!$F$24),0)</f>
        <v>0</v>
      </c>
      <c r="O701" s="19" t="n">
        <f aca="false" t="array" ref="O701:O701">IF(AND(INDEX(Profils!$I$5:$I$34,$AE701)&gt;0,INDEX(Profils!$X$5:$X$34,$AE701)&lt;=$AH701),ROUND(INDEX(Profils!$I$5:$I$34,$AE701)*Paramètres!$E$25*$AG701*$AJ701,Paramètres!$F$25),0)</f>
        <v>0</v>
      </c>
      <c r="P701" s="19" t="n">
        <f aca="false" t="array" ref="P701:P701">IF(AND(INDEX(Profils!$J$5:$J$34,$AE701)&gt;0,INDEX(Profils!$Y$5:$Y$34,$AE701)&lt;=$AH701),ROUND(INDEX(Profils!$J$5:$J$34,$AE701)*Paramètres!$E$26*$AG701*$AJ701,Paramètres!$F$26),0)</f>
        <v>5</v>
      </c>
      <c r="Q701" s="19" t="n">
        <f aca="false" t="array" ref="Q701:Q701">IF(AND(INDEX(Profils!$K$5:$K$34,$AE701)&gt;0,INDEX(Profils!$Z$5:$Z$34,$AE701)&lt;=$AH701),ROUND(INDEX(Profils!$K$5:$K$34,$AE701)*Paramètres!$E$27*$AG701*$AJ701,Paramètres!$F$27),0)</f>
        <v>0</v>
      </c>
      <c r="R701" s="20" t="n">
        <f aca="false" t="array" ref="R701:R701">IF(AND(INDEX(Profils!$L$5:$L$34,$AE701)&gt;0,INDEX(Profils!$AA$5:$AA$34,$AE701)&lt;=$AH701),ROUND(INDEX(Profils!$L$5:$L$34,$AE701)*Paramètres!$E$28*$AG701*$AJ701,Paramètres!$F$28),0)</f>
        <v>0</v>
      </c>
      <c r="S701" s="20" t="n">
        <f aca="false" t="array" ref="S701:S701">IF(AND(INDEX(Profils!$M$5:$M$34,$AE701)&gt;0,INDEX(Profils!$AB$5:$AB$34,$AE701)&lt;=$AH701),ROUND(INDEX(Profils!$M$5:$M$34,$AE701)*Paramètres!$E$29*$AG701*$AJ701,Paramètres!$F$29),0)</f>
        <v>0</v>
      </c>
      <c r="T701" s="20" t="n">
        <f aca="false" t="array" ref="T701:T701">IF(AND(INDEX(Profils!$N$5:$N$34,$AE701)&gt;0,INDEX(Profils!$AC$5:$AC$34,$AE701)&lt;=$AH701),ROUND(INDEX(Profils!$N$5:$N$34,$AE701)*Paramètres!$E$30*$AG701*$AJ701,Paramètres!$F$30),0)</f>
        <v>0</v>
      </c>
      <c r="U701" s="19" t="n">
        <f aca="false" t="array" ref="U701:U701">IF(AND(INDEX(Profils!$O$5:$O$34,$AE701)&gt;0,INDEX(Profils!$AD$5:$AD$34,$AE701)&lt;=$AH701),ROUND(INDEX(Profils!$O$5:$O$34,$AE701)*Paramètres!$E$31*$AG701*$AJ701,Paramètres!$F$31),0)</f>
        <v>6</v>
      </c>
      <c r="V701" s="20" t="n">
        <f aca="false" t="array" ref="V701:V701">IF(AND(INDEX(Profils!$P$5:$P$34,$AE701)&gt;0,INDEX(Profils!$AE$5:$AE$34,$AE701)&lt;=$AH701),ROUND(INDEX(Profils!$P$5:$P$34,$AE701)*Paramètres!$E$32*$AG701*$AJ701,Paramètres!$F$32),0)</f>
        <v>0</v>
      </c>
      <c r="W701" s="20" t="n">
        <f aca="false" t="array" ref="W701:W701">IF(AND(INDEX(Profils!$Q$5:$Q$34,$AE701)&gt;0,INDEX(Profils!$AF$5:$AF$34,$AE701)&lt;=$AH701),ROUND(INDEX(Profils!$Q$5:$Q$34,$AE701)*Paramètres!$E$33*$AG701*$AJ701,Paramètres!$F$33),0)</f>
        <v>0</v>
      </c>
      <c r="X701" s="20" t="n">
        <f aca="false" t="array" ref="X701:X701">IF(AND(INDEX(Profils!$R$5:$R$34,$AE701)&gt;0,INDEX(Profils!$AG$5:$AG$34,$AE701)&lt;=$AH701),ROUND(INDEX(Profils!$R$5:$R$34,$AE701)*Paramètres!$E$34*$AG701*$AJ701,Paramètres!$F$34),0)</f>
        <v>0</v>
      </c>
      <c r="Y701" s="20" t="n">
        <f aca="false" t="array" ref="Y701:Y701">IF(AND(INDEX(Profils!$S$5:$S$34,$AE701)&gt;0,INDEX(Profils!$AH$5:$AH$34,$AE701)&lt;=$AH701),ROUND(INDEX(Profils!$S$5:$S$34,$AE701)*Paramètres!$E$35*$AG701*$AJ701,Paramètres!$F$35),0)</f>
        <v>0</v>
      </c>
      <c r="Z701" s="21" t="n">
        <f aca="false">ROUND(L701/Paramètres!$E$22+M701/Paramètres!$E$23+N701/Paramètres!$E$24+O701/Paramètres!$E$25+P701/Paramètres!$E$26+Q701/Paramètres!$E$27+R701/Paramètres!$E$28+S701/Paramètres!$E$29+T701/Paramètres!$E$30+U701/Paramètres!$E$31+V701/Paramètres!$E$32+W701/Paramètres!$E$33+X701/Paramètres!$E$34+Y701/Paramètres!$E$35,1)</f>
        <v>1.2</v>
      </c>
      <c r="AA701" s="22" t="s">
        <v>109</v>
      </c>
      <c r="AB701" s="22" t="s">
        <v>109</v>
      </c>
      <c r="AC701" s="15" t="str">
        <f aca="false">$E701</f>
        <v>cuir clouté</v>
      </c>
      <c r="AD701" s="16" t="n">
        <f aca="false" t="array" ref="AD701:AD701">IF($I701&gt;=$AI701,"Max",ROUND(Paramètres!$B$40*($I701+1)^Paramètres!$B$41*INDEX(Paramètres!$H$6:$H$12,$AF701),0))</f>
        <v>4</v>
      </c>
      <c r="AE701" s="23" t="n">
        <f aca="false">MATCH($B701&amp;"|"&amp;$C701,Profils!$A$5:$A$34,0)</f>
        <v>23</v>
      </c>
      <c r="AF701" s="23" t="n">
        <v>2</v>
      </c>
      <c r="AG701" s="24" t="n">
        <f aca="false" t="array" ref="AG701:AG701">INDEX(Paramètres!$C$6:$C$12,$AF701)</f>
        <v>1.2</v>
      </c>
      <c r="AH701" s="23" t="n">
        <f aca="false" t="array" ref="AH701:AH701">INDEX(Paramètres!$D$6:$D$12,$AF701)</f>
        <v>3</v>
      </c>
      <c r="AI701" s="23" t="n">
        <f aca="false" t="array" ref="AI701:AI701">INDEX(Matériaux!$C$16:$C$20,$D701)</f>
        <v>25</v>
      </c>
      <c r="AJ701" s="25" t="n">
        <f aca="false">Paramètres!$B$16+(1-Paramètres!$B$16)*(($J701-Paramètres!$B$14)/(Paramètres!$B$15-Paramètres!$B$14))^Paramètres!$B$17</f>
        <v>0.26769024555533</v>
      </c>
    </row>
    <row r="702" customFormat="false" ht="15.75" hidden="false" customHeight="true" outlineLevel="0" collapsed="false">
      <c r="A702" s="14" t="s">
        <v>818</v>
      </c>
      <c r="B702" s="15" t="s">
        <v>31</v>
      </c>
      <c r="C702" s="15" t="s">
        <v>177</v>
      </c>
      <c r="D702" s="16" t="n">
        <v>3</v>
      </c>
      <c r="E702" s="15" t="str">
        <f aca="false" t="array" ref="E702:E702">INDEX(Matériaux!$B$5:$F$12,MATCH(INDEX(Profils!$E$5:$E$34,$AE702),Matériaux!$A$5:$A$12,0),$D702)</f>
        <v>cuir clouté</v>
      </c>
      <c r="F702" s="27" t="s">
        <v>113</v>
      </c>
      <c r="G702" s="10" t="str">
        <f aca="false" t="array" ref="G702:G702">INDEX(Profils!$D$5:$D$34,$AE702)&amp;" en "&amp;$E702</f>
        <v>Pantalon en cuir clouté</v>
      </c>
      <c r="H702" s="16" t="n">
        <f aca="false" t="array" ref="H702:H702">INDEX(Matériaux!$B$16:$B$20,$D702)</f>
        <v>30</v>
      </c>
      <c r="I702" s="16" t="n">
        <f aca="false">IF(ISNUMBER($C$3),MIN(MAX(0,ROUND($C$3,0)),$AI702),$AI702)</f>
        <v>0</v>
      </c>
      <c r="J702" s="18" t="n">
        <f aca="false">$H702+$I702</f>
        <v>30</v>
      </c>
      <c r="K702" s="15" t="s">
        <v>109</v>
      </c>
      <c r="L702" s="19" t="n">
        <f aca="false" t="array" ref="L702:L702">IF(AND(INDEX(Profils!$F$5:$F$34,$AE702)&gt;0,INDEX(Profils!$U$5:$U$34,$AE702)&lt;=$AH702),ROUND(INDEX(Profils!$F$5:$F$34,$AE702)*Paramètres!$E$22*$AG702*$AJ702,Paramètres!$F$22),0)</f>
        <v>15</v>
      </c>
      <c r="M702" s="19" t="n">
        <f aca="false" t="array" ref="M702:M702">IF(AND(INDEX(Profils!$G$5:$G$34,$AE702)&gt;0,INDEX(Profils!$V$5:$V$34,$AE702)&lt;=$AH702),ROUND(INDEX(Profils!$G$5:$G$34,$AE702)*Paramètres!$E$23*$AG702*$AJ702,Paramètres!$F$23),0)</f>
        <v>0</v>
      </c>
      <c r="N702" s="19" t="n">
        <f aca="false" t="array" ref="N702:N702">IF(AND(INDEX(Profils!$H$5:$H$34,$AE702)&gt;0,INDEX(Profils!$W$5:$W$34,$AE702)&lt;=$AH702),ROUND(INDEX(Profils!$H$5:$H$34,$AE702)*Paramètres!$E$24*$AG702*$AJ702,Paramètres!$F$24),0)</f>
        <v>5</v>
      </c>
      <c r="O702" s="19" t="n">
        <f aca="false" t="array" ref="O702:O702">IF(AND(INDEX(Profils!$I$5:$I$34,$AE702)&gt;0,INDEX(Profils!$X$5:$X$34,$AE702)&lt;=$AH702),ROUND(INDEX(Profils!$I$5:$I$34,$AE702)*Paramètres!$E$25*$AG702*$AJ702,Paramètres!$F$25),0)</f>
        <v>0</v>
      </c>
      <c r="P702" s="19" t="n">
        <f aca="false" t="array" ref="P702:P702">IF(AND(INDEX(Profils!$J$5:$J$34,$AE702)&gt;0,INDEX(Profils!$Y$5:$Y$34,$AE702)&lt;=$AH702),ROUND(INDEX(Profils!$J$5:$J$34,$AE702)*Paramètres!$E$26*$AG702*$AJ702,Paramètres!$F$26),0)</f>
        <v>7</v>
      </c>
      <c r="Q702" s="19" t="n">
        <f aca="false" t="array" ref="Q702:Q702">IF(AND(INDEX(Profils!$K$5:$K$34,$AE702)&gt;0,INDEX(Profils!$Z$5:$Z$34,$AE702)&lt;=$AH702),ROUND(INDEX(Profils!$K$5:$K$34,$AE702)*Paramètres!$E$27*$AG702*$AJ702,Paramètres!$F$27),0)</f>
        <v>0</v>
      </c>
      <c r="R702" s="20" t="n">
        <f aca="false" t="array" ref="R702:R702">IF(AND(INDEX(Profils!$L$5:$L$34,$AE702)&gt;0,INDEX(Profils!$AA$5:$AA$34,$AE702)&lt;=$AH702),ROUND(INDEX(Profils!$L$5:$L$34,$AE702)*Paramètres!$E$28*$AG702*$AJ702,Paramètres!$F$28),0)</f>
        <v>0</v>
      </c>
      <c r="S702" s="20" t="n">
        <f aca="false" t="array" ref="S702:S702">IF(AND(INDEX(Profils!$M$5:$M$34,$AE702)&gt;0,INDEX(Profils!$AB$5:$AB$34,$AE702)&lt;=$AH702),ROUND(INDEX(Profils!$M$5:$M$34,$AE702)*Paramètres!$E$29*$AG702*$AJ702,Paramètres!$F$29),0)</f>
        <v>0</v>
      </c>
      <c r="T702" s="20" t="n">
        <f aca="false" t="array" ref="T702:T702">IF(AND(INDEX(Profils!$N$5:$N$34,$AE702)&gt;0,INDEX(Profils!$AC$5:$AC$34,$AE702)&lt;=$AH702),ROUND(INDEX(Profils!$N$5:$N$34,$AE702)*Paramètres!$E$30*$AG702*$AJ702,Paramètres!$F$30),0)</f>
        <v>0</v>
      </c>
      <c r="U702" s="19" t="n">
        <f aca="false" t="array" ref="U702:U702">IF(AND(INDEX(Profils!$O$5:$O$34,$AE702)&gt;0,INDEX(Profils!$AD$5:$AD$34,$AE702)&lt;=$AH702),ROUND(INDEX(Profils!$O$5:$O$34,$AE702)*Paramètres!$E$31*$AG702*$AJ702,Paramètres!$F$31),0)</f>
        <v>8</v>
      </c>
      <c r="V702" s="20" t="n">
        <f aca="false" t="array" ref="V702:V702">IF(AND(INDEX(Profils!$P$5:$P$34,$AE702)&gt;0,INDEX(Profils!$AE$5:$AE$34,$AE702)&lt;=$AH702),ROUND(INDEX(Profils!$P$5:$P$34,$AE702)*Paramètres!$E$32*$AG702*$AJ702,Paramètres!$F$32),0)</f>
        <v>0</v>
      </c>
      <c r="W702" s="20" t="n">
        <f aca="false" t="array" ref="W702:W702">IF(AND(INDEX(Profils!$Q$5:$Q$34,$AE702)&gt;0,INDEX(Profils!$AF$5:$AF$34,$AE702)&lt;=$AH702),ROUND(INDEX(Profils!$Q$5:$Q$34,$AE702)*Paramètres!$E$33*$AG702*$AJ702,Paramètres!$F$33),0)</f>
        <v>0</v>
      </c>
      <c r="X702" s="20" t="n">
        <f aca="false" t="array" ref="X702:X702">IF(AND(INDEX(Profils!$R$5:$R$34,$AE702)&gt;0,INDEX(Profils!$AG$5:$AG$34,$AE702)&lt;=$AH702),ROUND(INDEX(Profils!$R$5:$R$34,$AE702)*Paramètres!$E$34*$AG702*$AJ702,Paramètres!$F$34),0)</f>
        <v>0</v>
      </c>
      <c r="Y702" s="20" t="n">
        <f aca="false" t="array" ref="Y702:Y702">IF(AND(INDEX(Profils!$S$5:$S$34,$AE702)&gt;0,INDEX(Profils!$AH$5:$AH$34,$AE702)&lt;=$AH702),ROUND(INDEX(Profils!$S$5:$S$34,$AE702)*Paramètres!$E$35*$AG702*$AJ702,Paramètres!$F$35),0)</f>
        <v>0</v>
      </c>
      <c r="Z702" s="21" t="n">
        <f aca="false">ROUND(L702/Paramètres!$E$22+M702/Paramètres!$E$23+N702/Paramètres!$E$24+O702/Paramètres!$E$25+P702/Paramètres!$E$26+Q702/Paramètres!$E$27+R702/Paramètres!$E$28+S702/Paramètres!$E$29+T702/Paramètres!$E$30+U702/Paramètres!$E$31+V702/Paramètres!$E$32+W702/Paramètres!$E$33+X702/Paramètres!$E$34+Y702/Paramètres!$E$35,1)</f>
        <v>1.9</v>
      </c>
      <c r="AA702" s="22" t="s">
        <v>109</v>
      </c>
      <c r="AB702" s="22" t="s">
        <v>109</v>
      </c>
      <c r="AC702" s="15" t="str">
        <f aca="false">$E702</f>
        <v>cuir clouté</v>
      </c>
      <c r="AD702" s="16" t="n">
        <f aca="false" t="array" ref="AD702:AD702">IF($I702&gt;=$AI702,"Max",ROUND(Paramètres!$B$40*($I702+1)^Paramètres!$B$41*INDEX(Paramètres!$H$6:$H$12,$AF702),0))</f>
        <v>4</v>
      </c>
      <c r="AE702" s="23" t="n">
        <f aca="false">MATCH($B702&amp;"|"&amp;$C702,Profils!$A$5:$A$34,0)</f>
        <v>23</v>
      </c>
      <c r="AF702" s="23" t="n">
        <v>3</v>
      </c>
      <c r="AG702" s="24" t="n">
        <f aca="false" t="array" ref="AG702:AG702">INDEX(Paramètres!$C$6:$C$12,$AF702)</f>
        <v>1.45</v>
      </c>
      <c r="AH702" s="23" t="n">
        <f aca="false" t="array" ref="AH702:AH702">INDEX(Paramètres!$D$6:$D$12,$AF702)</f>
        <v>4</v>
      </c>
      <c r="AI702" s="23" t="n">
        <f aca="false" t="array" ref="AI702:AI702">INDEX(Matériaux!$C$16:$C$20,$D702)</f>
        <v>25</v>
      </c>
      <c r="AJ702" s="25" t="n">
        <f aca="false">Paramètres!$B$16+(1-Paramètres!$B$16)*(($J702-Paramètres!$B$14)/(Paramètres!$B$15-Paramètres!$B$14))^Paramètres!$B$17</f>
        <v>0.26769024555533</v>
      </c>
    </row>
    <row r="703" customFormat="false" ht="15.75" hidden="false" customHeight="true" outlineLevel="0" collapsed="false">
      <c r="A703" s="14" t="s">
        <v>819</v>
      </c>
      <c r="B703" s="15" t="s">
        <v>31</v>
      </c>
      <c r="C703" s="15" t="s">
        <v>177</v>
      </c>
      <c r="D703" s="16" t="n">
        <v>3</v>
      </c>
      <c r="E703" s="15" t="str">
        <f aca="false" t="array" ref="E703:E703">INDEX(Matériaux!$B$5:$F$12,MATCH(INDEX(Profils!$E$5:$E$34,$AE703),Matériaux!$A$5:$A$12,0),$D703)</f>
        <v>cuir clouté</v>
      </c>
      <c r="F703" s="28" t="s">
        <v>115</v>
      </c>
      <c r="G703" s="10" t="str">
        <f aca="false" t="array" ref="G703:G703">INDEX(Profils!$D$5:$D$34,$AE703)&amp;" en "&amp;$E703</f>
        <v>Pantalon en cuir clouté</v>
      </c>
      <c r="H703" s="16" t="n">
        <f aca="false" t="array" ref="H703:H703">INDEX(Matériaux!$B$16:$B$20,$D703)</f>
        <v>30</v>
      </c>
      <c r="I703" s="16" t="n">
        <f aca="false">IF(ISNUMBER($C$3),MIN(MAX(0,ROUND($C$3,0)),$AI703),$AI703)</f>
        <v>0</v>
      </c>
      <c r="J703" s="18" t="n">
        <f aca="false">$H703+$I703</f>
        <v>30</v>
      </c>
      <c r="K703" s="15" t="s">
        <v>109</v>
      </c>
      <c r="L703" s="19" t="n">
        <f aca="false" t="array" ref="L703:L703">IF(AND(INDEX(Profils!$F$5:$F$34,$AE703)&gt;0,INDEX(Profils!$U$5:$U$34,$AE703)&lt;=$AH703),ROUND(INDEX(Profils!$F$5:$F$34,$AE703)*Paramètres!$E$22*$AG703*$AJ703,Paramètres!$F$22),0)</f>
        <v>18</v>
      </c>
      <c r="M703" s="19" t="n">
        <f aca="false" t="array" ref="M703:M703">IF(AND(INDEX(Profils!$G$5:$G$34,$AE703)&gt;0,INDEX(Profils!$V$5:$V$34,$AE703)&lt;=$AH703),ROUND(INDEX(Profils!$G$5:$G$34,$AE703)*Paramètres!$E$23*$AG703*$AJ703,Paramètres!$F$23),0)</f>
        <v>0</v>
      </c>
      <c r="N703" s="19" t="n">
        <f aca="false" t="array" ref="N703:N703">IF(AND(INDEX(Profils!$H$5:$H$34,$AE703)&gt;0,INDEX(Profils!$W$5:$W$34,$AE703)&lt;=$AH703),ROUND(INDEX(Profils!$H$5:$H$34,$AE703)*Paramètres!$E$24*$AG703*$AJ703,Paramètres!$F$24),0)</f>
        <v>6</v>
      </c>
      <c r="O703" s="19" t="n">
        <f aca="false" t="array" ref="O703:O703">IF(AND(INDEX(Profils!$I$5:$I$34,$AE703)&gt;0,INDEX(Profils!$X$5:$X$34,$AE703)&lt;=$AH703),ROUND(INDEX(Profils!$I$5:$I$34,$AE703)*Paramètres!$E$25*$AG703*$AJ703,Paramètres!$F$25),0)</f>
        <v>0</v>
      </c>
      <c r="P703" s="19" t="n">
        <f aca="false" t="array" ref="P703:P703">IF(AND(INDEX(Profils!$J$5:$J$34,$AE703)&gt;0,INDEX(Profils!$Y$5:$Y$34,$AE703)&lt;=$AH703),ROUND(INDEX(Profils!$J$5:$J$34,$AE703)*Paramètres!$E$26*$AG703*$AJ703,Paramètres!$F$26),0)</f>
        <v>8</v>
      </c>
      <c r="Q703" s="19" t="n">
        <f aca="false" t="array" ref="Q703:Q703">IF(AND(INDEX(Profils!$K$5:$K$34,$AE703)&gt;0,INDEX(Profils!$Z$5:$Z$34,$AE703)&lt;=$AH703),ROUND(INDEX(Profils!$K$5:$K$34,$AE703)*Paramètres!$E$27*$AG703*$AJ703,Paramètres!$F$27),0)</f>
        <v>0</v>
      </c>
      <c r="R703" s="20" t="n">
        <f aca="false" t="array" ref="R703:R703">IF(AND(INDEX(Profils!$L$5:$L$34,$AE703)&gt;0,INDEX(Profils!$AA$5:$AA$34,$AE703)&lt;=$AH703),ROUND(INDEX(Profils!$L$5:$L$34,$AE703)*Paramètres!$E$28*$AG703*$AJ703,Paramètres!$F$28),0)</f>
        <v>0.005</v>
      </c>
      <c r="S703" s="20" t="n">
        <f aca="false" t="array" ref="S703:S703">IF(AND(INDEX(Profils!$M$5:$M$34,$AE703)&gt;0,INDEX(Profils!$AB$5:$AB$34,$AE703)&lt;=$AH703),ROUND(INDEX(Profils!$M$5:$M$34,$AE703)*Paramètres!$E$29*$AG703*$AJ703,Paramètres!$F$29),0)</f>
        <v>0</v>
      </c>
      <c r="T703" s="20" t="n">
        <f aca="false" t="array" ref="T703:T703">IF(AND(INDEX(Profils!$N$5:$N$34,$AE703)&gt;0,INDEX(Profils!$AC$5:$AC$34,$AE703)&lt;=$AH703),ROUND(INDEX(Profils!$N$5:$N$34,$AE703)*Paramètres!$E$30*$AG703*$AJ703,Paramètres!$F$30),0)</f>
        <v>0</v>
      </c>
      <c r="U703" s="19" t="n">
        <f aca="false" t="array" ref="U703:U703">IF(AND(INDEX(Profils!$O$5:$O$34,$AE703)&gt;0,INDEX(Profils!$AD$5:$AD$34,$AE703)&lt;=$AH703),ROUND(INDEX(Profils!$O$5:$O$34,$AE703)*Paramètres!$E$31*$AG703*$AJ703,Paramètres!$F$31),0)</f>
        <v>9</v>
      </c>
      <c r="V703" s="20" t="n">
        <f aca="false" t="array" ref="V703:V703">IF(AND(INDEX(Profils!$P$5:$P$34,$AE703)&gt;0,INDEX(Profils!$AE$5:$AE$34,$AE703)&lt;=$AH703),ROUND(INDEX(Profils!$P$5:$P$34,$AE703)*Paramètres!$E$32*$AG703*$AJ703,Paramètres!$F$32),0)</f>
        <v>0</v>
      </c>
      <c r="W703" s="20" t="n">
        <f aca="false" t="array" ref="W703:W703">IF(AND(INDEX(Profils!$Q$5:$Q$34,$AE703)&gt;0,INDEX(Profils!$AF$5:$AF$34,$AE703)&lt;=$AH703),ROUND(INDEX(Profils!$Q$5:$Q$34,$AE703)*Paramètres!$E$33*$AG703*$AJ703,Paramètres!$F$33),0)</f>
        <v>0</v>
      </c>
      <c r="X703" s="20" t="n">
        <f aca="false" t="array" ref="X703:X703">IF(AND(INDEX(Profils!$R$5:$R$34,$AE703)&gt;0,INDEX(Profils!$AG$5:$AG$34,$AE703)&lt;=$AH703),ROUND(INDEX(Profils!$R$5:$R$34,$AE703)*Paramètres!$E$34*$AG703*$AJ703,Paramètres!$F$34),0)</f>
        <v>0</v>
      </c>
      <c r="Y703" s="20" t="n">
        <f aca="false" t="array" ref="Y703:Y703">IF(AND(INDEX(Profils!$S$5:$S$34,$AE703)&gt;0,INDEX(Profils!$AH$5:$AH$34,$AE703)&lt;=$AH703),ROUND(INDEX(Profils!$S$5:$S$34,$AE703)*Paramètres!$E$35*$AG703*$AJ703,Paramètres!$F$35),0)</f>
        <v>0</v>
      </c>
      <c r="Z703" s="21" t="n">
        <f aca="false">ROUND(L703/Paramètres!$E$22+M703/Paramètres!$E$23+N703/Paramètres!$E$24+O703/Paramètres!$E$25+P703/Paramètres!$E$26+Q703/Paramètres!$E$27+R703/Paramètres!$E$28+S703/Paramètres!$E$29+T703/Paramètres!$E$30+U703/Paramètres!$E$31+V703/Paramètres!$E$32+W703/Paramètres!$E$33+X703/Paramètres!$E$34+Y703/Paramètres!$E$35,1)</f>
        <v>2.6</v>
      </c>
      <c r="AA703" s="22" t="s">
        <v>109</v>
      </c>
      <c r="AB703" s="22" t="s">
        <v>109</v>
      </c>
      <c r="AC703" s="15" t="str">
        <f aca="false">$E703</f>
        <v>cuir clouté</v>
      </c>
      <c r="AD703" s="16" t="n">
        <f aca="false" t="array" ref="AD703:AD703">IF($I703&gt;=$AI703,"Max",ROUND(Paramètres!$B$40*($I703+1)^Paramètres!$B$41*INDEX(Paramètres!$H$6:$H$12,$AF703),0))</f>
        <v>5</v>
      </c>
      <c r="AE703" s="23" t="n">
        <f aca="false">MATCH($B703&amp;"|"&amp;$C703,Profils!$A$5:$A$34,0)</f>
        <v>23</v>
      </c>
      <c r="AF703" s="23" t="n">
        <v>4</v>
      </c>
      <c r="AG703" s="24" t="n">
        <f aca="false" t="array" ref="AG703:AG703">INDEX(Paramètres!$C$6:$C$12,$AF703)</f>
        <v>1.75</v>
      </c>
      <c r="AH703" s="23" t="n">
        <f aca="false" t="array" ref="AH703:AH703">INDEX(Paramètres!$D$6:$D$12,$AF703)</f>
        <v>5</v>
      </c>
      <c r="AI703" s="23" t="n">
        <f aca="false" t="array" ref="AI703:AI703">INDEX(Matériaux!$C$16:$C$20,$D703)</f>
        <v>25</v>
      </c>
      <c r="AJ703" s="25" t="n">
        <f aca="false">Paramètres!$B$16+(1-Paramètres!$B$16)*(($J703-Paramètres!$B$14)/(Paramètres!$B$15-Paramètres!$B$14))^Paramètres!$B$17</f>
        <v>0.26769024555533</v>
      </c>
    </row>
    <row r="704" customFormat="false" ht="15.75" hidden="false" customHeight="true" outlineLevel="0" collapsed="false">
      <c r="A704" s="14" t="s">
        <v>820</v>
      </c>
      <c r="B704" s="15" t="s">
        <v>31</v>
      </c>
      <c r="C704" s="15" t="s">
        <v>177</v>
      </c>
      <c r="D704" s="16" t="n">
        <v>3</v>
      </c>
      <c r="E704" s="15" t="str">
        <f aca="false" t="array" ref="E704:E704">INDEX(Matériaux!$B$5:$F$12,MATCH(INDEX(Profils!$E$5:$E$34,$AE704),Matériaux!$A$5:$A$12,0),$D704)</f>
        <v>cuir clouté</v>
      </c>
      <c r="F704" s="29" t="s">
        <v>117</v>
      </c>
      <c r="G704" s="10" t="str">
        <f aca="false" t="array" ref="G704:G704">INDEX(Profils!$D$5:$D$34,$AE704)&amp;" en "&amp;$E704</f>
        <v>Pantalon en cuir clouté</v>
      </c>
      <c r="H704" s="16" t="n">
        <f aca="false" t="array" ref="H704:H704">INDEX(Matériaux!$B$16:$B$20,$D704)</f>
        <v>30</v>
      </c>
      <c r="I704" s="16" t="n">
        <f aca="false">IF(ISNUMBER($C$3),MIN(MAX(0,ROUND($C$3,0)),$AI704),$AI704)</f>
        <v>0</v>
      </c>
      <c r="J704" s="18" t="n">
        <f aca="false">$H704+$I704</f>
        <v>30</v>
      </c>
      <c r="K704" s="15" t="s">
        <v>109</v>
      </c>
      <c r="L704" s="19" t="n">
        <f aca="false" t="array" ref="L704:L704">IF(AND(INDEX(Profils!$F$5:$F$34,$AE704)&gt;0,INDEX(Profils!$U$5:$U$34,$AE704)&lt;=$AH704),ROUND(INDEX(Profils!$F$5:$F$34,$AE704)*Paramètres!$E$22*$AG704*$AJ704,Paramètres!$F$22),0)</f>
        <v>21</v>
      </c>
      <c r="M704" s="19" t="n">
        <f aca="false" t="array" ref="M704:M704">IF(AND(INDEX(Profils!$G$5:$G$34,$AE704)&gt;0,INDEX(Profils!$V$5:$V$34,$AE704)&lt;=$AH704),ROUND(INDEX(Profils!$G$5:$G$34,$AE704)*Paramètres!$E$23*$AG704*$AJ704,Paramètres!$F$23),0)</f>
        <v>4</v>
      </c>
      <c r="N704" s="19" t="n">
        <f aca="false" t="array" ref="N704:N704">IF(AND(INDEX(Profils!$H$5:$H$34,$AE704)&gt;0,INDEX(Profils!$W$5:$W$34,$AE704)&lt;=$AH704),ROUND(INDEX(Profils!$H$5:$H$34,$AE704)*Paramètres!$E$24*$AG704*$AJ704,Paramètres!$F$24),0)</f>
        <v>7</v>
      </c>
      <c r="O704" s="19" t="n">
        <f aca="false" t="array" ref="O704:O704">IF(AND(INDEX(Profils!$I$5:$I$34,$AE704)&gt;0,INDEX(Profils!$X$5:$X$34,$AE704)&lt;=$AH704),ROUND(INDEX(Profils!$I$5:$I$34,$AE704)*Paramètres!$E$25*$AG704*$AJ704,Paramètres!$F$25),0)</f>
        <v>0</v>
      </c>
      <c r="P704" s="19" t="n">
        <f aca="false" t="array" ref="P704:P704">IF(AND(INDEX(Profils!$J$5:$J$34,$AE704)&gt;0,INDEX(Profils!$Y$5:$Y$34,$AE704)&lt;=$AH704),ROUND(INDEX(Profils!$J$5:$J$34,$AE704)*Paramètres!$E$26*$AG704*$AJ704,Paramètres!$F$26),0)</f>
        <v>9</v>
      </c>
      <c r="Q704" s="19" t="n">
        <f aca="false" t="array" ref="Q704:Q704">IF(AND(INDEX(Profils!$K$5:$K$34,$AE704)&gt;0,INDEX(Profils!$Z$5:$Z$34,$AE704)&lt;=$AH704),ROUND(INDEX(Profils!$K$5:$K$34,$AE704)*Paramètres!$E$27*$AG704*$AJ704,Paramètres!$F$27),0)</f>
        <v>0</v>
      </c>
      <c r="R704" s="20" t="n">
        <f aca="false" t="array" ref="R704:R704">IF(AND(INDEX(Profils!$L$5:$L$34,$AE704)&gt;0,INDEX(Profils!$AA$5:$AA$34,$AE704)&lt;=$AH704),ROUND(INDEX(Profils!$L$5:$L$34,$AE704)*Paramètres!$E$28*$AG704*$AJ704,Paramètres!$F$28),0)</f>
        <v>0.006</v>
      </c>
      <c r="S704" s="20" t="n">
        <f aca="false" t="array" ref="S704:S704">IF(AND(INDEX(Profils!$M$5:$M$34,$AE704)&gt;0,INDEX(Profils!$AB$5:$AB$34,$AE704)&lt;=$AH704),ROUND(INDEX(Profils!$M$5:$M$34,$AE704)*Paramètres!$E$29*$AG704*$AJ704,Paramètres!$F$29),0)</f>
        <v>0</v>
      </c>
      <c r="T704" s="20" t="n">
        <f aca="false" t="array" ref="T704:T704">IF(AND(INDEX(Profils!$N$5:$N$34,$AE704)&gt;0,INDEX(Profils!$AC$5:$AC$34,$AE704)&lt;=$AH704),ROUND(INDEX(Profils!$N$5:$N$34,$AE704)*Paramètres!$E$30*$AG704*$AJ704,Paramètres!$F$30),0)</f>
        <v>0</v>
      </c>
      <c r="U704" s="19" t="n">
        <f aca="false" t="array" ref="U704:U704">IF(AND(INDEX(Profils!$O$5:$O$34,$AE704)&gt;0,INDEX(Profils!$AD$5:$AD$34,$AE704)&lt;=$AH704),ROUND(INDEX(Profils!$O$5:$O$34,$AE704)*Paramètres!$E$31*$AG704*$AJ704,Paramètres!$F$31),0)</f>
        <v>11</v>
      </c>
      <c r="V704" s="20" t="n">
        <f aca="false" t="array" ref="V704:V704">IF(AND(INDEX(Profils!$P$5:$P$34,$AE704)&gt;0,INDEX(Profils!$AE$5:$AE$34,$AE704)&lt;=$AH704),ROUND(INDEX(Profils!$P$5:$P$34,$AE704)*Paramètres!$E$32*$AG704*$AJ704,Paramètres!$F$32),0)</f>
        <v>0</v>
      </c>
      <c r="W704" s="20" t="n">
        <f aca="false" t="array" ref="W704:W704">IF(AND(INDEX(Profils!$Q$5:$Q$34,$AE704)&gt;0,INDEX(Profils!$AF$5:$AF$34,$AE704)&lt;=$AH704),ROUND(INDEX(Profils!$Q$5:$Q$34,$AE704)*Paramètres!$E$33*$AG704*$AJ704,Paramètres!$F$33),0)</f>
        <v>0</v>
      </c>
      <c r="X704" s="20" t="n">
        <f aca="false" t="array" ref="X704:X704">IF(AND(INDEX(Profils!$R$5:$R$34,$AE704)&gt;0,INDEX(Profils!$AG$5:$AG$34,$AE704)&lt;=$AH704),ROUND(INDEX(Profils!$R$5:$R$34,$AE704)*Paramètres!$E$34*$AG704*$AJ704,Paramètres!$F$34),0)</f>
        <v>0</v>
      </c>
      <c r="Y704" s="20" t="n">
        <f aca="false" t="array" ref="Y704:Y704">IF(AND(INDEX(Profils!$S$5:$S$34,$AE704)&gt;0,INDEX(Profils!$AH$5:$AH$34,$AE704)&lt;=$AH704),ROUND(INDEX(Profils!$S$5:$S$34,$AE704)*Paramètres!$E$35*$AG704*$AJ704,Paramètres!$F$35),0)</f>
        <v>0</v>
      </c>
      <c r="Z704" s="21" t="n">
        <f aca="false">ROUND(L704/Paramètres!$E$22+M704/Paramètres!$E$23+N704/Paramètres!$E$24+O704/Paramètres!$E$25+P704/Paramètres!$E$26+Q704/Paramètres!$E$27+R704/Paramètres!$E$28+S704/Paramètres!$E$29+T704/Paramètres!$E$30+U704/Paramètres!$E$31+V704/Paramètres!$E$32+W704/Paramètres!$E$33+X704/Paramètres!$E$34+Y704/Paramètres!$E$35,1)</f>
        <v>3.3</v>
      </c>
      <c r="AA704" s="22" t="s">
        <v>109</v>
      </c>
      <c r="AB704" s="22" t="s">
        <v>109</v>
      </c>
      <c r="AC704" s="15" t="str">
        <f aca="false">$E704</f>
        <v>cuir clouté</v>
      </c>
      <c r="AD704" s="16" t="n">
        <f aca="false" t="array" ref="AD704:AD704">IF($I704&gt;=$AI704,"Max",ROUND(Paramètres!$B$40*($I704+1)^Paramètres!$B$41*INDEX(Paramètres!$H$6:$H$12,$AF704),0))</f>
        <v>6</v>
      </c>
      <c r="AE704" s="23" t="n">
        <f aca="false">MATCH($B704&amp;"|"&amp;$C704,Profils!$A$5:$A$34,0)</f>
        <v>23</v>
      </c>
      <c r="AF704" s="23" t="n">
        <v>5</v>
      </c>
      <c r="AG704" s="24" t="n">
        <f aca="false" t="array" ref="AG704:AG704">INDEX(Paramètres!$C$6:$C$12,$AF704)</f>
        <v>2.1</v>
      </c>
      <c r="AH704" s="23" t="n">
        <f aca="false" t="array" ref="AH704:AH704">INDEX(Paramètres!$D$6:$D$12,$AF704)</f>
        <v>6</v>
      </c>
      <c r="AI704" s="23" t="n">
        <f aca="false" t="array" ref="AI704:AI704">INDEX(Matériaux!$C$16:$C$20,$D704)</f>
        <v>25</v>
      </c>
      <c r="AJ704" s="25" t="n">
        <f aca="false">Paramètres!$B$16+(1-Paramètres!$B$16)*(($J704-Paramètres!$B$14)/(Paramètres!$B$15-Paramètres!$B$14))^Paramètres!$B$17</f>
        <v>0.26769024555533</v>
      </c>
    </row>
    <row r="705" customFormat="false" ht="15.75" hidden="false" customHeight="true" outlineLevel="0" collapsed="false">
      <c r="A705" s="14" t="s">
        <v>821</v>
      </c>
      <c r="B705" s="15" t="s">
        <v>31</v>
      </c>
      <c r="C705" s="15" t="s">
        <v>177</v>
      </c>
      <c r="D705" s="16" t="n">
        <v>3</v>
      </c>
      <c r="E705" s="15" t="str">
        <f aca="false" t="array" ref="E705:E705">INDEX(Matériaux!$B$5:$F$12,MATCH(INDEX(Profils!$E$5:$E$34,$AE705),Matériaux!$A$5:$A$12,0),$D705)</f>
        <v>cuir clouté</v>
      </c>
      <c r="F705" s="30" t="s">
        <v>119</v>
      </c>
      <c r="G705" s="10" t="str">
        <f aca="false" t="array" ref="G705:G705">INDEX(Profils!$D$5:$D$34,$AE705)&amp;" en "&amp;$E705</f>
        <v>Pantalon en cuir clouté</v>
      </c>
      <c r="H705" s="16" t="n">
        <f aca="false" t="array" ref="H705:H705">INDEX(Matériaux!$B$16:$B$20,$D705)</f>
        <v>30</v>
      </c>
      <c r="I705" s="16" t="n">
        <f aca="false">IF(ISNUMBER($C$3),MIN(MAX(0,ROUND($C$3,0)),$AI705),$AI705)</f>
        <v>0</v>
      </c>
      <c r="J705" s="18" t="n">
        <f aca="false">$H705+$I705</f>
        <v>30</v>
      </c>
      <c r="K705" s="15" t="s">
        <v>109</v>
      </c>
      <c r="L705" s="19" t="n">
        <f aca="false" t="array" ref="L705:L705">IF(AND(INDEX(Profils!$F$5:$F$34,$AE705)&gt;0,INDEX(Profils!$U$5:$U$34,$AE705)&lt;=$AH705),ROUND(INDEX(Profils!$F$5:$F$34,$AE705)*Paramètres!$E$22*$AG705*$AJ705,Paramètres!$F$22),0)</f>
        <v>24</v>
      </c>
      <c r="M705" s="19" t="n">
        <f aca="false" t="array" ref="M705:M705">IF(AND(INDEX(Profils!$G$5:$G$34,$AE705)&gt;0,INDEX(Profils!$V$5:$V$34,$AE705)&lt;=$AH705),ROUND(INDEX(Profils!$G$5:$G$34,$AE705)*Paramètres!$E$23*$AG705*$AJ705,Paramètres!$F$23),0)</f>
        <v>5</v>
      </c>
      <c r="N705" s="19" t="n">
        <f aca="false" t="array" ref="N705:N705">IF(AND(INDEX(Profils!$H$5:$H$34,$AE705)&gt;0,INDEX(Profils!$W$5:$W$34,$AE705)&lt;=$AH705),ROUND(INDEX(Profils!$H$5:$H$34,$AE705)*Paramètres!$E$24*$AG705*$AJ705,Paramètres!$F$24),0)</f>
        <v>8</v>
      </c>
      <c r="O705" s="19" t="n">
        <f aca="false" t="array" ref="O705:O705">IF(AND(INDEX(Profils!$I$5:$I$34,$AE705)&gt;0,INDEX(Profils!$X$5:$X$34,$AE705)&lt;=$AH705),ROUND(INDEX(Profils!$I$5:$I$34,$AE705)*Paramètres!$E$25*$AG705*$AJ705,Paramètres!$F$25),0)</f>
        <v>0</v>
      </c>
      <c r="P705" s="19" t="n">
        <f aca="false" t="array" ref="P705:P705">IF(AND(INDEX(Profils!$J$5:$J$34,$AE705)&gt;0,INDEX(Profils!$Y$5:$Y$34,$AE705)&lt;=$AH705),ROUND(INDEX(Profils!$J$5:$J$34,$AE705)*Paramètres!$E$26*$AG705*$AJ705,Paramètres!$F$26),0)</f>
        <v>11</v>
      </c>
      <c r="Q705" s="19" t="n">
        <f aca="false" t="array" ref="Q705:Q705">IF(AND(INDEX(Profils!$K$5:$K$34,$AE705)&gt;0,INDEX(Profils!$Z$5:$Z$34,$AE705)&lt;=$AH705),ROUND(INDEX(Profils!$K$5:$K$34,$AE705)*Paramètres!$E$27*$AG705*$AJ705,Paramètres!$F$27),0)</f>
        <v>0</v>
      </c>
      <c r="R705" s="20" t="n">
        <f aca="false" t="array" ref="R705:R705">IF(AND(INDEX(Profils!$L$5:$L$34,$AE705)&gt;0,INDEX(Profils!$AA$5:$AA$34,$AE705)&lt;=$AH705),ROUND(INDEX(Profils!$L$5:$L$34,$AE705)*Paramètres!$E$28*$AG705*$AJ705,Paramètres!$F$28),0)</f>
        <v>0.007</v>
      </c>
      <c r="S705" s="20" t="n">
        <f aca="false" t="array" ref="S705:S705">IF(AND(INDEX(Profils!$M$5:$M$34,$AE705)&gt;0,INDEX(Profils!$AB$5:$AB$34,$AE705)&lt;=$AH705),ROUND(INDEX(Profils!$M$5:$M$34,$AE705)*Paramètres!$E$29*$AG705*$AJ705,Paramètres!$F$29),0)</f>
        <v>0</v>
      </c>
      <c r="T705" s="20" t="n">
        <f aca="false" t="array" ref="T705:T705">IF(AND(INDEX(Profils!$N$5:$N$34,$AE705)&gt;0,INDEX(Profils!$AC$5:$AC$34,$AE705)&lt;=$AH705),ROUND(INDEX(Profils!$N$5:$N$34,$AE705)*Paramètres!$E$30*$AG705*$AJ705,Paramètres!$F$30),0)</f>
        <v>0</v>
      </c>
      <c r="U705" s="19" t="n">
        <f aca="false" t="array" ref="U705:U705">IF(AND(INDEX(Profils!$O$5:$O$34,$AE705)&gt;0,INDEX(Profils!$AD$5:$AD$34,$AE705)&lt;=$AH705),ROUND(INDEX(Profils!$O$5:$O$34,$AE705)*Paramètres!$E$31*$AG705*$AJ705,Paramètres!$F$31),0)</f>
        <v>13</v>
      </c>
      <c r="V705" s="20" t="n">
        <f aca="false" t="array" ref="V705:V705">IF(AND(INDEX(Profils!$P$5:$P$34,$AE705)&gt;0,INDEX(Profils!$AE$5:$AE$34,$AE705)&lt;=$AH705),ROUND(INDEX(Profils!$P$5:$P$34,$AE705)*Paramètres!$E$32*$AG705*$AJ705,Paramètres!$F$32),0)</f>
        <v>0</v>
      </c>
      <c r="W705" s="20" t="n">
        <f aca="false" t="array" ref="W705:W705">IF(AND(INDEX(Profils!$Q$5:$Q$34,$AE705)&gt;0,INDEX(Profils!$AF$5:$AF$34,$AE705)&lt;=$AH705),ROUND(INDEX(Profils!$Q$5:$Q$34,$AE705)*Paramètres!$E$33*$AG705*$AJ705,Paramètres!$F$33),0)</f>
        <v>0.005</v>
      </c>
      <c r="X705" s="20" t="n">
        <f aca="false" t="array" ref="X705:X705">IF(AND(INDEX(Profils!$R$5:$R$34,$AE705)&gt;0,INDEX(Profils!$AG$5:$AG$34,$AE705)&lt;=$AH705),ROUND(INDEX(Profils!$R$5:$R$34,$AE705)*Paramètres!$E$34*$AG705*$AJ705,Paramètres!$F$34),0)</f>
        <v>0</v>
      </c>
      <c r="Y705" s="20" t="n">
        <f aca="false" t="array" ref="Y705:Y705">IF(AND(INDEX(Profils!$S$5:$S$34,$AE705)&gt;0,INDEX(Profils!$AH$5:$AH$34,$AE705)&lt;=$AH705),ROUND(INDEX(Profils!$S$5:$S$34,$AE705)*Paramètres!$E$35*$AG705*$AJ705,Paramètres!$F$35),0)</f>
        <v>0</v>
      </c>
      <c r="Z705" s="21" t="n">
        <f aca="false">ROUND(L705/Paramètres!$E$22+M705/Paramètres!$E$23+N705/Paramètres!$E$24+O705/Paramètres!$E$25+P705/Paramètres!$E$26+Q705/Paramètres!$E$27+R705/Paramètres!$E$28+S705/Paramètres!$E$29+T705/Paramètres!$E$30+U705/Paramètres!$E$31+V705/Paramètres!$E$32+W705/Paramètres!$E$33+X705/Paramètres!$E$34+Y705/Paramètres!$E$35,1)</f>
        <v>4.2</v>
      </c>
      <c r="AA705" s="22" t="s">
        <v>109</v>
      </c>
      <c r="AB705" s="22" t="s">
        <v>109</v>
      </c>
      <c r="AC705" s="15" t="str">
        <f aca="false">$E705</f>
        <v>cuir clouté</v>
      </c>
      <c r="AD705" s="16" t="n">
        <f aca="false" t="array" ref="AD705:AD705">IF($I705&gt;=$AI705,"Max",ROUND(Paramètres!$B$40*($I705+1)^Paramètres!$B$41*INDEX(Paramètres!$H$6:$H$12,$AF705),0))</f>
        <v>8</v>
      </c>
      <c r="AE705" s="23" t="n">
        <f aca="false">MATCH($B705&amp;"|"&amp;$C705,Profils!$A$5:$A$34,0)</f>
        <v>23</v>
      </c>
      <c r="AF705" s="23" t="n">
        <v>6</v>
      </c>
      <c r="AG705" s="24" t="n">
        <f aca="false" t="array" ref="AG705:AG705">INDEX(Paramètres!$C$6:$C$12,$AF705)</f>
        <v>2.4</v>
      </c>
      <c r="AH705" s="23" t="n">
        <f aca="false" t="array" ref="AH705:AH705">INDEX(Paramètres!$D$6:$D$12,$AF705)</f>
        <v>7</v>
      </c>
      <c r="AI705" s="23" t="n">
        <f aca="false" t="array" ref="AI705:AI705">INDEX(Matériaux!$C$16:$C$20,$D705)</f>
        <v>25</v>
      </c>
      <c r="AJ705" s="25" t="n">
        <f aca="false">Paramètres!$B$16+(1-Paramètres!$B$16)*(($J705-Paramètres!$B$14)/(Paramètres!$B$15-Paramètres!$B$14))^Paramètres!$B$17</f>
        <v>0.26769024555533</v>
      </c>
    </row>
    <row r="706" customFormat="false" ht="15.75" hidden="false" customHeight="true" outlineLevel="0" collapsed="false">
      <c r="A706" s="14" t="s">
        <v>822</v>
      </c>
      <c r="B706" s="15" t="s">
        <v>31</v>
      </c>
      <c r="C706" s="15" t="s">
        <v>177</v>
      </c>
      <c r="D706" s="16" t="n">
        <v>4</v>
      </c>
      <c r="E706" s="15" t="str">
        <f aca="false" t="array" ref="E706:E706">INDEX(Matériaux!$B$5:$F$12,MATCH(INDEX(Profils!$E$5:$E$34,$AE706),Matériaux!$A$5:$A$12,0),$D706)</f>
        <v>écailles</v>
      </c>
      <c r="F706" s="17" t="s">
        <v>108</v>
      </c>
      <c r="G706" s="10" t="str">
        <f aca="false" t="array" ref="G706:G706">INDEX(Profils!$D$5:$D$34,$AE706)&amp;" en "&amp;$E706</f>
        <v>Pantalon en écailles</v>
      </c>
      <c r="H706" s="16" t="n">
        <f aca="false" t="array" ref="H706:H706">INDEX(Matériaux!$B$16:$B$20,$D706)</f>
        <v>50</v>
      </c>
      <c r="I706" s="16" t="n">
        <f aca="false">IF(ISNUMBER($C$3),MIN(MAX(0,ROUND($C$3,0)),$AI706),$AI706)</f>
        <v>0</v>
      </c>
      <c r="J706" s="18" t="n">
        <f aca="false">$H706+$I706</f>
        <v>50</v>
      </c>
      <c r="K706" s="15" t="s">
        <v>109</v>
      </c>
      <c r="L706" s="19" t="n">
        <f aca="false" t="array" ref="L706:L706">IF(AND(INDEX(Profils!$F$5:$F$34,$AE706)&gt;0,INDEX(Profils!$U$5:$U$34,$AE706)&lt;=$AH706),ROUND(INDEX(Profils!$F$5:$F$34,$AE706)*Paramètres!$E$22*$AG706*$AJ706,Paramètres!$F$22),0)</f>
        <v>17</v>
      </c>
      <c r="M706" s="19" t="n">
        <f aca="false" t="array" ref="M706:M706">IF(AND(INDEX(Profils!$G$5:$G$34,$AE706)&gt;0,INDEX(Profils!$V$5:$V$34,$AE706)&lt;=$AH706),ROUND(INDEX(Profils!$G$5:$G$34,$AE706)*Paramètres!$E$23*$AG706*$AJ706,Paramètres!$F$23),0)</f>
        <v>0</v>
      </c>
      <c r="N706" s="19" t="n">
        <f aca="false" t="array" ref="N706:N706">IF(AND(INDEX(Profils!$H$5:$H$34,$AE706)&gt;0,INDEX(Profils!$W$5:$W$34,$AE706)&lt;=$AH706),ROUND(INDEX(Profils!$H$5:$H$34,$AE706)*Paramètres!$E$24*$AG706*$AJ706,Paramètres!$F$24),0)</f>
        <v>0</v>
      </c>
      <c r="O706" s="19" t="n">
        <f aca="false" t="array" ref="O706:O706">IF(AND(INDEX(Profils!$I$5:$I$34,$AE706)&gt;0,INDEX(Profils!$X$5:$X$34,$AE706)&lt;=$AH706),ROUND(INDEX(Profils!$I$5:$I$34,$AE706)*Paramètres!$E$25*$AG706*$AJ706,Paramètres!$F$25),0)</f>
        <v>0</v>
      </c>
      <c r="P706" s="19" t="n">
        <f aca="false" t="array" ref="P706:P706">IF(AND(INDEX(Profils!$J$5:$J$34,$AE706)&gt;0,INDEX(Profils!$Y$5:$Y$34,$AE706)&lt;=$AH706),ROUND(INDEX(Profils!$J$5:$J$34,$AE706)*Paramètres!$E$26*$AG706*$AJ706,Paramètres!$F$26),0)</f>
        <v>8</v>
      </c>
      <c r="Q706" s="19" t="n">
        <f aca="false" t="array" ref="Q706:Q706">IF(AND(INDEX(Profils!$K$5:$K$34,$AE706)&gt;0,INDEX(Profils!$Z$5:$Z$34,$AE706)&lt;=$AH706),ROUND(INDEX(Profils!$K$5:$K$34,$AE706)*Paramètres!$E$27*$AG706*$AJ706,Paramètres!$F$27),0)</f>
        <v>0</v>
      </c>
      <c r="R706" s="20" t="n">
        <f aca="false" t="array" ref="R706:R706">IF(AND(INDEX(Profils!$L$5:$L$34,$AE706)&gt;0,INDEX(Profils!$AA$5:$AA$34,$AE706)&lt;=$AH706),ROUND(INDEX(Profils!$L$5:$L$34,$AE706)*Paramètres!$E$28*$AG706*$AJ706,Paramètres!$F$28),0)</f>
        <v>0</v>
      </c>
      <c r="S706" s="20" t="n">
        <f aca="false" t="array" ref="S706:S706">IF(AND(INDEX(Profils!$M$5:$M$34,$AE706)&gt;0,INDEX(Profils!$AB$5:$AB$34,$AE706)&lt;=$AH706),ROUND(INDEX(Profils!$M$5:$M$34,$AE706)*Paramètres!$E$29*$AG706*$AJ706,Paramètres!$F$29),0)</f>
        <v>0</v>
      </c>
      <c r="T706" s="20" t="n">
        <f aca="false" t="array" ref="T706:T706">IF(AND(INDEX(Profils!$N$5:$N$34,$AE706)&gt;0,INDEX(Profils!$AC$5:$AC$34,$AE706)&lt;=$AH706),ROUND(INDEX(Profils!$N$5:$N$34,$AE706)*Paramètres!$E$30*$AG706*$AJ706,Paramètres!$F$30),0)</f>
        <v>0</v>
      </c>
      <c r="U706" s="19" t="n">
        <f aca="false" t="array" ref="U706:U706">IF(AND(INDEX(Profils!$O$5:$O$34,$AE706)&gt;0,INDEX(Profils!$AD$5:$AD$34,$AE706)&lt;=$AH706),ROUND(INDEX(Profils!$O$5:$O$34,$AE706)*Paramètres!$E$31*$AG706*$AJ706,Paramètres!$F$31),0)</f>
        <v>0</v>
      </c>
      <c r="V706" s="20" t="n">
        <f aca="false" t="array" ref="V706:V706">IF(AND(INDEX(Profils!$P$5:$P$34,$AE706)&gt;0,INDEX(Profils!$AE$5:$AE$34,$AE706)&lt;=$AH706),ROUND(INDEX(Profils!$P$5:$P$34,$AE706)*Paramètres!$E$32*$AG706*$AJ706,Paramètres!$F$32),0)</f>
        <v>0</v>
      </c>
      <c r="W706" s="20" t="n">
        <f aca="false" t="array" ref="W706:W706">IF(AND(INDEX(Profils!$Q$5:$Q$34,$AE706)&gt;0,INDEX(Profils!$AF$5:$AF$34,$AE706)&lt;=$AH706),ROUND(INDEX(Profils!$Q$5:$Q$34,$AE706)*Paramètres!$E$33*$AG706*$AJ706,Paramètres!$F$33),0)</f>
        <v>0</v>
      </c>
      <c r="X706" s="20" t="n">
        <f aca="false" t="array" ref="X706:X706">IF(AND(INDEX(Profils!$R$5:$R$34,$AE706)&gt;0,INDEX(Profils!$AG$5:$AG$34,$AE706)&lt;=$AH706),ROUND(INDEX(Profils!$R$5:$R$34,$AE706)*Paramètres!$E$34*$AG706*$AJ706,Paramètres!$F$34),0)</f>
        <v>0</v>
      </c>
      <c r="Y706" s="20" t="n">
        <f aca="false" t="array" ref="Y706:Y706">IF(AND(INDEX(Profils!$S$5:$S$34,$AE706)&gt;0,INDEX(Profils!$AH$5:$AH$34,$AE706)&lt;=$AH706),ROUND(INDEX(Profils!$S$5:$S$34,$AE706)*Paramètres!$E$35*$AG706*$AJ706,Paramètres!$F$35),0)</f>
        <v>0</v>
      </c>
      <c r="Z706" s="21" t="n">
        <f aca="false">ROUND(L706/Paramètres!$E$22+M706/Paramètres!$E$23+N706/Paramètres!$E$24+O706/Paramètres!$E$25+P706/Paramètres!$E$26+Q706/Paramètres!$E$27+R706/Paramètres!$E$28+S706/Paramètres!$E$29+T706/Paramètres!$E$30+U706/Paramètres!$E$31+V706/Paramètres!$E$32+W706/Paramètres!$E$33+X706/Paramètres!$E$34+Y706/Paramètres!$E$35,1)</f>
        <v>1.3</v>
      </c>
      <c r="AA706" s="22" t="s">
        <v>109</v>
      </c>
      <c r="AB706" s="22" t="s">
        <v>109</v>
      </c>
      <c r="AC706" s="15" t="str">
        <f aca="false">$E706</f>
        <v>écailles</v>
      </c>
      <c r="AD706" s="16" t="n">
        <f aca="false" t="array" ref="AD706:AD706">IF($I706&gt;=$AI706,"Max",ROUND(Paramètres!$B$40*($I706+1)^Paramètres!$B$41*INDEX(Paramètres!$H$6:$H$12,$AF706),0))</f>
        <v>3</v>
      </c>
      <c r="AE706" s="23" t="n">
        <f aca="false">MATCH($B706&amp;"|"&amp;$C706,Profils!$A$5:$A$34,0)</f>
        <v>23</v>
      </c>
      <c r="AF706" s="23" t="n">
        <v>1</v>
      </c>
      <c r="AG706" s="24" t="n">
        <f aca="false" t="array" ref="AG706:AG706">INDEX(Paramètres!$C$6:$C$12,$AF706)</f>
        <v>1</v>
      </c>
      <c r="AH706" s="23" t="n">
        <f aca="false" t="array" ref="AH706:AH706">INDEX(Paramètres!$D$6:$D$12,$AF706)</f>
        <v>2</v>
      </c>
      <c r="AI706" s="23" t="n">
        <f aca="false" t="array" ref="AI706:AI706">INDEX(Matériaux!$C$16:$C$20,$D706)</f>
        <v>25</v>
      </c>
      <c r="AJ706" s="25" t="n">
        <f aca="false">Paramètres!$B$16+(1-Paramètres!$B$16)*(($J706-Paramètres!$B$14)/(Paramètres!$B$15-Paramètres!$B$14))^Paramètres!$B$17</f>
        <v>0.458504333336152</v>
      </c>
    </row>
    <row r="707" customFormat="false" ht="15.75" hidden="false" customHeight="true" outlineLevel="0" collapsed="false">
      <c r="A707" s="14" t="s">
        <v>823</v>
      </c>
      <c r="B707" s="15" t="s">
        <v>31</v>
      </c>
      <c r="C707" s="15" t="s">
        <v>177</v>
      </c>
      <c r="D707" s="16" t="n">
        <v>4</v>
      </c>
      <c r="E707" s="15" t="str">
        <f aca="false" t="array" ref="E707:E707">INDEX(Matériaux!$B$5:$F$12,MATCH(INDEX(Profils!$E$5:$E$34,$AE707),Matériaux!$A$5:$A$12,0),$D707)</f>
        <v>écailles</v>
      </c>
      <c r="F707" s="26" t="s">
        <v>111</v>
      </c>
      <c r="G707" s="10" t="str">
        <f aca="false" t="array" ref="G707:G707">INDEX(Profils!$D$5:$D$34,$AE707)&amp;" en "&amp;$E707</f>
        <v>Pantalon en écailles</v>
      </c>
      <c r="H707" s="16" t="n">
        <f aca="false" t="array" ref="H707:H707">INDEX(Matériaux!$B$16:$B$20,$D707)</f>
        <v>50</v>
      </c>
      <c r="I707" s="16" t="n">
        <f aca="false">IF(ISNUMBER($C$3),MIN(MAX(0,ROUND($C$3,0)),$AI707),$AI707)</f>
        <v>0</v>
      </c>
      <c r="J707" s="18" t="n">
        <f aca="false">$H707+$I707</f>
        <v>50</v>
      </c>
      <c r="K707" s="15" t="s">
        <v>109</v>
      </c>
      <c r="L707" s="19" t="n">
        <f aca="false" t="array" ref="L707:L707">IF(AND(INDEX(Profils!$F$5:$F$34,$AE707)&gt;0,INDEX(Profils!$U$5:$U$34,$AE707)&lt;=$AH707),ROUND(INDEX(Profils!$F$5:$F$34,$AE707)*Paramètres!$E$22*$AG707*$AJ707,Paramètres!$F$22),0)</f>
        <v>21</v>
      </c>
      <c r="M707" s="19" t="n">
        <f aca="false" t="array" ref="M707:M707">IF(AND(INDEX(Profils!$G$5:$G$34,$AE707)&gt;0,INDEX(Profils!$V$5:$V$34,$AE707)&lt;=$AH707),ROUND(INDEX(Profils!$G$5:$G$34,$AE707)*Paramètres!$E$23*$AG707*$AJ707,Paramètres!$F$23),0)</f>
        <v>0</v>
      </c>
      <c r="N707" s="19" t="n">
        <f aca="false" t="array" ref="N707:N707">IF(AND(INDEX(Profils!$H$5:$H$34,$AE707)&gt;0,INDEX(Profils!$W$5:$W$34,$AE707)&lt;=$AH707),ROUND(INDEX(Profils!$H$5:$H$34,$AE707)*Paramètres!$E$24*$AG707*$AJ707,Paramètres!$F$24),0)</f>
        <v>0</v>
      </c>
      <c r="O707" s="19" t="n">
        <f aca="false" t="array" ref="O707:O707">IF(AND(INDEX(Profils!$I$5:$I$34,$AE707)&gt;0,INDEX(Profils!$X$5:$X$34,$AE707)&lt;=$AH707),ROUND(INDEX(Profils!$I$5:$I$34,$AE707)*Paramètres!$E$25*$AG707*$AJ707,Paramètres!$F$25),0)</f>
        <v>0</v>
      </c>
      <c r="P707" s="19" t="n">
        <f aca="false" t="array" ref="P707:P707">IF(AND(INDEX(Profils!$J$5:$J$34,$AE707)&gt;0,INDEX(Profils!$Y$5:$Y$34,$AE707)&lt;=$AH707),ROUND(INDEX(Profils!$J$5:$J$34,$AE707)*Paramètres!$E$26*$AG707*$AJ707,Paramètres!$F$26),0)</f>
        <v>9</v>
      </c>
      <c r="Q707" s="19" t="n">
        <f aca="false" t="array" ref="Q707:Q707">IF(AND(INDEX(Profils!$K$5:$K$34,$AE707)&gt;0,INDEX(Profils!$Z$5:$Z$34,$AE707)&lt;=$AH707),ROUND(INDEX(Profils!$K$5:$K$34,$AE707)*Paramètres!$E$27*$AG707*$AJ707,Paramètres!$F$27),0)</f>
        <v>0</v>
      </c>
      <c r="R707" s="20" t="n">
        <f aca="false" t="array" ref="R707:R707">IF(AND(INDEX(Profils!$L$5:$L$34,$AE707)&gt;0,INDEX(Profils!$AA$5:$AA$34,$AE707)&lt;=$AH707),ROUND(INDEX(Profils!$L$5:$L$34,$AE707)*Paramètres!$E$28*$AG707*$AJ707,Paramètres!$F$28),0)</f>
        <v>0</v>
      </c>
      <c r="S707" s="20" t="n">
        <f aca="false" t="array" ref="S707:S707">IF(AND(INDEX(Profils!$M$5:$M$34,$AE707)&gt;0,INDEX(Profils!$AB$5:$AB$34,$AE707)&lt;=$AH707),ROUND(INDEX(Profils!$M$5:$M$34,$AE707)*Paramètres!$E$29*$AG707*$AJ707,Paramètres!$F$29),0)</f>
        <v>0</v>
      </c>
      <c r="T707" s="20" t="n">
        <f aca="false" t="array" ref="T707:T707">IF(AND(INDEX(Profils!$N$5:$N$34,$AE707)&gt;0,INDEX(Profils!$AC$5:$AC$34,$AE707)&lt;=$AH707),ROUND(INDEX(Profils!$N$5:$N$34,$AE707)*Paramètres!$E$30*$AG707*$AJ707,Paramètres!$F$30),0)</f>
        <v>0</v>
      </c>
      <c r="U707" s="19" t="n">
        <f aca="false" t="array" ref="U707:U707">IF(AND(INDEX(Profils!$O$5:$O$34,$AE707)&gt;0,INDEX(Profils!$AD$5:$AD$34,$AE707)&lt;=$AH707),ROUND(INDEX(Profils!$O$5:$O$34,$AE707)*Paramètres!$E$31*$AG707*$AJ707,Paramètres!$F$31),0)</f>
        <v>11</v>
      </c>
      <c r="V707" s="20" t="n">
        <f aca="false" t="array" ref="V707:V707">IF(AND(INDEX(Profils!$P$5:$P$34,$AE707)&gt;0,INDEX(Profils!$AE$5:$AE$34,$AE707)&lt;=$AH707),ROUND(INDEX(Profils!$P$5:$P$34,$AE707)*Paramètres!$E$32*$AG707*$AJ707,Paramètres!$F$32),0)</f>
        <v>0</v>
      </c>
      <c r="W707" s="20" t="n">
        <f aca="false" t="array" ref="W707:W707">IF(AND(INDEX(Profils!$Q$5:$Q$34,$AE707)&gt;0,INDEX(Profils!$AF$5:$AF$34,$AE707)&lt;=$AH707),ROUND(INDEX(Profils!$Q$5:$Q$34,$AE707)*Paramètres!$E$33*$AG707*$AJ707,Paramètres!$F$33),0)</f>
        <v>0</v>
      </c>
      <c r="X707" s="20" t="n">
        <f aca="false" t="array" ref="X707:X707">IF(AND(INDEX(Profils!$R$5:$R$34,$AE707)&gt;0,INDEX(Profils!$AG$5:$AG$34,$AE707)&lt;=$AH707),ROUND(INDEX(Profils!$R$5:$R$34,$AE707)*Paramètres!$E$34*$AG707*$AJ707,Paramètres!$F$34),0)</f>
        <v>0</v>
      </c>
      <c r="Y707" s="20" t="n">
        <f aca="false" t="array" ref="Y707:Y707">IF(AND(INDEX(Profils!$S$5:$S$34,$AE707)&gt;0,INDEX(Profils!$AH$5:$AH$34,$AE707)&lt;=$AH707),ROUND(INDEX(Profils!$S$5:$S$34,$AE707)*Paramètres!$E$35*$AG707*$AJ707,Paramètres!$F$35),0)</f>
        <v>0</v>
      </c>
      <c r="Z707" s="21" t="n">
        <f aca="false">ROUND(L707/Paramètres!$E$22+M707/Paramètres!$E$23+N707/Paramètres!$E$24+O707/Paramètres!$E$25+P707/Paramètres!$E$26+Q707/Paramètres!$E$27+R707/Paramètres!$E$28+S707/Paramètres!$E$29+T707/Paramètres!$E$30+U707/Paramètres!$E$31+V707/Paramètres!$E$32+W707/Paramètres!$E$33+X707/Paramètres!$E$34+Y707/Paramètres!$E$35,1)</f>
        <v>2.1</v>
      </c>
      <c r="AA707" s="22" t="s">
        <v>109</v>
      </c>
      <c r="AB707" s="22" t="s">
        <v>109</v>
      </c>
      <c r="AC707" s="15" t="str">
        <f aca="false">$E707</f>
        <v>écailles</v>
      </c>
      <c r="AD707" s="16" t="n">
        <f aca="false" t="array" ref="AD707:AD707">IF($I707&gt;=$AI707,"Max",ROUND(Paramètres!$B$40*($I707+1)^Paramètres!$B$41*INDEX(Paramètres!$H$6:$H$12,$AF707),0))</f>
        <v>4</v>
      </c>
      <c r="AE707" s="23" t="n">
        <f aca="false">MATCH($B707&amp;"|"&amp;$C707,Profils!$A$5:$A$34,0)</f>
        <v>23</v>
      </c>
      <c r="AF707" s="23" t="n">
        <v>2</v>
      </c>
      <c r="AG707" s="24" t="n">
        <f aca="false" t="array" ref="AG707:AG707">INDEX(Paramètres!$C$6:$C$12,$AF707)</f>
        <v>1.2</v>
      </c>
      <c r="AH707" s="23" t="n">
        <f aca="false" t="array" ref="AH707:AH707">INDEX(Paramètres!$D$6:$D$12,$AF707)</f>
        <v>3</v>
      </c>
      <c r="AI707" s="23" t="n">
        <f aca="false" t="array" ref="AI707:AI707">INDEX(Matériaux!$C$16:$C$20,$D707)</f>
        <v>25</v>
      </c>
      <c r="AJ707" s="25" t="n">
        <f aca="false">Paramètres!$B$16+(1-Paramètres!$B$16)*(($J707-Paramètres!$B$14)/(Paramètres!$B$15-Paramètres!$B$14))^Paramètres!$B$17</f>
        <v>0.458504333336152</v>
      </c>
    </row>
    <row r="708" customFormat="false" ht="15.75" hidden="false" customHeight="true" outlineLevel="0" collapsed="false">
      <c r="A708" s="14" t="s">
        <v>824</v>
      </c>
      <c r="B708" s="15" t="s">
        <v>31</v>
      </c>
      <c r="C708" s="15" t="s">
        <v>177</v>
      </c>
      <c r="D708" s="16" t="n">
        <v>4</v>
      </c>
      <c r="E708" s="15" t="str">
        <f aca="false" t="array" ref="E708:E708">INDEX(Matériaux!$B$5:$F$12,MATCH(INDEX(Profils!$E$5:$E$34,$AE708),Matériaux!$A$5:$A$12,0),$D708)</f>
        <v>écailles</v>
      </c>
      <c r="F708" s="27" t="s">
        <v>113</v>
      </c>
      <c r="G708" s="10" t="str">
        <f aca="false" t="array" ref="G708:G708">INDEX(Profils!$D$5:$D$34,$AE708)&amp;" en "&amp;$E708</f>
        <v>Pantalon en écailles</v>
      </c>
      <c r="H708" s="16" t="n">
        <f aca="false" t="array" ref="H708:H708">INDEX(Matériaux!$B$16:$B$20,$D708)</f>
        <v>50</v>
      </c>
      <c r="I708" s="16" t="n">
        <f aca="false">IF(ISNUMBER($C$3),MIN(MAX(0,ROUND($C$3,0)),$AI708),$AI708)</f>
        <v>0</v>
      </c>
      <c r="J708" s="18" t="n">
        <f aca="false">$H708+$I708</f>
        <v>50</v>
      </c>
      <c r="K708" s="15" t="s">
        <v>109</v>
      </c>
      <c r="L708" s="19" t="n">
        <f aca="false" t="array" ref="L708:L708">IF(AND(INDEX(Profils!$F$5:$F$34,$AE708)&gt;0,INDEX(Profils!$U$5:$U$34,$AE708)&lt;=$AH708),ROUND(INDEX(Profils!$F$5:$F$34,$AE708)*Paramètres!$E$22*$AG708*$AJ708,Paramètres!$F$22),0)</f>
        <v>25</v>
      </c>
      <c r="M708" s="19" t="n">
        <f aca="false" t="array" ref="M708:M708">IF(AND(INDEX(Profils!$G$5:$G$34,$AE708)&gt;0,INDEX(Profils!$V$5:$V$34,$AE708)&lt;=$AH708),ROUND(INDEX(Profils!$G$5:$G$34,$AE708)*Paramètres!$E$23*$AG708*$AJ708,Paramètres!$F$23),0)</f>
        <v>0</v>
      </c>
      <c r="N708" s="19" t="n">
        <f aca="false" t="array" ref="N708:N708">IF(AND(INDEX(Profils!$H$5:$H$34,$AE708)&gt;0,INDEX(Profils!$W$5:$W$34,$AE708)&lt;=$AH708),ROUND(INDEX(Profils!$H$5:$H$34,$AE708)*Paramètres!$E$24*$AG708*$AJ708,Paramètres!$F$24),0)</f>
        <v>8</v>
      </c>
      <c r="O708" s="19" t="n">
        <f aca="false" t="array" ref="O708:O708">IF(AND(INDEX(Profils!$I$5:$I$34,$AE708)&gt;0,INDEX(Profils!$X$5:$X$34,$AE708)&lt;=$AH708),ROUND(INDEX(Profils!$I$5:$I$34,$AE708)*Paramètres!$E$25*$AG708*$AJ708,Paramètres!$F$25),0)</f>
        <v>0</v>
      </c>
      <c r="P708" s="19" t="n">
        <f aca="false" t="array" ref="P708:P708">IF(AND(INDEX(Profils!$J$5:$J$34,$AE708)&gt;0,INDEX(Profils!$Y$5:$Y$34,$AE708)&lt;=$AH708),ROUND(INDEX(Profils!$J$5:$J$34,$AE708)*Paramètres!$E$26*$AG708*$AJ708,Paramètres!$F$26),0)</f>
        <v>11</v>
      </c>
      <c r="Q708" s="19" t="n">
        <f aca="false" t="array" ref="Q708:Q708">IF(AND(INDEX(Profils!$K$5:$K$34,$AE708)&gt;0,INDEX(Profils!$Z$5:$Z$34,$AE708)&lt;=$AH708),ROUND(INDEX(Profils!$K$5:$K$34,$AE708)*Paramètres!$E$27*$AG708*$AJ708,Paramètres!$F$27),0)</f>
        <v>0</v>
      </c>
      <c r="R708" s="20" t="n">
        <f aca="false" t="array" ref="R708:R708">IF(AND(INDEX(Profils!$L$5:$L$34,$AE708)&gt;0,INDEX(Profils!$AA$5:$AA$34,$AE708)&lt;=$AH708),ROUND(INDEX(Profils!$L$5:$L$34,$AE708)*Paramètres!$E$28*$AG708*$AJ708,Paramètres!$F$28),0)</f>
        <v>0</v>
      </c>
      <c r="S708" s="20" t="n">
        <f aca="false" t="array" ref="S708:S708">IF(AND(INDEX(Profils!$M$5:$M$34,$AE708)&gt;0,INDEX(Profils!$AB$5:$AB$34,$AE708)&lt;=$AH708),ROUND(INDEX(Profils!$M$5:$M$34,$AE708)*Paramètres!$E$29*$AG708*$AJ708,Paramètres!$F$29),0)</f>
        <v>0</v>
      </c>
      <c r="T708" s="20" t="n">
        <f aca="false" t="array" ref="T708:T708">IF(AND(INDEX(Profils!$N$5:$N$34,$AE708)&gt;0,INDEX(Profils!$AC$5:$AC$34,$AE708)&lt;=$AH708),ROUND(INDEX(Profils!$N$5:$N$34,$AE708)*Paramètres!$E$30*$AG708*$AJ708,Paramètres!$F$30),0)</f>
        <v>0</v>
      </c>
      <c r="U708" s="19" t="n">
        <f aca="false" t="array" ref="U708:U708">IF(AND(INDEX(Profils!$O$5:$O$34,$AE708)&gt;0,INDEX(Profils!$AD$5:$AD$34,$AE708)&lt;=$AH708),ROUND(INDEX(Profils!$O$5:$O$34,$AE708)*Paramètres!$E$31*$AG708*$AJ708,Paramètres!$F$31),0)</f>
        <v>13</v>
      </c>
      <c r="V708" s="20" t="n">
        <f aca="false" t="array" ref="V708:V708">IF(AND(INDEX(Profils!$P$5:$P$34,$AE708)&gt;0,INDEX(Profils!$AE$5:$AE$34,$AE708)&lt;=$AH708),ROUND(INDEX(Profils!$P$5:$P$34,$AE708)*Paramètres!$E$32*$AG708*$AJ708,Paramètres!$F$32),0)</f>
        <v>0</v>
      </c>
      <c r="W708" s="20" t="n">
        <f aca="false" t="array" ref="W708:W708">IF(AND(INDEX(Profils!$Q$5:$Q$34,$AE708)&gt;0,INDEX(Profils!$AF$5:$AF$34,$AE708)&lt;=$AH708),ROUND(INDEX(Profils!$Q$5:$Q$34,$AE708)*Paramètres!$E$33*$AG708*$AJ708,Paramètres!$F$33),0)</f>
        <v>0</v>
      </c>
      <c r="X708" s="20" t="n">
        <f aca="false" t="array" ref="X708:X708">IF(AND(INDEX(Profils!$R$5:$R$34,$AE708)&gt;0,INDEX(Profils!$AG$5:$AG$34,$AE708)&lt;=$AH708),ROUND(INDEX(Profils!$R$5:$R$34,$AE708)*Paramètres!$E$34*$AG708*$AJ708,Paramètres!$F$34),0)</f>
        <v>0</v>
      </c>
      <c r="Y708" s="20" t="n">
        <f aca="false" t="array" ref="Y708:Y708">IF(AND(INDEX(Profils!$S$5:$S$34,$AE708)&gt;0,INDEX(Profils!$AH$5:$AH$34,$AE708)&lt;=$AH708),ROUND(INDEX(Profils!$S$5:$S$34,$AE708)*Paramètres!$E$35*$AG708*$AJ708,Paramètres!$F$35),0)</f>
        <v>0</v>
      </c>
      <c r="Z708" s="21" t="n">
        <f aca="false">ROUND(L708/Paramètres!$E$22+M708/Paramètres!$E$23+N708/Paramètres!$E$24+O708/Paramètres!$E$25+P708/Paramètres!$E$26+Q708/Paramètres!$E$27+R708/Paramètres!$E$28+S708/Paramètres!$E$29+T708/Paramètres!$E$30+U708/Paramètres!$E$31+V708/Paramètres!$E$32+W708/Paramètres!$E$33+X708/Paramètres!$E$34+Y708/Paramètres!$E$35,1)</f>
        <v>3.1</v>
      </c>
      <c r="AA708" s="22" t="s">
        <v>109</v>
      </c>
      <c r="AB708" s="22" t="s">
        <v>109</v>
      </c>
      <c r="AC708" s="15" t="str">
        <f aca="false">$E708</f>
        <v>écailles</v>
      </c>
      <c r="AD708" s="16" t="n">
        <f aca="false" t="array" ref="AD708:AD708">IF($I708&gt;=$AI708,"Max",ROUND(Paramètres!$B$40*($I708+1)^Paramètres!$B$41*INDEX(Paramètres!$H$6:$H$12,$AF708),0))</f>
        <v>4</v>
      </c>
      <c r="AE708" s="23" t="n">
        <f aca="false">MATCH($B708&amp;"|"&amp;$C708,Profils!$A$5:$A$34,0)</f>
        <v>23</v>
      </c>
      <c r="AF708" s="23" t="n">
        <v>3</v>
      </c>
      <c r="AG708" s="24" t="n">
        <f aca="false" t="array" ref="AG708:AG708">INDEX(Paramètres!$C$6:$C$12,$AF708)</f>
        <v>1.45</v>
      </c>
      <c r="AH708" s="23" t="n">
        <f aca="false" t="array" ref="AH708:AH708">INDEX(Paramètres!$D$6:$D$12,$AF708)</f>
        <v>4</v>
      </c>
      <c r="AI708" s="23" t="n">
        <f aca="false" t="array" ref="AI708:AI708">INDEX(Matériaux!$C$16:$C$20,$D708)</f>
        <v>25</v>
      </c>
      <c r="AJ708" s="25" t="n">
        <f aca="false">Paramètres!$B$16+(1-Paramètres!$B$16)*(($J708-Paramètres!$B$14)/(Paramètres!$B$15-Paramètres!$B$14))^Paramètres!$B$17</f>
        <v>0.458504333336152</v>
      </c>
    </row>
    <row r="709" customFormat="false" ht="15.75" hidden="false" customHeight="true" outlineLevel="0" collapsed="false">
      <c r="A709" s="14" t="s">
        <v>825</v>
      </c>
      <c r="B709" s="15" t="s">
        <v>31</v>
      </c>
      <c r="C709" s="15" t="s">
        <v>177</v>
      </c>
      <c r="D709" s="16" t="n">
        <v>4</v>
      </c>
      <c r="E709" s="15" t="str">
        <f aca="false" t="array" ref="E709:E709">INDEX(Matériaux!$B$5:$F$12,MATCH(INDEX(Profils!$E$5:$E$34,$AE709),Matériaux!$A$5:$A$12,0),$D709)</f>
        <v>écailles</v>
      </c>
      <c r="F709" s="28" t="s">
        <v>115</v>
      </c>
      <c r="G709" s="10" t="str">
        <f aca="false" t="array" ref="G709:G709">INDEX(Profils!$D$5:$D$34,$AE709)&amp;" en "&amp;$E709</f>
        <v>Pantalon en écailles</v>
      </c>
      <c r="H709" s="16" t="n">
        <f aca="false" t="array" ref="H709:H709">INDEX(Matériaux!$B$16:$B$20,$D709)</f>
        <v>50</v>
      </c>
      <c r="I709" s="16" t="n">
        <f aca="false">IF(ISNUMBER($C$3),MIN(MAX(0,ROUND($C$3,0)),$AI709),$AI709)</f>
        <v>0</v>
      </c>
      <c r="J709" s="18" t="n">
        <f aca="false">$H709+$I709</f>
        <v>50</v>
      </c>
      <c r="K709" s="15" t="s">
        <v>109</v>
      </c>
      <c r="L709" s="19" t="n">
        <f aca="false" t="array" ref="L709:L709">IF(AND(INDEX(Profils!$F$5:$F$34,$AE709)&gt;0,INDEX(Profils!$U$5:$U$34,$AE709)&lt;=$AH709),ROUND(INDEX(Profils!$F$5:$F$34,$AE709)*Paramètres!$E$22*$AG709*$AJ709,Paramètres!$F$22),0)</f>
        <v>30</v>
      </c>
      <c r="M709" s="19" t="n">
        <f aca="false" t="array" ref="M709:M709">IF(AND(INDEX(Profils!$G$5:$G$34,$AE709)&gt;0,INDEX(Profils!$V$5:$V$34,$AE709)&lt;=$AH709),ROUND(INDEX(Profils!$G$5:$G$34,$AE709)*Paramètres!$E$23*$AG709*$AJ709,Paramètres!$F$23),0)</f>
        <v>0</v>
      </c>
      <c r="N709" s="19" t="n">
        <f aca="false" t="array" ref="N709:N709">IF(AND(INDEX(Profils!$H$5:$H$34,$AE709)&gt;0,INDEX(Profils!$W$5:$W$34,$AE709)&lt;=$AH709),ROUND(INDEX(Profils!$H$5:$H$34,$AE709)*Paramètres!$E$24*$AG709*$AJ709,Paramètres!$F$24),0)</f>
        <v>10</v>
      </c>
      <c r="O709" s="19" t="n">
        <f aca="false" t="array" ref="O709:O709">IF(AND(INDEX(Profils!$I$5:$I$34,$AE709)&gt;0,INDEX(Profils!$X$5:$X$34,$AE709)&lt;=$AH709),ROUND(INDEX(Profils!$I$5:$I$34,$AE709)*Paramètres!$E$25*$AG709*$AJ709,Paramètres!$F$25),0)</f>
        <v>0</v>
      </c>
      <c r="P709" s="19" t="n">
        <f aca="false" t="array" ref="P709:P709">IF(AND(INDEX(Profils!$J$5:$J$34,$AE709)&gt;0,INDEX(Profils!$Y$5:$Y$34,$AE709)&lt;=$AH709),ROUND(INDEX(Profils!$J$5:$J$34,$AE709)*Paramètres!$E$26*$AG709*$AJ709,Paramètres!$F$26),0)</f>
        <v>13</v>
      </c>
      <c r="Q709" s="19" t="n">
        <f aca="false" t="array" ref="Q709:Q709">IF(AND(INDEX(Profils!$K$5:$K$34,$AE709)&gt;0,INDEX(Profils!$Z$5:$Z$34,$AE709)&lt;=$AH709),ROUND(INDEX(Profils!$K$5:$K$34,$AE709)*Paramètres!$E$27*$AG709*$AJ709,Paramètres!$F$27),0)</f>
        <v>0</v>
      </c>
      <c r="R709" s="20" t="n">
        <f aca="false" t="array" ref="R709:R709">IF(AND(INDEX(Profils!$L$5:$L$34,$AE709)&gt;0,INDEX(Profils!$AA$5:$AA$34,$AE709)&lt;=$AH709),ROUND(INDEX(Profils!$L$5:$L$34,$AE709)*Paramètres!$E$28*$AG709*$AJ709,Paramètres!$F$28),0)</f>
        <v>0.008</v>
      </c>
      <c r="S709" s="20" t="n">
        <f aca="false" t="array" ref="S709:S709">IF(AND(INDEX(Profils!$M$5:$M$34,$AE709)&gt;0,INDEX(Profils!$AB$5:$AB$34,$AE709)&lt;=$AH709),ROUND(INDEX(Profils!$M$5:$M$34,$AE709)*Paramètres!$E$29*$AG709*$AJ709,Paramètres!$F$29),0)</f>
        <v>0</v>
      </c>
      <c r="T709" s="20" t="n">
        <f aca="false" t="array" ref="T709:T709">IF(AND(INDEX(Profils!$N$5:$N$34,$AE709)&gt;0,INDEX(Profils!$AC$5:$AC$34,$AE709)&lt;=$AH709),ROUND(INDEX(Profils!$N$5:$N$34,$AE709)*Paramètres!$E$30*$AG709*$AJ709,Paramètres!$F$30),0)</f>
        <v>0</v>
      </c>
      <c r="U709" s="19" t="n">
        <f aca="false" t="array" ref="U709:U709">IF(AND(INDEX(Profils!$O$5:$O$34,$AE709)&gt;0,INDEX(Profils!$AD$5:$AD$34,$AE709)&lt;=$AH709),ROUND(INDEX(Profils!$O$5:$O$34,$AE709)*Paramètres!$E$31*$AG709*$AJ709,Paramètres!$F$31),0)</f>
        <v>16</v>
      </c>
      <c r="V709" s="20" t="n">
        <f aca="false" t="array" ref="V709:V709">IF(AND(INDEX(Profils!$P$5:$P$34,$AE709)&gt;0,INDEX(Profils!$AE$5:$AE$34,$AE709)&lt;=$AH709),ROUND(INDEX(Profils!$P$5:$P$34,$AE709)*Paramètres!$E$32*$AG709*$AJ709,Paramètres!$F$32),0)</f>
        <v>0</v>
      </c>
      <c r="W709" s="20" t="n">
        <f aca="false" t="array" ref="W709:W709">IF(AND(INDEX(Profils!$Q$5:$Q$34,$AE709)&gt;0,INDEX(Profils!$AF$5:$AF$34,$AE709)&lt;=$AH709),ROUND(INDEX(Profils!$Q$5:$Q$34,$AE709)*Paramètres!$E$33*$AG709*$AJ709,Paramètres!$F$33),0)</f>
        <v>0</v>
      </c>
      <c r="X709" s="20" t="n">
        <f aca="false" t="array" ref="X709:X709">IF(AND(INDEX(Profils!$R$5:$R$34,$AE709)&gt;0,INDEX(Profils!$AG$5:$AG$34,$AE709)&lt;=$AH709),ROUND(INDEX(Profils!$R$5:$R$34,$AE709)*Paramètres!$E$34*$AG709*$AJ709,Paramètres!$F$34),0)</f>
        <v>0</v>
      </c>
      <c r="Y709" s="20" t="n">
        <f aca="false" t="array" ref="Y709:Y709">IF(AND(INDEX(Profils!$S$5:$S$34,$AE709)&gt;0,INDEX(Profils!$AH$5:$AH$34,$AE709)&lt;=$AH709),ROUND(INDEX(Profils!$S$5:$S$34,$AE709)*Paramètres!$E$35*$AG709*$AJ709,Paramètres!$F$35),0)</f>
        <v>0</v>
      </c>
      <c r="Z709" s="21" t="n">
        <f aca="false">ROUND(L709/Paramètres!$E$22+M709/Paramètres!$E$23+N709/Paramètres!$E$24+O709/Paramètres!$E$25+P709/Paramètres!$E$26+Q709/Paramètres!$E$27+R709/Paramètres!$E$28+S709/Paramètres!$E$29+T709/Paramètres!$E$30+U709/Paramètres!$E$31+V709/Paramètres!$E$32+W709/Paramètres!$E$33+X709/Paramètres!$E$34+Y709/Paramètres!$E$35,1)</f>
        <v>4.3</v>
      </c>
      <c r="AA709" s="22" t="s">
        <v>109</v>
      </c>
      <c r="AB709" s="22" t="s">
        <v>109</v>
      </c>
      <c r="AC709" s="15" t="str">
        <f aca="false">$E709</f>
        <v>écailles</v>
      </c>
      <c r="AD709" s="16" t="n">
        <f aca="false" t="array" ref="AD709:AD709">IF($I709&gt;=$AI709,"Max",ROUND(Paramètres!$B$40*($I709+1)^Paramètres!$B$41*INDEX(Paramètres!$H$6:$H$12,$AF709),0))</f>
        <v>5</v>
      </c>
      <c r="AE709" s="23" t="n">
        <f aca="false">MATCH($B709&amp;"|"&amp;$C709,Profils!$A$5:$A$34,0)</f>
        <v>23</v>
      </c>
      <c r="AF709" s="23" t="n">
        <v>4</v>
      </c>
      <c r="AG709" s="24" t="n">
        <f aca="false" t="array" ref="AG709:AG709">INDEX(Paramètres!$C$6:$C$12,$AF709)</f>
        <v>1.75</v>
      </c>
      <c r="AH709" s="23" t="n">
        <f aca="false" t="array" ref="AH709:AH709">INDEX(Paramètres!$D$6:$D$12,$AF709)</f>
        <v>5</v>
      </c>
      <c r="AI709" s="23" t="n">
        <f aca="false" t="array" ref="AI709:AI709">INDEX(Matériaux!$C$16:$C$20,$D709)</f>
        <v>25</v>
      </c>
      <c r="AJ709" s="25" t="n">
        <f aca="false">Paramètres!$B$16+(1-Paramètres!$B$16)*(($J709-Paramètres!$B$14)/(Paramètres!$B$15-Paramètres!$B$14))^Paramètres!$B$17</f>
        <v>0.458504333336152</v>
      </c>
    </row>
    <row r="710" customFormat="false" ht="15.75" hidden="false" customHeight="true" outlineLevel="0" collapsed="false">
      <c r="A710" s="14" t="s">
        <v>826</v>
      </c>
      <c r="B710" s="15" t="s">
        <v>31</v>
      </c>
      <c r="C710" s="15" t="s">
        <v>177</v>
      </c>
      <c r="D710" s="16" t="n">
        <v>4</v>
      </c>
      <c r="E710" s="15" t="str">
        <f aca="false" t="array" ref="E710:E710">INDEX(Matériaux!$B$5:$F$12,MATCH(INDEX(Profils!$E$5:$E$34,$AE710),Matériaux!$A$5:$A$12,0),$D710)</f>
        <v>écailles</v>
      </c>
      <c r="F710" s="29" t="s">
        <v>117</v>
      </c>
      <c r="G710" s="10" t="str">
        <f aca="false" t="array" ref="G710:G710">INDEX(Profils!$D$5:$D$34,$AE710)&amp;" en "&amp;$E710</f>
        <v>Pantalon en écailles</v>
      </c>
      <c r="H710" s="16" t="n">
        <f aca="false" t="array" ref="H710:H710">INDEX(Matériaux!$B$16:$B$20,$D710)</f>
        <v>50</v>
      </c>
      <c r="I710" s="16" t="n">
        <f aca="false">IF(ISNUMBER($C$3),MIN(MAX(0,ROUND($C$3,0)),$AI710),$AI710)</f>
        <v>0</v>
      </c>
      <c r="J710" s="18" t="n">
        <f aca="false">$H710+$I710</f>
        <v>50</v>
      </c>
      <c r="K710" s="15" t="s">
        <v>109</v>
      </c>
      <c r="L710" s="19" t="n">
        <f aca="false" t="array" ref="L710:L710">IF(AND(INDEX(Profils!$F$5:$F$34,$AE710)&gt;0,INDEX(Profils!$U$5:$U$34,$AE710)&lt;=$AH710),ROUND(INDEX(Profils!$F$5:$F$34,$AE710)*Paramètres!$E$22*$AG710*$AJ710,Paramètres!$F$22),0)</f>
        <v>36</v>
      </c>
      <c r="M710" s="19" t="n">
        <f aca="false" t="array" ref="M710:M710">IF(AND(INDEX(Profils!$G$5:$G$34,$AE710)&gt;0,INDEX(Profils!$V$5:$V$34,$AE710)&lt;=$AH710),ROUND(INDEX(Profils!$G$5:$G$34,$AE710)*Paramètres!$E$23*$AG710*$AJ710,Paramètres!$F$23),0)</f>
        <v>7</v>
      </c>
      <c r="N710" s="19" t="n">
        <f aca="false" t="array" ref="N710:N710">IF(AND(INDEX(Profils!$H$5:$H$34,$AE710)&gt;0,INDEX(Profils!$W$5:$W$34,$AE710)&lt;=$AH710),ROUND(INDEX(Profils!$H$5:$H$34,$AE710)*Paramètres!$E$24*$AG710*$AJ710,Paramètres!$F$24),0)</f>
        <v>12</v>
      </c>
      <c r="O710" s="19" t="n">
        <f aca="false" t="array" ref="O710:O710">IF(AND(INDEX(Profils!$I$5:$I$34,$AE710)&gt;0,INDEX(Profils!$X$5:$X$34,$AE710)&lt;=$AH710),ROUND(INDEX(Profils!$I$5:$I$34,$AE710)*Paramètres!$E$25*$AG710*$AJ710,Paramètres!$F$25),0)</f>
        <v>0</v>
      </c>
      <c r="P710" s="19" t="n">
        <f aca="false" t="array" ref="P710:P710">IF(AND(INDEX(Profils!$J$5:$J$34,$AE710)&gt;0,INDEX(Profils!$Y$5:$Y$34,$AE710)&lt;=$AH710),ROUND(INDEX(Profils!$J$5:$J$34,$AE710)*Paramètres!$E$26*$AG710*$AJ710,Paramètres!$F$26),0)</f>
        <v>16</v>
      </c>
      <c r="Q710" s="19" t="n">
        <f aca="false" t="array" ref="Q710:Q710">IF(AND(INDEX(Profils!$K$5:$K$34,$AE710)&gt;0,INDEX(Profils!$Z$5:$Z$34,$AE710)&lt;=$AH710),ROUND(INDEX(Profils!$K$5:$K$34,$AE710)*Paramètres!$E$27*$AG710*$AJ710,Paramètres!$F$27),0)</f>
        <v>0</v>
      </c>
      <c r="R710" s="20" t="n">
        <f aca="false" t="array" ref="R710:R710">IF(AND(INDEX(Profils!$L$5:$L$34,$AE710)&gt;0,INDEX(Profils!$AA$5:$AA$34,$AE710)&lt;=$AH710),ROUND(INDEX(Profils!$L$5:$L$34,$AE710)*Paramètres!$E$28*$AG710*$AJ710,Paramètres!$F$28),0)</f>
        <v>0.01</v>
      </c>
      <c r="S710" s="20" t="n">
        <f aca="false" t="array" ref="S710:S710">IF(AND(INDEX(Profils!$M$5:$M$34,$AE710)&gt;0,INDEX(Profils!$AB$5:$AB$34,$AE710)&lt;=$AH710),ROUND(INDEX(Profils!$M$5:$M$34,$AE710)*Paramètres!$E$29*$AG710*$AJ710,Paramètres!$F$29),0)</f>
        <v>0</v>
      </c>
      <c r="T710" s="20" t="n">
        <f aca="false" t="array" ref="T710:T710">IF(AND(INDEX(Profils!$N$5:$N$34,$AE710)&gt;0,INDEX(Profils!$AC$5:$AC$34,$AE710)&lt;=$AH710),ROUND(INDEX(Profils!$N$5:$N$34,$AE710)*Paramètres!$E$30*$AG710*$AJ710,Paramètres!$F$30),0)</f>
        <v>0</v>
      </c>
      <c r="U710" s="19" t="n">
        <f aca="false" t="array" ref="U710:U710">IF(AND(INDEX(Profils!$O$5:$O$34,$AE710)&gt;0,INDEX(Profils!$AD$5:$AD$34,$AE710)&lt;=$AH710),ROUND(INDEX(Profils!$O$5:$O$34,$AE710)*Paramètres!$E$31*$AG710*$AJ710,Paramètres!$F$31),0)</f>
        <v>19</v>
      </c>
      <c r="V710" s="20" t="n">
        <f aca="false" t="array" ref="V710:V710">IF(AND(INDEX(Profils!$P$5:$P$34,$AE710)&gt;0,INDEX(Profils!$AE$5:$AE$34,$AE710)&lt;=$AH710),ROUND(INDEX(Profils!$P$5:$P$34,$AE710)*Paramètres!$E$32*$AG710*$AJ710,Paramètres!$F$32),0)</f>
        <v>0</v>
      </c>
      <c r="W710" s="20" t="n">
        <f aca="false" t="array" ref="W710:W710">IF(AND(INDEX(Profils!$Q$5:$Q$34,$AE710)&gt;0,INDEX(Profils!$AF$5:$AF$34,$AE710)&lt;=$AH710),ROUND(INDEX(Profils!$Q$5:$Q$34,$AE710)*Paramètres!$E$33*$AG710*$AJ710,Paramètres!$F$33),0)</f>
        <v>0</v>
      </c>
      <c r="X710" s="20" t="n">
        <f aca="false" t="array" ref="X710:X710">IF(AND(INDEX(Profils!$R$5:$R$34,$AE710)&gt;0,INDEX(Profils!$AG$5:$AG$34,$AE710)&lt;=$AH710),ROUND(INDEX(Profils!$R$5:$R$34,$AE710)*Paramètres!$E$34*$AG710*$AJ710,Paramètres!$F$34),0)</f>
        <v>0</v>
      </c>
      <c r="Y710" s="20" t="n">
        <f aca="false" t="array" ref="Y710:Y710">IF(AND(INDEX(Profils!$S$5:$S$34,$AE710)&gt;0,INDEX(Profils!$AH$5:$AH$34,$AE710)&lt;=$AH710),ROUND(INDEX(Profils!$S$5:$S$34,$AE710)*Paramètres!$E$35*$AG710*$AJ710,Paramètres!$F$35),0)</f>
        <v>0</v>
      </c>
      <c r="Z710" s="21" t="n">
        <f aca="false">ROUND(L710/Paramètres!$E$22+M710/Paramètres!$E$23+N710/Paramètres!$E$24+O710/Paramètres!$E$25+P710/Paramètres!$E$26+Q710/Paramètres!$E$27+R710/Paramètres!$E$28+S710/Paramètres!$E$29+T710/Paramètres!$E$30+U710/Paramètres!$E$31+V710/Paramètres!$E$32+W710/Paramètres!$E$33+X710/Paramètres!$E$34+Y710/Paramètres!$E$35,1)</f>
        <v>5.7</v>
      </c>
      <c r="AA710" s="22" t="s">
        <v>109</v>
      </c>
      <c r="AB710" s="22" t="s">
        <v>109</v>
      </c>
      <c r="AC710" s="15" t="str">
        <f aca="false">$E710</f>
        <v>écailles</v>
      </c>
      <c r="AD710" s="16" t="n">
        <f aca="false" t="array" ref="AD710:AD710">IF($I710&gt;=$AI710,"Max",ROUND(Paramètres!$B$40*($I710+1)^Paramètres!$B$41*INDEX(Paramètres!$H$6:$H$12,$AF710),0))</f>
        <v>6</v>
      </c>
      <c r="AE710" s="23" t="n">
        <f aca="false">MATCH($B710&amp;"|"&amp;$C710,Profils!$A$5:$A$34,0)</f>
        <v>23</v>
      </c>
      <c r="AF710" s="23" t="n">
        <v>5</v>
      </c>
      <c r="AG710" s="24" t="n">
        <f aca="false" t="array" ref="AG710:AG710">INDEX(Paramètres!$C$6:$C$12,$AF710)</f>
        <v>2.1</v>
      </c>
      <c r="AH710" s="23" t="n">
        <f aca="false" t="array" ref="AH710:AH710">INDEX(Paramètres!$D$6:$D$12,$AF710)</f>
        <v>6</v>
      </c>
      <c r="AI710" s="23" t="n">
        <f aca="false" t="array" ref="AI710:AI710">INDEX(Matériaux!$C$16:$C$20,$D710)</f>
        <v>25</v>
      </c>
      <c r="AJ710" s="25" t="n">
        <f aca="false">Paramètres!$B$16+(1-Paramètres!$B$16)*(($J710-Paramètres!$B$14)/(Paramètres!$B$15-Paramètres!$B$14))^Paramètres!$B$17</f>
        <v>0.458504333336152</v>
      </c>
    </row>
    <row r="711" customFormat="false" ht="15.75" hidden="false" customHeight="true" outlineLevel="0" collapsed="false">
      <c r="A711" s="14" t="s">
        <v>827</v>
      </c>
      <c r="B711" s="15" t="s">
        <v>31</v>
      </c>
      <c r="C711" s="15" t="s">
        <v>177</v>
      </c>
      <c r="D711" s="16" t="n">
        <v>4</v>
      </c>
      <c r="E711" s="15" t="str">
        <f aca="false" t="array" ref="E711:E711">INDEX(Matériaux!$B$5:$F$12,MATCH(INDEX(Profils!$E$5:$E$34,$AE711),Matériaux!$A$5:$A$12,0),$D711)</f>
        <v>écailles</v>
      </c>
      <c r="F711" s="30" t="s">
        <v>119</v>
      </c>
      <c r="G711" s="10" t="str">
        <f aca="false" t="array" ref="G711:G711">INDEX(Profils!$D$5:$D$34,$AE711)&amp;" en "&amp;$E711</f>
        <v>Pantalon en écailles</v>
      </c>
      <c r="H711" s="16" t="n">
        <f aca="false" t="array" ref="H711:H711">INDEX(Matériaux!$B$16:$B$20,$D711)</f>
        <v>50</v>
      </c>
      <c r="I711" s="16" t="n">
        <f aca="false">IF(ISNUMBER($C$3),MIN(MAX(0,ROUND($C$3,0)),$AI711),$AI711)</f>
        <v>0</v>
      </c>
      <c r="J711" s="18" t="n">
        <f aca="false">$H711+$I711</f>
        <v>50</v>
      </c>
      <c r="K711" s="15" t="s">
        <v>109</v>
      </c>
      <c r="L711" s="19" t="n">
        <f aca="false" t="array" ref="L711:L711">IF(AND(INDEX(Profils!$F$5:$F$34,$AE711)&gt;0,INDEX(Profils!$U$5:$U$34,$AE711)&lt;=$AH711),ROUND(INDEX(Profils!$F$5:$F$34,$AE711)*Paramètres!$E$22*$AG711*$AJ711,Paramètres!$F$22),0)</f>
        <v>41</v>
      </c>
      <c r="M711" s="19" t="n">
        <f aca="false" t="array" ref="M711:M711">IF(AND(INDEX(Profils!$G$5:$G$34,$AE711)&gt;0,INDEX(Profils!$V$5:$V$34,$AE711)&lt;=$AH711),ROUND(INDEX(Profils!$G$5:$G$34,$AE711)*Paramètres!$E$23*$AG711*$AJ711,Paramètres!$F$23),0)</f>
        <v>8</v>
      </c>
      <c r="N711" s="19" t="n">
        <f aca="false" t="array" ref="N711:N711">IF(AND(INDEX(Profils!$H$5:$H$34,$AE711)&gt;0,INDEX(Profils!$W$5:$W$34,$AE711)&lt;=$AH711),ROUND(INDEX(Profils!$H$5:$H$34,$AE711)*Paramètres!$E$24*$AG711*$AJ711,Paramètres!$F$24),0)</f>
        <v>13</v>
      </c>
      <c r="O711" s="19" t="n">
        <f aca="false" t="array" ref="O711:O711">IF(AND(INDEX(Profils!$I$5:$I$34,$AE711)&gt;0,INDEX(Profils!$X$5:$X$34,$AE711)&lt;=$AH711),ROUND(INDEX(Profils!$I$5:$I$34,$AE711)*Paramètres!$E$25*$AG711*$AJ711,Paramètres!$F$25),0)</f>
        <v>0</v>
      </c>
      <c r="P711" s="19" t="n">
        <f aca="false" t="array" ref="P711:P711">IF(AND(INDEX(Profils!$J$5:$J$34,$AE711)&gt;0,INDEX(Profils!$Y$5:$Y$34,$AE711)&lt;=$AH711),ROUND(INDEX(Profils!$J$5:$J$34,$AE711)*Paramètres!$E$26*$AG711*$AJ711,Paramètres!$F$26),0)</f>
        <v>18</v>
      </c>
      <c r="Q711" s="19" t="n">
        <f aca="false" t="array" ref="Q711:Q711">IF(AND(INDEX(Profils!$K$5:$K$34,$AE711)&gt;0,INDEX(Profils!$Z$5:$Z$34,$AE711)&lt;=$AH711),ROUND(INDEX(Profils!$K$5:$K$34,$AE711)*Paramètres!$E$27*$AG711*$AJ711,Paramètres!$F$27),0)</f>
        <v>0</v>
      </c>
      <c r="R711" s="20" t="n">
        <f aca="false" t="array" ref="R711:R711">IF(AND(INDEX(Profils!$L$5:$L$34,$AE711)&gt;0,INDEX(Profils!$AA$5:$AA$34,$AE711)&lt;=$AH711),ROUND(INDEX(Profils!$L$5:$L$34,$AE711)*Paramètres!$E$28*$AG711*$AJ711,Paramètres!$F$28),0)</f>
        <v>0.012</v>
      </c>
      <c r="S711" s="20" t="n">
        <f aca="false" t="array" ref="S711:S711">IF(AND(INDEX(Profils!$M$5:$M$34,$AE711)&gt;0,INDEX(Profils!$AB$5:$AB$34,$AE711)&lt;=$AH711),ROUND(INDEX(Profils!$M$5:$M$34,$AE711)*Paramètres!$E$29*$AG711*$AJ711,Paramètres!$F$29),0)</f>
        <v>0</v>
      </c>
      <c r="T711" s="20" t="n">
        <f aca="false" t="array" ref="T711:T711">IF(AND(INDEX(Profils!$N$5:$N$34,$AE711)&gt;0,INDEX(Profils!$AC$5:$AC$34,$AE711)&lt;=$AH711),ROUND(INDEX(Profils!$N$5:$N$34,$AE711)*Paramètres!$E$30*$AG711*$AJ711,Paramètres!$F$30),0)</f>
        <v>0</v>
      </c>
      <c r="U711" s="19" t="n">
        <f aca="false" t="array" ref="U711:U711">IF(AND(INDEX(Profils!$O$5:$O$34,$AE711)&gt;0,INDEX(Profils!$AD$5:$AD$34,$AE711)&lt;=$AH711),ROUND(INDEX(Profils!$O$5:$O$34,$AE711)*Paramètres!$E$31*$AG711*$AJ711,Paramètres!$F$31),0)</f>
        <v>22</v>
      </c>
      <c r="V711" s="20" t="n">
        <f aca="false" t="array" ref="V711:V711">IF(AND(INDEX(Profils!$P$5:$P$34,$AE711)&gt;0,INDEX(Profils!$AE$5:$AE$34,$AE711)&lt;=$AH711),ROUND(INDEX(Profils!$P$5:$P$34,$AE711)*Paramètres!$E$32*$AG711*$AJ711,Paramètres!$F$32),0)</f>
        <v>0</v>
      </c>
      <c r="W711" s="20" t="n">
        <f aca="false" t="array" ref="W711:W711">IF(AND(INDEX(Profils!$Q$5:$Q$34,$AE711)&gt;0,INDEX(Profils!$AF$5:$AF$34,$AE711)&lt;=$AH711),ROUND(INDEX(Profils!$Q$5:$Q$34,$AE711)*Paramètres!$E$33*$AG711*$AJ711,Paramètres!$F$33),0)</f>
        <v>0.008</v>
      </c>
      <c r="X711" s="20" t="n">
        <f aca="false" t="array" ref="X711:X711">IF(AND(INDEX(Profils!$R$5:$R$34,$AE711)&gt;0,INDEX(Profils!$AG$5:$AG$34,$AE711)&lt;=$AH711),ROUND(INDEX(Profils!$R$5:$R$34,$AE711)*Paramètres!$E$34*$AG711*$AJ711,Paramètres!$F$34),0)</f>
        <v>0</v>
      </c>
      <c r="Y711" s="20" t="n">
        <f aca="false" t="array" ref="Y711:Y711">IF(AND(INDEX(Profils!$S$5:$S$34,$AE711)&gt;0,INDEX(Profils!$AH$5:$AH$34,$AE711)&lt;=$AH711),ROUND(INDEX(Profils!$S$5:$S$34,$AE711)*Paramètres!$E$35*$AG711*$AJ711,Paramètres!$F$35),0)</f>
        <v>0</v>
      </c>
      <c r="Z711" s="21" t="n">
        <f aca="false">ROUND(L711/Paramètres!$E$22+M711/Paramètres!$E$23+N711/Paramètres!$E$24+O711/Paramètres!$E$25+P711/Paramètres!$E$26+Q711/Paramètres!$E$27+R711/Paramètres!$E$28+S711/Paramètres!$E$29+T711/Paramètres!$E$30+U711/Paramètres!$E$31+V711/Paramètres!$E$32+W711/Paramètres!$E$33+X711/Paramètres!$E$34+Y711/Paramètres!$E$35,1)</f>
        <v>7</v>
      </c>
      <c r="AA711" s="22" t="s">
        <v>109</v>
      </c>
      <c r="AB711" s="22" t="s">
        <v>109</v>
      </c>
      <c r="AC711" s="15" t="str">
        <f aca="false">$E711</f>
        <v>écailles</v>
      </c>
      <c r="AD711" s="16" t="n">
        <f aca="false" t="array" ref="AD711:AD711">IF($I711&gt;=$AI711,"Max",ROUND(Paramètres!$B$40*($I711+1)^Paramètres!$B$41*INDEX(Paramètres!$H$6:$H$12,$AF711),0))</f>
        <v>8</v>
      </c>
      <c r="AE711" s="23" t="n">
        <f aca="false">MATCH($B711&amp;"|"&amp;$C711,Profils!$A$5:$A$34,0)</f>
        <v>23</v>
      </c>
      <c r="AF711" s="23" t="n">
        <v>6</v>
      </c>
      <c r="AG711" s="24" t="n">
        <f aca="false" t="array" ref="AG711:AG711">INDEX(Paramètres!$C$6:$C$12,$AF711)</f>
        <v>2.4</v>
      </c>
      <c r="AH711" s="23" t="n">
        <f aca="false" t="array" ref="AH711:AH711">INDEX(Paramètres!$D$6:$D$12,$AF711)</f>
        <v>7</v>
      </c>
      <c r="AI711" s="23" t="n">
        <f aca="false" t="array" ref="AI711:AI711">INDEX(Matériaux!$C$16:$C$20,$D711)</f>
        <v>25</v>
      </c>
      <c r="AJ711" s="25" t="n">
        <f aca="false">Paramètres!$B$16+(1-Paramètres!$B$16)*(($J711-Paramètres!$B$14)/(Paramètres!$B$15-Paramètres!$B$14))^Paramètres!$B$17</f>
        <v>0.458504333336152</v>
      </c>
    </row>
    <row r="712" customFormat="false" ht="15.75" hidden="false" customHeight="true" outlineLevel="0" collapsed="false">
      <c r="A712" s="14" t="s">
        <v>828</v>
      </c>
      <c r="B712" s="15" t="s">
        <v>31</v>
      </c>
      <c r="C712" s="15" t="s">
        <v>177</v>
      </c>
      <c r="D712" s="16" t="n">
        <v>5</v>
      </c>
      <c r="E712" s="15" t="str">
        <f aca="false" t="array" ref="E712:E712">INDEX(Matériaux!$B$5:$F$12,MATCH(INDEX(Profils!$E$5:$E$34,$AE712),Matériaux!$A$5:$A$12,0),$D712)</f>
        <v>peau de dragon</v>
      </c>
      <c r="F712" s="17" t="s">
        <v>108</v>
      </c>
      <c r="G712" s="10" t="str">
        <f aca="false" t="array" ref="G712:G712">INDEX(Profils!$D$5:$D$34,$AE712)&amp;" en "&amp;$E712</f>
        <v>Pantalon en peau de dragon</v>
      </c>
      <c r="H712" s="16" t="n">
        <f aca="false" t="array" ref="H712:H712">INDEX(Matériaux!$B$16:$B$20,$D712)</f>
        <v>70</v>
      </c>
      <c r="I712" s="16" t="n">
        <f aca="false">IF(ISNUMBER($C$3),MIN(MAX(0,ROUND($C$3,0)),$AI712),$AI712)</f>
        <v>0</v>
      </c>
      <c r="J712" s="18" t="n">
        <f aca="false">$H712+$I712</f>
        <v>70</v>
      </c>
      <c r="K712" s="15" t="s">
        <v>109</v>
      </c>
      <c r="L712" s="19" t="n">
        <f aca="false" t="array" ref="L712:L712">IF(AND(INDEX(Profils!$F$5:$F$34,$AE712)&gt;0,INDEX(Profils!$U$5:$U$34,$AE712)&lt;=$AH712),ROUND(INDEX(Profils!$F$5:$F$34,$AE712)*Paramètres!$E$22*$AG712*$AJ712,Paramètres!$F$22),0)</f>
        <v>25</v>
      </c>
      <c r="M712" s="19" t="n">
        <f aca="false" t="array" ref="M712:M712">IF(AND(INDEX(Profils!$G$5:$G$34,$AE712)&gt;0,INDEX(Profils!$V$5:$V$34,$AE712)&lt;=$AH712),ROUND(INDEX(Profils!$G$5:$G$34,$AE712)*Paramètres!$E$23*$AG712*$AJ712,Paramètres!$F$23),0)</f>
        <v>0</v>
      </c>
      <c r="N712" s="19" t="n">
        <f aca="false" t="array" ref="N712:N712">IF(AND(INDEX(Profils!$H$5:$H$34,$AE712)&gt;0,INDEX(Profils!$W$5:$W$34,$AE712)&lt;=$AH712),ROUND(INDEX(Profils!$H$5:$H$34,$AE712)*Paramètres!$E$24*$AG712*$AJ712,Paramètres!$F$24),0)</f>
        <v>0</v>
      </c>
      <c r="O712" s="19" t="n">
        <f aca="false" t="array" ref="O712:O712">IF(AND(INDEX(Profils!$I$5:$I$34,$AE712)&gt;0,INDEX(Profils!$X$5:$X$34,$AE712)&lt;=$AH712),ROUND(INDEX(Profils!$I$5:$I$34,$AE712)*Paramètres!$E$25*$AG712*$AJ712,Paramètres!$F$25),0)</f>
        <v>0</v>
      </c>
      <c r="P712" s="19" t="n">
        <f aca="false" t="array" ref="P712:P712">IF(AND(INDEX(Profils!$J$5:$J$34,$AE712)&gt;0,INDEX(Profils!$Y$5:$Y$34,$AE712)&lt;=$AH712),ROUND(INDEX(Profils!$J$5:$J$34,$AE712)*Paramètres!$E$26*$AG712*$AJ712,Paramètres!$F$26),0)</f>
        <v>11</v>
      </c>
      <c r="Q712" s="19" t="n">
        <f aca="false" t="array" ref="Q712:Q712">IF(AND(INDEX(Profils!$K$5:$K$34,$AE712)&gt;0,INDEX(Profils!$Z$5:$Z$34,$AE712)&lt;=$AH712),ROUND(INDEX(Profils!$K$5:$K$34,$AE712)*Paramètres!$E$27*$AG712*$AJ712,Paramètres!$F$27),0)</f>
        <v>0</v>
      </c>
      <c r="R712" s="20" t="n">
        <f aca="false" t="array" ref="R712:R712">IF(AND(INDEX(Profils!$L$5:$L$34,$AE712)&gt;0,INDEX(Profils!$AA$5:$AA$34,$AE712)&lt;=$AH712),ROUND(INDEX(Profils!$L$5:$L$34,$AE712)*Paramètres!$E$28*$AG712*$AJ712,Paramètres!$F$28),0)</f>
        <v>0</v>
      </c>
      <c r="S712" s="20" t="n">
        <f aca="false" t="array" ref="S712:S712">IF(AND(INDEX(Profils!$M$5:$M$34,$AE712)&gt;0,INDEX(Profils!$AB$5:$AB$34,$AE712)&lt;=$AH712),ROUND(INDEX(Profils!$M$5:$M$34,$AE712)*Paramètres!$E$29*$AG712*$AJ712,Paramètres!$F$29),0)</f>
        <v>0</v>
      </c>
      <c r="T712" s="20" t="n">
        <f aca="false" t="array" ref="T712:T712">IF(AND(INDEX(Profils!$N$5:$N$34,$AE712)&gt;0,INDEX(Profils!$AC$5:$AC$34,$AE712)&lt;=$AH712),ROUND(INDEX(Profils!$N$5:$N$34,$AE712)*Paramètres!$E$30*$AG712*$AJ712,Paramètres!$F$30),0)</f>
        <v>0</v>
      </c>
      <c r="U712" s="19" t="n">
        <f aca="false" t="array" ref="U712:U712">IF(AND(INDEX(Profils!$O$5:$O$34,$AE712)&gt;0,INDEX(Profils!$AD$5:$AD$34,$AE712)&lt;=$AH712),ROUND(INDEX(Profils!$O$5:$O$34,$AE712)*Paramètres!$E$31*$AG712*$AJ712,Paramètres!$F$31),0)</f>
        <v>0</v>
      </c>
      <c r="V712" s="20" t="n">
        <f aca="false" t="array" ref="V712:V712">IF(AND(INDEX(Profils!$P$5:$P$34,$AE712)&gt;0,INDEX(Profils!$AE$5:$AE$34,$AE712)&lt;=$AH712),ROUND(INDEX(Profils!$P$5:$P$34,$AE712)*Paramètres!$E$32*$AG712*$AJ712,Paramètres!$F$32),0)</f>
        <v>0</v>
      </c>
      <c r="W712" s="20" t="n">
        <f aca="false" t="array" ref="W712:W712">IF(AND(INDEX(Profils!$Q$5:$Q$34,$AE712)&gt;0,INDEX(Profils!$AF$5:$AF$34,$AE712)&lt;=$AH712),ROUND(INDEX(Profils!$Q$5:$Q$34,$AE712)*Paramètres!$E$33*$AG712*$AJ712,Paramètres!$F$33),0)</f>
        <v>0</v>
      </c>
      <c r="X712" s="20" t="n">
        <f aca="false" t="array" ref="X712:X712">IF(AND(INDEX(Profils!$R$5:$R$34,$AE712)&gt;0,INDEX(Profils!$AG$5:$AG$34,$AE712)&lt;=$AH712),ROUND(INDEX(Profils!$R$5:$R$34,$AE712)*Paramètres!$E$34*$AG712*$AJ712,Paramètres!$F$34),0)</f>
        <v>0</v>
      </c>
      <c r="Y712" s="20" t="n">
        <f aca="false" t="array" ref="Y712:Y712">IF(AND(INDEX(Profils!$S$5:$S$34,$AE712)&gt;0,INDEX(Profils!$AH$5:$AH$34,$AE712)&lt;=$AH712),ROUND(INDEX(Profils!$S$5:$S$34,$AE712)*Paramètres!$E$35*$AG712*$AJ712,Paramètres!$F$35),0)</f>
        <v>0</v>
      </c>
      <c r="Z712" s="21" t="n">
        <f aca="false">ROUND(L712/Paramètres!$E$22+M712/Paramètres!$E$23+N712/Paramètres!$E$24+O712/Paramètres!$E$25+P712/Paramètres!$E$26+Q712/Paramètres!$E$27+R712/Paramètres!$E$28+S712/Paramètres!$E$29+T712/Paramètres!$E$30+U712/Paramètres!$E$31+V712/Paramètres!$E$32+W712/Paramètres!$E$33+X712/Paramètres!$E$34+Y712/Paramètres!$E$35,1)</f>
        <v>1.9</v>
      </c>
      <c r="AA712" s="22" t="s">
        <v>109</v>
      </c>
      <c r="AB712" s="22" t="s">
        <v>109</v>
      </c>
      <c r="AC712" s="15" t="str">
        <f aca="false">$E712</f>
        <v>peau de dragon</v>
      </c>
      <c r="AD712" s="16" t="n">
        <f aca="false" t="array" ref="AD712:AD712">IF($I712&gt;=$AI712,"Max",ROUND(Paramètres!$B$40*($I712+1)^Paramètres!$B$41*INDEX(Paramètres!$H$6:$H$12,$AF712),0))</f>
        <v>3</v>
      </c>
      <c r="AE712" s="23" t="n">
        <f aca="false">MATCH($B712&amp;"|"&amp;$C712,Profils!$A$5:$A$34,0)</f>
        <v>23</v>
      </c>
      <c r="AF712" s="23" t="n">
        <v>1</v>
      </c>
      <c r="AG712" s="24" t="n">
        <f aca="false" t="array" ref="AG712:AG712">INDEX(Paramètres!$C$6:$C$12,$AF712)</f>
        <v>1</v>
      </c>
      <c r="AH712" s="23" t="n">
        <f aca="false" t="array" ref="AH712:AH712">INDEX(Paramètres!$D$6:$D$12,$AF712)</f>
        <v>2</v>
      </c>
      <c r="AI712" s="23" t="n">
        <f aca="false" t="array" ref="AI712:AI712">INDEX(Matériaux!$C$16:$C$20,$D712)</f>
        <v>30</v>
      </c>
      <c r="AJ712" s="25" t="n">
        <f aca="false">Paramètres!$B$16+(1-Paramètres!$B$16)*(($J712-Paramètres!$B$14)/(Paramètres!$B$15-Paramètres!$B$14))^Paramètres!$B$17</f>
        <v>0.665999387952727</v>
      </c>
    </row>
    <row r="713" customFormat="false" ht="15.75" hidden="false" customHeight="true" outlineLevel="0" collapsed="false">
      <c r="A713" s="14" t="s">
        <v>829</v>
      </c>
      <c r="B713" s="15" t="s">
        <v>31</v>
      </c>
      <c r="C713" s="15" t="s">
        <v>177</v>
      </c>
      <c r="D713" s="16" t="n">
        <v>5</v>
      </c>
      <c r="E713" s="15" t="str">
        <f aca="false" t="array" ref="E713:E713">INDEX(Matériaux!$B$5:$F$12,MATCH(INDEX(Profils!$E$5:$E$34,$AE713),Matériaux!$A$5:$A$12,0),$D713)</f>
        <v>peau de dragon</v>
      </c>
      <c r="F713" s="26" t="s">
        <v>111</v>
      </c>
      <c r="G713" s="10" t="str">
        <f aca="false" t="array" ref="G713:G713">INDEX(Profils!$D$5:$D$34,$AE713)&amp;" en "&amp;$E713</f>
        <v>Pantalon en peau de dragon</v>
      </c>
      <c r="H713" s="16" t="n">
        <f aca="false" t="array" ref="H713:H713">INDEX(Matériaux!$B$16:$B$20,$D713)</f>
        <v>70</v>
      </c>
      <c r="I713" s="16" t="n">
        <f aca="false">IF(ISNUMBER($C$3),MIN(MAX(0,ROUND($C$3,0)),$AI713),$AI713)</f>
        <v>0</v>
      </c>
      <c r="J713" s="18" t="n">
        <f aca="false">$H713+$I713</f>
        <v>70</v>
      </c>
      <c r="K713" s="15" t="s">
        <v>109</v>
      </c>
      <c r="L713" s="19" t="n">
        <f aca="false" t="array" ref="L713:L713">IF(AND(INDEX(Profils!$F$5:$F$34,$AE713)&gt;0,INDEX(Profils!$U$5:$U$34,$AE713)&lt;=$AH713),ROUND(INDEX(Profils!$F$5:$F$34,$AE713)*Paramètres!$E$22*$AG713*$AJ713,Paramètres!$F$22),0)</f>
        <v>30</v>
      </c>
      <c r="M713" s="19" t="n">
        <f aca="false" t="array" ref="M713:M713">IF(AND(INDEX(Profils!$G$5:$G$34,$AE713)&gt;0,INDEX(Profils!$V$5:$V$34,$AE713)&lt;=$AH713),ROUND(INDEX(Profils!$G$5:$G$34,$AE713)*Paramètres!$E$23*$AG713*$AJ713,Paramètres!$F$23),0)</f>
        <v>0</v>
      </c>
      <c r="N713" s="19" t="n">
        <f aca="false" t="array" ref="N713:N713">IF(AND(INDEX(Profils!$H$5:$H$34,$AE713)&gt;0,INDEX(Profils!$W$5:$W$34,$AE713)&lt;=$AH713),ROUND(INDEX(Profils!$H$5:$H$34,$AE713)*Paramètres!$E$24*$AG713*$AJ713,Paramètres!$F$24),0)</f>
        <v>0</v>
      </c>
      <c r="O713" s="19" t="n">
        <f aca="false" t="array" ref="O713:O713">IF(AND(INDEX(Profils!$I$5:$I$34,$AE713)&gt;0,INDEX(Profils!$X$5:$X$34,$AE713)&lt;=$AH713),ROUND(INDEX(Profils!$I$5:$I$34,$AE713)*Paramètres!$E$25*$AG713*$AJ713,Paramètres!$F$25),0)</f>
        <v>0</v>
      </c>
      <c r="P713" s="19" t="n">
        <f aca="false" t="array" ref="P713:P713">IF(AND(INDEX(Profils!$J$5:$J$34,$AE713)&gt;0,INDEX(Profils!$Y$5:$Y$34,$AE713)&lt;=$AH713),ROUND(INDEX(Profils!$J$5:$J$34,$AE713)*Paramètres!$E$26*$AG713*$AJ713,Paramètres!$F$26),0)</f>
        <v>13</v>
      </c>
      <c r="Q713" s="19" t="n">
        <f aca="false" t="array" ref="Q713:Q713">IF(AND(INDEX(Profils!$K$5:$K$34,$AE713)&gt;0,INDEX(Profils!$Z$5:$Z$34,$AE713)&lt;=$AH713),ROUND(INDEX(Profils!$K$5:$K$34,$AE713)*Paramètres!$E$27*$AG713*$AJ713,Paramètres!$F$27),0)</f>
        <v>0</v>
      </c>
      <c r="R713" s="20" t="n">
        <f aca="false" t="array" ref="R713:R713">IF(AND(INDEX(Profils!$L$5:$L$34,$AE713)&gt;0,INDEX(Profils!$AA$5:$AA$34,$AE713)&lt;=$AH713),ROUND(INDEX(Profils!$L$5:$L$34,$AE713)*Paramètres!$E$28*$AG713*$AJ713,Paramètres!$F$28),0)</f>
        <v>0</v>
      </c>
      <c r="S713" s="20" t="n">
        <f aca="false" t="array" ref="S713:S713">IF(AND(INDEX(Profils!$M$5:$M$34,$AE713)&gt;0,INDEX(Profils!$AB$5:$AB$34,$AE713)&lt;=$AH713),ROUND(INDEX(Profils!$M$5:$M$34,$AE713)*Paramètres!$E$29*$AG713*$AJ713,Paramètres!$F$29),0)</f>
        <v>0</v>
      </c>
      <c r="T713" s="20" t="n">
        <f aca="false" t="array" ref="T713:T713">IF(AND(INDEX(Profils!$N$5:$N$34,$AE713)&gt;0,INDEX(Profils!$AC$5:$AC$34,$AE713)&lt;=$AH713),ROUND(INDEX(Profils!$N$5:$N$34,$AE713)*Paramètres!$E$30*$AG713*$AJ713,Paramètres!$F$30),0)</f>
        <v>0</v>
      </c>
      <c r="U713" s="19" t="n">
        <f aca="false" t="array" ref="U713:U713">IF(AND(INDEX(Profils!$O$5:$O$34,$AE713)&gt;0,INDEX(Profils!$AD$5:$AD$34,$AE713)&lt;=$AH713),ROUND(INDEX(Profils!$O$5:$O$34,$AE713)*Paramètres!$E$31*$AG713*$AJ713,Paramètres!$F$31),0)</f>
        <v>16</v>
      </c>
      <c r="V713" s="20" t="n">
        <f aca="false" t="array" ref="V713:V713">IF(AND(INDEX(Profils!$P$5:$P$34,$AE713)&gt;0,INDEX(Profils!$AE$5:$AE$34,$AE713)&lt;=$AH713),ROUND(INDEX(Profils!$P$5:$P$34,$AE713)*Paramètres!$E$32*$AG713*$AJ713,Paramètres!$F$32),0)</f>
        <v>0</v>
      </c>
      <c r="W713" s="20" t="n">
        <f aca="false" t="array" ref="W713:W713">IF(AND(INDEX(Profils!$Q$5:$Q$34,$AE713)&gt;0,INDEX(Profils!$AF$5:$AF$34,$AE713)&lt;=$AH713),ROUND(INDEX(Profils!$Q$5:$Q$34,$AE713)*Paramètres!$E$33*$AG713*$AJ713,Paramètres!$F$33),0)</f>
        <v>0</v>
      </c>
      <c r="X713" s="20" t="n">
        <f aca="false" t="array" ref="X713:X713">IF(AND(INDEX(Profils!$R$5:$R$34,$AE713)&gt;0,INDEX(Profils!$AG$5:$AG$34,$AE713)&lt;=$AH713),ROUND(INDEX(Profils!$R$5:$R$34,$AE713)*Paramètres!$E$34*$AG713*$AJ713,Paramètres!$F$34),0)</f>
        <v>0</v>
      </c>
      <c r="Y713" s="20" t="n">
        <f aca="false" t="array" ref="Y713:Y713">IF(AND(INDEX(Profils!$S$5:$S$34,$AE713)&gt;0,INDEX(Profils!$AH$5:$AH$34,$AE713)&lt;=$AH713),ROUND(INDEX(Profils!$S$5:$S$34,$AE713)*Paramètres!$E$35*$AG713*$AJ713,Paramètres!$F$35),0)</f>
        <v>0</v>
      </c>
      <c r="Z713" s="21" t="n">
        <f aca="false">ROUND(L713/Paramètres!$E$22+M713/Paramètres!$E$23+N713/Paramètres!$E$24+O713/Paramètres!$E$25+P713/Paramètres!$E$26+Q713/Paramètres!$E$27+R713/Paramètres!$E$28+S713/Paramètres!$E$29+T713/Paramètres!$E$30+U713/Paramètres!$E$31+V713/Paramètres!$E$32+W713/Paramètres!$E$33+X713/Paramètres!$E$34+Y713/Paramètres!$E$35,1)</f>
        <v>3.1</v>
      </c>
      <c r="AA713" s="22" t="s">
        <v>109</v>
      </c>
      <c r="AB713" s="22" t="s">
        <v>109</v>
      </c>
      <c r="AC713" s="15" t="str">
        <f aca="false">$E713</f>
        <v>peau de dragon</v>
      </c>
      <c r="AD713" s="16" t="n">
        <f aca="false" t="array" ref="AD713:AD713">IF($I713&gt;=$AI713,"Max",ROUND(Paramètres!$B$40*($I713+1)^Paramètres!$B$41*INDEX(Paramètres!$H$6:$H$12,$AF713),0))</f>
        <v>4</v>
      </c>
      <c r="AE713" s="23" t="n">
        <f aca="false">MATCH($B713&amp;"|"&amp;$C713,Profils!$A$5:$A$34,0)</f>
        <v>23</v>
      </c>
      <c r="AF713" s="23" t="n">
        <v>2</v>
      </c>
      <c r="AG713" s="24" t="n">
        <f aca="false" t="array" ref="AG713:AG713">INDEX(Paramètres!$C$6:$C$12,$AF713)</f>
        <v>1.2</v>
      </c>
      <c r="AH713" s="23" t="n">
        <f aca="false" t="array" ref="AH713:AH713">INDEX(Paramètres!$D$6:$D$12,$AF713)</f>
        <v>3</v>
      </c>
      <c r="AI713" s="23" t="n">
        <f aca="false" t="array" ref="AI713:AI713">INDEX(Matériaux!$C$16:$C$20,$D713)</f>
        <v>30</v>
      </c>
      <c r="AJ713" s="25" t="n">
        <f aca="false">Paramètres!$B$16+(1-Paramètres!$B$16)*(($J713-Paramètres!$B$14)/(Paramètres!$B$15-Paramètres!$B$14))^Paramètres!$B$17</f>
        <v>0.665999387952727</v>
      </c>
    </row>
    <row r="714" customFormat="false" ht="15.75" hidden="false" customHeight="true" outlineLevel="0" collapsed="false">
      <c r="A714" s="14" t="s">
        <v>830</v>
      </c>
      <c r="B714" s="15" t="s">
        <v>31</v>
      </c>
      <c r="C714" s="15" t="s">
        <v>177</v>
      </c>
      <c r="D714" s="16" t="n">
        <v>5</v>
      </c>
      <c r="E714" s="15" t="str">
        <f aca="false" t="array" ref="E714:E714">INDEX(Matériaux!$B$5:$F$12,MATCH(INDEX(Profils!$E$5:$E$34,$AE714),Matériaux!$A$5:$A$12,0),$D714)</f>
        <v>peau de dragon</v>
      </c>
      <c r="F714" s="27" t="s">
        <v>113</v>
      </c>
      <c r="G714" s="10" t="str">
        <f aca="false" t="array" ref="G714:G714">INDEX(Profils!$D$5:$D$34,$AE714)&amp;" en "&amp;$E714</f>
        <v>Pantalon en peau de dragon</v>
      </c>
      <c r="H714" s="16" t="n">
        <f aca="false" t="array" ref="H714:H714">INDEX(Matériaux!$B$16:$B$20,$D714)</f>
        <v>70</v>
      </c>
      <c r="I714" s="16" t="n">
        <f aca="false">IF(ISNUMBER($C$3),MIN(MAX(0,ROUND($C$3,0)),$AI714),$AI714)</f>
        <v>0</v>
      </c>
      <c r="J714" s="18" t="n">
        <f aca="false">$H714+$I714</f>
        <v>70</v>
      </c>
      <c r="K714" s="15" t="s">
        <v>109</v>
      </c>
      <c r="L714" s="19" t="n">
        <f aca="false" t="array" ref="L714:L714">IF(AND(INDEX(Profils!$F$5:$F$34,$AE714)&gt;0,INDEX(Profils!$U$5:$U$34,$AE714)&lt;=$AH714),ROUND(INDEX(Profils!$F$5:$F$34,$AE714)*Paramètres!$E$22*$AG714*$AJ714,Paramètres!$F$22),0)</f>
        <v>36</v>
      </c>
      <c r="M714" s="19" t="n">
        <f aca="false" t="array" ref="M714:M714">IF(AND(INDEX(Profils!$G$5:$G$34,$AE714)&gt;0,INDEX(Profils!$V$5:$V$34,$AE714)&lt;=$AH714),ROUND(INDEX(Profils!$G$5:$G$34,$AE714)*Paramètres!$E$23*$AG714*$AJ714,Paramètres!$F$23),0)</f>
        <v>0</v>
      </c>
      <c r="N714" s="19" t="n">
        <f aca="false" t="array" ref="N714:N714">IF(AND(INDEX(Profils!$H$5:$H$34,$AE714)&gt;0,INDEX(Profils!$W$5:$W$34,$AE714)&lt;=$AH714),ROUND(INDEX(Profils!$H$5:$H$34,$AE714)*Paramètres!$E$24*$AG714*$AJ714,Paramètres!$F$24),0)</f>
        <v>12</v>
      </c>
      <c r="O714" s="19" t="n">
        <f aca="false" t="array" ref="O714:O714">IF(AND(INDEX(Profils!$I$5:$I$34,$AE714)&gt;0,INDEX(Profils!$X$5:$X$34,$AE714)&lt;=$AH714),ROUND(INDEX(Profils!$I$5:$I$34,$AE714)*Paramètres!$E$25*$AG714*$AJ714,Paramètres!$F$25),0)</f>
        <v>0</v>
      </c>
      <c r="P714" s="19" t="n">
        <f aca="false" t="array" ref="P714:P714">IF(AND(INDEX(Profils!$J$5:$J$34,$AE714)&gt;0,INDEX(Profils!$Y$5:$Y$34,$AE714)&lt;=$AH714),ROUND(INDEX(Profils!$J$5:$J$34,$AE714)*Paramètres!$E$26*$AG714*$AJ714,Paramètres!$F$26),0)</f>
        <v>16</v>
      </c>
      <c r="Q714" s="19" t="n">
        <f aca="false" t="array" ref="Q714:Q714">IF(AND(INDEX(Profils!$K$5:$K$34,$AE714)&gt;0,INDEX(Profils!$Z$5:$Z$34,$AE714)&lt;=$AH714),ROUND(INDEX(Profils!$K$5:$K$34,$AE714)*Paramètres!$E$27*$AG714*$AJ714,Paramètres!$F$27),0)</f>
        <v>0</v>
      </c>
      <c r="R714" s="20" t="n">
        <f aca="false" t="array" ref="R714:R714">IF(AND(INDEX(Profils!$L$5:$L$34,$AE714)&gt;0,INDEX(Profils!$AA$5:$AA$34,$AE714)&lt;=$AH714),ROUND(INDEX(Profils!$L$5:$L$34,$AE714)*Paramètres!$E$28*$AG714*$AJ714,Paramètres!$F$28),0)</f>
        <v>0</v>
      </c>
      <c r="S714" s="20" t="n">
        <f aca="false" t="array" ref="S714:S714">IF(AND(INDEX(Profils!$M$5:$M$34,$AE714)&gt;0,INDEX(Profils!$AB$5:$AB$34,$AE714)&lt;=$AH714),ROUND(INDEX(Profils!$M$5:$M$34,$AE714)*Paramètres!$E$29*$AG714*$AJ714,Paramètres!$F$29),0)</f>
        <v>0</v>
      </c>
      <c r="T714" s="20" t="n">
        <f aca="false" t="array" ref="T714:T714">IF(AND(INDEX(Profils!$N$5:$N$34,$AE714)&gt;0,INDEX(Profils!$AC$5:$AC$34,$AE714)&lt;=$AH714),ROUND(INDEX(Profils!$N$5:$N$34,$AE714)*Paramètres!$E$30*$AG714*$AJ714,Paramètres!$F$30),0)</f>
        <v>0</v>
      </c>
      <c r="U714" s="19" t="n">
        <f aca="false" t="array" ref="U714:U714">IF(AND(INDEX(Profils!$O$5:$O$34,$AE714)&gt;0,INDEX(Profils!$AD$5:$AD$34,$AE714)&lt;=$AH714),ROUND(INDEX(Profils!$O$5:$O$34,$AE714)*Paramètres!$E$31*$AG714*$AJ714,Paramètres!$F$31),0)</f>
        <v>19</v>
      </c>
      <c r="V714" s="20" t="n">
        <f aca="false" t="array" ref="V714:V714">IF(AND(INDEX(Profils!$P$5:$P$34,$AE714)&gt;0,INDEX(Profils!$AE$5:$AE$34,$AE714)&lt;=$AH714),ROUND(INDEX(Profils!$P$5:$P$34,$AE714)*Paramètres!$E$32*$AG714*$AJ714,Paramètres!$F$32),0)</f>
        <v>0</v>
      </c>
      <c r="W714" s="20" t="n">
        <f aca="false" t="array" ref="W714:W714">IF(AND(INDEX(Profils!$Q$5:$Q$34,$AE714)&gt;0,INDEX(Profils!$AF$5:$AF$34,$AE714)&lt;=$AH714),ROUND(INDEX(Profils!$Q$5:$Q$34,$AE714)*Paramètres!$E$33*$AG714*$AJ714,Paramètres!$F$33),0)</f>
        <v>0</v>
      </c>
      <c r="X714" s="20" t="n">
        <f aca="false" t="array" ref="X714:X714">IF(AND(INDEX(Profils!$R$5:$R$34,$AE714)&gt;0,INDEX(Profils!$AG$5:$AG$34,$AE714)&lt;=$AH714),ROUND(INDEX(Profils!$R$5:$R$34,$AE714)*Paramètres!$E$34*$AG714*$AJ714,Paramètres!$F$34),0)</f>
        <v>0</v>
      </c>
      <c r="Y714" s="20" t="n">
        <f aca="false" t="array" ref="Y714:Y714">IF(AND(INDEX(Profils!$S$5:$S$34,$AE714)&gt;0,INDEX(Profils!$AH$5:$AH$34,$AE714)&lt;=$AH714),ROUND(INDEX(Profils!$S$5:$S$34,$AE714)*Paramètres!$E$35*$AG714*$AJ714,Paramètres!$F$35),0)</f>
        <v>0</v>
      </c>
      <c r="Z714" s="21" t="n">
        <f aca="false">ROUND(L714/Paramètres!$E$22+M714/Paramètres!$E$23+N714/Paramètres!$E$24+O714/Paramètres!$E$25+P714/Paramètres!$E$26+Q714/Paramètres!$E$27+R714/Paramètres!$E$28+S714/Paramètres!$E$29+T714/Paramètres!$E$30+U714/Paramètres!$E$31+V714/Paramètres!$E$32+W714/Paramètres!$E$33+X714/Paramètres!$E$34+Y714/Paramètres!$E$35,1)</f>
        <v>4.5</v>
      </c>
      <c r="AA714" s="22" t="s">
        <v>109</v>
      </c>
      <c r="AB714" s="22" t="s">
        <v>109</v>
      </c>
      <c r="AC714" s="15" t="str">
        <f aca="false">$E714</f>
        <v>peau de dragon</v>
      </c>
      <c r="AD714" s="16" t="n">
        <f aca="false" t="array" ref="AD714:AD714">IF($I714&gt;=$AI714,"Max",ROUND(Paramètres!$B$40*($I714+1)^Paramètres!$B$41*INDEX(Paramètres!$H$6:$H$12,$AF714),0))</f>
        <v>4</v>
      </c>
      <c r="AE714" s="23" t="n">
        <f aca="false">MATCH($B714&amp;"|"&amp;$C714,Profils!$A$5:$A$34,0)</f>
        <v>23</v>
      </c>
      <c r="AF714" s="23" t="n">
        <v>3</v>
      </c>
      <c r="AG714" s="24" t="n">
        <f aca="false" t="array" ref="AG714:AG714">INDEX(Paramètres!$C$6:$C$12,$AF714)</f>
        <v>1.45</v>
      </c>
      <c r="AH714" s="23" t="n">
        <f aca="false" t="array" ref="AH714:AH714">INDEX(Paramètres!$D$6:$D$12,$AF714)</f>
        <v>4</v>
      </c>
      <c r="AI714" s="23" t="n">
        <f aca="false" t="array" ref="AI714:AI714">INDEX(Matériaux!$C$16:$C$20,$D714)</f>
        <v>30</v>
      </c>
      <c r="AJ714" s="25" t="n">
        <f aca="false">Paramètres!$B$16+(1-Paramètres!$B$16)*(($J714-Paramètres!$B$14)/(Paramètres!$B$15-Paramètres!$B$14))^Paramètres!$B$17</f>
        <v>0.665999387952727</v>
      </c>
    </row>
    <row r="715" customFormat="false" ht="15.75" hidden="false" customHeight="true" outlineLevel="0" collapsed="false">
      <c r="A715" s="14" t="s">
        <v>831</v>
      </c>
      <c r="B715" s="15" t="s">
        <v>31</v>
      </c>
      <c r="C715" s="15" t="s">
        <v>177</v>
      </c>
      <c r="D715" s="16" t="n">
        <v>5</v>
      </c>
      <c r="E715" s="15" t="str">
        <f aca="false" t="array" ref="E715:E715">INDEX(Matériaux!$B$5:$F$12,MATCH(INDEX(Profils!$E$5:$E$34,$AE715),Matériaux!$A$5:$A$12,0),$D715)</f>
        <v>peau de dragon</v>
      </c>
      <c r="F715" s="28" t="s">
        <v>115</v>
      </c>
      <c r="G715" s="10" t="str">
        <f aca="false" t="array" ref="G715:G715">INDEX(Profils!$D$5:$D$34,$AE715)&amp;" en "&amp;$E715</f>
        <v>Pantalon en peau de dragon</v>
      </c>
      <c r="H715" s="16" t="n">
        <f aca="false" t="array" ref="H715:H715">INDEX(Matériaux!$B$16:$B$20,$D715)</f>
        <v>70</v>
      </c>
      <c r="I715" s="16" t="n">
        <f aca="false">IF(ISNUMBER($C$3),MIN(MAX(0,ROUND($C$3,0)),$AI715),$AI715)</f>
        <v>0</v>
      </c>
      <c r="J715" s="18" t="n">
        <f aca="false">$H715+$I715</f>
        <v>70</v>
      </c>
      <c r="K715" s="15" t="s">
        <v>109</v>
      </c>
      <c r="L715" s="19" t="n">
        <f aca="false" t="array" ref="L715:L715">IF(AND(INDEX(Profils!$F$5:$F$34,$AE715)&gt;0,INDEX(Profils!$U$5:$U$34,$AE715)&lt;=$AH715),ROUND(INDEX(Profils!$F$5:$F$34,$AE715)*Paramètres!$E$22*$AG715*$AJ715,Paramètres!$F$22),0)</f>
        <v>44</v>
      </c>
      <c r="M715" s="19" t="n">
        <f aca="false" t="array" ref="M715:M715">IF(AND(INDEX(Profils!$G$5:$G$34,$AE715)&gt;0,INDEX(Profils!$V$5:$V$34,$AE715)&lt;=$AH715),ROUND(INDEX(Profils!$G$5:$G$34,$AE715)*Paramètres!$E$23*$AG715*$AJ715,Paramètres!$F$23),0)</f>
        <v>0</v>
      </c>
      <c r="N715" s="19" t="n">
        <f aca="false" t="array" ref="N715:N715">IF(AND(INDEX(Profils!$H$5:$H$34,$AE715)&gt;0,INDEX(Profils!$W$5:$W$34,$AE715)&lt;=$AH715),ROUND(INDEX(Profils!$H$5:$H$34,$AE715)*Paramètres!$E$24*$AG715*$AJ715,Paramètres!$F$24),0)</f>
        <v>14</v>
      </c>
      <c r="O715" s="19" t="n">
        <f aca="false" t="array" ref="O715:O715">IF(AND(INDEX(Profils!$I$5:$I$34,$AE715)&gt;0,INDEX(Profils!$X$5:$X$34,$AE715)&lt;=$AH715),ROUND(INDEX(Profils!$I$5:$I$34,$AE715)*Paramètres!$E$25*$AG715*$AJ715,Paramètres!$F$25),0)</f>
        <v>0</v>
      </c>
      <c r="P715" s="19" t="n">
        <f aca="false" t="array" ref="P715:P715">IF(AND(INDEX(Profils!$J$5:$J$34,$AE715)&gt;0,INDEX(Profils!$Y$5:$Y$34,$AE715)&lt;=$AH715),ROUND(INDEX(Profils!$J$5:$J$34,$AE715)*Paramètres!$E$26*$AG715*$AJ715,Paramètres!$F$26),0)</f>
        <v>20</v>
      </c>
      <c r="Q715" s="19" t="n">
        <f aca="false" t="array" ref="Q715:Q715">IF(AND(INDEX(Profils!$K$5:$K$34,$AE715)&gt;0,INDEX(Profils!$Z$5:$Z$34,$AE715)&lt;=$AH715),ROUND(INDEX(Profils!$K$5:$K$34,$AE715)*Paramètres!$E$27*$AG715*$AJ715,Paramètres!$F$27),0)</f>
        <v>0</v>
      </c>
      <c r="R715" s="20" t="n">
        <f aca="false" t="array" ref="R715:R715">IF(AND(INDEX(Profils!$L$5:$L$34,$AE715)&gt;0,INDEX(Profils!$AA$5:$AA$34,$AE715)&lt;=$AH715),ROUND(INDEX(Profils!$L$5:$L$34,$AE715)*Paramètres!$E$28*$AG715*$AJ715,Paramètres!$F$28),0)</f>
        <v>0.012</v>
      </c>
      <c r="S715" s="20" t="n">
        <f aca="false" t="array" ref="S715:S715">IF(AND(INDEX(Profils!$M$5:$M$34,$AE715)&gt;0,INDEX(Profils!$AB$5:$AB$34,$AE715)&lt;=$AH715),ROUND(INDEX(Profils!$M$5:$M$34,$AE715)*Paramètres!$E$29*$AG715*$AJ715,Paramètres!$F$29),0)</f>
        <v>0</v>
      </c>
      <c r="T715" s="20" t="n">
        <f aca="false" t="array" ref="T715:T715">IF(AND(INDEX(Profils!$N$5:$N$34,$AE715)&gt;0,INDEX(Profils!$AC$5:$AC$34,$AE715)&lt;=$AH715),ROUND(INDEX(Profils!$N$5:$N$34,$AE715)*Paramètres!$E$30*$AG715*$AJ715,Paramètres!$F$30),0)</f>
        <v>0</v>
      </c>
      <c r="U715" s="19" t="n">
        <f aca="false" t="array" ref="U715:U715">IF(AND(INDEX(Profils!$O$5:$O$34,$AE715)&gt;0,INDEX(Profils!$AD$5:$AD$34,$AE715)&lt;=$AH715),ROUND(INDEX(Profils!$O$5:$O$34,$AE715)*Paramètres!$E$31*$AG715*$AJ715,Paramètres!$F$31),0)</f>
        <v>23</v>
      </c>
      <c r="V715" s="20" t="n">
        <f aca="false" t="array" ref="V715:V715">IF(AND(INDEX(Profils!$P$5:$P$34,$AE715)&gt;0,INDEX(Profils!$AE$5:$AE$34,$AE715)&lt;=$AH715),ROUND(INDEX(Profils!$P$5:$P$34,$AE715)*Paramètres!$E$32*$AG715*$AJ715,Paramètres!$F$32),0)</f>
        <v>0</v>
      </c>
      <c r="W715" s="20" t="n">
        <f aca="false" t="array" ref="W715:W715">IF(AND(INDEX(Profils!$Q$5:$Q$34,$AE715)&gt;0,INDEX(Profils!$AF$5:$AF$34,$AE715)&lt;=$AH715),ROUND(INDEX(Profils!$Q$5:$Q$34,$AE715)*Paramètres!$E$33*$AG715*$AJ715,Paramètres!$F$33),0)</f>
        <v>0</v>
      </c>
      <c r="X715" s="20" t="n">
        <f aca="false" t="array" ref="X715:X715">IF(AND(INDEX(Profils!$R$5:$R$34,$AE715)&gt;0,INDEX(Profils!$AG$5:$AG$34,$AE715)&lt;=$AH715),ROUND(INDEX(Profils!$R$5:$R$34,$AE715)*Paramètres!$E$34*$AG715*$AJ715,Paramètres!$F$34),0)</f>
        <v>0</v>
      </c>
      <c r="Y715" s="20" t="n">
        <f aca="false" t="array" ref="Y715:Y715">IF(AND(INDEX(Profils!$S$5:$S$34,$AE715)&gt;0,INDEX(Profils!$AH$5:$AH$34,$AE715)&lt;=$AH715),ROUND(INDEX(Profils!$S$5:$S$34,$AE715)*Paramètres!$E$35*$AG715*$AJ715,Paramètres!$F$35),0)</f>
        <v>0</v>
      </c>
      <c r="Z715" s="21" t="n">
        <f aca="false">ROUND(L715/Paramètres!$E$22+M715/Paramètres!$E$23+N715/Paramètres!$E$24+O715/Paramètres!$E$25+P715/Paramètres!$E$26+Q715/Paramètres!$E$27+R715/Paramètres!$E$28+S715/Paramètres!$E$29+T715/Paramètres!$E$30+U715/Paramètres!$E$31+V715/Paramètres!$E$32+W715/Paramètres!$E$33+X715/Paramètres!$E$34+Y715/Paramètres!$E$35,1)</f>
        <v>6.3</v>
      </c>
      <c r="AA715" s="22" t="s">
        <v>109</v>
      </c>
      <c r="AB715" s="22" t="s">
        <v>109</v>
      </c>
      <c r="AC715" s="15" t="str">
        <f aca="false">$E715</f>
        <v>peau de dragon</v>
      </c>
      <c r="AD715" s="16" t="n">
        <f aca="false" t="array" ref="AD715:AD715">IF($I715&gt;=$AI715,"Max",ROUND(Paramètres!$B$40*($I715+1)^Paramètres!$B$41*INDEX(Paramètres!$H$6:$H$12,$AF715),0))</f>
        <v>5</v>
      </c>
      <c r="AE715" s="23" t="n">
        <f aca="false">MATCH($B715&amp;"|"&amp;$C715,Profils!$A$5:$A$34,0)</f>
        <v>23</v>
      </c>
      <c r="AF715" s="23" t="n">
        <v>4</v>
      </c>
      <c r="AG715" s="24" t="n">
        <f aca="false" t="array" ref="AG715:AG715">INDEX(Paramètres!$C$6:$C$12,$AF715)</f>
        <v>1.75</v>
      </c>
      <c r="AH715" s="23" t="n">
        <f aca="false" t="array" ref="AH715:AH715">INDEX(Paramètres!$D$6:$D$12,$AF715)</f>
        <v>5</v>
      </c>
      <c r="AI715" s="23" t="n">
        <f aca="false" t="array" ref="AI715:AI715">INDEX(Matériaux!$C$16:$C$20,$D715)</f>
        <v>30</v>
      </c>
      <c r="AJ715" s="25" t="n">
        <f aca="false">Paramètres!$B$16+(1-Paramètres!$B$16)*(($J715-Paramètres!$B$14)/(Paramètres!$B$15-Paramètres!$B$14))^Paramètres!$B$17</f>
        <v>0.665999387952727</v>
      </c>
    </row>
    <row r="716" customFormat="false" ht="15.75" hidden="false" customHeight="true" outlineLevel="0" collapsed="false">
      <c r="A716" s="14" t="s">
        <v>832</v>
      </c>
      <c r="B716" s="15" t="s">
        <v>31</v>
      </c>
      <c r="C716" s="15" t="s">
        <v>177</v>
      </c>
      <c r="D716" s="16" t="n">
        <v>5</v>
      </c>
      <c r="E716" s="15" t="str">
        <f aca="false" t="array" ref="E716:E716">INDEX(Matériaux!$B$5:$F$12,MATCH(INDEX(Profils!$E$5:$E$34,$AE716),Matériaux!$A$5:$A$12,0),$D716)</f>
        <v>peau de dragon</v>
      </c>
      <c r="F716" s="29" t="s">
        <v>117</v>
      </c>
      <c r="G716" s="10" t="str">
        <f aca="false" t="array" ref="G716:G716">INDEX(Profils!$D$5:$D$34,$AE716)&amp;" en "&amp;$E716</f>
        <v>Pantalon en peau de dragon</v>
      </c>
      <c r="H716" s="16" t="n">
        <f aca="false" t="array" ref="H716:H716">INDEX(Matériaux!$B$16:$B$20,$D716)</f>
        <v>70</v>
      </c>
      <c r="I716" s="16" t="n">
        <f aca="false">IF(ISNUMBER($C$3),MIN(MAX(0,ROUND($C$3,0)),$AI716),$AI716)</f>
        <v>0</v>
      </c>
      <c r="J716" s="18" t="n">
        <f aca="false">$H716+$I716</f>
        <v>70</v>
      </c>
      <c r="K716" s="15" t="s">
        <v>109</v>
      </c>
      <c r="L716" s="19" t="n">
        <f aca="false" t="array" ref="L716:L716">IF(AND(INDEX(Profils!$F$5:$F$34,$AE716)&gt;0,INDEX(Profils!$U$5:$U$34,$AE716)&lt;=$AH716),ROUND(INDEX(Profils!$F$5:$F$34,$AE716)*Paramètres!$E$22*$AG716*$AJ716,Paramètres!$F$22),0)</f>
        <v>52</v>
      </c>
      <c r="M716" s="19" t="n">
        <f aca="false" t="array" ref="M716:M716">IF(AND(INDEX(Profils!$G$5:$G$34,$AE716)&gt;0,INDEX(Profils!$V$5:$V$34,$AE716)&lt;=$AH716),ROUND(INDEX(Profils!$G$5:$G$34,$AE716)*Paramètres!$E$23*$AG716*$AJ716,Paramètres!$F$23),0)</f>
        <v>10</v>
      </c>
      <c r="N716" s="19" t="n">
        <f aca="false" t="array" ref="N716:N716">IF(AND(INDEX(Profils!$H$5:$H$34,$AE716)&gt;0,INDEX(Profils!$W$5:$W$34,$AE716)&lt;=$AH716),ROUND(INDEX(Profils!$H$5:$H$34,$AE716)*Paramètres!$E$24*$AG716*$AJ716,Paramètres!$F$24),0)</f>
        <v>17</v>
      </c>
      <c r="O716" s="19" t="n">
        <f aca="false" t="array" ref="O716:O716">IF(AND(INDEX(Profils!$I$5:$I$34,$AE716)&gt;0,INDEX(Profils!$X$5:$X$34,$AE716)&lt;=$AH716),ROUND(INDEX(Profils!$I$5:$I$34,$AE716)*Paramètres!$E$25*$AG716*$AJ716,Paramètres!$F$25),0)</f>
        <v>0</v>
      </c>
      <c r="P716" s="19" t="n">
        <f aca="false" t="array" ref="P716:P716">IF(AND(INDEX(Profils!$J$5:$J$34,$AE716)&gt;0,INDEX(Profils!$Y$5:$Y$34,$AE716)&lt;=$AH716),ROUND(INDEX(Profils!$J$5:$J$34,$AE716)*Paramètres!$E$26*$AG716*$AJ716,Paramètres!$F$26),0)</f>
        <v>23</v>
      </c>
      <c r="Q716" s="19" t="n">
        <f aca="false" t="array" ref="Q716:Q716">IF(AND(INDEX(Profils!$K$5:$K$34,$AE716)&gt;0,INDEX(Profils!$Z$5:$Z$34,$AE716)&lt;=$AH716),ROUND(INDEX(Profils!$K$5:$K$34,$AE716)*Paramètres!$E$27*$AG716*$AJ716,Paramètres!$F$27),0)</f>
        <v>0</v>
      </c>
      <c r="R716" s="20" t="n">
        <f aca="false" t="array" ref="R716:R716">IF(AND(INDEX(Profils!$L$5:$L$34,$AE716)&gt;0,INDEX(Profils!$AA$5:$AA$34,$AE716)&lt;=$AH716),ROUND(INDEX(Profils!$L$5:$L$34,$AE716)*Paramètres!$E$28*$AG716*$AJ716,Paramètres!$F$28),0)</f>
        <v>0.015</v>
      </c>
      <c r="S716" s="20" t="n">
        <f aca="false" t="array" ref="S716:S716">IF(AND(INDEX(Profils!$M$5:$M$34,$AE716)&gt;0,INDEX(Profils!$AB$5:$AB$34,$AE716)&lt;=$AH716),ROUND(INDEX(Profils!$M$5:$M$34,$AE716)*Paramètres!$E$29*$AG716*$AJ716,Paramètres!$F$29),0)</f>
        <v>0</v>
      </c>
      <c r="T716" s="20" t="n">
        <f aca="false" t="array" ref="T716:T716">IF(AND(INDEX(Profils!$N$5:$N$34,$AE716)&gt;0,INDEX(Profils!$AC$5:$AC$34,$AE716)&lt;=$AH716),ROUND(INDEX(Profils!$N$5:$N$34,$AE716)*Paramètres!$E$30*$AG716*$AJ716,Paramètres!$F$30),0)</f>
        <v>0</v>
      </c>
      <c r="U716" s="19" t="n">
        <f aca="false" t="array" ref="U716:U716">IF(AND(INDEX(Profils!$O$5:$O$34,$AE716)&gt;0,INDEX(Profils!$AD$5:$AD$34,$AE716)&lt;=$AH716),ROUND(INDEX(Profils!$O$5:$O$34,$AE716)*Paramètres!$E$31*$AG716*$AJ716,Paramètres!$F$31),0)</f>
        <v>28</v>
      </c>
      <c r="V716" s="20" t="n">
        <f aca="false" t="array" ref="V716:V716">IF(AND(INDEX(Profils!$P$5:$P$34,$AE716)&gt;0,INDEX(Profils!$AE$5:$AE$34,$AE716)&lt;=$AH716),ROUND(INDEX(Profils!$P$5:$P$34,$AE716)*Paramètres!$E$32*$AG716*$AJ716,Paramètres!$F$32),0)</f>
        <v>0</v>
      </c>
      <c r="W716" s="20" t="n">
        <f aca="false" t="array" ref="W716:W716">IF(AND(INDEX(Profils!$Q$5:$Q$34,$AE716)&gt;0,INDEX(Profils!$AF$5:$AF$34,$AE716)&lt;=$AH716),ROUND(INDEX(Profils!$Q$5:$Q$34,$AE716)*Paramètres!$E$33*$AG716*$AJ716,Paramètres!$F$33),0)</f>
        <v>0</v>
      </c>
      <c r="X716" s="20" t="n">
        <f aca="false" t="array" ref="X716:X716">IF(AND(INDEX(Profils!$R$5:$R$34,$AE716)&gt;0,INDEX(Profils!$AG$5:$AG$34,$AE716)&lt;=$AH716),ROUND(INDEX(Profils!$R$5:$R$34,$AE716)*Paramètres!$E$34*$AG716*$AJ716,Paramètres!$F$34),0)</f>
        <v>0</v>
      </c>
      <c r="Y716" s="20" t="n">
        <f aca="false" t="array" ref="Y716:Y716">IF(AND(INDEX(Profils!$S$5:$S$34,$AE716)&gt;0,INDEX(Profils!$AH$5:$AH$34,$AE716)&lt;=$AH716),ROUND(INDEX(Profils!$S$5:$S$34,$AE716)*Paramètres!$E$35*$AG716*$AJ716,Paramètres!$F$35),0)</f>
        <v>0</v>
      </c>
      <c r="Z716" s="21" t="n">
        <f aca="false">ROUND(L716/Paramètres!$E$22+M716/Paramètres!$E$23+N716/Paramètres!$E$24+O716/Paramètres!$E$25+P716/Paramètres!$E$26+Q716/Paramètres!$E$27+R716/Paramètres!$E$28+S716/Paramètres!$E$29+T716/Paramètres!$E$30+U716/Paramètres!$E$31+V716/Paramètres!$E$32+W716/Paramètres!$E$33+X716/Paramètres!$E$34+Y716/Paramètres!$E$35,1)</f>
        <v>8.2</v>
      </c>
      <c r="AA716" s="22" t="s">
        <v>109</v>
      </c>
      <c r="AB716" s="22" t="s">
        <v>109</v>
      </c>
      <c r="AC716" s="15" t="str">
        <f aca="false">$E716</f>
        <v>peau de dragon</v>
      </c>
      <c r="AD716" s="16" t="n">
        <f aca="false" t="array" ref="AD716:AD716">IF($I716&gt;=$AI716,"Max",ROUND(Paramètres!$B$40*($I716+1)^Paramètres!$B$41*INDEX(Paramètres!$H$6:$H$12,$AF716),0))</f>
        <v>6</v>
      </c>
      <c r="AE716" s="23" t="n">
        <f aca="false">MATCH($B716&amp;"|"&amp;$C716,Profils!$A$5:$A$34,0)</f>
        <v>23</v>
      </c>
      <c r="AF716" s="23" t="n">
        <v>5</v>
      </c>
      <c r="AG716" s="24" t="n">
        <f aca="false" t="array" ref="AG716:AG716">INDEX(Paramètres!$C$6:$C$12,$AF716)</f>
        <v>2.1</v>
      </c>
      <c r="AH716" s="23" t="n">
        <f aca="false" t="array" ref="AH716:AH716">INDEX(Paramètres!$D$6:$D$12,$AF716)</f>
        <v>6</v>
      </c>
      <c r="AI716" s="23" t="n">
        <f aca="false" t="array" ref="AI716:AI716">INDEX(Matériaux!$C$16:$C$20,$D716)</f>
        <v>30</v>
      </c>
      <c r="AJ716" s="25" t="n">
        <f aca="false">Paramètres!$B$16+(1-Paramètres!$B$16)*(($J716-Paramètres!$B$14)/(Paramètres!$B$15-Paramètres!$B$14))^Paramètres!$B$17</f>
        <v>0.665999387952727</v>
      </c>
    </row>
    <row r="717" customFormat="false" ht="15.75" hidden="false" customHeight="true" outlineLevel="0" collapsed="false">
      <c r="A717" s="14" t="s">
        <v>833</v>
      </c>
      <c r="B717" s="15" t="s">
        <v>31</v>
      </c>
      <c r="C717" s="15" t="s">
        <v>177</v>
      </c>
      <c r="D717" s="16" t="n">
        <v>5</v>
      </c>
      <c r="E717" s="15" t="str">
        <f aca="false" t="array" ref="E717:E717">INDEX(Matériaux!$B$5:$F$12,MATCH(INDEX(Profils!$E$5:$E$34,$AE717),Matériaux!$A$5:$A$12,0),$D717)</f>
        <v>peau de dragon</v>
      </c>
      <c r="F717" s="30" t="s">
        <v>119</v>
      </c>
      <c r="G717" s="10" t="str">
        <f aca="false" t="array" ref="G717:G717">INDEX(Profils!$D$5:$D$34,$AE717)&amp;" en "&amp;$E717</f>
        <v>Pantalon en peau de dragon</v>
      </c>
      <c r="H717" s="16" t="n">
        <f aca="false" t="array" ref="H717:H717">INDEX(Matériaux!$B$16:$B$20,$D717)</f>
        <v>70</v>
      </c>
      <c r="I717" s="16" t="n">
        <f aca="false">IF(ISNUMBER($C$3),MIN(MAX(0,ROUND($C$3,0)),$AI717),$AI717)</f>
        <v>0</v>
      </c>
      <c r="J717" s="18" t="n">
        <f aca="false">$H717+$I717</f>
        <v>70</v>
      </c>
      <c r="K717" s="15" t="s">
        <v>109</v>
      </c>
      <c r="L717" s="19" t="n">
        <f aca="false" t="array" ref="L717:L717">IF(AND(INDEX(Profils!$F$5:$F$34,$AE717)&gt;0,INDEX(Profils!$U$5:$U$34,$AE717)&lt;=$AH717),ROUND(INDEX(Profils!$F$5:$F$34,$AE717)*Paramètres!$E$22*$AG717*$AJ717,Paramètres!$F$22),0)</f>
        <v>60</v>
      </c>
      <c r="M717" s="19" t="n">
        <f aca="false" t="array" ref="M717:M717">IF(AND(INDEX(Profils!$G$5:$G$34,$AE717)&gt;0,INDEX(Profils!$V$5:$V$34,$AE717)&lt;=$AH717),ROUND(INDEX(Profils!$G$5:$G$34,$AE717)*Paramètres!$E$23*$AG717*$AJ717,Paramètres!$F$23),0)</f>
        <v>12</v>
      </c>
      <c r="N717" s="19" t="n">
        <f aca="false" t="array" ref="N717:N717">IF(AND(INDEX(Profils!$H$5:$H$34,$AE717)&gt;0,INDEX(Profils!$W$5:$W$34,$AE717)&lt;=$AH717),ROUND(INDEX(Profils!$H$5:$H$34,$AE717)*Paramètres!$E$24*$AG717*$AJ717,Paramètres!$F$24),0)</f>
        <v>19</v>
      </c>
      <c r="O717" s="19" t="n">
        <f aca="false" t="array" ref="O717:O717">IF(AND(INDEX(Profils!$I$5:$I$34,$AE717)&gt;0,INDEX(Profils!$X$5:$X$34,$AE717)&lt;=$AH717),ROUND(INDEX(Profils!$I$5:$I$34,$AE717)*Paramètres!$E$25*$AG717*$AJ717,Paramètres!$F$25),0)</f>
        <v>0</v>
      </c>
      <c r="P717" s="19" t="n">
        <f aca="false" t="array" ref="P717:P717">IF(AND(INDEX(Profils!$J$5:$J$34,$AE717)&gt;0,INDEX(Profils!$Y$5:$Y$34,$AE717)&lt;=$AH717),ROUND(INDEX(Profils!$J$5:$J$34,$AE717)*Paramètres!$E$26*$AG717*$AJ717,Paramètres!$F$26),0)</f>
        <v>27</v>
      </c>
      <c r="Q717" s="19" t="n">
        <f aca="false" t="array" ref="Q717:Q717">IF(AND(INDEX(Profils!$K$5:$K$34,$AE717)&gt;0,INDEX(Profils!$Z$5:$Z$34,$AE717)&lt;=$AH717),ROUND(INDEX(Profils!$K$5:$K$34,$AE717)*Paramètres!$E$27*$AG717*$AJ717,Paramètres!$F$27),0)</f>
        <v>0</v>
      </c>
      <c r="R717" s="20" t="n">
        <f aca="false" t="array" ref="R717:R717">IF(AND(INDEX(Profils!$L$5:$L$34,$AE717)&gt;0,INDEX(Profils!$AA$5:$AA$34,$AE717)&lt;=$AH717),ROUND(INDEX(Profils!$L$5:$L$34,$AE717)*Paramètres!$E$28*$AG717*$AJ717,Paramètres!$F$28),0)</f>
        <v>0.017</v>
      </c>
      <c r="S717" s="20" t="n">
        <f aca="false" t="array" ref="S717:S717">IF(AND(INDEX(Profils!$M$5:$M$34,$AE717)&gt;0,INDEX(Profils!$AB$5:$AB$34,$AE717)&lt;=$AH717),ROUND(INDEX(Profils!$M$5:$M$34,$AE717)*Paramètres!$E$29*$AG717*$AJ717,Paramètres!$F$29),0)</f>
        <v>0</v>
      </c>
      <c r="T717" s="20" t="n">
        <f aca="false" t="array" ref="T717:T717">IF(AND(INDEX(Profils!$N$5:$N$34,$AE717)&gt;0,INDEX(Profils!$AC$5:$AC$34,$AE717)&lt;=$AH717),ROUND(INDEX(Profils!$N$5:$N$34,$AE717)*Paramètres!$E$30*$AG717*$AJ717,Paramètres!$F$30),0)</f>
        <v>0</v>
      </c>
      <c r="U717" s="19" t="n">
        <f aca="false" t="array" ref="U717:U717">IF(AND(INDEX(Profils!$O$5:$O$34,$AE717)&gt;0,INDEX(Profils!$AD$5:$AD$34,$AE717)&lt;=$AH717),ROUND(INDEX(Profils!$O$5:$O$34,$AE717)*Paramètres!$E$31*$AG717*$AJ717,Paramètres!$F$31),0)</f>
        <v>32</v>
      </c>
      <c r="V717" s="20" t="n">
        <f aca="false" t="array" ref="V717:V717">IF(AND(INDEX(Profils!$P$5:$P$34,$AE717)&gt;0,INDEX(Profils!$AE$5:$AE$34,$AE717)&lt;=$AH717),ROUND(INDEX(Profils!$P$5:$P$34,$AE717)*Paramètres!$E$32*$AG717*$AJ717,Paramètres!$F$32),0)</f>
        <v>0</v>
      </c>
      <c r="W717" s="20" t="n">
        <f aca="false" t="array" ref="W717:W717">IF(AND(INDEX(Profils!$Q$5:$Q$34,$AE717)&gt;0,INDEX(Profils!$AF$5:$AF$34,$AE717)&lt;=$AH717),ROUND(INDEX(Profils!$Q$5:$Q$34,$AE717)*Paramètres!$E$33*$AG717*$AJ717,Paramètres!$F$33),0)</f>
        <v>0.012</v>
      </c>
      <c r="X717" s="20" t="n">
        <f aca="false" t="array" ref="X717:X717">IF(AND(INDEX(Profils!$R$5:$R$34,$AE717)&gt;0,INDEX(Profils!$AG$5:$AG$34,$AE717)&lt;=$AH717),ROUND(INDEX(Profils!$R$5:$R$34,$AE717)*Paramètres!$E$34*$AG717*$AJ717,Paramètres!$F$34),0)</f>
        <v>0</v>
      </c>
      <c r="Y717" s="20" t="n">
        <f aca="false" t="array" ref="Y717:Y717">IF(AND(INDEX(Profils!$S$5:$S$34,$AE717)&gt;0,INDEX(Profils!$AH$5:$AH$34,$AE717)&lt;=$AH717),ROUND(INDEX(Profils!$S$5:$S$34,$AE717)*Paramètres!$E$35*$AG717*$AJ717,Paramètres!$F$35),0)</f>
        <v>0</v>
      </c>
      <c r="Z717" s="21" t="n">
        <f aca="false">ROUND(L717/Paramètres!$E$22+M717/Paramètres!$E$23+N717/Paramètres!$E$24+O717/Paramètres!$E$25+P717/Paramètres!$E$26+Q717/Paramètres!$E$27+R717/Paramètres!$E$28+S717/Paramètres!$E$29+T717/Paramètres!$E$30+U717/Paramètres!$E$31+V717/Paramètres!$E$32+W717/Paramètres!$E$33+X717/Paramètres!$E$34+Y717/Paramètres!$E$35,1)</f>
        <v>10.3</v>
      </c>
      <c r="AA717" s="22" t="s">
        <v>109</v>
      </c>
      <c r="AB717" s="22" t="s">
        <v>109</v>
      </c>
      <c r="AC717" s="15" t="str">
        <f aca="false">$E717</f>
        <v>peau de dragon</v>
      </c>
      <c r="AD717" s="16" t="n">
        <f aca="false" t="array" ref="AD717:AD717">IF($I717&gt;=$AI717,"Max",ROUND(Paramètres!$B$40*($I717+1)^Paramètres!$B$41*INDEX(Paramètres!$H$6:$H$12,$AF717),0))</f>
        <v>8</v>
      </c>
      <c r="AE717" s="23" t="n">
        <f aca="false">MATCH($B717&amp;"|"&amp;$C717,Profils!$A$5:$A$34,0)</f>
        <v>23</v>
      </c>
      <c r="AF717" s="23" t="n">
        <v>6</v>
      </c>
      <c r="AG717" s="24" t="n">
        <f aca="false" t="array" ref="AG717:AG717">INDEX(Paramètres!$C$6:$C$12,$AF717)</f>
        <v>2.4</v>
      </c>
      <c r="AH717" s="23" t="n">
        <f aca="false" t="array" ref="AH717:AH717">INDEX(Paramètres!$D$6:$D$12,$AF717)</f>
        <v>7</v>
      </c>
      <c r="AI717" s="23" t="n">
        <f aca="false" t="array" ref="AI717:AI717">INDEX(Matériaux!$C$16:$C$20,$D717)</f>
        <v>30</v>
      </c>
      <c r="AJ717" s="25" t="n">
        <f aca="false">Paramètres!$B$16+(1-Paramètres!$B$16)*(($J717-Paramètres!$B$14)/(Paramètres!$B$15-Paramètres!$B$14))^Paramètres!$B$17</f>
        <v>0.665999387952727</v>
      </c>
    </row>
    <row r="718" customFormat="false" ht="15.75" hidden="false" customHeight="true" outlineLevel="0" collapsed="false">
      <c r="A718" s="14" t="s">
        <v>834</v>
      </c>
      <c r="B718" s="15" t="s">
        <v>31</v>
      </c>
      <c r="C718" s="15" t="s">
        <v>177</v>
      </c>
      <c r="D718" s="16" t="s">
        <v>109</v>
      </c>
      <c r="E718" s="15" t="s">
        <v>109</v>
      </c>
      <c r="F718" s="31" t="s">
        <v>38</v>
      </c>
      <c r="G718" s="10" t="str">
        <f aca="false" t="array" ref="G718:G718">INDEX(Uniques!$E$5:$E$34,MATCH($B718&amp;"|"&amp;$C718,Uniques!$A$5:$A$34,0))</f>
        <v>Pantalon du Pisteur Givré</v>
      </c>
      <c r="H718" s="16" t="n">
        <f aca="false" t="array" ref="H718:H718">INDEX(Uniques!$L$5:$L$34,MATCH($B718&amp;"|"&amp;$C718,Uniques!$A$5:$A$34,0))</f>
        <v>61</v>
      </c>
      <c r="I718" s="16" t="n">
        <f aca="false">IF(ISNUMBER($C$3),MIN(MAX(0,ROUND($C$3,0)),$AI718),$AI718)</f>
        <v>0</v>
      </c>
      <c r="J718" s="18" t="n">
        <f aca="false">$H718+$I718</f>
        <v>61</v>
      </c>
      <c r="K718" s="15" t="str">
        <f aca="false" t="array" ref="K718:K718">INDEX(Uniques!$F$5:$F$34,MATCH($B718&amp;"|"&amp;$C718,Uniques!$A$5:$A$34,0))</f>
        <v>Glace</v>
      </c>
      <c r="L718" s="19" t="n">
        <f aca="false" t="array" ref="L718:L718">IF(AND(INDEX(Profils!$F$5:$F$34,$AE718)&gt;0,INDEX(Profils!$U$5:$U$34,$AE718)&lt;=$AH718),ROUND(INDEX(Profils!$F$5:$F$34,$AE718)*Paramètres!$E$22*$AG718*$AJ718,Paramètres!$F$22),0)</f>
        <v>54</v>
      </c>
      <c r="M718" s="19" t="n">
        <f aca="false" t="array" ref="M718:M718">IF(AND(INDEX(Profils!$G$5:$G$34,$AE718)&gt;0,INDEX(Profils!$V$5:$V$34,$AE718)&lt;=$AH718),ROUND(INDEX(Profils!$G$5:$G$34,$AE718)*Paramètres!$E$23*$AG718*$AJ718,Paramètres!$F$23),0)</f>
        <v>11</v>
      </c>
      <c r="N718" s="19" t="n">
        <f aca="false" t="array" ref="N718:N718">IF(AND(INDEX(Profils!$H$5:$H$34,$AE718)&gt;0,INDEX(Profils!$W$5:$W$34,$AE718)&lt;=$AH718),ROUND(INDEX(Profils!$H$5:$H$34,$AE718)*Paramètres!$E$24*$AG718*$AJ718,Paramètres!$F$24),0)</f>
        <v>17</v>
      </c>
      <c r="O718" s="19" t="n">
        <f aca="false" t="array" ref="O718:O718">IF(AND(INDEX(Profils!$I$5:$I$34,$AE718)&gt;0,INDEX(Profils!$X$5:$X$34,$AE718)&lt;=$AH718),ROUND(INDEX(Profils!$I$5:$I$34,$AE718)*Paramètres!$E$25*$AG718*$AJ718,Paramètres!$F$25),0)</f>
        <v>0</v>
      </c>
      <c r="P718" s="19" t="n">
        <f aca="false" t="array" ref="P718:P718">IF(AND(INDEX(Profils!$J$5:$J$34,$AE718)&gt;0,INDEX(Profils!$Y$5:$Y$34,$AE718)&lt;=$AH718),ROUND(INDEX(Profils!$J$5:$J$34,$AE718)*Paramètres!$E$26*$AG718*$AJ718,Paramètres!$F$26),0)</f>
        <v>24</v>
      </c>
      <c r="Q718" s="19" t="n">
        <f aca="false" t="array" ref="Q718:Q718">IF(AND(INDEX(Profils!$K$5:$K$34,$AE718)&gt;0,INDEX(Profils!$Z$5:$Z$34,$AE718)&lt;=$AH718),ROUND(INDEX(Profils!$K$5:$K$34,$AE718)*Paramètres!$E$27*$AG718*$AJ718,Paramètres!$F$27),0)</f>
        <v>0</v>
      </c>
      <c r="R718" s="20" t="n">
        <f aca="false" t="array" ref="R718:R718">IF(AND(INDEX(Profils!$L$5:$L$34,$AE718)&gt;0,INDEX(Profils!$AA$5:$AA$34,$AE718)&lt;=$AH718),ROUND(INDEX(Profils!$L$5:$L$34,$AE718)*Paramètres!$E$28*$AG718*$AJ718,Paramètres!$F$28),0)</f>
        <v>0.015</v>
      </c>
      <c r="S718" s="20" t="n">
        <f aca="false" t="array" ref="S718:S718">IF(AND(INDEX(Profils!$M$5:$M$34,$AE718)&gt;0,INDEX(Profils!$AB$5:$AB$34,$AE718)&lt;=$AH718),ROUND(INDEX(Profils!$M$5:$M$34,$AE718)*Paramètres!$E$29*$AG718*$AJ718,Paramètres!$F$29),0)</f>
        <v>0</v>
      </c>
      <c r="T718" s="20" t="n">
        <f aca="false" t="array" ref="T718:T718">IF(AND(INDEX(Profils!$N$5:$N$34,$AE718)&gt;0,INDEX(Profils!$AC$5:$AC$34,$AE718)&lt;=$AH718),ROUND(INDEX(Profils!$N$5:$N$34,$AE718)*Paramètres!$E$30*$AG718*$AJ718,Paramètres!$F$30),0)</f>
        <v>0</v>
      </c>
      <c r="U718" s="19" t="n">
        <f aca="false" t="array" ref="U718:U718">IF(AND(INDEX(Profils!$O$5:$O$34,$AE718)&gt;0,INDEX(Profils!$AD$5:$AD$34,$AE718)&lt;=$AH718),ROUND(INDEX(Profils!$O$5:$O$34,$AE718)*Paramètres!$E$31*$AG718*$AJ718,Paramètres!$F$31),0)</f>
        <v>29</v>
      </c>
      <c r="V718" s="20" t="n">
        <f aca="false" t="array" ref="V718:V718">IF(AND(INDEX(Profils!$P$5:$P$34,$AE718)&gt;0,INDEX(Profils!$AE$5:$AE$34,$AE718)&lt;=$AH718),ROUND(INDEX(Profils!$P$5:$P$34,$AE718)*Paramètres!$E$32*$AG718*$AJ718,Paramètres!$F$32),0)</f>
        <v>0</v>
      </c>
      <c r="W718" s="20" t="n">
        <f aca="false" t="array" ref="W718:W718">IF(AND(INDEX(Profils!$Q$5:$Q$34,$AE718)&gt;0,INDEX(Profils!$AF$5:$AF$34,$AE718)&lt;=$AH718),ROUND(INDEX(Profils!$Q$5:$Q$34,$AE718)*Paramètres!$E$33*$AG718*$AJ718,Paramètres!$F$33),0)</f>
        <v>0.011</v>
      </c>
      <c r="X718" s="20" t="n">
        <f aca="false" t="array" ref="X718:X718">IF(AND(INDEX(Profils!$R$5:$R$34,$AE718)&gt;0,INDEX(Profils!$AG$5:$AG$34,$AE718)&lt;=$AH718),ROUND(INDEX(Profils!$R$5:$R$34,$AE718)*Paramètres!$E$34*$AG718*$AJ718,Paramètres!$F$34),0)</f>
        <v>0</v>
      </c>
      <c r="Y718" s="20" t="n">
        <f aca="false" t="array" ref="Y718:Y718">IF(AND(INDEX(Profils!$S$5:$S$34,$AE718)&gt;0,INDEX(Profils!$AH$5:$AH$34,$AE718)&lt;=$AH718),ROUND(INDEX(Profils!$S$5:$S$34,$AE718)*Paramètres!$E$35*$AG718*$AJ718,Paramètres!$F$35),0)</f>
        <v>0</v>
      </c>
      <c r="Z718" s="21" t="n">
        <f aca="false">ROUND(L718/Paramètres!$E$22+M718/Paramètres!$E$23+N718/Paramètres!$E$24+O718/Paramètres!$E$25+P718/Paramètres!$E$26+Q718/Paramètres!$E$27+R718/Paramètres!$E$28+S718/Paramètres!$E$29+T718/Paramètres!$E$30+U718/Paramètres!$E$31+V718/Paramètres!$E$32+W718/Paramètres!$E$33+X718/Paramètres!$E$34+Y718/Paramètres!$E$35,1)</f>
        <v>9.2</v>
      </c>
      <c r="AA718" s="22" t="str">
        <f aca="false" t="array" ref="AA718:AA718">INDEX(Uniques!$G$5:$G$34,MATCH($B718&amp;"|"&amp;$C718,Uniques!$A$5:$A$34,0))</f>
        <v>Traque givrée</v>
      </c>
      <c r="AB718" s="22" t="str">
        <f aca="false" t="array" ref="AB718:AB718">INDEX(Uniques!$H$5:$H$34,MATCH($B718&amp;"|"&amp;$C718,Uniques!$A$5:$A$34,0))&amp;" ["&amp;INDEX(Uniques!$I$5:$I$34,MATCH($B718&amp;"|"&amp;$C718,Uniques!$A$5:$A$34,0))&amp;"]"</f>
        <v>Les attaques de base appliquent Froid : −8 % d'Agilité de la cible pendant 2 tours. [Froid non cumulable ; gel après 3 applications.]</v>
      </c>
      <c r="AC718" s="15" t="str">
        <f aca="false" t="array" ref="AC718:AC718">INDEX(Matériaux!$B$5:$F$12,MATCH(INDEX(Profils!$E$5:$E$34,$AE718),Matériaux!$A$5:$A$12,0),MATCH(MIN($J718+1,100),Matériaux!$B$16:$B$20,1))</f>
        <v>écailles</v>
      </c>
      <c r="AD718" s="16" t="n">
        <f aca="false" t="array" ref="AD718:AD718">IF($I718&gt;=$AI718,"Max",ROUND(Paramètres!$B$40*($I718+1)^Paramètres!$B$41*INDEX(Paramètres!$H$6:$H$12,$AF718),0))</f>
        <v>9</v>
      </c>
      <c r="AE718" s="23" t="n">
        <f aca="false">MATCH($B718&amp;"|"&amp;$C718,Profils!$A$5:$A$34,0)</f>
        <v>23</v>
      </c>
      <c r="AF718" s="23" t="n">
        <v>7</v>
      </c>
      <c r="AG718" s="24" t="n">
        <f aca="false" t="array" ref="AG718:AG718">INDEX(Paramètres!$C$6:$C$12,$AF718)</f>
        <v>2.5</v>
      </c>
      <c r="AH718" s="23" t="n">
        <f aca="false" t="array" ref="AH718:AH718">INDEX(Paramètres!$D$6:$D$12,$AF718)</f>
        <v>7</v>
      </c>
      <c r="AI718" s="23" t="n">
        <f aca="false" t="array" ref="AI718:AI718">INDEX(Uniques!$M$5:$M$34,MATCH($B718&amp;"|"&amp;$C718,Uniques!$A$5:$A$34,0))</f>
        <v>39</v>
      </c>
      <c r="AJ718" s="25" t="n">
        <f aca="false">Paramètres!$B$16+(1-Paramètres!$B$16)*(($J718-Paramètres!$B$14)/(Paramètres!$B$15-Paramètres!$B$14))^Paramètres!$B$17</f>
        <v>0.57088622464226</v>
      </c>
    </row>
    <row r="719" customFormat="false" ht="15.75" hidden="false" customHeight="true" outlineLevel="0" collapsed="false">
      <c r="A719" s="14" t="s">
        <v>835</v>
      </c>
      <c r="B719" s="15" t="s">
        <v>31</v>
      </c>
      <c r="C719" s="15" t="s">
        <v>209</v>
      </c>
      <c r="D719" s="16" t="n">
        <v>1</v>
      </c>
      <c r="E719" s="15" t="str">
        <f aca="false" t="array" ref="E719:E719">INDEX(Matériaux!$B$5:$F$12,MATCH(INDEX(Profils!$E$5:$E$34,$AE719),Matériaux!$A$5:$A$12,0),$D719)</f>
        <v>toile</v>
      </c>
      <c r="F719" s="17" t="s">
        <v>108</v>
      </c>
      <c r="G719" s="10" t="str">
        <f aca="false" t="array" ref="G719:G719">INDEX(Profils!$D$5:$D$34,$AE719)&amp;" en "&amp;$E719</f>
        <v>Bottes en toile</v>
      </c>
      <c r="H719" s="16" t="n">
        <f aca="false" t="array" ref="H719:H719">INDEX(Matériaux!$B$16:$B$20,$D719)</f>
        <v>1</v>
      </c>
      <c r="I719" s="16" t="n">
        <f aca="false">IF(ISNUMBER($C$3),MIN(MAX(0,ROUND($C$3,0)),$AI719),$AI719)</f>
        <v>0</v>
      </c>
      <c r="J719" s="18" t="n">
        <f aca="false">$H719+$I719</f>
        <v>1</v>
      </c>
      <c r="K719" s="15" t="s">
        <v>109</v>
      </c>
      <c r="L719" s="19" t="n">
        <f aca="false" t="array" ref="L719:L719">IF(AND(INDEX(Profils!$F$5:$F$34,$AE719)&gt;0,INDEX(Profils!$U$5:$U$34,$AE719)&lt;=$AH719),ROUND(INDEX(Profils!$F$5:$F$34,$AE719)*Paramètres!$E$22*$AG719*$AJ719,Paramètres!$F$22),0)</f>
        <v>0</v>
      </c>
      <c r="M719" s="19" t="n">
        <f aca="false" t="array" ref="M719:M719">IF(AND(INDEX(Profils!$G$5:$G$34,$AE719)&gt;0,INDEX(Profils!$V$5:$V$34,$AE719)&lt;=$AH719),ROUND(INDEX(Profils!$G$5:$G$34,$AE719)*Paramètres!$E$23*$AG719*$AJ719,Paramètres!$F$23),0)</f>
        <v>0</v>
      </c>
      <c r="N719" s="19" t="n">
        <f aca="false" t="array" ref="N719:N719">IF(AND(INDEX(Profils!$H$5:$H$34,$AE719)&gt;0,INDEX(Profils!$W$5:$W$34,$AE719)&lt;=$AH719),ROUND(INDEX(Profils!$H$5:$H$34,$AE719)*Paramètres!$E$24*$AG719*$AJ719,Paramètres!$F$24),0)</f>
        <v>0</v>
      </c>
      <c r="O719" s="19" t="n">
        <f aca="false" t="array" ref="O719:O719">IF(AND(INDEX(Profils!$I$5:$I$34,$AE719)&gt;0,INDEX(Profils!$X$5:$X$34,$AE719)&lt;=$AH719),ROUND(INDEX(Profils!$I$5:$I$34,$AE719)*Paramètres!$E$25*$AG719*$AJ719,Paramètres!$F$25),0)</f>
        <v>0</v>
      </c>
      <c r="P719" s="19" t="n">
        <f aca="false" t="array" ref="P719:P719">IF(AND(INDEX(Profils!$J$5:$J$34,$AE719)&gt;0,INDEX(Profils!$Y$5:$Y$34,$AE719)&lt;=$AH719),ROUND(INDEX(Profils!$J$5:$J$34,$AE719)*Paramètres!$E$26*$AG719*$AJ719,Paramètres!$F$26),0)</f>
        <v>1</v>
      </c>
      <c r="Q719" s="19" t="n">
        <f aca="false" t="array" ref="Q719:Q719">IF(AND(INDEX(Profils!$K$5:$K$34,$AE719)&gt;0,INDEX(Profils!$Z$5:$Z$34,$AE719)&lt;=$AH719),ROUND(INDEX(Profils!$K$5:$K$34,$AE719)*Paramètres!$E$27*$AG719*$AJ719,Paramètres!$F$27),0)</f>
        <v>1</v>
      </c>
      <c r="R719" s="20" t="n">
        <f aca="false" t="array" ref="R719:R719">IF(AND(INDEX(Profils!$L$5:$L$34,$AE719)&gt;0,INDEX(Profils!$AA$5:$AA$34,$AE719)&lt;=$AH719),ROUND(INDEX(Profils!$L$5:$L$34,$AE719)*Paramètres!$E$28*$AG719*$AJ719,Paramètres!$F$28),0)</f>
        <v>0</v>
      </c>
      <c r="S719" s="20" t="n">
        <f aca="false" t="array" ref="S719:S719">IF(AND(INDEX(Profils!$M$5:$M$34,$AE719)&gt;0,INDEX(Profils!$AB$5:$AB$34,$AE719)&lt;=$AH719),ROUND(INDEX(Profils!$M$5:$M$34,$AE719)*Paramètres!$E$29*$AG719*$AJ719,Paramètres!$F$29),0)</f>
        <v>0</v>
      </c>
      <c r="T719" s="20" t="n">
        <f aca="false" t="array" ref="T719:T719">IF(AND(INDEX(Profils!$N$5:$N$34,$AE719)&gt;0,INDEX(Profils!$AC$5:$AC$34,$AE719)&lt;=$AH719),ROUND(INDEX(Profils!$N$5:$N$34,$AE719)*Paramètres!$E$30*$AG719*$AJ719,Paramètres!$F$30),0)</f>
        <v>0</v>
      </c>
      <c r="U719" s="19" t="n">
        <f aca="false" t="array" ref="U719:U719">IF(AND(INDEX(Profils!$O$5:$O$34,$AE719)&gt;0,INDEX(Profils!$AD$5:$AD$34,$AE719)&lt;=$AH719),ROUND(INDEX(Profils!$O$5:$O$34,$AE719)*Paramètres!$E$31*$AG719*$AJ719,Paramètres!$F$31),0)</f>
        <v>0</v>
      </c>
      <c r="V719" s="20" t="n">
        <f aca="false" t="array" ref="V719:V719">IF(AND(INDEX(Profils!$P$5:$P$34,$AE719)&gt;0,INDEX(Profils!$AE$5:$AE$34,$AE719)&lt;=$AH719),ROUND(INDEX(Profils!$P$5:$P$34,$AE719)*Paramètres!$E$32*$AG719*$AJ719,Paramètres!$F$32),0)</f>
        <v>0</v>
      </c>
      <c r="W719" s="20" t="n">
        <f aca="false" t="array" ref="W719:W719">IF(AND(INDEX(Profils!$Q$5:$Q$34,$AE719)&gt;0,INDEX(Profils!$AF$5:$AF$34,$AE719)&lt;=$AH719),ROUND(INDEX(Profils!$Q$5:$Q$34,$AE719)*Paramètres!$E$33*$AG719*$AJ719,Paramètres!$F$33),0)</f>
        <v>0</v>
      </c>
      <c r="X719" s="20" t="n">
        <f aca="false" t="array" ref="X719:X719">IF(AND(INDEX(Profils!$R$5:$R$34,$AE719)&gt;0,INDEX(Profils!$AG$5:$AG$34,$AE719)&lt;=$AH719),ROUND(INDEX(Profils!$R$5:$R$34,$AE719)*Paramètres!$E$34*$AG719*$AJ719,Paramètres!$F$34),0)</f>
        <v>0</v>
      </c>
      <c r="Y719" s="20" t="n">
        <f aca="false" t="array" ref="Y719:Y719">IF(AND(INDEX(Profils!$S$5:$S$34,$AE719)&gt;0,INDEX(Profils!$AH$5:$AH$34,$AE719)&lt;=$AH719),ROUND(INDEX(Profils!$S$5:$S$34,$AE719)*Paramètres!$E$35*$AG719*$AJ719,Paramètres!$F$35),0)</f>
        <v>0</v>
      </c>
      <c r="Z719" s="21" t="n">
        <f aca="false">ROUND(L719/Paramètres!$E$22+M719/Paramètres!$E$23+N719/Paramètres!$E$24+O719/Paramètres!$E$25+P719/Paramètres!$E$26+Q719/Paramètres!$E$27+R719/Paramètres!$E$28+S719/Paramètres!$E$29+T719/Paramètres!$E$30+U719/Paramètres!$E$31+V719/Paramètres!$E$32+W719/Paramètres!$E$33+X719/Paramètres!$E$34+Y719/Paramètres!$E$35,1)</f>
        <v>0.2</v>
      </c>
      <c r="AA719" s="22" t="s">
        <v>109</v>
      </c>
      <c r="AB719" s="22" t="s">
        <v>109</v>
      </c>
      <c r="AC719" s="15" t="str">
        <f aca="false">$E719</f>
        <v>toile</v>
      </c>
      <c r="AD719" s="16" t="n">
        <f aca="false" t="array" ref="AD719:AD719">IF($I719&gt;=$AI719,"Max",ROUND(Paramètres!$B$40*($I719+1)^Paramètres!$B$41*INDEX(Paramètres!$H$6:$H$12,$AF719),0))</f>
        <v>3</v>
      </c>
      <c r="AE719" s="23" t="n">
        <f aca="false">MATCH($B719&amp;"|"&amp;$C719,Profils!$A$5:$A$34,0)</f>
        <v>24</v>
      </c>
      <c r="AF719" s="23" t="n">
        <v>1</v>
      </c>
      <c r="AG719" s="24" t="n">
        <f aca="false" t="array" ref="AG719:AG719">INDEX(Paramètres!$C$6:$C$12,$AF719)</f>
        <v>1</v>
      </c>
      <c r="AH719" s="23" t="n">
        <f aca="false" t="array" ref="AH719:AH719">INDEX(Paramètres!$D$6:$D$12,$AF719)</f>
        <v>2</v>
      </c>
      <c r="AI719" s="23" t="n">
        <f aca="false" t="array" ref="AI719:AI719">INDEX(Matériaux!$C$16:$C$20,$D719)</f>
        <v>19</v>
      </c>
      <c r="AJ719" s="25" t="n">
        <f aca="false">Paramètres!$B$16+(1-Paramètres!$B$16)*(($J719-Paramètres!$B$14)/(Paramètres!$B$15-Paramètres!$B$14))^Paramètres!$B$17</f>
        <v>0.05</v>
      </c>
    </row>
    <row r="720" customFormat="false" ht="15.75" hidden="false" customHeight="true" outlineLevel="0" collapsed="false">
      <c r="A720" s="14" t="s">
        <v>836</v>
      </c>
      <c r="B720" s="15" t="s">
        <v>31</v>
      </c>
      <c r="C720" s="15" t="s">
        <v>209</v>
      </c>
      <c r="D720" s="16" t="n">
        <v>1</v>
      </c>
      <c r="E720" s="15" t="str">
        <f aca="false" t="array" ref="E720:E720">INDEX(Matériaux!$B$5:$F$12,MATCH(INDEX(Profils!$E$5:$E$34,$AE720),Matériaux!$A$5:$A$12,0),$D720)</f>
        <v>toile</v>
      </c>
      <c r="F720" s="26" t="s">
        <v>111</v>
      </c>
      <c r="G720" s="10" t="str">
        <f aca="false" t="array" ref="G720:G720">INDEX(Profils!$D$5:$D$34,$AE720)&amp;" en "&amp;$E720</f>
        <v>Bottes en toile</v>
      </c>
      <c r="H720" s="16" t="n">
        <f aca="false" t="array" ref="H720:H720">INDEX(Matériaux!$B$16:$B$20,$D720)</f>
        <v>1</v>
      </c>
      <c r="I720" s="16" t="n">
        <f aca="false">IF(ISNUMBER($C$3),MIN(MAX(0,ROUND($C$3,0)),$AI720),$AI720)</f>
        <v>0</v>
      </c>
      <c r="J720" s="18" t="n">
        <f aca="false">$H720+$I720</f>
        <v>1</v>
      </c>
      <c r="K720" s="15" t="s">
        <v>109</v>
      </c>
      <c r="L720" s="19" t="n">
        <f aca="false" t="array" ref="L720:L720">IF(AND(INDEX(Profils!$F$5:$F$34,$AE720)&gt;0,INDEX(Profils!$U$5:$U$34,$AE720)&lt;=$AH720),ROUND(INDEX(Profils!$F$5:$F$34,$AE720)*Paramètres!$E$22*$AG720*$AJ720,Paramètres!$F$22),0)</f>
        <v>2</v>
      </c>
      <c r="M720" s="19" t="n">
        <f aca="false" t="array" ref="M720:M720">IF(AND(INDEX(Profils!$G$5:$G$34,$AE720)&gt;0,INDEX(Profils!$V$5:$V$34,$AE720)&lt;=$AH720),ROUND(INDEX(Profils!$G$5:$G$34,$AE720)*Paramètres!$E$23*$AG720*$AJ720,Paramètres!$F$23),0)</f>
        <v>0</v>
      </c>
      <c r="N720" s="19" t="n">
        <f aca="false" t="array" ref="N720:N720">IF(AND(INDEX(Profils!$H$5:$H$34,$AE720)&gt;0,INDEX(Profils!$W$5:$W$34,$AE720)&lt;=$AH720),ROUND(INDEX(Profils!$H$5:$H$34,$AE720)*Paramètres!$E$24*$AG720*$AJ720,Paramètres!$F$24),0)</f>
        <v>0</v>
      </c>
      <c r="O720" s="19" t="n">
        <f aca="false" t="array" ref="O720:O720">IF(AND(INDEX(Profils!$I$5:$I$34,$AE720)&gt;0,INDEX(Profils!$X$5:$X$34,$AE720)&lt;=$AH720),ROUND(INDEX(Profils!$I$5:$I$34,$AE720)*Paramètres!$E$25*$AG720*$AJ720,Paramètres!$F$25),0)</f>
        <v>0</v>
      </c>
      <c r="P720" s="19" t="n">
        <f aca="false" t="array" ref="P720:P720">IF(AND(INDEX(Profils!$J$5:$J$34,$AE720)&gt;0,INDEX(Profils!$Y$5:$Y$34,$AE720)&lt;=$AH720),ROUND(INDEX(Profils!$J$5:$J$34,$AE720)*Paramètres!$E$26*$AG720*$AJ720,Paramètres!$F$26),0)</f>
        <v>1</v>
      </c>
      <c r="Q720" s="19" t="n">
        <f aca="false" t="array" ref="Q720:Q720">IF(AND(INDEX(Profils!$K$5:$K$34,$AE720)&gt;0,INDEX(Profils!$Z$5:$Z$34,$AE720)&lt;=$AH720),ROUND(INDEX(Profils!$K$5:$K$34,$AE720)*Paramètres!$E$27*$AG720*$AJ720,Paramètres!$F$27),0)</f>
        <v>1</v>
      </c>
      <c r="R720" s="20" t="n">
        <f aca="false" t="array" ref="R720:R720">IF(AND(INDEX(Profils!$L$5:$L$34,$AE720)&gt;0,INDEX(Profils!$AA$5:$AA$34,$AE720)&lt;=$AH720),ROUND(INDEX(Profils!$L$5:$L$34,$AE720)*Paramètres!$E$28*$AG720*$AJ720,Paramètres!$F$28),0)</f>
        <v>0</v>
      </c>
      <c r="S720" s="20" t="n">
        <f aca="false" t="array" ref="S720:S720">IF(AND(INDEX(Profils!$M$5:$M$34,$AE720)&gt;0,INDEX(Profils!$AB$5:$AB$34,$AE720)&lt;=$AH720),ROUND(INDEX(Profils!$M$5:$M$34,$AE720)*Paramètres!$E$29*$AG720*$AJ720,Paramètres!$F$29),0)</f>
        <v>0</v>
      </c>
      <c r="T720" s="20" t="n">
        <f aca="false" t="array" ref="T720:T720">IF(AND(INDEX(Profils!$N$5:$N$34,$AE720)&gt;0,INDEX(Profils!$AC$5:$AC$34,$AE720)&lt;=$AH720),ROUND(INDEX(Profils!$N$5:$N$34,$AE720)*Paramètres!$E$30*$AG720*$AJ720,Paramètres!$F$30),0)</f>
        <v>0</v>
      </c>
      <c r="U720" s="19" t="n">
        <f aca="false" t="array" ref="U720:U720">IF(AND(INDEX(Profils!$O$5:$O$34,$AE720)&gt;0,INDEX(Profils!$AD$5:$AD$34,$AE720)&lt;=$AH720),ROUND(INDEX(Profils!$O$5:$O$34,$AE720)*Paramètres!$E$31*$AG720*$AJ720,Paramètres!$F$31),0)</f>
        <v>0</v>
      </c>
      <c r="V720" s="20" t="n">
        <f aca="false" t="array" ref="V720:V720">IF(AND(INDEX(Profils!$P$5:$P$34,$AE720)&gt;0,INDEX(Profils!$AE$5:$AE$34,$AE720)&lt;=$AH720),ROUND(INDEX(Profils!$P$5:$P$34,$AE720)*Paramètres!$E$32*$AG720*$AJ720,Paramètres!$F$32),0)</f>
        <v>0</v>
      </c>
      <c r="W720" s="20" t="n">
        <f aca="false" t="array" ref="W720:W720">IF(AND(INDEX(Profils!$Q$5:$Q$34,$AE720)&gt;0,INDEX(Profils!$AF$5:$AF$34,$AE720)&lt;=$AH720),ROUND(INDEX(Profils!$Q$5:$Q$34,$AE720)*Paramètres!$E$33*$AG720*$AJ720,Paramètres!$F$33),0)</f>
        <v>0</v>
      </c>
      <c r="X720" s="20" t="n">
        <f aca="false" t="array" ref="X720:X720">IF(AND(INDEX(Profils!$R$5:$R$34,$AE720)&gt;0,INDEX(Profils!$AG$5:$AG$34,$AE720)&lt;=$AH720),ROUND(INDEX(Profils!$R$5:$R$34,$AE720)*Paramètres!$E$34*$AG720*$AJ720,Paramètres!$F$34),0)</f>
        <v>0</v>
      </c>
      <c r="Y720" s="20" t="n">
        <f aca="false" t="array" ref="Y720:Y720">IF(AND(INDEX(Profils!$S$5:$S$34,$AE720)&gt;0,INDEX(Profils!$AH$5:$AH$34,$AE720)&lt;=$AH720),ROUND(INDEX(Profils!$S$5:$S$34,$AE720)*Paramètres!$E$35*$AG720*$AJ720,Paramètres!$F$35),0)</f>
        <v>0</v>
      </c>
      <c r="Z720" s="21" t="n">
        <f aca="false">ROUND(L720/Paramètres!$E$22+M720/Paramètres!$E$23+N720/Paramètres!$E$24+O720/Paramètres!$E$25+P720/Paramètres!$E$26+Q720/Paramètres!$E$27+R720/Paramètres!$E$28+S720/Paramètres!$E$29+T720/Paramètres!$E$30+U720/Paramètres!$E$31+V720/Paramètres!$E$32+W720/Paramètres!$E$33+X720/Paramètres!$E$34+Y720/Paramètres!$E$35,1)</f>
        <v>0.3</v>
      </c>
      <c r="AA720" s="22" t="s">
        <v>109</v>
      </c>
      <c r="AB720" s="22" t="s">
        <v>109</v>
      </c>
      <c r="AC720" s="15" t="str">
        <f aca="false">$E720</f>
        <v>toile</v>
      </c>
      <c r="AD720" s="16" t="n">
        <f aca="false" t="array" ref="AD720:AD720">IF($I720&gt;=$AI720,"Max",ROUND(Paramètres!$B$40*($I720+1)^Paramètres!$B$41*INDEX(Paramètres!$H$6:$H$12,$AF720),0))</f>
        <v>4</v>
      </c>
      <c r="AE720" s="23" t="n">
        <f aca="false">MATCH($B720&amp;"|"&amp;$C720,Profils!$A$5:$A$34,0)</f>
        <v>24</v>
      </c>
      <c r="AF720" s="23" t="n">
        <v>2</v>
      </c>
      <c r="AG720" s="24" t="n">
        <f aca="false" t="array" ref="AG720:AG720">INDEX(Paramètres!$C$6:$C$12,$AF720)</f>
        <v>1.2</v>
      </c>
      <c r="AH720" s="23" t="n">
        <f aca="false" t="array" ref="AH720:AH720">INDEX(Paramètres!$D$6:$D$12,$AF720)</f>
        <v>3</v>
      </c>
      <c r="AI720" s="23" t="n">
        <f aca="false" t="array" ref="AI720:AI720">INDEX(Matériaux!$C$16:$C$20,$D720)</f>
        <v>19</v>
      </c>
      <c r="AJ720" s="25" t="n">
        <f aca="false">Paramètres!$B$16+(1-Paramètres!$B$16)*(($J720-Paramètres!$B$14)/(Paramètres!$B$15-Paramètres!$B$14))^Paramètres!$B$17</f>
        <v>0.05</v>
      </c>
    </row>
    <row r="721" customFormat="false" ht="15.75" hidden="false" customHeight="true" outlineLevel="0" collapsed="false">
      <c r="A721" s="14" t="s">
        <v>837</v>
      </c>
      <c r="B721" s="15" t="s">
        <v>31</v>
      </c>
      <c r="C721" s="15" t="s">
        <v>209</v>
      </c>
      <c r="D721" s="16" t="n">
        <v>1</v>
      </c>
      <c r="E721" s="15" t="str">
        <f aca="false" t="array" ref="E721:E721">INDEX(Matériaux!$B$5:$F$12,MATCH(INDEX(Profils!$E$5:$E$34,$AE721),Matériaux!$A$5:$A$12,0),$D721)</f>
        <v>toile</v>
      </c>
      <c r="F721" s="27" t="s">
        <v>113</v>
      </c>
      <c r="G721" s="10" t="str">
        <f aca="false" t="array" ref="G721:G721">INDEX(Profils!$D$5:$D$34,$AE721)&amp;" en "&amp;$E721</f>
        <v>Bottes en toile</v>
      </c>
      <c r="H721" s="16" t="n">
        <f aca="false" t="array" ref="H721:H721">INDEX(Matériaux!$B$16:$B$20,$D721)</f>
        <v>1</v>
      </c>
      <c r="I721" s="16" t="n">
        <f aca="false">IF(ISNUMBER($C$3),MIN(MAX(0,ROUND($C$3,0)),$AI721),$AI721)</f>
        <v>0</v>
      </c>
      <c r="J721" s="18" t="n">
        <f aca="false">$H721+$I721</f>
        <v>1</v>
      </c>
      <c r="K721" s="15" t="s">
        <v>109</v>
      </c>
      <c r="L721" s="19" t="n">
        <f aca="false" t="array" ref="L721:L721">IF(AND(INDEX(Profils!$F$5:$F$34,$AE721)&gt;0,INDEX(Profils!$U$5:$U$34,$AE721)&lt;=$AH721),ROUND(INDEX(Profils!$F$5:$F$34,$AE721)*Paramètres!$E$22*$AG721*$AJ721,Paramètres!$F$22),0)</f>
        <v>2</v>
      </c>
      <c r="M721" s="19" t="n">
        <f aca="false" t="array" ref="M721:M721">IF(AND(INDEX(Profils!$G$5:$G$34,$AE721)&gt;0,INDEX(Profils!$V$5:$V$34,$AE721)&lt;=$AH721),ROUND(INDEX(Profils!$G$5:$G$34,$AE721)*Paramètres!$E$23*$AG721*$AJ721,Paramètres!$F$23),0)</f>
        <v>0</v>
      </c>
      <c r="N721" s="19" t="n">
        <f aca="false" t="array" ref="N721:N721">IF(AND(INDEX(Profils!$H$5:$H$34,$AE721)&gt;0,INDEX(Profils!$W$5:$W$34,$AE721)&lt;=$AH721),ROUND(INDEX(Profils!$H$5:$H$34,$AE721)*Paramètres!$E$24*$AG721*$AJ721,Paramètres!$F$24),0)</f>
        <v>0</v>
      </c>
      <c r="O721" s="19" t="n">
        <f aca="false" t="array" ref="O721:O721">IF(AND(INDEX(Profils!$I$5:$I$34,$AE721)&gt;0,INDEX(Profils!$X$5:$X$34,$AE721)&lt;=$AH721),ROUND(INDEX(Profils!$I$5:$I$34,$AE721)*Paramètres!$E$25*$AG721*$AJ721,Paramètres!$F$25),0)</f>
        <v>0</v>
      </c>
      <c r="P721" s="19" t="n">
        <f aca="false" t="array" ref="P721:P721">IF(AND(INDEX(Profils!$J$5:$J$34,$AE721)&gt;0,INDEX(Profils!$Y$5:$Y$34,$AE721)&lt;=$AH721),ROUND(INDEX(Profils!$J$5:$J$34,$AE721)*Paramètres!$E$26*$AG721*$AJ721,Paramètres!$F$26),0)</f>
        <v>2</v>
      </c>
      <c r="Q721" s="19" t="n">
        <f aca="false" t="array" ref="Q721:Q721">IF(AND(INDEX(Profils!$K$5:$K$34,$AE721)&gt;0,INDEX(Profils!$Z$5:$Z$34,$AE721)&lt;=$AH721),ROUND(INDEX(Profils!$K$5:$K$34,$AE721)*Paramètres!$E$27*$AG721*$AJ721,Paramètres!$F$27),0)</f>
        <v>1</v>
      </c>
      <c r="R721" s="20" t="n">
        <f aca="false" t="array" ref="R721:R721">IF(AND(INDEX(Profils!$L$5:$L$34,$AE721)&gt;0,INDEX(Profils!$AA$5:$AA$34,$AE721)&lt;=$AH721),ROUND(INDEX(Profils!$L$5:$L$34,$AE721)*Paramètres!$E$28*$AG721*$AJ721,Paramètres!$F$28),0)</f>
        <v>0.001</v>
      </c>
      <c r="S721" s="20" t="n">
        <f aca="false" t="array" ref="S721:S721">IF(AND(INDEX(Profils!$M$5:$M$34,$AE721)&gt;0,INDEX(Profils!$AB$5:$AB$34,$AE721)&lt;=$AH721),ROUND(INDEX(Profils!$M$5:$M$34,$AE721)*Paramètres!$E$29*$AG721*$AJ721,Paramètres!$F$29),0)</f>
        <v>0</v>
      </c>
      <c r="T721" s="20" t="n">
        <f aca="false" t="array" ref="T721:T721">IF(AND(INDEX(Profils!$N$5:$N$34,$AE721)&gt;0,INDEX(Profils!$AC$5:$AC$34,$AE721)&lt;=$AH721),ROUND(INDEX(Profils!$N$5:$N$34,$AE721)*Paramètres!$E$30*$AG721*$AJ721,Paramètres!$F$30),0)</f>
        <v>0</v>
      </c>
      <c r="U721" s="19" t="n">
        <f aca="false" t="array" ref="U721:U721">IF(AND(INDEX(Profils!$O$5:$O$34,$AE721)&gt;0,INDEX(Profils!$AD$5:$AD$34,$AE721)&lt;=$AH721),ROUND(INDEX(Profils!$O$5:$O$34,$AE721)*Paramètres!$E$31*$AG721*$AJ721,Paramètres!$F$31),0)</f>
        <v>0</v>
      </c>
      <c r="V721" s="20" t="n">
        <f aca="false" t="array" ref="V721:V721">IF(AND(INDEX(Profils!$P$5:$P$34,$AE721)&gt;0,INDEX(Profils!$AE$5:$AE$34,$AE721)&lt;=$AH721),ROUND(INDEX(Profils!$P$5:$P$34,$AE721)*Paramètres!$E$32*$AG721*$AJ721,Paramètres!$F$32),0)</f>
        <v>0</v>
      </c>
      <c r="W721" s="20" t="n">
        <f aca="false" t="array" ref="W721:W721">IF(AND(INDEX(Profils!$Q$5:$Q$34,$AE721)&gt;0,INDEX(Profils!$AF$5:$AF$34,$AE721)&lt;=$AH721),ROUND(INDEX(Profils!$Q$5:$Q$34,$AE721)*Paramètres!$E$33*$AG721*$AJ721,Paramètres!$F$33),0)</f>
        <v>0</v>
      </c>
      <c r="X721" s="20" t="n">
        <f aca="false" t="array" ref="X721:X721">IF(AND(INDEX(Profils!$R$5:$R$34,$AE721)&gt;0,INDEX(Profils!$AG$5:$AG$34,$AE721)&lt;=$AH721),ROUND(INDEX(Profils!$R$5:$R$34,$AE721)*Paramètres!$E$34*$AG721*$AJ721,Paramètres!$F$34),0)</f>
        <v>0</v>
      </c>
      <c r="Y721" s="20" t="n">
        <f aca="false" t="array" ref="Y721:Y721">IF(AND(INDEX(Profils!$S$5:$S$34,$AE721)&gt;0,INDEX(Profils!$AH$5:$AH$34,$AE721)&lt;=$AH721),ROUND(INDEX(Profils!$S$5:$S$34,$AE721)*Paramètres!$E$35*$AG721*$AJ721,Paramètres!$F$35),0)</f>
        <v>0</v>
      </c>
      <c r="Z721" s="21" t="n">
        <f aca="false">ROUND(L721/Paramètres!$E$22+M721/Paramètres!$E$23+N721/Paramètres!$E$24+O721/Paramètres!$E$25+P721/Paramètres!$E$26+Q721/Paramètres!$E$27+R721/Paramètres!$E$28+S721/Paramètres!$E$29+T721/Paramètres!$E$30+U721/Paramètres!$E$31+V721/Paramètres!$E$32+W721/Paramètres!$E$33+X721/Paramètres!$E$34+Y721/Paramètres!$E$35,1)</f>
        <v>0.4</v>
      </c>
      <c r="AA721" s="22" t="s">
        <v>109</v>
      </c>
      <c r="AB721" s="22" t="s">
        <v>109</v>
      </c>
      <c r="AC721" s="15" t="str">
        <f aca="false">$E721</f>
        <v>toile</v>
      </c>
      <c r="AD721" s="16" t="n">
        <f aca="false" t="array" ref="AD721:AD721">IF($I721&gt;=$AI721,"Max",ROUND(Paramètres!$B$40*($I721+1)^Paramètres!$B$41*INDEX(Paramètres!$H$6:$H$12,$AF721),0))</f>
        <v>4</v>
      </c>
      <c r="AE721" s="23" t="n">
        <f aca="false">MATCH($B721&amp;"|"&amp;$C721,Profils!$A$5:$A$34,0)</f>
        <v>24</v>
      </c>
      <c r="AF721" s="23" t="n">
        <v>3</v>
      </c>
      <c r="AG721" s="24" t="n">
        <f aca="false" t="array" ref="AG721:AG721">INDEX(Paramètres!$C$6:$C$12,$AF721)</f>
        <v>1.45</v>
      </c>
      <c r="AH721" s="23" t="n">
        <f aca="false" t="array" ref="AH721:AH721">INDEX(Paramètres!$D$6:$D$12,$AF721)</f>
        <v>4</v>
      </c>
      <c r="AI721" s="23" t="n">
        <f aca="false" t="array" ref="AI721:AI721">INDEX(Matériaux!$C$16:$C$20,$D721)</f>
        <v>19</v>
      </c>
      <c r="AJ721" s="25" t="n">
        <f aca="false">Paramètres!$B$16+(1-Paramètres!$B$16)*(($J721-Paramètres!$B$14)/(Paramètres!$B$15-Paramètres!$B$14))^Paramètres!$B$17</f>
        <v>0.05</v>
      </c>
    </row>
    <row r="722" customFormat="false" ht="15.75" hidden="false" customHeight="true" outlineLevel="0" collapsed="false">
      <c r="A722" s="14" t="s">
        <v>838</v>
      </c>
      <c r="B722" s="15" t="s">
        <v>31</v>
      </c>
      <c r="C722" s="15" t="s">
        <v>209</v>
      </c>
      <c r="D722" s="16" t="n">
        <v>1</v>
      </c>
      <c r="E722" s="15" t="str">
        <f aca="false" t="array" ref="E722:E722">INDEX(Matériaux!$B$5:$F$12,MATCH(INDEX(Profils!$E$5:$E$34,$AE722),Matériaux!$A$5:$A$12,0),$D722)</f>
        <v>toile</v>
      </c>
      <c r="F722" s="28" t="s">
        <v>115</v>
      </c>
      <c r="G722" s="10" t="str">
        <f aca="false" t="array" ref="G722:G722">INDEX(Profils!$D$5:$D$34,$AE722)&amp;" en "&amp;$E722</f>
        <v>Bottes en toile</v>
      </c>
      <c r="H722" s="16" t="n">
        <f aca="false" t="array" ref="H722:H722">INDEX(Matériaux!$B$16:$B$20,$D722)</f>
        <v>1</v>
      </c>
      <c r="I722" s="16" t="n">
        <f aca="false">IF(ISNUMBER($C$3),MIN(MAX(0,ROUND($C$3,0)),$AI722),$AI722)</f>
        <v>0</v>
      </c>
      <c r="J722" s="18" t="n">
        <f aca="false">$H722+$I722</f>
        <v>1</v>
      </c>
      <c r="K722" s="15" t="s">
        <v>109</v>
      </c>
      <c r="L722" s="19" t="n">
        <f aca="false" t="array" ref="L722:L722">IF(AND(INDEX(Profils!$F$5:$F$34,$AE722)&gt;0,INDEX(Profils!$U$5:$U$34,$AE722)&lt;=$AH722),ROUND(INDEX(Profils!$F$5:$F$34,$AE722)*Paramètres!$E$22*$AG722*$AJ722,Paramètres!$F$22),0)</f>
        <v>2</v>
      </c>
      <c r="M722" s="19" t="n">
        <f aca="false" t="array" ref="M722:M722">IF(AND(INDEX(Profils!$G$5:$G$34,$AE722)&gt;0,INDEX(Profils!$V$5:$V$34,$AE722)&lt;=$AH722),ROUND(INDEX(Profils!$G$5:$G$34,$AE722)*Paramètres!$E$23*$AG722*$AJ722,Paramètres!$F$23),0)</f>
        <v>0</v>
      </c>
      <c r="N722" s="19" t="n">
        <f aca="false" t="array" ref="N722:N722">IF(AND(INDEX(Profils!$H$5:$H$34,$AE722)&gt;0,INDEX(Profils!$W$5:$W$34,$AE722)&lt;=$AH722),ROUND(INDEX(Profils!$H$5:$H$34,$AE722)*Paramètres!$E$24*$AG722*$AJ722,Paramètres!$F$24),0)</f>
        <v>0</v>
      </c>
      <c r="O722" s="19" t="n">
        <f aca="false" t="array" ref="O722:O722">IF(AND(INDEX(Profils!$I$5:$I$34,$AE722)&gt;0,INDEX(Profils!$X$5:$X$34,$AE722)&lt;=$AH722),ROUND(INDEX(Profils!$I$5:$I$34,$AE722)*Paramètres!$E$25*$AG722*$AJ722,Paramètres!$F$25),0)</f>
        <v>0</v>
      </c>
      <c r="P722" s="19" t="n">
        <f aca="false" t="array" ref="P722:P722">IF(AND(INDEX(Profils!$J$5:$J$34,$AE722)&gt;0,INDEX(Profils!$Y$5:$Y$34,$AE722)&lt;=$AH722),ROUND(INDEX(Profils!$J$5:$J$34,$AE722)*Paramètres!$E$26*$AG722*$AJ722,Paramètres!$F$26),0)</f>
        <v>2</v>
      </c>
      <c r="Q722" s="19" t="n">
        <f aca="false" t="array" ref="Q722:Q722">IF(AND(INDEX(Profils!$K$5:$K$34,$AE722)&gt;0,INDEX(Profils!$Z$5:$Z$34,$AE722)&lt;=$AH722),ROUND(INDEX(Profils!$K$5:$K$34,$AE722)*Paramètres!$E$27*$AG722*$AJ722,Paramètres!$F$27),0)</f>
        <v>1</v>
      </c>
      <c r="R722" s="20" t="n">
        <f aca="false" t="array" ref="R722:R722">IF(AND(INDEX(Profils!$L$5:$L$34,$AE722)&gt;0,INDEX(Profils!$AA$5:$AA$34,$AE722)&lt;=$AH722),ROUND(INDEX(Profils!$L$5:$L$34,$AE722)*Paramètres!$E$28*$AG722*$AJ722,Paramètres!$F$28),0)</f>
        <v>0.001</v>
      </c>
      <c r="S722" s="20" t="n">
        <f aca="false" t="array" ref="S722:S722">IF(AND(INDEX(Profils!$M$5:$M$34,$AE722)&gt;0,INDEX(Profils!$AB$5:$AB$34,$AE722)&lt;=$AH722),ROUND(INDEX(Profils!$M$5:$M$34,$AE722)*Paramètres!$E$29*$AG722*$AJ722,Paramètres!$F$29),0)</f>
        <v>0</v>
      </c>
      <c r="T722" s="20" t="n">
        <f aca="false" t="array" ref="T722:T722">IF(AND(INDEX(Profils!$N$5:$N$34,$AE722)&gt;0,INDEX(Profils!$AC$5:$AC$34,$AE722)&lt;=$AH722),ROUND(INDEX(Profils!$N$5:$N$34,$AE722)*Paramètres!$E$30*$AG722*$AJ722,Paramètres!$F$30),0)</f>
        <v>0</v>
      </c>
      <c r="U722" s="19" t="n">
        <f aca="false" t="array" ref="U722:U722">IF(AND(INDEX(Profils!$O$5:$O$34,$AE722)&gt;0,INDEX(Profils!$AD$5:$AD$34,$AE722)&lt;=$AH722),ROUND(INDEX(Profils!$O$5:$O$34,$AE722)*Paramètres!$E$31*$AG722*$AJ722,Paramètres!$F$31),0)</f>
        <v>1</v>
      </c>
      <c r="V722" s="20" t="n">
        <f aca="false" t="array" ref="V722:V722">IF(AND(INDEX(Profils!$P$5:$P$34,$AE722)&gt;0,INDEX(Profils!$AE$5:$AE$34,$AE722)&lt;=$AH722),ROUND(INDEX(Profils!$P$5:$P$34,$AE722)*Paramètres!$E$32*$AG722*$AJ722,Paramètres!$F$32),0)</f>
        <v>0</v>
      </c>
      <c r="W722" s="20" t="n">
        <f aca="false" t="array" ref="W722:W722">IF(AND(INDEX(Profils!$Q$5:$Q$34,$AE722)&gt;0,INDEX(Profils!$AF$5:$AF$34,$AE722)&lt;=$AH722),ROUND(INDEX(Profils!$Q$5:$Q$34,$AE722)*Paramètres!$E$33*$AG722*$AJ722,Paramètres!$F$33),0)</f>
        <v>0</v>
      </c>
      <c r="X722" s="20" t="n">
        <f aca="false" t="array" ref="X722:X722">IF(AND(INDEX(Profils!$R$5:$R$34,$AE722)&gt;0,INDEX(Profils!$AG$5:$AG$34,$AE722)&lt;=$AH722),ROUND(INDEX(Profils!$R$5:$R$34,$AE722)*Paramètres!$E$34*$AG722*$AJ722,Paramètres!$F$34),0)</f>
        <v>0</v>
      </c>
      <c r="Y722" s="20" t="n">
        <f aca="false" t="array" ref="Y722:Y722">IF(AND(INDEX(Profils!$S$5:$S$34,$AE722)&gt;0,INDEX(Profils!$AH$5:$AH$34,$AE722)&lt;=$AH722),ROUND(INDEX(Profils!$S$5:$S$34,$AE722)*Paramètres!$E$35*$AG722*$AJ722,Paramètres!$F$35),0)</f>
        <v>0</v>
      </c>
      <c r="Z722" s="21" t="n">
        <f aca="false">ROUND(L722/Paramètres!$E$22+M722/Paramètres!$E$23+N722/Paramètres!$E$24+O722/Paramètres!$E$25+P722/Paramètres!$E$26+Q722/Paramètres!$E$27+R722/Paramètres!$E$28+S722/Paramètres!$E$29+T722/Paramètres!$E$30+U722/Paramètres!$E$31+V722/Paramètres!$E$32+W722/Paramètres!$E$33+X722/Paramètres!$E$34+Y722/Paramètres!$E$35,1)</f>
        <v>0.5</v>
      </c>
      <c r="AA722" s="22" t="s">
        <v>109</v>
      </c>
      <c r="AB722" s="22" t="s">
        <v>109</v>
      </c>
      <c r="AC722" s="15" t="str">
        <f aca="false">$E722</f>
        <v>toile</v>
      </c>
      <c r="AD722" s="16" t="n">
        <f aca="false" t="array" ref="AD722:AD722">IF($I722&gt;=$AI722,"Max",ROUND(Paramètres!$B$40*($I722+1)^Paramètres!$B$41*INDEX(Paramètres!$H$6:$H$12,$AF722),0))</f>
        <v>5</v>
      </c>
      <c r="AE722" s="23" t="n">
        <f aca="false">MATCH($B722&amp;"|"&amp;$C722,Profils!$A$5:$A$34,0)</f>
        <v>24</v>
      </c>
      <c r="AF722" s="23" t="n">
        <v>4</v>
      </c>
      <c r="AG722" s="24" t="n">
        <f aca="false" t="array" ref="AG722:AG722">INDEX(Paramètres!$C$6:$C$12,$AF722)</f>
        <v>1.75</v>
      </c>
      <c r="AH722" s="23" t="n">
        <f aca="false" t="array" ref="AH722:AH722">INDEX(Paramètres!$D$6:$D$12,$AF722)</f>
        <v>5</v>
      </c>
      <c r="AI722" s="23" t="n">
        <f aca="false" t="array" ref="AI722:AI722">INDEX(Matériaux!$C$16:$C$20,$D722)</f>
        <v>19</v>
      </c>
      <c r="AJ722" s="25" t="n">
        <f aca="false">Paramètres!$B$16+(1-Paramètres!$B$16)*(($J722-Paramètres!$B$14)/(Paramètres!$B$15-Paramètres!$B$14))^Paramètres!$B$17</f>
        <v>0.05</v>
      </c>
    </row>
    <row r="723" customFormat="false" ht="15.75" hidden="false" customHeight="true" outlineLevel="0" collapsed="false">
      <c r="A723" s="14" t="s">
        <v>839</v>
      </c>
      <c r="B723" s="15" t="s">
        <v>31</v>
      </c>
      <c r="C723" s="15" t="s">
        <v>209</v>
      </c>
      <c r="D723" s="16" t="n">
        <v>1</v>
      </c>
      <c r="E723" s="15" t="str">
        <f aca="false" t="array" ref="E723:E723">INDEX(Matériaux!$B$5:$F$12,MATCH(INDEX(Profils!$E$5:$E$34,$AE723),Matériaux!$A$5:$A$12,0),$D723)</f>
        <v>toile</v>
      </c>
      <c r="F723" s="29" t="s">
        <v>117</v>
      </c>
      <c r="G723" s="10" t="str">
        <f aca="false" t="array" ref="G723:G723">INDEX(Profils!$D$5:$D$34,$AE723)&amp;" en "&amp;$E723</f>
        <v>Bottes en toile</v>
      </c>
      <c r="H723" s="16" t="n">
        <f aca="false" t="array" ref="H723:H723">INDEX(Matériaux!$B$16:$B$20,$D723)</f>
        <v>1</v>
      </c>
      <c r="I723" s="16" t="n">
        <f aca="false">IF(ISNUMBER($C$3),MIN(MAX(0,ROUND($C$3,0)),$AI723),$AI723)</f>
        <v>0</v>
      </c>
      <c r="J723" s="18" t="n">
        <f aca="false">$H723+$I723</f>
        <v>1</v>
      </c>
      <c r="K723" s="15" t="s">
        <v>109</v>
      </c>
      <c r="L723" s="19" t="n">
        <f aca="false" t="array" ref="L723:L723">IF(AND(INDEX(Profils!$F$5:$F$34,$AE723)&gt;0,INDEX(Profils!$U$5:$U$34,$AE723)&lt;=$AH723),ROUND(INDEX(Profils!$F$5:$F$34,$AE723)*Paramètres!$E$22*$AG723*$AJ723,Paramètres!$F$22),0)</f>
        <v>3</v>
      </c>
      <c r="M723" s="19" t="n">
        <f aca="false" t="array" ref="M723:M723">IF(AND(INDEX(Profils!$G$5:$G$34,$AE723)&gt;0,INDEX(Profils!$V$5:$V$34,$AE723)&lt;=$AH723),ROUND(INDEX(Profils!$G$5:$G$34,$AE723)*Paramètres!$E$23*$AG723*$AJ723,Paramètres!$F$23),0)</f>
        <v>0</v>
      </c>
      <c r="N723" s="19" t="n">
        <f aca="false" t="array" ref="N723:N723">IF(AND(INDEX(Profils!$H$5:$H$34,$AE723)&gt;0,INDEX(Profils!$W$5:$W$34,$AE723)&lt;=$AH723),ROUND(INDEX(Profils!$H$5:$H$34,$AE723)*Paramètres!$E$24*$AG723*$AJ723,Paramètres!$F$24),0)</f>
        <v>1</v>
      </c>
      <c r="O723" s="19" t="n">
        <f aca="false" t="array" ref="O723:O723">IF(AND(INDEX(Profils!$I$5:$I$34,$AE723)&gt;0,INDEX(Profils!$X$5:$X$34,$AE723)&lt;=$AH723),ROUND(INDEX(Profils!$I$5:$I$34,$AE723)*Paramètres!$E$25*$AG723*$AJ723,Paramètres!$F$25),0)</f>
        <v>0</v>
      </c>
      <c r="P723" s="19" t="n">
        <f aca="false" t="array" ref="P723:P723">IF(AND(INDEX(Profils!$J$5:$J$34,$AE723)&gt;0,INDEX(Profils!$Y$5:$Y$34,$AE723)&lt;=$AH723),ROUND(INDEX(Profils!$J$5:$J$34,$AE723)*Paramètres!$E$26*$AG723*$AJ723,Paramètres!$F$26),0)</f>
        <v>2</v>
      </c>
      <c r="Q723" s="19" t="n">
        <f aca="false" t="array" ref="Q723:Q723">IF(AND(INDEX(Profils!$K$5:$K$34,$AE723)&gt;0,INDEX(Profils!$Z$5:$Z$34,$AE723)&lt;=$AH723),ROUND(INDEX(Profils!$K$5:$K$34,$AE723)*Paramètres!$E$27*$AG723*$AJ723,Paramètres!$F$27),0)</f>
        <v>1</v>
      </c>
      <c r="R723" s="20" t="n">
        <f aca="false" t="array" ref="R723:R723">IF(AND(INDEX(Profils!$L$5:$L$34,$AE723)&gt;0,INDEX(Profils!$AA$5:$AA$34,$AE723)&lt;=$AH723),ROUND(INDEX(Profils!$L$5:$L$34,$AE723)*Paramètres!$E$28*$AG723*$AJ723,Paramètres!$F$28),0)</f>
        <v>0.001</v>
      </c>
      <c r="S723" s="20" t="n">
        <f aca="false" t="array" ref="S723:S723">IF(AND(INDEX(Profils!$M$5:$M$34,$AE723)&gt;0,INDEX(Profils!$AB$5:$AB$34,$AE723)&lt;=$AH723),ROUND(INDEX(Profils!$M$5:$M$34,$AE723)*Paramètres!$E$29*$AG723*$AJ723,Paramètres!$F$29),0)</f>
        <v>0</v>
      </c>
      <c r="T723" s="20" t="n">
        <f aca="false" t="array" ref="T723:T723">IF(AND(INDEX(Profils!$N$5:$N$34,$AE723)&gt;0,INDEX(Profils!$AC$5:$AC$34,$AE723)&lt;=$AH723),ROUND(INDEX(Profils!$N$5:$N$34,$AE723)*Paramètres!$E$30*$AG723*$AJ723,Paramètres!$F$30),0)</f>
        <v>0</v>
      </c>
      <c r="U723" s="19" t="n">
        <f aca="false" t="array" ref="U723:U723">IF(AND(INDEX(Profils!$O$5:$O$34,$AE723)&gt;0,INDEX(Profils!$AD$5:$AD$34,$AE723)&lt;=$AH723),ROUND(INDEX(Profils!$O$5:$O$34,$AE723)*Paramètres!$E$31*$AG723*$AJ723,Paramètres!$F$31),0)</f>
        <v>1</v>
      </c>
      <c r="V723" s="20" t="n">
        <f aca="false" t="array" ref="V723:V723">IF(AND(INDEX(Profils!$P$5:$P$34,$AE723)&gt;0,INDEX(Profils!$AE$5:$AE$34,$AE723)&lt;=$AH723),ROUND(INDEX(Profils!$P$5:$P$34,$AE723)*Paramètres!$E$32*$AG723*$AJ723,Paramètres!$F$32),0)</f>
        <v>0</v>
      </c>
      <c r="W723" s="20" t="n">
        <f aca="false" t="array" ref="W723:W723">IF(AND(INDEX(Profils!$Q$5:$Q$34,$AE723)&gt;0,INDEX(Profils!$AF$5:$AF$34,$AE723)&lt;=$AH723),ROUND(INDEX(Profils!$Q$5:$Q$34,$AE723)*Paramètres!$E$33*$AG723*$AJ723,Paramètres!$F$33),0)</f>
        <v>0</v>
      </c>
      <c r="X723" s="20" t="n">
        <f aca="false" t="array" ref="X723:X723">IF(AND(INDEX(Profils!$R$5:$R$34,$AE723)&gt;0,INDEX(Profils!$AG$5:$AG$34,$AE723)&lt;=$AH723),ROUND(INDEX(Profils!$R$5:$R$34,$AE723)*Paramètres!$E$34*$AG723*$AJ723,Paramètres!$F$34),0)</f>
        <v>0</v>
      </c>
      <c r="Y723" s="20" t="n">
        <f aca="false" t="array" ref="Y723:Y723">IF(AND(INDEX(Profils!$S$5:$S$34,$AE723)&gt;0,INDEX(Profils!$AH$5:$AH$34,$AE723)&lt;=$AH723),ROUND(INDEX(Profils!$S$5:$S$34,$AE723)*Paramètres!$E$35*$AG723*$AJ723,Paramètres!$F$35),0)</f>
        <v>0</v>
      </c>
      <c r="Z723" s="21" t="n">
        <f aca="false">ROUND(L723/Paramètres!$E$22+M723/Paramètres!$E$23+N723/Paramètres!$E$24+O723/Paramètres!$E$25+P723/Paramètres!$E$26+Q723/Paramètres!$E$27+R723/Paramètres!$E$28+S723/Paramètres!$E$29+T723/Paramètres!$E$30+U723/Paramètres!$E$31+V723/Paramètres!$E$32+W723/Paramètres!$E$33+X723/Paramètres!$E$34+Y723/Paramètres!$E$35,1)</f>
        <v>0.6</v>
      </c>
      <c r="AA723" s="22" t="s">
        <v>109</v>
      </c>
      <c r="AB723" s="22" t="s">
        <v>109</v>
      </c>
      <c r="AC723" s="15" t="str">
        <f aca="false">$E723</f>
        <v>toile</v>
      </c>
      <c r="AD723" s="16" t="n">
        <f aca="false" t="array" ref="AD723:AD723">IF($I723&gt;=$AI723,"Max",ROUND(Paramètres!$B$40*($I723+1)^Paramètres!$B$41*INDEX(Paramètres!$H$6:$H$12,$AF723),0))</f>
        <v>6</v>
      </c>
      <c r="AE723" s="23" t="n">
        <f aca="false">MATCH($B723&amp;"|"&amp;$C723,Profils!$A$5:$A$34,0)</f>
        <v>24</v>
      </c>
      <c r="AF723" s="23" t="n">
        <v>5</v>
      </c>
      <c r="AG723" s="24" t="n">
        <f aca="false" t="array" ref="AG723:AG723">INDEX(Paramètres!$C$6:$C$12,$AF723)</f>
        <v>2.1</v>
      </c>
      <c r="AH723" s="23" t="n">
        <f aca="false" t="array" ref="AH723:AH723">INDEX(Paramètres!$D$6:$D$12,$AF723)</f>
        <v>6</v>
      </c>
      <c r="AI723" s="23" t="n">
        <f aca="false" t="array" ref="AI723:AI723">INDEX(Matériaux!$C$16:$C$20,$D723)</f>
        <v>19</v>
      </c>
      <c r="AJ723" s="25" t="n">
        <f aca="false">Paramètres!$B$16+(1-Paramètres!$B$16)*(($J723-Paramètres!$B$14)/(Paramètres!$B$15-Paramètres!$B$14))^Paramètres!$B$17</f>
        <v>0.05</v>
      </c>
    </row>
    <row r="724" customFormat="false" ht="15.75" hidden="false" customHeight="true" outlineLevel="0" collapsed="false">
      <c r="A724" s="14" t="s">
        <v>840</v>
      </c>
      <c r="B724" s="15" t="s">
        <v>31</v>
      </c>
      <c r="C724" s="15" t="s">
        <v>209</v>
      </c>
      <c r="D724" s="16" t="n">
        <v>1</v>
      </c>
      <c r="E724" s="15" t="str">
        <f aca="false" t="array" ref="E724:E724">INDEX(Matériaux!$B$5:$F$12,MATCH(INDEX(Profils!$E$5:$E$34,$AE724),Matériaux!$A$5:$A$12,0),$D724)</f>
        <v>toile</v>
      </c>
      <c r="F724" s="30" t="s">
        <v>119</v>
      </c>
      <c r="G724" s="10" t="str">
        <f aca="false" t="array" ref="G724:G724">INDEX(Profils!$D$5:$D$34,$AE724)&amp;" en "&amp;$E724</f>
        <v>Bottes en toile</v>
      </c>
      <c r="H724" s="16" t="n">
        <f aca="false" t="array" ref="H724:H724">INDEX(Matériaux!$B$16:$B$20,$D724)</f>
        <v>1</v>
      </c>
      <c r="I724" s="16" t="n">
        <f aca="false">IF(ISNUMBER($C$3),MIN(MAX(0,ROUND($C$3,0)),$AI724),$AI724)</f>
        <v>0</v>
      </c>
      <c r="J724" s="18" t="n">
        <f aca="false">$H724+$I724</f>
        <v>1</v>
      </c>
      <c r="K724" s="15" t="s">
        <v>109</v>
      </c>
      <c r="L724" s="19" t="n">
        <f aca="false" t="array" ref="L724:L724">IF(AND(INDEX(Profils!$F$5:$F$34,$AE724)&gt;0,INDEX(Profils!$U$5:$U$34,$AE724)&lt;=$AH724),ROUND(INDEX(Profils!$F$5:$F$34,$AE724)*Paramètres!$E$22*$AG724*$AJ724,Paramètres!$F$22),0)</f>
        <v>3</v>
      </c>
      <c r="M724" s="19" t="n">
        <f aca="false" t="array" ref="M724:M724">IF(AND(INDEX(Profils!$G$5:$G$34,$AE724)&gt;0,INDEX(Profils!$V$5:$V$34,$AE724)&lt;=$AH724),ROUND(INDEX(Profils!$G$5:$G$34,$AE724)*Paramètres!$E$23*$AG724*$AJ724,Paramètres!$F$23),0)</f>
        <v>0</v>
      </c>
      <c r="N724" s="19" t="n">
        <f aca="false" t="array" ref="N724:N724">IF(AND(INDEX(Profils!$H$5:$H$34,$AE724)&gt;0,INDEX(Profils!$W$5:$W$34,$AE724)&lt;=$AH724),ROUND(INDEX(Profils!$H$5:$H$34,$AE724)*Paramètres!$E$24*$AG724*$AJ724,Paramètres!$F$24),0)</f>
        <v>1</v>
      </c>
      <c r="O724" s="19" t="n">
        <f aca="false" t="array" ref="O724:O724">IF(AND(INDEX(Profils!$I$5:$I$34,$AE724)&gt;0,INDEX(Profils!$X$5:$X$34,$AE724)&lt;=$AH724),ROUND(INDEX(Profils!$I$5:$I$34,$AE724)*Paramètres!$E$25*$AG724*$AJ724,Paramètres!$F$25),0)</f>
        <v>0</v>
      </c>
      <c r="P724" s="19" t="n">
        <f aca="false" t="array" ref="P724:P724">IF(AND(INDEX(Profils!$J$5:$J$34,$AE724)&gt;0,INDEX(Profils!$Y$5:$Y$34,$AE724)&lt;=$AH724),ROUND(INDEX(Profils!$J$5:$J$34,$AE724)*Paramètres!$E$26*$AG724*$AJ724,Paramètres!$F$26),0)</f>
        <v>3</v>
      </c>
      <c r="Q724" s="19" t="n">
        <f aca="false" t="array" ref="Q724:Q724">IF(AND(INDEX(Profils!$K$5:$K$34,$AE724)&gt;0,INDEX(Profils!$Z$5:$Z$34,$AE724)&lt;=$AH724),ROUND(INDEX(Profils!$K$5:$K$34,$AE724)*Paramètres!$E$27*$AG724*$AJ724,Paramètres!$F$27),0)</f>
        <v>2</v>
      </c>
      <c r="R724" s="20" t="n">
        <f aca="false" t="array" ref="R724:R724">IF(AND(INDEX(Profils!$L$5:$L$34,$AE724)&gt;0,INDEX(Profils!$AA$5:$AA$34,$AE724)&lt;=$AH724),ROUND(INDEX(Profils!$L$5:$L$34,$AE724)*Paramètres!$E$28*$AG724*$AJ724,Paramètres!$F$28),0)</f>
        <v>0.001</v>
      </c>
      <c r="S724" s="20" t="n">
        <f aca="false" t="array" ref="S724:S724">IF(AND(INDEX(Profils!$M$5:$M$34,$AE724)&gt;0,INDEX(Profils!$AB$5:$AB$34,$AE724)&lt;=$AH724),ROUND(INDEX(Profils!$M$5:$M$34,$AE724)*Paramètres!$E$29*$AG724*$AJ724,Paramètres!$F$29),0)</f>
        <v>0.001</v>
      </c>
      <c r="T724" s="20" t="n">
        <f aca="false" t="array" ref="T724:T724">IF(AND(INDEX(Profils!$N$5:$N$34,$AE724)&gt;0,INDEX(Profils!$AC$5:$AC$34,$AE724)&lt;=$AH724),ROUND(INDEX(Profils!$N$5:$N$34,$AE724)*Paramètres!$E$30*$AG724*$AJ724,Paramètres!$F$30),0)</f>
        <v>0</v>
      </c>
      <c r="U724" s="19" t="n">
        <f aca="false" t="array" ref="U724:U724">IF(AND(INDEX(Profils!$O$5:$O$34,$AE724)&gt;0,INDEX(Profils!$AD$5:$AD$34,$AE724)&lt;=$AH724),ROUND(INDEX(Profils!$O$5:$O$34,$AE724)*Paramètres!$E$31*$AG724*$AJ724,Paramètres!$F$31),0)</f>
        <v>2</v>
      </c>
      <c r="V724" s="20" t="n">
        <f aca="false" t="array" ref="V724:V724">IF(AND(INDEX(Profils!$P$5:$P$34,$AE724)&gt;0,INDEX(Profils!$AE$5:$AE$34,$AE724)&lt;=$AH724),ROUND(INDEX(Profils!$P$5:$P$34,$AE724)*Paramètres!$E$32*$AG724*$AJ724,Paramètres!$F$32),0)</f>
        <v>0</v>
      </c>
      <c r="W724" s="20" t="n">
        <f aca="false" t="array" ref="W724:W724">IF(AND(INDEX(Profils!$Q$5:$Q$34,$AE724)&gt;0,INDEX(Profils!$AF$5:$AF$34,$AE724)&lt;=$AH724),ROUND(INDEX(Profils!$Q$5:$Q$34,$AE724)*Paramètres!$E$33*$AG724*$AJ724,Paramètres!$F$33),0)</f>
        <v>0</v>
      </c>
      <c r="X724" s="20" t="n">
        <f aca="false" t="array" ref="X724:X724">IF(AND(INDEX(Profils!$R$5:$R$34,$AE724)&gt;0,INDEX(Profils!$AG$5:$AG$34,$AE724)&lt;=$AH724),ROUND(INDEX(Profils!$R$5:$R$34,$AE724)*Paramètres!$E$34*$AG724*$AJ724,Paramètres!$F$34),0)</f>
        <v>0</v>
      </c>
      <c r="Y724" s="20" t="n">
        <f aca="false" t="array" ref="Y724:Y724">IF(AND(INDEX(Profils!$S$5:$S$34,$AE724)&gt;0,INDEX(Profils!$AH$5:$AH$34,$AE724)&lt;=$AH724),ROUND(INDEX(Profils!$S$5:$S$34,$AE724)*Paramètres!$E$35*$AG724*$AJ724,Paramètres!$F$35),0)</f>
        <v>0</v>
      </c>
      <c r="Z724" s="21" t="n">
        <f aca="false">ROUND(L724/Paramètres!$E$22+M724/Paramètres!$E$23+N724/Paramètres!$E$24+O724/Paramètres!$E$25+P724/Paramètres!$E$26+Q724/Paramètres!$E$27+R724/Paramètres!$E$28+S724/Paramètres!$E$29+T724/Paramètres!$E$30+U724/Paramètres!$E$31+V724/Paramètres!$E$32+W724/Paramètres!$E$33+X724/Paramètres!$E$34+Y724/Paramètres!$E$35,1)</f>
        <v>0.9</v>
      </c>
      <c r="AA724" s="22" t="s">
        <v>109</v>
      </c>
      <c r="AB724" s="22" t="s">
        <v>109</v>
      </c>
      <c r="AC724" s="15" t="str">
        <f aca="false">$E724</f>
        <v>toile</v>
      </c>
      <c r="AD724" s="16" t="n">
        <f aca="false" t="array" ref="AD724:AD724">IF($I724&gt;=$AI724,"Max",ROUND(Paramètres!$B$40*($I724+1)^Paramètres!$B$41*INDEX(Paramètres!$H$6:$H$12,$AF724),0))</f>
        <v>8</v>
      </c>
      <c r="AE724" s="23" t="n">
        <f aca="false">MATCH($B724&amp;"|"&amp;$C724,Profils!$A$5:$A$34,0)</f>
        <v>24</v>
      </c>
      <c r="AF724" s="23" t="n">
        <v>6</v>
      </c>
      <c r="AG724" s="24" t="n">
        <f aca="false" t="array" ref="AG724:AG724">INDEX(Paramètres!$C$6:$C$12,$AF724)</f>
        <v>2.4</v>
      </c>
      <c r="AH724" s="23" t="n">
        <f aca="false" t="array" ref="AH724:AH724">INDEX(Paramètres!$D$6:$D$12,$AF724)</f>
        <v>7</v>
      </c>
      <c r="AI724" s="23" t="n">
        <f aca="false" t="array" ref="AI724:AI724">INDEX(Matériaux!$C$16:$C$20,$D724)</f>
        <v>19</v>
      </c>
      <c r="AJ724" s="25" t="n">
        <f aca="false">Paramètres!$B$16+(1-Paramètres!$B$16)*(($J724-Paramètres!$B$14)/(Paramètres!$B$15-Paramètres!$B$14))^Paramètres!$B$17</f>
        <v>0.05</v>
      </c>
    </row>
    <row r="725" customFormat="false" ht="15.75" hidden="false" customHeight="true" outlineLevel="0" collapsed="false">
      <c r="A725" s="14" t="s">
        <v>841</v>
      </c>
      <c r="B725" s="15" t="s">
        <v>31</v>
      </c>
      <c r="C725" s="15" t="s">
        <v>209</v>
      </c>
      <c r="D725" s="16" t="n">
        <v>2</v>
      </c>
      <c r="E725" s="15" t="str">
        <f aca="false" t="array" ref="E725:E725">INDEX(Matériaux!$B$5:$F$12,MATCH(INDEX(Profils!$E$5:$E$34,$AE725),Matériaux!$A$5:$A$12,0),$D725)</f>
        <v>cuir</v>
      </c>
      <c r="F725" s="17" t="s">
        <v>108</v>
      </c>
      <c r="G725" s="10" t="str">
        <f aca="false" t="array" ref="G725:G725">INDEX(Profils!$D$5:$D$34,$AE725)&amp;" en "&amp;$E725</f>
        <v>Bottes en cuir</v>
      </c>
      <c r="H725" s="16" t="n">
        <f aca="false" t="array" ref="H725:H725">INDEX(Matériaux!$B$16:$B$20,$D725)</f>
        <v>15</v>
      </c>
      <c r="I725" s="16" t="n">
        <f aca="false">IF(ISNUMBER($C$3),MIN(MAX(0,ROUND($C$3,0)),$AI725),$AI725)</f>
        <v>0</v>
      </c>
      <c r="J725" s="18" t="n">
        <f aca="false">$H725+$I725</f>
        <v>15</v>
      </c>
      <c r="K725" s="15" t="s">
        <v>109</v>
      </c>
      <c r="L725" s="19" t="n">
        <f aca="false" t="array" ref="L725:L725">IF(AND(INDEX(Profils!$F$5:$F$34,$AE725)&gt;0,INDEX(Profils!$U$5:$U$34,$AE725)&lt;=$AH725),ROUND(INDEX(Profils!$F$5:$F$34,$AE725)*Paramètres!$E$22*$AG725*$AJ725,Paramètres!$F$22),0)</f>
        <v>0</v>
      </c>
      <c r="M725" s="19" t="n">
        <f aca="false" t="array" ref="M725:M725">IF(AND(INDEX(Profils!$G$5:$G$34,$AE725)&gt;0,INDEX(Profils!$V$5:$V$34,$AE725)&lt;=$AH725),ROUND(INDEX(Profils!$G$5:$G$34,$AE725)*Paramètres!$E$23*$AG725*$AJ725,Paramètres!$F$23),0)</f>
        <v>0</v>
      </c>
      <c r="N725" s="19" t="n">
        <f aca="false" t="array" ref="N725:N725">IF(AND(INDEX(Profils!$H$5:$H$34,$AE725)&gt;0,INDEX(Profils!$W$5:$W$34,$AE725)&lt;=$AH725),ROUND(INDEX(Profils!$H$5:$H$34,$AE725)*Paramètres!$E$24*$AG725*$AJ725,Paramètres!$F$24),0)</f>
        <v>0</v>
      </c>
      <c r="O725" s="19" t="n">
        <f aca="false" t="array" ref="O725:O725">IF(AND(INDEX(Profils!$I$5:$I$34,$AE725)&gt;0,INDEX(Profils!$X$5:$X$34,$AE725)&lt;=$AH725),ROUND(INDEX(Profils!$I$5:$I$34,$AE725)*Paramètres!$E$25*$AG725*$AJ725,Paramètres!$F$25),0)</f>
        <v>0</v>
      </c>
      <c r="P725" s="19" t="n">
        <f aca="false" t="array" ref="P725:P725">IF(AND(INDEX(Profils!$J$5:$J$34,$AE725)&gt;0,INDEX(Profils!$Y$5:$Y$34,$AE725)&lt;=$AH725),ROUND(INDEX(Profils!$J$5:$J$34,$AE725)*Paramètres!$E$26*$AG725*$AJ725,Paramètres!$F$26),0)</f>
        <v>3</v>
      </c>
      <c r="Q725" s="19" t="n">
        <f aca="false" t="array" ref="Q725:Q725">IF(AND(INDEX(Profils!$K$5:$K$34,$AE725)&gt;0,INDEX(Profils!$Z$5:$Z$34,$AE725)&lt;=$AH725),ROUND(INDEX(Profils!$K$5:$K$34,$AE725)*Paramètres!$E$27*$AG725*$AJ725,Paramètres!$F$27),0)</f>
        <v>2</v>
      </c>
      <c r="R725" s="20" t="n">
        <f aca="false" t="array" ref="R725:R725">IF(AND(INDEX(Profils!$L$5:$L$34,$AE725)&gt;0,INDEX(Profils!$AA$5:$AA$34,$AE725)&lt;=$AH725),ROUND(INDEX(Profils!$L$5:$L$34,$AE725)*Paramètres!$E$28*$AG725*$AJ725,Paramètres!$F$28),0)</f>
        <v>0</v>
      </c>
      <c r="S725" s="20" t="n">
        <f aca="false" t="array" ref="S725:S725">IF(AND(INDEX(Profils!$M$5:$M$34,$AE725)&gt;0,INDEX(Profils!$AB$5:$AB$34,$AE725)&lt;=$AH725),ROUND(INDEX(Profils!$M$5:$M$34,$AE725)*Paramètres!$E$29*$AG725*$AJ725,Paramètres!$F$29),0)</f>
        <v>0</v>
      </c>
      <c r="T725" s="20" t="n">
        <f aca="false" t="array" ref="T725:T725">IF(AND(INDEX(Profils!$N$5:$N$34,$AE725)&gt;0,INDEX(Profils!$AC$5:$AC$34,$AE725)&lt;=$AH725),ROUND(INDEX(Profils!$N$5:$N$34,$AE725)*Paramètres!$E$30*$AG725*$AJ725,Paramètres!$F$30),0)</f>
        <v>0</v>
      </c>
      <c r="U725" s="19" t="n">
        <f aca="false" t="array" ref="U725:U725">IF(AND(INDEX(Profils!$O$5:$O$34,$AE725)&gt;0,INDEX(Profils!$AD$5:$AD$34,$AE725)&lt;=$AH725),ROUND(INDEX(Profils!$O$5:$O$34,$AE725)*Paramètres!$E$31*$AG725*$AJ725,Paramètres!$F$31),0)</f>
        <v>0</v>
      </c>
      <c r="V725" s="20" t="n">
        <f aca="false" t="array" ref="V725:V725">IF(AND(INDEX(Profils!$P$5:$P$34,$AE725)&gt;0,INDEX(Profils!$AE$5:$AE$34,$AE725)&lt;=$AH725),ROUND(INDEX(Profils!$P$5:$P$34,$AE725)*Paramètres!$E$32*$AG725*$AJ725,Paramètres!$F$32),0)</f>
        <v>0</v>
      </c>
      <c r="W725" s="20" t="n">
        <f aca="false" t="array" ref="W725:W725">IF(AND(INDEX(Profils!$Q$5:$Q$34,$AE725)&gt;0,INDEX(Profils!$AF$5:$AF$34,$AE725)&lt;=$AH725),ROUND(INDEX(Profils!$Q$5:$Q$34,$AE725)*Paramètres!$E$33*$AG725*$AJ725,Paramètres!$F$33),0)</f>
        <v>0</v>
      </c>
      <c r="X725" s="20" t="n">
        <f aca="false" t="array" ref="X725:X725">IF(AND(INDEX(Profils!$R$5:$R$34,$AE725)&gt;0,INDEX(Profils!$AG$5:$AG$34,$AE725)&lt;=$AH725),ROUND(INDEX(Profils!$R$5:$R$34,$AE725)*Paramètres!$E$34*$AG725*$AJ725,Paramètres!$F$34),0)</f>
        <v>0</v>
      </c>
      <c r="Y725" s="20" t="n">
        <f aca="false" t="array" ref="Y725:Y725">IF(AND(INDEX(Profils!$S$5:$S$34,$AE725)&gt;0,INDEX(Profils!$AH$5:$AH$34,$AE725)&lt;=$AH725),ROUND(INDEX(Profils!$S$5:$S$34,$AE725)*Paramètres!$E$35*$AG725*$AJ725,Paramètres!$F$35),0)</f>
        <v>0</v>
      </c>
      <c r="Z725" s="21" t="n">
        <f aca="false">ROUND(L725/Paramètres!$E$22+M725/Paramètres!$E$23+N725/Paramètres!$E$24+O725/Paramètres!$E$25+P725/Paramètres!$E$26+Q725/Paramètres!$E$27+R725/Paramètres!$E$28+S725/Paramètres!$E$29+T725/Paramètres!$E$30+U725/Paramètres!$E$31+V725/Paramètres!$E$32+W725/Paramètres!$E$33+X725/Paramètres!$E$34+Y725/Paramètres!$E$35,1)</f>
        <v>0.5</v>
      </c>
      <c r="AA725" s="22" t="s">
        <v>109</v>
      </c>
      <c r="AB725" s="22" t="s">
        <v>109</v>
      </c>
      <c r="AC725" s="15" t="str">
        <f aca="false">$E725</f>
        <v>cuir</v>
      </c>
      <c r="AD725" s="16" t="n">
        <f aca="false" t="array" ref="AD725:AD725">IF($I725&gt;=$AI725,"Max",ROUND(Paramètres!$B$40*($I725+1)^Paramètres!$B$41*INDEX(Paramètres!$H$6:$H$12,$AF725),0))</f>
        <v>3</v>
      </c>
      <c r="AE725" s="23" t="n">
        <f aca="false">MATCH($B725&amp;"|"&amp;$C725,Profils!$A$5:$A$34,0)</f>
        <v>24</v>
      </c>
      <c r="AF725" s="23" t="n">
        <v>1</v>
      </c>
      <c r="AG725" s="24" t="n">
        <f aca="false" t="array" ref="AG725:AG725">INDEX(Paramètres!$C$6:$C$12,$AF725)</f>
        <v>1</v>
      </c>
      <c r="AH725" s="23" t="n">
        <f aca="false" t="array" ref="AH725:AH725">INDEX(Paramètres!$D$6:$D$12,$AF725)</f>
        <v>2</v>
      </c>
      <c r="AI725" s="23" t="n">
        <f aca="false" t="array" ref="AI725:AI725">INDEX(Matériaux!$C$16:$C$20,$D725)</f>
        <v>20</v>
      </c>
      <c r="AJ725" s="25" t="n">
        <f aca="false">Paramètres!$B$16+(1-Paramètres!$B$16)*(($J725-Paramètres!$B$14)/(Paramètres!$B$15-Paramètres!$B$14))^Paramètres!$B$17</f>
        <v>0.140847925475674</v>
      </c>
    </row>
    <row r="726" customFormat="false" ht="15.75" hidden="false" customHeight="true" outlineLevel="0" collapsed="false">
      <c r="A726" s="14" t="s">
        <v>842</v>
      </c>
      <c r="B726" s="15" t="s">
        <v>31</v>
      </c>
      <c r="C726" s="15" t="s">
        <v>209</v>
      </c>
      <c r="D726" s="16" t="n">
        <v>2</v>
      </c>
      <c r="E726" s="15" t="str">
        <f aca="false" t="array" ref="E726:E726">INDEX(Matériaux!$B$5:$F$12,MATCH(INDEX(Profils!$E$5:$E$34,$AE726),Matériaux!$A$5:$A$12,0),$D726)</f>
        <v>cuir</v>
      </c>
      <c r="F726" s="26" t="s">
        <v>111</v>
      </c>
      <c r="G726" s="10" t="str">
        <f aca="false" t="array" ref="G726:G726">INDEX(Profils!$D$5:$D$34,$AE726)&amp;" en "&amp;$E726</f>
        <v>Bottes en cuir</v>
      </c>
      <c r="H726" s="16" t="n">
        <f aca="false" t="array" ref="H726:H726">INDEX(Matériaux!$B$16:$B$20,$D726)</f>
        <v>15</v>
      </c>
      <c r="I726" s="16" t="n">
        <f aca="false">IF(ISNUMBER($C$3),MIN(MAX(0,ROUND($C$3,0)),$AI726),$AI726)</f>
        <v>0</v>
      </c>
      <c r="J726" s="18" t="n">
        <f aca="false">$H726+$I726</f>
        <v>15</v>
      </c>
      <c r="K726" s="15" t="s">
        <v>109</v>
      </c>
      <c r="L726" s="19" t="n">
        <f aca="false" t="array" ref="L726:L726">IF(AND(INDEX(Profils!$F$5:$F$34,$AE726)&gt;0,INDEX(Profils!$U$5:$U$34,$AE726)&lt;=$AH726),ROUND(INDEX(Profils!$F$5:$F$34,$AE726)*Paramètres!$E$22*$AG726*$AJ726,Paramètres!$F$22),0)</f>
        <v>5</v>
      </c>
      <c r="M726" s="19" t="n">
        <f aca="false" t="array" ref="M726:M726">IF(AND(INDEX(Profils!$G$5:$G$34,$AE726)&gt;0,INDEX(Profils!$V$5:$V$34,$AE726)&lt;=$AH726),ROUND(INDEX(Profils!$G$5:$G$34,$AE726)*Paramètres!$E$23*$AG726*$AJ726,Paramètres!$F$23),0)</f>
        <v>0</v>
      </c>
      <c r="N726" s="19" t="n">
        <f aca="false" t="array" ref="N726:N726">IF(AND(INDEX(Profils!$H$5:$H$34,$AE726)&gt;0,INDEX(Profils!$W$5:$W$34,$AE726)&lt;=$AH726),ROUND(INDEX(Profils!$H$5:$H$34,$AE726)*Paramètres!$E$24*$AG726*$AJ726,Paramètres!$F$24),0)</f>
        <v>0</v>
      </c>
      <c r="O726" s="19" t="n">
        <f aca="false" t="array" ref="O726:O726">IF(AND(INDEX(Profils!$I$5:$I$34,$AE726)&gt;0,INDEX(Profils!$X$5:$X$34,$AE726)&lt;=$AH726),ROUND(INDEX(Profils!$I$5:$I$34,$AE726)*Paramètres!$E$25*$AG726*$AJ726,Paramètres!$F$25),0)</f>
        <v>0</v>
      </c>
      <c r="P726" s="19" t="n">
        <f aca="false" t="array" ref="P726:P726">IF(AND(INDEX(Profils!$J$5:$J$34,$AE726)&gt;0,INDEX(Profils!$Y$5:$Y$34,$AE726)&lt;=$AH726),ROUND(INDEX(Profils!$J$5:$J$34,$AE726)*Paramètres!$E$26*$AG726*$AJ726,Paramètres!$F$26),0)</f>
        <v>4</v>
      </c>
      <c r="Q726" s="19" t="n">
        <f aca="false" t="array" ref="Q726:Q726">IF(AND(INDEX(Profils!$K$5:$K$34,$AE726)&gt;0,INDEX(Profils!$Z$5:$Z$34,$AE726)&lt;=$AH726),ROUND(INDEX(Profils!$K$5:$K$34,$AE726)*Paramètres!$E$27*$AG726*$AJ726,Paramètres!$F$27),0)</f>
        <v>2</v>
      </c>
      <c r="R726" s="20" t="n">
        <f aca="false" t="array" ref="R726:R726">IF(AND(INDEX(Profils!$L$5:$L$34,$AE726)&gt;0,INDEX(Profils!$AA$5:$AA$34,$AE726)&lt;=$AH726),ROUND(INDEX(Profils!$L$5:$L$34,$AE726)*Paramètres!$E$28*$AG726*$AJ726,Paramètres!$F$28),0)</f>
        <v>0</v>
      </c>
      <c r="S726" s="20" t="n">
        <f aca="false" t="array" ref="S726:S726">IF(AND(INDEX(Profils!$M$5:$M$34,$AE726)&gt;0,INDEX(Profils!$AB$5:$AB$34,$AE726)&lt;=$AH726),ROUND(INDEX(Profils!$M$5:$M$34,$AE726)*Paramètres!$E$29*$AG726*$AJ726,Paramètres!$F$29),0)</f>
        <v>0</v>
      </c>
      <c r="T726" s="20" t="n">
        <f aca="false" t="array" ref="T726:T726">IF(AND(INDEX(Profils!$N$5:$N$34,$AE726)&gt;0,INDEX(Profils!$AC$5:$AC$34,$AE726)&lt;=$AH726),ROUND(INDEX(Profils!$N$5:$N$34,$AE726)*Paramètres!$E$30*$AG726*$AJ726,Paramètres!$F$30),0)</f>
        <v>0</v>
      </c>
      <c r="U726" s="19" t="n">
        <f aca="false" t="array" ref="U726:U726">IF(AND(INDEX(Profils!$O$5:$O$34,$AE726)&gt;0,INDEX(Profils!$AD$5:$AD$34,$AE726)&lt;=$AH726),ROUND(INDEX(Profils!$O$5:$O$34,$AE726)*Paramètres!$E$31*$AG726*$AJ726,Paramètres!$F$31),0)</f>
        <v>0</v>
      </c>
      <c r="V726" s="20" t="n">
        <f aca="false" t="array" ref="V726:V726">IF(AND(INDEX(Profils!$P$5:$P$34,$AE726)&gt;0,INDEX(Profils!$AE$5:$AE$34,$AE726)&lt;=$AH726),ROUND(INDEX(Profils!$P$5:$P$34,$AE726)*Paramètres!$E$32*$AG726*$AJ726,Paramètres!$F$32),0)</f>
        <v>0</v>
      </c>
      <c r="W726" s="20" t="n">
        <f aca="false" t="array" ref="W726:W726">IF(AND(INDEX(Profils!$Q$5:$Q$34,$AE726)&gt;0,INDEX(Profils!$AF$5:$AF$34,$AE726)&lt;=$AH726),ROUND(INDEX(Profils!$Q$5:$Q$34,$AE726)*Paramètres!$E$33*$AG726*$AJ726,Paramètres!$F$33),0)</f>
        <v>0</v>
      </c>
      <c r="X726" s="20" t="n">
        <f aca="false" t="array" ref="X726:X726">IF(AND(INDEX(Profils!$R$5:$R$34,$AE726)&gt;0,INDEX(Profils!$AG$5:$AG$34,$AE726)&lt;=$AH726),ROUND(INDEX(Profils!$R$5:$R$34,$AE726)*Paramètres!$E$34*$AG726*$AJ726,Paramètres!$F$34),0)</f>
        <v>0</v>
      </c>
      <c r="Y726" s="20" t="n">
        <f aca="false" t="array" ref="Y726:Y726">IF(AND(INDEX(Profils!$S$5:$S$34,$AE726)&gt;0,INDEX(Profils!$AH$5:$AH$34,$AE726)&lt;=$AH726),ROUND(INDEX(Profils!$S$5:$S$34,$AE726)*Paramètres!$E$35*$AG726*$AJ726,Paramètres!$F$35),0)</f>
        <v>0</v>
      </c>
      <c r="Z726" s="21" t="n">
        <f aca="false">ROUND(L726/Paramètres!$E$22+M726/Paramètres!$E$23+N726/Paramètres!$E$24+O726/Paramètres!$E$25+P726/Paramètres!$E$26+Q726/Paramètres!$E$27+R726/Paramètres!$E$28+S726/Paramètres!$E$29+T726/Paramètres!$E$30+U726/Paramètres!$E$31+V726/Paramètres!$E$32+W726/Paramètres!$E$33+X726/Paramètres!$E$34+Y726/Paramètres!$E$35,1)</f>
        <v>0.7</v>
      </c>
      <c r="AA726" s="22" t="s">
        <v>109</v>
      </c>
      <c r="AB726" s="22" t="s">
        <v>109</v>
      </c>
      <c r="AC726" s="15" t="str">
        <f aca="false">$E726</f>
        <v>cuir</v>
      </c>
      <c r="AD726" s="16" t="n">
        <f aca="false" t="array" ref="AD726:AD726">IF($I726&gt;=$AI726,"Max",ROUND(Paramètres!$B$40*($I726+1)^Paramètres!$B$41*INDEX(Paramètres!$H$6:$H$12,$AF726),0))</f>
        <v>4</v>
      </c>
      <c r="AE726" s="23" t="n">
        <f aca="false">MATCH($B726&amp;"|"&amp;$C726,Profils!$A$5:$A$34,0)</f>
        <v>24</v>
      </c>
      <c r="AF726" s="23" t="n">
        <v>2</v>
      </c>
      <c r="AG726" s="24" t="n">
        <f aca="false" t="array" ref="AG726:AG726">INDEX(Paramètres!$C$6:$C$12,$AF726)</f>
        <v>1.2</v>
      </c>
      <c r="AH726" s="23" t="n">
        <f aca="false" t="array" ref="AH726:AH726">INDEX(Paramètres!$D$6:$D$12,$AF726)</f>
        <v>3</v>
      </c>
      <c r="AI726" s="23" t="n">
        <f aca="false" t="array" ref="AI726:AI726">INDEX(Matériaux!$C$16:$C$20,$D726)</f>
        <v>20</v>
      </c>
      <c r="AJ726" s="25" t="n">
        <f aca="false">Paramètres!$B$16+(1-Paramètres!$B$16)*(($J726-Paramètres!$B$14)/(Paramètres!$B$15-Paramètres!$B$14))^Paramètres!$B$17</f>
        <v>0.140847925475674</v>
      </c>
    </row>
    <row r="727" customFormat="false" ht="15.75" hidden="false" customHeight="true" outlineLevel="0" collapsed="false">
      <c r="A727" s="14" t="s">
        <v>843</v>
      </c>
      <c r="B727" s="15" t="s">
        <v>31</v>
      </c>
      <c r="C727" s="15" t="s">
        <v>209</v>
      </c>
      <c r="D727" s="16" t="n">
        <v>2</v>
      </c>
      <c r="E727" s="15" t="str">
        <f aca="false" t="array" ref="E727:E727">INDEX(Matériaux!$B$5:$F$12,MATCH(INDEX(Profils!$E$5:$E$34,$AE727),Matériaux!$A$5:$A$12,0),$D727)</f>
        <v>cuir</v>
      </c>
      <c r="F727" s="27" t="s">
        <v>113</v>
      </c>
      <c r="G727" s="10" t="str">
        <f aca="false" t="array" ref="G727:G727">INDEX(Profils!$D$5:$D$34,$AE727)&amp;" en "&amp;$E727</f>
        <v>Bottes en cuir</v>
      </c>
      <c r="H727" s="16" t="n">
        <f aca="false" t="array" ref="H727:H727">INDEX(Matériaux!$B$16:$B$20,$D727)</f>
        <v>15</v>
      </c>
      <c r="I727" s="16" t="n">
        <f aca="false">IF(ISNUMBER($C$3),MIN(MAX(0,ROUND($C$3,0)),$AI727),$AI727)</f>
        <v>0</v>
      </c>
      <c r="J727" s="18" t="n">
        <f aca="false">$H727+$I727</f>
        <v>15</v>
      </c>
      <c r="K727" s="15" t="s">
        <v>109</v>
      </c>
      <c r="L727" s="19" t="n">
        <f aca="false" t="array" ref="L727:L727">IF(AND(INDEX(Profils!$F$5:$F$34,$AE727)&gt;0,INDEX(Profils!$U$5:$U$34,$AE727)&lt;=$AH727),ROUND(INDEX(Profils!$F$5:$F$34,$AE727)*Paramètres!$E$22*$AG727*$AJ727,Paramètres!$F$22),0)</f>
        <v>6</v>
      </c>
      <c r="M727" s="19" t="n">
        <f aca="false" t="array" ref="M727:M727">IF(AND(INDEX(Profils!$G$5:$G$34,$AE727)&gt;0,INDEX(Profils!$V$5:$V$34,$AE727)&lt;=$AH727),ROUND(INDEX(Profils!$G$5:$G$34,$AE727)*Paramètres!$E$23*$AG727*$AJ727,Paramètres!$F$23),0)</f>
        <v>0</v>
      </c>
      <c r="N727" s="19" t="n">
        <f aca="false" t="array" ref="N727:N727">IF(AND(INDEX(Profils!$H$5:$H$34,$AE727)&gt;0,INDEX(Profils!$W$5:$W$34,$AE727)&lt;=$AH727),ROUND(INDEX(Profils!$H$5:$H$34,$AE727)*Paramètres!$E$24*$AG727*$AJ727,Paramètres!$F$24),0)</f>
        <v>0</v>
      </c>
      <c r="O727" s="19" t="n">
        <f aca="false" t="array" ref="O727:O727">IF(AND(INDEX(Profils!$I$5:$I$34,$AE727)&gt;0,INDEX(Profils!$X$5:$X$34,$AE727)&lt;=$AH727),ROUND(INDEX(Profils!$I$5:$I$34,$AE727)*Paramètres!$E$25*$AG727*$AJ727,Paramètres!$F$25),0)</f>
        <v>0</v>
      </c>
      <c r="P727" s="19" t="n">
        <f aca="false" t="array" ref="P727:P727">IF(AND(INDEX(Profils!$J$5:$J$34,$AE727)&gt;0,INDEX(Profils!$Y$5:$Y$34,$AE727)&lt;=$AH727),ROUND(INDEX(Profils!$J$5:$J$34,$AE727)*Paramètres!$E$26*$AG727*$AJ727,Paramètres!$F$26),0)</f>
        <v>4</v>
      </c>
      <c r="Q727" s="19" t="n">
        <f aca="false" t="array" ref="Q727:Q727">IF(AND(INDEX(Profils!$K$5:$K$34,$AE727)&gt;0,INDEX(Profils!$Z$5:$Z$34,$AE727)&lt;=$AH727),ROUND(INDEX(Profils!$K$5:$K$34,$AE727)*Paramètres!$E$27*$AG727*$AJ727,Paramètres!$F$27),0)</f>
        <v>3</v>
      </c>
      <c r="R727" s="20" t="n">
        <f aca="false" t="array" ref="R727:R727">IF(AND(INDEX(Profils!$L$5:$L$34,$AE727)&gt;0,INDEX(Profils!$AA$5:$AA$34,$AE727)&lt;=$AH727),ROUND(INDEX(Profils!$L$5:$L$34,$AE727)*Paramètres!$E$28*$AG727*$AJ727,Paramètres!$F$28),0)</f>
        <v>0.002</v>
      </c>
      <c r="S727" s="20" t="n">
        <f aca="false" t="array" ref="S727:S727">IF(AND(INDEX(Profils!$M$5:$M$34,$AE727)&gt;0,INDEX(Profils!$AB$5:$AB$34,$AE727)&lt;=$AH727),ROUND(INDEX(Profils!$M$5:$M$34,$AE727)*Paramètres!$E$29*$AG727*$AJ727,Paramètres!$F$29),0)</f>
        <v>0</v>
      </c>
      <c r="T727" s="20" t="n">
        <f aca="false" t="array" ref="T727:T727">IF(AND(INDEX(Profils!$N$5:$N$34,$AE727)&gt;0,INDEX(Profils!$AC$5:$AC$34,$AE727)&lt;=$AH727),ROUND(INDEX(Profils!$N$5:$N$34,$AE727)*Paramètres!$E$30*$AG727*$AJ727,Paramètres!$F$30),0)</f>
        <v>0</v>
      </c>
      <c r="U727" s="19" t="n">
        <f aca="false" t="array" ref="U727:U727">IF(AND(INDEX(Profils!$O$5:$O$34,$AE727)&gt;0,INDEX(Profils!$AD$5:$AD$34,$AE727)&lt;=$AH727),ROUND(INDEX(Profils!$O$5:$O$34,$AE727)*Paramètres!$E$31*$AG727*$AJ727,Paramètres!$F$31),0)</f>
        <v>0</v>
      </c>
      <c r="V727" s="20" t="n">
        <f aca="false" t="array" ref="V727:V727">IF(AND(INDEX(Profils!$P$5:$P$34,$AE727)&gt;0,INDEX(Profils!$AE$5:$AE$34,$AE727)&lt;=$AH727),ROUND(INDEX(Profils!$P$5:$P$34,$AE727)*Paramètres!$E$32*$AG727*$AJ727,Paramètres!$F$32),0)</f>
        <v>0</v>
      </c>
      <c r="W727" s="20" t="n">
        <f aca="false" t="array" ref="W727:W727">IF(AND(INDEX(Profils!$Q$5:$Q$34,$AE727)&gt;0,INDEX(Profils!$AF$5:$AF$34,$AE727)&lt;=$AH727),ROUND(INDEX(Profils!$Q$5:$Q$34,$AE727)*Paramètres!$E$33*$AG727*$AJ727,Paramètres!$F$33),0)</f>
        <v>0</v>
      </c>
      <c r="X727" s="20" t="n">
        <f aca="false" t="array" ref="X727:X727">IF(AND(INDEX(Profils!$R$5:$R$34,$AE727)&gt;0,INDEX(Profils!$AG$5:$AG$34,$AE727)&lt;=$AH727),ROUND(INDEX(Profils!$R$5:$R$34,$AE727)*Paramètres!$E$34*$AG727*$AJ727,Paramètres!$F$34),0)</f>
        <v>0</v>
      </c>
      <c r="Y727" s="20" t="n">
        <f aca="false" t="array" ref="Y727:Y727">IF(AND(INDEX(Profils!$S$5:$S$34,$AE727)&gt;0,INDEX(Profils!$AH$5:$AH$34,$AE727)&lt;=$AH727),ROUND(INDEX(Profils!$S$5:$S$34,$AE727)*Paramètres!$E$35*$AG727*$AJ727,Paramètres!$F$35),0)</f>
        <v>0</v>
      </c>
      <c r="Z727" s="21" t="n">
        <f aca="false">ROUND(L727/Paramètres!$E$22+M727/Paramètres!$E$23+N727/Paramètres!$E$24+O727/Paramètres!$E$25+P727/Paramètres!$E$26+Q727/Paramètres!$E$27+R727/Paramètres!$E$28+S727/Paramètres!$E$29+T727/Paramètres!$E$30+U727/Paramètres!$E$31+V727/Paramètres!$E$32+W727/Paramètres!$E$33+X727/Paramètres!$E$34+Y727/Paramètres!$E$35,1)</f>
        <v>1</v>
      </c>
      <c r="AA727" s="22" t="s">
        <v>109</v>
      </c>
      <c r="AB727" s="22" t="s">
        <v>109</v>
      </c>
      <c r="AC727" s="15" t="str">
        <f aca="false">$E727</f>
        <v>cuir</v>
      </c>
      <c r="AD727" s="16" t="n">
        <f aca="false" t="array" ref="AD727:AD727">IF($I727&gt;=$AI727,"Max",ROUND(Paramètres!$B$40*($I727+1)^Paramètres!$B$41*INDEX(Paramètres!$H$6:$H$12,$AF727),0))</f>
        <v>4</v>
      </c>
      <c r="AE727" s="23" t="n">
        <f aca="false">MATCH($B727&amp;"|"&amp;$C727,Profils!$A$5:$A$34,0)</f>
        <v>24</v>
      </c>
      <c r="AF727" s="23" t="n">
        <v>3</v>
      </c>
      <c r="AG727" s="24" t="n">
        <f aca="false" t="array" ref="AG727:AG727">INDEX(Paramètres!$C$6:$C$12,$AF727)</f>
        <v>1.45</v>
      </c>
      <c r="AH727" s="23" t="n">
        <f aca="false" t="array" ref="AH727:AH727">INDEX(Paramètres!$D$6:$D$12,$AF727)</f>
        <v>4</v>
      </c>
      <c r="AI727" s="23" t="n">
        <f aca="false" t="array" ref="AI727:AI727">INDEX(Matériaux!$C$16:$C$20,$D727)</f>
        <v>20</v>
      </c>
      <c r="AJ727" s="25" t="n">
        <f aca="false">Paramètres!$B$16+(1-Paramètres!$B$16)*(($J727-Paramètres!$B$14)/(Paramètres!$B$15-Paramètres!$B$14))^Paramètres!$B$17</f>
        <v>0.140847925475674</v>
      </c>
    </row>
    <row r="728" customFormat="false" ht="15.75" hidden="false" customHeight="true" outlineLevel="0" collapsed="false">
      <c r="A728" s="14" t="s">
        <v>844</v>
      </c>
      <c r="B728" s="15" t="s">
        <v>31</v>
      </c>
      <c r="C728" s="15" t="s">
        <v>209</v>
      </c>
      <c r="D728" s="16" t="n">
        <v>2</v>
      </c>
      <c r="E728" s="15" t="str">
        <f aca="false" t="array" ref="E728:E728">INDEX(Matériaux!$B$5:$F$12,MATCH(INDEX(Profils!$E$5:$E$34,$AE728),Matériaux!$A$5:$A$12,0),$D728)</f>
        <v>cuir</v>
      </c>
      <c r="F728" s="28" t="s">
        <v>115</v>
      </c>
      <c r="G728" s="10" t="str">
        <f aca="false" t="array" ref="G728:G728">INDEX(Profils!$D$5:$D$34,$AE728)&amp;" en "&amp;$E728</f>
        <v>Bottes en cuir</v>
      </c>
      <c r="H728" s="16" t="n">
        <f aca="false" t="array" ref="H728:H728">INDEX(Matériaux!$B$16:$B$20,$D728)</f>
        <v>15</v>
      </c>
      <c r="I728" s="16" t="n">
        <f aca="false">IF(ISNUMBER($C$3),MIN(MAX(0,ROUND($C$3,0)),$AI728),$AI728)</f>
        <v>0</v>
      </c>
      <c r="J728" s="18" t="n">
        <f aca="false">$H728+$I728</f>
        <v>15</v>
      </c>
      <c r="K728" s="15" t="s">
        <v>109</v>
      </c>
      <c r="L728" s="19" t="n">
        <f aca="false" t="array" ref="L728:L728">IF(AND(INDEX(Profils!$F$5:$F$34,$AE728)&gt;0,INDEX(Profils!$U$5:$U$34,$AE728)&lt;=$AH728),ROUND(INDEX(Profils!$F$5:$F$34,$AE728)*Paramètres!$E$22*$AG728*$AJ728,Paramètres!$F$22),0)</f>
        <v>7</v>
      </c>
      <c r="M728" s="19" t="n">
        <f aca="false" t="array" ref="M728:M728">IF(AND(INDEX(Profils!$G$5:$G$34,$AE728)&gt;0,INDEX(Profils!$V$5:$V$34,$AE728)&lt;=$AH728),ROUND(INDEX(Profils!$G$5:$G$34,$AE728)*Paramètres!$E$23*$AG728*$AJ728,Paramètres!$F$23),0)</f>
        <v>0</v>
      </c>
      <c r="N728" s="19" t="n">
        <f aca="false" t="array" ref="N728:N728">IF(AND(INDEX(Profils!$H$5:$H$34,$AE728)&gt;0,INDEX(Profils!$W$5:$W$34,$AE728)&lt;=$AH728),ROUND(INDEX(Profils!$H$5:$H$34,$AE728)*Paramètres!$E$24*$AG728*$AJ728,Paramètres!$F$24),0)</f>
        <v>0</v>
      </c>
      <c r="O728" s="19" t="n">
        <f aca="false" t="array" ref="O728:O728">IF(AND(INDEX(Profils!$I$5:$I$34,$AE728)&gt;0,INDEX(Profils!$X$5:$X$34,$AE728)&lt;=$AH728),ROUND(INDEX(Profils!$I$5:$I$34,$AE728)*Paramètres!$E$25*$AG728*$AJ728,Paramètres!$F$25),0)</f>
        <v>0</v>
      </c>
      <c r="P728" s="19" t="n">
        <f aca="false" t="array" ref="P728:P728">IF(AND(INDEX(Profils!$J$5:$J$34,$AE728)&gt;0,INDEX(Profils!$Y$5:$Y$34,$AE728)&lt;=$AH728),ROUND(INDEX(Profils!$J$5:$J$34,$AE728)*Paramètres!$E$26*$AG728*$AJ728,Paramètres!$F$26),0)</f>
        <v>5</v>
      </c>
      <c r="Q728" s="19" t="n">
        <f aca="false" t="array" ref="Q728:Q728">IF(AND(INDEX(Profils!$K$5:$K$34,$AE728)&gt;0,INDEX(Profils!$Z$5:$Z$34,$AE728)&lt;=$AH728),ROUND(INDEX(Profils!$K$5:$K$34,$AE728)*Paramètres!$E$27*$AG728*$AJ728,Paramètres!$F$27),0)</f>
        <v>3</v>
      </c>
      <c r="R728" s="20" t="n">
        <f aca="false" t="array" ref="R728:R728">IF(AND(INDEX(Profils!$L$5:$L$34,$AE728)&gt;0,INDEX(Profils!$AA$5:$AA$34,$AE728)&lt;=$AH728),ROUND(INDEX(Profils!$L$5:$L$34,$AE728)*Paramètres!$E$28*$AG728*$AJ728,Paramètres!$F$28),0)</f>
        <v>0.003</v>
      </c>
      <c r="S728" s="20" t="n">
        <f aca="false" t="array" ref="S728:S728">IF(AND(INDEX(Profils!$M$5:$M$34,$AE728)&gt;0,INDEX(Profils!$AB$5:$AB$34,$AE728)&lt;=$AH728),ROUND(INDEX(Profils!$M$5:$M$34,$AE728)*Paramètres!$E$29*$AG728*$AJ728,Paramètres!$F$29),0)</f>
        <v>0</v>
      </c>
      <c r="T728" s="20" t="n">
        <f aca="false" t="array" ref="T728:T728">IF(AND(INDEX(Profils!$N$5:$N$34,$AE728)&gt;0,INDEX(Profils!$AC$5:$AC$34,$AE728)&lt;=$AH728),ROUND(INDEX(Profils!$N$5:$N$34,$AE728)*Paramètres!$E$30*$AG728*$AJ728,Paramètres!$F$30),0)</f>
        <v>0</v>
      </c>
      <c r="U728" s="19" t="n">
        <f aca="false" t="array" ref="U728:U728">IF(AND(INDEX(Profils!$O$5:$O$34,$AE728)&gt;0,INDEX(Profils!$AD$5:$AD$34,$AE728)&lt;=$AH728),ROUND(INDEX(Profils!$O$5:$O$34,$AE728)*Paramètres!$E$31*$AG728*$AJ728,Paramètres!$F$31),0)</f>
        <v>3</v>
      </c>
      <c r="V728" s="20" t="n">
        <f aca="false" t="array" ref="V728:V728">IF(AND(INDEX(Profils!$P$5:$P$34,$AE728)&gt;0,INDEX(Profils!$AE$5:$AE$34,$AE728)&lt;=$AH728),ROUND(INDEX(Profils!$P$5:$P$34,$AE728)*Paramètres!$E$32*$AG728*$AJ728,Paramètres!$F$32),0)</f>
        <v>0</v>
      </c>
      <c r="W728" s="20" t="n">
        <f aca="false" t="array" ref="W728:W728">IF(AND(INDEX(Profils!$Q$5:$Q$34,$AE728)&gt;0,INDEX(Profils!$AF$5:$AF$34,$AE728)&lt;=$AH728),ROUND(INDEX(Profils!$Q$5:$Q$34,$AE728)*Paramètres!$E$33*$AG728*$AJ728,Paramètres!$F$33),0)</f>
        <v>0</v>
      </c>
      <c r="X728" s="20" t="n">
        <f aca="false" t="array" ref="X728:X728">IF(AND(INDEX(Profils!$R$5:$R$34,$AE728)&gt;0,INDEX(Profils!$AG$5:$AG$34,$AE728)&lt;=$AH728),ROUND(INDEX(Profils!$R$5:$R$34,$AE728)*Paramètres!$E$34*$AG728*$AJ728,Paramètres!$F$34),0)</f>
        <v>0</v>
      </c>
      <c r="Y728" s="20" t="n">
        <f aca="false" t="array" ref="Y728:Y728">IF(AND(INDEX(Profils!$S$5:$S$34,$AE728)&gt;0,INDEX(Profils!$AH$5:$AH$34,$AE728)&lt;=$AH728),ROUND(INDEX(Profils!$S$5:$S$34,$AE728)*Paramètres!$E$35*$AG728*$AJ728,Paramètres!$F$35),0)</f>
        <v>0</v>
      </c>
      <c r="Z728" s="21" t="n">
        <f aca="false">ROUND(L728/Paramètres!$E$22+M728/Paramètres!$E$23+N728/Paramètres!$E$24+O728/Paramètres!$E$25+P728/Paramètres!$E$26+Q728/Paramètres!$E$27+R728/Paramètres!$E$28+S728/Paramètres!$E$29+T728/Paramètres!$E$30+U728/Paramètres!$E$31+V728/Paramètres!$E$32+W728/Paramètres!$E$33+X728/Paramètres!$E$34+Y728/Paramètres!$E$35,1)</f>
        <v>1.3</v>
      </c>
      <c r="AA728" s="22" t="s">
        <v>109</v>
      </c>
      <c r="AB728" s="22" t="s">
        <v>109</v>
      </c>
      <c r="AC728" s="15" t="str">
        <f aca="false">$E728</f>
        <v>cuir</v>
      </c>
      <c r="AD728" s="16" t="n">
        <f aca="false" t="array" ref="AD728:AD728">IF($I728&gt;=$AI728,"Max",ROUND(Paramètres!$B$40*($I728+1)^Paramètres!$B$41*INDEX(Paramètres!$H$6:$H$12,$AF728),0))</f>
        <v>5</v>
      </c>
      <c r="AE728" s="23" t="n">
        <f aca="false">MATCH($B728&amp;"|"&amp;$C728,Profils!$A$5:$A$34,0)</f>
        <v>24</v>
      </c>
      <c r="AF728" s="23" t="n">
        <v>4</v>
      </c>
      <c r="AG728" s="24" t="n">
        <f aca="false" t="array" ref="AG728:AG728">INDEX(Paramètres!$C$6:$C$12,$AF728)</f>
        <v>1.75</v>
      </c>
      <c r="AH728" s="23" t="n">
        <f aca="false" t="array" ref="AH728:AH728">INDEX(Paramètres!$D$6:$D$12,$AF728)</f>
        <v>5</v>
      </c>
      <c r="AI728" s="23" t="n">
        <f aca="false" t="array" ref="AI728:AI728">INDEX(Matériaux!$C$16:$C$20,$D728)</f>
        <v>20</v>
      </c>
      <c r="AJ728" s="25" t="n">
        <f aca="false">Paramètres!$B$16+(1-Paramètres!$B$16)*(($J728-Paramètres!$B$14)/(Paramètres!$B$15-Paramètres!$B$14))^Paramètres!$B$17</f>
        <v>0.140847925475674</v>
      </c>
    </row>
    <row r="729" customFormat="false" ht="15.75" hidden="false" customHeight="true" outlineLevel="0" collapsed="false">
      <c r="A729" s="14" t="s">
        <v>845</v>
      </c>
      <c r="B729" s="15" t="s">
        <v>31</v>
      </c>
      <c r="C729" s="15" t="s">
        <v>209</v>
      </c>
      <c r="D729" s="16" t="n">
        <v>2</v>
      </c>
      <c r="E729" s="15" t="str">
        <f aca="false" t="array" ref="E729:E729">INDEX(Matériaux!$B$5:$F$12,MATCH(INDEX(Profils!$E$5:$E$34,$AE729),Matériaux!$A$5:$A$12,0),$D729)</f>
        <v>cuir</v>
      </c>
      <c r="F729" s="29" t="s">
        <v>117</v>
      </c>
      <c r="G729" s="10" t="str">
        <f aca="false" t="array" ref="G729:G729">INDEX(Profils!$D$5:$D$34,$AE729)&amp;" en "&amp;$E729</f>
        <v>Bottes en cuir</v>
      </c>
      <c r="H729" s="16" t="n">
        <f aca="false" t="array" ref="H729:H729">INDEX(Matériaux!$B$16:$B$20,$D729)</f>
        <v>15</v>
      </c>
      <c r="I729" s="16" t="n">
        <f aca="false">IF(ISNUMBER($C$3),MIN(MAX(0,ROUND($C$3,0)),$AI729),$AI729)</f>
        <v>0</v>
      </c>
      <c r="J729" s="18" t="n">
        <f aca="false">$H729+$I729</f>
        <v>15</v>
      </c>
      <c r="K729" s="15" t="s">
        <v>109</v>
      </c>
      <c r="L729" s="19" t="n">
        <f aca="false" t="array" ref="L729:L729">IF(AND(INDEX(Profils!$F$5:$F$34,$AE729)&gt;0,INDEX(Profils!$U$5:$U$34,$AE729)&lt;=$AH729),ROUND(INDEX(Profils!$F$5:$F$34,$AE729)*Paramètres!$E$22*$AG729*$AJ729,Paramètres!$F$22),0)</f>
        <v>8</v>
      </c>
      <c r="M729" s="19" t="n">
        <f aca="false" t="array" ref="M729:M729">IF(AND(INDEX(Profils!$G$5:$G$34,$AE729)&gt;0,INDEX(Profils!$V$5:$V$34,$AE729)&lt;=$AH729),ROUND(INDEX(Profils!$G$5:$G$34,$AE729)*Paramètres!$E$23*$AG729*$AJ729,Paramètres!$F$23),0)</f>
        <v>0</v>
      </c>
      <c r="N729" s="19" t="n">
        <f aca="false" t="array" ref="N729:N729">IF(AND(INDEX(Profils!$H$5:$H$34,$AE729)&gt;0,INDEX(Profils!$W$5:$W$34,$AE729)&lt;=$AH729),ROUND(INDEX(Profils!$H$5:$H$34,$AE729)*Paramètres!$E$24*$AG729*$AJ729,Paramètres!$F$24),0)</f>
        <v>3</v>
      </c>
      <c r="O729" s="19" t="n">
        <f aca="false" t="array" ref="O729:O729">IF(AND(INDEX(Profils!$I$5:$I$34,$AE729)&gt;0,INDEX(Profils!$X$5:$X$34,$AE729)&lt;=$AH729),ROUND(INDEX(Profils!$I$5:$I$34,$AE729)*Paramètres!$E$25*$AG729*$AJ729,Paramètres!$F$25),0)</f>
        <v>0</v>
      </c>
      <c r="P729" s="19" t="n">
        <f aca="false" t="array" ref="P729:P729">IF(AND(INDEX(Profils!$J$5:$J$34,$AE729)&gt;0,INDEX(Profils!$Y$5:$Y$34,$AE729)&lt;=$AH729),ROUND(INDEX(Profils!$J$5:$J$34,$AE729)*Paramètres!$E$26*$AG729*$AJ729,Paramètres!$F$26),0)</f>
        <v>6</v>
      </c>
      <c r="Q729" s="19" t="n">
        <f aca="false" t="array" ref="Q729:Q729">IF(AND(INDEX(Profils!$K$5:$K$34,$AE729)&gt;0,INDEX(Profils!$Z$5:$Z$34,$AE729)&lt;=$AH729),ROUND(INDEX(Profils!$K$5:$K$34,$AE729)*Paramètres!$E$27*$AG729*$AJ729,Paramètres!$F$27),0)</f>
        <v>4</v>
      </c>
      <c r="R729" s="20" t="n">
        <f aca="false" t="array" ref="R729:R729">IF(AND(INDEX(Profils!$L$5:$L$34,$AE729)&gt;0,INDEX(Profils!$AA$5:$AA$34,$AE729)&lt;=$AH729),ROUND(INDEX(Profils!$L$5:$L$34,$AE729)*Paramètres!$E$28*$AG729*$AJ729,Paramètres!$F$28),0)</f>
        <v>0.004</v>
      </c>
      <c r="S729" s="20" t="n">
        <f aca="false" t="array" ref="S729:S729">IF(AND(INDEX(Profils!$M$5:$M$34,$AE729)&gt;0,INDEX(Profils!$AB$5:$AB$34,$AE729)&lt;=$AH729),ROUND(INDEX(Profils!$M$5:$M$34,$AE729)*Paramètres!$E$29*$AG729*$AJ729,Paramètres!$F$29),0)</f>
        <v>0</v>
      </c>
      <c r="T729" s="20" t="n">
        <f aca="false" t="array" ref="T729:T729">IF(AND(INDEX(Profils!$N$5:$N$34,$AE729)&gt;0,INDEX(Profils!$AC$5:$AC$34,$AE729)&lt;=$AH729),ROUND(INDEX(Profils!$N$5:$N$34,$AE729)*Paramètres!$E$30*$AG729*$AJ729,Paramètres!$F$30),0)</f>
        <v>0</v>
      </c>
      <c r="U729" s="19" t="n">
        <f aca="false" t="array" ref="U729:U729">IF(AND(INDEX(Profils!$O$5:$O$34,$AE729)&gt;0,INDEX(Profils!$AD$5:$AD$34,$AE729)&lt;=$AH729),ROUND(INDEX(Profils!$O$5:$O$34,$AE729)*Paramètres!$E$31*$AG729*$AJ729,Paramètres!$F$31),0)</f>
        <v>4</v>
      </c>
      <c r="V729" s="20" t="n">
        <f aca="false" t="array" ref="V729:V729">IF(AND(INDEX(Profils!$P$5:$P$34,$AE729)&gt;0,INDEX(Profils!$AE$5:$AE$34,$AE729)&lt;=$AH729),ROUND(INDEX(Profils!$P$5:$P$34,$AE729)*Paramètres!$E$32*$AG729*$AJ729,Paramètres!$F$32),0)</f>
        <v>0</v>
      </c>
      <c r="W729" s="20" t="n">
        <f aca="false" t="array" ref="W729:W729">IF(AND(INDEX(Profils!$Q$5:$Q$34,$AE729)&gt;0,INDEX(Profils!$AF$5:$AF$34,$AE729)&lt;=$AH729),ROUND(INDEX(Profils!$Q$5:$Q$34,$AE729)*Paramètres!$E$33*$AG729*$AJ729,Paramètres!$F$33),0)</f>
        <v>0</v>
      </c>
      <c r="X729" s="20" t="n">
        <f aca="false" t="array" ref="X729:X729">IF(AND(INDEX(Profils!$R$5:$R$34,$AE729)&gt;0,INDEX(Profils!$AG$5:$AG$34,$AE729)&lt;=$AH729),ROUND(INDEX(Profils!$R$5:$R$34,$AE729)*Paramètres!$E$34*$AG729*$AJ729,Paramètres!$F$34),0)</f>
        <v>0</v>
      </c>
      <c r="Y729" s="20" t="n">
        <f aca="false" t="array" ref="Y729:Y729">IF(AND(INDEX(Profils!$S$5:$S$34,$AE729)&gt;0,INDEX(Profils!$AH$5:$AH$34,$AE729)&lt;=$AH729),ROUND(INDEX(Profils!$S$5:$S$34,$AE729)*Paramètres!$E$35*$AG729*$AJ729,Paramètres!$F$35),0)</f>
        <v>0</v>
      </c>
      <c r="Z729" s="21" t="n">
        <f aca="false">ROUND(L729/Paramètres!$E$22+M729/Paramètres!$E$23+N729/Paramètres!$E$24+O729/Paramètres!$E$25+P729/Paramètres!$E$26+Q729/Paramètres!$E$27+R729/Paramètres!$E$28+S729/Paramètres!$E$29+T729/Paramètres!$E$30+U729/Paramètres!$E$31+V729/Paramètres!$E$32+W729/Paramètres!$E$33+X729/Paramètres!$E$34+Y729/Paramètres!$E$35,1)</f>
        <v>1.9</v>
      </c>
      <c r="AA729" s="22" t="s">
        <v>109</v>
      </c>
      <c r="AB729" s="22" t="s">
        <v>109</v>
      </c>
      <c r="AC729" s="15" t="str">
        <f aca="false">$E729</f>
        <v>cuir</v>
      </c>
      <c r="AD729" s="16" t="n">
        <f aca="false" t="array" ref="AD729:AD729">IF($I729&gt;=$AI729,"Max",ROUND(Paramètres!$B$40*($I729+1)^Paramètres!$B$41*INDEX(Paramètres!$H$6:$H$12,$AF729),0))</f>
        <v>6</v>
      </c>
      <c r="AE729" s="23" t="n">
        <f aca="false">MATCH($B729&amp;"|"&amp;$C729,Profils!$A$5:$A$34,0)</f>
        <v>24</v>
      </c>
      <c r="AF729" s="23" t="n">
        <v>5</v>
      </c>
      <c r="AG729" s="24" t="n">
        <f aca="false" t="array" ref="AG729:AG729">INDEX(Paramètres!$C$6:$C$12,$AF729)</f>
        <v>2.1</v>
      </c>
      <c r="AH729" s="23" t="n">
        <f aca="false" t="array" ref="AH729:AH729">INDEX(Paramètres!$D$6:$D$12,$AF729)</f>
        <v>6</v>
      </c>
      <c r="AI729" s="23" t="n">
        <f aca="false" t="array" ref="AI729:AI729">INDEX(Matériaux!$C$16:$C$20,$D729)</f>
        <v>20</v>
      </c>
      <c r="AJ729" s="25" t="n">
        <f aca="false">Paramètres!$B$16+(1-Paramètres!$B$16)*(($J729-Paramètres!$B$14)/(Paramètres!$B$15-Paramètres!$B$14))^Paramètres!$B$17</f>
        <v>0.140847925475674</v>
      </c>
    </row>
    <row r="730" customFormat="false" ht="15.75" hidden="false" customHeight="true" outlineLevel="0" collapsed="false">
      <c r="A730" s="14" t="s">
        <v>846</v>
      </c>
      <c r="B730" s="15" t="s">
        <v>31</v>
      </c>
      <c r="C730" s="15" t="s">
        <v>209</v>
      </c>
      <c r="D730" s="16" t="n">
        <v>2</v>
      </c>
      <c r="E730" s="15" t="str">
        <f aca="false" t="array" ref="E730:E730">INDEX(Matériaux!$B$5:$F$12,MATCH(INDEX(Profils!$E$5:$E$34,$AE730),Matériaux!$A$5:$A$12,0),$D730)</f>
        <v>cuir</v>
      </c>
      <c r="F730" s="30" t="s">
        <v>119</v>
      </c>
      <c r="G730" s="10" t="str">
        <f aca="false" t="array" ref="G730:G730">INDEX(Profils!$D$5:$D$34,$AE730)&amp;" en "&amp;$E730</f>
        <v>Bottes en cuir</v>
      </c>
      <c r="H730" s="16" t="n">
        <f aca="false" t="array" ref="H730:H730">INDEX(Matériaux!$B$16:$B$20,$D730)</f>
        <v>15</v>
      </c>
      <c r="I730" s="16" t="n">
        <f aca="false">IF(ISNUMBER($C$3),MIN(MAX(0,ROUND($C$3,0)),$AI730),$AI730)</f>
        <v>0</v>
      </c>
      <c r="J730" s="18" t="n">
        <f aca="false">$H730+$I730</f>
        <v>15</v>
      </c>
      <c r="K730" s="15" t="s">
        <v>109</v>
      </c>
      <c r="L730" s="19" t="n">
        <f aca="false" t="array" ref="L730:L730">IF(AND(INDEX(Profils!$F$5:$F$34,$AE730)&gt;0,INDEX(Profils!$U$5:$U$34,$AE730)&lt;=$AH730),ROUND(INDEX(Profils!$F$5:$F$34,$AE730)*Paramètres!$E$22*$AG730*$AJ730,Paramètres!$F$22),0)</f>
        <v>9</v>
      </c>
      <c r="M730" s="19" t="n">
        <f aca="false" t="array" ref="M730:M730">IF(AND(INDEX(Profils!$G$5:$G$34,$AE730)&gt;0,INDEX(Profils!$V$5:$V$34,$AE730)&lt;=$AH730),ROUND(INDEX(Profils!$G$5:$G$34,$AE730)*Paramètres!$E$23*$AG730*$AJ730,Paramètres!$F$23),0)</f>
        <v>0</v>
      </c>
      <c r="N730" s="19" t="n">
        <f aca="false" t="array" ref="N730:N730">IF(AND(INDEX(Profils!$H$5:$H$34,$AE730)&gt;0,INDEX(Profils!$W$5:$W$34,$AE730)&lt;=$AH730),ROUND(INDEX(Profils!$H$5:$H$34,$AE730)*Paramètres!$E$24*$AG730*$AJ730,Paramètres!$F$24),0)</f>
        <v>3</v>
      </c>
      <c r="O730" s="19" t="n">
        <f aca="false" t="array" ref="O730:O730">IF(AND(INDEX(Profils!$I$5:$I$34,$AE730)&gt;0,INDEX(Profils!$X$5:$X$34,$AE730)&lt;=$AH730),ROUND(INDEX(Profils!$I$5:$I$34,$AE730)*Paramètres!$E$25*$AG730*$AJ730,Paramètres!$F$25),0)</f>
        <v>0</v>
      </c>
      <c r="P730" s="19" t="n">
        <f aca="false" t="array" ref="P730:P730">IF(AND(INDEX(Profils!$J$5:$J$34,$AE730)&gt;0,INDEX(Profils!$Y$5:$Y$34,$AE730)&lt;=$AH730),ROUND(INDEX(Profils!$J$5:$J$34,$AE730)*Paramètres!$E$26*$AG730*$AJ730,Paramètres!$F$26),0)</f>
        <v>7</v>
      </c>
      <c r="Q730" s="19" t="n">
        <f aca="false" t="array" ref="Q730:Q730">IF(AND(INDEX(Profils!$K$5:$K$34,$AE730)&gt;0,INDEX(Profils!$Z$5:$Z$34,$AE730)&lt;=$AH730),ROUND(INDEX(Profils!$K$5:$K$34,$AE730)*Paramètres!$E$27*$AG730*$AJ730,Paramètres!$F$27),0)</f>
        <v>5</v>
      </c>
      <c r="R730" s="20" t="n">
        <f aca="false" t="array" ref="R730:R730">IF(AND(INDEX(Profils!$L$5:$L$34,$AE730)&gt;0,INDEX(Profils!$AA$5:$AA$34,$AE730)&lt;=$AH730),ROUND(INDEX(Profils!$L$5:$L$34,$AE730)*Paramètres!$E$28*$AG730*$AJ730,Paramètres!$F$28),0)</f>
        <v>0.004</v>
      </c>
      <c r="S730" s="20" t="n">
        <f aca="false" t="array" ref="S730:S730">IF(AND(INDEX(Profils!$M$5:$M$34,$AE730)&gt;0,INDEX(Profils!$AB$5:$AB$34,$AE730)&lt;=$AH730),ROUND(INDEX(Profils!$M$5:$M$34,$AE730)*Paramètres!$E$29*$AG730*$AJ730,Paramètres!$F$29),0)</f>
        <v>0.002</v>
      </c>
      <c r="T730" s="20" t="n">
        <f aca="false" t="array" ref="T730:T730">IF(AND(INDEX(Profils!$N$5:$N$34,$AE730)&gt;0,INDEX(Profils!$AC$5:$AC$34,$AE730)&lt;=$AH730),ROUND(INDEX(Profils!$N$5:$N$34,$AE730)*Paramètres!$E$30*$AG730*$AJ730,Paramètres!$F$30),0)</f>
        <v>0</v>
      </c>
      <c r="U730" s="19" t="n">
        <f aca="false" t="array" ref="U730:U730">IF(AND(INDEX(Profils!$O$5:$O$34,$AE730)&gt;0,INDEX(Profils!$AD$5:$AD$34,$AE730)&lt;=$AH730),ROUND(INDEX(Profils!$O$5:$O$34,$AE730)*Paramètres!$E$31*$AG730*$AJ730,Paramètres!$F$31),0)</f>
        <v>5</v>
      </c>
      <c r="V730" s="20" t="n">
        <f aca="false" t="array" ref="V730:V730">IF(AND(INDEX(Profils!$P$5:$P$34,$AE730)&gt;0,INDEX(Profils!$AE$5:$AE$34,$AE730)&lt;=$AH730),ROUND(INDEX(Profils!$P$5:$P$34,$AE730)*Paramètres!$E$32*$AG730*$AJ730,Paramètres!$F$32),0)</f>
        <v>0</v>
      </c>
      <c r="W730" s="20" t="n">
        <f aca="false" t="array" ref="W730:W730">IF(AND(INDEX(Profils!$Q$5:$Q$34,$AE730)&gt;0,INDEX(Profils!$AF$5:$AF$34,$AE730)&lt;=$AH730),ROUND(INDEX(Profils!$Q$5:$Q$34,$AE730)*Paramètres!$E$33*$AG730*$AJ730,Paramètres!$F$33),0)</f>
        <v>0</v>
      </c>
      <c r="X730" s="20" t="n">
        <f aca="false" t="array" ref="X730:X730">IF(AND(INDEX(Profils!$R$5:$R$34,$AE730)&gt;0,INDEX(Profils!$AG$5:$AG$34,$AE730)&lt;=$AH730),ROUND(INDEX(Profils!$R$5:$R$34,$AE730)*Paramètres!$E$34*$AG730*$AJ730,Paramètres!$F$34),0)</f>
        <v>0</v>
      </c>
      <c r="Y730" s="20" t="n">
        <f aca="false" t="array" ref="Y730:Y730">IF(AND(INDEX(Profils!$S$5:$S$34,$AE730)&gt;0,INDEX(Profils!$AH$5:$AH$34,$AE730)&lt;=$AH730),ROUND(INDEX(Profils!$S$5:$S$34,$AE730)*Paramètres!$E$35*$AG730*$AJ730,Paramètres!$F$35),0)</f>
        <v>0</v>
      </c>
      <c r="Z730" s="21" t="n">
        <f aca="false">ROUND(L730/Paramètres!$E$22+M730/Paramètres!$E$23+N730/Paramètres!$E$24+O730/Paramètres!$E$25+P730/Paramètres!$E$26+Q730/Paramètres!$E$27+R730/Paramètres!$E$28+S730/Paramètres!$E$29+T730/Paramètres!$E$30+U730/Paramètres!$E$31+V730/Paramètres!$E$32+W730/Paramètres!$E$33+X730/Paramètres!$E$34+Y730/Paramètres!$E$35,1)</f>
        <v>2.3</v>
      </c>
      <c r="AA730" s="22" t="s">
        <v>109</v>
      </c>
      <c r="AB730" s="22" t="s">
        <v>109</v>
      </c>
      <c r="AC730" s="15" t="str">
        <f aca="false">$E730</f>
        <v>cuir</v>
      </c>
      <c r="AD730" s="16" t="n">
        <f aca="false" t="array" ref="AD730:AD730">IF($I730&gt;=$AI730,"Max",ROUND(Paramètres!$B$40*($I730+1)^Paramètres!$B$41*INDEX(Paramètres!$H$6:$H$12,$AF730),0))</f>
        <v>8</v>
      </c>
      <c r="AE730" s="23" t="n">
        <f aca="false">MATCH($B730&amp;"|"&amp;$C730,Profils!$A$5:$A$34,0)</f>
        <v>24</v>
      </c>
      <c r="AF730" s="23" t="n">
        <v>6</v>
      </c>
      <c r="AG730" s="24" t="n">
        <f aca="false" t="array" ref="AG730:AG730">INDEX(Paramètres!$C$6:$C$12,$AF730)</f>
        <v>2.4</v>
      </c>
      <c r="AH730" s="23" t="n">
        <f aca="false" t="array" ref="AH730:AH730">INDEX(Paramètres!$D$6:$D$12,$AF730)</f>
        <v>7</v>
      </c>
      <c r="AI730" s="23" t="n">
        <f aca="false" t="array" ref="AI730:AI730">INDEX(Matériaux!$C$16:$C$20,$D730)</f>
        <v>20</v>
      </c>
      <c r="AJ730" s="25" t="n">
        <f aca="false">Paramètres!$B$16+(1-Paramètres!$B$16)*(($J730-Paramètres!$B$14)/(Paramètres!$B$15-Paramètres!$B$14))^Paramètres!$B$17</f>
        <v>0.140847925475674</v>
      </c>
    </row>
    <row r="731" customFormat="false" ht="15.75" hidden="false" customHeight="true" outlineLevel="0" collapsed="false">
      <c r="A731" s="14" t="s">
        <v>847</v>
      </c>
      <c r="B731" s="15" t="s">
        <v>31</v>
      </c>
      <c r="C731" s="15" t="s">
        <v>209</v>
      </c>
      <c r="D731" s="16" t="n">
        <v>3</v>
      </c>
      <c r="E731" s="15" t="str">
        <f aca="false" t="array" ref="E731:E731">INDEX(Matériaux!$B$5:$F$12,MATCH(INDEX(Profils!$E$5:$E$34,$AE731),Matériaux!$A$5:$A$12,0),$D731)</f>
        <v>cuir clouté</v>
      </c>
      <c r="F731" s="17" t="s">
        <v>108</v>
      </c>
      <c r="G731" s="10" t="str">
        <f aca="false" t="array" ref="G731:G731">INDEX(Profils!$D$5:$D$34,$AE731)&amp;" en "&amp;$E731</f>
        <v>Bottes en cuir clouté</v>
      </c>
      <c r="H731" s="16" t="n">
        <f aca="false" t="array" ref="H731:H731">INDEX(Matériaux!$B$16:$B$20,$D731)</f>
        <v>30</v>
      </c>
      <c r="I731" s="16" t="n">
        <f aca="false">IF(ISNUMBER($C$3),MIN(MAX(0,ROUND($C$3,0)),$AI731),$AI731)</f>
        <v>0</v>
      </c>
      <c r="J731" s="18" t="n">
        <f aca="false">$H731+$I731</f>
        <v>30</v>
      </c>
      <c r="K731" s="15" t="s">
        <v>109</v>
      </c>
      <c r="L731" s="19" t="n">
        <f aca="false" t="array" ref="L731:L731">IF(AND(INDEX(Profils!$F$5:$F$34,$AE731)&gt;0,INDEX(Profils!$U$5:$U$34,$AE731)&lt;=$AH731),ROUND(INDEX(Profils!$F$5:$F$34,$AE731)*Paramètres!$E$22*$AG731*$AJ731,Paramètres!$F$22),0)</f>
        <v>0</v>
      </c>
      <c r="M731" s="19" t="n">
        <f aca="false" t="array" ref="M731:M731">IF(AND(INDEX(Profils!$G$5:$G$34,$AE731)&gt;0,INDEX(Profils!$V$5:$V$34,$AE731)&lt;=$AH731),ROUND(INDEX(Profils!$G$5:$G$34,$AE731)*Paramètres!$E$23*$AG731*$AJ731,Paramètres!$F$23),0)</f>
        <v>0</v>
      </c>
      <c r="N731" s="19" t="n">
        <f aca="false" t="array" ref="N731:N731">IF(AND(INDEX(Profils!$H$5:$H$34,$AE731)&gt;0,INDEX(Profils!$W$5:$W$34,$AE731)&lt;=$AH731),ROUND(INDEX(Profils!$H$5:$H$34,$AE731)*Paramètres!$E$24*$AG731*$AJ731,Paramètres!$F$24),0)</f>
        <v>0</v>
      </c>
      <c r="O731" s="19" t="n">
        <f aca="false" t="array" ref="O731:O731">IF(AND(INDEX(Profils!$I$5:$I$34,$AE731)&gt;0,INDEX(Profils!$X$5:$X$34,$AE731)&lt;=$AH731),ROUND(INDEX(Profils!$I$5:$I$34,$AE731)*Paramètres!$E$25*$AG731*$AJ731,Paramètres!$F$25),0)</f>
        <v>0</v>
      </c>
      <c r="P731" s="19" t="n">
        <f aca="false" t="array" ref="P731:P731">IF(AND(INDEX(Profils!$J$5:$J$34,$AE731)&gt;0,INDEX(Profils!$Y$5:$Y$34,$AE731)&lt;=$AH731),ROUND(INDEX(Profils!$J$5:$J$34,$AE731)*Paramètres!$E$26*$AG731*$AJ731,Paramètres!$F$26),0)</f>
        <v>6</v>
      </c>
      <c r="Q731" s="19" t="n">
        <f aca="false" t="array" ref="Q731:Q731">IF(AND(INDEX(Profils!$K$5:$K$34,$AE731)&gt;0,INDEX(Profils!$Z$5:$Z$34,$AE731)&lt;=$AH731),ROUND(INDEX(Profils!$K$5:$K$34,$AE731)*Paramètres!$E$27*$AG731*$AJ731,Paramètres!$F$27),0)</f>
        <v>4</v>
      </c>
      <c r="R731" s="20" t="n">
        <f aca="false" t="array" ref="R731:R731">IF(AND(INDEX(Profils!$L$5:$L$34,$AE731)&gt;0,INDEX(Profils!$AA$5:$AA$34,$AE731)&lt;=$AH731),ROUND(INDEX(Profils!$L$5:$L$34,$AE731)*Paramètres!$E$28*$AG731*$AJ731,Paramètres!$F$28),0)</f>
        <v>0</v>
      </c>
      <c r="S731" s="20" t="n">
        <f aca="false" t="array" ref="S731:S731">IF(AND(INDEX(Profils!$M$5:$M$34,$AE731)&gt;0,INDEX(Profils!$AB$5:$AB$34,$AE731)&lt;=$AH731),ROUND(INDEX(Profils!$M$5:$M$34,$AE731)*Paramètres!$E$29*$AG731*$AJ731,Paramètres!$F$29),0)</f>
        <v>0</v>
      </c>
      <c r="T731" s="20" t="n">
        <f aca="false" t="array" ref="T731:T731">IF(AND(INDEX(Profils!$N$5:$N$34,$AE731)&gt;0,INDEX(Profils!$AC$5:$AC$34,$AE731)&lt;=$AH731),ROUND(INDEX(Profils!$N$5:$N$34,$AE731)*Paramètres!$E$30*$AG731*$AJ731,Paramètres!$F$30),0)</f>
        <v>0</v>
      </c>
      <c r="U731" s="19" t="n">
        <f aca="false" t="array" ref="U731:U731">IF(AND(INDEX(Profils!$O$5:$O$34,$AE731)&gt;0,INDEX(Profils!$AD$5:$AD$34,$AE731)&lt;=$AH731),ROUND(INDEX(Profils!$O$5:$O$34,$AE731)*Paramètres!$E$31*$AG731*$AJ731,Paramètres!$F$31),0)</f>
        <v>0</v>
      </c>
      <c r="V731" s="20" t="n">
        <f aca="false" t="array" ref="V731:V731">IF(AND(INDEX(Profils!$P$5:$P$34,$AE731)&gt;0,INDEX(Profils!$AE$5:$AE$34,$AE731)&lt;=$AH731),ROUND(INDEX(Profils!$P$5:$P$34,$AE731)*Paramètres!$E$32*$AG731*$AJ731,Paramètres!$F$32),0)</f>
        <v>0</v>
      </c>
      <c r="W731" s="20" t="n">
        <f aca="false" t="array" ref="W731:W731">IF(AND(INDEX(Profils!$Q$5:$Q$34,$AE731)&gt;0,INDEX(Profils!$AF$5:$AF$34,$AE731)&lt;=$AH731),ROUND(INDEX(Profils!$Q$5:$Q$34,$AE731)*Paramètres!$E$33*$AG731*$AJ731,Paramètres!$F$33),0)</f>
        <v>0</v>
      </c>
      <c r="X731" s="20" t="n">
        <f aca="false" t="array" ref="X731:X731">IF(AND(INDEX(Profils!$R$5:$R$34,$AE731)&gt;0,INDEX(Profils!$AG$5:$AG$34,$AE731)&lt;=$AH731),ROUND(INDEX(Profils!$R$5:$R$34,$AE731)*Paramètres!$E$34*$AG731*$AJ731,Paramètres!$F$34),0)</f>
        <v>0</v>
      </c>
      <c r="Y731" s="20" t="n">
        <f aca="false" t="array" ref="Y731:Y731">IF(AND(INDEX(Profils!$S$5:$S$34,$AE731)&gt;0,INDEX(Profils!$AH$5:$AH$34,$AE731)&lt;=$AH731),ROUND(INDEX(Profils!$S$5:$S$34,$AE731)*Paramètres!$E$35*$AG731*$AJ731,Paramètres!$F$35),0)</f>
        <v>0</v>
      </c>
      <c r="Z731" s="21" t="n">
        <f aca="false">ROUND(L731/Paramètres!$E$22+M731/Paramètres!$E$23+N731/Paramètres!$E$24+O731/Paramètres!$E$25+P731/Paramètres!$E$26+Q731/Paramètres!$E$27+R731/Paramètres!$E$28+S731/Paramètres!$E$29+T731/Paramètres!$E$30+U731/Paramètres!$E$31+V731/Paramètres!$E$32+W731/Paramètres!$E$33+X731/Paramètres!$E$34+Y731/Paramètres!$E$35,1)</f>
        <v>0.9</v>
      </c>
      <c r="AA731" s="22" t="s">
        <v>109</v>
      </c>
      <c r="AB731" s="22" t="s">
        <v>109</v>
      </c>
      <c r="AC731" s="15" t="str">
        <f aca="false">$E731</f>
        <v>cuir clouté</v>
      </c>
      <c r="AD731" s="16" t="n">
        <f aca="false" t="array" ref="AD731:AD731">IF($I731&gt;=$AI731,"Max",ROUND(Paramètres!$B$40*($I731+1)^Paramètres!$B$41*INDEX(Paramètres!$H$6:$H$12,$AF731),0))</f>
        <v>3</v>
      </c>
      <c r="AE731" s="23" t="n">
        <f aca="false">MATCH($B731&amp;"|"&amp;$C731,Profils!$A$5:$A$34,0)</f>
        <v>24</v>
      </c>
      <c r="AF731" s="23" t="n">
        <v>1</v>
      </c>
      <c r="AG731" s="24" t="n">
        <f aca="false" t="array" ref="AG731:AG731">INDEX(Paramètres!$C$6:$C$12,$AF731)</f>
        <v>1</v>
      </c>
      <c r="AH731" s="23" t="n">
        <f aca="false" t="array" ref="AH731:AH731">INDEX(Paramètres!$D$6:$D$12,$AF731)</f>
        <v>2</v>
      </c>
      <c r="AI731" s="23" t="n">
        <f aca="false" t="array" ref="AI731:AI731">INDEX(Matériaux!$C$16:$C$20,$D731)</f>
        <v>25</v>
      </c>
      <c r="AJ731" s="25" t="n">
        <f aca="false">Paramètres!$B$16+(1-Paramètres!$B$16)*(($J731-Paramètres!$B$14)/(Paramètres!$B$15-Paramètres!$B$14))^Paramètres!$B$17</f>
        <v>0.26769024555533</v>
      </c>
    </row>
    <row r="732" customFormat="false" ht="15.75" hidden="false" customHeight="true" outlineLevel="0" collapsed="false">
      <c r="A732" s="14" t="s">
        <v>848</v>
      </c>
      <c r="B732" s="15" t="s">
        <v>31</v>
      </c>
      <c r="C732" s="15" t="s">
        <v>209</v>
      </c>
      <c r="D732" s="16" t="n">
        <v>3</v>
      </c>
      <c r="E732" s="15" t="str">
        <f aca="false" t="array" ref="E732:E732">INDEX(Matériaux!$B$5:$F$12,MATCH(INDEX(Profils!$E$5:$E$34,$AE732),Matériaux!$A$5:$A$12,0),$D732)</f>
        <v>cuir clouté</v>
      </c>
      <c r="F732" s="26" t="s">
        <v>111</v>
      </c>
      <c r="G732" s="10" t="str">
        <f aca="false" t="array" ref="G732:G732">INDEX(Profils!$D$5:$D$34,$AE732)&amp;" en "&amp;$E732</f>
        <v>Bottes en cuir clouté</v>
      </c>
      <c r="H732" s="16" t="n">
        <f aca="false" t="array" ref="H732:H732">INDEX(Matériaux!$B$16:$B$20,$D732)</f>
        <v>30</v>
      </c>
      <c r="I732" s="16" t="n">
        <f aca="false">IF(ISNUMBER($C$3),MIN(MAX(0,ROUND($C$3,0)),$AI732),$AI732)</f>
        <v>0</v>
      </c>
      <c r="J732" s="18" t="n">
        <f aca="false">$H732+$I732</f>
        <v>30</v>
      </c>
      <c r="K732" s="15" t="s">
        <v>109</v>
      </c>
      <c r="L732" s="19" t="n">
        <f aca="false" t="array" ref="L732:L732">IF(AND(INDEX(Profils!$F$5:$F$34,$AE732)&gt;0,INDEX(Profils!$U$5:$U$34,$AE732)&lt;=$AH732),ROUND(INDEX(Profils!$F$5:$F$34,$AE732)*Paramètres!$E$22*$AG732*$AJ732,Paramètres!$F$22),0)</f>
        <v>9</v>
      </c>
      <c r="M732" s="19" t="n">
        <f aca="false" t="array" ref="M732:M732">IF(AND(INDEX(Profils!$G$5:$G$34,$AE732)&gt;0,INDEX(Profils!$V$5:$V$34,$AE732)&lt;=$AH732),ROUND(INDEX(Profils!$G$5:$G$34,$AE732)*Paramètres!$E$23*$AG732*$AJ732,Paramètres!$F$23),0)</f>
        <v>0</v>
      </c>
      <c r="N732" s="19" t="n">
        <f aca="false" t="array" ref="N732:N732">IF(AND(INDEX(Profils!$H$5:$H$34,$AE732)&gt;0,INDEX(Profils!$W$5:$W$34,$AE732)&lt;=$AH732),ROUND(INDEX(Profils!$H$5:$H$34,$AE732)*Paramètres!$E$24*$AG732*$AJ732,Paramètres!$F$24),0)</f>
        <v>0</v>
      </c>
      <c r="O732" s="19" t="n">
        <f aca="false" t="array" ref="O732:O732">IF(AND(INDEX(Profils!$I$5:$I$34,$AE732)&gt;0,INDEX(Profils!$X$5:$X$34,$AE732)&lt;=$AH732),ROUND(INDEX(Profils!$I$5:$I$34,$AE732)*Paramètres!$E$25*$AG732*$AJ732,Paramètres!$F$25),0)</f>
        <v>0</v>
      </c>
      <c r="P732" s="19" t="n">
        <f aca="false" t="array" ref="P732:P732">IF(AND(INDEX(Profils!$J$5:$J$34,$AE732)&gt;0,INDEX(Profils!$Y$5:$Y$34,$AE732)&lt;=$AH732),ROUND(INDEX(Profils!$J$5:$J$34,$AE732)*Paramètres!$E$26*$AG732*$AJ732,Paramètres!$F$26),0)</f>
        <v>7</v>
      </c>
      <c r="Q732" s="19" t="n">
        <f aca="false" t="array" ref="Q732:Q732">IF(AND(INDEX(Profils!$K$5:$K$34,$AE732)&gt;0,INDEX(Profils!$Z$5:$Z$34,$AE732)&lt;=$AH732),ROUND(INDEX(Profils!$K$5:$K$34,$AE732)*Paramètres!$E$27*$AG732*$AJ732,Paramètres!$F$27),0)</f>
        <v>4</v>
      </c>
      <c r="R732" s="20" t="n">
        <f aca="false" t="array" ref="R732:R732">IF(AND(INDEX(Profils!$L$5:$L$34,$AE732)&gt;0,INDEX(Profils!$AA$5:$AA$34,$AE732)&lt;=$AH732),ROUND(INDEX(Profils!$L$5:$L$34,$AE732)*Paramètres!$E$28*$AG732*$AJ732,Paramètres!$F$28),0)</f>
        <v>0</v>
      </c>
      <c r="S732" s="20" t="n">
        <f aca="false" t="array" ref="S732:S732">IF(AND(INDEX(Profils!$M$5:$M$34,$AE732)&gt;0,INDEX(Profils!$AB$5:$AB$34,$AE732)&lt;=$AH732),ROUND(INDEX(Profils!$M$5:$M$34,$AE732)*Paramètres!$E$29*$AG732*$AJ732,Paramètres!$F$29),0)</f>
        <v>0</v>
      </c>
      <c r="T732" s="20" t="n">
        <f aca="false" t="array" ref="T732:T732">IF(AND(INDEX(Profils!$N$5:$N$34,$AE732)&gt;0,INDEX(Profils!$AC$5:$AC$34,$AE732)&lt;=$AH732),ROUND(INDEX(Profils!$N$5:$N$34,$AE732)*Paramètres!$E$30*$AG732*$AJ732,Paramètres!$F$30),0)</f>
        <v>0</v>
      </c>
      <c r="U732" s="19" t="n">
        <f aca="false" t="array" ref="U732:U732">IF(AND(INDEX(Profils!$O$5:$O$34,$AE732)&gt;0,INDEX(Profils!$AD$5:$AD$34,$AE732)&lt;=$AH732),ROUND(INDEX(Profils!$O$5:$O$34,$AE732)*Paramètres!$E$31*$AG732*$AJ732,Paramètres!$F$31),0)</f>
        <v>0</v>
      </c>
      <c r="V732" s="20" t="n">
        <f aca="false" t="array" ref="V732:V732">IF(AND(INDEX(Profils!$P$5:$P$34,$AE732)&gt;0,INDEX(Profils!$AE$5:$AE$34,$AE732)&lt;=$AH732),ROUND(INDEX(Profils!$P$5:$P$34,$AE732)*Paramètres!$E$32*$AG732*$AJ732,Paramètres!$F$32),0)</f>
        <v>0</v>
      </c>
      <c r="W732" s="20" t="n">
        <f aca="false" t="array" ref="W732:W732">IF(AND(INDEX(Profils!$Q$5:$Q$34,$AE732)&gt;0,INDEX(Profils!$AF$5:$AF$34,$AE732)&lt;=$AH732),ROUND(INDEX(Profils!$Q$5:$Q$34,$AE732)*Paramètres!$E$33*$AG732*$AJ732,Paramètres!$F$33),0)</f>
        <v>0</v>
      </c>
      <c r="X732" s="20" t="n">
        <f aca="false" t="array" ref="X732:X732">IF(AND(INDEX(Profils!$R$5:$R$34,$AE732)&gt;0,INDEX(Profils!$AG$5:$AG$34,$AE732)&lt;=$AH732),ROUND(INDEX(Profils!$R$5:$R$34,$AE732)*Paramètres!$E$34*$AG732*$AJ732,Paramètres!$F$34),0)</f>
        <v>0</v>
      </c>
      <c r="Y732" s="20" t="n">
        <f aca="false" t="array" ref="Y732:Y732">IF(AND(INDEX(Profils!$S$5:$S$34,$AE732)&gt;0,INDEX(Profils!$AH$5:$AH$34,$AE732)&lt;=$AH732),ROUND(INDEX(Profils!$S$5:$S$34,$AE732)*Paramètres!$E$35*$AG732*$AJ732,Paramètres!$F$35),0)</f>
        <v>0</v>
      </c>
      <c r="Z732" s="21" t="n">
        <f aca="false">ROUND(L732/Paramètres!$E$22+M732/Paramètres!$E$23+N732/Paramètres!$E$24+O732/Paramètres!$E$25+P732/Paramètres!$E$26+Q732/Paramètres!$E$27+R732/Paramètres!$E$28+S732/Paramètres!$E$29+T732/Paramètres!$E$30+U732/Paramètres!$E$31+V732/Paramètres!$E$32+W732/Paramètres!$E$33+X732/Paramètres!$E$34+Y732/Paramètres!$E$35,1)</f>
        <v>1.3</v>
      </c>
      <c r="AA732" s="22" t="s">
        <v>109</v>
      </c>
      <c r="AB732" s="22" t="s">
        <v>109</v>
      </c>
      <c r="AC732" s="15" t="str">
        <f aca="false">$E732</f>
        <v>cuir clouté</v>
      </c>
      <c r="AD732" s="16" t="n">
        <f aca="false" t="array" ref="AD732:AD732">IF($I732&gt;=$AI732,"Max",ROUND(Paramètres!$B$40*($I732+1)^Paramètres!$B$41*INDEX(Paramètres!$H$6:$H$12,$AF732),0))</f>
        <v>4</v>
      </c>
      <c r="AE732" s="23" t="n">
        <f aca="false">MATCH($B732&amp;"|"&amp;$C732,Profils!$A$5:$A$34,0)</f>
        <v>24</v>
      </c>
      <c r="AF732" s="23" t="n">
        <v>2</v>
      </c>
      <c r="AG732" s="24" t="n">
        <f aca="false" t="array" ref="AG732:AG732">INDEX(Paramètres!$C$6:$C$12,$AF732)</f>
        <v>1.2</v>
      </c>
      <c r="AH732" s="23" t="n">
        <f aca="false" t="array" ref="AH732:AH732">INDEX(Paramètres!$D$6:$D$12,$AF732)</f>
        <v>3</v>
      </c>
      <c r="AI732" s="23" t="n">
        <f aca="false" t="array" ref="AI732:AI732">INDEX(Matériaux!$C$16:$C$20,$D732)</f>
        <v>25</v>
      </c>
      <c r="AJ732" s="25" t="n">
        <f aca="false">Paramètres!$B$16+(1-Paramètres!$B$16)*(($J732-Paramètres!$B$14)/(Paramètres!$B$15-Paramètres!$B$14))^Paramètres!$B$17</f>
        <v>0.26769024555533</v>
      </c>
    </row>
    <row r="733" customFormat="false" ht="15.75" hidden="false" customHeight="true" outlineLevel="0" collapsed="false">
      <c r="A733" s="14" t="s">
        <v>849</v>
      </c>
      <c r="B733" s="15" t="s">
        <v>31</v>
      </c>
      <c r="C733" s="15" t="s">
        <v>209</v>
      </c>
      <c r="D733" s="16" t="n">
        <v>3</v>
      </c>
      <c r="E733" s="15" t="str">
        <f aca="false" t="array" ref="E733:E733">INDEX(Matériaux!$B$5:$F$12,MATCH(INDEX(Profils!$E$5:$E$34,$AE733),Matériaux!$A$5:$A$12,0),$D733)</f>
        <v>cuir clouté</v>
      </c>
      <c r="F733" s="27" t="s">
        <v>113</v>
      </c>
      <c r="G733" s="10" t="str">
        <f aca="false" t="array" ref="G733:G733">INDEX(Profils!$D$5:$D$34,$AE733)&amp;" en "&amp;$E733</f>
        <v>Bottes en cuir clouté</v>
      </c>
      <c r="H733" s="16" t="n">
        <f aca="false" t="array" ref="H733:H733">INDEX(Matériaux!$B$16:$B$20,$D733)</f>
        <v>30</v>
      </c>
      <c r="I733" s="16" t="n">
        <f aca="false">IF(ISNUMBER($C$3),MIN(MAX(0,ROUND($C$3,0)),$AI733),$AI733)</f>
        <v>0</v>
      </c>
      <c r="J733" s="18" t="n">
        <f aca="false">$H733+$I733</f>
        <v>30</v>
      </c>
      <c r="K733" s="15" t="s">
        <v>109</v>
      </c>
      <c r="L733" s="19" t="n">
        <f aca="false" t="array" ref="L733:L733">IF(AND(INDEX(Profils!$F$5:$F$34,$AE733)&gt;0,INDEX(Profils!$U$5:$U$34,$AE733)&lt;=$AH733),ROUND(INDEX(Profils!$F$5:$F$34,$AE733)*Paramètres!$E$22*$AG733*$AJ733,Paramètres!$F$22),0)</f>
        <v>11</v>
      </c>
      <c r="M733" s="19" t="n">
        <f aca="false" t="array" ref="M733:M733">IF(AND(INDEX(Profils!$G$5:$G$34,$AE733)&gt;0,INDEX(Profils!$V$5:$V$34,$AE733)&lt;=$AH733),ROUND(INDEX(Profils!$G$5:$G$34,$AE733)*Paramètres!$E$23*$AG733*$AJ733,Paramètres!$F$23),0)</f>
        <v>0</v>
      </c>
      <c r="N733" s="19" t="n">
        <f aca="false" t="array" ref="N733:N733">IF(AND(INDEX(Profils!$H$5:$H$34,$AE733)&gt;0,INDEX(Profils!$W$5:$W$34,$AE733)&lt;=$AH733),ROUND(INDEX(Profils!$H$5:$H$34,$AE733)*Paramètres!$E$24*$AG733*$AJ733,Paramètres!$F$24),0)</f>
        <v>0</v>
      </c>
      <c r="O733" s="19" t="n">
        <f aca="false" t="array" ref="O733:O733">IF(AND(INDEX(Profils!$I$5:$I$34,$AE733)&gt;0,INDEX(Profils!$X$5:$X$34,$AE733)&lt;=$AH733),ROUND(INDEX(Profils!$I$5:$I$34,$AE733)*Paramètres!$E$25*$AG733*$AJ733,Paramètres!$F$25),0)</f>
        <v>0</v>
      </c>
      <c r="P733" s="19" t="n">
        <f aca="false" t="array" ref="P733:P733">IF(AND(INDEX(Profils!$J$5:$J$34,$AE733)&gt;0,INDEX(Profils!$Y$5:$Y$34,$AE733)&lt;=$AH733),ROUND(INDEX(Profils!$J$5:$J$34,$AE733)*Paramètres!$E$26*$AG733*$AJ733,Paramètres!$F$26),0)</f>
        <v>8</v>
      </c>
      <c r="Q733" s="19" t="n">
        <f aca="false" t="array" ref="Q733:Q733">IF(AND(INDEX(Profils!$K$5:$K$34,$AE733)&gt;0,INDEX(Profils!$Z$5:$Z$34,$AE733)&lt;=$AH733),ROUND(INDEX(Profils!$K$5:$K$34,$AE733)*Paramètres!$E$27*$AG733*$AJ733,Paramètres!$F$27),0)</f>
        <v>5</v>
      </c>
      <c r="R733" s="20" t="n">
        <f aca="false" t="array" ref="R733:R733">IF(AND(INDEX(Profils!$L$5:$L$34,$AE733)&gt;0,INDEX(Profils!$AA$5:$AA$34,$AE733)&lt;=$AH733),ROUND(INDEX(Profils!$L$5:$L$34,$AE733)*Paramètres!$E$28*$AG733*$AJ733,Paramètres!$F$28),0)</f>
        <v>0.005</v>
      </c>
      <c r="S733" s="20" t="n">
        <f aca="false" t="array" ref="S733:S733">IF(AND(INDEX(Profils!$M$5:$M$34,$AE733)&gt;0,INDEX(Profils!$AB$5:$AB$34,$AE733)&lt;=$AH733),ROUND(INDEX(Profils!$M$5:$M$34,$AE733)*Paramètres!$E$29*$AG733*$AJ733,Paramètres!$F$29),0)</f>
        <v>0</v>
      </c>
      <c r="T733" s="20" t="n">
        <f aca="false" t="array" ref="T733:T733">IF(AND(INDEX(Profils!$N$5:$N$34,$AE733)&gt;0,INDEX(Profils!$AC$5:$AC$34,$AE733)&lt;=$AH733),ROUND(INDEX(Profils!$N$5:$N$34,$AE733)*Paramètres!$E$30*$AG733*$AJ733,Paramètres!$F$30),0)</f>
        <v>0</v>
      </c>
      <c r="U733" s="19" t="n">
        <f aca="false" t="array" ref="U733:U733">IF(AND(INDEX(Profils!$O$5:$O$34,$AE733)&gt;0,INDEX(Profils!$AD$5:$AD$34,$AE733)&lt;=$AH733),ROUND(INDEX(Profils!$O$5:$O$34,$AE733)*Paramètres!$E$31*$AG733*$AJ733,Paramètres!$F$31),0)</f>
        <v>0</v>
      </c>
      <c r="V733" s="20" t="n">
        <f aca="false" t="array" ref="V733:V733">IF(AND(INDEX(Profils!$P$5:$P$34,$AE733)&gt;0,INDEX(Profils!$AE$5:$AE$34,$AE733)&lt;=$AH733),ROUND(INDEX(Profils!$P$5:$P$34,$AE733)*Paramètres!$E$32*$AG733*$AJ733,Paramètres!$F$32),0)</f>
        <v>0</v>
      </c>
      <c r="W733" s="20" t="n">
        <f aca="false" t="array" ref="W733:W733">IF(AND(INDEX(Profils!$Q$5:$Q$34,$AE733)&gt;0,INDEX(Profils!$AF$5:$AF$34,$AE733)&lt;=$AH733),ROUND(INDEX(Profils!$Q$5:$Q$34,$AE733)*Paramètres!$E$33*$AG733*$AJ733,Paramètres!$F$33),0)</f>
        <v>0</v>
      </c>
      <c r="X733" s="20" t="n">
        <f aca="false" t="array" ref="X733:X733">IF(AND(INDEX(Profils!$R$5:$R$34,$AE733)&gt;0,INDEX(Profils!$AG$5:$AG$34,$AE733)&lt;=$AH733),ROUND(INDEX(Profils!$R$5:$R$34,$AE733)*Paramètres!$E$34*$AG733*$AJ733,Paramètres!$F$34),0)</f>
        <v>0</v>
      </c>
      <c r="Y733" s="20" t="n">
        <f aca="false" t="array" ref="Y733:Y733">IF(AND(INDEX(Profils!$S$5:$S$34,$AE733)&gt;0,INDEX(Profils!$AH$5:$AH$34,$AE733)&lt;=$AH733),ROUND(INDEX(Profils!$S$5:$S$34,$AE733)*Paramètres!$E$35*$AG733*$AJ733,Paramètres!$F$35),0)</f>
        <v>0</v>
      </c>
      <c r="Z733" s="21" t="n">
        <f aca="false">ROUND(L733/Paramètres!$E$22+M733/Paramètres!$E$23+N733/Paramètres!$E$24+O733/Paramètres!$E$25+P733/Paramètres!$E$26+Q733/Paramètres!$E$27+R733/Paramètres!$E$28+S733/Paramètres!$E$29+T733/Paramètres!$E$30+U733/Paramètres!$E$31+V733/Paramètres!$E$32+W733/Paramètres!$E$33+X733/Paramètres!$E$34+Y733/Paramètres!$E$35,1)</f>
        <v>1.9</v>
      </c>
      <c r="AA733" s="22" t="s">
        <v>109</v>
      </c>
      <c r="AB733" s="22" t="s">
        <v>109</v>
      </c>
      <c r="AC733" s="15" t="str">
        <f aca="false">$E733</f>
        <v>cuir clouté</v>
      </c>
      <c r="AD733" s="16" t="n">
        <f aca="false" t="array" ref="AD733:AD733">IF($I733&gt;=$AI733,"Max",ROUND(Paramètres!$B$40*($I733+1)^Paramètres!$B$41*INDEX(Paramètres!$H$6:$H$12,$AF733),0))</f>
        <v>4</v>
      </c>
      <c r="AE733" s="23" t="n">
        <f aca="false">MATCH($B733&amp;"|"&amp;$C733,Profils!$A$5:$A$34,0)</f>
        <v>24</v>
      </c>
      <c r="AF733" s="23" t="n">
        <v>3</v>
      </c>
      <c r="AG733" s="24" t="n">
        <f aca="false" t="array" ref="AG733:AG733">INDEX(Paramètres!$C$6:$C$12,$AF733)</f>
        <v>1.45</v>
      </c>
      <c r="AH733" s="23" t="n">
        <f aca="false" t="array" ref="AH733:AH733">INDEX(Paramètres!$D$6:$D$12,$AF733)</f>
        <v>4</v>
      </c>
      <c r="AI733" s="23" t="n">
        <f aca="false" t="array" ref="AI733:AI733">INDEX(Matériaux!$C$16:$C$20,$D733)</f>
        <v>25</v>
      </c>
      <c r="AJ733" s="25" t="n">
        <f aca="false">Paramètres!$B$16+(1-Paramètres!$B$16)*(($J733-Paramètres!$B$14)/(Paramètres!$B$15-Paramètres!$B$14))^Paramètres!$B$17</f>
        <v>0.26769024555533</v>
      </c>
    </row>
    <row r="734" customFormat="false" ht="15.75" hidden="false" customHeight="true" outlineLevel="0" collapsed="false">
      <c r="A734" s="14" t="s">
        <v>850</v>
      </c>
      <c r="B734" s="15" t="s">
        <v>31</v>
      </c>
      <c r="C734" s="15" t="s">
        <v>209</v>
      </c>
      <c r="D734" s="16" t="n">
        <v>3</v>
      </c>
      <c r="E734" s="15" t="str">
        <f aca="false" t="array" ref="E734:E734">INDEX(Matériaux!$B$5:$F$12,MATCH(INDEX(Profils!$E$5:$E$34,$AE734),Matériaux!$A$5:$A$12,0),$D734)</f>
        <v>cuir clouté</v>
      </c>
      <c r="F734" s="28" t="s">
        <v>115</v>
      </c>
      <c r="G734" s="10" t="str">
        <f aca="false" t="array" ref="G734:G734">INDEX(Profils!$D$5:$D$34,$AE734)&amp;" en "&amp;$E734</f>
        <v>Bottes en cuir clouté</v>
      </c>
      <c r="H734" s="16" t="n">
        <f aca="false" t="array" ref="H734:H734">INDEX(Matériaux!$B$16:$B$20,$D734)</f>
        <v>30</v>
      </c>
      <c r="I734" s="16" t="n">
        <f aca="false">IF(ISNUMBER($C$3),MIN(MAX(0,ROUND($C$3,0)),$AI734),$AI734)</f>
        <v>0</v>
      </c>
      <c r="J734" s="18" t="n">
        <f aca="false">$H734+$I734</f>
        <v>30</v>
      </c>
      <c r="K734" s="15" t="s">
        <v>109</v>
      </c>
      <c r="L734" s="19" t="n">
        <f aca="false" t="array" ref="L734:L734">IF(AND(INDEX(Profils!$F$5:$F$34,$AE734)&gt;0,INDEX(Profils!$U$5:$U$34,$AE734)&lt;=$AH734),ROUND(INDEX(Profils!$F$5:$F$34,$AE734)*Paramètres!$E$22*$AG734*$AJ734,Paramètres!$F$22),0)</f>
        <v>13</v>
      </c>
      <c r="M734" s="19" t="n">
        <f aca="false" t="array" ref="M734:M734">IF(AND(INDEX(Profils!$G$5:$G$34,$AE734)&gt;0,INDEX(Profils!$V$5:$V$34,$AE734)&lt;=$AH734),ROUND(INDEX(Profils!$G$5:$G$34,$AE734)*Paramètres!$E$23*$AG734*$AJ734,Paramètres!$F$23),0)</f>
        <v>0</v>
      </c>
      <c r="N734" s="19" t="n">
        <f aca="false" t="array" ref="N734:N734">IF(AND(INDEX(Profils!$H$5:$H$34,$AE734)&gt;0,INDEX(Profils!$W$5:$W$34,$AE734)&lt;=$AH734),ROUND(INDEX(Profils!$H$5:$H$34,$AE734)*Paramètres!$E$24*$AG734*$AJ734,Paramètres!$F$24),0)</f>
        <v>0</v>
      </c>
      <c r="O734" s="19" t="n">
        <f aca="false" t="array" ref="O734:O734">IF(AND(INDEX(Profils!$I$5:$I$34,$AE734)&gt;0,INDEX(Profils!$X$5:$X$34,$AE734)&lt;=$AH734),ROUND(INDEX(Profils!$I$5:$I$34,$AE734)*Paramètres!$E$25*$AG734*$AJ734,Paramètres!$F$25),0)</f>
        <v>0</v>
      </c>
      <c r="P734" s="19" t="n">
        <f aca="false" t="array" ref="P734:P734">IF(AND(INDEX(Profils!$J$5:$J$34,$AE734)&gt;0,INDEX(Profils!$Y$5:$Y$34,$AE734)&lt;=$AH734),ROUND(INDEX(Profils!$J$5:$J$34,$AE734)*Paramètres!$E$26*$AG734*$AJ734,Paramètres!$F$26),0)</f>
        <v>10</v>
      </c>
      <c r="Q734" s="19" t="n">
        <f aca="false" t="array" ref="Q734:Q734">IF(AND(INDEX(Profils!$K$5:$K$34,$AE734)&gt;0,INDEX(Profils!$Z$5:$Z$34,$AE734)&lt;=$AH734),ROUND(INDEX(Profils!$K$5:$K$34,$AE734)*Paramètres!$E$27*$AG734*$AJ734,Paramètres!$F$27),0)</f>
        <v>7</v>
      </c>
      <c r="R734" s="20" t="n">
        <f aca="false" t="array" ref="R734:R734">IF(AND(INDEX(Profils!$L$5:$L$34,$AE734)&gt;0,INDEX(Profils!$AA$5:$AA$34,$AE734)&lt;=$AH734),ROUND(INDEX(Profils!$L$5:$L$34,$AE734)*Paramètres!$E$28*$AG734*$AJ734,Paramètres!$F$28),0)</f>
        <v>0.006</v>
      </c>
      <c r="S734" s="20" t="n">
        <f aca="false" t="array" ref="S734:S734">IF(AND(INDEX(Profils!$M$5:$M$34,$AE734)&gt;0,INDEX(Profils!$AB$5:$AB$34,$AE734)&lt;=$AH734),ROUND(INDEX(Profils!$M$5:$M$34,$AE734)*Paramètres!$E$29*$AG734*$AJ734,Paramètres!$F$29),0)</f>
        <v>0</v>
      </c>
      <c r="T734" s="20" t="n">
        <f aca="false" t="array" ref="T734:T734">IF(AND(INDEX(Profils!$N$5:$N$34,$AE734)&gt;0,INDEX(Profils!$AC$5:$AC$34,$AE734)&lt;=$AH734),ROUND(INDEX(Profils!$N$5:$N$34,$AE734)*Paramètres!$E$30*$AG734*$AJ734,Paramètres!$F$30),0)</f>
        <v>0</v>
      </c>
      <c r="U734" s="19" t="n">
        <f aca="false" t="array" ref="U734:U734">IF(AND(INDEX(Profils!$O$5:$O$34,$AE734)&gt;0,INDEX(Profils!$AD$5:$AD$34,$AE734)&lt;=$AH734),ROUND(INDEX(Profils!$O$5:$O$34,$AE734)*Paramètres!$E$31*$AG734*$AJ734,Paramètres!$F$31),0)</f>
        <v>7</v>
      </c>
      <c r="V734" s="20" t="n">
        <f aca="false" t="array" ref="V734:V734">IF(AND(INDEX(Profils!$P$5:$P$34,$AE734)&gt;0,INDEX(Profils!$AE$5:$AE$34,$AE734)&lt;=$AH734),ROUND(INDEX(Profils!$P$5:$P$34,$AE734)*Paramètres!$E$32*$AG734*$AJ734,Paramètres!$F$32),0)</f>
        <v>0</v>
      </c>
      <c r="W734" s="20" t="n">
        <f aca="false" t="array" ref="W734:W734">IF(AND(INDEX(Profils!$Q$5:$Q$34,$AE734)&gt;0,INDEX(Profils!$AF$5:$AF$34,$AE734)&lt;=$AH734),ROUND(INDEX(Profils!$Q$5:$Q$34,$AE734)*Paramètres!$E$33*$AG734*$AJ734,Paramètres!$F$33),0)</f>
        <v>0</v>
      </c>
      <c r="X734" s="20" t="n">
        <f aca="false" t="array" ref="X734:X734">IF(AND(INDEX(Profils!$R$5:$R$34,$AE734)&gt;0,INDEX(Profils!$AG$5:$AG$34,$AE734)&lt;=$AH734),ROUND(INDEX(Profils!$R$5:$R$34,$AE734)*Paramètres!$E$34*$AG734*$AJ734,Paramètres!$F$34),0)</f>
        <v>0</v>
      </c>
      <c r="Y734" s="20" t="n">
        <f aca="false" t="array" ref="Y734:Y734">IF(AND(INDEX(Profils!$S$5:$S$34,$AE734)&gt;0,INDEX(Profils!$AH$5:$AH$34,$AE734)&lt;=$AH734),ROUND(INDEX(Profils!$S$5:$S$34,$AE734)*Paramètres!$E$35*$AG734*$AJ734,Paramètres!$F$35),0)</f>
        <v>0</v>
      </c>
      <c r="Z734" s="21" t="n">
        <f aca="false">ROUND(L734/Paramètres!$E$22+M734/Paramètres!$E$23+N734/Paramètres!$E$24+O734/Paramètres!$E$25+P734/Paramètres!$E$26+Q734/Paramètres!$E$27+R734/Paramètres!$E$28+S734/Paramètres!$E$29+T734/Paramètres!$E$30+U734/Paramètres!$E$31+V734/Paramètres!$E$32+W734/Paramètres!$E$33+X734/Paramètres!$E$34+Y734/Paramètres!$E$35,1)</f>
        <v>2.8</v>
      </c>
      <c r="AA734" s="22" t="s">
        <v>109</v>
      </c>
      <c r="AB734" s="22" t="s">
        <v>109</v>
      </c>
      <c r="AC734" s="15" t="str">
        <f aca="false">$E734</f>
        <v>cuir clouté</v>
      </c>
      <c r="AD734" s="16" t="n">
        <f aca="false" t="array" ref="AD734:AD734">IF($I734&gt;=$AI734,"Max",ROUND(Paramètres!$B$40*($I734+1)^Paramètres!$B$41*INDEX(Paramètres!$H$6:$H$12,$AF734),0))</f>
        <v>5</v>
      </c>
      <c r="AE734" s="23" t="n">
        <f aca="false">MATCH($B734&amp;"|"&amp;$C734,Profils!$A$5:$A$34,0)</f>
        <v>24</v>
      </c>
      <c r="AF734" s="23" t="n">
        <v>4</v>
      </c>
      <c r="AG734" s="24" t="n">
        <f aca="false" t="array" ref="AG734:AG734">INDEX(Paramètres!$C$6:$C$12,$AF734)</f>
        <v>1.75</v>
      </c>
      <c r="AH734" s="23" t="n">
        <f aca="false" t="array" ref="AH734:AH734">INDEX(Paramètres!$D$6:$D$12,$AF734)</f>
        <v>5</v>
      </c>
      <c r="AI734" s="23" t="n">
        <f aca="false" t="array" ref="AI734:AI734">INDEX(Matériaux!$C$16:$C$20,$D734)</f>
        <v>25</v>
      </c>
      <c r="AJ734" s="25" t="n">
        <f aca="false">Paramètres!$B$16+(1-Paramètres!$B$16)*(($J734-Paramètres!$B$14)/(Paramètres!$B$15-Paramètres!$B$14))^Paramètres!$B$17</f>
        <v>0.26769024555533</v>
      </c>
    </row>
    <row r="735" customFormat="false" ht="15.75" hidden="false" customHeight="true" outlineLevel="0" collapsed="false">
      <c r="A735" s="14" t="s">
        <v>851</v>
      </c>
      <c r="B735" s="15" t="s">
        <v>31</v>
      </c>
      <c r="C735" s="15" t="s">
        <v>209</v>
      </c>
      <c r="D735" s="16" t="n">
        <v>3</v>
      </c>
      <c r="E735" s="15" t="str">
        <f aca="false" t="array" ref="E735:E735">INDEX(Matériaux!$B$5:$F$12,MATCH(INDEX(Profils!$E$5:$E$34,$AE735),Matériaux!$A$5:$A$12,0),$D735)</f>
        <v>cuir clouté</v>
      </c>
      <c r="F735" s="29" t="s">
        <v>117</v>
      </c>
      <c r="G735" s="10" t="str">
        <f aca="false" t="array" ref="G735:G735">INDEX(Profils!$D$5:$D$34,$AE735)&amp;" en "&amp;$E735</f>
        <v>Bottes en cuir clouté</v>
      </c>
      <c r="H735" s="16" t="n">
        <f aca="false" t="array" ref="H735:H735">INDEX(Matériaux!$B$16:$B$20,$D735)</f>
        <v>30</v>
      </c>
      <c r="I735" s="16" t="n">
        <f aca="false">IF(ISNUMBER($C$3),MIN(MAX(0,ROUND($C$3,0)),$AI735),$AI735)</f>
        <v>0</v>
      </c>
      <c r="J735" s="18" t="n">
        <f aca="false">$H735+$I735</f>
        <v>30</v>
      </c>
      <c r="K735" s="15" t="s">
        <v>109</v>
      </c>
      <c r="L735" s="19" t="n">
        <f aca="false" t="array" ref="L735:L735">IF(AND(INDEX(Profils!$F$5:$F$34,$AE735)&gt;0,INDEX(Profils!$U$5:$U$34,$AE735)&lt;=$AH735),ROUND(INDEX(Profils!$F$5:$F$34,$AE735)*Paramètres!$E$22*$AG735*$AJ735,Paramètres!$F$22),0)</f>
        <v>15</v>
      </c>
      <c r="M735" s="19" t="n">
        <f aca="false" t="array" ref="M735:M735">IF(AND(INDEX(Profils!$G$5:$G$34,$AE735)&gt;0,INDEX(Profils!$V$5:$V$34,$AE735)&lt;=$AH735),ROUND(INDEX(Profils!$G$5:$G$34,$AE735)*Paramètres!$E$23*$AG735*$AJ735,Paramètres!$F$23),0)</f>
        <v>0</v>
      </c>
      <c r="N735" s="19" t="n">
        <f aca="false" t="array" ref="N735:N735">IF(AND(INDEX(Profils!$H$5:$H$34,$AE735)&gt;0,INDEX(Profils!$W$5:$W$34,$AE735)&lt;=$AH735),ROUND(INDEX(Profils!$H$5:$H$34,$AE735)*Paramètres!$E$24*$AG735*$AJ735,Paramètres!$F$24),0)</f>
        <v>5</v>
      </c>
      <c r="O735" s="19" t="n">
        <f aca="false" t="array" ref="O735:O735">IF(AND(INDEX(Profils!$I$5:$I$34,$AE735)&gt;0,INDEX(Profils!$X$5:$X$34,$AE735)&lt;=$AH735),ROUND(INDEX(Profils!$I$5:$I$34,$AE735)*Paramètres!$E$25*$AG735*$AJ735,Paramètres!$F$25),0)</f>
        <v>0</v>
      </c>
      <c r="P735" s="19" t="n">
        <f aca="false" t="array" ref="P735:P735">IF(AND(INDEX(Profils!$J$5:$J$34,$AE735)&gt;0,INDEX(Profils!$Y$5:$Y$34,$AE735)&lt;=$AH735),ROUND(INDEX(Profils!$J$5:$J$34,$AE735)*Paramètres!$E$26*$AG735*$AJ735,Paramètres!$F$26),0)</f>
        <v>12</v>
      </c>
      <c r="Q735" s="19" t="n">
        <f aca="false" t="array" ref="Q735:Q735">IF(AND(INDEX(Profils!$K$5:$K$34,$AE735)&gt;0,INDEX(Profils!$Z$5:$Z$34,$AE735)&lt;=$AH735),ROUND(INDEX(Profils!$K$5:$K$34,$AE735)*Paramètres!$E$27*$AG735*$AJ735,Paramètres!$F$27),0)</f>
        <v>8</v>
      </c>
      <c r="R735" s="20" t="n">
        <f aca="false" t="array" ref="R735:R735">IF(AND(INDEX(Profils!$L$5:$L$34,$AE735)&gt;0,INDEX(Profils!$AA$5:$AA$34,$AE735)&lt;=$AH735),ROUND(INDEX(Profils!$L$5:$L$34,$AE735)*Paramètres!$E$28*$AG735*$AJ735,Paramètres!$F$28),0)</f>
        <v>0.007</v>
      </c>
      <c r="S735" s="20" t="n">
        <f aca="false" t="array" ref="S735:S735">IF(AND(INDEX(Profils!$M$5:$M$34,$AE735)&gt;0,INDEX(Profils!$AB$5:$AB$34,$AE735)&lt;=$AH735),ROUND(INDEX(Profils!$M$5:$M$34,$AE735)*Paramètres!$E$29*$AG735*$AJ735,Paramètres!$F$29),0)</f>
        <v>0</v>
      </c>
      <c r="T735" s="20" t="n">
        <f aca="false" t="array" ref="T735:T735">IF(AND(INDEX(Profils!$N$5:$N$34,$AE735)&gt;0,INDEX(Profils!$AC$5:$AC$34,$AE735)&lt;=$AH735),ROUND(INDEX(Profils!$N$5:$N$34,$AE735)*Paramètres!$E$30*$AG735*$AJ735,Paramètres!$F$30),0)</f>
        <v>0</v>
      </c>
      <c r="U735" s="19" t="n">
        <f aca="false" t="array" ref="U735:U735">IF(AND(INDEX(Profils!$O$5:$O$34,$AE735)&gt;0,INDEX(Profils!$AD$5:$AD$34,$AE735)&lt;=$AH735),ROUND(INDEX(Profils!$O$5:$O$34,$AE735)*Paramètres!$E$31*$AG735*$AJ735,Paramètres!$F$31),0)</f>
        <v>8</v>
      </c>
      <c r="V735" s="20" t="n">
        <f aca="false" t="array" ref="V735:V735">IF(AND(INDEX(Profils!$P$5:$P$34,$AE735)&gt;0,INDEX(Profils!$AE$5:$AE$34,$AE735)&lt;=$AH735),ROUND(INDEX(Profils!$P$5:$P$34,$AE735)*Paramètres!$E$32*$AG735*$AJ735,Paramètres!$F$32),0)</f>
        <v>0</v>
      </c>
      <c r="W735" s="20" t="n">
        <f aca="false" t="array" ref="W735:W735">IF(AND(INDEX(Profils!$Q$5:$Q$34,$AE735)&gt;0,INDEX(Profils!$AF$5:$AF$34,$AE735)&lt;=$AH735),ROUND(INDEX(Profils!$Q$5:$Q$34,$AE735)*Paramètres!$E$33*$AG735*$AJ735,Paramètres!$F$33),0)</f>
        <v>0</v>
      </c>
      <c r="X735" s="20" t="n">
        <f aca="false" t="array" ref="X735:X735">IF(AND(INDEX(Profils!$R$5:$R$34,$AE735)&gt;0,INDEX(Profils!$AG$5:$AG$34,$AE735)&lt;=$AH735),ROUND(INDEX(Profils!$R$5:$R$34,$AE735)*Paramètres!$E$34*$AG735*$AJ735,Paramètres!$F$34),0)</f>
        <v>0</v>
      </c>
      <c r="Y735" s="20" t="n">
        <f aca="false" t="array" ref="Y735:Y735">IF(AND(INDEX(Profils!$S$5:$S$34,$AE735)&gt;0,INDEX(Profils!$AH$5:$AH$34,$AE735)&lt;=$AH735),ROUND(INDEX(Profils!$S$5:$S$34,$AE735)*Paramètres!$E$35*$AG735*$AJ735,Paramètres!$F$35),0)</f>
        <v>0</v>
      </c>
      <c r="Z735" s="21" t="n">
        <f aca="false">ROUND(L735/Paramètres!$E$22+M735/Paramètres!$E$23+N735/Paramètres!$E$24+O735/Paramètres!$E$25+P735/Paramètres!$E$26+Q735/Paramètres!$E$27+R735/Paramètres!$E$28+S735/Paramètres!$E$29+T735/Paramètres!$E$30+U735/Paramètres!$E$31+V735/Paramètres!$E$32+W735/Paramètres!$E$33+X735/Paramètres!$E$34+Y735/Paramètres!$E$35,1)</f>
        <v>3.6</v>
      </c>
      <c r="AA735" s="22" t="s">
        <v>109</v>
      </c>
      <c r="AB735" s="22" t="s">
        <v>109</v>
      </c>
      <c r="AC735" s="15" t="str">
        <f aca="false">$E735</f>
        <v>cuir clouté</v>
      </c>
      <c r="AD735" s="16" t="n">
        <f aca="false" t="array" ref="AD735:AD735">IF($I735&gt;=$AI735,"Max",ROUND(Paramètres!$B$40*($I735+1)^Paramètres!$B$41*INDEX(Paramètres!$H$6:$H$12,$AF735),0))</f>
        <v>6</v>
      </c>
      <c r="AE735" s="23" t="n">
        <f aca="false">MATCH($B735&amp;"|"&amp;$C735,Profils!$A$5:$A$34,0)</f>
        <v>24</v>
      </c>
      <c r="AF735" s="23" t="n">
        <v>5</v>
      </c>
      <c r="AG735" s="24" t="n">
        <f aca="false" t="array" ref="AG735:AG735">INDEX(Paramètres!$C$6:$C$12,$AF735)</f>
        <v>2.1</v>
      </c>
      <c r="AH735" s="23" t="n">
        <f aca="false" t="array" ref="AH735:AH735">INDEX(Paramètres!$D$6:$D$12,$AF735)</f>
        <v>6</v>
      </c>
      <c r="AI735" s="23" t="n">
        <f aca="false" t="array" ref="AI735:AI735">INDEX(Matériaux!$C$16:$C$20,$D735)</f>
        <v>25</v>
      </c>
      <c r="AJ735" s="25" t="n">
        <f aca="false">Paramètres!$B$16+(1-Paramètres!$B$16)*(($J735-Paramètres!$B$14)/(Paramètres!$B$15-Paramètres!$B$14))^Paramètres!$B$17</f>
        <v>0.26769024555533</v>
      </c>
    </row>
    <row r="736" customFormat="false" ht="15.75" hidden="false" customHeight="true" outlineLevel="0" collapsed="false">
      <c r="A736" s="14" t="s">
        <v>852</v>
      </c>
      <c r="B736" s="15" t="s">
        <v>31</v>
      </c>
      <c r="C736" s="15" t="s">
        <v>209</v>
      </c>
      <c r="D736" s="16" t="n">
        <v>3</v>
      </c>
      <c r="E736" s="15" t="str">
        <f aca="false" t="array" ref="E736:E736">INDEX(Matériaux!$B$5:$F$12,MATCH(INDEX(Profils!$E$5:$E$34,$AE736),Matériaux!$A$5:$A$12,0),$D736)</f>
        <v>cuir clouté</v>
      </c>
      <c r="F736" s="30" t="s">
        <v>119</v>
      </c>
      <c r="G736" s="10" t="str">
        <f aca="false" t="array" ref="G736:G736">INDEX(Profils!$D$5:$D$34,$AE736)&amp;" en "&amp;$E736</f>
        <v>Bottes en cuir clouté</v>
      </c>
      <c r="H736" s="16" t="n">
        <f aca="false" t="array" ref="H736:H736">INDEX(Matériaux!$B$16:$B$20,$D736)</f>
        <v>30</v>
      </c>
      <c r="I736" s="16" t="n">
        <f aca="false">IF(ISNUMBER($C$3),MIN(MAX(0,ROUND($C$3,0)),$AI736),$AI736)</f>
        <v>0</v>
      </c>
      <c r="J736" s="18" t="n">
        <f aca="false">$H736+$I736</f>
        <v>30</v>
      </c>
      <c r="K736" s="15" t="s">
        <v>109</v>
      </c>
      <c r="L736" s="19" t="n">
        <f aca="false" t="array" ref="L736:L736">IF(AND(INDEX(Profils!$F$5:$F$34,$AE736)&gt;0,INDEX(Profils!$U$5:$U$34,$AE736)&lt;=$AH736),ROUND(INDEX(Profils!$F$5:$F$34,$AE736)*Paramètres!$E$22*$AG736*$AJ736,Paramètres!$F$22),0)</f>
        <v>18</v>
      </c>
      <c r="M736" s="19" t="n">
        <f aca="false" t="array" ref="M736:M736">IF(AND(INDEX(Profils!$G$5:$G$34,$AE736)&gt;0,INDEX(Profils!$V$5:$V$34,$AE736)&lt;=$AH736),ROUND(INDEX(Profils!$G$5:$G$34,$AE736)*Paramètres!$E$23*$AG736*$AJ736,Paramètres!$F$23),0)</f>
        <v>0</v>
      </c>
      <c r="N736" s="19" t="n">
        <f aca="false" t="array" ref="N736:N736">IF(AND(INDEX(Profils!$H$5:$H$34,$AE736)&gt;0,INDEX(Profils!$W$5:$W$34,$AE736)&lt;=$AH736),ROUND(INDEX(Profils!$H$5:$H$34,$AE736)*Paramètres!$E$24*$AG736*$AJ736,Paramètres!$F$24),0)</f>
        <v>6</v>
      </c>
      <c r="O736" s="19" t="n">
        <f aca="false" t="array" ref="O736:O736">IF(AND(INDEX(Profils!$I$5:$I$34,$AE736)&gt;0,INDEX(Profils!$X$5:$X$34,$AE736)&lt;=$AH736),ROUND(INDEX(Profils!$I$5:$I$34,$AE736)*Paramètres!$E$25*$AG736*$AJ736,Paramètres!$F$25),0)</f>
        <v>0</v>
      </c>
      <c r="P736" s="19" t="n">
        <f aca="false" t="array" ref="P736:P736">IF(AND(INDEX(Profils!$J$5:$J$34,$AE736)&gt;0,INDEX(Profils!$Y$5:$Y$34,$AE736)&lt;=$AH736),ROUND(INDEX(Profils!$J$5:$J$34,$AE736)*Paramètres!$E$26*$AG736*$AJ736,Paramètres!$F$26),0)</f>
        <v>14</v>
      </c>
      <c r="Q736" s="19" t="n">
        <f aca="false" t="array" ref="Q736:Q736">IF(AND(INDEX(Profils!$K$5:$K$34,$AE736)&gt;0,INDEX(Profils!$Z$5:$Z$34,$AE736)&lt;=$AH736),ROUND(INDEX(Profils!$K$5:$K$34,$AE736)*Paramètres!$E$27*$AG736*$AJ736,Paramètres!$F$27),0)</f>
        <v>9</v>
      </c>
      <c r="R736" s="20" t="n">
        <f aca="false" t="array" ref="R736:R736">IF(AND(INDEX(Profils!$L$5:$L$34,$AE736)&gt;0,INDEX(Profils!$AA$5:$AA$34,$AE736)&lt;=$AH736),ROUND(INDEX(Profils!$L$5:$L$34,$AE736)*Paramètres!$E$28*$AG736*$AJ736,Paramètres!$F$28),0)</f>
        <v>0.008</v>
      </c>
      <c r="S736" s="20" t="n">
        <f aca="false" t="array" ref="S736:S736">IF(AND(INDEX(Profils!$M$5:$M$34,$AE736)&gt;0,INDEX(Profils!$AB$5:$AB$34,$AE736)&lt;=$AH736),ROUND(INDEX(Profils!$M$5:$M$34,$AE736)*Paramètres!$E$29*$AG736*$AJ736,Paramètres!$F$29),0)</f>
        <v>0.004</v>
      </c>
      <c r="T736" s="20" t="n">
        <f aca="false" t="array" ref="T736:T736">IF(AND(INDEX(Profils!$N$5:$N$34,$AE736)&gt;0,INDEX(Profils!$AC$5:$AC$34,$AE736)&lt;=$AH736),ROUND(INDEX(Profils!$N$5:$N$34,$AE736)*Paramètres!$E$30*$AG736*$AJ736,Paramètres!$F$30),0)</f>
        <v>0</v>
      </c>
      <c r="U736" s="19" t="n">
        <f aca="false" t="array" ref="U736:U736">IF(AND(INDEX(Profils!$O$5:$O$34,$AE736)&gt;0,INDEX(Profils!$AD$5:$AD$34,$AE736)&lt;=$AH736),ROUND(INDEX(Profils!$O$5:$O$34,$AE736)*Paramètres!$E$31*$AG736*$AJ736,Paramètres!$F$31),0)</f>
        <v>9</v>
      </c>
      <c r="V736" s="20" t="n">
        <f aca="false" t="array" ref="V736:V736">IF(AND(INDEX(Profils!$P$5:$P$34,$AE736)&gt;0,INDEX(Profils!$AE$5:$AE$34,$AE736)&lt;=$AH736),ROUND(INDEX(Profils!$P$5:$P$34,$AE736)*Paramètres!$E$32*$AG736*$AJ736,Paramètres!$F$32),0)</f>
        <v>0</v>
      </c>
      <c r="W736" s="20" t="n">
        <f aca="false" t="array" ref="W736:W736">IF(AND(INDEX(Profils!$Q$5:$Q$34,$AE736)&gt;0,INDEX(Profils!$AF$5:$AF$34,$AE736)&lt;=$AH736),ROUND(INDEX(Profils!$Q$5:$Q$34,$AE736)*Paramètres!$E$33*$AG736*$AJ736,Paramètres!$F$33),0)</f>
        <v>0</v>
      </c>
      <c r="X736" s="20" t="n">
        <f aca="false" t="array" ref="X736:X736">IF(AND(INDEX(Profils!$R$5:$R$34,$AE736)&gt;0,INDEX(Profils!$AG$5:$AG$34,$AE736)&lt;=$AH736),ROUND(INDEX(Profils!$R$5:$R$34,$AE736)*Paramètres!$E$34*$AG736*$AJ736,Paramètres!$F$34),0)</f>
        <v>0</v>
      </c>
      <c r="Y736" s="20" t="n">
        <f aca="false" t="array" ref="Y736:Y736">IF(AND(INDEX(Profils!$S$5:$S$34,$AE736)&gt;0,INDEX(Profils!$AH$5:$AH$34,$AE736)&lt;=$AH736),ROUND(INDEX(Profils!$S$5:$S$34,$AE736)*Paramètres!$E$35*$AG736*$AJ736,Paramètres!$F$35),0)</f>
        <v>0</v>
      </c>
      <c r="Z736" s="21" t="n">
        <f aca="false">ROUND(L736/Paramètres!$E$22+M736/Paramètres!$E$23+N736/Paramètres!$E$24+O736/Paramètres!$E$25+P736/Paramètres!$E$26+Q736/Paramètres!$E$27+R736/Paramètres!$E$28+S736/Paramètres!$E$29+T736/Paramètres!$E$30+U736/Paramètres!$E$31+V736/Paramètres!$E$32+W736/Paramètres!$E$33+X736/Paramètres!$E$34+Y736/Paramètres!$E$35,1)</f>
        <v>4.5</v>
      </c>
      <c r="AA736" s="22" t="s">
        <v>109</v>
      </c>
      <c r="AB736" s="22" t="s">
        <v>109</v>
      </c>
      <c r="AC736" s="15" t="str">
        <f aca="false">$E736</f>
        <v>cuir clouté</v>
      </c>
      <c r="AD736" s="16" t="n">
        <f aca="false" t="array" ref="AD736:AD736">IF($I736&gt;=$AI736,"Max",ROUND(Paramètres!$B$40*($I736+1)^Paramètres!$B$41*INDEX(Paramètres!$H$6:$H$12,$AF736),0))</f>
        <v>8</v>
      </c>
      <c r="AE736" s="23" t="n">
        <f aca="false">MATCH($B736&amp;"|"&amp;$C736,Profils!$A$5:$A$34,0)</f>
        <v>24</v>
      </c>
      <c r="AF736" s="23" t="n">
        <v>6</v>
      </c>
      <c r="AG736" s="24" t="n">
        <f aca="false" t="array" ref="AG736:AG736">INDEX(Paramètres!$C$6:$C$12,$AF736)</f>
        <v>2.4</v>
      </c>
      <c r="AH736" s="23" t="n">
        <f aca="false" t="array" ref="AH736:AH736">INDEX(Paramètres!$D$6:$D$12,$AF736)</f>
        <v>7</v>
      </c>
      <c r="AI736" s="23" t="n">
        <f aca="false" t="array" ref="AI736:AI736">INDEX(Matériaux!$C$16:$C$20,$D736)</f>
        <v>25</v>
      </c>
      <c r="AJ736" s="25" t="n">
        <f aca="false">Paramètres!$B$16+(1-Paramètres!$B$16)*(($J736-Paramètres!$B$14)/(Paramètres!$B$15-Paramètres!$B$14))^Paramètres!$B$17</f>
        <v>0.26769024555533</v>
      </c>
    </row>
    <row r="737" customFormat="false" ht="15.75" hidden="false" customHeight="true" outlineLevel="0" collapsed="false">
      <c r="A737" s="14" t="s">
        <v>853</v>
      </c>
      <c r="B737" s="15" t="s">
        <v>31</v>
      </c>
      <c r="C737" s="15" t="s">
        <v>209</v>
      </c>
      <c r="D737" s="16" t="n">
        <v>4</v>
      </c>
      <c r="E737" s="15" t="str">
        <f aca="false" t="array" ref="E737:E737">INDEX(Matériaux!$B$5:$F$12,MATCH(INDEX(Profils!$E$5:$E$34,$AE737),Matériaux!$A$5:$A$12,0),$D737)</f>
        <v>écailles</v>
      </c>
      <c r="F737" s="17" t="s">
        <v>108</v>
      </c>
      <c r="G737" s="10" t="str">
        <f aca="false" t="array" ref="G737:G737">INDEX(Profils!$D$5:$D$34,$AE737)&amp;" en "&amp;$E737</f>
        <v>Bottes en écailles</v>
      </c>
      <c r="H737" s="16" t="n">
        <f aca="false" t="array" ref="H737:H737">INDEX(Matériaux!$B$16:$B$20,$D737)</f>
        <v>50</v>
      </c>
      <c r="I737" s="16" t="n">
        <f aca="false">IF(ISNUMBER($C$3),MIN(MAX(0,ROUND($C$3,0)),$AI737),$AI737)</f>
        <v>0</v>
      </c>
      <c r="J737" s="18" t="n">
        <f aca="false">$H737+$I737</f>
        <v>50</v>
      </c>
      <c r="K737" s="15" t="s">
        <v>109</v>
      </c>
      <c r="L737" s="19" t="n">
        <f aca="false" t="array" ref="L737:L737">IF(AND(INDEX(Profils!$F$5:$F$34,$AE737)&gt;0,INDEX(Profils!$U$5:$U$34,$AE737)&lt;=$AH737),ROUND(INDEX(Profils!$F$5:$F$34,$AE737)*Paramètres!$E$22*$AG737*$AJ737,Paramètres!$F$22),0)</f>
        <v>0</v>
      </c>
      <c r="M737" s="19" t="n">
        <f aca="false" t="array" ref="M737:M737">IF(AND(INDEX(Profils!$G$5:$G$34,$AE737)&gt;0,INDEX(Profils!$V$5:$V$34,$AE737)&lt;=$AH737),ROUND(INDEX(Profils!$G$5:$G$34,$AE737)*Paramètres!$E$23*$AG737*$AJ737,Paramètres!$F$23),0)</f>
        <v>0</v>
      </c>
      <c r="N737" s="19" t="n">
        <f aca="false" t="array" ref="N737:N737">IF(AND(INDEX(Profils!$H$5:$H$34,$AE737)&gt;0,INDEX(Profils!$W$5:$W$34,$AE737)&lt;=$AH737),ROUND(INDEX(Profils!$H$5:$H$34,$AE737)*Paramètres!$E$24*$AG737*$AJ737,Paramètres!$F$24),0)</f>
        <v>0</v>
      </c>
      <c r="O737" s="19" t="n">
        <f aca="false" t="array" ref="O737:O737">IF(AND(INDEX(Profils!$I$5:$I$34,$AE737)&gt;0,INDEX(Profils!$X$5:$X$34,$AE737)&lt;=$AH737),ROUND(INDEX(Profils!$I$5:$I$34,$AE737)*Paramètres!$E$25*$AG737*$AJ737,Paramètres!$F$25),0)</f>
        <v>0</v>
      </c>
      <c r="P737" s="19" t="n">
        <f aca="false" t="array" ref="P737:P737">IF(AND(INDEX(Profils!$J$5:$J$34,$AE737)&gt;0,INDEX(Profils!$Y$5:$Y$34,$AE737)&lt;=$AH737),ROUND(INDEX(Profils!$J$5:$J$34,$AE737)*Paramètres!$E$26*$AG737*$AJ737,Paramètres!$F$26),0)</f>
        <v>10</v>
      </c>
      <c r="Q737" s="19" t="n">
        <f aca="false" t="array" ref="Q737:Q737">IF(AND(INDEX(Profils!$K$5:$K$34,$AE737)&gt;0,INDEX(Profils!$Z$5:$Z$34,$AE737)&lt;=$AH737),ROUND(INDEX(Profils!$K$5:$K$34,$AE737)*Paramètres!$E$27*$AG737*$AJ737,Paramètres!$F$27),0)</f>
        <v>6</v>
      </c>
      <c r="R737" s="20" t="n">
        <f aca="false" t="array" ref="R737:R737">IF(AND(INDEX(Profils!$L$5:$L$34,$AE737)&gt;0,INDEX(Profils!$AA$5:$AA$34,$AE737)&lt;=$AH737),ROUND(INDEX(Profils!$L$5:$L$34,$AE737)*Paramètres!$E$28*$AG737*$AJ737,Paramètres!$F$28),0)</f>
        <v>0</v>
      </c>
      <c r="S737" s="20" t="n">
        <f aca="false" t="array" ref="S737:S737">IF(AND(INDEX(Profils!$M$5:$M$34,$AE737)&gt;0,INDEX(Profils!$AB$5:$AB$34,$AE737)&lt;=$AH737),ROUND(INDEX(Profils!$M$5:$M$34,$AE737)*Paramètres!$E$29*$AG737*$AJ737,Paramètres!$F$29),0)</f>
        <v>0</v>
      </c>
      <c r="T737" s="20" t="n">
        <f aca="false" t="array" ref="T737:T737">IF(AND(INDEX(Profils!$N$5:$N$34,$AE737)&gt;0,INDEX(Profils!$AC$5:$AC$34,$AE737)&lt;=$AH737),ROUND(INDEX(Profils!$N$5:$N$34,$AE737)*Paramètres!$E$30*$AG737*$AJ737,Paramètres!$F$30),0)</f>
        <v>0</v>
      </c>
      <c r="U737" s="19" t="n">
        <f aca="false" t="array" ref="U737:U737">IF(AND(INDEX(Profils!$O$5:$O$34,$AE737)&gt;0,INDEX(Profils!$AD$5:$AD$34,$AE737)&lt;=$AH737),ROUND(INDEX(Profils!$O$5:$O$34,$AE737)*Paramètres!$E$31*$AG737*$AJ737,Paramètres!$F$31),0)</f>
        <v>0</v>
      </c>
      <c r="V737" s="20" t="n">
        <f aca="false" t="array" ref="V737:V737">IF(AND(INDEX(Profils!$P$5:$P$34,$AE737)&gt;0,INDEX(Profils!$AE$5:$AE$34,$AE737)&lt;=$AH737),ROUND(INDEX(Profils!$P$5:$P$34,$AE737)*Paramètres!$E$32*$AG737*$AJ737,Paramètres!$F$32),0)</f>
        <v>0</v>
      </c>
      <c r="W737" s="20" t="n">
        <f aca="false" t="array" ref="W737:W737">IF(AND(INDEX(Profils!$Q$5:$Q$34,$AE737)&gt;0,INDEX(Profils!$AF$5:$AF$34,$AE737)&lt;=$AH737),ROUND(INDEX(Profils!$Q$5:$Q$34,$AE737)*Paramètres!$E$33*$AG737*$AJ737,Paramètres!$F$33),0)</f>
        <v>0</v>
      </c>
      <c r="X737" s="20" t="n">
        <f aca="false" t="array" ref="X737:X737">IF(AND(INDEX(Profils!$R$5:$R$34,$AE737)&gt;0,INDEX(Profils!$AG$5:$AG$34,$AE737)&lt;=$AH737),ROUND(INDEX(Profils!$R$5:$R$34,$AE737)*Paramètres!$E$34*$AG737*$AJ737,Paramètres!$F$34),0)</f>
        <v>0</v>
      </c>
      <c r="Y737" s="20" t="n">
        <f aca="false" t="array" ref="Y737:Y737">IF(AND(INDEX(Profils!$S$5:$S$34,$AE737)&gt;0,INDEX(Profils!$AH$5:$AH$34,$AE737)&lt;=$AH737),ROUND(INDEX(Profils!$S$5:$S$34,$AE737)*Paramètres!$E$35*$AG737*$AJ737,Paramètres!$F$35),0)</f>
        <v>0</v>
      </c>
      <c r="Z737" s="21" t="n">
        <f aca="false">ROUND(L737/Paramètres!$E$22+M737/Paramètres!$E$23+N737/Paramètres!$E$24+O737/Paramètres!$E$25+P737/Paramètres!$E$26+Q737/Paramètres!$E$27+R737/Paramètres!$E$28+S737/Paramètres!$E$29+T737/Paramètres!$E$30+U737/Paramètres!$E$31+V737/Paramètres!$E$32+W737/Paramètres!$E$33+X737/Paramètres!$E$34+Y737/Paramètres!$E$35,1)</f>
        <v>1.4</v>
      </c>
      <c r="AA737" s="22" t="s">
        <v>109</v>
      </c>
      <c r="AB737" s="22" t="s">
        <v>109</v>
      </c>
      <c r="AC737" s="15" t="str">
        <f aca="false">$E737</f>
        <v>écailles</v>
      </c>
      <c r="AD737" s="16" t="n">
        <f aca="false" t="array" ref="AD737:AD737">IF($I737&gt;=$AI737,"Max",ROUND(Paramètres!$B$40*($I737+1)^Paramètres!$B$41*INDEX(Paramètres!$H$6:$H$12,$AF737),0))</f>
        <v>3</v>
      </c>
      <c r="AE737" s="23" t="n">
        <f aca="false">MATCH($B737&amp;"|"&amp;$C737,Profils!$A$5:$A$34,0)</f>
        <v>24</v>
      </c>
      <c r="AF737" s="23" t="n">
        <v>1</v>
      </c>
      <c r="AG737" s="24" t="n">
        <f aca="false" t="array" ref="AG737:AG737">INDEX(Paramètres!$C$6:$C$12,$AF737)</f>
        <v>1</v>
      </c>
      <c r="AH737" s="23" t="n">
        <f aca="false" t="array" ref="AH737:AH737">INDEX(Paramètres!$D$6:$D$12,$AF737)</f>
        <v>2</v>
      </c>
      <c r="AI737" s="23" t="n">
        <f aca="false" t="array" ref="AI737:AI737">INDEX(Matériaux!$C$16:$C$20,$D737)</f>
        <v>25</v>
      </c>
      <c r="AJ737" s="25" t="n">
        <f aca="false">Paramètres!$B$16+(1-Paramètres!$B$16)*(($J737-Paramètres!$B$14)/(Paramètres!$B$15-Paramètres!$B$14))^Paramètres!$B$17</f>
        <v>0.458504333336152</v>
      </c>
    </row>
    <row r="738" customFormat="false" ht="15.75" hidden="false" customHeight="true" outlineLevel="0" collapsed="false">
      <c r="A738" s="14" t="s">
        <v>854</v>
      </c>
      <c r="B738" s="15" t="s">
        <v>31</v>
      </c>
      <c r="C738" s="15" t="s">
        <v>209</v>
      </c>
      <c r="D738" s="16" t="n">
        <v>4</v>
      </c>
      <c r="E738" s="15" t="str">
        <f aca="false" t="array" ref="E738:E738">INDEX(Matériaux!$B$5:$F$12,MATCH(INDEX(Profils!$E$5:$E$34,$AE738),Matériaux!$A$5:$A$12,0),$D738)</f>
        <v>écailles</v>
      </c>
      <c r="F738" s="26" t="s">
        <v>111</v>
      </c>
      <c r="G738" s="10" t="str">
        <f aca="false" t="array" ref="G738:G738">INDEX(Profils!$D$5:$D$34,$AE738)&amp;" en "&amp;$E738</f>
        <v>Bottes en écailles</v>
      </c>
      <c r="H738" s="16" t="n">
        <f aca="false" t="array" ref="H738:H738">INDEX(Matériaux!$B$16:$B$20,$D738)</f>
        <v>50</v>
      </c>
      <c r="I738" s="16" t="n">
        <f aca="false">IF(ISNUMBER($C$3),MIN(MAX(0,ROUND($C$3,0)),$AI738),$AI738)</f>
        <v>0</v>
      </c>
      <c r="J738" s="18" t="n">
        <f aca="false">$H738+$I738</f>
        <v>50</v>
      </c>
      <c r="K738" s="15" t="s">
        <v>109</v>
      </c>
      <c r="L738" s="19" t="n">
        <f aca="false" t="array" ref="L738:L738">IF(AND(INDEX(Profils!$F$5:$F$34,$AE738)&gt;0,INDEX(Profils!$U$5:$U$34,$AE738)&lt;=$AH738),ROUND(INDEX(Profils!$F$5:$F$34,$AE738)*Paramètres!$E$22*$AG738*$AJ738,Paramètres!$F$22),0)</f>
        <v>15</v>
      </c>
      <c r="M738" s="19" t="n">
        <f aca="false" t="array" ref="M738:M738">IF(AND(INDEX(Profils!$G$5:$G$34,$AE738)&gt;0,INDEX(Profils!$V$5:$V$34,$AE738)&lt;=$AH738),ROUND(INDEX(Profils!$G$5:$G$34,$AE738)*Paramètres!$E$23*$AG738*$AJ738,Paramètres!$F$23),0)</f>
        <v>0</v>
      </c>
      <c r="N738" s="19" t="n">
        <f aca="false" t="array" ref="N738:N738">IF(AND(INDEX(Profils!$H$5:$H$34,$AE738)&gt;0,INDEX(Profils!$W$5:$W$34,$AE738)&lt;=$AH738),ROUND(INDEX(Profils!$H$5:$H$34,$AE738)*Paramètres!$E$24*$AG738*$AJ738,Paramètres!$F$24),0)</f>
        <v>0</v>
      </c>
      <c r="O738" s="19" t="n">
        <f aca="false" t="array" ref="O738:O738">IF(AND(INDEX(Profils!$I$5:$I$34,$AE738)&gt;0,INDEX(Profils!$X$5:$X$34,$AE738)&lt;=$AH738),ROUND(INDEX(Profils!$I$5:$I$34,$AE738)*Paramètres!$E$25*$AG738*$AJ738,Paramètres!$F$25),0)</f>
        <v>0</v>
      </c>
      <c r="P738" s="19" t="n">
        <f aca="false" t="array" ref="P738:P738">IF(AND(INDEX(Profils!$J$5:$J$34,$AE738)&gt;0,INDEX(Profils!$Y$5:$Y$34,$AE738)&lt;=$AH738),ROUND(INDEX(Profils!$J$5:$J$34,$AE738)*Paramètres!$E$26*$AG738*$AJ738,Paramètres!$F$26),0)</f>
        <v>12</v>
      </c>
      <c r="Q738" s="19" t="n">
        <f aca="false" t="array" ref="Q738:Q738">IF(AND(INDEX(Profils!$K$5:$K$34,$AE738)&gt;0,INDEX(Profils!$Z$5:$Z$34,$AE738)&lt;=$AH738),ROUND(INDEX(Profils!$K$5:$K$34,$AE738)*Paramètres!$E$27*$AG738*$AJ738,Paramètres!$F$27),0)</f>
        <v>8</v>
      </c>
      <c r="R738" s="20" t="n">
        <f aca="false" t="array" ref="R738:R738">IF(AND(INDEX(Profils!$L$5:$L$34,$AE738)&gt;0,INDEX(Profils!$AA$5:$AA$34,$AE738)&lt;=$AH738),ROUND(INDEX(Profils!$L$5:$L$34,$AE738)*Paramètres!$E$28*$AG738*$AJ738,Paramètres!$F$28),0)</f>
        <v>0</v>
      </c>
      <c r="S738" s="20" t="n">
        <f aca="false" t="array" ref="S738:S738">IF(AND(INDEX(Profils!$M$5:$M$34,$AE738)&gt;0,INDEX(Profils!$AB$5:$AB$34,$AE738)&lt;=$AH738),ROUND(INDEX(Profils!$M$5:$M$34,$AE738)*Paramètres!$E$29*$AG738*$AJ738,Paramètres!$F$29),0)</f>
        <v>0</v>
      </c>
      <c r="T738" s="20" t="n">
        <f aca="false" t="array" ref="T738:T738">IF(AND(INDEX(Profils!$N$5:$N$34,$AE738)&gt;0,INDEX(Profils!$AC$5:$AC$34,$AE738)&lt;=$AH738),ROUND(INDEX(Profils!$N$5:$N$34,$AE738)*Paramètres!$E$30*$AG738*$AJ738,Paramètres!$F$30),0)</f>
        <v>0</v>
      </c>
      <c r="U738" s="19" t="n">
        <f aca="false" t="array" ref="U738:U738">IF(AND(INDEX(Profils!$O$5:$O$34,$AE738)&gt;0,INDEX(Profils!$AD$5:$AD$34,$AE738)&lt;=$AH738),ROUND(INDEX(Profils!$O$5:$O$34,$AE738)*Paramètres!$E$31*$AG738*$AJ738,Paramètres!$F$31),0)</f>
        <v>0</v>
      </c>
      <c r="V738" s="20" t="n">
        <f aca="false" t="array" ref="V738:V738">IF(AND(INDEX(Profils!$P$5:$P$34,$AE738)&gt;0,INDEX(Profils!$AE$5:$AE$34,$AE738)&lt;=$AH738),ROUND(INDEX(Profils!$P$5:$P$34,$AE738)*Paramètres!$E$32*$AG738*$AJ738,Paramètres!$F$32),0)</f>
        <v>0</v>
      </c>
      <c r="W738" s="20" t="n">
        <f aca="false" t="array" ref="W738:W738">IF(AND(INDEX(Profils!$Q$5:$Q$34,$AE738)&gt;0,INDEX(Profils!$AF$5:$AF$34,$AE738)&lt;=$AH738),ROUND(INDEX(Profils!$Q$5:$Q$34,$AE738)*Paramètres!$E$33*$AG738*$AJ738,Paramètres!$F$33),0)</f>
        <v>0</v>
      </c>
      <c r="X738" s="20" t="n">
        <f aca="false" t="array" ref="X738:X738">IF(AND(INDEX(Profils!$R$5:$R$34,$AE738)&gt;0,INDEX(Profils!$AG$5:$AG$34,$AE738)&lt;=$AH738),ROUND(INDEX(Profils!$R$5:$R$34,$AE738)*Paramètres!$E$34*$AG738*$AJ738,Paramètres!$F$34),0)</f>
        <v>0</v>
      </c>
      <c r="Y738" s="20" t="n">
        <f aca="false" t="array" ref="Y738:Y738">IF(AND(INDEX(Profils!$S$5:$S$34,$AE738)&gt;0,INDEX(Profils!$AH$5:$AH$34,$AE738)&lt;=$AH738),ROUND(INDEX(Profils!$S$5:$S$34,$AE738)*Paramètres!$E$35*$AG738*$AJ738,Paramètres!$F$35),0)</f>
        <v>0</v>
      </c>
      <c r="Z738" s="21" t="n">
        <f aca="false">ROUND(L738/Paramètres!$E$22+M738/Paramètres!$E$23+N738/Paramètres!$E$24+O738/Paramètres!$E$25+P738/Paramètres!$E$26+Q738/Paramètres!$E$27+R738/Paramètres!$E$28+S738/Paramètres!$E$29+T738/Paramètres!$E$30+U738/Paramètres!$E$31+V738/Paramètres!$E$32+W738/Paramètres!$E$33+X738/Paramètres!$E$34+Y738/Paramètres!$E$35,1)</f>
        <v>2.4</v>
      </c>
      <c r="AA738" s="22" t="s">
        <v>109</v>
      </c>
      <c r="AB738" s="22" t="s">
        <v>109</v>
      </c>
      <c r="AC738" s="15" t="str">
        <f aca="false">$E738</f>
        <v>écailles</v>
      </c>
      <c r="AD738" s="16" t="n">
        <f aca="false" t="array" ref="AD738:AD738">IF($I738&gt;=$AI738,"Max",ROUND(Paramètres!$B$40*($I738+1)^Paramètres!$B$41*INDEX(Paramètres!$H$6:$H$12,$AF738),0))</f>
        <v>4</v>
      </c>
      <c r="AE738" s="23" t="n">
        <f aca="false">MATCH($B738&amp;"|"&amp;$C738,Profils!$A$5:$A$34,0)</f>
        <v>24</v>
      </c>
      <c r="AF738" s="23" t="n">
        <v>2</v>
      </c>
      <c r="AG738" s="24" t="n">
        <f aca="false" t="array" ref="AG738:AG738">INDEX(Paramètres!$C$6:$C$12,$AF738)</f>
        <v>1.2</v>
      </c>
      <c r="AH738" s="23" t="n">
        <f aca="false" t="array" ref="AH738:AH738">INDEX(Paramètres!$D$6:$D$12,$AF738)</f>
        <v>3</v>
      </c>
      <c r="AI738" s="23" t="n">
        <f aca="false" t="array" ref="AI738:AI738">INDEX(Matériaux!$C$16:$C$20,$D738)</f>
        <v>25</v>
      </c>
      <c r="AJ738" s="25" t="n">
        <f aca="false">Paramètres!$B$16+(1-Paramètres!$B$16)*(($J738-Paramètres!$B$14)/(Paramètres!$B$15-Paramètres!$B$14))^Paramètres!$B$17</f>
        <v>0.458504333336152</v>
      </c>
    </row>
    <row r="739" customFormat="false" ht="15.75" hidden="false" customHeight="true" outlineLevel="0" collapsed="false">
      <c r="A739" s="14" t="s">
        <v>855</v>
      </c>
      <c r="B739" s="15" t="s">
        <v>31</v>
      </c>
      <c r="C739" s="15" t="s">
        <v>209</v>
      </c>
      <c r="D739" s="16" t="n">
        <v>4</v>
      </c>
      <c r="E739" s="15" t="str">
        <f aca="false" t="array" ref="E739:E739">INDEX(Matériaux!$B$5:$F$12,MATCH(INDEX(Profils!$E$5:$E$34,$AE739),Matériaux!$A$5:$A$12,0),$D739)</f>
        <v>écailles</v>
      </c>
      <c r="F739" s="27" t="s">
        <v>113</v>
      </c>
      <c r="G739" s="10" t="str">
        <f aca="false" t="array" ref="G739:G739">INDEX(Profils!$D$5:$D$34,$AE739)&amp;" en "&amp;$E739</f>
        <v>Bottes en écailles</v>
      </c>
      <c r="H739" s="16" t="n">
        <f aca="false" t="array" ref="H739:H739">INDEX(Matériaux!$B$16:$B$20,$D739)</f>
        <v>50</v>
      </c>
      <c r="I739" s="16" t="n">
        <f aca="false">IF(ISNUMBER($C$3),MIN(MAX(0,ROUND($C$3,0)),$AI739),$AI739)</f>
        <v>0</v>
      </c>
      <c r="J739" s="18" t="n">
        <f aca="false">$H739+$I739</f>
        <v>50</v>
      </c>
      <c r="K739" s="15" t="s">
        <v>109</v>
      </c>
      <c r="L739" s="19" t="n">
        <f aca="false" t="array" ref="L739:L739">IF(AND(INDEX(Profils!$F$5:$F$34,$AE739)&gt;0,INDEX(Profils!$U$5:$U$34,$AE739)&lt;=$AH739),ROUND(INDEX(Profils!$F$5:$F$34,$AE739)*Paramètres!$E$22*$AG739*$AJ739,Paramètres!$F$22),0)</f>
        <v>18</v>
      </c>
      <c r="M739" s="19" t="n">
        <f aca="false" t="array" ref="M739:M739">IF(AND(INDEX(Profils!$G$5:$G$34,$AE739)&gt;0,INDEX(Profils!$V$5:$V$34,$AE739)&lt;=$AH739),ROUND(INDEX(Profils!$G$5:$G$34,$AE739)*Paramètres!$E$23*$AG739*$AJ739,Paramètres!$F$23),0)</f>
        <v>0</v>
      </c>
      <c r="N739" s="19" t="n">
        <f aca="false" t="array" ref="N739:N739">IF(AND(INDEX(Profils!$H$5:$H$34,$AE739)&gt;0,INDEX(Profils!$W$5:$W$34,$AE739)&lt;=$AH739),ROUND(INDEX(Profils!$H$5:$H$34,$AE739)*Paramètres!$E$24*$AG739*$AJ739,Paramètres!$F$24),0)</f>
        <v>0</v>
      </c>
      <c r="O739" s="19" t="n">
        <f aca="false" t="array" ref="O739:O739">IF(AND(INDEX(Profils!$I$5:$I$34,$AE739)&gt;0,INDEX(Profils!$X$5:$X$34,$AE739)&lt;=$AH739),ROUND(INDEX(Profils!$I$5:$I$34,$AE739)*Paramètres!$E$25*$AG739*$AJ739,Paramètres!$F$25),0)</f>
        <v>0</v>
      </c>
      <c r="P739" s="19" t="n">
        <f aca="false" t="array" ref="P739:P739">IF(AND(INDEX(Profils!$J$5:$J$34,$AE739)&gt;0,INDEX(Profils!$Y$5:$Y$34,$AE739)&lt;=$AH739),ROUND(INDEX(Profils!$J$5:$J$34,$AE739)*Paramètres!$E$26*$AG739*$AJ739,Paramètres!$F$26),0)</f>
        <v>14</v>
      </c>
      <c r="Q739" s="19" t="n">
        <f aca="false" t="array" ref="Q739:Q739">IF(AND(INDEX(Profils!$K$5:$K$34,$AE739)&gt;0,INDEX(Profils!$Z$5:$Z$34,$AE739)&lt;=$AH739),ROUND(INDEX(Profils!$K$5:$K$34,$AE739)*Paramètres!$E$27*$AG739*$AJ739,Paramètres!$F$27),0)</f>
        <v>9</v>
      </c>
      <c r="R739" s="20" t="n">
        <f aca="false" t="array" ref="R739:R739">IF(AND(INDEX(Profils!$L$5:$L$34,$AE739)&gt;0,INDEX(Profils!$AA$5:$AA$34,$AE739)&lt;=$AH739),ROUND(INDEX(Profils!$L$5:$L$34,$AE739)*Paramètres!$E$28*$AG739*$AJ739,Paramètres!$F$28),0)</f>
        <v>0.008</v>
      </c>
      <c r="S739" s="20" t="n">
        <f aca="false" t="array" ref="S739:S739">IF(AND(INDEX(Profils!$M$5:$M$34,$AE739)&gt;0,INDEX(Profils!$AB$5:$AB$34,$AE739)&lt;=$AH739),ROUND(INDEX(Profils!$M$5:$M$34,$AE739)*Paramètres!$E$29*$AG739*$AJ739,Paramètres!$F$29),0)</f>
        <v>0</v>
      </c>
      <c r="T739" s="20" t="n">
        <f aca="false" t="array" ref="T739:T739">IF(AND(INDEX(Profils!$N$5:$N$34,$AE739)&gt;0,INDEX(Profils!$AC$5:$AC$34,$AE739)&lt;=$AH739),ROUND(INDEX(Profils!$N$5:$N$34,$AE739)*Paramètres!$E$30*$AG739*$AJ739,Paramètres!$F$30),0)</f>
        <v>0</v>
      </c>
      <c r="U739" s="19" t="n">
        <f aca="false" t="array" ref="U739:U739">IF(AND(INDEX(Profils!$O$5:$O$34,$AE739)&gt;0,INDEX(Profils!$AD$5:$AD$34,$AE739)&lt;=$AH739),ROUND(INDEX(Profils!$O$5:$O$34,$AE739)*Paramètres!$E$31*$AG739*$AJ739,Paramètres!$F$31),0)</f>
        <v>0</v>
      </c>
      <c r="V739" s="20" t="n">
        <f aca="false" t="array" ref="V739:V739">IF(AND(INDEX(Profils!$P$5:$P$34,$AE739)&gt;0,INDEX(Profils!$AE$5:$AE$34,$AE739)&lt;=$AH739),ROUND(INDEX(Profils!$P$5:$P$34,$AE739)*Paramètres!$E$32*$AG739*$AJ739,Paramètres!$F$32),0)</f>
        <v>0</v>
      </c>
      <c r="W739" s="20" t="n">
        <f aca="false" t="array" ref="W739:W739">IF(AND(INDEX(Profils!$Q$5:$Q$34,$AE739)&gt;0,INDEX(Profils!$AF$5:$AF$34,$AE739)&lt;=$AH739),ROUND(INDEX(Profils!$Q$5:$Q$34,$AE739)*Paramètres!$E$33*$AG739*$AJ739,Paramètres!$F$33),0)</f>
        <v>0</v>
      </c>
      <c r="X739" s="20" t="n">
        <f aca="false" t="array" ref="X739:X739">IF(AND(INDEX(Profils!$R$5:$R$34,$AE739)&gt;0,INDEX(Profils!$AG$5:$AG$34,$AE739)&lt;=$AH739),ROUND(INDEX(Profils!$R$5:$R$34,$AE739)*Paramètres!$E$34*$AG739*$AJ739,Paramètres!$F$34),0)</f>
        <v>0</v>
      </c>
      <c r="Y739" s="20" t="n">
        <f aca="false" t="array" ref="Y739:Y739">IF(AND(INDEX(Profils!$S$5:$S$34,$AE739)&gt;0,INDEX(Profils!$AH$5:$AH$34,$AE739)&lt;=$AH739),ROUND(INDEX(Profils!$S$5:$S$34,$AE739)*Paramètres!$E$35*$AG739*$AJ739,Paramètres!$F$35),0)</f>
        <v>0</v>
      </c>
      <c r="Z739" s="21" t="n">
        <f aca="false">ROUND(L739/Paramètres!$E$22+M739/Paramètres!$E$23+N739/Paramètres!$E$24+O739/Paramètres!$E$25+P739/Paramètres!$E$26+Q739/Paramètres!$E$27+R739/Paramètres!$E$28+S739/Paramètres!$E$29+T739/Paramètres!$E$30+U739/Paramètres!$E$31+V739/Paramètres!$E$32+W739/Paramètres!$E$33+X739/Paramètres!$E$34+Y739/Paramètres!$E$35,1)</f>
        <v>3.3</v>
      </c>
      <c r="AA739" s="22" t="s">
        <v>109</v>
      </c>
      <c r="AB739" s="22" t="s">
        <v>109</v>
      </c>
      <c r="AC739" s="15" t="str">
        <f aca="false">$E739</f>
        <v>écailles</v>
      </c>
      <c r="AD739" s="16" t="n">
        <f aca="false" t="array" ref="AD739:AD739">IF($I739&gt;=$AI739,"Max",ROUND(Paramètres!$B$40*($I739+1)^Paramètres!$B$41*INDEX(Paramètres!$H$6:$H$12,$AF739),0))</f>
        <v>4</v>
      </c>
      <c r="AE739" s="23" t="n">
        <f aca="false">MATCH($B739&amp;"|"&amp;$C739,Profils!$A$5:$A$34,0)</f>
        <v>24</v>
      </c>
      <c r="AF739" s="23" t="n">
        <v>3</v>
      </c>
      <c r="AG739" s="24" t="n">
        <f aca="false" t="array" ref="AG739:AG739">INDEX(Paramètres!$C$6:$C$12,$AF739)</f>
        <v>1.45</v>
      </c>
      <c r="AH739" s="23" t="n">
        <f aca="false" t="array" ref="AH739:AH739">INDEX(Paramètres!$D$6:$D$12,$AF739)</f>
        <v>4</v>
      </c>
      <c r="AI739" s="23" t="n">
        <f aca="false" t="array" ref="AI739:AI739">INDEX(Matériaux!$C$16:$C$20,$D739)</f>
        <v>25</v>
      </c>
      <c r="AJ739" s="25" t="n">
        <f aca="false">Paramètres!$B$16+(1-Paramètres!$B$16)*(($J739-Paramètres!$B$14)/(Paramètres!$B$15-Paramètres!$B$14))^Paramètres!$B$17</f>
        <v>0.458504333336152</v>
      </c>
    </row>
    <row r="740" customFormat="false" ht="15.75" hidden="false" customHeight="true" outlineLevel="0" collapsed="false">
      <c r="A740" s="14" t="s">
        <v>856</v>
      </c>
      <c r="B740" s="15" t="s">
        <v>31</v>
      </c>
      <c r="C740" s="15" t="s">
        <v>209</v>
      </c>
      <c r="D740" s="16" t="n">
        <v>4</v>
      </c>
      <c r="E740" s="15" t="str">
        <f aca="false" t="array" ref="E740:E740">INDEX(Matériaux!$B$5:$F$12,MATCH(INDEX(Profils!$E$5:$E$34,$AE740),Matériaux!$A$5:$A$12,0),$D740)</f>
        <v>écailles</v>
      </c>
      <c r="F740" s="28" t="s">
        <v>115</v>
      </c>
      <c r="G740" s="10" t="str">
        <f aca="false" t="array" ref="G740:G740">INDEX(Profils!$D$5:$D$34,$AE740)&amp;" en "&amp;$E740</f>
        <v>Bottes en écailles</v>
      </c>
      <c r="H740" s="16" t="n">
        <f aca="false" t="array" ref="H740:H740">INDEX(Matériaux!$B$16:$B$20,$D740)</f>
        <v>50</v>
      </c>
      <c r="I740" s="16" t="n">
        <f aca="false">IF(ISNUMBER($C$3),MIN(MAX(0,ROUND($C$3,0)),$AI740),$AI740)</f>
        <v>0</v>
      </c>
      <c r="J740" s="18" t="n">
        <f aca="false">$H740+$I740</f>
        <v>50</v>
      </c>
      <c r="K740" s="15" t="s">
        <v>109</v>
      </c>
      <c r="L740" s="19" t="n">
        <f aca="false" t="array" ref="L740:L740">IF(AND(INDEX(Profils!$F$5:$F$34,$AE740)&gt;0,INDEX(Profils!$U$5:$U$34,$AE740)&lt;=$AH740),ROUND(INDEX(Profils!$F$5:$F$34,$AE740)*Paramètres!$E$22*$AG740*$AJ740,Paramètres!$F$22),0)</f>
        <v>22</v>
      </c>
      <c r="M740" s="19" t="n">
        <f aca="false" t="array" ref="M740:M740">IF(AND(INDEX(Profils!$G$5:$G$34,$AE740)&gt;0,INDEX(Profils!$V$5:$V$34,$AE740)&lt;=$AH740),ROUND(INDEX(Profils!$G$5:$G$34,$AE740)*Paramètres!$E$23*$AG740*$AJ740,Paramètres!$F$23),0)</f>
        <v>0</v>
      </c>
      <c r="N740" s="19" t="n">
        <f aca="false" t="array" ref="N740:N740">IF(AND(INDEX(Profils!$H$5:$H$34,$AE740)&gt;0,INDEX(Profils!$W$5:$W$34,$AE740)&lt;=$AH740),ROUND(INDEX(Profils!$H$5:$H$34,$AE740)*Paramètres!$E$24*$AG740*$AJ740,Paramètres!$F$24),0)</f>
        <v>0</v>
      </c>
      <c r="O740" s="19" t="n">
        <f aca="false" t="array" ref="O740:O740">IF(AND(INDEX(Profils!$I$5:$I$34,$AE740)&gt;0,INDEX(Profils!$X$5:$X$34,$AE740)&lt;=$AH740),ROUND(INDEX(Profils!$I$5:$I$34,$AE740)*Paramètres!$E$25*$AG740*$AJ740,Paramètres!$F$25),0)</f>
        <v>0</v>
      </c>
      <c r="P740" s="19" t="n">
        <f aca="false" t="array" ref="P740:P740">IF(AND(INDEX(Profils!$J$5:$J$34,$AE740)&gt;0,INDEX(Profils!$Y$5:$Y$34,$AE740)&lt;=$AH740),ROUND(INDEX(Profils!$J$5:$J$34,$AE740)*Paramètres!$E$26*$AG740*$AJ740,Paramètres!$F$26),0)</f>
        <v>17</v>
      </c>
      <c r="Q740" s="19" t="n">
        <f aca="false" t="array" ref="Q740:Q740">IF(AND(INDEX(Profils!$K$5:$K$34,$AE740)&gt;0,INDEX(Profils!$Z$5:$Z$34,$AE740)&lt;=$AH740),ROUND(INDEX(Profils!$K$5:$K$34,$AE740)*Paramètres!$E$27*$AG740*$AJ740,Paramètres!$F$27),0)</f>
        <v>11</v>
      </c>
      <c r="R740" s="20" t="n">
        <f aca="false" t="array" ref="R740:R740">IF(AND(INDEX(Profils!$L$5:$L$34,$AE740)&gt;0,INDEX(Profils!$AA$5:$AA$34,$AE740)&lt;=$AH740),ROUND(INDEX(Profils!$L$5:$L$34,$AE740)*Paramètres!$E$28*$AG740*$AJ740,Paramètres!$F$28),0)</f>
        <v>0.01</v>
      </c>
      <c r="S740" s="20" t="n">
        <f aca="false" t="array" ref="S740:S740">IF(AND(INDEX(Profils!$M$5:$M$34,$AE740)&gt;0,INDEX(Profils!$AB$5:$AB$34,$AE740)&lt;=$AH740),ROUND(INDEX(Profils!$M$5:$M$34,$AE740)*Paramètres!$E$29*$AG740*$AJ740,Paramètres!$F$29),0)</f>
        <v>0</v>
      </c>
      <c r="T740" s="20" t="n">
        <f aca="false" t="array" ref="T740:T740">IF(AND(INDEX(Profils!$N$5:$N$34,$AE740)&gt;0,INDEX(Profils!$AC$5:$AC$34,$AE740)&lt;=$AH740),ROUND(INDEX(Profils!$N$5:$N$34,$AE740)*Paramètres!$E$30*$AG740*$AJ740,Paramètres!$F$30),0)</f>
        <v>0</v>
      </c>
      <c r="U740" s="19" t="n">
        <f aca="false" t="array" ref="U740:U740">IF(AND(INDEX(Profils!$O$5:$O$34,$AE740)&gt;0,INDEX(Profils!$AD$5:$AD$34,$AE740)&lt;=$AH740),ROUND(INDEX(Profils!$O$5:$O$34,$AE740)*Paramètres!$E$31*$AG740*$AJ740,Paramètres!$F$31),0)</f>
        <v>11</v>
      </c>
      <c r="V740" s="20" t="n">
        <f aca="false" t="array" ref="V740:V740">IF(AND(INDEX(Profils!$P$5:$P$34,$AE740)&gt;0,INDEX(Profils!$AE$5:$AE$34,$AE740)&lt;=$AH740),ROUND(INDEX(Profils!$P$5:$P$34,$AE740)*Paramètres!$E$32*$AG740*$AJ740,Paramètres!$F$32),0)</f>
        <v>0</v>
      </c>
      <c r="W740" s="20" t="n">
        <f aca="false" t="array" ref="W740:W740">IF(AND(INDEX(Profils!$Q$5:$Q$34,$AE740)&gt;0,INDEX(Profils!$AF$5:$AF$34,$AE740)&lt;=$AH740),ROUND(INDEX(Profils!$Q$5:$Q$34,$AE740)*Paramètres!$E$33*$AG740*$AJ740,Paramètres!$F$33),0)</f>
        <v>0</v>
      </c>
      <c r="X740" s="20" t="n">
        <f aca="false" t="array" ref="X740:X740">IF(AND(INDEX(Profils!$R$5:$R$34,$AE740)&gt;0,INDEX(Profils!$AG$5:$AG$34,$AE740)&lt;=$AH740),ROUND(INDEX(Profils!$R$5:$R$34,$AE740)*Paramètres!$E$34*$AG740*$AJ740,Paramètres!$F$34),0)</f>
        <v>0</v>
      </c>
      <c r="Y740" s="20" t="n">
        <f aca="false" t="array" ref="Y740:Y740">IF(AND(INDEX(Profils!$S$5:$S$34,$AE740)&gt;0,INDEX(Profils!$AH$5:$AH$34,$AE740)&lt;=$AH740),ROUND(INDEX(Profils!$S$5:$S$34,$AE740)*Paramètres!$E$35*$AG740*$AJ740,Paramètres!$F$35),0)</f>
        <v>0</v>
      </c>
      <c r="Z740" s="21" t="n">
        <f aca="false">ROUND(L740/Paramètres!$E$22+M740/Paramètres!$E$23+N740/Paramètres!$E$24+O740/Paramètres!$E$25+P740/Paramètres!$E$26+Q740/Paramètres!$E$27+R740/Paramètres!$E$28+S740/Paramètres!$E$29+T740/Paramètres!$E$30+U740/Paramètres!$E$31+V740/Paramètres!$E$32+W740/Paramètres!$E$33+X740/Paramètres!$E$34+Y740/Paramètres!$E$35,1)</f>
        <v>4.6</v>
      </c>
      <c r="AA740" s="22" t="s">
        <v>109</v>
      </c>
      <c r="AB740" s="22" t="s">
        <v>109</v>
      </c>
      <c r="AC740" s="15" t="str">
        <f aca="false">$E740</f>
        <v>écailles</v>
      </c>
      <c r="AD740" s="16" t="n">
        <f aca="false" t="array" ref="AD740:AD740">IF($I740&gt;=$AI740,"Max",ROUND(Paramètres!$B$40*($I740+1)^Paramètres!$B$41*INDEX(Paramètres!$H$6:$H$12,$AF740),0))</f>
        <v>5</v>
      </c>
      <c r="AE740" s="23" t="n">
        <f aca="false">MATCH($B740&amp;"|"&amp;$C740,Profils!$A$5:$A$34,0)</f>
        <v>24</v>
      </c>
      <c r="AF740" s="23" t="n">
        <v>4</v>
      </c>
      <c r="AG740" s="24" t="n">
        <f aca="false" t="array" ref="AG740:AG740">INDEX(Paramètres!$C$6:$C$12,$AF740)</f>
        <v>1.75</v>
      </c>
      <c r="AH740" s="23" t="n">
        <f aca="false" t="array" ref="AH740:AH740">INDEX(Paramètres!$D$6:$D$12,$AF740)</f>
        <v>5</v>
      </c>
      <c r="AI740" s="23" t="n">
        <f aca="false" t="array" ref="AI740:AI740">INDEX(Matériaux!$C$16:$C$20,$D740)</f>
        <v>25</v>
      </c>
      <c r="AJ740" s="25" t="n">
        <f aca="false">Paramètres!$B$16+(1-Paramètres!$B$16)*(($J740-Paramètres!$B$14)/(Paramètres!$B$15-Paramètres!$B$14))^Paramètres!$B$17</f>
        <v>0.458504333336152</v>
      </c>
    </row>
    <row r="741" customFormat="false" ht="15.75" hidden="false" customHeight="true" outlineLevel="0" collapsed="false">
      <c r="A741" s="14" t="s">
        <v>857</v>
      </c>
      <c r="B741" s="15" t="s">
        <v>31</v>
      </c>
      <c r="C741" s="15" t="s">
        <v>209</v>
      </c>
      <c r="D741" s="16" t="n">
        <v>4</v>
      </c>
      <c r="E741" s="15" t="str">
        <f aca="false" t="array" ref="E741:E741">INDEX(Matériaux!$B$5:$F$12,MATCH(INDEX(Profils!$E$5:$E$34,$AE741),Matériaux!$A$5:$A$12,0),$D741)</f>
        <v>écailles</v>
      </c>
      <c r="F741" s="29" t="s">
        <v>117</v>
      </c>
      <c r="G741" s="10" t="str">
        <f aca="false" t="array" ref="G741:G741">INDEX(Profils!$D$5:$D$34,$AE741)&amp;" en "&amp;$E741</f>
        <v>Bottes en écailles</v>
      </c>
      <c r="H741" s="16" t="n">
        <f aca="false" t="array" ref="H741:H741">INDEX(Matériaux!$B$16:$B$20,$D741)</f>
        <v>50</v>
      </c>
      <c r="I741" s="16" t="n">
        <f aca="false">IF(ISNUMBER($C$3),MIN(MAX(0,ROUND($C$3,0)),$AI741),$AI741)</f>
        <v>0</v>
      </c>
      <c r="J741" s="18" t="n">
        <f aca="false">$H741+$I741</f>
        <v>50</v>
      </c>
      <c r="K741" s="15" t="s">
        <v>109</v>
      </c>
      <c r="L741" s="19" t="n">
        <f aca="false" t="array" ref="L741:L741">IF(AND(INDEX(Profils!$F$5:$F$34,$AE741)&gt;0,INDEX(Profils!$U$5:$U$34,$AE741)&lt;=$AH741),ROUND(INDEX(Profils!$F$5:$F$34,$AE741)*Paramètres!$E$22*$AG741*$AJ741,Paramètres!$F$22),0)</f>
        <v>26</v>
      </c>
      <c r="M741" s="19" t="n">
        <f aca="false" t="array" ref="M741:M741">IF(AND(INDEX(Profils!$G$5:$G$34,$AE741)&gt;0,INDEX(Profils!$V$5:$V$34,$AE741)&lt;=$AH741),ROUND(INDEX(Profils!$G$5:$G$34,$AE741)*Paramètres!$E$23*$AG741*$AJ741,Paramètres!$F$23),0)</f>
        <v>0</v>
      </c>
      <c r="N741" s="19" t="n">
        <f aca="false" t="array" ref="N741:N741">IF(AND(INDEX(Profils!$H$5:$H$34,$AE741)&gt;0,INDEX(Profils!$W$5:$W$34,$AE741)&lt;=$AH741),ROUND(INDEX(Profils!$H$5:$H$34,$AE741)*Paramètres!$E$24*$AG741*$AJ741,Paramètres!$F$24),0)</f>
        <v>9</v>
      </c>
      <c r="O741" s="19" t="n">
        <f aca="false" t="array" ref="O741:O741">IF(AND(INDEX(Profils!$I$5:$I$34,$AE741)&gt;0,INDEX(Profils!$X$5:$X$34,$AE741)&lt;=$AH741),ROUND(INDEX(Profils!$I$5:$I$34,$AE741)*Paramètres!$E$25*$AG741*$AJ741,Paramètres!$F$25),0)</f>
        <v>0</v>
      </c>
      <c r="P741" s="19" t="n">
        <f aca="false" t="array" ref="P741:P741">IF(AND(INDEX(Profils!$J$5:$J$34,$AE741)&gt;0,INDEX(Profils!$Y$5:$Y$34,$AE741)&lt;=$AH741),ROUND(INDEX(Profils!$J$5:$J$34,$AE741)*Paramètres!$E$26*$AG741*$AJ741,Paramètres!$F$26),0)</f>
        <v>21</v>
      </c>
      <c r="Q741" s="19" t="n">
        <f aca="false" t="array" ref="Q741:Q741">IF(AND(INDEX(Profils!$K$5:$K$34,$AE741)&gt;0,INDEX(Profils!$Z$5:$Z$34,$AE741)&lt;=$AH741),ROUND(INDEX(Profils!$K$5:$K$34,$AE741)*Paramètres!$E$27*$AG741*$AJ741,Paramètres!$F$27),0)</f>
        <v>13</v>
      </c>
      <c r="R741" s="20" t="n">
        <f aca="false" t="array" ref="R741:R741">IF(AND(INDEX(Profils!$L$5:$L$34,$AE741)&gt;0,INDEX(Profils!$AA$5:$AA$34,$AE741)&lt;=$AH741),ROUND(INDEX(Profils!$L$5:$L$34,$AE741)*Paramètres!$E$28*$AG741*$AJ741,Paramètres!$F$28),0)</f>
        <v>0.012</v>
      </c>
      <c r="S741" s="20" t="n">
        <f aca="false" t="array" ref="S741:S741">IF(AND(INDEX(Profils!$M$5:$M$34,$AE741)&gt;0,INDEX(Profils!$AB$5:$AB$34,$AE741)&lt;=$AH741),ROUND(INDEX(Profils!$M$5:$M$34,$AE741)*Paramètres!$E$29*$AG741*$AJ741,Paramètres!$F$29),0)</f>
        <v>0</v>
      </c>
      <c r="T741" s="20" t="n">
        <f aca="false" t="array" ref="T741:T741">IF(AND(INDEX(Profils!$N$5:$N$34,$AE741)&gt;0,INDEX(Profils!$AC$5:$AC$34,$AE741)&lt;=$AH741),ROUND(INDEX(Profils!$N$5:$N$34,$AE741)*Paramètres!$E$30*$AG741*$AJ741,Paramètres!$F$30),0)</f>
        <v>0</v>
      </c>
      <c r="U741" s="19" t="n">
        <f aca="false" t="array" ref="U741:U741">IF(AND(INDEX(Profils!$O$5:$O$34,$AE741)&gt;0,INDEX(Profils!$AD$5:$AD$34,$AE741)&lt;=$AH741),ROUND(INDEX(Profils!$O$5:$O$34,$AE741)*Paramètres!$E$31*$AG741*$AJ741,Paramètres!$F$31),0)</f>
        <v>13</v>
      </c>
      <c r="V741" s="20" t="n">
        <f aca="false" t="array" ref="V741:V741">IF(AND(INDEX(Profils!$P$5:$P$34,$AE741)&gt;0,INDEX(Profils!$AE$5:$AE$34,$AE741)&lt;=$AH741),ROUND(INDEX(Profils!$P$5:$P$34,$AE741)*Paramètres!$E$32*$AG741*$AJ741,Paramètres!$F$32),0)</f>
        <v>0</v>
      </c>
      <c r="W741" s="20" t="n">
        <f aca="false" t="array" ref="W741:W741">IF(AND(INDEX(Profils!$Q$5:$Q$34,$AE741)&gt;0,INDEX(Profils!$AF$5:$AF$34,$AE741)&lt;=$AH741),ROUND(INDEX(Profils!$Q$5:$Q$34,$AE741)*Paramètres!$E$33*$AG741*$AJ741,Paramètres!$F$33),0)</f>
        <v>0</v>
      </c>
      <c r="X741" s="20" t="n">
        <f aca="false" t="array" ref="X741:X741">IF(AND(INDEX(Profils!$R$5:$R$34,$AE741)&gt;0,INDEX(Profils!$AG$5:$AG$34,$AE741)&lt;=$AH741),ROUND(INDEX(Profils!$R$5:$R$34,$AE741)*Paramètres!$E$34*$AG741*$AJ741,Paramètres!$F$34),0)</f>
        <v>0</v>
      </c>
      <c r="Y741" s="20" t="n">
        <f aca="false" t="array" ref="Y741:Y741">IF(AND(INDEX(Profils!$S$5:$S$34,$AE741)&gt;0,INDEX(Profils!$AH$5:$AH$34,$AE741)&lt;=$AH741),ROUND(INDEX(Profils!$S$5:$S$34,$AE741)*Paramètres!$E$35*$AG741*$AJ741,Paramètres!$F$35),0)</f>
        <v>0</v>
      </c>
      <c r="Z741" s="21" t="n">
        <f aca="false">ROUND(L741/Paramètres!$E$22+M741/Paramètres!$E$23+N741/Paramètres!$E$24+O741/Paramètres!$E$25+P741/Paramètres!$E$26+Q741/Paramètres!$E$27+R741/Paramètres!$E$28+S741/Paramètres!$E$29+T741/Paramètres!$E$30+U741/Paramètres!$E$31+V741/Paramètres!$E$32+W741/Paramètres!$E$33+X741/Paramètres!$E$34+Y741/Paramètres!$E$35,1)</f>
        <v>6.1</v>
      </c>
      <c r="AA741" s="22" t="s">
        <v>109</v>
      </c>
      <c r="AB741" s="22" t="s">
        <v>109</v>
      </c>
      <c r="AC741" s="15" t="str">
        <f aca="false">$E741</f>
        <v>écailles</v>
      </c>
      <c r="AD741" s="16" t="n">
        <f aca="false" t="array" ref="AD741:AD741">IF($I741&gt;=$AI741,"Max",ROUND(Paramètres!$B$40*($I741+1)^Paramètres!$B$41*INDEX(Paramètres!$H$6:$H$12,$AF741),0))</f>
        <v>6</v>
      </c>
      <c r="AE741" s="23" t="n">
        <f aca="false">MATCH($B741&amp;"|"&amp;$C741,Profils!$A$5:$A$34,0)</f>
        <v>24</v>
      </c>
      <c r="AF741" s="23" t="n">
        <v>5</v>
      </c>
      <c r="AG741" s="24" t="n">
        <f aca="false" t="array" ref="AG741:AG741">INDEX(Paramètres!$C$6:$C$12,$AF741)</f>
        <v>2.1</v>
      </c>
      <c r="AH741" s="23" t="n">
        <f aca="false" t="array" ref="AH741:AH741">INDEX(Paramètres!$D$6:$D$12,$AF741)</f>
        <v>6</v>
      </c>
      <c r="AI741" s="23" t="n">
        <f aca="false" t="array" ref="AI741:AI741">INDEX(Matériaux!$C$16:$C$20,$D741)</f>
        <v>25</v>
      </c>
      <c r="AJ741" s="25" t="n">
        <f aca="false">Paramètres!$B$16+(1-Paramètres!$B$16)*(($J741-Paramètres!$B$14)/(Paramètres!$B$15-Paramètres!$B$14))^Paramètres!$B$17</f>
        <v>0.458504333336152</v>
      </c>
    </row>
    <row r="742" customFormat="false" ht="15.75" hidden="false" customHeight="true" outlineLevel="0" collapsed="false">
      <c r="A742" s="14" t="s">
        <v>858</v>
      </c>
      <c r="B742" s="15" t="s">
        <v>31</v>
      </c>
      <c r="C742" s="15" t="s">
        <v>209</v>
      </c>
      <c r="D742" s="16" t="n">
        <v>4</v>
      </c>
      <c r="E742" s="15" t="str">
        <f aca="false" t="array" ref="E742:E742">INDEX(Matériaux!$B$5:$F$12,MATCH(INDEX(Profils!$E$5:$E$34,$AE742),Matériaux!$A$5:$A$12,0),$D742)</f>
        <v>écailles</v>
      </c>
      <c r="F742" s="30" t="s">
        <v>119</v>
      </c>
      <c r="G742" s="10" t="str">
        <f aca="false" t="array" ref="G742:G742">INDEX(Profils!$D$5:$D$34,$AE742)&amp;" en "&amp;$E742</f>
        <v>Bottes en écailles</v>
      </c>
      <c r="H742" s="16" t="n">
        <f aca="false" t="array" ref="H742:H742">INDEX(Matériaux!$B$16:$B$20,$D742)</f>
        <v>50</v>
      </c>
      <c r="I742" s="16" t="n">
        <f aca="false">IF(ISNUMBER($C$3),MIN(MAX(0,ROUND($C$3,0)),$AI742),$AI742)</f>
        <v>0</v>
      </c>
      <c r="J742" s="18" t="n">
        <f aca="false">$H742+$I742</f>
        <v>50</v>
      </c>
      <c r="K742" s="15" t="s">
        <v>109</v>
      </c>
      <c r="L742" s="19" t="n">
        <f aca="false" t="array" ref="L742:L742">IF(AND(INDEX(Profils!$F$5:$F$34,$AE742)&gt;0,INDEX(Profils!$U$5:$U$34,$AE742)&lt;=$AH742),ROUND(INDEX(Profils!$F$5:$F$34,$AE742)*Paramètres!$E$22*$AG742*$AJ742,Paramètres!$F$22),0)</f>
        <v>30</v>
      </c>
      <c r="M742" s="19" t="n">
        <f aca="false" t="array" ref="M742:M742">IF(AND(INDEX(Profils!$G$5:$G$34,$AE742)&gt;0,INDEX(Profils!$V$5:$V$34,$AE742)&lt;=$AH742),ROUND(INDEX(Profils!$G$5:$G$34,$AE742)*Paramètres!$E$23*$AG742*$AJ742,Paramètres!$F$23),0)</f>
        <v>0</v>
      </c>
      <c r="N742" s="19" t="n">
        <f aca="false" t="array" ref="N742:N742">IF(AND(INDEX(Profils!$H$5:$H$34,$AE742)&gt;0,INDEX(Profils!$W$5:$W$34,$AE742)&lt;=$AH742),ROUND(INDEX(Profils!$H$5:$H$34,$AE742)*Paramètres!$E$24*$AG742*$AJ742,Paramètres!$F$24),0)</f>
        <v>10</v>
      </c>
      <c r="O742" s="19" t="n">
        <f aca="false" t="array" ref="O742:O742">IF(AND(INDEX(Profils!$I$5:$I$34,$AE742)&gt;0,INDEX(Profils!$X$5:$X$34,$AE742)&lt;=$AH742),ROUND(INDEX(Profils!$I$5:$I$34,$AE742)*Paramètres!$E$25*$AG742*$AJ742,Paramètres!$F$25),0)</f>
        <v>0</v>
      </c>
      <c r="P742" s="19" t="n">
        <f aca="false" t="array" ref="P742:P742">IF(AND(INDEX(Profils!$J$5:$J$34,$AE742)&gt;0,INDEX(Profils!$Y$5:$Y$34,$AE742)&lt;=$AH742),ROUND(INDEX(Profils!$J$5:$J$34,$AE742)*Paramètres!$E$26*$AG742*$AJ742,Paramètres!$F$26),0)</f>
        <v>24</v>
      </c>
      <c r="Q742" s="19" t="n">
        <f aca="false" t="array" ref="Q742:Q742">IF(AND(INDEX(Profils!$K$5:$K$34,$AE742)&gt;0,INDEX(Profils!$Z$5:$Z$34,$AE742)&lt;=$AH742),ROUND(INDEX(Profils!$K$5:$K$34,$AE742)*Paramètres!$E$27*$AG742*$AJ742,Paramètres!$F$27),0)</f>
        <v>15</v>
      </c>
      <c r="R742" s="20" t="n">
        <f aca="false" t="array" ref="R742:R742">IF(AND(INDEX(Profils!$L$5:$L$34,$AE742)&gt;0,INDEX(Profils!$AA$5:$AA$34,$AE742)&lt;=$AH742),ROUND(INDEX(Profils!$L$5:$L$34,$AE742)*Paramètres!$E$28*$AG742*$AJ742,Paramètres!$F$28),0)</f>
        <v>0.013</v>
      </c>
      <c r="S742" s="20" t="n">
        <f aca="false" t="array" ref="S742:S742">IF(AND(INDEX(Profils!$M$5:$M$34,$AE742)&gt;0,INDEX(Profils!$AB$5:$AB$34,$AE742)&lt;=$AH742),ROUND(INDEX(Profils!$M$5:$M$34,$AE742)*Paramètres!$E$29*$AG742*$AJ742,Paramètres!$F$29),0)</f>
        <v>0.007</v>
      </c>
      <c r="T742" s="20" t="n">
        <f aca="false" t="array" ref="T742:T742">IF(AND(INDEX(Profils!$N$5:$N$34,$AE742)&gt;0,INDEX(Profils!$AC$5:$AC$34,$AE742)&lt;=$AH742),ROUND(INDEX(Profils!$N$5:$N$34,$AE742)*Paramètres!$E$30*$AG742*$AJ742,Paramètres!$F$30),0)</f>
        <v>0</v>
      </c>
      <c r="U742" s="19" t="n">
        <f aca="false" t="array" ref="U742:U742">IF(AND(INDEX(Profils!$O$5:$O$34,$AE742)&gt;0,INDEX(Profils!$AD$5:$AD$34,$AE742)&lt;=$AH742),ROUND(INDEX(Profils!$O$5:$O$34,$AE742)*Paramètres!$E$31*$AG742*$AJ742,Paramètres!$F$31),0)</f>
        <v>15</v>
      </c>
      <c r="V742" s="20" t="n">
        <f aca="false" t="array" ref="V742:V742">IF(AND(INDEX(Profils!$P$5:$P$34,$AE742)&gt;0,INDEX(Profils!$AE$5:$AE$34,$AE742)&lt;=$AH742),ROUND(INDEX(Profils!$P$5:$P$34,$AE742)*Paramètres!$E$32*$AG742*$AJ742,Paramètres!$F$32),0)</f>
        <v>0</v>
      </c>
      <c r="W742" s="20" t="n">
        <f aca="false" t="array" ref="W742:W742">IF(AND(INDEX(Profils!$Q$5:$Q$34,$AE742)&gt;0,INDEX(Profils!$AF$5:$AF$34,$AE742)&lt;=$AH742),ROUND(INDEX(Profils!$Q$5:$Q$34,$AE742)*Paramètres!$E$33*$AG742*$AJ742,Paramètres!$F$33),0)</f>
        <v>0</v>
      </c>
      <c r="X742" s="20" t="n">
        <f aca="false" t="array" ref="X742:X742">IF(AND(INDEX(Profils!$R$5:$R$34,$AE742)&gt;0,INDEX(Profils!$AG$5:$AG$34,$AE742)&lt;=$AH742),ROUND(INDEX(Profils!$R$5:$R$34,$AE742)*Paramètres!$E$34*$AG742*$AJ742,Paramètres!$F$34),0)</f>
        <v>0</v>
      </c>
      <c r="Y742" s="20" t="n">
        <f aca="false" t="array" ref="Y742:Y742">IF(AND(INDEX(Profils!$S$5:$S$34,$AE742)&gt;0,INDEX(Profils!$AH$5:$AH$34,$AE742)&lt;=$AH742),ROUND(INDEX(Profils!$S$5:$S$34,$AE742)*Paramètres!$E$35*$AG742*$AJ742,Paramètres!$F$35),0)</f>
        <v>0</v>
      </c>
      <c r="Z742" s="21" t="n">
        <f aca="false">ROUND(L742/Paramètres!$E$22+M742/Paramètres!$E$23+N742/Paramètres!$E$24+O742/Paramètres!$E$25+P742/Paramètres!$E$26+Q742/Paramètres!$E$27+R742/Paramètres!$E$28+S742/Paramètres!$E$29+T742/Paramètres!$E$30+U742/Paramètres!$E$31+V742/Paramètres!$E$32+W742/Paramètres!$E$33+X742/Paramètres!$E$34+Y742/Paramètres!$E$35,1)</f>
        <v>7.6</v>
      </c>
      <c r="AA742" s="22" t="s">
        <v>109</v>
      </c>
      <c r="AB742" s="22" t="s">
        <v>109</v>
      </c>
      <c r="AC742" s="15" t="str">
        <f aca="false">$E742</f>
        <v>écailles</v>
      </c>
      <c r="AD742" s="16" t="n">
        <f aca="false" t="array" ref="AD742:AD742">IF($I742&gt;=$AI742,"Max",ROUND(Paramètres!$B$40*($I742+1)^Paramètres!$B$41*INDEX(Paramètres!$H$6:$H$12,$AF742),0))</f>
        <v>8</v>
      </c>
      <c r="AE742" s="23" t="n">
        <f aca="false">MATCH($B742&amp;"|"&amp;$C742,Profils!$A$5:$A$34,0)</f>
        <v>24</v>
      </c>
      <c r="AF742" s="23" t="n">
        <v>6</v>
      </c>
      <c r="AG742" s="24" t="n">
        <f aca="false" t="array" ref="AG742:AG742">INDEX(Paramètres!$C$6:$C$12,$AF742)</f>
        <v>2.4</v>
      </c>
      <c r="AH742" s="23" t="n">
        <f aca="false" t="array" ref="AH742:AH742">INDEX(Paramètres!$D$6:$D$12,$AF742)</f>
        <v>7</v>
      </c>
      <c r="AI742" s="23" t="n">
        <f aca="false" t="array" ref="AI742:AI742">INDEX(Matériaux!$C$16:$C$20,$D742)</f>
        <v>25</v>
      </c>
      <c r="AJ742" s="25" t="n">
        <f aca="false">Paramètres!$B$16+(1-Paramètres!$B$16)*(($J742-Paramètres!$B$14)/(Paramètres!$B$15-Paramètres!$B$14))^Paramètres!$B$17</f>
        <v>0.458504333336152</v>
      </c>
    </row>
    <row r="743" customFormat="false" ht="15.75" hidden="false" customHeight="true" outlineLevel="0" collapsed="false">
      <c r="A743" s="14" t="s">
        <v>859</v>
      </c>
      <c r="B743" s="15" t="s">
        <v>31</v>
      </c>
      <c r="C743" s="15" t="s">
        <v>209</v>
      </c>
      <c r="D743" s="16" t="n">
        <v>5</v>
      </c>
      <c r="E743" s="15" t="str">
        <f aca="false" t="array" ref="E743:E743">INDEX(Matériaux!$B$5:$F$12,MATCH(INDEX(Profils!$E$5:$E$34,$AE743),Matériaux!$A$5:$A$12,0),$D743)</f>
        <v>peau de dragon</v>
      </c>
      <c r="F743" s="17" t="s">
        <v>108</v>
      </c>
      <c r="G743" s="10" t="str">
        <f aca="false" t="array" ref="G743:G743">INDEX(Profils!$D$5:$D$34,$AE743)&amp;" en "&amp;$E743</f>
        <v>Bottes en peau de dragon</v>
      </c>
      <c r="H743" s="16" t="n">
        <f aca="false" t="array" ref="H743:H743">INDEX(Matériaux!$B$16:$B$20,$D743)</f>
        <v>70</v>
      </c>
      <c r="I743" s="16" t="n">
        <f aca="false">IF(ISNUMBER($C$3),MIN(MAX(0,ROUND($C$3,0)),$AI743),$AI743)</f>
        <v>0</v>
      </c>
      <c r="J743" s="18" t="n">
        <f aca="false">$H743+$I743</f>
        <v>70</v>
      </c>
      <c r="K743" s="15" t="s">
        <v>109</v>
      </c>
      <c r="L743" s="19" t="n">
        <f aca="false" t="array" ref="L743:L743">IF(AND(INDEX(Profils!$F$5:$F$34,$AE743)&gt;0,INDEX(Profils!$U$5:$U$34,$AE743)&lt;=$AH743),ROUND(INDEX(Profils!$F$5:$F$34,$AE743)*Paramètres!$E$22*$AG743*$AJ743,Paramètres!$F$22),0)</f>
        <v>0</v>
      </c>
      <c r="M743" s="19" t="n">
        <f aca="false" t="array" ref="M743:M743">IF(AND(INDEX(Profils!$G$5:$G$34,$AE743)&gt;0,INDEX(Profils!$V$5:$V$34,$AE743)&lt;=$AH743),ROUND(INDEX(Profils!$G$5:$G$34,$AE743)*Paramètres!$E$23*$AG743*$AJ743,Paramètres!$F$23),0)</f>
        <v>0</v>
      </c>
      <c r="N743" s="19" t="n">
        <f aca="false" t="array" ref="N743:N743">IF(AND(INDEX(Profils!$H$5:$H$34,$AE743)&gt;0,INDEX(Profils!$W$5:$W$34,$AE743)&lt;=$AH743),ROUND(INDEX(Profils!$H$5:$H$34,$AE743)*Paramètres!$E$24*$AG743*$AJ743,Paramètres!$F$24),0)</f>
        <v>0</v>
      </c>
      <c r="O743" s="19" t="n">
        <f aca="false" t="array" ref="O743:O743">IF(AND(INDEX(Profils!$I$5:$I$34,$AE743)&gt;0,INDEX(Profils!$X$5:$X$34,$AE743)&lt;=$AH743),ROUND(INDEX(Profils!$I$5:$I$34,$AE743)*Paramètres!$E$25*$AG743*$AJ743,Paramètres!$F$25),0)</f>
        <v>0</v>
      </c>
      <c r="P743" s="19" t="n">
        <f aca="false" t="array" ref="P743:P743">IF(AND(INDEX(Profils!$J$5:$J$34,$AE743)&gt;0,INDEX(Profils!$Y$5:$Y$34,$AE743)&lt;=$AH743),ROUND(INDEX(Profils!$J$5:$J$34,$AE743)*Paramètres!$E$26*$AG743*$AJ743,Paramètres!$F$26),0)</f>
        <v>14</v>
      </c>
      <c r="Q743" s="19" t="n">
        <f aca="false" t="array" ref="Q743:Q743">IF(AND(INDEX(Profils!$K$5:$K$34,$AE743)&gt;0,INDEX(Profils!$Z$5:$Z$34,$AE743)&lt;=$AH743),ROUND(INDEX(Profils!$K$5:$K$34,$AE743)*Paramètres!$E$27*$AG743*$AJ743,Paramètres!$F$27),0)</f>
        <v>9</v>
      </c>
      <c r="R743" s="20" t="n">
        <f aca="false" t="array" ref="R743:R743">IF(AND(INDEX(Profils!$L$5:$L$34,$AE743)&gt;0,INDEX(Profils!$AA$5:$AA$34,$AE743)&lt;=$AH743),ROUND(INDEX(Profils!$L$5:$L$34,$AE743)*Paramètres!$E$28*$AG743*$AJ743,Paramètres!$F$28),0)</f>
        <v>0</v>
      </c>
      <c r="S743" s="20" t="n">
        <f aca="false" t="array" ref="S743:S743">IF(AND(INDEX(Profils!$M$5:$M$34,$AE743)&gt;0,INDEX(Profils!$AB$5:$AB$34,$AE743)&lt;=$AH743),ROUND(INDEX(Profils!$M$5:$M$34,$AE743)*Paramètres!$E$29*$AG743*$AJ743,Paramètres!$F$29),0)</f>
        <v>0</v>
      </c>
      <c r="T743" s="20" t="n">
        <f aca="false" t="array" ref="T743:T743">IF(AND(INDEX(Profils!$N$5:$N$34,$AE743)&gt;0,INDEX(Profils!$AC$5:$AC$34,$AE743)&lt;=$AH743),ROUND(INDEX(Profils!$N$5:$N$34,$AE743)*Paramètres!$E$30*$AG743*$AJ743,Paramètres!$F$30),0)</f>
        <v>0</v>
      </c>
      <c r="U743" s="19" t="n">
        <f aca="false" t="array" ref="U743:U743">IF(AND(INDEX(Profils!$O$5:$O$34,$AE743)&gt;0,INDEX(Profils!$AD$5:$AD$34,$AE743)&lt;=$AH743),ROUND(INDEX(Profils!$O$5:$O$34,$AE743)*Paramètres!$E$31*$AG743*$AJ743,Paramètres!$F$31),0)</f>
        <v>0</v>
      </c>
      <c r="V743" s="20" t="n">
        <f aca="false" t="array" ref="V743:V743">IF(AND(INDEX(Profils!$P$5:$P$34,$AE743)&gt;0,INDEX(Profils!$AE$5:$AE$34,$AE743)&lt;=$AH743),ROUND(INDEX(Profils!$P$5:$P$34,$AE743)*Paramètres!$E$32*$AG743*$AJ743,Paramètres!$F$32),0)</f>
        <v>0</v>
      </c>
      <c r="W743" s="20" t="n">
        <f aca="false" t="array" ref="W743:W743">IF(AND(INDEX(Profils!$Q$5:$Q$34,$AE743)&gt;0,INDEX(Profils!$AF$5:$AF$34,$AE743)&lt;=$AH743),ROUND(INDEX(Profils!$Q$5:$Q$34,$AE743)*Paramètres!$E$33*$AG743*$AJ743,Paramètres!$F$33),0)</f>
        <v>0</v>
      </c>
      <c r="X743" s="20" t="n">
        <f aca="false" t="array" ref="X743:X743">IF(AND(INDEX(Profils!$R$5:$R$34,$AE743)&gt;0,INDEX(Profils!$AG$5:$AG$34,$AE743)&lt;=$AH743),ROUND(INDEX(Profils!$R$5:$R$34,$AE743)*Paramètres!$E$34*$AG743*$AJ743,Paramètres!$F$34),0)</f>
        <v>0</v>
      </c>
      <c r="Y743" s="20" t="n">
        <f aca="false" t="array" ref="Y743:Y743">IF(AND(INDEX(Profils!$S$5:$S$34,$AE743)&gt;0,INDEX(Profils!$AH$5:$AH$34,$AE743)&lt;=$AH743),ROUND(INDEX(Profils!$S$5:$S$34,$AE743)*Paramètres!$E$35*$AG743*$AJ743,Paramètres!$F$35),0)</f>
        <v>0</v>
      </c>
      <c r="Z743" s="21" t="n">
        <f aca="false">ROUND(L743/Paramètres!$E$22+M743/Paramètres!$E$23+N743/Paramètres!$E$24+O743/Paramètres!$E$25+P743/Paramètres!$E$26+Q743/Paramètres!$E$27+R743/Paramètres!$E$28+S743/Paramètres!$E$29+T743/Paramètres!$E$30+U743/Paramètres!$E$31+V743/Paramètres!$E$32+W743/Paramètres!$E$33+X743/Paramètres!$E$34+Y743/Paramètres!$E$35,1)</f>
        <v>2.1</v>
      </c>
      <c r="AA743" s="22" t="s">
        <v>109</v>
      </c>
      <c r="AB743" s="22" t="s">
        <v>109</v>
      </c>
      <c r="AC743" s="15" t="str">
        <f aca="false">$E743</f>
        <v>peau de dragon</v>
      </c>
      <c r="AD743" s="16" t="n">
        <f aca="false" t="array" ref="AD743:AD743">IF($I743&gt;=$AI743,"Max",ROUND(Paramètres!$B$40*($I743+1)^Paramètres!$B$41*INDEX(Paramètres!$H$6:$H$12,$AF743),0))</f>
        <v>3</v>
      </c>
      <c r="AE743" s="23" t="n">
        <f aca="false">MATCH($B743&amp;"|"&amp;$C743,Profils!$A$5:$A$34,0)</f>
        <v>24</v>
      </c>
      <c r="AF743" s="23" t="n">
        <v>1</v>
      </c>
      <c r="AG743" s="24" t="n">
        <f aca="false" t="array" ref="AG743:AG743">INDEX(Paramètres!$C$6:$C$12,$AF743)</f>
        <v>1</v>
      </c>
      <c r="AH743" s="23" t="n">
        <f aca="false" t="array" ref="AH743:AH743">INDEX(Paramètres!$D$6:$D$12,$AF743)</f>
        <v>2</v>
      </c>
      <c r="AI743" s="23" t="n">
        <f aca="false" t="array" ref="AI743:AI743">INDEX(Matériaux!$C$16:$C$20,$D743)</f>
        <v>30</v>
      </c>
      <c r="AJ743" s="25" t="n">
        <f aca="false">Paramètres!$B$16+(1-Paramètres!$B$16)*(($J743-Paramètres!$B$14)/(Paramètres!$B$15-Paramètres!$B$14))^Paramètres!$B$17</f>
        <v>0.665999387952727</v>
      </c>
    </row>
    <row r="744" customFormat="false" ht="15.75" hidden="false" customHeight="true" outlineLevel="0" collapsed="false">
      <c r="A744" s="14" t="s">
        <v>860</v>
      </c>
      <c r="B744" s="15" t="s">
        <v>31</v>
      </c>
      <c r="C744" s="15" t="s">
        <v>209</v>
      </c>
      <c r="D744" s="16" t="n">
        <v>5</v>
      </c>
      <c r="E744" s="15" t="str">
        <f aca="false" t="array" ref="E744:E744">INDEX(Matériaux!$B$5:$F$12,MATCH(INDEX(Profils!$E$5:$E$34,$AE744),Matériaux!$A$5:$A$12,0),$D744)</f>
        <v>peau de dragon</v>
      </c>
      <c r="F744" s="26" t="s">
        <v>111</v>
      </c>
      <c r="G744" s="10" t="str">
        <f aca="false" t="array" ref="G744:G744">INDEX(Profils!$D$5:$D$34,$AE744)&amp;" en "&amp;$E744</f>
        <v>Bottes en peau de dragon</v>
      </c>
      <c r="H744" s="16" t="n">
        <f aca="false" t="array" ref="H744:H744">INDEX(Matériaux!$B$16:$B$20,$D744)</f>
        <v>70</v>
      </c>
      <c r="I744" s="16" t="n">
        <f aca="false">IF(ISNUMBER($C$3),MIN(MAX(0,ROUND($C$3,0)),$AI744),$AI744)</f>
        <v>0</v>
      </c>
      <c r="J744" s="18" t="n">
        <f aca="false">$H744+$I744</f>
        <v>70</v>
      </c>
      <c r="K744" s="15" t="s">
        <v>109</v>
      </c>
      <c r="L744" s="19" t="n">
        <f aca="false" t="array" ref="L744:L744">IF(AND(INDEX(Profils!$F$5:$F$34,$AE744)&gt;0,INDEX(Profils!$U$5:$U$34,$AE744)&lt;=$AH744),ROUND(INDEX(Profils!$F$5:$F$34,$AE744)*Paramètres!$E$22*$AG744*$AJ744,Paramètres!$F$22),0)</f>
        <v>22</v>
      </c>
      <c r="M744" s="19" t="n">
        <f aca="false" t="array" ref="M744:M744">IF(AND(INDEX(Profils!$G$5:$G$34,$AE744)&gt;0,INDEX(Profils!$V$5:$V$34,$AE744)&lt;=$AH744),ROUND(INDEX(Profils!$G$5:$G$34,$AE744)*Paramètres!$E$23*$AG744*$AJ744,Paramètres!$F$23),0)</f>
        <v>0</v>
      </c>
      <c r="N744" s="19" t="n">
        <f aca="false" t="array" ref="N744:N744">IF(AND(INDEX(Profils!$H$5:$H$34,$AE744)&gt;0,INDEX(Profils!$W$5:$W$34,$AE744)&lt;=$AH744),ROUND(INDEX(Profils!$H$5:$H$34,$AE744)*Paramètres!$E$24*$AG744*$AJ744,Paramètres!$F$24),0)</f>
        <v>0</v>
      </c>
      <c r="O744" s="19" t="n">
        <f aca="false" t="array" ref="O744:O744">IF(AND(INDEX(Profils!$I$5:$I$34,$AE744)&gt;0,INDEX(Profils!$X$5:$X$34,$AE744)&lt;=$AH744),ROUND(INDEX(Profils!$I$5:$I$34,$AE744)*Paramètres!$E$25*$AG744*$AJ744,Paramètres!$F$25),0)</f>
        <v>0</v>
      </c>
      <c r="P744" s="19" t="n">
        <f aca="false" t="array" ref="P744:P744">IF(AND(INDEX(Profils!$J$5:$J$34,$AE744)&gt;0,INDEX(Profils!$Y$5:$Y$34,$AE744)&lt;=$AH744),ROUND(INDEX(Profils!$J$5:$J$34,$AE744)*Paramètres!$E$26*$AG744*$AJ744,Paramètres!$F$26),0)</f>
        <v>17</v>
      </c>
      <c r="Q744" s="19" t="n">
        <f aca="false" t="array" ref="Q744:Q744">IF(AND(INDEX(Profils!$K$5:$K$34,$AE744)&gt;0,INDEX(Profils!$Z$5:$Z$34,$AE744)&lt;=$AH744),ROUND(INDEX(Profils!$K$5:$K$34,$AE744)*Paramètres!$E$27*$AG744*$AJ744,Paramètres!$F$27),0)</f>
        <v>11</v>
      </c>
      <c r="R744" s="20" t="n">
        <f aca="false" t="array" ref="R744:R744">IF(AND(INDEX(Profils!$L$5:$L$34,$AE744)&gt;0,INDEX(Profils!$AA$5:$AA$34,$AE744)&lt;=$AH744),ROUND(INDEX(Profils!$L$5:$L$34,$AE744)*Paramètres!$E$28*$AG744*$AJ744,Paramètres!$F$28),0)</f>
        <v>0</v>
      </c>
      <c r="S744" s="20" t="n">
        <f aca="false" t="array" ref="S744:S744">IF(AND(INDEX(Profils!$M$5:$M$34,$AE744)&gt;0,INDEX(Profils!$AB$5:$AB$34,$AE744)&lt;=$AH744),ROUND(INDEX(Profils!$M$5:$M$34,$AE744)*Paramètres!$E$29*$AG744*$AJ744,Paramètres!$F$29),0)</f>
        <v>0</v>
      </c>
      <c r="T744" s="20" t="n">
        <f aca="false" t="array" ref="T744:T744">IF(AND(INDEX(Profils!$N$5:$N$34,$AE744)&gt;0,INDEX(Profils!$AC$5:$AC$34,$AE744)&lt;=$AH744),ROUND(INDEX(Profils!$N$5:$N$34,$AE744)*Paramètres!$E$30*$AG744*$AJ744,Paramètres!$F$30),0)</f>
        <v>0</v>
      </c>
      <c r="U744" s="19" t="n">
        <f aca="false" t="array" ref="U744:U744">IF(AND(INDEX(Profils!$O$5:$O$34,$AE744)&gt;0,INDEX(Profils!$AD$5:$AD$34,$AE744)&lt;=$AH744),ROUND(INDEX(Profils!$O$5:$O$34,$AE744)*Paramètres!$E$31*$AG744*$AJ744,Paramètres!$F$31),0)</f>
        <v>0</v>
      </c>
      <c r="V744" s="20" t="n">
        <f aca="false" t="array" ref="V744:V744">IF(AND(INDEX(Profils!$P$5:$P$34,$AE744)&gt;0,INDEX(Profils!$AE$5:$AE$34,$AE744)&lt;=$AH744),ROUND(INDEX(Profils!$P$5:$P$34,$AE744)*Paramètres!$E$32*$AG744*$AJ744,Paramètres!$F$32),0)</f>
        <v>0</v>
      </c>
      <c r="W744" s="20" t="n">
        <f aca="false" t="array" ref="W744:W744">IF(AND(INDEX(Profils!$Q$5:$Q$34,$AE744)&gt;0,INDEX(Profils!$AF$5:$AF$34,$AE744)&lt;=$AH744),ROUND(INDEX(Profils!$Q$5:$Q$34,$AE744)*Paramètres!$E$33*$AG744*$AJ744,Paramètres!$F$33),0)</f>
        <v>0</v>
      </c>
      <c r="X744" s="20" t="n">
        <f aca="false" t="array" ref="X744:X744">IF(AND(INDEX(Profils!$R$5:$R$34,$AE744)&gt;0,INDEX(Profils!$AG$5:$AG$34,$AE744)&lt;=$AH744),ROUND(INDEX(Profils!$R$5:$R$34,$AE744)*Paramètres!$E$34*$AG744*$AJ744,Paramètres!$F$34),0)</f>
        <v>0</v>
      </c>
      <c r="Y744" s="20" t="n">
        <f aca="false" t="array" ref="Y744:Y744">IF(AND(INDEX(Profils!$S$5:$S$34,$AE744)&gt;0,INDEX(Profils!$AH$5:$AH$34,$AE744)&lt;=$AH744),ROUND(INDEX(Profils!$S$5:$S$34,$AE744)*Paramètres!$E$35*$AG744*$AJ744,Paramètres!$F$35),0)</f>
        <v>0</v>
      </c>
      <c r="Z744" s="21" t="n">
        <f aca="false">ROUND(L744/Paramètres!$E$22+M744/Paramètres!$E$23+N744/Paramètres!$E$24+O744/Paramètres!$E$25+P744/Paramètres!$E$26+Q744/Paramètres!$E$27+R744/Paramètres!$E$28+S744/Paramètres!$E$29+T744/Paramètres!$E$30+U744/Paramètres!$E$31+V744/Paramètres!$E$32+W744/Paramètres!$E$33+X744/Paramètres!$E$34+Y744/Paramètres!$E$35,1)</f>
        <v>3.4</v>
      </c>
      <c r="AA744" s="22" t="s">
        <v>109</v>
      </c>
      <c r="AB744" s="22" t="s">
        <v>109</v>
      </c>
      <c r="AC744" s="15" t="str">
        <f aca="false">$E744</f>
        <v>peau de dragon</v>
      </c>
      <c r="AD744" s="16" t="n">
        <f aca="false" t="array" ref="AD744:AD744">IF($I744&gt;=$AI744,"Max",ROUND(Paramètres!$B$40*($I744+1)^Paramètres!$B$41*INDEX(Paramètres!$H$6:$H$12,$AF744),0))</f>
        <v>4</v>
      </c>
      <c r="AE744" s="23" t="n">
        <f aca="false">MATCH($B744&amp;"|"&amp;$C744,Profils!$A$5:$A$34,0)</f>
        <v>24</v>
      </c>
      <c r="AF744" s="23" t="n">
        <v>2</v>
      </c>
      <c r="AG744" s="24" t="n">
        <f aca="false" t="array" ref="AG744:AG744">INDEX(Paramètres!$C$6:$C$12,$AF744)</f>
        <v>1.2</v>
      </c>
      <c r="AH744" s="23" t="n">
        <f aca="false" t="array" ref="AH744:AH744">INDEX(Paramètres!$D$6:$D$12,$AF744)</f>
        <v>3</v>
      </c>
      <c r="AI744" s="23" t="n">
        <f aca="false" t="array" ref="AI744:AI744">INDEX(Matériaux!$C$16:$C$20,$D744)</f>
        <v>30</v>
      </c>
      <c r="AJ744" s="25" t="n">
        <f aca="false">Paramètres!$B$16+(1-Paramètres!$B$16)*(($J744-Paramètres!$B$14)/(Paramètres!$B$15-Paramètres!$B$14))^Paramètres!$B$17</f>
        <v>0.665999387952727</v>
      </c>
    </row>
    <row r="745" customFormat="false" ht="15.75" hidden="false" customHeight="true" outlineLevel="0" collapsed="false">
      <c r="A745" s="14" t="s">
        <v>861</v>
      </c>
      <c r="B745" s="15" t="s">
        <v>31</v>
      </c>
      <c r="C745" s="15" t="s">
        <v>209</v>
      </c>
      <c r="D745" s="16" t="n">
        <v>5</v>
      </c>
      <c r="E745" s="15" t="str">
        <f aca="false" t="array" ref="E745:E745">INDEX(Matériaux!$B$5:$F$12,MATCH(INDEX(Profils!$E$5:$E$34,$AE745),Matériaux!$A$5:$A$12,0),$D745)</f>
        <v>peau de dragon</v>
      </c>
      <c r="F745" s="27" t="s">
        <v>113</v>
      </c>
      <c r="G745" s="10" t="str">
        <f aca="false" t="array" ref="G745:G745">INDEX(Profils!$D$5:$D$34,$AE745)&amp;" en "&amp;$E745</f>
        <v>Bottes en peau de dragon</v>
      </c>
      <c r="H745" s="16" t="n">
        <f aca="false" t="array" ref="H745:H745">INDEX(Matériaux!$B$16:$B$20,$D745)</f>
        <v>70</v>
      </c>
      <c r="I745" s="16" t="n">
        <f aca="false">IF(ISNUMBER($C$3),MIN(MAX(0,ROUND($C$3,0)),$AI745),$AI745)</f>
        <v>0</v>
      </c>
      <c r="J745" s="18" t="n">
        <f aca="false">$H745+$I745</f>
        <v>70</v>
      </c>
      <c r="K745" s="15" t="s">
        <v>109</v>
      </c>
      <c r="L745" s="19" t="n">
        <f aca="false" t="array" ref="L745:L745">IF(AND(INDEX(Profils!$F$5:$F$34,$AE745)&gt;0,INDEX(Profils!$U$5:$U$34,$AE745)&lt;=$AH745),ROUND(INDEX(Profils!$F$5:$F$34,$AE745)*Paramètres!$E$22*$AG745*$AJ745,Paramètres!$F$22),0)</f>
        <v>27</v>
      </c>
      <c r="M745" s="19" t="n">
        <f aca="false" t="array" ref="M745:M745">IF(AND(INDEX(Profils!$G$5:$G$34,$AE745)&gt;0,INDEX(Profils!$V$5:$V$34,$AE745)&lt;=$AH745),ROUND(INDEX(Profils!$G$5:$G$34,$AE745)*Paramètres!$E$23*$AG745*$AJ745,Paramètres!$F$23),0)</f>
        <v>0</v>
      </c>
      <c r="N745" s="19" t="n">
        <f aca="false" t="array" ref="N745:N745">IF(AND(INDEX(Profils!$H$5:$H$34,$AE745)&gt;0,INDEX(Profils!$W$5:$W$34,$AE745)&lt;=$AH745),ROUND(INDEX(Profils!$H$5:$H$34,$AE745)*Paramètres!$E$24*$AG745*$AJ745,Paramètres!$F$24),0)</f>
        <v>0</v>
      </c>
      <c r="O745" s="19" t="n">
        <f aca="false" t="array" ref="O745:O745">IF(AND(INDEX(Profils!$I$5:$I$34,$AE745)&gt;0,INDEX(Profils!$X$5:$X$34,$AE745)&lt;=$AH745),ROUND(INDEX(Profils!$I$5:$I$34,$AE745)*Paramètres!$E$25*$AG745*$AJ745,Paramètres!$F$25),0)</f>
        <v>0</v>
      </c>
      <c r="P745" s="19" t="n">
        <f aca="false" t="array" ref="P745:P745">IF(AND(INDEX(Profils!$J$5:$J$34,$AE745)&gt;0,INDEX(Profils!$Y$5:$Y$34,$AE745)&lt;=$AH745),ROUND(INDEX(Profils!$J$5:$J$34,$AE745)*Paramètres!$E$26*$AG745*$AJ745,Paramètres!$F$26),0)</f>
        <v>21</v>
      </c>
      <c r="Q745" s="19" t="n">
        <f aca="false" t="array" ref="Q745:Q745">IF(AND(INDEX(Profils!$K$5:$K$34,$AE745)&gt;0,INDEX(Profils!$Z$5:$Z$34,$AE745)&lt;=$AH745),ROUND(INDEX(Profils!$K$5:$K$34,$AE745)*Paramètres!$E$27*$AG745*$AJ745,Paramètres!$F$27),0)</f>
        <v>14</v>
      </c>
      <c r="R745" s="20" t="n">
        <f aca="false" t="array" ref="R745:R745">IF(AND(INDEX(Profils!$L$5:$L$34,$AE745)&gt;0,INDEX(Profils!$AA$5:$AA$34,$AE745)&lt;=$AH745),ROUND(INDEX(Profils!$L$5:$L$34,$AE745)*Paramètres!$E$28*$AG745*$AJ745,Paramètres!$F$28),0)</f>
        <v>0.012</v>
      </c>
      <c r="S745" s="20" t="n">
        <f aca="false" t="array" ref="S745:S745">IF(AND(INDEX(Profils!$M$5:$M$34,$AE745)&gt;0,INDEX(Profils!$AB$5:$AB$34,$AE745)&lt;=$AH745),ROUND(INDEX(Profils!$M$5:$M$34,$AE745)*Paramètres!$E$29*$AG745*$AJ745,Paramètres!$F$29),0)</f>
        <v>0</v>
      </c>
      <c r="T745" s="20" t="n">
        <f aca="false" t="array" ref="T745:T745">IF(AND(INDEX(Profils!$N$5:$N$34,$AE745)&gt;0,INDEX(Profils!$AC$5:$AC$34,$AE745)&lt;=$AH745),ROUND(INDEX(Profils!$N$5:$N$34,$AE745)*Paramètres!$E$30*$AG745*$AJ745,Paramètres!$F$30),0)</f>
        <v>0</v>
      </c>
      <c r="U745" s="19" t="n">
        <f aca="false" t="array" ref="U745:U745">IF(AND(INDEX(Profils!$O$5:$O$34,$AE745)&gt;0,INDEX(Profils!$AD$5:$AD$34,$AE745)&lt;=$AH745),ROUND(INDEX(Profils!$O$5:$O$34,$AE745)*Paramètres!$E$31*$AG745*$AJ745,Paramètres!$F$31),0)</f>
        <v>0</v>
      </c>
      <c r="V745" s="20" t="n">
        <f aca="false" t="array" ref="V745:V745">IF(AND(INDEX(Profils!$P$5:$P$34,$AE745)&gt;0,INDEX(Profils!$AE$5:$AE$34,$AE745)&lt;=$AH745),ROUND(INDEX(Profils!$P$5:$P$34,$AE745)*Paramètres!$E$32*$AG745*$AJ745,Paramètres!$F$32),0)</f>
        <v>0</v>
      </c>
      <c r="W745" s="20" t="n">
        <f aca="false" t="array" ref="W745:W745">IF(AND(INDEX(Profils!$Q$5:$Q$34,$AE745)&gt;0,INDEX(Profils!$AF$5:$AF$34,$AE745)&lt;=$AH745),ROUND(INDEX(Profils!$Q$5:$Q$34,$AE745)*Paramètres!$E$33*$AG745*$AJ745,Paramètres!$F$33),0)</f>
        <v>0</v>
      </c>
      <c r="X745" s="20" t="n">
        <f aca="false" t="array" ref="X745:X745">IF(AND(INDEX(Profils!$R$5:$R$34,$AE745)&gt;0,INDEX(Profils!$AG$5:$AG$34,$AE745)&lt;=$AH745),ROUND(INDEX(Profils!$R$5:$R$34,$AE745)*Paramètres!$E$34*$AG745*$AJ745,Paramètres!$F$34),0)</f>
        <v>0</v>
      </c>
      <c r="Y745" s="20" t="n">
        <f aca="false" t="array" ref="Y745:Y745">IF(AND(INDEX(Profils!$S$5:$S$34,$AE745)&gt;0,INDEX(Profils!$AH$5:$AH$34,$AE745)&lt;=$AH745),ROUND(INDEX(Profils!$S$5:$S$34,$AE745)*Paramètres!$E$35*$AG745*$AJ745,Paramètres!$F$35),0)</f>
        <v>0</v>
      </c>
      <c r="Z745" s="21" t="n">
        <f aca="false">ROUND(L745/Paramètres!$E$22+M745/Paramètres!$E$23+N745/Paramètres!$E$24+O745/Paramètres!$E$25+P745/Paramètres!$E$26+Q745/Paramètres!$E$27+R745/Paramètres!$E$28+S745/Paramètres!$E$29+T745/Paramètres!$E$30+U745/Paramètres!$E$31+V745/Paramètres!$E$32+W745/Paramètres!$E$33+X745/Paramètres!$E$34+Y745/Paramètres!$E$35,1)</f>
        <v>5</v>
      </c>
      <c r="AA745" s="22" t="s">
        <v>109</v>
      </c>
      <c r="AB745" s="22" t="s">
        <v>109</v>
      </c>
      <c r="AC745" s="15" t="str">
        <f aca="false">$E745</f>
        <v>peau de dragon</v>
      </c>
      <c r="AD745" s="16" t="n">
        <f aca="false" t="array" ref="AD745:AD745">IF($I745&gt;=$AI745,"Max",ROUND(Paramètres!$B$40*($I745+1)^Paramètres!$B$41*INDEX(Paramètres!$H$6:$H$12,$AF745),0))</f>
        <v>4</v>
      </c>
      <c r="AE745" s="23" t="n">
        <f aca="false">MATCH($B745&amp;"|"&amp;$C745,Profils!$A$5:$A$34,0)</f>
        <v>24</v>
      </c>
      <c r="AF745" s="23" t="n">
        <v>3</v>
      </c>
      <c r="AG745" s="24" t="n">
        <f aca="false" t="array" ref="AG745:AG745">INDEX(Paramètres!$C$6:$C$12,$AF745)</f>
        <v>1.45</v>
      </c>
      <c r="AH745" s="23" t="n">
        <f aca="false" t="array" ref="AH745:AH745">INDEX(Paramètres!$D$6:$D$12,$AF745)</f>
        <v>4</v>
      </c>
      <c r="AI745" s="23" t="n">
        <f aca="false" t="array" ref="AI745:AI745">INDEX(Matériaux!$C$16:$C$20,$D745)</f>
        <v>30</v>
      </c>
      <c r="AJ745" s="25" t="n">
        <f aca="false">Paramètres!$B$16+(1-Paramètres!$B$16)*(($J745-Paramètres!$B$14)/(Paramètres!$B$15-Paramètres!$B$14))^Paramètres!$B$17</f>
        <v>0.665999387952727</v>
      </c>
    </row>
    <row r="746" customFormat="false" ht="15.75" hidden="false" customHeight="true" outlineLevel="0" collapsed="false">
      <c r="A746" s="14" t="s">
        <v>862</v>
      </c>
      <c r="B746" s="15" t="s">
        <v>31</v>
      </c>
      <c r="C746" s="15" t="s">
        <v>209</v>
      </c>
      <c r="D746" s="16" t="n">
        <v>5</v>
      </c>
      <c r="E746" s="15" t="str">
        <f aca="false" t="array" ref="E746:E746">INDEX(Matériaux!$B$5:$F$12,MATCH(INDEX(Profils!$E$5:$E$34,$AE746),Matériaux!$A$5:$A$12,0),$D746)</f>
        <v>peau de dragon</v>
      </c>
      <c r="F746" s="28" t="s">
        <v>115</v>
      </c>
      <c r="G746" s="10" t="str">
        <f aca="false" t="array" ref="G746:G746">INDEX(Profils!$D$5:$D$34,$AE746)&amp;" en "&amp;$E746</f>
        <v>Bottes en peau de dragon</v>
      </c>
      <c r="H746" s="16" t="n">
        <f aca="false" t="array" ref="H746:H746">INDEX(Matériaux!$B$16:$B$20,$D746)</f>
        <v>70</v>
      </c>
      <c r="I746" s="16" t="n">
        <f aca="false">IF(ISNUMBER($C$3),MIN(MAX(0,ROUND($C$3,0)),$AI746),$AI746)</f>
        <v>0</v>
      </c>
      <c r="J746" s="18" t="n">
        <f aca="false">$H746+$I746</f>
        <v>70</v>
      </c>
      <c r="K746" s="15" t="s">
        <v>109</v>
      </c>
      <c r="L746" s="19" t="n">
        <f aca="false" t="array" ref="L746:L746">IF(AND(INDEX(Profils!$F$5:$F$34,$AE746)&gt;0,INDEX(Profils!$U$5:$U$34,$AE746)&lt;=$AH746),ROUND(INDEX(Profils!$F$5:$F$34,$AE746)*Paramètres!$E$22*$AG746*$AJ746,Paramètres!$F$22),0)</f>
        <v>32</v>
      </c>
      <c r="M746" s="19" t="n">
        <f aca="false" t="array" ref="M746:M746">IF(AND(INDEX(Profils!$G$5:$G$34,$AE746)&gt;0,INDEX(Profils!$V$5:$V$34,$AE746)&lt;=$AH746),ROUND(INDEX(Profils!$G$5:$G$34,$AE746)*Paramètres!$E$23*$AG746*$AJ746,Paramètres!$F$23),0)</f>
        <v>0</v>
      </c>
      <c r="N746" s="19" t="n">
        <f aca="false" t="array" ref="N746:N746">IF(AND(INDEX(Profils!$H$5:$H$34,$AE746)&gt;0,INDEX(Profils!$W$5:$W$34,$AE746)&lt;=$AH746),ROUND(INDEX(Profils!$H$5:$H$34,$AE746)*Paramètres!$E$24*$AG746*$AJ746,Paramètres!$F$24),0)</f>
        <v>0</v>
      </c>
      <c r="O746" s="19" t="n">
        <f aca="false" t="array" ref="O746:O746">IF(AND(INDEX(Profils!$I$5:$I$34,$AE746)&gt;0,INDEX(Profils!$X$5:$X$34,$AE746)&lt;=$AH746),ROUND(INDEX(Profils!$I$5:$I$34,$AE746)*Paramètres!$E$25*$AG746*$AJ746,Paramètres!$F$25),0)</f>
        <v>0</v>
      </c>
      <c r="P746" s="19" t="n">
        <f aca="false" t="array" ref="P746:P746">IF(AND(INDEX(Profils!$J$5:$J$34,$AE746)&gt;0,INDEX(Profils!$Y$5:$Y$34,$AE746)&lt;=$AH746),ROUND(INDEX(Profils!$J$5:$J$34,$AE746)*Paramètres!$E$26*$AG746*$AJ746,Paramètres!$F$26),0)</f>
        <v>25</v>
      </c>
      <c r="Q746" s="19" t="n">
        <f aca="false" t="array" ref="Q746:Q746">IF(AND(INDEX(Profils!$K$5:$K$34,$AE746)&gt;0,INDEX(Profils!$Z$5:$Z$34,$AE746)&lt;=$AH746),ROUND(INDEX(Profils!$K$5:$K$34,$AE746)*Paramètres!$E$27*$AG746*$AJ746,Paramètres!$F$27),0)</f>
        <v>16</v>
      </c>
      <c r="R746" s="20" t="n">
        <f aca="false" t="array" ref="R746:R746">IF(AND(INDEX(Profils!$L$5:$L$34,$AE746)&gt;0,INDEX(Profils!$AA$5:$AA$34,$AE746)&lt;=$AH746),ROUND(INDEX(Profils!$L$5:$L$34,$AE746)*Paramètres!$E$28*$AG746*$AJ746,Paramètres!$F$28),0)</f>
        <v>0.014</v>
      </c>
      <c r="S746" s="20" t="n">
        <f aca="false" t="array" ref="S746:S746">IF(AND(INDEX(Profils!$M$5:$M$34,$AE746)&gt;0,INDEX(Profils!$AB$5:$AB$34,$AE746)&lt;=$AH746),ROUND(INDEX(Profils!$M$5:$M$34,$AE746)*Paramètres!$E$29*$AG746*$AJ746,Paramètres!$F$29),0)</f>
        <v>0</v>
      </c>
      <c r="T746" s="20" t="n">
        <f aca="false" t="array" ref="T746:T746">IF(AND(INDEX(Profils!$N$5:$N$34,$AE746)&gt;0,INDEX(Profils!$AC$5:$AC$34,$AE746)&lt;=$AH746),ROUND(INDEX(Profils!$N$5:$N$34,$AE746)*Paramètres!$E$30*$AG746*$AJ746,Paramètres!$F$30),0)</f>
        <v>0</v>
      </c>
      <c r="U746" s="19" t="n">
        <f aca="false" t="array" ref="U746:U746">IF(AND(INDEX(Profils!$O$5:$O$34,$AE746)&gt;0,INDEX(Profils!$AD$5:$AD$34,$AE746)&lt;=$AH746),ROUND(INDEX(Profils!$O$5:$O$34,$AE746)*Paramètres!$E$31*$AG746*$AJ746,Paramètres!$F$31),0)</f>
        <v>16</v>
      </c>
      <c r="V746" s="20" t="n">
        <f aca="false" t="array" ref="V746:V746">IF(AND(INDEX(Profils!$P$5:$P$34,$AE746)&gt;0,INDEX(Profils!$AE$5:$AE$34,$AE746)&lt;=$AH746),ROUND(INDEX(Profils!$P$5:$P$34,$AE746)*Paramètres!$E$32*$AG746*$AJ746,Paramètres!$F$32),0)</f>
        <v>0</v>
      </c>
      <c r="W746" s="20" t="n">
        <f aca="false" t="array" ref="W746:W746">IF(AND(INDEX(Profils!$Q$5:$Q$34,$AE746)&gt;0,INDEX(Profils!$AF$5:$AF$34,$AE746)&lt;=$AH746),ROUND(INDEX(Profils!$Q$5:$Q$34,$AE746)*Paramètres!$E$33*$AG746*$AJ746,Paramètres!$F$33),0)</f>
        <v>0</v>
      </c>
      <c r="X746" s="20" t="n">
        <f aca="false" t="array" ref="X746:X746">IF(AND(INDEX(Profils!$R$5:$R$34,$AE746)&gt;0,INDEX(Profils!$AG$5:$AG$34,$AE746)&lt;=$AH746),ROUND(INDEX(Profils!$R$5:$R$34,$AE746)*Paramètres!$E$34*$AG746*$AJ746,Paramètres!$F$34),0)</f>
        <v>0</v>
      </c>
      <c r="Y746" s="20" t="n">
        <f aca="false" t="array" ref="Y746:Y746">IF(AND(INDEX(Profils!$S$5:$S$34,$AE746)&gt;0,INDEX(Profils!$AH$5:$AH$34,$AE746)&lt;=$AH746),ROUND(INDEX(Profils!$S$5:$S$34,$AE746)*Paramètres!$E$35*$AG746*$AJ746,Paramètres!$F$35),0)</f>
        <v>0</v>
      </c>
      <c r="Z746" s="21" t="n">
        <f aca="false">ROUND(L746/Paramètres!$E$22+M746/Paramètres!$E$23+N746/Paramètres!$E$24+O746/Paramètres!$E$25+P746/Paramètres!$E$26+Q746/Paramètres!$E$27+R746/Paramètres!$E$28+S746/Paramètres!$E$29+T746/Paramètres!$E$30+U746/Paramètres!$E$31+V746/Paramètres!$E$32+W746/Paramètres!$E$33+X746/Paramètres!$E$34+Y746/Paramètres!$E$35,1)</f>
        <v>6.7</v>
      </c>
      <c r="AA746" s="22" t="s">
        <v>109</v>
      </c>
      <c r="AB746" s="22" t="s">
        <v>109</v>
      </c>
      <c r="AC746" s="15" t="str">
        <f aca="false">$E746</f>
        <v>peau de dragon</v>
      </c>
      <c r="AD746" s="16" t="n">
        <f aca="false" t="array" ref="AD746:AD746">IF($I746&gt;=$AI746,"Max",ROUND(Paramètres!$B$40*($I746+1)^Paramètres!$B$41*INDEX(Paramètres!$H$6:$H$12,$AF746),0))</f>
        <v>5</v>
      </c>
      <c r="AE746" s="23" t="n">
        <f aca="false">MATCH($B746&amp;"|"&amp;$C746,Profils!$A$5:$A$34,0)</f>
        <v>24</v>
      </c>
      <c r="AF746" s="23" t="n">
        <v>4</v>
      </c>
      <c r="AG746" s="24" t="n">
        <f aca="false" t="array" ref="AG746:AG746">INDEX(Paramètres!$C$6:$C$12,$AF746)</f>
        <v>1.75</v>
      </c>
      <c r="AH746" s="23" t="n">
        <f aca="false" t="array" ref="AH746:AH746">INDEX(Paramètres!$D$6:$D$12,$AF746)</f>
        <v>5</v>
      </c>
      <c r="AI746" s="23" t="n">
        <f aca="false" t="array" ref="AI746:AI746">INDEX(Matériaux!$C$16:$C$20,$D746)</f>
        <v>30</v>
      </c>
      <c r="AJ746" s="25" t="n">
        <f aca="false">Paramètres!$B$16+(1-Paramètres!$B$16)*(($J746-Paramètres!$B$14)/(Paramètres!$B$15-Paramètres!$B$14))^Paramètres!$B$17</f>
        <v>0.665999387952727</v>
      </c>
    </row>
    <row r="747" customFormat="false" ht="15.75" hidden="false" customHeight="true" outlineLevel="0" collapsed="false">
      <c r="A747" s="14" t="s">
        <v>863</v>
      </c>
      <c r="B747" s="15" t="s">
        <v>31</v>
      </c>
      <c r="C747" s="15" t="s">
        <v>209</v>
      </c>
      <c r="D747" s="16" t="n">
        <v>5</v>
      </c>
      <c r="E747" s="15" t="str">
        <f aca="false" t="array" ref="E747:E747">INDEX(Matériaux!$B$5:$F$12,MATCH(INDEX(Profils!$E$5:$E$34,$AE747),Matériaux!$A$5:$A$12,0),$D747)</f>
        <v>peau de dragon</v>
      </c>
      <c r="F747" s="29" t="s">
        <v>117</v>
      </c>
      <c r="G747" s="10" t="str">
        <f aca="false" t="array" ref="G747:G747">INDEX(Profils!$D$5:$D$34,$AE747)&amp;" en "&amp;$E747</f>
        <v>Bottes en peau de dragon</v>
      </c>
      <c r="H747" s="16" t="n">
        <f aca="false" t="array" ref="H747:H747">INDEX(Matériaux!$B$16:$B$20,$D747)</f>
        <v>70</v>
      </c>
      <c r="I747" s="16" t="n">
        <f aca="false">IF(ISNUMBER($C$3),MIN(MAX(0,ROUND($C$3,0)),$AI747),$AI747)</f>
        <v>0</v>
      </c>
      <c r="J747" s="18" t="n">
        <f aca="false">$H747+$I747</f>
        <v>70</v>
      </c>
      <c r="K747" s="15" t="s">
        <v>109</v>
      </c>
      <c r="L747" s="19" t="n">
        <f aca="false" t="array" ref="L747:L747">IF(AND(INDEX(Profils!$F$5:$F$34,$AE747)&gt;0,INDEX(Profils!$U$5:$U$34,$AE747)&lt;=$AH747),ROUND(INDEX(Profils!$F$5:$F$34,$AE747)*Paramètres!$E$22*$AG747*$AJ747,Paramètres!$F$22),0)</f>
        <v>38</v>
      </c>
      <c r="M747" s="19" t="n">
        <f aca="false" t="array" ref="M747:M747">IF(AND(INDEX(Profils!$G$5:$G$34,$AE747)&gt;0,INDEX(Profils!$V$5:$V$34,$AE747)&lt;=$AH747),ROUND(INDEX(Profils!$G$5:$G$34,$AE747)*Paramètres!$E$23*$AG747*$AJ747,Paramètres!$F$23),0)</f>
        <v>0</v>
      </c>
      <c r="N747" s="19" t="n">
        <f aca="false" t="array" ref="N747:N747">IF(AND(INDEX(Profils!$H$5:$H$34,$AE747)&gt;0,INDEX(Profils!$W$5:$W$34,$AE747)&lt;=$AH747),ROUND(INDEX(Profils!$H$5:$H$34,$AE747)*Paramètres!$E$24*$AG747*$AJ747,Paramètres!$F$24),0)</f>
        <v>13</v>
      </c>
      <c r="O747" s="19" t="n">
        <f aca="false" t="array" ref="O747:O747">IF(AND(INDEX(Profils!$I$5:$I$34,$AE747)&gt;0,INDEX(Profils!$X$5:$X$34,$AE747)&lt;=$AH747),ROUND(INDEX(Profils!$I$5:$I$34,$AE747)*Paramètres!$E$25*$AG747*$AJ747,Paramètres!$F$25),0)</f>
        <v>0</v>
      </c>
      <c r="P747" s="19" t="n">
        <f aca="false" t="array" ref="P747:P747">IF(AND(INDEX(Profils!$J$5:$J$34,$AE747)&gt;0,INDEX(Profils!$Y$5:$Y$34,$AE747)&lt;=$AH747),ROUND(INDEX(Profils!$J$5:$J$34,$AE747)*Paramètres!$E$26*$AG747*$AJ747,Paramètres!$F$26),0)</f>
        <v>30</v>
      </c>
      <c r="Q747" s="19" t="n">
        <f aca="false" t="array" ref="Q747:Q747">IF(AND(INDEX(Profils!$K$5:$K$34,$AE747)&gt;0,INDEX(Profils!$Z$5:$Z$34,$AE747)&lt;=$AH747),ROUND(INDEX(Profils!$K$5:$K$34,$AE747)*Paramètres!$E$27*$AG747*$AJ747,Paramètres!$F$27),0)</f>
        <v>20</v>
      </c>
      <c r="R747" s="20" t="n">
        <f aca="false" t="array" ref="R747:R747">IF(AND(INDEX(Profils!$L$5:$L$34,$AE747)&gt;0,INDEX(Profils!$AA$5:$AA$34,$AE747)&lt;=$AH747),ROUND(INDEX(Profils!$L$5:$L$34,$AE747)*Paramètres!$E$28*$AG747*$AJ747,Paramètres!$F$28),0)</f>
        <v>0.017</v>
      </c>
      <c r="S747" s="20" t="n">
        <f aca="false" t="array" ref="S747:S747">IF(AND(INDEX(Profils!$M$5:$M$34,$AE747)&gt;0,INDEX(Profils!$AB$5:$AB$34,$AE747)&lt;=$AH747),ROUND(INDEX(Profils!$M$5:$M$34,$AE747)*Paramètres!$E$29*$AG747*$AJ747,Paramètres!$F$29),0)</f>
        <v>0</v>
      </c>
      <c r="T747" s="20" t="n">
        <f aca="false" t="array" ref="T747:T747">IF(AND(INDEX(Profils!$N$5:$N$34,$AE747)&gt;0,INDEX(Profils!$AC$5:$AC$34,$AE747)&lt;=$AH747),ROUND(INDEX(Profils!$N$5:$N$34,$AE747)*Paramètres!$E$30*$AG747*$AJ747,Paramètres!$F$30),0)</f>
        <v>0</v>
      </c>
      <c r="U747" s="19" t="n">
        <f aca="false" t="array" ref="U747:U747">IF(AND(INDEX(Profils!$O$5:$O$34,$AE747)&gt;0,INDEX(Profils!$AD$5:$AD$34,$AE747)&lt;=$AH747),ROUND(INDEX(Profils!$O$5:$O$34,$AE747)*Paramètres!$E$31*$AG747*$AJ747,Paramètres!$F$31),0)</f>
        <v>20</v>
      </c>
      <c r="V747" s="20" t="n">
        <f aca="false" t="array" ref="V747:V747">IF(AND(INDEX(Profils!$P$5:$P$34,$AE747)&gt;0,INDEX(Profils!$AE$5:$AE$34,$AE747)&lt;=$AH747),ROUND(INDEX(Profils!$P$5:$P$34,$AE747)*Paramètres!$E$32*$AG747*$AJ747,Paramètres!$F$32),0)</f>
        <v>0</v>
      </c>
      <c r="W747" s="20" t="n">
        <f aca="false" t="array" ref="W747:W747">IF(AND(INDEX(Profils!$Q$5:$Q$34,$AE747)&gt;0,INDEX(Profils!$AF$5:$AF$34,$AE747)&lt;=$AH747),ROUND(INDEX(Profils!$Q$5:$Q$34,$AE747)*Paramètres!$E$33*$AG747*$AJ747,Paramètres!$F$33),0)</f>
        <v>0</v>
      </c>
      <c r="X747" s="20" t="n">
        <f aca="false" t="array" ref="X747:X747">IF(AND(INDEX(Profils!$R$5:$R$34,$AE747)&gt;0,INDEX(Profils!$AG$5:$AG$34,$AE747)&lt;=$AH747),ROUND(INDEX(Profils!$R$5:$R$34,$AE747)*Paramètres!$E$34*$AG747*$AJ747,Paramètres!$F$34),0)</f>
        <v>0</v>
      </c>
      <c r="Y747" s="20" t="n">
        <f aca="false" t="array" ref="Y747:Y747">IF(AND(INDEX(Profils!$S$5:$S$34,$AE747)&gt;0,INDEX(Profils!$AH$5:$AH$34,$AE747)&lt;=$AH747),ROUND(INDEX(Profils!$S$5:$S$34,$AE747)*Paramètres!$E$35*$AG747*$AJ747,Paramètres!$F$35),0)</f>
        <v>0</v>
      </c>
      <c r="Z747" s="21" t="n">
        <f aca="false">ROUND(L747/Paramètres!$E$22+M747/Paramètres!$E$23+N747/Paramètres!$E$24+O747/Paramètres!$E$25+P747/Paramètres!$E$26+Q747/Paramètres!$E$27+R747/Paramètres!$E$28+S747/Paramètres!$E$29+T747/Paramètres!$E$30+U747/Paramètres!$E$31+V747/Paramètres!$E$32+W747/Paramètres!$E$33+X747/Paramètres!$E$34+Y747/Paramètres!$E$35,1)</f>
        <v>9</v>
      </c>
      <c r="AA747" s="22" t="s">
        <v>109</v>
      </c>
      <c r="AB747" s="22" t="s">
        <v>109</v>
      </c>
      <c r="AC747" s="15" t="str">
        <f aca="false">$E747</f>
        <v>peau de dragon</v>
      </c>
      <c r="AD747" s="16" t="n">
        <f aca="false" t="array" ref="AD747:AD747">IF($I747&gt;=$AI747,"Max",ROUND(Paramètres!$B$40*($I747+1)^Paramètres!$B$41*INDEX(Paramètres!$H$6:$H$12,$AF747),0))</f>
        <v>6</v>
      </c>
      <c r="AE747" s="23" t="n">
        <f aca="false">MATCH($B747&amp;"|"&amp;$C747,Profils!$A$5:$A$34,0)</f>
        <v>24</v>
      </c>
      <c r="AF747" s="23" t="n">
        <v>5</v>
      </c>
      <c r="AG747" s="24" t="n">
        <f aca="false" t="array" ref="AG747:AG747">INDEX(Paramètres!$C$6:$C$12,$AF747)</f>
        <v>2.1</v>
      </c>
      <c r="AH747" s="23" t="n">
        <f aca="false" t="array" ref="AH747:AH747">INDEX(Paramètres!$D$6:$D$12,$AF747)</f>
        <v>6</v>
      </c>
      <c r="AI747" s="23" t="n">
        <f aca="false" t="array" ref="AI747:AI747">INDEX(Matériaux!$C$16:$C$20,$D747)</f>
        <v>30</v>
      </c>
      <c r="AJ747" s="25" t="n">
        <f aca="false">Paramètres!$B$16+(1-Paramètres!$B$16)*(($J747-Paramètres!$B$14)/(Paramètres!$B$15-Paramètres!$B$14))^Paramètres!$B$17</f>
        <v>0.665999387952727</v>
      </c>
    </row>
    <row r="748" customFormat="false" ht="15.75" hidden="false" customHeight="true" outlineLevel="0" collapsed="false">
      <c r="A748" s="14" t="s">
        <v>864</v>
      </c>
      <c r="B748" s="15" t="s">
        <v>31</v>
      </c>
      <c r="C748" s="15" t="s">
        <v>209</v>
      </c>
      <c r="D748" s="16" t="n">
        <v>5</v>
      </c>
      <c r="E748" s="15" t="str">
        <f aca="false" t="array" ref="E748:E748">INDEX(Matériaux!$B$5:$F$12,MATCH(INDEX(Profils!$E$5:$E$34,$AE748),Matériaux!$A$5:$A$12,0),$D748)</f>
        <v>peau de dragon</v>
      </c>
      <c r="F748" s="30" t="s">
        <v>119</v>
      </c>
      <c r="G748" s="10" t="str">
        <f aca="false" t="array" ref="G748:G748">INDEX(Profils!$D$5:$D$34,$AE748)&amp;" en "&amp;$E748</f>
        <v>Bottes en peau de dragon</v>
      </c>
      <c r="H748" s="16" t="n">
        <f aca="false" t="array" ref="H748:H748">INDEX(Matériaux!$B$16:$B$20,$D748)</f>
        <v>70</v>
      </c>
      <c r="I748" s="16" t="n">
        <f aca="false">IF(ISNUMBER($C$3),MIN(MAX(0,ROUND($C$3,0)),$AI748),$AI748)</f>
        <v>0</v>
      </c>
      <c r="J748" s="18" t="n">
        <f aca="false">$H748+$I748</f>
        <v>70</v>
      </c>
      <c r="K748" s="15" t="s">
        <v>109</v>
      </c>
      <c r="L748" s="19" t="n">
        <f aca="false" t="array" ref="L748:L748">IF(AND(INDEX(Profils!$F$5:$F$34,$AE748)&gt;0,INDEX(Profils!$U$5:$U$34,$AE748)&lt;=$AH748),ROUND(INDEX(Profils!$F$5:$F$34,$AE748)*Paramètres!$E$22*$AG748*$AJ748,Paramètres!$F$22),0)</f>
        <v>44</v>
      </c>
      <c r="M748" s="19" t="n">
        <f aca="false" t="array" ref="M748:M748">IF(AND(INDEX(Profils!$G$5:$G$34,$AE748)&gt;0,INDEX(Profils!$V$5:$V$34,$AE748)&lt;=$AH748),ROUND(INDEX(Profils!$G$5:$G$34,$AE748)*Paramètres!$E$23*$AG748*$AJ748,Paramètres!$F$23),0)</f>
        <v>0</v>
      </c>
      <c r="N748" s="19" t="n">
        <f aca="false" t="array" ref="N748:N748">IF(AND(INDEX(Profils!$H$5:$H$34,$AE748)&gt;0,INDEX(Profils!$W$5:$W$34,$AE748)&lt;=$AH748),ROUND(INDEX(Profils!$H$5:$H$34,$AE748)*Paramètres!$E$24*$AG748*$AJ748,Paramètres!$F$24),0)</f>
        <v>14</v>
      </c>
      <c r="O748" s="19" t="n">
        <f aca="false" t="array" ref="O748:O748">IF(AND(INDEX(Profils!$I$5:$I$34,$AE748)&gt;0,INDEX(Profils!$X$5:$X$34,$AE748)&lt;=$AH748),ROUND(INDEX(Profils!$I$5:$I$34,$AE748)*Paramètres!$E$25*$AG748*$AJ748,Paramètres!$F$25),0)</f>
        <v>0</v>
      </c>
      <c r="P748" s="19" t="n">
        <f aca="false" t="array" ref="P748:P748">IF(AND(INDEX(Profils!$J$5:$J$34,$AE748)&gt;0,INDEX(Profils!$Y$5:$Y$34,$AE748)&lt;=$AH748),ROUND(INDEX(Profils!$J$5:$J$34,$AE748)*Paramètres!$E$26*$AG748*$AJ748,Paramètres!$F$26),0)</f>
        <v>35</v>
      </c>
      <c r="Q748" s="19" t="n">
        <f aca="false" t="array" ref="Q748:Q748">IF(AND(INDEX(Profils!$K$5:$K$34,$AE748)&gt;0,INDEX(Profils!$Z$5:$Z$34,$AE748)&lt;=$AH748),ROUND(INDEX(Profils!$K$5:$K$34,$AE748)*Paramètres!$E$27*$AG748*$AJ748,Paramètres!$F$27),0)</f>
        <v>22</v>
      </c>
      <c r="R748" s="20" t="n">
        <f aca="false" t="array" ref="R748:R748">IF(AND(INDEX(Profils!$L$5:$L$34,$AE748)&gt;0,INDEX(Profils!$AA$5:$AA$34,$AE748)&lt;=$AH748),ROUND(INDEX(Profils!$L$5:$L$34,$AE748)*Paramètres!$E$28*$AG748*$AJ748,Paramètres!$F$28),0)</f>
        <v>0.019</v>
      </c>
      <c r="S748" s="20" t="n">
        <f aca="false" t="array" ref="S748:S748">IF(AND(INDEX(Profils!$M$5:$M$34,$AE748)&gt;0,INDEX(Profils!$AB$5:$AB$34,$AE748)&lt;=$AH748),ROUND(INDEX(Profils!$M$5:$M$34,$AE748)*Paramètres!$E$29*$AG748*$AJ748,Paramètres!$F$29),0)</f>
        <v>0.01</v>
      </c>
      <c r="T748" s="20" t="n">
        <f aca="false" t="array" ref="T748:T748">IF(AND(INDEX(Profils!$N$5:$N$34,$AE748)&gt;0,INDEX(Profils!$AC$5:$AC$34,$AE748)&lt;=$AH748),ROUND(INDEX(Profils!$N$5:$N$34,$AE748)*Paramètres!$E$30*$AG748*$AJ748,Paramètres!$F$30),0)</f>
        <v>0</v>
      </c>
      <c r="U748" s="19" t="n">
        <f aca="false" t="array" ref="U748:U748">IF(AND(INDEX(Profils!$O$5:$O$34,$AE748)&gt;0,INDEX(Profils!$AD$5:$AD$34,$AE748)&lt;=$AH748),ROUND(INDEX(Profils!$O$5:$O$34,$AE748)*Paramètres!$E$31*$AG748*$AJ748,Paramètres!$F$31),0)</f>
        <v>22</v>
      </c>
      <c r="V748" s="20" t="n">
        <f aca="false" t="array" ref="V748:V748">IF(AND(INDEX(Profils!$P$5:$P$34,$AE748)&gt;0,INDEX(Profils!$AE$5:$AE$34,$AE748)&lt;=$AH748),ROUND(INDEX(Profils!$P$5:$P$34,$AE748)*Paramètres!$E$32*$AG748*$AJ748,Paramètres!$F$32),0)</f>
        <v>0</v>
      </c>
      <c r="W748" s="20" t="n">
        <f aca="false" t="array" ref="W748:W748">IF(AND(INDEX(Profils!$Q$5:$Q$34,$AE748)&gt;0,INDEX(Profils!$AF$5:$AF$34,$AE748)&lt;=$AH748),ROUND(INDEX(Profils!$Q$5:$Q$34,$AE748)*Paramètres!$E$33*$AG748*$AJ748,Paramètres!$F$33),0)</f>
        <v>0</v>
      </c>
      <c r="X748" s="20" t="n">
        <f aca="false" t="array" ref="X748:X748">IF(AND(INDEX(Profils!$R$5:$R$34,$AE748)&gt;0,INDEX(Profils!$AG$5:$AG$34,$AE748)&lt;=$AH748),ROUND(INDEX(Profils!$R$5:$R$34,$AE748)*Paramètres!$E$34*$AG748*$AJ748,Paramètres!$F$34),0)</f>
        <v>0</v>
      </c>
      <c r="Y748" s="20" t="n">
        <f aca="false" t="array" ref="Y748:Y748">IF(AND(INDEX(Profils!$S$5:$S$34,$AE748)&gt;0,INDEX(Profils!$AH$5:$AH$34,$AE748)&lt;=$AH748),ROUND(INDEX(Profils!$S$5:$S$34,$AE748)*Paramètres!$E$35*$AG748*$AJ748,Paramètres!$F$35),0)</f>
        <v>0</v>
      </c>
      <c r="Z748" s="21" t="n">
        <f aca="false">ROUND(L748/Paramètres!$E$22+M748/Paramètres!$E$23+N748/Paramètres!$E$24+O748/Paramètres!$E$25+P748/Paramètres!$E$26+Q748/Paramètres!$E$27+R748/Paramètres!$E$28+S748/Paramètres!$E$29+T748/Paramètres!$E$30+U748/Paramètres!$E$31+V748/Paramètres!$E$32+W748/Paramètres!$E$33+X748/Paramètres!$E$34+Y748/Paramètres!$E$35,1)</f>
        <v>11</v>
      </c>
      <c r="AA748" s="22" t="s">
        <v>109</v>
      </c>
      <c r="AB748" s="22" t="s">
        <v>109</v>
      </c>
      <c r="AC748" s="15" t="str">
        <f aca="false">$E748</f>
        <v>peau de dragon</v>
      </c>
      <c r="AD748" s="16" t="n">
        <f aca="false" t="array" ref="AD748:AD748">IF($I748&gt;=$AI748,"Max",ROUND(Paramètres!$B$40*($I748+1)^Paramètres!$B$41*INDEX(Paramètres!$H$6:$H$12,$AF748),0))</f>
        <v>8</v>
      </c>
      <c r="AE748" s="23" t="n">
        <f aca="false">MATCH($B748&amp;"|"&amp;$C748,Profils!$A$5:$A$34,0)</f>
        <v>24</v>
      </c>
      <c r="AF748" s="23" t="n">
        <v>6</v>
      </c>
      <c r="AG748" s="24" t="n">
        <f aca="false" t="array" ref="AG748:AG748">INDEX(Paramètres!$C$6:$C$12,$AF748)</f>
        <v>2.4</v>
      </c>
      <c r="AH748" s="23" t="n">
        <f aca="false" t="array" ref="AH748:AH748">INDEX(Paramètres!$D$6:$D$12,$AF748)</f>
        <v>7</v>
      </c>
      <c r="AI748" s="23" t="n">
        <f aca="false" t="array" ref="AI748:AI748">INDEX(Matériaux!$C$16:$C$20,$D748)</f>
        <v>30</v>
      </c>
      <c r="AJ748" s="25" t="n">
        <f aca="false">Paramètres!$B$16+(1-Paramètres!$B$16)*(($J748-Paramètres!$B$14)/(Paramètres!$B$15-Paramètres!$B$14))^Paramètres!$B$17</f>
        <v>0.665999387952727</v>
      </c>
    </row>
    <row r="749" customFormat="false" ht="15.75" hidden="false" customHeight="true" outlineLevel="0" collapsed="false">
      <c r="A749" s="14" t="s">
        <v>865</v>
      </c>
      <c r="B749" s="15" t="s">
        <v>31</v>
      </c>
      <c r="C749" s="15" t="s">
        <v>209</v>
      </c>
      <c r="D749" s="16" t="s">
        <v>109</v>
      </c>
      <c r="E749" s="15" t="s">
        <v>109</v>
      </c>
      <c r="F749" s="31" t="s">
        <v>38</v>
      </c>
      <c r="G749" s="10" t="str">
        <f aca="false" t="array" ref="G749:G749">INDEX(Uniques!$E$5:$E$34,MATCH($B749&amp;"|"&amp;$C749,Uniques!$A$5:$A$34,0))</f>
        <v>Bottes du Chasseur de Foudre</v>
      </c>
      <c r="H749" s="16" t="n">
        <f aca="false" t="array" ref="H749:H749">INDEX(Uniques!$L$5:$L$34,MATCH($B749&amp;"|"&amp;$C749,Uniques!$A$5:$A$34,0))</f>
        <v>71</v>
      </c>
      <c r="I749" s="16" t="n">
        <f aca="false">IF(ISNUMBER($C$3),MIN(MAX(0,ROUND($C$3,0)),$AI749),$AI749)</f>
        <v>0</v>
      </c>
      <c r="J749" s="18" t="n">
        <f aca="false">$H749+$I749</f>
        <v>71</v>
      </c>
      <c r="K749" s="15" t="str">
        <f aca="false" t="array" ref="K749:K749">INDEX(Uniques!$F$5:$F$34,MATCH($B749&amp;"|"&amp;$C749,Uniques!$A$5:$A$34,0))</f>
        <v>Électricité</v>
      </c>
      <c r="L749" s="19" t="n">
        <f aca="false" t="array" ref="L749:L749">IF(AND(INDEX(Profils!$F$5:$F$34,$AE749)&gt;0,INDEX(Profils!$U$5:$U$34,$AE749)&lt;=$AH749),ROUND(INDEX(Profils!$F$5:$F$34,$AE749)*Paramètres!$E$22*$AG749*$AJ749,Paramètres!$F$22),0)</f>
        <v>47</v>
      </c>
      <c r="M749" s="19" t="n">
        <f aca="false" t="array" ref="M749:M749">IF(AND(INDEX(Profils!$G$5:$G$34,$AE749)&gt;0,INDEX(Profils!$V$5:$V$34,$AE749)&lt;=$AH749),ROUND(INDEX(Profils!$G$5:$G$34,$AE749)*Paramètres!$E$23*$AG749*$AJ749,Paramètres!$F$23),0)</f>
        <v>0</v>
      </c>
      <c r="N749" s="19" t="n">
        <f aca="false" t="array" ref="N749:N749">IF(AND(INDEX(Profils!$H$5:$H$34,$AE749)&gt;0,INDEX(Profils!$W$5:$W$34,$AE749)&lt;=$AH749),ROUND(INDEX(Profils!$H$5:$H$34,$AE749)*Paramètres!$E$24*$AG749*$AJ749,Paramètres!$F$24),0)</f>
        <v>15</v>
      </c>
      <c r="O749" s="19" t="n">
        <f aca="false" t="array" ref="O749:O749">IF(AND(INDEX(Profils!$I$5:$I$34,$AE749)&gt;0,INDEX(Profils!$X$5:$X$34,$AE749)&lt;=$AH749),ROUND(INDEX(Profils!$I$5:$I$34,$AE749)*Paramètres!$E$25*$AG749*$AJ749,Paramètres!$F$25),0)</f>
        <v>0</v>
      </c>
      <c r="P749" s="19" t="n">
        <f aca="false" t="array" ref="P749:P749">IF(AND(INDEX(Profils!$J$5:$J$34,$AE749)&gt;0,INDEX(Profils!$Y$5:$Y$34,$AE749)&lt;=$AH749),ROUND(INDEX(Profils!$J$5:$J$34,$AE749)*Paramètres!$E$26*$AG749*$AJ749,Paramètres!$F$26),0)</f>
        <v>37</v>
      </c>
      <c r="Q749" s="19" t="n">
        <f aca="false" t="array" ref="Q749:Q749">IF(AND(INDEX(Profils!$K$5:$K$34,$AE749)&gt;0,INDEX(Profils!$Z$5:$Z$34,$AE749)&lt;=$AH749),ROUND(INDEX(Profils!$K$5:$K$34,$AE749)*Paramètres!$E$27*$AG749*$AJ749,Paramètres!$F$27),0)</f>
        <v>24</v>
      </c>
      <c r="R749" s="20" t="n">
        <f aca="false" t="array" ref="R749:R749">IF(AND(INDEX(Profils!$L$5:$L$34,$AE749)&gt;0,INDEX(Profils!$AA$5:$AA$34,$AE749)&lt;=$AH749),ROUND(INDEX(Profils!$L$5:$L$34,$AE749)*Paramètres!$E$28*$AG749*$AJ749,Paramètres!$F$28),0)</f>
        <v>0.02</v>
      </c>
      <c r="S749" s="20" t="n">
        <f aca="false" t="array" ref="S749:S749">IF(AND(INDEX(Profils!$M$5:$M$34,$AE749)&gt;0,INDEX(Profils!$AB$5:$AB$34,$AE749)&lt;=$AH749),ROUND(INDEX(Profils!$M$5:$M$34,$AE749)*Paramètres!$E$29*$AG749*$AJ749,Paramètres!$F$29),0)</f>
        <v>0.01</v>
      </c>
      <c r="T749" s="20" t="n">
        <f aca="false" t="array" ref="T749:T749">IF(AND(INDEX(Profils!$N$5:$N$34,$AE749)&gt;0,INDEX(Profils!$AC$5:$AC$34,$AE749)&lt;=$AH749),ROUND(INDEX(Profils!$N$5:$N$34,$AE749)*Paramètres!$E$30*$AG749*$AJ749,Paramètres!$F$30),0)</f>
        <v>0</v>
      </c>
      <c r="U749" s="19" t="n">
        <f aca="false" t="array" ref="U749:U749">IF(AND(INDEX(Profils!$O$5:$O$34,$AE749)&gt;0,INDEX(Profils!$AD$5:$AD$34,$AE749)&lt;=$AH749),ROUND(INDEX(Profils!$O$5:$O$34,$AE749)*Paramètres!$E$31*$AG749*$AJ749,Paramètres!$F$31),0)</f>
        <v>24</v>
      </c>
      <c r="V749" s="20" t="n">
        <f aca="false" t="array" ref="V749:V749">IF(AND(INDEX(Profils!$P$5:$P$34,$AE749)&gt;0,INDEX(Profils!$AE$5:$AE$34,$AE749)&lt;=$AH749),ROUND(INDEX(Profils!$P$5:$P$34,$AE749)*Paramètres!$E$32*$AG749*$AJ749,Paramètres!$F$32),0)</f>
        <v>0</v>
      </c>
      <c r="W749" s="20" t="n">
        <f aca="false" t="array" ref="W749:W749">IF(AND(INDEX(Profils!$Q$5:$Q$34,$AE749)&gt;0,INDEX(Profils!$AF$5:$AF$34,$AE749)&lt;=$AH749),ROUND(INDEX(Profils!$Q$5:$Q$34,$AE749)*Paramètres!$E$33*$AG749*$AJ749,Paramètres!$F$33),0)</f>
        <v>0</v>
      </c>
      <c r="X749" s="20" t="n">
        <f aca="false" t="array" ref="X749:X749">IF(AND(INDEX(Profils!$R$5:$R$34,$AE749)&gt;0,INDEX(Profils!$AG$5:$AG$34,$AE749)&lt;=$AH749),ROUND(INDEX(Profils!$R$5:$R$34,$AE749)*Paramètres!$E$34*$AG749*$AJ749,Paramètres!$F$34),0)</f>
        <v>0</v>
      </c>
      <c r="Y749" s="20" t="n">
        <f aca="false" t="array" ref="Y749:Y749">IF(AND(INDEX(Profils!$S$5:$S$34,$AE749)&gt;0,INDEX(Profils!$AH$5:$AH$34,$AE749)&lt;=$AH749),ROUND(INDEX(Profils!$S$5:$S$34,$AE749)*Paramètres!$E$35*$AG749*$AJ749,Paramètres!$F$35),0)</f>
        <v>0</v>
      </c>
      <c r="Z749" s="21" t="n">
        <f aca="false">ROUND(L749/Paramètres!$E$22+M749/Paramètres!$E$23+N749/Paramètres!$E$24+O749/Paramètres!$E$25+P749/Paramètres!$E$26+Q749/Paramètres!$E$27+R749/Paramètres!$E$28+S749/Paramètres!$E$29+T749/Paramètres!$E$30+U749/Paramètres!$E$31+V749/Paramètres!$E$32+W749/Paramètres!$E$33+X749/Paramètres!$E$34+Y749/Paramètres!$E$35,1)</f>
        <v>11.7</v>
      </c>
      <c r="AA749" s="22" t="str">
        <f aca="false" t="array" ref="AA749:AA749">INDEX(Uniques!$G$5:$G$34,MATCH($B749&amp;"|"&amp;$C749,Uniques!$A$5:$A$34,0))</f>
        <v>Pas d'éclair</v>
      </c>
      <c r="AB749" s="22" t="str">
        <f aca="false" t="array" ref="AB749:AB749">INDEX(Uniques!$H$5:$H$34,MATCH($B749&amp;"|"&amp;$C749,Uniques!$A$5:$A$34,0))&amp;" ["&amp;INDEX(Uniques!$I$5:$I$34,MATCH($B749&amp;"|"&amp;$C749,Uniques!$A$5:$A$34,0))&amp;"]"</f>
        <v>La première attaque du combat inflige +30 % de dégâts d'Électricité et a 30 % de chance d'étourdir la cible 1 tour. [1 fois par combat ; durée d'étourdissement réduite de moitié sur les boss.]</v>
      </c>
      <c r="AC749" s="15" t="str">
        <f aca="false" t="array" ref="AC749:AC749">INDEX(Matériaux!$B$5:$F$12,MATCH(INDEX(Profils!$E$5:$E$34,$AE749),Matériaux!$A$5:$A$12,0),MATCH(MIN($J749+1,100),Matériaux!$B$16:$B$20,1))</f>
        <v>peau de dragon</v>
      </c>
      <c r="AD749" s="16" t="n">
        <f aca="false" t="array" ref="AD749:AD749">IF($I749&gt;=$AI749,"Max",ROUND(Paramètres!$B$40*($I749+1)^Paramètres!$B$41*INDEX(Paramètres!$H$6:$H$12,$AF749),0))</f>
        <v>9</v>
      </c>
      <c r="AE749" s="23" t="n">
        <f aca="false">MATCH($B749&amp;"|"&amp;$C749,Profils!$A$5:$A$34,0)</f>
        <v>24</v>
      </c>
      <c r="AF749" s="23" t="n">
        <v>7</v>
      </c>
      <c r="AG749" s="24" t="n">
        <f aca="false" t="array" ref="AG749:AG749">INDEX(Paramètres!$C$6:$C$12,$AF749)</f>
        <v>2.5</v>
      </c>
      <c r="AH749" s="23" t="n">
        <f aca="false" t="array" ref="AH749:AH749">INDEX(Paramètres!$D$6:$D$12,$AF749)</f>
        <v>7</v>
      </c>
      <c r="AI749" s="23" t="n">
        <f aca="false" t="array" ref="AI749:AI749">INDEX(Uniques!$M$5:$M$34,MATCH($B749&amp;"|"&amp;$C749,Uniques!$A$5:$A$34,0))</f>
        <v>29</v>
      </c>
      <c r="AJ749" s="25" t="n">
        <f aca="false">Paramètres!$B$16+(1-Paramètres!$B$16)*(($J749-Paramètres!$B$14)/(Paramètres!$B$15-Paramètres!$B$14))^Paramètres!$B$17</f>
        <v>0.67672788730503</v>
      </c>
    </row>
    <row r="750" customFormat="false" ht="15.75" hidden="false" customHeight="true" outlineLevel="0" collapsed="false">
      <c r="A750" s="14" t="s">
        <v>866</v>
      </c>
      <c r="B750" s="15" t="s">
        <v>31</v>
      </c>
      <c r="C750" s="15" t="s">
        <v>241</v>
      </c>
      <c r="D750" s="16" t="n">
        <v>1</v>
      </c>
      <c r="E750" s="15" t="str">
        <f aca="false" t="array" ref="E750:E750">INDEX(Matériaux!$B$5:$F$12,MATCH(INDEX(Profils!$E$5:$E$34,$AE750),Matériaux!$A$5:$A$12,0),$D750)</f>
        <v>cuivre</v>
      </c>
      <c r="F750" s="17" t="s">
        <v>108</v>
      </c>
      <c r="G750" s="10" t="str">
        <f aca="false" t="array" ref="G750:G750">INDEX(Profils!$D$5:$D$34,$AE750)&amp;" en "&amp;$E750</f>
        <v>Pendentif en cuivre</v>
      </c>
      <c r="H750" s="16" t="n">
        <f aca="false" t="array" ref="H750:H750">INDEX(Matériaux!$B$16:$B$20,$D750)</f>
        <v>1</v>
      </c>
      <c r="I750" s="16" t="n">
        <f aca="false">IF(ISNUMBER($C$3),MIN(MAX(0,ROUND($C$3,0)),$AI750),$AI750)</f>
        <v>0</v>
      </c>
      <c r="J750" s="18" t="n">
        <f aca="false">$H750+$I750</f>
        <v>1</v>
      </c>
      <c r="K750" s="15" t="s">
        <v>109</v>
      </c>
      <c r="L750" s="19" t="n">
        <f aca="false" t="array" ref="L750:L750">IF(AND(INDEX(Profils!$F$5:$F$34,$AE750)&gt;0,INDEX(Profils!$U$5:$U$34,$AE750)&lt;=$AH750),ROUND(INDEX(Profils!$F$5:$F$34,$AE750)*Paramètres!$E$22*$AG750*$AJ750,Paramètres!$F$22),0)</f>
        <v>0</v>
      </c>
      <c r="M750" s="19" t="n">
        <f aca="false" t="array" ref="M750:M750">IF(AND(INDEX(Profils!$G$5:$G$34,$AE750)&gt;0,INDEX(Profils!$V$5:$V$34,$AE750)&lt;=$AH750),ROUND(INDEX(Profils!$G$5:$G$34,$AE750)*Paramètres!$E$23*$AG750*$AJ750,Paramètres!$F$23),0)</f>
        <v>0</v>
      </c>
      <c r="N750" s="19" t="n">
        <f aca="false" t="array" ref="N750:N750">IF(AND(INDEX(Profils!$H$5:$H$34,$AE750)&gt;0,INDEX(Profils!$W$5:$W$34,$AE750)&lt;=$AH750),ROUND(INDEX(Profils!$H$5:$H$34,$AE750)*Paramètres!$E$24*$AG750*$AJ750,Paramètres!$F$24),0)</f>
        <v>0</v>
      </c>
      <c r="O750" s="19" t="n">
        <f aca="false" t="array" ref="O750:O750">IF(AND(INDEX(Profils!$I$5:$I$34,$AE750)&gt;0,INDEX(Profils!$X$5:$X$34,$AE750)&lt;=$AH750),ROUND(INDEX(Profils!$I$5:$I$34,$AE750)*Paramètres!$E$25*$AG750*$AJ750,Paramètres!$F$25),0)</f>
        <v>0</v>
      </c>
      <c r="P750" s="19" t="n">
        <f aca="false" t="array" ref="P750:P750">IF(AND(INDEX(Profils!$J$5:$J$34,$AE750)&gt;0,INDEX(Profils!$Y$5:$Y$34,$AE750)&lt;=$AH750),ROUND(INDEX(Profils!$J$5:$J$34,$AE750)*Paramètres!$E$26*$AG750*$AJ750,Paramètres!$F$26),0)</f>
        <v>1</v>
      </c>
      <c r="Q750" s="19" t="n">
        <f aca="false" t="array" ref="Q750:Q750">IF(AND(INDEX(Profils!$K$5:$K$34,$AE750)&gt;0,INDEX(Profils!$Z$5:$Z$34,$AE750)&lt;=$AH750),ROUND(INDEX(Profils!$K$5:$K$34,$AE750)*Paramètres!$E$27*$AG750*$AJ750,Paramètres!$F$27),0)</f>
        <v>0</v>
      </c>
      <c r="R750" s="20" t="n">
        <f aca="false" t="array" ref="R750:R750">IF(AND(INDEX(Profils!$L$5:$L$34,$AE750)&gt;0,INDEX(Profils!$AA$5:$AA$34,$AE750)&lt;=$AH750),ROUND(INDEX(Profils!$L$5:$L$34,$AE750)*Paramètres!$E$28*$AG750*$AJ750,Paramètres!$F$28),0)</f>
        <v>0</v>
      </c>
      <c r="S750" s="20" t="n">
        <f aca="false" t="array" ref="S750:S750">IF(AND(INDEX(Profils!$M$5:$M$34,$AE750)&gt;0,INDEX(Profils!$AB$5:$AB$34,$AE750)&lt;=$AH750),ROUND(INDEX(Profils!$M$5:$M$34,$AE750)*Paramètres!$E$29*$AG750*$AJ750,Paramètres!$F$29),0)</f>
        <v>0.001</v>
      </c>
      <c r="T750" s="20" t="n">
        <f aca="false" t="array" ref="T750:T750">IF(AND(INDEX(Profils!$N$5:$N$34,$AE750)&gt;0,INDEX(Profils!$AC$5:$AC$34,$AE750)&lt;=$AH750),ROUND(INDEX(Profils!$N$5:$N$34,$AE750)*Paramètres!$E$30*$AG750*$AJ750,Paramètres!$F$30),0)</f>
        <v>0</v>
      </c>
      <c r="U750" s="19" t="n">
        <f aca="false" t="array" ref="U750:U750">IF(AND(INDEX(Profils!$O$5:$O$34,$AE750)&gt;0,INDEX(Profils!$AD$5:$AD$34,$AE750)&lt;=$AH750),ROUND(INDEX(Profils!$O$5:$O$34,$AE750)*Paramètres!$E$31*$AG750*$AJ750,Paramètres!$F$31),0)</f>
        <v>0</v>
      </c>
      <c r="V750" s="20" t="n">
        <f aca="false" t="array" ref="V750:V750">IF(AND(INDEX(Profils!$P$5:$P$34,$AE750)&gt;0,INDEX(Profils!$AE$5:$AE$34,$AE750)&lt;=$AH750),ROUND(INDEX(Profils!$P$5:$P$34,$AE750)*Paramètres!$E$32*$AG750*$AJ750,Paramètres!$F$32),0)</f>
        <v>0</v>
      </c>
      <c r="W750" s="20" t="n">
        <f aca="false" t="array" ref="W750:W750">IF(AND(INDEX(Profils!$Q$5:$Q$34,$AE750)&gt;0,INDEX(Profils!$AF$5:$AF$34,$AE750)&lt;=$AH750),ROUND(INDEX(Profils!$Q$5:$Q$34,$AE750)*Paramètres!$E$33*$AG750*$AJ750,Paramètres!$F$33),0)</f>
        <v>0</v>
      </c>
      <c r="X750" s="20" t="n">
        <f aca="false" t="array" ref="X750:X750">IF(AND(INDEX(Profils!$R$5:$R$34,$AE750)&gt;0,INDEX(Profils!$AG$5:$AG$34,$AE750)&lt;=$AH750),ROUND(INDEX(Profils!$R$5:$R$34,$AE750)*Paramètres!$E$34*$AG750*$AJ750,Paramètres!$F$34),0)</f>
        <v>0</v>
      </c>
      <c r="Y750" s="20" t="n">
        <f aca="false" t="array" ref="Y750:Y750">IF(AND(INDEX(Profils!$S$5:$S$34,$AE750)&gt;0,INDEX(Profils!$AH$5:$AH$34,$AE750)&lt;=$AH750),ROUND(INDEX(Profils!$S$5:$S$34,$AE750)*Paramètres!$E$35*$AG750*$AJ750,Paramètres!$F$35),0)</f>
        <v>0</v>
      </c>
      <c r="Z750" s="21" t="n">
        <f aca="false">ROUND(L750/Paramètres!$E$22+M750/Paramètres!$E$23+N750/Paramètres!$E$24+O750/Paramètres!$E$25+P750/Paramètres!$E$26+Q750/Paramètres!$E$27+R750/Paramètres!$E$28+S750/Paramètres!$E$29+T750/Paramètres!$E$30+U750/Paramètres!$E$31+V750/Paramètres!$E$32+W750/Paramètres!$E$33+X750/Paramètres!$E$34+Y750/Paramètres!$E$35,1)</f>
        <v>0.2</v>
      </c>
      <c r="AA750" s="22" t="s">
        <v>109</v>
      </c>
      <c r="AB750" s="22" t="s">
        <v>109</v>
      </c>
      <c r="AC750" s="15" t="str">
        <f aca="false">$E750</f>
        <v>cuivre</v>
      </c>
      <c r="AD750" s="16" t="n">
        <f aca="false" t="array" ref="AD750:AD750">IF($I750&gt;=$AI750,"Max",ROUND(Paramètres!$B$40*($I750+1)^Paramètres!$B$41*INDEX(Paramètres!$H$6:$H$12,$AF750),0))</f>
        <v>3</v>
      </c>
      <c r="AE750" s="23" t="n">
        <f aca="false">MATCH($B750&amp;"|"&amp;$C750,Profils!$A$5:$A$34,0)</f>
        <v>25</v>
      </c>
      <c r="AF750" s="23" t="n">
        <v>1</v>
      </c>
      <c r="AG750" s="24" t="n">
        <f aca="false" t="array" ref="AG750:AG750">INDEX(Paramètres!$C$6:$C$12,$AF750)</f>
        <v>1</v>
      </c>
      <c r="AH750" s="23" t="n">
        <f aca="false" t="array" ref="AH750:AH750">INDEX(Paramètres!$D$6:$D$12,$AF750)</f>
        <v>2</v>
      </c>
      <c r="AI750" s="23" t="n">
        <f aca="false" t="array" ref="AI750:AI750">INDEX(Matériaux!$C$16:$C$20,$D750)</f>
        <v>19</v>
      </c>
      <c r="AJ750" s="25" t="n">
        <f aca="false">Paramètres!$B$16+(1-Paramètres!$B$16)*(($J750-Paramètres!$B$14)/(Paramètres!$B$15-Paramètres!$B$14))^Paramètres!$B$17</f>
        <v>0.05</v>
      </c>
    </row>
    <row r="751" customFormat="false" ht="15.75" hidden="false" customHeight="true" outlineLevel="0" collapsed="false">
      <c r="A751" s="14" t="s">
        <v>867</v>
      </c>
      <c r="B751" s="15" t="s">
        <v>31</v>
      </c>
      <c r="C751" s="15" t="s">
        <v>241</v>
      </c>
      <c r="D751" s="16" t="n">
        <v>1</v>
      </c>
      <c r="E751" s="15" t="str">
        <f aca="false" t="array" ref="E751:E751">INDEX(Matériaux!$B$5:$F$12,MATCH(INDEX(Profils!$E$5:$E$34,$AE751),Matériaux!$A$5:$A$12,0),$D751)</f>
        <v>cuivre</v>
      </c>
      <c r="F751" s="26" t="s">
        <v>111</v>
      </c>
      <c r="G751" s="10" t="str">
        <f aca="false" t="array" ref="G751:G751">INDEX(Profils!$D$5:$D$34,$AE751)&amp;" en "&amp;$E751</f>
        <v>Pendentif en cuivre</v>
      </c>
      <c r="H751" s="16" t="n">
        <f aca="false" t="array" ref="H751:H751">INDEX(Matériaux!$B$16:$B$20,$D751)</f>
        <v>1</v>
      </c>
      <c r="I751" s="16" t="n">
        <f aca="false">IF(ISNUMBER($C$3),MIN(MAX(0,ROUND($C$3,0)),$AI751),$AI751)</f>
        <v>0</v>
      </c>
      <c r="J751" s="18" t="n">
        <f aca="false">$H751+$I751</f>
        <v>1</v>
      </c>
      <c r="K751" s="15" t="s">
        <v>109</v>
      </c>
      <c r="L751" s="19" t="n">
        <f aca="false" t="array" ref="L751:L751">IF(AND(INDEX(Profils!$F$5:$F$34,$AE751)&gt;0,INDEX(Profils!$U$5:$U$34,$AE751)&lt;=$AH751),ROUND(INDEX(Profils!$F$5:$F$34,$AE751)*Paramètres!$E$22*$AG751*$AJ751,Paramètres!$F$22),0)</f>
        <v>0</v>
      </c>
      <c r="M751" s="19" t="n">
        <f aca="false" t="array" ref="M751:M751">IF(AND(INDEX(Profils!$G$5:$G$34,$AE751)&gt;0,INDEX(Profils!$V$5:$V$34,$AE751)&lt;=$AH751),ROUND(INDEX(Profils!$G$5:$G$34,$AE751)*Paramètres!$E$23*$AG751*$AJ751,Paramètres!$F$23),0)</f>
        <v>0</v>
      </c>
      <c r="N751" s="19" t="n">
        <f aca="false" t="array" ref="N751:N751">IF(AND(INDEX(Profils!$H$5:$H$34,$AE751)&gt;0,INDEX(Profils!$W$5:$W$34,$AE751)&lt;=$AH751),ROUND(INDEX(Profils!$H$5:$H$34,$AE751)*Paramètres!$E$24*$AG751*$AJ751,Paramètres!$F$24),0)</f>
        <v>0</v>
      </c>
      <c r="O751" s="19" t="n">
        <f aca="false" t="array" ref="O751:O751">IF(AND(INDEX(Profils!$I$5:$I$34,$AE751)&gt;0,INDEX(Profils!$X$5:$X$34,$AE751)&lt;=$AH751),ROUND(INDEX(Profils!$I$5:$I$34,$AE751)*Paramètres!$E$25*$AG751*$AJ751,Paramètres!$F$25),0)</f>
        <v>0</v>
      </c>
      <c r="P751" s="19" t="n">
        <f aca="false" t="array" ref="P751:P751">IF(AND(INDEX(Profils!$J$5:$J$34,$AE751)&gt;0,INDEX(Profils!$Y$5:$Y$34,$AE751)&lt;=$AH751),ROUND(INDEX(Profils!$J$5:$J$34,$AE751)*Paramètres!$E$26*$AG751*$AJ751,Paramètres!$F$26),0)</f>
        <v>1</v>
      </c>
      <c r="Q751" s="19" t="n">
        <f aca="false" t="array" ref="Q751:Q751">IF(AND(INDEX(Profils!$K$5:$K$34,$AE751)&gt;0,INDEX(Profils!$Z$5:$Z$34,$AE751)&lt;=$AH751),ROUND(INDEX(Profils!$K$5:$K$34,$AE751)*Paramètres!$E$27*$AG751*$AJ751,Paramètres!$F$27),0)</f>
        <v>0</v>
      </c>
      <c r="R751" s="20" t="n">
        <f aca="false" t="array" ref="R751:R751">IF(AND(INDEX(Profils!$L$5:$L$34,$AE751)&gt;0,INDEX(Profils!$AA$5:$AA$34,$AE751)&lt;=$AH751),ROUND(INDEX(Profils!$L$5:$L$34,$AE751)*Paramètres!$E$28*$AG751*$AJ751,Paramètres!$F$28),0)</f>
        <v>0</v>
      </c>
      <c r="S751" s="20" t="n">
        <f aca="false" t="array" ref="S751:S751">IF(AND(INDEX(Profils!$M$5:$M$34,$AE751)&gt;0,INDEX(Profils!$AB$5:$AB$34,$AE751)&lt;=$AH751),ROUND(INDEX(Profils!$M$5:$M$34,$AE751)*Paramètres!$E$29*$AG751*$AJ751,Paramètres!$F$29),0)</f>
        <v>0.001</v>
      </c>
      <c r="T751" s="20" t="n">
        <f aca="false" t="array" ref="T751:T751">IF(AND(INDEX(Profils!$N$5:$N$34,$AE751)&gt;0,INDEX(Profils!$AC$5:$AC$34,$AE751)&lt;=$AH751),ROUND(INDEX(Profils!$N$5:$N$34,$AE751)*Paramètres!$E$30*$AG751*$AJ751,Paramètres!$F$30),0)</f>
        <v>0.002</v>
      </c>
      <c r="U751" s="19" t="n">
        <f aca="false" t="array" ref="U751:U751">IF(AND(INDEX(Profils!$O$5:$O$34,$AE751)&gt;0,INDEX(Profils!$AD$5:$AD$34,$AE751)&lt;=$AH751),ROUND(INDEX(Profils!$O$5:$O$34,$AE751)*Paramètres!$E$31*$AG751*$AJ751,Paramètres!$F$31),0)</f>
        <v>0</v>
      </c>
      <c r="V751" s="20" t="n">
        <f aca="false" t="array" ref="V751:V751">IF(AND(INDEX(Profils!$P$5:$P$34,$AE751)&gt;0,INDEX(Profils!$AE$5:$AE$34,$AE751)&lt;=$AH751),ROUND(INDEX(Profils!$P$5:$P$34,$AE751)*Paramètres!$E$32*$AG751*$AJ751,Paramètres!$F$32),0)</f>
        <v>0</v>
      </c>
      <c r="W751" s="20" t="n">
        <f aca="false" t="array" ref="W751:W751">IF(AND(INDEX(Profils!$Q$5:$Q$34,$AE751)&gt;0,INDEX(Profils!$AF$5:$AF$34,$AE751)&lt;=$AH751),ROUND(INDEX(Profils!$Q$5:$Q$34,$AE751)*Paramètres!$E$33*$AG751*$AJ751,Paramètres!$F$33),0)</f>
        <v>0</v>
      </c>
      <c r="X751" s="20" t="n">
        <f aca="false" t="array" ref="X751:X751">IF(AND(INDEX(Profils!$R$5:$R$34,$AE751)&gt;0,INDEX(Profils!$AG$5:$AG$34,$AE751)&lt;=$AH751),ROUND(INDEX(Profils!$R$5:$R$34,$AE751)*Paramètres!$E$34*$AG751*$AJ751,Paramètres!$F$34),0)</f>
        <v>0</v>
      </c>
      <c r="Y751" s="20" t="n">
        <f aca="false" t="array" ref="Y751:Y751">IF(AND(INDEX(Profils!$S$5:$S$34,$AE751)&gt;0,INDEX(Profils!$AH$5:$AH$34,$AE751)&lt;=$AH751),ROUND(INDEX(Profils!$S$5:$S$34,$AE751)*Paramètres!$E$35*$AG751*$AJ751,Paramètres!$F$35),0)</f>
        <v>0</v>
      </c>
      <c r="Z751" s="21" t="n">
        <f aca="false">ROUND(L751/Paramètres!$E$22+M751/Paramètres!$E$23+N751/Paramètres!$E$24+O751/Paramètres!$E$25+P751/Paramètres!$E$26+Q751/Paramètres!$E$27+R751/Paramètres!$E$28+S751/Paramètres!$E$29+T751/Paramètres!$E$30+U751/Paramètres!$E$31+V751/Paramètres!$E$32+W751/Paramètres!$E$33+X751/Paramètres!$E$34+Y751/Paramètres!$E$35,1)</f>
        <v>0.2</v>
      </c>
      <c r="AA751" s="22" t="s">
        <v>109</v>
      </c>
      <c r="AB751" s="22" t="s">
        <v>109</v>
      </c>
      <c r="AC751" s="15" t="str">
        <f aca="false">$E751</f>
        <v>cuivre</v>
      </c>
      <c r="AD751" s="16" t="n">
        <f aca="false" t="array" ref="AD751:AD751">IF($I751&gt;=$AI751,"Max",ROUND(Paramètres!$B$40*($I751+1)^Paramètres!$B$41*INDEX(Paramètres!$H$6:$H$12,$AF751),0))</f>
        <v>4</v>
      </c>
      <c r="AE751" s="23" t="n">
        <f aca="false">MATCH($B751&amp;"|"&amp;$C751,Profils!$A$5:$A$34,0)</f>
        <v>25</v>
      </c>
      <c r="AF751" s="23" t="n">
        <v>2</v>
      </c>
      <c r="AG751" s="24" t="n">
        <f aca="false" t="array" ref="AG751:AG751">INDEX(Paramètres!$C$6:$C$12,$AF751)</f>
        <v>1.2</v>
      </c>
      <c r="AH751" s="23" t="n">
        <f aca="false" t="array" ref="AH751:AH751">INDEX(Paramètres!$D$6:$D$12,$AF751)</f>
        <v>3</v>
      </c>
      <c r="AI751" s="23" t="n">
        <f aca="false" t="array" ref="AI751:AI751">INDEX(Matériaux!$C$16:$C$20,$D751)</f>
        <v>19</v>
      </c>
      <c r="AJ751" s="25" t="n">
        <f aca="false">Paramètres!$B$16+(1-Paramètres!$B$16)*(($J751-Paramètres!$B$14)/(Paramètres!$B$15-Paramètres!$B$14))^Paramètres!$B$17</f>
        <v>0.05</v>
      </c>
    </row>
    <row r="752" customFormat="false" ht="15.75" hidden="false" customHeight="true" outlineLevel="0" collapsed="false">
      <c r="A752" s="14" t="s">
        <v>868</v>
      </c>
      <c r="B752" s="15" t="s">
        <v>31</v>
      </c>
      <c r="C752" s="15" t="s">
        <v>241</v>
      </c>
      <c r="D752" s="16" t="n">
        <v>1</v>
      </c>
      <c r="E752" s="15" t="str">
        <f aca="false" t="array" ref="E752:E752">INDEX(Matériaux!$B$5:$F$12,MATCH(INDEX(Profils!$E$5:$E$34,$AE752),Matériaux!$A$5:$A$12,0),$D752)</f>
        <v>cuivre</v>
      </c>
      <c r="F752" s="27" t="s">
        <v>113</v>
      </c>
      <c r="G752" s="10" t="str">
        <f aca="false" t="array" ref="G752:G752">INDEX(Profils!$D$5:$D$34,$AE752)&amp;" en "&amp;$E752</f>
        <v>Pendentif en cuivre</v>
      </c>
      <c r="H752" s="16" t="n">
        <f aca="false" t="array" ref="H752:H752">INDEX(Matériaux!$B$16:$B$20,$D752)</f>
        <v>1</v>
      </c>
      <c r="I752" s="16" t="n">
        <f aca="false">IF(ISNUMBER($C$3),MIN(MAX(0,ROUND($C$3,0)),$AI752),$AI752)</f>
        <v>0</v>
      </c>
      <c r="J752" s="18" t="n">
        <f aca="false">$H752+$I752</f>
        <v>1</v>
      </c>
      <c r="K752" s="15" t="s">
        <v>109</v>
      </c>
      <c r="L752" s="19" t="n">
        <f aca="false" t="array" ref="L752:L752">IF(AND(INDEX(Profils!$F$5:$F$34,$AE752)&gt;0,INDEX(Profils!$U$5:$U$34,$AE752)&lt;=$AH752),ROUND(INDEX(Profils!$F$5:$F$34,$AE752)*Paramètres!$E$22*$AG752*$AJ752,Paramètres!$F$22),0)</f>
        <v>0</v>
      </c>
      <c r="M752" s="19" t="n">
        <f aca="false" t="array" ref="M752:M752">IF(AND(INDEX(Profils!$G$5:$G$34,$AE752)&gt;0,INDEX(Profils!$V$5:$V$34,$AE752)&lt;=$AH752),ROUND(INDEX(Profils!$G$5:$G$34,$AE752)*Paramètres!$E$23*$AG752*$AJ752,Paramètres!$F$23),0)</f>
        <v>0</v>
      </c>
      <c r="N752" s="19" t="n">
        <f aca="false" t="array" ref="N752:N752">IF(AND(INDEX(Profils!$H$5:$H$34,$AE752)&gt;0,INDEX(Profils!$W$5:$W$34,$AE752)&lt;=$AH752),ROUND(INDEX(Profils!$H$5:$H$34,$AE752)*Paramètres!$E$24*$AG752*$AJ752,Paramètres!$F$24),0)</f>
        <v>0</v>
      </c>
      <c r="O752" s="19" t="n">
        <f aca="false" t="array" ref="O752:O752">IF(AND(INDEX(Profils!$I$5:$I$34,$AE752)&gt;0,INDEX(Profils!$X$5:$X$34,$AE752)&lt;=$AH752),ROUND(INDEX(Profils!$I$5:$I$34,$AE752)*Paramètres!$E$25*$AG752*$AJ752,Paramètres!$F$25),0)</f>
        <v>0</v>
      </c>
      <c r="P752" s="19" t="n">
        <f aca="false" t="array" ref="P752:P752">IF(AND(INDEX(Profils!$J$5:$J$34,$AE752)&gt;0,INDEX(Profils!$Y$5:$Y$34,$AE752)&lt;=$AH752),ROUND(INDEX(Profils!$J$5:$J$34,$AE752)*Paramètres!$E$26*$AG752*$AJ752,Paramètres!$F$26),0)</f>
        <v>1</v>
      </c>
      <c r="Q752" s="19" t="n">
        <f aca="false" t="array" ref="Q752:Q752">IF(AND(INDEX(Profils!$K$5:$K$34,$AE752)&gt;0,INDEX(Profils!$Z$5:$Z$34,$AE752)&lt;=$AH752),ROUND(INDEX(Profils!$K$5:$K$34,$AE752)*Paramètres!$E$27*$AG752*$AJ752,Paramètres!$F$27),0)</f>
        <v>0</v>
      </c>
      <c r="R752" s="20" t="n">
        <f aca="false" t="array" ref="R752:R752">IF(AND(INDEX(Profils!$L$5:$L$34,$AE752)&gt;0,INDEX(Profils!$AA$5:$AA$34,$AE752)&lt;=$AH752),ROUND(INDEX(Profils!$L$5:$L$34,$AE752)*Paramètres!$E$28*$AG752*$AJ752,Paramètres!$F$28),0)</f>
        <v>0.001</v>
      </c>
      <c r="S752" s="20" t="n">
        <f aca="false" t="array" ref="S752:S752">IF(AND(INDEX(Profils!$M$5:$M$34,$AE752)&gt;0,INDEX(Profils!$AB$5:$AB$34,$AE752)&lt;=$AH752),ROUND(INDEX(Profils!$M$5:$M$34,$AE752)*Paramètres!$E$29*$AG752*$AJ752,Paramètres!$F$29),0)</f>
        <v>0.001</v>
      </c>
      <c r="T752" s="20" t="n">
        <f aca="false" t="array" ref="T752:T752">IF(AND(INDEX(Profils!$N$5:$N$34,$AE752)&gt;0,INDEX(Profils!$AC$5:$AC$34,$AE752)&lt;=$AH752),ROUND(INDEX(Profils!$N$5:$N$34,$AE752)*Paramètres!$E$30*$AG752*$AJ752,Paramètres!$F$30),0)</f>
        <v>0.002</v>
      </c>
      <c r="U752" s="19" t="n">
        <f aca="false" t="array" ref="U752:U752">IF(AND(INDEX(Profils!$O$5:$O$34,$AE752)&gt;0,INDEX(Profils!$AD$5:$AD$34,$AE752)&lt;=$AH752),ROUND(INDEX(Profils!$O$5:$O$34,$AE752)*Paramètres!$E$31*$AG752*$AJ752,Paramètres!$F$31),0)</f>
        <v>0</v>
      </c>
      <c r="V752" s="20" t="n">
        <f aca="false" t="array" ref="V752:V752">IF(AND(INDEX(Profils!$P$5:$P$34,$AE752)&gt;0,INDEX(Profils!$AE$5:$AE$34,$AE752)&lt;=$AH752),ROUND(INDEX(Profils!$P$5:$P$34,$AE752)*Paramètres!$E$32*$AG752*$AJ752,Paramètres!$F$32),0)</f>
        <v>0</v>
      </c>
      <c r="W752" s="20" t="n">
        <f aca="false" t="array" ref="W752:W752">IF(AND(INDEX(Profils!$Q$5:$Q$34,$AE752)&gt;0,INDEX(Profils!$AF$5:$AF$34,$AE752)&lt;=$AH752),ROUND(INDEX(Profils!$Q$5:$Q$34,$AE752)*Paramètres!$E$33*$AG752*$AJ752,Paramètres!$F$33),0)</f>
        <v>0</v>
      </c>
      <c r="X752" s="20" t="n">
        <f aca="false" t="array" ref="X752:X752">IF(AND(INDEX(Profils!$R$5:$R$34,$AE752)&gt;0,INDEX(Profils!$AG$5:$AG$34,$AE752)&lt;=$AH752),ROUND(INDEX(Profils!$R$5:$R$34,$AE752)*Paramètres!$E$34*$AG752*$AJ752,Paramètres!$F$34),0)</f>
        <v>0</v>
      </c>
      <c r="Y752" s="20" t="n">
        <f aca="false" t="array" ref="Y752:Y752">IF(AND(INDEX(Profils!$S$5:$S$34,$AE752)&gt;0,INDEX(Profils!$AH$5:$AH$34,$AE752)&lt;=$AH752),ROUND(INDEX(Profils!$S$5:$S$34,$AE752)*Paramètres!$E$35*$AG752*$AJ752,Paramètres!$F$35),0)</f>
        <v>0</v>
      </c>
      <c r="Z752" s="21" t="n">
        <f aca="false">ROUND(L752/Paramètres!$E$22+M752/Paramètres!$E$23+N752/Paramètres!$E$24+O752/Paramètres!$E$25+P752/Paramètres!$E$26+Q752/Paramètres!$E$27+R752/Paramètres!$E$28+S752/Paramètres!$E$29+T752/Paramètres!$E$30+U752/Paramètres!$E$31+V752/Paramètres!$E$32+W752/Paramètres!$E$33+X752/Paramètres!$E$34+Y752/Paramètres!$E$35,1)</f>
        <v>0.3</v>
      </c>
      <c r="AA752" s="22" t="s">
        <v>109</v>
      </c>
      <c r="AB752" s="22" t="s">
        <v>109</v>
      </c>
      <c r="AC752" s="15" t="str">
        <f aca="false">$E752</f>
        <v>cuivre</v>
      </c>
      <c r="AD752" s="16" t="n">
        <f aca="false" t="array" ref="AD752:AD752">IF($I752&gt;=$AI752,"Max",ROUND(Paramètres!$B$40*($I752+1)^Paramètres!$B$41*INDEX(Paramètres!$H$6:$H$12,$AF752),0))</f>
        <v>4</v>
      </c>
      <c r="AE752" s="23" t="n">
        <f aca="false">MATCH($B752&amp;"|"&amp;$C752,Profils!$A$5:$A$34,0)</f>
        <v>25</v>
      </c>
      <c r="AF752" s="23" t="n">
        <v>3</v>
      </c>
      <c r="AG752" s="24" t="n">
        <f aca="false" t="array" ref="AG752:AG752">INDEX(Paramètres!$C$6:$C$12,$AF752)</f>
        <v>1.45</v>
      </c>
      <c r="AH752" s="23" t="n">
        <f aca="false" t="array" ref="AH752:AH752">INDEX(Paramètres!$D$6:$D$12,$AF752)</f>
        <v>4</v>
      </c>
      <c r="AI752" s="23" t="n">
        <f aca="false" t="array" ref="AI752:AI752">INDEX(Matériaux!$C$16:$C$20,$D752)</f>
        <v>19</v>
      </c>
      <c r="AJ752" s="25" t="n">
        <f aca="false">Paramètres!$B$16+(1-Paramètres!$B$16)*(($J752-Paramètres!$B$14)/(Paramètres!$B$15-Paramètres!$B$14))^Paramètres!$B$17</f>
        <v>0.05</v>
      </c>
    </row>
    <row r="753" customFormat="false" ht="15.75" hidden="false" customHeight="true" outlineLevel="0" collapsed="false">
      <c r="A753" s="14" t="s">
        <v>869</v>
      </c>
      <c r="B753" s="15" t="s">
        <v>31</v>
      </c>
      <c r="C753" s="15" t="s">
        <v>241</v>
      </c>
      <c r="D753" s="16" t="n">
        <v>1</v>
      </c>
      <c r="E753" s="15" t="str">
        <f aca="false" t="array" ref="E753:E753">INDEX(Matériaux!$B$5:$F$12,MATCH(INDEX(Profils!$E$5:$E$34,$AE753),Matériaux!$A$5:$A$12,0),$D753)</f>
        <v>cuivre</v>
      </c>
      <c r="F753" s="28" t="s">
        <v>115</v>
      </c>
      <c r="G753" s="10" t="str">
        <f aca="false" t="array" ref="G753:G753">INDEX(Profils!$D$5:$D$34,$AE753)&amp;" en "&amp;$E753</f>
        <v>Pendentif en cuivre</v>
      </c>
      <c r="H753" s="16" t="n">
        <f aca="false" t="array" ref="H753:H753">INDEX(Matériaux!$B$16:$B$20,$D753)</f>
        <v>1</v>
      </c>
      <c r="I753" s="16" t="n">
        <f aca="false">IF(ISNUMBER($C$3),MIN(MAX(0,ROUND($C$3,0)),$AI753),$AI753)</f>
        <v>0</v>
      </c>
      <c r="J753" s="18" t="n">
        <f aca="false">$H753+$I753</f>
        <v>1</v>
      </c>
      <c r="K753" s="15" t="s">
        <v>109</v>
      </c>
      <c r="L753" s="19" t="n">
        <f aca="false" t="array" ref="L753:L753">IF(AND(INDEX(Profils!$F$5:$F$34,$AE753)&gt;0,INDEX(Profils!$U$5:$U$34,$AE753)&lt;=$AH753),ROUND(INDEX(Profils!$F$5:$F$34,$AE753)*Paramètres!$E$22*$AG753*$AJ753,Paramètres!$F$22),0)</f>
        <v>2</v>
      </c>
      <c r="M753" s="19" t="n">
        <f aca="false" t="array" ref="M753:M753">IF(AND(INDEX(Profils!$G$5:$G$34,$AE753)&gt;0,INDEX(Profils!$V$5:$V$34,$AE753)&lt;=$AH753),ROUND(INDEX(Profils!$G$5:$G$34,$AE753)*Paramètres!$E$23*$AG753*$AJ753,Paramètres!$F$23),0)</f>
        <v>0</v>
      </c>
      <c r="N753" s="19" t="n">
        <f aca="false" t="array" ref="N753:N753">IF(AND(INDEX(Profils!$H$5:$H$34,$AE753)&gt;0,INDEX(Profils!$W$5:$W$34,$AE753)&lt;=$AH753),ROUND(INDEX(Profils!$H$5:$H$34,$AE753)*Paramètres!$E$24*$AG753*$AJ753,Paramètres!$F$24),0)</f>
        <v>0</v>
      </c>
      <c r="O753" s="19" t="n">
        <f aca="false" t="array" ref="O753:O753">IF(AND(INDEX(Profils!$I$5:$I$34,$AE753)&gt;0,INDEX(Profils!$X$5:$X$34,$AE753)&lt;=$AH753),ROUND(INDEX(Profils!$I$5:$I$34,$AE753)*Paramètres!$E$25*$AG753*$AJ753,Paramètres!$F$25),0)</f>
        <v>0</v>
      </c>
      <c r="P753" s="19" t="n">
        <f aca="false" t="array" ref="P753:P753">IF(AND(INDEX(Profils!$J$5:$J$34,$AE753)&gt;0,INDEX(Profils!$Y$5:$Y$34,$AE753)&lt;=$AH753),ROUND(INDEX(Profils!$J$5:$J$34,$AE753)*Paramètres!$E$26*$AG753*$AJ753,Paramètres!$F$26),0)</f>
        <v>1</v>
      </c>
      <c r="Q753" s="19" t="n">
        <f aca="false" t="array" ref="Q753:Q753">IF(AND(INDEX(Profils!$K$5:$K$34,$AE753)&gt;0,INDEX(Profils!$Z$5:$Z$34,$AE753)&lt;=$AH753),ROUND(INDEX(Profils!$K$5:$K$34,$AE753)*Paramètres!$E$27*$AG753*$AJ753,Paramètres!$F$27),0)</f>
        <v>0</v>
      </c>
      <c r="R753" s="20" t="n">
        <f aca="false" t="array" ref="R753:R753">IF(AND(INDEX(Profils!$L$5:$L$34,$AE753)&gt;0,INDEX(Profils!$AA$5:$AA$34,$AE753)&lt;=$AH753),ROUND(INDEX(Profils!$L$5:$L$34,$AE753)*Paramètres!$E$28*$AG753*$AJ753,Paramètres!$F$28),0)</f>
        <v>0.001</v>
      </c>
      <c r="S753" s="20" t="n">
        <f aca="false" t="array" ref="S753:S753">IF(AND(INDEX(Profils!$M$5:$M$34,$AE753)&gt;0,INDEX(Profils!$AB$5:$AB$34,$AE753)&lt;=$AH753),ROUND(INDEX(Profils!$M$5:$M$34,$AE753)*Paramètres!$E$29*$AG753*$AJ753,Paramètres!$F$29),0)</f>
        <v>0.001</v>
      </c>
      <c r="T753" s="20" t="n">
        <f aca="false" t="array" ref="T753:T753">IF(AND(INDEX(Profils!$N$5:$N$34,$AE753)&gt;0,INDEX(Profils!$AC$5:$AC$34,$AE753)&lt;=$AH753),ROUND(INDEX(Profils!$N$5:$N$34,$AE753)*Paramètres!$E$30*$AG753*$AJ753,Paramètres!$F$30),0)</f>
        <v>0.003</v>
      </c>
      <c r="U753" s="19" t="n">
        <f aca="false" t="array" ref="U753:U753">IF(AND(INDEX(Profils!$O$5:$O$34,$AE753)&gt;0,INDEX(Profils!$AD$5:$AD$34,$AE753)&lt;=$AH753),ROUND(INDEX(Profils!$O$5:$O$34,$AE753)*Paramètres!$E$31*$AG753*$AJ753,Paramètres!$F$31),0)</f>
        <v>0</v>
      </c>
      <c r="V753" s="20" t="n">
        <f aca="false" t="array" ref="V753:V753">IF(AND(INDEX(Profils!$P$5:$P$34,$AE753)&gt;0,INDEX(Profils!$AE$5:$AE$34,$AE753)&lt;=$AH753),ROUND(INDEX(Profils!$P$5:$P$34,$AE753)*Paramètres!$E$32*$AG753*$AJ753,Paramètres!$F$32),0)</f>
        <v>0</v>
      </c>
      <c r="W753" s="20" t="n">
        <f aca="false" t="array" ref="W753:W753">IF(AND(INDEX(Profils!$Q$5:$Q$34,$AE753)&gt;0,INDEX(Profils!$AF$5:$AF$34,$AE753)&lt;=$AH753),ROUND(INDEX(Profils!$Q$5:$Q$34,$AE753)*Paramètres!$E$33*$AG753*$AJ753,Paramètres!$F$33),0)</f>
        <v>0</v>
      </c>
      <c r="X753" s="20" t="n">
        <f aca="false" t="array" ref="X753:X753">IF(AND(INDEX(Profils!$R$5:$R$34,$AE753)&gt;0,INDEX(Profils!$AG$5:$AG$34,$AE753)&lt;=$AH753),ROUND(INDEX(Profils!$R$5:$R$34,$AE753)*Paramètres!$E$34*$AG753*$AJ753,Paramètres!$F$34),0)</f>
        <v>0</v>
      </c>
      <c r="Y753" s="20" t="n">
        <f aca="false" t="array" ref="Y753:Y753">IF(AND(INDEX(Profils!$S$5:$S$34,$AE753)&gt;0,INDEX(Profils!$AH$5:$AH$34,$AE753)&lt;=$AH753),ROUND(INDEX(Profils!$S$5:$S$34,$AE753)*Paramètres!$E$35*$AG753*$AJ753,Paramètres!$F$35),0)</f>
        <v>0</v>
      </c>
      <c r="Z753" s="21" t="n">
        <f aca="false">ROUND(L753/Paramètres!$E$22+M753/Paramètres!$E$23+N753/Paramètres!$E$24+O753/Paramètres!$E$25+P753/Paramètres!$E$26+Q753/Paramètres!$E$27+R753/Paramètres!$E$28+S753/Paramètres!$E$29+T753/Paramètres!$E$30+U753/Paramètres!$E$31+V753/Paramètres!$E$32+W753/Paramètres!$E$33+X753/Paramètres!$E$34+Y753/Paramètres!$E$35,1)</f>
        <v>0.4</v>
      </c>
      <c r="AA753" s="22" t="s">
        <v>109</v>
      </c>
      <c r="AB753" s="22" t="s">
        <v>109</v>
      </c>
      <c r="AC753" s="15" t="str">
        <f aca="false">$E753</f>
        <v>cuivre</v>
      </c>
      <c r="AD753" s="16" t="n">
        <f aca="false" t="array" ref="AD753:AD753">IF($I753&gt;=$AI753,"Max",ROUND(Paramètres!$B$40*($I753+1)^Paramètres!$B$41*INDEX(Paramètres!$H$6:$H$12,$AF753),0))</f>
        <v>5</v>
      </c>
      <c r="AE753" s="23" t="n">
        <f aca="false">MATCH($B753&amp;"|"&amp;$C753,Profils!$A$5:$A$34,0)</f>
        <v>25</v>
      </c>
      <c r="AF753" s="23" t="n">
        <v>4</v>
      </c>
      <c r="AG753" s="24" t="n">
        <f aca="false" t="array" ref="AG753:AG753">INDEX(Paramètres!$C$6:$C$12,$AF753)</f>
        <v>1.75</v>
      </c>
      <c r="AH753" s="23" t="n">
        <f aca="false" t="array" ref="AH753:AH753">INDEX(Paramètres!$D$6:$D$12,$AF753)</f>
        <v>5</v>
      </c>
      <c r="AI753" s="23" t="n">
        <f aca="false" t="array" ref="AI753:AI753">INDEX(Matériaux!$C$16:$C$20,$D753)</f>
        <v>19</v>
      </c>
      <c r="AJ753" s="25" t="n">
        <f aca="false">Paramètres!$B$16+(1-Paramètres!$B$16)*(($J753-Paramètres!$B$14)/(Paramètres!$B$15-Paramètres!$B$14))^Paramètres!$B$17</f>
        <v>0.05</v>
      </c>
    </row>
    <row r="754" customFormat="false" ht="15.75" hidden="false" customHeight="true" outlineLevel="0" collapsed="false">
      <c r="A754" s="14" t="s">
        <v>870</v>
      </c>
      <c r="B754" s="15" t="s">
        <v>31</v>
      </c>
      <c r="C754" s="15" t="s">
        <v>241</v>
      </c>
      <c r="D754" s="16" t="n">
        <v>1</v>
      </c>
      <c r="E754" s="15" t="str">
        <f aca="false" t="array" ref="E754:E754">INDEX(Matériaux!$B$5:$F$12,MATCH(INDEX(Profils!$E$5:$E$34,$AE754),Matériaux!$A$5:$A$12,0),$D754)</f>
        <v>cuivre</v>
      </c>
      <c r="F754" s="29" t="s">
        <v>117</v>
      </c>
      <c r="G754" s="10" t="str">
        <f aca="false" t="array" ref="G754:G754">INDEX(Profils!$D$5:$D$34,$AE754)&amp;" en "&amp;$E754</f>
        <v>Pendentif en cuivre</v>
      </c>
      <c r="H754" s="16" t="n">
        <f aca="false" t="array" ref="H754:H754">INDEX(Matériaux!$B$16:$B$20,$D754)</f>
        <v>1</v>
      </c>
      <c r="I754" s="16" t="n">
        <f aca="false">IF(ISNUMBER($C$3),MIN(MAX(0,ROUND($C$3,0)),$AI754),$AI754)</f>
        <v>0</v>
      </c>
      <c r="J754" s="18" t="n">
        <f aca="false">$H754+$I754</f>
        <v>1</v>
      </c>
      <c r="K754" s="15" t="s">
        <v>109</v>
      </c>
      <c r="L754" s="19" t="n">
        <f aca="false" t="array" ref="L754:L754">IF(AND(INDEX(Profils!$F$5:$F$34,$AE754)&gt;0,INDEX(Profils!$U$5:$U$34,$AE754)&lt;=$AH754),ROUND(INDEX(Profils!$F$5:$F$34,$AE754)*Paramètres!$E$22*$AG754*$AJ754,Paramètres!$F$22),0)</f>
        <v>2</v>
      </c>
      <c r="M754" s="19" t="n">
        <f aca="false" t="array" ref="M754:M754">IF(AND(INDEX(Profils!$G$5:$G$34,$AE754)&gt;0,INDEX(Profils!$V$5:$V$34,$AE754)&lt;=$AH754),ROUND(INDEX(Profils!$G$5:$G$34,$AE754)*Paramètres!$E$23*$AG754*$AJ754,Paramètres!$F$23),0)</f>
        <v>0</v>
      </c>
      <c r="N754" s="19" t="n">
        <f aca="false" t="array" ref="N754:N754">IF(AND(INDEX(Profils!$H$5:$H$34,$AE754)&gt;0,INDEX(Profils!$W$5:$W$34,$AE754)&lt;=$AH754),ROUND(INDEX(Profils!$H$5:$H$34,$AE754)*Paramètres!$E$24*$AG754*$AJ754,Paramètres!$F$24),0)</f>
        <v>0</v>
      </c>
      <c r="O754" s="19" t="n">
        <f aca="false" t="array" ref="O754:O754">IF(AND(INDEX(Profils!$I$5:$I$34,$AE754)&gt;0,INDEX(Profils!$X$5:$X$34,$AE754)&lt;=$AH754),ROUND(INDEX(Profils!$I$5:$I$34,$AE754)*Paramètres!$E$25*$AG754*$AJ754,Paramètres!$F$25),0)</f>
        <v>0</v>
      </c>
      <c r="P754" s="19" t="n">
        <f aca="false" t="array" ref="P754:P754">IF(AND(INDEX(Profils!$J$5:$J$34,$AE754)&gt;0,INDEX(Profils!$Y$5:$Y$34,$AE754)&lt;=$AH754),ROUND(INDEX(Profils!$J$5:$J$34,$AE754)*Paramètres!$E$26*$AG754*$AJ754,Paramètres!$F$26),0)</f>
        <v>2</v>
      </c>
      <c r="Q754" s="19" t="n">
        <f aca="false" t="array" ref="Q754:Q754">IF(AND(INDEX(Profils!$K$5:$K$34,$AE754)&gt;0,INDEX(Profils!$Z$5:$Z$34,$AE754)&lt;=$AH754),ROUND(INDEX(Profils!$K$5:$K$34,$AE754)*Paramètres!$E$27*$AG754*$AJ754,Paramètres!$F$27),0)</f>
        <v>0</v>
      </c>
      <c r="R754" s="20" t="n">
        <f aca="false" t="array" ref="R754:R754">IF(AND(INDEX(Profils!$L$5:$L$34,$AE754)&gt;0,INDEX(Profils!$AA$5:$AA$34,$AE754)&lt;=$AH754),ROUND(INDEX(Profils!$L$5:$L$34,$AE754)*Paramètres!$E$28*$AG754*$AJ754,Paramètres!$F$28),0)</f>
        <v>0.001</v>
      </c>
      <c r="S754" s="20" t="n">
        <f aca="false" t="array" ref="S754:S754">IF(AND(INDEX(Profils!$M$5:$M$34,$AE754)&gt;0,INDEX(Profils!$AB$5:$AB$34,$AE754)&lt;=$AH754),ROUND(INDEX(Profils!$M$5:$M$34,$AE754)*Paramètres!$E$29*$AG754*$AJ754,Paramètres!$F$29),0)</f>
        <v>0.001</v>
      </c>
      <c r="T754" s="20" t="n">
        <f aca="false" t="array" ref="T754:T754">IF(AND(INDEX(Profils!$N$5:$N$34,$AE754)&gt;0,INDEX(Profils!$AC$5:$AC$34,$AE754)&lt;=$AH754),ROUND(INDEX(Profils!$N$5:$N$34,$AE754)*Paramètres!$E$30*$AG754*$AJ754,Paramètres!$F$30),0)</f>
        <v>0.003</v>
      </c>
      <c r="U754" s="19" t="n">
        <f aca="false" t="array" ref="U754:U754">IF(AND(INDEX(Profils!$O$5:$O$34,$AE754)&gt;0,INDEX(Profils!$AD$5:$AD$34,$AE754)&lt;=$AH754),ROUND(INDEX(Profils!$O$5:$O$34,$AE754)*Paramètres!$E$31*$AG754*$AJ754,Paramètres!$F$31),0)</f>
        <v>0</v>
      </c>
      <c r="V754" s="20" t="n">
        <f aca="false" t="array" ref="V754:V754">IF(AND(INDEX(Profils!$P$5:$P$34,$AE754)&gt;0,INDEX(Profils!$AE$5:$AE$34,$AE754)&lt;=$AH754),ROUND(INDEX(Profils!$P$5:$P$34,$AE754)*Paramètres!$E$32*$AG754*$AJ754,Paramètres!$F$32),0)</f>
        <v>0</v>
      </c>
      <c r="W754" s="20" t="n">
        <f aca="false" t="array" ref="W754:W754">IF(AND(INDEX(Profils!$Q$5:$Q$34,$AE754)&gt;0,INDEX(Profils!$AF$5:$AF$34,$AE754)&lt;=$AH754),ROUND(INDEX(Profils!$Q$5:$Q$34,$AE754)*Paramètres!$E$33*$AG754*$AJ754,Paramètres!$F$33),0)</f>
        <v>0.001</v>
      </c>
      <c r="X754" s="20" t="n">
        <f aca="false" t="array" ref="X754:X754">IF(AND(INDEX(Profils!$R$5:$R$34,$AE754)&gt;0,INDEX(Profils!$AG$5:$AG$34,$AE754)&lt;=$AH754),ROUND(INDEX(Profils!$R$5:$R$34,$AE754)*Paramètres!$E$34*$AG754*$AJ754,Paramètres!$F$34),0)</f>
        <v>0</v>
      </c>
      <c r="Y754" s="20" t="n">
        <f aca="false" t="array" ref="Y754:Y754">IF(AND(INDEX(Profils!$S$5:$S$34,$AE754)&gt;0,INDEX(Profils!$AH$5:$AH$34,$AE754)&lt;=$AH754),ROUND(INDEX(Profils!$S$5:$S$34,$AE754)*Paramètres!$E$35*$AG754*$AJ754,Paramètres!$F$35),0)</f>
        <v>0</v>
      </c>
      <c r="Z754" s="21" t="n">
        <f aca="false">ROUND(L754/Paramètres!$E$22+M754/Paramètres!$E$23+N754/Paramètres!$E$24+O754/Paramètres!$E$25+P754/Paramètres!$E$26+Q754/Paramètres!$E$27+R754/Paramètres!$E$28+S754/Paramètres!$E$29+T754/Paramètres!$E$30+U754/Paramètres!$E$31+V754/Paramètres!$E$32+W754/Paramètres!$E$33+X754/Paramètres!$E$34+Y754/Paramètres!$E$35,1)</f>
        <v>0.6</v>
      </c>
      <c r="AA754" s="22" t="s">
        <v>109</v>
      </c>
      <c r="AB754" s="22" t="s">
        <v>109</v>
      </c>
      <c r="AC754" s="15" t="str">
        <f aca="false">$E754</f>
        <v>cuivre</v>
      </c>
      <c r="AD754" s="16" t="n">
        <f aca="false" t="array" ref="AD754:AD754">IF($I754&gt;=$AI754,"Max",ROUND(Paramètres!$B$40*($I754+1)^Paramètres!$B$41*INDEX(Paramètres!$H$6:$H$12,$AF754),0))</f>
        <v>6</v>
      </c>
      <c r="AE754" s="23" t="n">
        <f aca="false">MATCH($B754&amp;"|"&amp;$C754,Profils!$A$5:$A$34,0)</f>
        <v>25</v>
      </c>
      <c r="AF754" s="23" t="n">
        <v>5</v>
      </c>
      <c r="AG754" s="24" t="n">
        <f aca="false" t="array" ref="AG754:AG754">INDEX(Paramètres!$C$6:$C$12,$AF754)</f>
        <v>2.1</v>
      </c>
      <c r="AH754" s="23" t="n">
        <f aca="false" t="array" ref="AH754:AH754">INDEX(Paramètres!$D$6:$D$12,$AF754)</f>
        <v>6</v>
      </c>
      <c r="AI754" s="23" t="n">
        <f aca="false" t="array" ref="AI754:AI754">INDEX(Matériaux!$C$16:$C$20,$D754)</f>
        <v>19</v>
      </c>
      <c r="AJ754" s="25" t="n">
        <f aca="false">Paramètres!$B$16+(1-Paramètres!$B$16)*(($J754-Paramètres!$B$14)/(Paramètres!$B$15-Paramètres!$B$14))^Paramètres!$B$17</f>
        <v>0.05</v>
      </c>
    </row>
    <row r="755" customFormat="false" ht="15.75" hidden="false" customHeight="true" outlineLevel="0" collapsed="false">
      <c r="A755" s="14" t="s">
        <v>871</v>
      </c>
      <c r="B755" s="15" t="s">
        <v>31</v>
      </c>
      <c r="C755" s="15" t="s">
        <v>241</v>
      </c>
      <c r="D755" s="16" t="n">
        <v>1</v>
      </c>
      <c r="E755" s="15" t="str">
        <f aca="false" t="array" ref="E755:E755">INDEX(Matériaux!$B$5:$F$12,MATCH(INDEX(Profils!$E$5:$E$34,$AE755),Matériaux!$A$5:$A$12,0),$D755)</f>
        <v>cuivre</v>
      </c>
      <c r="F755" s="30" t="s">
        <v>119</v>
      </c>
      <c r="G755" s="10" t="str">
        <f aca="false" t="array" ref="G755:G755">INDEX(Profils!$D$5:$D$34,$AE755)&amp;" en "&amp;$E755</f>
        <v>Pendentif en cuivre</v>
      </c>
      <c r="H755" s="16" t="n">
        <f aca="false" t="array" ref="H755:H755">INDEX(Matériaux!$B$16:$B$20,$D755)</f>
        <v>1</v>
      </c>
      <c r="I755" s="16" t="n">
        <f aca="false">IF(ISNUMBER($C$3),MIN(MAX(0,ROUND($C$3,0)),$AI755),$AI755)</f>
        <v>0</v>
      </c>
      <c r="J755" s="18" t="n">
        <f aca="false">$H755+$I755</f>
        <v>1</v>
      </c>
      <c r="K755" s="15" t="s">
        <v>109</v>
      </c>
      <c r="L755" s="19" t="n">
        <f aca="false" t="array" ref="L755:L755">IF(AND(INDEX(Profils!$F$5:$F$34,$AE755)&gt;0,INDEX(Profils!$U$5:$U$34,$AE755)&lt;=$AH755),ROUND(INDEX(Profils!$F$5:$F$34,$AE755)*Paramètres!$E$22*$AG755*$AJ755,Paramètres!$F$22),0)</f>
        <v>2</v>
      </c>
      <c r="M755" s="19" t="n">
        <f aca="false" t="array" ref="M755:M755">IF(AND(INDEX(Profils!$G$5:$G$34,$AE755)&gt;0,INDEX(Profils!$V$5:$V$34,$AE755)&lt;=$AH755),ROUND(INDEX(Profils!$G$5:$G$34,$AE755)*Paramètres!$E$23*$AG755*$AJ755,Paramètres!$F$23),0)</f>
        <v>0</v>
      </c>
      <c r="N755" s="19" t="n">
        <f aca="false" t="array" ref="N755:N755">IF(AND(INDEX(Profils!$H$5:$H$34,$AE755)&gt;0,INDEX(Profils!$W$5:$W$34,$AE755)&lt;=$AH755),ROUND(INDEX(Profils!$H$5:$H$34,$AE755)*Paramètres!$E$24*$AG755*$AJ755,Paramètres!$F$24),0)</f>
        <v>0</v>
      </c>
      <c r="O755" s="19" t="n">
        <f aca="false" t="array" ref="O755:O755">IF(AND(INDEX(Profils!$I$5:$I$34,$AE755)&gt;0,INDEX(Profils!$X$5:$X$34,$AE755)&lt;=$AH755),ROUND(INDEX(Profils!$I$5:$I$34,$AE755)*Paramètres!$E$25*$AG755*$AJ755,Paramètres!$F$25),0)</f>
        <v>0</v>
      </c>
      <c r="P755" s="19" t="n">
        <f aca="false" t="array" ref="P755:P755">IF(AND(INDEX(Profils!$J$5:$J$34,$AE755)&gt;0,INDEX(Profils!$Y$5:$Y$34,$AE755)&lt;=$AH755),ROUND(INDEX(Profils!$J$5:$J$34,$AE755)*Paramètres!$E$26*$AG755*$AJ755,Paramètres!$F$26),0)</f>
        <v>2</v>
      </c>
      <c r="Q755" s="19" t="n">
        <f aca="false" t="array" ref="Q755:Q755">IF(AND(INDEX(Profils!$K$5:$K$34,$AE755)&gt;0,INDEX(Profils!$Z$5:$Z$34,$AE755)&lt;=$AH755),ROUND(INDEX(Profils!$K$5:$K$34,$AE755)*Paramètres!$E$27*$AG755*$AJ755,Paramètres!$F$27),0)</f>
        <v>0</v>
      </c>
      <c r="R755" s="20" t="n">
        <f aca="false" t="array" ref="R755:R755">IF(AND(INDEX(Profils!$L$5:$L$34,$AE755)&gt;0,INDEX(Profils!$AA$5:$AA$34,$AE755)&lt;=$AH755),ROUND(INDEX(Profils!$L$5:$L$34,$AE755)*Paramètres!$E$28*$AG755*$AJ755,Paramètres!$F$28),0)</f>
        <v>0.002</v>
      </c>
      <c r="S755" s="20" t="n">
        <f aca="false" t="array" ref="S755:S755">IF(AND(INDEX(Profils!$M$5:$M$34,$AE755)&gt;0,INDEX(Profils!$AB$5:$AB$34,$AE755)&lt;=$AH755),ROUND(INDEX(Profils!$M$5:$M$34,$AE755)*Paramètres!$E$29*$AG755*$AJ755,Paramètres!$F$29),0)</f>
        <v>0.001</v>
      </c>
      <c r="T755" s="20" t="n">
        <f aca="false" t="array" ref="T755:T755">IF(AND(INDEX(Profils!$N$5:$N$34,$AE755)&gt;0,INDEX(Profils!$AC$5:$AC$34,$AE755)&lt;=$AH755),ROUND(INDEX(Profils!$N$5:$N$34,$AE755)*Paramètres!$E$30*$AG755*$AJ755,Paramètres!$F$30),0)</f>
        <v>0.004</v>
      </c>
      <c r="U755" s="19" t="n">
        <f aca="false" t="array" ref="U755:U755">IF(AND(INDEX(Profils!$O$5:$O$34,$AE755)&gt;0,INDEX(Profils!$AD$5:$AD$34,$AE755)&lt;=$AH755),ROUND(INDEX(Profils!$O$5:$O$34,$AE755)*Paramètres!$E$31*$AG755*$AJ755,Paramètres!$F$31),0)</f>
        <v>0</v>
      </c>
      <c r="V755" s="20" t="n">
        <f aca="false" t="array" ref="V755:V755">IF(AND(INDEX(Profils!$P$5:$P$34,$AE755)&gt;0,INDEX(Profils!$AE$5:$AE$34,$AE755)&lt;=$AH755),ROUND(INDEX(Profils!$P$5:$P$34,$AE755)*Paramètres!$E$32*$AG755*$AJ755,Paramètres!$F$32),0)</f>
        <v>0</v>
      </c>
      <c r="W755" s="20" t="n">
        <f aca="false" t="array" ref="W755:W755">IF(AND(INDEX(Profils!$Q$5:$Q$34,$AE755)&gt;0,INDEX(Profils!$AF$5:$AF$34,$AE755)&lt;=$AH755),ROUND(INDEX(Profils!$Q$5:$Q$34,$AE755)*Paramètres!$E$33*$AG755*$AJ755,Paramètres!$F$33),0)</f>
        <v>0.001</v>
      </c>
      <c r="X755" s="20" t="n">
        <f aca="false" t="array" ref="X755:X755">IF(AND(INDEX(Profils!$R$5:$R$34,$AE755)&gt;0,INDEX(Profils!$AG$5:$AG$34,$AE755)&lt;=$AH755),ROUND(INDEX(Profils!$R$5:$R$34,$AE755)*Paramètres!$E$34*$AG755*$AJ755,Paramètres!$F$34),0)</f>
        <v>0</v>
      </c>
      <c r="Y755" s="20" t="n">
        <f aca="false" t="array" ref="Y755:Y755">IF(AND(INDEX(Profils!$S$5:$S$34,$AE755)&gt;0,INDEX(Profils!$AH$5:$AH$34,$AE755)&lt;=$AH755),ROUND(INDEX(Profils!$S$5:$S$34,$AE755)*Paramètres!$E$35*$AG755*$AJ755,Paramètres!$F$35),0)</f>
        <v>0.001</v>
      </c>
      <c r="Z755" s="21" t="n">
        <f aca="false">ROUND(L755/Paramètres!$E$22+M755/Paramètres!$E$23+N755/Paramètres!$E$24+O755/Paramètres!$E$25+P755/Paramètres!$E$26+Q755/Paramètres!$E$27+R755/Paramètres!$E$28+S755/Paramètres!$E$29+T755/Paramètres!$E$30+U755/Paramètres!$E$31+V755/Paramètres!$E$32+W755/Paramètres!$E$33+X755/Paramètres!$E$34+Y755/Paramètres!$E$35,1)</f>
        <v>0.7</v>
      </c>
      <c r="AA755" s="22" t="s">
        <v>109</v>
      </c>
      <c r="AB755" s="22" t="s">
        <v>109</v>
      </c>
      <c r="AC755" s="15" t="str">
        <f aca="false">$E755</f>
        <v>cuivre</v>
      </c>
      <c r="AD755" s="16" t="n">
        <f aca="false" t="array" ref="AD755:AD755">IF($I755&gt;=$AI755,"Max",ROUND(Paramètres!$B$40*($I755+1)^Paramètres!$B$41*INDEX(Paramètres!$H$6:$H$12,$AF755),0))</f>
        <v>8</v>
      </c>
      <c r="AE755" s="23" t="n">
        <f aca="false">MATCH($B755&amp;"|"&amp;$C755,Profils!$A$5:$A$34,0)</f>
        <v>25</v>
      </c>
      <c r="AF755" s="23" t="n">
        <v>6</v>
      </c>
      <c r="AG755" s="24" t="n">
        <f aca="false" t="array" ref="AG755:AG755">INDEX(Paramètres!$C$6:$C$12,$AF755)</f>
        <v>2.4</v>
      </c>
      <c r="AH755" s="23" t="n">
        <f aca="false" t="array" ref="AH755:AH755">INDEX(Paramètres!$D$6:$D$12,$AF755)</f>
        <v>7</v>
      </c>
      <c r="AI755" s="23" t="n">
        <f aca="false" t="array" ref="AI755:AI755">INDEX(Matériaux!$C$16:$C$20,$D755)</f>
        <v>19</v>
      </c>
      <c r="AJ755" s="25" t="n">
        <f aca="false">Paramètres!$B$16+(1-Paramètres!$B$16)*(($J755-Paramètres!$B$14)/(Paramètres!$B$15-Paramètres!$B$14))^Paramètres!$B$17</f>
        <v>0.05</v>
      </c>
    </row>
    <row r="756" customFormat="false" ht="15.75" hidden="false" customHeight="true" outlineLevel="0" collapsed="false">
      <c r="A756" s="14" t="s">
        <v>872</v>
      </c>
      <c r="B756" s="15" t="s">
        <v>31</v>
      </c>
      <c r="C756" s="15" t="s">
        <v>241</v>
      </c>
      <c r="D756" s="16" t="n">
        <v>2</v>
      </c>
      <c r="E756" s="15" t="str">
        <f aca="false" t="array" ref="E756:E756">INDEX(Matériaux!$B$5:$F$12,MATCH(INDEX(Profils!$E$5:$E$34,$AE756),Matériaux!$A$5:$A$12,0),$D756)</f>
        <v>argent</v>
      </c>
      <c r="F756" s="17" t="s">
        <v>108</v>
      </c>
      <c r="G756" s="10" t="str">
        <f aca="false" t="array" ref="G756:G756">INDEX(Profils!$D$5:$D$34,$AE756)&amp;" en "&amp;$E756</f>
        <v>Pendentif en argent</v>
      </c>
      <c r="H756" s="16" t="n">
        <f aca="false" t="array" ref="H756:H756">INDEX(Matériaux!$B$16:$B$20,$D756)</f>
        <v>15</v>
      </c>
      <c r="I756" s="16" t="n">
        <f aca="false">IF(ISNUMBER($C$3),MIN(MAX(0,ROUND($C$3,0)),$AI756),$AI756)</f>
        <v>0</v>
      </c>
      <c r="J756" s="18" t="n">
        <f aca="false">$H756+$I756</f>
        <v>15</v>
      </c>
      <c r="K756" s="15" t="s">
        <v>109</v>
      </c>
      <c r="L756" s="19" t="n">
        <f aca="false" t="array" ref="L756:L756">IF(AND(INDEX(Profils!$F$5:$F$34,$AE756)&gt;0,INDEX(Profils!$U$5:$U$34,$AE756)&lt;=$AH756),ROUND(INDEX(Profils!$F$5:$F$34,$AE756)*Paramètres!$E$22*$AG756*$AJ756,Paramètres!$F$22),0)</f>
        <v>0</v>
      </c>
      <c r="M756" s="19" t="n">
        <f aca="false" t="array" ref="M756:M756">IF(AND(INDEX(Profils!$G$5:$G$34,$AE756)&gt;0,INDEX(Profils!$V$5:$V$34,$AE756)&lt;=$AH756),ROUND(INDEX(Profils!$G$5:$G$34,$AE756)*Paramètres!$E$23*$AG756*$AJ756,Paramètres!$F$23),0)</f>
        <v>0</v>
      </c>
      <c r="N756" s="19" t="n">
        <f aca="false" t="array" ref="N756:N756">IF(AND(INDEX(Profils!$H$5:$H$34,$AE756)&gt;0,INDEX(Profils!$W$5:$W$34,$AE756)&lt;=$AH756),ROUND(INDEX(Profils!$H$5:$H$34,$AE756)*Paramètres!$E$24*$AG756*$AJ756,Paramètres!$F$24),0)</f>
        <v>0</v>
      </c>
      <c r="O756" s="19" t="n">
        <f aca="false" t="array" ref="O756:O756">IF(AND(INDEX(Profils!$I$5:$I$34,$AE756)&gt;0,INDEX(Profils!$X$5:$X$34,$AE756)&lt;=$AH756),ROUND(INDEX(Profils!$I$5:$I$34,$AE756)*Paramètres!$E$25*$AG756*$AJ756,Paramètres!$F$25),0)</f>
        <v>0</v>
      </c>
      <c r="P756" s="19" t="n">
        <f aca="false" t="array" ref="P756:P756">IF(AND(INDEX(Profils!$J$5:$J$34,$AE756)&gt;0,INDEX(Profils!$Y$5:$Y$34,$AE756)&lt;=$AH756),ROUND(INDEX(Profils!$J$5:$J$34,$AE756)*Paramètres!$E$26*$AG756*$AJ756,Paramètres!$F$26),0)</f>
        <v>2</v>
      </c>
      <c r="Q756" s="19" t="n">
        <f aca="false" t="array" ref="Q756:Q756">IF(AND(INDEX(Profils!$K$5:$K$34,$AE756)&gt;0,INDEX(Profils!$Z$5:$Z$34,$AE756)&lt;=$AH756),ROUND(INDEX(Profils!$K$5:$K$34,$AE756)*Paramètres!$E$27*$AG756*$AJ756,Paramètres!$F$27),0)</f>
        <v>0</v>
      </c>
      <c r="R756" s="20" t="n">
        <f aca="false" t="array" ref="R756:R756">IF(AND(INDEX(Profils!$L$5:$L$34,$AE756)&gt;0,INDEX(Profils!$AA$5:$AA$34,$AE756)&lt;=$AH756),ROUND(INDEX(Profils!$L$5:$L$34,$AE756)*Paramètres!$E$28*$AG756*$AJ756,Paramètres!$F$28),0)</f>
        <v>0</v>
      </c>
      <c r="S756" s="20" t="n">
        <f aca="false" t="array" ref="S756:S756">IF(AND(INDEX(Profils!$M$5:$M$34,$AE756)&gt;0,INDEX(Profils!$AB$5:$AB$34,$AE756)&lt;=$AH756),ROUND(INDEX(Profils!$M$5:$M$34,$AE756)*Paramètres!$E$29*$AG756*$AJ756,Paramètres!$F$29),0)</f>
        <v>0.002</v>
      </c>
      <c r="T756" s="20" t="n">
        <f aca="false" t="array" ref="T756:T756">IF(AND(INDEX(Profils!$N$5:$N$34,$AE756)&gt;0,INDEX(Profils!$AC$5:$AC$34,$AE756)&lt;=$AH756),ROUND(INDEX(Profils!$N$5:$N$34,$AE756)*Paramètres!$E$30*$AG756*$AJ756,Paramètres!$F$30),0)</f>
        <v>0</v>
      </c>
      <c r="U756" s="19" t="n">
        <f aca="false" t="array" ref="U756:U756">IF(AND(INDEX(Profils!$O$5:$O$34,$AE756)&gt;0,INDEX(Profils!$AD$5:$AD$34,$AE756)&lt;=$AH756),ROUND(INDEX(Profils!$O$5:$O$34,$AE756)*Paramètres!$E$31*$AG756*$AJ756,Paramètres!$F$31),0)</f>
        <v>0</v>
      </c>
      <c r="V756" s="20" t="n">
        <f aca="false" t="array" ref="V756:V756">IF(AND(INDEX(Profils!$P$5:$P$34,$AE756)&gt;0,INDEX(Profils!$AE$5:$AE$34,$AE756)&lt;=$AH756),ROUND(INDEX(Profils!$P$5:$P$34,$AE756)*Paramètres!$E$32*$AG756*$AJ756,Paramètres!$F$32),0)</f>
        <v>0</v>
      </c>
      <c r="W756" s="20" t="n">
        <f aca="false" t="array" ref="W756:W756">IF(AND(INDEX(Profils!$Q$5:$Q$34,$AE756)&gt;0,INDEX(Profils!$AF$5:$AF$34,$AE756)&lt;=$AH756),ROUND(INDEX(Profils!$Q$5:$Q$34,$AE756)*Paramètres!$E$33*$AG756*$AJ756,Paramètres!$F$33),0)</f>
        <v>0</v>
      </c>
      <c r="X756" s="20" t="n">
        <f aca="false" t="array" ref="X756:X756">IF(AND(INDEX(Profils!$R$5:$R$34,$AE756)&gt;0,INDEX(Profils!$AG$5:$AG$34,$AE756)&lt;=$AH756),ROUND(INDEX(Profils!$R$5:$R$34,$AE756)*Paramètres!$E$34*$AG756*$AJ756,Paramètres!$F$34),0)</f>
        <v>0</v>
      </c>
      <c r="Y756" s="20" t="n">
        <f aca="false" t="array" ref="Y756:Y756">IF(AND(INDEX(Profils!$S$5:$S$34,$AE756)&gt;0,INDEX(Profils!$AH$5:$AH$34,$AE756)&lt;=$AH756),ROUND(INDEX(Profils!$S$5:$S$34,$AE756)*Paramètres!$E$35*$AG756*$AJ756,Paramètres!$F$35),0)</f>
        <v>0</v>
      </c>
      <c r="Z756" s="21" t="n">
        <f aca="false">ROUND(L756/Paramètres!$E$22+M756/Paramètres!$E$23+N756/Paramètres!$E$24+O756/Paramètres!$E$25+P756/Paramètres!$E$26+Q756/Paramètres!$E$27+R756/Paramètres!$E$28+S756/Paramètres!$E$29+T756/Paramètres!$E$30+U756/Paramètres!$E$31+V756/Paramètres!$E$32+W756/Paramètres!$E$33+X756/Paramètres!$E$34+Y756/Paramètres!$E$35,1)</f>
        <v>0.3</v>
      </c>
      <c r="AA756" s="22" t="s">
        <v>109</v>
      </c>
      <c r="AB756" s="22" t="s">
        <v>109</v>
      </c>
      <c r="AC756" s="15" t="str">
        <f aca="false">$E756</f>
        <v>argent</v>
      </c>
      <c r="AD756" s="16" t="n">
        <f aca="false" t="array" ref="AD756:AD756">IF($I756&gt;=$AI756,"Max",ROUND(Paramètres!$B$40*($I756+1)^Paramètres!$B$41*INDEX(Paramètres!$H$6:$H$12,$AF756),0))</f>
        <v>3</v>
      </c>
      <c r="AE756" s="23" t="n">
        <f aca="false">MATCH($B756&amp;"|"&amp;$C756,Profils!$A$5:$A$34,0)</f>
        <v>25</v>
      </c>
      <c r="AF756" s="23" t="n">
        <v>1</v>
      </c>
      <c r="AG756" s="24" t="n">
        <f aca="false" t="array" ref="AG756:AG756">INDEX(Paramètres!$C$6:$C$12,$AF756)</f>
        <v>1</v>
      </c>
      <c r="AH756" s="23" t="n">
        <f aca="false" t="array" ref="AH756:AH756">INDEX(Paramètres!$D$6:$D$12,$AF756)</f>
        <v>2</v>
      </c>
      <c r="AI756" s="23" t="n">
        <f aca="false" t="array" ref="AI756:AI756">INDEX(Matériaux!$C$16:$C$20,$D756)</f>
        <v>20</v>
      </c>
      <c r="AJ756" s="25" t="n">
        <f aca="false">Paramètres!$B$16+(1-Paramètres!$B$16)*(($J756-Paramètres!$B$14)/(Paramètres!$B$15-Paramètres!$B$14))^Paramètres!$B$17</f>
        <v>0.140847925475674</v>
      </c>
    </row>
    <row r="757" customFormat="false" ht="15.75" hidden="false" customHeight="true" outlineLevel="0" collapsed="false">
      <c r="A757" s="14" t="s">
        <v>873</v>
      </c>
      <c r="B757" s="15" t="s">
        <v>31</v>
      </c>
      <c r="C757" s="15" t="s">
        <v>241</v>
      </c>
      <c r="D757" s="16" t="n">
        <v>2</v>
      </c>
      <c r="E757" s="15" t="str">
        <f aca="false" t="array" ref="E757:E757">INDEX(Matériaux!$B$5:$F$12,MATCH(INDEX(Profils!$E$5:$E$34,$AE757),Matériaux!$A$5:$A$12,0),$D757)</f>
        <v>argent</v>
      </c>
      <c r="F757" s="26" t="s">
        <v>111</v>
      </c>
      <c r="G757" s="10" t="str">
        <f aca="false" t="array" ref="G757:G757">INDEX(Profils!$D$5:$D$34,$AE757)&amp;" en "&amp;$E757</f>
        <v>Pendentif en argent</v>
      </c>
      <c r="H757" s="16" t="n">
        <f aca="false" t="array" ref="H757:H757">INDEX(Matériaux!$B$16:$B$20,$D757)</f>
        <v>15</v>
      </c>
      <c r="I757" s="16" t="n">
        <f aca="false">IF(ISNUMBER($C$3),MIN(MAX(0,ROUND($C$3,0)),$AI757),$AI757)</f>
        <v>0</v>
      </c>
      <c r="J757" s="18" t="n">
        <f aca="false">$H757+$I757</f>
        <v>15</v>
      </c>
      <c r="K757" s="15" t="s">
        <v>109</v>
      </c>
      <c r="L757" s="19" t="n">
        <f aca="false" t="array" ref="L757:L757">IF(AND(INDEX(Profils!$F$5:$F$34,$AE757)&gt;0,INDEX(Profils!$U$5:$U$34,$AE757)&lt;=$AH757),ROUND(INDEX(Profils!$F$5:$F$34,$AE757)*Paramètres!$E$22*$AG757*$AJ757,Paramètres!$F$22),0)</f>
        <v>0</v>
      </c>
      <c r="M757" s="19" t="n">
        <f aca="false" t="array" ref="M757:M757">IF(AND(INDEX(Profils!$G$5:$G$34,$AE757)&gt;0,INDEX(Profils!$V$5:$V$34,$AE757)&lt;=$AH757),ROUND(INDEX(Profils!$G$5:$G$34,$AE757)*Paramètres!$E$23*$AG757*$AJ757,Paramètres!$F$23),0)</f>
        <v>0</v>
      </c>
      <c r="N757" s="19" t="n">
        <f aca="false" t="array" ref="N757:N757">IF(AND(INDEX(Profils!$H$5:$H$34,$AE757)&gt;0,INDEX(Profils!$W$5:$W$34,$AE757)&lt;=$AH757),ROUND(INDEX(Profils!$H$5:$H$34,$AE757)*Paramètres!$E$24*$AG757*$AJ757,Paramètres!$F$24),0)</f>
        <v>0</v>
      </c>
      <c r="O757" s="19" t="n">
        <f aca="false" t="array" ref="O757:O757">IF(AND(INDEX(Profils!$I$5:$I$34,$AE757)&gt;0,INDEX(Profils!$X$5:$X$34,$AE757)&lt;=$AH757),ROUND(INDEX(Profils!$I$5:$I$34,$AE757)*Paramètres!$E$25*$AG757*$AJ757,Paramètres!$F$25),0)</f>
        <v>0</v>
      </c>
      <c r="P757" s="19" t="n">
        <f aca="false" t="array" ref="P757:P757">IF(AND(INDEX(Profils!$J$5:$J$34,$AE757)&gt;0,INDEX(Profils!$Y$5:$Y$34,$AE757)&lt;=$AH757),ROUND(INDEX(Profils!$J$5:$J$34,$AE757)*Paramètres!$E$26*$AG757*$AJ757,Paramètres!$F$26),0)</f>
        <v>2</v>
      </c>
      <c r="Q757" s="19" t="n">
        <f aca="false" t="array" ref="Q757:Q757">IF(AND(INDEX(Profils!$K$5:$K$34,$AE757)&gt;0,INDEX(Profils!$Z$5:$Z$34,$AE757)&lt;=$AH757),ROUND(INDEX(Profils!$K$5:$K$34,$AE757)*Paramètres!$E$27*$AG757*$AJ757,Paramètres!$F$27),0)</f>
        <v>0</v>
      </c>
      <c r="R757" s="20" t="n">
        <f aca="false" t="array" ref="R757:R757">IF(AND(INDEX(Profils!$L$5:$L$34,$AE757)&gt;0,INDEX(Profils!$AA$5:$AA$34,$AE757)&lt;=$AH757),ROUND(INDEX(Profils!$L$5:$L$34,$AE757)*Paramètres!$E$28*$AG757*$AJ757,Paramètres!$F$28),0)</f>
        <v>0</v>
      </c>
      <c r="S757" s="20" t="n">
        <f aca="false" t="array" ref="S757:S757">IF(AND(INDEX(Profils!$M$5:$M$34,$AE757)&gt;0,INDEX(Profils!$AB$5:$AB$34,$AE757)&lt;=$AH757),ROUND(INDEX(Profils!$M$5:$M$34,$AE757)*Paramètres!$E$29*$AG757*$AJ757,Paramètres!$F$29),0)</f>
        <v>0.002</v>
      </c>
      <c r="T757" s="20" t="n">
        <f aca="false" t="array" ref="T757:T757">IF(AND(INDEX(Profils!$N$5:$N$34,$AE757)&gt;0,INDEX(Profils!$AC$5:$AC$34,$AE757)&lt;=$AH757),ROUND(INDEX(Profils!$N$5:$N$34,$AE757)*Paramètres!$E$30*$AG757*$AJ757,Paramètres!$F$30),0)</f>
        <v>0.005</v>
      </c>
      <c r="U757" s="19" t="n">
        <f aca="false" t="array" ref="U757:U757">IF(AND(INDEX(Profils!$O$5:$O$34,$AE757)&gt;0,INDEX(Profils!$AD$5:$AD$34,$AE757)&lt;=$AH757),ROUND(INDEX(Profils!$O$5:$O$34,$AE757)*Paramètres!$E$31*$AG757*$AJ757,Paramètres!$F$31),0)</f>
        <v>0</v>
      </c>
      <c r="V757" s="20" t="n">
        <f aca="false" t="array" ref="V757:V757">IF(AND(INDEX(Profils!$P$5:$P$34,$AE757)&gt;0,INDEX(Profils!$AE$5:$AE$34,$AE757)&lt;=$AH757),ROUND(INDEX(Profils!$P$5:$P$34,$AE757)*Paramètres!$E$32*$AG757*$AJ757,Paramètres!$F$32),0)</f>
        <v>0</v>
      </c>
      <c r="W757" s="20" t="n">
        <f aca="false" t="array" ref="W757:W757">IF(AND(INDEX(Profils!$Q$5:$Q$34,$AE757)&gt;0,INDEX(Profils!$AF$5:$AF$34,$AE757)&lt;=$AH757),ROUND(INDEX(Profils!$Q$5:$Q$34,$AE757)*Paramètres!$E$33*$AG757*$AJ757,Paramètres!$F$33),0)</f>
        <v>0</v>
      </c>
      <c r="X757" s="20" t="n">
        <f aca="false" t="array" ref="X757:X757">IF(AND(INDEX(Profils!$R$5:$R$34,$AE757)&gt;0,INDEX(Profils!$AG$5:$AG$34,$AE757)&lt;=$AH757),ROUND(INDEX(Profils!$R$5:$R$34,$AE757)*Paramètres!$E$34*$AG757*$AJ757,Paramètres!$F$34),0)</f>
        <v>0</v>
      </c>
      <c r="Y757" s="20" t="n">
        <f aca="false" t="array" ref="Y757:Y757">IF(AND(INDEX(Profils!$S$5:$S$34,$AE757)&gt;0,INDEX(Profils!$AH$5:$AH$34,$AE757)&lt;=$AH757),ROUND(INDEX(Profils!$S$5:$S$34,$AE757)*Paramètres!$E$35*$AG757*$AJ757,Paramètres!$F$35),0)</f>
        <v>0</v>
      </c>
      <c r="Z757" s="21" t="n">
        <f aca="false">ROUND(L757/Paramètres!$E$22+M757/Paramètres!$E$23+N757/Paramètres!$E$24+O757/Paramètres!$E$25+P757/Paramètres!$E$26+Q757/Paramètres!$E$27+R757/Paramètres!$E$28+S757/Paramètres!$E$29+T757/Paramètres!$E$30+U757/Paramètres!$E$31+V757/Paramètres!$E$32+W757/Paramètres!$E$33+X757/Paramètres!$E$34+Y757/Paramètres!$E$35,1)</f>
        <v>0.5</v>
      </c>
      <c r="AA757" s="22" t="s">
        <v>109</v>
      </c>
      <c r="AB757" s="22" t="s">
        <v>109</v>
      </c>
      <c r="AC757" s="15" t="str">
        <f aca="false">$E757</f>
        <v>argent</v>
      </c>
      <c r="AD757" s="16" t="n">
        <f aca="false" t="array" ref="AD757:AD757">IF($I757&gt;=$AI757,"Max",ROUND(Paramètres!$B$40*($I757+1)^Paramètres!$B$41*INDEX(Paramètres!$H$6:$H$12,$AF757),0))</f>
        <v>4</v>
      </c>
      <c r="AE757" s="23" t="n">
        <f aca="false">MATCH($B757&amp;"|"&amp;$C757,Profils!$A$5:$A$34,0)</f>
        <v>25</v>
      </c>
      <c r="AF757" s="23" t="n">
        <v>2</v>
      </c>
      <c r="AG757" s="24" t="n">
        <f aca="false" t="array" ref="AG757:AG757">INDEX(Paramètres!$C$6:$C$12,$AF757)</f>
        <v>1.2</v>
      </c>
      <c r="AH757" s="23" t="n">
        <f aca="false" t="array" ref="AH757:AH757">INDEX(Paramètres!$D$6:$D$12,$AF757)</f>
        <v>3</v>
      </c>
      <c r="AI757" s="23" t="n">
        <f aca="false" t="array" ref="AI757:AI757">INDEX(Matériaux!$C$16:$C$20,$D757)</f>
        <v>20</v>
      </c>
      <c r="AJ757" s="25" t="n">
        <f aca="false">Paramètres!$B$16+(1-Paramètres!$B$16)*(($J757-Paramètres!$B$14)/(Paramètres!$B$15-Paramètres!$B$14))^Paramètres!$B$17</f>
        <v>0.140847925475674</v>
      </c>
    </row>
    <row r="758" customFormat="false" ht="15.75" hidden="false" customHeight="true" outlineLevel="0" collapsed="false">
      <c r="A758" s="14" t="s">
        <v>874</v>
      </c>
      <c r="B758" s="15" t="s">
        <v>31</v>
      </c>
      <c r="C758" s="15" t="s">
        <v>241</v>
      </c>
      <c r="D758" s="16" t="n">
        <v>2</v>
      </c>
      <c r="E758" s="15" t="str">
        <f aca="false" t="array" ref="E758:E758">INDEX(Matériaux!$B$5:$F$12,MATCH(INDEX(Profils!$E$5:$E$34,$AE758),Matériaux!$A$5:$A$12,0),$D758)</f>
        <v>argent</v>
      </c>
      <c r="F758" s="27" t="s">
        <v>113</v>
      </c>
      <c r="G758" s="10" t="str">
        <f aca="false" t="array" ref="G758:G758">INDEX(Profils!$D$5:$D$34,$AE758)&amp;" en "&amp;$E758</f>
        <v>Pendentif en argent</v>
      </c>
      <c r="H758" s="16" t="n">
        <f aca="false" t="array" ref="H758:H758">INDEX(Matériaux!$B$16:$B$20,$D758)</f>
        <v>15</v>
      </c>
      <c r="I758" s="16" t="n">
        <f aca="false">IF(ISNUMBER($C$3),MIN(MAX(0,ROUND($C$3,0)),$AI758),$AI758)</f>
        <v>0</v>
      </c>
      <c r="J758" s="18" t="n">
        <f aca="false">$H758+$I758</f>
        <v>15</v>
      </c>
      <c r="K758" s="15" t="s">
        <v>109</v>
      </c>
      <c r="L758" s="19" t="n">
        <f aca="false" t="array" ref="L758:L758">IF(AND(INDEX(Profils!$F$5:$F$34,$AE758)&gt;0,INDEX(Profils!$U$5:$U$34,$AE758)&lt;=$AH758),ROUND(INDEX(Profils!$F$5:$F$34,$AE758)*Paramètres!$E$22*$AG758*$AJ758,Paramètres!$F$22),0)</f>
        <v>0</v>
      </c>
      <c r="M758" s="19" t="n">
        <f aca="false" t="array" ref="M758:M758">IF(AND(INDEX(Profils!$G$5:$G$34,$AE758)&gt;0,INDEX(Profils!$V$5:$V$34,$AE758)&lt;=$AH758),ROUND(INDEX(Profils!$G$5:$G$34,$AE758)*Paramètres!$E$23*$AG758*$AJ758,Paramètres!$F$23),0)</f>
        <v>0</v>
      </c>
      <c r="N758" s="19" t="n">
        <f aca="false" t="array" ref="N758:N758">IF(AND(INDEX(Profils!$H$5:$H$34,$AE758)&gt;0,INDEX(Profils!$W$5:$W$34,$AE758)&lt;=$AH758),ROUND(INDEX(Profils!$H$5:$H$34,$AE758)*Paramètres!$E$24*$AG758*$AJ758,Paramètres!$F$24),0)</f>
        <v>0</v>
      </c>
      <c r="O758" s="19" t="n">
        <f aca="false" t="array" ref="O758:O758">IF(AND(INDEX(Profils!$I$5:$I$34,$AE758)&gt;0,INDEX(Profils!$X$5:$X$34,$AE758)&lt;=$AH758),ROUND(INDEX(Profils!$I$5:$I$34,$AE758)*Paramètres!$E$25*$AG758*$AJ758,Paramètres!$F$25),0)</f>
        <v>0</v>
      </c>
      <c r="P758" s="19" t="n">
        <f aca="false" t="array" ref="P758:P758">IF(AND(INDEX(Profils!$J$5:$J$34,$AE758)&gt;0,INDEX(Profils!$Y$5:$Y$34,$AE758)&lt;=$AH758),ROUND(INDEX(Profils!$J$5:$J$34,$AE758)*Paramètres!$E$26*$AG758*$AJ758,Paramètres!$F$26),0)</f>
        <v>3</v>
      </c>
      <c r="Q758" s="19" t="n">
        <f aca="false" t="array" ref="Q758:Q758">IF(AND(INDEX(Profils!$K$5:$K$34,$AE758)&gt;0,INDEX(Profils!$Z$5:$Z$34,$AE758)&lt;=$AH758),ROUND(INDEX(Profils!$K$5:$K$34,$AE758)*Paramètres!$E$27*$AG758*$AJ758,Paramètres!$F$27),0)</f>
        <v>0</v>
      </c>
      <c r="R758" s="20" t="n">
        <f aca="false" t="array" ref="R758:R758">IF(AND(INDEX(Profils!$L$5:$L$34,$AE758)&gt;0,INDEX(Profils!$AA$5:$AA$34,$AE758)&lt;=$AH758),ROUND(INDEX(Profils!$L$5:$L$34,$AE758)*Paramètres!$E$28*$AG758*$AJ758,Paramètres!$F$28),0)</f>
        <v>0.003</v>
      </c>
      <c r="S758" s="20" t="n">
        <f aca="false" t="array" ref="S758:S758">IF(AND(INDEX(Profils!$M$5:$M$34,$AE758)&gt;0,INDEX(Profils!$AB$5:$AB$34,$AE758)&lt;=$AH758),ROUND(INDEX(Profils!$M$5:$M$34,$AE758)*Paramètres!$E$29*$AG758*$AJ758,Paramètres!$F$29),0)</f>
        <v>0.002</v>
      </c>
      <c r="T758" s="20" t="n">
        <f aca="false" t="array" ref="T758:T758">IF(AND(INDEX(Profils!$N$5:$N$34,$AE758)&gt;0,INDEX(Profils!$AC$5:$AC$34,$AE758)&lt;=$AH758),ROUND(INDEX(Profils!$N$5:$N$34,$AE758)*Paramètres!$E$30*$AG758*$AJ758,Paramètres!$F$30),0)</f>
        <v>0.006</v>
      </c>
      <c r="U758" s="19" t="n">
        <f aca="false" t="array" ref="U758:U758">IF(AND(INDEX(Profils!$O$5:$O$34,$AE758)&gt;0,INDEX(Profils!$AD$5:$AD$34,$AE758)&lt;=$AH758),ROUND(INDEX(Profils!$O$5:$O$34,$AE758)*Paramètres!$E$31*$AG758*$AJ758,Paramètres!$F$31),0)</f>
        <v>0</v>
      </c>
      <c r="V758" s="20" t="n">
        <f aca="false" t="array" ref="V758:V758">IF(AND(INDEX(Profils!$P$5:$P$34,$AE758)&gt;0,INDEX(Profils!$AE$5:$AE$34,$AE758)&lt;=$AH758),ROUND(INDEX(Profils!$P$5:$P$34,$AE758)*Paramètres!$E$32*$AG758*$AJ758,Paramètres!$F$32),0)</f>
        <v>0</v>
      </c>
      <c r="W758" s="20" t="n">
        <f aca="false" t="array" ref="W758:W758">IF(AND(INDEX(Profils!$Q$5:$Q$34,$AE758)&gt;0,INDEX(Profils!$AF$5:$AF$34,$AE758)&lt;=$AH758),ROUND(INDEX(Profils!$Q$5:$Q$34,$AE758)*Paramètres!$E$33*$AG758*$AJ758,Paramètres!$F$33),0)</f>
        <v>0</v>
      </c>
      <c r="X758" s="20" t="n">
        <f aca="false" t="array" ref="X758:X758">IF(AND(INDEX(Profils!$R$5:$R$34,$AE758)&gt;0,INDEX(Profils!$AG$5:$AG$34,$AE758)&lt;=$AH758),ROUND(INDEX(Profils!$R$5:$R$34,$AE758)*Paramètres!$E$34*$AG758*$AJ758,Paramètres!$F$34),0)</f>
        <v>0</v>
      </c>
      <c r="Y758" s="20" t="n">
        <f aca="false" t="array" ref="Y758:Y758">IF(AND(INDEX(Profils!$S$5:$S$34,$AE758)&gt;0,INDEX(Profils!$AH$5:$AH$34,$AE758)&lt;=$AH758),ROUND(INDEX(Profils!$S$5:$S$34,$AE758)*Paramètres!$E$35*$AG758*$AJ758,Paramètres!$F$35),0)</f>
        <v>0</v>
      </c>
      <c r="Z758" s="21" t="n">
        <f aca="false">ROUND(L758/Paramètres!$E$22+M758/Paramètres!$E$23+N758/Paramètres!$E$24+O758/Paramètres!$E$25+P758/Paramètres!$E$26+Q758/Paramètres!$E$27+R758/Paramètres!$E$28+S758/Paramètres!$E$29+T758/Paramètres!$E$30+U758/Paramètres!$E$31+V758/Paramètres!$E$32+W758/Paramètres!$E$33+X758/Paramètres!$E$34+Y758/Paramètres!$E$35,1)</f>
        <v>0.8</v>
      </c>
      <c r="AA758" s="22" t="s">
        <v>109</v>
      </c>
      <c r="AB758" s="22" t="s">
        <v>109</v>
      </c>
      <c r="AC758" s="15" t="str">
        <f aca="false">$E758</f>
        <v>argent</v>
      </c>
      <c r="AD758" s="16" t="n">
        <f aca="false" t="array" ref="AD758:AD758">IF($I758&gt;=$AI758,"Max",ROUND(Paramètres!$B$40*($I758+1)^Paramètres!$B$41*INDEX(Paramètres!$H$6:$H$12,$AF758),0))</f>
        <v>4</v>
      </c>
      <c r="AE758" s="23" t="n">
        <f aca="false">MATCH($B758&amp;"|"&amp;$C758,Profils!$A$5:$A$34,0)</f>
        <v>25</v>
      </c>
      <c r="AF758" s="23" t="n">
        <v>3</v>
      </c>
      <c r="AG758" s="24" t="n">
        <f aca="false" t="array" ref="AG758:AG758">INDEX(Paramètres!$C$6:$C$12,$AF758)</f>
        <v>1.45</v>
      </c>
      <c r="AH758" s="23" t="n">
        <f aca="false" t="array" ref="AH758:AH758">INDEX(Paramètres!$D$6:$D$12,$AF758)</f>
        <v>4</v>
      </c>
      <c r="AI758" s="23" t="n">
        <f aca="false" t="array" ref="AI758:AI758">INDEX(Matériaux!$C$16:$C$20,$D758)</f>
        <v>20</v>
      </c>
      <c r="AJ758" s="25" t="n">
        <f aca="false">Paramètres!$B$16+(1-Paramètres!$B$16)*(($J758-Paramètres!$B$14)/(Paramètres!$B$15-Paramètres!$B$14))^Paramètres!$B$17</f>
        <v>0.140847925475674</v>
      </c>
    </row>
    <row r="759" customFormat="false" ht="15.75" hidden="false" customHeight="true" outlineLevel="0" collapsed="false">
      <c r="A759" s="14" t="s">
        <v>875</v>
      </c>
      <c r="B759" s="15" t="s">
        <v>31</v>
      </c>
      <c r="C759" s="15" t="s">
        <v>241</v>
      </c>
      <c r="D759" s="16" t="n">
        <v>2</v>
      </c>
      <c r="E759" s="15" t="str">
        <f aca="false" t="array" ref="E759:E759">INDEX(Matériaux!$B$5:$F$12,MATCH(INDEX(Profils!$E$5:$E$34,$AE759),Matériaux!$A$5:$A$12,0),$D759)</f>
        <v>argent</v>
      </c>
      <c r="F759" s="28" t="s">
        <v>115</v>
      </c>
      <c r="G759" s="10" t="str">
        <f aca="false" t="array" ref="G759:G759">INDEX(Profils!$D$5:$D$34,$AE759)&amp;" en "&amp;$E759</f>
        <v>Pendentif en argent</v>
      </c>
      <c r="H759" s="16" t="n">
        <f aca="false" t="array" ref="H759:H759">INDEX(Matériaux!$B$16:$B$20,$D759)</f>
        <v>15</v>
      </c>
      <c r="I759" s="16" t="n">
        <f aca="false">IF(ISNUMBER($C$3),MIN(MAX(0,ROUND($C$3,0)),$AI759),$AI759)</f>
        <v>0</v>
      </c>
      <c r="J759" s="18" t="n">
        <f aca="false">$H759+$I759</f>
        <v>15</v>
      </c>
      <c r="K759" s="15" t="s">
        <v>109</v>
      </c>
      <c r="L759" s="19" t="n">
        <f aca="false" t="array" ref="L759:L759">IF(AND(INDEX(Profils!$F$5:$F$34,$AE759)&gt;0,INDEX(Profils!$U$5:$U$34,$AE759)&lt;=$AH759),ROUND(INDEX(Profils!$F$5:$F$34,$AE759)*Paramètres!$E$22*$AG759*$AJ759,Paramètres!$F$22),0)</f>
        <v>5</v>
      </c>
      <c r="M759" s="19" t="n">
        <f aca="false" t="array" ref="M759:M759">IF(AND(INDEX(Profils!$G$5:$G$34,$AE759)&gt;0,INDEX(Profils!$V$5:$V$34,$AE759)&lt;=$AH759),ROUND(INDEX(Profils!$G$5:$G$34,$AE759)*Paramètres!$E$23*$AG759*$AJ759,Paramètres!$F$23),0)</f>
        <v>0</v>
      </c>
      <c r="N759" s="19" t="n">
        <f aca="false" t="array" ref="N759:N759">IF(AND(INDEX(Profils!$H$5:$H$34,$AE759)&gt;0,INDEX(Profils!$W$5:$W$34,$AE759)&lt;=$AH759),ROUND(INDEX(Profils!$H$5:$H$34,$AE759)*Paramètres!$E$24*$AG759*$AJ759,Paramètres!$F$24),0)</f>
        <v>0</v>
      </c>
      <c r="O759" s="19" t="n">
        <f aca="false" t="array" ref="O759:O759">IF(AND(INDEX(Profils!$I$5:$I$34,$AE759)&gt;0,INDEX(Profils!$X$5:$X$34,$AE759)&lt;=$AH759),ROUND(INDEX(Profils!$I$5:$I$34,$AE759)*Paramètres!$E$25*$AG759*$AJ759,Paramètres!$F$25),0)</f>
        <v>0</v>
      </c>
      <c r="P759" s="19" t="n">
        <f aca="false" t="array" ref="P759:P759">IF(AND(INDEX(Profils!$J$5:$J$34,$AE759)&gt;0,INDEX(Profils!$Y$5:$Y$34,$AE759)&lt;=$AH759),ROUND(INDEX(Profils!$J$5:$J$34,$AE759)*Paramètres!$E$26*$AG759*$AJ759,Paramètres!$F$26),0)</f>
        <v>4</v>
      </c>
      <c r="Q759" s="19" t="n">
        <f aca="false" t="array" ref="Q759:Q759">IF(AND(INDEX(Profils!$K$5:$K$34,$AE759)&gt;0,INDEX(Profils!$Z$5:$Z$34,$AE759)&lt;=$AH759),ROUND(INDEX(Profils!$K$5:$K$34,$AE759)*Paramètres!$E$27*$AG759*$AJ759,Paramètres!$F$27),0)</f>
        <v>0</v>
      </c>
      <c r="R759" s="20" t="n">
        <f aca="false" t="array" ref="R759:R759">IF(AND(INDEX(Profils!$L$5:$L$34,$AE759)&gt;0,INDEX(Profils!$AA$5:$AA$34,$AE759)&lt;=$AH759),ROUND(INDEX(Profils!$L$5:$L$34,$AE759)*Paramètres!$E$28*$AG759*$AJ759,Paramètres!$F$28),0)</f>
        <v>0.003</v>
      </c>
      <c r="S759" s="20" t="n">
        <f aca="false" t="array" ref="S759:S759">IF(AND(INDEX(Profils!$M$5:$M$34,$AE759)&gt;0,INDEX(Profils!$AB$5:$AB$34,$AE759)&lt;=$AH759),ROUND(INDEX(Profils!$M$5:$M$34,$AE759)*Paramètres!$E$29*$AG759*$AJ759,Paramètres!$F$29),0)</f>
        <v>0.003</v>
      </c>
      <c r="T759" s="20" t="n">
        <f aca="false" t="array" ref="T759:T759">IF(AND(INDEX(Profils!$N$5:$N$34,$AE759)&gt;0,INDEX(Profils!$AC$5:$AC$34,$AE759)&lt;=$AH759),ROUND(INDEX(Profils!$N$5:$N$34,$AE759)*Paramètres!$E$30*$AG759*$AJ759,Paramètres!$F$30),0)</f>
        <v>0.007</v>
      </c>
      <c r="U759" s="19" t="n">
        <f aca="false" t="array" ref="U759:U759">IF(AND(INDEX(Profils!$O$5:$O$34,$AE759)&gt;0,INDEX(Profils!$AD$5:$AD$34,$AE759)&lt;=$AH759),ROUND(INDEX(Profils!$O$5:$O$34,$AE759)*Paramètres!$E$31*$AG759*$AJ759,Paramètres!$F$31),0)</f>
        <v>0</v>
      </c>
      <c r="V759" s="20" t="n">
        <f aca="false" t="array" ref="V759:V759">IF(AND(INDEX(Profils!$P$5:$P$34,$AE759)&gt;0,INDEX(Profils!$AE$5:$AE$34,$AE759)&lt;=$AH759),ROUND(INDEX(Profils!$P$5:$P$34,$AE759)*Paramètres!$E$32*$AG759*$AJ759,Paramètres!$F$32),0)</f>
        <v>0</v>
      </c>
      <c r="W759" s="20" t="n">
        <f aca="false" t="array" ref="W759:W759">IF(AND(INDEX(Profils!$Q$5:$Q$34,$AE759)&gt;0,INDEX(Profils!$AF$5:$AF$34,$AE759)&lt;=$AH759),ROUND(INDEX(Profils!$Q$5:$Q$34,$AE759)*Paramètres!$E$33*$AG759*$AJ759,Paramètres!$F$33),0)</f>
        <v>0</v>
      </c>
      <c r="X759" s="20" t="n">
        <f aca="false" t="array" ref="X759:X759">IF(AND(INDEX(Profils!$R$5:$R$34,$AE759)&gt;0,INDEX(Profils!$AG$5:$AG$34,$AE759)&lt;=$AH759),ROUND(INDEX(Profils!$R$5:$R$34,$AE759)*Paramètres!$E$34*$AG759*$AJ759,Paramètres!$F$34),0)</f>
        <v>0</v>
      </c>
      <c r="Y759" s="20" t="n">
        <f aca="false" t="array" ref="Y759:Y759">IF(AND(INDEX(Profils!$S$5:$S$34,$AE759)&gt;0,INDEX(Profils!$AH$5:$AH$34,$AE759)&lt;=$AH759),ROUND(INDEX(Profils!$S$5:$S$34,$AE759)*Paramètres!$E$35*$AG759*$AJ759,Paramètres!$F$35),0)</f>
        <v>0</v>
      </c>
      <c r="Z759" s="21" t="n">
        <f aca="false">ROUND(L759/Paramètres!$E$22+M759/Paramètres!$E$23+N759/Paramètres!$E$24+O759/Paramètres!$E$25+P759/Paramètres!$E$26+Q759/Paramètres!$E$27+R759/Paramètres!$E$28+S759/Paramètres!$E$29+T759/Paramètres!$E$30+U759/Paramètres!$E$31+V759/Paramètres!$E$32+W759/Paramètres!$E$33+X759/Paramètres!$E$34+Y759/Paramètres!$E$35,1)</f>
        <v>1.2</v>
      </c>
      <c r="AA759" s="22" t="s">
        <v>109</v>
      </c>
      <c r="AB759" s="22" t="s">
        <v>109</v>
      </c>
      <c r="AC759" s="15" t="str">
        <f aca="false">$E759</f>
        <v>argent</v>
      </c>
      <c r="AD759" s="16" t="n">
        <f aca="false" t="array" ref="AD759:AD759">IF($I759&gt;=$AI759,"Max",ROUND(Paramètres!$B$40*($I759+1)^Paramètres!$B$41*INDEX(Paramètres!$H$6:$H$12,$AF759),0))</f>
        <v>5</v>
      </c>
      <c r="AE759" s="23" t="n">
        <f aca="false">MATCH($B759&amp;"|"&amp;$C759,Profils!$A$5:$A$34,0)</f>
        <v>25</v>
      </c>
      <c r="AF759" s="23" t="n">
        <v>4</v>
      </c>
      <c r="AG759" s="24" t="n">
        <f aca="false" t="array" ref="AG759:AG759">INDEX(Paramètres!$C$6:$C$12,$AF759)</f>
        <v>1.75</v>
      </c>
      <c r="AH759" s="23" t="n">
        <f aca="false" t="array" ref="AH759:AH759">INDEX(Paramètres!$D$6:$D$12,$AF759)</f>
        <v>5</v>
      </c>
      <c r="AI759" s="23" t="n">
        <f aca="false" t="array" ref="AI759:AI759">INDEX(Matériaux!$C$16:$C$20,$D759)</f>
        <v>20</v>
      </c>
      <c r="AJ759" s="25" t="n">
        <f aca="false">Paramètres!$B$16+(1-Paramètres!$B$16)*(($J759-Paramètres!$B$14)/(Paramètres!$B$15-Paramètres!$B$14))^Paramètres!$B$17</f>
        <v>0.140847925475674</v>
      </c>
    </row>
    <row r="760" customFormat="false" ht="15.75" hidden="false" customHeight="true" outlineLevel="0" collapsed="false">
      <c r="A760" s="14" t="s">
        <v>876</v>
      </c>
      <c r="B760" s="15" t="s">
        <v>31</v>
      </c>
      <c r="C760" s="15" t="s">
        <v>241</v>
      </c>
      <c r="D760" s="16" t="n">
        <v>2</v>
      </c>
      <c r="E760" s="15" t="str">
        <f aca="false" t="array" ref="E760:E760">INDEX(Matériaux!$B$5:$F$12,MATCH(INDEX(Profils!$E$5:$E$34,$AE760),Matériaux!$A$5:$A$12,0),$D760)</f>
        <v>argent</v>
      </c>
      <c r="F760" s="29" t="s">
        <v>117</v>
      </c>
      <c r="G760" s="10" t="str">
        <f aca="false" t="array" ref="G760:G760">INDEX(Profils!$D$5:$D$34,$AE760)&amp;" en "&amp;$E760</f>
        <v>Pendentif en argent</v>
      </c>
      <c r="H760" s="16" t="n">
        <f aca="false" t="array" ref="H760:H760">INDEX(Matériaux!$B$16:$B$20,$D760)</f>
        <v>15</v>
      </c>
      <c r="I760" s="16" t="n">
        <f aca="false">IF(ISNUMBER($C$3),MIN(MAX(0,ROUND($C$3,0)),$AI760),$AI760)</f>
        <v>0</v>
      </c>
      <c r="J760" s="18" t="n">
        <f aca="false">$H760+$I760</f>
        <v>15</v>
      </c>
      <c r="K760" s="15" t="s">
        <v>109</v>
      </c>
      <c r="L760" s="19" t="n">
        <f aca="false" t="array" ref="L760:L760">IF(AND(INDEX(Profils!$F$5:$F$34,$AE760)&gt;0,INDEX(Profils!$U$5:$U$34,$AE760)&lt;=$AH760),ROUND(INDEX(Profils!$F$5:$F$34,$AE760)*Paramètres!$E$22*$AG760*$AJ760,Paramètres!$F$22),0)</f>
        <v>6</v>
      </c>
      <c r="M760" s="19" t="n">
        <f aca="false" t="array" ref="M760:M760">IF(AND(INDEX(Profils!$G$5:$G$34,$AE760)&gt;0,INDEX(Profils!$V$5:$V$34,$AE760)&lt;=$AH760),ROUND(INDEX(Profils!$G$5:$G$34,$AE760)*Paramètres!$E$23*$AG760*$AJ760,Paramètres!$F$23),0)</f>
        <v>0</v>
      </c>
      <c r="N760" s="19" t="n">
        <f aca="false" t="array" ref="N760:N760">IF(AND(INDEX(Profils!$H$5:$H$34,$AE760)&gt;0,INDEX(Profils!$W$5:$W$34,$AE760)&lt;=$AH760),ROUND(INDEX(Profils!$H$5:$H$34,$AE760)*Paramètres!$E$24*$AG760*$AJ760,Paramètres!$F$24),0)</f>
        <v>0</v>
      </c>
      <c r="O760" s="19" t="n">
        <f aca="false" t="array" ref="O760:O760">IF(AND(INDEX(Profils!$I$5:$I$34,$AE760)&gt;0,INDEX(Profils!$X$5:$X$34,$AE760)&lt;=$AH760),ROUND(INDEX(Profils!$I$5:$I$34,$AE760)*Paramètres!$E$25*$AG760*$AJ760,Paramètres!$F$25),0)</f>
        <v>0</v>
      </c>
      <c r="P760" s="19" t="n">
        <f aca="false" t="array" ref="P760:P760">IF(AND(INDEX(Profils!$J$5:$J$34,$AE760)&gt;0,INDEX(Profils!$Y$5:$Y$34,$AE760)&lt;=$AH760),ROUND(INDEX(Profils!$J$5:$J$34,$AE760)*Paramètres!$E$26*$AG760*$AJ760,Paramètres!$F$26),0)</f>
        <v>4</v>
      </c>
      <c r="Q760" s="19" t="n">
        <f aca="false" t="array" ref="Q760:Q760">IF(AND(INDEX(Profils!$K$5:$K$34,$AE760)&gt;0,INDEX(Profils!$Z$5:$Z$34,$AE760)&lt;=$AH760),ROUND(INDEX(Profils!$K$5:$K$34,$AE760)*Paramètres!$E$27*$AG760*$AJ760,Paramètres!$F$27),0)</f>
        <v>0</v>
      </c>
      <c r="R760" s="20" t="n">
        <f aca="false" t="array" ref="R760:R760">IF(AND(INDEX(Profils!$L$5:$L$34,$AE760)&gt;0,INDEX(Profils!$AA$5:$AA$34,$AE760)&lt;=$AH760),ROUND(INDEX(Profils!$L$5:$L$34,$AE760)*Paramètres!$E$28*$AG760*$AJ760,Paramètres!$F$28),0)</f>
        <v>0.004</v>
      </c>
      <c r="S760" s="20" t="n">
        <f aca="false" t="array" ref="S760:S760">IF(AND(INDEX(Profils!$M$5:$M$34,$AE760)&gt;0,INDEX(Profils!$AB$5:$AB$34,$AE760)&lt;=$AH760),ROUND(INDEX(Profils!$M$5:$M$34,$AE760)*Paramètres!$E$29*$AG760*$AJ760,Paramètres!$F$29),0)</f>
        <v>0.004</v>
      </c>
      <c r="T760" s="20" t="n">
        <f aca="false" t="array" ref="T760:T760">IF(AND(INDEX(Profils!$N$5:$N$34,$AE760)&gt;0,INDEX(Profils!$AC$5:$AC$34,$AE760)&lt;=$AH760),ROUND(INDEX(Profils!$N$5:$N$34,$AE760)*Paramètres!$E$30*$AG760*$AJ760,Paramètres!$F$30),0)</f>
        <v>0.009</v>
      </c>
      <c r="U760" s="19" t="n">
        <f aca="false" t="array" ref="U760:U760">IF(AND(INDEX(Profils!$O$5:$O$34,$AE760)&gt;0,INDEX(Profils!$AD$5:$AD$34,$AE760)&lt;=$AH760),ROUND(INDEX(Profils!$O$5:$O$34,$AE760)*Paramètres!$E$31*$AG760*$AJ760,Paramètres!$F$31),0)</f>
        <v>0</v>
      </c>
      <c r="V760" s="20" t="n">
        <f aca="false" t="array" ref="V760:V760">IF(AND(INDEX(Profils!$P$5:$P$34,$AE760)&gt;0,INDEX(Profils!$AE$5:$AE$34,$AE760)&lt;=$AH760),ROUND(INDEX(Profils!$P$5:$P$34,$AE760)*Paramètres!$E$32*$AG760*$AJ760,Paramètres!$F$32),0)</f>
        <v>0</v>
      </c>
      <c r="W760" s="20" t="n">
        <f aca="false" t="array" ref="W760:W760">IF(AND(INDEX(Profils!$Q$5:$Q$34,$AE760)&gt;0,INDEX(Profils!$AF$5:$AF$34,$AE760)&lt;=$AH760),ROUND(INDEX(Profils!$Q$5:$Q$34,$AE760)*Paramètres!$E$33*$AG760*$AJ760,Paramètres!$F$33),0)</f>
        <v>0.003</v>
      </c>
      <c r="X760" s="20" t="n">
        <f aca="false" t="array" ref="X760:X760">IF(AND(INDEX(Profils!$R$5:$R$34,$AE760)&gt;0,INDEX(Profils!$AG$5:$AG$34,$AE760)&lt;=$AH760),ROUND(INDEX(Profils!$R$5:$R$34,$AE760)*Paramètres!$E$34*$AG760*$AJ760,Paramètres!$F$34),0)</f>
        <v>0</v>
      </c>
      <c r="Y760" s="20" t="n">
        <f aca="false" t="array" ref="Y760:Y760">IF(AND(INDEX(Profils!$S$5:$S$34,$AE760)&gt;0,INDEX(Profils!$AH$5:$AH$34,$AE760)&lt;=$AH760),ROUND(INDEX(Profils!$S$5:$S$34,$AE760)*Paramètres!$E$35*$AG760*$AJ760,Paramètres!$F$35),0)</f>
        <v>0</v>
      </c>
      <c r="Z760" s="21" t="n">
        <f aca="false">ROUND(L760/Paramètres!$E$22+M760/Paramètres!$E$23+N760/Paramètres!$E$24+O760/Paramètres!$E$25+P760/Paramètres!$E$26+Q760/Paramètres!$E$27+R760/Paramètres!$E$28+S760/Paramètres!$E$29+T760/Paramètres!$E$30+U760/Paramètres!$E$31+V760/Paramètres!$E$32+W760/Paramètres!$E$33+X760/Paramètres!$E$34+Y760/Paramètres!$E$35,1)</f>
        <v>1.7</v>
      </c>
      <c r="AA760" s="22" t="s">
        <v>109</v>
      </c>
      <c r="AB760" s="22" t="s">
        <v>109</v>
      </c>
      <c r="AC760" s="15" t="str">
        <f aca="false">$E760</f>
        <v>argent</v>
      </c>
      <c r="AD760" s="16" t="n">
        <f aca="false" t="array" ref="AD760:AD760">IF($I760&gt;=$AI760,"Max",ROUND(Paramètres!$B$40*($I760+1)^Paramètres!$B$41*INDEX(Paramètres!$H$6:$H$12,$AF760),0))</f>
        <v>6</v>
      </c>
      <c r="AE760" s="23" t="n">
        <f aca="false">MATCH($B760&amp;"|"&amp;$C760,Profils!$A$5:$A$34,0)</f>
        <v>25</v>
      </c>
      <c r="AF760" s="23" t="n">
        <v>5</v>
      </c>
      <c r="AG760" s="24" t="n">
        <f aca="false" t="array" ref="AG760:AG760">INDEX(Paramètres!$C$6:$C$12,$AF760)</f>
        <v>2.1</v>
      </c>
      <c r="AH760" s="23" t="n">
        <f aca="false" t="array" ref="AH760:AH760">INDEX(Paramètres!$D$6:$D$12,$AF760)</f>
        <v>6</v>
      </c>
      <c r="AI760" s="23" t="n">
        <f aca="false" t="array" ref="AI760:AI760">INDEX(Matériaux!$C$16:$C$20,$D760)</f>
        <v>20</v>
      </c>
      <c r="AJ760" s="25" t="n">
        <f aca="false">Paramètres!$B$16+(1-Paramètres!$B$16)*(($J760-Paramètres!$B$14)/(Paramètres!$B$15-Paramètres!$B$14))^Paramètres!$B$17</f>
        <v>0.140847925475674</v>
      </c>
    </row>
    <row r="761" customFormat="false" ht="15.75" hidden="false" customHeight="true" outlineLevel="0" collapsed="false">
      <c r="A761" s="14" t="s">
        <v>877</v>
      </c>
      <c r="B761" s="15" t="s">
        <v>31</v>
      </c>
      <c r="C761" s="15" t="s">
        <v>241</v>
      </c>
      <c r="D761" s="16" t="n">
        <v>2</v>
      </c>
      <c r="E761" s="15" t="str">
        <f aca="false" t="array" ref="E761:E761">INDEX(Matériaux!$B$5:$F$12,MATCH(INDEX(Profils!$E$5:$E$34,$AE761),Matériaux!$A$5:$A$12,0),$D761)</f>
        <v>argent</v>
      </c>
      <c r="F761" s="30" t="s">
        <v>119</v>
      </c>
      <c r="G761" s="10" t="str">
        <f aca="false" t="array" ref="G761:G761">INDEX(Profils!$D$5:$D$34,$AE761)&amp;" en "&amp;$E761</f>
        <v>Pendentif en argent</v>
      </c>
      <c r="H761" s="16" t="n">
        <f aca="false" t="array" ref="H761:H761">INDEX(Matériaux!$B$16:$B$20,$D761)</f>
        <v>15</v>
      </c>
      <c r="I761" s="16" t="n">
        <f aca="false">IF(ISNUMBER($C$3),MIN(MAX(0,ROUND($C$3,0)),$AI761),$AI761)</f>
        <v>0</v>
      </c>
      <c r="J761" s="18" t="n">
        <f aca="false">$H761+$I761</f>
        <v>15</v>
      </c>
      <c r="K761" s="15" t="s">
        <v>109</v>
      </c>
      <c r="L761" s="19" t="n">
        <f aca="false" t="array" ref="L761:L761">IF(AND(INDEX(Profils!$F$5:$F$34,$AE761)&gt;0,INDEX(Profils!$U$5:$U$34,$AE761)&lt;=$AH761),ROUND(INDEX(Profils!$F$5:$F$34,$AE761)*Paramètres!$E$22*$AG761*$AJ761,Paramètres!$F$22),0)</f>
        <v>7</v>
      </c>
      <c r="M761" s="19" t="n">
        <f aca="false" t="array" ref="M761:M761">IF(AND(INDEX(Profils!$G$5:$G$34,$AE761)&gt;0,INDEX(Profils!$V$5:$V$34,$AE761)&lt;=$AH761),ROUND(INDEX(Profils!$G$5:$G$34,$AE761)*Paramètres!$E$23*$AG761*$AJ761,Paramètres!$F$23),0)</f>
        <v>0</v>
      </c>
      <c r="N761" s="19" t="n">
        <f aca="false" t="array" ref="N761:N761">IF(AND(INDEX(Profils!$H$5:$H$34,$AE761)&gt;0,INDEX(Profils!$W$5:$W$34,$AE761)&lt;=$AH761),ROUND(INDEX(Profils!$H$5:$H$34,$AE761)*Paramètres!$E$24*$AG761*$AJ761,Paramètres!$F$24),0)</f>
        <v>0</v>
      </c>
      <c r="O761" s="19" t="n">
        <f aca="false" t="array" ref="O761:O761">IF(AND(INDEX(Profils!$I$5:$I$34,$AE761)&gt;0,INDEX(Profils!$X$5:$X$34,$AE761)&lt;=$AH761),ROUND(INDEX(Profils!$I$5:$I$34,$AE761)*Paramètres!$E$25*$AG761*$AJ761,Paramètres!$F$25),0)</f>
        <v>0</v>
      </c>
      <c r="P761" s="19" t="n">
        <f aca="false" t="array" ref="P761:P761">IF(AND(INDEX(Profils!$J$5:$J$34,$AE761)&gt;0,INDEX(Profils!$Y$5:$Y$34,$AE761)&lt;=$AH761),ROUND(INDEX(Profils!$J$5:$J$34,$AE761)*Paramètres!$E$26*$AG761*$AJ761,Paramètres!$F$26),0)</f>
        <v>5</v>
      </c>
      <c r="Q761" s="19" t="n">
        <f aca="false" t="array" ref="Q761:Q761">IF(AND(INDEX(Profils!$K$5:$K$34,$AE761)&gt;0,INDEX(Profils!$Z$5:$Z$34,$AE761)&lt;=$AH761),ROUND(INDEX(Profils!$K$5:$K$34,$AE761)*Paramètres!$E$27*$AG761*$AJ761,Paramètres!$F$27),0)</f>
        <v>0</v>
      </c>
      <c r="R761" s="20" t="n">
        <f aca="false" t="array" ref="R761:R761">IF(AND(INDEX(Profils!$L$5:$L$34,$AE761)&gt;0,INDEX(Profils!$AA$5:$AA$34,$AE761)&lt;=$AH761),ROUND(INDEX(Profils!$L$5:$L$34,$AE761)*Paramètres!$E$28*$AG761*$AJ761,Paramètres!$F$28),0)</f>
        <v>0.005</v>
      </c>
      <c r="S761" s="20" t="n">
        <f aca="false" t="array" ref="S761:S761">IF(AND(INDEX(Profils!$M$5:$M$34,$AE761)&gt;0,INDEX(Profils!$AB$5:$AB$34,$AE761)&lt;=$AH761),ROUND(INDEX(Profils!$M$5:$M$34,$AE761)*Paramètres!$E$29*$AG761*$AJ761,Paramètres!$F$29),0)</f>
        <v>0.004</v>
      </c>
      <c r="T761" s="20" t="n">
        <f aca="false" t="array" ref="T761:T761">IF(AND(INDEX(Profils!$N$5:$N$34,$AE761)&gt;0,INDEX(Profils!$AC$5:$AC$34,$AE761)&lt;=$AH761),ROUND(INDEX(Profils!$N$5:$N$34,$AE761)*Paramètres!$E$30*$AG761*$AJ761,Paramètres!$F$30),0)</f>
        <v>0.01</v>
      </c>
      <c r="U761" s="19" t="n">
        <f aca="false" t="array" ref="U761:U761">IF(AND(INDEX(Profils!$O$5:$O$34,$AE761)&gt;0,INDEX(Profils!$AD$5:$AD$34,$AE761)&lt;=$AH761),ROUND(INDEX(Profils!$O$5:$O$34,$AE761)*Paramètres!$E$31*$AG761*$AJ761,Paramètres!$F$31),0)</f>
        <v>0</v>
      </c>
      <c r="V761" s="20" t="n">
        <f aca="false" t="array" ref="V761:V761">IF(AND(INDEX(Profils!$P$5:$P$34,$AE761)&gt;0,INDEX(Profils!$AE$5:$AE$34,$AE761)&lt;=$AH761),ROUND(INDEX(Profils!$P$5:$P$34,$AE761)*Paramètres!$E$32*$AG761*$AJ761,Paramètres!$F$32),0)</f>
        <v>0</v>
      </c>
      <c r="W761" s="20" t="n">
        <f aca="false" t="array" ref="W761:W761">IF(AND(INDEX(Profils!$Q$5:$Q$34,$AE761)&gt;0,INDEX(Profils!$AF$5:$AF$34,$AE761)&lt;=$AH761),ROUND(INDEX(Profils!$Q$5:$Q$34,$AE761)*Paramètres!$E$33*$AG761*$AJ761,Paramètres!$F$33),0)</f>
        <v>0.004</v>
      </c>
      <c r="X761" s="20" t="n">
        <f aca="false" t="array" ref="X761:X761">IF(AND(INDEX(Profils!$R$5:$R$34,$AE761)&gt;0,INDEX(Profils!$AG$5:$AG$34,$AE761)&lt;=$AH761),ROUND(INDEX(Profils!$R$5:$R$34,$AE761)*Paramètres!$E$34*$AG761*$AJ761,Paramètres!$F$34),0)</f>
        <v>0</v>
      </c>
      <c r="Y761" s="20" t="n">
        <f aca="false" t="array" ref="Y761:Y761">IF(AND(INDEX(Profils!$S$5:$S$34,$AE761)&gt;0,INDEX(Profils!$AH$5:$AH$34,$AE761)&lt;=$AH761),ROUND(INDEX(Profils!$S$5:$S$34,$AE761)*Paramètres!$E$35*$AG761*$AJ761,Paramètres!$F$35),0)</f>
        <v>0.003</v>
      </c>
      <c r="Z761" s="21" t="n">
        <f aca="false">ROUND(L761/Paramètres!$E$22+M761/Paramètres!$E$23+N761/Paramètres!$E$24+O761/Paramètres!$E$25+P761/Paramètres!$E$26+Q761/Paramètres!$E$27+R761/Paramètres!$E$28+S761/Paramètres!$E$29+T761/Paramètres!$E$30+U761/Paramètres!$E$31+V761/Paramètres!$E$32+W761/Paramètres!$E$33+X761/Paramètres!$E$34+Y761/Paramètres!$E$35,1)</f>
        <v>2.2</v>
      </c>
      <c r="AA761" s="22" t="s">
        <v>109</v>
      </c>
      <c r="AB761" s="22" t="s">
        <v>109</v>
      </c>
      <c r="AC761" s="15" t="str">
        <f aca="false">$E761</f>
        <v>argent</v>
      </c>
      <c r="AD761" s="16" t="n">
        <f aca="false" t="array" ref="AD761:AD761">IF($I761&gt;=$AI761,"Max",ROUND(Paramètres!$B$40*($I761+1)^Paramètres!$B$41*INDEX(Paramètres!$H$6:$H$12,$AF761),0))</f>
        <v>8</v>
      </c>
      <c r="AE761" s="23" t="n">
        <f aca="false">MATCH($B761&amp;"|"&amp;$C761,Profils!$A$5:$A$34,0)</f>
        <v>25</v>
      </c>
      <c r="AF761" s="23" t="n">
        <v>6</v>
      </c>
      <c r="AG761" s="24" t="n">
        <f aca="false" t="array" ref="AG761:AG761">INDEX(Paramètres!$C$6:$C$12,$AF761)</f>
        <v>2.4</v>
      </c>
      <c r="AH761" s="23" t="n">
        <f aca="false" t="array" ref="AH761:AH761">INDEX(Paramètres!$D$6:$D$12,$AF761)</f>
        <v>7</v>
      </c>
      <c r="AI761" s="23" t="n">
        <f aca="false" t="array" ref="AI761:AI761">INDEX(Matériaux!$C$16:$C$20,$D761)</f>
        <v>20</v>
      </c>
      <c r="AJ761" s="25" t="n">
        <f aca="false">Paramètres!$B$16+(1-Paramètres!$B$16)*(($J761-Paramètres!$B$14)/(Paramètres!$B$15-Paramètres!$B$14))^Paramètres!$B$17</f>
        <v>0.140847925475674</v>
      </c>
    </row>
    <row r="762" customFormat="false" ht="15.75" hidden="false" customHeight="true" outlineLevel="0" collapsed="false">
      <c r="A762" s="14" t="s">
        <v>878</v>
      </c>
      <c r="B762" s="15" t="s">
        <v>31</v>
      </c>
      <c r="C762" s="15" t="s">
        <v>241</v>
      </c>
      <c r="D762" s="16" t="n">
        <v>3</v>
      </c>
      <c r="E762" s="15" t="str">
        <f aca="false" t="array" ref="E762:E762">INDEX(Matériaux!$B$5:$F$12,MATCH(INDEX(Profils!$E$5:$E$34,$AE762),Matériaux!$A$5:$A$12,0),$D762)</f>
        <v>or</v>
      </c>
      <c r="F762" s="17" t="s">
        <v>108</v>
      </c>
      <c r="G762" s="10" t="str">
        <f aca="false" t="array" ref="G762:G762">INDEX(Profils!$D$5:$D$34,$AE762)&amp;" en "&amp;$E762</f>
        <v>Pendentif en or</v>
      </c>
      <c r="H762" s="16" t="n">
        <f aca="false" t="array" ref="H762:H762">INDEX(Matériaux!$B$16:$B$20,$D762)</f>
        <v>30</v>
      </c>
      <c r="I762" s="16" t="n">
        <f aca="false">IF(ISNUMBER($C$3),MIN(MAX(0,ROUND($C$3,0)),$AI762),$AI762)</f>
        <v>0</v>
      </c>
      <c r="J762" s="18" t="n">
        <f aca="false">$H762+$I762</f>
        <v>30</v>
      </c>
      <c r="K762" s="15" t="s">
        <v>109</v>
      </c>
      <c r="L762" s="19" t="n">
        <f aca="false" t="array" ref="L762:L762">IF(AND(INDEX(Profils!$F$5:$F$34,$AE762)&gt;0,INDEX(Profils!$U$5:$U$34,$AE762)&lt;=$AH762),ROUND(INDEX(Profils!$F$5:$F$34,$AE762)*Paramètres!$E$22*$AG762*$AJ762,Paramètres!$F$22),0)</f>
        <v>0</v>
      </c>
      <c r="M762" s="19" t="n">
        <f aca="false" t="array" ref="M762:M762">IF(AND(INDEX(Profils!$G$5:$G$34,$AE762)&gt;0,INDEX(Profils!$V$5:$V$34,$AE762)&lt;=$AH762),ROUND(INDEX(Profils!$G$5:$G$34,$AE762)*Paramètres!$E$23*$AG762*$AJ762,Paramètres!$F$23),0)</f>
        <v>0</v>
      </c>
      <c r="N762" s="19" t="n">
        <f aca="false" t="array" ref="N762:N762">IF(AND(INDEX(Profils!$H$5:$H$34,$AE762)&gt;0,INDEX(Profils!$W$5:$W$34,$AE762)&lt;=$AH762),ROUND(INDEX(Profils!$H$5:$H$34,$AE762)*Paramètres!$E$24*$AG762*$AJ762,Paramètres!$F$24),0)</f>
        <v>0</v>
      </c>
      <c r="O762" s="19" t="n">
        <f aca="false" t="array" ref="O762:O762">IF(AND(INDEX(Profils!$I$5:$I$34,$AE762)&gt;0,INDEX(Profils!$X$5:$X$34,$AE762)&lt;=$AH762),ROUND(INDEX(Profils!$I$5:$I$34,$AE762)*Paramètres!$E$25*$AG762*$AJ762,Paramètres!$F$25),0)</f>
        <v>0</v>
      </c>
      <c r="P762" s="19" t="n">
        <f aca="false" t="array" ref="P762:P762">IF(AND(INDEX(Profils!$J$5:$J$34,$AE762)&gt;0,INDEX(Profils!$Y$5:$Y$34,$AE762)&lt;=$AH762),ROUND(INDEX(Profils!$J$5:$J$34,$AE762)*Paramètres!$E$26*$AG762*$AJ762,Paramètres!$F$26),0)</f>
        <v>4</v>
      </c>
      <c r="Q762" s="19" t="n">
        <f aca="false" t="array" ref="Q762:Q762">IF(AND(INDEX(Profils!$K$5:$K$34,$AE762)&gt;0,INDEX(Profils!$Z$5:$Z$34,$AE762)&lt;=$AH762),ROUND(INDEX(Profils!$K$5:$K$34,$AE762)*Paramètres!$E$27*$AG762*$AJ762,Paramètres!$F$27),0)</f>
        <v>0</v>
      </c>
      <c r="R762" s="20" t="n">
        <f aca="false" t="array" ref="R762:R762">IF(AND(INDEX(Profils!$L$5:$L$34,$AE762)&gt;0,INDEX(Profils!$AA$5:$AA$34,$AE762)&lt;=$AH762),ROUND(INDEX(Profils!$L$5:$L$34,$AE762)*Paramètres!$E$28*$AG762*$AJ762,Paramètres!$F$28),0)</f>
        <v>0</v>
      </c>
      <c r="S762" s="20" t="n">
        <f aca="false" t="array" ref="S762:S762">IF(AND(INDEX(Profils!$M$5:$M$34,$AE762)&gt;0,INDEX(Profils!$AB$5:$AB$34,$AE762)&lt;=$AH762),ROUND(INDEX(Profils!$M$5:$M$34,$AE762)*Paramètres!$E$29*$AG762*$AJ762,Paramètres!$F$29),0)</f>
        <v>0.003</v>
      </c>
      <c r="T762" s="20" t="n">
        <f aca="false" t="array" ref="T762:T762">IF(AND(INDEX(Profils!$N$5:$N$34,$AE762)&gt;0,INDEX(Profils!$AC$5:$AC$34,$AE762)&lt;=$AH762),ROUND(INDEX(Profils!$N$5:$N$34,$AE762)*Paramètres!$E$30*$AG762*$AJ762,Paramètres!$F$30),0)</f>
        <v>0</v>
      </c>
      <c r="U762" s="19" t="n">
        <f aca="false" t="array" ref="U762:U762">IF(AND(INDEX(Profils!$O$5:$O$34,$AE762)&gt;0,INDEX(Profils!$AD$5:$AD$34,$AE762)&lt;=$AH762),ROUND(INDEX(Profils!$O$5:$O$34,$AE762)*Paramètres!$E$31*$AG762*$AJ762,Paramètres!$F$31),0)</f>
        <v>0</v>
      </c>
      <c r="V762" s="20" t="n">
        <f aca="false" t="array" ref="V762:V762">IF(AND(INDEX(Profils!$P$5:$P$34,$AE762)&gt;0,INDEX(Profils!$AE$5:$AE$34,$AE762)&lt;=$AH762),ROUND(INDEX(Profils!$P$5:$P$34,$AE762)*Paramètres!$E$32*$AG762*$AJ762,Paramètres!$F$32),0)</f>
        <v>0</v>
      </c>
      <c r="W762" s="20" t="n">
        <f aca="false" t="array" ref="W762:W762">IF(AND(INDEX(Profils!$Q$5:$Q$34,$AE762)&gt;0,INDEX(Profils!$AF$5:$AF$34,$AE762)&lt;=$AH762),ROUND(INDEX(Profils!$Q$5:$Q$34,$AE762)*Paramètres!$E$33*$AG762*$AJ762,Paramètres!$F$33),0)</f>
        <v>0</v>
      </c>
      <c r="X762" s="20" t="n">
        <f aca="false" t="array" ref="X762:X762">IF(AND(INDEX(Profils!$R$5:$R$34,$AE762)&gt;0,INDEX(Profils!$AG$5:$AG$34,$AE762)&lt;=$AH762),ROUND(INDEX(Profils!$R$5:$R$34,$AE762)*Paramètres!$E$34*$AG762*$AJ762,Paramètres!$F$34),0)</f>
        <v>0</v>
      </c>
      <c r="Y762" s="20" t="n">
        <f aca="false" t="array" ref="Y762:Y762">IF(AND(INDEX(Profils!$S$5:$S$34,$AE762)&gt;0,INDEX(Profils!$AH$5:$AH$34,$AE762)&lt;=$AH762),ROUND(INDEX(Profils!$S$5:$S$34,$AE762)*Paramètres!$E$35*$AG762*$AJ762,Paramètres!$F$35),0)</f>
        <v>0</v>
      </c>
      <c r="Z762" s="21" t="n">
        <f aca="false">ROUND(L762/Paramètres!$E$22+M762/Paramètres!$E$23+N762/Paramètres!$E$24+O762/Paramètres!$E$25+P762/Paramètres!$E$26+Q762/Paramètres!$E$27+R762/Paramètres!$E$28+S762/Paramètres!$E$29+T762/Paramètres!$E$30+U762/Paramètres!$E$31+V762/Paramètres!$E$32+W762/Paramètres!$E$33+X762/Paramètres!$E$34+Y762/Paramètres!$E$35,1)</f>
        <v>0.6</v>
      </c>
      <c r="AA762" s="22" t="s">
        <v>109</v>
      </c>
      <c r="AB762" s="22" t="s">
        <v>109</v>
      </c>
      <c r="AC762" s="15" t="str">
        <f aca="false">$E762</f>
        <v>or</v>
      </c>
      <c r="AD762" s="16" t="n">
        <f aca="false" t="array" ref="AD762:AD762">IF($I762&gt;=$AI762,"Max",ROUND(Paramètres!$B$40*($I762+1)^Paramètres!$B$41*INDEX(Paramètres!$H$6:$H$12,$AF762),0))</f>
        <v>3</v>
      </c>
      <c r="AE762" s="23" t="n">
        <f aca="false">MATCH($B762&amp;"|"&amp;$C762,Profils!$A$5:$A$34,0)</f>
        <v>25</v>
      </c>
      <c r="AF762" s="23" t="n">
        <v>1</v>
      </c>
      <c r="AG762" s="24" t="n">
        <f aca="false" t="array" ref="AG762:AG762">INDEX(Paramètres!$C$6:$C$12,$AF762)</f>
        <v>1</v>
      </c>
      <c r="AH762" s="23" t="n">
        <f aca="false" t="array" ref="AH762:AH762">INDEX(Paramètres!$D$6:$D$12,$AF762)</f>
        <v>2</v>
      </c>
      <c r="AI762" s="23" t="n">
        <f aca="false" t="array" ref="AI762:AI762">INDEX(Matériaux!$C$16:$C$20,$D762)</f>
        <v>25</v>
      </c>
      <c r="AJ762" s="25" t="n">
        <f aca="false">Paramètres!$B$16+(1-Paramètres!$B$16)*(($J762-Paramètres!$B$14)/(Paramètres!$B$15-Paramètres!$B$14))^Paramètres!$B$17</f>
        <v>0.26769024555533</v>
      </c>
    </row>
    <row r="763" customFormat="false" ht="15.75" hidden="false" customHeight="true" outlineLevel="0" collapsed="false">
      <c r="A763" s="14" t="s">
        <v>879</v>
      </c>
      <c r="B763" s="15" t="s">
        <v>31</v>
      </c>
      <c r="C763" s="15" t="s">
        <v>241</v>
      </c>
      <c r="D763" s="16" t="n">
        <v>3</v>
      </c>
      <c r="E763" s="15" t="str">
        <f aca="false" t="array" ref="E763:E763">INDEX(Matériaux!$B$5:$F$12,MATCH(INDEX(Profils!$E$5:$E$34,$AE763),Matériaux!$A$5:$A$12,0),$D763)</f>
        <v>or</v>
      </c>
      <c r="F763" s="26" t="s">
        <v>111</v>
      </c>
      <c r="G763" s="10" t="str">
        <f aca="false" t="array" ref="G763:G763">INDEX(Profils!$D$5:$D$34,$AE763)&amp;" en "&amp;$E763</f>
        <v>Pendentif en or</v>
      </c>
      <c r="H763" s="16" t="n">
        <f aca="false" t="array" ref="H763:H763">INDEX(Matériaux!$B$16:$B$20,$D763)</f>
        <v>30</v>
      </c>
      <c r="I763" s="16" t="n">
        <f aca="false">IF(ISNUMBER($C$3),MIN(MAX(0,ROUND($C$3,0)),$AI763),$AI763)</f>
        <v>0</v>
      </c>
      <c r="J763" s="18" t="n">
        <f aca="false">$H763+$I763</f>
        <v>30</v>
      </c>
      <c r="K763" s="15" t="s">
        <v>109</v>
      </c>
      <c r="L763" s="19" t="n">
        <f aca="false" t="array" ref="L763:L763">IF(AND(INDEX(Profils!$F$5:$F$34,$AE763)&gt;0,INDEX(Profils!$U$5:$U$34,$AE763)&lt;=$AH763),ROUND(INDEX(Profils!$F$5:$F$34,$AE763)*Paramètres!$E$22*$AG763*$AJ763,Paramètres!$F$22),0)</f>
        <v>0</v>
      </c>
      <c r="M763" s="19" t="n">
        <f aca="false" t="array" ref="M763:M763">IF(AND(INDEX(Profils!$G$5:$G$34,$AE763)&gt;0,INDEX(Profils!$V$5:$V$34,$AE763)&lt;=$AH763),ROUND(INDEX(Profils!$G$5:$G$34,$AE763)*Paramètres!$E$23*$AG763*$AJ763,Paramètres!$F$23),0)</f>
        <v>0</v>
      </c>
      <c r="N763" s="19" t="n">
        <f aca="false" t="array" ref="N763:N763">IF(AND(INDEX(Profils!$H$5:$H$34,$AE763)&gt;0,INDEX(Profils!$W$5:$W$34,$AE763)&lt;=$AH763),ROUND(INDEX(Profils!$H$5:$H$34,$AE763)*Paramètres!$E$24*$AG763*$AJ763,Paramètres!$F$24),0)</f>
        <v>0</v>
      </c>
      <c r="O763" s="19" t="n">
        <f aca="false" t="array" ref="O763:O763">IF(AND(INDEX(Profils!$I$5:$I$34,$AE763)&gt;0,INDEX(Profils!$X$5:$X$34,$AE763)&lt;=$AH763),ROUND(INDEX(Profils!$I$5:$I$34,$AE763)*Paramètres!$E$25*$AG763*$AJ763,Paramètres!$F$25),0)</f>
        <v>0</v>
      </c>
      <c r="P763" s="19" t="n">
        <f aca="false" t="array" ref="P763:P763">IF(AND(INDEX(Profils!$J$5:$J$34,$AE763)&gt;0,INDEX(Profils!$Y$5:$Y$34,$AE763)&lt;=$AH763),ROUND(INDEX(Profils!$J$5:$J$34,$AE763)*Paramètres!$E$26*$AG763*$AJ763,Paramètres!$F$26),0)</f>
        <v>5</v>
      </c>
      <c r="Q763" s="19" t="n">
        <f aca="false" t="array" ref="Q763:Q763">IF(AND(INDEX(Profils!$K$5:$K$34,$AE763)&gt;0,INDEX(Profils!$Z$5:$Z$34,$AE763)&lt;=$AH763),ROUND(INDEX(Profils!$K$5:$K$34,$AE763)*Paramètres!$E$27*$AG763*$AJ763,Paramètres!$F$27),0)</f>
        <v>0</v>
      </c>
      <c r="R763" s="20" t="n">
        <f aca="false" t="array" ref="R763:R763">IF(AND(INDEX(Profils!$L$5:$L$34,$AE763)&gt;0,INDEX(Profils!$AA$5:$AA$34,$AE763)&lt;=$AH763),ROUND(INDEX(Profils!$L$5:$L$34,$AE763)*Paramètres!$E$28*$AG763*$AJ763,Paramètres!$F$28),0)</f>
        <v>0</v>
      </c>
      <c r="S763" s="20" t="n">
        <f aca="false" t="array" ref="S763:S763">IF(AND(INDEX(Profils!$M$5:$M$34,$AE763)&gt;0,INDEX(Profils!$AB$5:$AB$34,$AE763)&lt;=$AH763),ROUND(INDEX(Profils!$M$5:$M$34,$AE763)*Paramètres!$E$29*$AG763*$AJ763,Paramètres!$F$29),0)</f>
        <v>0.004</v>
      </c>
      <c r="T763" s="20" t="n">
        <f aca="false" t="array" ref="T763:T763">IF(AND(INDEX(Profils!$N$5:$N$34,$AE763)&gt;0,INDEX(Profils!$AC$5:$AC$34,$AE763)&lt;=$AH763),ROUND(INDEX(Profils!$N$5:$N$34,$AE763)*Paramètres!$E$30*$AG763*$AJ763,Paramètres!$F$30),0)</f>
        <v>0.01</v>
      </c>
      <c r="U763" s="19" t="n">
        <f aca="false" t="array" ref="U763:U763">IF(AND(INDEX(Profils!$O$5:$O$34,$AE763)&gt;0,INDEX(Profils!$AD$5:$AD$34,$AE763)&lt;=$AH763),ROUND(INDEX(Profils!$O$5:$O$34,$AE763)*Paramètres!$E$31*$AG763*$AJ763,Paramètres!$F$31),0)</f>
        <v>0</v>
      </c>
      <c r="V763" s="20" t="n">
        <f aca="false" t="array" ref="V763:V763">IF(AND(INDEX(Profils!$P$5:$P$34,$AE763)&gt;0,INDEX(Profils!$AE$5:$AE$34,$AE763)&lt;=$AH763),ROUND(INDEX(Profils!$P$5:$P$34,$AE763)*Paramètres!$E$32*$AG763*$AJ763,Paramètres!$F$32),0)</f>
        <v>0</v>
      </c>
      <c r="W763" s="20" t="n">
        <f aca="false" t="array" ref="W763:W763">IF(AND(INDEX(Profils!$Q$5:$Q$34,$AE763)&gt;0,INDEX(Profils!$AF$5:$AF$34,$AE763)&lt;=$AH763),ROUND(INDEX(Profils!$Q$5:$Q$34,$AE763)*Paramètres!$E$33*$AG763*$AJ763,Paramètres!$F$33),0)</f>
        <v>0</v>
      </c>
      <c r="X763" s="20" t="n">
        <f aca="false" t="array" ref="X763:X763">IF(AND(INDEX(Profils!$R$5:$R$34,$AE763)&gt;0,INDEX(Profils!$AG$5:$AG$34,$AE763)&lt;=$AH763),ROUND(INDEX(Profils!$R$5:$R$34,$AE763)*Paramètres!$E$34*$AG763*$AJ763,Paramètres!$F$34),0)</f>
        <v>0</v>
      </c>
      <c r="Y763" s="20" t="n">
        <f aca="false" t="array" ref="Y763:Y763">IF(AND(INDEX(Profils!$S$5:$S$34,$AE763)&gt;0,INDEX(Profils!$AH$5:$AH$34,$AE763)&lt;=$AH763),ROUND(INDEX(Profils!$S$5:$S$34,$AE763)*Paramètres!$E$35*$AG763*$AJ763,Paramètres!$F$35),0)</f>
        <v>0</v>
      </c>
      <c r="Z763" s="21" t="n">
        <f aca="false">ROUND(L763/Paramètres!$E$22+M763/Paramètres!$E$23+N763/Paramètres!$E$24+O763/Paramètres!$E$25+P763/Paramètres!$E$26+Q763/Paramètres!$E$27+R763/Paramètres!$E$28+S763/Paramètres!$E$29+T763/Paramètres!$E$30+U763/Paramètres!$E$31+V763/Paramètres!$E$32+W763/Paramètres!$E$33+X763/Paramètres!$E$34+Y763/Paramètres!$E$35,1)</f>
        <v>1.1</v>
      </c>
      <c r="AA763" s="22" t="s">
        <v>109</v>
      </c>
      <c r="AB763" s="22" t="s">
        <v>109</v>
      </c>
      <c r="AC763" s="15" t="str">
        <f aca="false">$E763</f>
        <v>or</v>
      </c>
      <c r="AD763" s="16" t="n">
        <f aca="false" t="array" ref="AD763:AD763">IF($I763&gt;=$AI763,"Max",ROUND(Paramètres!$B$40*($I763+1)^Paramètres!$B$41*INDEX(Paramètres!$H$6:$H$12,$AF763),0))</f>
        <v>4</v>
      </c>
      <c r="AE763" s="23" t="n">
        <f aca="false">MATCH($B763&amp;"|"&amp;$C763,Profils!$A$5:$A$34,0)</f>
        <v>25</v>
      </c>
      <c r="AF763" s="23" t="n">
        <v>2</v>
      </c>
      <c r="AG763" s="24" t="n">
        <f aca="false" t="array" ref="AG763:AG763">INDEX(Paramètres!$C$6:$C$12,$AF763)</f>
        <v>1.2</v>
      </c>
      <c r="AH763" s="23" t="n">
        <f aca="false" t="array" ref="AH763:AH763">INDEX(Paramètres!$D$6:$D$12,$AF763)</f>
        <v>3</v>
      </c>
      <c r="AI763" s="23" t="n">
        <f aca="false" t="array" ref="AI763:AI763">INDEX(Matériaux!$C$16:$C$20,$D763)</f>
        <v>25</v>
      </c>
      <c r="AJ763" s="25" t="n">
        <f aca="false">Paramètres!$B$16+(1-Paramètres!$B$16)*(($J763-Paramètres!$B$14)/(Paramètres!$B$15-Paramètres!$B$14))^Paramètres!$B$17</f>
        <v>0.26769024555533</v>
      </c>
    </row>
    <row r="764" customFormat="false" ht="15.75" hidden="false" customHeight="true" outlineLevel="0" collapsed="false">
      <c r="A764" s="14" t="s">
        <v>880</v>
      </c>
      <c r="B764" s="15" t="s">
        <v>31</v>
      </c>
      <c r="C764" s="15" t="s">
        <v>241</v>
      </c>
      <c r="D764" s="16" t="n">
        <v>3</v>
      </c>
      <c r="E764" s="15" t="str">
        <f aca="false" t="array" ref="E764:E764">INDEX(Matériaux!$B$5:$F$12,MATCH(INDEX(Profils!$E$5:$E$34,$AE764),Matériaux!$A$5:$A$12,0),$D764)</f>
        <v>or</v>
      </c>
      <c r="F764" s="27" t="s">
        <v>113</v>
      </c>
      <c r="G764" s="10" t="str">
        <f aca="false" t="array" ref="G764:G764">INDEX(Profils!$D$5:$D$34,$AE764)&amp;" en "&amp;$E764</f>
        <v>Pendentif en or</v>
      </c>
      <c r="H764" s="16" t="n">
        <f aca="false" t="array" ref="H764:H764">INDEX(Matériaux!$B$16:$B$20,$D764)</f>
        <v>30</v>
      </c>
      <c r="I764" s="16" t="n">
        <f aca="false">IF(ISNUMBER($C$3),MIN(MAX(0,ROUND($C$3,0)),$AI764),$AI764)</f>
        <v>0</v>
      </c>
      <c r="J764" s="18" t="n">
        <f aca="false">$H764+$I764</f>
        <v>30</v>
      </c>
      <c r="K764" s="15" t="s">
        <v>109</v>
      </c>
      <c r="L764" s="19" t="n">
        <f aca="false" t="array" ref="L764:L764">IF(AND(INDEX(Profils!$F$5:$F$34,$AE764)&gt;0,INDEX(Profils!$U$5:$U$34,$AE764)&lt;=$AH764),ROUND(INDEX(Profils!$F$5:$F$34,$AE764)*Paramètres!$E$22*$AG764*$AJ764,Paramètres!$F$22),0)</f>
        <v>0</v>
      </c>
      <c r="M764" s="19" t="n">
        <f aca="false" t="array" ref="M764:M764">IF(AND(INDEX(Profils!$G$5:$G$34,$AE764)&gt;0,INDEX(Profils!$V$5:$V$34,$AE764)&lt;=$AH764),ROUND(INDEX(Profils!$G$5:$G$34,$AE764)*Paramètres!$E$23*$AG764*$AJ764,Paramètres!$F$23),0)</f>
        <v>0</v>
      </c>
      <c r="N764" s="19" t="n">
        <f aca="false" t="array" ref="N764:N764">IF(AND(INDEX(Profils!$H$5:$H$34,$AE764)&gt;0,INDEX(Profils!$W$5:$W$34,$AE764)&lt;=$AH764),ROUND(INDEX(Profils!$H$5:$H$34,$AE764)*Paramètres!$E$24*$AG764*$AJ764,Paramètres!$F$24),0)</f>
        <v>0</v>
      </c>
      <c r="O764" s="19" t="n">
        <f aca="false" t="array" ref="O764:O764">IF(AND(INDEX(Profils!$I$5:$I$34,$AE764)&gt;0,INDEX(Profils!$X$5:$X$34,$AE764)&lt;=$AH764),ROUND(INDEX(Profils!$I$5:$I$34,$AE764)*Paramètres!$E$25*$AG764*$AJ764,Paramètres!$F$25),0)</f>
        <v>0</v>
      </c>
      <c r="P764" s="19" t="n">
        <f aca="false" t="array" ref="P764:P764">IF(AND(INDEX(Profils!$J$5:$J$34,$AE764)&gt;0,INDEX(Profils!$Y$5:$Y$34,$AE764)&lt;=$AH764),ROUND(INDEX(Profils!$J$5:$J$34,$AE764)*Paramètres!$E$26*$AG764*$AJ764,Paramètres!$F$26),0)</f>
        <v>6</v>
      </c>
      <c r="Q764" s="19" t="n">
        <f aca="false" t="array" ref="Q764:Q764">IF(AND(INDEX(Profils!$K$5:$K$34,$AE764)&gt;0,INDEX(Profils!$Z$5:$Z$34,$AE764)&lt;=$AH764),ROUND(INDEX(Profils!$K$5:$K$34,$AE764)*Paramètres!$E$27*$AG764*$AJ764,Paramètres!$F$27),0)</f>
        <v>0</v>
      </c>
      <c r="R764" s="20" t="n">
        <f aca="false" t="array" ref="R764:R764">IF(AND(INDEX(Profils!$L$5:$L$34,$AE764)&gt;0,INDEX(Profils!$AA$5:$AA$34,$AE764)&lt;=$AH764),ROUND(INDEX(Profils!$L$5:$L$34,$AE764)*Paramètres!$E$28*$AG764*$AJ764,Paramètres!$F$28),0)</f>
        <v>0.005</v>
      </c>
      <c r="S764" s="20" t="n">
        <f aca="false" t="array" ref="S764:S764">IF(AND(INDEX(Profils!$M$5:$M$34,$AE764)&gt;0,INDEX(Profils!$AB$5:$AB$34,$AE764)&lt;=$AH764),ROUND(INDEX(Profils!$M$5:$M$34,$AE764)*Paramètres!$E$29*$AG764*$AJ764,Paramètres!$F$29),0)</f>
        <v>0.005</v>
      </c>
      <c r="T764" s="20" t="n">
        <f aca="false" t="array" ref="T764:T764">IF(AND(INDEX(Profils!$N$5:$N$34,$AE764)&gt;0,INDEX(Profils!$AC$5:$AC$34,$AE764)&lt;=$AH764),ROUND(INDEX(Profils!$N$5:$N$34,$AE764)*Paramètres!$E$30*$AG764*$AJ764,Paramètres!$F$30),0)</f>
        <v>0.012</v>
      </c>
      <c r="U764" s="19" t="n">
        <f aca="false" t="array" ref="U764:U764">IF(AND(INDEX(Profils!$O$5:$O$34,$AE764)&gt;0,INDEX(Profils!$AD$5:$AD$34,$AE764)&lt;=$AH764),ROUND(INDEX(Profils!$O$5:$O$34,$AE764)*Paramètres!$E$31*$AG764*$AJ764,Paramètres!$F$31),0)</f>
        <v>0</v>
      </c>
      <c r="V764" s="20" t="n">
        <f aca="false" t="array" ref="V764:V764">IF(AND(INDEX(Profils!$P$5:$P$34,$AE764)&gt;0,INDEX(Profils!$AE$5:$AE$34,$AE764)&lt;=$AH764),ROUND(INDEX(Profils!$P$5:$P$34,$AE764)*Paramètres!$E$32*$AG764*$AJ764,Paramètres!$F$32),0)</f>
        <v>0</v>
      </c>
      <c r="W764" s="20" t="n">
        <f aca="false" t="array" ref="W764:W764">IF(AND(INDEX(Profils!$Q$5:$Q$34,$AE764)&gt;0,INDEX(Profils!$AF$5:$AF$34,$AE764)&lt;=$AH764),ROUND(INDEX(Profils!$Q$5:$Q$34,$AE764)*Paramètres!$E$33*$AG764*$AJ764,Paramètres!$F$33),0)</f>
        <v>0</v>
      </c>
      <c r="X764" s="20" t="n">
        <f aca="false" t="array" ref="X764:X764">IF(AND(INDEX(Profils!$R$5:$R$34,$AE764)&gt;0,INDEX(Profils!$AG$5:$AG$34,$AE764)&lt;=$AH764),ROUND(INDEX(Profils!$R$5:$R$34,$AE764)*Paramètres!$E$34*$AG764*$AJ764,Paramètres!$F$34),0)</f>
        <v>0</v>
      </c>
      <c r="Y764" s="20" t="n">
        <f aca="false" t="array" ref="Y764:Y764">IF(AND(INDEX(Profils!$S$5:$S$34,$AE764)&gt;0,INDEX(Profils!$AH$5:$AH$34,$AE764)&lt;=$AH764),ROUND(INDEX(Profils!$S$5:$S$34,$AE764)*Paramètres!$E$35*$AG764*$AJ764,Paramètres!$F$35),0)</f>
        <v>0</v>
      </c>
      <c r="Z764" s="21" t="n">
        <f aca="false">ROUND(L764/Paramètres!$E$22+M764/Paramètres!$E$23+N764/Paramètres!$E$24+O764/Paramètres!$E$25+P764/Paramètres!$E$26+Q764/Paramètres!$E$27+R764/Paramètres!$E$28+S764/Paramètres!$E$29+T764/Paramètres!$E$30+U764/Paramètres!$E$31+V764/Paramètres!$E$32+W764/Paramètres!$E$33+X764/Paramètres!$E$34+Y764/Paramètres!$E$35,1)</f>
        <v>1.7</v>
      </c>
      <c r="AA764" s="22" t="s">
        <v>109</v>
      </c>
      <c r="AB764" s="22" t="s">
        <v>109</v>
      </c>
      <c r="AC764" s="15" t="str">
        <f aca="false">$E764</f>
        <v>or</v>
      </c>
      <c r="AD764" s="16" t="n">
        <f aca="false" t="array" ref="AD764:AD764">IF($I764&gt;=$AI764,"Max",ROUND(Paramètres!$B$40*($I764+1)^Paramètres!$B$41*INDEX(Paramètres!$H$6:$H$12,$AF764),0))</f>
        <v>4</v>
      </c>
      <c r="AE764" s="23" t="n">
        <f aca="false">MATCH($B764&amp;"|"&amp;$C764,Profils!$A$5:$A$34,0)</f>
        <v>25</v>
      </c>
      <c r="AF764" s="23" t="n">
        <v>3</v>
      </c>
      <c r="AG764" s="24" t="n">
        <f aca="false" t="array" ref="AG764:AG764">INDEX(Paramètres!$C$6:$C$12,$AF764)</f>
        <v>1.45</v>
      </c>
      <c r="AH764" s="23" t="n">
        <f aca="false" t="array" ref="AH764:AH764">INDEX(Paramètres!$D$6:$D$12,$AF764)</f>
        <v>4</v>
      </c>
      <c r="AI764" s="23" t="n">
        <f aca="false" t="array" ref="AI764:AI764">INDEX(Matériaux!$C$16:$C$20,$D764)</f>
        <v>25</v>
      </c>
      <c r="AJ764" s="25" t="n">
        <f aca="false">Paramètres!$B$16+(1-Paramètres!$B$16)*(($J764-Paramètres!$B$14)/(Paramètres!$B$15-Paramètres!$B$14))^Paramètres!$B$17</f>
        <v>0.26769024555533</v>
      </c>
    </row>
    <row r="765" customFormat="false" ht="15.75" hidden="false" customHeight="true" outlineLevel="0" collapsed="false">
      <c r="A765" s="14" t="s">
        <v>881</v>
      </c>
      <c r="B765" s="15" t="s">
        <v>31</v>
      </c>
      <c r="C765" s="15" t="s">
        <v>241</v>
      </c>
      <c r="D765" s="16" t="n">
        <v>3</v>
      </c>
      <c r="E765" s="15" t="str">
        <f aca="false" t="array" ref="E765:E765">INDEX(Matériaux!$B$5:$F$12,MATCH(INDEX(Profils!$E$5:$E$34,$AE765),Matériaux!$A$5:$A$12,0),$D765)</f>
        <v>or</v>
      </c>
      <c r="F765" s="28" t="s">
        <v>115</v>
      </c>
      <c r="G765" s="10" t="str">
        <f aca="false" t="array" ref="G765:G765">INDEX(Profils!$D$5:$D$34,$AE765)&amp;" en "&amp;$E765</f>
        <v>Pendentif en or</v>
      </c>
      <c r="H765" s="16" t="n">
        <f aca="false" t="array" ref="H765:H765">INDEX(Matériaux!$B$16:$B$20,$D765)</f>
        <v>30</v>
      </c>
      <c r="I765" s="16" t="n">
        <f aca="false">IF(ISNUMBER($C$3),MIN(MAX(0,ROUND($C$3,0)),$AI765),$AI765)</f>
        <v>0</v>
      </c>
      <c r="J765" s="18" t="n">
        <f aca="false">$H765+$I765</f>
        <v>30</v>
      </c>
      <c r="K765" s="15" t="s">
        <v>109</v>
      </c>
      <c r="L765" s="19" t="n">
        <f aca="false" t="array" ref="L765:L765">IF(AND(INDEX(Profils!$F$5:$F$34,$AE765)&gt;0,INDEX(Profils!$U$5:$U$34,$AE765)&lt;=$AH765),ROUND(INDEX(Profils!$F$5:$F$34,$AE765)*Paramètres!$E$22*$AG765*$AJ765,Paramètres!$F$22),0)</f>
        <v>9</v>
      </c>
      <c r="M765" s="19" t="n">
        <f aca="false" t="array" ref="M765:M765">IF(AND(INDEX(Profils!$G$5:$G$34,$AE765)&gt;0,INDEX(Profils!$V$5:$V$34,$AE765)&lt;=$AH765),ROUND(INDEX(Profils!$G$5:$G$34,$AE765)*Paramètres!$E$23*$AG765*$AJ765,Paramètres!$F$23),0)</f>
        <v>0</v>
      </c>
      <c r="N765" s="19" t="n">
        <f aca="false" t="array" ref="N765:N765">IF(AND(INDEX(Profils!$H$5:$H$34,$AE765)&gt;0,INDEX(Profils!$W$5:$W$34,$AE765)&lt;=$AH765),ROUND(INDEX(Profils!$H$5:$H$34,$AE765)*Paramètres!$E$24*$AG765*$AJ765,Paramètres!$F$24),0)</f>
        <v>0</v>
      </c>
      <c r="O765" s="19" t="n">
        <f aca="false" t="array" ref="O765:O765">IF(AND(INDEX(Profils!$I$5:$I$34,$AE765)&gt;0,INDEX(Profils!$X$5:$X$34,$AE765)&lt;=$AH765),ROUND(INDEX(Profils!$I$5:$I$34,$AE765)*Paramètres!$E$25*$AG765*$AJ765,Paramètres!$F$25),0)</f>
        <v>0</v>
      </c>
      <c r="P765" s="19" t="n">
        <f aca="false" t="array" ref="P765:P765">IF(AND(INDEX(Profils!$J$5:$J$34,$AE765)&gt;0,INDEX(Profils!$Y$5:$Y$34,$AE765)&lt;=$AH765),ROUND(INDEX(Profils!$J$5:$J$34,$AE765)*Paramètres!$E$26*$AG765*$AJ765,Paramètres!$F$26),0)</f>
        <v>7</v>
      </c>
      <c r="Q765" s="19" t="n">
        <f aca="false" t="array" ref="Q765:Q765">IF(AND(INDEX(Profils!$K$5:$K$34,$AE765)&gt;0,INDEX(Profils!$Z$5:$Z$34,$AE765)&lt;=$AH765),ROUND(INDEX(Profils!$K$5:$K$34,$AE765)*Paramètres!$E$27*$AG765*$AJ765,Paramètres!$F$27),0)</f>
        <v>0</v>
      </c>
      <c r="R765" s="20" t="n">
        <f aca="false" t="array" ref="R765:R765">IF(AND(INDEX(Profils!$L$5:$L$34,$AE765)&gt;0,INDEX(Profils!$AA$5:$AA$34,$AE765)&lt;=$AH765),ROUND(INDEX(Profils!$L$5:$L$34,$AE765)*Paramètres!$E$28*$AG765*$AJ765,Paramètres!$F$28),0)</f>
        <v>0.006</v>
      </c>
      <c r="S765" s="20" t="n">
        <f aca="false" t="array" ref="S765:S765">IF(AND(INDEX(Profils!$M$5:$M$34,$AE765)&gt;0,INDEX(Profils!$AB$5:$AB$34,$AE765)&lt;=$AH765),ROUND(INDEX(Profils!$M$5:$M$34,$AE765)*Paramètres!$E$29*$AG765*$AJ765,Paramètres!$F$29),0)</f>
        <v>0.006</v>
      </c>
      <c r="T765" s="20" t="n">
        <f aca="false" t="array" ref="T765:T765">IF(AND(INDEX(Profils!$N$5:$N$34,$AE765)&gt;0,INDEX(Profils!$AC$5:$AC$34,$AE765)&lt;=$AH765),ROUND(INDEX(Profils!$N$5:$N$34,$AE765)*Paramètres!$E$30*$AG765*$AJ765,Paramètres!$F$30),0)</f>
        <v>0.014</v>
      </c>
      <c r="U765" s="19" t="n">
        <f aca="false" t="array" ref="U765:U765">IF(AND(INDEX(Profils!$O$5:$O$34,$AE765)&gt;0,INDEX(Profils!$AD$5:$AD$34,$AE765)&lt;=$AH765),ROUND(INDEX(Profils!$O$5:$O$34,$AE765)*Paramètres!$E$31*$AG765*$AJ765,Paramètres!$F$31),0)</f>
        <v>0</v>
      </c>
      <c r="V765" s="20" t="n">
        <f aca="false" t="array" ref="V765:V765">IF(AND(INDEX(Profils!$P$5:$P$34,$AE765)&gt;0,INDEX(Profils!$AE$5:$AE$34,$AE765)&lt;=$AH765),ROUND(INDEX(Profils!$P$5:$P$34,$AE765)*Paramètres!$E$32*$AG765*$AJ765,Paramètres!$F$32),0)</f>
        <v>0</v>
      </c>
      <c r="W765" s="20" t="n">
        <f aca="false" t="array" ref="W765:W765">IF(AND(INDEX(Profils!$Q$5:$Q$34,$AE765)&gt;0,INDEX(Profils!$AF$5:$AF$34,$AE765)&lt;=$AH765),ROUND(INDEX(Profils!$Q$5:$Q$34,$AE765)*Paramètres!$E$33*$AG765*$AJ765,Paramètres!$F$33),0)</f>
        <v>0</v>
      </c>
      <c r="X765" s="20" t="n">
        <f aca="false" t="array" ref="X765:X765">IF(AND(INDEX(Profils!$R$5:$R$34,$AE765)&gt;0,INDEX(Profils!$AG$5:$AG$34,$AE765)&lt;=$AH765),ROUND(INDEX(Profils!$R$5:$R$34,$AE765)*Paramètres!$E$34*$AG765*$AJ765,Paramètres!$F$34),0)</f>
        <v>0</v>
      </c>
      <c r="Y765" s="20" t="n">
        <f aca="false" t="array" ref="Y765:Y765">IF(AND(INDEX(Profils!$S$5:$S$34,$AE765)&gt;0,INDEX(Profils!$AH$5:$AH$34,$AE765)&lt;=$AH765),ROUND(INDEX(Profils!$S$5:$S$34,$AE765)*Paramètres!$E$35*$AG765*$AJ765,Paramètres!$F$35),0)</f>
        <v>0</v>
      </c>
      <c r="Z765" s="21" t="n">
        <f aca="false">ROUND(L765/Paramètres!$E$22+M765/Paramètres!$E$23+N765/Paramètres!$E$24+O765/Paramètres!$E$25+P765/Paramètres!$E$26+Q765/Paramètres!$E$27+R765/Paramètres!$E$28+S765/Paramètres!$E$29+T765/Paramètres!$E$30+U765/Paramètres!$E$31+V765/Paramètres!$E$32+W765/Paramètres!$E$33+X765/Paramètres!$E$34+Y765/Paramètres!$E$35,1)</f>
        <v>2.3</v>
      </c>
      <c r="AA765" s="22" t="s">
        <v>109</v>
      </c>
      <c r="AB765" s="22" t="s">
        <v>109</v>
      </c>
      <c r="AC765" s="15" t="str">
        <f aca="false">$E765</f>
        <v>or</v>
      </c>
      <c r="AD765" s="16" t="n">
        <f aca="false" t="array" ref="AD765:AD765">IF($I765&gt;=$AI765,"Max",ROUND(Paramètres!$B$40*($I765+1)^Paramètres!$B$41*INDEX(Paramètres!$H$6:$H$12,$AF765),0))</f>
        <v>5</v>
      </c>
      <c r="AE765" s="23" t="n">
        <f aca="false">MATCH($B765&amp;"|"&amp;$C765,Profils!$A$5:$A$34,0)</f>
        <v>25</v>
      </c>
      <c r="AF765" s="23" t="n">
        <v>4</v>
      </c>
      <c r="AG765" s="24" t="n">
        <f aca="false" t="array" ref="AG765:AG765">INDEX(Paramètres!$C$6:$C$12,$AF765)</f>
        <v>1.75</v>
      </c>
      <c r="AH765" s="23" t="n">
        <f aca="false" t="array" ref="AH765:AH765">INDEX(Paramètres!$D$6:$D$12,$AF765)</f>
        <v>5</v>
      </c>
      <c r="AI765" s="23" t="n">
        <f aca="false" t="array" ref="AI765:AI765">INDEX(Matériaux!$C$16:$C$20,$D765)</f>
        <v>25</v>
      </c>
      <c r="AJ765" s="25" t="n">
        <f aca="false">Paramètres!$B$16+(1-Paramètres!$B$16)*(($J765-Paramètres!$B$14)/(Paramètres!$B$15-Paramètres!$B$14))^Paramètres!$B$17</f>
        <v>0.26769024555533</v>
      </c>
    </row>
    <row r="766" customFormat="false" ht="15.75" hidden="false" customHeight="true" outlineLevel="0" collapsed="false">
      <c r="A766" s="14" t="s">
        <v>882</v>
      </c>
      <c r="B766" s="15" t="s">
        <v>31</v>
      </c>
      <c r="C766" s="15" t="s">
        <v>241</v>
      </c>
      <c r="D766" s="16" t="n">
        <v>3</v>
      </c>
      <c r="E766" s="15" t="str">
        <f aca="false" t="array" ref="E766:E766">INDEX(Matériaux!$B$5:$F$12,MATCH(INDEX(Profils!$E$5:$E$34,$AE766),Matériaux!$A$5:$A$12,0),$D766)</f>
        <v>or</v>
      </c>
      <c r="F766" s="29" t="s">
        <v>117</v>
      </c>
      <c r="G766" s="10" t="str">
        <f aca="false" t="array" ref="G766:G766">INDEX(Profils!$D$5:$D$34,$AE766)&amp;" en "&amp;$E766</f>
        <v>Pendentif en or</v>
      </c>
      <c r="H766" s="16" t="n">
        <f aca="false" t="array" ref="H766:H766">INDEX(Matériaux!$B$16:$B$20,$D766)</f>
        <v>30</v>
      </c>
      <c r="I766" s="16" t="n">
        <f aca="false">IF(ISNUMBER($C$3),MIN(MAX(0,ROUND($C$3,0)),$AI766),$AI766)</f>
        <v>0</v>
      </c>
      <c r="J766" s="18" t="n">
        <f aca="false">$H766+$I766</f>
        <v>30</v>
      </c>
      <c r="K766" s="15" t="s">
        <v>109</v>
      </c>
      <c r="L766" s="19" t="n">
        <f aca="false" t="array" ref="L766:L766">IF(AND(INDEX(Profils!$F$5:$F$34,$AE766)&gt;0,INDEX(Profils!$U$5:$U$34,$AE766)&lt;=$AH766),ROUND(INDEX(Profils!$F$5:$F$34,$AE766)*Paramètres!$E$22*$AG766*$AJ766,Paramètres!$F$22),0)</f>
        <v>11</v>
      </c>
      <c r="M766" s="19" t="n">
        <f aca="false" t="array" ref="M766:M766">IF(AND(INDEX(Profils!$G$5:$G$34,$AE766)&gt;0,INDEX(Profils!$V$5:$V$34,$AE766)&lt;=$AH766),ROUND(INDEX(Profils!$G$5:$G$34,$AE766)*Paramètres!$E$23*$AG766*$AJ766,Paramètres!$F$23),0)</f>
        <v>0</v>
      </c>
      <c r="N766" s="19" t="n">
        <f aca="false" t="array" ref="N766:N766">IF(AND(INDEX(Profils!$H$5:$H$34,$AE766)&gt;0,INDEX(Profils!$W$5:$W$34,$AE766)&lt;=$AH766),ROUND(INDEX(Profils!$H$5:$H$34,$AE766)*Paramètres!$E$24*$AG766*$AJ766,Paramètres!$F$24),0)</f>
        <v>0</v>
      </c>
      <c r="O766" s="19" t="n">
        <f aca="false" t="array" ref="O766:O766">IF(AND(INDEX(Profils!$I$5:$I$34,$AE766)&gt;0,INDEX(Profils!$X$5:$X$34,$AE766)&lt;=$AH766),ROUND(INDEX(Profils!$I$5:$I$34,$AE766)*Paramètres!$E$25*$AG766*$AJ766,Paramètres!$F$25),0)</f>
        <v>0</v>
      </c>
      <c r="P766" s="19" t="n">
        <f aca="false" t="array" ref="P766:P766">IF(AND(INDEX(Profils!$J$5:$J$34,$AE766)&gt;0,INDEX(Profils!$Y$5:$Y$34,$AE766)&lt;=$AH766),ROUND(INDEX(Profils!$J$5:$J$34,$AE766)*Paramètres!$E$26*$AG766*$AJ766,Paramètres!$F$26),0)</f>
        <v>8</v>
      </c>
      <c r="Q766" s="19" t="n">
        <f aca="false" t="array" ref="Q766:Q766">IF(AND(INDEX(Profils!$K$5:$K$34,$AE766)&gt;0,INDEX(Profils!$Z$5:$Z$34,$AE766)&lt;=$AH766),ROUND(INDEX(Profils!$K$5:$K$34,$AE766)*Paramètres!$E$27*$AG766*$AJ766,Paramètres!$F$27),0)</f>
        <v>0</v>
      </c>
      <c r="R766" s="20" t="n">
        <f aca="false" t="array" ref="R766:R766">IF(AND(INDEX(Profils!$L$5:$L$34,$AE766)&gt;0,INDEX(Profils!$AA$5:$AA$34,$AE766)&lt;=$AH766),ROUND(INDEX(Profils!$L$5:$L$34,$AE766)*Paramètres!$E$28*$AG766*$AJ766,Paramètres!$F$28),0)</f>
        <v>0.008</v>
      </c>
      <c r="S766" s="20" t="n">
        <f aca="false" t="array" ref="S766:S766">IF(AND(INDEX(Profils!$M$5:$M$34,$AE766)&gt;0,INDEX(Profils!$AB$5:$AB$34,$AE766)&lt;=$AH766),ROUND(INDEX(Profils!$M$5:$M$34,$AE766)*Paramètres!$E$29*$AG766*$AJ766,Paramètres!$F$29),0)</f>
        <v>0.007</v>
      </c>
      <c r="T766" s="20" t="n">
        <f aca="false" t="array" ref="T766:T766">IF(AND(INDEX(Profils!$N$5:$N$34,$AE766)&gt;0,INDEX(Profils!$AC$5:$AC$34,$AE766)&lt;=$AH766),ROUND(INDEX(Profils!$N$5:$N$34,$AE766)*Paramètres!$E$30*$AG766*$AJ766,Paramètres!$F$30),0)</f>
        <v>0.017</v>
      </c>
      <c r="U766" s="19" t="n">
        <f aca="false" t="array" ref="U766:U766">IF(AND(INDEX(Profils!$O$5:$O$34,$AE766)&gt;0,INDEX(Profils!$AD$5:$AD$34,$AE766)&lt;=$AH766),ROUND(INDEX(Profils!$O$5:$O$34,$AE766)*Paramètres!$E$31*$AG766*$AJ766,Paramètres!$F$31),0)</f>
        <v>0</v>
      </c>
      <c r="V766" s="20" t="n">
        <f aca="false" t="array" ref="V766:V766">IF(AND(INDEX(Profils!$P$5:$P$34,$AE766)&gt;0,INDEX(Profils!$AE$5:$AE$34,$AE766)&lt;=$AH766),ROUND(INDEX(Profils!$P$5:$P$34,$AE766)*Paramètres!$E$32*$AG766*$AJ766,Paramètres!$F$32),0)</f>
        <v>0</v>
      </c>
      <c r="W766" s="20" t="n">
        <f aca="false" t="array" ref="W766:W766">IF(AND(INDEX(Profils!$Q$5:$Q$34,$AE766)&gt;0,INDEX(Profils!$AF$5:$AF$34,$AE766)&lt;=$AH766),ROUND(INDEX(Profils!$Q$5:$Q$34,$AE766)*Paramètres!$E$33*$AG766*$AJ766,Paramètres!$F$33),0)</f>
        <v>0.006</v>
      </c>
      <c r="X766" s="20" t="n">
        <f aca="false" t="array" ref="X766:X766">IF(AND(INDEX(Profils!$R$5:$R$34,$AE766)&gt;0,INDEX(Profils!$AG$5:$AG$34,$AE766)&lt;=$AH766),ROUND(INDEX(Profils!$R$5:$R$34,$AE766)*Paramètres!$E$34*$AG766*$AJ766,Paramètres!$F$34),0)</f>
        <v>0</v>
      </c>
      <c r="Y766" s="20" t="n">
        <f aca="false" t="array" ref="Y766:Y766">IF(AND(INDEX(Profils!$S$5:$S$34,$AE766)&gt;0,INDEX(Profils!$AH$5:$AH$34,$AE766)&lt;=$AH766),ROUND(INDEX(Profils!$S$5:$S$34,$AE766)*Paramètres!$E$35*$AG766*$AJ766,Paramètres!$F$35),0)</f>
        <v>0</v>
      </c>
      <c r="Z766" s="21" t="n">
        <f aca="false">ROUND(L766/Paramètres!$E$22+M766/Paramètres!$E$23+N766/Paramètres!$E$24+O766/Paramètres!$E$25+P766/Paramètres!$E$26+Q766/Paramètres!$E$27+R766/Paramètres!$E$28+S766/Paramètres!$E$29+T766/Paramètres!$E$30+U766/Paramètres!$E$31+V766/Paramètres!$E$32+W766/Paramètres!$E$33+X766/Paramètres!$E$34+Y766/Paramètres!$E$35,1)</f>
        <v>3.2</v>
      </c>
      <c r="AA766" s="22" t="s">
        <v>109</v>
      </c>
      <c r="AB766" s="22" t="s">
        <v>109</v>
      </c>
      <c r="AC766" s="15" t="str">
        <f aca="false">$E766</f>
        <v>or</v>
      </c>
      <c r="AD766" s="16" t="n">
        <f aca="false" t="array" ref="AD766:AD766">IF($I766&gt;=$AI766,"Max",ROUND(Paramètres!$B$40*($I766+1)^Paramètres!$B$41*INDEX(Paramètres!$H$6:$H$12,$AF766),0))</f>
        <v>6</v>
      </c>
      <c r="AE766" s="23" t="n">
        <f aca="false">MATCH($B766&amp;"|"&amp;$C766,Profils!$A$5:$A$34,0)</f>
        <v>25</v>
      </c>
      <c r="AF766" s="23" t="n">
        <v>5</v>
      </c>
      <c r="AG766" s="24" t="n">
        <f aca="false" t="array" ref="AG766:AG766">INDEX(Paramètres!$C$6:$C$12,$AF766)</f>
        <v>2.1</v>
      </c>
      <c r="AH766" s="23" t="n">
        <f aca="false" t="array" ref="AH766:AH766">INDEX(Paramètres!$D$6:$D$12,$AF766)</f>
        <v>6</v>
      </c>
      <c r="AI766" s="23" t="n">
        <f aca="false" t="array" ref="AI766:AI766">INDEX(Matériaux!$C$16:$C$20,$D766)</f>
        <v>25</v>
      </c>
      <c r="AJ766" s="25" t="n">
        <f aca="false">Paramètres!$B$16+(1-Paramètres!$B$16)*(($J766-Paramètres!$B$14)/(Paramètres!$B$15-Paramètres!$B$14))^Paramètres!$B$17</f>
        <v>0.26769024555533</v>
      </c>
    </row>
    <row r="767" customFormat="false" ht="15.75" hidden="false" customHeight="true" outlineLevel="0" collapsed="false">
      <c r="A767" s="14" t="s">
        <v>883</v>
      </c>
      <c r="B767" s="15" t="s">
        <v>31</v>
      </c>
      <c r="C767" s="15" t="s">
        <v>241</v>
      </c>
      <c r="D767" s="16" t="n">
        <v>3</v>
      </c>
      <c r="E767" s="15" t="str">
        <f aca="false" t="array" ref="E767:E767">INDEX(Matériaux!$B$5:$F$12,MATCH(INDEX(Profils!$E$5:$E$34,$AE767),Matériaux!$A$5:$A$12,0),$D767)</f>
        <v>or</v>
      </c>
      <c r="F767" s="30" t="s">
        <v>119</v>
      </c>
      <c r="G767" s="10" t="str">
        <f aca="false" t="array" ref="G767:G767">INDEX(Profils!$D$5:$D$34,$AE767)&amp;" en "&amp;$E767</f>
        <v>Pendentif en or</v>
      </c>
      <c r="H767" s="16" t="n">
        <f aca="false" t="array" ref="H767:H767">INDEX(Matériaux!$B$16:$B$20,$D767)</f>
        <v>30</v>
      </c>
      <c r="I767" s="16" t="n">
        <f aca="false">IF(ISNUMBER($C$3),MIN(MAX(0,ROUND($C$3,0)),$AI767),$AI767)</f>
        <v>0</v>
      </c>
      <c r="J767" s="18" t="n">
        <f aca="false">$H767+$I767</f>
        <v>30</v>
      </c>
      <c r="K767" s="15" t="s">
        <v>109</v>
      </c>
      <c r="L767" s="19" t="n">
        <f aca="false" t="array" ref="L767:L767">IF(AND(INDEX(Profils!$F$5:$F$34,$AE767)&gt;0,INDEX(Profils!$U$5:$U$34,$AE767)&lt;=$AH767),ROUND(INDEX(Profils!$F$5:$F$34,$AE767)*Paramètres!$E$22*$AG767*$AJ767,Paramètres!$F$22),0)</f>
        <v>13</v>
      </c>
      <c r="M767" s="19" t="n">
        <f aca="false" t="array" ref="M767:M767">IF(AND(INDEX(Profils!$G$5:$G$34,$AE767)&gt;0,INDEX(Profils!$V$5:$V$34,$AE767)&lt;=$AH767),ROUND(INDEX(Profils!$G$5:$G$34,$AE767)*Paramètres!$E$23*$AG767*$AJ767,Paramètres!$F$23),0)</f>
        <v>0</v>
      </c>
      <c r="N767" s="19" t="n">
        <f aca="false" t="array" ref="N767:N767">IF(AND(INDEX(Profils!$H$5:$H$34,$AE767)&gt;0,INDEX(Profils!$W$5:$W$34,$AE767)&lt;=$AH767),ROUND(INDEX(Profils!$H$5:$H$34,$AE767)*Paramètres!$E$24*$AG767*$AJ767,Paramètres!$F$24),0)</f>
        <v>0</v>
      </c>
      <c r="O767" s="19" t="n">
        <f aca="false" t="array" ref="O767:O767">IF(AND(INDEX(Profils!$I$5:$I$34,$AE767)&gt;0,INDEX(Profils!$X$5:$X$34,$AE767)&lt;=$AH767),ROUND(INDEX(Profils!$I$5:$I$34,$AE767)*Paramètres!$E$25*$AG767*$AJ767,Paramètres!$F$25),0)</f>
        <v>0</v>
      </c>
      <c r="P767" s="19" t="n">
        <f aca="false" t="array" ref="P767:P767">IF(AND(INDEX(Profils!$J$5:$J$34,$AE767)&gt;0,INDEX(Profils!$Y$5:$Y$34,$AE767)&lt;=$AH767),ROUND(INDEX(Profils!$J$5:$J$34,$AE767)*Paramètres!$E$26*$AG767*$AJ767,Paramètres!$F$26),0)</f>
        <v>9</v>
      </c>
      <c r="Q767" s="19" t="n">
        <f aca="false" t="array" ref="Q767:Q767">IF(AND(INDEX(Profils!$K$5:$K$34,$AE767)&gt;0,INDEX(Profils!$Z$5:$Z$34,$AE767)&lt;=$AH767),ROUND(INDEX(Profils!$K$5:$K$34,$AE767)*Paramètres!$E$27*$AG767*$AJ767,Paramètres!$F$27),0)</f>
        <v>0</v>
      </c>
      <c r="R767" s="20" t="n">
        <f aca="false" t="array" ref="R767:R767">IF(AND(INDEX(Profils!$L$5:$L$34,$AE767)&gt;0,INDEX(Profils!$AA$5:$AA$34,$AE767)&lt;=$AH767),ROUND(INDEX(Profils!$L$5:$L$34,$AE767)*Paramètres!$E$28*$AG767*$AJ767,Paramètres!$F$28),0)</f>
        <v>0.009</v>
      </c>
      <c r="S767" s="20" t="n">
        <f aca="false" t="array" ref="S767:S767">IF(AND(INDEX(Profils!$M$5:$M$34,$AE767)&gt;0,INDEX(Profils!$AB$5:$AB$34,$AE767)&lt;=$AH767),ROUND(INDEX(Profils!$M$5:$M$34,$AE767)*Paramètres!$E$29*$AG767*$AJ767,Paramètres!$F$29),0)</f>
        <v>0.008</v>
      </c>
      <c r="T767" s="20" t="n">
        <f aca="false" t="array" ref="T767:T767">IF(AND(INDEX(Profils!$N$5:$N$34,$AE767)&gt;0,INDEX(Profils!$AC$5:$AC$34,$AE767)&lt;=$AH767),ROUND(INDEX(Profils!$N$5:$N$34,$AE767)*Paramètres!$E$30*$AG767*$AJ767,Paramètres!$F$30),0)</f>
        <v>0.019</v>
      </c>
      <c r="U767" s="19" t="n">
        <f aca="false" t="array" ref="U767:U767">IF(AND(INDEX(Profils!$O$5:$O$34,$AE767)&gt;0,INDEX(Profils!$AD$5:$AD$34,$AE767)&lt;=$AH767),ROUND(INDEX(Profils!$O$5:$O$34,$AE767)*Paramètres!$E$31*$AG767*$AJ767,Paramètres!$F$31),0)</f>
        <v>0</v>
      </c>
      <c r="V767" s="20" t="n">
        <f aca="false" t="array" ref="V767:V767">IF(AND(INDEX(Profils!$P$5:$P$34,$AE767)&gt;0,INDEX(Profils!$AE$5:$AE$34,$AE767)&lt;=$AH767),ROUND(INDEX(Profils!$P$5:$P$34,$AE767)*Paramètres!$E$32*$AG767*$AJ767,Paramètres!$F$32),0)</f>
        <v>0</v>
      </c>
      <c r="W767" s="20" t="n">
        <f aca="false" t="array" ref="W767:W767">IF(AND(INDEX(Profils!$Q$5:$Q$34,$AE767)&gt;0,INDEX(Profils!$AF$5:$AF$34,$AE767)&lt;=$AH767),ROUND(INDEX(Profils!$Q$5:$Q$34,$AE767)*Paramètres!$E$33*$AG767*$AJ767,Paramètres!$F$33),0)</f>
        <v>0.007</v>
      </c>
      <c r="X767" s="20" t="n">
        <f aca="false" t="array" ref="X767:X767">IF(AND(INDEX(Profils!$R$5:$R$34,$AE767)&gt;0,INDEX(Profils!$AG$5:$AG$34,$AE767)&lt;=$AH767),ROUND(INDEX(Profils!$R$5:$R$34,$AE767)*Paramètres!$E$34*$AG767*$AJ767,Paramètres!$F$34),0)</f>
        <v>0</v>
      </c>
      <c r="Y767" s="20" t="n">
        <f aca="false" t="array" ref="Y767:Y767">IF(AND(INDEX(Profils!$S$5:$S$34,$AE767)&gt;0,INDEX(Profils!$AH$5:$AH$34,$AE767)&lt;=$AH767),ROUND(INDEX(Profils!$S$5:$S$34,$AE767)*Paramètres!$E$35*$AG767*$AJ767,Paramètres!$F$35),0)</f>
        <v>0.005</v>
      </c>
      <c r="Z767" s="21" t="n">
        <f aca="false">ROUND(L767/Paramètres!$E$22+M767/Paramètres!$E$23+N767/Paramètres!$E$24+O767/Paramètres!$E$25+P767/Paramètres!$E$26+Q767/Paramètres!$E$27+R767/Paramètres!$E$28+S767/Paramètres!$E$29+T767/Paramètres!$E$30+U767/Paramètres!$E$31+V767/Paramètres!$E$32+W767/Paramètres!$E$33+X767/Paramètres!$E$34+Y767/Paramètres!$E$35,1)</f>
        <v>4</v>
      </c>
      <c r="AA767" s="22" t="s">
        <v>109</v>
      </c>
      <c r="AB767" s="22" t="s">
        <v>109</v>
      </c>
      <c r="AC767" s="15" t="str">
        <f aca="false">$E767</f>
        <v>or</v>
      </c>
      <c r="AD767" s="16" t="n">
        <f aca="false" t="array" ref="AD767:AD767">IF($I767&gt;=$AI767,"Max",ROUND(Paramètres!$B$40*($I767+1)^Paramètres!$B$41*INDEX(Paramètres!$H$6:$H$12,$AF767),0))</f>
        <v>8</v>
      </c>
      <c r="AE767" s="23" t="n">
        <f aca="false">MATCH($B767&amp;"|"&amp;$C767,Profils!$A$5:$A$34,0)</f>
        <v>25</v>
      </c>
      <c r="AF767" s="23" t="n">
        <v>6</v>
      </c>
      <c r="AG767" s="24" t="n">
        <f aca="false" t="array" ref="AG767:AG767">INDEX(Paramètres!$C$6:$C$12,$AF767)</f>
        <v>2.4</v>
      </c>
      <c r="AH767" s="23" t="n">
        <f aca="false" t="array" ref="AH767:AH767">INDEX(Paramètres!$D$6:$D$12,$AF767)</f>
        <v>7</v>
      </c>
      <c r="AI767" s="23" t="n">
        <f aca="false" t="array" ref="AI767:AI767">INDEX(Matériaux!$C$16:$C$20,$D767)</f>
        <v>25</v>
      </c>
      <c r="AJ767" s="25" t="n">
        <f aca="false">Paramètres!$B$16+(1-Paramètres!$B$16)*(($J767-Paramètres!$B$14)/(Paramètres!$B$15-Paramètres!$B$14))^Paramètres!$B$17</f>
        <v>0.26769024555533</v>
      </c>
    </row>
    <row r="768" customFormat="false" ht="15.75" hidden="false" customHeight="true" outlineLevel="0" collapsed="false">
      <c r="A768" s="14" t="s">
        <v>884</v>
      </c>
      <c r="B768" s="15" t="s">
        <v>31</v>
      </c>
      <c r="C768" s="15" t="s">
        <v>241</v>
      </c>
      <c r="D768" s="16" t="n">
        <v>4</v>
      </c>
      <c r="E768" s="15" t="str">
        <f aca="false" t="array" ref="E768:E768">INDEX(Matériaux!$B$5:$F$12,MATCH(INDEX(Profils!$E$5:$E$34,$AE768),Matériaux!$A$5:$A$12,0),$D768)</f>
        <v>platine</v>
      </c>
      <c r="F768" s="17" t="s">
        <v>108</v>
      </c>
      <c r="G768" s="10" t="str">
        <f aca="false" t="array" ref="G768:G768">INDEX(Profils!$D$5:$D$34,$AE768)&amp;" en "&amp;$E768</f>
        <v>Pendentif en platine</v>
      </c>
      <c r="H768" s="16" t="n">
        <f aca="false" t="array" ref="H768:H768">INDEX(Matériaux!$B$16:$B$20,$D768)</f>
        <v>50</v>
      </c>
      <c r="I768" s="16" t="n">
        <f aca="false">IF(ISNUMBER($C$3),MIN(MAX(0,ROUND($C$3,0)),$AI768),$AI768)</f>
        <v>0</v>
      </c>
      <c r="J768" s="18" t="n">
        <f aca="false">$H768+$I768</f>
        <v>50</v>
      </c>
      <c r="K768" s="15" t="s">
        <v>109</v>
      </c>
      <c r="L768" s="19" t="n">
        <f aca="false" t="array" ref="L768:L768">IF(AND(INDEX(Profils!$F$5:$F$34,$AE768)&gt;0,INDEX(Profils!$U$5:$U$34,$AE768)&lt;=$AH768),ROUND(INDEX(Profils!$F$5:$F$34,$AE768)*Paramètres!$E$22*$AG768*$AJ768,Paramètres!$F$22),0)</f>
        <v>0</v>
      </c>
      <c r="M768" s="19" t="n">
        <f aca="false" t="array" ref="M768:M768">IF(AND(INDEX(Profils!$G$5:$G$34,$AE768)&gt;0,INDEX(Profils!$V$5:$V$34,$AE768)&lt;=$AH768),ROUND(INDEX(Profils!$G$5:$G$34,$AE768)*Paramètres!$E$23*$AG768*$AJ768,Paramètres!$F$23),0)</f>
        <v>0</v>
      </c>
      <c r="N768" s="19" t="n">
        <f aca="false" t="array" ref="N768:N768">IF(AND(INDEX(Profils!$H$5:$H$34,$AE768)&gt;0,INDEX(Profils!$W$5:$W$34,$AE768)&lt;=$AH768),ROUND(INDEX(Profils!$H$5:$H$34,$AE768)*Paramètres!$E$24*$AG768*$AJ768,Paramètres!$F$24),0)</f>
        <v>0</v>
      </c>
      <c r="O768" s="19" t="n">
        <f aca="false" t="array" ref="O768:O768">IF(AND(INDEX(Profils!$I$5:$I$34,$AE768)&gt;0,INDEX(Profils!$X$5:$X$34,$AE768)&lt;=$AH768),ROUND(INDEX(Profils!$I$5:$I$34,$AE768)*Paramètres!$E$25*$AG768*$AJ768,Paramètres!$F$25),0)</f>
        <v>0</v>
      </c>
      <c r="P768" s="19" t="n">
        <f aca="false" t="array" ref="P768:P768">IF(AND(INDEX(Profils!$J$5:$J$34,$AE768)&gt;0,INDEX(Profils!$Y$5:$Y$34,$AE768)&lt;=$AH768),ROUND(INDEX(Profils!$J$5:$J$34,$AE768)*Paramètres!$E$26*$AG768*$AJ768,Paramètres!$F$26),0)</f>
        <v>7</v>
      </c>
      <c r="Q768" s="19" t="n">
        <f aca="false" t="array" ref="Q768:Q768">IF(AND(INDEX(Profils!$K$5:$K$34,$AE768)&gt;0,INDEX(Profils!$Z$5:$Z$34,$AE768)&lt;=$AH768),ROUND(INDEX(Profils!$K$5:$K$34,$AE768)*Paramètres!$E$27*$AG768*$AJ768,Paramètres!$F$27),0)</f>
        <v>0</v>
      </c>
      <c r="R768" s="20" t="n">
        <f aca="false" t="array" ref="R768:R768">IF(AND(INDEX(Profils!$L$5:$L$34,$AE768)&gt;0,INDEX(Profils!$AA$5:$AA$34,$AE768)&lt;=$AH768),ROUND(INDEX(Profils!$L$5:$L$34,$AE768)*Paramètres!$E$28*$AG768*$AJ768,Paramètres!$F$28),0)</f>
        <v>0</v>
      </c>
      <c r="S768" s="20" t="n">
        <f aca="false" t="array" ref="S768:S768">IF(AND(INDEX(Profils!$M$5:$M$34,$AE768)&gt;0,INDEX(Profils!$AB$5:$AB$34,$AE768)&lt;=$AH768),ROUND(INDEX(Profils!$M$5:$M$34,$AE768)*Paramètres!$E$29*$AG768*$AJ768,Paramètres!$F$29),0)</f>
        <v>0.006</v>
      </c>
      <c r="T768" s="20" t="n">
        <f aca="false" t="array" ref="T768:T768">IF(AND(INDEX(Profils!$N$5:$N$34,$AE768)&gt;0,INDEX(Profils!$AC$5:$AC$34,$AE768)&lt;=$AH768),ROUND(INDEX(Profils!$N$5:$N$34,$AE768)*Paramètres!$E$30*$AG768*$AJ768,Paramètres!$F$30),0)</f>
        <v>0</v>
      </c>
      <c r="U768" s="19" t="n">
        <f aca="false" t="array" ref="U768:U768">IF(AND(INDEX(Profils!$O$5:$O$34,$AE768)&gt;0,INDEX(Profils!$AD$5:$AD$34,$AE768)&lt;=$AH768),ROUND(INDEX(Profils!$O$5:$O$34,$AE768)*Paramètres!$E$31*$AG768*$AJ768,Paramètres!$F$31),0)</f>
        <v>0</v>
      </c>
      <c r="V768" s="20" t="n">
        <f aca="false" t="array" ref="V768:V768">IF(AND(INDEX(Profils!$P$5:$P$34,$AE768)&gt;0,INDEX(Profils!$AE$5:$AE$34,$AE768)&lt;=$AH768),ROUND(INDEX(Profils!$P$5:$P$34,$AE768)*Paramètres!$E$32*$AG768*$AJ768,Paramètres!$F$32),0)</f>
        <v>0</v>
      </c>
      <c r="W768" s="20" t="n">
        <f aca="false" t="array" ref="W768:W768">IF(AND(INDEX(Profils!$Q$5:$Q$34,$AE768)&gt;0,INDEX(Profils!$AF$5:$AF$34,$AE768)&lt;=$AH768),ROUND(INDEX(Profils!$Q$5:$Q$34,$AE768)*Paramètres!$E$33*$AG768*$AJ768,Paramètres!$F$33),0)</f>
        <v>0</v>
      </c>
      <c r="X768" s="20" t="n">
        <f aca="false" t="array" ref="X768:X768">IF(AND(INDEX(Profils!$R$5:$R$34,$AE768)&gt;0,INDEX(Profils!$AG$5:$AG$34,$AE768)&lt;=$AH768),ROUND(INDEX(Profils!$R$5:$R$34,$AE768)*Paramètres!$E$34*$AG768*$AJ768,Paramètres!$F$34),0)</f>
        <v>0</v>
      </c>
      <c r="Y768" s="20" t="n">
        <f aca="false" t="array" ref="Y768:Y768">IF(AND(INDEX(Profils!$S$5:$S$34,$AE768)&gt;0,INDEX(Profils!$AH$5:$AH$34,$AE768)&lt;=$AH768),ROUND(INDEX(Profils!$S$5:$S$34,$AE768)*Paramètres!$E$35*$AG768*$AJ768,Paramètres!$F$35),0)</f>
        <v>0</v>
      </c>
      <c r="Z768" s="21" t="n">
        <f aca="false">ROUND(L768/Paramètres!$E$22+M768/Paramètres!$E$23+N768/Paramètres!$E$24+O768/Paramètres!$E$25+P768/Paramètres!$E$26+Q768/Paramètres!$E$27+R768/Paramètres!$E$28+S768/Paramètres!$E$29+T768/Paramètres!$E$30+U768/Paramètres!$E$31+V768/Paramètres!$E$32+W768/Paramètres!$E$33+X768/Paramètres!$E$34+Y768/Paramètres!$E$35,1)</f>
        <v>1.1</v>
      </c>
      <c r="AA768" s="22" t="s">
        <v>109</v>
      </c>
      <c r="AB768" s="22" t="s">
        <v>109</v>
      </c>
      <c r="AC768" s="15" t="str">
        <f aca="false">$E768</f>
        <v>platine</v>
      </c>
      <c r="AD768" s="16" t="n">
        <f aca="false" t="array" ref="AD768:AD768">IF($I768&gt;=$AI768,"Max",ROUND(Paramètres!$B$40*($I768+1)^Paramètres!$B$41*INDEX(Paramètres!$H$6:$H$12,$AF768),0))</f>
        <v>3</v>
      </c>
      <c r="AE768" s="23" t="n">
        <f aca="false">MATCH($B768&amp;"|"&amp;$C768,Profils!$A$5:$A$34,0)</f>
        <v>25</v>
      </c>
      <c r="AF768" s="23" t="n">
        <v>1</v>
      </c>
      <c r="AG768" s="24" t="n">
        <f aca="false" t="array" ref="AG768:AG768">INDEX(Paramètres!$C$6:$C$12,$AF768)</f>
        <v>1</v>
      </c>
      <c r="AH768" s="23" t="n">
        <f aca="false" t="array" ref="AH768:AH768">INDEX(Paramètres!$D$6:$D$12,$AF768)</f>
        <v>2</v>
      </c>
      <c r="AI768" s="23" t="n">
        <f aca="false" t="array" ref="AI768:AI768">INDEX(Matériaux!$C$16:$C$20,$D768)</f>
        <v>25</v>
      </c>
      <c r="AJ768" s="25" t="n">
        <f aca="false">Paramètres!$B$16+(1-Paramètres!$B$16)*(($J768-Paramètres!$B$14)/(Paramètres!$B$15-Paramètres!$B$14))^Paramètres!$B$17</f>
        <v>0.458504333336152</v>
      </c>
    </row>
    <row r="769" customFormat="false" ht="15.75" hidden="false" customHeight="true" outlineLevel="0" collapsed="false">
      <c r="A769" s="14" t="s">
        <v>885</v>
      </c>
      <c r="B769" s="15" t="s">
        <v>31</v>
      </c>
      <c r="C769" s="15" t="s">
        <v>241</v>
      </c>
      <c r="D769" s="16" t="n">
        <v>4</v>
      </c>
      <c r="E769" s="15" t="str">
        <f aca="false" t="array" ref="E769:E769">INDEX(Matériaux!$B$5:$F$12,MATCH(INDEX(Profils!$E$5:$E$34,$AE769),Matériaux!$A$5:$A$12,0),$D769)</f>
        <v>platine</v>
      </c>
      <c r="F769" s="26" t="s">
        <v>111</v>
      </c>
      <c r="G769" s="10" t="str">
        <f aca="false" t="array" ref="G769:G769">INDEX(Profils!$D$5:$D$34,$AE769)&amp;" en "&amp;$E769</f>
        <v>Pendentif en platine</v>
      </c>
      <c r="H769" s="16" t="n">
        <f aca="false" t="array" ref="H769:H769">INDEX(Matériaux!$B$16:$B$20,$D769)</f>
        <v>50</v>
      </c>
      <c r="I769" s="16" t="n">
        <f aca="false">IF(ISNUMBER($C$3),MIN(MAX(0,ROUND($C$3,0)),$AI769),$AI769)</f>
        <v>0</v>
      </c>
      <c r="J769" s="18" t="n">
        <f aca="false">$H769+$I769</f>
        <v>50</v>
      </c>
      <c r="K769" s="15" t="s">
        <v>109</v>
      </c>
      <c r="L769" s="19" t="n">
        <f aca="false" t="array" ref="L769:L769">IF(AND(INDEX(Profils!$F$5:$F$34,$AE769)&gt;0,INDEX(Profils!$U$5:$U$34,$AE769)&lt;=$AH769),ROUND(INDEX(Profils!$F$5:$F$34,$AE769)*Paramètres!$E$22*$AG769*$AJ769,Paramètres!$F$22),0)</f>
        <v>0</v>
      </c>
      <c r="M769" s="19" t="n">
        <f aca="false" t="array" ref="M769:M769">IF(AND(INDEX(Profils!$G$5:$G$34,$AE769)&gt;0,INDEX(Profils!$V$5:$V$34,$AE769)&lt;=$AH769),ROUND(INDEX(Profils!$G$5:$G$34,$AE769)*Paramètres!$E$23*$AG769*$AJ769,Paramètres!$F$23),0)</f>
        <v>0</v>
      </c>
      <c r="N769" s="19" t="n">
        <f aca="false" t="array" ref="N769:N769">IF(AND(INDEX(Profils!$H$5:$H$34,$AE769)&gt;0,INDEX(Profils!$W$5:$W$34,$AE769)&lt;=$AH769),ROUND(INDEX(Profils!$H$5:$H$34,$AE769)*Paramètres!$E$24*$AG769*$AJ769,Paramètres!$F$24),0)</f>
        <v>0</v>
      </c>
      <c r="O769" s="19" t="n">
        <f aca="false" t="array" ref="O769:O769">IF(AND(INDEX(Profils!$I$5:$I$34,$AE769)&gt;0,INDEX(Profils!$X$5:$X$34,$AE769)&lt;=$AH769),ROUND(INDEX(Profils!$I$5:$I$34,$AE769)*Paramètres!$E$25*$AG769*$AJ769,Paramètres!$F$25),0)</f>
        <v>0</v>
      </c>
      <c r="P769" s="19" t="n">
        <f aca="false" t="array" ref="P769:P769">IF(AND(INDEX(Profils!$J$5:$J$34,$AE769)&gt;0,INDEX(Profils!$Y$5:$Y$34,$AE769)&lt;=$AH769),ROUND(INDEX(Profils!$J$5:$J$34,$AE769)*Paramètres!$E$26*$AG769*$AJ769,Paramètres!$F$26),0)</f>
        <v>8</v>
      </c>
      <c r="Q769" s="19" t="n">
        <f aca="false" t="array" ref="Q769:Q769">IF(AND(INDEX(Profils!$K$5:$K$34,$AE769)&gt;0,INDEX(Profils!$Z$5:$Z$34,$AE769)&lt;=$AH769),ROUND(INDEX(Profils!$K$5:$K$34,$AE769)*Paramètres!$E$27*$AG769*$AJ769,Paramètres!$F$27),0)</f>
        <v>0</v>
      </c>
      <c r="R769" s="20" t="n">
        <f aca="false" t="array" ref="R769:R769">IF(AND(INDEX(Profils!$L$5:$L$34,$AE769)&gt;0,INDEX(Profils!$AA$5:$AA$34,$AE769)&lt;=$AH769),ROUND(INDEX(Profils!$L$5:$L$34,$AE769)*Paramètres!$E$28*$AG769*$AJ769,Paramètres!$F$28),0)</f>
        <v>0</v>
      </c>
      <c r="S769" s="20" t="n">
        <f aca="false" t="array" ref="S769:S769">IF(AND(INDEX(Profils!$M$5:$M$34,$AE769)&gt;0,INDEX(Profils!$AB$5:$AB$34,$AE769)&lt;=$AH769),ROUND(INDEX(Profils!$M$5:$M$34,$AE769)*Paramètres!$E$29*$AG769*$AJ769,Paramètres!$F$29),0)</f>
        <v>0.007</v>
      </c>
      <c r="T769" s="20" t="n">
        <f aca="false" t="array" ref="T769:T769">IF(AND(INDEX(Profils!$N$5:$N$34,$AE769)&gt;0,INDEX(Profils!$AC$5:$AC$34,$AE769)&lt;=$AH769),ROUND(INDEX(Profils!$N$5:$N$34,$AE769)*Paramètres!$E$30*$AG769*$AJ769,Paramètres!$F$30),0)</f>
        <v>0.017</v>
      </c>
      <c r="U769" s="19" t="n">
        <f aca="false" t="array" ref="U769:U769">IF(AND(INDEX(Profils!$O$5:$O$34,$AE769)&gt;0,INDEX(Profils!$AD$5:$AD$34,$AE769)&lt;=$AH769),ROUND(INDEX(Profils!$O$5:$O$34,$AE769)*Paramètres!$E$31*$AG769*$AJ769,Paramètres!$F$31),0)</f>
        <v>0</v>
      </c>
      <c r="V769" s="20" t="n">
        <f aca="false" t="array" ref="V769:V769">IF(AND(INDEX(Profils!$P$5:$P$34,$AE769)&gt;0,INDEX(Profils!$AE$5:$AE$34,$AE769)&lt;=$AH769),ROUND(INDEX(Profils!$P$5:$P$34,$AE769)*Paramètres!$E$32*$AG769*$AJ769,Paramètres!$F$32),0)</f>
        <v>0</v>
      </c>
      <c r="W769" s="20" t="n">
        <f aca="false" t="array" ref="W769:W769">IF(AND(INDEX(Profils!$Q$5:$Q$34,$AE769)&gt;0,INDEX(Profils!$AF$5:$AF$34,$AE769)&lt;=$AH769),ROUND(INDEX(Profils!$Q$5:$Q$34,$AE769)*Paramètres!$E$33*$AG769*$AJ769,Paramètres!$F$33),0)</f>
        <v>0</v>
      </c>
      <c r="X769" s="20" t="n">
        <f aca="false" t="array" ref="X769:X769">IF(AND(INDEX(Profils!$R$5:$R$34,$AE769)&gt;0,INDEX(Profils!$AG$5:$AG$34,$AE769)&lt;=$AH769),ROUND(INDEX(Profils!$R$5:$R$34,$AE769)*Paramètres!$E$34*$AG769*$AJ769,Paramètres!$F$34),0)</f>
        <v>0</v>
      </c>
      <c r="Y769" s="20" t="n">
        <f aca="false" t="array" ref="Y769:Y769">IF(AND(INDEX(Profils!$S$5:$S$34,$AE769)&gt;0,INDEX(Profils!$AH$5:$AH$34,$AE769)&lt;=$AH769),ROUND(INDEX(Profils!$S$5:$S$34,$AE769)*Paramètres!$E$35*$AG769*$AJ769,Paramètres!$F$35),0)</f>
        <v>0</v>
      </c>
      <c r="Z769" s="21" t="n">
        <f aca="false">ROUND(L769/Paramètres!$E$22+M769/Paramètres!$E$23+N769/Paramètres!$E$24+O769/Paramètres!$E$25+P769/Paramètres!$E$26+Q769/Paramètres!$E$27+R769/Paramètres!$E$28+S769/Paramètres!$E$29+T769/Paramètres!$E$30+U769/Paramètres!$E$31+V769/Paramètres!$E$32+W769/Paramètres!$E$33+X769/Paramètres!$E$34+Y769/Paramètres!$E$35,1)</f>
        <v>1.8</v>
      </c>
      <c r="AA769" s="22" t="s">
        <v>109</v>
      </c>
      <c r="AB769" s="22" t="s">
        <v>109</v>
      </c>
      <c r="AC769" s="15" t="str">
        <f aca="false">$E769</f>
        <v>platine</v>
      </c>
      <c r="AD769" s="16" t="n">
        <f aca="false" t="array" ref="AD769:AD769">IF($I769&gt;=$AI769,"Max",ROUND(Paramètres!$B$40*($I769+1)^Paramètres!$B$41*INDEX(Paramètres!$H$6:$H$12,$AF769),0))</f>
        <v>4</v>
      </c>
      <c r="AE769" s="23" t="n">
        <f aca="false">MATCH($B769&amp;"|"&amp;$C769,Profils!$A$5:$A$34,0)</f>
        <v>25</v>
      </c>
      <c r="AF769" s="23" t="n">
        <v>2</v>
      </c>
      <c r="AG769" s="24" t="n">
        <f aca="false" t="array" ref="AG769:AG769">INDEX(Paramètres!$C$6:$C$12,$AF769)</f>
        <v>1.2</v>
      </c>
      <c r="AH769" s="23" t="n">
        <f aca="false" t="array" ref="AH769:AH769">INDEX(Paramètres!$D$6:$D$12,$AF769)</f>
        <v>3</v>
      </c>
      <c r="AI769" s="23" t="n">
        <f aca="false" t="array" ref="AI769:AI769">INDEX(Matériaux!$C$16:$C$20,$D769)</f>
        <v>25</v>
      </c>
      <c r="AJ769" s="25" t="n">
        <f aca="false">Paramètres!$B$16+(1-Paramètres!$B$16)*(($J769-Paramètres!$B$14)/(Paramètres!$B$15-Paramètres!$B$14))^Paramètres!$B$17</f>
        <v>0.458504333336152</v>
      </c>
    </row>
    <row r="770" customFormat="false" ht="15.75" hidden="false" customHeight="true" outlineLevel="0" collapsed="false">
      <c r="A770" s="14" t="s">
        <v>886</v>
      </c>
      <c r="B770" s="15" t="s">
        <v>31</v>
      </c>
      <c r="C770" s="15" t="s">
        <v>241</v>
      </c>
      <c r="D770" s="16" t="n">
        <v>4</v>
      </c>
      <c r="E770" s="15" t="str">
        <f aca="false" t="array" ref="E770:E770">INDEX(Matériaux!$B$5:$F$12,MATCH(INDEX(Profils!$E$5:$E$34,$AE770),Matériaux!$A$5:$A$12,0),$D770)</f>
        <v>platine</v>
      </c>
      <c r="F770" s="27" t="s">
        <v>113</v>
      </c>
      <c r="G770" s="10" t="str">
        <f aca="false" t="array" ref="G770:G770">INDEX(Profils!$D$5:$D$34,$AE770)&amp;" en "&amp;$E770</f>
        <v>Pendentif en platine</v>
      </c>
      <c r="H770" s="16" t="n">
        <f aca="false" t="array" ref="H770:H770">INDEX(Matériaux!$B$16:$B$20,$D770)</f>
        <v>50</v>
      </c>
      <c r="I770" s="16" t="n">
        <f aca="false">IF(ISNUMBER($C$3),MIN(MAX(0,ROUND($C$3,0)),$AI770),$AI770)</f>
        <v>0</v>
      </c>
      <c r="J770" s="18" t="n">
        <f aca="false">$H770+$I770</f>
        <v>50</v>
      </c>
      <c r="K770" s="15" t="s">
        <v>109</v>
      </c>
      <c r="L770" s="19" t="n">
        <f aca="false" t="array" ref="L770:L770">IF(AND(INDEX(Profils!$F$5:$F$34,$AE770)&gt;0,INDEX(Profils!$U$5:$U$34,$AE770)&lt;=$AH770),ROUND(INDEX(Profils!$F$5:$F$34,$AE770)*Paramètres!$E$22*$AG770*$AJ770,Paramètres!$F$22),0)</f>
        <v>0</v>
      </c>
      <c r="M770" s="19" t="n">
        <f aca="false" t="array" ref="M770:M770">IF(AND(INDEX(Profils!$G$5:$G$34,$AE770)&gt;0,INDEX(Profils!$V$5:$V$34,$AE770)&lt;=$AH770),ROUND(INDEX(Profils!$G$5:$G$34,$AE770)*Paramètres!$E$23*$AG770*$AJ770,Paramètres!$F$23),0)</f>
        <v>0</v>
      </c>
      <c r="N770" s="19" t="n">
        <f aca="false" t="array" ref="N770:N770">IF(AND(INDEX(Profils!$H$5:$H$34,$AE770)&gt;0,INDEX(Profils!$W$5:$W$34,$AE770)&lt;=$AH770),ROUND(INDEX(Profils!$H$5:$H$34,$AE770)*Paramètres!$E$24*$AG770*$AJ770,Paramètres!$F$24),0)</f>
        <v>0</v>
      </c>
      <c r="O770" s="19" t="n">
        <f aca="false" t="array" ref="O770:O770">IF(AND(INDEX(Profils!$I$5:$I$34,$AE770)&gt;0,INDEX(Profils!$X$5:$X$34,$AE770)&lt;=$AH770),ROUND(INDEX(Profils!$I$5:$I$34,$AE770)*Paramètres!$E$25*$AG770*$AJ770,Paramètres!$F$25),0)</f>
        <v>0</v>
      </c>
      <c r="P770" s="19" t="n">
        <f aca="false" t="array" ref="P770:P770">IF(AND(INDEX(Profils!$J$5:$J$34,$AE770)&gt;0,INDEX(Profils!$Y$5:$Y$34,$AE770)&lt;=$AH770),ROUND(INDEX(Profils!$J$5:$J$34,$AE770)*Paramètres!$E$26*$AG770*$AJ770,Paramètres!$F$26),0)</f>
        <v>10</v>
      </c>
      <c r="Q770" s="19" t="n">
        <f aca="false" t="array" ref="Q770:Q770">IF(AND(INDEX(Profils!$K$5:$K$34,$AE770)&gt;0,INDEX(Profils!$Z$5:$Z$34,$AE770)&lt;=$AH770),ROUND(INDEX(Profils!$K$5:$K$34,$AE770)*Paramètres!$E$27*$AG770*$AJ770,Paramètres!$F$27),0)</f>
        <v>0</v>
      </c>
      <c r="R770" s="20" t="n">
        <f aca="false" t="array" ref="R770:R770">IF(AND(INDEX(Profils!$L$5:$L$34,$AE770)&gt;0,INDEX(Profils!$AA$5:$AA$34,$AE770)&lt;=$AH770),ROUND(INDEX(Profils!$L$5:$L$34,$AE770)*Paramètres!$E$28*$AG770*$AJ770,Paramètres!$F$28),0)</f>
        <v>0.009</v>
      </c>
      <c r="S770" s="20" t="n">
        <f aca="false" t="array" ref="S770:S770">IF(AND(INDEX(Profils!$M$5:$M$34,$AE770)&gt;0,INDEX(Profils!$AB$5:$AB$34,$AE770)&lt;=$AH770),ROUND(INDEX(Profils!$M$5:$M$34,$AE770)*Paramètres!$E$29*$AG770*$AJ770,Paramètres!$F$29),0)</f>
        <v>0.008</v>
      </c>
      <c r="T770" s="20" t="n">
        <f aca="false" t="array" ref="T770:T770">IF(AND(INDEX(Profils!$N$5:$N$34,$AE770)&gt;0,INDEX(Profils!$AC$5:$AC$34,$AE770)&lt;=$AH770),ROUND(INDEX(Profils!$N$5:$N$34,$AE770)*Paramètres!$E$30*$AG770*$AJ770,Paramètres!$F$30),0)</f>
        <v>0.02</v>
      </c>
      <c r="U770" s="19" t="n">
        <f aca="false" t="array" ref="U770:U770">IF(AND(INDEX(Profils!$O$5:$O$34,$AE770)&gt;0,INDEX(Profils!$AD$5:$AD$34,$AE770)&lt;=$AH770),ROUND(INDEX(Profils!$O$5:$O$34,$AE770)*Paramètres!$E$31*$AG770*$AJ770,Paramètres!$F$31),0)</f>
        <v>0</v>
      </c>
      <c r="V770" s="20" t="n">
        <f aca="false" t="array" ref="V770:V770">IF(AND(INDEX(Profils!$P$5:$P$34,$AE770)&gt;0,INDEX(Profils!$AE$5:$AE$34,$AE770)&lt;=$AH770),ROUND(INDEX(Profils!$P$5:$P$34,$AE770)*Paramètres!$E$32*$AG770*$AJ770,Paramètres!$F$32),0)</f>
        <v>0</v>
      </c>
      <c r="W770" s="20" t="n">
        <f aca="false" t="array" ref="W770:W770">IF(AND(INDEX(Profils!$Q$5:$Q$34,$AE770)&gt;0,INDEX(Profils!$AF$5:$AF$34,$AE770)&lt;=$AH770),ROUND(INDEX(Profils!$Q$5:$Q$34,$AE770)*Paramètres!$E$33*$AG770*$AJ770,Paramètres!$F$33),0)</f>
        <v>0</v>
      </c>
      <c r="X770" s="20" t="n">
        <f aca="false" t="array" ref="X770:X770">IF(AND(INDEX(Profils!$R$5:$R$34,$AE770)&gt;0,INDEX(Profils!$AG$5:$AG$34,$AE770)&lt;=$AH770),ROUND(INDEX(Profils!$R$5:$R$34,$AE770)*Paramètres!$E$34*$AG770*$AJ770,Paramètres!$F$34),0)</f>
        <v>0</v>
      </c>
      <c r="Y770" s="20" t="n">
        <f aca="false" t="array" ref="Y770:Y770">IF(AND(INDEX(Profils!$S$5:$S$34,$AE770)&gt;0,INDEX(Profils!$AH$5:$AH$34,$AE770)&lt;=$AH770),ROUND(INDEX(Profils!$S$5:$S$34,$AE770)*Paramètres!$E$35*$AG770*$AJ770,Paramètres!$F$35),0)</f>
        <v>0</v>
      </c>
      <c r="Z770" s="21" t="n">
        <f aca="false">ROUND(L770/Paramètres!$E$22+M770/Paramètres!$E$23+N770/Paramètres!$E$24+O770/Paramètres!$E$25+P770/Paramètres!$E$26+Q770/Paramètres!$E$27+R770/Paramètres!$E$28+S770/Paramètres!$E$29+T770/Paramètres!$E$30+U770/Paramètres!$E$31+V770/Paramètres!$E$32+W770/Paramètres!$E$33+X770/Paramètres!$E$34+Y770/Paramètres!$E$35,1)</f>
        <v>2.8</v>
      </c>
      <c r="AA770" s="22" t="s">
        <v>109</v>
      </c>
      <c r="AB770" s="22" t="s">
        <v>109</v>
      </c>
      <c r="AC770" s="15" t="str">
        <f aca="false">$E770</f>
        <v>platine</v>
      </c>
      <c r="AD770" s="16" t="n">
        <f aca="false" t="array" ref="AD770:AD770">IF($I770&gt;=$AI770,"Max",ROUND(Paramètres!$B$40*($I770+1)^Paramètres!$B$41*INDEX(Paramètres!$H$6:$H$12,$AF770),0))</f>
        <v>4</v>
      </c>
      <c r="AE770" s="23" t="n">
        <f aca="false">MATCH($B770&amp;"|"&amp;$C770,Profils!$A$5:$A$34,0)</f>
        <v>25</v>
      </c>
      <c r="AF770" s="23" t="n">
        <v>3</v>
      </c>
      <c r="AG770" s="24" t="n">
        <f aca="false" t="array" ref="AG770:AG770">INDEX(Paramètres!$C$6:$C$12,$AF770)</f>
        <v>1.45</v>
      </c>
      <c r="AH770" s="23" t="n">
        <f aca="false" t="array" ref="AH770:AH770">INDEX(Paramètres!$D$6:$D$12,$AF770)</f>
        <v>4</v>
      </c>
      <c r="AI770" s="23" t="n">
        <f aca="false" t="array" ref="AI770:AI770">INDEX(Matériaux!$C$16:$C$20,$D770)</f>
        <v>25</v>
      </c>
      <c r="AJ770" s="25" t="n">
        <f aca="false">Paramètres!$B$16+(1-Paramètres!$B$16)*(($J770-Paramètres!$B$14)/(Paramètres!$B$15-Paramètres!$B$14))^Paramètres!$B$17</f>
        <v>0.458504333336152</v>
      </c>
    </row>
    <row r="771" customFormat="false" ht="15.75" hidden="false" customHeight="true" outlineLevel="0" collapsed="false">
      <c r="A771" s="14" t="s">
        <v>887</v>
      </c>
      <c r="B771" s="15" t="s">
        <v>31</v>
      </c>
      <c r="C771" s="15" t="s">
        <v>241</v>
      </c>
      <c r="D771" s="16" t="n">
        <v>4</v>
      </c>
      <c r="E771" s="15" t="str">
        <f aca="false" t="array" ref="E771:E771">INDEX(Matériaux!$B$5:$F$12,MATCH(INDEX(Profils!$E$5:$E$34,$AE771),Matériaux!$A$5:$A$12,0),$D771)</f>
        <v>platine</v>
      </c>
      <c r="F771" s="28" t="s">
        <v>115</v>
      </c>
      <c r="G771" s="10" t="str">
        <f aca="false" t="array" ref="G771:G771">INDEX(Profils!$D$5:$D$34,$AE771)&amp;" en "&amp;$E771</f>
        <v>Pendentif en platine</v>
      </c>
      <c r="H771" s="16" t="n">
        <f aca="false" t="array" ref="H771:H771">INDEX(Matériaux!$B$16:$B$20,$D771)</f>
        <v>50</v>
      </c>
      <c r="I771" s="16" t="n">
        <f aca="false">IF(ISNUMBER($C$3),MIN(MAX(0,ROUND($C$3,0)),$AI771),$AI771)</f>
        <v>0</v>
      </c>
      <c r="J771" s="18" t="n">
        <f aca="false">$H771+$I771</f>
        <v>50</v>
      </c>
      <c r="K771" s="15" t="s">
        <v>109</v>
      </c>
      <c r="L771" s="19" t="n">
        <f aca="false" t="array" ref="L771:L771">IF(AND(INDEX(Profils!$F$5:$F$34,$AE771)&gt;0,INDEX(Profils!$U$5:$U$34,$AE771)&lt;=$AH771),ROUND(INDEX(Profils!$F$5:$F$34,$AE771)*Paramètres!$E$22*$AG771*$AJ771,Paramètres!$F$22),0)</f>
        <v>16</v>
      </c>
      <c r="M771" s="19" t="n">
        <f aca="false" t="array" ref="M771:M771">IF(AND(INDEX(Profils!$G$5:$G$34,$AE771)&gt;0,INDEX(Profils!$V$5:$V$34,$AE771)&lt;=$AH771),ROUND(INDEX(Profils!$G$5:$G$34,$AE771)*Paramètres!$E$23*$AG771*$AJ771,Paramètres!$F$23),0)</f>
        <v>0</v>
      </c>
      <c r="N771" s="19" t="n">
        <f aca="false" t="array" ref="N771:N771">IF(AND(INDEX(Profils!$H$5:$H$34,$AE771)&gt;0,INDEX(Profils!$W$5:$W$34,$AE771)&lt;=$AH771),ROUND(INDEX(Profils!$H$5:$H$34,$AE771)*Paramètres!$E$24*$AG771*$AJ771,Paramètres!$F$24),0)</f>
        <v>0</v>
      </c>
      <c r="O771" s="19" t="n">
        <f aca="false" t="array" ref="O771:O771">IF(AND(INDEX(Profils!$I$5:$I$34,$AE771)&gt;0,INDEX(Profils!$X$5:$X$34,$AE771)&lt;=$AH771),ROUND(INDEX(Profils!$I$5:$I$34,$AE771)*Paramètres!$E$25*$AG771*$AJ771,Paramètres!$F$25),0)</f>
        <v>0</v>
      </c>
      <c r="P771" s="19" t="n">
        <f aca="false" t="array" ref="P771:P771">IF(AND(INDEX(Profils!$J$5:$J$34,$AE771)&gt;0,INDEX(Profils!$Y$5:$Y$34,$AE771)&lt;=$AH771),ROUND(INDEX(Profils!$J$5:$J$34,$AE771)*Paramètres!$E$26*$AG771*$AJ771,Paramètres!$F$26),0)</f>
        <v>12</v>
      </c>
      <c r="Q771" s="19" t="n">
        <f aca="false" t="array" ref="Q771:Q771">IF(AND(INDEX(Profils!$K$5:$K$34,$AE771)&gt;0,INDEX(Profils!$Z$5:$Z$34,$AE771)&lt;=$AH771),ROUND(INDEX(Profils!$K$5:$K$34,$AE771)*Paramètres!$E$27*$AG771*$AJ771,Paramètres!$F$27),0)</f>
        <v>0</v>
      </c>
      <c r="R771" s="20" t="n">
        <f aca="false" t="array" ref="R771:R771">IF(AND(INDEX(Profils!$L$5:$L$34,$AE771)&gt;0,INDEX(Profils!$AA$5:$AA$34,$AE771)&lt;=$AH771),ROUND(INDEX(Profils!$L$5:$L$34,$AE771)*Paramètres!$E$28*$AG771*$AJ771,Paramètres!$F$28),0)</f>
        <v>0.011</v>
      </c>
      <c r="S771" s="20" t="n">
        <f aca="false" t="array" ref="S771:S771">IF(AND(INDEX(Profils!$M$5:$M$34,$AE771)&gt;0,INDEX(Profils!$AB$5:$AB$34,$AE771)&lt;=$AH771),ROUND(INDEX(Profils!$M$5:$M$34,$AE771)*Paramètres!$E$29*$AG771*$AJ771,Paramètres!$F$29),0)</f>
        <v>0.01</v>
      </c>
      <c r="T771" s="20" t="n">
        <f aca="false" t="array" ref="T771:T771">IF(AND(INDEX(Profils!$N$5:$N$34,$AE771)&gt;0,INDEX(Profils!$AC$5:$AC$34,$AE771)&lt;=$AH771),ROUND(INDEX(Profils!$N$5:$N$34,$AE771)*Paramètres!$E$30*$AG771*$AJ771,Paramètres!$F$30),0)</f>
        <v>0.024</v>
      </c>
      <c r="U771" s="19" t="n">
        <f aca="false" t="array" ref="U771:U771">IF(AND(INDEX(Profils!$O$5:$O$34,$AE771)&gt;0,INDEX(Profils!$AD$5:$AD$34,$AE771)&lt;=$AH771),ROUND(INDEX(Profils!$O$5:$O$34,$AE771)*Paramètres!$E$31*$AG771*$AJ771,Paramètres!$F$31),0)</f>
        <v>0</v>
      </c>
      <c r="V771" s="20" t="n">
        <f aca="false" t="array" ref="V771:V771">IF(AND(INDEX(Profils!$P$5:$P$34,$AE771)&gt;0,INDEX(Profils!$AE$5:$AE$34,$AE771)&lt;=$AH771),ROUND(INDEX(Profils!$P$5:$P$34,$AE771)*Paramètres!$E$32*$AG771*$AJ771,Paramètres!$F$32),0)</f>
        <v>0</v>
      </c>
      <c r="W771" s="20" t="n">
        <f aca="false" t="array" ref="W771:W771">IF(AND(INDEX(Profils!$Q$5:$Q$34,$AE771)&gt;0,INDEX(Profils!$AF$5:$AF$34,$AE771)&lt;=$AH771),ROUND(INDEX(Profils!$Q$5:$Q$34,$AE771)*Paramètres!$E$33*$AG771*$AJ771,Paramètres!$F$33),0)</f>
        <v>0</v>
      </c>
      <c r="X771" s="20" t="n">
        <f aca="false" t="array" ref="X771:X771">IF(AND(INDEX(Profils!$R$5:$R$34,$AE771)&gt;0,INDEX(Profils!$AG$5:$AG$34,$AE771)&lt;=$AH771),ROUND(INDEX(Profils!$R$5:$R$34,$AE771)*Paramètres!$E$34*$AG771*$AJ771,Paramètres!$F$34),0)</f>
        <v>0</v>
      </c>
      <c r="Y771" s="20" t="n">
        <f aca="false" t="array" ref="Y771:Y771">IF(AND(INDEX(Profils!$S$5:$S$34,$AE771)&gt;0,INDEX(Profils!$AH$5:$AH$34,$AE771)&lt;=$AH771),ROUND(INDEX(Profils!$S$5:$S$34,$AE771)*Paramètres!$E$35*$AG771*$AJ771,Paramètres!$F$35),0)</f>
        <v>0</v>
      </c>
      <c r="Z771" s="21" t="n">
        <f aca="false">ROUND(L771/Paramètres!$E$22+M771/Paramètres!$E$23+N771/Paramètres!$E$24+O771/Paramètres!$E$25+P771/Paramètres!$E$26+Q771/Paramètres!$E$27+R771/Paramètres!$E$28+S771/Paramètres!$E$29+T771/Paramètres!$E$30+U771/Paramètres!$E$31+V771/Paramètres!$E$32+W771/Paramètres!$E$33+X771/Paramètres!$E$34+Y771/Paramètres!$E$35,1)</f>
        <v>4</v>
      </c>
      <c r="AA771" s="22" t="s">
        <v>109</v>
      </c>
      <c r="AB771" s="22" t="s">
        <v>109</v>
      </c>
      <c r="AC771" s="15" t="str">
        <f aca="false">$E771</f>
        <v>platine</v>
      </c>
      <c r="AD771" s="16" t="n">
        <f aca="false" t="array" ref="AD771:AD771">IF($I771&gt;=$AI771,"Max",ROUND(Paramètres!$B$40*($I771+1)^Paramètres!$B$41*INDEX(Paramètres!$H$6:$H$12,$AF771),0))</f>
        <v>5</v>
      </c>
      <c r="AE771" s="23" t="n">
        <f aca="false">MATCH($B771&amp;"|"&amp;$C771,Profils!$A$5:$A$34,0)</f>
        <v>25</v>
      </c>
      <c r="AF771" s="23" t="n">
        <v>4</v>
      </c>
      <c r="AG771" s="24" t="n">
        <f aca="false" t="array" ref="AG771:AG771">INDEX(Paramètres!$C$6:$C$12,$AF771)</f>
        <v>1.75</v>
      </c>
      <c r="AH771" s="23" t="n">
        <f aca="false" t="array" ref="AH771:AH771">INDEX(Paramètres!$D$6:$D$12,$AF771)</f>
        <v>5</v>
      </c>
      <c r="AI771" s="23" t="n">
        <f aca="false" t="array" ref="AI771:AI771">INDEX(Matériaux!$C$16:$C$20,$D771)</f>
        <v>25</v>
      </c>
      <c r="AJ771" s="25" t="n">
        <f aca="false">Paramètres!$B$16+(1-Paramètres!$B$16)*(($J771-Paramètres!$B$14)/(Paramètres!$B$15-Paramètres!$B$14))^Paramètres!$B$17</f>
        <v>0.458504333336152</v>
      </c>
    </row>
    <row r="772" customFormat="false" ht="15.75" hidden="false" customHeight="true" outlineLevel="0" collapsed="false">
      <c r="A772" s="14" t="s">
        <v>888</v>
      </c>
      <c r="B772" s="15" t="s">
        <v>31</v>
      </c>
      <c r="C772" s="15" t="s">
        <v>241</v>
      </c>
      <c r="D772" s="16" t="n">
        <v>4</v>
      </c>
      <c r="E772" s="15" t="str">
        <f aca="false" t="array" ref="E772:E772">INDEX(Matériaux!$B$5:$F$12,MATCH(INDEX(Profils!$E$5:$E$34,$AE772),Matériaux!$A$5:$A$12,0),$D772)</f>
        <v>platine</v>
      </c>
      <c r="F772" s="29" t="s">
        <v>117</v>
      </c>
      <c r="G772" s="10" t="str">
        <f aca="false" t="array" ref="G772:G772">INDEX(Profils!$D$5:$D$34,$AE772)&amp;" en "&amp;$E772</f>
        <v>Pendentif en platine</v>
      </c>
      <c r="H772" s="16" t="n">
        <f aca="false" t="array" ref="H772:H772">INDEX(Matériaux!$B$16:$B$20,$D772)</f>
        <v>50</v>
      </c>
      <c r="I772" s="16" t="n">
        <f aca="false">IF(ISNUMBER($C$3),MIN(MAX(0,ROUND($C$3,0)),$AI772),$AI772)</f>
        <v>0</v>
      </c>
      <c r="J772" s="18" t="n">
        <f aca="false">$H772+$I772</f>
        <v>50</v>
      </c>
      <c r="K772" s="15" t="s">
        <v>109</v>
      </c>
      <c r="L772" s="19" t="n">
        <f aca="false" t="array" ref="L772:L772">IF(AND(INDEX(Profils!$F$5:$F$34,$AE772)&gt;0,INDEX(Profils!$U$5:$U$34,$AE772)&lt;=$AH772),ROUND(INDEX(Profils!$F$5:$F$34,$AE772)*Paramètres!$E$22*$AG772*$AJ772,Paramètres!$F$22),0)</f>
        <v>19</v>
      </c>
      <c r="M772" s="19" t="n">
        <f aca="false" t="array" ref="M772:M772">IF(AND(INDEX(Profils!$G$5:$G$34,$AE772)&gt;0,INDEX(Profils!$V$5:$V$34,$AE772)&lt;=$AH772),ROUND(INDEX(Profils!$G$5:$G$34,$AE772)*Paramètres!$E$23*$AG772*$AJ772,Paramètres!$F$23),0)</f>
        <v>0</v>
      </c>
      <c r="N772" s="19" t="n">
        <f aca="false" t="array" ref="N772:N772">IF(AND(INDEX(Profils!$H$5:$H$34,$AE772)&gt;0,INDEX(Profils!$W$5:$W$34,$AE772)&lt;=$AH772),ROUND(INDEX(Profils!$H$5:$H$34,$AE772)*Paramètres!$E$24*$AG772*$AJ772,Paramètres!$F$24),0)</f>
        <v>0</v>
      </c>
      <c r="O772" s="19" t="n">
        <f aca="false" t="array" ref="O772:O772">IF(AND(INDEX(Profils!$I$5:$I$34,$AE772)&gt;0,INDEX(Profils!$X$5:$X$34,$AE772)&lt;=$AH772),ROUND(INDEX(Profils!$I$5:$I$34,$AE772)*Paramètres!$E$25*$AG772*$AJ772,Paramètres!$F$25),0)</f>
        <v>0</v>
      </c>
      <c r="P772" s="19" t="n">
        <f aca="false" t="array" ref="P772:P772">IF(AND(INDEX(Profils!$J$5:$J$34,$AE772)&gt;0,INDEX(Profils!$Y$5:$Y$34,$AE772)&lt;=$AH772),ROUND(INDEX(Profils!$J$5:$J$34,$AE772)*Paramètres!$E$26*$AG772*$AJ772,Paramètres!$F$26),0)</f>
        <v>14</v>
      </c>
      <c r="Q772" s="19" t="n">
        <f aca="false" t="array" ref="Q772:Q772">IF(AND(INDEX(Profils!$K$5:$K$34,$AE772)&gt;0,INDEX(Profils!$Z$5:$Z$34,$AE772)&lt;=$AH772),ROUND(INDEX(Profils!$K$5:$K$34,$AE772)*Paramètres!$E$27*$AG772*$AJ772,Paramètres!$F$27),0)</f>
        <v>0</v>
      </c>
      <c r="R772" s="20" t="n">
        <f aca="false" t="array" ref="R772:R772">IF(AND(INDEX(Profils!$L$5:$L$34,$AE772)&gt;0,INDEX(Profils!$AA$5:$AA$34,$AE772)&lt;=$AH772),ROUND(INDEX(Profils!$L$5:$L$34,$AE772)*Paramètres!$E$28*$AG772*$AJ772,Paramètres!$F$28),0)</f>
        <v>0.013</v>
      </c>
      <c r="S772" s="20" t="n">
        <f aca="false" t="array" ref="S772:S772">IF(AND(INDEX(Profils!$M$5:$M$34,$AE772)&gt;0,INDEX(Profils!$AB$5:$AB$34,$AE772)&lt;=$AH772),ROUND(INDEX(Profils!$M$5:$M$34,$AE772)*Paramètres!$E$29*$AG772*$AJ772,Paramètres!$F$29),0)</f>
        <v>0.012</v>
      </c>
      <c r="T772" s="20" t="n">
        <f aca="false" t="array" ref="T772:T772">IF(AND(INDEX(Profils!$N$5:$N$34,$AE772)&gt;0,INDEX(Profils!$AC$5:$AC$34,$AE772)&lt;=$AH772),ROUND(INDEX(Profils!$N$5:$N$34,$AE772)*Paramètres!$E$30*$AG772*$AJ772,Paramètres!$F$30),0)</f>
        <v>0.029</v>
      </c>
      <c r="U772" s="19" t="n">
        <f aca="false" t="array" ref="U772:U772">IF(AND(INDEX(Profils!$O$5:$O$34,$AE772)&gt;0,INDEX(Profils!$AD$5:$AD$34,$AE772)&lt;=$AH772),ROUND(INDEX(Profils!$O$5:$O$34,$AE772)*Paramètres!$E$31*$AG772*$AJ772,Paramètres!$F$31),0)</f>
        <v>0</v>
      </c>
      <c r="V772" s="20" t="n">
        <f aca="false" t="array" ref="V772:V772">IF(AND(INDEX(Profils!$P$5:$P$34,$AE772)&gt;0,INDEX(Profils!$AE$5:$AE$34,$AE772)&lt;=$AH772),ROUND(INDEX(Profils!$P$5:$P$34,$AE772)*Paramètres!$E$32*$AG772*$AJ772,Paramètres!$F$32),0)</f>
        <v>0</v>
      </c>
      <c r="W772" s="20" t="n">
        <f aca="false" t="array" ref="W772:W772">IF(AND(INDEX(Profils!$Q$5:$Q$34,$AE772)&gt;0,INDEX(Profils!$AF$5:$AF$34,$AE772)&lt;=$AH772),ROUND(INDEX(Profils!$Q$5:$Q$34,$AE772)*Paramètres!$E$33*$AG772*$AJ772,Paramètres!$F$33),0)</f>
        <v>0.01</v>
      </c>
      <c r="X772" s="20" t="n">
        <f aca="false" t="array" ref="X772:X772">IF(AND(INDEX(Profils!$R$5:$R$34,$AE772)&gt;0,INDEX(Profils!$AG$5:$AG$34,$AE772)&lt;=$AH772),ROUND(INDEX(Profils!$R$5:$R$34,$AE772)*Paramètres!$E$34*$AG772*$AJ772,Paramètres!$F$34),0)</f>
        <v>0</v>
      </c>
      <c r="Y772" s="20" t="n">
        <f aca="false" t="array" ref="Y772:Y772">IF(AND(INDEX(Profils!$S$5:$S$34,$AE772)&gt;0,INDEX(Profils!$AH$5:$AH$34,$AE772)&lt;=$AH772),ROUND(INDEX(Profils!$S$5:$S$34,$AE772)*Paramètres!$E$35*$AG772*$AJ772,Paramètres!$F$35),0)</f>
        <v>0</v>
      </c>
      <c r="Z772" s="21" t="n">
        <f aca="false">ROUND(L772/Paramètres!$E$22+M772/Paramètres!$E$23+N772/Paramètres!$E$24+O772/Paramètres!$E$25+P772/Paramètres!$E$26+Q772/Paramètres!$E$27+R772/Paramètres!$E$28+S772/Paramètres!$E$29+T772/Paramètres!$E$30+U772/Paramètres!$E$31+V772/Paramètres!$E$32+W772/Paramètres!$E$33+X772/Paramètres!$E$34+Y772/Paramètres!$E$35,1)</f>
        <v>5.4</v>
      </c>
      <c r="AA772" s="22" t="s">
        <v>109</v>
      </c>
      <c r="AB772" s="22" t="s">
        <v>109</v>
      </c>
      <c r="AC772" s="15" t="str">
        <f aca="false">$E772</f>
        <v>platine</v>
      </c>
      <c r="AD772" s="16" t="n">
        <f aca="false" t="array" ref="AD772:AD772">IF($I772&gt;=$AI772,"Max",ROUND(Paramètres!$B$40*($I772+1)^Paramètres!$B$41*INDEX(Paramètres!$H$6:$H$12,$AF772),0))</f>
        <v>6</v>
      </c>
      <c r="AE772" s="23" t="n">
        <f aca="false">MATCH($B772&amp;"|"&amp;$C772,Profils!$A$5:$A$34,0)</f>
        <v>25</v>
      </c>
      <c r="AF772" s="23" t="n">
        <v>5</v>
      </c>
      <c r="AG772" s="24" t="n">
        <f aca="false" t="array" ref="AG772:AG772">INDEX(Paramètres!$C$6:$C$12,$AF772)</f>
        <v>2.1</v>
      </c>
      <c r="AH772" s="23" t="n">
        <f aca="false" t="array" ref="AH772:AH772">INDEX(Paramètres!$D$6:$D$12,$AF772)</f>
        <v>6</v>
      </c>
      <c r="AI772" s="23" t="n">
        <f aca="false" t="array" ref="AI772:AI772">INDEX(Matériaux!$C$16:$C$20,$D772)</f>
        <v>25</v>
      </c>
      <c r="AJ772" s="25" t="n">
        <f aca="false">Paramètres!$B$16+(1-Paramètres!$B$16)*(($J772-Paramètres!$B$14)/(Paramètres!$B$15-Paramètres!$B$14))^Paramètres!$B$17</f>
        <v>0.458504333336152</v>
      </c>
    </row>
    <row r="773" customFormat="false" ht="15.75" hidden="false" customHeight="true" outlineLevel="0" collapsed="false">
      <c r="A773" s="14" t="s">
        <v>889</v>
      </c>
      <c r="B773" s="15" t="s">
        <v>31</v>
      </c>
      <c r="C773" s="15" t="s">
        <v>241</v>
      </c>
      <c r="D773" s="16" t="n">
        <v>4</v>
      </c>
      <c r="E773" s="15" t="str">
        <f aca="false" t="array" ref="E773:E773">INDEX(Matériaux!$B$5:$F$12,MATCH(INDEX(Profils!$E$5:$E$34,$AE773),Matériaux!$A$5:$A$12,0),$D773)</f>
        <v>platine</v>
      </c>
      <c r="F773" s="30" t="s">
        <v>119</v>
      </c>
      <c r="G773" s="10" t="str">
        <f aca="false" t="array" ref="G773:G773">INDEX(Profils!$D$5:$D$34,$AE773)&amp;" en "&amp;$E773</f>
        <v>Pendentif en platine</v>
      </c>
      <c r="H773" s="16" t="n">
        <f aca="false" t="array" ref="H773:H773">INDEX(Matériaux!$B$16:$B$20,$D773)</f>
        <v>50</v>
      </c>
      <c r="I773" s="16" t="n">
        <f aca="false">IF(ISNUMBER($C$3),MIN(MAX(0,ROUND($C$3,0)),$AI773),$AI773)</f>
        <v>0</v>
      </c>
      <c r="J773" s="18" t="n">
        <f aca="false">$H773+$I773</f>
        <v>50</v>
      </c>
      <c r="K773" s="15" t="s">
        <v>109</v>
      </c>
      <c r="L773" s="19" t="n">
        <f aca="false" t="array" ref="L773:L773">IF(AND(INDEX(Profils!$F$5:$F$34,$AE773)&gt;0,INDEX(Profils!$U$5:$U$34,$AE773)&lt;=$AH773),ROUND(INDEX(Profils!$F$5:$F$34,$AE773)*Paramètres!$E$22*$AG773*$AJ773,Paramètres!$F$22),0)</f>
        <v>22</v>
      </c>
      <c r="M773" s="19" t="n">
        <f aca="false" t="array" ref="M773:M773">IF(AND(INDEX(Profils!$G$5:$G$34,$AE773)&gt;0,INDEX(Profils!$V$5:$V$34,$AE773)&lt;=$AH773),ROUND(INDEX(Profils!$G$5:$G$34,$AE773)*Paramètres!$E$23*$AG773*$AJ773,Paramètres!$F$23),0)</f>
        <v>0</v>
      </c>
      <c r="N773" s="19" t="n">
        <f aca="false" t="array" ref="N773:N773">IF(AND(INDEX(Profils!$H$5:$H$34,$AE773)&gt;0,INDEX(Profils!$W$5:$W$34,$AE773)&lt;=$AH773),ROUND(INDEX(Profils!$H$5:$H$34,$AE773)*Paramètres!$E$24*$AG773*$AJ773,Paramètres!$F$24),0)</f>
        <v>0</v>
      </c>
      <c r="O773" s="19" t="n">
        <f aca="false" t="array" ref="O773:O773">IF(AND(INDEX(Profils!$I$5:$I$34,$AE773)&gt;0,INDEX(Profils!$X$5:$X$34,$AE773)&lt;=$AH773),ROUND(INDEX(Profils!$I$5:$I$34,$AE773)*Paramètres!$E$25*$AG773*$AJ773,Paramètres!$F$25),0)</f>
        <v>0</v>
      </c>
      <c r="P773" s="19" t="n">
        <f aca="false" t="array" ref="P773:P773">IF(AND(INDEX(Profils!$J$5:$J$34,$AE773)&gt;0,INDEX(Profils!$Y$5:$Y$34,$AE773)&lt;=$AH773),ROUND(INDEX(Profils!$J$5:$J$34,$AE773)*Paramètres!$E$26*$AG773*$AJ773,Paramètres!$F$26),0)</f>
        <v>16</v>
      </c>
      <c r="Q773" s="19" t="n">
        <f aca="false" t="array" ref="Q773:Q773">IF(AND(INDEX(Profils!$K$5:$K$34,$AE773)&gt;0,INDEX(Profils!$Z$5:$Z$34,$AE773)&lt;=$AH773),ROUND(INDEX(Profils!$K$5:$K$34,$AE773)*Paramètres!$E$27*$AG773*$AJ773,Paramètres!$F$27),0)</f>
        <v>0</v>
      </c>
      <c r="R773" s="20" t="n">
        <f aca="false" t="array" ref="R773:R773">IF(AND(INDEX(Profils!$L$5:$L$34,$AE773)&gt;0,INDEX(Profils!$AA$5:$AA$34,$AE773)&lt;=$AH773),ROUND(INDEX(Profils!$L$5:$L$34,$AE773)*Paramètres!$E$28*$AG773*$AJ773,Paramètres!$F$28),0)</f>
        <v>0.015</v>
      </c>
      <c r="S773" s="20" t="n">
        <f aca="false" t="array" ref="S773:S773">IF(AND(INDEX(Profils!$M$5:$M$34,$AE773)&gt;0,INDEX(Profils!$AB$5:$AB$34,$AE773)&lt;=$AH773),ROUND(INDEX(Profils!$M$5:$M$34,$AE773)*Paramètres!$E$29*$AG773*$AJ773,Paramètres!$F$29),0)</f>
        <v>0.013</v>
      </c>
      <c r="T773" s="20" t="n">
        <f aca="false" t="array" ref="T773:T773">IF(AND(INDEX(Profils!$N$5:$N$34,$AE773)&gt;0,INDEX(Profils!$AC$5:$AC$34,$AE773)&lt;=$AH773),ROUND(INDEX(Profils!$N$5:$N$34,$AE773)*Paramètres!$E$30*$AG773*$AJ773,Paramètres!$F$30),0)</f>
        <v>0.033</v>
      </c>
      <c r="U773" s="19" t="n">
        <f aca="false" t="array" ref="U773:U773">IF(AND(INDEX(Profils!$O$5:$O$34,$AE773)&gt;0,INDEX(Profils!$AD$5:$AD$34,$AE773)&lt;=$AH773),ROUND(INDEX(Profils!$O$5:$O$34,$AE773)*Paramètres!$E$31*$AG773*$AJ773,Paramètres!$F$31),0)</f>
        <v>0</v>
      </c>
      <c r="V773" s="20" t="n">
        <f aca="false" t="array" ref="V773:V773">IF(AND(INDEX(Profils!$P$5:$P$34,$AE773)&gt;0,INDEX(Profils!$AE$5:$AE$34,$AE773)&lt;=$AH773),ROUND(INDEX(Profils!$P$5:$P$34,$AE773)*Paramètres!$E$32*$AG773*$AJ773,Paramètres!$F$32),0)</f>
        <v>0</v>
      </c>
      <c r="W773" s="20" t="n">
        <f aca="false" t="array" ref="W773:W773">IF(AND(INDEX(Profils!$Q$5:$Q$34,$AE773)&gt;0,INDEX(Profils!$AF$5:$AF$34,$AE773)&lt;=$AH773),ROUND(INDEX(Profils!$Q$5:$Q$34,$AE773)*Paramètres!$E$33*$AG773*$AJ773,Paramètres!$F$33),0)</f>
        <v>0.012</v>
      </c>
      <c r="X773" s="20" t="n">
        <f aca="false" t="array" ref="X773:X773">IF(AND(INDEX(Profils!$R$5:$R$34,$AE773)&gt;0,INDEX(Profils!$AG$5:$AG$34,$AE773)&lt;=$AH773),ROUND(INDEX(Profils!$R$5:$R$34,$AE773)*Paramètres!$E$34*$AG773*$AJ773,Paramètres!$F$34),0)</f>
        <v>0</v>
      </c>
      <c r="Y773" s="20" t="n">
        <f aca="false" t="array" ref="Y773:Y773">IF(AND(INDEX(Profils!$S$5:$S$34,$AE773)&gt;0,INDEX(Profils!$AH$5:$AH$34,$AE773)&lt;=$AH773),ROUND(INDEX(Profils!$S$5:$S$34,$AE773)*Paramètres!$E$35*$AG773*$AJ773,Paramètres!$F$35),0)</f>
        <v>0.008</v>
      </c>
      <c r="Z773" s="21" t="n">
        <f aca="false">ROUND(L773/Paramètres!$E$22+M773/Paramètres!$E$23+N773/Paramètres!$E$24+O773/Paramètres!$E$25+P773/Paramètres!$E$26+Q773/Paramètres!$E$27+R773/Paramètres!$E$28+S773/Paramètres!$E$29+T773/Paramètres!$E$30+U773/Paramètres!$E$31+V773/Paramètres!$E$32+W773/Paramètres!$E$33+X773/Paramètres!$E$34+Y773/Paramètres!$E$35,1)</f>
        <v>6.7</v>
      </c>
      <c r="AA773" s="22" t="s">
        <v>109</v>
      </c>
      <c r="AB773" s="22" t="s">
        <v>109</v>
      </c>
      <c r="AC773" s="15" t="str">
        <f aca="false">$E773</f>
        <v>platine</v>
      </c>
      <c r="AD773" s="16" t="n">
        <f aca="false" t="array" ref="AD773:AD773">IF($I773&gt;=$AI773,"Max",ROUND(Paramètres!$B$40*($I773+1)^Paramètres!$B$41*INDEX(Paramètres!$H$6:$H$12,$AF773),0))</f>
        <v>8</v>
      </c>
      <c r="AE773" s="23" t="n">
        <f aca="false">MATCH($B773&amp;"|"&amp;$C773,Profils!$A$5:$A$34,0)</f>
        <v>25</v>
      </c>
      <c r="AF773" s="23" t="n">
        <v>6</v>
      </c>
      <c r="AG773" s="24" t="n">
        <f aca="false" t="array" ref="AG773:AG773">INDEX(Paramètres!$C$6:$C$12,$AF773)</f>
        <v>2.4</v>
      </c>
      <c r="AH773" s="23" t="n">
        <f aca="false" t="array" ref="AH773:AH773">INDEX(Paramètres!$D$6:$D$12,$AF773)</f>
        <v>7</v>
      </c>
      <c r="AI773" s="23" t="n">
        <f aca="false" t="array" ref="AI773:AI773">INDEX(Matériaux!$C$16:$C$20,$D773)</f>
        <v>25</v>
      </c>
      <c r="AJ773" s="25" t="n">
        <f aca="false">Paramètres!$B$16+(1-Paramètres!$B$16)*(($J773-Paramètres!$B$14)/(Paramètres!$B$15-Paramètres!$B$14))^Paramètres!$B$17</f>
        <v>0.458504333336152</v>
      </c>
    </row>
    <row r="774" customFormat="false" ht="15.75" hidden="false" customHeight="true" outlineLevel="0" collapsed="false">
      <c r="A774" s="14" t="s">
        <v>890</v>
      </c>
      <c r="B774" s="15" t="s">
        <v>31</v>
      </c>
      <c r="C774" s="15" t="s">
        <v>241</v>
      </c>
      <c r="D774" s="16" t="n">
        <v>5</v>
      </c>
      <c r="E774" s="15" t="str">
        <f aca="false" t="array" ref="E774:E774">INDEX(Matériaux!$B$5:$F$12,MATCH(INDEX(Profils!$E$5:$E$34,$AE774),Matériaux!$A$5:$A$12,0),$D774)</f>
        <v>orichalque</v>
      </c>
      <c r="F774" s="17" t="s">
        <v>108</v>
      </c>
      <c r="G774" s="10" t="str">
        <f aca="false" t="array" ref="G774:G774">INDEX(Profils!$D$5:$D$34,$AE774)&amp;" en "&amp;$E774</f>
        <v>Pendentif en orichalque</v>
      </c>
      <c r="H774" s="16" t="n">
        <f aca="false" t="array" ref="H774:H774">INDEX(Matériaux!$B$16:$B$20,$D774)</f>
        <v>70</v>
      </c>
      <c r="I774" s="16" t="n">
        <f aca="false">IF(ISNUMBER($C$3),MIN(MAX(0,ROUND($C$3,0)),$AI774),$AI774)</f>
        <v>0</v>
      </c>
      <c r="J774" s="18" t="n">
        <f aca="false">$H774+$I774</f>
        <v>70</v>
      </c>
      <c r="K774" s="15" t="s">
        <v>109</v>
      </c>
      <c r="L774" s="19" t="n">
        <f aca="false" t="array" ref="L774:L774">IF(AND(INDEX(Profils!$F$5:$F$34,$AE774)&gt;0,INDEX(Profils!$U$5:$U$34,$AE774)&lt;=$AH774),ROUND(INDEX(Profils!$F$5:$F$34,$AE774)*Paramètres!$E$22*$AG774*$AJ774,Paramètres!$F$22),0)</f>
        <v>0</v>
      </c>
      <c r="M774" s="19" t="n">
        <f aca="false" t="array" ref="M774:M774">IF(AND(INDEX(Profils!$G$5:$G$34,$AE774)&gt;0,INDEX(Profils!$V$5:$V$34,$AE774)&lt;=$AH774),ROUND(INDEX(Profils!$G$5:$G$34,$AE774)*Paramètres!$E$23*$AG774*$AJ774,Paramètres!$F$23),0)</f>
        <v>0</v>
      </c>
      <c r="N774" s="19" t="n">
        <f aca="false" t="array" ref="N774:N774">IF(AND(INDEX(Profils!$H$5:$H$34,$AE774)&gt;0,INDEX(Profils!$W$5:$W$34,$AE774)&lt;=$AH774),ROUND(INDEX(Profils!$H$5:$H$34,$AE774)*Paramètres!$E$24*$AG774*$AJ774,Paramètres!$F$24),0)</f>
        <v>0</v>
      </c>
      <c r="O774" s="19" t="n">
        <f aca="false" t="array" ref="O774:O774">IF(AND(INDEX(Profils!$I$5:$I$34,$AE774)&gt;0,INDEX(Profils!$X$5:$X$34,$AE774)&lt;=$AH774),ROUND(INDEX(Profils!$I$5:$I$34,$AE774)*Paramètres!$E$25*$AG774*$AJ774,Paramètres!$F$25),0)</f>
        <v>0</v>
      </c>
      <c r="P774" s="19" t="n">
        <f aca="false" t="array" ref="P774:P774">IF(AND(INDEX(Profils!$J$5:$J$34,$AE774)&gt;0,INDEX(Profils!$Y$5:$Y$34,$AE774)&lt;=$AH774),ROUND(INDEX(Profils!$J$5:$J$34,$AE774)*Paramètres!$E$26*$AG774*$AJ774,Paramètres!$F$26),0)</f>
        <v>10</v>
      </c>
      <c r="Q774" s="19" t="n">
        <f aca="false" t="array" ref="Q774:Q774">IF(AND(INDEX(Profils!$K$5:$K$34,$AE774)&gt;0,INDEX(Profils!$Z$5:$Z$34,$AE774)&lt;=$AH774),ROUND(INDEX(Profils!$K$5:$K$34,$AE774)*Paramètres!$E$27*$AG774*$AJ774,Paramètres!$F$27),0)</f>
        <v>0</v>
      </c>
      <c r="R774" s="20" t="n">
        <f aca="false" t="array" ref="R774:R774">IF(AND(INDEX(Profils!$L$5:$L$34,$AE774)&gt;0,INDEX(Profils!$AA$5:$AA$34,$AE774)&lt;=$AH774),ROUND(INDEX(Profils!$L$5:$L$34,$AE774)*Paramètres!$E$28*$AG774*$AJ774,Paramètres!$F$28),0)</f>
        <v>0</v>
      </c>
      <c r="S774" s="20" t="n">
        <f aca="false" t="array" ref="S774:S774">IF(AND(INDEX(Profils!$M$5:$M$34,$AE774)&gt;0,INDEX(Profils!$AB$5:$AB$34,$AE774)&lt;=$AH774),ROUND(INDEX(Profils!$M$5:$M$34,$AE774)*Paramètres!$E$29*$AG774*$AJ774,Paramètres!$F$29),0)</f>
        <v>0.008</v>
      </c>
      <c r="T774" s="20" t="n">
        <f aca="false" t="array" ref="T774:T774">IF(AND(INDEX(Profils!$N$5:$N$34,$AE774)&gt;0,INDEX(Profils!$AC$5:$AC$34,$AE774)&lt;=$AH774),ROUND(INDEX(Profils!$N$5:$N$34,$AE774)*Paramètres!$E$30*$AG774*$AJ774,Paramètres!$F$30),0)</f>
        <v>0</v>
      </c>
      <c r="U774" s="19" t="n">
        <f aca="false" t="array" ref="U774:U774">IF(AND(INDEX(Profils!$O$5:$O$34,$AE774)&gt;0,INDEX(Profils!$AD$5:$AD$34,$AE774)&lt;=$AH774),ROUND(INDEX(Profils!$O$5:$O$34,$AE774)*Paramètres!$E$31*$AG774*$AJ774,Paramètres!$F$31),0)</f>
        <v>0</v>
      </c>
      <c r="V774" s="20" t="n">
        <f aca="false" t="array" ref="V774:V774">IF(AND(INDEX(Profils!$P$5:$P$34,$AE774)&gt;0,INDEX(Profils!$AE$5:$AE$34,$AE774)&lt;=$AH774),ROUND(INDEX(Profils!$P$5:$P$34,$AE774)*Paramètres!$E$32*$AG774*$AJ774,Paramètres!$F$32),0)</f>
        <v>0</v>
      </c>
      <c r="W774" s="20" t="n">
        <f aca="false" t="array" ref="W774:W774">IF(AND(INDEX(Profils!$Q$5:$Q$34,$AE774)&gt;0,INDEX(Profils!$AF$5:$AF$34,$AE774)&lt;=$AH774),ROUND(INDEX(Profils!$Q$5:$Q$34,$AE774)*Paramètres!$E$33*$AG774*$AJ774,Paramètres!$F$33),0)</f>
        <v>0</v>
      </c>
      <c r="X774" s="20" t="n">
        <f aca="false" t="array" ref="X774:X774">IF(AND(INDEX(Profils!$R$5:$R$34,$AE774)&gt;0,INDEX(Profils!$AG$5:$AG$34,$AE774)&lt;=$AH774),ROUND(INDEX(Profils!$R$5:$R$34,$AE774)*Paramètres!$E$34*$AG774*$AJ774,Paramètres!$F$34),0)</f>
        <v>0</v>
      </c>
      <c r="Y774" s="20" t="n">
        <f aca="false" t="array" ref="Y774:Y774">IF(AND(INDEX(Profils!$S$5:$S$34,$AE774)&gt;0,INDEX(Profils!$AH$5:$AH$34,$AE774)&lt;=$AH774),ROUND(INDEX(Profils!$S$5:$S$34,$AE774)*Paramètres!$E$35*$AG774*$AJ774,Paramètres!$F$35),0)</f>
        <v>0</v>
      </c>
      <c r="Z774" s="21" t="n">
        <f aca="false">ROUND(L774/Paramètres!$E$22+M774/Paramètres!$E$23+N774/Paramètres!$E$24+O774/Paramètres!$E$25+P774/Paramètres!$E$26+Q774/Paramètres!$E$27+R774/Paramètres!$E$28+S774/Paramètres!$E$29+T774/Paramètres!$E$30+U774/Paramètres!$E$31+V774/Paramètres!$E$32+W774/Paramètres!$E$33+X774/Paramètres!$E$34+Y774/Paramètres!$E$35,1)</f>
        <v>1.5</v>
      </c>
      <c r="AA774" s="22" t="s">
        <v>109</v>
      </c>
      <c r="AB774" s="22" t="s">
        <v>109</v>
      </c>
      <c r="AC774" s="15" t="str">
        <f aca="false">$E774</f>
        <v>orichalque</v>
      </c>
      <c r="AD774" s="16" t="n">
        <f aca="false" t="array" ref="AD774:AD774">IF($I774&gt;=$AI774,"Max",ROUND(Paramètres!$B$40*($I774+1)^Paramètres!$B$41*INDEX(Paramètres!$H$6:$H$12,$AF774),0))</f>
        <v>3</v>
      </c>
      <c r="AE774" s="23" t="n">
        <f aca="false">MATCH($B774&amp;"|"&amp;$C774,Profils!$A$5:$A$34,0)</f>
        <v>25</v>
      </c>
      <c r="AF774" s="23" t="n">
        <v>1</v>
      </c>
      <c r="AG774" s="24" t="n">
        <f aca="false" t="array" ref="AG774:AG774">INDEX(Paramètres!$C$6:$C$12,$AF774)</f>
        <v>1</v>
      </c>
      <c r="AH774" s="23" t="n">
        <f aca="false" t="array" ref="AH774:AH774">INDEX(Paramètres!$D$6:$D$12,$AF774)</f>
        <v>2</v>
      </c>
      <c r="AI774" s="23" t="n">
        <f aca="false" t="array" ref="AI774:AI774">INDEX(Matériaux!$C$16:$C$20,$D774)</f>
        <v>30</v>
      </c>
      <c r="AJ774" s="25" t="n">
        <f aca="false">Paramètres!$B$16+(1-Paramètres!$B$16)*(($J774-Paramètres!$B$14)/(Paramètres!$B$15-Paramètres!$B$14))^Paramètres!$B$17</f>
        <v>0.665999387952727</v>
      </c>
    </row>
    <row r="775" customFormat="false" ht="15.75" hidden="false" customHeight="true" outlineLevel="0" collapsed="false">
      <c r="A775" s="14" t="s">
        <v>891</v>
      </c>
      <c r="B775" s="15" t="s">
        <v>31</v>
      </c>
      <c r="C775" s="15" t="s">
        <v>241</v>
      </c>
      <c r="D775" s="16" t="n">
        <v>5</v>
      </c>
      <c r="E775" s="15" t="str">
        <f aca="false" t="array" ref="E775:E775">INDEX(Matériaux!$B$5:$F$12,MATCH(INDEX(Profils!$E$5:$E$34,$AE775),Matériaux!$A$5:$A$12,0),$D775)</f>
        <v>orichalque</v>
      </c>
      <c r="F775" s="26" t="s">
        <v>111</v>
      </c>
      <c r="G775" s="10" t="str">
        <f aca="false" t="array" ref="G775:G775">INDEX(Profils!$D$5:$D$34,$AE775)&amp;" en "&amp;$E775</f>
        <v>Pendentif en orichalque</v>
      </c>
      <c r="H775" s="16" t="n">
        <f aca="false" t="array" ref="H775:H775">INDEX(Matériaux!$B$16:$B$20,$D775)</f>
        <v>70</v>
      </c>
      <c r="I775" s="16" t="n">
        <f aca="false">IF(ISNUMBER($C$3),MIN(MAX(0,ROUND($C$3,0)),$AI775),$AI775)</f>
        <v>0</v>
      </c>
      <c r="J775" s="18" t="n">
        <f aca="false">$H775+$I775</f>
        <v>70</v>
      </c>
      <c r="K775" s="15" t="s">
        <v>109</v>
      </c>
      <c r="L775" s="19" t="n">
        <f aca="false" t="array" ref="L775:L775">IF(AND(INDEX(Profils!$F$5:$F$34,$AE775)&gt;0,INDEX(Profils!$U$5:$U$34,$AE775)&lt;=$AH775),ROUND(INDEX(Profils!$F$5:$F$34,$AE775)*Paramètres!$E$22*$AG775*$AJ775,Paramètres!$F$22),0)</f>
        <v>0</v>
      </c>
      <c r="M775" s="19" t="n">
        <f aca="false" t="array" ref="M775:M775">IF(AND(INDEX(Profils!$G$5:$G$34,$AE775)&gt;0,INDEX(Profils!$V$5:$V$34,$AE775)&lt;=$AH775),ROUND(INDEX(Profils!$G$5:$G$34,$AE775)*Paramètres!$E$23*$AG775*$AJ775,Paramètres!$F$23),0)</f>
        <v>0</v>
      </c>
      <c r="N775" s="19" t="n">
        <f aca="false" t="array" ref="N775:N775">IF(AND(INDEX(Profils!$H$5:$H$34,$AE775)&gt;0,INDEX(Profils!$W$5:$W$34,$AE775)&lt;=$AH775),ROUND(INDEX(Profils!$H$5:$H$34,$AE775)*Paramètres!$E$24*$AG775*$AJ775,Paramètres!$F$24),0)</f>
        <v>0</v>
      </c>
      <c r="O775" s="19" t="n">
        <f aca="false" t="array" ref="O775:O775">IF(AND(INDEX(Profils!$I$5:$I$34,$AE775)&gt;0,INDEX(Profils!$X$5:$X$34,$AE775)&lt;=$AH775),ROUND(INDEX(Profils!$I$5:$I$34,$AE775)*Paramètres!$E$25*$AG775*$AJ775,Paramètres!$F$25),0)</f>
        <v>0</v>
      </c>
      <c r="P775" s="19" t="n">
        <f aca="false" t="array" ref="P775:P775">IF(AND(INDEX(Profils!$J$5:$J$34,$AE775)&gt;0,INDEX(Profils!$Y$5:$Y$34,$AE775)&lt;=$AH775),ROUND(INDEX(Profils!$J$5:$J$34,$AE775)*Paramètres!$E$26*$AG775*$AJ775,Paramètres!$F$26),0)</f>
        <v>12</v>
      </c>
      <c r="Q775" s="19" t="n">
        <f aca="false" t="array" ref="Q775:Q775">IF(AND(INDEX(Profils!$K$5:$K$34,$AE775)&gt;0,INDEX(Profils!$Z$5:$Z$34,$AE775)&lt;=$AH775),ROUND(INDEX(Profils!$K$5:$K$34,$AE775)*Paramètres!$E$27*$AG775*$AJ775,Paramètres!$F$27),0)</f>
        <v>0</v>
      </c>
      <c r="R775" s="20" t="n">
        <f aca="false" t="array" ref="R775:R775">IF(AND(INDEX(Profils!$L$5:$L$34,$AE775)&gt;0,INDEX(Profils!$AA$5:$AA$34,$AE775)&lt;=$AH775),ROUND(INDEX(Profils!$L$5:$L$34,$AE775)*Paramètres!$E$28*$AG775*$AJ775,Paramètres!$F$28),0)</f>
        <v>0</v>
      </c>
      <c r="S775" s="20" t="n">
        <f aca="false" t="array" ref="S775:S775">IF(AND(INDEX(Profils!$M$5:$M$34,$AE775)&gt;0,INDEX(Profils!$AB$5:$AB$34,$AE775)&lt;=$AH775),ROUND(INDEX(Profils!$M$5:$M$34,$AE775)*Paramètres!$E$29*$AG775*$AJ775,Paramètres!$F$29),0)</f>
        <v>0.01</v>
      </c>
      <c r="T775" s="20" t="n">
        <f aca="false" t="array" ref="T775:T775">IF(AND(INDEX(Profils!$N$5:$N$34,$AE775)&gt;0,INDEX(Profils!$AC$5:$AC$34,$AE775)&lt;=$AH775),ROUND(INDEX(Profils!$N$5:$N$34,$AE775)*Paramètres!$E$30*$AG775*$AJ775,Paramètres!$F$30),0)</f>
        <v>0.024</v>
      </c>
      <c r="U775" s="19" t="n">
        <f aca="false" t="array" ref="U775:U775">IF(AND(INDEX(Profils!$O$5:$O$34,$AE775)&gt;0,INDEX(Profils!$AD$5:$AD$34,$AE775)&lt;=$AH775),ROUND(INDEX(Profils!$O$5:$O$34,$AE775)*Paramètres!$E$31*$AG775*$AJ775,Paramètres!$F$31),0)</f>
        <v>0</v>
      </c>
      <c r="V775" s="20" t="n">
        <f aca="false" t="array" ref="V775:V775">IF(AND(INDEX(Profils!$P$5:$P$34,$AE775)&gt;0,INDEX(Profils!$AE$5:$AE$34,$AE775)&lt;=$AH775),ROUND(INDEX(Profils!$P$5:$P$34,$AE775)*Paramètres!$E$32*$AG775*$AJ775,Paramètres!$F$32),0)</f>
        <v>0</v>
      </c>
      <c r="W775" s="20" t="n">
        <f aca="false" t="array" ref="W775:W775">IF(AND(INDEX(Profils!$Q$5:$Q$34,$AE775)&gt;0,INDEX(Profils!$AF$5:$AF$34,$AE775)&lt;=$AH775),ROUND(INDEX(Profils!$Q$5:$Q$34,$AE775)*Paramètres!$E$33*$AG775*$AJ775,Paramètres!$F$33),0)</f>
        <v>0</v>
      </c>
      <c r="X775" s="20" t="n">
        <f aca="false" t="array" ref="X775:X775">IF(AND(INDEX(Profils!$R$5:$R$34,$AE775)&gt;0,INDEX(Profils!$AG$5:$AG$34,$AE775)&lt;=$AH775),ROUND(INDEX(Profils!$R$5:$R$34,$AE775)*Paramètres!$E$34*$AG775*$AJ775,Paramètres!$F$34),0)</f>
        <v>0</v>
      </c>
      <c r="Y775" s="20" t="n">
        <f aca="false" t="array" ref="Y775:Y775">IF(AND(INDEX(Profils!$S$5:$S$34,$AE775)&gt;0,INDEX(Profils!$AH$5:$AH$34,$AE775)&lt;=$AH775),ROUND(INDEX(Profils!$S$5:$S$34,$AE775)*Paramètres!$E$35*$AG775*$AJ775,Paramètres!$F$35),0)</f>
        <v>0</v>
      </c>
      <c r="Z775" s="21" t="n">
        <f aca="false">ROUND(L775/Paramètres!$E$22+M775/Paramètres!$E$23+N775/Paramètres!$E$24+O775/Paramètres!$E$25+P775/Paramètres!$E$26+Q775/Paramètres!$E$27+R775/Paramètres!$E$28+S775/Paramètres!$E$29+T775/Paramètres!$E$30+U775/Paramètres!$E$31+V775/Paramètres!$E$32+W775/Paramètres!$E$33+X775/Paramètres!$E$34+Y775/Paramètres!$E$35,1)</f>
        <v>2.6</v>
      </c>
      <c r="AA775" s="22" t="s">
        <v>109</v>
      </c>
      <c r="AB775" s="22" t="s">
        <v>109</v>
      </c>
      <c r="AC775" s="15" t="str">
        <f aca="false">$E775</f>
        <v>orichalque</v>
      </c>
      <c r="AD775" s="16" t="n">
        <f aca="false" t="array" ref="AD775:AD775">IF($I775&gt;=$AI775,"Max",ROUND(Paramètres!$B$40*($I775+1)^Paramètres!$B$41*INDEX(Paramètres!$H$6:$H$12,$AF775),0))</f>
        <v>4</v>
      </c>
      <c r="AE775" s="23" t="n">
        <f aca="false">MATCH($B775&amp;"|"&amp;$C775,Profils!$A$5:$A$34,0)</f>
        <v>25</v>
      </c>
      <c r="AF775" s="23" t="n">
        <v>2</v>
      </c>
      <c r="AG775" s="24" t="n">
        <f aca="false" t="array" ref="AG775:AG775">INDEX(Paramètres!$C$6:$C$12,$AF775)</f>
        <v>1.2</v>
      </c>
      <c r="AH775" s="23" t="n">
        <f aca="false" t="array" ref="AH775:AH775">INDEX(Paramètres!$D$6:$D$12,$AF775)</f>
        <v>3</v>
      </c>
      <c r="AI775" s="23" t="n">
        <f aca="false" t="array" ref="AI775:AI775">INDEX(Matériaux!$C$16:$C$20,$D775)</f>
        <v>30</v>
      </c>
      <c r="AJ775" s="25" t="n">
        <f aca="false">Paramètres!$B$16+(1-Paramètres!$B$16)*(($J775-Paramètres!$B$14)/(Paramètres!$B$15-Paramètres!$B$14))^Paramètres!$B$17</f>
        <v>0.665999387952727</v>
      </c>
    </row>
    <row r="776" customFormat="false" ht="15.75" hidden="false" customHeight="true" outlineLevel="0" collapsed="false">
      <c r="A776" s="14" t="s">
        <v>892</v>
      </c>
      <c r="B776" s="15" t="s">
        <v>31</v>
      </c>
      <c r="C776" s="15" t="s">
        <v>241</v>
      </c>
      <c r="D776" s="16" t="n">
        <v>5</v>
      </c>
      <c r="E776" s="15" t="str">
        <f aca="false" t="array" ref="E776:E776">INDEX(Matériaux!$B$5:$F$12,MATCH(INDEX(Profils!$E$5:$E$34,$AE776),Matériaux!$A$5:$A$12,0),$D776)</f>
        <v>orichalque</v>
      </c>
      <c r="F776" s="27" t="s">
        <v>113</v>
      </c>
      <c r="G776" s="10" t="str">
        <f aca="false" t="array" ref="G776:G776">INDEX(Profils!$D$5:$D$34,$AE776)&amp;" en "&amp;$E776</f>
        <v>Pendentif en orichalque</v>
      </c>
      <c r="H776" s="16" t="n">
        <f aca="false" t="array" ref="H776:H776">INDEX(Matériaux!$B$16:$B$20,$D776)</f>
        <v>70</v>
      </c>
      <c r="I776" s="16" t="n">
        <f aca="false">IF(ISNUMBER($C$3),MIN(MAX(0,ROUND($C$3,0)),$AI776),$AI776)</f>
        <v>0</v>
      </c>
      <c r="J776" s="18" t="n">
        <f aca="false">$H776+$I776</f>
        <v>70</v>
      </c>
      <c r="K776" s="15" t="s">
        <v>109</v>
      </c>
      <c r="L776" s="19" t="n">
        <f aca="false" t="array" ref="L776:L776">IF(AND(INDEX(Profils!$F$5:$F$34,$AE776)&gt;0,INDEX(Profils!$U$5:$U$34,$AE776)&lt;=$AH776),ROUND(INDEX(Profils!$F$5:$F$34,$AE776)*Paramètres!$E$22*$AG776*$AJ776,Paramètres!$F$22),0)</f>
        <v>0</v>
      </c>
      <c r="M776" s="19" t="n">
        <f aca="false" t="array" ref="M776:M776">IF(AND(INDEX(Profils!$G$5:$G$34,$AE776)&gt;0,INDEX(Profils!$V$5:$V$34,$AE776)&lt;=$AH776),ROUND(INDEX(Profils!$G$5:$G$34,$AE776)*Paramètres!$E$23*$AG776*$AJ776,Paramètres!$F$23),0)</f>
        <v>0</v>
      </c>
      <c r="N776" s="19" t="n">
        <f aca="false" t="array" ref="N776:N776">IF(AND(INDEX(Profils!$H$5:$H$34,$AE776)&gt;0,INDEX(Profils!$W$5:$W$34,$AE776)&lt;=$AH776),ROUND(INDEX(Profils!$H$5:$H$34,$AE776)*Paramètres!$E$24*$AG776*$AJ776,Paramètres!$F$24),0)</f>
        <v>0</v>
      </c>
      <c r="O776" s="19" t="n">
        <f aca="false" t="array" ref="O776:O776">IF(AND(INDEX(Profils!$I$5:$I$34,$AE776)&gt;0,INDEX(Profils!$X$5:$X$34,$AE776)&lt;=$AH776),ROUND(INDEX(Profils!$I$5:$I$34,$AE776)*Paramètres!$E$25*$AG776*$AJ776,Paramètres!$F$25),0)</f>
        <v>0</v>
      </c>
      <c r="P776" s="19" t="n">
        <f aca="false" t="array" ref="P776:P776">IF(AND(INDEX(Profils!$J$5:$J$34,$AE776)&gt;0,INDEX(Profils!$Y$5:$Y$34,$AE776)&lt;=$AH776),ROUND(INDEX(Profils!$J$5:$J$34,$AE776)*Paramètres!$E$26*$AG776*$AJ776,Paramètres!$F$26),0)</f>
        <v>14</v>
      </c>
      <c r="Q776" s="19" t="n">
        <f aca="false" t="array" ref="Q776:Q776">IF(AND(INDEX(Profils!$K$5:$K$34,$AE776)&gt;0,INDEX(Profils!$Z$5:$Z$34,$AE776)&lt;=$AH776),ROUND(INDEX(Profils!$K$5:$K$34,$AE776)*Paramètres!$E$27*$AG776*$AJ776,Paramètres!$F$27),0)</f>
        <v>0</v>
      </c>
      <c r="R776" s="20" t="n">
        <f aca="false" t="array" ref="R776:R776">IF(AND(INDEX(Profils!$L$5:$L$34,$AE776)&gt;0,INDEX(Profils!$AA$5:$AA$34,$AE776)&lt;=$AH776),ROUND(INDEX(Profils!$L$5:$L$34,$AE776)*Paramètres!$E$28*$AG776*$AJ776,Paramètres!$F$28),0)</f>
        <v>0.013</v>
      </c>
      <c r="S776" s="20" t="n">
        <f aca="false" t="array" ref="S776:S776">IF(AND(INDEX(Profils!$M$5:$M$34,$AE776)&gt;0,INDEX(Profils!$AB$5:$AB$34,$AE776)&lt;=$AH776),ROUND(INDEX(Profils!$M$5:$M$34,$AE776)*Paramètres!$E$29*$AG776*$AJ776,Paramètres!$F$29),0)</f>
        <v>0.012</v>
      </c>
      <c r="T776" s="20" t="n">
        <f aca="false" t="array" ref="T776:T776">IF(AND(INDEX(Profils!$N$5:$N$34,$AE776)&gt;0,INDEX(Profils!$AC$5:$AC$34,$AE776)&lt;=$AH776),ROUND(INDEX(Profils!$N$5:$N$34,$AE776)*Paramètres!$E$30*$AG776*$AJ776,Paramètres!$F$30),0)</f>
        <v>0.029</v>
      </c>
      <c r="U776" s="19" t="n">
        <f aca="false" t="array" ref="U776:U776">IF(AND(INDEX(Profils!$O$5:$O$34,$AE776)&gt;0,INDEX(Profils!$AD$5:$AD$34,$AE776)&lt;=$AH776),ROUND(INDEX(Profils!$O$5:$O$34,$AE776)*Paramètres!$E$31*$AG776*$AJ776,Paramètres!$F$31),0)</f>
        <v>0</v>
      </c>
      <c r="V776" s="20" t="n">
        <f aca="false" t="array" ref="V776:V776">IF(AND(INDEX(Profils!$P$5:$P$34,$AE776)&gt;0,INDEX(Profils!$AE$5:$AE$34,$AE776)&lt;=$AH776),ROUND(INDEX(Profils!$P$5:$P$34,$AE776)*Paramètres!$E$32*$AG776*$AJ776,Paramètres!$F$32),0)</f>
        <v>0</v>
      </c>
      <c r="W776" s="20" t="n">
        <f aca="false" t="array" ref="W776:W776">IF(AND(INDEX(Profils!$Q$5:$Q$34,$AE776)&gt;0,INDEX(Profils!$AF$5:$AF$34,$AE776)&lt;=$AH776),ROUND(INDEX(Profils!$Q$5:$Q$34,$AE776)*Paramètres!$E$33*$AG776*$AJ776,Paramètres!$F$33),0)</f>
        <v>0</v>
      </c>
      <c r="X776" s="20" t="n">
        <f aca="false" t="array" ref="X776:X776">IF(AND(INDEX(Profils!$R$5:$R$34,$AE776)&gt;0,INDEX(Profils!$AG$5:$AG$34,$AE776)&lt;=$AH776),ROUND(INDEX(Profils!$R$5:$R$34,$AE776)*Paramètres!$E$34*$AG776*$AJ776,Paramètres!$F$34),0)</f>
        <v>0</v>
      </c>
      <c r="Y776" s="20" t="n">
        <f aca="false" t="array" ref="Y776:Y776">IF(AND(INDEX(Profils!$S$5:$S$34,$AE776)&gt;0,INDEX(Profils!$AH$5:$AH$34,$AE776)&lt;=$AH776),ROUND(INDEX(Profils!$S$5:$S$34,$AE776)*Paramètres!$E$35*$AG776*$AJ776,Paramètres!$F$35),0)</f>
        <v>0</v>
      </c>
      <c r="Z776" s="21" t="n">
        <f aca="false">ROUND(L776/Paramètres!$E$22+M776/Paramètres!$E$23+N776/Paramètres!$E$24+O776/Paramètres!$E$25+P776/Paramètres!$E$26+Q776/Paramètres!$E$27+R776/Paramètres!$E$28+S776/Paramètres!$E$29+T776/Paramètres!$E$30+U776/Paramètres!$E$31+V776/Paramètres!$E$32+W776/Paramètres!$E$33+X776/Paramètres!$E$34+Y776/Paramètres!$E$35,1)</f>
        <v>4</v>
      </c>
      <c r="AA776" s="22" t="s">
        <v>109</v>
      </c>
      <c r="AB776" s="22" t="s">
        <v>109</v>
      </c>
      <c r="AC776" s="15" t="str">
        <f aca="false">$E776</f>
        <v>orichalque</v>
      </c>
      <c r="AD776" s="16" t="n">
        <f aca="false" t="array" ref="AD776:AD776">IF($I776&gt;=$AI776,"Max",ROUND(Paramètres!$B$40*($I776+1)^Paramètres!$B$41*INDEX(Paramètres!$H$6:$H$12,$AF776),0))</f>
        <v>4</v>
      </c>
      <c r="AE776" s="23" t="n">
        <f aca="false">MATCH($B776&amp;"|"&amp;$C776,Profils!$A$5:$A$34,0)</f>
        <v>25</v>
      </c>
      <c r="AF776" s="23" t="n">
        <v>3</v>
      </c>
      <c r="AG776" s="24" t="n">
        <f aca="false" t="array" ref="AG776:AG776">INDEX(Paramètres!$C$6:$C$12,$AF776)</f>
        <v>1.45</v>
      </c>
      <c r="AH776" s="23" t="n">
        <f aca="false" t="array" ref="AH776:AH776">INDEX(Paramètres!$D$6:$D$12,$AF776)</f>
        <v>4</v>
      </c>
      <c r="AI776" s="23" t="n">
        <f aca="false" t="array" ref="AI776:AI776">INDEX(Matériaux!$C$16:$C$20,$D776)</f>
        <v>30</v>
      </c>
      <c r="AJ776" s="25" t="n">
        <f aca="false">Paramètres!$B$16+(1-Paramètres!$B$16)*(($J776-Paramètres!$B$14)/(Paramètres!$B$15-Paramètres!$B$14))^Paramètres!$B$17</f>
        <v>0.665999387952727</v>
      </c>
    </row>
    <row r="777" customFormat="false" ht="15.75" hidden="false" customHeight="true" outlineLevel="0" collapsed="false">
      <c r="A777" s="14" t="s">
        <v>893</v>
      </c>
      <c r="B777" s="15" t="s">
        <v>31</v>
      </c>
      <c r="C777" s="15" t="s">
        <v>241</v>
      </c>
      <c r="D777" s="16" t="n">
        <v>5</v>
      </c>
      <c r="E777" s="15" t="str">
        <f aca="false" t="array" ref="E777:E777">INDEX(Matériaux!$B$5:$F$12,MATCH(INDEX(Profils!$E$5:$E$34,$AE777),Matériaux!$A$5:$A$12,0),$D777)</f>
        <v>orichalque</v>
      </c>
      <c r="F777" s="28" t="s">
        <v>115</v>
      </c>
      <c r="G777" s="10" t="str">
        <f aca="false" t="array" ref="G777:G777">INDEX(Profils!$D$5:$D$34,$AE777)&amp;" en "&amp;$E777</f>
        <v>Pendentif en orichalque</v>
      </c>
      <c r="H777" s="16" t="n">
        <f aca="false" t="array" ref="H777:H777">INDEX(Matériaux!$B$16:$B$20,$D777)</f>
        <v>70</v>
      </c>
      <c r="I777" s="16" t="n">
        <f aca="false">IF(ISNUMBER($C$3),MIN(MAX(0,ROUND($C$3,0)),$AI777),$AI777)</f>
        <v>0</v>
      </c>
      <c r="J777" s="18" t="n">
        <f aca="false">$H777+$I777</f>
        <v>70</v>
      </c>
      <c r="K777" s="15" t="s">
        <v>109</v>
      </c>
      <c r="L777" s="19" t="n">
        <f aca="false" t="array" ref="L777:L777">IF(AND(INDEX(Profils!$F$5:$F$34,$AE777)&gt;0,INDEX(Profils!$U$5:$U$34,$AE777)&lt;=$AH777),ROUND(INDEX(Profils!$F$5:$F$34,$AE777)*Paramètres!$E$22*$AG777*$AJ777,Paramètres!$F$22),0)</f>
        <v>23</v>
      </c>
      <c r="M777" s="19" t="n">
        <f aca="false" t="array" ref="M777:M777">IF(AND(INDEX(Profils!$G$5:$G$34,$AE777)&gt;0,INDEX(Profils!$V$5:$V$34,$AE777)&lt;=$AH777),ROUND(INDEX(Profils!$G$5:$G$34,$AE777)*Paramètres!$E$23*$AG777*$AJ777,Paramètres!$F$23),0)</f>
        <v>0</v>
      </c>
      <c r="N777" s="19" t="n">
        <f aca="false" t="array" ref="N777:N777">IF(AND(INDEX(Profils!$H$5:$H$34,$AE777)&gt;0,INDEX(Profils!$W$5:$W$34,$AE777)&lt;=$AH777),ROUND(INDEX(Profils!$H$5:$H$34,$AE777)*Paramètres!$E$24*$AG777*$AJ777,Paramètres!$F$24),0)</f>
        <v>0</v>
      </c>
      <c r="O777" s="19" t="n">
        <f aca="false" t="array" ref="O777:O777">IF(AND(INDEX(Profils!$I$5:$I$34,$AE777)&gt;0,INDEX(Profils!$X$5:$X$34,$AE777)&lt;=$AH777),ROUND(INDEX(Profils!$I$5:$I$34,$AE777)*Paramètres!$E$25*$AG777*$AJ777,Paramètres!$F$25),0)</f>
        <v>0</v>
      </c>
      <c r="P777" s="19" t="n">
        <f aca="false" t="array" ref="P777:P777">IF(AND(INDEX(Profils!$J$5:$J$34,$AE777)&gt;0,INDEX(Profils!$Y$5:$Y$34,$AE777)&lt;=$AH777),ROUND(INDEX(Profils!$J$5:$J$34,$AE777)*Paramètres!$E$26*$AG777*$AJ777,Paramètres!$F$26),0)</f>
        <v>17</v>
      </c>
      <c r="Q777" s="19" t="n">
        <f aca="false" t="array" ref="Q777:Q777">IF(AND(INDEX(Profils!$K$5:$K$34,$AE777)&gt;0,INDEX(Profils!$Z$5:$Z$34,$AE777)&lt;=$AH777),ROUND(INDEX(Profils!$K$5:$K$34,$AE777)*Paramètres!$E$27*$AG777*$AJ777,Paramètres!$F$27),0)</f>
        <v>0</v>
      </c>
      <c r="R777" s="20" t="n">
        <f aca="false" t="array" ref="R777:R777">IF(AND(INDEX(Profils!$L$5:$L$34,$AE777)&gt;0,INDEX(Profils!$AA$5:$AA$34,$AE777)&lt;=$AH777),ROUND(INDEX(Profils!$L$5:$L$34,$AE777)*Paramètres!$E$28*$AG777*$AJ777,Paramètres!$F$28),0)</f>
        <v>0.016</v>
      </c>
      <c r="S777" s="20" t="n">
        <f aca="false" t="array" ref="S777:S777">IF(AND(INDEX(Profils!$M$5:$M$34,$AE777)&gt;0,INDEX(Profils!$AB$5:$AB$34,$AE777)&lt;=$AH777),ROUND(INDEX(Profils!$M$5:$M$34,$AE777)*Paramètres!$E$29*$AG777*$AJ777,Paramètres!$F$29),0)</f>
        <v>0.014</v>
      </c>
      <c r="T777" s="20" t="n">
        <f aca="false" t="array" ref="T777:T777">IF(AND(INDEX(Profils!$N$5:$N$34,$AE777)&gt;0,INDEX(Profils!$AC$5:$AC$34,$AE777)&lt;=$AH777),ROUND(INDEX(Profils!$N$5:$N$34,$AE777)*Paramètres!$E$30*$AG777*$AJ777,Paramètres!$F$30),0)</f>
        <v>0.035</v>
      </c>
      <c r="U777" s="19" t="n">
        <f aca="false" t="array" ref="U777:U777">IF(AND(INDEX(Profils!$O$5:$O$34,$AE777)&gt;0,INDEX(Profils!$AD$5:$AD$34,$AE777)&lt;=$AH777),ROUND(INDEX(Profils!$O$5:$O$34,$AE777)*Paramètres!$E$31*$AG777*$AJ777,Paramètres!$F$31),0)</f>
        <v>0</v>
      </c>
      <c r="V777" s="20" t="n">
        <f aca="false" t="array" ref="V777:V777">IF(AND(INDEX(Profils!$P$5:$P$34,$AE777)&gt;0,INDEX(Profils!$AE$5:$AE$34,$AE777)&lt;=$AH777),ROUND(INDEX(Profils!$P$5:$P$34,$AE777)*Paramètres!$E$32*$AG777*$AJ777,Paramètres!$F$32),0)</f>
        <v>0</v>
      </c>
      <c r="W777" s="20" t="n">
        <f aca="false" t="array" ref="W777:W777">IF(AND(INDEX(Profils!$Q$5:$Q$34,$AE777)&gt;0,INDEX(Profils!$AF$5:$AF$34,$AE777)&lt;=$AH777),ROUND(INDEX(Profils!$Q$5:$Q$34,$AE777)*Paramètres!$E$33*$AG777*$AJ777,Paramètres!$F$33),0)</f>
        <v>0</v>
      </c>
      <c r="X777" s="20" t="n">
        <f aca="false" t="array" ref="X777:X777">IF(AND(INDEX(Profils!$R$5:$R$34,$AE777)&gt;0,INDEX(Profils!$AG$5:$AG$34,$AE777)&lt;=$AH777),ROUND(INDEX(Profils!$R$5:$R$34,$AE777)*Paramètres!$E$34*$AG777*$AJ777,Paramètres!$F$34),0)</f>
        <v>0</v>
      </c>
      <c r="Y777" s="20" t="n">
        <f aca="false" t="array" ref="Y777:Y777">IF(AND(INDEX(Profils!$S$5:$S$34,$AE777)&gt;0,INDEX(Profils!$AH$5:$AH$34,$AE777)&lt;=$AH777),ROUND(INDEX(Profils!$S$5:$S$34,$AE777)*Paramètres!$E$35*$AG777*$AJ777,Paramètres!$F$35),0)</f>
        <v>0</v>
      </c>
      <c r="Z777" s="21" t="n">
        <f aca="false">ROUND(L777/Paramètres!$E$22+M777/Paramètres!$E$23+N777/Paramètres!$E$24+O777/Paramètres!$E$25+P777/Paramètres!$E$26+Q777/Paramètres!$E$27+R777/Paramètres!$E$28+S777/Paramètres!$E$29+T777/Paramètres!$E$30+U777/Paramètres!$E$31+V777/Paramètres!$E$32+W777/Paramètres!$E$33+X777/Paramètres!$E$34+Y777/Paramètres!$E$35,1)</f>
        <v>5.7</v>
      </c>
      <c r="AA777" s="22" t="s">
        <v>109</v>
      </c>
      <c r="AB777" s="22" t="s">
        <v>109</v>
      </c>
      <c r="AC777" s="15" t="str">
        <f aca="false">$E777</f>
        <v>orichalque</v>
      </c>
      <c r="AD777" s="16" t="n">
        <f aca="false" t="array" ref="AD777:AD777">IF($I777&gt;=$AI777,"Max",ROUND(Paramètres!$B$40*($I777+1)^Paramètres!$B$41*INDEX(Paramètres!$H$6:$H$12,$AF777),0))</f>
        <v>5</v>
      </c>
      <c r="AE777" s="23" t="n">
        <f aca="false">MATCH($B777&amp;"|"&amp;$C777,Profils!$A$5:$A$34,0)</f>
        <v>25</v>
      </c>
      <c r="AF777" s="23" t="n">
        <v>4</v>
      </c>
      <c r="AG777" s="24" t="n">
        <f aca="false" t="array" ref="AG777:AG777">INDEX(Paramètres!$C$6:$C$12,$AF777)</f>
        <v>1.75</v>
      </c>
      <c r="AH777" s="23" t="n">
        <f aca="false" t="array" ref="AH777:AH777">INDEX(Paramètres!$D$6:$D$12,$AF777)</f>
        <v>5</v>
      </c>
      <c r="AI777" s="23" t="n">
        <f aca="false" t="array" ref="AI777:AI777">INDEX(Matériaux!$C$16:$C$20,$D777)</f>
        <v>30</v>
      </c>
      <c r="AJ777" s="25" t="n">
        <f aca="false">Paramètres!$B$16+(1-Paramètres!$B$16)*(($J777-Paramètres!$B$14)/(Paramètres!$B$15-Paramètres!$B$14))^Paramètres!$B$17</f>
        <v>0.665999387952727</v>
      </c>
    </row>
    <row r="778" customFormat="false" ht="15.75" hidden="false" customHeight="true" outlineLevel="0" collapsed="false">
      <c r="A778" s="14" t="s">
        <v>894</v>
      </c>
      <c r="B778" s="15" t="s">
        <v>31</v>
      </c>
      <c r="C778" s="15" t="s">
        <v>241</v>
      </c>
      <c r="D778" s="16" t="n">
        <v>5</v>
      </c>
      <c r="E778" s="15" t="str">
        <f aca="false" t="array" ref="E778:E778">INDEX(Matériaux!$B$5:$F$12,MATCH(INDEX(Profils!$E$5:$E$34,$AE778),Matériaux!$A$5:$A$12,0),$D778)</f>
        <v>orichalque</v>
      </c>
      <c r="F778" s="29" t="s">
        <v>117</v>
      </c>
      <c r="G778" s="10" t="str">
        <f aca="false" t="array" ref="G778:G778">INDEX(Profils!$D$5:$D$34,$AE778)&amp;" en "&amp;$E778</f>
        <v>Pendentif en orichalque</v>
      </c>
      <c r="H778" s="16" t="n">
        <f aca="false" t="array" ref="H778:H778">INDEX(Matériaux!$B$16:$B$20,$D778)</f>
        <v>70</v>
      </c>
      <c r="I778" s="16" t="n">
        <f aca="false">IF(ISNUMBER($C$3),MIN(MAX(0,ROUND($C$3,0)),$AI778),$AI778)</f>
        <v>0</v>
      </c>
      <c r="J778" s="18" t="n">
        <f aca="false">$H778+$I778</f>
        <v>70</v>
      </c>
      <c r="K778" s="15" t="s">
        <v>109</v>
      </c>
      <c r="L778" s="19" t="n">
        <f aca="false" t="array" ref="L778:L778">IF(AND(INDEX(Profils!$F$5:$F$34,$AE778)&gt;0,INDEX(Profils!$U$5:$U$34,$AE778)&lt;=$AH778),ROUND(INDEX(Profils!$F$5:$F$34,$AE778)*Paramètres!$E$22*$AG778*$AJ778,Paramètres!$F$22),0)</f>
        <v>28</v>
      </c>
      <c r="M778" s="19" t="n">
        <f aca="false" t="array" ref="M778:M778">IF(AND(INDEX(Profils!$G$5:$G$34,$AE778)&gt;0,INDEX(Profils!$V$5:$V$34,$AE778)&lt;=$AH778),ROUND(INDEX(Profils!$G$5:$G$34,$AE778)*Paramètres!$E$23*$AG778*$AJ778,Paramètres!$F$23),0)</f>
        <v>0</v>
      </c>
      <c r="N778" s="19" t="n">
        <f aca="false" t="array" ref="N778:N778">IF(AND(INDEX(Profils!$H$5:$H$34,$AE778)&gt;0,INDEX(Profils!$W$5:$W$34,$AE778)&lt;=$AH778),ROUND(INDEX(Profils!$H$5:$H$34,$AE778)*Paramètres!$E$24*$AG778*$AJ778,Paramètres!$F$24),0)</f>
        <v>0</v>
      </c>
      <c r="O778" s="19" t="n">
        <f aca="false" t="array" ref="O778:O778">IF(AND(INDEX(Profils!$I$5:$I$34,$AE778)&gt;0,INDEX(Profils!$X$5:$X$34,$AE778)&lt;=$AH778),ROUND(INDEX(Profils!$I$5:$I$34,$AE778)*Paramètres!$E$25*$AG778*$AJ778,Paramètres!$F$25),0)</f>
        <v>0</v>
      </c>
      <c r="P778" s="19" t="n">
        <f aca="false" t="array" ref="P778:P778">IF(AND(INDEX(Profils!$J$5:$J$34,$AE778)&gt;0,INDEX(Profils!$Y$5:$Y$34,$AE778)&lt;=$AH778),ROUND(INDEX(Profils!$J$5:$J$34,$AE778)*Paramètres!$E$26*$AG778*$AJ778,Paramètres!$F$26),0)</f>
        <v>20</v>
      </c>
      <c r="Q778" s="19" t="n">
        <f aca="false" t="array" ref="Q778:Q778">IF(AND(INDEX(Profils!$K$5:$K$34,$AE778)&gt;0,INDEX(Profils!$Z$5:$Z$34,$AE778)&lt;=$AH778),ROUND(INDEX(Profils!$K$5:$K$34,$AE778)*Paramètres!$E$27*$AG778*$AJ778,Paramètres!$F$27),0)</f>
        <v>0</v>
      </c>
      <c r="R778" s="20" t="n">
        <f aca="false" t="array" ref="R778:R778">IF(AND(INDEX(Profils!$L$5:$L$34,$AE778)&gt;0,INDEX(Profils!$AA$5:$AA$34,$AE778)&lt;=$AH778),ROUND(INDEX(Profils!$L$5:$L$34,$AE778)*Paramètres!$E$28*$AG778*$AJ778,Paramètres!$F$28),0)</f>
        <v>0.019</v>
      </c>
      <c r="S778" s="20" t="n">
        <f aca="false" t="array" ref="S778:S778">IF(AND(INDEX(Profils!$M$5:$M$34,$AE778)&gt;0,INDEX(Profils!$AB$5:$AB$34,$AE778)&lt;=$AH778),ROUND(INDEX(Profils!$M$5:$M$34,$AE778)*Paramètres!$E$29*$AG778*$AJ778,Paramètres!$F$29),0)</f>
        <v>0.017</v>
      </c>
      <c r="T778" s="20" t="n">
        <f aca="false" t="array" ref="T778:T778">IF(AND(INDEX(Profils!$N$5:$N$34,$AE778)&gt;0,INDEX(Profils!$AC$5:$AC$34,$AE778)&lt;=$AH778),ROUND(INDEX(Profils!$N$5:$N$34,$AE778)*Paramètres!$E$30*$AG778*$AJ778,Paramètres!$F$30),0)</f>
        <v>0.042</v>
      </c>
      <c r="U778" s="19" t="n">
        <f aca="false" t="array" ref="U778:U778">IF(AND(INDEX(Profils!$O$5:$O$34,$AE778)&gt;0,INDEX(Profils!$AD$5:$AD$34,$AE778)&lt;=$AH778),ROUND(INDEX(Profils!$O$5:$O$34,$AE778)*Paramètres!$E$31*$AG778*$AJ778,Paramètres!$F$31),0)</f>
        <v>0</v>
      </c>
      <c r="V778" s="20" t="n">
        <f aca="false" t="array" ref="V778:V778">IF(AND(INDEX(Profils!$P$5:$P$34,$AE778)&gt;0,INDEX(Profils!$AE$5:$AE$34,$AE778)&lt;=$AH778),ROUND(INDEX(Profils!$P$5:$P$34,$AE778)*Paramètres!$E$32*$AG778*$AJ778,Paramètres!$F$32),0)</f>
        <v>0</v>
      </c>
      <c r="W778" s="20" t="n">
        <f aca="false" t="array" ref="W778:W778">IF(AND(INDEX(Profils!$Q$5:$Q$34,$AE778)&gt;0,INDEX(Profils!$AF$5:$AF$34,$AE778)&lt;=$AH778),ROUND(INDEX(Profils!$Q$5:$Q$34,$AE778)*Paramètres!$E$33*$AG778*$AJ778,Paramètres!$F$33),0)</f>
        <v>0.015</v>
      </c>
      <c r="X778" s="20" t="n">
        <f aca="false" t="array" ref="X778:X778">IF(AND(INDEX(Profils!$R$5:$R$34,$AE778)&gt;0,INDEX(Profils!$AG$5:$AG$34,$AE778)&lt;=$AH778),ROUND(INDEX(Profils!$R$5:$R$34,$AE778)*Paramètres!$E$34*$AG778*$AJ778,Paramètres!$F$34),0)</f>
        <v>0</v>
      </c>
      <c r="Y778" s="20" t="n">
        <f aca="false" t="array" ref="Y778:Y778">IF(AND(INDEX(Profils!$S$5:$S$34,$AE778)&gt;0,INDEX(Profils!$AH$5:$AH$34,$AE778)&lt;=$AH778),ROUND(INDEX(Profils!$S$5:$S$34,$AE778)*Paramètres!$E$35*$AG778*$AJ778,Paramètres!$F$35),0)</f>
        <v>0</v>
      </c>
      <c r="Z778" s="21" t="n">
        <f aca="false">ROUND(L778/Paramètres!$E$22+M778/Paramètres!$E$23+N778/Paramètres!$E$24+O778/Paramètres!$E$25+P778/Paramètres!$E$26+Q778/Paramètres!$E$27+R778/Paramètres!$E$28+S778/Paramètres!$E$29+T778/Paramètres!$E$30+U778/Paramètres!$E$31+V778/Paramètres!$E$32+W778/Paramètres!$E$33+X778/Paramètres!$E$34+Y778/Paramètres!$E$35,1)</f>
        <v>7.9</v>
      </c>
      <c r="AA778" s="22" t="s">
        <v>109</v>
      </c>
      <c r="AB778" s="22" t="s">
        <v>109</v>
      </c>
      <c r="AC778" s="15" t="str">
        <f aca="false">$E778</f>
        <v>orichalque</v>
      </c>
      <c r="AD778" s="16" t="n">
        <f aca="false" t="array" ref="AD778:AD778">IF($I778&gt;=$AI778,"Max",ROUND(Paramètres!$B$40*($I778+1)^Paramètres!$B$41*INDEX(Paramètres!$H$6:$H$12,$AF778),0))</f>
        <v>6</v>
      </c>
      <c r="AE778" s="23" t="n">
        <f aca="false">MATCH($B778&amp;"|"&amp;$C778,Profils!$A$5:$A$34,0)</f>
        <v>25</v>
      </c>
      <c r="AF778" s="23" t="n">
        <v>5</v>
      </c>
      <c r="AG778" s="24" t="n">
        <f aca="false" t="array" ref="AG778:AG778">INDEX(Paramètres!$C$6:$C$12,$AF778)</f>
        <v>2.1</v>
      </c>
      <c r="AH778" s="23" t="n">
        <f aca="false" t="array" ref="AH778:AH778">INDEX(Paramètres!$D$6:$D$12,$AF778)</f>
        <v>6</v>
      </c>
      <c r="AI778" s="23" t="n">
        <f aca="false" t="array" ref="AI778:AI778">INDEX(Matériaux!$C$16:$C$20,$D778)</f>
        <v>30</v>
      </c>
      <c r="AJ778" s="25" t="n">
        <f aca="false">Paramètres!$B$16+(1-Paramètres!$B$16)*(($J778-Paramètres!$B$14)/(Paramètres!$B$15-Paramètres!$B$14))^Paramètres!$B$17</f>
        <v>0.665999387952727</v>
      </c>
    </row>
    <row r="779" customFormat="false" ht="15.75" hidden="false" customHeight="true" outlineLevel="0" collapsed="false">
      <c r="A779" s="14" t="s">
        <v>895</v>
      </c>
      <c r="B779" s="15" t="s">
        <v>31</v>
      </c>
      <c r="C779" s="15" t="s">
        <v>241</v>
      </c>
      <c r="D779" s="16" t="n">
        <v>5</v>
      </c>
      <c r="E779" s="15" t="str">
        <f aca="false" t="array" ref="E779:E779">INDEX(Matériaux!$B$5:$F$12,MATCH(INDEX(Profils!$E$5:$E$34,$AE779),Matériaux!$A$5:$A$12,0),$D779)</f>
        <v>orichalque</v>
      </c>
      <c r="F779" s="30" t="s">
        <v>119</v>
      </c>
      <c r="G779" s="10" t="str">
        <f aca="false" t="array" ref="G779:G779">INDEX(Profils!$D$5:$D$34,$AE779)&amp;" en "&amp;$E779</f>
        <v>Pendentif en orichalque</v>
      </c>
      <c r="H779" s="16" t="n">
        <f aca="false" t="array" ref="H779:H779">INDEX(Matériaux!$B$16:$B$20,$D779)</f>
        <v>70</v>
      </c>
      <c r="I779" s="16" t="n">
        <f aca="false">IF(ISNUMBER($C$3),MIN(MAX(0,ROUND($C$3,0)),$AI779),$AI779)</f>
        <v>0</v>
      </c>
      <c r="J779" s="18" t="n">
        <f aca="false">$H779+$I779</f>
        <v>70</v>
      </c>
      <c r="K779" s="15" t="s">
        <v>109</v>
      </c>
      <c r="L779" s="19" t="n">
        <f aca="false" t="array" ref="L779:L779">IF(AND(INDEX(Profils!$F$5:$F$34,$AE779)&gt;0,INDEX(Profils!$U$5:$U$34,$AE779)&lt;=$AH779),ROUND(INDEX(Profils!$F$5:$F$34,$AE779)*Paramètres!$E$22*$AG779*$AJ779,Paramètres!$F$22),0)</f>
        <v>32</v>
      </c>
      <c r="M779" s="19" t="n">
        <f aca="false" t="array" ref="M779:M779">IF(AND(INDEX(Profils!$G$5:$G$34,$AE779)&gt;0,INDEX(Profils!$V$5:$V$34,$AE779)&lt;=$AH779),ROUND(INDEX(Profils!$G$5:$G$34,$AE779)*Paramètres!$E$23*$AG779*$AJ779,Paramètres!$F$23),0)</f>
        <v>0</v>
      </c>
      <c r="N779" s="19" t="n">
        <f aca="false" t="array" ref="N779:N779">IF(AND(INDEX(Profils!$H$5:$H$34,$AE779)&gt;0,INDEX(Profils!$W$5:$W$34,$AE779)&lt;=$AH779),ROUND(INDEX(Profils!$H$5:$H$34,$AE779)*Paramètres!$E$24*$AG779*$AJ779,Paramètres!$F$24),0)</f>
        <v>0</v>
      </c>
      <c r="O779" s="19" t="n">
        <f aca="false" t="array" ref="O779:O779">IF(AND(INDEX(Profils!$I$5:$I$34,$AE779)&gt;0,INDEX(Profils!$X$5:$X$34,$AE779)&lt;=$AH779),ROUND(INDEX(Profils!$I$5:$I$34,$AE779)*Paramètres!$E$25*$AG779*$AJ779,Paramètres!$F$25),0)</f>
        <v>0</v>
      </c>
      <c r="P779" s="19" t="n">
        <f aca="false" t="array" ref="P779:P779">IF(AND(INDEX(Profils!$J$5:$J$34,$AE779)&gt;0,INDEX(Profils!$Y$5:$Y$34,$AE779)&lt;=$AH779),ROUND(INDEX(Profils!$J$5:$J$34,$AE779)*Paramètres!$E$26*$AG779*$AJ779,Paramètres!$F$26),0)</f>
        <v>23</v>
      </c>
      <c r="Q779" s="19" t="n">
        <f aca="false" t="array" ref="Q779:Q779">IF(AND(INDEX(Profils!$K$5:$K$34,$AE779)&gt;0,INDEX(Profils!$Z$5:$Z$34,$AE779)&lt;=$AH779),ROUND(INDEX(Profils!$K$5:$K$34,$AE779)*Paramètres!$E$27*$AG779*$AJ779,Paramètres!$F$27),0)</f>
        <v>0</v>
      </c>
      <c r="R779" s="20" t="n">
        <f aca="false" t="array" ref="R779:R779">IF(AND(INDEX(Profils!$L$5:$L$34,$AE779)&gt;0,INDEX(Profils!$AA$5:$AA$34,$AE779)&lt;=$AH779),ROUND(INDEX(Profils!$L$5:$L$34,$AE779)*Paramètres!$E$28*$AG779*$AJ779,Paramètres!$F$28),0)</f>
        <v>0.022</v>
      </c>
      <c r="S779" s="20" t="n">
        <f aca="false" t="array" ref="S779:S779">IF(AND(INDEX(Profils!$M$5:$M$34,$AE779)&gt;0,INDEX(Profils!$AB$5:$AB$34,$AE779)&lt;=$AH779),ROUND(INDEX(Profils!$M$5:$M$34,$AE779)*Paramètres!$E$29*$AG779*$AJ779,Paramètres!$F$29),0)</f>
        <v>0.019</v>
      </c>
      <c r="T779" s="20" t="n">
        <f aca="false" t="array" ref="T779:T779">IF(AND(INDEX(Profils!$N$5:$N$34,$AE779)&gt;0,INDEX(Profils!$AC$5:$AC$34,$AE779)&lt;=$AH779),ROUND(INDEX(Profils!$N$5:$N$34,$AE779)*Paramètres!$E$30*$AG779*$AJ779,Paramètres!$F$30),0)</f>
        <v>0.048</v>
      </c>
      <c r="U779" s="19" t="n">
        <f aca="false" t="array" ref="U779:U779">IF(AND(INDEX(Profils!$O$5:$O$34,$AE779)&gt;0,INDEX(Profils!$AD$5:$AD$34,$AE779)&lt;=$AH779),ROUND(INDEX(Profils!$O$5:$O$34,$AE779)*Paramètres!$E$31*$AG779*$AJ779,Paramètres!$F$31),0)</f>
        <v>0</v>
      </c>
      <c r="V779" s="20" t="n">
        <f aca="false" t="array" ref="V779:V779">IF(AND(INDEX(Profils!$P$5:$P$34,$AE779)&gt;0,INDEX(Profils!$AE$5:$AE$34,$AE779)&lt;=$AH779),ROUND(INDEX(Profils!$P$5:$P$34,$AE779)*Paramètres!$E$32*$AG779*$AJ779,Paramètres!$F$32),0)</f>
        <v>0</v>
      </c>
      <c r="W779" s="20" t="n">
        <f aca="false" t="array" ref="W779:W779">IF(AND(INDEX(Profils!$Q$5:$Q$34,$AE779)&gt;0,INDEX(Profils!$AF$5:$AF$34,$AE779)&lt;=$AH779),ROUND(INDEX(Profils!$Q$5:$Q$34,$AE779)*Paramètres!$E$33*$AG779*$AJ779,Paramètres!$F$33),0)</f>
        <v>0.017</v>
      </c>
      <c r="X779" s="20" t="n">
        <f aca="false" t="array" ref="X779:X779">IF(AND(INDEX(Profils!$R$5:$R$34,$AE779)&gt;0,INDEX(Profils!$AG$5:$AG$34,$AE779)&lt;=$AH779),ROUND(INDEX(Profils!$R$5:$R$34,$AE779)*Paramètres!$E$34*$AG779*$AJ779,Paramètres!$F$34),0)</f>
        <v>0</v>
      </c>
      <c r="Y779" s="20" t="n">
        <f aca="false" t="array" ref="Y779:Y779">IF(AND(INDEX(Profils!$S$5:$S$34,$AE779)&gt;0,INDEX(Profils!$AH$5:$AH$34,$AE779)&lt;=$AH779),ROUND(INDEX(Profils!$S$5:$S$34,$AE779)*Paramètres!$E$35*$AG779*$AJ779,Paramètres!$F$35),0)</f>
        <v>0.012</v>
      </c>
      <c r="Z779" s="21" t="n">
        <f aca="false">ROUND(L779/Paramètres!$E$22+M779/Paramètres!$E$23+N779/Paramètres!$E$24+O779/Paramètres!$E$25+P779/Paramètres!$E$26+Q779/Paramètres!$E$27+R779/Paramètres!$E$28+S779/Paramètres!$E$29+T779/Paramètres!$E$30+U779/Paramètres!$E$31+V779/Paramètres!$E$32+W779/Paramètres!$E$33+X779/Paramètres!$E$34+Y779/Paramètres!$E$35,1)</f>
        <v>9.8</v>
      </c>
      <c r="AA779" s="22" t="s">
        <v>109</v>
      </c>
      <c r="AB779" s="22" t="s">
        <v>109</v>
      </c>
      <c r="AC779" s="15" t="str">
        <f aca="false">$E779</f>
        <v>orichalque</v>
      </c>
      <c r="AD779" s="16" t="n">
        <f aca="false" t="array" ref="AD779:AD779">IF($I779&gt;=$AI779,"Max",ROUND(Paramètres!$B$40*($I779+1)^Paramètres!$B$41*INDEX(Paramètres!$H$6:$H$12,$AF779),0))</f>
        <v>8</v>
      </c>
      <c r="AE779" s="23" t="n">
        <f aca="false">MATCH($B779&amp;"|"&amp;$C779,Profils!$A$5:$A$34,0)</f>
        <v>25</v>
      </c>
      <c r="AF779" s="23" t="n">
        <v>6</v>
      </c>
      <c r="AG779" s="24" t="n">
        <f aca="false" t="array" ref="AG779:AG779">INDEX(Paramètres!$C$6:$C$12,$AF779)</f>
        <v>2.4</v>
      </c>
      <c r="AH779" s="23" t="n">
        <f aca="false" t="array" ref="AH779:AH779">INDEX(Paramètres!$D$6:$D$12,$AF779)</f>
        <v>7</v>
      </c>
      <c r="AI779" s="23" t="n">
        <f aca="false" t="array" ref="AI779:AI779">INDEX(Matériaux!$C$16:$C$20,$D779)</f>
        <v>30</v>
      </c>
      <c r="AJ779" s="25" t="n">
        <f aca="false">Paramètres!$B$16+(1-Paramètres!$B$16)*(($J779-Paramètres!$B$14)/(Paramètres!$B$15-Paramètres!$B$14))^Paramètres!$B$17</f>
        <v>0.665999387952727</v>
      </c>
    </row>
    <row r="780" customFormat="false" ht="15.75" hidden="false" customHeight="true" outlineLevel="0" collapsed="false">
      <c r="A780" s="14" t="s">
        <v>896</v>
      </c>
      <c r="B780" s="15" t="s">
        <v>31</v>
      </c>
      <c r="C780" s="15" t="s">
        <v>241</v>
      </c>
      <c r="D780" s="16" t="s">
        <v>109</v>
      </c>
      <c r="E780" s="15" t="s">
        <v>109</v>
      </c>
      <c r="F780" s="31" t="s">
        <v>38</v>
      </c>
      <c r="G780" s="10" t="str">
        <f aca="false" t="array" ref="G780:G780">INDEX(Uniques!$E$5:$E$34,MATCH($B780&amp;"|"&amp;$C780,Uniques!$A$5:$A$34,0))</f>
        <v>Pendentif de la Sentinelle de Pierre</v>
      </c>
      <c r="H780" s="16" t="n">
        <f aca="false" t="array" ref="H780:H780">INDEX(Uniques!$L$5:$L$34,MATCH($B780&amp;"|"&amp;$C780,Uniques!$A$5:$A$34,0))</f>
        <v>11</v>
      </c>
      <c r="I780" s="16" t="n">
        <f aca="false">IF(ISNUMBER($C$3),MIN(MAX(0,ROUND($C$3,0)),$AI780),$AI780)</f>
        <v>0</v>
      </c>
      <c r="J780" s="18" t="n">
        <f aca="false">$H780+$I780</f>
        <v>11</v>
      </c>
      <c r="K780" s="15" t="str">
        <f aca="false" t="array" ref="K780:K780">INDEX(Uniques!$F$5:$F$34,MATCH($B780&amp;"|"&amp;$C780,Uniques!$A$5:$A$34,0))</f>
        <v>Terre</v>
      </c>
      <c r="L780" s="19" t="n">
        <f aca="false" t="array" ref="L780:L780">IF(AND(INDEX(Profils!$F$5:$F$34,$AE780)&gt;0,INDEX(Profils!$U$5:$U$34,$AE780)&lt;=$AH780),ROUND(INDEX(Profils!$F$5:$F$34,$AE780)*Paramètres!$E$22*$AG780*$AJ780,Paramètres!$F$22),0)</f>
        <v>6</v>
      </c>
      <c r="M780" s="19" t="n">
        <f aca="false" t="array" ref="M780:M780">IF(AND(INDEX(Profils!$G$5:$G$34,$AE780)&gt;0,INDEX(Profils!$V$5:$V$34,$AE780)&lt;=$AH780),ROUND(INDEX(Profils!$G$5:$G$34,$AE780)*Paramètres!$E$23*$AG780*$AJ780,Paramètres!$F$23),0)</f>
        <v>0</v>
      </c>
      <c r="N780" s="19" t="n">
        <f aca="false" t="array" ref="N780:N780">IF(AND(INDEX(Profils!$H$5:$H$34,$AE780)&gt;0,INDEX(Profils!$W$5:$W$34,$AE780)&lt;=$AH780),ROUND(INDEX(Profils!$H$5:$H$34,$AE780)*Paramètres!$E$24*$AG780*$AJ780,Paramètres!$F$24),0)</f>
        <v>0</v>
      </c>
      <c r="O780" s="19" t="n">
        <f aca="false" t="array" ref="O780:O780">IF(AND(INDEX(Profils!$I$5:$I$34,$AE780)&gt;0,INDEX(Profils!$X$5:$X$34,$AE780)&lt;=$AH780),ROUND(INDEX(Profils!$I$5:$I$34,$AE780)*Paramètres!$E$25*$AG780*$AJ780,Paramètres!$F$25),0)</f>
        <v>0</v>
      </c>
      <c r="P780" s="19" t="n">
        <f aca="false" t="array" ref="P780:P780">IF(AND(INDEX(Profils!$J$5:$J$34,$AE780)&gt;0,INDEX(Profils!$Y$5:$Y$34,$AE780)&lt;=$AH780),ROUND(INDEX(Profils!$J$5:$J$34,$AE780)*Paramètres!$E$26*$AG780*$AJ780,Paramètres!$F$26),0)</f>
        <v>4</v>
      </c>
      <c r="Q780" s="19" t="n">
        <f aca="false" t="array" ref="Q780:Q780">IF(AND(INDEX(Profils!$K$5:$K$34,$AE780)&gt;0,INDEX(Profils!$Z$5:$Z$34,$AE780)&lt;=$AH780),ROUND(INDEX(Profils!$K$5:$K$34,$AE780)*Paramètres!$E$27*$AG780*$AJ780,Paramètres!$F$27),0)</f>
        <v>0</v>
      </c>
      <c r="R780" s="20" t="n">
        <f aca="false" t="array" ref="R780:R780">IF(AND(INDEX(Profils!$L$5:$L$34,$AE780)&gt;0,INDEX(Profils!$AA$5:$AA$34,$AE780)&lt;=$AH780),ROUND(INDEX(Profils!$L$5:$L$34,$AE780)*Paramètres!$E$28*$AG780*$AJ780,Paramètres!$F$28),0)</f>
        <v>0.004</v>
      </c>
      <c r="S780" s="20" t="n">
        <f aca="false" t="array" ref="S780:S780">IF(AND(INDEX(Profils!$M$5:$M$34,$AE780)&gt;0,INDEX(Profils!$AB$5:$AB$34,$AE780)&lt;=$AH780),ROUND(INDEX(Profils!$M$5:$M$34,$AE780)*Paramètres!$E$29*$AG780*$AJ780,Paramètres!$F$29),0)</f>
        <v>0.003</v>
      </c>
      <c r="T780" s="20" t="n">
        <f aca="false" t="array" ref="T780:T780">IF(AND(INDEX(Profils!$N$5:$N$34,$AE780)&gt;0,INDEX(Profils!$AC$5:$AC$34,$AE780)&lt;=$AH780),ROUND(INDEX(Profils!$N$5:$N$34,$AE780)*Paramètres!$E$30*$AG780*$AJ780,Paramètres!$F$30),0)</f>
        <v>0.008</v>
      </c>
      <c r="U780" s="19" t="n">
        <f aca="false" t="array" ref="U780:U780">IF(AND(INDEX(Profils!$O$5:$O$34,$AE780)&gt;0,INDEX(Profils!$AD$5:$AD$34,$AE780)&lt;=$AH780),ROUND(INDEX(Profils!$O$5:$O$34,$AE780)*Paramètres!$E$31*$AG780*$AJ780,Paramètres!$F$31),0)</f>
        <v>0</v>
      </c>
      <c r="V780" s="20" t="n">
        <f aca="false" t="array" ref="V780:V780">IF(AND(INDEX(Profils!$P$5:$P$34,$AE780)&gt;0,INDEX(Profils!$AE$5:$AE$34,$AE780)&lt;=$AH780),ROUND(INDEX(Profils!$P$5:$P$34,$AE780)*Paramètres!$E$32*$AG780*$AJ780,Paramètres!$F$32),0)</f>
        <v>0</v>
      </c>
      <c r="W780" s="20" t="n">
        <f aca="false" t="array" ref="W780:W780">IF(AND(INDEX(Profils!$Q$5:$Q$34,$AE780)&gt;0,INDEX(Profils!$AF$5:$AF$34,$AE780)&lt;=$AH780),ROUND(INDEX(Profils!$Q$5:$Q$34,$AE780)*Paramètres!$E$33*$AG780*$AJ780,Paramètres!$F$33),0)</f>
        <v>0.003</v>
      </c>
      <c r="X780" s="20" t="n">
        <f aca="false" t="array" ref="X780:X780">IF(AND(INDEX(Profils!$R$5:$R$34,$AE780)&gt;0,INDEX(Profils!$AG$5:$AG$34,$AE780)&lt;=$AH780),ROUND(INDEX(Profils!$R$5:$R$34,$AE780)*Paramètres!$E$34*$AG780*$AJ780,Paramètres!$F$34),0)</f>
        <v>0</v>
      </c>
      <c r="Y780" s="20" t="n">
        <f aca="false" t="array" ref="Y780:Y780">IF(AND(INDEX(Profils!$S$5:$S$34,$AE780)&gt;0,INDEX(Profils!$AH$5:$AH$34,$AE780)&lt;=$AH780),ROUND(INDEX(Profils!$S$5:$S$34,$AE780)*Paramètres!$E$35*$AG780*$AJ780,Paramètres!$F$35),0)</f>
        <v>0.002</v>
      </c>
      <c r="Z780" s="21" t="n">
        <f aca="false">ROUND(L780/Paramètres!$E$22+M780/Paramètres!$E$23+N780/Paramètres!$E$24+O780/Paramètres!$E$25+P780/Paramètres!$E$26+Q780/Paramètres!$E$27+R780/Paramètres!$E$28+S780/Paramètres!$E$29+T780/Paramètres!$E$30+U780/Paramètres!$E$31+V780/Paramètres!$E$32+W780/Paramètres!$E$33+X780/Paramètres!$E$34+Y780/Paramètres!$E$35,1)</f>
        <v>1.7</v>
      </c>
      <c r="AA780" s="22" t="str">
        <f aca="false" t="array" ref="AA780:AA780">INDEX(Uniques!$G$5:$G$34,MATCH($B780&amp;"|"&amp;$C780,Uniques!$A$5:$A$34,0))</f>
        <v>Racines protectrices</v>
      </c>
      <c r="AB780" s="22" t="str">
        <f aca="false" t="array" ref="AB780:AB780">INDEX(Uniques!$H$5:$H$34,MATCH($B780&amp;"|"&amp;$C780,Uniques!$A$5:$A$34,0))&amp;" ["&amp;INDEX(Uniques!$I$5:$I$34,MATCH($B780&amp;"|"&amp;$C780,Uniques!$A$5:$A$34,0))&amp;"]"</f>
        <v>10 % des dégâts subis par le porteur sont convertis en bouclier temporaire pendant 2 tours. [Bouclier plafonné à 10 % des PV max.]</v>
      </c>
      <c r="AC780" s="15" t="str">
        <f aca="false" t="array" ref="AC780:AC780">INDEX(Matériaux!$B$5:$F$12,MATCH(INDEX(Profils!$E$5:$E$34,$AE780),Matériaux!$A$5:$A$12,0),MATCH(MIN($J780+1,100),Matériaux!$B$16:$B$20,1))</f>
        <v>cuivre</v>
      </c>
      <c r="AD780" s="16" t="n">
        <f aca="false" t="array" ref="AD780:AD780">IF($I780&gt;=$AI780,"Max",ROUND(Paramètres!$B$40*($I780+1)^Paramètres!$B$41*INDEX(Paramètres!$H$6:$H$12,$AF780),0))</f>
        <v>9</v>
      </c>
      <c r="AE780" s="23" t="n">
        <f aca="false">MATCH($B780&amp;"|"&amp;$C780,Profils!$A$5:$A$34,0)</f>
        <v>25</v>
      </c>
      <c r="AF780" s="23" t="n">
        <v>7</v>
      </c>
      <c r="AG780" s="24" t="n">
        <f aca="false" t="array" ref="AG780:AG780">INDEX(Paramètres!$C$6:$C$12,$AF780)</f>
        <v>2.5</v>
      </c>
      <c r="AH780" s="23" t="n">
        <f aca="false" t="array" ref="AH780:AH780">INDEX(Paramètres!$D$6:$D$12,$AF780)</f>
        <v>7</v>
      </c>
      <c r="AI780" s="23" t="n">
        <f aca="false" t="array" ref="AI780:AI780">INDEX(Uniques!$M$5:$M$34,MATCH($B780&amp;"|"&amp;$C780,Uniques!$A$5:$A$34,0))</f>
        <v>89</v>
      </c>
      <c r="AJ780" s="25" t="n">
        <f aca="false">Paramètres!$B$16+(1-Paramètres!$B$16)*(($J780-Paramètres!$B$14)/(Paramètres!$B$15-Paramètres!$B$14))^Paramètres!$B$17</f>
        <v>0.110668236595759</v>
      </c>
    </row>
    <row r="781" customFormat="false" ht="15.75" hidden="false" customHeight="true" outlineLevel="0" collapsed="false">
      <c r="A781" s="14" t="s">
        <v>897</v>
      </c>
      <c r="B781" s="15" t="s">
        <v>31</v>
      </c>
      <c r="C781" s="15" t="s">
        <v>273</v>
      </c>
      <c r="D781" s="16" t="n">
        <v>1</v>
      </c>
      <c r="E781" s="15" t="str">
        <f aca="false" t="array" ref="E781:E781">INDEX(Matériaux!$B$5:$F$12,MATCH(INDEX(Profils!$E$5:$E$34,$AE781),Matériaux!$A$5:$A$12,0),$D781)</f>
        <v>cuivre</v>
      </c>
      <c r="F781" s="17" t="s">
        <v>108</v>
      </c>
      <c r="G781" s="10" t="str">
        <f aca="false" t="array" ref="G781:G781">INDEX(Profils!$D$5:$D$34,$AE781)&amp;" en "&amp;$E781</f>
        <v>Anneau de chasseur en cuivre</v>
      </c>
      <c r="H781" s="16" t="n">
        <f aca="false" t="array" ref="H781:H781">INDEX(Matériaux!$B$16:$B$20,$D781)</f>
        <v>1</v>
      </c>
      <c r="I781" s="16" t="n">
        <f aca="false">IF(ISNUMBER($C$3),MIN(MAX(0,ROUND($C$3,0)),$AI781),$AI781)</f>
        <v>0</v>
      </c>
      <c r="J781" s="18" t="n">
        <f aca="false">$H781+$I781</f>
        <v>1</v>
      </c>
      <c r="K781" s="15" t="s">
        <v>109</v>
      </c>
      <c r="L781" s="19" t="n">
        <f aca="false" t="array" ref="L781:L781">IF(AND(INDEX(Profils!$F$5:$F$34,$AE781)&gt;0,INDEX(Profils!$U$5:$U$34,$AE781)&lt;=$AH781),ROUND(INDEX(Profils!$F$5:$F$34,$AE781)*Paramètres!$E$22*$AG781*$AJ781,Paramètres!$F$22),0)</f>
        <v>0</v>
      </c>
      <c r="M781" s="19" t="n">
        <f aca="false" t="array" ref="M781:M781">IF(AND(INDEX(Profils!$G$5:$G$34,$AE781)&gt;0,INDEX(Profils!$V$5:$V$34,$AE781)&lt;=$AH781),ROUND(INDEX(Profils!$G$5:$G$34,$AE781)*Paramètres!$E$23*$AG781*$AJ781,Paramètres!$F$23),0)</f>
        <v>0</v>
      </c>
      <c r="N781" s="19" t="n">
        <f aca="false" t="array" ref="N781:N781">IF(AND(INDEX(Profils!$H$5:$H$34,$AE781)&gt;0,INDEX(Profils!$W$5:$W$34,$AE781)&lt;=$AH781),ROUND(INDEX(Profils!$H$5:$H$34,$AE781)*Paramètres!$E$24*$AG781*$AJ781,Paramètres!$F$24),0)</f>
        <v>0</v>
      </c>
      <c r="O781" s="19" t="n">
        <f aca="false" t="array" ref="O781:O781">IF(AND(INDEX(Profils!$I$5:$I$34,$AE781)&gt;0,INDEX(Profils!$X$5:$X$34,$AE781)&lt;=$AH781),ROUND(INDEX(Profils!$I$5:$I$34,$AE781)*Paramètres!$E$25*$AG781*$AJ781,Paramètres!$F$25),0)</f>
        <v>0</v>
      </c>
      <c r="P781" s="19" t="n">
        <f aca="false" t="array" ref="P781:P781">IF(AND(INDEX(Profils!$J$5:$J$34,$AE781)&gt;0,INDEX(Profils!$Y$5:$Y$34,$AE781)&lt;=$AH781),ROUND(INDEX(Profils!$J$5:$J$34,$AE781)*Paramètres!$E$26*$AG781*$AJ781,Paramètres!$F$26),0)</f>
        <v>0</v>
      </c>
      <c r="Q781" s="19" t="n">
        <f aca="false" t="array" ref="Q781:Q781">IF(AND(INDEX(Profils!$K$5:$K$34,$AE781)&gt;0,INDEX(Profils!$Z$5:$Z$34,$AE781)&lt;=$AH781),ROUND(INDEX(Profils!$K$5:$K$34,$AE781)*Paramètres!$E$27*$AG781*$AJ781,Paramètres!$F$27),0)</f>
        <v>0</v>
      </c>
      <c r="R781" s="20" t="n">
        <f aca="false" t="array" ref="R781:R781">IF(AND(INDEX(Profils!$L$5:$L$34,$AE781)&gt;0,INDEX(Profils!$AA$5:$AA$34,$AE781)&lt;=$AH781),ROUND(INDEX(Profils!$L$5:$L$34,$AE781)*Paramètres!$E$28*$AG781*$AJ781,Paramètres!$F$28),0)</f>
        <v>0</v>
      </c>
      <c r="S781" s="20" t="n">
        <f aca="false" t="array" ref="S781:S781">IF(AND(INDEX(Profils!$M$5:$M$34,$AE781)&gt;0,INDEX(Profils!$AB$5:$AB$34,$AE781)&lt;=$AH781),ROUND(INDEX(Profils!$M$5:$M$34,$AE781)*Paramètres!$E$29*$AG781*$AJ781,Paramètres!$F$29),0)</f>
        <v>0.001</v>
      </c>
      <c r="T781" s="20" t="n">
        <f aca="false" t="array" ref="T781:T781">IF(AND(INDEX(Profils!$N$5:$N$34,$AE781)&gt;0,INDEX(Profils!$AC$5:$AC$34,$AE781)&lt;=$AH781),ROUND(INDEX(Profils!$N$5:$N$34,$AE781)*Paramètres!$E$30*$AG781*$AJ781,Paramètres!$F$30),0)</f>
        <v>0.002</v>
      </c>
      <c r="U781" s="19" t="n">
        <f aca="false" t="array" ref="U781:U781">IF(AND(INDEX(Profils!$O$5:$O$34,$AE781)&gt;0,INDEX(Profils!$AD$5:$AD$34,$AE781)&lt;=$AH781),ROUND(INDEX(Profils!$O$5:$O$34,$AE781)*Paramètres!$E$31*$AG781*$AJ781,Paramètres!$F$31),0)</f>
        <v>0</v>
      </c>
      <c r="V781" s="20" t="n">
        <f aca="false" t="array" ref="V781:V781">IF(AND(INDEX(Profils!$P$5:$P$34,$AE781)&gt;0,INDEX(Profils!$AE$5:$AE$34,$AE781)&lt;=$AH781),ROUND(INDEX(Profils!$P$5:$P$34,$AE781)*Paramètres!$E$32*$AG781*$AJ781,Paramètres!$F$32),0)</f>
        <v>0</v>
      </c>
      <c r="W781" s="20" t="n">
        <f aca="false" t="array" ref="W781:W781">IF(AND(INDEX(Profils!$Q$5:$Q$34,$AE781)&gt;0,INDEX(Profils!$AF$5:$AF$34,$AE781)&lt;=$AH781),ROUND(INDEX(Profils!$Q$5:$Q$34,$AE781)*Paramètres!$E$33*$AG781*$AJ781,Paramètres!$F$33),0)</f>
        <v>0</v>
      </c>
      <c r="X781" s="20" t="n">
        <f aca="false" t="array" ref="X781:X781">IF(AND(INDEX(Profils!$R$5:$R$34,$AE781)&gt;0,INDEX(Profils!$AG$5:$AG$34,$AE781)&lt;=$AH781),ROUND(INDEX(Profils!$R$5:$R$34,$AE781)*Paramètres!$E$34*$AG781*$AJ781,Paramètres!$F$34),0)</f>
        <v>0</v>
      </c>
      <c r="Y781" s="20" t="n">
        <f aca="false" t="array" ref="Y781:Y781">IF(AND(INDEX(Profils!$S$5:$S$34,$AE781)&gt;0,INDEX(Profils!$AH$5:$AH$34,$AE781)&lt;=$AH781),ROUND(INDEX(Profils!$S$5:$S$34,$AE781)*Paramètres!$E$35*$AG781*$AJ781,Paramètres!$F$35),0)</f>
        <v>0</v>
      </c>
      <c r="Z781" s="21" t="n">
        <f aca="false">ROUND(L781/Paramètres!$E$22+M781/Paramètres!$E$23+N781/Paramètres!$E$24+O781/Paramètres!$E$25+P781/Paramètres!$E$26+Q781/Paramètres!$E$27+R781/Paramètres!$E$28+S781/Paramètres!$E$29+T781/Paramètres!$E$30+U781/Paramètres!$E$31+V781/Paramètres!$E$32+W781/Paramètres!$E$33+X781/Paramètres!$E$34+Y781/Paramètres!$E$35,1)</f>
        <v>0.2</v>
      </c>
      <c r="AA781" s="22" t="s">
        <v>109</v>
      </c>
      <c r="AB781" s="22" t="s">
        <v>109</v>
      </c>
      <c r="AC781" s="15" t="str">
        <f aca="false">$E781</f>
        <v>cuivre</v>
      </c>
      <c r="AD781" s="16" t="n">
        <f aca="false" t="array" ref="AD781:AD781">IF($I781&gt;=$AI781,"Max",ROUND(Paramètres!$B$40*($I781+1)^Paramètres!$B$41*INDEX(Paramètres!$H$6:$H$12,$AF781),0))</f>
        <v>3</v>
      </c>
      <c r="AE781" s="23" t="n">
        <f aca="false">MATCH($B781&amp;"|"&amp;$C781,Profils!$A$5:$A$34,0)</f>
        <v>26</v>
      </c>
      <c r="AF781" s="23" t="n">
        <v>1</v>
      </c>
      <c r="AG781" s="24" t="n">
        <f aca="false" t="array" ref="AG781:AG781">INDEX(Paramètres!$C$6:$C$12,$AF781)</f>
        <v>1</v>
      </c>
      <c r="AH781" s="23" t="n">
        <f aca="false" t="array" ref="AH781:AH781">INDEX(Paramètres!$D$6:$D$12,$AF781)</f>
        <v>2</v>
      </c>
      <c r="AI781" s="23" t="n">
        <f aca="false" t="array" ref="AI781:AI781">INDEX(Matériaux!$C$16:$C$20,$D781)</f>
        <v>19</v>
      </c>
      <c r="AJ781" s="25" t="n">
        <f aca="false">Paramètres!$B$16+(1-Paramètres!$B$16)*(($J781-Paramètres!$B$14)/(Paramètres!$B$15-Paramètres!$B$14))^Paramètres!$B$17</f>
        <v>0.05</v>
      </c>
    </row>
    <row r="782" customFormat="false" ht="15.75" hidden="false" customHeight="true" outlineLevel="0" collapsed="false">
      <c r="A782" s="14" t="s">
        <v>898</v>
      </c>
      <c r="B782" s="15" t="s">
        <v>31</v>
      </c>
      <c r="C782" s="15" t="s">
        <v>273</v>
      </c>
      <c r="D782" s="16" t="n">
        <v>1</v>
      </c>
      <c r="E782" s="15" t="str">
        <f aca="false" t="array" ref="E782:E782">INDEX(Matériaux!$B$5:$F$12,MATCH(INDEX(Profils!$E$5:$E$34,$AE782),Matériaux!$A$5:$A$12,0),$D782)</f>
        <v>cuivre</v>
      </c>
      <c r="F782" s="26" t="s">
        <v>111</v>
      </c>
      <c r="G782" s="10" t="str">
        <f aca="false" t="array" ref="G782:G782">INDEX(Profils!$D$5:$D$34,$AE782)&amp;" en "&amp;$E782</f>
        <v>Anneau de chasseur en cuivre</v>
      </c>
      <c r="H782" s="16" t="n">
        <f aca="false" t="array" ref="H782:H782">INDEX(Matériaux!$B$16:$B$20,$D782)</f>
        <v>1</v>
      </c>
      <c r="I782" s="16" t="n">
        <f aca="false">IF(ISNUMBER($C$3),MIN(MAX(0,ROUND($C$3,0)),$AI782),$AI782)</f>
        <v>0</v>
      </c>
      <c r="J782" s="18" t="n">
        <f aca="false">$H782+$I782</f>
        <v>1</v>
      </c>
      <c r="K782" s="15" t="s">
        <v>109</v>
      </c>
      <c r="L782" s="19" t="n">
        <f aca="false" t="array" ref="L782:L782">IF(AND(INDEX(Profils!$F$5:$F$34,$AE782)&gt;0,INDEX(Profils!$U$5:$U$34,$AE782)&lt;=$AH782),ROUND(INDEX(Profils!$F$5:$F$34,$AE782)*Paramètres!$E$22*$AG782*$AJ782,Paramètres!$F$22),0)</f>
        <v>0</v>
      </c>
      <c r="M782" s="19" t="n">
        <f aca="false" t="array" ref="M782:M782">IF(AND(INDEX(Profils!$G$5:$G$34,$AE782)&gt;0,INDEX(Profils!$V$5:$V$34,$AE782)&lt;=$AH782),ROUND(INDEX(Profils!$G$5:$G$34,$AE782)*Paramètres!$E$23*$AG782*$AJ782,Paramètres!$F$23),0)</f>
        <v>0</v>
      </c>
      <c r="N782" s="19" t="n">
        <f aca="false" t="array" ref="N782:N782">IF(AND(INDEX(Profils!$H$5:$H$34,$AE782)&gt;0,INDEX(Profils!$W$5:$W$34,$AE782)&lt;=$AH782),ROUND(INDEX(Profils!$H$5:$H$34,$AE782)*Paramètres!$E$24*$AG782*$AJ782,Paramètres!$F$24),0)</f>
        <v>0</v>
      </c>
      <c r="O782" s="19" t="n">
        <f aca="false" t="array" ref="O782:O782">IF(AND(INDEX(Profils!$I$5:$I$34,$AE782)&gt;0,INDEX(Profils!$X$5:$X$34,$AE782)&lt;=$AH782),ROUND(INDEX(Profils!$I$5:$I$34,$AE782)*Paramètres!$E$25*$AG782*$AJ782,Paramètres!$F$25),0)</f>
        <v>0</v>
      </c>
      <c r="P782" s="19" t="n">
        <f aca="false" t="array" ref="P782:P782">IF(AND(INDEX(Profils!$J$5:$J$34,$AE782)&gt;0,INDEX(Profils!$Y$5:$Y$34,$AE782)&lt;=$AH782),ROUND(INDEX(Profils!$J$5:$J$34,$AE782)*Paramètres!$E$26*$AG782*$AJ782,Paramètres!$F$26),0)</f>
        <v>0</v>
      </c>
      <c r="Q782" s="19" t="n">
        <f aca="false" t="array" ref="Q782:Q782">IF(AND(INDEX(Profils!$K$5:$K$34,$AE782)&gt;0,INDEX(Profils!$Z$5:$Z$34,$AE782)&lt;=$AH782),ROUND(INDEX(Profils!$K$5:$K$34,$AE782)*Paramètres!$E$27*$AG782*$AJ782,Paramètres!$F$27),0)</f>
        <v>0</v>
      </c>
      <c r="R782" s="20" t="n">
        <f aca="false" t="array" ref="R782:R782">IF(AND(INDEX(Profils!$L$5:$L$34,$AE782)&gt;0,INDEX(Profils!$AA$5:$AA$34,$AE782)&lt;=$AH782),ROUND(INDEX(Profils!$L$5:$L$34,$AE782)*Paramètres!$E$28*$AG782*$AJ782,Paramètres!$F$28),0)</f>
        <v>0.001</v>
      </c>
      <c r="S782" s="20" t="n">
        <f aca="false" t="array" ref="S782:S782">IF(AND(INDEX(Profils!$M$5:$M$34,$AE782)&gt;0,INDEX(Profils!$AB$5:$AB$34,$AE782)&lt;=$AH782),ROUND(INDEX(Profils!$M$5:$M$34,$AE782)*Paramètres!$E$29*$AG782*$AJ782,Paramètres!$F$29),0)</f>
        <v>0.001</v>
      </c>
      <c r="T782" s="20" t="n">
        <f aca="false" t="array" ref="T782:T782">IF(AND(INDEX(Profils!$N$5:$N$34,$AE782)&gt;0,INDEX(Profils!$AC$5:$AC$34,$AE782)&lt;=$AH782),ROUND(INDEX(Profils!$N$5:$N$34,$AE782)*Paramètres!$E$30*$AG782*$AJ782,Paramètres!$F$30),0)</f>
        <v>0.002</v>
      </c>
      <c r="U782" s="19" t="n">
        <f aca="false" t="array" ref="U782:U782">IF(AND(INDEX(Profils!$O$5:$O$34,$AE782)&gt;0,INDEX(Profils!$AD$5:$AD$34,$AE782)&lt;=$AH782),ROUND(INDEX(Profils!$O$5:$O$34,$AE782)*Paramètres!$E$31*$AG782*$AJ782,Paramètres!$F$31),0)</f>
        <v>0</v>
      </c>
      <c r="V782" s="20" t="n">
        <f aca="false" t="array" ref="V782:V782">IF(AND(INDEX(Profils!$P$5:$P$34,$AE782)&gt;0,INDEX(Profils!$AE$5:$AE$34,$AE782)&lt;=$AH782),ROUND(INDEX(Profils!$P$5:$P$34,$AE782)*Paramètres!$E$32*$AG782*$AJ782,Paramètres!$F$32),0)</f>
        <v>0</v>
      </c>
      <c r="W782" s="20" t="n">
        <f aca="false" t="array" ref="W782:W782">IF(AND(INDEX(Profils!$Q$5:$Q$34,$AE782)&gt;0,INDEX(Profils!$AF$5:$AF$34,$AE782)&lt;=$AH782),ROUND(INDEX(Profils!$Q$5:$Q$34,$AE782)*Paramètres!$E$33*$AG782*$AJ782,Paramètres!$F$33),0)</f>
        <v>0</v>
      </c>
      <c r="X782" s="20" t="n">
        <f aca="false" t="array" ref="X782:X782">IF(AND(INDEX(Profils!$R$5:$R$34,$AE782)&gt;0,INDEX(Profils!$AG$5:$AG$34,$AE782)&lt;=$AH782),ROUND(INDEX(Profils!$R$5:$R$34,$AE782)*Paramètres!$E$34*$AG782*$AJ782,Paramètres!$F$34),0)</f>
        <v>0</v>
      </c>
      <c r="Y782" s="20" t="n">
        <f aca="false" t="array" ref="Y782:Y782">IF(AND(INDEX(Profils!$S$5:$S$34,$AE782)&gt;0,INDEX(Profils!$AH$5:$AH$34,$AE782)&lt;=$AH782),ROUND(INDEX(Profils!$S$5:$S$34,$AE782)*Paramètres!$E$35*$AG782*$AJ782,Paramètres!$F$35),0)</f>
        <v>0</v>
      </c>
      <c r="Z782" s="21" t="n">
        <f aca="false">ROUND(L782/Paramètres!$E$22+M782/Paramètres!$E$23+N782/Paramètres!$E$24+O782/Paramètres!$E$25+P782/Paramètres!$E$26+Q782/Paramètres!$E$27+R782/Paramètres!$E$28+S782/Paramètres!$E$29+T782/Paramètres!$E$30+U782/Paramètres!$E$31+V782/Paramètres!$E$32+W782/Paramètres!$E$33+X782/Paramètres!$E$34+Y782/Paramètres!$E$35,1)</f>
        <v>0.2</v>
      </c>
      <c r="AA782" s="22" t="s">
        <v>109</v>
      </c>
      <c r="AB782" s="22" t="s">
        <v>109</v>
      </c>
      <c r="AC782" s="15" t="str">
        <f aca="false">$E782</f>
        <v>cuivre</v>
      </c>
      <c r="AD782" s="16" t="n">
        <f aca="false" t="array" ref="AD782:AD782">IF($I782&gt;=$AI782,"Max",ROUND(Paramètres!$B$40*($I782+1)^Paramètres!$B$41*INDEX(Paramètres!$H$6:$H$12,$AF782),0))</f>
        <v>4</v>
      </c>
      <c r="AE782" s="23" t="n">
        <f aca="false">MATCH($B782&amp;"|"&amp;$C782,Profils!$A$5:$A$34,0)</f>
        <v>26</v>
      </c>
      <c r="AF782" s="23" t="n">
        <v>2</v>
      </c>
      <c r="AG782" s="24" t="n">
        <f aca="false" t="array" ref="AG782:AG782">INDEX(Paramètres!$C$6:$C$12,$AF782)</f>
        <v>1.2</v>
      </c>
      <c r="AH782" s="23" t="n">
        <f aca="false" t="array" ref="AH782:AH782">INDEX(Paramètres!$D$6:$D$12,$AF782)</f>
        <v>3</v>
      </c>
      <c r="AI782" s="23" t="n">
        <f aca="false" t="array" ref="AI782:AI782">INDEX(Matériaux!$C$16:$C$20,$D782)</f>
        <v>19</v>
      </c>
      <c r="AJ782" s="25" t="n">
        <f aca="false">Paramètres!$B$16+(1-Paramètres!$B$16)*(($J782-Paramètres!$B$14)/(Paramètres!$B$15-Paramètres!$B$14))^Paramètres!$B$17</f>
        <v>0.05</v>
      </c>
    </row>
    <row r="783" customFormat="false" ht="15.75" hidden="false" customHeight="true" outlineLevel="0" collapsed="false">
      <c r="A783" s="14" t="s">
        <v>899</v>
      </c>
      <c r="B783" s="15" t="s">
        <v>31</v>
      </c>
      <c r="C783" s="15" t="s">
        <v>273</v>
      </c>
      <c r="D783" s="16" t="n">
        <v>1</v>
      </c>
      <c r="E783" s="15" t="str">
        <f aca="false" t="array" ref="E783:E783">INDEX(Matériaux!$B$5:$F$12,MATCH(INDEX(Profils!$E$5:$E$34,$AE783),Matériaux!$A$5:$A$12,0),$D783)</f>
        <v>cuivre</v>
      </c>
      <c r="F783" s="27" t="s">
        <v>113</v>
      </c>
      <c r="G783" s="10" t="str">
        <f aca="false" t="array" ref="G783:G783">INDEX(Profils!$D$5:$D$34,$AE783)&amp;" en "&amp;$E783</f>
        <v>Anneau de chasseur en cuivre</v>
      </c>
      <c r="H783" s="16" t="n">
        <f aca="false" t="array" ref="H783:H783">INDEX(Matériaux!$B$16:$B$20,$D783)</f>
        <v>1</v>
      </c>
      <c r="I783" s="16" t="n">
        <f aca="false">IF(ISNUMBER($C$3),MIN(MAX(0,ROUND($C$3,0)),$AI783),$AI783)</f>
        <v>0</v>
      </c>
      <c r="J783" s="18" t="n">
        <f aca="false">$H783+$I783</f>
        <v>1</v>
      </c>
      <c r="K783" s="15" t="s">
        <v>109</v>
      </c>
      <c r="L783" s="19" t="n">
        <f aca="false" t="array" ref="L783:L783">IF(AND(INDEX(Profils!$F$5:$F$34,$AE783)&gt;0,INDEX(Profils!$U$5:$U$34,$AE783)&lt;=$AH783),ROUND(INDEX(Profils!$F$5:$F$34,$AE783)*Paramètres!$E$22*$AG783*$AJ783,Paramètres!$F$22),0)</f>
        <v>0</v>
      </c>
      <c r="M783" s="19" t="n">
        <f aca="false" t="array" ref="M783:M783">IF(AND(INDEX(Profils!$G$5:$G$34,$AE783)&gt;0,INDEX(Profils!$V$5:$V$34,$AE783)&lt;=$AH783),ROUND(INDEX(Profils!$G$5:$G$34,$AE783)*Paramètres!$E$23*$AG783*$AJ783,Paramètres!$F$23),0)</f>
        <v>0</v>
      </c>
      <c r="N783" s="19" t="n">
        <f aca="false" t="array" ref="N783:N783">IF(AND(INDEX(Profils!$H$5:$H$34,$AE783)&gt;0,INDEX(Profils!$W$5:$W$34,$AE783)&lt;=$AH783),ROUND(INDEX(Profils!$H$5:$H$34,$AE783)*Paramètres!$E$24*$AG783*$AJ783,Paramètres!$F$24),0)</f>
        <v>0</v>
      </c>
      <c r="O783" s="19" t="n">
        <f aca="false" t="array" ref="O783:O783">IF(AND(INDEX(Profils!$I$5:$I$34,$AE783)&gt;0,INDEX(Profils!$X$5:$X$34,$AE783)&lt;=$AH783),ROUND(INDEX(Profils!$I$5:$I$34,$AE783)*Paramètres!$E$25*$AG783*$AJ783,Paramètres!$F$25),0)</f>
        <v>0</v>
      </c>
      <c r="P783" s="19" t="n">
        <f aca="false" t="array" ref="P783:P783">IF(AND(INDEX(Profils!$J$5:$J$34,$AE783)&gt;0,INDEX(Profils!$Y$5:$Y$34,$AE783)&lt;=$AH783),ROUND(INDEX(Profils!$J$5:$J$34,$AE783)*Paramètres!$E$26*$AG783*$AJ783,Paramètres!$F$26),0)</f>
        <v>0</v>
      </c>
      <c r="Q783" s="19" t="n">
        <f aca="false" t="array" ref="Q783:Q783">IF(AND(INDEX(Profils!$K$5:$K$34,$AE783)&gt;0,INDEX(Profils!$Z$5:$Z$34,$AE783)&lt;=$AH783),ROUND(INDEX(Profils!$K$5:$K$34,$AE783)*Paramètres!$E$27*$AG783*$AJ783,Paramètres!$F$27),0)</f>
        <v>0</v>
      </c>
      <c r="R783" s="20" t="n">
        <f aca="false" t="array" ref="R783:R783">IF(AND(INDEX(Profils!$L$5:$L$34,$AE783)&gt;0,INDEX(Profils!$AA$5:$AA$34,$AE783)&lt;=$AH783),ROUND(INDEX(Profils!$L$5:$L$34,$AE783)*Paramètres!$E$28*$AG783*$AJ783,Paramètres!$F$28),0)</f>
        <v>0.001</v>
      </c>
      <c r="S783" s="20" t="n">
        <f aca="false" t="array" ref="S783:S783">IF(AND(INDEX(Profils!$M$5:$M$34,$AE783)&gt;0,INDEX(Profils!$AB$5:$AB$34,$AE783)&lt;=$AH783),ROUND(INDEX(Profils!$M$5:$M$34,$AE783)*Paramètres!$E$29*$AG783*$AJ783,Paramètres!$F$29),0)</f>
        <v>0.001</v>
      </c>
      <c r="T783" s="20" t="n">
        <f aca="false" t="array" ref="T783:T783">IF(AND(INDEX(Profils!$N$5:$N$34,$AE783)&gt;0,INDEX(Profils!$AC$5:$AC$34,$AE783)&lt;=$AH783),ROUND(INDEX(Profils!$N$5:$N$34,$AE783)*Paramètres!$E$30*$AG783*$AJ783,Paramètres!$F$30),0)</f>
        <v>0.003</v>
      </c>
      <c r="U783" s="19" t="n">
        <f aca="false" t="array" ref="U783:U783">IF(AND(INDEX(Profils!$O$5:$O$34,$AE783)&gt;0,INDEX(Profils!$AD$5:$AD$34,$AE783)&lt;=$AH783),ROUND(INDEX(Profils!$O$5:$O$34,$AE783)*Paramètres!$E$31*$AG783*$AJ783,Paramètres!$F$31),0)</f>
        <v>0</v>
      </c>
      <c r="V783" s="20" t="n">
        <f aca="false" t="array" ref="V783:V783">IF(AND(INDEX(Profils!$P$5:$P$34,$AE783)&gt;0,INDEX(Profils!$AE$5:$AE$34,$AE783)&lt;=$AH783),ROUND(INDEX(Profils!$P$5:$P$34,$AE783)*Paramètres!$E$32*$AG783*$AJ783,Paramètres!$F$32),0)</f>
        <v>0.001</v>
      </c>
      <c r="W783" s="20" t="n">
        <f aca="false" t="array" ref="W783:W783">IF(AND(INDEX(Profils!$Q$5:$Q$34,$AE783)&gt;0,INDEX(Profils!$AF$5:$AF$34,$AE783)&lt;=$AH783),ROUND(INDEX(Profils!$Q$5:$Q$34,$AE783)*Paramètres!$E$33*$AG783*$AJ783,Paramètres!$F$33),0)</f>
        <v>0</v>
      </c>
      <c r="X783" s="20" t="n">
        <f aca="false" t="array" ref="X783:X783">IF(AND(INDEX(Profils!$R$5:$R$34,$AE783)&gt;0,INDEX(Profils!$AG$5:$AG$34,$AE783)&lt;=$AH783),ROUND(INDEX(Profils!$R$5:$R$34,$AE783)*Paramètres!$E$34*$AG783*$AJ783,Paramètres!$F$34),0)</f>
        <v>0</v>
      </c>
      <c r="Y783" s="20" t="n">
        <f aca="false" t="array" ref="Y783:Y783">IF(AND(INDEX(Profils!$S$5:$S$34,$AE783)&gt;0,INDEX(Profils!$AH$5:$AH$34,$AE783)&lt;=$AH783),ROUND(INDEX(Profils!$S$5:$S$34,$AE783)*Paramètres!$E$35*$AG783*$AJ783,Paramètres!$F$35),0)</f>
        <v>0</v>
      </c>
      <c r="Z783" s="21" t="n">
        <f aca="false">ROUND(L783/Paramètres!$E$22+M783/Paramètres!$E$23+N783/Paramètres!$E$24+O783/Paramètres!$E$25+P783/Paramètres!$E$26+Q783/Paramètres!$E$27+R783/Paramètres!$E$28+S783/Paramètres!$E$29+T783/Paramètres!$E$30+U783/Paramètres!$E$31+V783/Paramètres!$E$32+W783/Paramètres!$E$33+X783/Paramètres!$E$34+Y783/Paramètres!$E$35,1)</f>
        <v>0.3</v>
      </c>
      <c r="AA783" s="22" t="s">
        <v>109</v>
      </c>
      <c r="AB783" s="22" t="s">
        <v>109</v>
      </c>
      <c r="AC783" s="15" t="str">
        <f aca="false">$E783</f>
        <v>cuivre</v>
      </c>
      <c r="AD783" s="16" t="n">
        <f aca="false" t="array" ref="AD783:AD783">IF($I783&gt;=$AI783,"Max",ROUND(Paramètres!$B$40*($I783+1)^Paramètres!$B$41*INDEX(Paramètres!$H$6:$H$12,$AF783),0))</f>
        <v>4</v>
      </c>
      <c r="AE783" s="23" t="n">
        <f aca="false">MATCH($B783&amp;"|"&amp;$C783,Profils!$A$5:$A$34,0)</f>
        <v>26</v>
      </c>
      <c r="AF783" s="23" t="n">
        <v>3</v>
      </c>
      <c r="AG783" s="24" t="n">
        <f aca="false" t="array" ref="AG783:AG783">INDEX(Paramètres!$C$6:$C$12,$AF783)</f>
        <v>1.45</v>
      </c>
      <c r="AH783" s="23" t="n">
        <f aca="false" t="array" ref="AH783:AH783">INDEX(Paramètres!$D$6:$D$12,$AF783)</f>
        <v>4</v>
      </c>
      <c r="AI783" s="23" t="n">
        <f aca="false" t="array" ref="AI783:AI783">INDEX(Matériaux!$C$16:$C$20,$D783)</f>
        <v>19</v>
      </c>
      <c r="AJ783" s="25" t="n">
        <f aca="false">Paramètres!$B$16+(1-Paramètres!$B$16)*(($J783-Paramètres!$B$14)/(Paramètres!$B$15-Paramètres!$B$14))^Paramètres!$B$17</f>
        <v>0.05</v>
      </c>
    </row>
    <row r="784" customFormat="false" ht="15.75" hidden="false" customHeight="true" outlineLevel="0" collapsed="false">
      <c r="A784" s="14" t="s">
        <v>900</v>
      </c>
      <c r="B784" s="15" t="s">
        <v>31</v>
      </c>
      <c r="C784" s="15" t="s">
        <v>273</v>
      </c>
      <c r="D784" s="16" t="n">
        <v>1</v>
      </c>
      <c r="E784" s="15" t="str">
        <f aca="false" t="array" ref="E784:E784">INDEX(Matériaux!$B$5:$F$12,MATCH(INDEX(Profils!$E$5:$E$34,$AE784),Matériaux!$A$5:$A$12,0),$D784)</f>
        <v>cuivre</v>
      </c>
      <c r="F784" s="28" t="s">
        <v>115</v>
      </c>
      <c r="G784" s="10" t="str">
        <f aca="false" t="array" ref="G784:G784">INDEX(Profils!$D$5:$D$34,$AE784)&amp;" en "&amp;$E784</f>
        <v>Anneau de chasseur en cuivre</v>
      </c>
      <c r="H784" s="16" t="n">
        <f aca="false" t="array" ref="H784:H784">INDEX(Matériaux!$B$16:$B$20,$D784)</f>
        <v>1</v>
      </c>
      <c r="I784" s="16" t="n">
        <f aca="false">IF(ISNUMBER($C$3),MIN(MAX(0,ROUND($C$3,0)),$AI784),$AI784)</f>
        <v>0</v>
      </c>
      <c r="J784" s="18" t="n">
        <f aca="false">$H784+$I784</f>
        <v>1</v>
      </c>
      <c r="K784" s="15" t="s">
        <v>109</v>
      </c>
      <c r="L784" s="19" t="n">
        <f aca="false" t="array" ref="L784:L784">IF(AND(INDEX(Profils!$F$5:$F$34,$AE784)&gt;0,INDEX(Profils!$U$5:$U$34,$AE784)&lt;=$AH784),ROUND(INDEX(Profils!$F$5:$F$34,$AE784)*Paramètres!$E$22*$AG784*$AJ784,Paramètres!$F$22),0)</f>
        <v>0</v>
      </c>
      <c r="M784" s="19" t="n">
        <f aca="false" t="array" ref="M784:M784">IF(AND(INDEX(Profils!$G$5:$G$34,$AE784)&gt;0,INDEX(Profils!$V$5:$V$34,$AE784)&lt;=$AH784),ROUND(INDEX(Profils!$G$5:$G$34,$AE784)*Paramètres!$E$23*$AG784*$AJ784,Paramètres!$F$23),0)</f>
        <v>0</v>
      </c>
      <c r="N784" s="19" t="n">
        <f aca="false" t="array" ref="N784:N784">IF(AND(INDEX(Profils!$H$5:$H$34,$AE784)&gt;0,INDEX(Profils!$W$5:$W$34,$AE784)&lt;=$AH784),ROUND(INDEX(Profils!$H$5:$H$34,$AE784)*Paramètres!$E$24*$AG784*$AJ784,Paramètres!$F$24),0)</f>
        <v>0</v>
      </c>
      <c r="O784" s="19" t="n">
        <f aca="false" t="array" ref="O784:O784">IF(AND(INDEX(Profils!$I$5:$I$34,$AE784)&gt;0,INDEX(Profils!$X$5:$X$34,$AE784)&lt;=$AH784),ROUND(INDEX(Profils!$I$5:$I$34,$AE784)*Paramètres!$E$25*$AG784*$AJ784,Paramètres!$F$25),0)</f>
        <v>0</v>
      </c>
      <c r="P784" s="19" t="n">
        <f aca="false" t="array" ref="P784:P784">IF(AND(INDEX(Profils!$J$5:$J$34,$AE784)&gt;0,INDEX(Profils!$Y$5:$Y$34,$AE784)&lt;=$AH784),ROUND(INDEX(Profils!$J$5:$J$34,$AE784)*Paramètres!$E$26*$AG784*$AJ784,Paramètres!$F$26),0)</f>
        <v>1</v>
      </c>
      <c r="Q784" s="19" t="n">
        <f aca="false" t="array" ref="Q784:Q784">IF(AND(INDEX(Profils!$K$5:$K$34,$AE784)&gt;0,INDEX(Profils!$Z$5:$Z$34,$AE784)&lt;=$AH784),ROUND(INDEX(Profils!$K$5:$K$34,$AE784)*Paramètres!$E$27*$AG784*$AJ784,Paramètres!$F$27),0)</f>
        <v>0</v>
      </c>
      <c r="R784" s="20" t="n">
        <f aca="false" t="array" ref="R784:R784">IF(AND(INDEX(Profils!$L$5:$L$34,$AE784)&gt;0,INDEX(Profils!$AA$5:$AA$34,$AE784)&lt;=$AH784),ROUND(INDEX(Profils!$L$5:$L$34,$AE784)*Paramètres!$E$28*$AG784*$AJ784,Paramètres!$F$28),0)</f>
        <v>0.001</v>
      </c>
      <c r="S784" s="20" t="n">
        <f aca="false" t="array" ref="S784:S784">IF(AND(INDEX(Profils!$M$5:$M$34,$AE784)&gt;0,INDEX(Profils!$AB$5:$AB$34,$AE784)&lt;=$AH784),ROUND(INDEX(Profils!$M$5:$M$34,$AE784)*Paramètres!$E$29*$AG784*$AJ784,Paramètres!$F$29),0)</f>
        <v>0.001</v>
      </c>
      <c r="T784" s="20" t="n">
        <f aca="false" t="array" ref="T784:T784">IF(AND(INDEX(Profils!$N$5:$N$34,$AE784)&gt;0,INDEX(Profils!$AC$5:$AC$34,$AE784)&lt;=$AH784),ROUND(INDEX(Profils!$N$5:$N$34,$AE784)*Paramètres!$E$30*$AG784*$AJ784,Paramètres!$F$30),0)</f>
        <v>0.003</v>
      </c>
      <c r="U784" s="19" t="n">
        <f aca="false" t="array" ref="U784:U784">IF(AND(INDEX(Profils!$O$5:$O$34,$AE784)&gt;0,INDEX(Profils!$AD$5:$AD$34,$AE784)&lt;=$AH784),ROUND(INDEX(Profils!$O$5:$O$34,$AE784)*Paramètres!$E$31*$AG784*$AJ784,Paramètres!$F$31),0)</f>
        <v>0</v>
      </c>
      <c r="V784" s="20" t="n">
        <f aca="false" t="array" ref="V784:V784">IF(AND(INDEX(Profils!$P$5:$P$34,$AE784)&gt;0,INDEX(Profils!$AE$5:$AE$34,$AE784)&lt;=$AH784),ROUND(INDEX(Profils!$P$5:$P$34,$AE784)*Paramètres!$E$32*$AG784*$AJ784,Paramètres!$F$32),0)</f>
        <v>0.001</v>
      </c>
      <c r="W784" s="20" t="n">
        <f aca="false" t="array" ref="W784:W784">IF(AND(INDEX(Profils!$Q$5:$Q$34,$AE784)&gt;0,INDEX(Profils!$AF$5:$AF$34,$AE784)&lt;=$AH784),ROUND(INDEX(Profils!$Q$5:$Q$34,$AE784)*Paramètres!$E$33*$AG784*$AJ784,Paramètres!$F$33),0)</f>
        <v>0</v>
      </c>
      <c r="X784" s="20" t="n">
        <f aca="false" t="array" ref="X784:X784">IF(AND(INDEX(Profils!$R$5:$R$34,$AE784)&gt;0,INDEX(Profils!$AG$5:$AG$34,$AE784)&lt;=$AH784),ROUND(INDEX(Profils!$R$5:$R$34,$AE784)*Paramètres!$E$34*$AG784*$AJ784,Paramètres!$F$34),0)</f>
        <v>0</v>
      </c>
      <c r="Y784" s="20" t="n">
        <f aca="false" t="array" ref="Y784:Y784">IF(AND(INDEX(Profils!$S$5:$S$34,$AE784)&gt;0,INDEX(Profils!$AH$5:$AH$34,$AE784)&lt;=$AH784),ROUND(INDEX(Profils!$S$5:$S$34,$AE784)*Paramètres!$E$35*$AG784*$AJ784,Paramètres!$F$35),0)</f>
        <v>0</v>
      </c>
      <c r="Z784" s="21" t="n">
        <f aca="false">ROUND(L784/Paramètres!$E$22+M784/Paramètres!$E$23+N784/Paramètres!$E$24+O784/Paramètres!$E$25+P784/Paramètres!$E$26+Q784/Paramètres!$E$27+R784/Paramètres!$E$28+S784/Paramètres!$E$29+T784/Paramètres!$E$30+U784/Paramètres!$E$31+V784/Paramètres!$E$32+W784/Paramètres!$E$33+X784/Paramètres!$E$34+Y784/Paramètres!$E$35,1)</f>
        <v>0.4</v>
      </c>
      <c r="AA784" s="22" t="s">
        <v>109</v>
      </c>
      <c r="AB784" s="22" t="s">
        <v>109</v>
      </c>
      <c r="AC784" s="15" t="str">
        <f aca="false">$E784</f>
        <v>cuivre</v>
      </c>
      <c r="AD784" s="16" t="n">
        <f aca="false" t="array" ref="AD784:AD784">IF($I784&gt;=$AI784,"Max",ROUND(Paramètres!$B$40*($I784+1)^Paramètres!$B$41*INDEX(Paramètres!$H$6:$H$12,$AF784),0))</f>
        <v>5</v>
      </c>
      <c r="AE784" s="23" t="n">
        <f aca="false">MATCH($B784&amp;"|"&amp;$C784,Profils!$A$5:$A$34,0)</f>
        <v>26</v>
      </c>
      <c r="AF784" s="23" t="n">
        <v>4</v>
      </c>
      <c r="AG784" s="24" t="n">
        <f aca="false" t="array" ref="AG784:AG784">INDEX(Paramètres!$C$6:$C$12,$AF784)</f>
        <v>1.75</v>
      </c>
      <c r="AH784" s="23" t="n">
        <f aca="false" t="array" ref="AH784:AH784">INDEX(Paramètres!$D$6:$D$12,$AF784)</f>
        <v>5</v>
      </c>
      <c r="AI784" s="23" t="n">
        <f aca="false" t="array" ref="AI784:AI784">INDEX(Matériaux!$C$16:$C$20,$D784)</f>
        <v>19</v>
      </c>
      <c r="AJ784" s="25" t="n">
        <f aca="false">Paramètres!$B$16+(1-Paramètres!$B$16)*(($J784-Paramètres!$B$14)/(Paramètres!$B$15-Paramètres!$B$14))^Paramètres!$B$17</f>
        <v>0.05</v>
      </c>
    </row>
    <row r="785" customFormat="false" ht="15.75" hidden="false" customHeight="true" outlineLevel="0" collapsed="false">
      <c r="A785" s="14" t="s">
        <v>901</v>
      </c>
      <c r="B785" s="15" t="s">
        <v>31</v>
      </c>
      <c r="C785" s="15" t="s">
        <v>273</v>
      </c>
      <c r="D785" s="16" t="n">
        <v>1</v>
      </c>
      <c r="E785" s="15" t="str">
        <f aca="false" t="array" ref="E785:E785">INDEX(Matériaux!$B$5:$F$12,MATCH(INDEX(Profils!$E$5:$E$34,$AE785),Matériaux!$A$5:$A$12,0),$D785)</f>
        <v>cuivre</v>
      </c>
      <c r="F785" s="29" t="s">
        <v>117</v>
      </c>
      <c r="G785" s="10" t="str">
        <f aca="false" t="array" ref="G785:G785">INDEX(Profils!$D$5:$D$34,$AE785)&amp;" en "&amp;$E785</f>
        <v>Anneau de chasseur en cuivre</v>
      </c>
      <c r="H785" s="16" t="n">
        <f aca="false" t="array" ref="H785:H785">INDEX(Matériaux!$B$16:$B$20,$D785)</f>
        <v>1</v>
      </c>
      <c r="I785" s="16" t="n">
        <f aca="false">IF(ISNUMBER($C$3),MIN(MAX(0,ROUND($C$3,0)),$AI785),$AI785)</f>
        <v>0</v>
      </c>
      <c r="J785" s="18" t="n">
        <f aca="false">$H785+$I785</f>
        <v>1</v>
      </c>
      <c r="K785" s="15" t="s">
        <v>109</v>
      </c>
      <c r="L785" s="19" t="n">
        <f aca="false" t="array" ref="L785:L785">IF(AND(INDEX(Profils!$F$5:$F$34,$AE785)&gt;0,INDEX(Profils!$U$5:$U$34,$AE785)&lt;=$AH785),ROUND(INDEX(Profils!$F$5:$F$34,$AE785)*Paramètres!$E$22*$AG785*$AJ785,Paramètres!$F$22),0)</f>
        <v>2</v>
      </c>
      <c r="M785" s="19" t="n">
        <f aca="false" t="array" ref="M785:M785">IF(AND(INDEX(Profils!$G$5:$G$34,$AE785)&gt;0,INDEX(Profils!$V$5:$V$34,$AE785)&lt;=$AH785),ROUND(INDEX(Profils!$G$5:$G$34,$AE785)*Paramètres!$E$23*$AG785*$AJ785,Paramètres!$F$23),0)</f>
        <v>0</v>
      </c>
      <c r="N785" s="19" t="n">
        <f aca="false" t="array" ref="N785:N785">IF(AND(INDEX(Profils!$H$5:$H$34,$AE785)&gt;0,INDEX(Profils!$W$5:$W$34,$AE785)&lt;=$AH785),ROUND(INDEX(Profils!$H$5:$H$34,$AE785)*Paramètres!$E$24*$AG785*$AJ785,Paramètres!$F$24),0)</f>
        <v>0</v>
      </c>
      <c r="O785" s="19" t="n">
        <f aca="false" t="array" ref="O785:O785">IF(AND(INDEX(Profils!$I$5:$I$34,$AE785)&gt;0,INDEX(Profils!$X$5:$X$34,$AE785)&lt;=$AH785),ROUND(INDEX(Profils!$I$5:$I$34,$AE785)*Paramètres!$E$25*$AG785*$AJ785,Paramètres!$F$25),0)</f>
        <v>0</v>
      </c>
      <c r="P785" s="19" t="n">
        <f aca="false" t="array" ref="P785:P785">IF(AND(INDEX(Profils!$J$5:$J$34,$AE785)&gt;0,INDEX(Profils!$Y$5:$Y$34,$AE785)&lt;=$AH785),ROUND(INDEX(Profils!$J$5:$J$34,$AE785)*Paramètres!$E$26*$AG785*$AJ785,Paramètres!$F$26),0)</f>
        <v>1</v>
      </c>
      <c r="Q785" s="19" t="n">
        <f aca="false" t="array" ref="Q785:Q785">IF(AND(INDEX(Profils!$K$5:$K$34,$AE785)&gt;0,INDEX(Profils!$Z$5:$Z$34,$AE785)&lt;=$AH785),ROUND(INDEX(Profils!$K$5:$K$34,$AE785)*Paramètres!$E$27*$AG785*$AJ785,Paramètres!$F$27),0)</f>
        <v>0</v>
      </c>
      <c r="R785" s="20" t="n">
        <f aca="false" t="array" ref="R785:R785">IF(AND(INDEX(Profils!$L$5:$L$34,$AE785)&gt;0,INDEX(Profils!$AA$5:$AA$34,$AE785)&lt;=$AH785),ROUND(INDEX(Profils!$L$5:$L$34,$AE785)*Paramètres!$E$28*$AG785*$AJ785,Paramètres!$F$28),0)</f>
        <v>0.002</v>
      </c>
      <c r="S785" s="20" t="n">
        <f aca="false" t="array" ref="S785:S785">IF(AND(INDEX(Profils!$M$5:$M$34,$AE785)&gt;0,INDEX(Profils!$AB$5:$AB$34,$AE785)&lt;=$AH785),ROUND(INDEX(Profils!$M$5:$M$34,$AE785)*Paramètres!$E$29*$AG785*$AJ785,Paramètres!$F$29),0)</f>
        <v>0.002</v>
      </c>
      <c r="T785" s="20" t="n">
        <f aca="false" t="array" ref="T785:T785">IF(AND(INDEX(Profils!$N$5:$N$34,$AE785)&gt;0,INDEX(Profils!$AC$5:$AC$34,$AE785)&lt;=$AH785),ROUND(INDEX(Profils!$N$5:$N$34,$AE785)*Paramètres!$E$30*$AG785*$AJ785,Paramètres!$F$30),0)</f>
        <v>0.004</v>
      </c>
      <c r="U785" s="19" t="n">
        <f aca="false" t="array" ref="U785:U785">IF(AND(INDEX(Profils!$O$5:$O$34,$AE785)&gt;0,INDEX(Profils!$AD$5:$AD$34,$AE785)&lt;=$AH785),ROUND(INDEX(Profils!$O$5:$O$34,$AE785)*Paramètres!$E$31*$AG785*$AJ785,Paramètres!$F$31),0)</f>
        <v>0</v>
      </c>
      <c r="V785" s="20" t="n">
        <f aca="false" t="array" ref="V785:V785">IF(AND(INDEX(Profils!$P$5:$P$34,$AE785)&gt;0,INDEX(Profils!$AE$5:$AE$34,$AE785)&lt;=$AH785),ROUND(INDEX(Profils!$P$5:$P$34,$AE785)*Paramètres!$E$32*$AG785*$AJ785,Paramètres!$F$32),0)</f>
        <v>0.002</v>
      </c>
      <c r="W785" s="20" t="n">
        <f aca="false" t="array" ref="W785:W785">IF(AND(INDEX(Profils!$Q$5:$Q$34,$AE785)&gt;0,INDEX(Profils!$AF$5:$AF$34,$AE785)&lt;=$AH785),ROUND(INDEX(Profils!$Q$5:$Q$34,$AE785)*Paramètres!$E$33*$AG785*$AJ785,Paramètres!$F$33),0)</f>
        <v>0</v>
      </c>
      <c r="X785" s="20" t="n">
        <f aca="false" t="array" ref="X785:X785">IF(AND(INDEX(Profils!$R$5:$R$34,$AE785)&gt;0,INDEX(Profils!$AG$5:$AG$34,$AE785)&lt;=$AH785),ROUND(INDEX(Profils!$R$5:$R$34,$AE785)*Paramètres!$E$34*$AG785*$AJ785,Paramètres!$F$34),0)</f>
        <v>0</v>
      </c>
      <c r="Y785" s="20" t="n">
        <f aca="false" t="array" ref="Y785:Y785">IF(AND(INDEX(Profils!$S$5:$S$34,$AE785)&gt;0,INDEX(Profils!$AH$5:$AH$34,$AE785)&lt;=$AH785),ROUND(INDEX(Profils!$S$5:$S$34,$AE785)*Paramètres!$E$35*$AG785*$AJ785,Paramètres!$F$35),0)</f>
        <v>0</v>
      </c>
      <c r="Z785" s="21" t="n">
        <f aca="false">ROUND(L785/Paramètres!$E$22+M785/Paramètres!$E$23+N785/Paramètres!$E$24+O785/Paramètres!$E$25+P785/Paramètres!$E$26+Q785/Paramètres!$E$27+R785/Paramètres!$E$28+S785/Paramètres!$E$29+T785/Paramètres!$E$30+U785/Paramètres!$E$31+V785/Paramètres!$E$32+W785/Paramètres!$E$33+X785/Paramètres!$E$34+Y785/Paramètres!$E$35,1)</f>
        <v>0.7</v>
      </c>
      <c r="AA785" s="22" t="s">
        <v>109</v>
      </c>
      <c r="AB785" s="22" t="s">
        <v>109</v>
      </c>
      <c r="AC785" s="15" t="str">
        <f aca="false">$E785</f>
        <v>cuivre</v>
      </c>
      <c r="AD785" s="16" t="n">
        <f aca="false" t="array" ref="AD785:AD785">IF($I785&gt;=$AI785,"Max",ROUND(Paramètres!$B$40*($I785+1)^Paramètres!$B$41*INDEX(Paramètres!$H$6:$H$12,$AF785),0))</f>
        <v>6</v>
      </c>
      <c r="AE785" s="23" t="n">
        <f aca="false">MATCH($B785&amp;"|"&amp;$C785,Profils!$A$5:$A$34,0)</f>
        <v>26</v>
      </c>
      <c r="AF785" s="23" t="n">
        <v>5</v>
      </c>
      <c r="AG785" s="24" t="n">
        <f aca="false" t="array" ref="AG785:AG785">INDEX(Paramètres!$C$6:$C$12,$AF785)</f>
        <v>2.1</v>
      </c>
      <c r="AH785" s="23" t="n">
        <f aca="false" t="array" ref="AH785:AH785">INDEX(Paramètres!$D$6:$D$12,$AF785)</f>
        <v>6</v>
      </c>
      <c r="AI785" s="23" t="n">
        <f aca="false" t="array" ref="AI785:AI785">INDEX(Matériaux!$C$16:$C$20,$D785)</f>
        <v>19</v>
      </c>
      <c r="AJ785" s="25" t="n">
        <f aca="false">Paramètres!$B$16+(1-Paramètres!$B$16)*(($J785-Paramètres!$B$14)/(Paramètres!$B$15-Paramètres!$B$14))^Paramètres!$B$17</f>
        <v>0.05</v>
      </c>
    </row>
    <row r="786" customFormat="false" ht="15.75" hidden="false" customHeight="true" outlineLevel="0" collapsed="false">
      <c r="A786" s="14" t="s">
        <v>902</v>
      </c>
      <c r="B786" s="15" t="s">
        <v>31</v>
      </c>
      <c r="C786" s="15" t="s">
        <v>273</v>
      </c>
      <c r="D786" s="16" t="n">
        <v>1</v>
      </c>
      <c r="E786" s="15" t="str">
        <f aca="false" t="array" ref="E786:E786">INDEX(Matériaux!$B$5:$F$12,MATCH(INDEX(Profils!$E$5:$E$34,$AE786),Matériaux!$A$5:$A$12,0),$D786)</f>
        <v>cuivre</v>
      </c>
      <c r="F786" s="30" t="s">
        <v>119</v>
      </c>
      <c r="G786" s="10" t="str">
        <f aca="false" t="array" ref="G786:G786">INDEX(Profils!$D$5:$D$34,$AE786)&amp;" en "&amp;$E786</f>
        <v>Anneau de chasseur en cuivre</v>
      </c>
      <c r="H786" s="16" t="n">
        <f aca="false" t="array" ref="H786:H786">INDEX(Matériaux!$B$16:$B$20,$D786)</f>
        <v>1</v>
      </c>
      <c r="I786" s="16" t="n">
        <f aca="false">IF(ISNUMBER($C$3),MIN(MAX(0,ROUND($C$3,0)),$AI786),$AI786)</f>
        <v>0</v>
      </c>
      <c r="J786" s="18" t="n">
        <f aca="false">$H786+$I786</f>
        <v>1</v>
      </c>
      <c r="K786" s="15" t="s">
        <v>109</v>
      </c>
      <c r="L786" s="19" t="n">
        <f aca="false" t="array" ref="L786:L786">IF(AND(INDEX(Profils!$F$5:$F$34,$AE786)&gt;0,INDEX(Profils!$U$5:$U$34,$AE786)&lt;=$AH786),ROUND(INDEX(Profils!$F$5:$F$34,$AE786)*Paramètres!$E$22*$AG786*$AJ786,Paramètres!$F$22),0)</f>
        <v>2</v>
      </c>
      <c r="M786" s="19" t="n">
        <f aca="false" t="array" ref="M786:M786">IF(AND(INDEX(Profils!$G$5:$G$34,$AE786)&gt;0,INDEX(Profils!$V$5:$V$34,$AE786)&lt;=$AH786),ROUND(INDEX(Profils!$G$5:$G$34,$AE786)*Paramètres!$E$23*$AG786*$AJ786,Paramètres!$F$23),0)</f>
        <v>1</v>
      </c>
      <c r="N786" s="19" t="n">
        <f aca="false" t="array" ref="N786:N786">IF(AND(INDEX(Profils!$H$5:$H$34,$AE786)&gt;0,INDEX(Profils!$W$5:$W$34,$AE786)&lt;=$AH786),ROUND(INDEX(Profils!$H$5:$H$34,$AE786)*Paramètres!$E$24*$AG786*$AJ786,Paramètres!$F$24),0)</f>
        <v>0</v>
      </c>
      <c r="O786" s="19" t="n">
        <f aca="false" t="array" ref="O786:O786">IF(AND(INDEX(Profils!$I$5:$I$34,$AE786)&gt;0,INDEX(Profils!$X$5:$X$34,$AE786)&lt;=$AH786),ROUND(INDEX(Profils!$I$5:$I$34,$AE786)*Paramètres!$E$25*$AG786*$AJ786,Paramètres!$F$25),0)</f>
        <v>0</v>
      </c>
      <c r="P786" s="19" t="n">
        <f aca="false" t="array" ref="P786:P786">IF(AND(INDEX(Profils!$J$5:$J$34,$AE786)&gt;0,INDEX(Profils!$Y$5:$Y$34,$AE786)&lt;=$AH786),ROUND(INDEX(Profils!$J$5:$J$34,$AE786)*Paramètres!$E$26*$AG786*$AJ786,Paramètres!$F$26),0)</f>
        <v>1</v>
      </c>
      <c r="Q786" s="19" t="n">
        <f aca="false" t="array" ref="Q786:Q786">IF(AND(INDEX(Profils!$K$5:$K$34,$AE786)&gt;0,INDEX(Profils!$Z$5:$Z$34,$AE786)&lt;=$AH786),ROUND(INDEX(Profils!$K$5:$K$34,$AE786)*Paramètres!$E$27*$AG786*$AJ786,Paramètres!$F$27),0)</f>
        <v>0</v>
      </c>
      <c r="R786" s="20" t="n">
        <f aca="false" t="array" ref="R786:R786">IF(AND(INDEX(Profils!$L$5:$L$34,$AE786)&gt;0,INDEX(Profils!$AA$5:$AA$34,$AE786)&lt;=$AH786),ROUND(INDEX(Profils!$L$5:$L$34,$AE786)*Paramètres!$E$28*$AG786*$AJ786,Paramètres!$F$28),0)</f>
        <v>0.002</v>
      </c>
      <c r="S786" s="20" t="n">
        <f aca="false" t="array" ref="S786:S786">IF(AND(INDEX(Profils!$M$5:$M$34,$AE786)&gt;0,INDEX(Profils!$AB$5:$AB$34,$AE786)&lt;=$AH786),ROUND(INDEX(Profils!$M$5:$M$34,$AE786)*Paramètres!$E$29*$AG786*$AJ786,Paramètres!$F$29),0)</f>
        <v>0.002</v>
      </c>
      <c r="T786" s="20" t="n">
        <f aca="false" t="array" ref="T786:T786">IF(AND(INDEX(Profils!$N$5:$N$34,$AE786)&gt;0,INDEX(Profils!$AC$5:$AC$34,$AE786)&lt;=$AH786),ROUND(INDEX(Profils!$N$5:$N$34,$AE786)*Paramètres!$E$30*$AG786*$AJ786,Paramètres!$F$30),0)</f>
        <v>0.004</v>
      </c>
      <c r="U786" s="19" t="n">
        <f aca="false" t="array" ref="U786:U786">IF(AND(INDEX(Profils!$O$5:$O$34,$AE786)&gt;0,INDEX(Profils!$AD$5:$AD$34,$AE786)&lt;=$AH786),ROUND(INDEX(Profils!$O$5:$O$34,$AE786)*Paramètres!$E$31*$AG786*$AJ786,Paramètres!$F$31),0)</f>
        <v>0</v>
      </c>
      <c r="V786" s="20" t="n">
        <f aca="false" t="array" ref="V786:V786">IF(AND(INDEX(Profils!$P$5:$P$34,$AE786)&gt;0,INDEX(Profils!$AE$5:$AE$34,$AE786)&lt;=$AH786),ROUND(INDEX(Profils!$P$5:$P$34,$AE786)*Paramètres!$E$32*$AG786*$AJ786,Paramètres!$F$32),0)</f>
        <v>0.002</v>
      </c>
      <c r="W786" s="20" t="n">
        <f aca="false" t="array" ref="W786:W786">IF(AND(INDEX(Profils!$Q$5:$Q$34,$AE786)&gt;0,INDEX(Profils!$AF$5:$AF$34,$AE786)&lt;=$AH786),ROUND(INDEX(Profils!$Q$5:$Q$34,$AE786)*Paramètres!$E$33*$AG786*$AJ786,Paramètres!$F$33),0)</f>
        <v>0</v>
      </c>
      <c r="X786" s="20" t="n">
        <f aca="false" t="array" ref="X786:X786">IF(AND(INDEX(Profils!$R$5:$R$34,$AE786)&gt;0,INDEX(Profils!$AG$5:$AG$34,$AE786)&lt;=$AH786),ROUND(INDEX(Profils!$R$5:$R$34,$AE786)*Paramètres!$E$34*$AG786*$AJ786,Paramètres!$F$34),0)</f>
        <v>0</v>
      </c>
      <c r="Y786" s="20" t="n">
        <f aca="false" t="array" ref="Y786:Y786">IF(AND(INDEX(Profils!$S$5:$S$34,$AE786)&gt;0,INDEX(Profils!$AH$5:$AH$34,$AE786)&lt;=$AH786),ROUND(INDEX(Profils!$S$5:$S$34,$AE786)*Paramètres!$E$35*$AG786*$AJ786,Paramètres!$F$35),0)</f>
        <v>0</v>
      </c>
      <c r="Z786" s="21" t="n">
        <f aca="false">ROUND(L786/Paramètres!$E$22+M786/Paramètres!$E$23+N786/Paramètres!$E$24+O786/Paramètres!$E$25+P786/Paramètres!$E$26+Q786/Paramètres!$E$27+R786/Paramètres!$E$28+S786/Paramètres!$E$29+T786/Paramètres!$E$30+U786/Paramètres!$E$31+V786/Paramètres!$E$32+W786/Paramètres!$E$33+X786/Paramètres!$E$34+Y786/Paramètres!$E$35,1)</f>
        <v>0.8</v>
      </c>
      <c r="AA786" s="22" t="s">
        <v>109</v>
      </c>
      <c r="AB786" s="22" t="s">
        <v>109</v>
      </c>
      <c r="AC786" s="15" t="str">
        <f aca="false">$E786</f>
        <v>cuivre</v>
      </c>
      <c r="AD786" s="16" t="n">
        <f aca="false" t="array" ref="AD786:AD786">IF($I786&gt;=$AI786,"Max",ROUND(Paramètres!$B$40*($I786+1)^Paramètres!$B$41*INDEX(Paramètres!$H$6:$H$12,$AF786),0))</f>
        <v>8</v>
      </c>
      <c r="AE786" s="23" t="n">
        <f aca="false">MATCH($B786&amp;"|"&amp;$C786,Profils!$A$5:$A$34,0)</f>
        <v>26</v>
      </c>
      <c r="AF786" s="23" t="n">
        <v>6</v>
      </c>
      <c r="AG786" s="24" t="n">
        <f aca="false" t="array" ref="AG786:AG786">INDEX(Paramètres!$C$6:$C$12,$AF786)</f>
        <v>2.4</v>
      </c>
      <c r="AH786" s="23" t="n">
        <f aca="false" t="array" ref="AH786:AH786">INDEX(Paramètres!$D$6:$D$12,$AF786)</f>
        <v>7</v>
      </c>
      <c r="AI786" s="23" t="n">
        <f aca="false" t="array" ref="AI786:AI786">INDEX(Matériaux!$C$16:$C$20,$D786)</f>
        <v>19</v>
      </c>
      <c r="AJ786" s="25" t="n">
        <f aca="false">Paramètres!$B$16+(1-Paramètres!$B$16)*(($J786-Paramètres!$B$14)/(Paramètres!$B$15-Paramètres!$B$14))^Paramètres!$B$17</f>
        <v>0.05</v>
      </c>
    </row>
    <row r="787" customFormat="false" ht="15.75" hidden="false" customHeight="true" outlineLevel="0" collapsed="false">
      <c r="A787" s="14" t="s">
        <v>903</v>
      </c>
      <c r="B787" s="15" t="s">
        <v>31</v>
      </c>
      <c r="C787" s="15" t="s">
        <v>273</v>
      </c>
      <c r="D787" s="16" t="n">
        <v>2</v>
      </c>
      <c r="E787" s="15" t="str">
        <f aca="false" t="array" ref="E787:E787">INDEX(Matériaux!$B$5:$F$12,MATCH(INDEX(Profils!$E$5:$E$34,$AE787),Matériaux!$A$5:$A$12,0),$D787)</f>
        <v>argent</v>
      </c>
      <c r="F787" s="17" t="s">
        <v>108</v>
      </c>
      <c r="G787" s="10" t="str">
        <f aca="false" t="array" ref="G787:G787">INDEX(Profils!$D$5:$D$34,$AE787)&amp;" en "&amp;$E787</f>
        <v>Anneau de chasseur en argent</v>
      </c>
      <c r="H787" s="16" t="n">
        <f aca="false" t="array" ref="H787:H787">INDEX(Matériaux!$B$16:$B$20,$D787)</f>
        <v>15</v>
      </c>
      <c r="I787" s="16" t="n">
        <f aca="false">IF(ISNUMBER($C$3),MIN(MAX(0,ROUND($C$3,0)),$AI787),$AI787)</f>
        <v>0</v>
      </c>
      <c r="J787" s="18" t="n">
        <f aca="false">$H787+$I787</f>
        <v>15</v>
      </c>
      <c r="K787" s="15" t="s">
        <v>109</v>
      </c>
      <c r="L787" s="19" t="n">
        <f aca="false" t="array" ref="L787:L787">IF(AND(INDEX(Profils!$F$5:$F$34,$AE787)&gt;0,INDEX(Profils!$U$5:$U$34,$AE787)&lt;=$AH787),ROUND(INDEX(Profils!$F$5:$F$34,$AE787)*Paramètres!$E$22*$AG787*$AJ787,Paramètres!$F$22),0)</f>
        <v>0</v>
      </c>
      <c r="M787" s="19" t="n">
        <f aca="false" t="array" ref="M787:M787">IF(AND(INDEX(Profils!$G$5:$G$34,$AE787)&gt;0,INDEX(Profils!$V$5:$V$34,$AE787)&lt;=$AH787),ROUND(INDEX(Profils!$G$5:$G$34,$AE787)*Paramètres!$E$23*$AG787*$AJ787,Paramètres!$F$23),0)</f>
        <v>0</v>
      </c>
      <c r="N787" s="19" t="n">
        <f aca="false" t="array" ref="N787:N787">IF(AND(INDEX(Profils!$H$5:$H$34,$AE787)&gt;0,INDEX(Profils!$W$5:$W$34,$AE787)&lt;=$AH787),ROUND(INDEX(Profils!$H$5:$H$34,$AE787)*Paramètres!$E$24*$AG787*$AJ787,Paramètres!$F$24),0)</f>
        <v>0</v>
      </c>
      <c r="O787" s="19" t="n">
        <f aca="false" t="array" ref="O787:O787">IF(AND(INDEX(Profils!$I$5:$I$34,$AE787)&gt;0,INDEX(Profils!$X$5:$X$34,$AE787)&lt;=$AH787),ROUND(INDEX(Profils!$I$5:$I$34,$AE787)*Paramètres!$E$25*$AG787*$AJ787,Paramètres!$F$25),0)</f>
        <v>0</v>
      </c>
      <c r="P787" s="19" t="n">
        <f aca="false" t="array" ref="P787:P787">IF(AND(INDEX(Profils!$J$5:$J$34,$AE787)&gt;0,INDEX(Profils!$Y$5:$Y$34,$AE787)&lt;=$AH787),ROUND(INDEX(Profils!$J$5:$J$34,$AE787)*Paramètres!$E$26*$AG787*$AJ787,Paramètres!$F$26),0)</f>
        <v>0</v>
      </c>
      <c r="Q787" s="19" t="n">
        <f aca="false" t="array" ref="Q787:Q787">IF(AND(INDEX(Profils!$K$5:$K$34,$AE787)&gt;0,INDEX(Profils!$Z$5:$Z$34,$AE787)&lt;=$AH787),ROUND(INDEX(Profils!$K$5:$K$34,$AE787)*Paramètres!$E$27*$AG787*$AJ787,Paramètres!$F$27),0)</f>
        <v>0</v>
      </c>
      <c r="R787" s="20" t="n">
        <f aca="false" t="array" ref="R787:R787">IF(AND(INDEX(Profils!$L$5:$L$34,$AE787)&gt;0,INDEX(Profils!$AA$5:$AA$34,$AE787)&lt;=$AH787),ROUND(INDEX(Profils!$L$5:$L$34,$AE787)*Paramètres!$E$28*$AG787*$AJ787,Paramètres!$F$28),0)</f>
        <v>0</v>
      </c>
      <c r="S787" s="20" t="n">
        <f aca="false" t="array" ref="S787:S787">IF(AND(INDEX(Profils!$M$5:$M$34,$AE787)&gt;0,INDEX(Profils!$AB$5:$AB$34,$AE787)&lt;=$AH787),ROUND(INDEX(Profils!$M$5:$M$34,$AE787)*Paramètres!$E$29*$AG787*$AJ787,Paramètres!$F$29),0)</f>
        <v>0.002</v>
      </c>
      <c r="T787" s="20" t="n">
        <f aca="false" t="array" ref="T787:T787">IF(AND(INDEX(Profils!$N$5:$N$34,$AE787)&gt;0,INDEX(Profils!$AC$5:$AC$34,$AE787)&lt;=$AH787),ROUND(INDEX(Profils!$N$5:$N$34,$AE787)*Paramètres!$E$30*$AG787*$AJ787,Paramètres!$F$30),0)</f>
        <v>0.005</v>
      </c>
      <c r="U787" s="19" t="n">
        <f aca="false" t="array" ref="U787:U787">IF(AND(INDEX(Profils!$O$5:$O$34,$AE787)&gt;0,INDEX(Profils!$AD$5:$AD$34,$AE787)&lt;=$AH787),ROUND(INDEX(Profils!$O$5:$O$34,$AE787)*Paramètres!$E$31*$AG787*$AJ787,Paramètres!$F$31),0)</f>
        <v>0</v>
      </c>
      <c r="V787" s="20" t="n">
        <f aca="false" t="array" ref="V787:V787">IF(AND(INDEX(Profils!$P$5:$P$34,$AE787)&gt;0,INDEX(Profils!$AE$5:$AE$34,$AE787)&lt;=$AH787),ROUND(INDEX(Profils!$P$5:$P$34,$AE787)*Paramètres!$E$32*$AG787*$AJ787,Paramètres!$F$32),0)</f>
        <v>0</v>
      </c>
      <c r="W787" s="20" t="n">
        <f aca="false" t="array" ref="W787:W787">IF(AND(INDEX(Profils!$Q$5:$Q$34,$AE787)&gt;0,INDEX(Profils!$AF$5:$AF$34,$AE787)&lt;=$AH787),ROUND(INDEX(Profils!$Q$5:$Q$34,$AE787)*Paramètres!$E$33*$AG787*$AJ787,Paramètres!$F$33),0)</f>
        <v>0</v>
      </c>
      <c r="X787" s="20" t="n">
        <f aca="false" t="array" ref="X787:X787">IF(AND(INDEX(Profils!$R$5:$R$34,$AE787)&gt;0,INDEX(Profils!$AG$5:$AG$34,$AE787)&lt;=$AH787),ROUND(INDEX(Profils!$R$5:$R$34,$AE787)*Paramètres!$E$34*$AG787*$AJ787,Paramètres!$F$34),0)</f>
        <v>0</v>
      </c>
      <c r="Y787" s="20" t="n">
        <f aca="false" t="array" ref="Y787:Y787">IF(AND(INDEX(Profils!$S$5:$S$34,$AE787)&gt;0,INDEX(Profils!$AH$5:$AH$34,$AE787)&lt;=$AH787),ROUND(INDEX(Profils!$S$5:$S$34,$AE787)*Paramètres!$E$35*$AG787*$AJ787,Paramètres!$F$35),0)</f>
        <v>0</v>
      </c>
      <c r="Z787" s="21" t="n">
        <f aca="false">ROUND(L787/Paramètres!$E$22+M787/Paramètres!$E$23+N787/Paramètres!$E$24+O787/Paramètres!$E$25+P787/Paramètres!$E$26+Q787/Paramètres!$E$27+R787/Paramètres!$E$28+S787/Paramètres!$E$29+T787/Paramètres!$E$30+U787/Paramètres!$E$31+V787/Paramètres!$E$32+W787/Paramètres!$E$33+X787/Paramètres!$E$34+Y787/Paramètres!$E$35,1)</f>
        <v>0.3</v>
      </c>
      <c r="AA787" s="22" t="s">
        <v>109</v>
      </c>
      <c r="AB787" s="22" t="s">
        <v>109</v>
      </c>
      <c r="AC787" s="15" t="str">
        <f aca="false">$E787</f>
        <v>argent</v>
      </c>
      <c r="AD787" s="16" t="n">
        <f aca="false" t="array" ref="AD787:AD787">IF($I787&gt;=$AI787,"Max",ROUND(Paramètres!$B$40*($I787+1)^Paramètres!$B$41*INDEX(Paramètres!$H$6:$H$12,$AF787),0))</f>
        <v>3</v>
      </c>
      <c r="AE787" s="23" t="n">
        <f aca="false">MATCH($B787&amp;"|"&amp;$C787,Profils!$A$5:$A$34,0)</f>
        <v>26</v>
      </c>
      <c r="AF787" s="23" t="n">
        <v>1</v>
      </c>
      <c r="AG787" s="24" t="n">
        <f aca="false" t="array" ref="AG787:AG787">INDEX(Paramètres!$C$6:$C$12,$AF787)</f>
        <v>1</v>
      </c>
      <c r="AH787" s="23" t="n">
        <f aca="false" t="array" ref="AH787:AH787">INDEX(Paramètres!$D$6:$D$12,$AF787)</f>
        <v>2</v>
      </c>
      <c r="AI787" s="23" t="n">
        <f aca="false" t="array" ref="AI787:AI787">INDEX(Matériaux!$C$16:$C$20,$D787)</f>
        <v>20</v>
      </c>
      <c r="AJ787" s="25" t="n">
        <f aca="false">Paramètres!$B$16+(1-Paramètres!$B$16)*(($J787-Paramètres!$B$14)/(Paramètres!$B$15-Paramètres!$B$14))^Paramètres!$B$17</f>
        <v>0.140847925475674</v>
      </c>
    </row>
    <row r="788" customFormat="false" ht="15.75" hidden="false" customHeight="true" outlineLevel="0" collapsed="false">
      <c r="A788" s="14" t="s">
        <v>904</v>
      </c>
      <c r="B788" s="15" t="s">
        <v>31</v>
      </c>
      <c r="C788" s="15" t="s">
        <v>273</v>
      </c>
      <c r="D788" s="16" t="n">
        <v>2</v>
      </c>
      <c r="E788" s="15" t="str">
        <f aca="false" t="array" ref="E788:E788">INDEX(Matériaux!$B$5:$F$12,MATCH(INDEX(Profils!$E$5:$E$34,$AE788),Matériaux!$A$5:$A$12,0),$D788)</f>
        <v>argent</v>
      </c>
      <c r="F788" s="26" t="s">
        <v>111</v>
      </c>
      <c r="G788" s="10" t="str">
        <f aca="false" t="array" ref="G788:G788">INDEX(Profils!$D$5:$D$34,$AE788)&amp;" en "&amp;$E788</f>
        <v>Anneau de chasseur en argent</v>
      </c>
      <c r="H788" s="16" t="n">
        <f aca="false" t="array" ref="H788:H788">INDEX(Matériaux!$B$16:$B$20,$D788)</f>
        <v>15</v>
      </c>
      <c r="I788" s="16" t="n">
        <f aca="false">IF(ISNUMBER($C$3),MIN(MAX(0,ROUND($C$3,0)),$AI788),$AI788)</f>
        <v>0</v>
      </c>
      <c r="J788" s="18" t="n">
        <f aca="false">$H788+$I788</f>
        <v>15</v>
      </c>
      <c r="K788" s="15" t="s">
        <v>109</v>
      </c>
      <c r="L788" s="19" t="n">
        <f aca="false" t="array" ref="L788:L788">IF(AND(INDEX(Profils!$F$5:$F$34,$AE788)&gt;0,INDEX(Profils!$U$5:$U$34,$AE788)&lt;=$AH788),ROUND(INDEX(Profils!$F$5:$F$34,$AE788)*Paramètres!$E$22*$AG788*$AJ788,Paramètres!$F$22),0)</f>
        <v>0</v>
      </c>
      <c r="M788" s="19" t="n">
        <f aca="false" t="array" ref="M788:M788">IF(AND(INDEX(Profils!$G$5:$G$34,$AE788)&gt;0,INDEX(Profils!$V$5:$V$34,$AE788)&lt;=$AH788),ROUND(INDEX(Profils!$G$5:$G$34,$AE788)*Paramètres!$E$23*$AG788*$AJ788,Paramètres!$F$23),0)</f>
        <v>0</v>
      </c>
      <c r="N788" s="19" t="n">
        <f aca="false" t="array" ref="N788:N788">IF(AND(INDEX(Profils!$H$5:$H$34,$AE788)&gt;0,INDEX(Profils!$W$5:$W$34,$AE788)&lt;=$AH788),ROUND(INDEX(Profils!$H$5:$H$34,$AE788)*Paramètres!$E$24*$AG788*$AJ788,Paramètres!$F$24),0)</f>
        <v>0</v>
      </c>
      <c r="O788" s="19" t="n">
        <f aca="false" t="array" ref="O788:O788">IF(AND(INDEX(Profils!$I$5:$I$34,$AE788)&gt;0,INDEX(Profils!$X$5:$X$34,$AE788)&lt;=$AH788),ROUND(INDEX(Profils!$I$5:$I$34,$AE788)*Paramètres!$E$25*$AG788*$AJ788,Paramètres!$F$25),0)</f>
        <v>0</v>
      </c>
      <c r="P788" s="19" t="n">
        <f aca="false" t="array" ref="P788:P788">IF(AND(INDEX(Profils!$J$5:$J$34,$AE788)&gt;0,INDEX(Profils!$Y$5:$Y$34,$AE788)&lt;=$AH788),ROUND(INDEX(Profils!$J$5:$J$34,$AE788)*Paramètres!$E$26*$AG788*$AJ788,Paramètres!$F$26),0)</f>
        <v>0</v>
      </c>
      <c r="Q788" s="19" t="n">
        <f aca="false" t="array" ref="Q788:Q788">IF(AND(INDEX(Profils!$K$5:$K$34,$AE788)&gt;0,INDEX(Profils!$Z$5:$Z$34,$AE788)&lt;=$AH788),ROUND(INDEX(Profils!$K$5:$K$34,$AE788)*Paramètres!$E$27*$AG788*$AJ788,Paramètres!$F$27),0)</f>
        <v>0</v>
      </c>
      <c r="R788" s="20" t="n">
        <f aca="false" t="array" ref="R788:R788">IF(AND(INDEX(Profils!$L$5:$L$34,$AE788)&gt;0,INDEX(Profils!$AA$5:$AA$34,$AE788)&lt;=$AH788),ROUND(INDEX(Profils!$L$5:$L$34,$AE788)*Paramètres!$E$28*$AG788*$AJ788,Paramètres!$F$28),0)</f>
        <v>0.003</v>
      </c>
      <c r="S788" s="20" t="n">
        <f aca="false" t="array" ref="S788:S788">IF(AND(INDEX(Profils!$M$5:$M$34,$AE788)&gt;0,INDEX(Profils!$AB$5:$AB$34,$AE788)&lt;=$AH788),ROUND(INDEX(Profils!$M$5:$M$34,$AE788)*Paramètres!$E$29*$AG788*$AJ788,Paramètres!$F$29),0)</f>
        <v>0.002</v>
      </c>
      <c r="T788" s="20" t="n">
        <f aca="false" t="array" ref="T788:T788">IF(AND(INDEX(Profils!$N$5:$N$34,$AE788)&gt;0,INDEX(Profils!$AC$5:$AC$34,$AE788)&lt;=$AH788),ROUND(INDEX(Profils!$N$5:$N$34,$AE788)*Paramètres!$E$30*$AG788*$AJ788,Paramètres!$F$30),0)</f>
        <v>0.006</v>
      </c>
      <c r="U788" s="19" t="n">
        <f aca="false" t="array" ref="U788:U788">IF(AND(INDEX(Profils!$O$5:$O$34,$AE788)&gt;0,INDEX(Profils!$AD$5:$AD$34,$AE788)&lt;=$AH788),ROUND(INDEX(Profils!$O$5:$O$34,$AE788)*Paramètres!$E$31*$AG788*$AJ788,Paramètres!$F$31),0)</f>
        <v>0</v>
      </c>
      <c r="V788" s="20" t="n">
        <f aca="false" t="array" ref="V788:V788">IF(AND(INDEX(Profils!$P$5:$P$34,$AE788)&gt;0,INDEX(Profils!$AE$5:$AE$34,$AE788)&lt;=$AH788),ROUND(INDEX(Profils!$P$5:$P$34,$AE788)*Paramètres!$E$32*$AG788*$AJ788,Paramètres!$F$32),0)</f>
        <v>0</v>
      </c>
      <c r="W788" s="20" t="n">
        <f aca="false" t="array" ref="W788:W788">IF(AND(INDEX(Profils!$Q$5:$Q$34,$AE788)&gt;0,INDEX(Profils!$AF$5:$AF$34,$AE788)&lt;=$AH788),ROUND(INDEX(Profils!$Q$5:$Q$34,$AE788)*Paramètres!$E$33*$AG788*$AJ788,Paramètres!$F$33),0)</f>
        <v>0</v>
      </c>
      <c r="X788" s="20" t="n">
        <f aca="false" t="array" ref="X788:X788">IF(AND(INDEX(Profils!$R$5:$R$34,$AE788)&gt;0,INDEX(Profils!$AG$5:$AG$34,$AE788)&lt;=$AH788),ROUND(INDEX(Profils!$R$5:$R$34,$AE788)*Paramètres!$E$34*$AG788*$AJ788,Paramètres!$F$34),0)</f>
        <v>0</v>
      </c>
      <c r="Y788" s="20" t="n">
        <f aca="false" t="array" ref="Y788:Y788">IF(AND(INDEX(Profils!$S$5:$S$34,$AE788)&gt;0,INDEX(Profils!$AH$5:$AH$34,$AE788)&lt;=$AH788),ROUND(INDEX(Profils!$S$5:$S$34,$AE788)*Paramètres!$E$35*$AG788*$AJ788,Paramètres!$F$35),0)</f>
        <v>0</v>
      </c>
      <c r="Z788" s="21" t="n">
        <f aca="false">ROUND(L788/Paramètres!$E$22+M788/Paramètres!$E$23+N788/Paramètres!$E$24+O788/Paramètres!$E$25+P788/Paramètres!$E$26+Q788/Paramètres!$E$27+R788/Paramètres!$E$28+S788/Paramètres!$E$29+T788/Paramètres!$E$30+U788/Paramètres!$E$31+V788/Paramètres!$E$32+W788/Paramètres!$E$33+X788/Paramètres!$E$34+Y788/Paramètres!$E$35,1)</f>
        <v>0.6</v>
      </c>
      <c r="AA788" s="22" t="s">
        <v>109</v>
      </c>
      <c r="AB788" s="22" t="s">
        <v>109</v>
      </c>
      <c r="AC788" s="15" t="str">
        <f aca="false">$E788</f>
        <v>argent</v>
      </c>
      <c r="AD788" s="16" t="n">
        <f aca="false" t="array" ref="AD788:AD788">IF($I788&gt;=$AI788,"Max",ROUND(Paramètres!$B$40*($I788+1)^Paramètres!$B$41*INDEX(Paramètres!$H$6:$H$12,$AF788),0))</f>
        <v>4</v>
      </c>
      <c r="AE788" s="23" t="n">
        <f aca="false">MATCH($B788&amp;"|"&amp;$C788,Profils!$A$5:$A$34,0)</f>
        <v>26</v>
      </c>
      <c r="AF788" s="23" t="n">
        <v>2</v>
      </c>
      <c r="AG788" s="24" t="n">
        <f aca="false" t="array" ref="AG788:AG788">INDEX(Paramètres!$C$6:$C$12,$AF788)</f>
        <v>1.2</v>
      </c>
      <c r="AH788" s="23" t="n">
        <f aca="false" t="array" ref="AH788:AH788">INDEX(Paramètres!$D$6:$D$12,$AF788)</f>
        <v>3</v>
      </c>
      <c r="AI788" s="23" t="n">
        <f aca="false" t="array" ref="AI788:AI788">INDEX(Matériaux!$C$16:$C$20,$D788)</f>
        <v>20</v>
      </c>
      <c r="AJ788" s="25" t="n">
        <f aca="false">Paramètres!$B$16+(1-Paramètres!$B$16)*(($J788-Paramètres!$B$14)/(Paramètres!$B$15-Paramètres!$B$14))^Paramètres!$B$17</f>
        <v>0.140847925475674</v>
      </c>
    </row>
    <row r="789" customFormat="false" ht="15.75" hidden="false" customHeight="true" outlineLevel="0" collapsed="false">
      <c r="A789" s="14" t="s">
        <v>905</v>
      </c>
      <c r="B789" s="15" t="s">
        <v>31</v>
      </c>
      <c r="C789" s="15" t="s">
        <v>273</v>
      </c>
      <c r="D789" s="16" t="n">
        <v>2</v>
      </c>
      <c r="E789" s="15" t="str">
        <f aca="false" t="array" ref="E789:E789">INDEX(Matériaux!$B$5:$F$12,MATCH(INDEX(Profils!$E$5:$E$34,$AE789),Matériaux!$A$5:$A$12,0),$D789)</f>
        <v>argent</v>
      </c>
      <c r="F789" s="27" t="s">
        <v>113</v>
      </c>
      <c r="G789" s="10" t="str">
        <f aca="false" t="array" ref="G789:G789">INDEX(Profils!$D$5:$D$34,$AE789)&amp;" en "&amp;$E789</f>
        <v>Anneau de chasseur en argent</v>
      </c>
      <c r="H789" s="16" t="n">
        <f aca="false" t="array" ref="H789:H789">INDEX(Matériaux!$B$16:$B$20,$D789)</f>
        <v>15</v>
      </c>
      <c r="I789" s="16" t="n">
        <f aca="false">IF(ISNUMBER($C$3),MIN(MAX(0,ROUND($C$3,0)),$AI789),$AI789)</f>
        <v>0</v>
      </c>
      <c r="J789" s="18" t="n">
        <f aca="false">$H789+$I789</f>
        <v>15</v>
      </c>
      <c r="K789" s="15" t="s">
        <v>109</v>
      </c>
      <c r="L789" s="19" t="n">
        <f aca="false" t="array" ref="L789:L789">IF(AND(INDEX(Profils!$F$5:$F$34,$AE789)&gt;0,INDEX(Profils!$U$5:$U$34,$AE789)&lt;=$AH789),ROUND(INDEX(Profils!$F$5:$F$34,$AE789)*Paramètres!$E$22*$AG789*$AJ789,Paramètres!$F$22),0)</f>
        <v>0</v>
      </c>
      <c r="M789" s="19" t="n">
        <f aca="false" t="array" ref="M789:M789">IF(AND(INDEX(Profils!$G$5:$G$34,$AE789)&gt;0,INDEX(Profils!$V$5:$V$34,$AE789)&lt;=$AH789),ROUND(INDEX(Profils!$G$5:$G$34,$AE789)*Paramètres!$E$23*$AG789*$AJ789,Paramètres!$F$23),0)</f>
        <v>0</v>
      </c>
      <c r="N789" s="19" t="n">
        <f aca="false" t="array" ref="N789:N789">IF(AND(INDEX(Profils!$H$5:$H$34,$AE789)&gt;0,INDEX(Profils!$W$5:$W$34,$AE789)&lt;=$AH789),ROUND(INDEX(Profils!$H$5:$H$34,$AE789)*Paramètres!$E$24*$AG789*$AJ789,Paramètres!$F$24),0)</f>
        <v>0</v>
      </c>
      <c r="O789" s="19" t="n">
        <f aca="false" t="array" ref="O789:O789">IF(AND(INDEX(Profils!$I$5:$I$34,$AE789)&gt;0,INDEX(Profils!$X$5:$X$34,$AE789)&lt;=$AH789),ROUND(INDEX(Profils!$I$5:$I$34,$AE789)*Paramètres!$E$25*$AG789*$AJ789,Paramètres!$F$25),0)</f>
        <v>0</v>
      </c>
      <c r="P789" s="19" t="n">
        <f aca="false" t="array" ref="P789:P789">IF(AND(INDEX(Profils!$J$5:$J$34,$AE789)&gt;0,INDEX(Profils!$Y$5:$Y$34,$AE789)&lt;=$AH789),ROUND(INDEX(Profils!$J$5:$J$34,$AE789)*Paramètres!$E$26*$AG789*$AJ789,Paramètres!$F$26),0)</f>
        <v>0</v>
      </c>
      <c r="Q789" s="19" t="n">
        <f aca="false" t="array" ref="Q789:Q789">IF(AND(INDEX(Profils!$K$5:$K$34,$AE789)&gt;0,INDEX(Profils!$Z$5:$Z$34,$AE789)&lt;=$AH789),ROUND(INDEX(Profils!$K$5:$K$34,$AE789)*Paramètres!$E$27*$AG789*$AJ789,Paramètres!$F$27),0)</f>
        <v>0</v>
      </c>
      <c r="R789" s="20" t="n">
        <f aca="false" t="array" ref="R789:R789">IF(AND(INDEX(Profils!$L$5:$L$34,$AE789)&gt;0,INDEX(Profils!$AA$5:$AA$34,$AE789)&lt;=$AH789),ROUND(INDEX(Profils!$L$5:$L$34,$AE789)*Paramètres!$E$28*$AG789*$AJ789,Paramètres!$F$28),0)</f>
        <v>0.003</v>
      </c>
      <c r="S789" s="20" t="n">
        <f aca="false" t="array" ref="S789:S789">IF(AND(INDEX(Profils!$M$5:$M$34,$AE789)&gt;0,INDEX(Profils!$AB$5:$AB$34,$AE789)&lt;=$AH789),ROUND(INDEX(Profils!$M$5:$M$34,$AE789)*Paramètres!$E$29*$AG789*$AJ789,Paramètres!$F$29),0)</f>
        <v>0.003</v>
      </c>
      <c r="T789" s="20" t="n">
        <f aca="false" t="array" ref="T789:T789">IF(AND(INDEX(Profils!$N$5:$N$34,$AE789)&gt;0,INDEX(Profils!$AC$5:$AC$34,$AE789)&lt;=$AH789),ROUND(INDEX(Profils!$N$5:$N$34,$AE789)*Paramètres!$E$30*$AG789*$AJ789,Paramètres!$F$30),0)</f>
        <v>0.007</v>
      </c>
      <c r="U789" s="19" t="n">
        <f aca="false" t="array" ref="U789:U789">IF(AND(INDEX(Profils!$O$5:$O$34,$AE789)&gt;0,INDEX(Profils!$AD$5:$AD$34,$AE789)&lt;=$AH789),ROUND(INDEX(Profils!$O$5:$O$34,$AE789)*Paramètres!$E$31*$AG789*$AJ789,Paramètres!$F$31),0)</f>
        <v>0</v>
      </c>
      <c r="V789" s="20" t="n">
        <f aca="false" t="array" ref="V789:V789">IF(AND(INDEX(Profils!$P$5:$P$34,$AE789)&gt;0,INDEX(Profils!$AE$5:$AE$34,$AE789)&lt;=$AH789),ROUND(INDEX(Profils!$P$5:$P$34,$AE789)*Paramètres!$E$32*$AG789*$AJ789,Paramètres!$F$32),0)</f>
        <v>0.003</v>
      </c>
      <c r="W789" s="20" t="n">
        <f aca="false" t="array" ref="W789:W789">IF(AND(INDEX(Profils!$Q$5:$Q$34,$AE789)&gt;0,INDEX(Profils!$AF$5:$AF$34,$AE789)&lt;=$AH789),ROUND(INDEX(Profils!$Q$5:$Q$34,$AE789)*Paramètres!$E$33*$AG789*$AJ789,Paramètres!$F$33),0)</f>
        <v>0</v>
      </c>
      <c r="X789" s="20" t="n">
        <f aca="false" t="array" ref="X789:X789">IF(AND(INDEX(Profils!$R$5:$R$34,$AE789)&gt;0,INDEX(Profils!$AG$5:$AG$34,$AE789)&lt;=$AH789),ROUND(INDEX(Profils!$R$5:$R$34,$AE789)*Paramètres!$E$34*$AG789*$AJ789,Paramètres!$F$34),0)</f>
        <v>0</v>
      </c>
      <c r="Y789" s="20" t="n">
        <f aca="false" t="array" ref="Y789:Y789">IF(AND(INDEX(Profils!$S$5:$S$34,$AE789)&gt;0,INDEX(Profils!$AH$5:$AH$34,$AE789)&lt;=$AH789),ROUND(INDEX(Profils!$S$5:$S$34,$AE789)*Paramètres!$E$35*$AG789*$AJ789,Paramètres!$F$35),0)</f>
        <v>0</v>
      </c>
      <c r="Z789" s="21" t="n">
        <f aca="false">ROUND(L789/Paramètres!$E$22+M789/Paramètres!$E$23+N789/Paramètres!$E$24+O789/Paramètres!$E$25+P789/Paramètres!$E$26+Q789/Paramètres!$E$27+R789/Paramètres!$E$28+S789/Paramètres!$E$29+T789/Paramètres!$E$30+U789/Paramètres!$E$31+V789/Paramètres!$E$32+W789/Paramètres!$E$33+X789/Paramètres!$E$34+Y789/Paramètres!$E$35,1)</f>
        <v>0.9</v>
      </c>
      <c r="AA789" s="22" t="s">
        <v>109</v>
      </c>
      <c r="AB789" s="22" t="s">
        <v>109</v>
      </c>
      <c r="AC789" s="15" t="str">
        <f aca="false">$E789</f>
        <v>argent</v>
      </c>
      <c r="AD789" s="16" t="n">
        <f aca="false" t="array" ref="AD789:AD789">IF($I789&gt;=$AI789,"Max",ROUND(Paramètres!$B$40*($I789+1)^Paramètres!$B$41*INDEX(Paramètres!$H$6:$H$12,$AF789),0))</f>
        <v>4</v>
      </c>
      <c r="AE789" s="23" t="n">
        <f aca="false">MATCH($B789&amp;"|"&amp;$C789,Profils!$A$5:$A$34,0)</f>
        <v>26</v>
      </c>
      <c r="AF789" s="23" t="n">
        <v>3</v>
      </c>
      <c r="AG789" s="24" t="n">
        <f aca="false" t="array" ref="AG789:AG789">INDEX(Paramètres!$C$6:$C$12,$AF789)</f>
        <v>1.45</v>
      </c>
      <c r="AH789" s="23" t="n">
        <f aca="false" t="array" ref="AH789:AH789">INDEX(Paramètres!$D$6:$D$12,$AF789)</f>
        <v>4</v>
      </c>
      <c r="AI789" s="23" t="n">
        <f aca="false" t="array" ref="AI789:AI789">INDEX(Matériaux!$C$16:$C$20,$D789)</f>
        <v>20</v>
      </c>
      <c r="AJ789" s="25" t="n">
        <f aca="false">Paramètres!$B$16+(1-Paramètres!$B$16)*(($J789-Paramètres!$B$14)/(Paramètres!$B$15-Paramètres!$B$14))^Paramètres!$B$17</f>
        <v>0.140847925475674</v>
      </c>
    </row>
    <row r="790" customFormat="false" ht="15.75" hidden="false" customHeight="true" outlineLevel="0" collapsed="false">
      <c r="A790" s="14" t="s">
        <v>906</v>
      </c>
      <c r="B790" s="15" t="s">
        <v>31</v>
      </c>
      <c r="C790" s="15" t="s">
        <v>273</v>
      </c>
      <c r="D790" s="16" t="n">
        <v>2</v>
      </c>
      <c r="E790" s="15" t="str">
        <f aca="false" t="array" ref="E790:E790">INDEX(Matériaux!$B$5:$F$12,MATCH(INDEX(Profils!$E$5:$E$34,$AE790),Matériaux!$A$5:$A$12,0),$D790)</f>
        <v>argent</v>
      </c>
      <c r="F790" s="28" t="s">
        <v>115</v>
      </c>
      <c r="G790" s="10" t="str">
        <f aca="false" t="array" ref="G790:G790">INDEX(Profils!$D$5:$D$34,$AE790)&amp;" en "&amp;$E790</f>
        <v>Anneau de chasseur en argent</v>
      </c>
      <c r="H790" s="16" t="n">
        <f aca="false" t="array" ref="H790:H790">INDEX(Matériaux!$B$16:$B$20,$D790)</f>
        <v>15</v>
      </c>
      <c r="I790" s="16" t="n">
        <f aca="false">IF(ISNUMBER($C$3),MIN(MAX(0,ROUND($C$3,0)),$AI790),$AI790)</f>
        <v>0</v>
      </c>
      <c r="J790" s="18" t="n">
        <f aca="false">$H790+$I790</f>
        <v>15</v>
      </c>
      <c r="K790" s="15" t="s">
        <v>109</v>
      </c>
      <c r="L790" s="19" t="n">
        <f aca="false" t="array" ref="L790:L790">IF(AND(INDEX(Profils!$F$5:$F$34,$AE790)&gt;0,INDEX(Profils!$U$5:$U$34,$AE790)&lt;=$AH790),ROUND(INDEX(Profils!$F$5:$F$34,$AE790)*Paramètres!$E$22*$AG790*$AJ790,Paramètres!$F$22),0)</f>
        <v>0</v>
      </c>
      <c r="M790" s="19" t="n">
        <f aca="false" t="array" ref="M790:M790">IF(AND(INDEX(Profils!$G$5:$G$34,$AE790)&gt;0,INDEX(Profils!$V$5:$V$34,$AE790)&lt;=$AH790),ROUND(INDEX(Profils!$G$5:$G$34,$AE790)*Paramètres!$E$23*$AG790*$AJ790,Paramètres!$F$23),0)</f>
        <v>0</v>
      </c>
      <c r="N790" s="19" t="n">
        <f aca="false" t="array" ref="N790:N790">IF(AND(INDEX(Profils!$H$5:$H$34,$AE790)&gt;0,INDEX(Profils!$W$5:$W$34,$AE790)&lt;=$AH790),ROUND(INDEX(Profils!$H$5:$H$34,$AE790)*Paramètres!$E$24*$AG790*$AJ790,Paramètres!$F$24),0)</f>
        <v>0</v>
      </c>
      <c r="O790" s="19" t="n">
        <f aca="false" t="array" ref="O790:O790">IF(AND(INDEX(Profils!$I$5:$I$34,$AE790)&gt;0,INDEX(Profils!$X$5:$X$34,$AE790)&lt;=$AH790),ROUND(INDEX(Profils!$I$5:$I$34,$AE790)*Paramètres!$E$25*$AG790*$AJ790,Paramètres!$F$25),0)</f>
        <v>0</v>
      </c>
      <c r="P790" s="19" t="n">
        <f aca="false" t="array" ref="P790:P790">IF(AND(INDEX(Profils!$J$5:$J$34,$AE790)&gt;0,INDEX(Profils!$Y$5:$Y$34,$AE790)&lt;=$AH790),ROUND(INDEX(Profils!$J$5:$J$34,$AE790)*Paramètres!$E$26*$AG790*$AJ790,Paramètres!$F$26),0)</f>
        <v>3</v>
      </c>
      <c r="Q790" s="19" t="n">
        <f aca="false" t="array" ref="Q790:Q790">IF(AND(INDEX(Profils!$K$5:$K$34,$AE790)&gt;0,INDEX(Profils!$Z$5:$Z$34,$AE790)&lt;=$AH790),ROUND(INDEX(Profils!$K$5:$K$34,$AE790)*Paramètres!$E$27*$AG790*$AJ790,Paramètres!$F$27),0)</f>
        <v>0</v>
      </c>
      <c r="R790" s="20" t="n">
        <f aca="false" t="array" ref="R790:R790">IF(AND(INDEX(Profils!$L$5:$L$34,$AE790)&gt;0,INDEX(Profils!$AA$5:$AA$34,$AE790)&lt;=$AH790),ROUND(INDEX(Profils!$L$5:$L$34,$AE790)*Paramètres!$E$28*$AG790*$AJ790,Paramètres!$F$28),0)</f>
        <v>0.004</v>
      </c>
      <c r="S790" s="20" t="n">
        <f aca="false" t="array" ref="S790:S790">IF(AND(INDEX(Profils!$M$5:$M$34,$AE790)&gt;0,INDEX(Profils!$AB$5:$AB$34,$AE790)&lt;=$AH790),ROUND(INDEX(Profils!$M$5:$M$34,$AE790)*Paramètres!$E$29*$AG790*$AJ790,Paramètres!$F$29),0)</f>
        <v>0.004</v>
      </c>
      <c r="T790" s="20" t="n">
        <f aca="false" t="array" ref="T790:T790">IF(AND(INDEX(Profils!$N$5:$N$34,$AE790)&gt;0,INDEX(Profils!$AC$5:$AC$34,$AE790)&lt;=$AH790),ROUND(INDEX(Profils!$N$5:$N$34,$AE790)*Paramètres!$E$30*$AG790*$AJ790,Paramètres!$F$30),0)</f>
        <v>0.009</v>
      </c>
      <c r="U790" s="19" t="n">
        <f aca="false" t="array" ref="U790:U790">IF(AND(INDEX(Profils!$O$5:$O$34,$AE790)&gt;0,INDEX(Profils!$AD$5:$AD$34,$AE790)&lt;=$AH790),ROUND(INDEX(Profils!$O$5:$O$34,$AE790)*Paramètres!$E$31*$AG790*$AJ790,Paramètres!$F$31),0)</f>
        <v>0</v>
      </c>
      <c r="V790" s="20" t="n">
        <f aca="false" t="array" ref="V790:V790">IF(AND(INDEX(Profils!$P$5:$P$34,$AE790)&gt;0,INDEX(Profils!$AE$5:$AE$34,$AE790)&lt;=$AH790),ROUND(INDEX(Profils!$P$5:$P$34,$AE790)*Paramètres!$E$32*$AG790*$AJ790,Paramètres!$F$32),0)</f>
        <v>0.004</v>
      </c>
      <c r="W790" s="20" t="n">
        <f aca="false" t="array" ref="W790:W790">IF(AND(INDEX(Profils!$Q$5:$Q$34,$AE790)&gt;0,INDEX(Profils!$AF$5:$AF$34,$AE790)&lt;=$AH790),ROUND(INDEX(Profils!$Q$5:$Q$34,$AE790)*Paramètres!$E$33*$AG790*$AJ790,Paramètres!$F$33),0)</f>
        <v>0</v>
      </c>
      <c r="X790" s="20" t="n">
        <f aca="false" t="array" ref="X790:X790">IF(AND(INDEX(Profils!$R$5:$R$34,$AE790)&gt;0,INDEX(Profils!$AG$5:$AG$34,$AE790)&lt;=$AH790),ROUND(INDEX(Profils!$R$5:$R$34,$AE790)*Paramètres!$E$34*$AG790*$AJ790,Paramètres!$F$34),0)</f>
        <v>0</v>
      </c>
      <c r="Y790" s="20" t="n">
        <f aca="false" t="array" ref="Y790:Y790">IF(AND(INDEX(Profils!$S$5:$S$34,$AE790)&gt;0,INDEX(Profils!$AH$5:$AH$34,$AE790)&lt;=$AH790),ROUND(INDEX(Profils!$S$5:$S$34,$AE790)*Paramètres!$E$35*$AG790*$AJ790,Paramètres!$F$35),0)</f>
        <v>0</v>
      </c>
      <c r="Z790" s="21" t="n">
        <f aca="false">ROUND(L790/Paramètres!$E$22+M790/Paramètres!$E$23+N790/Paramètres!$E$24+O790/Paramètres!$E$25+P790/Paramètres!$E$26+Q790/Paramètres!$E$27+R790/Paramètres!$E$28+S790/Paramètres!$E$29+T790/Paramètres!$E$30+U790/Paramètres!$E$31+V790/Paramètres!$E$32+W790/Paramètres!$E$33+X790/Paramètres!$E$34+Y790/Paramètres!$E$35,1)</f>
        <v>1.4</v>
      </c>
      <c r="AA790" s="22" t="s">
        <v>109</v>
      </c>
      <c r="AB790" s="22" t="s">
        <v>109</v>
      </c>
      <c r="AC790" s="15" t="str">
        <f aca="false">$E790</f>
        <v>argent</v>
      </c>
      <c r="AD790" s="16" t="n">
        <f aca="false" t="array" ref="AD790:AD790">IF($I790&gt;=$AI790,"Max",ROUND(Paramètres!$B$40*($I790+1)^Paramètres!$B$41*INDEX(Paramètres!$H$6:$H$12,$AF790),0))</f>
        <v>5</v>
      </c>
      <c r="AE790" s="23" t="n">
        <f aca="false">MATCH($B790&amp;"|"&amp;$C790,Profils!$A$5:$A$34,0)</f>
        <v>26</v>
      </c>
      <c r="AF790" s="23" t="n">
        <v>4</v>
      </c>
      <c r="AG790" s="24" t="n">
        <f aca="false" t="array" ref="AG790:AG790">INDEX(Paramètres!$C$6:$C$12,$AF790)</f>
        <v>1.75</v>
      </c>
      <c r="AH790" s="23" t="n">
        <f aca="false" t="array" ref="AH790:AH790">INDEX(Paramètres!$D$6:$D$12,$AF790)</f>
        <v>5</v>
      </c>
      <c r="AI790" s="23" t="n">
        <f aca="false" t="array" ref="AI790:AI790">INDEX(Matériaux!$C$16:$C$20,$D790)</f>
        <v>20</v>
      </c>
      <c r="AJ790" s="25" t="n">
        <f aca="false">Paramètres!$B$16+(1-Paramètres!$B$16)*(($J790-Paramètres!$B$14)/(Paramètres!$B$15-Paramètres!$B$14))^Paramètres!$B$17</f>
        <v>0.140847925475674</v>
      </c>
    </row>
    <row r="791" customFormat="false" ht="15.75" hidden="false" customHeight="true" outlineLevel="0" collapsed="false">
      <c r="A791" s="14" t="s">
        <v>907</v>
      </c>
      <c r="B791" s="15" t="s">
        <v>31</v>
      </c>
      <c r="C791" s="15" t="s">
        <v>273</v>
      </c>
      <c r="D791" s="16" t="n">
        <v>2</v>
      </c>
      <c r="E791" s="15" t="str">
        <f aca="false" t="array" ref="E791:E791">INDEX(Matériaux!$B$5:$F$12,MATCH(INDEX(Profils!$E$5:$E$34,$AE791),Matériaux!$A$5:$A$12,0),$D791)</f>
        <v>argent</v>
      </c>
      <c r="F791" s="29" t="s">
        <v>117</v>
      </c>
      <c r="G791" s="10" t="str">
        <f aca="false" t="array" ref="G791:G791">INDEX(Profils!$D$5:$D$34,$AE791)&amp;" en "&amp;$E791</f>
        <v>Anneau de chasseur en argent</v>
      </c>
      <c r="H791" s="16" t="n">
        <f aca="false" t="array" ref="H791:H791">INDEX(Matériaux!$B$16:$B$20,$D791)</f>
        <v>15</v>
      </c>
      <c r="I791" s="16" t="n">
        <f aca="false">IF(ISNUMBER($C$3),MIN(MAX(0,ROUND($C$3,0)),$AI791),$AI791)</f>
        <v>0</v>
      </c>
      <c r="J791" s="18" t="n">
        <f aca="false">$H791+$I791</f>
        <v>15</v>
      </c>
      <c r="K791" s="15" t="s">
        <v>109</v>
      </c>
      <c r="L791" s="19" t="n">
        <f aca="false" t="array" ref="L791:L791">IF(AND(INDEX(Profils!$F$5:$F$34,$AE791)&gt;0,INDEX(Profils!$U$5:$U$34,$AE791)&lt;=$AH791),ROUND(INDEX(Profils!$F$5:$F$34,$AE791)*Paramètres!$E$22*$AG791*$AJ791,Paramètres!$F$22),0)</f>
        <v>4</v>
      </c>
      <c r="M791" s="19" t="n">
        <f aca="false" t="array" ref="M791:M791">IF(AND(INDEX(Profils!$G$5:$G$34,$AE791)&gt;0,INDEX(Profils!$V$5:$V$34,$AE791)&lt;=$AH791),ROUND(INDEX(Profils!$G$5:$G$34,$AE791)*Paramètres!$E$23*$AG791*$AJ791,Paramètres!$F$23),0)</f>
        <v>0</v>
      </c>
      <c r="N791" s="19" t="n">
        <f aca="false" t="array" ref="N791:N791">IF(AND(INDEX(Profils!$H$5:$H$34,$AE791)&gt;0,INDEX(Profils!$W$5:$W$34,$AE791)&lt;=$AH791),ROUND(INDEX(Profils!$H$5:$H$34,$AE791)*Paramètres!$E$24*$AG791*$AJ791,Paramètres!$F$24),0)</f>
        <v>0</v>
      </c>
      <c r="O791" s="19" t="n">
        <f aca="false" t="array" ref="O791:O791">IF(AND(INDEX(Profils!$I$5:$I$34,$AE791)&gt;0,INDEX(Profils!$X$5:$X$34,$AE791)&lt;=$AH791),ROUND(INDEX(Profils!$I$5:$I$34,$AE791)*Paramètres!$E$25*$AG791*$AJ791,Paramètres!$F$25),0)</f>
        <v>0</v>
      </c>
      <c r="P791" s="19" t="n">
        <f aca="false" t="array" ref="P791:P791">IF(AND(INDEX(Profils!$J$5:$J$34,$AE791)&gt;0,INDEX(Profils!$Y$5:$Y$34,$AE791)&lt;=$AH791),ROUND(INDEX(Profils!$J$5:$J$34,$AE791)*Paramètres!$E$26*$AG791*$AJ791,Paramètres!$F$26),0)</f>
        <v>3</v>
      </c>
      <c r="Q791" s="19" t="n">
        <f aca="false" t="array" ref="Q791:Q791">IF(AND(INDEX(Profils!$K$5:$K$34,$AE791)&gt;0,INDEX(Profils!$Z$5:$Z$34,$AE791)&lt;=$AH791),ROUND(INDEX(Profils!$K$5:$K$34,$AE791)*Paramètres!$E$27*$AG791*$AJ791,Paramètres!$F$27),0)</f>
        <v>0</v>
      </c>
      <c r="R791" s="20" t="n">
        <f aca="false" t="array" ref="R791:R791">IF(AND(INDEX(Profils!$L$5:$L$34,$AE791)&gt;0,INDEX(Profils!$AA$5:$AA$34,$AE791)&lt;=$AH791),ROUND(INDEX(Profils!$L$5:$L$34,$AE791)*Paramètres!$E$28*$AG791*$AJ791,Paramètres!$F$28),0)</f>
        <v>0.004</v>
      </c>
      <c r="S791" s="20" t="n">
        <f aca="false" t="array" ref="S791:S791">IF(AND(INDEX(Profils!$M$5:$M$34,$AE791)&gt;0,INDEX(Profils!$AB$5:$AB$34,$AE791)&lt;=$AH791),ROUND(INDEX(Profils!$M$5:$M$34,$AE791)*Paramètres!$E$29*$AG791*$AJ791,Paramètres!$F$29),0)</f>
        <v>0.004</v>
      </c>
      <c r="T791" s="20" t="n">
        <f aca="false" t="array" ref="T791:T791">IF(AND(INDEX(Profils!$N$5:$N$34,$AE791)&gt;0,INDEX(Profils!$AC$5:$AC$34,$AE791)&lt;=$AH791),ROUND(INDEX(Profils!$N$5:$N$34,$AE791)*Paramètres!$E$30*$AG791*$AJ791,Paramètres!$F$30),0)</f>
        <v>0.011</v>
      </c>
      <c r="U791" s="19" t="n">
        <f aca="false" t="array" ref="U791:U791">IF(AND(INDEX(Profils!$O$5:$O$34,$AE791)&gt;0,INDEX(Profils!$AD$5:$AD$34,$AE791)&lt;=$AH791),ROUND(INDEX(Profils!$O$5:$O$34,$AE791)*Paramètres!$E$31*$AG791*$AJ791,Paramètres!$F$31),0)</f>
        <v>0</v>
      </c>
      <c r="V791" s="20" t="n">
        <f aca="false" t="array" ref="V791:V791">IF(AND(INDEX(Profils!$P$5:$P$34,$AE791)&gt;0,INDEX(Profils!$AE$5:$AE$34,$AE791)&lt;=$AH791),ROUND(INDEX(Profils!$P$5:$P$34,$AE791)*Paramètres!$E$32*$AG791*$AJ791,Paramètres!$F$32),0)</f>
        <v>0.004</v>
      </c>
      <c r="W791" s="20" t="n">
        <f aca="false" t="array" ref="W791:W791">IF(AND(INDEX(Profils!$Q$5:$Q$34,$AE791)&gt;0,INDEX(Profils!$AF$5:$AF$34,$AE791)&lt;=$AH791),ROUND(INDEX(Profils!$Q$5:$Q$34,$AE791)*Paramètres!$E$33*$AG791*$AJ791,Paramètres!$F$33),0)</f>
        <v>0</v>
      </c>
      <c r="X791" s="20" t="n">
        <f aca="false" t="array" ref="X791:X791">IF(AND(INDEX(Profils!$R$5:$R$34,$AE791)&gt;0,INDEX(Profils!$AG$5:$AG$34,$AE791)&lt;=$AH791),ROUND(INDEX(Profils!$R$5:$R$34,$AE791)*Paramètres!$E$34*$AG791*$AJ791,Paramètres!$F$34),0)</f>
        <v>0</v>
      </c>
      <c r="Y791" s="20" t="n">
        <f aca="false" t="array" ref="Y791:Y791">IF(AND(INDEX(Profils!$S$5:$S$34,$AE791)&gt;0,INDEX(Profils!$AH$5:$AH$34,$AE791)&lt;=$AH791),ROUND(INDEX(Profils!$S$5:$S$34,$AE791)*Paramètres!$E$35*$AG791*$AJ791,Paramètres!$F$35),0)</f>
        <v>0</v>
      </c>
      <c r="Z791" s="21" t="n">
        <f aca="false">ROUND(L791/Paramètres!$E$22+M791/Paramètres!$E$23+N791/Paramètres!$E$24+O791/Paramètres!$E$25+P791/Paramètres!$E$26+Q791/Paramètres!$E$27+R791/Paramètres!$E$28+S791/Paramètres!$E$29+T791/Paramètres!$E$30+U791/Paramètres!$E$31+V791/Paramètres!$E$32+W791/Paramètres!$E$33+X791/Paramètres!$E$34+Y791/Paramètres!$E$35,1)</f>
        <v>1.6</v>
      </c>
      <c r="AA791" s="22" t="s">
        <v>109</v>
      </c>
      <c r="AB791" s="22" t="s">
        <v>109</v>
      </c>
      <c r="AC791" s="15" t="str">
        <f aca="false">$E791</f>
        <v>argent</v>
      </c>
      <c r="AD791" s="16" t="n">
        <f aca="false" t="array" ref="AD791:AD791">IF($I791&gt;=$AI791,"Max",ROUND(Paramètres!$B$40*($I791+1)^Paramètres!$B$41*INDEX(Paramètres!$H$6:$H$12,$AF791),0))</f>
        <v>6</v>
      </c>
      <c r="AE791" s="23" t="n">
        <f aca="false">MATCH($B791&amp;"|"&amp;$C791,Profils!$A$5:$A$34,0)</f>
        <v>26</v>
      </c>
      <c r="AF791" s="23" t="n">
        <v>5</v>
      </c>
      <c r="AG791" s="24" t="n">
        <f aca="false" t="array" ref="AG791:AG791">INDEX(Paramètres!$C$6:$C$12,$AF791)</f>
        <v>2.1</v>
      </c>
      <c r="AH791" s="23" t="n">
        <f aca="false" t="array" ref="AH791:AH791">INDEX(Paramètres!$D$6:$D$12,$AF791)</f>
        <v>6</v>
      </c>
      <c r="AI791" s="23" t="n">
        <f aca="false" t="array" ref="AI791:AI791">INDEX(Matériaux!$C$16:$C$20,$D791)</f>
        <v>20</v>
      </c>
      <c r="AJ791" s="25" t="n">
        <f aca="false">Paramètres!$B$16+(1-Paramètres!$B$16)*(($J791-Paramètres!$B$14)/(Paramètres!$B$15-Paramètres!$B$14))^Paramètres!$B$17</f>
        <v>0.140847925475674</v>
      </c>
    </row>
    <row r="792" customFormat="false" ht="15.75" hidden="false" customHeight="true" outlineLevel="0" collapsed="false">
      <c r="A792" s="14" t="s">
        <v>908</v>
      </c>
      <c r="B792" s="15" t="s">
        <v>31</v>
      </c>
      <c r="C792" s="15" t="s">
        <v>273</v>
      </c>
      <c r="D792" s="16" t="n">
        <v>2</v>
      </c>
      <c r="E792" s="15" t="str">
        <f aca="false" t="array" ref="E792:E792">INDEX(Matériaux!$B$5:$F$12,MATCH(INDEX(Profils!$E$5:$E$34,$AE792),Matériaux!$A$5:$A$12,0),$D792)</f>
        <v>argent</v>
      </c>
      <c r="F792" s="30" t="s">
        <v>119</v>
      </c>
      <c r="G792" s="10" t="str">
        <f aca="false" t="array" ref="G792:G792">INDEX(Profils!$D$5:$D$34,$AE792)&amp;" en "&amp;$E792</f>
        <v>Anneau de chasseur en argent</v>
      </c>
      <c r="H792" s="16" t="n">
        <f aca="false" t="array" ref="H792:H792">INDEX(Matériaux!$B$16:$B$20,$D792)</f>
        <v>15</v>
      </c>
      <c r="I792" s="16" t="n">
        <f aca="false">IF(ISNUMBER($C$3),MIN(MAX(0,ROUND($C$3,0)),$AI792),$AI792)</f>
        <v>0</v>
      </c>
      <c r="J792" s="18" t="n">
        <f aca="false">$H792+$I792</f>
        <v>15</v>
      </c>
      <c r="K792" s="15" t="s">
        <v>109</v>
      </c>
      <c r="L792" s="19" t="n">
        <f aca="false" t="array" ref="L792:L792">IF(AND(INDEX(Profils!$F$5:$F$34,$AE792)&gt;0,INDEX(Profils!$U$5:$U$34,$AE792)&lt;=$AH792),ROUND(INDEX(Profils!$F$5:$F$34,$AE792)*Paramètres!$E$22*$AG792*$AJ792,Paramètres!$F$22),0)</f>
        <v>5</v>
      </c>
      <c r="M792" s="19" t="n">
        <f aca="false" t="array" ref="M792:M792">IF(AND(INDEX(Profils!$G$5:$G$34,$AE792)&gt;0,INDEX(Profils!$V$5:$V$34,$AE792)&lt;=$AH792),ROUND(INDEX(Profils!$G$5:$G$34,$AE792)*Paramètres!$E$23*$AG792*$AJ792,Paramètres!$F$23),0)</f>
        <v>3</v>
      </c>
      <c r="N792" s="19" t="n">
        <f aca="false" t="array" ref="N792:N792">IF(AND(INDEX(Profils!$H$5:$H$34,$AE792)&gt;0,INDEX(Profils!$W$5:$W$34,$AE792)&lt;=$AH792),ROUND(INDEX(Profils!$H$5:$H$34,$AE792)*Paramètres!$E$24*$AG792*$AJ792,Paramètres!$F$24),0)</f>
        <v>0</v>
      </c>
      <c r="O792" s="19" t="n">
        <f aca="false" t="array" ref="O792:O792">IF(AND(INDEX(Profils!$I$5:$I$34,$AE792)&gt;0,INDEX(Profils!$X$5:$X$34,$AE792)&lt;=$AH792),ROUND(INDEX(Profils!$I$5:$I$34,$AE792)*Paramètres!$E$25*$AG792*$AJ792,Paramètres!$F$25),0)</f>
        <v>0</v>
      </c>
      <c r="P792" s="19" t="n">
        <f aca="false" t="array" ref="P792:P792">IF(AND(INDEX(Profils!$J$5:$J$34,$AE792)&gt;0,INDEX(Profils!$Y$5:$Y$34,$AE792)&lt;=$AH792),ROUND(INDEX(Profils!$J$5:$J$34,$AE792)*Paramètres!$E$26*$AG792*$AJ792,Paramètres!$F$26),0)</f>
        <v>4</v>
      </c>
      <c r="Q792" s="19" t="n">
        <f aca="false" t="array" ref="Q792:Q792">IF(AND(INDEX(Profils!$K$5:$K$34,$AE792)&gt;0,INDEX(Profils!$Z$5:$Z$34,$AE792)&lt;=$AH792),ROUND(INDEX(Profils!$K$5:$K$34,$AE792)*Paramètres!$E$27*$AG792*$AJ792,Paramètres!$F$27),0)</f>
        <v>0</v>
      </c>
      <c r="R792" s="20" t="n">
        <f aca="false" t="array" ref="R792:R792">IF(AND(INDEX(Profils!$L$5:$L$34,$AE792)&gt;0,INDEX(Profils!$AA$5:$AA$34,$AE792)&lt;=$AH792),ROUND(INDEX(Profils!$L$5:$L$34,$AE792)*Paramètres!$E$28*$AG792*$AJ792,Paramètres!$F$28),0)</f>
        <v>0.005</v>
      </c>
      <c r="S792" s="20" t="n">
        <f aca="false" t="array" ref="S792:S792">IF(AND(INDEX(Profils!$M$5:$M$34,$AE792)&gt;0,INDEX(Profils!$AB$5:$AB$34,$AE792)&lt;=$AH792),ROUND(INDEX(Profils!$M$5:$M$34,$AE792)*Paramètres!$E$29*$AG792*$AJ792,Paramètres!$F$29),0)</f>
        <v>0.005</v>
      </c>
      <c r="T792" s="20" t="n">
        <f aca="false" t="array" ref="T792:T792">IF(AND(INDEX(Profils!$N$5:$N$34,$AE792)&gt;0,INDEX(Profils!$AC$5:$AC$34,$AE792)&lt;=$AH792),ROUND(INDEX(Profils!$N$5:$N$34,$AE792)*Paramètres!$E$30*$AG792*$AJ792,Paramètres!$F$30),0)</f>
        <v>0.012</v>
      </c>
      <c r="U792" s="19" t="n">
        <f aca="false" t="array" ref="U792:U792">IF(AND(INDEX(Profils!$O$5:$O$34,$AE792)&gt;0,INDEX(Profils!$AD$5:$AD$34,$AE792)&lt;=$AH792),ROUND(INDEX(Profils!$O$5:$O$34,$AE792)*Paramètres!$E$31*$AG792*$AJ792,Paramètres!$F$31),0)</f>
        <v>0</v>
      </c>
      <c r="V792" s="20" t="n">
        <f aca="false" t="array" ref="V792:V792">IF(AND(INDEX(Profils!$P$5:$P$34,$AE792)&gt;0,INDEX(Profils!$AE$5:$AE$34,$AE792)&lt;=$AH792),ROUND(INDEX(Profils!$P$5:$P$34,$AE792)*Paramètres!$E$32*$AG792*$AJ792,Paramètres!$F$32),0)</f>
        <v>0.005</v>
      </c>
      <c r="W792" s="20" t="n">
        <f aca="false" t="array" ref="W792:W792">IF(AND(INDEX(Profils!$Q$5:$Q$34,$AE792)&gt;0,INDEX(Profils!$AF$5:$AF$34,$AE792)&lt;=$AH792),ROUND(INDEX(Profils!$Q$5:$Q$34,$AE792)*Paramètres!$E$33*$AG792*$AJ792,Paramètres!$F$33),0)</f>
        <v>0</v>
      </c>
      <c r="X792" s="20" t="n">
        <f aca="false" t="array" ref="X792:X792">IF(AND(INDEX(Profils!$R$5:$R$34,$AE792)&gt;0,INDEX(Profils!$AG$5:$AG$34,$AE792)&lt;=$AH792),ROUND(INDEX(Profils!$R$5:$R$34,$AE792)*Paramètres!$E$34*$AG792*$AJ792,Paramètres!$F$34),0)</f>
        <v>0</v>
      </c>
      <c r="Y792" s="20" t="n">
        <f aca="false" t="array" ref="Y792:Y792">IF(AND(INDEX(Profils!$S$5:$S$34,$AE792)&gt;0,INDEX(Profils!$AH$5:$AH$34,$AE792)&lt;=$AH792),ROUND(INDEX(Profils!$S$5:$S$34,$AE792)*Paramètres!$E$35*$AG792*$AJ792,Paramètres!$F$35),0)</f>
        <v>0</v>
      </c>
      <c r="Z792" s="21" t="n">
        <f aca="false">ROUND(L792/Paramètres!$E$22+M792/Paramètres!$E$23+N792/Paramètres!$E$24+O792/Paramètres!$E$25+P792/Paramètres!$E$26+Q792/Paramètres!$E$27+R792/Paramètres!$E$28+S792/Paramètres!$E$29+T792/Paramètres!$E$30+U792/Paramètres!$E$31+V792/Paramètres!$E$32+W792/Paramètres!$E$33+X792/Paramètres!$E$34+Y792/Paramètres!$E$35,1)</f>
        <v>2.2</v>
      </c>
      <c r="AA792" s="22" t="s">
        <v>109</v>
      </c>
      <c r="AB792" s="22" t="s">
        <v>109</v>
      </c>
      <c r="AC792" s="15" t="str">
        <f aca="false">$E792</f>
        <v>argent</v>
      </c>
      <c r="AD792" s="16" t="n">
        <f aca="false" t="array" ref="AD792:AD792">IF($I792&gt;=$AI792,"Max",ROUND(Paramètres!$B$40*($I792+1)^Paramètres!$B$41*INDEX(Paramètres!$H$6:$H$12,$AF792),0))</f>
        <v>8</v>
      </c>
      <c r="AE792" s="23" t="n">
        <f aca="false">MATCH($B792&amp;"|"&amp;$C792,Profils!$A$5:$A$34,0)</f>
        <v>26</v>
      </c>
      <c r="AF792" s="23" t="n">
        <v>6</v>
      </c>
      <c r="AG792" s="24" t="n">
        <f aca="false" t="array" ref="AG792:AG792">INDEX(Paramètres!$C$6:$C$12,$AF792)</f>
        <v>2.4</v>
      </c>
      <c r="AH792" s="23" t="n">
        <f aca="false" t="array" ref="AH792:AH792">INDEX(Paramètres!$D$6:$D$12,$AF792)</f>
        <v>7</v>
      </c>
      <c r="AI792" s="23" t="n">
        <f aca="false" t="array" ref="AI792:AI792">INDEX(Matériaux!$C$16:$C$20,$D792)</f>
        <v>20</v>
      </c>
      <c r="AJ792" s="25" t="n">
        <f aca="false">Paramètres!$B$16+(1-Paramètres!$B$16)*(($J792-Paramètres!$B$14)/(Paramètres!$B$15-Paramètres!$B$14))^Paramètres!$B$17</f>
        <v>0.140847925475674</v>
      </c>
    </row>
    <row r="793" customFormat="false" ht="15.75" hidden="false" customHeight="true" outlineLevel="0" collapsed="false">
      <c r="A793" s="14" t="s">
        <v>909</v>
      </c>
      <c r="B793" s="15" t="s">
        <v>31</v>
      </c>
      <c r="C793" s="15" t="s">
        <v>273</v>
      </c>
      <c r="D793" s="16" t="n">
        <v>3</v>
      </c>
      <c r="E793" s="15" t="str">
        <f aca="false" t="array" ref="E793:E793">INDEX(Matériaux!$B$5:$F$12,MATCH(INDEX(Profils!$E$5:$E$34,$AE793),Matériaux!$A$5:$A$12,0),$D793)</f>
        <v>or</v>
      </c>
      <c r="F793" s="17" t="s">
        <v>108</v>
      </c>
      <c r="G793" s="10" t="str">
        <f aca="false" t="array" ref="G793:G793">INDEX(Profils!$D$5:$D$34,$AE793)&amp;" en "&amp;$E793</f>
        <v>Anneau de chasseur en or</v>
      </c>
      <c r="H793" s="16" t="n">
        <f aca="false" t="array" ref="H793:H793">INDEX(Matériaux!$B$16:$B$20,$D793)</f>
        <v>30</v>
      </c>
      <c r="I793" s="16" t="n">
        <f aca="false">IF(ISNUMBER($C$3),MIN(MAX(0,ROUND($C$3,0)),$AI793),$AI793)</f>
        <v>0</v>
      </c>
      <c r="J793" s="18" t="n">
        <f aca="false">$H793+$I793</f>
        <v>30</v>
      </c>
      <c r="K793" s="15" t="s">
        <v>109</v>
      </c>
      <c r="L793" s="19" t="n">
        <f aca="false" t="array" ref="L793:L793">IF(AND(INDEX(Profils!$F$5:$F$34,$AE793)&gt;0,INDEX(Profils!$U$5:$U$34,$AE793)&lt;=$AH793),ROUND(INDEX(Profils!$F$5:$F$34,$AE793)*Paramètres!$E$22*$AG793*$AJ793,Paramètres!$F$22),0)</f>
        <v>0</v>
      </c>
      <c r="M793" s="19" t="n">
        <f aca="false" t="array" ref="M793:M793">IF(AND(INDEX(Profils!$G$5:$G$34,$AE793)&gt;0,INDEX(Profils!$V$5:$V$34,$AE793)&lt;=$AH793),ROUND(INDEX(Profils!$G$5:$G$34,$AE793)*Paramètres!$E$23*$AG793*$AJ793,Paramètres!$F$23),0)</f>
        <v>0</v>
      </c>
      <c r="N793" s="19" t="n">
        <f aca="false" t="array" ref="N793:N793">IF(AND(INDEX(Profils!$H$5:$H$34,$AE793)&gt;0,INDEX(Profils!$W$5:$W$34,$AE793)&lt;=$AH793),ROUND(INDEX(Profils!$H$5:$H$34,$AE793)*Paramètres!$E$24*$AG793*$AJ793,Paramètres!$F$24),0)</f>
        <v>0</v>
      </c>
      <c r="O793" s="19" t="n">
        <f aca="false" t="array" ref="O793:O793">IF(AND(INDEX(Profils!$I$5:$I$34,$AE793)&gt;0,INDEX(Profils!$X$5:$X$34,$AE793)&lt;=$AH793),ROUND(INDEX(Profils!$I$5:$I$34,$AE793)*Paramètres!$E$25*$AG793*$AJ793,Paramètres!$F$25),0)</f>
        <v>0</v>
      </c>
      <c r="P793" s="19" t="n">
        <f aca="false" t="array" ref="P793:P793">IF(AND(INDEX(Profils!$J$5:$J$34,$AE793)&gt;0,INDEX(Profils!$Y$5:$Y$34,$AE793)&lt;=$AH793),ROUND(INDEX(Profils!$J$5:$J$34,$AE793)*Paramètres!$E$26*$AG793*$AJ793,Paramètres!$F$26),0)</f>
        <v>0</v>
      </c>
      <c r="Q793" s="19" t="n">
        <f aca="false" t="array" ref="Q793:Q793">IF(AND(INDEX(Profils!$K$5:$K$34,$AE793)&gt;0,INDEX(Profils!$Z$5:$Z$34,$AE793)&lt;=$AH793),ROUND(INDEX(Profils!$K$5:$K$34,$AE793)*Paramètres!$E$27*$AG793*$AJ793,Paramètres!$F$27),0)</f>
        <v>0</v>
      </c>
      <c r="R793" s="20" t="n">
        <f aca="false" t="array" ref="R793:R793">IF(AND(INDEX(Profils!$L$5:$L$34,$AE793)&gt;0,INDEX(Profils!$AA$5:$AA$34,$AE793)&lt;=$AH793),ROUND(INDEX(Profils!$L$5:$L$34,$AE793)*Paramètres!$E$28*$AG793*$AJ793,Paramètres!$F$28),0)</f>
        <v>0</v>
      </c>
      <c r="S793" s="20" t="n">
        <f aca="false" t="array" ref="S793:S793">IF(AND(INDEX(Profils!$M$5:$M$34,$AE793)&gt;0,INDEX(Profils!$AB$5:$AB$34,$AE793)&lt;=$AH793),ROUND(INDEX(Profils!$M$5:$M$34,$AE793)*Paramètres!$E$29*$AG793*$AJ793,Paramètres!$F$29),0)</f>
        <v>0.004</v>
      </c>
      <c r="T793" s="20" t="n">
        <f aca="false" t="array" ref="T793:T793">IF(AND(INDEX(Profils!$N$5:$N$34,$AE793)&gt;0,INDEX(Profils!$AC$5:$AC$34,$AE793)&lt;=$AH793),ROUND(INDEX(Profils!$N$5:$N$34,$AE793)*Paramètres!$E$30*$AG793*$AJ793,Paramètres!$F$30),0)</f>
        <v>0.01</v>
      </c>
      <c r="U793" s="19" t="n">
        <f aca="false" t="array" ref="U793:U793">IF(AND(INDEX(Profils!$O$5:$O$34,$AE793)&gt;0,INDEX(Profils!$AD$5:$AD$34,$AE793)&lt;=$AH793),ROUND(INDEX(Profils!$O$5:$O$34,$AE793)*Paramètres!$E$31*$AG793*$AJ793,Paramètres!$F$31),0)</f>
        <v>0</v>
      </c>
      <c r="V793" s="20" t="n">
        <f aca="false" t="array" ref="V793:V793">IF(AND(INDEX(Profils!$P$5:$P$34,$AE793)&gt;0,INDEX(Profils!$AE$5:$AE$34,$AE793)&lt;=$AH793),ROUND(INDEX(Profils!$P$5:$P$34,$AE793)*Paramètres!$E$32*$AG793*$AJ793,Paramètres!$F$32),0)</f>
        <v>0</v>
      </c>
      <c r="W793" s="20" t="n">
        <f aca="false" t="array" ref="W793:W793">IF(AND(INDEX(Profils!$Q$5:$Q$34,$AE793)&gt;0,INDEX(Profils!$AF$5:$AF$34,$AE793)&lt;=$AH793),ROUND(INDEX(Profils!$Q$5:$Q$34,$AE793)*Paramètres!$E$33*$AG793*$AJ793,Paramètres!$F$33),0)</f>
        <v>0</v>
      </c>
      <c r="X793" s="20" t="n">
        <f aca="false" t="array" ref="X793:X793">IF(AND(INDEX(Profils!$R$5:$R$34,$AE793)&gt;0,INDEX(Profils!$AG$5:$AG$34,$AE793)&lt;=$AH793),ROUND(INDEX(Profils!$R$5:$R$34,$AE793)*Paramètres!$E$34*$AG793*$AJ793,Paramètres!$F$34),0)</f>
        <v>0</v>
      </c>
      <c r="Y793" s="20" t="n">
        <f aca="false" t="array" ref="Y793:Y793">IF(AND(INDEX(Profils!$S$5:$S$34,$AE793)&gt;0,INDEX(Profils!$AH$5:$AH$34,$AE793)&lt;=$AH793),ROUND(INDEX(Profils!$S$5:$S$34,$AE793)*Paramètres!$E$35*$AG793*$AJ793,Paramètres!$F$35),0)</f>
        <v>0</v>
      </c>
      <c r="Z793" s="21" t="n">
        <f aca="false">ROUND(L793/Paramètres!$E$22+M793/Paramètres!$E$23+N793/Paramètres!$E$24+O793/Paramètres!$E$25+P793/Paramètres!$E$26+Q793/Paramètres!$E$27+R793/Paramètres!$E$28+S793/Paramètres!$E$29+T793/Paramètres!$E$30+U793/Paramètres!$E$31+V793/Paramètres!$E$32+W793/Paramètres!$E$33+X793/Paramètres!$E$34+Y793/Paramètres!$E$35,1)</f>
        <v>0.7</v>
      </c>
      <c r="AA793" s="22" t="s">
        <v>109</v>
      </c>
      <c r="AB793" s="22" t="s">
        <v>109</v>
      </c>
      <c r="AC793" s="15" t="str">
        <f aca="false">$E793</f>
        <v>or</v>
      </c>
      <c r="AD793" s="16" t="n">
        <f aca="false" t="array" ref="AD793:AD793">IF($I793&gt;=$AI793,"Max",ROUND(Paramètres!$B$40*($I793+1)^Paramètres!$B$41*INDEX(Paramètres!$H$6:$H$12,$AF793),0))</f>
        <v>3</v>
      </c>
      <c r="AE793" s="23" t="n">
        <f aca="false">MATCH($B793&amp;"|"&amp;$C793,Profils!$A$5:$A$34,0)</f>
        <v>26</v>
      </c>
      <c r="AF793" s="23" t="n">
        <v>1</v>
      </c>
      <c r="AG793" s="24" t="n">
        <f aca="false" t="array" ref="AG793:AG793">INDEX(Paramètres!$C$6:$C$12,$AF793)</f>
        <v>1</v>
      </c>
      <c r="AH793" s="23" t="n">
        <f aca="false" t="array" ref="AH793:AH793">INDEX(Paramètres!$D$6:$D$12,$AF793)</f>
        <v>2</v>
      </c>
      <c r="AI793" s="23" t="n">
        <f aca="false" t="array" ref="AI793:AI793">INDEX(Matériaux!$C$16:$C$20,$D793)</f>
        <v>25</v>
      </c>
      <c r="AJ793" s="25" t="n">
        <f aca="false">Paramètres!$B$16+(1-Paramètres!$B$16)*(($J793-Paramètres!$B$14)/(Paramètres!$B$15-Paramètres!$B$14))^Paramètres!$B$17</f>
        <v>0.26769024555533</v>
      </c>
    </row>
    <row r="794" customFormat="false" ht="15.75" hidden="false" customHeight="true" outlineLevel="0" collapsed="false">
      <c r="A794" s="14" t="s">
        <v>910</v>
      </c>
      <c r="B794" s="15" t="s">
        <v>31</v>
      </c>
      <c r="C794" s="15" t="s">
        <v>273</v>
      </c>
      <c r="D794" s="16" t="n">
        <v>3</v>
      </c>
      <c r="E794" s="15" t="str">
        <f aca="false" t="array" ref="E794:E794">INDEX(Matériaux!$B$5:$F$12,MATCH(INDEX(Profils!$E$5:$E$34,$AE794),Matériaux!$A$5:$A$12,0),$D794)</f>
        <v>or</v>
      </c>
      <c r="F794" s="26" t="s">
        <v>111</v>
      </c>
      <c r="G794" s="10" t="str">
        <f aca="false" t="array" ref="G794:G794">INDEX(Profils!$D$5:$D$34,$AE794)&amp;" en "&amp;$E794</f>
        <v>Anneau de chasseur en or</v>
      </c>
      <c r="H794" s="16" t="n">
        <f aca="false" t="array" ref="H794:H794">INDEX(Matériaux!$B$16:$B$20,$D794)</f>
        <v>30</v>
      </c>
      <c r="I794" s="16" t="n">
        <f aca="false">IF(ISNUMBER($C$3),MIN(MAX(0,ROUND($C$3,0)),$AI794),$AI794)</f>
        <v>0</v>
      </c>
      <c r="J794" s="18" t="n">
        <f aca="false">$H794+$I794</f>
        <v>30</v>
      </c>
      <c r="K794" s="15" t="s">
        <v>109</v>
      </c>
      <c r="L794" s="19" t="n">
        <f aca="false" t="array" ref="L794:L794">IF(AND(INDEX(Profils!$F$5:$F$34,$AE794)&gt;0,INDEX(Profils!$U$5:$U$34,$AE794)&lt;=$AH794),ROUND(INDEX(Profils!$F$5:$F$34,$AE794)*Paramètres!$E$22*$AG794*$AJ794,Paramètres!$F$22),0)</f>
        <v>0</v>
      </c>
      <c r="M794" s="19" t="n">
        <f aca="false" t="array" ref="M794:M794">IF(AND(INDEX(Profils!$G$5:$G$34,$AE794)&gt;0,INDEX(Profils!$V$5:$V$34,$AE794)&lt;=$AH794),ROUND(INDEX(Profils!$G$5:$G$34,$AE794)*Paramètres!$E$23*$AG794*$AJ794,Paramètres!$F$23),0)</f>
        <v>0</v>
      </c>
      <c r="N794" s="19" t="n">
        <f aca="false" t="array" ref="N794:N794">IF(AND(INDEX(Profils!$H$5:$H$34,$AE794)&gt;0,INDEX(Profils!$W$5:$W$34,$AE794)&lt;=$AH794),ROUND(INDEX(Profils!$H$5:$H$34,$AE794)*Paramètres!$E$24*$AG794*$AJ794,Paramètres!$F$24),0)</f>
        <v>0</v>
      </c>
      <c r="O794" s="19" t="n">
        <f aca="false" t="array" ref="O794:O794">IF(AND(INDEX(Profils!$I$5:$I$34,$AE794)&gt;0,INDEX(Profils!$X$5:$X$34,$AE794)&lt;=$AH794),ROUND(INDEX(Profils!$I$5:$I$34,$AE794)*Paramètres!$E$25*$AG794*$AJ794,Paramètres!$F$25),0)</f>
        <v>0</v>
      </c>
      <c r="P794" s="19" t="n">
        <f aca="false" t="array" ref="P794:P794">IF(AND(INDEX(Profils!$J$5:$J$34,$AE794)&gt;0,INDEX(Profils!$Y$5:$Y$34,$AE794)&lt;=$AH794),ROUND(INDEX(Profils!$J$5:$J$34,$AE794)*Paramètres!$E$26*$AG794*$AJ794,Paramètres!$F$26),0)</f>
        <v>0</v>
      </c>
      <c r="Q794" s="19" t="n">
        <f aca="false" t="array" ref="Q794:Q794">IF(AND(INDEX(Profils!$K$5:$K$34,$AE794)&gt;0,INDEX(Profils!$Z$5:$Z$34,$AE794)&lt;=$AH794),ROUND(INDEX(Profils!$K$5:$K$34,$AE794)*Paramètres!$E$27*$AG794*$AJ794,Paramètres!$F$27),0)</f>
        <v>0</v>
      </c>
      <c r="R794" s="20" t="n">
        <f aca="false" t="array" ref="R794:R794">IF(AND(INDEX(Profils!$L$5:$L$34,$AE794)&gt;0,INDEX(Profils!$AA$5:$AA$34,$AE794)&lt;=$AH794),ROUND(INDEX(Profils!$L$5:$L$34,$AE794)*Paramètres!$E$28*$AG794*$AJ794,Paramètres!$F$28),0)</f>
        <v>0.005</v>
      </c>
      <c r="S794" s="20" t="n">
        <f aca="false" t="array" ref="S794:S794">IF(AND(INDEX(Profils!$M$5:$M$34,$AE794)&gt;0,INDEX(Profils!$AB$5:$AB$34,$AE794)&lt;=$AH794),ROUND(INDEX(Profils!$M$5:$M$34,$AE794)*Paramètres!$E$29*$AG794*$AJ794,Paramètres!$F$29),0)</f>
        <v>0.005</v>
      </c>
      <c r="T794" s="20" t="n">
        <f aca="false" t="array" ref="T794:T794">IF(AND(INDEX(Profils!$N$5:$N$34,$AE794)&gt;0,INDEX(Profils!$AC$5:$AC$34,$AE794)&lt;=$AH794),ROUND(INDEX(Profils!$N$5:$N$34,$AE794)*Paramètres!$E$30*$AG794*$AJ794,Paramètres!$F$30),0)</f>
        <v>0.012</v>
      </c>
      <c r="U794" s="19" t="n">
        <f aca="false" t="array" ref="U794:U794">IF(AND(INDEX(Profils!$O$5:$O$34,$AE794)&gt;0,INDEX(Profils!$AD$5:$AD$34,$AE794)&lt;=$AH794),ROUND(INDEX(Profils!$O$5:$O$34,$AE794)*Paramètres!$E$31*$AG794*$AJ794,Paramètres!$F$31),0)</f>
        <v>0</v>
      </c>
      <c r="V794" s="20" t="n">
        <f aca="false" t="array" ref="V794:V794">IF(AND(INDEX(Profils!$P$5:$P$34,$AE794)&gt;0,INDEX(Profils!$AE$5:$AE$34,$AE794)&lt;=$AH794),ROUND(INDEX(Profils!$P$5:$P$34,$AE794)*Paramètres!$E$32*$AG794*$AJ794,Paramètres!$F$32),0)</f>
        <v>0</v>
      </c>
      <c r="W794" s="20" t="n">
        <f aca="false" t="array" ref="W794:W794">IF(AND(INDEX(Profils!$Q$5:$Q$34,$AE794)&gt;0,INDEX(Profils!$AF$5:$AF$34,$AE794)&lt;=$AH794),ROUND(INDEX(Profils!$Q$5:$Q$34,$AE794)*Paramètres!$E$33*$AG794*$AJ794,Paramètres!$F$33),0)</f>
        <v>0</v>
      </c>
      <c r="X794" s="20" t="n">
        <f aca="false" t="array" ref="X794:X794">IF(AND(INDEX(Profils!$R$5:$R$34,$AE794)&gt;0,INDEX(Profils!$AG$5:$AG$34,$AE794)&lt;=$AH794),ROUND(INDEX(Profils!$R$5:$R$34,$AE794)*Paramètres!$E$34*$AG794*$AJ794,Paramètres!$F$34),0)</f>
        <v>0</v>
      </c>
      <c r="Y794" s="20" t="n">
        <f aca="false" t="array" ref="Y794:Y794">IF(AND(INDEX(Profils!$S$5:$S$34,$AE794)&gt;0,INDEX(Profils!$AH$5:$AH$34,$AE794)&lt;=$AH794),ROUND(INDEX(Profils!$S$5:$S$34,$AE794)*Paramètres!$E$35*$AG794*$AJ794,Paramètres!$F$35),0)</f>
        <v>0</v>
      </c>
      <c r="Z794" s="21" t="n">
        <f aca="false">ROUND(L794/Paramètres!$E$22+M794/Paramètres!$E$23+N794/Paramètres!$E$24+O794/Paramètres!$E$25+P794/Paramètres!$E$26+Q794/Paramètres!$E$27+R794/Paramètres!$E$28+S794/Paramètres!$E$29+T794/Paramètres!$E$30+U794/Paramètres!$E$31+V794/Paramètres!$E$32+W794/Paramètres!$E$33+X794/Paramètres!$E$34+Y794/Paramètres!$E$35,1)</f>
        <v>1.2</v>
      </c>
      <c r="AA794" s="22" t="s">
        <v>109</v>
      </c>
      <c r="AB794" s="22" t="s">
        <v>109</v>
      </c>
      <c r="AC794" s="15" t="str">
        <f aca="false">$E794</f>
        <v>or</v>
      </c>
      <c r="AD794" s="16" t="n">
        <f aca="false" t="array" ref="AD794:AD794">IF($I794&gt;=$AI794,"Max",ROUND(Paramètres!$B$40*($I794+1)^Paramètres!$B$41*INDEX(Paramètres!$H$6:$H$12,$AF794),0))</f>
        <v>4</v>
      </c>
      <c r="AE794" s="23" t="n">
        <f aca="false">MATCH($B794&amp;"|"&amp;$C794,Profils!$A$5:$A$34,0)</f>
        <v>26</v>
      </c>
      <c r="AF794" s="23" t="n">
        <v>2</v>
      </c>
      <c r="AG794" s="24" t="n">
        <f aca="false" t="array" ref="AG794:AG794">INDEX(Paramètres!$C$6:$C$12,$AF794)</f>
        <v>1.2</v>
      </c>
      <c r="AH794" s="23" t="n">
        <f aca="false" t="array" ref="AH794:AH794">INDEX(Paramètres!$D$6:$D$12,$AF794)</f>
        <v>3</v>
      </c>
      <c r="AI794" s="23" t="n">
        <f aca="false" t="array" ref="AI794:AI794">INDEX(Matériaux!$C$16:$C$20,$D794)</f>
        <v>25</v>
      </c>
      <c r="AJ794" s="25" t="n">
        <f aca="false">Paramètres!$B$16+(1-Paramètres!$B$16)*(($J794-Paramètres!$B$14)/(Paramètres!$B$15-Paramètres!$B$14))^Paramètres!$B$17</f>
        <v>0.26769024555533</v>
      </c>
    </row>
    <row r="795" customFormat="false" ht="15.75" hidden="false" customHeight="true" outlineLevel="0" collapsed="false">
      <c r="A795" s="14" t="s">
        <v>911</v>
      </c>
      <c r="B795" s="15" t="s">
        <v>31</v>
      </c>
      <c r="C795" s="15" t="s">
        <v>273</v>
      </c>
      <c r="D795" s="16" t="n">
        <v>3</v>
      </c>
      <c r="E795" s="15" t="str">
        <f aca="false" t="array" ref="E795:E795">INDEX(Matériaux!$B$5:$F$12,MATCH(INDEX(Profils!$E$5:$E$34,$AE795),Matériaux!$A$5:$A$12,0),$D795)</f>
        <v>or</v>
      </c>
      <c r="F795" s="27" t="s">
        <v>113</v>
      </c>
      <c r="G795" s="10" t="str">
        <f aca="false" t="array" ref="G795:G795">INDEX(Profils!$D$5:$D$34,$AE795)&amp;" en "&amp;$E795</f>
        <v>Anneau de chasseur en or</v>
      </c>
      <c r="H795" s="16" t="n">
        <f aca="false" t="array" ref="H795:H795">INDEX(Matériaux!$B$16:$B$20,$D795)</f>
        <v>30</v>
      </c>
      <c r="I795" s="16" t="n">
        <f aca="false">IF(ISNUMBER($C$3),MIN(MAX(0,ROUND($C$3,0)),$AI795),$AI795)</f>
        <v>0</v>
      </c>
      <c r="J795" s="18" t="n">
        <f aca="false">$H795+$I795</f>
        <v>30</v>
      </c>
      <c r="K795" s="15" t="s">
        <v>109</v>
      </c>
      <c r="L795" s="19" t="n">
        <f aca="false" t="array" ref="L795:L795">IF(AND(INDEX(Profils!$F$5:$F$34,$AE795)&gt;0,INDEX(Profils!$U$5:$U$34,$AE795)&lt;=$AH795),ROUND(INDEX(Profils!$F$5:$F$34,$AE795)*Paramètres!$E$22*$AG795*$AJ795,Paramètres!$F$22),0)</f>
        <v>0</v>
      </c>
      <c r="M795" s="19" t="n">
        <f aca="false" t="array" ref="M795:M795">IF(AND(INDEX(Profils!$G$5:$G$34,$AE795)&gt;0,INDEX(Profils!$V$5:$V$34,$AE795)&lt;=$AH795),ROUND(INDEX(Profils!$G$5:$G$34,$AE795)*Paramètres!$E$23*$AG795*$AJ795,Paramètres!$F$23),0)</f>
        <v>0</v>
      </c>
      <c r="N795" s="19" t="n">
        <f aca="false" t="array" ref="N795:N795">IF(AND(INDEX(Profils!$H$5:$H$34,$AE795)&gt;0,INDEX(Profils!$W$5:$W$34,$AE795)&lt;=$AH795),ROUND(INDEX(Profils!$H$5:$H$34,$AE795)*Paramètres!$E$24*$AG795*$AJ795,Paramètres!$F$24),0)</f>
        <v>0</v>
      </c>
      <c r="O795" s="19" t="n">
        <f aca="false" t="array" ref="O795:O795">IF(AND(INDEX(Profils!$I$5:$I$34,$AE795)&gt;0,INDEX(Profils!$X$5:$X$34,$AE795)&lt;=$AH795),ROUND(INDEX(Profils!$I$5:$I$34,$AE795)*Paramètres!$E$25*$AG795*$AJ795,Paramètres!$F$25),0)</f>
        <v>0</v>
      </c>
      <c r="P795" s="19" t="n">
        <f aca="false" t="array" ref="P795:P795">IF(AND(INDEX(Profils!$J$5:$J$34,$AE795)&gt;0,INDEX(Profils!$Y$5:$Y$34,$AE795)&lt;=$AH795),ROUND(INDEX(Profils!$J$5:$J$34,$AE795)*Paramètres!$E$26*$AG795*$AJ795,Paramètres!$F$26),0)</f>
        <v>0</v>
      </c>
      <c r="Q795" s="19" t="n">
        <f aca="false" t="array" ref="Q795:Q795">IF(AND(INDEX(Profils!$K$5:$K$34,$AE795)&gt;0,INDEX(Profils!$Z$5:$Z$34,$AE795)&lt;=$AH795),ROUND(INDEX(Profils!$K$5:$K$34,$AE795)*Paramètres!$E$27*$AG795*$AJ795,Paramètres!$F$27),0)</f>
        <v>0</v>
      </c>
      <c r="R795" s="20" t="n">
        <f aca="false" t="array" ref="R795:R795">IF(AND(INDEX(Profils!$L$5:$L$34,$AE795)&gt;0,INDEX(Profils!$AA$5:$AA$34,$AE795)&lt;=$AH795),ROUND(INDEX(Profils!$L$5:$L$34,$AE795)*Paramètres!$E$28*$AG795*$AJ795,Paramètres!$F$28),0)</f>
        <v>0.006</v>
      </c>
      <c r="S795" s="20" t="n">
        <f aca="false" t="array" ref="S795:S795">IF(AND(INDEX(Profils!$M$5:$M$34,$AE795)&gt;0,INDEX(Profils!$AB$5:$AB$34,$AE795)&lt;=$AH795),ROUND(INDEX(Profils!$M$5:$M$34,$AE795)*Paramètres!$E$29*$AG795*$AJ795,Paramètres!$F$29),0)</f>
        <v>0.006</v>
      </c>
      <c r="T795" s="20" t="n">
        <f aca="false" t="array" ref="T795:T795">IF(AND(INDEX(Profils!$N$5:$N$34,$AE795)&gt;0,INDEX(Profils!$AC$5:$AC$34,$AE795)&lt;=$AH795),ROUND(INDEX(Profils!$N$5:$N$34,$AE795)*Paramètres!$E$30*$AG795*$AJ795,Paramètres!$F$30),0)</f>
        <v>0.014</v>
      </c>
      <c r="U795" s="19" t="n">
        <f aca="false" t="array" ref="U795:U795">IF(AND(INDEX(Profils!$O$5:$O$34,$AE795)&gt;0,INDEX(Profils!$AD$5:$AD$34,$AE795)&lt;=$AH795),ROUND(INDEX(Profils!$O$5:$O$34,$AE795)*Paramètres!$E$31*$AG795*$AJ795,Paramètres!$F$31),0)</f>
        <v>0</v>
      </c>
      <c r="V795" s="20" t="n">
        <f aca="false" t="array" ref="V795:V795">IF(AND(INDEX(Profils!$P$5:$P$34,$AE795)&gt;0,INDEX(Profils!$AE$5:$AE$34,$AE795)&lt;=$AH795),ROUND(INDEX(Profils!$P$5:$P$34,$AE795)*Paramètres!$E$32*$AG795*$AJ795,Paramètres!$F$32),0)</f>
        <v>0.006</v>
      </c>
      <c r="W795" s="20" t="n">
        <f aca="false" t="array" ref="W795:W795">IF(AND(INDEX(Profils!$Q$5:$Q$34,$AE795)&gt;0,INDEX(Profils!$AF$5:$AF$34,$AE795)&lt;=$AH795),ROUND(INDEX(Profils!$Q$5:$Q$34,$AE795)*Paramètres!$E$33*$AG795*$AJ795,Paramètres!$F$33),0)</f>
        <v>0</v>
      </c>
      <c r="X795" s="20" t="n">
        <f aca="false" t="array" ref="X795:X795">IF(AND(INDEX(Profils!$R$5:$R$34,$AE795)&gt;0,INDEX(Profils!$AG$5:$AG$34,$AE795)&lt;=$AH795),ROUND(INDEX(Profils!$R$5:$R$34,$AE795)*Paramètres!$E$34*$AG795*$AJ795,Paramètres!$F$34),0)</f>
        <v>0</v>
      </c>
      <c r="Y795" s="20" t="n">
        <f aca="false" t="array" ref="Y795:Y795">IF(AND(INDEX(Profils!$S$5:$S$34,$AE795)&gt;0,INDEX(Profils!$AH$5:$AH$34,$AE795)&lt;=$AH795),ROUND(INDEX(Profils!$S$5:$S$34,$AE795)*Paramètres!$E$35*$AG795*$AJ795,Paramètres!$F$35),0)</f>
        <v>0</v>
      </c>
      <c r="Z795" s="21" t="n">
        <f aca="false">ROUND(L795/Paramètres!$E$22+M795/Paramètres!$E$23+N795/Paramètres!$E$24+O795/Paramètres!$E$25+P795/Paramètres!$E$26+Q795/Paramètres!$E$27+R795/Paramètres!$E$28+S795/Paramètres!$E$29+T795/Paramètres!$E$30+U795/Paramètres!$E$31+V795/Paramètres!$E$32+W795/Paramètres!$E$33+X795/Paramètres!$E$34+Y795/Paramètres!$E$35,1)</f>
        <v>1.8</v>
      </c>
      <c r="AA795" s="22" t="s">
        <v>109</v>
      </c>
      <c r="AB795" s="22" t="s">
        <v>109</v>
      </c>
      <c r="AC795" s="15" t="str">
        <f aca="false">$E795</f>
        <v>or</v>
      </c>
      <c r="AD795" s="16" t="n">
        <f aca="false" t="array" ref="AD795:AD795">IF($I795&gt;=$AI795,"Max",ROUND(Paramètres!$B$40*($I795+1)^Paramètres!$B$41*INDEX(Paramètres!$H$6:$H$12,$AF795),0))</f>
        <v>4</v>
      </c>
      <c r="AE795" s="23" t="n">
        <f aca="false">MATCH($B795&amp;"|"&amp;$C795,Profils!$A$5:$A$34,0)</f>
        <v>26</v>
      </c>
      <c r="AF795" s="23" t="n">
        <v>3</v>
      </c>
      <c r="AG795" s="24" t="n">
        <f aca="false" t="array" ref="AG795:AG795">INDEX(Paramètres!$C$6:$C$12,$AF795)</f>
        <v>1.45</v>
      </c>
      <c r="AH795" s="23" t="n">
        <f aca="false" t="array" ref="AH795:AH795">INDEX(Paramètres!$D$6:$D$12,$AF795)</f>
        <v>4</v>
      </c>
      <c r="AI795" s="23" t="n">
        <f aca="false" t="array" ref="AI795:AI795">INDEX(Matériaux!$C$16:$C$20,$D795)</f>
        <v>25</v>
      </c>
      <c r="AJ795" s="25" t="n">
        <f aca="false">Paramètres!$B$16+(1-Paramètres!$B$16)*(($J795-Paramètres!$B$14)/(Paramètres!$B$15-Paramètres!$B$14))^Paramètres!$B$17</f>
        <v>0.26769024555533</v>
      </c>
    </row>
    <row r="796" customFormat="false" ht="15.75" hidden="false" customHeight="true" outlineLevel="0" collapsed="false">
      <c r="A796" s="14" t="s">
        <v>912</v>
      </c>
      <c r="B796" s="15" t="s">
        <v>31</v>
      </c>
      <c r="C796" s="15" t="s">
        <v>273</v>
      </c>
      <c r="D796" s="16" t="n">
        <v>3</v>
      </c>
      <c r="E796" s="15" t="str">
        <f aca="false" t="array" ref="E796:E796">INDEX(Matériaux!$B$5:$F$12,MATCH(INDEX(Profils!$E$5:$E$34,$AE796),Matériaux!$A$5:$A$12,0),$D796)</f>
        <v>or</v>
      </c>
      <c r="F796" s="28" t="s">
        <v>115</v>
      </c>
      <c r="G796" s="10" t="str">
        <f aca="false" t="array" ref="G796:G796">INDEX(Profils!$D$5:$D$34,$AE796)&amp;" en "&amp;$E796</f>
        <v>Anneau de chasseur en or</v>
      </c>
      <c r="H796" s="16" t="n">
        <f aca="false" t="array" ref="H796:H796">INDEX(Matériaux!$B$16:$B$20,$D796)</f>
        <v>30</v>
      </c>
      <c r="I796" s="16" t="n">
        <f aca="false">IF(ISNUMBER($C$3),MIN(MAX(0,ROUND($C$3,0)),$AI796),$AI796)</f>
        <v>0</v>
      </c>
      <c r="J796" s="18" t="n">
        <f aca="false">$H796+$I796</f>
        <v>30</v>
      </c>
      <c r="K796" s="15" t="s">
        <v>109</v>
      </c>
      <c r="L796" s="19" t="n">
        <f aca="false" t="array" ref="L796:L796">IF(AND(INDEX(Profils!$F$5:$F$34,$AE796)&gt;0,INDEX(Profils!$U$5:$U$34,$AE796)&lt;=$AH796),ROUND(INDEX(Profils!$F$5:$F$34,$AE796)*Paramètres!$E$22*$AG796*$AJ796,Paramètres!$F$22),0)</f>
        <v>0</v>
      </c>
      <c r="M796" s="19" t="n">
        <f aca="false" t="array" ref="M796:M796">IF(AND(INDEX(Profils!$G$5:$G$34,$AE796)&gt;0,INDEX(Profils!$V$5:$V$34,$AE796)&lt;=$AH796),ROUND(INDEX(Profils!$G$5:$G$34,$AE796)*Paramètres!$E$23*$AG796*$AJ796,Paramètres!$F$23),0)</f>
        <v>0</v>
      </c>
      <c r="N796" s="19" t="n">
        <f aca="false" t="array" ref="N796:N796">IF(AND(INDEX(Profils!$H$5:$H$34,$AE796)&gt;0,INDEX(Profils!$W$5:$W$34,$AE796)&lt;=$AH796),ROUND(INDEX(Profils!$H$5:$H$34,$AE796)*Paramètres!$E$24*$AG796*$AJ796,Paramètres!$F$24),0)</f>
        <v>0</v>
      </c>
      <c r="O796" s="19" t="n">
        <f aca="false" t="array" ref="O796:O796">IF(AND(INDEX(Profils!$I$5:$I$34,$AE796)&gt;0,INDEX(Profils!$X$5:$X$34,$AE796)&lt;=$AH796),ROUND(INDEX(Profils!$I$5:$I$34,$AE796)*Paramètres!$E$25*$AG796*$AJ796,Paramètres!$F$25),0)</f>
        <v>0</v>
      </c>
      <c r="P796" s="19" t="n">
        <f aca="false" t="array" ref="P796:P796">IF(AND(INDEX(Profils!$J$5:$J$34,$AE796)&gt;0,INDEX(Profils!$Y$5:$Y$34,$AE796)&lt;=$AH796),ROUND(INDEX(Profils!$J$5:$J$34,$AE796)*Paramètres!$E$26*$AG796*$AJ796,Paramètres!$F$26),0)</f>
        <v>5</v>
      </c>
      <c r="Q796" s="19" t="n">
        <f aca="false" t="array" ref="Q796:Q796">IF(AND(INDEX(Profils!$K$5:$K$34,$AE796)&gt;0,INDEX(Profils!$Z$5:$Z$34,$AE796)&lt;=$AH796),ROUND(INDEX(Profils!$K$5:$K$34,$AE796)*Paramètres!$E$27*$AG796*$AJ796,Paramètres!$F$27),0)</f>
        <v>0</v>
      </c>
      <c r="R796" s="20" t="n">
        <f aca="false" t="array" ref="R796:R796">IF(AND(INDEX(Profils!$L$5:$L$34,$AE796)&gt;0,INDEX(Profils!$AA$5:$AA$34,$AE796)&lt;=$AH796),ROUND(INDEX(Profils!$L$5:$L$34,$AE796)*Paramètres!$E$28*$AG796*$AJ796,Paramètres!$F$28),0)</f>
        <v>0.007</v>
      </c>
      <c r="S796" s="20" t="n">
        <f aca="false" t="array" ref="S796:S796">IF(AND(INDEX(Profils!$M$5:$M$34,$AE796)&gt;0,INDEX(Profils!$AB$5:$AB$34,$AE796)&lt;=$AH796),ROUND(INDEX(Profils!$M$5:$M$34,$AE796)*Paramètres!$E$29*$AG796*$AJ796,Paramètres!$F$29),0)</f>
        <v>0.007</v>
      </c>
      <c r="T796" s="20" t="n">
        <f aca="false" t="array" ref="T796:T796">IF(AND(INDEX(Profils!$N$5:$N$34,$AE796)&gt;0,INDEX(Profils!$AC$5:$AC$34,$AE796)&lt;=$AH796),ROUND(INDEX(Profils!$N$5:$N$34,$AE796)*Paramètres!$E$30*$AG796*$AJ796,Paramètres!$F$30),0)</f>
        <v>0.017</v>
      </c>
      <c r="U796" s="19" t="n">
        <f aca="false" t="array" ref="U796:U796">IF(AND(INDEX(Profils!$O$5:$O$34,$AE796)&gt;0,INDEX(Profils!$AD$5:$AD$34,$AE796)&lt;=$AH796),ROUND(INDEX(Profils!$O$5:$O$34,$AE796)*Paramètres!$E$31*$AG796*$AJ796,Paramètres!$F$31),0)</f>
        <v>0</v>
      </c>
      <c r="V796" s="20" t="n">
        <f aca="false" t="array" ref="V796:V796">IF(AND(INDEX(Profils!$P$5:$P$34,$AE796)&gt;0,INDEX(Profils!$AE$5:$AE$34,$AE796)&lt;=$AH796),ROUND(INDEX(Profils!$P$5:$P$34,$AE796)*Paramètres!$E$32*$AG796*$AJ796,Paramètres!$F$32),0)</f>
        <v>0.007</v>
      </c>
      <c r="W796" s="20" t="n">
        <f aca="false" t="array" ref="W796:W796">IF(AND(INDEX(Profils!$Q$5:$Q$34,$AE796)&gt;0,INDEX(Profils!$AF$5:$AF$34,$AE796)&lt;=$AH796),ROUND(INDEX(Profils!$Q$5:$Q$34,$AE796)*Paramètres!$E$33*$AG796*$AJ796,Paramètres!$F$33),0)</f>
        <v>0</v>
      </c>
      <c r="X796" s="20" t="n">
        <f aca="false" t="array" ref="X796:X796">IF(AND(INDEX(Profils!$R$5:$R$34,$AE796)&gt;0,INDEX(Profils!$AG$5:$AG$34,$AE796)&lt;=$AH796),ROUND(INDEX(Profils!$R$5:$R$34,$AE796)*Paramètres!$E$34*$AG796*$AJ796,Paramètres!$F$34),0)</f>
        <v>0</v>
      </c>
      <c r="Y796" s="20" t="n">
        <f aca="false" t="array" ref="Y796:Y796">IF(AND(INDEX(Profils!$S$5:$S$34,$AE796)&gt;0,INDEX(Profils!$AH$5:$AH$34,$AE796)&lt;=$AH796),ROUND(INDEX(Profils!$S$5:$S$34,$AE796)*Paramètres!$E$35*$AG796*$AJ796,Paramètres!$F$35),0)</f>
        <v>0</v>
      </c>
      <c r="Z796" s="21" t="n">
        <f aca="false">ROUND(L796/Paramètres!$E$22+M796/Paramètres!$E$23+N796/Paramètres!$E$24+O796/Paramètres!$E$25+P796/Paramètres!$E$26+Q796/Paramètres!$E$27+R796/Paramètres!$E$28+S796/Paramètres!$E$29+T796/Paramètres!$E$30+U796/Paramètres!$E$31+V796/Paramètres!$E$32+W796/Paramètres!$E$33+X796/Paramètres!$E$34+Y796/Paramètres!$E$35,1)</f>
        <v>2.5</v>
      </c>
      <c r="AA796" s="22" t="s">
        <v>109</v>
      </c>
      <c r="AB796" s="22" t="s">
        <v>109</v>
      </c>
      <c r="AC796" s="15" t="str">
        <f aca="false">$E796</f>
        <v>or</v>
      </c>
      <c r="AD796" s="16" t="n">
        <f aca="false" t="array" ref="AD796:AD796">IF($I796&gt;=$AI796,"Max",ROUND(Paramètres!$B$40*($I796+1)^Paramètres!$B$41*INDEX(Paramètres!$H$6:$H$12,$AF796),0))</f>
        <v>5</v>
      </c>
      <c r="AE796" s="23" t="n">
        <f aca="false">MATCH($B796&amp;"|"&amp;$C796,Profils!$A$5:$A$34,0)</f>
        <v>26</v>
      </c>
      <c r="AF796" s="23" t="n">
        <v>4</v>
      </c>
      <c r="AG796" s="24" t="n">
        <f aca="false" t="array" ref="AG796:AG796">INDEX(Paramètres!$C$6:$C$12,$AF796)</f>
        <v>1.75</v>
      </c>
      <c r="AH796" s="23" t="n">
        <f aca="false" t="array" ref="AH796:AH796">INDEX(Paramètres!$D$6:$D$12,$AF796)</f>
        <v>5</v>
      </c>
      <c r="AI796" s="23" t="n">
        <f aca="false" t="array" ref="AI796:AI796">INDEX(Matériaux!$C$16:$C$20,$D796)</f>
        <v>25</v>
      </c>
      <c r="AJ796" s="25" t="n">
        <f aca="false">Paramètres!$B$16+(1-Paramètres!$B$16)*(($J796-Paramètres!$B$14)/(Paramètres!$B$15-Paramètres!$B$14))^Paramètres!$B$17</f>
        <v>0.26769024555533</v>
      </c>
    </row>
    <row r="797" customFormat="false" ht="15.75" hidden="false" customHeight="true" outlineLevel="0" collapsed="false">
      <c r="A797" s="14" t="s">
        <v>913</v>
      </c>
      <c r="B797" s="15" t="s">
        <v>31</v>
      </c>
      <c r="C797" s="15" t="s">
        <v>273</v>
      </c>
      <c r="D797" s="16" t="n">
        <v>3</v>
      </c>
      <c r="E797" s="15" t="str">
        <f aca="false" t="array" ref="E797:E797">INDEX(Matériaux!$B$5:$F$12,MATCH(INDEX(Profils!$E$5:$E$34,$AE797),Matériaux!$A$5:$A$12,0),$D797)</f>
        <v>or</v>
      </c>
      <c r="F797" s="29" t="s">
        <v>117</v>
      </c>
      <c r="G797" s="10" t="str">
        <f aca="false" t="array" ref="G797:G797">INDEX(Profils!$D$5:$D$34,$AE797)&amp;" en "&amp;$E797</f>
        <v>Anneau de chasseur en or</v>
      </c>
      <c r="H797" s="16" t="n">
        <f aca="false" t="array" ref="H797:H797">INDEX(Matériaux!$B$16:$B$20,$D797)</f>
        <v>30</v>
      </c>
      <c r="I797" s="16" t="n">
        <f aca="false">IF(ISNUMBER($C$3),MIN(MAX(0,ROUND($C$3,0)),$AI797),$AI797)</f>
        <v>0</v>
      </c>
      <c r="J797" s="18" t="n">
        <f aca="false">$H797+$I797</f>
        <v>30</v>
      </c>
      <c r="K797" s="15" t="s">
        <v>109</v>
      </c>
      <c r="L797" s="19" t="n">
        <f aca="false" t="array" ref="L797:L797">IF(AND(INDEX(Profils!$F$5:$F$34,$AE797)&gt;0,INDEX(Profils!$U$5:$U$34,$AE797)&lt;=$AH797),ROUND(INDEX(Profils!$F$5:$F$34,$AE797)*Paramètres!$E$22*$AG797*$AJ797,Paramètres!$F$22),0)</f>
        <v>8</v>
      </c>
      <c r="M797" s="19" t="n">
        <f aca="false" t="array" ref="M797:M797">IF(AND(INDEX(Profils!$G$5:$G$34,$AE797)&gt;0,INDEX(Profils!$V$5:$V$34,$AE797)&lt;=$AH797),ROUND(INDEX(Profils!$G$5:$G$34,$AE797)*Paramètres!$E$23*$AG797*$AJ797,Paramètres!$F$23),0)</f>
        <v>0</v>
      </c>
      <c r="N797" s="19" t="n">
        <f aca="false" t="array" ref="N797:N797">IF(AND(INDEX(Profils!$H$5:$H$34,$AE797)&gt;0,INDEX(Profils!$W$5:$W$34,$AE797)&lt;=$AH797),ROUND(INDEX(Profils!$H$5:$H$34,$AE797)*Paramètres!$E$24*$AG797*$AJ797,Paramètres!$F$24),0)</f>
        <v>0</v>
      </c>
      <c r="O797" s="19" t="n">
        <f aca="false" t="array" ref="O797:O797">IF(AND(INDEX(Profils!$I$5:$I$34,$AE797)&gt;0,INDEX(Profils!$X$5:$X$34,$AE797)&lt;=$AH797),ROUND(INDEX(Profils!$I$5:$I$34,$AE797)*Paramètres!$E$25*$AG797*$AJ797,Paramètres!$F$25),0)</f>
        <v>0</v>
      </c>
      <c r="P797" s="19" t="n">
        <f aca="false" t="array" ref="P797:P797">IF(AND(INDEX(Profils!$J$5:$J$34,$AE797)&gt;0,INDEX(Profils!$Y$5:$Y$34,$AE797)&lt;=$AH797),ROUND(INDEX(Profils!$J$5:$J$34,$AE797)*Paramètres!$E$26*$AG797*$AJ797,Paramètres!$F$26),0)</f>
        <v>6</v>
      </c>
      <c r="Q797" s="19" t="n">
        <f aca="false" t="array" ref="Q797:Q797">IF(AND(INDEX(Profils!$K$5:$K$34,$AE797)&gt;0,INDEX(Profils!$Z$5:$Z$34,$AE797)&lt;=$AH797),ROUND(INDEX(Profils!$K$5:$K$34,$AE797)*Paramètres!$E$27*$AG797*$AJ797,Paramètres!$F$27),0)</f>
        <v>0</v>
      </c>
      <c r="R797" s="20" t="n">
        <f aca="false" t="array" ref="R797:R797">IF(AND(INDEX(Profils!$L$5:$L$34,$AE797)&gt;0,INDEX(Profils!$AA$5:$AA$34,$AE797)&lt;=$AH797),ROUND(INDEX(Profils!$L$5:$L$34,$AE797)*Paramètres!$E$28*$AG797*$AJ797,Paramètres!$F$28),0)</f>
        <v>0.008</v>
      </c>
      <c r="S797" s="20" t="n">
        <f aca="false" t="array" ref="S797:S797">IF(AND(INDEX(Profils!$M$5:$M$34,$AE797)&gt;0,INDEX(Profils!$AB$5:$AB$34,$AE797)&lt;=$AH797),ROUND(INDEX(Profils!$M$5:$M$34,$AE797)*Paramètres!$E$29*$AG797*$AJ797,Paramètres!$F$29),0)</f>
        <v>0.008</v>
      </c>
      <c r="T797" s="20" t="n">
        <f aca="false" t="array" ref="T797:T797">IF(AND(INDEX(Profils!$N$5:$N$34,$AE797)&gt;0,INDEX(Profils!$AC$5:$AC$34,$AE797)&lt;=$AH797),ROUND(INDEX(Profils!$N$5:$N$34,$AE797)*Paramètres!$E$30*$AG797*$AJ797,Paramètres!$F$30),0)</f>
        <v>0.02</v>
      </c>
      <c r="U797" s="19" t="n">
        <f aca="false" t="array" ref="U797:U797">IF(AND(INDEX(Profils!$O$5:$O$34,$AE797)&gt;0,INDEX(Profils!$AD$5:$AD$34,$AE797)&lt;=$AH797),ROUND(INDEX(Profils!$O$5:$O$34,$AE797)*Paramètres!$E$31*$AG797*$AJ797,Paramètres!$F$31),0)</f>
        <v>0</v>
      </c>
      <c r="V797" s="20" t="n">
        <f aca="false" t="array" ref="V797:V797">IF(AND(INDEX(Profils!$P$5:$P$34,$AE797)&gt;0,INDEX(Profils!$AE$5:$AE$34,$AE797)&lt;=$AH797),ROUND(INDEX(Profils!$P$5:$P$34,$AE797)*Paramètres!$E$32*$AG797*$AJ797,Paramètres!$F$32),0)</f>
        <v>0.008</v>
      </c>
      <c r="W797" s="20" t="n">
        <f aca="false" t="array" ref="W797:W797">IF(AND(INDEX(Profils!$Q$5:$Q$34,$AE797)&gt;0,INDEX(Profils!$AF$5:$AF$34,$AE797)&lt;=$AH797),ROUND(INDEX(Profils!$Q$5:$Q$34,$AE797)*Paramètres!$E$33*$AG797*$AJ797,Paramètres!$F$33),0)</f>
        <v>0</v>
      </c>
      <c r="X797" s="20" t="n">
        <f aca="false" t="array" ref="X797:X797">IF(AND(INDEX(Profils!$R$5:$R$34,$AE797)&gt;0,INDEX(Profils!$AG$5:$AG$34,$AE797)&lt;=$AH797),ROUND(INDEX(Profils!$R$5:$R$34,$AE797)*Paramètres!$E$34*$AG797*$AJ797,Paramètres!$F$34),0)</f>
        <v>0</v>
      </c>
      <c r="Y797" s="20" t="n">
        <f aca="false" t="array" ref="Y797:Y797">IF(AND(INDEX(Profils!$S$5:$S$34,$AE797)&gt;0,INDEX(Profils!$AH$5:$AH$34,$AE797)&lt;=$AH797),ROUND(INDEX(Profils!$S$5:$S$34,$AE797)*Paramètres!$E$35*$AG797*$AJ797,Paramètres!$F$35),0)</f>
        <v>0</v>
      </c>
      <c r="Z797" s="21" t="n">
        <f aca="false">ROUND(L797/Paramètres!$E$22+M797/Paramètres!$E$23+N797/Paramètres!$E$24+O797/Paramètres!$E$25+P797/Paramètres!$E$26+Q797/Paramètres!$E$27+R797/Paramètres!$E$28+S797/Paramètres!$E$29+T797/Paramètres!$E$30+U797/Paramètres!$E$31+V797/Paramètres!$E$32+W797/Paramètres!$E$33+X797/Paramètres!$E$34+Y797/Paramètres!$E$35,1)</f>
        <v>3.2</v>
      </c>
      <c r="AA797" s="22" t="s">
        <v>109</v>
      </c>
      <c r="AB797" s="22" t="s">
        <v>109</v>
      </c>
      <c r="AC797" s="15" t="str">
        <f aca="false">$E797</f>
        <v>or</v>
      </c>
      <c r="AD797" s="16" t="n">
        <f aca="false" t="array" ref="AD797:AD797">IF($I797&gt;=$AI797,"Max",ROUND(Paramètres!$B$40*($I797+1)^Paramètres!$B$41*INDEX(Paramètres!$H$6:$H$12,$AF797),0))</f>
        <v>6</v>
      </c>
      <c r="AE797" s="23" t="n">
        <f aca="false">MATCH($B797&amp;"|"&amp;$C797,Profils!$A$5:$A$34,0)</f>
        <v>26</v>
      </c>
      <c r="AF797" s="23" t="n">
        <v>5</v>
      </c>
      <c r="AG797" s="24" t="n">
        <f aca="false" t="array" ref="AG797:AG797">INDEX(Paramètres!$C$6:$C$12,$AF797)</f>
        <v>2.1</v>
      </c>
      <c r="AH797" s="23" t="n">
        <f aca="false" t="array" ref="AH797:AH797">INDEX(Paramètres!$D$6:$D$12,$AF797)</f>
        <v>6</v>
      </c>
      <c r="AI797" s="23" t="n">
        <f aca="false" t="array" ref="AI797:AI797">INDEX(Matériaux!$C$16:$C$20,$D797)</f>
        <v>25</v>
      </c>
      <c r="AJ797" s="25" t="n">
        <f aca="false">Paramètres!$B$16+(1-Paramètres!$B$16)*(($J797-Paramètres!$B$14)/(Paramètres!$B$15-Paramètres!$B$14))^Paramètres!$B$17</f>
        <v>0.26769024555533</v>
      </c>
    </row>
    <row r="798" customFormat="false" ht="15.75" hidden="false" customHeight="true" outlineLevel="0" collapsed="false">
      <c r="A798" s="14" t="s">
        <v>914</v>
      </c>
      <c r="B798" s="15" t="s">
        <v>31</v>
      </c>
      <c r="C798" s="15" t="s">
        <v>273</v>
      </c>
      <c r="D798" s="16" t="n">
        <v>3</v>
      </c>
      <c r="E798" s="15" t="str">
        <f aca="false" t="array" ref="E798:E798">INDEX(Matériaux!$B$5:$F$12,MATCH(INDEX(Profils!$E$5:$E$34,$AE798),Matériaux!$A$5:$A$12,0),$D798)</f>
        <v>or</v>
      </c>
      <c r="F798" s="30" t="s">
        <v>119</v>
      </c>
      <c r="G798" s="10" t="str">
        <f aca="false" t="array" ref="G798:G798">INDEX(Profils!$D$5:$D$34,$AE798)&amp;" en "&amp;$E798</f>
        <v>Anneau de chasseur en or</v>
      </c>
      <c r="H798" s="16" t="n">
        <f aca="false" t="array" ref="H798:H798">INDEX(Matériaux!$B$16:$B$20,$D798)</f>
        <v>30</v>
      </c>
      <c r="I798" s="16" t="n">
        <f aca="false">IF(ISNUMBER($C$3),MIN(MAX(0,ROUND($C$3,0)),$AI798),$AI798)</f>
        <v>0</v>
      </c>
      <c r="J798" s="18" t="n">
        <f aca="false">$H798+$I798</f>
        <v>30</v>
      </c>
      <c r="K798" s="15" t="s">
        <v>109</v>
      </c>
      <c r="L798" s="19" t="n">
        <f aca="false" t="array" ref="L798:L798">IF(AND(INDEX(Profils!$F$5:$F$34,$AE798)&gt;0,INDEX(Profils!$U$5:$U$34,$AE798)&lt;=$AH798),ROUND(INDEX(Profils!$F$5:$F$34,$AE798)*Paramètres!$E$22*$AG798*$AJ798,Paramètres!$F$22),0)</f>
        <v>10</v>
      </c>
      <c r="M798" s="19" t="n">
        <f aca="false" t="array" ref="M798:M798">IF(AND(INDEX(Profils!$G$5:$G$34,$AE798)&gt;0,INDEX(Profils!$V$5:$V$34,$AE798)&lt;=$AH798),ROUND(INDEX(Profils!$G$5:$G$34,$AE798)*Paramètres!$E$23*$AG798*$AJ798,Paramètres!$F$23),0)</f>
        <v>5</v>
      </c>
      <c r="N798" s="19" t="n">
        <f aca="false" t="array" ref="N798:N798">IF(AND(INDEX(Profils!$H$5:$H$34,$AE798)&gt;0,INDEX(Profils!$W$5:$W$34,$AE798)&lt;=$AH798),ROUND(INDEX(Profils!$H$5:$H$34,$AE798)*Paramètres!$E$24*$AG798*$AJ798,Paramètres!$F$24),0)</f>
        <v>0</v>
      </c>
      <c r="O798" s="19" t="n">
        <f aca="false" t="array" ref="O798:O798">IF(AND(INDEX(Profils!$I$5:$I$34,$AE798)&gt;0,INDEX(Profils!$X$5:$X$34,$AE798)&lt;=$AH798),ROUND(INDEX(Profils!$I$5:$I$34,$AE798)*Paramètres!$E$25*$AG798*$AJ798,Paramètres!$F$25),0)</f>
        <v>0</v>
      </c>
      <c r="P798" s="19" t="n">
        <f aca="false" t="array" ref="P798:P798">IF(AND(INDEX(Profils!$J$5:$J$34,$AE798)&gt;0,INDEX(Profils!$Y$5:$Y$34,$AE798)&lt;=$AH798),ROUND(INDEX(Profils!$J$5:$J$34,$AE798)*Paramètres!$E$26*$AG798*$AJ798,Paramètres!$F$26),0)</f>
        <v>7</v>
      </c>
      <c r="Q798" s="19" t="n">
        <f aca="false" t="array" ref="Q798:Q798">IF(AND(INDEX(Profils!$K$5:$K$34,$AE798)&gt;0,INDEX(Profils!$Z$5:$Z$34,$AE798)&lt;=$AH798),ROUND(INDEX(Profils!$K$5:$K$34,$AE798)*Paramètres!$E$27*$AG798*$AJ798,Paramètres!$F$27),0)</f>
        <v>0</v>
      </c>
      <c r="R798" s="20" t="n">
        <f aca="false" t="array" ref="R798:R798">IF(AND(INDEX(Profils!$L$5:$L$34,$AE798)&gt;0,INDEX(Profils!$AA$5:$AA$34,$AE798)&lt;=$AH798),ROUND(INDEX(Profils!$L$5:$L$34,$AE798)*Paramètres!$E$28*$AG798*$AJ798,Paramètres!$F$28),0)</f>
        <v>0.01</v>
      </c>
      <c r="S798" s="20" t="n">
        <f aca="false" t="array" ref="S798:S798">IF(AND(INDEX(Profils!$M$5:$M$34,$AE798)&gt;0,INDEX(Profils!$AB$5:$AB$34,$AE798)&lt;=$AH798),ROUND(INDEX(Profils!$M$5:$M$34,$AE798)*Paramètres!$E$29*$AG798*$AJ798,Paramètres!$F$29),0)</f>
        <v>0.009</v>
      </c>
      <c r="T798" s="20" t="n">
        <f aca="false" t="array" ref="T798:T798">IF(AND(INDEX(Profils!$N$5:$N$34,$AE798)&gt;0,INDEX(Profils!$AC$5:$AC$34,$AE798)&lt;=$AH798),ROUND(INDEX(Profils!$N$5:$N$34,$AE798)*Paramètres!$E$30*$AG798*$AJ798,Paramètres!$F$30),0)</f>
        <v>0.023</v>
      </c>
      <c r="U798" s="19" t="n">
        <f aca="false" t="array" ref="U798:U798">IF(AND(INDEX(Profils!$O$5:$O$34,$AE798)&gt;0,INDEX(Profils!$AD$5:$AD$34,$AE798)&lt;=$AH798),ROUND(INDEX(Profils!$O$5:$O$34,$AE798)*Paramètres!$E$31*$AG798*$AJ798,Paramètres!$F$31),0)</f>
        <v>0</v>
      </c>
      <c r="V798" s="20" t="n">
        <f aca="false" t="array" ref="V798:V798">IF(AND(INDEX(Profils!$P$5:$P$34,$AE798)&gt;0,INDEX(Profils!$AE$5:$AE$34,$AE798)&lt;=$AH798),ROUND(INDEX(Profils!$P$5:$P$34,$AE798)*Paramètres!$E$32*$AG798*$AJ798,Paramètres!$F$32),0)</f>
        <v>0.01</v>
      </c>
      <c r="W798" s="20" t="n">
        <f aca="false" t="array" ref="W798:W798">IF(AND(INDEX(Profils!$Q$5:$Q$34,$AE798)&gt;0,INDEX(Profils!$AF$5:$AF$34,$AE798)&lt;=$AH798),ROUND(INDEX(Profils!$Q$5:$Q$34,$AE798)*Paramètres!$E$33*$AG798*$AJ798,Paramètres!$F$33),0)</f>
        <v>0</v>
      </c>
      <c r="X798" s="20" t="n">
        <f aca="false" t="array" ref="X798:X798">IF(AND(INDEX(Profils!$R$5:$R$34,$AE798)&gt;0,INDEX(Profils!$AG$5:$AG$34,$AE798)&lt;=$AH798),ROUND(INDEX(Profils!$R$5:$R$34,$AE798)*Paramètres!$E$34*$AG798*$AJ798,Paramètres!$F$34),0)</f>
        <v>0</v>
      </c>
      <c r="Y798" s="20" t="n">
        <f aca="false" t="array" ref="Y798:Y798">IF(AND(INDEX(Profils!$S$5:$S$34,$AE798)&gt;0,INDEX(Profils!$AH$5:$AH$34,$AE798)&lt;=$AH798),ROUND(INDEX(Profils!$S$5:$S$34,$AE798)*Paramètres!$E$35*$AG798*$AJ798,Paramètres!$F$35),0)</f>
        <v>0</v>
      </c>
      <c r="Z798" s="21" t="n">
        <f aca="false">ROUND(L798/Paramètres!$E$22+M798/Paramètres!$E$23+N798/Paramètres!$E$24+O798/Paramètres!$E$25+P798/Paramètres!$E$26+Q798/Paramètres!$E$27+R798/Paramètres!$E$28+S798/Paramètres!$E$29+T798/Paramètres!$E$30+U798/Paramètres!$E$31+V798/Paramètres!$E$32+W798/Paramètres!$E$33+X798/Paramètres!$E$34+Y798/Paramètres!$E$35,1)</f>
        <v>4.2</v>
      </c>
      <c r="AA798" s="22" t="s">
        <v>109</v>
      </c>
      <c r="AB798" s="22" t="s">
        <v>109</v>
      </c>
      <c r="AC798" s="15" t="str">
        <f aca="false">$E798</f>
        <v>or</v>
      </c>
      <c r="AD798" s="16" t="n">
        <f aca="false" t="array" ref="AD798:AD798">IF($I798&gt;=$AI798,"Max",ROUND(Paramètres!$B$40*($I798+1)^Paramètres!$B$41*INDEX(Paramètres!$H$6:$H$12,$AF798),0))</f>
        <v>8</v>
      </c>
      <c r="AE798" s="23" t="n">
        <f aca="false">MATCH($B798&amp;"|"&amp;$C798,Profils!$A$5:$A$34,0)</f>
        <v>26</v>
      </c>
      <c r="AF798" s="23" t="n">
        <v>6</v>
      </c>
      <c r="AG798" s="24" t="n">
        <f aca="false" t="array" ref="AG798:AG798">INDEX(Paramètres!$C$6:$C$12,$AF798)</f>
        <v>2.4</v>
      </c>
      <c r="AH798" s="23" t="n">
        <f aca="false" t="array" ref="AH798:AH798">INDEX(Paramètres!$D$6:$D$12,$AF798)</f>
        <v>7</v>
      </c>
      <c r="AI798" s="23" t="n">
        <f aca="false" t="array" ref="AI798:AI798">INDEX(Matériaux!$C$16:$C$20,$D798)</f>
        <v>25</v>
      </c>
      <c r="AJ798" s="25" t="n">
        <f aca="false">Paramètres!$B$16+(1-Paramètres!$B$16)*(($J798-Paramètres!$B$14)/(Paramètres!$B$15-Paramètres!$B$14))^Paramètres!$B$17</f>
        <v>0.26769024555533</v>
      </c>
    </row>
    <row r="799" customFormat="false" ht="15.75" hidden="false" customHeight="true" outlineLevel="0" collapsed="false">
      <c r="A799" s="14" t="s">
        <v>915</v>
      </c>
      <c r="B799" s="15" t="s">
        <v>31</v>
      </c>
      <c r="C799" s="15" t="s">
        <v>273</v>
      </c>
      <c r="D799" s="16" t="n">
        <v>4</v>
      </c>
      <c r="E799" s="15" t="str">
        <f aca="false" t="array" ref="E799:E799">INDEX(Matériaux!$B$5:$F$12,MATCH(INDEX(Profils!$E$5:$E$34,$AE799),Matériaux!$A$5:$A$12,0),$D799)</f>
        <v>platine</v>
      </c>
      <c r="F799" s="17" t="s">
        <v>108</v>
      </c>
      <c r="G799" s="10" t="str">
        <f aca="false" t="array" ref="G799:G799">INDEX(Profils!$D$5:$D$34,$AE799)&amp;" en "&amp;$E799</f>
        <v>Anneau de chasseur en platine</v>
      </c>
      <c r="H799" s="16" t="n">
        <f aca="false" t="array" ref="H799:H799">INDEX(Matériaux!$B$16:$B$20,$D799)</f>
        <v>50</v>
      </c>
      <c r="I799" s="16" t="n">
        <f aca="false">IF(ISNUMBER($C$3),MIN(MAX(0,ROUND($C$3,0)),$AI799),$AI799)</f>
        <v>0</v>
      </c>
      <c r="J799" s="18" t="n">
        <f aca="false">$H799+$I799</f>
        <v>50</v>
      </c>
      <c r="K799" s="15" t="s">
        <v>109</v>
      </c>
      <c r="L799" s="19" t="n">
        <f aca="false" t="array" ref="L799:L799">IF(AND(INDEX(Profils!$F$5:$F$34,$AE799)&gt;0,INDEX(Profils!$U$5:$U$34,$AE799)&lt;=$AH799),ROUND(INDEX(Profils!$F$5:$F$34,$AE799)*Paramètres!$E$22*$AG799*$AJ799,Paramètres!$F$22),0)</f>
        <v>0</v>
      </c>
      <c r="M799" s="19" t="n">
        <f aca="false" t="array" ref="M799:M799">IF(AND(INDEX(Profils!$G$5:$G$34,$AE799)&gt;0,INDEX(Profils!$V$5:$V$34,$AE799)&lt;=$AH799),ROUND(INDEX(Profils!$G$5:$G$34,$AE799)*Paramètres!$E$23*$AG799*$AJ799,Paramètres!$F$23),0)</f>
        <v>0</v>
      </c>
      <c r="N799" s="19" t="n">
        <f aca="false" t="array" ref="N799:N799">IF(AND(INDEX(Profils!$H$5:$H$34,$AE799)&gt;0,INDEX(Profils!$W$5:$W$34,$AE799)&lt;=$AH799),ROUND(INDEX(Profils!$H$5:$H$34,$AE799)*Paramètres!$E$24*$AG799*$AJ799,Paramètres!$F$24),0)</f>
        <v>0</v>
      </c>
      <c r="O799" s="19" t="n">
        <f aca="false" t="array" ref="O799:O799">IF(AND(INDEX(Profils!$I$5:$I$34,$AE799)&gt;0,INDEX(Profils!$X$5:$X$34,$AE799)&lt;=$AH799),ROUND(INDEX(Profils!$I$5:$I$34,$AE799)*Paramètres!$E$25*$AG799*$AJ799,Paramètres!$F$25),0)</f>
        <v>0</v>
      </c>
      <c r="P799" s="19" t="n">
        <f aca="false" t="array" ref="P799:P799">IF(AND(INDEX(Profils!$J$5:$J$34,$AE799)&gt;0,INDEX(Profils!$Y$5:$Y$34,$AE799)&lt;=$AH799),ROUND(INDEX(Profils!$J$5:$J$34,$AE799)*Paramètres!$E$26*$AG799*$AJ799,Paramètres!$F$26),0)</f>
        <v>0</v>
      </c>
      <c r="Q799" s="19" t="n">
        <f aca="false" t="array" ref="Q799:Q799">IF(AND(INDEX(Profils!$K$5:$K$34,$AE799)&gt;0,INDEX(Profils!$Z$5:$Z$34,$AE799)&lt;=$AH799),ROUND(INDEX(Profils!$K$5:$K$34,$AE799)*Paramètres!$E$27*$AG799*$AJ799,Paramètres!$F$27),0)</f>
        <v>0</v>
      </c>
      <c r="R799" s="20" t="n">
        <f aca="false" t="array" ref="R799:R799">IF(AND(INDEX(Profils!$L$5:$L$34,$AE799)&gt;0,INDEX(Profils!$AA$5:$AA$34,$AE799)&lt;=$AH799),ROUND(INDEX(Profils!$L$5:$L$34,$AE799)*Paramètres!$E$28*$AG799*$AJ799,Paramètres!$F$28),0)</f>
        <v>0</v>
      </c>
      <c r="S799" s="20" t="n">
        <f aca="false" t="array" ref="S799:S799">IF(AND(INDEX(Profils!$M$5:$M$34,$AE799)&gt;0,INDEX(Profils!$AB$5:$AB$34,$AE799)&lt;=$AH799),ROUND(INDEX(Profils!$M$5:$M$34,$AE799)*Paramètres!$E$29*$AG799*$AJ799,Paramètres!$F$29),0)</f>
        <v>0.007</v>
      </c>
      <c r="T799" s="20" t="n">
        <f aca="false" t="array" ref="T799:T799">IF(AND(INDEX(Profils!$N$5:$N$34,$AE799)&gt;0,INDEX(Profils!$AC$5:$AC$34,$AE799)&lt;=$AH799),ROUND(INDEX(Profils!$N$5:$N$34,$AE799)*Paramètres!$E$30*$AG799*$AJ799,Paramètres!$F$30),0)</f>
        <v>0.017</v>
      </c>
      <c r="U799" s="19" t="n">
        <f aca="false" t="array" ref="U799:U799">IF(AND(INDEX(Profils!$O$5:$O$34,$AE799)&gt;0,INDEX(Profils!$AD$5:$AD$34,$AE799)&lt;=$AH799),ROUND(INDEX(Profils!$O$5:$O$34,$AE799)*Paramètres!$E$31*$AG799*$AJ799,Paramètres!$F$31),0)</f>
        <v>0</v>
      </c>
      <c r="V799" s="20" t="n">
        <f aca="false" t="array" ref="V799:V799">IF(AND(INDEX(Profils!$P$5:$P$34,$AE799)&gt;0,INDEX(Profils!$AE$5:$AE$34,$AE799)&lt;=$AH799),ROUND(INDEX(Profils!$P$5:$P$34,$AE799)*Paramètres!$E$32*$AG799*$AJ799,Paramètres!$F$32),0)</f>
        <v>0</v>
      </c>
      <c r="W799" s="20" t="n">
        <f aca="false" t="array" ref="W799:W799">IF(AND(INDEX(Profils!$Q$5:$Q$34,$AE799)&gt;0,INDEX(Profils!$AF$5:$AF$34,$AE799)&lt;=$AH799),ROUND(INDEX(Profils!$Q$5:$Q$34,$AE799)*Paramètres!$E$33*$AG799*$AJ799,Paramètres!$F$33),0)</f>
        <v>0</v>
      </c>
      <c r="X799" s="20" t="n">
        <f aca="false" t="array" ref="X799:X799">IF(AND(INDEX(Profils!$R$5:$R$34,$AE799)&gt;0,INDEX(Profils!$AG$5:$AG$34,$AE799)&lt;=$AH799),ROUND(INDEX(Profils!$R$5:$R$34,$AE799)*Paramètres!$E$34*$AG799*$AJ799,Paramètres!$F$34),0)</f>
        <v>0</v>
      </c>
      <c r="Y799" s="20" t="n">
        <f aca="false" t="array" ref="Y799:Y799">IF(AND(INDEX(Profils!$S$5:$S$34,$AE799)&gt;0,INDEX(Profils!$AH$5:$AH$34,$AE799)&lt;=$AH799),ROUND(INDEX(Profils!$S$5:$S$34,$AE799)*Paramètres!$E$35*$AG799*$AJ799,Paramètres!$F$35),0)</f>
        <v>0</v>
      </c>
      <c r="Z799" s="21" t="n">
        <f aca="false">ROUND(L799/Paramètres!$E$22+M799/Paramètres!$E$23+N799/Paramètres!$E$24+O799/Paramètres!$E$25+P799/Paramètres!$E$26+Q799/Paramètres!$E$27+R799/Paramètres!$E$28+S799/Paramètres!$E$29+T799/Paramètres!$E$30+U799/Paramètres!$E$31+V799/Paramètres!$E$32+W799/Paramètres!$E$33+X799/Paramètres!$E$34+Y799/Paramètres!$E$35,1)</f>
        <v>1.2</v>
      </c>
      <c r="AA799" s="22" t="s">
        <v>109</v>
      </c>
      <c r="AB799" s="22" t="s">
        <v>109</v>
      </c>
      <c r="AC799" s="15" t="str">
        <f aca="false">$E799</f>
        <v>platine</v>
      </c>
      <c r="AD799" s="16" t="n">
        <f aca="false" t="array" ref="AD799:AD799">IF($I799&gt;=$AI799,"Max",ROUND(Paramètres!$B$40*($I799+1)^Paramètres!$B$41*INDEX(Paramètres!$H$6:$H$12,$AF799),0))</f>
        <v>3</v>
      </c>
      <c r="AE799" s="23" t="n">
        <f aca="false">MATCH($B799&amp;"|"&amp;$C799,Profils!$A$5:$A$34,0)</f>
        <v>26</v>
      </c>
      <c r="AF799" s="23" t="n">
        <v>1</v>
      </c>
      <c r="AG799" s="24" t="n">
        <f aca="false" t="array" ref="AG799:AG799">INDEX(Paramètres!$C$6:$C$12,$AF799)</f>
        <v>1</v>
      </c>
      <c r="AH799" s="23" t="n">
        <f aca="false" t="array" ref="AH799:AH799">INDEX(Paramètres!$D$6:$D$12,$AF799)</f>
        <v>2</v>
      </c>
      <c r="AI799" s="23" t="n">
        <f aca="false" t="array" ref="AI799:AI799">INDEX(Matériaux!$C$16:$C$20,$D799)</f>
        <v>25</v>
      </c>
      <c r="AJ799" s="25" t="n">
        <f aca="false">Paramètres!$B$16+(1-Paramètres!$B$16)*(($J799-Paramètres!$B$14)/(Paramètres!$B$15-Paramètres!$B$14))^Paramètres!$B$17</f>
        <v>0.458504333336152</v>
      </c>
    </row>
    <row r="800" customFormat="false" ht="15.75" hidden="false" customHeight="true" outlineLevel="0" collapsed="false">
      <c r="A800" s="14" t="s">
        <v>916</v>
      </c>
      <c r="B800" s="15" t="s">
        <v>31</v>
      </c>
      <c r="C800" s="15" t="s">
        <v>273</v>
      </c>
      <c r="D800" s="16" t="n">
        <v>4</v>
      </c>
      <c r="E800" s="15" t="str">
        <f aca="false" t="array" ref="E800:E800">INDEX(Matériaux!$B$5:$F$12,MATCH(INDEX(Profils!$E$5:$E$34,$AE800),Matériaux!$A$5:$A$12,0),$D800)</f>
        <v>platine</v>
      </c>
      <c r="F800" s="26" t="s">
        <v>111</v>
      </c>
      <c r="G800" s="10" t="str">
        <f aca="false" t="array" ref="G800:G800">INDEX(Profils!$D$5:$D$34,$AE800)&amp;" en "&amp;$E800</f>
        <v>Anneau de chasseur en platine</v>
      </c>
      <c r="H800" s="16" t="n">
        <f aca="false" t="array" ref="H800:H800">INDEX(Matériaux!$B$16:$B$20,$D800)</f>
        <v>50</v>
      </c>
      <c r="I800" s="16" t="n">
        <f aca="false">IF(ISNUMBER($C$3),MIN(MAX(0,ROUND($C$3,0)),$AI800),$AI800)</f>
        <v>0</v>
      </c>
      <c r="J800" s="18" t="n">
        <f aca="false">$H800+$I800</f>
        <v>50</v>
      </c>
      <c r="K800" s="15" t="s">
        <v>109</v>
      </c>
      <c r="L800" s="19" t="n">
        <f aca="false" t="array" ref="L800:L800">IF(AND(INDEX(Profils!$F$5:$F$34,$AE800)&gt;0,INDEX(Profils!$U$5:$U$34,$AE800)&lt;=$AH800),ROUND(INDEX(Profils!$F$5:$F$34,$AE800)*Paramètres!$E$22*$AG800*$AJ800,Paramètres!$F$22),0)</f>
        <v>0</v>
      </c>
      <c r="M800" s="19" t="n">
        <f aca="false" t="array" ref="M800:M800">IF(AND(INDEX(Profils!$G$5:$G$34,$AE800)&gt;0,INDEX(Profils!$V$5:$V$34,$AE800)&lt;=$AH800),ROUND(INDEX(Profils!$G$5:$G$34,$AE800)*Paramètres!$E$23*$AG800*$AJ800,Paramètres!$F$23),0)</f>
        <v>0</v>
      </c>
      <c r="N800" s="19" t="n">
        <f aca="false" t="array" ref="N800:N800">IF(AND(INDEX(Profils!$H$5:$H$34,$AE800)&gt;0,INDEX(Profils!$W$5:$W$34,$AE800)&lt;=$AH800),ROUND(INDEX(Profils!$H$5:$H$34,$AE800)*Paramètres!$E$24*$AG800*$AJ800,Paramètres!$F$24),0)</f>
        <v>0</v>
      </c>
      <c r="O800" s="19" t="n">
        <f aca="false" t="array" ref="O800:O800">IF(AND(INDEX(Profils!$I$5:$I$34,$AE800)&gt;0,INDEX(Profils!$X$5:$X$34,$AE800)&lt;=$AH800),ROUND(INDEX(Profils!$I$5:$I$34,$AE800)*Paramètres!$E$25*$AG800*$AJ800,Paramètres!$F$25),0)</f>
        <v>0</v>
      </c>
      <c r="P800" s="19" t="n">
        <f aca="false" t="array" ref="P800:P800">IF(AND(INDEX(Profils!$J$5:$J$34,$AE800)&gt;0,INDEX(Profils!$Y$5:$Y$34,$AE800)&lt;=$AH800),ROUND(INDEX(Profils!$J$5:$J$34,$AE800)*Paramètres!$E$26*$AG800*$AJ800,Paramètres!$F$26),0)</f>
        <v>0</v>
      </c>
      <c r="Q800" s="19" t="n">
        <f aca="false" t="array" ref="Q800:Q800">IF(AND(INDEX(Profils!$K$5:$K$34,$AE800)&gt;0,INDEX(Profils!$Z$5:$Z$34,$AE800)&lt;=$AH800),ROUND(INDEX(Profils!$K$5:$K$34,$AE800)*Paramètres!$E$27*$AG800*$AJ800,Paramètres!$F$27),0)</f>
        <v>0</v>
      </c>
      <c r="R800" s="20" t="n">
        <f aca="false" t="array" ref="R800:R800">IF(AND(INDEX(Profils!$L$5:$L$34,$AE800)&gt;0,INDEX(Profils!$AA$5:$AA$34,$AE800)&lt;=$AH800),ROUND(INDEX(Profils!$L$5:$L$34,$AE800)*Paramètres!$E$28*$AG800*$AJ800,Paramètres!$F$28),0)</f>
        <v>0.008</v>
      </c>
      <c r="S800" s="20" t="n">
        <f aca="false" t="array" ref="S800:S800">IF(AND(INDEX(Profils!$M$5:$M$34,$AE800)&gt;0,INDEX(Profils!$AB$5:$AB$34,$AE800)&lt;=$AH800),ROUND(INDEX(Profils!$M$5:$M$34,$AE800)*Paramètres!$E$29*$AG800*$AJ800,Paramètres!$F$29),0)</f>
        <v>0.008</v>
      </c>
      <c r="T800" s="20" t="n">
        <f aca="false" t="array" ref="T800:T800">IF(AND(INDEX(Profils!$N$5:$N$34,$AE800)&gt;0,INDEX(Profils!$AC$5:$AC$34,$AE800)&lt;=$AH800),ROUND(INDEX(Profils!$N$5:$N$34,$AE800)*Paramètres!$E$30*$AG800*$AJ800,Paramètres!$F$30),0)</f>
        <v>0.02</v>
      </c>
      <c r="U800" s="19" t="n">
        <f aca="false" t="array" ref="U800:U800">IF(AND(INDEX(Profils!$O$5:$O$34,$AE800)&gt;0,INDEX(Profils!$AD$5:$AD$34,$AE800)&lt;=$AH800),ROUND(INDEX(Profils!$O$5:$O$34,$AE800)*Paramètres!$E$31*$AG800*$AJ800,Paramètres!$F$31),0)</f>
        <v>0</v>
      </c>
      <c r="V800" s="20" t="n">
        <f aca="false" t="array" ref="V800:V800">IF(AND(INDEX(Profils!$P$5:$P$34,$AE800)&gt;0,INDEX(Profils!$AE$5:$AE$34,$AE800)&lt;=$AH800),ROUND(INDEX(Profils!$P$5:$P$34,$AE800)*Paramètres!$E$32*$AG800*$AJ800,Paramètres!$F$32),0)</f>
        <v>0</v>
      </c>
      <c r="W800" s="20" t="n">
        <f aca="false" t="array" ref="W800:W800">IF(AND(INDEX(Profils!$Q$5:$Q$34,$AE800)&gt;0,INDEX(Profils!$AF$5:$AF$34,$AE800)&lt;=$AH800),ROUND(INDEX(Profils!$Q$5:$Q$34,$AE800)*Paramètres!$E$33*$AG800*$AJ800,Paramètres!$F$33),0)</f>
        <v>0</v>
      </c>
      <c r="X800" s="20" t="n">
        <f aca="false" t="array" ref="X800:X800">IF(AND(INDEX(Profils!$R$5:$R$34,$AE800)&gt;0,INDEX(Profils!$AG$5:$AG$34,$AE800)&lt;=$AH800),ROUND(INDEX(Profils!$R$5:$R$34,$AE800)*Paramètres!$E$34*$AG800*$AJ800,Paramètres!$F$34),0)</f>
        <v>0</v>
      </c>
      <c r="Y800" s="20" t="n">
        <f aca="false" t="array" ref="Y800:Y800">IF(AND(INDEX(Profils!$S$5:$S$34,$AE800)&gt;0,INDEX(Profils!$AH$5:$AH$34,$AE800)&lt;=$AH800),ROUND(INDEX(Profils!$S$5:$S$34,$AE800)*Paramètres!$E$35*$AG800*$AJ800,Paramètres!$F$35),0)</f>
        <v>0</v>
      </c>
      <c r="Z800" s="21" t="n">
        <f aca="false">ROUND(L800/Paramètres!$E$22+M800/Paramètres!$E$23+N800/Paramètres!$E$24+O800/Paramètres!$E$25+P800/Paramètres!$E$26+Q800/Paramètres!$E$27+R800/Paramètres!$E$28+S800/Paramètres!$E$29+T800/Paramètres!$E$30+U800/Paramètres!$E$31+V800/Paramètres!$E$32+W800/Paramètres!$E$33+X800/Paramètres!$E$34+Y800/Paramètres!$E$35,1)</f>
        <v>1.9</v>
      </c>
      <c r="AA800" s="22" t="s">
        <v>109</v>
      </c>
      <c r="AB800" s="22" t="s">
        <v>109</v>
      </c>
      <c r="AC800" s="15" t="str">
        <f aca="false">$E800</f>
        <v>platine</v>
      </c>
      <c r="AD800" s="16" t="n">
        <f aca="false" t="array" ref="AD800:AD800">IF($I800&gt;=$AI800,"Max",ROUND(Paramètres!$B$40*($I800+1)^Paramètres!$B$41*INDEX(Paramètres!$H$6:$H$12,$AF800),0))</f>
        <v>4</v>
      </c>
      <c r="AE800" s="23" t="n">
        <f aca="false">MATCH($B800&amp;"|"&amp;$C800,Profils!$A$5:$A$34,0)</f>
        <v>26</v>
      </c>
      <c r="AF800" s="23" t="n">
        <v>2</v>
      </c>
      <c r="AG800" s="24" t="n">
        <f aca="false" t="array" ref="AG800:AG800">INDEX(Paramètres!$C$6:$C$12,$AF800)</f>
        <v>1.2</v>
      </c>
      <c r="AH800" s="23" t="n">
        <f aca="false" t="array" ref="AH800:AH800">INDEX(Paramètres!$D$6:$D$12,$AF800)</f>
        <v>3</v>
      </c>
      <c r="AI800" s="23" t="n">
        <f aca="false" t="array" ref="AI800:AI800">INDEX(Matériaux!$C$16:$C$20,$D800)</f>
        <v>25</v>
      </c>
      <c r="AJ800" s="25" t="n">
        <f aca="false">Paramètres!$B$16+(1-Paramètres!$B$16)*(($J800-Paramètres!$B$14)/(Paramètres!$B$15-Paramètres!$B$14))^Paramètres!$B$17</f>
        <v>0.458504333336152</v>
      </c>
    </row>
    <row r="801" customFormat="false" ht="15.75" hidden="false" customHeight="true" outlineLevel="0" collapsed="false">
      <c r="A801" s="14" t="s">
        <v>917</v>
      </c>
      <c r="B801" s="15" t="s">
        <v>31</v>
      </c>
      <c r="C801" s="15" t="s">
        <v>273</v>
      </c>
      <c r="D801" s="16" t="n">
        <v>4</v>
      </c>
      <c r="E801" s="15" t="str">
        <f aca="false" t="array" ref="E801:E801">INDEX(Matériaux!$B$5:$F$12,MATCH(INDEX(Profils!$E$5:$E$34,$AE801),Matériaux!$A$5:$A$12,0),$D801)</f>
        <v>platine</v>
      </c>
      <c r="F801" s="27" t="s">
        <v>113</v>
      </c>
      <c r="G801" s="10" t="str">
        <f aca="false" t="array" ref="G801:G801">INDEX(Profils!$D$5:$D$34,$AE801)&amp;" en "&amp;$E801</f>
        <v>Anneau de chasseur en platine</v>
      </c>
      <c r="H801" s="16" t="n">
        <f aca="false" t="array" ref="H801:H801">INDEX(Matériaux!$B$16:$B$20,$D801)</f>
        <v>50</v>
      </c>
      <c r="I801" s="16" t="n">
        <f aca="false">IF(ISNUMBER($C$3),MIN(MAX(0,ROUND($C$3,0)),$AI801),$AI801)</f>
        <v>0</v>
      </c>
      <c r="J801" s="18" t="n">
        <f aca="false">$H801+$I801</f>
        <v>50</v>
      </c>
      <c r="K801" s="15" t="s">
        <v>109</v>
      </c>
      <c r="L801" s="19" t="n">
        <f aca="false" t="array" ref="L801:L801">IF(AND(INDEX(Profils!$F$5:$F$34,$AE801)&gt;0,INDEX(Profils!$U$5:$U$34,$AE801)&lt;=$AH801),ROUND(INDEX(Profils!$F$5:$F$34,$AE801)*Paramètres!$E$22*$AG801*$AJ801,Paramètres!$F$22),0)</f>
        <v>0</v>
      </c>
      <c r="M801" s="19" t="n">
        <f aca="false" t="array" ref="M801:M801">IF(AND(INDEX(Profils!$G$5:$G$34,$AE801)&gt;0,INDEX(Profils!$V$5:$V$34,$AE801)&lt;=$AH801),ROUND(INDEX(Profils!$G$5:$G$34,$AE801)*Paramètres!$E$23*$AG801*$AJ801,Paramètres!$F$23),0)</f>
        <v>0</v>
      </c>
      <c r="N801" s="19" t="n">
        <f aca="false" t="array" ref="N801:N801">IF(AND(INDEX(Profils!$H$5:$H$34,$AE801)&gt;0,INDEX(Profils!$W$5:$W$34,$AE801)&lt;=$AH801),ROUND(INDEX(Profils!$H$5:$H$34,$AE801)*Paramètres!$E$24*$AG801*$AJ801,Paramètres!$F$24),0)</f>
        <v>0</v>
      </c>
      <c r="O801" s="19" t="n">
        <f aca="false" t="array" ref="O801:O801">IF(AND(INDEX(Profils!$I$5:$I$34,$AE801)&gt;0,INDEX(Profils!$X$5:$X$34,$AE801)&lt;=$AH801),ROUND(INDEX(Profils!$I$5:$I$34,$AE801)*Paramètres!$E$25*$AG801*$AJ801,Paramètres!$F$25),0)</f>
        <v>0</v>
      </c>
      <c r="P801" s="19" t="n">
        <f aca="false" t="array" ref="P801:P801">IF(AND(INDEX(Profils!$J$5:$J$34,$AE801)&gt;0,INDEX(Profils!$Y$5:$Y$34,$AE801)&lt;=$AH801),ROUND(INDEX(Profils!$J$5:$J$34,$AE801)*Paramètres!$E$26*$AG801*$AJ801,Paramètres!$F$26),0)</f>
        <v>0</v>
      </c>
      <c r="Q801" s="19" t="n">
        <f aca="false" t="array" ref="Q801:Q801">IF(AND(INDEX(Profils!$K$5:$K$34,$AE801)&gt;0,INDEX(Profils!$Z$5:$Z$34,$AE801)&lt;=$AH801),ROUND(INDEX(Profils!$K$5:$K$34,$AE801)*Paramètres!$E$27*$AG801*$AJ801,Paramètres!$F$27),0)</f>
        <v>0</v>
      </c>
      <c r="R801" s="20" t="n">
        <f aca="false" t="array" ref="R801:R801">IF(AND(INDEX(Profils!$L$5:$L$34,$AE801)&gt;0,INDEX(Profils!$AA$5:$AA$34,$AE801)&lt;=$AH801),ROUND(INDEX(Profils!$L$5:$L$34,$AE801)*Paramètres!$E$28*$AG801*$AJ801,Paramètres!$F$28),0)</f>
        <v>0.01</v>
      </c>
      <c r="S801" s="20" t="n">
        <f aca="false" t="array" ref="S801:S801">IF(AND(INDEX(Profils!$M$5:$M$34,$AE801)&gt;0,INDEX(Profils!$AB$5:$AB$34,$AE801)&lt;=$AH801),ROUND(INDEX(Profils!$M$5:$M$34,$AE801)*Paramètres!$E$29*$AG801*$AJ801,Paramètres!$F$29),0)</f>
        <v>0.01</v>
      </c>
      <c r="T801" s="20" t="n">
        <f aca="false" t="array" ref="T801:T801">IF(AND(INDEX(Profils!$N$5:$N$34,$AE801)&gt;0,INDEX(Profils!$AC$5:$AC$34,$AE801)&lt;=$AH801),ROUND(INDEX(Profils!$N$5:$N$34,$AE801)*Paramètres!$E$30*$AG801*$AJ801,Paramètres!$F$30),0)</f>
        <v>0.024</v>
      </c>
      <c r="U801" s="19" t="n">
        <f aca="false" t="array" ref="U801:U801">IF(AND(INDEX(Profils!$O$5:$O$34,$AE801)&gt;0,INDEX(Profils!$AD$5:$AD$34,$AE801)&lt;=$AH801),ROUND(INDEX(Profils!$O$5:$O$34,$AE801)*Paramètres!$E$31*$AG801*$AJ801,Paramètres!$F$31),0)</f>
        <v>0</v>
      </c>
      <c r="V801" s="20" t="n">
        <f aca="false" t="array" ref="V801:V801">IF(AND(INDEX(Profils!$P$5:$P$34,$AE801)&gt;0,INDEX(Profils!$AE$5:$AE$34,$AE801)&lt;=$AH801),ROUND(INDEX(Profils!$P$5:$P$34,$AE801)*Paramètres!$E$32*$AG801*$AJ801,Paramètres!$F$32),0)</f>
        <v>0.01</v>
      </c>
      <c r="W801" s="20" t="n">
        <f aca="false" t="array" ref="W801:W801">IF(AND(INDEX(Profils!$Q$5:$Q$34,$AE801)&gt;0,INDEX(Profils!$AF$5:$AF$34,$AE801)&lt;=$AH801),ROUND(INDEX(Profils!$Q$5:$Q$34,$AE801)*Paramètres!$E$33*$AG801*$AJ801,Paramètres!$F$33),0)</f>
        <v>0</v>
      </c>
      <c r="X801" s="20" t="n">
        <f aca="false" t="array" ref="X801:X801">IF(AND(INDEX(Profils!$R$5:$R$34,$AE801)&gt;0,INDEX(Profils!$AG$5:$AG$34,$AE801)&lt;=$AH801),ROUND(INDEX(Profils!$R$5:$R$34,$AE801)*Paramètres!$E$34*$AG801*$AJ801,Paramètres!$F$34),0)</f>
        <v>0</v>
      </c>
      <c r="Y801" s="20" t="n">
        <f aca="false" t="array" ref="Y801:Y801">IF(AND(INDEX(Profils!$S$5:$S$34,$AE801)&gt;0,INDEX(Profils!$AH$5:$AH$34,$AE801)&lt;=$AH801),ROUND(INDEX(Profils!$S$5:$S$34,$AE801)*Paramètres!$E$35*$AG801*$AJ801,Paramètres!$F$35),0)</f>
        <v>0</v>
      </c>
      <c r="Z801" s="21" t="n">
        <f aca="false">ROUND(L801/Paramètres!$E$22+M801/Paramètres!$E$23+N801/Paramètres!$E$24+O801/Paramètres!$E$25+P801/Paramètres!$E$26+Q801/Paramètres!$E$27+R801/Paramètres!$E$28+S801/Paramètres!$E$29+T801/Paramètres!$E$30+U801/Paramètres!$E$31+V801/Paramètres!$E$32+W801/Paramètres!$E$33+X801/Paramètres!$E$34+Y801/Paramètres!$E$35,1)</f>
        <v>3</v>
      </c>
      <c r="AA801" s="22" t="s">
        <v>109</v>
      </c>
      <c r="AB801" s="22" t="s">
        <v>109</v>
      </c>
      <c r="AC801" s="15" t="str">
        <f aca="false">$E801</f>
        <v>platine</v>
      </c>
      <c r="AD801" s="16" t="n">
        <f aca="false" t="array" ref="AD801:AD801">IF($I801&gt;=$AI801,"Max",ROUND(Paramètres!$B$40*($I801+1)^Paramètres!$B$41*INDEX(Paramètres!$H$6:$H$12,$AF801),0))</f>
        <v>4</v>
      </c>
      <c r="AE801" s="23" t="n">
        <f aca="false">MATCH($B801&amp;"|"&amp;$C801,Profils!$A$5:$A$34,0)</f>
        <v>26</v>
      </c>
      <c r="AF801" s="23" t="n">
        <v>3</v>
      </c>
      <c r="AG801" s="24" t="n">
        <f aca="false" t="array" ref="AG801:AG801">INDEX(Paramètres!$C$6:$C$12,$AF801)</f>
        <v>1.45</v>
      </c>
      <c r="AH801" s="23" t="n">
        <f aca="false" t="array" ref="AH801:AH801">INDEX(Paramètres!$D$6:$D$12,$AF801)</f>
        <v>4</v>
      </c>
      <c r="AI801" s="23" t="n">
        <f aca="false" t="array" ref="AI801:AI801">INDEX(Matériaux!$C$16:$C$20,$D801)</f>
        <v>25</v>
      </c>
      <c r="AJ801" s="25" t="n">
        <f aca="false">Paramètres!$B$16+(1-Paramètres!$B$16)*(($J801-Paramètres!$B$14)/(Paramètres!$B$15-Paramètres!$B$14))^Paramètres!$B$17</f>
        <v>0.458504333336152</v>
      </c>
    </row>
    <row r="802" customFormat="false" ht="15.75" hidden="false" customHeight="true" outlineLevel="0" collapsed="false">
      <c r="A802" s="14" t="s">
        <v>918</v>
      </c>
      <c r="B802" s="15" t="s">
        <v>31</v>
      </c>
      <c r="C802" s="15" t="s">
        <v>273</v>
      </c>
      <c r="D802" s="16" t="n">
        <v>4</v>
      </c>
      <c r="E802" s="15" t="str">
        <f aca="false" t="array" ref="E802:E802">INDEX(Matériaux!$B$5:$F$12,MATCH(INDEX(Profils!$E$5:$E$34,$AE802),Matériaux!$A$5:$A$12,0),$D802)</f>
        <v>platine</v>
      </c>
      <c r="F802" s="28" t="s">
        <v>115</v>
      </c>
      <c r="G802" s="10" t="str">
        <f aca="false" t="array" ref="G802:G802">INDEX(Profils!$D$5:$D$34,$AE802)&amp;" en "&amp;$E802</f>
        <v>Anneau de chasseur en platine</v>
      </c>
      <c r="H802" s="16" t="n">
        <f aca="false" t="array" ref="H802:H802">INDEX(Matériaux!$B$16:$B$20,$D802)</f>
        <v>50</v>
      </c>
      <c r="I802" s="16" t="n">
        <f aca="false">IF(ISNUMBER($C$3),MIN(MAX(0,ROUND($C$3,0)),$AI802),$AI802)</f>
        <v>0</v>
      </c>
      <c r="J802" s="18" t="n">
        <f aca="false">$H802+$I802</f>
        <v>50</v>
      </c>
      <c r="K802" s="15" t="s">
        <v>109</v>
      </c>
      <c r="L802" s="19" t="n">
        <f aca="false" t="array" ref="L802:L802">IF(AND(INDEX(Profils!$F$5:$F$34,$AE802)&gt;0,INDEX(Profils!$U$5:$U$34,$AE802)&lt;=$AH802),ROUND(INDEX(Profils!$F$5:$F$34,$AE802)*Paramètres!$E$22*$AG802*$AJ802,Paramètres!$F$22),0)</f>
        <v>0</v>
      </c>
      <c r="M802" s="19" t="n">
        <f aca="false" t="array" ref="M802:M802">IF(AND(INDEX(Profils!$G$5:$G$34,$AE802)&gt;0,INDEX(Profils!$V$5:$V$34,$AE802)&lt;=$AH802),ROUND(INDEX(Profils!$G$5:$G$34,$AE802)*Paramètres!$E$23*$AG802*$AJ802,Paramètres!$F$23),0)</f>
        <v>0</v>
      </c>
      <c r="N802" s="19" t="n">
        <f aca="false" t="array" ref="N802:N802">IF(AND(INDEX(Profils!$H$5:$H$34,$AE802)&gt;0,INDEX(Profils!$W$5:$W$34,$AE802)&lt;=$AH802),ROUND(INDEX(Profils!$H$5:$H$34,$AE802)*Paramètres!$E$24*$AG802*$AJ802,Paramètres!$F$24),0)</f>
        <v>0</v>
      </c>
      <c r="O802" s="19" t="n">
        <f aca="false" t="array" ref="O802:O802">IF(AND(INDEX(Profils!$I$5:$I$34,$AE802)&gt;0,INDEX(Profils!$X$5:$X$34,$AE802)&lt;=$AH802),ROUND(INDEX(Profils!$I$5:$I$34,$AE802)*Paramètres!$E$25*$AG802*$AJ802,Paramètres!$F$25),0)</f>
        <v>0</v>
      </c>
      <c r="P802" s="19" t="n">
        <f aca="false" t="array" ref="P802:P802">IF(AND(INDEX(Profils!$J$5:$J$34,$AE802)&gt;0,INDEX(Profils!$Y$5:$Y$34,$AE802)&lt;=$AH802),ROUND(INDEX(Profils!$J$5:$J$34,$AE802)*Paramètres!$E$26*$AG802*$AJ802,Paramètres!$F$26),0)</f>
        <v>9</v>
      </c>
      <c r="Q802" s="19" t="n">
        <f aca="false" t="array" ref="Q802:Q802">IF(AND(INDEX(Profils!$K$5:$K$34,$AE802)&gt;0,INDEX(Profils!$Z$5:$Z$34,$AE802)&lt;=$AH802),ROUND(INDEX(Profils!$K$5:$K$34,$AE802)*Paramètres!$E$27*$AG802*$AJ802,Paramètres!$F$27),0)</f>
        <v>0</v>
      </c>
      <c r="R802" s="20" t="n">
        <f aca="false" t="array" ref="R802:R802">IF(AND(INDEX(Profils!$L$5:$L$34,$AE802)&gt;0,INDEX(Profils!$AA$5:$AA$34,$AE802)&lt;=$AH802),ROUND(INDEX(Profils!$L$5:$L$34,$AE802)*Paramètres!$E$28*$AG802*$AJ802,Paramètres!$F$28),0)</f>
        <v>0.012</v>
      </c>
      <c r="S802" s="20" t="n">
        <f aca="false" t="array" ref="S802:S802">IF(AND(INDEX(Profils!$M$5:$M$34,$AE802)&gt;0,INDEX(Profils!$AB$5:$AB$34,$AE802)&lt;=$AH802),ROUND(INDEX(Profils!$M$5:$M$34,$AE802)*Paramètres!$E$29*$AG802*$AJ802,Paramètres!$F$29),0)</f>
        <v>0.012</v>
      </c>
      <c r="T802" s="20" t="n">
        <f aca="false" t="array" ref="T802:T802">IF(AND(INDEX(Profils!$N$5:$N$34,$AE802)&gt;0,INDEX(Profils!$AC$5:$AC$34,$AE802)&lt;=$AH802),ROUND(INDEX(Profils!$N$5:$N$34,$AE802)*Paramètres!$E$30*$AG802*$AJ802,Paramètres!$F$30),0)</f>
        <v>0.029</v>
      </c>
      <c r="U802" s="19" t="n">
        <f aca="false" t="array" ref="U802:U802">IF(AND(INDEX(Profils!$O$5:$O$34,$AE802)&gt;0,INDEX(Profils!$AD$5:$AD$34,$AE802)&lt;=$AH802),ROUND(INDEX(Profils!$O$5:$O$34,$AE802)*Paramètres!$E$31*$AG802*$AJ802,Paramètres!$F$31),0)</f>
        <v>0</v>
      </c>
      <c r="V802" s="20" t="n">
        <f aca="false" t="array" ref="V802:V802">IF(AND(INDEX(Profils!$P$5:$P$34,$AE802)&gt;0,INDEX(Profils!$AE$5:$AE$34,$AE802)&lt;=$AH802),ROUND(INDEX(Profils!$P$5:$P$34,$AE802)*Paramètres!$E$32*$AG802*$AJ802,Paramètres!$F$32),0)</f>
        <v>0.012</v>
      </c>
      <c r="W802" s="20" t="n">
        <f aca="false" t="array" ref="W802:W802">IF(AND(INDEX(Profils!$Q$5:$Q$34,$AE802)&gt;0,INDEX(Profils!$AF$5:$AF$34,$AE802)&lt;=$AH802),ROUND(INDEX(Profils!$Q$5:$Q$34,$AE802)*Paramètres!$E$33*$AG802*$AJ802,Paramètres!$F$33),0)</f>
        <v>0</v>
      </c>
      <c r="X802" s="20" t="n">
        <f aca="false" t="array" ref="X802:X802">IF(AND(INDEX(Profils!$R$5:$R$34,$AE802)&gt;0,INDEX(Profils!$AG$5:$AG$34,$AE802)&lt;=$AH802),ROUND(INDEX(Profils!$R$5:$R$34,$AE802)*Paramètres!$E$34*$AG802*$AJ802,Paramètres!$F$34),0)</f>
        <v>0</v>
      </c>
      <c r="Y802" s="20" t="n">
        <f aca="false" t="array" ref="Y802:Y802">IF(AND(INDEX(Profils!$S$5:$S$34,$AE802)&gt;0,INDEX(Profils!$AH$5:$AH$34,$AE802)&lt;=$AH802),ROUND(INDEX(Profils!$S$5:$S$34,$AE802)*Paramètres!$E$35*$AG802*$AJ802,Paramètres!$F$35),0)</f>
        <v>0</v>
      </c>
      <c r="Z802" s="21" t="n">
        <f aca="false">ROUND(L802/Paramètres!$E$22+M802/Paramètres!$E$23+N802/Paramètres!$E$24+O802/Paramètres!$E$25+P802/Paramètres!$E$26+Q802/Paramètres!$E$27+R802/Paramètres!$E$28+S802/Paramètres!$E$29+T802/Paramètres!$E$30+U802/Paramètres!$E$31+V802/Paramètres!$E$32+W802/Paramètres!$E$33+X802/Paramètres!$E$34+Y802/Paramètres!$E$35,1)</f>
        <v>4.3</v>
      </c>
      <c r="AA802" s="22" t="s">
        <v>109</v>
      </c>
      <c r="AB802" s="22" t="s">
        <v>109</v>
      </c>
      <c r="AC802" s="15" t="str">
        <f aca="false">$E802</f>
        <v>platine</v>
      </c>
      <c r="AD802" s="16" t="n">
        <f aca="false" t="array" ref="AD802:AD802">IF($I802&gt;=$AI802,"Max",ROUND(Paramètres!$B$40*($I802+1)^Paramètres!$B$41*INDEX(Paramètres!$H$6:$H$12,$AF802),0))</f>
        <v>5</v>
      </c>
      <c r="AE802" s="23" t="n">
        <f aca="false">MATCH($B802&amp;"|"&amp;$C802,Profils!$A$5:$A$34,0)</f>
        <v>26</v>
      </c>
      <c r="AF802" s="23" t="n">
        <v>4</v>
      </c>
      <c r="AG802" s="24" t="n">
        <f aca="false" t="array" ref="AG802:AG802">INDEX(Paramètres!$C$6:$C$12,$AF802)</f>
        <v>1.75</v>
      </c>
      <c r="AH802" s="23" t="n">
        <f aca="false" t="array" ref="AH802:AH802">INDEX(Paramètres!$D$6:$D$12,$AF802)</f>
        <v>5</v>
      </c>
      <c r="AI802" s="23" t="n">
        <f aca="false" t="array" ref="AI802:AI802">INDEX(Matériaux!$C$16:$C$20,$D802)</f>
        <v>25</v>
      </c>
      <c r="AJ802" s="25" t="n">
        <f aca="false">Paramètres!$B$16+(1-Paramètres!$B$16)*(($J802-Paramètres!$B$14)/(Paramètres!$B$15-Paramètres!$B$14))^Paramètres!$B$17</f>
        <v>0.458504333336152</v>
      </c>
    </row>
    <row r="803" customFormat="false" ht="15.75" hidden="false" customHeight="true" outlineLevel="0" collapsed="false">
      <c r="A803" s="14" t="s">
        <v>919</v>
      </c>
      <c r="B803" s="15" t="s">
        <v>31</v>
      </c>
      <c r="C803" s="15" t="s">
        <v>273</v>
      </c>
      <c r="D803" s="16" t="n">
        <v>4</v>
      </c>
      <c r="E803" s="15" t="str">
        <f aca="false" t="array" ref="E803:E803">INDEX(Matériaux!$B$5:$F$12,MATCH(INDEX(Profils!$E$5:$E$34,$AE803),Matériaux!$A$5:$A$12,0),$D803)</f>
        <v>platine</v>
      </c>
      <c r="F803" s="29" t="s">
        <v>117</v>
      </c>
      <c r="G803" s="10" t="str">
        <f aca="false" t="array" ref="G803:G803">INDEX(Profils!$D$5:$D$34,$AE803)&amp;" en "&amp;$E803</f>
        <v>Anneau de chasseur en platine</v>
      </c>
      <c r="H803" s="16" t="n">
        <f aca="false" t="array" ref="H803:H803">INDEX(Matériaux!$B$16:$B$20,$D803)</f>
        <v>50</v>
      </c>
      <c r="I803" s="16" t="n">
        <f aca="false">IF(ISNUMBER($C$3),MIN(MAX(0,ROUND($C$3,0)),$AI803),$AI803)</f>
        <v>0</v>
      </c>
      <c r="J803" s="18" t="n">
        <f aca="false">$H803+$I803</f>
        <v>50</v>
      </c>
      <c r="K803" s="15" t="s">
        <v>109</v>
      </c>
      <c r="L803" s="19" t="n">
        <f aca="false" t="array" ref="L803:L803">IF(AND(INDEX(Profils!$F$5:$F$34,$AE803)&gt;0,INDEX(Profils!$U$5:$U$34,$AE803)&lt;=$AH803),ROUND(INDEX(Profils!$F$5:$F$34,$AE803)*Paramètres!$E$22*$AG803*$AJ803,Paramètres!$F$22),0)</f>
        <v>14</v>
      </c>
      <c r="M803" s="19" t="n">
        <f aca="false" t="array" ref="M803:M803">IF(AND(INDEX(Profils!$G$5:$G$34,$AE803)&gt;0,INDEX(Profils!$V$5:$V$34,$AE803)&lt;=$AH803),ROUND(INDEX(Profils!$G$5:$G$34,$AE803)*Paramètres!$E$23*$AG803*$AJ803,Paramètres!$F$23),0)</f>
        <v>0</v>
      </c>
      <c r="N803" s="19" t="n">
        <f aca="false" t="array" ref="N803:N803">IF(AND(INDEX(Profils!$H$5:$H$34,$AE803)&gt;0,INDEX(Profils!$W$5:$W$34,$AE803)&lt;=$AH803),ROUND(INDEX(Profils!$H$5:$H$34,$AE803)*Paramètres!$E$24*$AG803*$AJ803,Paramètres!$F$24),0)</f>
        <v>0</v>
      </c>
      <c r="O803" s="19" t="n">
        <f aca="false" t="array" ref="O803:O803">IF(AND(INDEX(Profils!$I$5:$I$34,$AE803)&gt;0,INDEX(Profils!$X$5:$X$34,$AE803)&lt;=$AH803),ROUND(INDEX(Profils!$I$5:$I$34,$AE803)*Paramètres!$E$25*$AG803*$AJ803,Paramètres!$F$25),0)</f>
        <v>0</v>
      </c>
      <c r="P803" s="19" t="n">
        <f aca="false" t="array" ref="P803:P803">IF(AND(INDEX(Profils!$J$5:$J$34,$AE803)&gt;0,INDEX(Profils!$Y$5:$Y$34,$AE803)&lt;=$AH803),ROUND(INDEX(Profils!$J$5:$J$34,$AE803)*Paramètres!$E$26*$AG803*$AJ803,Paramètres!$F$26),0)</f>
        <v>10</v>
      </c>
      <c r="Q803" s="19" t="n">
        <f aca="false" t="array" ref="Q803:Q803">IF(AND(INDEX(Profils!$K$5:$K$34,$AE803)&gt;0,INDEX(Profils!$Z$5:$Z$34,$AE803)&lt;=$AH803),ROUND(INDEX(Profils!$K$5:$K$34,$AE803)*Paramètres!$E$27*$AG803*$AJ803,Paramètres!$F$27),0)</f>
        <v>0</v>
      </c>
      <c r="R803" s="20" t="n">
        <f aca="false" t="array" ref="R803:R803">IF(AND(INDEX(Profils!$L$5:$L$34,$AE803)&gt;0,INDEX(Profils!$AA$5:$AA$34,$AE803)&lt;=$AH803),ROUND(INDEX(Profils!$L$5:$L$34,$AE803)*Paramètres!$E$28*$AG803*$AJ803,Paramètres!$F$28),0)</f>
        <v>0.014</v>
      </c>
      <c r="S803" s="20" t="n">
        <f aca="false" t="array" ref="S803:S803">IF(AND(INDEX(Profils!$M$5:$M$34,$AE803)&gt;0,INDEX(Profils!$AB$5:$AB$34,$AE803)&lt;=$AH803),ROUND(INDEX(Profils!$M$5:$M$34,$AE803)*Paramètres!$E$29*$AG803*$AJ803,Paramètres!$F$29),0)</f>
        <v>0.014</v>
      </c>
      <c r="T803" s="20" t="n">
        <f aca="false" t="array" ref="T803:T803">IF(AND(INDEX(Profils!$N$5:$N$34,$AE803)&gt;0,INDEX(Profils!$AC$5:$AC$34,$AE803)&lt;=$AH803),ROUND(INDEX(Profils!$N$5:$N$34,$AE803)*Paramètres!$E$30*$AG803*$AJ803,Paramètres!$F$30),0)</f>
        <v>0.035</v>
      </c>
      <c r="U803" s="19" t="n">
        <f aca="false" t="array" ref="U803:U803">IF(AND(INDEX(Profils!$O$5:$O$34,$AE803)&gt;0,INDEX(Profils!$AD$5:$AD$34,$AE803)&lt;=$AH803),ROUND(INDEX(Profils!$O$5:$O$34,$AE803)*Paramètres!$E$31*$AG803*$AJ803,Paramètres!$F$31),0)</f>
        <v>0</v>
      </c>
      <c r="V803" s="20" t="n">
        <f aca="false" t="array" ref="V803:V803">IF(AND(INDEX(Profils!$P$5:$P$34,$AE803)&gt;0,INDEX(Profils!$AE$5:$AE$34,$AE803)&lt;=$AH803),ROUND(INDEX(Profils!$P$5:$P$34,$AE803)*Paramètres!$E$32*$AG803*$AJ803,Paramètres!$F$32),0)</f>
        <v>0.014</v>
      </c>
      <c r="W803" s="20" t="n">
        <f aca="false" t="array" ref="W803:W803">IF(AND(INDEX(Profils!$Q$5:$Q$34,$AE803)&gt;0,INDEX(Profils!$AF$5:$AF$34,$AE803)&lt;=$AH803),ROUND(INDEX(Profils!$Q$5:$Q$34,$AE803)*Paramètres!$E$33*$AG803*$AJ803,Paramètres!$F$33),0)</f>
        <v>0</v>
      </c>
      <c r="X803" s="20" t="n">
        <f aca="false" t="array" ref="X803:X803">IF(AND(INDEX(Profils!$R$5:$R$34,$AE803)&gt;0,INDEX(Profils!$AG$5:$AG$34,$AE803)&lt;=$AH803),ROUND(INDEX(Profils!$R$5:$R$34,$AE803)*Paramètres!$E$34*$AG803*$AJ803,Paramètres!$F$34),0)</f>
        <v>0</v>
      </c>
      <c r="Y803" s="20" t="n">
        <f aca="false" t="array" ref="Y803:Y803">IF(AND(INDEX(Profils!$S$5:$S$34,$AE803)&gt;0,INDEX(Profils!$AH$5:$AH$34,$AE803)&lt;=$AH803),ROUND(INDEX(Profils!$S$5:$S$34,$AE803)*Paramètres!$E$35*$AG803*$AJ803,Paramètres!$F$35),0)</f>
        <v>0</v>
      </c>
      <c r="Z803" s="21" t="n">
        <f aca="false">ROUND(L803/Paramètres!$E$22+M803/Paramètres!$E$23+N803/Paramètres!$E$24+O803/Paramètres!$E$25+P803/Paramètres!$E$26+Q803/Paramètres!$E$27+R803/Paramètres!$E$28+S803/Paramètres!$E$29+T803/Paramètres!$E$30+U803/Paramètres!$E$31+V803/Paramètres!$E$32+W803/Paramètres!$E$33+X803/Paramètres!$E$34+Y803/Paramètres!$E$35,1)</f>
        <v>5.6</v>
      </c>
      <c r="AA803" s="22" t="s">
        <v>109</v>
      </c>
      <c r="AB803" s="22" t="s">
        <v>109</v>
      </c>
      <c r="AC803" s="15" t="str">
        <f aca="false">$E803</f>
        <v>platine</v>
      </c>
      <c r="AD803" s="16" t="n">
        <f aca="false" t="array" ref="AD803:AD803">IF($I803&gt;=$AI803,"Max",ROUND(Paramètres!$B$40*($I803+1)^Paramètres!$B$41*INDEX(Paramètres!$H$6:$H$12,$AF803),0))</f>
        <v>6</v>
      </c>
      <c r="AE803" s="23" t="n">
        <f aca="false">MATCH($B803&amp;"|"&amp;$C803,Profils!$A$5:$A$34,0)</f>
        <v>26</v>
      </c>
      <c r="AF803" s="23" t="n">
        <v>5</v>
      </c>
      <c r="AG803" s="24" t="n">
        <f aca="false" t="array" ref="AG803:AG803">INDEX(Paramètres!$C$6:$C$12,$AF803)</f>
        <v>2.1</v>
      </c>
      <c r="AH803" s="23" t="n">
        <f aca="false" t="array" ref="AH803:AH803">INDEX(Paramètres!$D$6:$D$12,$AF803)</f>
        <v>6</v>
      </c>
      <c r="AI803" s="23" t="n">
        <f aca="false" t="array" ref="AI803:AI803">INDEX(Matériaux!$C$16:$C$20,$D803)</f>
        <v>25</v>
      </c>
      <c r="AJ803" s="25" t="n">
        <f aca="false">Paramètres!$B$16+(1-Paramètres!$B$16)*(($J803-Paramètres!$B$14)/(Paramètres!$B$15-Paramètres!$B$14))^Paramètres!$B$17</f>
        <v>0.458504333336152</v>
      </c>
    </row>
    <row r="804" customFormat="false" ht="15.75" hidden="false" customHeight="true" outlineLevel="0" collapsed="false">
      <c r="A804" s="14" t="s">
        <v>920</v>
      </c>
      <c r="B804" s="15" t="s">
        <v>31</v>
      </c>
      <c r="C804" s="15" t="s">
        <v>273</v>
      </c>
      <c r="D804" s="16" t="n">
        <v>4</v>
      </c>
      <c r="E804" s="15" t="str">
        <f aca="false" t="array" ref="E804:E804">INDEX(Matériaux!$B$5:$F$12,MATCH(INDEX(Profils!$E$5:$E$34,$AE804),Matériaux!$A$5:$A$12,0),$D804)</f>
        <v>platine</v>
      </c>
      <c r="F804" s="30" t="s">
        <v>119</v>
      </c>
      <c r="G804" s="10" t="str">
        <f aca="false" t="array" ref="G804:G804">INDEX(Profils!$D$5:$D$34,$AE804)&amp;" en "&amp;$E804</f>
        <v>Anneau de chasseur en platine</v>
      </c>
      <c r="H804" s="16" t="n">
        <f aca="false" t="array" ref="H804:H804">INDEX(Matériaux!$B$16:$B$20,$D804)</f>
        <v>50</v>
      </c>
      <c r="I804" s="16" t="n">
        <f aca="false">IF(ISNUMBER($C$3),MIN(MAX(0,ROUND($C$3,0)),$AI804),$AI804)</f>
        <v>0</v>
      </c>
      <c r="J804" s="18" t="n">
        <f aca="false">$H804+$I804</f>
        <v>50</v>
      </c>
      <c r="K804" s="15" t="s">
        <v>109</v>
      </c>
      <c r="L804" s="19" t="n">
        <f aca="false" t="array" ref="L804:L804">IF(AND(INDEX(Profils!$F$5:$F$34,$AE804)&gt;0,INDEX(Profils!$U$5:$U$34,$AE804)&lt;=$AH804),ROUND(INDEX(Profils!$F$5:$F$34,$AE804)*Paramètres!$E$22*$AG804*$AJ804,Paramètres!$F$22),0)</f>
        <v>17</v>
      </c>
      <c r="M804" s="19" t="n">
        <f aca="false" t="array" ref="M804:M804">IF(AND(INDEX(Profils!$G$5:$G$34,$AE804)&gt;0,INDEX(Profils!$V$5:$V$34,$AE804)&lt;=$AH804),ROUND(INDEX(Profils!$G$5:$G$34,$AE804)*Paramètres!$E$23*$AG804*$AJ804,Paramètres!$F$23),0)</f>
        <v>8</v>
      </c>
      <c r="N804" s="19" t="n">
        <f aca="false" t="array" ref="N804:N804">IF(AND(INDEX(Profils!$H$5:$H$34,$AE804)&gt;0,INDEX(Profils!$W$5:$W$34,$AE804)&lt;=$AH804),ROUND(INDEX(Profils!$H$5:$H$34,$AE804)*Paramètres!$E$24*$AG804*$AJ804,Paramètres!$F$24),0)</f>
        <v>0</v>
      </c>
      <c r="O804" s="19" t="n">
        <f aca="false" t="array" ref="O804:O804">IF(AND(INDEX(Profils!$I$5:$I$34,$AE804)&gt;0,INDEX(Profils!$X$5:$X$34,$AE804)&lt;=$AH804),ROUND(INDEX(Profils!$I$5:$I$34,$AE804)*Paramètres!$E$25*$AG804*$AJ804,Paramètres!$F$25),0)</f>
        <v>0</v>
      </c>
      <c r="P804" s="19" t="n">
        <f aca="false" t="array" ref="P804:P804">IF(AND(INDEX(Profils!$J$5:$J$34,$AE804)&gt;0,INDEX(Profils!$Y$5:$Y$34,$AE804)&lt;=$AH804),ROUND(INDEX(Profils!$J$5:$J$34,$AE804)*Paramètres!$E$26*$AG804*$AJ804,Paramètres!$F$26),0)</f>
        <v>12</v>
      </c>
      <c r="Q804" s="19" t="n">
        <f aca="false" t="array" ref="Q804:Q804">IF(AND(INDEX(Profils!$K$5:$K$34,$AE804)&gt;0,INDEX(Profils!$Z$5:$Z$34,$AE804)&lt;=$AH804),ROUND(INDEX(Profils!$K$5:$K$34,$AE804)*Paramètres!$E$27*$AG804*$AJ804,Paramètres!$F$27),0)</f>
        <v>0</v>
      </c>
      <c r="R804" s="20" t="n">
        <f aca="false" t="array" ref="R804:R804">IF(AND(INDEX(Profils!$L$5:$L$34,$AE804)&gt;0,INDEX(Profils!$AA$5:$AA$34,$AE804)&lt;=$AH804),ROUND(INDEX(Profils!$L$5:$L$34,$AE804)*Paramètres!$E$28*$AG804*$AJ804,Paramètres!$F$28),0)</f>
        <v>0.017</v>
      </c>
      <c r="S804" s="20" t="n">
        <f aca="false" t="array" ref="S804:S804">IF(AND(INDEX(Profils!$M$5:$M$34,$AE804)&gt;0,INDEX(Profils!$AB$5:$AB$34,$AE804)&lt;=$AH804),ROUND(INDEX(Profils!$M$5:$M$34,$AE804)*Paramètres!$E$29*$AG804*$AJ804,Paramètres!$F$29),0)</f>
        <v>0.016</v>
      </c>
      <c r="T804" s="20" t="n">
        <f aca="false" t="array" ref="T804:T804">IF(AND(INDEX(Profils!$N$5:$N$34,$AE804)&gt;0,INDEX(Profils!$AC$5:$AC$34,$AE804)&lt;=$AH804),ROUND(INDEX(Profils!$N$5:$N$34,$AE804)*Paramètres!$E$30*$AG804*$AJ804,Paramètres!$F$30),0)</f>
        <v>0.04</v>
      </c>
      <c r="U804" s="19" t="n">
        <f aca="false" t="array" ref="U804:U804">IF(AND(INDEX(Profils!$O$5:$O$34,$AE804)&gt;0,INDEX(Profils!$AD$5:$AD$34,$AE804)&lt;=$AH804),ROUND(INDEX(Profils!$O$5:$O$34,$AE804)*Paramètres!$E$31*$AG804*$AJ804,Paramètres!$F$31),0)</f>
        <v>0</v>
      </c>
      <c r="V804" s="20" t="n">
        <f aca="false" t="array" ref="V804:V804">IF(AND(INDEX(Profils!$P$5:$P$34,$AE804)&gt;0,INDEX(Profils!$AE$5:$AE$34,$AE804)&lt;=$AH804),ROUND(INDEX(Profils!$P$5:$P$34,$AE804)*Paramètres!$E$32*$AG804*$AJ804,Paramètres!$F$32),0)</f>
        <v>0.017</v>
      </c>
      <c r="W804" s="20" t="n">
        <f aca="false" t="array" ref="W804:W804">IF(AND(INDEX(Profils!$Q$5:$Q$34,$AE804)&gt;0,INDEX(Profils!$AF$5:$AF$34,$AE804)&lt;=$AH804),ROUND(INDEX(Profils!$Q$5:$Q$34,$AE804)*Paramètres!$E$33*$AG804*$AJ804,Paramètres!$F$33),0)</f>
        <v>0</v>
      </c>
      <c r="X804" s="20" t="n">
        <f aca="false" t="array" ref="X804:X804">IF(AND(INDEX(Profils!$R$5:$R$34,$AE804)&gt;0,INDEX(Profils!$AG$5:$AG$34,$AE804)&lt;=$AH804),ROUND(INDEX(Profils!$R$5:$R$34,$AE804)*Paramètres!$E$34*$AG804*$AJ804,Paramètres!$F$34),0)</f>
        <v>0</v>
      </c>
      <c r="Y804" s="20" t="n">
        <f aca="false" t="array" ref="Y804:Y804">IF(AND(INDEX(Profils!$S$5:$S$34,$AE804)&gt;0,INDEX(Profils!$AH$5:$AH$34,$AE804)&lt;=$AH804),ROUND(INDEX(Profils!$S$5:$S$34,$AE804)*Paramètres!$E$35*$AG804*$AJ804,Paramètres!$F$35),0)</f>
        <v>0</v>
      </c>
      <c r="Z804" s="21" t="n">
        <f aca="false">ROUND(L804/Paramètres!$E$22+M804/Paramètres!$E$23+N804/Paramètres!$E$24+O804/Paramètres!$E$25+P804/Paramètres!$E$26+Q804/Paramètres!$E$27+R804/Paramètres!$E$28+S804/Paramètres!$E$29+T804/Paramètres!$E$30+U804/Paramètres!$E$31+V804/Paramètres!$E$32+W804/Paramètres!$E$33+X804/Paramètres!$E$34+Y804/Paramètres!$E$35,1)</f>
        <v>7.1</v>
      </c>
      <c r="AA804" s="22" t="s">
        <v>109</v>
      </c>
      <c r="AB804" s="22" t="s">
        <v>109</v>
      </c>
      <c r="AC804" s="15" t="str">
        <f aca="false">$E804</f>
        <v>platine</v>
      </c>
      <c r="AD804" s="16" t="n">
        <f aca="false" t="array" ref="AD804:AD804">IF($I804&gt;=$AI804,"Max",ROUND(Paramètres!$B$40*($I804+1)^Paramètres!$B$41*INDEX(Paramètres!$H$6:$H$12,$AF804),0))</f>
        <v>8</v>
      </c>
      <c r="AE804" s="23" t="n">
        <f aca="false">MATCH($B804&amp;"|"&amp;$C804,Profils!$A$5:$A$34,0)</f>
        <v>26</v>
      </c>
      <c r="AF804" s="23" t="n">
        <v>6</v>
      </c>
      <c r="AG804" s="24" t="n">
        <f aca="false" t="array" ref="AG804:AG804">INDEX(Paramètres!$C$6:$C$12,$AF804)</f>
        <v>2.4</v>
      </c>
      <c r="AH804" s="23" t="n">
        <f aca="false" t="array" ref="AH804:AH804">INDEX(Paramètres!$D$6:$D$12,$AF804)</f>
        <v>7</v>
      </c>
      <c r="AI804" s="23" t="n">
        <f aca="false" t="array" ref="AI804:AI804">INDEX(Matériaux!$C$16:$C$20,$D804)</f>
        <v>25</v>
      </c>
      <c r="AJ804" s="25" t="n">
        <f aca="false">Paramètres!$B$16+(1-Paramètres!$B$16)*(($J804-Paramètres!$B$14)/(Paramètres!$B$15-Paramètres!$B$14))^Paramètres!$B$17</f>
        <v>0.458504333336152</v>
      </c>
    </row>
    <row r="805" customFormat="false" ht="15.75" hidden="false" customHeight="true" outlineLevel="0" collapsed="false">
      <c r="A805" s="14" t="s">
        <v>921</v>
      </c>
      <c r="B805" s="15" t="s">
        <v>31</v>
      </c>
      <c r="C805" s="15" t="s">
        <v>273</v>
      </c>
      <c r="D805" s="16" t="n">
        <v>5</v>
      </c>
      <c r="E805" s="15" t="str">
        <f aca="false" t="array" ref="E805:E805">INDEX(Matériaux!$B$5:$F$12,MATCH(INDEX(Profils!$E$5:$E$34,$AE805),Matériaux!$A$5:$A$12,0),$D805)</f>
        <v>orichalque</v>
      </c>
      <c r="F805" s="17" t="s">
        <v>108</v>
      </c>
      <c r="G805" s="10" t="str">
        <f aca="false" t="array" ref="G805:G805">INDEX(Profils!$D$5:$D$34,$AE805)&amp;" en "&amp;$E805</f>
        <v>Anneau de chasseur en orichalque</v>
      </c>
      <c r="H805" s="16" t="n">
        <f aca="false" t="array" ref="H805:H805">INDEX(Matériaux!$B$16:$B$20,$D805)</f>
        <v>70</v>
      </c>
      <c r="I805" s="16" t="n">
        <f aca="false">IF(ISNUMBER($C$3),MIN(MAX(0,ROUND($C$3,0)),$AI805),$AI805)</f>
        <v>0</v>
      </c>
      <c r="J805" s="18" t="n">
        <f aca="false">$H805+$I805</f>
        <v>70</v>
      </c>
      <c r="K805" s="15" t="s">
        <v>109</v>
      </c>
      <c r="L805" s="19" t="n">
        <f aca="false" t="array" ref="L805:L805">IF(AND(INDEX(Profils!$F$5:$F$34,$AE805)&gt;0,INDEX(Profils!$U$5:$U$34,$AE805)&lt;=$AH805),ROUND(INDEX(Profils!$F$5:$F$34,$AE805)*Paramètres!$E$22*$AG805*$AJ805,Paramètres!$F$22),0)</f>
        <v>0</v>
      </c>
      <c r="M805" s="19" t="n">
        <f aca="false" t="array" ref="M805:M805">IF(AND(INDEX(Profils!$G$5:$G$34,$AE805)&gt;0,INDEX(Profils!$V$5:$V$34,$AE805)&lt;=$AH805),ROUND(INDEX(Profils!$G$5:$G$34,$AE805)*Paramètres!$E$23*$AG805*$AJ805,Paramètres!$F$23),0)</f>
        <v>0</v>
      </c>
      <c r="N805" s="19" t="n">
        <f aca="false" t="array" ref="N805:N805">IF(AND(INDEX(Profils!$H$5:$H$34,$AE805)&gt;0,INDEX(Profils!$W$5:$W$34,$AE805)&lt;=$AH805),ROUND(INDEX(Profils!$H$5:$H$34,$AE805)*Paramètres!$E$24*$AG805*$AJ805,Paramètres!$F$24),0)</f>
        <v>0</v>
      </c>
      <c r="O805" s="19" t="n">
        <f aca="false" t="array" ref="O805:O805">IF(AND(INDEX(Profils!$I$5:$I$34,$AE805)&gt;0,INDEX(Profils!$X$5:$X$34,$AE805)&lt;=$AH805),ROUND(INDEX(Profils!$I$5:$I$34,$AE805)*Paramètres!$E$25*$AG805*$AJ805,Paramètres!$F$25),0)</f>
        <v>0</v>
      </c>
      <c r="P805" s="19" t="n">
        <f aca="false" t="array" ref="P805:P805">IF(AND(INDEX(Profils!$J$5:$J$34,$AE805)&gt;0,INDEX(Profils!$Y$5:$Y$34,$AE805)&lt;=$AH805),ROUND(INDEX(Profils!$J$5:$J$34,$AE805)*Paramètres!$E$26*$AG805*$AJ805,Paramètres!$F$26),0)</f>
        <v>0</v>
      </c>
      <c r="Q805" s="19" t="n">
        <f aca="false" t="array" ref="Q805:Q805">IF(AND(INDEX(Profils!$K$5:$K$34,$AE805)&gt;0,INDEX(Profils!$Z$5:$Z$34,$AE805)&lt;=$AH805),ROUND(INDEX(Profils!$K$5:$K$34,$AE805)*Paramètres!$E$27*$AG805*$AJ805,Paramètres!$F$27),0)</f>
        <v>0</v>
      </c>
      <c r="R805" s="20" t="n">
        <f aca="false" t="array" ref="R805:R805">IF(AND(INDEX(Profils!$L$5:$L$34,$AE805)&gt;0,INDEX(Profils!$AA$5:$AA$34,$AE805)&lt;=$AH805),ROUND(INDEX(Profils!$L$5:$L$34,$AE805)*Paramètres!$E$28*$AG805*$AJ805,Paramètres!$F$28),0)</f>
        <v>0</v>
      </c>
      <c r="S805" s="20" t="n">
        <f aca="false" t="array" ref="S805:S805">IF(AND(INDEX(Profils!$M$5:$M$34,$AE805)&gt;0,INDEX(Profils!$AB$5:$AB$34,$AE805)&lt;=$AH805),ROUND(INDEX(Profils!$M$5:$M$34,$AE805)*Paramètres!$E$29*$AG805*$AJ805,Paramètres!$F$29),0)</f>
        <v>0.01</v>
      </c>
      <c r="T805" s="20" t="n">
        <f aca="false" t="array" ref="T805:T805">IF(AND(INDEX(Profils!$N$5:$N$34,$AE805)&gt;0,INDEX(Profils!$AC$5:$AC$34,$AE805)&lt;=$AH805),ROUND(INDEX(Profils!$N$5:$N$34,$AE805)*Paramètres!$E$30*$AG805*$AJ805,Paramètres!$F$30),0)</f>
        <v>0.024</v>
      </c>
      <c r="U805" s="19" t="n">
        <f aca="false" t="array" ref="U805:U805">IF(AND(INDEX(Profils!$O$5:$O$34,$AE805)&gt;0,INDEX(Profils!$AD$5:$AD$34,$AE805)&lt;=$AH805),ROUND(INDEX(Profils!$O$5:$O$34,$AE805)*Paramètres!$E$31*$AG805*$AJ805,Paramètres!$F$31),0)</f>
        <v>0</v>
      </c>
      <c r="V805" s="20" t="n">
        <f aca="false" t="array" ref="V805:V805">IF(AND(INDEX(Profils!$P$5:$P$34,$AE805)&gt;0,INDEX(Profils!$AE$5:$AE$34,$AE805)&lt;=$AH805),ROUND(INDEX(Profils!$P$5:$P$34,$AE805)*Paramètres!$E$32*$AG805*$AJ805,Paramètres!$F$32),0)</f>
        <v>0</v>
      </c>
      <c r="W805" s="20" t="n">
        <f aca="false" t="array" ref="W805:W805">IF(AND(INDEX(Profils!$Q$5:$Q$34,$AE805)&gt;0,INDEX(Profils!$AF$5:$AF$34,$AE805)&lt;=$AH805),ROUND(INDEX(Profils!$Q$5:$Q$34,$AE805)*Paramètres!$E$33*$AG805*$AJ805,Paramètres!$F$33),0)</f>
        <v>0</v>
      </c>
      <c r="X805" s="20" t="n">
        <f aca="false" t="array" ref="X805:X805">IF(AND(INDEX(Profils!$R$5:$R$34,$AE805)&gt;0,INDEX(Profils!$AG$5:$AG$34,$AE805)&lt;=$AH805),ROUND(INDEX(Profils!$R$5:$R$34,$AE805)*Paramètres!$E$34*$AG805*$AJ805,Paramètres!$F$34),0)</f>
        <v>0</v>
      </c>
      <c r="Y805" s="20" t="n">
        <f aca="false" t="array" ref="Y805:Y805">IF(AND(INDEX(Profils!$S$5:$S$34,$AE805)&gt;0,INDEX(Profils!$AH$5:$AH$34,$AE805)&lt;=$AH805),ROUND(INDEX(Profils!$S$5:$S$34,$AE805)*Paramètres!$E$35*$AG805*$AJ805,Paramètres!$F$35),0)</f>
        <v>0</v>
      </c>
      <c r="Z805" s="21" t="n">
        <f aca="false">ROUND(L805/Paramètres!$E$22+M805/Paramètres!$E$23+N805/Paramètres!$E$24+O805/Paramètres!$E$25+P805/Paramètres!$E$26+Q805/Paramètres!$E$27+R805/Paramètres!$E$28+S805/Paramètres!$E$29+T805/Paramètres!$E$30+U805/Paramètres!$E$31+V805/Paramètres!$E$32+W805/Paramètres!$E$33+X805/Paramètres!$E$34+Y805/Paramètres!$E$35,1)</f>
        <v>1.6</v>
      </c>
      <c r="AA805" s="22" t="s">
        <v>109</v>
      </c>
      <c r="AB805" s="22" t="s">
        <v>109</v>
      </c>
      <c r="AC805" s="15" t="str">
        <f aca="false">$E805</f>
        <v>orichalque</v>
      </c>
      <c r="AD805" s="16" t="n">
        <f aca="false" t="array" ref="AD805:AD805">IF($I805&gt;=$AI805,"Max",ROUND(Paramètres!$B$40*($I805+1)^Paramètres!$B$41*INDEX(Paramètres!$H$6:$H$12,$AF805),0))</f>
        <v>3</v>
      </c>
      <c r="AE805" s="23" t="n">
        <f aca="false">MATCH($B805&amp;"|"&amp;$C805,Profils!$A$5:$A$34,0)</f>
        <v>26</v>
      </c>
      <c r="AF805" s="23" t="n">
        <v>1</v>
      </c>
      <c r="AG805" s="24" t="n">
        <f aca="false" t="array" ref="AG805:AG805">INDEX(Paramètres!$C$6:$C$12,$AF805)</f>
        <v>1</v>
      </c>
      <c r="AH805" s="23" t="n">
        <f aca="false" t="array" ref="AH805:AH805">INDEX(Paramètres!$D$6:$D$12,$AF805)</f>
        <v>2</v>
      </c>
      <c r="AI805" s="23" t="n">
        <f aca="false" t="array" ref="AI805:AI805">INDEX(Matériaux!$C$16:$C$20,$D805)</f>
        <v>30</v>
      </c>
      <c r="AJ805" s="25" t="n">
        <f aca="false">Paramètres!$B$16+(1-Paramètres!$B$16)*(($J805-Paramètres!$B$14)/(Paramètres!$B$15-Paramètres!$B$14))^Paramètres!$B$17</f>
        <v>0.665999387952727</v>
      </c>
    </row>
    <row r="806" customFormat="false" ht="15.75" hidden="false" customHeight="true" outlineLevel="0" collapsed="false">
      <c r="A806" s="14" t="s">
        <v>922</v>
      </c>
      <c r="B806" s="15" t="s">
        <v>31</v>
      </c>
      <c r="C806" s="15" t="s">
        <v>273</v>
      </c>
      <c r="D806" s="16" t="n">
        <v>5</v>
      </c>
      <c r="E806" s="15" t="str">
        <f aca="false" t="array" ref="E806:E806">INDEX(Matériaux!$B$5:$F$12,MATCH(INDEX(Profils!$E$5:$E$34,$AE806),Matériaux!$A$5:$A$12,0),$D806)</f>
        <v>orichalque</v>
      </c>
      <c r="F806" s="26" t="s">
        <v>111</v>
      </c>
      <c r="G806" s="10" t="str">
        <f aca="false" t="array" ref="G806:G806">INDEX(Profils!$D$5:$D$34,$AE806)&amp;" en "&amp;$E806</f>
        <v>Anneau de chasseur en orichalque</v>
      </c>
      <c r="H806" s="16" t="n">
        <f aca="false" t="array" ref="H806:H806">INDEX(Matériaux!$B$16:$B$20,$D806)</f>
        <v>70</v>
      </c>
      <c r="I806" s="16" t="n">
        <f aca="false">IF(ISNUMBER($C$3),MIN(MAX(0,ROUND($C$3,0)),$AI806),$AI806)</f>
        <v>0</v>
      </c>
      <c r="J806" s="18" t="n">
        <f aca="false">$H806+$I806</f>
        <v>70</v>
      </c>
      <c r="K806" s="15" t="s">
        <v>109</v>
      </c>
      <c r="L806" s="19" t="n">
        <f aca="false" t="array" ref="L806:L806">IF(AND(INDEX(Profils!$F$5:$F$34,$AE806)&gt;0,INDEX(Profils!$U$5:$U$34,$AE806)&lt;=$AH806),ROUND(INDEX(Profils!$F$5:$F$34,$AE806)*Paramètres!$E$22*$AG806*$AJ806,Paramètres!$F$22),0)</f>
        <v>0</v>
      </c>
      <c r="M806" s="19" t="n">
        <f aca="false" t="array" ref="M806:M806">IF(AND(INDEX(Profils!$G$5:$G$34,$AE806)&gt;0,INDEX(Profils!$V$5:$V$34,$AE806)&lt;=$AH806),ROUND(INDEX(Profils!$G$5:$G$34,$AE806)*Paramètres!$E$23*$AG806*$AJ806,Paramètres!$F$23),0)</f>
        <v>0</v>
      </c>
      <c r="N806" s="19" t="n">
        <f aca="false" t="array" ref="N806:N806">IF(AND(INDEX(Profils!$H$5:$H$34,$AE806)&gt;0,INDEX(Profils!$W$5:$W$34,$AE806)&lt;=$AH806),ROUND(INDEX(Profils!$H$5:$H$34,$AE806)*Paramètres!$E$24*$AG806*$AJ806,Paramètres!$F$24),0)</f>
        <v>0</v>
      </c>
      <c r="O806" s="19" t="n">
        <f aca="false" t="array" ref="O806:O806">IF(AND(INDEX(Profils!$I$5:$I$34,$AE806)&gt;0,INDEX(Profils!$X$5:$X$34,$AE806)&lt;=$AH806),ROUND(INDEX(Profils!$I$5:$I$34,$AE806)*Paramètres!$E$25*$AG806*$AJ806,Paramètres!$F$25),0)</f>
        <v>0</v>
      </c>
      <c r="P806" s="19" t="n">
        <f aca="false" t="array" ref="P806:P806">IF(AND(INDEX(Profils!$J$5:$J$34,$AE806)&gt;0,INDEX(Profils!$Y$5:$Y$34,$AE806)&lt;=$AH806),ROUND(INDEX(Profils!$J$5:$J$34,$AE806)*Paramètres!$E$26*$AG806*$AJ806,Paramètres!$F$26),0)</f>
        <v>0</v>
      </c>
      <c r="Q806" s="19" t="n">
        <f aca="false" t="array" ref="Q806:Q806">IF(AND(INDEX(Profils!$K$5:$K$34,$AE806)&gt;0,INDEX(Profils!$Z$5:$Z$34,$AE806)&lt;=$AH806),ROUND(INDEX(Profils!$K$5:$K$34,$AE806)*Paramètres!$E$27*$AG806*$AJ806,Paramètres!$F$27),0)</f>
        <v>0</v>
      </c>
      <c r="R806" s="20" t="n">
        <f aca="false" t="array" ref="R806:R806">IF(AND(INDEX(Profils!$L$5:$L$34,$AE806)&gt;0,INDEX(Profils!$AA$5:$AA$34,$AE806)&lt;=$AH806),ROUND(INDEX(Profils!$L$5:$L$34,$AE806)*Paramètres!$E$28*$AG806*$AJ806,Paramètres!$F$28),0)</f>
        <v>0.012</v>
      </c>
      <c r="S806" s="20" t="n">
        <f aca="false" t="array" ref="S806:S806">IF(AND(INDEX(Profils!$M$5:$M$34,$AE806)&gt;0,INDEX(Profils!$AB$5:$AB$34,$AE806)&lt;=$AH806),ROUND(INDEX(Profils!$M$5:$M$34,$AE806)*Paramètres!$E$29*$AG806*$AJ806,Paramètres!$F$29),0)</f>
        <v>0.012</v>
      </c>
      <c r="T806" s="20" t="n">
        <f aca="false" t="array" ref="T806:T806">IF(AND(INDEX(Profils!$N$5:$N$34,$AE806)&gt;0,INDEX(Profils!$AC$5:$AC$34,$AE806)&lt;=$AH806),ROUND(INDEX(Profils!$N$5:$N$34,$AE806)*Paramètres!$E$30*$AG806*$AJ806,Paramètres!$F$30),0)</f>
        <v>0.029</v>
      </c>
      <c r="U806" s="19" t="n">
        <f aca="false" t="array" ref="U806:U806">IF(AND(INDEX(Profils!$O$5:$O$34,$AE806)&gt;0,INDEX(Profils!$AD$5:$AD$34,$AE806)&lt;=$AH806),ROUND(INDEX(Profils!$O$5:$O$34,$AE806)*Paramètres!$E$31*$AG806*$AJ806,Paramètres!$F$31),0)</f>
        <v>0</v>
      </c>
      <c r="V806" s="20" t="n">
        <f aca="false" t="array" ref="V806:V806">IF(AND(INDEX(Profils!$P$5:$P$34,$AE806)&gt;0,INDEX(Profils!$AE$5:$AE$34,$AE806)&lt;=$AH806),ROUND(INDEX(Profils!$P$5:$P$34,$AE806)*Paramètres!$E$32*$AG806*$AJ806,Paramètres!$F$32),0)</f>
        <v>0</v>
      </c>
      <c r="W806" s="20" t="n">
        <f aca="false" t="array" ref="W806:W806">IF(AND(INDEX(Profils!$Q$5:$Q$34,$AE806)&gt;0,INDEX(Profils!$AF$5:$AF$34,$AE806)&lt;=$AH806),ROUND(INDEX(Profils!$Q$5:$Q$34,$AE806)*Paramètres!$E$33*$AG806*$AJ806,Paramètres!$F$33),0)</f>
        <v>0</v>
      </c>
      <c r="X806" s="20" t="n">
        <f aca="false" t="array" ref="X806:X806">IF(AND(INDEX(Profils!$R$5:$R$34,$AE806)&gt;0,INDEX(Profils!$AG$5:$AG$34,$AE806)&lt;=$AH806),ROUND(INDEX(Profils!$R$5:$R$34,$AE806)*Paramètres!$E$34*$AG806*$AJ806,Paramètres!$F$34),0)</f>
        <v>0</v>
      </c>
      <c r="Y806" s="20" t="n">
        <f aca="false" t="array" ref="Y806:Y806">IF(AND(INDEX(Profils!$S$5:$S$34,$AE806)&gt;0,INDEX(Profils!$AH$5:$AH$34,$AE806)&lt;=$AH806),ROUND(INDEX(Profils!$S$5:$S$34,$AE806)*Paramètres!$E$35*$AG806*$AJ806,Paramètres!$F$35),0)</f>
        <v>0</v>
      </c>
      <c r="Z806" s="21" t="n">
        <f aca="false">ROUND(L806/Paramètres!$E$22+M806/Paramètres!$E$23+N806/Paramètres!$E$24+O806/Paramètres!$E$25+P806/Paramètres!$E$26+Q806/Paramètres!$E$27+R806/Paramètres!$E$28+S806/Paramètres!$E$29+T806/Paramètres!$E$30+U806/Paramètres!$E$31+V806/Paramètres!$E$32+W806/Paramètres!$E$33+X806/Paramètres!$E$34+Y806/Paramètres!$E$35,1)</f>
        <v>2.8</v>
      </c>
      <c r="AA806" s="22" t="s">
        <v>109</v>
      </c>
      <c r="AB806" s="22" t="s">
        <v>109</v>
      </c>
      <c r="AC806" s="15" t="str">
        <f aca="false">$E806</f>
        <v>orichalque</v>
      </c>
      <c r="AD806" s="16" t="n">
        <f aca="false" t="array" ref="AD806:AD806">IF($I806&gt;=$AI806,"Max",ROUND(Paramètres!$B$40*($I806+1)^Paramètres!$B$41*INDEX(Paramètres!$H$6:$H$12,$AF806),0))</f>
        <v>4</v>
      </c>
      <c r="AE806" s="23" t="n">
        <f aca="false">MATCH($B806&amp;"|"&amp;$C806,Profils!$A$5:$A$34,0)</f>
        <v>26</v>
      </c>
      <c r="AF806" s="23" t="n">
        <v>2</v>
      </c>
      <c r="AG806" s="24" t="n">
        <f aca="false" t="array" ref="AG806:AG806">INDEX(Paramètres!$C$6:$C$12,$AF806)</f>
        <v>1.2</v>
      </c>
      <c r="AH806" s="23" t="n">
        <f aca="false" t="array" ref="AH806:AH806">INDEX(Paramètres!$D$6:$D$12,$AF806)</f>
        <v>3</v>
      </c>
      <c r="AI806" s="23" t="n">
        <f aca="false" t="array" ref="AI806:AI806">INDEX(Matériaux!$C$16:$C$20,$D806)</f>
        <v>30</v>
      </c>
      <c r="AJ806" s="25" t="n">
        <f aca="false">Paramètres!$B$16+(1-Paramètres!$B$16)*(($J806-Paramètres!$B$14)/(Paramètres!$B$15-Paramètres!$B$14))^Paramètres!$B$17</f>
        <v>0.665999387952727</v>
      </c>
    </row>
    <row r="807" customFormat="false" ht="15.75" hidden="false" customHeight="true" outlineLevel="0" collapsed="false">
      <c r="A807" s="14" t="s">
        <v>923</v>
      </c>
      <c r="B807" s="15" t="s">
        <v>31</v>
      </c>
      <c r="C807" s="15" t="s">
        <v>273</v>
      </c>
      <c r="D807" s="16" t="n">
        <v>5</v>
      </c>
      <c r="E807" s="15" t="str">
        <f aca="false" t="array" ref="E807:E807">INDEX(Matériaux!$B$5:$F$12,MATCH(INDEX(Profils!$E$5:$E$34,$AE807),Matériaux!$A$5:$A$12,0),$D807)</f>
        <v>orichalque</v>
      </c>
      <c r="F807" s="27" t="s">
        <v>113</v>
      </c>
      <c r="G807" s="10" t="str">
        <f aca="false" t="array" ref="G807:G807">INDEX(Profils!$D$5:$D$34,$AE807)&amp;" en "&amp;$E807</f>
        <v>Anneau de chasseur en orichalque</v>
      </c>
      <c r="H807" s="16" t="n">
        <f aca="false" t="array" ref="H807:H807">INDEX(Matériaux!$B$16:$B$20,$D807)</f>
        <v>70</v>
      </c>
      <c r="I807" s="16" t="n">
        <f aca="false">IF(ISNUMBER($C$3),MIN(MAX(0,ROUND($C$3,0)),$AI807),$AI807)</f>
        <v>0</v>
      </c>
      <c r="J807" s="18" t="n">
        <f aca="false">$H807+$I807</f>
        <v>70</v>
      </c>
      <c r="K807" s="15" t="s">
        <v>109</v>
      </c>
      <c r="L807" s="19" t="n">
        <f aca="false" t="array" ref="L807:L807">IF(AND(INDEX(Profils!$F$5:$F$34,$AE807)&gt;0,INDEX(Profils!$U$5:$U$34,$AE807)&lt;=$AH807),ROUND(INDEX(Profils!$F$5:$F$34,$AE807)*Paramètres!$E$22*$AG807*$AJ807,Paramètres!$F$22),0)</f>
        <v>0</v>
      </c>
      <c r="M807" s="19" t="n">
        <f aca="false" t="array" ref="M807:M807">IF(AND(INDEX(Profils!$G$5:$G$34,$AE807)&gt;0,INDEX(Profils!$V$5:$V$34,$AE807)&lt;=$AH807),ROUND(INDEX(Profils!$G$5:$G$34,$AE807)*Paramètres!$E$23*$AG807*$AJ807,Paramètres!$F$23),0)</f>
        <v>0</v>
      </c>
      <c r="N807" s="19" t="n">
        <f aca="false" t="array" ref="N807:N807">IF(AND(INDEX(Profils!$H$5:$H$34,$AE807)&gt;0,INDEX(Profils!$W$5:$W$34,$AE807)&lt;=$AH807),ROUND(INDEX(Profils!$H$5:$H$34,$AE807)*Paramètres!$E$24*$AG807*$AJ807,Paramètres!$F$24),0)</f>
        <v>0</v>
      </c>
      <c r="O807" s="19" t="n">
        <f aca="false" t="array" ref="O807:O807">IF(AND(INDEX(Profils!$I$5:$I$34,$AE807)&gt;0,INDEX(Profils!$X$5:$X$34,$AE807)&lt;=$AH807),ROUND(INDEX(Profils!$I$5:$I$34,$AE807)*Paramètres!$E$25*$AG807*$AJ807,Paramètres!$F$25),0)</f>
        <v>0</v>
      </c>
      <c r="P807" s="19" t="n">
        <f aca="false" t="array" ref="P807:P807">IF(AND(INDEX(Profils!$J$5:$J$34,$AE807)&gt;0,INDEX(Profils!$Y$5:$Y$34,$AE807)&lt;=$AH807),ROUND(INDEX(Profils!$J$5:$J$34,$AE807)*Paramètres!$E$26*$AG807*$AJ807,Paramètres!$F$26),0)</f>
        <v>0</v>
      </c>
      <c r="Q807" s="19" t="n">
        <f aca="false" t="array" ref="Q807:Q807">IF(AND(INDEX(Profils!$K$5:$K$34,$AE807)&gt;0,INDEX(Profils!$Z$5:$Z$34,$AE807)&lt;=$AH807),ROUND(INDEX(Profils!$K$5:$K$34,$AE807)*Paramètres!$E$27*$AG807*$AJ807,Paramètres!$F$27),0)</f>
        <v>0</v>
      </c>
      <c r="R807" s="20" t="n">
        <f aca="false" t="array" ref="R807:R807">IF(AND(INDEX(Profils!$L$5:$L$34,$AE807)&gt;0,INDEX(Profils!$AA$5:$AA$34,$AE807)&lt;=$AH807),ROUND(INDEX(Profils!$L$5:$L$34,$AE807)*Paramètres!$E$28*$AG807*$AJ807,Paramètres!$F$28),0)</f>
        <v>0.014</v>
      </c>
      <c r="S807" s="20" t="n">
        <f aca="false" t="array" ref="S807:S807">IF(AND(INDEX(Profils!$M$5:$M$34,$AE807)&gt;0,INDEX(Profils!$AB$5:$AB$34,$AE807)&lt;=$AH807),ROUND(INDEX(Profils!$M$5:$M$34,$AE807)*Paramètres!$E$29*$AG807*$AJ807,Paramètres!$F$29),0)</f>
        <v>0.014</v>
      </c>
      <c r="T807" s="20" t="n">
        <f aca="false" t="array" ref="T807:T807">IF(AND(INDEX(Profils!$N$5:$N$34,$AE807)&gt;0,INDEX(Profils!$AC$5:$AC$34,$AE807)&lt;=$AH807),ROUND(INDEX(Profils!$N$5:$N$34,$AE807)*Paramètres!$E$30*$AG807*$AJ807,Paramètres!$F$30),0)</f>
        <v>0.035</v>
      </c>
      <c r="U807" s="19" t="n">
        <f aca="false" t="array" ref="U807:U807">IF(AND(INDEX(Profils!$O$5:$O$34,$AE807)&gt;0,INDEX(Profils!$AD$5:$AD$34,$AE807)&lt;=$AH807),ROUND(INDEX(Profils!$O$5:$O$34,$AE807)*Paramètres!$E$31*$AG807*$AJ807,Paramètres!$F$31),0)</f>
        <v>0</v>
      </c>
      <c r="V807" s="20" t="n">
        <f aca="false" t="array" ref="V807:V807">IF(AND(INDEX(Profils!$P$5:$P$34,$AE807)&gt;0,INDEX(Profils!$AE$5:$AE$34,$AE807)&lt;=$AH807),ROUND(INDEX(Profils!$P$5:$P$34,$AE807)*Paramètres!$E$32*$AG807*$AJ807,Paramètres!$F$32),0)</f>
        <v>0.014</v>
      </c>
      <c r="W807" s="20" t="n">
        <f aca="false" t="array" ref="W807:W807">IF(AND(INDEX(Profils!$Q$5:$Q$34,$AE807)&gt;0,INDEX(Profils!$AF$5:$AF$34,$AE807)&lt;=$AH807),ROUND(INDEX(Profils!$Q$5:$Q$34,$AE807)*Paramètres!$E$33*$AG807*$AJ807,Paramètres!$F$33),0)</f>
        <v>0</v>
      </c>
      <c r="X807" s="20" t="n">
        <f aca="false" t="array" ref="X807:X807">IF(AND(INDEX(Profils!$R$5:$R$34,$AE807)&gt;0,INDEX(Profils!$AG$5:$AG$34,$AE807)&lt;=$AH807),ROUND(INDEX(Profils!$R$5:$R$34,$AE807)*Paramètres!$E$34*$AG807*$AJ807,Paramètres!$F$34),0)</f>
        <v>0</v>
      </c>
      <c r="Y807" s="20" t="n">
        <f aca="false" t="array" ref="Y807:Y807">IF(AND(INDEX(Profils!$S$5:$S$34,$AE807)&gt;0,INDEX(Profils!$AH$5:$AH$34,$AE807)&lt;=$AH807),ROUND(INDEX(Profils!$S$5:$S$34,$AE807)*Paramètres!$E$35*$AG807*$AJ807,Paramètres!$F$35),0)</f>
        <v>0</v>
      </c>
      <c r="Z807" s="21" t="n">
        <f aca="false">ROUND(L807/Paramètres!$E$22+M807/Paramètres!$E$23+N807/Paramètres!$E$24+O807/Paramètres!$E$25+P807/Paramètres!$E$26+Q807/Paramètres!$E$27+R807/Paramètres!$E$28+S807/Paramètres!$E$29+T807/Paramètres!$E$30+U807/Paramètres!$E$31+V807/Paramètres!$E$32+W807/Paramètres!$E$33+X807/Paramètres!$E$34+Y807/Paramètres!$E$35,1)</f>
        <v>4.2</v>
      </c>
      <c r="AA807" s="22" t="s">
        <v>109</v>
      </c>
      <c r="AB807" s="22" t="s">
        <v>109</v>
      </c>
      <c r="AC807" s="15" t="str">
        <f aca="false">$E807</f>
        <v>orichalque</v>
      </c>
      <c r="AD807" s="16" t="n">
        <f aca="false" t="array" ref="AD807:AD807">IF($I807&gt;=$AI807,"Max",ROUND(Paramètres!$B$40*($I807+1)^Paramètres!$B$41*INDEX(Paramètres!$H$6:$H$12,$AF807),0))</f>
        <v>4</v>
      </c>
      <c r="AE807" s="23" t="n">
        <f aca="false">MATCH($B807&amp;"|"&amp;$C807,Profils!$A$5:$A$34,0)</f>
        <v>26</v>
      </c>
      <c r="AF807" s="23" t="n">
        <v>3</v>
      </c>
      <c r="AG807" s="24" t="n">
        <f aca="false" t="array" ref="AG807:AG807">INDEX(Paramètres!$C$6:$C$12,$AF807)</f>
        <v>1.45</v>
      </c>
      <c r="AH807" s="23" t="n">
        <f aca="false" t="array" ref="AH807:AH807">INDEX(Paramètres!$D$6:$D$12,$AF807)</f>
        <v>4</v>
      </c>
      <c r="AI807" s="23" t="n">
        <f aca="false" t="array" ref="AI807:AI807">INDEX(Matériaux!$C$16:$C$20,$D807)</f>
        <v>30</v>
      </c>
      <c r="AJ807" s="25" t="n">
        <f aca="false">Paramètres!$B$16+(1-Paramètres!$B$16)*(($J807-Paramètres!$B$14)/(Paramètres!$B$15-Paramètres!$B$14))^Paramètres!$B$17</f>
        <v>0.665999387952727</v>
      </c>
    </row>
    <row r="808" customFormat="false" ht="15.75" hidden="false" customHeight="true" outlineLevel="0" collapsed="false">
      <c r="A808" s="14" t="s">
        <v>924</v>
      </c>
      <c r="B808" s="15" t="s">
        <v>31</v>
      </c>
      <c r="C808" s="15" t="s">
        <v>273</v>
      </c>
      <c r="D808" s="16" t="n">
        <v>5</v>
      </c>
      <c r="E808" s="15" t="str">
        <f aca="false" t="array" ref="E808:E808">INDEX(Matériaux!$B$5:$F$12,MATCH(INDEX(Profils!$E$5:$E$34,$AE808),Matériaux!$A$5:$A$12,0),$D808)</f>
        <v>orichalque</v>
      </c>
      <c r="F808" s="28" t="s">
        <v>115</v>
      </c>
      <c r="G808" s="10" t="str">
        <f aca="false" t="array" ref="G808:G808">INDEX(Profils!$D$5:$D$34,$AE808)&amp;" en "&amp;$E808</f>
        <v>Anneau de chasseur en orichalque</v>
      </c>
      <c r="H808" s="16" t="n">
        <f aca="false" t="array" ref="H808:H808">INDEX(Matériaux!$B$16:$B$20,$D808)</f>
        <v>70</v>
      </c>
      <c r="I808" s="16" t="n">
        <f aca="false">IF(ISNUMBER($C$3),MIN(MAX(0,ROUND($C$3,0)),$AI808),$AI808)</f>
        <v>0</v>
      </c>
      <c r="J808" s="18" t="n">
        <f aca="false">$H808+$I808</f>
        <v>70</v>
      </c>
      <c r="K808" s="15" t="s">
        <v>109</v>
      </c>
      <c r="L808" s="19" t="n">
        <f aca="false" t="array" ref="L808:L808">IF(AND(INDEX(Profils!$F$5:$F$34,$AE808)&gt;0,INDEX(Profils!$U$5:$U$34,$AE808)&lt;=$AH808),ROUND(INDEX(Profils!$F$5:$F$34,$AE808)*Paramètres!$E$22*$AG808*$AJ808,Paramètres!$F$22),0)</f>
        <v>0</v>
      </c>
      <c r="M808" s="19" t="n">
        <f aca="false" t="array" ref="M808:M808">IF(AND(INDEX(Profils!$G$5:$G$34,$AE808)&gt;0,INDEX(Profils!$V$5:$V$34,$AE808)&lt;=$AH808),ROUND(INDEX(Profils!$G$5:$G$34,$AE808)*Paramètres!$E$23*$AG808*$AJ808,Paramètres!$F$23),0)</f>
        <v>0</v>
      </c>
      <c r="N808" s="19" t="n">
        <f aca="false" t="array" ref="N808:N808">IF(AND(INDEX(Profils!$H$5:$H$34,$AE808)&gt;0,INDEX(Profils!$W$5:$W$34,$AE808)&lt;=$AH808),ROUND(INDEX(Profils!$H$5:$H$34,$AE808)*Paramètres!$E$24*$AG808*$AJ808,Paramètres!$F$24),0)</f>
        <v>0</v>
      </c>
      <c r="O808" s="19" t="n">
        <f aca="false" t="array" ref="O808:O808">IF(AND(INDEX(Profils!$I$5:$I$34,$AE808)&gt;0,INDEX(Profils!$X$5:$X$34,$AE808)&lt;=$AH808),ROUND(INDEX(Profils!$I$5:$I$34,$AE808)*Paramètres!$E$25*$AG808*$AJ808,Paramètres!$F$25),0)</f>
        <v>0</v>
      </c>
      <c r="P808" s="19" t="n">
        <f aca="false" t="array" ref="P808:P808">IF(AND(INDEX(Profils!$J$5:$J$34,$AE808)&gt;0,INDEX(Profils!$Y$5:$Y$34,$AE808)&lt;=$AH808),ROUND(INDEX(Profils!$J$5:$J$34,$AE808)*Paramètres!$E$26*$AG808*$AJ808,Paramètres!$F$26),0)</f>
        <v>13</v>
      </c>
      <c r="Q808" s="19" t="n">
        <f aca="false" t="array" ref="Q808:Q808">IF(AND(INDEX(Profils!$K$5:$K$34,$AE808)&gt;0,INDEX(Profils!$Z$5:$Z$34,$AE808)&lt;=$AH808),ROUND(INDEX(Profils!$K$5:$K$34,$AE808)*Paramètres!$E$27*$AG808*$AJ808,Paramètres!$F$27),0)</f>
        <v>0</v>
      </c>
      <c r="R808" s="20" t="n">
        <f aca="false" t="array" ref="R808:R808">IF(AND(INDEX(Profils!$L$5:$L$34,$AE808)&gt;0,INDEX(Profils!$AA$5:$AA$34,$AE808)&lt;=$AH808),ROUND(INDEX(Profils!$L$5:$L$34,$AE808)*Paramètres!$E$28*$AG808*$AJ808,Paramètres!$F$28),0)</f>
        <v>0.017</v>
      </c>
      <c r="S808" s="20" t="n">
        <f aca="false" t="array" ref="S808:S808">IF(AND(INDEX(Profils!$M$5:$M$34,$AE808)&gt;0,INDEX(Profils!$AB$5:$AB$34,$AE808)&lt;=$AH808),ROUND(INDEX(Profils!$M$5:$M$34,$AE808)*Paramètres!$E$29*$AG808*$AJ808,Paramètres!$F$29),0)</f>
        <v>0.017</v>
      </c>
      <c r="T808" s="20" t="n">
        <f aca="false" t="array" ref="T808:T808">IF(AND(INDEX(Profils!$N$5:$N$34,$AE808)&gt;0,INDEX(Profils!$AC$5:$AC$34,$AE808)&lt;=$AH808),ROUND(INDEX(Profils!$N$5:$N$34,$AE808)*Paramètres!$E$30*$AG808*$AJ808,Paramètres!$F$30),0)</f>
        <v>0.042</v>
      </c>
      <c r="U808" s="19" t="n">
        <f aca="false" t="array" ref="U808:U808">IF(AND(INDEX(Profils!$O$5:$O$34,$AE808)&gt;0,INDEX(Profils!$AD$5:$AD$34,$AE808)&lt;=$AH808),ROUND(INDEX(Profils!$O$5:$O$34,$AE808)*Paramètres!$E$31*$AG808*$AJ808,Paramètres!$F$31),0)</f>
        <v>0</v>
      </c>
      <c r="V808" s="20" t="n">
        <f aca="false" t="array" ref="V808:V808">IF(AND(INDEX(Profils!$P$5:$P$34,$AE808)&gt;0,INDEX(Profils!$AE$5:$AE$34,$AE808)&lt;=$AH808),ROUND(INDEX(Profils!$P$5:$P$34,$AE808)*Paramètres!$E$32*$AG808*$AJ808,Paramètres!$F$32),0)</f>
        <v>0.017</v>
      </c>
      <c r="W808" s="20" t="n">
        <f aca="false" t="array" ref="W808:W808">IF(AND(INDEX(Profils!$Q$5:$Q$34,$AE808)&gt;0,INDEX(Profils!$AF$5:$AF$34,$AE808)&lt;=$AH808),ROUND(INDEX(Profils!$Q$5:$Q$34,$AE808)*Paramètres!$E$33*$AG808*$AJ808,Paramètres!$F$33),0)</f>
        <v>0</v>
      </c>
      <c r="X808" s="20" t="n">
        <f aca="false" t="array" ref="X808:X808">IF(AND(INDEX(Profils!$R$5:$R$34,$AE808)&gt;0,INDEX(Profils!$AG$5:$AG$34,$AE808)&lt;=$AH808),ROUND(INDEX(Profils!$R$5:$R$34,$AE808)*Paramètres!$E$34*$AG808*$AJ808,Paramètres!$F$34),0)</f>
        <v>0</v>
      </c>
      <c r="Y808" s="20" t="n">
        <f aca="false" t="array" ref="Y808:Y808">IF(AND(INDEX(Profils!$S$5:$S$34,$AE808)&gt;0,INDEX(Profils!$AH$5:$AH$34,$AE808)&lt;=$AH808),ROUND(INDEX(Profils!$S$5:$S$34,$AE808)*Paramètres!$E$35*$AG808*$AJ808,Paramètres!$F$35),0)</f>
        <v>0</v>
      </c>
      <c r="Z808" s="21" t="n">
        <f aca="false">ROUND(L808/Paramètres!$E$22+M808/Paramètres!$E$23+N808/Paramètres!$E$24+O808/Paramètres!$E$25+P808/Paramètres!$E$26+Q808/Paramètres!$E$27+R808/Paramètres!$E$28+S808/Paramètres!$E$29+T808/Paramètres!$E$30+U808/Paramètres!$E$31+V808/Paramètres!$E$32+W808/Paramètres!$E$33+X808/Paramètres!$E$34+Y808/Paramètres!$E$35,1)</f>
        <v>6.2</v>
      </c>
      <c r="AA808" s="22" t="s">
        <v>109</v>
      </c>
      <c r="AB808" s="22" t="s">
        <v>109</v>
      </c>
      <c r="AC808" s="15" t="str">
        <f aca="false">$E808</f>
        <v>orichalque</v>
      </c>
      <c r="AD808" s="16" t="n">
        <f aca="false" t="array" ref="AD808:AD808">IF($I808&gt;=$AI808,"Max",ROUND(Paramètres!$B$40*($I808+1)^Paramètres!$B$41*INDEX(Paramètres!$H$6:$H$12,$AF808),0))</f>
        <v>5</v>
      </c>
      <c r="AE808" s="23" t="n">
        <f aca="false">MATCH($B808&amp;"|"&amp;$C808,Profils!$A$5:$A$34,0)</f>
        <v>26</v>
      </c>
      <c r="AF808" s="23" t="n">
        <v>4</v>
      </c>
      <c r="AG808" s="24" t="n">
        <f aca="false" t="array" ref="AG808:AG808">INDEX(Paramètres!$C$6:$C$12,$AF808)</f>
        <v>1.75</v>
      </c>
      <c r="AH808" s="23" t="n">
        <f aca="false" t="array" ref="AH808:AH808">INDEX(Paramètres!$D$6:$D$12,$AF808)</f>
        <v>5</v>
      </c>
      <c r="AI808" s="23" t="n">
        <f aca="false" t="array" ref="AI808:AI808">INDEX(Matériaux!$C$16:$C$20,$D808)</f>
        <v>30</v>
      </c>
      <c r="AJ808" s="25" t="n">
        <f aca="false">Paramètres!$B$16+(1-Paramètres!$B$16)*(($J808-Paramètres!$B$14)/(Paramètres!$B$15-Paramètres!$B$14))^Paramètres!$B$17</f>
        <v>0.665999387952727</v>
      </c>
    </row>
    <row r="809" customFormat="false" ht="15.75" hidden="false" customHeight="true" outlineLevel="0" collapsed="false">
      <c r="A809" s="14" t="s">
        <v>925</v>
      </c>
      <c r="B809" s="15" t="s">
        <v>31</v>
      </c>
      <c r="C809" s="15" t="s">
        <v>273</v>
      </c>
      <c r="D809" s="16" t="n">
        <v>5</v>
      </c>
      <c r="E809" s="15" t="str">
        <f aca="false" t="array" ref="E809:E809">INDEX(Matériaux!$B$5:$F$12,MATCH(INDEX(Profils!$E$5:$E$34,$AE809),Matériaux!$A$5:$A$12,0),$D809)</f>
        <v>orichalque</v>
      </c>
      <c r="F809" s="29" t="s">
        <v>117</v>
      </c>
      <c r="G809" s="10" t="str">
        <f aca="false" t="array" ref="G809:G809">INDEX(Profils!$D$5:$D$34,$AE809)&amp;" en "&amp;$E809</f>
        <v>Anneau de chasseur en orichalque</v>
      </c>
      <c r="H809" s="16" t="n">
        <f aca="false" t="array" ref="H809:H809">INDEX(Matériaux!$B$16:$B$20,$D809)</f>
        <v>70</v>
      </c>
      <c r="I809" s="16" t="n">
        <f aca="false">IF(ISNUMBER($C$3),MIN(MAX(0,ROUND($C$3,0)),$AI809),$AI809)</f>
        <v>0</v>
      </c>
      <c r="J809" s="18" t="n">
        <f aca="false">$H809+$I809</f>
        <v>70</v>
      </c>
      <c r="K809" s="15" t="s">
        <v>109</v>
      </c>
      <c r="L809" s="19" t="n">
        <f aca="false" t="array" ref="L809:L809">IF(AND(INDEX(Profils!$F$5:$F$34,$AE809)&gt;0,INDEX(Profils!$U$5:$U$34,$AE809)&lt;=$AH809),ROUND(INDEX(Profils!$F$5:$F$34,$AE809)*Paramètres!$E$22*$AG809*$AJ809,Paramètres!$F$22),0)</f>
        <v>21</v>
      </c>
      <c r="M809" s="19" t="n">
        <f aca="false" t="array" ref="M809:M809">IF(AND(INDEX(Profils!$G$5:$G$34,$AE809)&gt;0,INDEX(Profils!$V$5:$V$34,$AE809)&lt;=$AH809),ROUND(INDEX(Profils!$G$5:$G$34,$AE809)*Paramètres!$E$23*$AG809*$AJ809,Paramètres!$F$23),0)</f>
        <v>0</v>
      </c>
      <c r="N809" s="19" t="n">
        <f aca="false" t="array" ref="N809:N809">IF(AND(INDEX(Profils!$H$5:$H$34,$AE809)&gt;0,INDEX(Profils!$W$5:$W$34,$AE809)&lt;=$AH809),ROUND(INDEX(Profils!$H$5:$H$34,$AE809)*Paramètres!$E$24*$AG809*$AJ809,Paramètres!$F$24),0)</f>
        <v>0</v>
      </c>
      <c r="O809" s="19" t="n">
        <f aca="false" t="array" ref="O809:O809">IF(AND(INDEX(Profils!$I$5:$I$34,$AE809)&gt;0,INDEX(Profils!$X$5:$X$34,$AE809)&lt;=$AH809),ROUND(INDEX(Profils!$I$5:$I$34,$AE809)*Paramètres!$E$25*$AG809*$AJ809,Paramètres!$F$25),0)</f>
        <v>0</v>
      </c>
      <c r="P809" s="19" t="n">
        <f aca="false" t="array" ref="P809:P809">IF(AND(INDEX(Profils!$J$5:$J$34,$AE809)&gt;0,INDEX(Profils!$Y$5:$Y$34,$AE809)&lt;=$AH809),ROUND(INDEX(Profils!$J$5:$J$34,$AE809)*Paramètres!$E$26*$AG809*$AJ809,Paramètres!$F$26),0)</f>
        <v>15</v>
      </c>
      <c r="Q809" s="19" t="n">
        <f aca="false" t="array" ref="Q809:Q809">IF(AND(INDEX(Profils!$K$5:$K$34,$AE809)&gt;0,INDEX(Profils!$Z$5:$Z$34,$AE809)&lt;=$AH809),ROUND(INDEX(Profils!$K$5:$K$34,$AE809)*Paramètres!$E$27*$AG809*$AJ809,Paramètres!$F$27),0)</f>
        <v>0</v>
      </c>
      <c r="R809" s="20" t="n">
        <f aca="false" t="array" ref="R809:R809">IF(AND(INDEX(Profils!$L$5:$L$34,$AE809)&gt;0,INDEX(Profils!$AA$5:$AA$34,$AE809)&lt;=$AH809),ROUND(INDEX(Profils!$L$5:$L$34,$AE809)*Paramètres!$E$28*$AG809*$AJ809,Paramètres!$F$28),0)</f>
        <v>0.021</v>
      </c>
      <c r="S809" s="20" t="n">
        <f aca="false" t="array" ref="S809:S809">IF(AND(INDEX(Profils!$M$5:$M$34,$AE809)&gt;0,INDEX(Profils!$AB$5:$AB$34,$AE809)&lt;=$AH809),ROUND(INDEX(Profils!$M$5:$M$34,$AE809)*Paramètres!$E$29*$AG809*$AJ809,Paramètres!$F$29),0)</f>
        <v>0.02</v>
      </c>
      <c r="T809" s="20" t="n">
        <f aca="false" t="array" ref="T809:T809">IF(AND(INDEX(Profils!$N$5:$N$34,$AE809)&gt;0,INDEX(Profils!$AC$5:$AC$34,$AE809)&lt;=$AH809),ROUND(INDEX(Profils!$N$5:$N$34,$AE809)*Paramètres!$E$30*$AG809*$AJ809,Paramètres!$F$30),0)</f>
        <v>0.05</v>
      </c>
      <c r="U809" s="19" t="n">
        <f aca="false" t="array" ref="U809:U809">IF(AND(INDEX(Profils!$O$5:$O$34,$AE809)&gt;0,INDEX(Profils!$AD$5:$AD$34,$AE809)&lt;=$AH809),ROUND(INDEX(Profils!$O$5:$O$34,$AE809)*Paramètres!$E$31*$AG809*$AJ809,Paramètres!$F$31),0)</f>
        <v>0</v>
      </c>
      <c r="V809" s="20" t="n">
        <f aca="false" t="array" ref="V809:V809">IF(AND(INDEX(Profils!$P$5:$P$34,$AE809)&gt;0,INDEX(Profils!$AE$5:$AE$34,$AE809)&lt;=$AH809),ROUND(INDEX(Profils!$P$5:$P$34,$AE809)*Paramètres!$E$32*$AG809*$AJ809,Paramètres!$F$32),0)</f>
        <v>0.021</v>
      </c>
      <c r="W809" s="20" t="n">
        <f aca="false" t="array" ref="W809:W809">IF(AND(INDEX(Profils!$Q$5:$Q$34,$AE809)&gt;0,INDEX(Profils!$AF$5:$AF$34,$AE809)&lt;=$AH809),ROUND(INDEX(Profils!$Q$5:$Q$34,$AE809)*Paramètres!$E$33*$AG809*$AJ809,Paramètres!$F$33),0)</f>
        <v>0</v>
      </c>
      <c r="X809" s="20" t="n">
        <f aca="false" t="array" ref="X809:X809">IF(AND(INDEX(Profils!$R$5:$R$34,$AE809)&gt;0,INDEX(Profils!$AG$5:$AG$34,$AE809)&lt;=$AH809),ROUND(INDEX(Profils!$R$5:$R$34,$AE809)*Paramètres!$E$34*$AG809*$AJ809,Paramètres!$F$34),0)</f>
        <v>0</v>
      </c>
      <c r="Y809" s="20" t="n">
        <f aca="false" t="array" ref="Y809:Y809">IF(AND(INDEX(Profils!$S$5:$S$34,$AE809)&gt;0,INDEX(Profils!$AH$5:$AH$34,$AE809)&lt;=$AH809),ROUND(INDEX(Profils!$S$5:$S$34,$AE809)*Paramètres!$E$35*$AG809*$AJ809,Paramètres!$F$35),0)</f>
        <v>0</v>
      </c>
      <c r="Z809" s="21" t="n">
        <f aca="false">ROUND(L809/Paramètres!$E$22+M809/Paramètres!$E$23+N809/Paramètres!$E$24+O809/Paramètres!$E$25+P809/Paramètres!$E$26+Q809/Paramètres!$E$27+R809/Paramètres!$E$28+S809/Paramètres!$E$29+T809/Paramètres!$E$30+U809/Paramètres!$E$31+V809/Paramètres!$E$32+W809/Paramètres!$E$33+X809/Paramètres!$E$34+Y809/Paramètres!$E$35,1)</f>
        <v>8.2</v>
      </c>
      <c r="AA809" s="22" t="s">
        <v>109</v>
      </c>
      <c r="AB809" s="22" t="s">
        <v>109</v>
      </c>
      <c r="AC809" s="15" t="str">
        <f aca="false">$E809</f>
        <v>orichalque</v>
      </c>
      <c r="AD809" s="16" t="n">
        <f aca="false" t="array" ref="AD809:AD809">IF($I809&gt;=$AI809,"Max",ROUND(Paramètres!$B$40*($I809+1)^Paramètres!$B$41*INDEX(Paramètres!$H$6:$H$12,$AF809),0))</f>
        <v>6</v>
      </c>
      <c r="AE809" s="23" t="n">
        <f aca="false">MATCH($B809&amp;"|"&amp;$C809,Profils!$A$5:$A$34,0)</f>
        <v>26</v>
      </c>
      <c r="AF809" s="23" t="n">
        <v>5</v>
      </c>
      <c r="AG809" s="24" t="n">
        <f aca="false" t="array" ref="AG809:AG809">INDEX(Paramètres!$C$6:$C$12,$AF809)</f>
        <v>2.1</v>
      </c>
      <c r="AH809" s="23" t="n">
        <f aca="false" t="array" ref="AH809:AH809">INDEX(Paramètres!$D$6:$D$12,$AF809)</f>
        <v>6</v>
      </c>
      <c r="AI809" s="23" t="n">
        <f aca="false" t="array" ref="AI809:AI809">INDEX(Matériaux!$C$16:$C$20,$D809)</f>
        <v>30</v>
      </c>
      <c r="AJ809" s="25" t="n">
        <f aca="false">Paramètres!$B$16+(1-Paramètres!$B$16)*(($J809-Paramètres!$B$14)/(Paramètres!$B$15-Paramètres!$B$14))^Paramètres!$B$17</f>
        <v>0.665999387952727</v>
      </c>
    </row>
    <row r="810" customFormat="false" ht="15.75" hidden="false" customHeight="true" outlineLevel="0" collapsed="false">
      <c r="A810" s="14" t="s">
        <v>926</v>
      </c>
      <c r="B810" s="15" t="s">
        <v>31</v>
      </c>
      <c r="C810" s="15" t="s">
        <v>273</v>
      </c>
      <c r="D810" s="16" t="n">
        <v>5</v>
      </c>
      <c r="E810" s="15" t="str">
        <f aca="false" t="array" ref="E810:E810">INDEX(Matériaux!$B$5:$F$12,MATCH(INDEX(Profils!$E$5:$E$34,$AE810),Matériaux!$A$5:$A$12,0),$D810)</f>
        <v>orichalque</v>
      </c>
      <c r="F810" s="30" t="s">
        <v>119</v>
      </c>
      <c r="G810" s="10" t="str">
        <f aca="false" t="array" ref="G810:G810">INDEX(Profils!$D$5:$D$34,$AE810)&amp;" en "&amp;$E810</f>
        <v>Anneau de chasseur en orichalque</v>
      </c>
      <c r="H810" s="16" t="n">
        <f aca="false" t="array" ref="H810:H810">INDEX(Matériaux!$B$16:$B$20,$D810)</f>
        <v>70</v>
      </c>
      <c r="I810" s="16" t="n">
        <f aca="false">IF(ISNUMBER($C$3),MIN(MAX(0,ROUND($C$3,0)),$AI810),$AI810)</f>
        <v>0</v>
      </c>
      <c r="J810" s="18" t="n">
        <f aca="false">$H810+$I810</f>
        <v>70</v>
      </c>
      <c r="K810" s="15" t="s">
        <v>109</v>
      </c>
      <c r="L810" s="19" t="n">
        <f aca="false" t="array" ref="L810:L810">IF(AND(INDEX(Profils!$F$5:$F$34,$AE810)&gt;0,INDEX(Profils!$U$5:$U$34,$AE810)&lt;=$AH810),ROUND(INDEX(Profils!$F$5:$F$34,$AE810)*Paramètres!$E$22*$AG810*$AJ810,Paramètres!$F$22),0)</f>
        <v>24</v>
      </c>
      <c r="M810" s="19" t="n">
        <f aca="false" t="array" ref="M810:M810">IF(AND(INDEX(Profils!$G$5:$G$34,$AE810)&gt;0,INDEX(Profils!$V$5:$V$34,$AE810)&lt;=$AH810),ROUND(INDEX(Profils!$G$5:$G$34,$AE810)*Paramètres!$E$23*$AG810*$AJ810,Paramètres!$F$23),0)</f>
        <v>12</v>
      </c>
      <c r="N810" s="19" t="n">
        <f aca="false" t="array" ref="N810:N810">IF(AND(INDEX(Profils!$H$5:$H$34,$AE810)&gt;0,INDEX(Profils!$W$5:$W$34,$AE810)&lt;=$AH810),ROUND(INDEX(Profils!$H$5:$H$34,$AE810)*Paramètres!$E$24*$AG810*$AJ810,Paramètres!$F$24),0)</f>
        <v>0</v>
      </c>
      <c r="O810" s="19" t="n">
        <f aca="false" t="array" ref="O810:O810">IF(AND(INDEX(Profils!$I$5:$I$34,$AE810)&gt;0,INDEX(Profils!$X$5:$X$34,$AE810)&lt;=$AH810),ROUND(INDEX(Profils!$I$5:$I$34,$AE810)*Paramètres!$E$25*$AG810*$AJ810,Paramètres!$F$25),0)</f>
        <v>0</v>
      </c>
      <c r="P810" s="19" t="n">
        <f aca="false" t="array" ref="P810:P810">IF(AND(INDEX(Profils!$J$5:$J$34,$AE810)&gt;0,INDEX(Profils!$Y$5:$Y$34,$AE810)&lt;=$AH810),ROUND(INDEX(Profils!$J$5:$J$34,$AE810)*Paramètres!$E$26*$AG810*$AJ810,Paramètres!$F$26),0)</f>
        <v>17</v>
      </c>
      <c r="Q810" s="19" t="n">
        <f aca="false" t="array" ref="Q810:Q810">IF(AND(INDEX(Profils!$K$5:$K$34,$AE810)&gt;0,INDEX(Profils!$Z$5:$Z$34,$AE810)&lt;=$AH810),ROUND(INDEX(Profils!$K$5:$K$34,$AE810)*Paramètres!$E$27*$AG810*$AJ810,Paramètres!$F$27),0)</f>
        <v>0</v>
      </c>
      <c r="R810" s="20" t="n">
        <f aca="false" t="array" ref="R810:R810">IF(AND(INDEX(Profils!$L$5:$L$34,$AE810)&gt;0,INDEX(Profils!$AA$5:$AA$34,$AE810)&lt;=$AH810),ROUND(INDEX(Profils!$L$5:$L$34,$AE810)*Paramètres!$E$28*$AG810*$AJ810,Paramètres!$F$28),0)</f>
        <v>0.024</v>
      </c>
      <c r="S810" s="20" t="n">
        <f aca="false" t="array" ref="S810:S810">IF(AND(INDEX(Profils!$M$5:$M$34,$AE810)&gt;0,INDEX(Profils!$AB$5:$AB$34,$AE810)&lt;=$AH810),ROUND(INDEX(Profils!$M$5:$M$34,$AE810)*Paramètres!$E$29*$AG810*$AJ810,Paramètres!$F$29),0)</f>
        <v>0.023</v>
      </c>
      <c r="T810" s="20" t="n">
        <f aca="false" t="array" ref="T810:T810">IF(AND(INDEX(Profils!$N$5:$N$34,$AE810)&gt;0,INDEX(Profils!$AC$5:$AC$34,$AE810)&lt;=$AH810),ROUND(INDEX(Profils!$N$5:$N$34,$AE810)*Paramètres!$E$30*$AG810*$AJ810,Paramètres!$F$30),0)</f>
        <v>0.058</v>
      </c>
      <c r="U810" s="19" t="n">
        <f aca="false" t="array" ref="U810:U810">IF(AND(INDEX(Profils!$O$5:$O$34,$AE810)&gt;0,INDEX(Profils!$AD$5:$AD$34,$AE810)&lt;=$AH810),ROUND(INDEX(Profils!$O$5:$O$34,$AE810)*Paramètres!$E$31*$AG810*$AJ810,Paramètres!$F$31),0)</f>
        <v>0</v>
      </c>
      <c r="V810" s="20" t="n">
        <f aca="false" t="array" ref="V810:V810">IF(AND(INDEX(Profils!$P$5:$P$34,$AE810)&gt;0,INDEX(Profils!$AE$5:$AE$34,$AE810)&lt;=$AH810),ROUND(INDEX(Profils!$P$5:$P$34,$AE810)*Paramètres!$E$32*$AG810*$AJ810,Paramètres!$F$32),0)</f>
        <v>0.024</v>
      </c>
      <c r="W810" s="20" t="n">
        <f aca="false" t="array" ref="W810:W810">IF(AND(INDEX(Profils!$Q$5:$Q$34,$AE810)&gt;0,INDEX(Profils!$AF$5:$AF$34,$AE810)&lt;=$AH810),ROUND(INDEX(Profils!$Q$5:$Q$34,$AE810)*Paramètres!$E$33*$AG810*$AJ810,Paramètres!$F$33),0)</f>
        <v>0</v>
      </c>
      <c r="X810" s="20" t="n">
        <f aca="false" t="array" ref="X810:X810">IF(AND(INDEX(Profils!$R$5:$R$34,$AE810)&gt;0,INDEX(Profils!$AG$5:$AG$34,$AE810)&lt;=$AH810),ROUND(INDEX(Profils!$R$5:$R$34,$AE810)*Paramètres!$E$34*$AG810*$AJ810,Paramètres!$F$34),0)</f>
        <v>0</v>
      </c>
      <c r="Y810" s="20" t="n">
        <f aca="false" t="array" ref="Y810:Y810">IF(AND(INDEX(Profils!$S$5:$S$34,$AE810)&gt;0,INDEX(Profils!$AH$5:$AH$34,$AE810)&lt;=$AH810),ROUND(INDEX(Profils!$S$5:$S$34,$AE810)*Paramètres!$E$35*$AG810*$AJ810,Paramètres!$F$35),0)</f>
        <v>0</v>
      </c>
      <c r="Z810" s="21" t="n">
        <f aca="false">ROUND(L810/Paramètres!$E$22+M810/Paramètres!$E$23+N810/Paramètres!$E$24+O810/Paramètres!$E$25+P810/Paramètres!$E$26+Q810/Paramètres!$E$27+R810/Paramètres!$E$28+S810/Paramètres!$E$29+T810/Paramètres!$E$30+U810/Paramètres!$E$31+V810/Paramètres!$E$32+W810/Paramètres!$E$33+X810/Paramètres!$E$34+Y810/Paramètres!$E$35,1)</f>
        <v>10.2</v>
      </c>
      <c r="AA810" s="22" t="s">
        <v>109</v>
      </c>
      <c r="AB810" s="22" t="s">
        <v>109</v>
      </c>
      <c r="AC810" s="15" t="str">
        <f aca="false">$E810</f>
        <v>orichalque</v>
      </c>
      <c r="AD810" s="16" t="n">
        <f aca="false" t="array" ref="AD810:AD810">IF($I810&gt;=$AI810,"Max",ROUND(Paramètres!$B$40*($I810+1)^Paramètres!$B$41*INDEX(Paramètres!$H$6:$H$12,$AF810),0))</f>
        <v>8</v>
      </c>
      <c r="AE810" s="23" t="n">
        <f aca="false">MATCH($B810&amp;"|"&amp;$C810,Profils!$A$5:$A$34,0)</f>
        <v>26</v>
      </c>
      <c r="AF810" s="23" t="n">
        <v>6</v>
      </c>
      <c r="AG810" s="24" t="n">
        <f aca="false" t="array" ref="AG810:AG810">INDEX(Paramètres!$C$6:$C$12,$AF810)</f>
        <v>2.4</v>
      </c>
      <c r="AH810" s="23" t="n">
        <f aca="false" t="array" ref="AH810:AH810">INDEX(Paramètres!$D$6:$D$12,$AF810)</f>
        <v>7</v>
      </c>
      <c r="AI810" s="23" t="n">
        <f aca="false" t="array" ref="AI810:AI810">INDEX(Matériaux!$C$16:$C$20,$D810)</f>
        <v>30</v>
      </c>
      <c r="AJ810" s="25" t="n">
        <f aca="false">Paramètres!$B$16+(1-Paramètres!$B$16)*(($J810-Paramètres!$B$14)/(Paramètres!$B$15-Paramètres!$B$14))^Paramètres!$B$17</f>
        <v>0.665999387952727</v>
      </c>
    </row>
    <row r="811" customFormat="false" ht="15.75" hidden="false" customHeight="true" outlineLevel="0" collapsed="false">
      <c r="A811" s="14" t="s">
        <v>927</v>
      </c>
      <c r="B811" s="15" t="s">
        <v>31</v>
      </c>
      <c r="C811" s="15" t="s">
        <v>273</v>
      </c>
      <c r="D811" s="16" t="s">
        <v>109</v>
      </c>
      <c r="E811" s="15" t="s">
        <v>109</v>
      </c>
      <c r="F811" s="31" t="s">
        <v>38</v>
      </c>
      <c r="G811" s="10" t="str">
        <f aca="false" t="array" ref="G811:G811">INDEX(Uniques!$E$5:$E$34,MATCH($B811&amp;"|"&amp;$C811,Uniques!$A$5:$A$34,0))</f>
        <v>Anneau des Flèches Ardentes</v>
      </c>
      <c r="H811" s="16" t="n">
        <f aca="false" t="array" ref="H811:H811">INDEX(Uniques!$L$5:$L$34,MATCH($B811&amp;"|"&amp;$C811,Uniques!$A$5:$A$34,0))</f>
        <v>21</v>
      </c>
      <c r="I811" s="16" t="n">
        <f aca="false">IF(ISNUMBER($C$3),MIN(MAX(0,ROUND($C$3,0)),$AI811),$AI811)</f>
        <v>0</v>
      </c>
      <c r="J811" s="18" t="n">
        <f aca="false">$H811+$I811</f>
        <v>21</v>
      </c>
      <c r="K811" s="15" t="str">
        <f aca="false" t="array" ref="K811:K811">INDEX(Uniques!$F$5:$F$34,MATCH($B811&amp;"|"&amp;$C811,Uniques!$A$5:$A$34,0))</f>
        <v>Feu</v>
      </c>
      <c r="L811" s="19" t="n">
        <f aca="false" t="array" ref="L811:L811">IF(AND(INDEX(Profils!$F$5:$F$34,$AE811)&gt;0,INDEX(Profils!$U$5:$U$34,$AE811)&lt;=$AH811),ROUND(INDEX(Profils!$F$5:$F$34,$AE811)*Paramètres!$E$22*$AG811*$AJ811,Paramètres!$F$22),0)</f>
        <v>7</v>
      </c>
      <c r="M811" s="19" t="n">
        <f aca="false" t="array" ref="M811:M811">IF(AND(INDEX(Profils!$G$5:$G$34,$AE811)&gt;0,INDEX(Profils!$V$5:$V$34,$AE811)&lt;=$AH811),ROUND(INDEX(Profils!$G$5:$G$34,$AE811)*Paramètres!$E$23*$AG811*$AJ811,Paramètres!$F$23),0)</f>
        <v>4</v>
      </c>
      <c r="N811" s="19" t="n">
        <f aca="false" t="array" ref="N811:N811">IF(AND(INDEX(Profils!$H$5:$H$34,$AE811)&gt;0,INDEX(Profils!$W$5:$W$34,$AE811)&lt;=$AH811),ROUND(INDEX(Profils!$H$5:$H$34,$AE811)*Paramètres!$E$24*$AG811*$AJ811,Paramètres!$F$24),0)</f>
        <v>0</v>
      </c>
      <c r="O811" s="19" t="n">
        <f aca="false" t="array" ref="O811:O811">IF(AND(INDEX(Profils!$I$5:$I$34,$AE811)&gt;0,INDEX(Profils!$X$5:$X$34,$AE811)&lt;=$AH811),ROUND(INDEX(Profils!$I$5:$I$34,$AE811)*Paramètres!$E$25*$AG811*$AJ811,Paramètres!$F$25),0)</f>
        <v>0</v>
      </c>
      <c r="P811" s="19" t="n">
        <f aca="false" t="array" ref="P811:P811">IF(AND(INDEX(Profils!$J$5:$J$34,$AE811)&gt;0,INDEX(Profils!$Y$5:$Y$34,$AE811)&lt;=$AH811),ROUND(INDEX(Profils!$J$5:$J$34,$AE811)*Paramètres!$E$26*$AG811*$AJ811,Paramètres!$F$26),0)</f>
        <v>5</v>
      </c>
      <c r="Q811" s="19" t="n">
        <f aca="false" t="array" ref="Q811:Q811">IF(AND(INDEX(Profils!$K$5:$K$34,$AE811)&gt;0,INDEX(Profils!$Z$5:$Z$34,$AE811)&lt;=$AH811),ROUND(INDEX(Profils!$K$5:$K$34,$AE811)*Paramètres!$E$27*$AG811*$AJ811,Paramètres!$F$27),0)</f>
        <v>0</v>
      </c>
      <c r="R811" s="20" t="n">
        <f aca="false" t="array" ref="R811:R811">IF(AND(INDEX(Profils!$L$5:$L$34,$AE811)&gt;0,INDEX(Profils!$AA$5:$AA$34,$AE811)&lt;=$AH811),ROUND(INDEX(Profils!$L$5:$L$34,$AE811)*Paramètres!$E$28*$AG811*$AJ811,Paramètres!$F$28),0)</f>
        <v>0.007</v>
      </c>
      <c r="S811" s="20" t="n">
        <f aca="false" t="array" ref="S811:S811">IF(AND(INDEX(Profils!$M$5:$M$34,$AE811)&gt;0,INDEX(Profils!$AB$5:$AB$34,$AE811)&lt;=$AH811),ROUND(INDEX(Profils!$M$5:$M$34,$AE811)*Paramètres!$E$29*$AG811*$AJ811,Paramètres!$F$29),0)</f>
        <v>0.007</v>
      </c>
      <c r="T811" s="20" t="n">
        <f aca="false" t="array" ref="T811:T811">IF(AND(INDEX(Profils!$N$5:$N$34,$AE811)&gt;0,INDEX(Profils!$AC$5:$AC$34,$AE811)&lt;=$AH811),ROUND(INDEX(Profils!$N$5:$N$34,$AE811)*Paramètres!$E$30*$AG811*$AJ811,Paramètres!$F$30),0)</f>
        <v>0.017</v>
      </c>
      <c r="U811" s="19" t="n">
        <f aca="false" t="array" ref="U811:U811">IF(AND(INDEX(Profils!$O$5:$O$34,$AE811)&gt;0,INDEX(Profils!$AD$5:$AD$34,$AE811)&lt;=$AH811),ROUND(INDEX(Profils!$O$5:$O$34,$AE811)*Paramètres!$E$31*$AG811*$AJ811,Paramètres!$F$31),0)</f>
        <v>0</v>
      </c>
      <c r="V811" s="20" t="n">
        <f aca="false" t="array" ref="V811:V811">IF(AND(INDEX(Profils!$P$5:$P$34,$AE811)&gt;0,INDEX(Profils!$AE$5:$AE$34,$AE811)&lt;=$AH811),ROUND(INDEX(Profils!$P$5:$P$34,$AE811)*Paramètres!$E$32*$AG811*$AJ811,Paramètres!$F$32),0)</f>
        <v>0.007</v>
      </c>
      <c r="W811" s="20" t="n">
        <f aca="false" t="array" ref="W811:W811">IF(AND(INDEX(Profils!$Q$5:$Q$34,$AE811)&gt;0,INDEX(Profils!$AF$5:$AF$34,$AE811)&lt;=$AH811),ROUND(INDEX(Profils!$Q$5:$Q$34,$AE811)*Paramètres!$E$33*$AG811*$AJ811,Paramètres!$F$33),0)</f>
        <v>0</v>
      </c>
      <c r="X811" s="20" t="n">
        <f aca="false" t="array" ref="X811:X811">IF(AND(INDEX(Profils!$R$5:$R$34,$AE811)&gt;0,INDEX(Profils!$AG$5:$AG$34,$AE811)&lt;=$AH811),ROUND(INDEX(Profils!$R$5:$R$34,$AE811)*Paramètres!$E$34*$AG811*$AJ811,Paramètres!$F$34),0)</f>
        <v>0</v>
      </c>
      <c r="Y811" s="20" t="n">
        <f aca="false" t="array" ref="Y811:Y811">IF(AND(INDEX(Profils!$S$5:$S$34,$AE811)&gt;0,INDEX(Profils!$AH$5:$AH$34,$AE811)&lt;=$AH811),ROUND(INDEX(Profils!$S$5:$S$34,$AE811)*Paramètres!$E$35*$AG811*$AJ811,Paramètres!$F$35),0)</f>
        <v>0</v>
      </c>
      <c r="Z811" s="21" t="n">
        <f aca="false">ROUND(L811/Paramètres!$E$22+M811/Paramètres!$E$23+N811/Paramètres!$E$24+O811/Paramètres!$E$25+P811/Paramètres!$E$26+Q811/Paramètres!$E$27+R811/Paramètres!$E$28+S811/Paramètres!$E$29+T811/Paramètres!$E$30+U811/Paramètres!$E$31+V811/Paramètres!$E$32+W811/Paramètres!$E$33+X811/Paramètres!$E$34+Y811/Paramètres!$E$35,1)</f>
        <v>3</v>
      </c>
      <c r="AA811" s="22" t="str">
        <f aca="false" t="array" ref="AA811:AA811">INDEX(Uniques!$G$5:$G$34,MATCH($B811&amp;"|"&amp;$C811,Uniques!$A$5:$A$34,0))</f>
        <v>Pointes incendiaires</v>
      </c>
      <c r="AB811" s="22" t="str">
        <f aca="false" t="array" ref="AB811:AB811">INDEX(Uniques!$H$5:$H$34,MATCH($B811&amp;"|"&amp;$C811,Uniques!$A$5:$A$34,0))&amp;" ["&amp;INDEX(Uniques!$I$5:$I$34,MATCH($B811&amp;"|"&amp;$C811,Uniques!$A$5:$A$34,0))&amp;"]"</f>
        <v>Les coups critiques appliquent Brûlure (Feu) : 15 % des dégâts du coup par tour pendant 2 tours. [1 Brûlure par cible ; durée rafraîchie, jamais cumulée.]</v>
      </c>
      <c r="AC811" s="15" t="str">
        <f aca="false" t="array" ref="AC811:AC811">INDEX(Matériaux!$B$5:$F$12,MATCH(INDEX(Profils!$E$5:$E$34,$AE811),Matériaux!$A$5:$A$12,0),MATCH(MIN($J811+1,100),Matériaux!$B$16:$B$20,1))</f>
        <v>argent</v>
      </c>
      <c r="AD811" s="16" t="n">
        <f aca="false" t="array" ref="AD811:AD811">IF($I811&gt;=$AI811,"Max",ROUND(Paramètres!$B$40*($I811+1)^Paramètres!$B$41*INDEX(Paramètres!$H$6:$H$12,$AF811),0))</f>
        <v>9</v>
      </c>
      <c r="AE811" s="23" t="n">
        <f aca="false">MATCH($B811&amp;"|"&amp;$C811,Profils!$A$5:$A$34,0)</f>
        <v>26</v>
      </c>
      <c r="AF811" s="23" t="n">
        <v>7</v>
      </c>
      <c r="AG811" s="24" t="n">
        <f aca="false" t="array" ref="AG811:AG811">INDEX(Paramètres!$C$6:$C$12,$AF811)</f>
        <v>2.5</v>
      </c>
      <c r="AH811" s="23" t="n">
        <f aca="false" t="array" ref="AH811:AH811">INDEX(Paramètres!$D$6:$D$12,$AF811)</f>
        <v>7</v>
      </c>
      <c r="AI811" s="23" t="n">
        <f aca="false" t="array" ref="AI811:AI811">INDEX(Uniques!$M$5:$M$34,MATCH($B811&amp;"|"&amp;$C811,Uniques!$A$5:$A$34,0))</f>
        <v>79</v>
      </c>
      <c r="AJ811" s="25" t="n">
        <f aca="false">Paramètres!$B$16+(1-Paramètres!$B$16)*(($J811-Paramètres!$B$14)/(Paramètres!$B$15-Paramètres!$B$14))^Paramètres!$B$17</f>
        <v>0.189379007156239</v>
      </c>
    </row>
    <row r="812" customFormat="false" ht="15.75" hidden="false" customHeight="true" outlineLevel="0" collapsed="false">
      <c r="A812" s="14" t="s">
        <v>928</v>
      </c>
      <c r="B812" s="15" t="s">
        <v>31</v>
      </c>
      <c r="C812" s="15" t="s">
        <v>305</v>
      </c>
      <c r="D812" s="16" t="n">
        <v>1</v>
      </c>
      <c r="E812" s="15" t="str">
        <f aca="false" t="array" ref="E812:E812">INDEX(Matériaux!$B$5:$F$12,MATCH(INDEX(Profils!$E$5:$E$34,$AE812),Matériaux!$A$5:$A$12,0),$D812)</f>
        <v>cuivre</v>
      </c>
      <c r="F812" s="17" t="s">
        <v>108</v>
      </c>
      <c r="G812" s="10" t="str">
        <f aca="false" t="array" ref="G812:G812">INDEX(Profils!$D$5:$D$34,$AE812)&amp;" en "&amp;$E812</f>
        <v>Bague en cuivre</v>
      </c>
      <c r="H812" s="16" t="n">
        <f aca="false" t="array" ref="H812:H812">INDEX(Matériaux!$B$16:$B$20,$D812)</f>
        <v>1</v>
      </c>
      <c r="I812" s="16" t="n">
        <f aca="false">IF(ISNUMBER($C$3),MIN(MAX(0,ROUND($C$3,0)),$AI812),$AI812)</f>
        <v>0</v>
      </c>
      <c r="J812" s="18" t="n">
        <f aca="false">$H812+$I812</f>
        <v>1</v>
      </c>
      <c r="K812" s="15" t="s">
        <v>109</v>
      </c>
      <c r="L812" s="19" t="n">
        <f aca="false" t="array" ref="L812:L812">IF(AND(INDEX(Profils!$F$5:$F$34,$AE812)&gt;0,INDEX(Profils!$U$5:$U$34,$AE812)&lt;=$AH812),ROUND(INDEX(Profils!$F$5:$F$34,$AE812)*Paramètres!$E$22*$AG812*$AJ812,Paramètres!$F$22),0)</f>
        <v>1</v>
      </c>
      <c r="M812" s="19" t="n">
        <f aca="false" t="array" ref="M812:M812">IF(AND(INDEX(Profils!$G$5:$G$34,$AE812)&gt;0,INDEX(Profils!$V$5:$V$34,$AE812)&lt;=$AH812),ROUND(INDEX(Profils!$G$5:$G$34,$AE812)*Paramètres!$E$23*$AG812*$AJ812,Paramètres!$F$23),0)</f>
        <v>0</v>
      </c>
      <c r="N812" s="19" t="n">
        <f aca="false" t="array" ref="N812:N812">IF(AND(INDEX(Profils!$H$5:$H$34,$AE812)&gt;0,INDEX(Profils!$W$5:$W$34,$AE812)&lt;=$AH812),ROUND(INDEX(Profils!$H$5:$H$34,$AE812)*Paramètres!$E$24*$AG812*$AJ812,Paramètres!$F$24),0)</f>
        <v>0</v>
      </c>
      <c r="O812" s="19" t="n">
        <f aca="false" t="array" ref="O812:O812">IF(AND(INDEX(Profils!$I$5:$I$34,$AE812)&gt;0,INDEX(Profils!$X$5:$X$34,$AE812)&lt;=$AH812),ROUND(INDEX(Profils!$I$5:$I$34,$AE812)*Paramètres!$E$25*$AG812*$AJ812,Paramètres!$F$25),0)</f>
        <v>0</v>
      </c>
      <c r="P812" s="19" t="n">
        <f aca="false" t="array" ref="P812:P812">IF(AND(INDEX(Profils!$J$5:$J$34,$AE812)&gt;0,INDEX(Profils!$Y$5:$Y$34,$AE812)&lt;=$AH812),ROUND(INDEX(Profils!$J$5:$J$34,$AE812)*Paramètres!$E$26*$AG812*$AJ812,Paramètres!$F$26),0)</f>
        <v>1</v>
      </c>
      <c r="Q812" s="19" t="n">
        <f aca="false" t="array" ref="Q812:Q812">IF(AND(INDEX(Profils!$K$5:$K$34,$AE812)&gt;0,INDEX(Profils!$Z$5:$Z$34,$AE812)&lt;=$AH812),ROUND(INDEX(Profils!$K$5:$K$34,$AE812)*Paramètres!$E$27*$AG812*$AJ812,Paramètres!$F$27),0)</f>
        <v>0</v>
      </c>
      <c r="R812" s="20" t="n">
        <f aca="false" t="array" ref="R812:R812">IF(AND(INDEX(Profils!$L$5:$L$34,$AE812)&gt;0,INDEX(Profils!$AA$5:$AA$34,$AE812)&lt;=$AH812),ROUND(INDEX(Profils!$L$5:$L$34,$AE812)*Paramètres!$E$28*$AG812*$AJ812,Paramètres!$F$28),0)</f>
        <v>0</v>
      </c>
      <c r="S812" s="20" t="n">
        <f aca="false" t="array" ref="S812:S812">IF(AND(INDEX(Profils!$M$5:$M$34,$AE812)&gt;0,INDEX(Profils!$AB$5:$AB$34,$AE812)&lt;=$AH812),ROUND(INDEX(Profils!$M$5:$M$34,$AE812)*Paramètres!$E$29*$AG812*$AJ812,Paramètres!$F$29),0)</f>
        <v>0</v>
      </c>
      <c r="T812" s="20" t="n">
        <f aca="false" t="array" ref="T812:T812">IF(AND(INDEX(Profils!$N$5:$N$34,$AE812)&gt;0,INDEX(Profils!$AC$5:$AC$34,$AE812)&lt;=$AH812),ROUND(INDEX(Profils!$N$5:$N$34,$AE812)*Paramètres!$E$30*$AG812*$AJ812,Paramètres!$F$30),0)</f>
        <v>0</v>
      </c>
      <c r="U812" s="19" t="n">
        <f aca="false" t="array" ref="U812:U812">IF(AND(INDEX(Profils!$O$5:$O$34,$AE812)&gt;0,INDEX(Profils!$AD$5:$AD$34,$AE812)&lt;=$AH812),ROUND(INDEX(Profils!$O$5:$O$34,$AE812)*Paramètres!$E$31*$AG812*$AJ812,Paramètres!$F$31),0)</f>
        <v>0</v>
      </c>
      <c r="V812" s="20" t="n">
        <f aca="false" t="array" ref="V812:V812">IF(AND(INDEX(Profils!$P$5:$P$34,$AE812)&gt;0,INDEX(Profils!$AE$5:$AE$34,$AE812)&lt;=$AH812),ROUND(INDEX(Profils!$P$5:$P$34,$AE812)*Paramètres!$E$32*$AG812*$AJ812,Paramètres!$F$32),0)</f>
        <v>0</v>
      </c>
      <c r="W812" s="20" t="n">
        <f aca="false" t="array" ref="W812:W812">IF(AND(INDEX(Profils!$Q$5:$Q$34,$AE812)&gt;0,INDEX(Profils!$AF$5:$AF$34,$AE812)&lt;=$AH812),ROUND(INDEX(Profils!$Q$5:$Q$34,$AE812)*Paramètres!$E$33*$AG812*$AJ812,Paramètres!$F$33),0)</f>
        <v>0</v>
      </c>
      <c r="X812" s="20" t="n">
        <f aca="false" t="array" ref="X812:X812">IF(AND(INDEX(Profils!$R$5:$R$34,$AE812)&gt;0,INDEX(Profils!$AG$5:$AG$34,$AE812)&lt;=$AH812),ROUND(INDEX(Profils!$R$5:$R$34,$AE812)*Paramètres!$E$34*$AG812*$AJ812,Paramètres!$F$34),0)</f>
        <v>0</v>
      </c>
      <c r="Y812" s="20" t="n">
        <f aca="false" t="array" ref="Y812:Y812">IF(AND(INDEX(Profils!$S$5:$S$34,$AE812)&gt;0,INDEX(Profils!$AH$5:$AH$34,$AE812)&lt;=$AH812),ROUND(INDEX(Profils!$S$5:$S$34,$AE812)*Paramètres!$E$35*$AG812*$AJ812,Paramètres!$F$35),0)</f>
        <v>0</v>
      </c>
      <c r="Z812" s="21" t="n">
        <f aca="false">ROUND(L812/Paramètres!$E$22+M812/Paramètres!$E$23+N812/Paramètres!$E$24+O812/Paramètres!$E$25+P812/Paramètres!$E$26+Q812/Paramètres!$E$27+R812/Paramètres!$E$28+S812/Paramètres!$E$29+T812/Paramètres!$E$30+U812/Paramètres!$E$31+V812/Paramètres!$E$32+W812/Paramètres!$E$33+X812/Paramètres!$E$34+Y812/Paramètres!$E$35,1)</f>
        <v>0.1</v>
      </c>
      <c r="AA812" s="22" t="s">
        <v>109</v>
      </c>
      <c r="AB812" s="22" t="s">
        <v>109</v>
      </c>
      <c r="AC812" s="15" t="str">
        <f aca="false">$E812</f>
        <v>cuivre</v>
      </c>
      <c r="AD812" s="16" t="n">
        <f aca="false" t="array" ref="AD812:AD812">IF($I812&gt;=$AI812,"Max",ROUND(Paramètres!$B$40*($I812+1)^Paramètres!$B$41*INDEX(Paramètres!$H$6:$H$12,$AF812),0))</f>
        <v>3</v>
      </c>
      <c r="AE812" s="23" t="n">
        <f aca="false">MATCH($B812&amp;"|"&amp;$C812,Profils!$A$5:$A$34,0)</f>
        <v>27</v>
      </c>
      <c r="AF812" s="23" t="n">
        <v>1</v>
      </c>
      <c r="AG812" s="24" t="n">
        <f aca="false" t="array" ref="AG812:AG812">INDEX(Paramètres!$C$6:$C$12,$AF812)</f>
        <v>1</v>
      </c>
      <c r="AH812" s="23" t="n">
        <f aca="false" t="array" ref="AH812:AH812">INDEX(Paramètres!$D$6:$D$12,$AF812)</f>
        <v>2</v>
      </c>
      <c r="AI812" s="23" t="n">
        <f aca="false" t="array" ref="AI812:AI812">INDEX(Matériaux!$C$16:$C$20,$D812)</f>
        <v>19</v>
      </c>
      <c r="AJ812" s="25" t="n">
        <f aca="false">Paramètres!$B$16+(1-Paramètres!$B$16)*(($J812-Paramètres!$B$14)/(Paramètres!$B$15-Paramètres!$B$14))^Paramètres!$B$17</f>
        <v>0.05</v>
      </c>
    </row>
    <row r="813" customFormat="false" ht="15.75" hidden="false" customHeight="true" outlineLevel="0" collapsed="false">
      <c r="A813" s="14" t="s">
        <v>929</v>
      </c>
      <c r="B813" s="15" t="s">
        <v>31</v>
      </c>
      <c r="C813" s="15" t="s">
        <v>305</v>
      </c>
      <c r="D813" s="16" t="n">
        <v>1</v>
      </c>
      <c r="E813" s="15" t="str">
        <f aca="false" t="array" ref="E813:E813">INDEX(Matériaux!$B$5:$F$12,MATCH(INDEX(Profils!$E$5:$E$34,$AE813),Matériaux!$A$5:$A$12,0),$D813)</f>
        <v>cuivre</v>
      </c>
      <c r="F813" s="26" t="s">
        <v>111</v>
      </c>
      <c r="G813" s="10" t="str">
        <f aca="false" t="array" ref="G813:G813">INDEX(Profils!$D$5:$D$34,$AE813)&amp;" en "&amp;$E813</f>
        <v>Bague en cuivre</v>
      </c>
      <c r="H813" s="16" t="n">
        <f aca="false" t="array" ref="H813:H813">INDEX(Matériaux!$B$16:$B$20,$D813)</f>
        <v>1</v>
      </c>
      <c r="I813" s="16" t="n">
        <f aca="false">IF(ISNUMBER($C$3),MIN(MAX(0,ROUND($C$3,0)),$AI813),$AI813)</f>
        <v>0</v>
      </c>
      <c r="J813" s="18" t="n">
        <f aca="false">$H813+$I813</f>
        <v>1</v>
      </c>
      <c r="K813" s="15" t="s">
        <v>109</v>
      </c>
      <c r="L813" s="19" t="n">
        <f aca="false" t="array" ref="L813:L813">IF(AND(INDEX(Profils!$F$5:$F$34,$AE813)&gt;0,INDEX(Profils!$U$5:$U$34,$AE813)&lt;=$AH813),ROUND(INDEX(Profils!$F$5:$F$34,$AE813)*Paramètres!$E$22*$AG813*$AJ813,Paramètres!$F$22),0)</f>
        <v>2</v>
      </c>
      <c r="M813" s="19" t="n">
        <f aca="false" t="array" ref="M813:M813">IF(AND(INDEX(Profils!$G$5:$G$34,$AE813)&gt;0,INDEX(Profils!$V$5:$V$34,$AE813)&lt;=$AH813),ROUND(INDEX(Profils!$G$5:$G$34,$AE813)*Paramètres!$E$23*$AG813*$AJ813,Paramètres!$F$23),0)</f>
        <v>0</v>
      </c>
      <c r="N813" s="19" t="n">
        <f aca="false" t="array" ref="N813:N813">IF(AND(INDEX(Profils!$H$5:$H$34,$AE813)&gt;0,INDEX(Profils!$W$5:$W$34,$AE813)&lt;=$AH813),ROUND(INDEX(Profils!$H$5:$H$34,$AE813)*Paramètres!$E$24*$AG813*$AJ813,Paramètres!$F$24),0)</f>
        <v>0</v>
      </c>
      <c r="O813" s="19" t="n">
        <f aca="false" t="array" ref="O813:O813">IF(AND(INDEX(Profils!$I$5:$I$34,$AE813)&gt;0,INDEX(Profils!$X$5:$X$34,$AE813)&lt;=$AH813),ROUND(INDEX(Profils!$I$5:$I$34,$AE813)*Paramètres!$E$25*$AG813*$AJ813,Paramètres!$F$25),0)</f>
        <v>0</v>
      </c>
      <c r="P813" s="19" t="n">
        <f aca="false" t="array" ref="P813:P813">IF(AND(INDEX(Profils!$J$5:$J$34,$AE813)&gt;0,INDEX(Profils!$Y$5:$Y$34,$AE813)&lt;=$AH813),ROUND(INDEX(Profils!$J$5:$J$34,$AE813)*Paramètres!$E$26*$AG813*$AJ813,Paramètres!$F$26),0)</f>
        <v>1</v>
      </c>
      <c r="Q813" s="19" t="n">
        <f aca="false" t="array" ref="Q813:Q813">IF(AND(INDEX(Profils!$K$5:$K$34,$AE813)&gt;0,INDEX(Profils!$Z$5:$Z$34,$AE813)&lt;=$AH813),ROUND(INDEX(Profils!$K$5:$K$34,$AE813)*Paramètres!$E$27*$AG813*$AJ813,Paramètres!$F$27),0)</f>
        <v>0</v>
      </c>
      <c r="R813" s="20" t="n">
        <f aca="false" t="array" ref="R813:R813">IF(AND(INDEX(Profils!$L$5:$L$34,$AE813)&gt;0,INDEX(Profils!$AA$5:$AA$34,$AE813)&lt;=$AH813),ROUND(INDEX(Profils!$L$5:$L$34,$AE813)*Paramètres!$E$28*$AG813*$AJ813,Paramètres!$F$28),0)</f>
        <v>0</v>
      </c>
      <c r="S813" s="20" t="n">
        <f aca="false" t="array" ref="S813:S813">IF(AND(INDEX(Profils!$M$5:$M$34,$AE813)&gt;0,INDEX(Profils!$AB$5:$AB$34,$AE813)&lt;=$AH813),ROUND(INDEX(Profils!$M$5:$M$34,$AE813)*Paramètres!$E$29*$AG813*$AJ813,Paramètres!$F$29),0)</f>
        <v>0</v>
      </c>
      <c r="T813" s="20" t="n">
        <f aca="false" t="array" ref="T813:T813">IF(AND(INDEX(Profils!$N$5:$N$34,$AE813)&gt;0,INDEX(Profils!$AC$5:$AC$34,$AE813)&lt;=$AH813),ROUND(INDEX(Profils!$N$5:$N$34,$AE813)*Paramètres!$E$30*$AG813*$AJ813,Paramètres!$F$30),0)</f>
        <v>0</v>
      </c>
      <c r="U813" s="19" t="n">
        <f aca="false" t="array" ref="U813:U813">IF(AND(INDEX(Profils!$O$5:$O$34,$AE813)&gt;0,INDEX(Profils!$AD$5:$AD$34,$AE813)&lt;=$AH813),ROUND(INDEX(Profils!$O$5:$O$34,$AE813)*Paramètres!$E$31*$AG813*$AJ813,Paramètres!$F$31),0)</f>
        <v>0</v>
      </c>
      <c r="V813" s="20" t="n">
        <f aca="false" t="array" ref="V813:V813">IF(AND(INDEX(Profils!$P$5:$P$34,$AE813)&gt;0,INDEX(Profils!$AE$5:$AE$34,$AE813)&lt;=$AH813),ROUND(INDEX(Profils!$P$5:$P$34,$AE813)*Paramètres!$E$32*$AG813*$AJ813,Paramètres!$F$32),0)</f>
        <v>0</v>
      </c>
      <c r="W813" s="20" t="n">
        <f aca="false" t="array" ref="W813:W813">IF(AND(INDEX(Profils!$Q$5:$Q$34,$AE813)&gt;0,INDEX(Profils!$AF$5:$AF$34,$AE813)&lt;=$AH813),ROUND(INDEX(Profils!$Q$5:$Q$34,$AE813)*Paramètres!$E$33*$AG813*$AJ813,Paramètres!$F$33),0)</f>
        <v>0</v>
      </c>
      <c r="X813" s="20" t="n">
        <f aca="false" t="array" ref="X813:X813">IF(AND(INDEX(Profils!$R$5:$R$34,$AE813)&gt;0,INDEX(Profils!$AG$5:$AG$34,$AE813)&lt;=$AH813),ROUND(INDEX(Profils!$R$5:$R$34,$AE813)*Paramètres!$E$34*$AG813*$AJ813,Paramètres!$F$34),0)</f>
        <v>0</v>
      </c>
      <c r="Y813" s="20" t="n">
        <f aca="false" t="array" ref="Y813:Y813">IF(AND(INDEX(Profils!$S$5:$S$34,$AE813)&gt;0,INDEX(Profils!$AH$5:$AH$34,$AE813)&lt;=$AH813),ROUND(INDEX(Profils!$S$5:$S$34,$AE813)*Paramètres!$E$35*$AG813*$AJ813,Paramètres!$F$35),0)</f>
        <v>0</v>
      </c>
      <c r="Z813" s="21" t="n">
        <f aca="false">ROUND(L813/Paramètres!$E$22+M813/Paramètres!$E$23+N813/Paramètres!$E$24+O813/Paramètres!$E$25+P813/Paramètres!$E$26+Q813/Paramètres!$E$27+R813/Paramètres!$E$28+S813/Paramètres!$E$29+T813/Paramètres!$E$30+U813/Paramètres!$E$31+V813/Paramètres!$E$32+W813/Paramètres!$E$33+X813/Paramètres!$E$34+Y813/Paramètres!$E$35,1)</f>
        <v>0.2</v>
      </c>
      <c r="AA813" s="22" t="s">
        <v>109</v>
      </c>
      <c r="AB813" s="22" t="s">
        <v>109</v>
      </c>
      <c r="AC813" s="15" t="str">
        <f aca="false">$E813</f>
        <v>cuivre</v>
      </c>
      <c r="AD813" s="16" t="n">
        <f aca="false" t="array" ref="AD813:AD813">IF($I813&gt;=$AI813,"Max",ROUND(Paramètres!$B$40*($I813+1)^Paramètres!$B$41*INDEX(Paramètres!$H$6:$H$12,$AF813),0))</f>
        <v>4</v>
      </c>
      <c r="AE813" s="23" t="n">
        <f aca="false">MATCH($B813&amp;"|"&amp;$C813,Profils!$A$5:$A$34,0)</f>
        <v>27</v>
      </c>
      <c r="AF813" s="23" t="n">
        <v>2</v>
      </c>
      <c r="AG813" s="24" t="n">
        <f aca="false" t="array" ref="AG813:AG813">INDEX(Paramètres!$C$6:$C$12,$AF813)</f>
        <v>1.2</v>
      </c>
      <c r="AH813" s="23" t="n">
        <f aca="false" t="array" ref="AH813:AH813">INDEX(Paramètres!$D$6:$D$12,$AF813)</f>
        <v>3</v>
      </c>
      <c r="AI813" s="23" t="n">
        <f aca="false" t="array" ref="AI813:AI813">INDEX(Matériaux!$C$16:$C$20,$D813)</f>
        <v>19</v>
      </c>
      <c r="AJ813" s="25" t="n">
        <f aca="false">Paramètres!$B$16+(1-Paramètres!$B$16)*(($J813-Paramètres!$B$14)/(Paramètres!$B$15-Paramètres!$B$14))^Paramètres!$B$17</f>
        <v>0.05</v>
      </c>
    </row>
    <row r="814" customFormat="false" ht="15.75" hidden="false" customHeight="true" outlineLevel="0" collapsed="false">
      <c r="A814" s="14" t="s">
        <v>930</v>
      </c>
      <c r="B814" s="15" t="s">
        <v>31</v>
      </c>
      <c r="C814" s="15" t="s">
        <v>305</v>
      </c>
      <c r="D814" s="16" t="n">
        <v>1</v>
      </c>
      <c r="E814" s="15" t="str">
        <f aca="false" t="array" ref="E814:E814">INDEX(Matériaux!$B$5:$F$12,MATCH(INDEX(Profils!$E$5:$E$34,$AE814),Matériaux!$A$5:$A$12,0),$D814)</f>
        <v>cuivre</v>
      </c>
      <c r="F814" s="27" t="s">
        <v>113</v>
      </c>
      <c r="G814" s="10" t="str">
        <f aca="false" t="array" ref="G814:G814">INDEX(Profils!$D$5:$D$34,$AE814)&amp;" en "&amp;$E814</f>
        <v>Bague en cuivre</v>
      </c>
      <c r="H814" s="16" t="n">
        <f aca="false" t="array" ref="H814:H814">INDEX(Matériaux!$B$16:$B$20,$D814)</f>
        <v>1</v>
      </c>
      <c r="I814" s="16" t="n">
        <f aca="false">IF(ISNUMBER($C$3),MIN(MAX(0,ROUND($C$3,0)),$AI814),$AI814)</f>
        <v>0</v>
      </c>
      <c r="J814" s="18" t="n">
        <f aca="false">$H814+$I814</f>
        <v>1</v>
      </c>
      <c r="K814" s="15" t="s">
        <v>109</v>
      </c>
      <c r="L814" s="19" t="n">
        <f aca="false" t="array" ref="L814:L814">IF(AND(INDEX(Profils!$F$5:$F$34,$AE814)&gt;0,INDEX(Profils!$U$5:$U$34,$AE814)&lt;=$AH814),ROUND(INDEX(Profils!$F$5:$F$34,$AE814)*Paramètres!$E$22*$AG814*$AJ814,Paramètres!$F$22),0)</f>
        <v>2</v>
      </c>
      <c r="M814" s="19" t="n">
        <f aca="false" t="array" ref="M814:M814">IF(AND(INDEX(Profils!$G$5:$G$34,$AE814)&gt;0,INDEX(Profils!$V$5:$V$34,$AE814)&lt;=$AH814),ROUND(INDEX(Profils!$G$5:$G$34,$AE814)*Paramètres!$E$23*$AG814*$AJ814,Paramètres!$F$23),0)</f>
        <v>0</v>
      </c>
      <c r="N814" s="19" t="n">
        <f aca="false" t="array" ref="N814:N814">IF(AND(INDEX(Profils!$H$5:$H$34,$AE814)&gt;0,INDEX(Profils!$W$5:$W$34,$AE814)&lt;=$AH814),ROUND(INDEX(Profils!$H$5:$H$34,$AE814)*Paramètres!$E$24*$AG814*$AJ814,Paramètres!$F$24),0)</f>
        <v>0</v>
      </c>
      <c r="O814" s="19" t="n">
        <f aca="false" t="array" ref="O814:O814">IF(AND(INDEX(Profils!$I$5:$I$34,$AE814)&gt;0,INDEX(Profils!$X$5:$X$34,$AE814)&lt;=$AH814),ROUND(INDEX(Profils!$I$5:$I$34,$AE814)*Paramètres!$E$25*$AG814*$AJ814,Paramètres!$F$25),0)</f>
        <v>0</v>
      </c>
      <c r="P814" s="19" t="n">
        <f aca="false" t="array" ref="P814:P814">IF(AND(INDEX(Profils!$J$5:$J$34,$AE814)&gt;0,INDEX(Profils!$Y$5:$Y$34,$AE814)&lt;=$AH814),ROUND(INDEX(Profils!$J$5:$J$34,$AE814)*Paramètres!$E$26*$AG814*$AJ814,Paramètres!$F$26),0)</f>
        <v>1</v>
      </c>
      <c r="Q814" s="19" t="n">
        <f aca="false" t="array" ref="Q814:Q814">IF(AND(INDEX(Profils!$K$5:$K$34,$AE814)&gt;0,INDEX(Profils!$Z$5:$Z$34,$AE814)&lt;=$AH814),ROUND(INDEX(Profils!$K$5:$K$34,$AE814)*Paramètres!$E$27*$AG814*$AJ814,Paramètres!$F$27),0)</f>
        <v>1</v>
      </c>
      <c r="R814" s="20" t="n">
        <f aca="false" t="array" ref="R814:R814">IF(AND(INDEX(Profils!$L$5:$L$34,$AE814)&gt;0,INDEX(Profils!$AA$5:$AA$34,$AE814)&lt;=$AH814),ROUND(INDEX(Profils!$L$5:$L$34,$AE814)*Paramètres!$E$28*$AG814*$AJ814,Paramètres!$F$28),0)</f>
        <v>0</v>
      </c>
      <c r="S814" s="20" t="n">
        <f aca="false" t="array" ref="S814:S814">IF(AND(INDEX(Profils!$M$5:$M$34,$AE814)&gt;0,INDEX(Profils!$AB$5:$AB$34,$AE814)&lt;=$AH814),ROUND(INDEX(Profils!$M$5:$M$34,$AE814)*Paramètres!$E$29*$AG814*$AJ814,Paramètres!$F$29),0)</f>
        <v>0</v>
      </c>
      <c r="T814" s="20" t="n">
        <f aca="false" t="array" ref="T814:T814">IF(AND(INDEX(Profils!$N$5:$N$34,$AE814)&gt;0,INDEX(Profils!$AC$5:$AC$34,$AE814)&lt;=$AH814),ROUND(INDEX(Profils!$N$5:$N$34,$AE814)*Paramètres!$E$30*$AG814*$AJ814,Paramètres!$F$30),0)</f>
        <v>0</v>
      </c>
      <c r="U814" s="19" t="n">
        <f aca="false" t="array" ref="U814:U814">IF(AND(INDEX(Profils!$O$5:$O$34,$AE814)&gt;0,INDEX(Profils!$AD$5:$AD$34,$AE814)&lt;=$AH814),ROUND(INDEX(Profils!$O$5:$O$34,$AE814)*Paramètres!$E$31*$AG814*$AJ814,Paramètres!$F$31),0)</f>
        <v>0</v>
      </c>
      <c r="V814" s="20" t="n">
        <f aca="false" t="array" ref="V814:V814">IF(AND(INDEX(Profils!$P$5:$P$34,$AE814)&gt;0,INDEX(Profils!$AE$5:$AE$34,$AE814)&lt;=$AH814),ROUND(INDEX(Profils!$P$5:$P$34,$AE814)*Paramètres!$E$32*$AG814*$AJ814,Paramètres!$F$32),0)</f>
        <v>0</v>
      </c>
      <c r="W814" s="20" t="n">
        <f aca="false" t="array" ref="W814:W814">IF(AND(INDEX(Profils!$Q$5:$Q$34,$AE814)&gt;0,INDEX(Profils!$AF$5:$AF$34,$AE814)&lt;=$AH814),ROUND(INDEX(Profils!$Q$5:$Q$34,$AE814)*Paramètres!$E$33*$AG814*$AJ814,Paramètres!$F$33),0)</f>
        <v>0.001</v>
      </c>
      <c r="X814" s="20" t="n">
        <f aca="false" t="array" ref="X814:X814">IF(AND(INDEX(Profils!$R$5:$R$34,$AE814)&gt;0,INDEX(Profils!$AG$5:$AG$34,$AE814)&lt;=$AH814),ROUND(INDEX(Profils!$R$5:$R$34,$AE814)*Paramètres!$E$34*$AG814*$AJ814,Paramètres!$F$34),0)</f>
        <v>0</v>
      </c>
      <c r="Y814" s="20" t="n">
        <f aca="false" t="array" ref="Y814:Y814">IF(AND(INDEX(Profils!$S$5:$S$34,$AE814)&gt;0,INDEX(Profils!$AH$5:$AH$34,$AE814)&lt;=$AH814),ROUND(INDEX(Profils!$S$5:$S$34,$AE814)*Paramètres!$E$35*$AG814*$AJ814,Paramètres!$F$35),0)</f>
        <v>0</v>
      </c>
      <c r="Z814" s="21" t="n">
        <f aca="false">ROUND(L814/Paramètres!$E$22+M814/Paramètres!$E$23+N814/Paramètres!$E$24+O814/Paramètres!$E$25+P814/Paramètres!$E$26+Q814/Paramètres!$E$27+R814/Paramètres!$E$28+S814/Paramètres!$E$29+T814/Paramètres!$E$30+U814/Paramètres!$E$31+V814/Paramètres!$E$32+W814/Paramètres!$E$33+X814/Paramètres!$E$34+Y814/Paramètres!$E$35,1)</f>
        <v>0.3</v>
      </c>
      <c r="AA814" s="22" t="s">
        <v>109</v>
      </c>
      <c r="AB814" s="22" t="s">
        <v>109</v>
      </c>
      <c r="AC814" s="15" t="str">
        <f aca="false">$E814</f>
        <v>cuivre</v>
      </c>
      <c r="AD814" s="16" t="n">
        <f aca="false" t="array" ref="AD814:AD814">IF($I814&gt;=$AI814,"Max",ROUND(Paramètres!$B$40*($I814+1)^Paramètres!$B$41*INDEX(Paramètres!$H$6:$H$12,$AF814),0))</f>
        <v>4</v>
      </c>
      <c r="AE814" s="23" t="n">
        <f aca="false">MATCH($B814&amp;"|"&amp;$C814,Profils!$A$5:$A$34,0)</f>
        <v>27</v>
      </c>
      <c r="AF814" s="23" t="n">
        <v>3</v>
      </c>
      <c r="AG814" s="24" t="n">
        <f aca="false" t="array" ref="AG814:AG814">INDEX(Paramètres!$C$6:$C$12,$AF814)</f>
        <v>1.45</v>
      </c>
      <c r="AH814" s="23" t="n">
        <f aca="false" t="array" ref="AH814:AH814">INDEX(Paramètres!$D$6:$D$12,$AF814)</f>
        <v>4</v>
      </c>
      <c r="AI814" s="23" t="n">
        <f aca="false" t="array" ref="AI814:AI814">INDEX(Matériaux!$C$16:$C$20,$D814)</f>
        <v>19</v>
      </c>
      <c r="AJ814" s="25" t="n">
        <f aca="false">Paramètres!$B$16+(1-Paramètres!$B$16)*(($J814-Paramètres!$B$14)/(Paramètres!$B$15-Paramètres!$B$14))^Paramètres!$B$17</f>
        <v>0.05</v>
      </c>
    </row>
    <row r="815" customFormat="false" ht="15.75" hidden="false" customHeight="true" outlineLevel="0" collapsed="false">
      <c r="A815" s="14" t="s">
        <v>931</v>
      </c>
      <c r="B815" s="15" t="s">
        <v>31</v>
      </c>
      <c r="C815" s="15" t="s">
        <v>305</v>
      </c>
      <c r="D815" s="16" t="n">
        <v>1</v>
      </c>
      <c r="E815" s="15" t="str">
        <f aca="false" t="array" ref="E815:E815">INDEX(Matériaux!$B$5:$F$12,MATCH(INDEX(Profils!$E$5:$E$34,$AE815),Matériaux!$A$5:$A$12,0),$D815)</f>
        <v>cuivre</v>
      </c>
      <c r="F815" s="28" t="s">
        <v>115</v>
      </c>
      <c r="G815" s="10" t="str">
        <f aca="false" t="array" ref="G815:G815">INDEX(Profils!$D$5:$D$34,$AE815)&amp;" en "&amp;$E815</f>
        <v>Bague en cuivre</v>
      </c>
      <c r="H815" s="16" t="n">
        <f aca="false" t="array" ref="H815:H815">INDEX(Matériaux!$B$16:$B$20,$D815)</f>
        <v>1</v>
      </c>
      <c r="I815" s="16" t="n">
        <f aca="false">IF(ISNUMBER($C$3),MIN(MAX(0,ROUND($C$3,0)),$AI815),$AI815)</f>
        <v>0</v>
      </c>
      <c r="J815" s="18" t="n">
        <f aca="false">$H815+$I815</f>
        <v>1</v>
      </c>
      <c r="K815" s="15" t="s">
        <v>109</v>
      </c>
      <c r="L815" s="19" t="n">
        <f aca="false" t="array" ref="L815:L815">IF(AND(INDEX(Profils!$F$5:$F$34,$AE815)&gt;0,INDEX(Profils!$U$5:$U$34,$AE815)&lt;=$AH815),ROUND(INDEX(Profils!$F$5:$F$34,$AE815)*Paramètres!$E$22*$AG815*$AJ815,Paramètres!$F$22),0)</f>
        <v>2</v>
      </c>
      <c r="M815" s="19" t="n">
        <f aca="false" t="array" ref="M815:M815">IF(AND(INDEX(Profils!$G$5:$G$34,$AE815)&gt;0,INDEX(Profils!$V$5:$V$34,$AE815)&lt;=$AH815),ROUND(INDEX(Profils!$G$5:$G$34,$AE815)*Paramètres!$E$23*$AG815*$AJ815,Paramètres!$F$23),0)</f>
        <v>0</v>
      </c>
      <c r="N815" s="19" t="n">
        <f aca="false" t="array" ref="N815:N815">IF(AND(INDEX(Profils!$H$5:$H$34,$AE815)&gt;0,INDEX(Profils!$W$5:$W$34,$AE815)&lt;=$AH815),ROUND(INDEX(Profils!$H$5:$H$34,$AE815)*Paramètres!$E$24*$AG815*$AJ815,Paramètres!$F$24),0)</f>
        <v>0</v>
      </c>
      <c r="O815" s="19" t="n">
        <f aca="false" t="array" ref="O815:O815">IF(AND(INDEX(Profils!$I$5:$I$34,$AE815)&gt;0,INDEX(Profils!$X$5:$X$34,$AE815)&lt;=$AH815),ROUND(INDEX(Profils!$I$5:$I$34,$AE815)*Paramètres!$E$25*$AG815*$AJ815,Paramètres!$F$25),0)</f>
        <v>0</v>
      </c>
      <c r="P815" s="19" t="n">
        <f aca="false" t="array" ref="P815:P815">IF(AND(INDEX(Profils!$J$5:$J$34,$AE815)&gt;0,INDEX(Profils!$Y$5:$Y$34,$AE815)&lt;=$AH815),ROUND(INDEX(Profils!$J$5:$J$34,$AE815)*Paramètres!$E$26*$AG815*$AJ815,Paramètres!$F$26),0)</f>
        <v>1</v>
      </c>
      <c r="Q815" s="19" t="n">
        <f aca="false" t="array" ref="Q815:Q815">IF(AND(INDEX(Profils!$K$5:$K$34,$AE815)&gt;0,INDEX(Profils!$Z$5:$Z$34,$AE815)&lt;=$AH815),ROUND(INDEX(Profils!$K$5:$K$34,$AE815)*Paramètres!$E$27*$AG815*$AJ815,Paramètres!$F$27),0)</f>
        <v>1</v>
      </c>
      <c r="R815" s="20" t="n">
        <f aca="false" t="array" ref="R815:R815">IF(AND(INDEX(Profils!$L$5:$L$34,$AE815)&gt;0,INDEX(Profils!$AA$5:$AA$34,$AE815)&lt;=$AH815),ROUND(INDEX(Profils!$L$5:$L$34,$AE815)*Paramètres!$E$28*$AG815*$AJ815,Paramètres!$F$28),0)</f>
        <v>0</v>
      </c>
      <c r="S815" s="20" t="n">
        <f aca="false" t="array" ref="S815:S815">IF(AND(INDEX(Profils!$M$5:$M$34,$AE815)&gt;0,INDEX(Profils!$AB$5:$AB$34,$AE815)&lt;=$AH815),ROUND(INDEX(Profils!$M$5:$M$34,$AE815)*Paramètres!$E$29*$AG815*$AJ815,Paramètres!$F$29),0)</f>
        <v>0</v>
      </c>
      <c r="T815" s="20" t="n">
        <f aca="false" t="array" ref="T815:T815">IF(AND(INDEX(Profils!$N$5:$N$34,$AE815)&gt;0,INDEX(Profils!$AC$5:$AC$34,$AE815)&lt;=$AH815),ROUND(INDEX(Profils!$N$5:$N$34,$AE815)*Paramètres!$E$30*$AG815*$AJ815,Paramètres!$F$30),0)</f>
        <v>0</v>
      </c>
      <c r="U815" s="19" t="n">
        <f aca="false" t="array" ref="U815:U815">IF(AND(INDEX(Profils!$O$5:$O$34,$AE815)&gt;0,INDEX(Profils!$AD$5:$AD$34,$AE815)&lt;=$AH815),ROUND(INDEX(Profils!$O$5:$O$34,$AE815)*Paramètres!$E$31*$AG815*$AJ815,Paramètres!$F$31),0)</f>
        <v>0</v>
      </c>
      <c r="V815" s="20" t="n">
        <f aca="false" t="array" ref="V815:V815">IF(AND(INDEX(Profils!$P$5:$P$34,$AE815)&gt;0,INDEX(Profils!$AE$5:$AE$34,$AE815)&lt;=$AH815),ROUND(INDEX(Profils!$P$5:$P$34,$AE815)*Paramètres!$E$32*$AG815*$AJ815,Paramètres!$F$32),0)</f>
        <v>0</v>
      </c>
      <c r="W815" s="20" t="n">
        <f aca="false" t="array" ref="W815:W815">IF(AND(INDEX(Profils!$Q$5:$Q$34,$AE815)&gt;0,INDEX(Profils!$AF$5:$AF$34,$AE815)&lt;=$AH815),ROUND(INDEX(Profils!$Q$5:$Q$34,$AE815)*Paramètres!$E$33*$AG815*$AJ815,Paramètres!$F$33),0)</f>
        <v>0.001</v>
      </c>
      <c r="X815" s="20" t="n">
        <f aca="false" t="array" ref="X815:X815">IF(AND(INDEX(Profils!$R$5:$R$34,$AE815)&gt;0,INDEX(Profils!$AG$5:$AG$34,$AE815)&lt;=$AH815),ROUND(INDEX(Profils!$R$5:$R$34,$AE815)*Paramètres!$E$34*$AG815*$AJ815,Paramètres!$F$34),0)</f>
        <v>0</v>
      </c>
      <c r="Y815" s="20" t="n">
        <f aca="false" t="array" ref="Y815:Y815">IF(AND(INDEX(Profils!$S$5:$S$34,$AE815)&gt;0,INDEX(Profils!$AH$5:$AH$34,$AE815)&lt;=$AH815),ROUND(INDEX(Profils!$S$5:$S$34,$AE815)*Paramètres!$E$35*$AG815*$AJ815,Paramètres!$F$35),0)</f>
        <v>0.001</v>
      </c>
      <c r="Z815" s="21" t="n">
        <f aca="false">ROUND(L815/Paramètres!$E$22+M815/Paramètres!$E$23+N815/Paramètres!$E$24+O815/Paramètres!$E$25+P815/Paramètres!$E$26+Q815/Paramètres!$E$27+R815/Paramètres!$E$28+S815/Paramètres!$E$29+T815/Paramètres!$E$30+U815/Paramètres!$E$31+V815/Paramètres!$E$32+W815/Paramètres!$E$33+X815/Paramètres!$E$34+Y815/Paramètres!$E$35,1)</f>
        <v>0.4</v>
      </c>
      <c r="AA815" s="22" t="s">
        <v>109</v>
      </c>
      <c r="AB815" s="22" t="s">
        <v>109</v>
      </c>
      <c r="AC815" s="15" t="str">
        <f aca="false">$E815</f>
        <v>cuivre</v>
      </c>
      <c r="AD815" s="16" t="n">
        <f aca="false" t="array" ref="AD815:AD815">IF($I815&gt;=$AI815,"Max",ROUND(Paramètres!$B$40*($I815+1)^Paramètres!$B$41*INDEX(Paramètres!$H$6:$H$12,$AF815),0))</f>
        <v>5</v>
      </c>
      <c r="AE815" s="23" t="n">
        <f aca="false">MATCH($B815&amp;"|"&amp;$C815,Profils!$A$5:$A$34,0)</f>
        <v>27</v>
      </c>
      <c r="AF815" s="23" t="n">
        <v>4</v>
      </c>
      <c r="AG815" s="24" t="n">
        <f aca="false" t="array" ref="AG815:AG815">INDEX(Paramètres!$C$6:$C$12,$AF815)</f>
        <v>1.75</v>
      </c>
      <c r="AH815" s="23" t="n">
        <f aca="false" t="array" ref="AH815:AH815">INDEX(Paramètres!$D$6:$D$12,$AF815)</f>
        <v>5</v>
      </c>
      <c r="AI815" s="23" t="n">
        <f aca="false" t="array" ref="AI815:AI815">INDEX(Matériaux!$C$16:$C$20,$D815)</f>
        <v>19</v>
      </c>
      <c r="AJ815" s="25" t="n">
        <f aca="false">Paramètres!$B$16+(1-Paramètres!$B$16)*(($J815-Paramètres!$B$14)/(Paramètres!$B$15-Paramètres!$B$14))^Paramètres!$B$17</f>
        <v>0.05</v>
      </c>
    </row>
    <row r="816" customFormat="false" ht="15.75" hidden="false" customHeight="true" outlineLevel="0" collapsed="false">
      <c r="A816" s="14" t="s">
        <v>932</v>
      </c>
      <c r="B816" s="15" t="s">
        <v>31</v>
      </c>
      <c r="C816" s="15" t="s">
        <v>305</v>
      </c>
      <c r="D816" s="16" t="n">
        <v>1</v>
      </c>
      <c r="E816" s="15" t="str">
        <f aca="false" t="array" ref="E816:E816">INDEX(Matériaux!$B$5:$F$12,MATCH(INDEX(Profils!$E$5:$E$34,$AE816),Matériaux!$A$5:$A$12,0),$D816)</f>
        <v>cuivre</v>
      </c>
      <c r="F816" s="29" t="s">
        <v>117</v>
      </c>
      <c r="G816" s="10" t="str">
        <f aca="false" t="array" ref="G816:G816">INDEX(Profils!$D$5:$D$34,$AE816)&amp;" en "&amp;$E816</f>
        <v>Bague en cuivre</v>
      </c>
      <c r="H816" s="16" t="n">
        <f aca="false" t="array" ref="H816:H816">INDEX(Matériaux!$B$16:$B$20,$D816)</f>
        <v>1</v>
      </c>
      <c r="I816" s="16" t="n">
        <f aca="false">IF(ISNUMBER($C$3),MIN(MAX(0,ROUND($C$3,0)),$AI816),$AI816)</f>
        <v>0</v>
      </c>
      <c r="J816" s="18" t="n">
        <f aca="false">$H816+$I816</f>
        <v>1</v>
      </c>
      <c r="K816" s="15" t="s">
        <v>109</v>
      </c>
      <c r="L816" s="19" t="n">
        <f aca="false" t="array" ref="L816:L816">IF(AND(INDEX(Profils!$F$5:$F$34,$AE816)&gt;0,INDEX(Profils!$U$5:$U$34,$AE816)&lt;=$AH816),ROUND(INDEX(Profils!$F$5:$F$34,$AE816)*Paramètres!$E$22*$AG816*$AJ816,Paramètres!$F$22),0)</f>
        <v>3</v>
      </c>
      <c r="M816" s="19" t="n">
        <f aca="false" t="array" ref="M816:M816">IF(AND(INDEX(Profils!$G$5:$G$34,$AE816)&gt;0,INDEX(Profils!$V$5:$V$34,$AE816)&lt;=$AH816),ROUND(INDEX(Profils!$G$5:$G$34,$AE816)*Paramètres!$E$23*$AG816*$AJ816,Paramètres!$F$23),0)</f>
        <v>0</v>
      </c>
      <c r="N816" s="19" t="n">
        <f aca="false" t="array" ref="N816:N816">IF(AND(INDEX(Profils!$H$5:$H$34,$AE816)&gt;0,INDEX(Profils!$W$5:$W$34,$AE816)&lt;=$AH816),ROUND(INDEX(Profils!$H$5:$H$34,$AE816)*Paramètres!$E$24*$AG816*$AJ816,Paramètres!$F$24),0)</f>
        <v>1</v>
      </c>
      <c r="O816" s="19" t="n">
        <f aca="false" t="array" ref="O816:O816">IF(AND(INDEX(Profils!$I$5:$I$34,$AE816)&gt;0,INDEX(Profils!$X$5:$X$34,$AE816)&lt;=$AH816),ROUND(INDEX(Profils!$I$5:$I$34,$AE816)*Paramètres!$E$25*$AG816*$AJ816,Paramètres!$F$25),0)</f>
        <v>0</v>
      </c>
      <c r="P816" s="19" t="n">
        <f aca="false" t="array" ref="P816:P816">IF(AND(INDEX(Profils!$J$5:$J$34,$AE816)&gt;0,INDEX(Profils!$Y$5:$Y$34,$AE816)&lt;=$AH816),ROUND(INDEX(Profils!$J$5:$J$34,$AE816)*Paramètres!$E$26*$AG816*$AJ816,Paramètres!$F$26),0)</f>
        <v>1</v>
      </c>
      <c r="Q816" s="19" t="n">
        <f aca="false" t="array" ref="Q816:Q816">IF(AND(INDEX(Profils!$K$5:$K$34,$AE816)&gt;0,INDEX(Profils!$Z$5:$Z$34,$AE816)&lt;=$AH816),ROUND(INDEX(Profils!$K$5:$K$34,$AE816)*Paramètres!$E$27*$AG816*$AJ816,Paramètres!$F$27),0)</f>
        <v>1</v>
      </c>
      <c r="R816" s="20" t="n">
        <f aca="false" t="array" ref="R816:R816">IF(AND(INDEX(Profils!$L$5:$L$34,$AE816)&gt;0,INDEX(Profils!$AA$5:$AA$34,$AE816)&lt;=$AH816),ROUND(INDEX(Profils!$L$5:$L$34,$AE816)*Paramètres!$E$28*$AG816*$AJ816,Paramètres!$F$28),0)</f>
        <v>0</v>
      </c>
      <c r="S816" s="20" t="n">
        <f aca="false" t="array" ref="S816:S816">IF(AND(INDEX(Profils!$M$5:$M$34,$AE816)&gt;0,INDEX(Profils!$AB$5:$AB$34,$AE816)&lt;=$AH816),ROUND(INDEX(Profils!$M$5:$M$34,$AE816)*Paramètres!$E$29*$AG816*$AJ816,Paramètres!$F$29),0)</f>
        <v>0</v>
      </c>
      <c r="T816" s="20" t="n">
        <f aca="false" t="array" ref="T816:T816">IF(AND(INDEX(Profils!$N$5:$N$34,$AE816)&gt;0,INDEX(Profils!$AC$5:$AC$34,$AE816)&lt;=$AH816),ROUND(INDEX(Profils!$N$5:$N$34,$AE816)*Paramètres!$E$30*$AG816*$AJ816,Paramètres!$F$30),0)</f>
        <v>0</v>
      </c>
      <c r="U816" s="19" t="n">
        <f aca="false" t="array" ref="U816:U816">IF(AND(INDEX(Profils!$O$5:$O$34,$AE816)&gt;0,INDEX(Profils!$AD$5:$AD$34,$AE816)&lt;=$AH816),ROUND(INDEX(Profils!$O$5:$O$34,$AE816)*Paramètres!$E$31*$AG816*$AJ816,Paramètres!$F$31),0)</f>
        <v>0</v>
      </c>
      <c r="V816" s="20" t="n">
        <f aca="false" t="array" ref="V816:V816">IF(AND(INDEX(Profils!$P$5:$P$34,$AE816)&gt;0,INDEX(Profils!$AE$5:$AE$34,$AE816)&lt;=$AH816),ROUND(INDEX(Profils!$P$5:$P$34,$AE816)*Paramètres!$E$32*$AG816*$AJ816,Paramètres!$F$32),0)</f>
        <v>0</v>
      </c>
      <c r="W816" s="20" t="n">
        <f aca="false" t="array" ref="W816:W816">IF(AND(INDEX(Profils!$Q$5:$Q$34,$AE816)&gt;0,INDEX(Profils!$AF$5:$AF$34,$AE816)&lt;=$AH816),ROUND(INDEX(Profils!$Q$5:$Q$34,$AE816)*Paramètres!$E$33*$AG816*$AJ816,Paramètres!$F$33),0)</f>
        <v>0.001</v>
      </c>
      <c r="X816" s="20" t="n">
        <f aca="false" t="array" ref="X816:X816">IF(AND(INDEX(Profils!$R$5:$R$34,$AE816)&gt;0,INDEX(Profils!$AG$5:$AG$34,$AE816)&lt;=$AH816),ROUND(INDEX(Profils!$R$5:$R$34,$AE816)*Paramètres!$E$34*$AG816*$AJ816,Paramètres!$F$34),0)</f>
        <v>0</v>
      </c>
      <c r="Y816" s="20" t="n">
        <f aca="false" t="array" ref="Y816:Y816">IF(AND(INDEX(Profils!$S$5:$S$34,$AE816)&gt;0,INDEX(Profils!$AH$5:$AH$34,$AE816)&lt;=$AH816),ROUND(INDEX(Profils!$S$5:$S$34,$AE816)*Paramètres!$E$35*$AG816*$AJ816,Paramètres!$F$35),0)</f>
        <v>0.001</v>
      </c>
      <c r="Z816" s="21" t="n">
        <f aca="false">ROUND(L816/Paramètres!$E$22+M816/Paramètres!$E$23+N816/Paramètres!$E$24+O816/Paramètres!$E$25+P816/Paramètres!$E$26+Q816/Paramètres!$E$27+R816/Paramètres!$E$28+S816/Paramètres!$E$29+T816/Paramètres!$E$30+U816/Paramètres!$E$31+V816/Paramètres!$E$32+W816/Paramètres!$E$33+X816/Paramètres!$E$34+Y816/Paramètres!$E$35,1)</f>
        <v>0.5</v>
      </c>
      <c r="AA816" s="22" t="s">
        <v>109</v>
      </c>
      <c r="AB816" s="22" t="s">
        <v>109</v>
      </c>
      <c r="AC816" s="15" t="str">
        <f aca="false">$E816</f>
        <v>cuivre</v>
      </c>
      <c r="AD816" s="16" t="n">
        <f aca="false" t="array" ref="AD816:AD816">IF($I816&gt;=$AI816,"Max",ROUND(Paramètres!$B$40*($I816+1)^Paramètres!$B$41*INDEX(Paramètres!$H$6:$H$12,$AF816),0))</f>
        <v>6</v>
      </c>
      <c r="AE816" s="23" t="n">
        <f aca="false">MATCH($B816&amp;"|"&amp;$C816,Profils!$A$5:$A$34,0)</f>
        <v>27</v>
      </c>
      <c r="AF816" s="23" t="n">
        <v>5</v>
      </c>
      <c r="AG816" s="24" t="n">
        <f aca="false" t="array" ref="AG816:AG816">INDEX(Paramètres!$C$6:$C$12,$AF816)</f>
        <v>2.1</v>
      </c>
      <c r="AH816" s="23" t="n">
        <f aca="false" t="array" ref="AH816:AH816">INDEX(Paramètres!$D$6:$D$12,$AF816)</f>
        <v>6</v>
      </c>
      <c r="AI816" s="23" t="n">
        <f aca="false" t="array" ref="AI816:AI816">INDEX(Matériaux!$C$16:$C$20,$D816)</f>
        <v>19</v>
      </c>
      <c r="AJ816" s="25" t="n">
        <f aca="false">Paramètres!$B$16+(1-Paramètres!$B$16)*(($J816-Paramètres!$B$14)/(Paramètres!$B$15-Paramètres!$B$14))^Paramètres!$B$17</f>
        <v>0.05</v>
      </c>
    </row>
    <row r="817" customFormat="false" ht="15.75" hidden="false" customHeight="true" outlineLevel="0" collapsed="false">
      <c r="A817" s="14" t="s">
        <v>933</v>
      </c>
      <c r="B817" s="15" t="s">
        <v>31</v>
      </c>
      <c r="C817" s="15" t="s">
        <v>305</v>
      </c>
      <c r="D817" s="16" t="n">
        <v>1</v>
      </c>
      <c r="E817" s="15" t="str">
        <f aca="false" t="array" ref="E817:E817">INDEX(Matériaux!$B$5:$F$12,MATCH(INDEX(Profils!$E$5:$E$34,$AE817),Matériaux!$A$5:$A$12,0),$D817)</f>
        <v>cuivre</v>
      </c>
      <c r="F817" s="30" t="s">
        <v>119</v>
      </c>
      <c r="G817" s="10" t="str">
        <f aca="false" t="array" ref="G817:G817">INDEX(Profils!$D$5:$D$34,$AE817)&amp;" en "&amp;$E817</f>
        <v>Bague en cuivre</v>
      </c>
      <c r="H817" s="16" t="n">
        <f aca="false" t="array" ref="H817:H817">INDEX(Matériaux!$B$16:$B$20,$D817)</f>
        <v>1</v>
      </c>
      <c r="I817" s="16" t="n">
        <f aca="false">IF(ISNUMBER($C$3),MIN(MAX(0,ROUND($C$3,0)),$AI817),$AI817)</f>
        <v>0</v>
      </c>
      <c r="J817" s="18" t="n">
        <f aca="false">$H817+$I817</f>
        <v>1</v>
      </c>
      <c r="K817" s="15" t="s">
        <v>109</v>
      </c>
      <c r="L817" s="19" t="n">
        <f aca="false" t="array" ref="L817:L817">IF(AND(INDEX(Profils!$F$5:$F$34,$AE817)&gt;0,INDEX(Profils!$U$5:$U$34,$AE817)&lt;=$AH817),ROUND(INDEX(Profils!$F$5:$F$34,$AE817)*Paramètres!$E$22*$AG817*$AJ817,Paramètres!$F$22),0)</f>
        <v>3</v>
      </c>
      <c r="M817" s="19" t="n">
        <f aca="false" t="array" ref="M817:M817">IF(AND(INDEX(Profils!$G$5:$G$34,$AE817)&gt;0,INDEX(Profils!$V$5:$V$34,$AE817)&lt;=$AH817),ROUND(INDEX(Profils!$G$5:$G$34,$AE817)*Paramètres!$E$23*$AG817*$AJ817,Paramètres!$F$23),0)</f>
        <v>0</v>
      </c>
      <c r="N817" s="19" t="n">
        <f aca="false" t="array" ref="N817:N817">IF(AND(INDEX(Profils!$H$5:$H$34,$AE817)&gt;0,INDEX(Profils!$W$5:$W$34,$AE817)&lt;=$AH817),ROUND(INDEX(Profils!$H$5:$H$34,$AE817)*Paramètres!$E$24*$AG817*$AJ817,Paramètres!$F$24),0)</f>
        <v>1</v>
      </c>
      <c r="O817" s="19" t="n">
        <f aca="false" t="array" ref="O817:O817">IF(AND(INDEX(Profils!$I$5:$I$34,$AE817)&gt;0,INDEX(Profils!$X$5:$X$34,$AE817)&lt;=$AH817),ROUND(INDEX(Profils!$I$5:$I$34,$AE817)*Paramètres!$E$25*$AG817*$AJ817,Paramètres!$F$25),0)</f>
        <v>0</v>
      </c>
      <c r="P817" s="19" t="n">
        <f aca="false" t="array" ref="P817:P817">IF(AND(INDEX(Profils!$J$5:$J$34,$AE817)&gt;0,INDEX(Profils!$Y$5:$Y$34,$AE817)&lt;=$AH817),ROUND(INDEX(Profils!$J$5:$J$34,$AE817)*Paramètres!$E$26*$AG817*$AJ817,Paramètres!$F$26),0)</f>
        <v>1</v>
      </c>
      <c r="Q817" s="19" t="n">
        <f aca="false" t="array" ref="Q817:Q817">IF(AND(INDEX(Profils!$K$5:$K$34,$AE817)&gt;0,INDEX(Profils!$Z$5:$Z$34,$AE817)&lt;=$AH817),ROUND(INDEX(Profils!$K$5:$K$34,$AE817)*Paramètres!$E$27*$AG817*$AJ817,Paramètres!$F$27),0)</f>
        <v>1</v>
      </c>
      <c r="R817" s="20" t="n">
        <f aca="false" t="array" ref="R817:R817">IF(AND(INDEX(Profils!$L$5:$L$34,$AE817)&gt;0,INDEX(Profils!$AA$5:$AA$34,$AE817)&lt;=$AH817),ROUND(INDEX(Profils!$L$5:$L$34,$AE817)*Paramètres!$E$28*$AG817*$AJ817,Paramètres!$F$28),0)</f>
        <v>0.001</v>
      </c>
      <c r="S817" s="20" t="n">
        <f aca="false" t="array" ref="S817:S817">IF(AND(INDEX(Profils!$M$5:$M$34,$AE817)&gt;0,INDEX(Profils!$AB$5:$AB$34,$AE817)&lt;=$AH817),ROUND(INDEX(Profils!$M$5:$M$34,$AE817)*Paramètres!$E$29*$AG817*$AJ817,Paramètres!$F$29),0)</f>
        <v>0</v>
      </c>
      <c r="T817" s="20" t="n">
        <f aca="false" t="array" ref="T817:T817">IF(AND(INDEX(Profils!$N$5:$N$34,$AE817)&gt;0,INDEX(Profils!$AC$5:$AC$34,$AE817)&lt;=$AH817),ROUND(INDEX(Profils!$N$5:$N$34,$AE817)*Paramètres!$E$30*$AG817*$AJ817,Paramètres!$F$30),0)</f>
        <v>0</v>
      </c>
      <c r="U817" s="19" t="n">
        <f aca="false" t="array" ref="U817:U817">IF(AND(INDEX(Profils!$O$5:$O$34,$AE817)&gt;0,INDEX(Profils!$AD$5:$AD$34,$AE817)&lt;=$AH817),ROUND(INDEX(Profils!$O$5:$O$34,$AE817)*Paramètres!$E$31*$AG817*$AJ817,Paramètres!$F$31),0)</f>
        <v>0</v>
      </c>
      <c r="V817" s="20" t="n">
        <f aca="false" t="array" ref="V817:V817">IF(AND(INDEX(Profils!$P$5:$P$34,$AE817)&gt;0,INDEX(Profils!$AE$5:$AE$34,$AE817)&lt;=$AH817),ROUND(INDEX(Profils!$P$5:$P$34,$AE817)*Paramètres!$E$32*$AG817*$AJ817,Paramètres!$F$32),0)</f>
        <v>0</v>
      </c>
      <c r="W817" s="20" t="n">
        <f aca="false" t="array" ref="W817:W817">IF(AND(INDEX(Profils!$Q$5:$Q$34,$AE817)&gt;0,INDEX(Profils!$AF$5:$AF$34,$AE817)&lt;=$AH817),ROUND(INDEX(Profils!$Q$5:$Q$34,$AE817)*Paramètres!$E$33*$AG817*$AJ817,Paramètres!$F$33),0)</f>
        <v>0.001</v>
      </c>
      <c r="X817" s="20" t="n">
        <f aca="false" t="array" ref="X817:X817">IF(AND(INDEX(Profils!$R$5:$R$34,$AE817)&gt;0,INDEX(Profils!$AG$5:$AG$34,$AE817)&lt;=$AH817),ROUND(INDEX(Profils!$R$5:$R$34,$AE817)*Paramètres!$E$34*$AG817*$AJ817,Paramètres!$F$34),0)</f>
        <v>0</v>
      </c>
      <c r="Y817" s="20" t="n">
        <f aca="false" t="array" ref="Y817:Y817">IF(AND(INDEX(Profils!$S$5:$S$34,$AE817)&gt;0,INDEX(Profils!$AH$5:$AH$34,$AE817)&lt;=$AH817),ROUND(INDEX(Profils!$S$5:$S$34,$AE817)*Paramètres!$E$35*$AG817*$AJ817,Paramètres!$F$35),0)</f>
        <v>0.001</v>
      </c>
      <c r="Z817" s="21" t="n">
        <f aca="false">ROUND(L817/Paramètres!$E$22+M817/Paramètres!$E$23+N817/Paramètres!$E$24+O817/Paramètres!$E$25+P817/Paramètres!$E$26+Q817/Paramètres!$E$27+R817/Paramètres!$E$28+S817/Paramètres!$E$29+T817/Paramètres!$E$30+U817/Paramètres!$E$31+V817/Paramètres!$E$32+W817/Paramètres!$E$33+X817/Paramètres!$E$34+Y817/Paramètres!$E$35,1)</f>
        <v>0.6</v>
      </c>
      <c r="AA817" s="22" t="s">
        <v>109</v>
      </c>
      <c r="AB817" s="22" t="s">
        <v>109</v>
      </c>
      <c r="AC817" s="15" t="str">
        <f aca="false">$E817</f>
        <v>cuivre</v>
      </c>
      <c r="AD817" s="16" t="n">
        <f aca="false" t="array" ref="AD817:AD817">IF($I817&gt;=$AI817,"Max",ROUND(Paramètres!$B$40*($I817+1)^Paramètres!$B$41*INDEX(Paramètres!$H$6:$H$12,$AF817),0))</f>
        <v>8</v>
      </c>
      <c r="AE817" s="23" t="n">
        <f aca="false">MATCH($B817&amp;"|"&amp;$C817,Profils!$A$5:$A$34,0)</f>
        <v>27</v>
      </c>
      <c r="AF817" s="23" t="n">
        <v>6</v>
      </c>
      <c r="AG817" s="24" t="n">
        <f aca="false" t="array" ref="AG817:AG817">INDEX(Paramètres!$C$6:$C$12,$AF817)</f>
        <v>2.4</v>
      </c>
      <c r="AH817" s="23" t="n">
        <f aca="false" t="array" ref="AH817:AH817">INDEX(Paramètres!$D$6:$D$12,$AF817)</f>
        <v>7</v>
      </c>
      <c r="AI817" s="23" t="n">
        <f aca="false" t="array" ref="AI817:AI817">INDEX(Matériaux!$C$16:$C$20,$D817)</f>
        <v>19</v>
      </c>
      <c r="AJ817" s="25" t="n">
        <f aca="false">Paramètres!$B$16+(1-Paramètres!$B$16)*(($J817-Paramètres!$B$14)/(Paramètres!$B$15-Paramètres!$B$14))^Paramètres!$B$17</f>
        <v>0.05</v>
      </c>
    </row>
    <row r="818" customFormat="false" ht="15.75" hidden="false" customHeight="true" outlineLevel="0" collapsed="false">
      <c r="A818" s="14" t="s">
        <v>934</v>
      </c>
      <c r="B818" s="15" t="s">
        <v>31</v>
      </c>
      <c r="C818" s="15" t="s">
        <v>305</v>
      </c>
      <c r="D818" s="16" t="n">
        <v>2</v>
      </c>
      <c r="E818" s="15" t="str">
        <f aca="false" t="array" ref="E818:E818">INDEX(Matériaux!$B$5:$F$12,MATCH(INDEX(Profils!$E$5:$E$34,$AE818),Matériaux!$A$5:$A$12,0),$D818)</f>
        <v>argent</v>
      </c>
      <c r="F818" s="17" t="s">
        <v>108</v>
      </c>
      <c r="G818" s="10" t="str">
        <f aca="false" t="array" ref="G818:G818">INDEX(Profils!$D$5:$D$34,$AE818)&amp;" en "&amp;$E818</f>
        <v>Bague en argent</v>
      </c>
      <c r="H818" s="16" t="n">
        <f aca="false" t="array" ref="H818:H818">INDEX(Matériaux!$B$16:$B$20,$D818)</f>
        <v>15</v>
      </c>
      <c r="I818" s="16" t="n">
        <f aca="false">IF(ISNUMBER($C$3),MIN(MAX(0,ROUND($C$3,0)),$AI818),$AI818)</f>
        <v>0</v>
      </c>
      <c r="J818" s="18" t="n">
        <f aca="false">$H818+$I818</f>
        <v>15</v>
      </c>
      <c r="K818" s="15" t="s">
        <v>109</v>
      </c>
      <c r="L818" s="19" t="n">
        <f aca="false" t="array" ref="L818:L818">IF(AND(INDEX(Profils!$F$5:$F$34,$AE818)&gt;0,INDEX(Profils!$U$5:$U$34,$AE818)&lt;=$AH818),ROUND(INDEX(Profils!$F$5:$F$34,$AE818)*Paramètres!$E$22*$AG818*$AJ818,Paramètres!$F$22),0)</f>
        <v>4</v>
      </c>
      <c r="M818" s="19" t="n">
        <f aca="false" t="array" ref="M818:M818">IF(AND(INDEX(Profils!$G$5:$G$34,$AE818)&gt;0,INDEX(Profils!$V$5:$V$34,$AE818)&lt;=$AH818),ROUND(INDEX(Profils!$G$5:$G$34,$AE818)*Paramètres!$E$23*$AG818*$AJ818,Paramètres!$F$23),0)</f>
        <v>0</v>
      </c>
      <c r="N818" s="19" t="n">
        <f aca="false" t="array" ref="N818:N818">IF(AND(INDEX(Profils!$H$5:$H$34,$AE818)&gt;0,INDEX(Profils!$W$5:$W$34,$AE818)&lt;=$AH818),ROUND(INDEX(Profils!$H$5:$H$34,$AE818)*Paramètres!$E$24*$AG818*$AJ818,Paramètres!$F$24),0)</f>
        <v>0</v>
      </c>
      <c r="O818" s="19" t="n">
        <f aca="false" t="array" ref="O818:O818">IF(AND(INDEX(Profils!$I$5:$I$34,$AE818)&gt;0,INDEX(Profils!$X$5:$X$34,$AE818)&lt;=$AH818),ROUND(INDEX(Profils!$I$5:$I$34,$AE818)*Paramètres!$E$25*$AG818*$AJ818,Paramètres!$F$25),0)</f>
        <v>0</v>
      </c>
      <c r="P818" s="19" t="n">
        <f aca="false" t="array" ref="P818:P818">IF(AND(INDEX(Profils!$J$5:$J$34,$AE818)&gt;0,INDEX(Profils!$Y$5:$Y$34,$AE818)&lt;=$AH818),ROUND(INDEX(Profils!$J$5:$J$34,$AE818)*Paramètres!$E$26*$AG818*$AJ818,Paramètres!$F$26),0)</f>
        <v>2</v>
      </c>
      <c r="Q818" s="19" t="n">
        <f aca="false" t="array" ref="Q818:Q818">IF(AND(INDEX(Profils!$K$5:$K$34,$AE818)&gt;0,INDEX(Profils!$Z$5:$Z$34,$AE818)&lt;=$AH818),ROUND(INDEX(Profils!$K$5:$K$34,$AE818)*Paramètres!$E$27*$AG818*$AJ818,Paramètres!$F$27),0)</f>
        <v>0</v>
      </c>
      <c r="R818" s="20" t="n">
        <f aca="false" t="array" ref="R818:R818">IF(AND(INDEX(Profils!$L$5:$L$34,$AE818)&gt;0,INDEX(Profils!$AA$5:$AA$34,$AE818)&lt;=$AH818),ROUND(INDEX(Profils!$L$5:$L$34,$AE818)*Paramètres!$E$28*$AG818*$AJ818,Paramètres!$F$28),0)</f>
        <v>0</v>
      </c>
      <c r="S818" s="20" t="n">
        <f aca="false" t="array" ref="S818:S818">IF(AND(INDEX(Profils!$M$5:$M$34,$AE818)&gt;0,INDEX(Profils!$AB$5:$AB$34,$AE818)&lt;=$AH818),ROUND(INDEX(Profils!$M$5:$M$34,$AE818)*Paramètres!$E$29*$AG818*$AJ818,Paramètres!$F$29),0)</f>
        <v>0</v>
      </c>
      <c r="T818" s="20" t="n">
        <f aca="false" t="array" ref="T818:T818">IF(AND(INDEX(Profils!$N$5:$N$34,$AE818)&gt;0,INDEX(Profils!$AC$5:$AC$34,$AE818)&lt;=$AH818),ROUND(INDEX(Profils!$N$5:$N$34,$AE818)*Paramètres!$E$30*$AG818*$AJ818,Paramètres!$F$30),0)</f>
        <v>0</v>
      </c>
      <c r="U818" s="19" t="n">
        <f aca="false" t="array" ref="U818:U818">IF(AND(INDEX(Profils!$O$5:$O$34,$AE818)&gt;0,INDEX(Profils!$AD$5:$AD$34,$AE818)&lt;=$AH818),ROUND(INDEX(Profils!$O$5:$O$34,$AE818)*Paramètres!$E$31*$AG818*$AJ818,Paramètres!$F$31),0)</f>
        <v>0</v>
      </c>
      <c r="V818" s="20" t="n">
        <f aca="false" t="array" ref="V818:V818">IF(AND(INDEX(Profils!$P$5:$P$34,$AE818)&gt;0,INDEX(Profils!$AE$5:$AE$34,$AE818)&lt;=$AH818),ROUND(INDEX(Profils!$P$5:$P$34,$AE818)*Paramètres!$E$32*$AG818*$AJ818,Paramètres!$F$32),0)</f>
        <v>0</v>
      </c>
      <c r="W818" s="20" t="n">
        <f aca="false" t="array" ref="W818:W818">IF(AND(INDEX(Profils!$Q$5:$Q$34,$AE818)&gt;0,INDEX(Profils!$AF$5:$AF$34,$AE818)&lt;=$AH818),ROUND(INDEX(Profils!$Q$5:$Q$34,$AE818)*Paramètres!$E$33*$AG818*$AJ818,Paramètres!$F$33),0)</f>
        <v>0</v>
      </c>
      <c r="X818" s="20" t="n">
        <f aca="false" t="array" ref="X818:X818">IF(AND(INDEX(Profils!$R$5:$R$34,$AE818)&gt;0,INDEX(Profils!$AG$5:$AG$34,$AE818)&lt;=$AH818),ROUND(INDEX(Profils!$R$5:$R$34,$AE818)*Paramètres!$E$34*$AG818*$AJ818,Paramètres!$F$34),0)</f>
        <v>0</v>
      </c>
      <c r="Y818" s="20" t="n">
        <f aca="false" t="array" ref="Y818:Y818">IF(AND(INDEX(Profils!$S$5:$S$34,$AE818)&gt;0,INDEX(Profils!$AH$5:$AH$34,$AE818)&lt;=$AH818),ROUND(INDEX(Profils!$S$5:$S$34,$AE818)*Paramètres!$E$35*$AG818*$AJ818,Paramètres!$F$35),0)</f>
        <v>0</v>
      </c>
      <c r="Z818" s="21" t="n">
        <f aca="false">ROUND(L818/Paramètres!$E$22+M818/Paramètres!$E$23+N818/Paramètres!$E$24+O818/Paramètres!$E$25+P818/Paramètres!$E$26+Q818/Paramètres!$E$27+R818/Paramètres!$E$28+S818/Paramètres!$E$29+T818/Paramètres!$E$30+U818/Paramètres!$E$31+V818/Paramètres!$E$32+W818/Paramètres!$E$33+X818/Paramètres!$E$34+Y818/Paramètres!$E$35,1)</f>
        <v>0.3</v>
      </c>
      <c r="AA818" s="22" t="s">
        <v>109</v>
      </c>
      <c r="AB818" s="22" t="s">
        <v>109</v>
      </c>
      <c r="AC818" s="15" t="str">
        <f aca="false">$E818</f>
        <v>argent</v>
      </c>
      <c r="AD818" s="16" t="n">
        <f aca="false" t="array" ref="AD818:AD818">IF($I818&gt;=$AI818,"Max",ROUND(Paramètres!$B$40*($I818+1)^Paramètres!$B$41*INDEX(Paramètres!$H$6:$H$12,$AF818),0))</f>
        <v>3</v>
      </c>
      <c r="AE818" s="23" t="n">
        <f aca="false">MATCH($B818&amp;"|"&amp;$C818,Profils!$A$5:$A$34,0)</f>
        <v>27</v>
      </c>
      <c r="AF818" s="23" t="n">
        <v>1</v>
      </c>
      <c r="AG818" s="24" t="n">
        <f aca="false" t="array" ref="AG818:AG818">INDEX(Paramètres!$C$6:$C$12,$AF818)</f>
        <v>1</v>
      </c>
      <c r="AH818" s="23" t="n">
        <f aca="false" t="array" ref="AH818:AH818">INDEX(Paramètres!$D$6:$D$12,$AF818)</f>
        <v>2</v>
      </c>
      <c r="AI818" s="23" t="n">
        <f aca="false" t="array" ref="AI818:AI818">INDEX(Matériaux!$C$16:$C$20,$D818)</f>
        <v>20</v>
      </c>
      <c r="AJ818" s="25" t="n">
        <f aca="false">Paramètres!$B$16+(1-Paramètres!$B$16)*(($J818-Paramètres!$B$14)/(Paramètres!$B$15-Paramètres!$B$14))^Paramètres!$B$17</f>
        <v>0.140847925475674</v>
      </c>
    </row>
    <row r="819" customFormat="false" ht="15.75" hidden="false" customHeight="true" outlineLevel="0" collapsed="false">
      <c r="A819" s="14" t="s">
        <v>935</v>
      </c>
      <c r="B819" s="15" t="s">
        <v>31</v>
      </c>
      <c r="C819" s="15" t="s">
        <v>305</v>
      </c>
      <c r="D819" s="16" t="n">
        <v>2</v>
      </c>
      <c r="E819" s="15" t="str">
        <f aca="false" t="array" ref="E819:E819">INDEX(Matériaux!$B$5:$F$12,MATCH(INDEX(Profils!$E$5:$E$34,$AE819),Matériaux!$A$5:$A$12,0),$D819)</f>
        <v>argent</v>
      </c>
      <c r="F819" s="26" t="s">
        <v>111</v>
      </c>
      <c r="G819" s="10" t="str">
        <f aca="false" t="array" ref="G819:G819">INDEX(Profils!$D$5:$D$34,$AE819)&amp;" en "&amp;$E819</f>
        <v>Bague en argent</v>
      </c>
      <c r="H819" s="16" t="n">
        <f aca="false" t="array" ref="H819:H819">INDEX(Matériaux!$B$16:$B$20,$D819)</f>
        <v>15</v>
      </c>
      <c r="I819" s="16" t="n">
        <f aca="false">IF(ISNUMBER($C$3),MIN(MAX(0,ROUND($C$3,0)),$AI819),$AI819)</f>
        <v>0</v>
      </c>
      <c r="J819" s="18" t="n">
        <f aca="false">$H819+$I819</f>
        <v>15</v>
      </c>
      <c r="K819" s="15" t="s">
        <v>109</v>
      </c>
      <c r="L819" s="19" t="n">
        <f aca="false" t="array" ref="L819:L819">IF(AND(INDEX(Profils!$F$5:$F$34,$AE819)&gt;0,INDEX(Profils!$U$5:$U$34,$AE819)&lt;=$AH819),ROUND(INDEX(Profils!$F$5:$F$34,$AE819)*Paramètres!$E$22*$AG819*$AJ819,Paramètres!$F$22),0)</f>
        <v>4</v>
      </c>
      <c r="M819" s="19" t="n">
        <f aca="false" t="array" ref="M819:M819">IF(AND(INDEX(Profils!$G$5:$G$34,$AE819)&gt;0,INDEX(Profils!$V$5:$V$34,$AE819)&lt;=$AH819),ROUND(INDEX(Profils!$G$5:$G$34,$AE819)*Paramètres!$E$23*$AG819*$AJ819,Paramètres!$F$23),0)</f>
        <v>0</v>
      </c>
      <c r="N819" s="19" t="n">
        <f aca="false" t="array" ref="N819:N819">IF(AND(INDEX(Profils!$H$5:$H$34,$AE819)&gt;0,INDEX(Profils!$W$5:$W$34,$AE819)&lt;=$AH819),ROUND(INDEX(Profils!$H$5:$H$34,$AE819)*Paramètres!$E$24*$AG819*$AJ819,Paramètres!$F$24),0)</f>
        <v>0</v>
      </c>
      <c r="O819" s="19" t="n">
        <f aca="false" t="array" ref="O819:O819">IF(AND(INDEX(Profils!$I$5:$I$34,$AE819)&gt;0,INDEX(Profils!$X$5:$X$34,$AE819)&lt;=$AH819),ROUND(INDEX(Profils!$I$5:$I$34,$AE819)*Paramètres!$E$25*$AG819*$AJ819,Paramètres!$F$25),0)</f>
        <v>0</v>
      </c>
      <c r="P819" s="19" t="n">
        <f aca="false" t="array" ref="P819:P819">IF(AND(INDEX(Profils!$J$5:$J$34,$AE819)&gt;0,INDEX(Profils!$Y$5:$Y$34,$AE819)&lt;=$AH819),ROUND(INDEX(Profils!$J$5:$J$34,$AE819)*Paramètres!$E$26*$AG819*$AJ819,Paramètres!$F$26),0)</f>
        <v>2</v>
      </c>
      <c r="Q819" s="19" t="n">
        <f aca="false" t="array" ref="Q819:Q819">IF(AND(INDEX(Profils!$K$5:$K$34,$AE819)&gt;0,INDEX(Profils!$Z$5:$Z$34,$AE819)&lt;=$AH819),ROUND(INDEX(Profils!$K$5:$K$34,$AE819)*Paramètres!$E$27*$AG819*$AJ819,Paramètres!$F$27),0)</f>
        <v>1</v>
      </c>
      <c r="R819" s="20" t="n">
        <f aca="false" t="array" ref="R819:R819">IF(AND(INDEX(Profils!$L$5:$L$34,$AE819)&gt;0,INDEX(Profils!$AA$5:$AA$34,$AE819)&lt;=$AH819),ROUND(INDEX(Profils!$L$5:$L$34,$AE819)*Paramètres!$E$28*$AG819*$AJ819,Paramètres!$F$28),0)</f>
        <v>0</v>
      </c>
      <c r="S819" s="20" t="n">
        <f aca="false" t="array" ref="S819:S819">IF(AND(INDEX(Profils!$M$5:$M$34,$AE819)&gt;0,INDEX(Profils!$AB$5:$AB$34,$AE819)&lt;=$AH819),ROUND(INDEX(Profils!$M$5:$M$34,$AE819)*Paramètres!$E$29*$AG819*$AJ819,Paramètres!$F$29),0)</f>
        <v>0</v>
      </c>
      <c r="T819" s="20" t="n">
        <f aca="false" t="array" ref="T819:T819">IF(AND(INDEX(Profils!$N$5:$N$34,$AE819)&gt;0,INDEX(Profils!$AC$5:$AC$34,$AE819)&lt;=$AH819),ROUND(INDEX(Profils!$N$5:$N$34,$AE819)*Paramètres!$E$30*$AG819*$AJ819,Paramètres!$F$30),0)</f>
        <v>0</v>
      </c>
      <c r="U819" s="19" t="n">
        <f aca="false" t="array" ref="U819:U819">IF(AND(INDEX(Profils!$O$5:$O$34,$AE819)&gt;0,INDEX(Profils!$AD$5:$AD$34,$AE819)&lt;=$AH819),ROUND(INDEX(Profils!$O$5:$O$34,$AE819)*Paramètres!$E$31*$AG819*$AJ819,Paramètres!$F$31),0)</f>
        <v>0</v>
      </c>
      <c r="V819" s="20" t="n">
        <f aca="false" t="array" ref="V819:V819">IF(AND(INDEX(Profils!$P$5:$P$34,$AE819)&gt;0,INDEX(Profils!$AE$5:$AE$34,$AE819)&lt;=$AH819),ROUND(INDEX(Profils!$P$5:$P$34,$AE819)*Paramètres!$E$32*$AG819*$AJ819,Paramètres!$F$32),0)</f>
        <v>0</v>
      </c>
      <c r="W819" s="20" t="n">
        <f aca="false" t="array" ref="W819:W819">IF(AND(INDEX(Profils!$Q$5:$Q$34,$AE819)&gt;0,INDEX(Profils!$AF$5:$AF$34,$AE819)&lt;=$AH819),ROUND(INDEX(Profils!$Q$5:$Q$34,$AE819)*Paramètres!$E$33*$AG819*$AJ819,Paramètres!$F$33),0)</f>
        <v>0</v>
      </c>
      <c r="X819" s="20" t="n">
        <f aca="false" t="array" ref="X819:X819">IF(AND(INDEX(Profils!$R$5:$R$34,$AE819)&gt;0,INDEX(Profils!$AG$5:$AG$34,$AE819)&lt;=$AH819),ROUND(INDEX(Profils!$R$5:$R$34,$AE819)*Paramètres!$E$34*$AG819*$AJ819,Paramètres!$F$34),0)</f>
        <v>0</v>
      </c>
      <c r="Y819" s="20" t="n">
        <f aca="false" t="array" ref="Y819:Y819">IF(AND(INDEX(Profils!$S$5:$S$34,$AE819)&gt;0,INDEX(Profils!$AH$5:$AH$34,$AE819)&lt;=$AH819),ROUND(INDEX(Profils!$S$5:$S$34,$AE819)*Paramètres!$E$35*$AG819*$AJ819,Paramètres!$F$35),0)</f>
        <v>0</v>
      </c>
      <c r="Z819" s="21" t="n">
        <f aca="false">ROUND(L819/Paramètres!$E$22+M819/Paramètres!$E$23+N819/Paramètres!$E$24+O819/Paramètres!$E$25+P819/Paramètres!$E$26+Q819/Paramètres!$E$27+R819/Paramètres!$E$28+S819/Paramètres!$E$29+T819/Paramètres!$E$30+U819/Paramètres!$E$31+V819/Paramètres!$E$32+W819/Paramètres!$E$33+X819/Paramètres!$E$34+Y819/Paramètres!$E$35,1)</f>
        <v>0.4</v>
      </c>
      <c r="AA819" s="22" t="s">
        <v>109</v>
      </c>
      <c r="AB819" s="22" t="s">
        <v>109</v>
      </c>
      <c r="AC819" s="15" t="str">
        <f aca="false">$E819</f>
        <v>argent</v>
      </c>
      <c r="AD819" s="16" t="n">
        <f aca="false" t="array" ref="AD819:AD819">IF($I819&gt;=$AI819,"Max",ROUND(Paramètres!$B$40*($I819+1)^Paramètres!$B$41*INDEX(Paramètres!$H$6:$H$12,$AF819),0))</f>
        <v>4</v>
      </c>
      <c r="AE819" s="23" t="n">
        <f aca="false">MATCH($B819&amp;"|"&amp;$C819,Profils!$A$5:$A$34,0)</f>
        <v>27</v>
      </c>
      <c r="AF819" s="23" t="n">
        <v>2</v>
      </c>
      <c r="AG819" s="24" t="n">
        <f aca="false" t="array" ref="AG819:AG819">INDEX(Paramètres!$C$6:$C$12,$AF819)</f>
        <v>1.2</v>
      </c>
      <c r="AH819" s="23" t="n">
        <f aca="false" t="array" ref="AH819:AH819">INDEX(Paramètres!$D$6:$D$12,$AF819)</f>
        <v>3</v>
      </c>
      <c r="AI819" s="23" t="n">
        <f aca="false" t="array" ref="AI819:AI819">INDEX(Matériaux!$C$16:$C$20,$D819)</f>
        <v>20</v>
      </c>
      <c r="AJ819" s="25" t="n">
        <f aca="false">Paramètres!$B$16+(1-Paramètres!$B$16)*(($J819-Paramètres!$B$14)/(Paramètres!$B$15-Paramètres!$B$14))^Paramètres!$B$17</f>
        <v>0.140847925475674</v>
      </c>
    </row>
    <row r="820" customFormat="false" ht="15.75" hidden="false" customHeight="true" outlineLevel="0" collapsed="false">
      <c r="A820" s="14" t="s">
        <v>936</v>
      </c>
      <c r="B820" s="15" t="s">
        <v>31</v>
      </c>
      <c r="C820" s="15" t="s">
        <v>305</v>
      </c>
      <c r="D820" s="16" t="n">
        <v>2</v>
      </c>
      <c r="E820" s="15" t="str">
        <f aca="false" t="array" ref="E820:E820">INDEX(Matériaux!$B$5:$F$12,MATCH(INDEX(Profils!$E$5:$E$34,$AE820),Matériaux!$A$5:$A$12,0),$D820)</f>
        <v>argent</v>
      </c>
      <c r="F820" s="27" t="s">
        <v>113</v>
      </c>
      <c r="G820" s="10" t="str">
        <f aca="false" t="array" ref="G820:G820">INDEX(Profils!$D$5:$D$34,$AE820)&amp;" en "&amp;$E820</f>
        <v>Bague en argent</v>
      </c>
      <c r="H820" s="16" t="n">
        <f aca="false" t="array" ref="H820:H820">INDEX(Matériaux!$B$16:$B$20,$D820)</f>
        <v>15</v>
      </c>
      <c r="I820" s="16" t="n">
        <f aca="false">IF(ISNUMBER($C$3),MIN(MAX(0,ROUND($C$3,0)),$AI820),$AI820)</f>
        <v>0</v>
      </c>
      <c r="J820" s="18" t="n">
        <f aca="false">$H820+$I820</f>
        <v>15</v>
      </c>
      <c r="K820" s="15" t="s">
        <v>109</v>
      </c>
      <c r="L820" s="19" t="n">
        <f aca="false" t="array" ref="L820:L820">IF(AND(INDEX(Profils!$F$5:$F$34,$AE820)&gt;0,INDEX(Profils!$U$5:$U$34,$AE820)&lt;=$AH820),ROUND(INDEX(Profils!$F$5:$F$34,$AE820)*Paramètres!$E$22*$AG820*$AJ820,Paramètres!$F$22),0)</f>
        <v>5</v>
      </c>
      <c r="M820" s="19" t="n">
        <f aca="false" t="array" ref="M820:M820">IF(AND(INDEX(Profils!$G$5:$G$34,$AE820)&gt;0,INDEX(Profils!$V$5:$V$34,$AE820)&lt;=$AH820),ROUND(INDEX(Profils!$G$5:$G$34,$AE820)*Paramètres!$E$23*$AG820*$AJ820,Paramètres!$F$23),0)</f>
        <v>0</v>
      </c>
      <c r="N820" s="19" t="n">
        <f aca="false" t="array" ref="N820:N820">IF(AND(INDEX(Profils!$H$5:$H$34,$AE820)&gt;0,INDEX(Profils!$W$5:$W$34,$AE820)&lt;=$AH820),ROUND(INDEX(Profils!$H$5:$H$34,$AE820)*Paramètres!$E$24*$AG820*$AJ820,Paramètres!$F$24),0)</f>
        <v>0</v>
      </c>
      <c r="O820" s="19" t="n">
        <f aca="false" t="array" ref="O820:O820">IF(AND(INDEX(Profils!$I$5:$I$34,$AE820)&gt;0,INDEX(Profils!$X$5:$X$34,$AE820)&lt;=$AH820),ROUND(INDEX(Profils!$I$5:$I$34,$AE820)*Paramètres!$E$25*$AG820*$AJ820,Paramètres!$F$25),0)</f>
        <v>0</v>
      </c>
      <c r="P820" s="19" t="n">
        <f aca="false" t="array" ref="P820:P820">IF(AND(INDEX(Profils!$J$5:$J$34,$AE820)&gt;0,INDEX(Profils!$Y$5:$Y$34,$AE820)&lt;=$AH820),ROUND(INDEX(Profils!$J$5:$J$34,$AE820)*Paramètres!$E$26*$AG820*$AJ820,Paramètres!$F$26),0)</f>
        <v>2</v>
      </c>
      <c r="Q820" s="19" t="n">
        <f aca="false" t="array" ref="Q820:Q820">IF(AND(INDEX(Profils!$K$5:$K$34,$AE820)&gt;0,INDEX(Profils!$Z$5:$Z$34,$AE820)&lt;=$AH820),ROUND(INDEX(Profils!$K$5:$K$34,$AE820)*Paramètres!$E$27*$AG820*$AJ820,Paramètres!$F$27),0)</f>
        <v>2</v>
      </c>
      <c r="R820" s="20" t="n">
        <f aca="false" t="array" ref="R820:R820">IF(AND(INDEX(Profils!$L$5:$L$34,$AE820)&gt;0,INDEX(Profils!$AA$5:$AA$34,$AE820)&lt;=$AH820),ROUND(INDEX(Profils!$L$5:$L$34,$AE820)*Paramètres!$E$28*$AG820*$AJ820,Paramètres!$F$28),0)</f>
        <v>0</v>
      </c>
      <c r="S820" s="20" t="n">
        <f aca="false" t="array" ref="S820:S820">IF(AND(INDEX(Profils!$M$5:$M$34,$AE820)&gt;0,INDEX(Profils!$AB$5:$AB$34,$AE820)&lt;=$AH820),ROUND(INDEX(Profils!$M$5:$M$34,$AE820)*Paramètres!$E$29*$AG820*$AJ820,Paramètres!$F$29),0)</f>
        <v>0</v>
      </c>
      <c r="T820" s="20" t="n">
        <f aca="false" t="array" ref="T820:T820">IF(AND(INDEX(Profils!$N$5:$N$34,$AE820)&gt;0,INDEX(Profils!$AC$5:$AC$34,$AE820)&lt;=$AH820),ROUND(INDEX(Profils!$N$5:$N$34,$AE820)*Paramètres!$E$30*$AG820*$AJ820,Paramètres!$F$30),0)</f>
        <v>0</v>
      </c>
      <c r="U820" s="19" t="n">
        <f aca="false" t="array" ref="U820:U820">IF(AND(INDEX(Profils!$O$5:$O$34,$AE820)&gt;0,INDEX(Profils!$AD$5:$AD$34,$AE820)&lt;=$AH820),ROUND(INDEX(Profils!$O$5:$O$34,$AE820)*Paramètres!$E$31*$AG820*$AJ820,Paramètres!$F$31),0)</f>
        <v>0</v>
      </c>
      <c r="V820" s="20" t="n">
        <f aca="false" t="array" ref="V820:V820">IF(AND(INDEX(Profils!$P$5:$P$34,$AE820)&gt;0,INDEX(Profils!$AE$5:$AE$34,$AE820)&lt;=$AH820),ROUND(INDEX(Profils!$P$5:$P$34,$AE820)*Paramètres!$E$32*$AG820*$AJ820,Paramètres!$F$32),0)</f>
        <v>0</v>
      </c>
      <c r="W820" s="20" t="n">
        <f aca="false" t="array" ref="W820:W820">IF(AND(INDEX(Profils!$Q$5:$Q$34,$AE820)&gt;0,INDEX(Profils!$AF$5:$AF$34,$AE820)&lt;=$AH820),ROUND(INDEX(Profils!$Q$5:$Q$34,$AE820)*Paramètres!$E$33*$AG820*$AJ820,Paramètres!$F$33),0)</f>
        <v>0.002</v>
      </c>
      <c r="X820" s="20" t="n">
        <f aca="false" t="array" ref="X820:X820">IF(AND(INDEX(Profils!$R$5:$R$34,$AE820)&gt;0,INDEX(Profils!$AG$5:$AG$34,$AE820)&lt;=$AH820),ROUND(INDEX(Profils!$R$5:$R$34,$AE820)*Paramètres!$E$34*$AG820*$AJ820,Paramètres!$F$34),0)</f>
        <v>0</v>
      </c>
      <c r="Y820" s="20" t="n">
        <f aca="false" t="array" ref="Y820:Y820">IF(AND(INDEX(Profils!$S$5:$S$34,$AE820)&gt;0,INDEX(Profils!$AH$5:$AH$34,$AE820)&lt;=$AH820),ROUND(INDEX(Profils!$S$5:$S$34,$AE820)*Paramètres!$E$35*$AG820*$AJ820,Paramètres!$F$35),0)</f>
        <v>0</v>
      </c>
      <c r="Z820" s="21" t="n">
        <f aca="false">ROUND(L820/Paramètres!$E$22+M820/Paramètres!$E$23+N820/Paramètres!$E$24+O820/Paramètres!$E$25+P820/Paramètres!$E$26+Q820/Paramètres!$E$27+R820/Paramètres!$E$28+S820/Paramètres!$E$29+T820/Paramètres!$E$30+U820/Paramètres!$E$31+V820/Paramètres!$E$32+W820/Paramètres!$E$33+X820/Paramètres!$E$34+Y820/Paramètres!$E$35,1)</f>
        <v>0.7</v>
      </c>
      <c r="AA820" s="22" t="s">
        <v>109</v>
      </c>
      <c r="AB820" s="22" t="s">
        <v>109</v>
      </c>
      <c r="AC820" s="15" t="str">
        <f aca="false">$E820</f>
        <v>argent</v>
      </c>
      <c r="AD820" s="16" t="n">
        <f aca="false" t="array" ref="AD820:AD820">IF($I820&gt;=$AI820,"Max",ROUND(Paramètres!$B$40*($I820+1)^Paramètres!$B$41*INDEX(Paramètres!$H$6:$H$12,$AF820),0))</f>
        <v>4</v>
      </c>
      <c r="AE820" s="23" t="n">
        <f aca="false">MATCH($B820&amp;"|"&amp;$C820,Profils!$A$5:$A$34,0)</f>
        <v>27</v>
      </c>
      <c r="AF820" s="23" t="n">
        <v>3</v>
      </c>
      <c r="AG820" s="24" t="n">
        <f aca="false" t="array" ref="AG820:AG820">INDEX(Paramètres!$C$6:$C$12,$AF820)</f>
        <v>1.45</v>
      </c>
      <c r="AH820" s="23" t="n">
        <f aca="false" t="array" ref="AH820:AH820">INDEX(Paramètres!$D$6:$D$12,$AF820)</f>
        <v>4</v>
      </c>
      <c r="AI820" s="23" t="n">
        <f aca="false" t="array" ref="AI820:AI820">INDEX(Matériaux!$C$16:$C$20,$D820)</f>
        <v>20</v>
      </c>
      <c r="AJ820" s="25" t="n">
        <f aca="false">Paramètres!$B$16+(1-Paramètres!$B$16)*(($J820-Paramètres!$B$14)/(Paramètres!$B$15-Paramètres!$B$14))^Paramètres!$B$17</f>
        <v>0.140847925475674</v>
      </c>
    </row>
    <row r="821" customFormat="false" ht="15.75" hidden="false" customHeight="true" outlineLevel="0" collapsed="false">
      <c r="A821" s="14" t="s">
        <v>937</v>
      </c>
      <c r="B821" s="15" t="s">
        <v>31</v>
      </c>
      <c r="C821" s="15" t="s">
        <v>305</v>
      </c>
      <c r="D821" s="16" t="n">
        <v>2</v>
      </c>
      <c r="E821" s="15" t="str">
        <f aca="false" t="array" ref="E821:E821">INDEX(Matériaux!$B$5:$F$12,MATCH(INDEX(Profils!$E$5:$E$34,$AE821),Matériaux!$A$5:$A$12,0),$D821)</f>
        <v>argent</v>
      </c>
      <c r="F821" s="28" t="s">
        <v>115</v>
      </c>
      <c r="G821" s="10" t="str">
        <f aca="false" t="array" ref="G821:G821">INDEX(Profils!$D$5:$D$34,$AE821)&amp;" en "&amp;$E821</f>
        <v>Bague en argent</v>
      </c>
      <c r="H821" s="16" t="n">
        <f aca="false" t="array" ref="H821:H821">INDEX(Matériaux!$B$16:$B$20,$D821)</f>
        <v>15</v>
      </c>
      <c r="I821" s="16" t="n">
        <f aca="false">IF(ISNUMBER($C$3),MIN(MAX(0,ROUND($C$3,0)),$AI821),$AI821)</f>
        <v>0</v>
      </c>
      <c r="J821" s="18" t="n">
        <f aca="false">$H821+$I821</f>
        <v>15</v>
      </c>
      <c r="K821" s="15" t="s">
        <v>109</v>
      </c>
      <c r="L821" s="19" t="n">
        <f aca="false" t="array" ref="L821:L821">IF(AND(INDEX(Profils!$F$5:$F$34,$AE821)&gt;0,INDEX(Profils!$U$5:$U$34,$AE821)&lt;=$AH821),ROUND(INDEX(Profils!$F$5:$F$34,$AE821)*Paramètres!$E$22*$AG821*$AJ821,Paramètres!$F$22),0)</f>
        <v>6</v>
      </c>
      <c r="M821" s="19" t="n">
        <f aca="false" t="array" ref="M821:M821">IF(AND(INDEX(Profils!$G$5:$G$34,$AE821)&gt;0,INDEX(Profils!$V$5:$V$34,$AE821)&lt;=$AH821),ROUND(INDEX(Profils!$G$5:$G$34,$AE821)*Paramètres!$E$23*$AG821*$AJ821,Paramètres!$F$23),0)</f>
        <v>0</v>
      </c>
      <c r="N821" s="19" t="n">
        <f aca="false" t="array" ref="N821:N821">IF(AND(INDEX(Profils!$H$5:$H$34,$AE821)&gt;0,INDEX(Profils!$W$5:$W$34,$AE821)&lt;=$AH821),ROUND(INDEX(Profils!$H$5:$H$34,$AE821)*Paramètres!$E$24*$AG821*$AJ821,Paramètres!$F$24),0)</f>
        <v>0</v>
      </c>
      <c r="O821" s="19" t="n">
        <f aca="false" t="array" ref="O821:O821">IF(AND(INDEX(Profils!$I$5:$I$34,$AE821)&gt;0,INDEX(Profils!$X$5:$X$34,$AE821)&lt;=$AH821),ROUND(INDEX(Profils!$I$5:$I$34,$AE821)*Paramètres!$E$25*$AG821*$AJ821,Paramètres!$F$25),0)</f>
        <v>0</v>
      </c>
      <c r="P821" s="19" t="n">
        <f aca="false" t="array" ref="P821:P821">IF(AND(INDEX(Profils!$J$5:$J$34,$AE821)&gt;0,INDEX(Profils!$Y$5:$Y$34,$AE821)&lt;=$AH821),ROUND(INDEX(Profils!$J$5:$J$34,$AE821)*Paramètres!$E$26*$AG821*$AJ821,Paramètres!$F$26),0)</f>
        <v>3</v>
      </c>
      <c r="Q821" s="19" t="n">
        <f aca="false" t="array" ref="Q821:Q821">IF(AND(INDEX(Profils!$K$5:$K$34,$AE821)&gt;0,INDEX(Profils!$Z$5:$Z$34,$AE821)&lt;=$AH821),ROUND(INDEX(Profils!$K$5:$K$34,$AE821)*Paramètres!$E$27*$AG821*$AJ821,Paramètres!$F$27),0)</f>
        <v>2</v>
      </c>
      <c r="R821" s="20" t="n">
        <f aca="false" t="array" ref="R821:R821">IF(AND(INDEX(Profils!$L$5:$L$34,$AE821)&gt;0,INDEX(Profils!$AA$5:$AA$34,$AE821)&lt;=$AH821),ROUND(INDEX(Profils!$L$5:$L$34,$AE821)*Paramètres!$E$28*$AG821*$AJ821,Paramètres!$F$28),0)</f>
        <v>0</v>
      </c>
      <c r="S821" s="20" t="n">
        <f aca="false" t="array" ref="S821:S821">IF(AND(INDEX(Profils!$M$5:$M$34,$AE821)&gt;0,INDEX(Profils!$AB$5:$AB$34,$AE821)&lt;=$AH821),ROUND(INDEX(Profils!$M$5:$M$34,$AE821)*Paramètres!$E$29*$AG821*$AJ821,Paramètres!$F$29),0)</f>
        <v>0</v>
      </c>
      <c r="T821" s="20" t="n">
        <f aca="false" t="array" ref="T821:T821">IF(AND(INDEX(Profils!$N$5:$N$34,$AE821)&gt;0,INDEX(Profils!$AC$5:$AC$34,$AE821)&lt;=$AH821),ROUND(INDEX(Profils!$N$5:$N$34,$AE821)*Paramètres!$E$30*$AG821*$AJ821,Paramètres!$F$30),0)</f>
        <v>0</v>
      </c>
      <c r="U821" s="19" t="n">
        <f aca="false" t="array" ref="U821:U821">IF(AND(INDEX(Profils!$O$5:$O$34,$AE821)&gt;0,INDEX(Profils!$AD$5:$AD$34,$AE821)&lt;=$AH821),ROUND(INDEX(Profils!$O$5:$O$34,$AE821)*Paramètres!$E$31*$AG821*$AJ821,Paramètres!$F$31),0)</f>
        <v>0</v>
      </c>
      <c r="V821" s="20" t="n">
        <f aca="false" t="array" ref="V821:V821">IF(AND(INDEX(Profils!$P$5:$P$34,$AE821)&gt;0,INDEX(Profils!$AE$5:$AE$34,$AE821)&lt;=$AH821),ROUND(INDEX(Profils!$P$5:$P$34,$AE821)*Paramètres!$E$32*$AG821*$AJ821,Paramètres!$F$32),0)</f>
        <v>0</v>
      </c>
      <c r="W821" s="20" t="n">
        <f aca="false" t="array" ref="W821:W821">IF(AND(INDEX(Profils!$Q$5:$Q$34,$AE821)&gt;0,INDEX(Profils!$AF$5:$AF$34,$AE821)&lt;=$AH821),ROUND(INDEX(Profils!$Q$5:$Q$34,$AE821)*Paramètres!$E$33*$AG821*$AJ821,Paramètres!$F$33),0)</f>
        <v>0.003</v>
      </c>
      <c r="X821" s="20" t="n">
        <f aca="false" t="array" ref="X821:X821">IF(AND(INDEX(Profils!$R$5:$R$34,$AE821)&gt;0,INDEX(Profils!$AG$5:$AG$34,$AE821)&lt;=$AH821),ROUND(INDEX(Profils!$R$5:$R$34,$AE821)*Paramètres!$E$34*$AG821*$AJ821,Paramètres!$F$34),0)</f>
        <v>0</v>
      </c>
      <c r="Y821" s="20" t="n">
        <f aca="false" t="array" ref="Y821:Y821">IF(AND(INDEX(Profils!$S$5:$S$34,$AE821)&gt;0,INDEX(Profils!$AH$5:$AH$34,$AE821)&lt;=$AH821),ROUND(INDEX(Profils!$S$5:$S$34,$AE821)*Paramètres!$E$35*$AG821*$AJ821,Paramètres!$F$35),0)</f>
        <v>0.003</v>
      </c>
      <c r="Z821" s="21" t="n">
        <f aca="false">ROUND(L821/Paramètres!$E$22+M821/Paramètres!$E$23+N821/Paramètres!$E$24+O821/Paramètres!$E$25+P821/Paramètres!$E$26+Q821/Paramètres!$E$27+R821/Paramètres!$E$28+S821/Paramètres!$E$29+T821/Paramètres!$E$30+U821/Paramètres!$E$31+V821/Paramètres!$E$32+W821/Paramètres!$E$33+X821/Paramètres!$E$34+Y821/Paramètres!$E$35,1)</f>
        <v>1.1</v>
      </c>
      <c r="AA821" s="22" t="s">
        <v>109</v>
      </c>
      <c r="AB821" s="22" t="s">
        <v>109</v>
      </c>
      <c r="AC821" s="15" t="str">
        <f aca="false">$E821</f>
        <v>argent</v>
      </c>
      <c r="AD821" s="16" t="n">
        <f aca="false" t="array" ref="AD821:AD821">IF($I821&gt;=$AI821,"Max",ROUND(Paramètres!$B$40*($I821+1)^Paramètres!$B$41*INDEX(Paramètres!$H$6:$H$12,$AF821),0))</f>
        <v>5</v>
      </c>
      <c r="AE821" s="23" t="n">
        <f aca="false">MATCH($B821&amp;"|"&amp;$C821,Profils!$A$5:$A$34,0)</f>
        <v>27</v>
      </c>
      <c r="AF821" s="23" t="n">
        <v>4</v>
      </c>
      <c r="AG821" s="24" t="n">
        <f aca="false" t="array" ref="AG821:AG821">INDEX(Paramètres!$C$6:$C$12,$AF821)</f>
        <v>1.75</v>
      </c>
      <c r="AH821" s="23" t="n">
        <f aca="false" t="array" ref="AH821:AH821">INDEX(Paramètres!$D$6:$D$12,$AF821)</f>
        <v>5</v>
      </c>
      <c r="AI821" s="23" t="n">
        <f aca="false" t="array" ref="AI821:AI821">INDEX(Matériaux!$C$16:$C$20,$D821)</f>
        <v>20</v>
      </c>
      <c r="AJ821" s="25" t="n">
        <f aca="false">Paramètres!$B$16+(1-Paramètres!$B$16)*(($J821-Paramètres!$B$14)/(Paramètres!$B$15-Paramètres!$B$14))^Paramètres!$B$17</f>
        <v>0.140847925475674</v>
      </c>
    </row>
    <row r="822" customFormat="false" ht="15.75" hidden="false" customHeight="true" outlineLevel="0" collapsed="false">
      <c r="A822" s="14" t="s">
        <v>938</v>
      </c>
      <c r="B822" s="15" t="s">
        <v>31</v>
      </c>
      <c r="C822" s="15" t="s">
        <v>305</v>
      </c>
      <c r="D822" s="16" t="n">
        <v>2</v>
      </c>
      <c r="E822" s="15" t="str">
        <f aca="false" t="array" ref="E822:E822">INDEX(Matériaux!$B$5:$F$12,MATCH(INDEX(Profils!$E$5:$E$34,$AE822),Matériaux!$A$5:$A$12,0),$D822)</f>
        <v>argent</v>
      </c>
      <c r="F822" s="29" t="s">
        <v>117</v>
      </c>
      <c r="G822" s="10" t="str">
        <f aca="false" t="array" ref="G822:G822">INDEX(Profils!$D$5:$D$34,$AE822)&amp;" en "&amp;$E822</f>
        <v>Bague en argent</v>
      </c>
      <c r="H822" s="16" t="n">
        <f aca="false" t="array" ref="H822:H822">INDEX(Matériaux!$B$16:$B$20,$D822)</f>
        <v>15</v>
      </c>
      <c r="I822" s="16" t="n">
        <f aca="false">IF(ISNUMBER($C$3),MIN(MAX(0,ROUND($C$3,0)),$AI822),$AI822)</f>
        <v>0</v>
      </c>
      <c r="J822" s="18" t="n">
        <f aca="false">$H822+$I822</f>
        <v>15</v>
      </c>
      <c r="K822" s="15" t="s">
        <v>109</v>
      </c>
      <c r="L822" s="19" t="n">
        <f aca="false" t="array" ref="L822:L822">IF(AND(INDEX(Profils!$F$5:$F$34,$AE822)&gt;0,INDEX(Profils!$U$5:$U$34,$AE822)&lt;=$AH822),ROUND(INDEX(Profils!$F$5:$F$34,$AE822)*Paramètres!$E$22*$AG822*$AJ822,Paramètres!$F$22),0)</f>
        <v>7</v>
      </c>
      <c r="M822" s="19" t="n">
        <f aca="false" t="array" ref="M822:M822">IF(AND(INDEX(Profils!$G$5:$G$34,$AE822)&gt;0,INDEX(Profils!$V$5:$V$34,$AE822)&lt;=$AH822),ROUND(INDEX(Profils!$G$5:$G$34,$AE822)*Paramètres!$E$23*$AG822*$AJ822,Paramètres!$F$23),0)</f>
        <v>0</v>
      </c>
      <c r="N822" s="19" t="n">
        <f aca="false" t="array" ref="N822:N822">IF(AND(INDEX(Profils!$H$5:$H$34,$AE822)&gt;0,INDEX(Profils!$W$5:$W$34,$AE822)&lt;=$AH822),ROUND(INDEX(Profils!$H$5:$H$34,$AE822)*Paramètres!$E$24*$AG822*$AJ822,Paramètres!$F$24),0)</f>
        <v>3</v>
      </c>
      <c r="O822" s="19" t="n">
        <f aca="false" t="array" ref="O822:O822">IF(AND(INDEX(Profils!$I$5:$I$34,$AE822)&gt;0,INDEX(Profils!$X$5:$X$34,$AE822)&lt;=$AH822),ROUND(INDEX(Profils!$I$5:$I$34,$AE822)*Paramètres!$E$25*$AG822*$AJ822,Paramètres!$F$25),0)</f>
        <v>0</v>
      </c>
      <c r="P822" s="19" t="n">
        <f aca="false" t="array" ref="P822:P822">IF(AND(INDEX(Profils!$J$5:$J$34,$AE822)&gt;0,INDEX(Profils!$Y$5:$Y$34,$AE822)&lt;=$AH822),ROUND(INDEX(Profils!$J$5:$J$34,$AE822)*Paramètres!$E$26*$AG822*$AJ822,Paramètres!$F$26),0)</f>
        <v>3</v>
      </c>
      <c r="Q822" s="19" t="n">
        <f aca="false" t="array" ref="Q822:Q822">IF(AND(INDEX(Profils!$K$5:$K$34,$AE822)&gt;0,INDEX(Profils!$Z$5:$Z$34,$AE822)&lt;=$AH822),ROUND(INDEX(Profils!$K$5:$K$34,$AE822)*Paramètres!$E$27*$AG822*$AJ822,Paramètres!$F$27),0)</f>
        <v>2</v>
      </c>
      <c r="R822" s="20" t="n">
        <f aca="false" t="array" ref="R822:R822">IF(AND(INDEX(Profils!$L$5:$L$34,$AE822)&gt;0,INDEX(Profils!$AA$5:$AA$34,$AE822)&lt;=$AH822),ROUND(INDEX(Profils!$L$5:$L$34,$AE822)*Paramètres!$E$28*$AG822*$AJ822,Paramètres!$F$28),0)</f>
        <v>0</v>
      </c>
      <c r="S822" s="20" t="n">
        <f aca="false" t="array" ref="S822:S822">IF(AND(INDEX(Profils!$M$5:$M$34,$AE822)&gt;0,INDEX(Profils!$AB$5:$AB$34,$AE822)&lt;=$AH822),ROUND(INDEX(Profils!$M$5:$M$34,$AE822)*Paramètres!$E$29*$AG822*$AJ822,Paramètres!$F$29),0)</f>
        <v>0</v>
      </c>
      <c r="T822" s="20" t="n">
        <f aca="false" t="array" ref="T822:T822">IF(AND(INDEX(Profils!$N$5:$N$34,$AE822)&gt;0,INDEX(Profils!$AC$5:$AC$34,$AE822)&lt;=$AH822),ROUND(INDEX(Profils!$N$5:$N$34,$AE822)*Paramètres!$E$30*$AG822*$AJ822,Paramètres!$F$30),0)</f>
        <v>0</v>
      </c>
      <c r="U822" s="19" t="n">
        <f aca="false" t="array" ref="U822:U822">IF(AND(INDEX(Profils!$O$5:$O$34,$AE822)&gt;0,INDEX(Profils!$AD$5:$AD$34,$AE822)&lt;=$AH822),ROUND(INDEX(Profils!$O$5:$O$34,$AE822)*Paramètres!$E$31*$AG822*$AJ822,Paramètres!$F$31),0)</f>
        <v>0</v>
      </c>
      <c r="V822" s="20" t="n">
        <f aca="false" t="array" ref="V822:V822">IF(AND(INDEX(Profils!$P$5:$P$34,$AE822)&gt;0,INDEX(Profils!$AE$5:$AE$34,$AE822)&lt;=$AH822),ROUND(INDEX(Profils!$P$5:$P$34,$AE822)*Paramètres!$E$32*$AG822*$AJ822,Paramètres!$F$32),0)</f>
        <v>0</v>
      </c>
      <c r="W822" s="20" t="n">
        <f aca="false" t="array" ref="W822:W822">IF(AND(INDEX(Profils!$Q$5:$Q$34,$AE822)&gt;0,INDEX(Profils!$AF$5:$AF$34,$AE822)&lt;=$AH822),ROUND(INDEX(Profils!$Q$5:$Q$34,$AE822)*Paramètres!$E$33*$AG822*$AJ822,Paramètres!$F$33),0)</f>
        <v>0.004</v>
      </c>
      <c r="X822" s="20" t="n">
        <f aca="false" t="array" ref="X822:X822">IF(AND(INDEX(Profils!$R$5:$R$34,$AE822)&gt;0,INDEX(Profils!$AG$5:$AG$34,$AE822)&lt;=$AH822),ROUND(INDEX(Profils!$R$5:$R$34,$AE822)*Paramètres!$E$34*$AG822*$AJ822,Paramètres!$F$34),0)</f>
        <v>0</v>
      </c>
      <c r="Y822" s="20" t="n">
        <f aca="false" t="array" ref="Y822:Y822">IF(AND(INDEX(Profils!$S$5:$S$34,$AE822)&gt;0,INDEX(Profils!$AH$5:$AH$34,$AE822)&lt;=$AH822),ROUND(INDEX(Profils!$S$5:$S$34,$AE822)*Paramètres!$E$35*$AG822*$AJ822,Paramètres!$F$35),0)</f>
        <v>0.004</v>
      </c>
      <c r="Z822" s="21" t="n">
        <f aca="false">ROUND(L822/Paramètres!$E$22+M822/Paramètres!$E$23+N822/Paramètres!$E$24+O822/Paramètres!$E$25+P822/Paramètres!$E$26+Q822/Paramètres!$E$27+R822/Paramètres!$E$28+S822/Paramètres!$E$29+T822/Paramètres!$E$30+U822/Paramètres!$E$31+V822/Paramètres!$E$32+W822/Paramètres!$E$33+X822/Paramètres!$E$34+Y822/Paramètres!$E$35,1)</f>
        <v>1.5</v>
      </c>
      <c r="AA822" s="22" t="s">
        <v>109</v>
      </c>
      <c r="AB822" s="22" t="s">
        <v>109</v>
      </c>
      <c r="AC822" s="15" t="str">
        <f aca="false">$E822</f>
        <v>argent</v>
      </c>
      <c r="AD822" s="16" t="n">
        <f aca="false" t="array" ref="AD822:AD822">IF($I822&gt;=$AI822,"Max",ROUND(Paramètres!$B$40*($I822+1)^Paramètres!$B$41*INDEX(Paramètres!$H$6:$H$12,$AF822),0))</f>
        <v>6</v>
      </c>
      <c r="AE822" s="23" t="n">
        <f aca="false">MATCH($B822&amp;"|"&amp;$C822,Profils!$A$5:$A$34,0)</f>
        <v>27</v>
      </c>
      <c r="AF822" s="23" t="n">
        <v>5</v>
      </c>
      <c r="AG822" s="24" t="n">
        <f aca="false" t="array" ref="AG822:AG822">INDEX(Paramètres!$C$6:$C$12,$AF822)</f>
        <v>2.1</v>
      </c>
      <c r="AH822" s="23" t="n">
        <f aca="false" t="array" ref="AH822:AH822">INDEX(Paramètres!$D$6:$D$12,$AF822)</f>
        <v>6</v>
      </c>
      <c r="AI822" s="23" t="n">
        <f aca="false" t="array" ref="AI822:AI822">INDEX(Matériaux!$C$16:$C$20,$D822)</f>
        <v>20</v>
      </c>
      <c r="AJ822" s="25" t="n">
        <f aca="false">Paramètres!$B$16+(1-Paramètres!$B$16)*(($J822-Paramètres!$B$14)/(Paramètres!$B$15-Paramètres!$B$14))^Paramètres!$B$17</f>
        <v>0.140847925475674</v>
      </c>
    </row>
    <row r="823" customFormat="false" ht="15.75" hidden="false" customHeight="true" outlineLevel="0" collapsed="false">
      <c r="A823" s="14" t="s">
        <v>939</v>
      </c>
      <c r="B823" s="15" t="s">
        <v>31</v>
      </c>
      <c r="C823" s="15" t="s">
        <v>305</v>
      </c>
      <c r="D823" s="16" t="n">
        <v>2</v>
      </c>
      <c r="E823" s="15" t="str">
        <f aca="false" t="array" ref="E823:E823">INDEX(Matériaux!$B$5:$F$12,MATCH(INDEX(Profils!$E$5:$E$34,$AE823),Matériaux!$A$5:$A$12,0),$D823)</f>
        <v>argent</v>
      </c>
      <c r="F823" s="30" t="s">
        <v>119</v>
      </c>
      <c r="G823" s="10" t="str">
        <f aca="false" t="array" ref="G823:G823">INDEX(Profils!$D$5:$D$34,$AE823)&amp;" en "&amp;$E823</f>
        <v>Bague en argent</v>
      </c>
      <c r="H823" s="16" t="n">
        <f aca="false" t="array" ref="H823:H823">INDEX(Matériaux!$B$16:$B$20,$D823)</f>
        <v>15</v>
      </c>
      <c r="I823" s="16" t="n">
        <f aca="false">IF(ISNUMBER($C$3),MIN(MAX(0,ROUND($C$3,0)),$AI823),$AI823)</f>
        <v>0</v>
      </c>
      <c r="J823" s="18" t="n">
        <f aca="false">$H823+$I823</f>
        <v>15</v>
      </c>
      <c r="K823" s="15" t="s">
        <v>109</v>
      </c>
      <c r="L823" s="19" t="n">
        <f aca="false" t="array" ref="L823:L823">IF(AND(INDEX(Profils!$F$5:$F$34,$AE823)&gt;0,INDEX(Profils!$U$5:$U$34,$AE823)&lt;=$AH823),ROUND(INDEX(Profils!$F$5:$F$34,$AE823)*Paramètres!$E$22*$AG823*$AJ823,Paramètres!$F$22),0)</f>
        <v>8</v>
      </c>
      <c r="M823" s="19" t="n">
        <f aca="false" t="array" ref="M823:M823">IF(AND(INDEX(Profils!$G$5:$G$34,$AE823)&gt;0,INDEX(Profils!$V$5:$V$34,$AE823)&lt;=$AH823),ROUND(INDEX(Profils!$G$5:$G$34,$AE823)*Paramètres!$E$23*$AG823*$AJ823,Paramètres!$F$23),0)</f>
        <v>0</v>
      </c>
      <c r="N823" s="19" t="n">
        <f aca="false" t="array" ref="N823:N823">IF(AND(INDEX(Profils!$H$5:$H$34,$AE823)&gt;0,INDEX(Profils!$W$5:$W$34,$AE823)&lt;=$AH823),ROUND(INDEX(Profils!$H$5:$H$34,$AE823)*Paramètres!$E$24*$AG823*$AJ823,Paramètres!$F$24),0)</f>
        <v>3</v>
      </c>
      <c r="O823" s="19" t="n">
        <f aca="false" t="array" ref="O823:O823">IF(AND(INDEX(Profils!$I$5:$I$34,$AE823)&gt;0,INDEX(Profils!$X$5:$X$34,$AE823)&lt;=$AH823),ROUND(INDEX(Profils!$I$5:$I$34,$AE823)*Paramètres!$E$25*$AG823*$AJ823,Paramètres!$F$25),0)</f>
        <v>0</v>
      </c>
      <c r="P823" s="19" t="n">
        <f aca="false" t="array" ref="P823:P823">IF(AND(INDEX(Profils!$J$5:$J$34,$AE823)&gt;0,INDEX(Profils!$Y$5:$Y$34,$AE823)&lt;=$AH823),ROUND(INDEX(Profils!$J$5:$J$34,$AE823)*Paramètres!$E$26*$AG823*$AJ823,Paramètres!$F$26),0)</f>
        <v>4</v>
      </c>
      <c r="Q823" s="19" t="n">
        <f aca="false" t="array" ref="Q823:Q823">IF(AND(INDEX(Profils!$K$5:$K$34,$AE823)&gt;0,INDEX(Profils!$Z$5:$Z$34,$AE823)&lt;=$AH823),ROUND(INDEX(Profils!$K$5:$K$34,$AE823)*Paramètres!$E$27*$AG823*$AJ823,Paramètres!$F$27),0)</f>
        <v>3</v>
      </c>
      <c r="R823" s="20" t="n">
        <f aca="false" t="array" ref="R823:R823">IF(AND(INDEX(Profils!$L$5:$L$34,$AE823)&gt;0,INDEX(Profils!$AA$5:$AA$34,$AE823)&lt;=$AH823),ROUND(INDEX(Profils!$L$5:$L$34,$AE823)*Paramètres!$E$28*$AG823*$AJ823,Paramètres!$F$28),0)</f>
        <v>0.003</v>
      </c>
      <c r="S823" s="20" t="n">
        <f aca="false" t="array" ref="S823:S823">IF(AND(INDEX(Profils!$M$5:$M$34,$AE823)&gt;0,INDEX(Profils!$AB$5:$AB$34,$AE823)&lt;=$AH823),ROUND(INDEX(Profils!$M$5:$M$34,$AE823)*Paramètres!$E$29*$AG823*$AJ823,Paramètres!$F$29),0)</f>
        <v>0</v>
      </c>
      <c r="T823" s="20" t="n">
        <f aca="false" t="array" ref="T823:T823">IF(AND(INDEX(Profils!$N$5:$N$34,$AE823)&gt;0,INDEX(Profils!$AC$5:$AC$34,$AE823)&lt;=$AH823),ROUND(INDEX(Profils!$N$5:$N$34,$AE823)*Paramètres!$E$30*$AG823*$AJ823,Paramètres!$F$30),0)</f>
        <v>0</v>
      </c>
      <c r="U823" s="19" t="n">
        <f aca="false" t="array" ref="U823:U823">IF(AND(INDEX(Profils!$O$5:$O$34,$AE823)&gt;0,INDEX(Profils!$AD$5:$AD$34,$AE823)&lt;=$AH823),ROUND(INDEX(Profils!$O$5:$O$34,$AE823)*Paramètres!$E$31*$AG823*$AJ823,Paramètres!$F$31),0)</f>
        <v>0</v>
      </c>
      <c r="V823" s="20" t="n">
        <f aca="false" t="array" ref="V823:V823">IF(AND(INDEX(Profils!$P$5:$P$34,$AE823)&gt;0,INDEX(Profils!$AE$5:$AE$34,$AE823)&lt;=$AH823),ROUND(INDEX(Profils!$P$5:$P$34,$AE823)*Paramètres!$E$32*$AG823*$AJ823,Paramètres!$F$32),0)</f>
        <v>0</v>
      </c>
      <c r="W823" s="20" t="n">
        <f aca="false" t="array" ref="W823:W823">IF(AND(INDEX(Profils!$Q$5:$Q$34,$AE823)&gt;0,INDEX(Profils!$AF$5:$AF$34,$AE823)&lt;=$AH823),ROUND(INDEX(Profils!$Q$5:$Q$34,$AE823)*Paramètres!$E$33*$AG823*$AJ823,Paramètres!$F$33),0)</f>
        <v>0.004</v>
      </c>
      <c r="X823" s="20" t="n">
        <f aca="false" t="array" ref="X823:X823">IF(AND(INDEX(Profils!$R$5:$R$34,$AE823)&gt;0,INDEX(Profils!$AG$5:$AG$34,$AE823)&lt;=$AH823),ROUND(INDEX(Profils!$R$5:$R$34,$AE823)*Paramètres!$E$34*$AG823*$AJ823,Paramètres!$F$34),0)</f>
        <v>0</v>
      </c>
      <c r="Y823" s="20" t="n">
        <f aca="false" t="array" ref="Y823:Y823">IF(AND(INDEX(Profils!$S$5:$S$34,$AE823)&gt;0,INDEX(Profils!$AH$5:$AH$34,$AE823)&lt;=$AH823),ROUND(INDEX(Profils!$S$5:$S$34,$AE823)*Paramètres!$E$35*$AG823*$AJ823,Paramètres!$F$35),0)</f>
        <v>0.004</v>
      </c>
      <c r="Z823" s="21" t="n">
        <f aca="false">ROUND(L823/Paramètres!$E$22+M823/Paramètres!$E$23+N823/Paramètres!$E$24+O823/Paramètres!$E$25+P823/Paramètres!$E$26+Q823/Paramètres!$E$27+R823/Paramètres!$E$28+S823/Paramètres!$E$29+T823/Paramètres!$E$30+U823/Paramètres!$E$31+V823/Paramètres!$E$32+W823/Paramètres!$E$33+X823/Paramètres!$E$34+Y823/Paramètres!$E$35,1)</f>
        <v>1.9</v>
      </c>
      <c r="AA823" s="22" t="s">
        <v>109</v>
      </c>
      <c r="AB823" s="22" t="s">
        <v>109</v>
      </c>
      <c r="AC823" s="15" t="str">
        <f aca="false">$E823</f>
        <v>argent</v>
      </c>
      <c r="AD823" s="16" t="n">
        <f aca="false" t="array" ref="AD823:AD823">IF($I823&gt;=$AI823,"Max",ROUND(Paramètres!$B$40*($I823+1)^Paramètres!$B$41*INDEX(Paramètres!$H$6:$H$12,$AF823),0))</f>
        <v>8</v>
      </c>
      <c r="AE823" s="23" t="n">
        <f aca="false">MATCH($B823&amp;"|"&amp;$C823,Profils!$A$5:$A$34,0)</f>
        <v>27</v>
      </c>
      <c r="AF823" s="23" t="n">
        <v>6</v>
      </c>
      <c r="AG823" s="24" t="n">
        <f aca="false" t="array" ref="AG823:AG823">INDEX(Paramètres!$C$6:$C$12,$AF823)</f>
        <v>2.4</v>
      </c>
      <c r="AH823" s="23" t="n">
        <f aca="false" t="array" ref="AH823:AH823">INDEX(Paramètres!$D$6:$D$12,$AF823)</f>
        <v>7</v>
      </c>
      <c r="AI823" s="23" t="n">
        <f aca="false" t="array" ref="AI823:AI823">INDEX(Matériaux!$C$16:$C$20,$D823)</f>
        <v>20</v>
      </c>
      <c r="AJ823" s="25" t="n">
        <f aca="false">Paramètres!$B$16+(1-Paramètres!$B$16)*(($J823-Paramètres!$B$14)/(Paramètres!$B$15-Paramètres!$B$14))^Paramètres!$B$17</f>
        <v>0.140847925475674</v>
      </c>
    </row>
    <row r="824" customFormat="false" ht="15.75" hidden="false" customHeight="true" outlineLevel="0" collapsed="false">
      <c r="A824" s="14" t="s">
        <v>940</v>
      </c>
      <c r="B824" s="15" t="s">
        <v>31</v>
      </c>
      <c r="C824" s="15" t="s">
        <v>305</v>
      </c>
      <c r="D824" s="16" t="n">
        <v>3</v>
      </c>
      <c r="E824" s="15" t="str">
        <f aca="false" t="array" ref="E824:E824">INDEX(Matériaux!$B$5:$F$12,MATCH(INDEX(Profils!$E$5:$E$34,$AE824),Matériaux!$A$5:$A$12,0),$D824)</f>
        <v>or</v>
      </c>
      <c r="F824" s="17" t="s">
        <v>108</v>
      </c>
      <c r="G824" s="10" t="str">
        <f aca="false" t="array" ref="G824:G824">INDEX(Profils!$D$5:$D$34,$AE824)&amp;" en "&amp;$E824</f>
        <v>Bague en or</v>
      </c>
      <c r="H824" s="16" t="n">
        <f aca="false" t="array" ref="H824:H824">INDEX(Matériaux!$B$16:$B$20,$D824)</f>
        <v>30</v>
      </c>
      <c r="I824" s="16" t="n">
        <f aca="false">IF(ISNUMBER($C$3),MIN(MAX(0,ROUND($C$3,0)),$AI824),$AI824)</f>
        <v>0</v>
      </c>
      <c r="J824" s="18" t="n">
        <f aca="false">$H824+$I824</f>
        <v>30</v>
      </c>
      <c r="K824" s="15" t="s">
        <v>109</v>
      </c>
      <c r="L824" s="19" t="n">
        <f aca="false" t="array" ref="L824:L824">IF(AND(INDEX(Profils!$F$5:$F$34,$AE824)&gt;0,INDEX(Profils!$U$5:$U$34,$AE824)&lt;=$AH824),ROUND(INDEX(Profils!$F$5:$F$34,$AE824)*Paramètres!$E$22*$AG824*$AJ824,Paramètres!$F$22),0)</f>
        <v>7</v>
      </c>
      <c r="M824" s="19" t="n">
        <f aca="false" t="array" ref="M824:M824">IF(AND(INDEX(Profils!$G$5:$G$34,$AE824)&gt;0,INDEX(Profils!$V$5:$V$34,$AE824)&lt;=$AH824),ROUND(INDEX(Profils!$G$5:$G$34,$AE824)*Paramètres!$E$23*$AG824*$AJ824,Paramètres!$F$23),0)</f>
        <v>0</v>
      </c>
      <c r="N824" s="19" t="n">
        <f aca="false" t="array" ref="N824:N824">IF(AND(INDEX(Profils!$H$5:$H$34,$AE824)&gt;0,INDEX(Profils!$W$5:$W$34,$AE824)&lt;=$AH824),ROUND(INDEX(Profils!$H$5:$H$34,$AE824)*Paramètres!$E$24*$AG824*$AJ824,Paramètres!$F$24),0)</f>
        <v>0</v>
      </c>
      <c r="O824" s="19" t="n">
        <f aca="false" t="array" ref="O824:O824">IF(AND(INDEX(Profils!$I$5:$I$34,$AE824)&gt;0,INDEX(Profils!$X$5:$X$34,$AE824)&lt;=$AH824),ROUND(INDEX(Profils!$I$5:$I$34,$AE824)*Paramètres!$E$25*$AG824*$AJ824,Paramètres!$F$25),0)</f>
        <v>0</v>
      </c>
      <c r="P824" s="19" t="n">
        <f aca="false" t="array" ref="P824:P824">IF(AND(INDEX(Profils!$J$5:$J$34,$AE824)&gt;0,INDEX(Profils!$Y$5:$Y$34,$AE824)&lt;=$AH824),ROUND(INDEX(Profils!$J$5:$J$34,$AE824)*Paramètres!$E$26*$AG824*$AJ824,Paramètres!$F$26),0)</f>
        <v>3</v>
      </c>
      <c r="Q824" s="19" t="n">
        <f aca="false" t="array" ref="Q824:Q824">IF(AND(INDEX(Profils!$K$5:$K$34,$AE824)&gt;0,INDEX(Profils!$Z$5:$Z$34,$AE824)&lt;=$AH824),ROUND(INDEX(Profils!$K$5:$K$34,$AE824)*Paramètres!$E$27*$AG824*$AJ824,Paramètres!$F$27),0)</f>
        <v>0</v>
      </c>
      <c r="R824" s="20" t="n">
        <f aca="false" t="array" ref="R824:R824">IF(AND(INDEX(Profils!$L$5:$L$34,$AE824)&gt;0,INDEX(Profils!$AA$5:$AA$34,$AE824)&lt;=$AH824),ROUND(INDEX(Profils!$L$5:$L$34,$AE824)*Paramètres!$E$28*$AG824*$AJ824,Paramètres!$F$28),0)</f>
        <v>0</v>
      </c>
      <c r="S824" s="20" t="n">
        <f aca="false" t="array" ref="S824:S824">IF(AND(INDEX(Profils!$M$5:$M$34,$AE824)&gt;0,INDEX(Profils!$AB$5:$AB$34,$AE824)&lt;=$AH824),ROUND(INDEX(Profils!$M$5:$M$34,$AE824)*Paramètres!$E$29*$AG824*$AJ824,Paramètres!$F$29),0)</f>
        <v>0</v>
      </c>
      <c r="T824" s="20" t="n">
        <f aca="false" t="array" ref="T824:T824">IF(AND(INDEX(Profils!$N$5:$N$34,$AE824)&gt;0,INDEX(Profils!$AC$5:$AC$34,$AE824)&lt;=$AH824),ROUND(INDEX(Profils!$N$5:$N$34,$AE824)*Paramètres!$E$30*$AG824*$AJ824,Paramètres!$F$30),0)</f>
        <v>0</v>
      </c>
      <c r="U824" s="19" t="n">
        <f aca="false" t="array" ref="U824:U824">IF(AND(INDEX(Profils!$O$5:$O$34,$AE824)&gt;0,INDEX(Profils!$AD$5:$AD$34,$AE824)&lt;=$AH824),ROUND(INDEX(Profils!$O$5:$O$34,$AE824)*Paramètres!$E$31*$AG824*$AJ824,Paramètres!$F$31),0)</f>
        <v>0</v>
      </c>
      <c r="V824" s="20" t="n">
        <f aca="false" t="array" ref="V824:V824">IF(AND(INDEX(Profils!$P$5:$P$34,$AE824)&gt;0,INDEX(Profils!$AE$5:$AE$34,$AE824)&lt;=$AH824),ROUND(INDEX(Profils!$P$5:$P$34,$AE824)*Paramètres!$E$32*$AG824*$AJ824,Paramètres!$F$32),0)</f>
        <v>0</v>
      </c>
      <c r="W824" s="20" t="n">
        <f aca="false" t="array" ref="W824:W824">IF(AND(INDEX(Profils!$Q$5:$Q$34,$AE824)&gt;0,INDEX(Profils!$AF$5:$AF$34,$AE824)&lt;=$AH824),ROUND(INDEX(Profils!$Q$5:$Q$34,$AE824)*Paramètres!$E$33*$AG824*$AJ824,Paramètres!$F$33),0)</f>
        <v>0</v>
      </c>
      <c r="X824" s="20" t="n">
        <f aca="false" t="array" ref="X824:X824">IF(AND(INDEX(Profils!$R$5:$R$34,$AE824)&gt;0,INDEX(Profils!$AG$5:$AG$34,$AE824)&lt;=$AH824),ROUND(INDEX(Profils!$R$5:$R$34,$AE824)*Paramètres!$E$34*$AG824*$AJ824,Paramètres!$F$34),0)</f>
        <v>0</v>
      </c>
      <c r="Y824" s="20" t="n">
        <f aca="false" t="array" ref="Y824:Y824">IF(AND(INDEX(Profils!$S$5:$S$34,$AE824)&gt;0,INDEX(Profils!$AH$5:$AH$34,$AE824)&lt;=$AH824),ROUND(INDEX(Profils!$S$5:$S$34,$AE824)*Paramètres!$E$35*$AG824*$AJ824,Paramètres!$F$35),0)</f>
        <v>0</v>
      </c>
      <c r="Z824" s="21" t="n">
        <f aca="false">ROUND(L824/Paramètres!$E$22+M824/Paramètres!$E$23+N824/Paramètres!$E$24+O824/Paramètres!$E$25+P824/Paramètres!$E$26+Q824/Paramètres!$E$27+R824/Paramètres!$E$28+S824/Paramètres!$E$29+T824/Paramètres!$E$30+U824/Paramètres!$E$31+V824/Paramètres!$E$32+W824/Paramètres!$E$33+X824/Paramètres!$E$34+Y824/Paramètres!$E$35,1)</f>
        <v>0.5</v>
      </c>
      <c r="AA824" s="22" t="s">
        <v>109</v>
      </c>
      <c r="AB824" s="22" t="s">
        <v>109</v>
      </c>
      <c r="AC824" s="15" t="str">
        <f aca="false">$E824</f>
        <v>or</v>
      </c>
      <c r="AD824" s="16" t="n">
        <f aca="false" t="array" ref="AD824:AD824">IF($I824&gt;=$AI824,"Max",ROUND(Paramètres!$B$40*($I824+1)^Paramètres!$B$41*INDEX(Paramètres!$H$6:$H$12,$AF824),0))</f>
        <v>3</v>
      </c>
      <c r="AE824" s="23" t="n">
        <f aca="false">MATCH($B824&amp;"|"&amp;$C824,Profils!$A$5:$A$34,0)</f>
        <v>27</v>
      </c>
      <c r="AF824" s="23" t="n">
        <v>1</v>
      </c>
      <c r="AG824" s="24" t="n">
        <f aca="false" t="array" ref="AG824:AG824">INDEX(Paramètres!$C$6:$C$12,$AF824)</f>
        <v>1</v>
      </c>
      <c r="AH824" s="23" t="n">
        <f aca="false" t="array" ref="AH824:AH824">INDEX(Paramètres!$D$6:$D$12,$AF824)</f>
        <v>2</v>
      </c>
      <c r="AI824" s="23" t="n">
        <f aca="false" t="array" ref="AI824:AI824">INDEX(Matériaux!$C$16:$C$20,$D824)</f>
        <v>25</v>
      </c>
      <c r="AJ824" s="25" t="n">
        <f aca="false">Paramètres!$B$16+(1-Paramètres!$B$16)*(($J824-Paramètres!$B$14)/(Paramètres!$B$15-Paramètres!$B$14))^Paramètres!$B$17</f>
        <v>0.26769024555533</v>
      </c>
    </row>
    <row r="825" customFormat="false" ht="15.75" hidden="false" customHeight="true" outlineLevel="0" collapsed="false">
      <c r="A825" s="14" t="s">
        <v>941</v>
      </c>
      <c r="B825" s="15" t="s">
        <v>31</v>
      </c>
      <c r="C825" s="15" t="s">
        <v>305</v>
      </c>
      <c r="D825" s="16" t="n">
        <v>3</v>
      </c>
      <c r="E825" s="15" t="str">
        <f aca="false" t="array" ref="E825:E825">INDEX(Matériaux!$B$5:$F$12,MATCH(INDEX(Profils!$E$5:$E$34,$AE825),Matériaux!$A$5:$A$12,0),$D825)</f>
        <v>or</v>
      </c>
      <c r="F825" s="26" t="s">
        <v>111</v>
      </c>
      <c r="G825" s="10" t="str">
        <f aca="false" t="array" ref="G825:G825">INDEX(Profils!$D$5:$D$34,$AE825)&amp;" en "&amp;$E825</f>
        <v>Bague en or</v>
      </c>
      <c r="H825" s="16" t="n">
        <f aca="false" t="array" ref="H825:H825">INDEX(Matériaux!$B$16:$B$20,$D825)</f>
        <v>30</v>
      </c>
      <c r="I825" s="16" t="n">
        <f aca="false">IF(ISNUMBER($C$3),MIN(MAX(0,ROUND($C$3,0)),$AI825),$AI825)</f>
        <v>0</v>
      </c>
      <c r="J825" s="18" t="n">
        <f aca="false">$H825+$I825</f>
        <v>30</v>
      </c>
      <c r="K825" s="15" t="s">
        <v>109</v>
      </c>
      <c r="L825" s="19" t="n">
        <f aca="false" t="array" ref="L825:L825">IF(AND(INDEX(Profils!$F$5:$F$34,$AE825)&gt;0,INDEX(Profils!$U$5:$U$34,$AE825)&lt;=$AH825),ROUND(INDEX(Profils!$F$5:$F$34,$AE825)*Paramètres!$E$22*$AG825*$AJ825,Paramètres!$F$22),0)</f>
        <v>8</v>
      </c>
      <c r="M825" s="19" t="n">
        <f aca="false" t="array" ref="M825:M825">IF(AND(INDEX(Profils!$G$5:$G$34,$AE825)&gt;0,INDEX(Profils!$V$5:$V$34,$AE825)&lt;=$AH825),ROUND(INDEX(Profils!$G$5:$G$34,$AE825)*Paramètres!$E$23*$AG825*$AJ825,Paramètres!$F$23),0)</f>
        <v>0</v>
      </c>
      <c r="N825" s="19" t="n">
        <f aca="false" t="array" ref="N825:N825">IF(AND(INDEX(Profils!$H$5:$H$34,$AE825)&gt;0,INDEX(Profils!$W$5:$W$34,$AE825)&lt;=$AH825),ROUND(INDEX(Profils!$H$5:$H$34,$AE825)*Paramètres!$E$24*$AG825*$AJ825,Paramètres!$F$24),0)</f>
        <v>0</v>
      </c>
      <c r="O825" s="19" t="n">
        <f aca="false" t="array" ref="O825:O825">IF(AND(INDEX(Profils!$I$5:$I$34,$AE825)&gt;0,INDEX(Profils!$X$5:$X$34,$AE825)&lt;=$AH825),ROUND(INDEX(Profils!$I$5:$I$34,$AE825)*Paramètres!$E$25*$AG825*$AJ825,Paramètres!$F$25),0)</f>
        <v>0</v>
      </c>
      <c r="P825" s="19" t="n">
        <f aca="false" t="array" ref="P825:P825">IF(AND(INDEX(Profils!$J$5:$J$34,$AE825)&gt;0,INDEX(Profils!$Y$5:$Y$34,$AE825)&lt;=$AH825),ROUND(INDEX(Profils!$J$5:$J$34,$AE825)*Paramètres!$E$26*$AG825*$AJ825,Paramètres!$F$26),0)</f>
        <v>3</v>
      </c>
      <c r="Q825" s="19" t="n">
        <f aca="false" t="array" ref="Q825:Q825">IF(AND(INDEX(Profils!$K$5:$K$34,$AE825)&gt;0,INDEX(Profils!$Z$5:$Z$34,$AE825)&lt;=$AH825),ROUND(INDEX(Profils!$K$5:$K$34,$AE825)*Paramètres!$E$27*$AG825*$AJ825,Paramètres!$F$27),0)</f>
        <v>3</v>
      </c>
      <c r="R825" s="20" t="n">
        <f aca="false" t="array" ref="R825:R825">IF(AND(INDEX(Profils!$L$5:$L$34,$AE825)&gt;0,INDEX(Profils!$AA$5:$AA$34,$AE825)&lt;=$AH825),ROUND(INDEX(Profils!$L$5:$L$34,$AE825)*Paramètres!$E$28*$AG825*$AJ825,Paramètres!$F$28),0)</f>
        <v>0</v>
      </c>
      <c r="S825" s="20" t="n">
        <f aca="false" t="array" ref="S825:S825">IF(AND(INDEX(Profils!$M$5:$M$34,$AE825)&gt;0,INDEX(Profils!$AB$5:$AB$34,$AE825)&lt;=$AH825),ROUND(INDEX(Profils!$M$5:$M$34,$AE825)*Paramètres!$E$29*$AG825*$AJ825,Paramètres!$F$29),0)</f>
        <v>0</v>
      </c>
      <c r="T825" s="20" t="n">
        <f aca="false" t="array" ref="T825:T825">IF(AND(INDEX(Profils!$N$5:$N$34,$AE825)&gt;0,INDEX(Profils!$AC$5:$AC$34,$AE825)&lt;=$AH825),ROUND(INDEX(Profils!$N$5:$N$34,$AE825)*Paramètres!$E$30*$AG825*$AJ825,Paramètres!$F$30),0)</f>
        <v>0</v>
      </c>
      <c r="U825" s="19" t="n">
        <f aca="false" t="array" ref="U825:U825">IF(AND(INDEX(Profils!$O$5:$O$34,$AE825)&gt;0,INDEX(Profils!$AD$5:$AD$34,$AE825)&lt;=$AH825),ROUND(INDEX(Profils!$O$5:$O$34,$AE825)*Paramètres!$E$31*$AG825*$AJ825,Paramètres!$F$31),0)</f>
        <v>0</v>
      </c>
      <c r="V825" s="20" t="n">
        <f aca="false" t="array" ref="V825:V825">IF(AND(INDEX(Profils!$P$5:$P$34,$AE825)&gt;0,INDEX(Profils!$AE$5:$AE$34,$AE825)&lt;=$AH825),ROUND(INDEX(Profils!$P$5:$P$34,$AE825)*Paramètres!$E$32*$AG825*$AJ825,Paramètres!$F$32),0)</f>
        <v>0</v>
      </c>
      <c r="W825" s="20" t="n">
        <f aca="false" t="array" ref="W825:W825">IF(AND(INDEX(Profils!$Q$5:$Q$34,$AE825)&gt;0,INDEX(Profils!$AF$5:$AF$34,$AE825)&lt;=$AH825),ROUND(INDEX(Profils!$Q$5:$Q$34,$AE825)*Paramètres!$E$33*$AG825*$AJ825,Paramètres!$F$33),0)</f>
        <v>0</v>
      </c>
      <c r="X825" s="20" t="n">
        <f aca="false" t="array" ref="X825:X825">IF(AND(INDEX(Profils!$R$5:$R$34,$AE825)&gt;0,INDEX(Profils!$AG$5:$AG$34,$AE825)&lt;=$AH825),ROUND(INDEX(Profils!$R$5:$R$34,$AE825)*Paramètres!$E$34*$AG825*$AJ825,Paramètres!$F$34),0)</f>
        <v>0</v>
      </c>
      <c r="Y825" s="20" t="n">
        <f aca="false" t="array" ref="Y825:Y825">IF(AND(INDEX(Profils!$S$5:$S$34,$AE825)&gt;0,INDEX(Profils!$AH$5:$AH$34,$AE825)&lt;=$AH825),ROUND(INDEX(Profils!$S$5:$S$34,$AE825)*Paramètres!$E$35*$AG825*$AJ825,Paramètres!$F$35),0)</f>
        <v>0</v>
      </c>
      <c r="Z825" s="21" t="n">
        <f aca="false">ROUND(L825/Paramètres!$E$22+M825/Paramètres!$E$23+N825/Paramètres!$E$24+O825/Paramètres!$E$25+P825/Paramètres!$E$26+Q825/Paramètres!$E$27+R825/Paramètres!$E$28+S825/Paramètres!$E$29+T825/Paramètres!$E$30+U825/Paramètres!$E$31+V825/Paramètres!$E$32+W825/Paramètres!$E$33+X825/Paramètres!$E$34+Y825/Paramètres!$E$35,1)</f>
        <v>0.9</v>
      </c>
      <c r="AA825" s="22" t="s">
        <v>109</v>
      </c>
      <c r="AB825" s="22" t="s">
        <v>109</v>
      </c>
      <c r="AC825" s="15" t="str">
        <f aca="false">$E825</f>
        <v>or</v>
      </c>
      <c r="AD825" s="16" t="n">
        <f aca="false" t="array" ref="AD825:AD825">IF($I825&gt;=$AI825,"Max",ROUND(Paramètres!$B$40*($I825+1)^Paramètres!$B$41*INDEX(Paramètres!$H$6:$H$12,$AF825),0))</f>
        <v>4</v>
      </c>
      <c r="AE825" s="23" t="n">
        <f aca="false">MATCH($B825&amp;"|"&amp;$C825,Profils!$A$5:$A$34,0)</f>
        <v>27</v>
      </c>
      <c r="AF825" s="23" t="n">
        <v>2</v>
      </c>
      <c r="AG825" s="24" t="n">
        <f aca="false" t="array" ref="AG825:AG825">INDEX(Paramètres!$C$6:$C$12,$AF825)</f>
        <v>1.2</v>
      </c>
      <c r="AH825" s="23" t="n">
        <f aca="false" t="array" ref="AH825:AH825">INDEX(Paramètres!$D$6:$D$12,$AF825)</f>
        <v>3</v>
      </c>
      <c r="AI825" s="23" t="n">
        <f aca="false" t="array" ref="AI825:AI825">INDEX(Matériaux!$C$16:$C$20,$D825)</f>
        <v>25</v>
      </c>
      <c r="AJ825" s="25" t="n">
        <f aca="false">Paramètres!$B$16+(1-Paramètres!$B$16)*(($J825-Paramètres!$B$14)/(Paramètres!$B$15-Paramètres!$B$14))^Paramètres!$B$17</f>
        <v>0.26769024555533</v>
      </c>
    </row>
    <row r="826" customFormat="false" ht="15.75" hidden="false" customHeight="true" outlineLevel="0" collapsed="false">
      <c r="A826" s="14" t="s">
        <v>942</v>
      </c>
      <c r="B826" s="15" t="s">
        <v>31</v>
      </c>
      <c r="C826" s="15" t="s">
        <v>305</v>
      </c>
      <c r="D826" s="16" t="n">
        <v>3</v>
      </c>
      <c r="E826" s="15" t="str">
        <f aca="false" t="array" ref="E826:E826">INDEX(Matériaux!$B$5:$F$12,MATCH(INDEX(Profils!$E$5:$E$34,$AE826),Matériaux!$A$5:$A$12,0),$D826)</f>
        <v>or</v>
      </c>
      <c r="F826" s="27" t="s">
        <v>113</v>
      </c>
      <c r="G826" s="10" t="str">
        <f aca="false" t="array" ref="G826:G826">INDEX(Profils!$D$5:$D$34,$AE826)&amp;" en "&amp;$E826</f>
        <v>Bague en or</v>
      </c>
      <c r="H826" s="16" t="n">
        <f aca="false" t="array" ref="H826:H826">INDEX(Matériaux!$B$16:$B$20,$D826)</f>
        <v>30</v>
      </c>
      <c r="I826" s="16" t="n">
        <f aca="false">IF(ISNUMBER($C$3),MIN(MAX(0,ROUND($C$3,0)),$AI826),$AI826)</f>
        <v>0</v>
      </c>
      <c r="J826" s="18" t="n">
        <f aca="false">$H826+$I826</f>
        <v>30</v>
      </c>
      <c r="K826" s="15" t="s">
        <v>109</v>
      </c>
      <c r="L826" s="19" t="n">
        <f aca="false" t="array" ref="L826:L826">IF(AND(INDEX(Profils!$F$5:$F$34,$AE826)&gt;0,INDEX(Profils!$U$5:$U$34,$AE826)&lt;=$AH826),ROUND(INDEX(Profils!$F$5:$F$34,$AE826)*Paramètres!$E$22*$AG826*$AJ826,Paramètres!$F$22),0)</f>
        <v>10</v>
      </c>
      <c r="M826" s="19" t="n">
        <f aca="false" t="array" ref="M826:M826">IF(AND(INDEX(Profils!$G$5:$G$34,$AE826)&gt;0,INDEX(Profils!$V$5:$V$34,$AE826)&lt;=$AH826),ROUND(INDEX(Profils!$G$5:$G$34,$AE826)*Paramètres!$E$23*$AG826*$AJ826,Paramètres!$F$23),0)</f>
        <v>0</v>
      </c>
      <c r="N826" s="19" t="n">
        <f aca="false" t="array" ref="N826:N826">IF(AND(INDEX(Profils!$H$5:$H$34,$AE826)&gt;0,INDEX(Profils!$W$5:$W$34,$AE826)&lt;=$AH826),ROUND(INDEX(Profils!$H$5:$H$34,$AE826)*Paramètres!$E$24*$AG826*$AJ826,Paramètres!$F$24),0)</f>
        <v>0</v>
      </c>
      <c r="O826" s="19" t="n">
        <f aca="false" t="array" ref="O826:O826">IF(AND(INDEX(Profils!$I$5:$I$34,$AE826)&gt;0,INDEX(Profils!$X$5:$X$34,$AE826)&lt;=$AH826),ROUND(INDEX(Profils!$I$5:$I$34,$AE826)*Paramètres!$E$25*$AG826*$AJ826,Paramètres!$F$25),0)</f>
        <v>0</v>
      </c>
      <c r="P826" s="19" t="n">
        <f aca="false" t="array" ref="P826:P826">IF(AND(INDEX(Profils!$J$5:$J$34,$AE826)&gt;0,INDEX(Profils!$Y$5:$Y$34,$AE826)&lt;=$AH826),ROUND(INDEX(Profils!$J$5:$J$34,$AE826)*Paramètres!$E$26*$AG826*$AJ826,Paramètres!$F$26),0)</f>
        <v>4</v>
      </c>
      <c r="Q826" s="19" t="n">
        <f aca="false" t="array" ref="Q826:Q826">IF(AND(INDEX(Profils!$K$5:$K$34,$AE826)&gt;0,INDEX(Profils!$Z$5:$Z$34,$AE826)&lt;=$AH826),ROUND(INDEX(Profils!$K$5:$K$34,$AE826)*Paramètres!$E$27*$AG826*$AJ826,Paramètres!$F$27),0)</f>
        <v>3</v>
      </c>
      <c r="R826" s="20" t="n">
        <f aca="false" t="array" ref="R826:R826">IF(AND(INDEX(Profils!$L$5:$L$34,$AE826)&gt;0,INDEX(Profils!$AA$5:$AA$34,$AE826)&lt;=$AH826),ROUND(INDEX(Profils!$L$5:$L$34,$AE826)*Paramètres!$E$28*$AG826*$AJ826,Paramètres!$F$28),0)</f>
        <v>0</v>
      </c>
      <c r="S826" s="20" t="n">
        <f aca="false" t="array" ref="S826:S826">IF(AND(INDEX(Profils!$M$5:$M$34,$AE826)&gt;0,INDEX(Profils!$AB$5:$AB$34,$AE826)&lt;=$AH826),ROUND(INDEX(Profils!$M$5:$M$34,$AE826)*Paramètres!$E$29*$AG826*$AJ826,Paramètres!$F$29),0)</f>
        <v>0</v>
      </c>
      <c r="T826" s="20" t="n">
        <f aca="false" t="array" ref="T826:T826">IF(AND(INDEX(Profils!$N$5:$N$34,$AE826)&gt;0,INDEX(Profils!$AC$5:$AC$34,$AE826)&lt;=$AH826),ROUND(INDEX(Profils!$N$5:$N$34,$AE826)*Paramètres!$E$30*$AG826*$AJ826,Paramètres!$F$30),0)</f>
        <v>0</v>
      </c>
      <c r="U826" s="19" t="n">
        <f aca="false" t="array" ref="U826:U826">IF(AND(INDEX(Profils!$O$5:$O$34,$AE826)&gt;0,INDEX(Profils!$AD$5:$AD$34,$AE826)&lt;=$AH826),ROUND(INDEX(Profils!$O$5:$O$34,$AE826)*Paramètres!$E$31*$AG826*$AJ826,Paramètres!$F$31),0)</f>
        <v>0</v>
      </c>
      <c r="V826" s="20" t="n">
        <f aca="false" t="array" ref="V826:V826">IF(AND(INDEX(Profils!$P$5:$P$34,$AE826)&gt;0,INDEX(Profils!$AE$5:$AE$34,$AE826)&lt;=$AH826),ROUND(INDEX(Profils!$P$5:$P$34,$AE826)*Paramètres!$E$32*$AG826*$AJ826,Paramètres!$F$32),0)</f>
        <v>0</v>
      </c>
      <c r="W826" s="20" t="n">
        <f aca="false" t="array" ref="W826:W826">IF(AND(INDEX(Profils!$Q$5:$Q$34,$AE826)&gt;0,INDEX(Profils!$AF$5:$AF$34,$AE826)&lt;=$AH826),ROUND(INDEX(Profils!$Q$5:$Q$34,$AE826)*Paramètres!$E$33*$AG826*$AJ826,Paramètres!$F$33),0)</f>
        <v>0.005</v>
      </c>
      <c r="X826" s="20" t="n">
        <f aca="false" t="array" ref="X826:X826">IF(AND(INDEX(Profils!$R$5:$R$34,$AE826)&gt;0,INDEX(Profils!$AG$5:$AG$34,$AE826)&lt;=$AH826),ROUND(INDEX(Profils!$R$5:$R$34,$AE826)*Paramètres!$E$34*$AG826*$AJ826,Paramètres!$F$34),0)</f>
        <v>0</v>
      </c>
      <c r="Y826" s="20" t="n">
        <f aca="false" t="array" ref="Y826:Y826">IF(AND(INDEX(Profils!$S$5:$S$34,$AE826)&gt;0,INDEX(Profils!$AH$5:$AH$34,$AE826)&lt;=$AH826),ROUND(INDEX(Profils!$S$5:$S$34,$AE826)*Paramètres!$E$35*$AG826*$AJ826,Paramètres!$F$35),0)</f>
        <v>0</v>
      </c>
      <c r="Z826" s="21" t="n">
        <f aca="false">ROUND(L826/Paramètres!$E$22+M826/Paramètres!$E$23+N826/Paramètres!$E$24+O826/Paramètres!$E$25+P826/Paramètres!$E$26+Q826/Paramètres!$E$27+R826/Paramètres!$E$28+S826/Paramètres!$E$29+T826/Paramètres!$E$30+U826/Paramètres!$E$31+V826/Paramètres!$E$32+W826/Paramètres!$E$33+X826/Paramètres!$E$34+Y826/Paramètres!$E$35,1)</f>
        <v>1.4</v>
      </c>
      <c r="AA826" s="22" t="s">
        <v>109</v>
      </c>
      <c r="AB826" s="22" t="s">
        <v>109</v>
      </c>
      <c r="AC826" s="15" t="str">
        <f aca="false">$E826</f>
        <v>or</v>
      </c>
      <c r="AD826" s="16" t="n">
        <f aca="false" t="array" ref="AD826:AD826">IF($I826&gt;=$AI826,"Max",ROUND(Paramètres!$B$40*($I826+1)^Paramètres!$B$41*INDEX(Paramètres!$H$6:$H$12,$AF826),0))</f>
        <v>4</v>
      </c>
      <c r="AE826" s="23" t="n">
        <f aca="false">MATCH($B826&amp;"|"&amp;$C826,Profils!$A$5:$A$34,0)</f>
        <v>27</v>
      </c>
      <c r="AF826" s="23" t="n">
        <v>3</v>
      </c>
      <c r="AG826" s="24" t="n">
        <f aca="false" t="array" ref="AG826:AG826">INDEX(Paramètres!$C$6:$C$12,$AF826)</f>
        <v>1.45</v>
      </c>
      <c r="AH826" s="23" t="n">
        <f aca="false" t="array" ref="AH826:AH826">INDEX(Paramètres!$D$6:$D$12,$AF826)</f>
        <v>4</v>
      </c>
      <c r="AI826" s="23" t="n">
        <f aca="false" t="array" ref="AI826:AI826">INDEX(Matériaux!$C$16:$C$20,$D826)</f>
        <v>25</v>
      </c>
      <c r="AJ826" s="25" t="n">
        <f aca="false">Paramètres!$B$16+(1-Paramètres!$B$16)*(($J826-Paramètres!$B$14)/(Paramètres!$B$15-Paramètres!$B$14))^Paramètres!$B$17</f>
        <v>0.26769024555533</v>
      </c>
    </row>
    <row r="827" customFormat="false" ht="15.75" hidden="false" customHeight="true" outlineLevel="0" collapsed="false">
      <c r="A827" s="14" t="s">
        <v>943</v>
      </c>
      <c r="B827" s="15" t="s">
        <v>31</v>
      </c>
      <c r="C827" s="15" t="s">
        <v>305</v>
      </c>
      <c r="D827" s="16" t="n">
        <v>3</v>
      </c>
      <c r="E827" s="15" t="str">
        <f aca="false" t="array" ref="E827:E827">INDEX(Matériaux!$B$5:$F$12,MATCH(INDEX(Profils!$E$5:$E$34,$AE827),Matériaux!$A$5:$A$12,0),$D827)</f>
        <v>or</v>
      </c>
      <c r="F827" s="28" t="s">
        <v>115</v>
      </c>
      <c r="G827" s="10" t="str">
        <f aca="false" t="array" ref="G827:G827">INDEX(Profils!$D$5:$D$34,$AE827)&amp;" en "&amp;$E827</f>
        <v>Bague en or</v>
      </c>
      <c r="H827" s="16" t="n">
        <f aca="false" t="array" ref="H827:H827">INDEX(Matériaux!$B$16:$B$20,$D827)</f>
        <v>30</v>
      </c>
      <c r="I827" s="16" t="n">
        <f aca="false">IF(ISNUMBER($C$3),MIN(MAX(0,ROUND($C$3,0)),$AI827),$AI827)</f>
        <v>0</v>
      </c>
      <c r="J827" s="18" t="n">
        <f aca="false">$H827+$I827</f>
        <v>30</v>
      </c>
      <c r="K827" s="15" t="s">
        <v>109</v>
      </c>
      <c r="L827" s="19" t="n">
        <f aca="false" t="array" ref="L827:L827">IF(AND(INDEX(Profils!$F$5:$F$34,$AE827)&gt;0,INDEX(Profils!$U$5:$U$34,$AE827)&lt;=$AH827),ROUND(INDEX(Profils!$F$5:$F$34,$AE827)*Paramètres!$E$22*$AG827*$AJ827,Paramètres!$F$22),0)</f>
        <v>12</v>
      </c>
      <c r="M827" s="19" t="n">
        <f aca="false" t="array" ref="M827:M827">IF(AND(INDEX(Profils!$G$5:$G$34,$AE827)&gt;0,INDEX(Profils!$V$5:$V$34,$AE827)&lt;=$AH827),ROUND(INDEX(Profils!$G$5:$G$34,$AE827)*Paramètres!$E$23*$AG827*$AJ827,Paramètres!$F$23),0)</f>
        <v>0</v>
      </c>
      <c r="N827" s="19" t="n">
        <f aca="false" t="array" ref="N827:N827">IF(AND(INDEX(Profils!$H$5:$H$34,$AE827)&gt;0,INDEX(Profils!$W$5:$W$34,$AE827)&lt;=$AH827),ROUND(INDEX(Profils!$H$5:$H$34,$AE827)*Paramètres!$E$24*$AG827*$AJ827,Paramètres!$F$24),0)</f>
        <v>0</v>
      </c>
      <c r="O827" s="19" t="n">
        <f aca="false" t="array" ref="O827:O827">IF(AND(INDEX(Profils!$I$5:$I$34,$AE827)&gt;0,INDEX(Profils!$X$5:$X$34,$AE827)&lt;=$AH827),ROUND(INDEX(Profils!$I$5:$I$34,$AE827)*Paramètres!$E$25*$AG827*$AJ827,Paramètres!$F$25),0)</f>
        <v>0</v>
      </c>
      <c r="P827" s="19" t="n">
        <f aca="false" t="array" ref="P827:P827">IF(AND(INDEX(Profils!$J$5:$J$34,$AE827)&gt;0,INDEX(Profils!$Y$5:$Y$34,$AE827)&lt;=$AH827),ROUND(INDEX(Profils!$J$5:$J$34,$AE827)*Paramètres!$E$26*$AG827*$AJ827,Paramètres!$F$26),0)</f>
        <v>5</v>
      </c>
      <c r="Q827" s="19" t="n">
        <f aca="false" t="array" ref="Q827:Q827">IF(AND(INDEX(Profils!$K$5:$K$34,$AE827)&gt;0,INDEX(Profils!$Z$5:$Z$34,$AE827)&lt;=$AH827),ROUND(INDEX(Profils!$K$5:$K$34,$AE827)*Paramètres!$E$27*$AG827*$AJ827,Paramètres!$F$27),0)</f>
        <v>4</v>
      </c>
      <c r="R827" s="20" t="n">
        <f aca="false" t="array" ref="R827:R827">IF(AND(INDEX(Profils!$L$5:$L$34,$AE827)&gt;0,INDEX(Profils!$AA$5:$AA$34,$AE827)&lt;=$AH827),ROUND(INDEX(Profils!$L$5:$L$34,$AE827)*Paramètres!$E$28*$AG827*$AJ827,Paramètres!$F$28),0)</f>
        <v>0</v>
      </c>
      <c r="S827" s="20" t="n">
        <f aca="false" t="array" ref="S827:S827">IF(AND(INDEX(Profils!$M$5:$M$34,$AE827)&gt;0,INDEX(Profils!$AB$5:$AB$34,$AE827)&lt;=$AH827),ROUND(INDEX(Profils!$M$5:$M$34,$AE827)*Paramètres!$E$29*$AG827*$AJ827,Paramètres!$F$29),0)</f>
        <v>0</v>
      </c>
      <c r="T827" s="20" t="n">
        <f aca="false" t="array" ref="T827:T827">IF(AND(INDEX(Profils!$N$5:$N$34,$AE827)&gt;0,INDEX(Profils!$AC$5:$AC$34,$AE827)&lt;=$AH827),ROUND(INDEX(Profils!$N$5:$N$34,$AE827)*Paramètres!$E$30*$AG827*$AJ827,Paramètres!$F$30),0)</f>
        <v>0</v>
      </c>
      <c r="U827" s="19" t="n">
        <f aca="false" t="array" ref="U827:U827">IF(AND(INDEX(Profils!$O$5:$O$34,$AE827)&gt;0,INDEX(Profils!$AD$5:$AD$34,$AE827)&lt;=$AH827),ROUND(INDEX(Profils!$O$5:$O$34,$AE827)*Paramètres!$E$31*$AG827*$AJ827,Paramètres!$F$31),0)</f>
        <v>0</v>
      </c>
      <c r="V827" s="20" t="n">
        <f aca="false" t="array" ref="V827:V827">IF(AND(INDEX(Profils!$P$5:$P$34,$AE827)&gt;0,INDEX(Profils!$AE$5:$AE$34,$AE827)&lt;=$AH827),ROUND(INDEX(Profils!$P$5:$P$34,$AE827)*Paramètres!$E$32*$AG827*$AJ827,Paramètres!$F$32),0)</f>
        <v>0</v>
      </c>
      <c r="W827" s="20" t="n">
        <f aca="false" t="array" ref="W827:W827">IF(AND(INDEX(Profils!$Q$5:$Q$34,$AE827)&gt;0,INDEX(Profils!$AF$5:$AF$34,$AE827)&lt;=$AH827),ROUND(INDEX(Profils!$Q$5:$Q$34,$AE827)*Paramètres!$E$33*$AG827*$AJ827,Paramètres!$F$33),0)</f>
        <v>0.006</v>
      </c>
      <c r="X827" s="20" t="n">
        <f aca="false" t="array" ref="X827:X827">IF(AND(INDEX(Profils!$R$5:$R$34,$AE827)&gt;0,INDEX(Profils!$AG$5:$AG$34,$AE827)&lt;=$AH827),ROUND(INDEX(Profils!$R$5:$R$34,$AE827)*Paramètres!$E$34*$AG827*$AJ827,Paramètres!$F$34),0)</f>
        <v>0</v>
      </c>
      <c r="Y827" s="20" t="n">
        <f aca="false" t="array" ref="Y827:Y827">IF(AND(INDEX(Profils!$S$5:$S$34,$AE827)&gt;0,INDEX(Profils!$AH$5:$AH$34,$AE827)&lt;=$AH827),ROUND(INDEX(Profils!$S$5:$S$34,$AE827)*Paramètres!$E$35*$AG827*$AJ827,Paramètres!$F$35),0)</f>
        <v>0.006</v>
      </c>
      <c r="Z827" s="21" t="n">
        <f aca="false">ROUND(L827/Paramètres!$E$22+M827/Paramètres!$E$23+N827/Paramètres!$E$24+O827/Paramètres!$E$25+P827/Paramètres!$E$26+Q827/Paramètres!$E$27+R827/Paramètres!$E$28+S827/Paramètres!$E$29+T827/Paramètres!$E$30+U827/Paramètres!$E$31+V827/Paramètres!$E$32+W827/Paramètres!$E$33+X827/Paramètres!$E$34+Y827/Paramètres!$E$35,1)</f>
        <v>2.1</v>
      </c>
      <c r="AA827" s="22" t="s">
        <v>109</v>
      </c>
      <c r="AB827" s="22" t="s">
        <v>109</v>
      </c>
      <c r="AC827" s="15" t="str">
        <f aca="false">$E827</f>
        <v>or</v>
      </c>
      <c r="AD827" s="16" t="n">
        <f aca="false" t="array" ref="AD827:AD827">IF($I827&gt;=$AI827,"Max",ROUND(Paramètres!$B$40*($I827+1)^Paramètres!$B$41*INDEX(Paramètres!$H$6:$H$12,$AF827),0))</f>
        <v>5</v>
      </c>
      <c r="AE827" s="23" t="n">
        <f aca="false">MATCH($B827&amp;"|"&amp;$C827,Profils!$A$5:$A$34,0)</f>
        <v>27</v>
      </c>
      <c r="AF827" s="23" t="n">
        <v>4</v>
      </c>
      <c r="AG827" s="24" t="n">
        <f aca="false" t="array" ref="AG827:AG827">INDEX(Paramètres!$C$6:$C$12,$AF827)</f>
        <v>1.75</v>
      </c>
      <c r="AH827" s="23" t="n">
        <f aca="false" t="array" ref="AH827:AH827">INDEX(Paramètres!$D$6:$D$12,$AF827)</f>
        <v>5</v>
      </c>
      <c r="AI827" s="23" t="n">
        <f aca="false" t="array" ref="AI827:AI827">INDEX(Matériaux!$C$16:$C$20,$D827)</f>
        <v>25</v>
      </c>
      <c r="AJ827" s="25" t="n">
        <f aca="false">Paramètres!$B$16+(1-Paramètres!$B$16)*(($J827-Paramètres!$B$14)/(Paramètres!$B$15-Paramètres!$B$14))^Paramètres!$B$17</f>
        <v>0.26769024555533</v>
      </c>
    </row>
    <row r="828" customFormat="false" ht="15.75" hidden="false" customHeight="true" outlineLevel="0" collapsed="false">
      <c r="A828" s="14" t="s">
        <v>944</v>
      </c>
      <c r="B828" s="15" t="s">
        <v>31</v>
      </c>
      <c r="C828" s="15" t="s">
        <v>305</v>
      </c>
      <c r="D828" s="16" t="n">
        <v>3</v>
      </c>
      <c r="E828" s="15" t="str">
        <f aca="false" t="array" ref="E828:E828">INDEX(Matériaux!$B$5:$F$12,MATCH(INDEX(Profils!$E$5:$E$34,$AE828),Matériaux!$A$5:$A$12,0),$D828)</f>
        <v>or</v>
      </c>
      <c r="F828" s="29" t="s">
        <v>117</v>
      </c>
      <c r="G828" s="10" t="str">
        <f aca="false" t="array" ref="G828:G828">INDEX(Profils!$D$5:$D$34,$AE828)&amp;" en "&amp;$E828</f>
        <v>Bague en or</v>
      </c>
      <c r="H828" s="16" t="n">
        <f aca="false" t="array" ref="H828:H828">INDEX(Matériaux!$B$16:$B$20,$D828)</f>
        <v>30</v>
      </c>
      <c r="I828" s="16" t="n">
        <f aca="false">IF(ISNUMBER($C$3),MIN(MAX(0,ROUND($C$3,0)),$AI828),$AI828)</f>
        <v>0</v>
      </c>
      <c r="J828" s="18" t="n">
        <f aca="false">$H828+$I828</f>
        <v>30</v>
      </c>
      <c r="K828" s="15" t="s">
        <v>109</v>
      </c>
      <c r="L828" s="19" t="n">
        <f aca="false" t="array" ref="L828:L828">IF(AND(INDEX(Profils!$F$5:$F$34,$AE828)&gt;0,INDEX(Profils!$U$5:$U$34,$AE828)&lt;=$AH828),ROUND(INDEX(Profils!$F$5:$F$34,$AE828)*Paramètres!$E$22*$AG828*$AJ828,Paramètres!$F$22),0)</f>
        <v>14</v>
      </c>
      <c r="M828" s="19" t="n">
        <f aca="false" t="array" ref="M828:M828">IF(AND(INDEX(Profils!$G$5:$G$34,$AE828)&gt;0,INDEX(Profils!$V$5:$V$34,$AE828)&lt;=$AH828),ROUND(INDEX(Profils!$G$5:$G$34,$AE828)*Paramètres!$E$23*$AG828*$AJ828,Paramètres!$F$23),0)</f>
        <v>0</v>
      </c>
      <c r="N828" s="19" t="n">
        <f aca="false" t="array" ref="N828:N828">IF(AND(INDEX(Profils!$H$5:$H$34,$AE828)&gt;0,INDEX(Profils!$W$5:$W$34,$AE828)&lt;=$AH828),ROUND(INDEX(Profils!$H$5:$H$34,$AE828)*Paramètres!$E$24*$AG828*$AJ828,Paramètres!$F$24),0)</f>
        <v>5</v>
      </c>
      <c r="O828" s="19" t="n">
        <f aca="false" t="array" ref="O828:O828">IF(AND(INDEX(Profils!$I$5:$I$34,$AE828)&gt;0,INDEX(Profils!$X$5:$X$34,$AE828)&lt;=$AH828),ROUND(INDEX(Profils!$I$5:$I$34,$AE828)*Paramètres!$E$25*$AG828*$AJ828,Paramètres!$F$25),0)</f>
        <v>0</v>
      </c>
      <c r="P828" s="19" t="n">
        <f aca="false" t="array" ref="P828:P828">IF(AND(INDEX(Profils!$J$5:$J$34,$AE828)&gt;0,INDEX(Profils!$Y$5:$Y$34,$AE828)&lt;=$AH828),ROUND(INDEX(Profils!$J$5:$J$34,$AE828)*Paramètres!$E$26*$AG828*$AJ828,Paramètres!$F$26),0)</f>
        <v>6</v>
      </c>
      <c r="Q828" s="19" t="n">
        <f aca="false" t="array" ref="Q828:Q828">IF(AND(INDEX(Profils!$K$5:$K$34,$AE828)&gt;0,INDEX(Profils!$Z$5:$Z$34,$AE828)&lt;=$AH828),ROUND(INDEX(Profils!$K$5:$K$34,$AE828)*Paramètres!$E$27*$AG828*$AJ828,Paramètres!$F$27),0)</f>
        <v>4</v>
      </c>
      <c r="R828" s="20" t="n">
        <f aca="false" t="array" ref="R828:R828">IF(AND(INDEX(Profils!$L$5:$L$34,$AE828)&gt;0,INDEX(Profils!$AA$5:$AA$34,$AE828)&lt;=$AH828),ROUND(INDEX(Profils!$L$5:$L$34,$AE828)*Paramètres!$E$28*$AG828*$AJ828,Paramètres!$F$28),0)</f>
        <v>0</v>
      </c>
      <c r="S828" s="20" t="n">
        <f aca="false" t="array" ref="S828:S828">IF(AND(INDEX(Profils!$M$5:$M$34,$AE828)&gt;0,INDEX(Profils!$AB$5:$AB$34,$AE828)&lt;=$AH828),ROUND(INDEX(Profils!$M$5:$M$34,$AE828)*Paramètres!$E$29*$AG828*$AJ828,Paramètres!$F$29),0)</f>
        <v>0</v>
      </c>
      <c r="T828" s="20" t="n">
        <f aca="false" t="array" ref="T828:T828">IF(AND(INDEX(Profils!$N$5:$N$34,$AE828)&gt;0,INDEX(Profils!$AC$5:$AC$34,$AE828)&lt;=$AH828),ROUND(INDEX(Profils!$N$5:$N$34,$AE828)*Paramètres!$E$30*$AG828*$AJ828,Paramètres!$F$30),0)</f>
        <v>0</v>
      </c>
      <c r="U828" s="19" t="n">
        <f aca="false" t="array" ref="U828:U828">IF(AND(INDEX(Profils!$O$5:$O$34,$AE828)&gt;0,INDEX(Profils!$AD$5:$AD$34,$AE828)&lt;=$AH828),ROUND(INDEX(Profils!$O$5:$O$34,$AE828)*Paramètres!$E$31*$AG828*$AJ828,Paramètres!$F$31),0)</f>
        <v>0</v>
      </c>
      <c r="V828" s="20" t="n">
        <f aca="false" t="array" ref="V828:V828">IF(AND(INDEX(Profils!$P$5:$P$34,$AE828)&gt;0,INDEX(Profils!$AE$5:$AE$34,$AE828)&lt;=$AH828),ROUND(INDEX(Profils!$P$5:$P$34,$AE828)*Paramètres!$E$32*$AG828*$AJ828,Paramètres!$F$32),0)</f>
        <v>0</v>
      </c>
      <c r="W828" s="20" t="n">
        <f aca="false" t="array" ref="W828:W828">IF(AND(INDEX(Profils!$Q$5:$Q$34,$AE828)&gt;0,INDEX(Profils!$AF$5:$AF$34,$AE828)&lt;=$AH828),ROUND(INDEX(Profils!$Q$5:$Q$34,$AE828)*Paramètres!$E$33*$AG828*$AJ828,Paramètres!$F$33),0)</f>
        <v>0.007</v>
      </c>
      <c r="X828" s="20" t="n">
        <f aca="false" t="array" ref="X828:X828">IF(AND(INDEX(Profils!$R$5:$R$34,$AE828)&gt;0,INDEX(Profils!$AG$5:$AG$34,$AE828)&lt;=$AH828),ROUND(INDEX(Profils!$R$5:$R$34,$AE828)*Paramètres!$E$34*$AG828*$AJ828,Paramètres!$F$34),0)</f>
        <v>0</v>
      </c>
      <c r="Y828" s="20" t="n">
        <f aca="false" t="array" ref="Y828:Y828">IF(AND(INDEX(Profils!$S$5:$S$34,$AE828)&gt;0,INDEX(Profils!$AH$5:$AH$34,$AE828)&lt;=$AH828),ROUND(INDEX(Profils!$S$5:$S$34,$AE828)*Paramètres!$E$35*$AG828*$AJ828,Paramètres!$F$35),0)</f>
        <v>0.007</v>
      </c>
      <c r="Z828" s="21" t="n">
        <f aca="false">ROUND(L828/Paramètres!$E$22+M828/Paramètres!$E$23+N828/Paramètres!$E$24+O828/Paramètres!$E$25+P828/Paramètres!$E$26+Q828/Paramètres!$E$27+R828/Paramètres!$E$28+S828/Paramètres!$E$29+T828/Paramètres!$E$30+U828/Paramètres!$E$31+V828/Paramètres!$E$32+W828/Paramètres!$E$33+X828/Paramètres!$E$34+Y828/Paramètres!$E$35,1)</f>
        <v>2.7</v>
      </c>
      <c r="AA828" s="22" t="s">
        <v>109</v>
      </c>
      <c r="AB828" s="22" t="s">
        <v>109</v>
      </c>
      <c r="AC828" s="15" t="str">
        <f aca="false">$E828</f>
        <v>or</v>
      </c>
      <c r="AD828" s="16" t="n">
        <f aca="false" t="array" ref="AD828:AD828">IF($I828&gt;=$AI828,"Max",ROUND(Paramètres!$B$40*($I828+1)^Paramètres!$B$41*INDEX(Paramètres!$H$6:$H$12,$AF828),0))</f>
        <v>6</v>
      </c>
      <c r="AE828" s="23" t="n">
        <f aca="false">MATCH($B828&amp;"|"&amp;$C828,Profils!$A$5:$A$34,0)</f>
        <v>27</v>
      </c>
      <c r="AF828" s="23" t="n">
        <v>5</v>
      </c>
      <c r="AG828" s="24" t="n">
        <f aca="false" t="array" ref="AG828:AG828">INDEX(Paramètres!$C$6:$C$12,$AF828)</f>
        <v>2.1</v>
      </c>
      <c r="AH828" s="23" t="n">
        <f aca="false" t="array" ref="AH828:AH828">INDEX(Paramètres!$D$6:$D$12,$AF828)</f>
        <v>6</v>
      </c>
      <c r="AI828" s="23" t="n">
        <f aca="false" t="array" ref="AI828:AI828">INDEX(Matériaux!$C$16:$C$20,$D828)</f>
        <v>25</v>
      </c>
      <c r="AJ828" s="25" t="n">
        <f aca="false">Paramètres!$B$16+(1-Paramètres!$B$16)*(($J828-Paramètres!$B$14)/(Paramètres!$B$15-Paramètres!$B$14))^Paramètres!$B$17</f>
        <v>0.26769024555533</v>
      </c>
    </row>
    <row r="829" customFormat="false" ht="15.75" hidden="false" customHeight="true" outlineLevel="0" collapsed="false">
      <c r="A829" s="14" t="s">
        <v>945</v>
      </c>
      <c r="B829" s="15" t="s">
        <v>31</v>
      </c>
      <c r="C829" s="15" t="s">
        <v>305</v>
      </c>
      <c r="D829" s="16" t="n">
        <v>3</v>
      </c>
      <c r="E829" s="15" t="str">
        <f aca="false" t="array" ref="E829:E829">INDEX(Matériaux!$B$5:$F$12,MATCH(INDEX(Profils!$E$5:$E$34,$AE829),Matériaux!$A$5:$A$12,0),$D829)</f>
        <v>or</v>
      </c>
      <c r="F829" s="30" t="s">
        <v>119</v>
      </c>
      <c r="G829" s="10" t="str">
        <f aca="false" t="array" ref="G829:G829">INDEX(Profils!$D$5:$D$34,$AE829)&amp;" en "&amp;$E829</f>
        <v>Bague en or</v>
      </c>
      <c r="H829" s="16" t="n">
        <f aca="false" t="array" ref="H829:H829">INDEX(Matériaux!$B$16:$B$20,$D829)</f>
        <v>30</v>
      </c>
      <c r="I829" s="16" t="n">
        <f aca="false">IF(ISNUMBER($C$3),MIN(MAX(0,ROUND($C$3,0)),$AI829),$AI829)</f>
        <v>0</v>
      </c>
      <c r="J829" s="18" t="n">
        <f aca="false">$H829+$I829</f>
        <v>30</v>
      </c>
      <c r="K829" s="15" t="s">
        <v>109</v>
      </c>
      <c r="L829" s="19" t="n">
        <f aca="false" t="array" ref="L829:L829">IF(AND(INDEX(Profils!$F$5:$F$34,$AE829)&gt;0,INDEX(Profils!$U$5:$U$34,$AE829)&lt;=$AH829),ROUND(INDEX(Profils!$F$5:$F$34,$AE829)*Paramètres!$E$22*$AG829*$AJ829,Paramètres!$F$22),0)</f>
        <v>16</v>
      </c>
      <c r="M829" s="19" t="n">
        <f aca="false" t="array" ref="M829:M829">IF(AND(INDEX(Profils!$G$5:$G$34,$AE829)&gt;0,INDEX(Profils!$V$5:$V$34,$AE829)&lt;=$AH829),ROUND(INDEX(Profils!$G$5:$G$34,$AE829)*Paramètres!$E$23*$AG829*$AJ829,Paramètres!$F$23),0)</f>
        <v>0</v>
      </c>
      <c r="N829" s="19" t="n">
        <f aca="false" t="array" ref="N829:N829">IF(AND(INDEX(Profils!$H$5:$H$34,$AE829)&gt;0,INDEX(Profils!$W$5:$W$34,$AE829)&lt;=$AH829),ROUND(INDEX(Profils!$H$5:$H$34,$AE829)*Paramètres!$E$24*$AG829*$AJ829,Paramètres!$F$24),0)</f>
        <v>6</v>
      </c>
      <c r="O829" s="19" t="n">
        <f aca="false" t="array" ref="O829:O829">IF(AND(INDEX(Profils!$I$5:$I$34,$AE829)&gt;0,INDEX(Profils!$X$5:$X$34,$AE829)&lt;=$AH829),ROUND(INDEX(Profils!$I$5:$I$34,$AE829)*Paramètres!$E$25*$AG829*$AJ829,Paramètres!$F$25),0)</f>
        <v>0</v>
      </c>
      <c r="P829" s="19" t="n">
        <f aca="false" t="array" ref="P829:P829">IF(AND(INDEX(Profils!$J$5:$J$34,$AE829)&gt;0,INDEX(Profils!$Y$5:$Y$34,$AE829)&lt;=$AH829),ROUND(INDEX(Profils!$J$5:$J$34,$AE829)*Paramètres!$E$26*$AG829*$AJ829,Paramètres!$F$26),0)</f>
        <v>7</v>
      </c>
      <c r="Q829" s="19" t="n">
        <f aca="false" t="array" ref="Q829:Q829">IF(AND(INDEX(Profils!$K$5:$K$34,$AE829)&gt;0,INDEX(Profils!$Z$5:$Z$34,$AE829)&lt;=$AH829),ROUND(INDEX(Profils!$K$5:$K$34,$AE829)*Paramètres!$E$27*$AG829*$AJ829,Paramètres!$F$27),0)</f>
        <v>5</v>
      </c>
      <c r="R829" s="20" t="n">
        <f aca="false" t="array" ref="R829:R829">IF(AND(INDEX(Profils!$L$5:$L$34,$AE829)&gt;0,INDEX(Profils!$AA$5:$AA$34,$AE829)&lt;=$AH829),ROUND(INDEX(Profils!$L$5:$L$34,$AE829)*Paramètres!$E$28*$AG829*$AJ829,Paramètres!$F$28),0)</f>
        <v>0.005</v>
      </c>
      <c r="S829" s="20" t="n">
        <f aca="false" t="array" ref="S829:S829">IF(AND(INDEX(Profils!$M$5:$M$34,$AE829)&gt;0,INDEX(Profils!$AB$5:$AB$34,$AE829)&lt;=$AH829),ROUND(INDEX(Profils!$M$5:$M$34,$AE829)*Paramètres!$E$29*$AG829*$AJ829,Paramètres!$F$29),0)</f>
        <v>0</v>
      </c>
      <c r="T829" s="20" t="n">
        <f aca="false" t="array" ref="T829:T829">IF(AND(INDEX(Profils!$N$5:$N$34,$AE829)&gt;0,INDEX(Profils!$AC$5:$AC$34,$AE829)&lt;=$AH829),ROUND(INDEX(Profils!$N$5:$N$34,$AE829)*Paramètres!$E$30*$AG829*$AJ829,Paramètres!$F$30),0)</f>
        <v>0</v>
      </c>
      <c r="U829" s="19" t="n">
        <f aca="false" t="array" ref="U829:U829">IF(AND(INDEX(Profils!$O$5:$O$34,$AE829)&gt;0,INDEX(Profils!$AD$5:$AD$34,$AE829)&lt;=$AH829),ROUND(INDEX(Profils!$O$5:$O$34,$AE829)*Paramètres!$E$31*$AG829*$AJ829,Paramètres!$F$31),0)</f>
        <v>0</v>
      </c>
      <c r="V829" s="20" t="n">
        <f aca="false" t="array" ref="V829:V829">IF(AND(INDEX(Profils!$P$5:$P$34,$AE829)&gt;0,INDEX(Profils!$AE$5:$AE$34,$AE829)&lt;=$AH829),ROUND(INDEX(Profils!$P$5:$P$34,$AE829)*Paramètres!$E$32*$AG829*$AJ829,Paramètres!$F$32),0)</f>
        <v>0</v>
      </c>
      <c r="W829" s="20" t="n">
        <f aca="false" t="array" ref="W829:W829">IF(AND(INDEX(Profils!$Q$5:$Q$34,$AE829)&gt;0,INDEX(Profils!$AF$5:$AF$34,$AE829)&lt;=$AH829),ROUND(INDEX(Profils!$Q$5:$Q$34,$AE829)*Paramètres!$E$33*$AG829*$AJ829,Paramètres!$F$33),0)</f>
        <v>0.008</v>
      </c>
      <c r="X829" s="20" t="n">
        <f aca="false" t="array" ref="X829:X829">IF(AND(INDEX(Profils!$R$5:$R$34,$AE829)&gt;0,INDEX(Profils!$AG$5:$AG$34,$AE829)&lt;=$AH829),ROUND(INDEX(Profils!$R$5:$R$34,$AE829)*Paramètres!$E$34*$AG829*$AJ829,Paramètres!$F$34),0)</f>
        <v>0</v>
      </c>
      <c r="Y829" s="20" t="n">
        <f aca="false" t="array" ref="Y829:Y829">IF(AND(INDEX(Profils!$S$5:$S$34,$AE829)&gt;0,INDEX(Profils!$AH$5:$AH$34,$AE829)&lt;=$AH829),ROUND(INDEX(Profils!$S$5:$S$34,$AE829)*Paramètres!$E$35*$AG829*$AJ829,Paramètres!$F$35),0)</f>
        <v>0.008</v>
      </c>
      <c r="Z829" s="21" t="n">
        <f aca="false">ROUND(L829/Paramètres!$E$22+M829/Paramètres!$E$23+N829/Paramètres!$E$24+O829/Paramètres!$E$25+P829/Paramètres!$E$26+Q829/Paramètres!$E$27+R829/Paramètres!$E$28+S829/Paramètres!$E$29+T829/Paramètres!$E$30+U829/Paramètres!$E$31+V829/Paramètres!$E$32+W829/Paramètres!$E$33+X829/Paramètres!$E$34+Y829/Paramètres!$E$35,1)</f>
        <v>3.5</v>
      </c>
      <c r="AA829" s="22" t="s">
        <v>109</v>
      </c>
      <c r="AB829" s="22" t="s">
        <v>109</v>
      </c>
      <c r="AC829" s="15" t="str">
        <f aca="false">$E829</f>
        <v>or</v>
      </c>
      <c r="AD829" s="16" t="n">
        <f aca="false" t="array" ref="AD829:AD829">IF($I829&gt;=$AI829,"Max",ROUND(Paramètres!$B$40*($I829+1)^Paramètres!$B$41*INDEX(Paramètres!$H$6:$H$12,$AF829),0))</f>
        <v>8</v>
      </c>
      <c r="AE829" s="23" t="n">
        <f aca="false">MATCH($B829&amp;"|"&amp;$C829,Profils!$A$5:$A$34,0)</f>
        <v>27</v>
      </c>
      <c r="AF829" s="23" t="n">
        <v>6</v>
      </c>
      <c r="AG829" s="24" t="n">
        <f aca="false" t="array" ref="AG829:AG829">INDEX(Paramètres!$C$6:$C$12,$AF829)</f>
        <v>2.4</v>
      </c>
      <c r="AH829" s="23" t="n">
        <f aca="false" t="array" ref="AH829:AH829">INDEX(Paramètres!$D$6:$D$12,$AF829)</f>
        <v>7</v>
      </c>
      <c r="AI829" s="23" t="n">
        <f aca="false" t="array" ref="AI829:AI829">INDEX(Matériaux!$C$16:$C$20,$D829)</f>
        <v>25</v>
      </c>
      <c r="AJ829" s="25" t="n">
        <f aca="false">Paramètres!$B$16+(1-Paramètres!$B$16)*(($J829-Paramètres!$B$14)/(Paramètres!$B$15-Paramètres!$B$14))^Paramètres!$B$17</f>
        <v>0.26769024555533</v>
      </c>
    </row>
    <row r="830" customFormat="false" ht="15.75" hidden="false" customHeight="true" outlineLevel="0" collapsed="false">
      <c r="A830" s="14" t="s">
        <v>946</v>
      </c>
      <c r="B830" s="15" t="s">
        <v>31</v>
      </c>
      <c r="C830" s="15" t="s">
        <v>305</v>
      </c>
      <c r="D830" s="16" t="n">
        <v>4</v>
      </c>
      <c r="E830" s="15" t="str">
        <f aca="false" t="array" ref="E830:E830">INDEX(Matériaux!$B$5:$F$12,MATCH(INDEX(Profils!$E$5:$E$34,$AE830),Matériaux!$A$5:$A$12,0),$D830)</f>
        <v>platine</v>
      </c>
      <c r="F830" s="17" t="s">
        <v>108</v>
      </c>
      <c r="G830" s="10" t="str">
        <f aca="false" t="array" ref="G830:G830">INDEX(Profils!$D$5:$D$34,$AE830)&amp;" en "&amp;$E830</f>
        <v>Bague en platine</v>
      </c>
      <c r="H830" s="16" t="n">
        <f aca="false" t="array" ref="H830:H830">INDEX(Matériaux!$B$16:$B$20,$D830)</f>
        <v>50</v>
      </c>
      <c r="I830" s="16" t="n">
        <f aca="false">IF(ISNUMBER($C$3),MIN(MAX(0,ROUND($C$3,0)),$AI830),$AI830)</f>
        <v>0</v>
      </c>
      <c r="J830" s="18" t="n">
        <f aca="false">$H830+$I830</f>
        <v>50</v>
      </c>
      <c r="K830" s="15" t="s">
        <v>109</v>
      </c>
      <c r="L830" s="19" t="n">
        <f aca="false" t="array" ref="L830:L830">IF(AND(INDEX(Profils!$F$5:$F$34,$AE830)&gt;0,INDEX(Profils!$U$5:$U$34,$AE830)&lt;=$AH830),ROUND(INDEX(Profils!$F$5:$F$34,$AE830)*Paramètres!$E$22*$AG830*$AJ830,Paramètres!$F$22),0)</f>
        <v>11</v>
      </c>
      <c r="M830" s="19" t="n">
        <f aca="false" t="array" ref="M830:M830">IF(AND(INDEX(Profils!$G$5:$G$34,$AE830)&gt;0,INDEX(Profils!$V$5:$V$34,$AE830)&lt;=$AH830),ROUND(INDEX(Profils!$G$5:$G$34,$AE830)*Paramètres!$E$23*$AG830*$AJ830,Paramètres!$F$23),0)</f>
        <v>0</v>
      </c>
      <c r="N830" s="19" t="n">
        <f aca="false" t="array" ref="N830:N830">IF(AND(INDEX(Profils!$H$5:$H$34,$AE830)&gt;0,INDEX(Profils!$W$5:$W$34,$AE830)&lt;=$AH830),ROUND(INDEX(Profils!$H$5:$H$34,$AE830)*Paramètres!$E$24*$AG830*$AJ830,Paramètres!$F$24),0)</f>
        <v>0</v>
      </c>
      <c r="O830" s="19" t="n">
        <f aca="false" t="array" ref="O830:O830">IF(AND(INDEX(Profils!$I$5:$I$34,$AE830)&gt;0,INDEX(Profils!$X$5:$X$34,$AE830)&lt;=$AH830),ROUND(INDEX(Profils!$I$5:$I$34,$AE830)*Paramètres!$E$25*$AG830*$AJ830,Paramètres!$F$25),0)</f>
        <v>0</v>
      </c>
      <c r="P830" s="19" t="n">
        <f aca="false" t="array" ref="P830:P830">IF(AND(INDEX(Profils!$J$5:$J$34,$AE830)&gt;0,INDEX(Profils!$Y$5:$Y$34,$AE830)&lt;=$AH830),ROUND(INDEX(Profils!$J$5:$J$34,$AE830)*Paramètres!$E$26*$AG830*$AJ830,Paramètres!$F$26),0)</f>
        <v>5</v>
      </c>
      <c r="Q830" s="19" t="n">
        <f aca="false" t="array" ref="Q830:Q830">IF(AND(INDEX(Profils!$K$5:$K$34,$AE830)&gt;0,INDEX(Profils!$Z$5:$Z$34,$AE830)&lt;=$AH830),ROUND(INDEX(Profils!$K$5:$K$34,$AE830)*Paramètres!$E$27*$AG830*$AJ830,Paramètres!$F$27),0)</f>
        <v>0</v>
      </c>
      <c r="R830" s="20" t="n">
        <f aca="false" t="array" ref="R830:R830">IF(AND(INDEX(Profils!$L$5:$L$34,$AE830)&gt;0,INDEX(Profils!$AA$5:$AA$34,$AE830)&lt;=$AH830),ROUND(INDEX(Profils!$L$5:$L$34,$AE830)*Paramètres!$E$28*$AG830*$AJ830,Paramètres!$F$28),0)</f>
        <v>0</v>
      </c>
      <c r="S830" s="20" t="n">
        <f aca="false" t="array" ref="S830:S830">IF(AND(INDEX(Profils!$M$5:$M$34,$AE830)&gt;0,INDEX(Profils!$AB$5:$AB$34,$AE830)&lt;=$AH830),ROUND(INDEX(Profils!$M$5:$M$34,$AE830)*Paramètres!$E$29*$AG830*$AJ830,Paramètres!$F$29),0)</f>
        <v>0</v>
      </c>
      <c r="T830" s="20" t="n">
        <f aca="false" t="array" ref="T830:T830">IF(AND(INDEX(Profils!$N$5:$N$34,$AE830)&gt;0,INDEX(Profils!$AC$5:$AC$34,$AE830)&lt;=$AH830),ROUND(INDEX(Profils!$N$5:$N$34,$AE830)*Paramètres!$E$30*$AG830*$AJ830,Paramètres!$F$30),0)</f>
        <v>0</v>
      </c>
      <c r="U830" s="19" t="n">
        <f aca="false" t="array" ref="U830:U830">IF(AND(INDEX(Profils!$O$5:$O$34,$AE830)&gt;0,INDEX(Profils!$AD$5:$AD$34,$AE830)&lt;=$AH830),ROUND(INDEX(Profils!$O$5:$O$34,$AE830)*Paramètres!$E$31*$AG830*$AJ830,Paramètres!$F$31),0)</f>
        <v>0</v>
      </c>
      <c r="V830" s="20" t="n">
        <f aca="false" t="array" ref="V830:V830">IF(AND(INDEX(Profils!$P$5:$P$34,$AE830)&gt;0,INDEX(Profils!$AE$5:$AE$34,$AE830)&lt;=$AH830),ROUND(INDEX(Profils!$P$5:$P$34,$AE830)*Paramètres!$E$32*$AG830*$AJ830,Paramètres!$F$32),0)</f>
        <v>0</v>
      </c>
      <c r="W830" s="20" t="n">
        <f aca="false" t="array" ref="W830:W830">IF(AND(INDEX(Profils!$Q$5:$Q$34,$AE830)&gt;0,INDEX(Profils!$AF$5:$AF$34,$AE830)&lt;=$AH830),ROUND(INDEX(Profils!$Q$5:$Q$34,$AE830)*Paramètres!$E$33*$AG830*$AJ830,Paramètres!$F$33),0)</f>
        <v>0</v>
      </c>
      <c r="X830" s="20" t="n">
        <f aca="false" t="array" ref="X830:X830">IF(AND(INDEX(Profils!$R$5:$R$34,$AE830)&gt;0,INDEX(Profils!$AG$5:$AG$34,$AE830)&lt;=$AH830),ROUND(INDEX(Profils!$R$5:$R$34,$AE830)*Paramètres!$E$34*$AG830*$AJ830,Paramètres!$F$34),0)</f>
        <v>0</v>
      </c>
      <c r="Y830" s="20" t="n">
        <f aca="false" t="array" ref="Y830:Y830">IF(AND(INDEX(Profils!$S$5:$S$34,$AE830)&gt;0,INDEX(Profils!$AH$5:$AH$34,$AE830)&lt;=$AH830),ROUND(INDEX(Profils!$S$5:$S$34,$AE830)*Paramètres!$E$35*$AG830*$AJ830,Paramètres!$F$35),0)</f>
        <v>0</v>
      </c>
      <c r="Z830" s="21" t="n">
        <f aca="false">ROUND(L830/Paramètres!$E$22+M830/Paramètres!$E$23+N830/Paramètres!$E$24+O830/Paramètres!$E$25+P830/Paramètres!$E$26+Q830/Paramètres!$E$27+R830/Paramètres!$E$28+S830/Paramètres!$E$29+T830/Paramètres!$E$30+U830/Paramètres!$E$31+V830/Paramètres!$E$32+W830/Paramètres!$E$33+X830/Paramètres!$E$34+Y830/Paramètres!$E$35,1)</f>
        <v>0.9</v>
      </c>
      <c r="AA830" s="22" t="s">
        <v>109</v>
      </c>
      <c r="AB830" s="22" t="s">
        <v>109</v>
      </c>
      <c r="AC830" s="15" t="str">
        <f aca="false">$E830</f>
        <v>platine</v>
      </c>
      <c r="AD830" s="16" t="n">
        <f aca="false" t="array" ref="AD830:AD830">IF($I830&gt;=$AI830,"Max",ROUND(Paramètres!$B$40*($I830+1)^Paramètres!$B$41*INDEX(Paramètres!$H$6:$H$12,$AF830),0))</f>
        <v>3</v>
      </c>
      <c r="AE830" s="23" t="n">
        <f aca="false">MATCH($B830&amp;"|"&amp;$C830,Profils!$A$5:$A$34,0)</f>
        <v>27</v>
      </c>
      <c r="AF830" s="23" t="n">
        <v>1</v>
      </c>
      <c r="AG830" s="24" t="n">
        <f aca="false" t="array" ref="AG830:AG830">INDEX(Paramètres!$C$6:$C$12,$AF830)</f>
        <v>1</v>
      </c>
      <c r="AH830" s="23" t="n">
        <f aca="false" t="array" ref="AH830:AH830">INDEX(Paramètres!$D$6:$D$12,$AF830)</f>
        <v>2</v>
      </c>
      <c r="AI830" s="23" t="n">
        <f aca="false" t="array" ref="AI830:AI830">INDEX(Matériaux!$C$16:$C$20,$D830)</f>
        <v>25</v>
      </c>
      <c r="AJ830" s="25" t="n">
        <f aca="false">Paramètres!$B$16+(1-Paramètres!$B$16)*(($J830-Paramètres!$B$14)/(Paramètres!$B$15-Paramètres!$B$14))^Paramètres!$B$17</f>
        <v>0.458504333336152</v>
      </c>
    </row>
    <row r="831" customFormat="false" ht="15.75" hidden="false" customHeight="true" outlineLevel="0" collapsed="false">
      <c r="A831" s="14" t="s">
        <v>947</v>
      </c>
      <c r="B831" s="15" t="s">
        <v>31</v>
      </c>
      <c r="C831" s="15" t="s">
        <v>305</v>
      </c>
      <c r="D831" s="16" t="n">
        <v>4</v>
      </c>
      <c r="E831" s="15" t="str">
        <f aca="false" t="array" ref="E831:E831">INDEX(Matériaux!$B$5:$F$12,MATCH(INDEX(Profils!$E$5:$E$34,$AE831),Matériaux!$A$5:$A$12,0),$D831)</f>
        <v>platine</v>
      </c>
      <c r="F831" s="26" t="s">
        <v>111</v>
      </c>
      <c r="G831" s="10" t="str">
        <f aca="false" t="array" ref="G831:G831">INDEX(Profils!$D$5:$D$34,$AE831)&amp;" en "&amp;$E831</f>
        <v>Bague en platine</v>
      </c>
      <c r="H831" s="16" t="n">
        <f aca="false" t="array" ref="H831:H831">INDEX(Matériaux!$B$16:$B$20,$D831)</f>
        <v>50</v>
      </c>
      <c r="I831" s="16" t="n">
        <f aca="false">IF(ISNUMBER($C$3),MIN(MAX(0,ROUND($C$3,0)),$AI831),$AI831)</f>
        <v>0</v>
      </c>
      <c r="J831" s="18" t="n">
        <f aca="false">$H831+$I831</f>
        <v>50</v>
      </c>
      <c r="K831" s="15" t="s">
        <v>109</v>
      </c>
      <c r="L831" s="19" t="n">
        <f aca="false" t="array" ref="L831:L831">IF(AND(INDEX(Profils!$F$5:$F$34,$AE831)&gt;0,INDEX(Profils!$U$5:$U$34,$AE831)&lt;=$AH831),ROUND(INDEX(Profils!$F$5:$F$34,$AE831)*Paramètres!$E$22*$AG831*$AJ831,Paramètres!$F$22),0)</f>
        <v>14</v>
      </c>
      <c r="M831" s="19" t="n">
        <f aca="false" t="array" ref="M831:M831">IF(AND(INDEX(Profils!$G$5:$G$34,$AE831)&gt;0,INDEX(Profils!$V$5:$V$34,$AE831)&lt;=$AH831),ROUND(INDEX(Profils!$G$5:$G$34,$AE831)*Paramètres!$E$23*$AG831*$AJ831,Paramètres!$F$23),0)</f>
        <v>0</v>
      </c>
      <c r="N831" s="19" t="n">
        <f aca="false" t="array" ref="N831:N831">IF(AND(INDEX(Profils!$H$5:$H$34,$AE831)&gt;0,INDEX(Profils!$W$5:$W$34,$AE831)&lt;=$AH831),ROUND(INDEX(Profils!$H$5:$H$34,$AE831)*Paramètres!$E$24*$AG831*$AJ831,Paramètres!$F$24),0)</f>
        <v>0</v>
      </c>
      <c r="O831" s="19" t="n">
        <f aca="false" t="array" ref="O831:O831">IF(AND(INDEX(Profils!$I$5:$I$34,$AE831)&gt;0,INDEX(Profils!$X$5:$X$34,$AE831)&lt;=$AH831),ROUND(INDEX(Profils!$I$5:$I$34,$AE831)*Paramètres!$E$25*$AG831*$AJ831,Paramètres!$F$25),0)</f>
        <v>0</v>
      </c>
      <c r="P831" s="19" t="n">
        <f aca="false" t="array" ref="P831:P831">IF(AND(INDEX(Profils!$J$5:$J$34,$AE831)&gt;0,INDEX(Profils!$Y$5:$Y$34,$AE831)&lt;=$AH831),ROUND(INDEX(Profils!$J$5:$J$34,$AE831)*Paramètres!$E$26*$AG831*$AJ831,Paramètres!$F$26),0)</f>
        <v>6</v>
      </c>
      <c r="Q831" s="19" t="n">
        <f aca="false" t="array" ref="Q831:Q831">IF(AND(INDEX(Profils!$K$5:$K$34,$AE831)&gt;0,INDEX(Profils!$Z$5:$Z$34,$AE831)&lt;=$AH831),ROUND(INDEX(Profils!$K$5:$K$34,$AE831)*Paramètres!$E$27*$AG831*$AJ831,Paramètres!$F$27),0)</f>
        <v>4</v>
      </c>
      <c r="R831" s="20" t="n">
        <f aca="false" t="array" ref="R831:R831">IF(AND(INDEX(Profils!$L$5:$L$34,$AE831)&gt;0,INDEX(Profils!$AA$5:$AA$34,$AE831)&lt;=$AH831),ROUND(INDEX(Profils!$L$5:$L$34,$AE831)*Paramètres!$E$28*$AG831*$AJ831,Paramètres!$F$28),0)</f>
        <v>0</v>
      </c>
      <c r="S831" s="20" t="n">
        <f aca="false" t="array" ref="S831:S831">IF(AND(INDEX(Profils!$M$5:$M$34,$AE831)&gt;0,INDEX(Profils!$AB$5:$AB$34,$AE831)&lt;=$AH831),ROUND(INDEX(Profils!$M$5:$M$34,$AE831)*Paramètres!$E$29*$AG831*$AJ831,Paramètres!$F$29),0)</f>
        <v>0</v>
      </c>
      <c r="T831" s="20" t="n">
        <f aca="false" t="array" ref="T831:T831">IF(AND(INDEX(Profils!$N$5:$N$34,$AE831)&gt;0,INDEX(Profils!$AC$5:$AC$34,$AE831)&lt;=$AH831),ROUND(INDEX(Profils!$N$5:$N$34,$AE831)*Paramètres!$E$30*$AG831*$AJ831,Paramètres!$F$30),0)</f>
        <v>0</v>
      </c>
      <c r="U831" s="19" t="n">
        <f aca="false" t="array" ref="U831:U831">IF(AND(INDEX(Profils!$O$5:$O$34,$AE831)&gt;0,INDEX(Profils!$AD$5:$AD$34,$AE831)&lt;=$AH831),ROUND(INDEX(Profils!$O$5:$O$34,$AE831)*Paramètres!$E$31*$AG831*$AJ831,Paramètres!$F$31),0)</f>
        <v>0</v>
      </c>
      <c r="V831" s="20" t="n">
        <f aca="false" t="array" ref="V831:V831">IF(AND(INDEX(Profils!$P$5:$P$34,$AE831)&gt;0,INDEX(Profils!$AE$5:$AE$34,$AE831)&lt;=$AH831),ROUND(INDEX(Profils!$P$5:$P$34,$AE831)*Paramètres!$E$32*$AG831*$AJ831,Paramètres!$F$32),0)</f>
        <v>0</v>
      </c>
      <c r="W831" s="20" t="n">
        <f aca="false" t="array" ref="W831:W831">IF(AND(INDEX(Profils!$Q$5:$Q$34,$AE831)&gt;0,INDEX(Profils!$AF$5:$AF$34,$AE831)&lt;=$AH831),ROUND(INDEX(Profils!$Q$5:$Q$34,$AE831)*Paramètres!$E$33*$AG831*$AJ831,Paramètres!$F$33),0)</f>
        <v>0</v>
      </c>
      <c r="X831" s="20" t="n">
        <f aca="false" t="array" ref="X831:X831">IF(AND(INDEX(Profils!$R$5:$R$34,$AE831)&gt;0,INDEX(Profils!$AG$5:$AG$34,$AE831)&lt;=$AH831),ROUND(INDEX(Profils!$R$5:$R$34,$AE831)*Paramètres!$E$34*$AG831*$AJ831,Paramètres!$F$34),0)</f>
        <v>0</v>
      </c>
      <c r="Y831" s="20" t="n">
        <f aca="false" t="array" ref="Y831:Y831">IF(AND(INDEX(Profils!$S$5:$S$34,$AE831)&gt;0,INDEX(Profils!$AH$5:$AH$34,$AE831)&lt;=$AH831),ROUND(INDEX(Profils!$S$5:$S$34,$AE831)*Paramètres!$E$35*$AG831*$AJ831,Paramètres!$F$35),0)</f>
        <v>0</v>
      </c>
      <c r="Z831" s="21" t="n">
        <f aca="false">ROUND(L831/Paramètres!$E$22+M831/Paramètres!$E$23+N831/Paramètres!$E$24+O831/Paramètres!$E$25+P831/Paramètres!$E$26+Q831/Paramètres!$E$27+R831/Paramètres!$E$28+S831/Paramètres!$E$29+T831/Paramètres!$E$30+U831/Paramètres!$E$31+V831/Paramètres!$E$32+W831/Paramètres!$E$33+X831/Paramètres!$E$34+Y831/Paramètres!$E$35,1)</f>
        <v>1.5</v>
      </c>
      <c r="AA831" s="22" t="s">
        <v>109</v>
      </c>
      <c r="AB831" s="22" t="s">
        <v>109</v>
      </c>
      <c r="AC831" s="15" t="str">
        <f aca="false">$E831</f>
        <v>platine</v>
      </c>
      <c r="AD831" s="16" t="n">
        <f aca="false" t="array" ref="AD831:AD831">IF($I831&gt;=$AI831,"Max",ROUND(Paramètres!$B$40*($I831+1)^Paramètres!$B$41*INDEX(Paramètres!$H$6:$H$12,$AF831),0))</f>
        <v>4</v>
      </c>
      <c r="AE831" s="23" t="n">
        <f aca="false">MATCH($B831&amp;"|"&amp;$C831,Profils!$A$5:$A$34,0)</f>
        <v>27</v>
      </c>
      <c r="AF831" s="23" t="n">
        <v>2</v>
      </c>
      <c r="AG831" s="24" t="n">
        <f aca="false" t="array" ref="AG831:AG831">INDEX(Paramètres!$C$6:$C$12,$AF831)</f>
        <v>1.2</v>
      </c>
      <c r="AH831" s="23" t="n">
        <f aca="false" t="array" ref="AH831:AH831">INDEX(Paramètres!$D$6:$D$12,$AF831)</f>
        <v>3</v>
      </c>
      <c r="AI831" s="23" t="n">
        <f aca="false" t="array" ref="AI831:AI831">INDEX(Matériaux!$C$16:$C$20,$D831)</f>
        <v>25</v>
      </c>
      <c r="AJ831" s="25" t="n">
        <f aca="false">Paramètres!$B$16+(1-Paramètres!$B$16)*(($J831-Paramètres!$B$14)/(Paramètres!$B$15-Paramètres!$B$14))^Paramètres!$B$17</f>
        <v>0.458504333336152</v>
      </c>
    </row>
    <row r="832" customFormat="false" ht="15.75" hidden="false" customHeight="true" outlineLevel="0" collapsed="false">
      <c r="A832" s="14" t="s">
        <v>948</v>
      </c>
      <c r="B832" s="15" t="s">
        <v>31</v>
      </c>
      <c r="C832" s="15" t="s">
        <v>305</v>
      </c>
      <c r="D832" s="16" t="n">
        <v>4</v>
      </c>
      <c r="E832" s="15" t="str">
        <f aca="false" t="array" ref="E832:E832">INDEX(Matériaux!$B$5:$F$12,MATCH(INDEX(Profils!$E$5:$E$34,$AE832),Matériaux!$A$5:$A$12,0),$D832)</f>
        <v>platine</v>
      </c>
      <c r="F832" s="27" t="s">
        <v>113</v>
      </c>
      <c r="G832" s="10" t="str">
        <f aca="false" t="array" ref="G832:G832">INDEX(Profils!$D$5:$D$34,$AE832)&amp;" en "&amp;$E832</f>
        <v>Bague en platine</v>
      </c>
      <c r="H832" s="16" t="n">
        <f aca="false" t="array" ref="H832:H832">INDEX(Matériaux!$B$16:$B$20,$D832)</f>
        <v>50</v>
      </c>
      <c r="I832" s="16" t="n">
        <f aca="false">IF(ISNUMBER($C$3),MIN(MAX(0,ROUND($C$3,0)),$AI832),$AI832)</f>
        <v>0</v>
      </c>
      <c r="J832" s="18" t="n">
        <f aca="false">$H832+$I832</f>
        <v>50</v>
      </c>
      <c r="K832" s="15" t="s">
        <v>109</v>
      </c>
      <c r="L832" s="19" t="n">
        <f aca="false" t="array" ref="L832:L832">IF(AND(INDEX(Profils!$F$5:$F$34,$AE832)&gt;0,INDEX(Profils!$U$5:$U$34,$AE832)&lt;=$AH832),ROUND(INDEX(Profils!$F$5:$F$34,$AE832)*Paramètres!$E$22*$AG832*$AJ832,Paramètres!$F$22),0)</f>
        <v>17</v>
      </c>
      <c r="M832" s="19" t="n">
        <f aca="false" t="array" ref="M832:M832">IF(AND(INDEX(Profils!$G$5:$G$34,$AE832)&gt;0,INDEX(Profils!$V$5:$V$34,$AE832)&lt;=$AH832),ROUND(INDEX(Profils!$G$5:$G$34,$AE832)*Paramètres!$E$23*$AG832*$AJ832,Paramètres!$F$23),0)</f>
        <v>0</v>
      </c>
      <c r="N832" s="19" t="n">
        <f aca="false" t="array" ref="N832:N832">IF(AND(INDEX(Profils!$H$5:$H$34,$AE832)&gt;0,INDEX(Profils!$W$5:$W$34,$AE832)&lt;=$AH832),ROUND(INDEX(Profils!$H$5:$H$34,$AE832)*Paramètres!$E$24*$AG832*$AJ832,Paramètres!$F$24),0)</f>
        <v>0</v>
      </c>
      <c r="O832" s="19" t="n">
        <f aca="false" t="array" ref="O832:O832">IF(AND(INDEX(Profils!$I$5:$I$34,$AE832)&gt;0,INDEX(Profils!$X$5:$X$34,$AE832)&lt;=$AH832),ROUND(INDEX(Profils!$I$5:$I$34,$AE832)*Paramètres!$E$25*$AG832*$AJ832,Paramètres!$F$25),0)</f>
        <v>0</v>
      </c>
      <c r="P832" s="19" t="n">
        <f aca="false" t="array" ref="P832:P832">IF(AND(INDEX(Profils!$J$5:$J$34,$AE832)&gt;0,INDEX(Profils!$Y$5:$Y$34,$AE832)&lt;=$AH832),ROUND(INDEX(Profils!$J$5:$J$34,$AE832)*Paramètres!$E$26*$AG832*$AJ832,Paramètres!$F$26),0)</f>
        <v>7</v>
      </c>
      <c r="Q832" s="19" t="n">
        <f aca="false" t="array" ref="Q832:Q832">IF(AND(INDEX(Profils!$K$5:$K$34,$AE832)&gt;0,INDEX(Profils!$Z$5:$Z$34,$AE832)&lt;=$AH832),ROUND(INDEX(Profils!$K$5:$K$34,$AE832)*Paramètres!$E$27*$AG832*$AJ832,Paramètres!$F$27),0)</f>
        <v>5</v>
      </c>
      <c r="R832" s="20" t="n">
        <f aca="false" t="array" ref="R832:R832">IF(AND(INDEX(Profils!$L$5:$L$34,$AE832)&gt;0,INDEX(Profils!$AA$5:$AA$34,$AE832)&lt;=$AH832),ROUND(INDEX(Profils!$L$5:$L$34,$AE832)*Paramètres!$E$28*$AG832*$AJ832,Paramètres!$F$28),0)</f>
        <v>0</v>
      </c>
      <c r="S832" s="20" t="n">
        <f aca="false" t="array" ref="S832:S832">IF(AND(INDEX(Profils!$M$5:$M$34,$AE832)&gt;0,INDEX(Profils!$AB$5:$AB$34,$AE832)&lt;=$AH832),ROUND(INDEX(Profils!$M$5:$M$34,$AE832)*Paramètres!$E$29*$AG832*$AJ832,Paramètres!$F$29),0)</f>
        <v>0</v>
      </c>
      <c r="T832" s="20" t="n">
        <f aca="false" t="array" ref="T832:T832">IF(AND(INDEX(Profils!$N$5:$N$34,$AE832)&gt;0,INDEX(Profils!$AC$5:$AC$34,$AE832)&lt;=$AH832),ROUND(INDEX(Profils!$N$5:$N$34,$AE832)*Paramètres!$E$30*$AG832*$AJ832,Paramètres!$F$30),0)</f>
        <v>0</v>
      </c>
      <c r="U832" s="19" t="n">
        <f aca="false" t="array" ref="U832:U832">IF(AND(INDEX(Profils!$O$5:$O$34,$AE832)&gt;0,INDEX(Profils!$AD$5:$AD$34,$AE832)&lt;=$AH832),ROUND(INDEX(Profils!$O$5:$O$34,$AE832)*Paramètres!$E$31*$AG832*$AJ832,Paramètres!$F$31),0)</f>
        <v>0</v>
      </c>
      <c r="V832" s="20" t="n">
        <f aca="false" t="array" ref="V832:V832">IF(AND(INDEX(Profils!$P$5:$P$34,$AE832)&gt;0,INDEX(Profils!$AE$5:$AE$34,$AE832)&lt;=$AH832),ROUND(INDEX(Profils!$P$5:$P$34,$AE832)*Paramètres!$E$32*$AG832*$AJ832,Paramètres!$F$32),0)</f>
        <v>0</v>
      </c>
      <c r="W832" s="20" t="n">
        <f aca="false" t="array" ref="W832:W832">IF(AND(INDEX(Profils!$Q$5:$Q$34,$AE832)&gt;0,INDEX(Profils!$AF$5:$AF$34,$AE832)&lt;=$AH832),ROUND(INDEX(Profils!$Q$5:$Q$34,$AE832)*Paramètres!$E$33*$AG832*$AJ832,Paramètres!$F$33),0)</f>
        <v>0.008</v>
      </c>
      <c r="X832" s="20" t="n">
        <f aca="false" t="array" ref="X832:X832">IF(AND(INDEX(Profils!$R$5:$R$34,$AE832)&gt;0,INDEX(Profils!$AG$5:$AG$34,$AE832)&lt;=$AH832),ROUND(INDEX(Profils!$R$5:$R$34,$AE832)*Paramètres!$E$34*$AG832*$AJ832,Paramètres!$F$34),0)</f>
        <v>0</v>
      </c>
      <c r="Y832" s="20" t="n">
        <f aca="false" t="array" ref="Y832:Y832">IF(AND(INDEX(Profils!$S$5:$S$34,$AE832)&gt;0,INDEX(Profils!$AH$5:$AH$34,$AE832)&lt;=$AH832),ROUND(INDEX(Profils!$S$5:$S$34,$AE832)*Paramètres!$E$35*$AG832*$AJ832,Paramètres!$F$35),0)</f>
        <v>0</v>
      </c>
      <c r="Z832" s="21" t="n">
        <f aca="false">ROUND(L832/Paramètres!$E$22+M832/Paramètres!$E$23+N832/Paramètres!$E$24+O832/Paramètres!$E$25+P832/Paramètres!$E$26+Q832/Paramètres!$E$27+R832/Paramètres!$E$28+S832/Paramètres!$E$29+T832/Paramètres!$E$30+U832/Paramètres!$E$31+V832/Paramètres!$E$32+W832/Paramètres!$E$33+X832/Paramètres!$E$34+Y832/Paramètres!$E$35,1)</f>
        <v>2.3</v>
      </c>
      <c r="AA832" s="22" t="s">
        <v>109</v>
      </c>
      <c r="AB832" s="22" t="s">
        <v>109</v>
      </c>
      <c r="AC832" s="15" t="str">
        <f aca="false">$E832</f>
        <v>platine</v>
      </c>
      <c r="AD832" s="16" t="n">
        <f aca="false" t="array" ref="AD832:AD832">IF($I832&gt;=$AI832,"Max",ROUND(Paramètres!$B$40*($I832+1)^Paramètres!$B$41*INDEX(Paramètres!$H$6:$H$12,$AF832),0))</f>
        <v>4</v>
      </c>
      <c r="AE832" s="23" t="n">
        <f aca="false">MATCH($B832&amp;"|"&amp;$C832,Profils!$A$5:$A$34,0)</f>
        <v>27</v>
      </c>
      <c r="AF832" s="23" t="n">
        <v>3</v>
      </c>
      <c r="AG832" s="24" t="n">
        <f aca="false" t="array" ref="AG832:AG832">INDEX(Paramètres!$C$6:$C$12,$AF832)</f>
        <v>1.45</v>
      </c>
      <c r="AH832" s="23" t="n">
        <f aca="false" t="array" ref="AH832:AH832">INDEX(Paramètres!$D$6:$D$12,$AF832)</f>
        <v>4</v>
      </c>
      <c r="AI832" s="23" t="n">
        <f aca="false" t="array" ref="AI832:AI832">INDEX(Matériaux!$C$16:$C$20,$D832)</f>
        <v>25</v>
      </c>
      <c r="AJ832" s="25" t="n">
        <f aca="false">Paramètres!$B$16+(1-Paramètres!$B$16)*(($J832-Paramètres!$B$14)/(Paramètres!$B$15-Paramètres!$B$14))^Paramètres!$B$17</f>
        <v>0.458504333336152</v>
      </c>
    </row>
    <row r="833" customFormat="false" ht="15.75" hidden="false" customHeight="true" outlineLevel="0" collapsed="false">
      <c r="A833" s="14" t="s">
        <v>949</v>
      </c>
      <c r="B833" s="15" t="s">
        <v>31</v>
      </c>
      <c r="C833" s="15" t="s">
        <v>305</v>
      </c>
      <c r="D833" s="16" t="n">
        <v>4</v>
      </c>
      <c r="E833" s="15" t="str">
        <f aca="false" t="array" ref="E833:E833">INDEX(Matériaux!$B$5:$F$12,MATCH(INDEX(Profils!$E$5:$E$34,$AE833),Matériaux!$A$5:$A$12,0),$D833)</f>
        <v>platine</v>
      </c>
      <c r="F833" s="28" t="s">
        <v>115</v>
      </c>
      <c r="G833" s="10" t="str">
        <f aca="false" t="array" ref="G833:G833">INDEX(Profils!$D$5:$D$34,$AE833)&amp;" en "&amp;$E833</f>
        <v>Bague en platine</v>
      </c>
      <c r="H833" s="16" t="n">
        <f aca="false" t="array" ref="H833:H833">INDEX(Matériaux!$B$16:$B$20,$D833)</f>
        <v>50</v>
      </c>
      <c r="I833" s="16" t="n">
        <f aca="false">IF(ISNUMBER($C$3),MIN(MAX(0,ROUND($C$3,0)),$AI833),$AI833)</f>
        <v>0</v>
      </c>
      <c r="J833" s="18" t="n">
        <f aca="false">$H833+$I833</f>
        <v>50</v>
      </c>
      <c r="K833" s="15" t="s">
        <v>109</v>
      </c>
      <c r="L833" s="19" t="n">
        <f aca="false" t="array" ref="L833:L833">IF(AND(INDEX(Profils!$F$5:$F$34,$AE833)&gt;0,INDEX(Profils!$U$5:$U$34,$AE833)&lt;=$AH833),ROUND(INDEX(Profils!$F$5:$F$34,$AE833)*Paramètres!$E$22*$AG833*$AJ833,Paramètres!$F$22),0)</f>
        <v>20</v>
      </c>
      <c r="M833" s="19" t="n">
        <f aca="false" t="array" ref="M833:M833">IF(AND(INDEX(Profils!$G$5:$G$34,$AE833)&gt;0,INDEX(Profils!$V$5:$V$34,$AE833)&lt;=$AH833),ROUND(INDEX(Profils!$G$5:$G$34,$AE833)*Paramètres!$E$23*$AG833*$AJ833,Paramètres!$F$23),0)</f>
        <v>0</v>
      </c>
      <c r="N833" s="19" t="n">
        <f aca="false" t="array" ref="N833:N833">IF(AND(INDEX(Profils!$H$5:$H$34,$AE833)&gt;0,INDEX(Profils!$W$5:$W$34,$AE833)&lt;=$AH833),ROUND(INDEX(Profils!$H$5:$H$34,$AE833)*Paramètres!$E$24*$AG833*$AJ833,Paramètres!$F$24),0)</f>
        <v>0</v>
      </c>
      <c r="O833" s="19" t="n">
        <f aca="false" t="array" ref="O833:O833">IF(AND(INDEX(Profils!$I$5:$I$34,$AE833)&gt;0,INDEX(Profils!$X$5:$X$34,$AE833)&lt;=$AH833),ROUND(INDEX(Profils!$I$5:$I$34,$AE833)*Paramètres!$E$25*$AG833*$AJ833,Paramètres!$F$25),0)</f>
        <v>0</v>
      </c>
      <c r="P833" s="19" t="n">
        <f aca="false" t="array" ref="P833:P833">IF(AND(INDEX(Profils!$J$5:$J$34,$AE833)&gt;0,INDEX(Profils!$Y$5:$Y$34,$AE833)&lt;=$AH833),ROUND(INDEX(Profils!$J$5:$J$34,$AE833)*Paramètres!$E$26*$AG833*$AJ833,Paramètres!$F$26),0)</f>
        <v>9</v>
      </c>
      <c r="Q833" s="19" t="n">
        <f aca="false" t="array" ref="Q833:Q833">IF(AND(INDEX(Profils!$K$5:$K$34,$AE833)&gt;0,INDEX(Profils!$Z$5:$Z$34,$AE833)&lt;=$AH833),ROUND(INDEX(Profils!$K$5:$K$34,$AE833)*Paramètres!$E$27*$AG833*$AJ833,Paramètres!$F$27),0)</f>
        <v>6</v>
      </c>
      <c r="R833" s="20" t="n">
        <f aca="false" t="array" ref="R833:R833">IF(AND(INDEX(Profils!$L$5:$L$34,$AE833)&gt;0,INDEX(Profils!$AA$5:$AA$34,$AE833)&lt;=$AH833),ROUND(INDEX(Profils!$L$5:$L$34,$AE833)*Paramètres!$E$28*$AG833*$AJ833,Paramètres!$F$28),0)</f>
        <v>0</v>
      </c>
      <c r="S833" s="20" t="n">
        <f aca="false" t="array" ref="S833:S833">IF(AND(INDEX(Profils!$M$5:$M$34,$AE833)&gt;0,INDEX(Profils!$AB$5:$AB$34,$AE833)&lt;=$AH833),ROUND(INDEX(Profils!$M$5:$M$34,$AE833)*Paramètres!$E$29*$AG833*$AJ833,Paramètres!$F$29),0)</f>
        <v>0</v>
      </c>
      <c r="T833" s="20" t="n">
        <f aca="false" t="array" ref="T833:T833">IF(AND(INDEX(Profils!$N$5:$N$34,$AE833)&gt;0,INDEX(Profils!$AC$5:$AC$34,$AE833)&lt;=$AH833),ROUND(INDEX(Profils!$N$5:$N$34,$AE833)*Paramètres!$E$30*$AG833*$AJ833,Paramètres!$F$30),0)</f>
        <v>0</v>
      </c>
      <c r="U833" s="19" t="n">
        <f aca="false" t="array" ref="U833:U833">IF(AND(INDEX(Profils!$O$5:$O$34,$AE833)&gt;0,INDEX(Profils!$AD$5:$AD$34,$AE833)&lt;=$AH833),ROUND(INDEX(Profils!$O$5:$O$34,$AE833)*Paramètres!$E$31*$AG833*$AJ833,Paramètres!$F$31),0)</f>
        <v>0</v>
      </c>
      <c r="V833" s="20" t="n">
        <f aca="false" t="array" ref="V833:V833">IF(AND(INDEX(Profils!$P$5:$P$34,$AE833)&gt;0,INDEX(Profils!$AE$5:$AE$34,$AE833)&lt;=$AH833),ROUND(INDEX(Profils!$P$5:$P$34,$AE833)*Paramètres!$E$32*$AG833*$AJ833,Paramètres!$F$32),0)</f>
        <v>0</v>
      </c>
      <c r="W833" s="20" t="n">
        <f aca="false" t="array" ref="W833:W833">IF(AND(INDEX(Profils!$Q$5:$Q$34,$AE833)&gt;0,INDEX(Profils!$AF$5:$AF$34,$AE833)&lt;=$AH833),ROUND(INDEX(Profils!$Q$5:$Q$34,$AE833)*Paramètres!$E$33*$AG833*$AJ833,Paramètres!$F$33),0)</f>
        <v>0.01</v>
      </c>
      <c r="X833" s="20" t="n">
        <f aca="false" t="array" ref="X833:X833">IF(AND(INDEX(Profils!$R$5:$R$34,$AE833)&gt;0,INDEX(Profils!$AG$5:$AG$34,$AE833)&lt;=$AH833),ROUND(INDEX(Profils!$R$5:$R$34,$AE833)*Paramètres!$E$34*$AG833*$AJ833,Paramètres!$F$34),0)</f>
        <v>0</v>
      </c>
      <c r="Y833" s="20" t="n">
        <f aca="false" t="array" ref="Y833:Y833">IF(AND(INDEX(Profils!$S$5:$S$34,$AE833)&gt;0,INDEX(Profils!$AH$5:$AH$34,$AE833)&lt;=$AH833),ROUND(INDEX(Profils!$S$5:$S$34,$AE833)*Paramètres!$E$35*$AG833*$AJ833,Paramètres!$F$35),0)</f>
        <v>0.01</v>
      </c>
      <c r="Z833" s="21" t="n">
        <f aca="false">ROUND(L833/Paramètres!$E$22+M833/Paramètres!$E$23+N833/Paramètres!$E$24+O833/Paramètres!$E$25+P833/Paramètres!$E$26+Q833/Paramètres!$E$27+R833/Paramètres!$E$28+S833/Paramètres!$E$29+T833/Paramètres!$E$30+U833/Paramètres!$E$31+V833/Paramètres!$E$32+W833/Paramètres!$E$33+X833/Paramètres!$E$34+Y833/Paramètres!$E$35,1)</f>
        <v>3.5</v>
      </c>
      <c r="AA833" s="22" t="s">
        <v>109</v>
      </c>
      <c r="AB833" s="22" t="s">
        <v>109</v>
      </c>
      <c r="AC833" s="15" t="str">
        <f aca="false">$E833</f>
        <v>platine</v>
      </c>
      <c r="AD833" s="16" t="n">
        <f aca="false" t="array" ref="AD833:AD833">IF($I833&gt;=$AI833,"Max",ROUND(Paramètres!$B$40*($I833+1)^Paramètres!$B$41*INDEX(Paramètres!$H$6:$H$12,$AF833),0))</f>
        <v>5</v>
      </c>
      <c r="AE833" s="23" t="n">
        <f aca="false">MATCH($B833&amp;"|"&amp;$C833,Profils!$A$5:$A$34,0)</f>
        <v>27</v>
      </c>
      <c r="AF833" s="23" t="n">
        <v>4</v>
      </c>
      <c r="AG833" s="24" t="n">
        <f aca="false" t="array" ref="AG833:AG833">INDEX(Paramètres!$C$6:$C$12,$AF833)</f>
        <v>1.75</v>
      </c>
      <c r="AH833" s="23" t="n">
        <f aca="false" t="array" ref="AH833:AH833">INDEX(Paramètres!$D$6:$D$12,$AF833)</f>
        <v>5</v>
      </c>
      <c r="AI833" s="23" t="n">
        <f aca="false" t="array" ref="AI833:AI833">INDEX(Matériaux!$C$16:$C$20,$D833)</f>
        <v>25</v>
      </c>
      <c r="AJ833" s="25" t="n">
        <f aca="false">Paramètres!$B$16+(1-Paramètres!$B$16)*(($J833-Paramètres!$B$14)/(Paramètres!$B$15-Paramètres!$B$14))^Paramètres!$B$17</f>
        <v>0.458504333336152</v>
      </c>
    </row>
    <row r="834" customFormat="false" ht="15.75" hidden="false" customHeight="true" outlineLevel="0" collapsed="false">
      <c r="A834" s="14" t="s">
        <v>950</v>
      </c>
      <c r="B834" s="15" t="s">
        <v>31</v>
      </c>
      <c r="C834" s="15" t="s">
        <v>305</v>
      </c>
      <c r="D834" s="16" t="n">
        <v>4</v>
      </c>
      <c r="E834" s="15" t="str">
        <f aca="false" t="array" ref="E834:E834">INDEX(Matériaux!$B$5:$F$12,MATCH(INDEX(Profils!$E$5:$E$34,$AE834),Matériaux!$A$5:$A$12,0),$D834)</f>
        <v>platine</v>
      </c>
      <c r="F834" s="29" t="s">
        <v>117</v>
      </c>
      <c r="G834" s="10" t="str">
        <f aca="false" t="array" ref="G834:G834">INDEX(Profils!$D$5:$D$34,$AE834)&amp;" en "&amp;$E834</f>
        <v>Bague en platine</v>
      </c>
      <c r="H834" s="16" t="n">
        <f aca="false" t="array" ref="H834:H834">INDEX(Matériaux!$B$16:$B$20,$D834)</f>
        <v>50</v>
      </c>
      <c r="I834" s="16" t="n">
        <f aca="false">IF(ISNUMBER($C$3),MIN(MAX(0,ROUND($C$3,0)),$AI834),$AI834)</f>
        <v>0</v>
      </c>
      <c r="J834" s="18" t="n">
        <f aca="false">$H834+$I834</f>
        <v>50</v>
      </c>
      <c r="K834" s="15" t="s">
        <v>109</v>
      </c>
      <c r="L834" s="19" t="n">
        <f aca="false" t="array" ref="L834:L834">IF(AND(INDEX(Profils!$F$5:$F$34,$AE834)&gt;0,INDEX(Profils!$U$5:$U$34,$AE834)&lt;=$AH834),ROUND(INDEX(Profils!$F$5:$F$34,$AE834)*Paramètres!$E$22*$AG834*$AJ834,Paramètres!$F$22),0)</f>
        <v>24</v>
      </c>
      <c r="M834" s="19" t="n">
        <f aca="false" t="array" ref="M834:M834">IF(AND(INDEX(Profils!$G$5:$G$34,$AE834)&gt;0,INDEX(Profils!$V$5:$V$34,$AE834)&lt;=$AH834),ROUND(INDEX(Profils!$G$5:$G$34,$AE834)*Paramètres!$E$23*$AG834*$AJ834,Paramètres!$F$23),0)</f>
        <v>0</v>
      </c>
      <c r="N834" s="19" t="n">
        <f aca="false" t="array" ref="N834:N834">IF(AND(INDEX(Profils!$H$5:$H$34,$AE834)&gt;0,INDEX(Profils!$W$5:$W$34,$AE834)&lt;=$AH834),ROUND(INDEX(Profils!$H$5:$H$34,$AE834)*Paramètres!$E$24*$AG834*$AJ834,Paramètres!$F$24),0)</f>
        <v>9</v>
      </c>
      <c r="O834" s="19" t="n">
        <f aca="false" t="array" ref="O834:O834">IF(AND(INDEX(Profils!$I$5:$I$34,$AE834)&gt;0,INDEX(Profils!$X$5:$X$34,$AE834)&lt;=$AH834),ROUND(INDEX(Profils!$I$5:$I$34,$AE834)*Paramètres!$E$25*$AG834*$AJ834,Paramètres!$F$25),0)</f>
        <v>0</v>
      </c>
      <c r="P834" s="19" t="n">
        <f aca="false" t="array" ref="P834:P834">IF(AND(INDEX(Profils!$J$5:$J$34,$AE834)&gt;0,INDEX(Profils!$Y$5:$Y$34,$AE834)&lt;=$AH834),ROUND(INDEX(Profils!$J$5:$J$34,$AE834)*Paramètres!$E$26*$AG834*$AJ834,Paramètres!$F$26),0)</f>
        <v>10</v>
      </c>
      <c r="Q834" s="19" t="n">
        <f aca="false" t="array" ref="Q834:Q834">IF(AND(INDEX(Profils!$K$5:$K$34,$AE834)&gt;0,INDEX(Profils!$Z$5:$Z$34,$AE834)&lt;=$AH834),ROUND(INDEX(Profils!$K$5:$K$34,$AE834)*Paramètres!$E$27*$AG834*$AJ834,Paramètres!$F$27),0)</f>
        <v>8</v>
      </c>
      <c r="R834" s="20" t="n">
        <f aca="false" t="array" ref="R834:R834">IF(AND(INDEX(Profils!$L$5:$L$34,$AE834)&gt;0,INDEX(Profils!$AA$5:$AA$34,$AE834)&lt;=$AH834),ROUND(INDEX(Profils!$L$5:$L$34,$AE834)*Paramètres!$E$28*$AG834*$AJ834,Paramètres!$F$28),0)</f>
        <v>0</v>
      </c>
      <c r="S834" s="20" t="n">
        <f aca="false" t="array" ref="S834:S834">IF(AND(INDEX(Profils!$M$5:$M$34,$AE834)&gt;0,INDEX(Profils!$AB$5:$AB$34,$AE834)&lt;=$AH834),ROUND(INDEX(Profils!$M$5:$M$34,$AE834)*Paramètres!$E$29*$AG834*$AJ834,Paramètres!$F$29),0)</f>
        <v>0</v>
      </c>
      <c r="T834" s="20" t="n">
        <f aca="false" t="array" ref="T834:T834">IF(AND(INDEX(Profils!$N$5:$N$34,$AE834)&gt;0,INDEX(Profils!$AC$5:$AC$34,$AE834)&lt;=$AH834),ROUND(INDEX(Profils!$N$5:$N$34,$AE834)*Paramètres!$E$30*$AG834*$AJ834,Paramètres!$F$30),0)</f>
        <v>0</v>
      </c>
      <c r="U834" s="19" t="n">
        <f aca="false" t="array" ref="U834:U834">IF(AND(INDEX(Profils!$O$5:$O$34,$AE834)&gt;0,INDEX(Profils!$AD$5:$AD$34,$AE834)&lt;=$AH834),ROUND(INDEX(Profils!$O$5:$O$34,$AE834)*Paramètres!$E$31*$AG834*$AJ834,Paramètres!$F$31),0)</f>
        <v>0</v>
      </c>
      <c r="V834" s="20" t="n">
        <f aca="false" t="array" ref="V834:V834">IF(AND(INDEX(Profils!$P$5:$P$34,$AE834)&gt;0,INDEX(Profils!$AE$5:$AE$34,$AE834)&lt;=$AH834),ROUND(INDEX(Profils!$P$5:$P$34,$AE834)*Paramètres!$E$32*$AG834*$AJ834,Paramètres!$F$32),0)</f>
        <v>0</v>
      </c>
      <c r="W834" s="20" t="n">
        <f aca="false" t="array" ref="W834:W834">IF(AND(INDEX(Profils!$Q$5:$Q$34,$AE834)&gt;0,INDEX(Profils!$AF$5:$AF$34,$AE834)&lt;=$AH834),ROUND(INDEX(Profils!$Q$5:$Q$34,$AE834)*Paramètres!$E$33*$AG834*$AJ834,Paramètres!$F$33),0)</f>
        <v>0.012</v>
      </c>
      <c r="X834" s="20" t="n">
        <f aca="false" t="array" ref="X834:X834">IF(AND(INDEX(Profils!$R$5:$R$34,$AE834)&gt;0,INDEX(Profils!$AG$5:$AG$34,$AE834)&lt;=$AH834),ROUND(INDEX(Profils!$R$5:$R$34,$AE834)*Paramètres!$E$34*$AG834*$AJ834,Paramètres!$F$34),0)</f>
        <v>0</v>
      </c>
      <c r="Y834" s="20" t="n">
        <f aca="false" t="array" ref="Y834:Y834">IF(AND(INDEX(Profils!$S$5:$S$34,$AE834)&gt;0,INDEX(Profils!$AH$5:$AH$34,$AE834)&lt;=$AH834),ROUND(INDEX(Profils!$S$5:$S$34,$AE834)*Paramètres!$E$35*$AG834*$AJ834,Paramètres!$F$35),0)</f>
        <v>0.012</v>
      </c>
      <c r="Z834" s="21" t="n">
        <f aca="false">ROUND(L834/Paramètres!$E$22+M834/Paramètres!$E$23+N834/Paramètres!$E$24+O834/Paramètres!$E$25+P834/Paramètres!$E$26+Q834/Paramètres!$E$27+R834/Paramètres!$E$28+S834/Paramètres!$E$29+T834/Paramètres!$E$30+U834/Paramètres!$E$31+V834/Paramètres!$E$32+W834/Paramètres!$E$33+X834/Paramètres!$E$34+Y834/Paramètres!$E$35,1)</f>
        <v>4.8</v>
      </c>
      <c r="AA834" s="22" t="s">
        <v>109</v>
      </c>
      <c r="AB834" s="22" t="s">
        <v>109</v>
      </c>
      <c r="AC834" s="15" t="str">
        <f aca="false">$E834</f>
        <v>platine</v>
      </c>
      <c r="AD834" s="16" t="n">
        <f aca="false" t="array" ref="AD834:AD834">IF($I834&gt;=$AI834,"Max",ROUND(Paramètres!$B$40*($I834+1)^Paramètres!$B$41*INDEX(Paramètres!$H$6:$H$12,$AF834),0))</f>
        <v>6</v>
      </c>
      <c r="AE834" s="23" t="n">
        <f aca="false">MATCH($B834&amp;"|"&amp;$C834,Profils!$A$5:$A$34,0)</f>
        <v>27</v>
      </c>
      <c r="AF834" s="23" t="n">
        <v>5</v>
      </c>
      <c r="AG834" s="24" t="n">
        <f aca="false" t="array" ref="AG834:AG834">INDEX(Paramètres!$C$6:$C$12,$AF834)</f>
        <v>2.1</v>
      </c>
      <c r="AH834" s="23" t="n">
        <f aca="false" t="array" ref="AH834:AH834">INDEX(Paramètres!$D$6:$D$12,$AF834)</f>
        <v>6</v>
      </c>
      <c r="AI834" s="23" t="n">
        <f aca="false" t="array" ref="AI834:AI834">INDEX(Matériaux!$C$16:$C$20,$D834)</f>
        <v>25</v>
      </c>
      <c r="AJ834" s="25" t="n">
        <f aca="false">Paramètres!$B$16+(1-Paramètres!$B$16)*(($J834-Paramètres!$B$14)/(Paramètres!$B$15-Paramètres!$B$14))^Paramètres!$B$17</f>
        <v>0.458504333336152</v>
      </c>
    </row>
    <row r="835" customFormat="false" ht="15.75" hidden="false" customHeight="true" outlineLevel="0" collapsed="false">
      <c r="A835" s="14" t="s">
        <v>951</v>
      </c>
      <c r="B835" s="15" t="s">
        <v>31</v>
      </c>
      <c r="C835" s="15" t="s">
        <v>305</v>
      </c>
      <c r="D835" s="16" t="n">
        <v>4</v>
      </c>
      <c r="E835" s="15" t="str">
        <f aca="false" t="array" ref="E835:E835">INDEX(Matériaux!$B$5:$F$12,MATCH(INDEX(Profils!$E$5:$E$34,$AE835),Matériaux!$A$5:$A$12,0),$D835)</f>
        <v>platine</v>
      </c>
      <c r="F835" s="30" t="s">
        <v>119</v>
      </c>
      <c r="G835" s="10" t="str">
        <f aca="false" t="array" ref="G835:G835">INDEX(Profils!$D$5:$D$34,$AE835)&amp;" en "&amp;$E835</f>
        <v>Bague en platine</v>
      </c>
      <c r="H835" s="16" t="n">
        <f aca="false" t="array" ref="H835:H835">INDEX(Matériaux!$B$16:$B$20,$D835)</f>
        <v>50</v>
      </c>
      <c r="I835" s="16" t="n">
        <f aca="false">IF(ISNUMBER($C$3),MIN(MAX(0,ROUND($C$3,0)),$AI835),$AI835)</f>
        <v>0</v>
      </c>
      <c r="J835" s="18" t="n">
        <f aca="false">$H835+$I835</f>
        <v>50</v>
      </c>
      <c r="K835" s="15" t="s">
        <v>109</v>
      </c>
      <c r="L835" s="19" t="n">
        <f aca="false" t="array" ref="L835:L835">IF(AND(INDEX(Profils!$F$5:$F$34,$AE835)&gt;0,INDEX(Profils!$U$5:$U$34,$AE835)&lt;=$AH835),ROUND(INDEX(Profils!$F$5:$F$34,$AE835)*Paramètres!$E$22*$AG835*$AJ835,Paramètres!$F$22),0)</f>
        <v>28</v>
      </c>
      <c r="M835" s="19" t="n">
        <f aca="false" t="array" ref="M835:M835">IF(AND(INDEX(Profils!$G$5:$G$34,$AE835)&gt;0,INDEX(Profils!$V$5:$V$34,$AE835)&lt;=$AH835),ROUND(INDEX(Profils!$G$5:$G$34,$AE835)*Paramètres!$E$23*$AG835*$AJ835,Paramètres!$F$23),0)</f>
        <v>0</v>
      </c>
      <c r="N835" s="19" t="n">
        <f aca="false" t="array" ref="N835:N835">IF(AND(INDEX(Profils!$H$5:$H$34,$AE835)&gt;0,INDEX(Profils!$W$5:$W$34,$AE835)&lt;=$AH835),ROUND(INDEX(Profils!$H$5:$H$34,$AE835)*Paramètres!$E$24*$AG835*$AJ835,Paramètres!$F$24),0)</f>
        <v>10</v>
      </c>
      <c r="O835" s="19" t="n">
        <f aca="false" t="array" ref="O835:O835">IF(AND(INDEX(Profils!$I$5:$I$34,$AE835)&gt;0,INDEX(Profils!$X$5:$X$34,$AE835)&lt;=$AH835),ROUND(INDEX(Profils!$I$5:$I$34,$AE835)*Paramètres!$E$25*$AG835*$AJ835,Paramètres!$F$25),0)</f>
        <v>0</v>
      </c>
      <c r="P835" s="19" t="n">
        <f aca="false" t="array" ref="P835:P835">IF(AND(INDEX(Profils!$J$5:$J$34,$AE835)&gt;0,INDEX(Profils!$Y$5:$Y$34,$AE835)&lt;=$AH835),ROUND(INDEX(Profils!$J$5:$J$34,$AE835)*Paramètres!$E$26*$AG835*$AJ835,Paramètres!$F$26),0)</f>
        <v>12</v>
      </c>
      <c r="Q835" s="19" t="n">
        <f aca="false" t="array" ref="Q835:Q835">IF(AND(INDEX(Profils!$K$5:$K$34,$AE835)&gt;0,INDEX(Profils!$Z$5:$Z$34,$AE835)&lt;=$AH835),ROUND(INDEX(Profils!$K$5:$K$34,$AE835)*Paramètres!$E$27*$AG835*$AJ835,Paramètres!$F$27),0)</f>
        <v>9</v>
      </c>
      <c r="R835" s="20" t="n">
        <f aca="false" t="array" ref="R835:R835">IF(AND(INDEX(Profils!$L$5:$L$34,$AE835)&gt;0,INDEX(Profils!$AA$5:$AA$34,$AE835)&lt;=$AH835),ROUND(INDEX(Profils!$L$5:$L$34,$AE835)*Paramètres!$E$28*$AG835*$AJ835,Paramètres!$F$28),0)</f>
        <v>0.008</v>
      </c>
      <c r="S835" s="20" t="n">
        <f aca="false" t="array" ref="S835:S835">IF(AND(INDEX(Profils!$M$5:$M$34,$AE835)&gt;0,INDEX(Profils!$AB$5:$AB$34,$AE835)&lt;=$AH835),ROUND(INDEX(Profils!$M$5:$M$34,$AE835)*Paramètres!$E$29*$AG835*$AJ835,Paramètres!$F$29),0)</f>
        <v>0</v>
      </c>
      <c r="T835" s="20" t="n">
        <f aca="false" t="array" ref="T835:T835">IF(AND(INDEX(Profils!$N$5:$N$34,$AE835)&gt;0,INDEX(Profils!$AC$5:$AC$34,$AE835)&lt;=$AH835),ROUND(INDEX(Profils!$N$5:$N$34,$AE835)*Paramètres!$E$30*$AG835*$AJ835,Paramètres!$F$30),0)</f>
        <v>0</v>
      </c>
      <c r="U835" s="19" t="n">
        <f aca="false" t="array" ref="U835:U835">IF(AND(INDEX(Profils!$O$5:$O$34,$AE835)&gt;0,INDEX(Profils!$AD$5:$AD$34,$AE835)&lt;=$AH835),ROUND(INDEX(Profils!$O$5:$O$34,$AE835)*Paramètres!$E$31*$AG835*$AJ835,Paramètres!$F$31),0)</f>
        <v>0</v>
      </c>
      <c r="V835" s="20" t="n">
        <f aca="false" t="array" ref="V835:V835">IF(AND(INDEX(Profils!$P$5:$P$34,$AE835)&gt;0,INDEX(Profils!$AE$5:$AE$34,$AE835)&lt;=$AH835),ROUND(INDEX(Profils!$P$5:$P$34,$AE835)*Paramètres!$E$32*$AG835*$AJ835,Paramètres!$F$32),0)</f>
        <v>0</v>
      </c>
      <c r="W835" s="20" t="n">
        <f aca="false" t="array" ref="W835:W835">IF(AND(INDEX(Profils!$Q$5:$Q$34,$AE835)&gt;0,INDEX(Profils!$AF$5:$AF$34,$AE835)&lt;=$AH835),ROUND(INDEX(Profils!$Q$5:$Q$34,$AE835)*Paramètres!$E$33*$AG835*$AJ835,Paramètres!$F$33),0)</f>
        <v>0.013</v>
      </c>
      <c r="X835" s="20" t="n">
        <f aca="false" t="array" ref="X835:X835">IF(AND(INDEX(Profils!$R$5:$R$34,$AE835)&gt;0,INDEX(Profils!$AG$5:$AG$34,$AE835)&lt;=$AH835),ROUND(INDEX(Profils!$R$5:$R$34,$AE835)*Paramètres!$E$34*$AG835*$AJ835,Paramètres!$F$34),0)</f>
        <v>0</v>
      </c>
      <c r="Y835" s="20" t="n">
        <f aca="false" t="array" ref="Y835:Y835">IF(AND(INDEX(Profils!$S$5:$S$34,$AE835)&gt;0,INDEX(Profils!$AH$5:$AH$34,$AE835)&lt;=$AH835),ROUND(INDEX(Profils!$S$5:$S$34,$AE835)*Paramètres!$E$35*$AG835*$AJ835,Paramètres!$F$35),0)</f>
        <v>0.013</v>
      </c>
      <c r="Z835" s="21" t="n">
        <f aca="false">ROUND(L835/Paramètres!$E$22+M835/Paramètres!$E$23+N835/Paramètres!$E$24+O835/Paramètres!$E$25+P835/Paramètres!$E$26+Q835/Paramètres!$E$27+R835/Paramètres!$E$28+S835/Paramètres!$E$29+T835/Paramètres!$E$30+U835/Paramètres!$E$31+V835/Paramètres!$E$32+W835/Paramètres!$E$33+X835/Paramètres!$E$34+Y835/Paramètres!$E$35,1)</f>
        <v>6</v>
      </c>
      <c r="AA835" s="22" t="s">
        <v>109</v>
      </c>
      <c r="AB835" s="22" t="s">
        <v>109</v>
      </c>
      <c r="AC835" s="15" t="str">
        <f aca="false">$E835</f>
        <v>platine</v>
      </c>
      <c r="AD835" s="16" t="n">
        <f aca="false" t="array" ref="AD835:AD835">IF($I835&gt;=$AI835,"Max",ROUND(Paramètres!$B$40*($I835+1)^Paramètres!$B$41*INDEX(Paramètres!$H$6:$H$12,$AF835),0))</f>
        <v>8</v>
      </c>
      <c r="AE835" s="23" t="n">
        <f aca="false">MATCH($B835&amp;"|"&amp;$C835,Profils!$A$5:$A$34,0)</f>
        <v>27</v>
      </c>
      <c r="AF835" s="23" t="n">
        <v>6</v>
      </c>
      <c r="AG835" s="24" t="n">
        <f aca="false" t="array" ref="AG835:AG835">INDEX(Paramètres!$C$6:$C$12,$AF835)</f>
        <v>2.4</v>
      </c>
      <c r="AH835" s="23" t="n">
        <f aca="false" t="array" ref="AH835:AH835">INDEX(Paramètres!$D$6:$D$12,$AF835)</f>
        <v>7</v>
      </c>
      <c r="AI835" s="23" t="n">
        <f aca="false" t="array" ref="AI835:AI835">INDEX(Matériaux!$C$16:$C$20,$D835)</f>
        <v>25</v>
      </c>
      <c r="AJ835" s="25" t="n">
        <f aca="false">Paramètres!$B$16+(1-Paramètres!$B$16)*(($J835-Paramètres!$B$14)/(Paramètres!$B$15-Paramètres!$B$14))^Paramètres!$B$17</f>
        <v>0.458504333336152</v>
      </c>
    </row>
    <row r="836" customFormat="false" ht="15.75" hidden="false" customHeight="true" outlineLevel="0" collapsed="false">
      <c r="A836" s="14" t="s">
        <v>952</v>
      </c>
      <c r="B836" s="15" t="s">
        <v>31</v>
      </c>
      <c r="C836" s="15" t="s">
        <v>305</v>
      </c>
      <c r="D836" s="16" t="n">
        <v>5</v>
      </c>
      <c r="E836" s="15" t="str">
        <f aca="false" t="array" ref="E836:E836">INDEX(Matériaux!$B$5:$F$12,MATCH(INDEX(Profils!$E$5:$E$34,$AE836),Matériaux!$A$5:$A$12,0),$D836)</f>
        <v>orichalque</v>
      </c>
      <c r="F836" s="17" t="s">
        <v>108</v>
      </c>
      <c r="G836" s="10" t="str">
        <f aca="false" t="array" ref="G836:G836">INDEX(Profils!$D$5:$D$34,$AE836)&amp;" en "&amp;$E836</f>
        <v>Bague en orichalque</v>
      </c>
      <c r="H836" s="16" t="n">
        <f aca="false" t="array" ref="H836:H836">INDEX(Matériaux!$B$16:$B$20,$D836)</f>
        <v>70</v>
      </c>
      <c r="I836" s="16" t="n">
        <f aca="false">IF(ISNUMBER($C$3),MIN(MAX(0,ROUND($C$3,0)),$AI836),$AI836)</f>
        <v>0</v>
      </c>
      <c r="J836" s="18" t="n">
        <f aca="false">$H836+$I836</f>
        <v>70</v>
      </c>
      <c r="K836" s="15" t="s">
        <v>109</v>
      </c>
      <c r="L836" s="19" t="n">
        <f aca="false" t="array" ref="L836:L836">IF(AND(INDEX(Profils!$F$5:$F$34,$AE836)&gt;0,INDEX(Profils!$U$5:$U$34,$AE836)&lt;=$AH836),ROUND(INDEX(Profils!$F$5:$F$34,$AE836)*Paramètres!$E$22*$AG836*$AJ836,Paramètres!$F$22),0)</f>
        <v>17</v>
      </c>
      <c r="M836" s="19" t="n">
        <f aca="false" t="array" ref="M836:M836">IF(AND(INDEX(Profils!$G$5:$G$34,$AE836)&gt;0,INDEX(Profils!$V$5:$V$34,$AE836)&lt;=$AH836),ROUND(INDEX(Profils!$G$5:$G$34,$AE836)*Paramètres!$E$23*$AG836*$AJ836,Paramètres!$F$23),0)</f>
        <v>0</v>
      </c>
      <c r="N836" s="19" t="n">
        <f aca="false" t="array" ref="N836:N836">IF(AND(INDEX(Profils!$H$5:$H$34,$AE836)&gt;0,INDEX(Profils!$W$5:$W$34,$AE836)&lt;=$AH836),ROUND(INDEX(Profils!$H$5:$H$34,$AE836)*Paramètres!$E$24*$AG836*$AJ836,Paramètres!$F$24),0)</f>
        <v>0</v>
      </c>
      <c r="O836" s="19" t="n">
        <f aca="false" t="array" ref="O836:O836">IF(AND(INDEX(Profils!$I$5:$I$34,$AE836)&gt;0,INDEX(Profils!$X$5:$X$34,$AE836)&lt;=$AH836),ROUND(INDEX(Profils!$I$5:$I$34,$AE836)*Paramètres!$E$25*$AG836*$AJ836,Paramètres!$F$25),0)</f>
        <v>0</v>
      </c>
      <c r="P836" s="19" t="n">
        <f aca="false" t="array" ref="P836:P836">IF(AND(INDEX(Profils!$J$5:$J$34,$AE836)&gt;0,INDEX(Profils!$Y$5:$Y$34,$AE836)&lt;=$AH836),ROUND(INDEX(Profils!$J$5:$J$34,$AE836)*Paramètres!$E$26*$AG836*$AJ836,Paramètres!$F$26),0)</f>
        <v>7</v>
      </c>
      <c r="Q836" s="19" t="n">
        <f aca="false" t="array" ref="Q836:Q836">IF(AND(INDEX(Profils!$K$5:$K$34,$AE836)&gt;0,INDEX(Profils!$Z$5:$Z$34,$AE836)&lt;=$AH836),ROUND(INDEX(Profils!$K$5:$K$34,$AE836)*Paramètres!$E$27*$AG836*$AJ836,Paramètres!$F$27),0)</f>
        <v>0</v>
      </c>
      <c r="R836" s="20" t="n">
        <f aca="false" t="array" ref="R836:R836">IF(AND(INDEX(Profils!$L$5:$L$34,$AE836)&gt;0,INDEX(Profils!$AA$5:$AA$34,$AE836)&lt;=$AH836),ROUND(INDEX(Profils!$L$5:$L$34,$AE836)*Paramètres!$E$28*$AG836*$AJ836,Paramètres!$F$28),0)</f>
        <v>0</v>
      </c>
      <c r="S836" s="20" t="n">
        <f aca="false" t="array" ref="S836:S836">IF(AND(INDEX(Profils!$M$5:$M$34,$AE836)&gt;0,INDEX(Profils!$AB$5:$AB$34,$AE836)&lt;=$AH836),ROUND(INDEX(Profils!$M$5:$M$34,$AE836)*Paramètres!$E$29*$AG836*$AJ836,Paramètres!$F$29),0)</f>
        <v>0</v>
      </c>
      <c r="T836" s="20" t="n">
        <f aca="false" t="array" ref="T836:T836">IF(AND(INDEX(Profils!$N$5:$N$34,$AE836)&gt;0,INDEX(Profils!$AC$5:$AC$34,$AE836)&lt;=$AH836),ROUND(INDEX(Profils!$N$5:$N$34,$AE836)*Paramètres!$E$30*$AG836*$AJ836,Paramètres!$F$30),0)</f>
        <v>0</v>
      </c>
      <c r="U836" s="19" t="n">
        <f aca="false" t="array" ref="U836:U836">IF(AND(INDEX(Profils!$O$5:$O$34,$AE836)&gt;0,INDEX(Profils!$AD$5:$AD$34,$AE836)&lt;=$AH836),ROUND(INDEX(Profils!$O$5:$O$34,$AE836)*Paramètres!$E$31*$AG836*$AJ836,Paramètres!$F$31),0)</f>
        <v>0</v>
      </c>
      <c r="V836" s="20" t="n">
        <f aca="false" t="array" ref="V836:V836">IF(AND(INDEX(Profils!$P$5:$P$34,$AE836)&gt;0,INDEX(Profils!$AE$5:$AE$34,$AE836)&lt;=$AH836),ROUND(INDEX(Profils!$P$5:$P$34,$AE836)*Paramètres!$E$32*$AG836*$AJ836,Paramètres!$F$32),0)</f>
        <v>0</v>
      </c>
      <c r="W836" s="20" t="n">
        <f aca="false" t="array" ref="W836:W836">IF(AND(INDEX(Profils!$Q$5:$Q$34,$AE836)&gt;0,INDEX(Profils!$AF$5:$AF$34,$AE836)&lt;=$AH836),ROUND(INDEX(Profils!$Q$5:$Q$34,$AE836)*Paramètres!$E$33*$AG836*$AJ836,Paramètres!$F$33),0)</f>
        <v>0</v>
      </c>
      <c r="X836" s="20" t="n">
        <f aca="false" t="array" ref="X836:X836">IF(AND(INDEX(Profils!$R$5:$R$34,$AE836)&gt;0,INDEX(Profils!$AG$5:$AG$34,$AE836)&lt;=$AH836),ROUND(INDEX(Profils!$R$5:$R$34,$AE836)*Paramètres!$E$34*$AG836*$AJ836,Paramètres!$F$34),0)</f>
        <v>0</v>
      </c>
      <c r="Y836" s="20" t="n">
        <f aca="false" t="array" ref="Y836:Y836">IF(AND(INDEX(Profils!$S$5:$S$34,$AE836)&gt;0,INDEX(Profils!$AH$5:$AH$34,$AE836)&lt;=$AH836),ROUND(INDEX(Profils!$S$5:$S$34,$AE836)*Paramètres!$E$35*$AG836*$AJ836,Paramètres!$F$35),0)</f>
        <v>0</v>
      </c>
      <c r="Z836" s="21" t="n">
        <f aca="false">ROUND(L836/Paramètres!$E$22+M836/Paramètres!$E$23+N836/Paramètres!$E$24+O836/Paramètres!$E$25+P836/Paramètres!$E$26+Q836/Paramètres!$E$27+R836/Paramètres!$E$28+S836/Paramètres!$E$29+T836/Paramètres!$E$30+U836/Paramètres!$E$31+V836/Paramètres!$E$32+W836/Paramètres!$E$33+X836/Paramètres!$E$34+Y836/Paramètres!$E$35,1)</f>
        <v>1.3</v>
      </c>
      <c r="AA836" s="22" t="s">
        <v>109</v>
      </c>
      <c r="AB836" s="22" t="s">
        <v>109</v>
      </c>
      <c r="AC836" s="15" t="str">
        <f aca="false">$E836</f>
        <v>orichalque</v>
      </c>
      <c r="AD836" s="16" t="n">
        <f aca="false" t="array" ref="AD836:AD836">IF($I836&gt;=$AI836,"Max",ROUND(Paramètres!$B$40*($I836+1)^Paramètres!$B$41*INDEX(Paramètres!$H$6:$H$12,$AF836),0))</f>
        <v>3</v>
      </c>
      <c r="AE836" s="23" t="n">
        <f aca="false">MATCH($B836&amp;"|"&amp;$C836,Profils!$A$5:$A$34,0)</f>
        <v>27</v>
      </c>
      <c r="AF836" s="23" t="n">
        <v>1</v>
      </c>
      <c r="AG836" s="24" t="n">
        <f aca="false" t="array" ref="AG836:AG836">INDEX(Paramètres!$C$6:$C$12,$AF836)</f>
        <v>1</v>
      </c>
      <c r="AH836" s="23" t="n">
        <f aca="false" t="array" ref="AH836:AH836">INDEX(Paramètres!$D$6:$D$12,$AF836)</f>
        <v>2</v>
      </c>
      <c r="AI836" s="23" t="n">
        <f aca="false" t="array" ref="AI836:AI836">INDEX(Matériaux!$C$16:$C$20,$D836)</f>
        <v>30</v>
      </c>
      <c r="AJ836" s="25" t="n">
        <f aca="false">Paramètres!$B$16+(1-Paramètres!$B$16)*(($J836-Paramètres!$B$14)/(Paramètres!$B$15-Paramètres!$B$14))^Paramètres!$B$17</f>
        <v>0.665999387952727</v>
      </c>
    </row>
    <row r="837" customFormat="false" ht="15.75" hidden="false" customHeight="true" outlineLevel="0" collapsed="false">
      <c r="A837" s="14" t="s">
        <v>953</v>
      </c>
      <c r="B837" s="15" t="s">
        <v>31</v>
      </c>
      <c r="C837" s="15" t="s">
        <v>305</v>
      </c>
      <c r="D837" s="16" t="n">
        <v>5</v>
      </c>
      <c r="E837" s="15" t="str">
        <f aca="false" t="array" ref="E837:E837">INDEX(Matériaux!$B$5:$F$12,MATCH(INDEX(Profils!$E$5:$E$34,$AE837),Matériaux!$A$5:$A$12,0),$D837)</f>
        <v>orichalque</v>
      </c>
      <c r="F837" s="26" t="s">
        <v>111</v>
      </c>
      <c r="G837" s="10" t="str">
        <f aca="false" t="array" ref="G837:G837">INDEX(Profils!$D$5:$D$34,$AE837)&amp;" en "&amp;$E837</f>
        <v>Bague en orichalque</v>
      </c>
      <c r="H837" s="16" t="n">
        <f aca="false" t="array" ref="H837:H837">INDEX(Matériaux!$B$16:$B$20,$D837)</f>
        <v>70</v>
      </c>
      <c r="I837" s="16" t="n">
        <f aca="false">IF(ISNUMBER($C$3),MIN(MAX(0,ROUND($C$3,0)),$AI837),$AI837)</f>
        <v>0</v>
      </c>
      <c r="J837" s="18" t="n">
        <f aca="false">$H837+$I837</f>
        <v>70</v>
      </c>
      <c r="K837" s="15" t="s">
        <v>109</v>
      </c>
      <c r="L837" s="19" t="n">
        <f aca="false" t="array" ref="L837:L837">IF(AND(INDEX(Profils!$F$5:$F$34,$AE837)&gt;0,INDEX(Profils!$U$5:$U$34,$AE837)&lt;=$AH837),ROUND(INDEX(Profils!$F$5:$F$34,$AE837)*Paramètres!$E$22*$AG837*$AJ837,Paramètres!$F$22),0)</f>
        <v>20</v>
      </c>
      <c r="M837" s="19" t="n">
        <f aca="false" t="array" ref="M837:M837">IF(AND(INDEX(Profils!$G$5:$G$34,$AE837)&gt;0,INDEX(Profils!$V$5:$V$34,$AE837)&lt;=$AH837),ROUND(INDEX(Profils!$G$5:$G$34,$AE837)*Paramètres!$E$23*$AG837*$AJ837,Paramètres!$F$23),0)</f>
        <v>0</v>
      </c>
      <c r="N837" s="19" t="n">
        <f aca="false" t="array" ref="N837:N837">IF(AND(INDEX(Profils!$H$5:$H$34,$AE837)&gt;0,INDEX(Profils!$W$5:$W$34,$AE837)&lt;=$AH837),ROUND(INDEX(Profils!$H$5:$H$34,$AE837)*Paramètres!$E$24*$AG837*$AJ837,Paramètres!$F$24),0)</f>
        <v>0</v>
      </c>
      <c r="O837" s="19" t="n">
        <f aca="false" t="array" ref="O837:O837">IF(AND(INDEX(Profils!$I$5:$I$34,$AE837)&gt;0,INDEX(Profils!$X$5:$X$34,$AE837)&lt;=$AH837),ROUND(INDEX(Profils!$I$5:$I$34,$AE837)*Paramètres!$E$25*$AG837*$AJ837,Paramètres!$F$25),0)</f>
        <v>0</v>
      </c>
      <c r="P837" s="19" t="n">
        <f aca="false" t="array" ref="P837:P837">IF(AND(INDEX(Profils!$J$5:$J$34,$AE837)&gt;0,INDEX(Profils!$Y$5:$Y$34,$AE837)&lt;=$AH837),ROUND(INDEX(Profils!$J$5:$J$34,$AE837)*Paramètres!$E$26*$AG837*$AJ837,Paramètres!$F$26),0)</f>
        <v>9</v>
      </c>
      <c r="Q837" s="19" t="n">
        <f aca="false" t="array" ref="Q837:Q837">IF(AND(INDEX(Profils!$K$5:$K$34,$AE837)&gt;0,INDEX(Profils!$Z$5:$Z$34,$AE837)&lt;=$AH837),ROUND(INDEX(Profils!$K$5:$K$34,$AE837)*Paramètres!$E$27*$AG837*$AJ837,Paramètres!$F$27),0)</f>
        <v>6</v>
      </c>
      <c r="R837" s="20" t="n">
        <f aca="false" t="array" ref="R837:R837">IF(AND(INDEX(Profils!$L$5:$L$34,$AE837)&gt;0,INDEX(Profils!$AA$5:$AA$34,$AE837)&lt;=$AH837),ROUND(INDEX(Profils!$L$5:$L$34,$AE837)*Paramètres!$E$28*$AG837*$AJ837,Paramètres!$F$28),0)</f>
        <v>0</v>
      </c>
      <c r="S837" s="20" t="n">
        <f aca="false" t="array" ref="S837:S837">IF(AND(INDEX(Profils!$M$5:$M$34,$AE837)&gt;0,INDEX(Profils!$AB$5:$AB$34,$AE837)&lt;=$AH837),ROUND(INDEX(Profils!$M$5:$M$34,$AE837)*Paramètres!$E$29*$AG837*$AJ837,Paramètres!$F$29),0)</f>
        <v>0</v>
      </c>
      <c r="T837" s="20" t="n">
        <f aca="false" t="array" ref="T837:T837">IF(AND(INDEX(Profils!$N$5:$N$34,$AE837)&gt;0,INDEX(Profils!$AC$5:$AC$34,$AE837)&lt;=$AH837),ROUND(INDEX(Profils!$N$5:$N$34,$AE837)*Paramètres!$E$30*$AG837*$AJ837,Paramètres!$F$30),0)</f>
        <v>0</v>
      </c>
      <c r="U837" s="19" t="n">
        <f aca="false" t="array" ref="U837:U837">IF(AND(INDEX(Profils!$O$5:$O$34,$AE837)&gt;0,INDEX(Profils!$AD$5:$AD$34,$AE837)&lt;=$AH837),ROUND(INDEX(Profils!$O$5:$O$34,$AE837)*Paramètres!$E$31*$AG837*$AJ837,Paramètres!$F$31),0)</f>
        <v>0</v>
      </c>
      <c r="V837" s="20" t="n">
        <f aca="false" t="array" ref="V837:V837">IF(AND(INDEX(Profils!$P$5:$P$34,$AE837)&gt;0,INDEX(Profils!$AE$5:$AE$34,$AE837)&lt;=$AH837),ROUND(INDEX(Profils!$P$5:$P$34,$AE837)*Paramètres!$E$32*$AG837*$AJ837,Paramètres!$F$32),0)</f>
        <v>0</v>
      </c>
      <c r="W837" s="20" t="n">
        <f aca="false" t="array" ref="W837:W837">IF(AND(INDEX(Profils!$Q$5:$Q$34,$AE837)&gt;0,INDEX(Profils!$AF$5:$AF$34,$AE837)&lt;=$AH837),ROUND(INDEX(Profils!$Q$5:$Q$34,$AE837)*Paramètres!$E$33*$AG837*$AJ837,Paramètres!$F$33),0)</f>
        <v>0</v>
      </c>
      <c r="X837" s="20" t="n">
        <f aca="false" t="array" ref="X837:X837">IF(AND(INDEX(Profils!$R$5:$R$34,$AE837)&gt;0,INDEX(Profils!$AG$5:$AG$34,$AE837)&lt;=$AH837),ROUND(INDEX(Profils!$R$5:$R$34,$AE837)*Paramètres!$E$34*$AG837*$AJ837,Paramètres!$F$34),0)</f>
        <v>0</v>
      </c>
      <c r="Y837" s="20" t="n">
        <f aca="false" t="array" ref="Y837:Y837">IF(AND(INDEX(Profils!$S$5:$S$34,$AE837)&gt;0,INDEX(Profils!$AH$5:$AH$34,$AE837)&lt;=$AH837),ROUND(INDEX(Profils!$S$5:$S$34,$AE837)*Paramètres!$E$35*$AG837*$AJ837,Paramètres!$F$35),0)</f>
        <v>0</v>
      </c>
      <c r="Z837" s="21" t="n">
        <f aca="false">ROUND(L837/Paramètres!$E$22+M837/Paramètres!$E$23+N837/Paramètres!$E$24+O837/Paramètres!$E$25+P837/Paramètres!$E$26+Q837/Paramètres!$E$27+R837/Paramètres!$E$28+S837/Paramètres!$E$29+T837/Paramètres!$E$30+U837/Paramètres!$E$31+V837/Paramètres!$E$32+W837/Paramètres!$E$33+X837/Paramètres!$E$34+Y837/Paramètres!$E$35,1)</f>
        <v>2.2</v>
      </c>
      <c r="AA837" s="22" t="s">
        <v>109</v>
      </c>
      <c r="AB837" s="22" t="s">
        <v>109</v>
      </c>
      <c r="AC837" s="15" t="str">
        <f aca="false">$E837</f>
        <v>orichalque</v>
      </c>
      <c r="AD837" s="16" t="n">
        <f aca="false" t="array" ref="AD837:AD837">IF($I837&gt;=$AI837,"Max",ROUND(Paramètres!$B$40*($I837+1)^Paramètres!$B$41*INDEX(Paramètres!$H$6:$H$12,$AF837),0))</f>
        <v>4</v>
      </c>
      <c r="AE837" s="23" t="n">
        <f aca="false">MATCH($B837&amp;"|"&amp;$C837,Profils!$A$5:$A$34,0)</f>
        <v>27</v>
      </c>
      <c r="AF837" s="23" t="n">
        <v>2</v>
      </c>
      <c r="AG837" s="24" t="n">
        <f aca="false" t="array" ref="AG837:AG837">INDEX(Paramètres!$C$6:$C$12,$AF837)</f>
        <v>1.2</v>
      </c>
      <c r="AH837" s="23" t="n">
        <f aca="false" t="array" ref="AH837:AH837">INDEX(Paramètres!$D$6:$D$12,$AF837)</f>
        <v>3</v>
      </c>
      <c r="AI837" s="23" t="n">
        <f aca="false" t="array" ref="AI837:AI837">INDEX(Matériaux!$C$16:$C$20,$D837)</f>
        <v>30</v>
      </c>
      <c r="AJ837" s="25" t="n">
        <f aca="false">Paramètres!$B$16+(1-Paramètres!$B$16)*(($J837-Paramètres!$B$14)/(Paramètres!$B$15-Paramètres!$B$14))^Paramètres!$B$17</f>
        <v>0.665999387952727</v>
      </c>
    </row>
    <row r="838" customFormat="false" ht="15.75" hidden="false" customHeight="true" outlineLevel="0" collapsed="false">
      <c r="A838" s="14" t="s">
        <v>954</v>
      </c>
      <c r="B838" s="15" t="s">
        <v>31</v>
      </c>
      <c r="C838" s="15" t="s">
        <v>305</v>
      </c>
      <c r="D838" s="16" t="n">
        <v>5</v>
      </c>
      <c r="E838" s="15" t="str">
        <f aca="false" t="array" ref="E838:E838">INDEX(Matériaux!$B$5:$F$12,MATCH(INDEX(Profils!$E$5:$E$34,$AE838),Matériaux!$A$5:$A$12,0),$D838)</f>
        <v>orichalque</v>
      </c>
      <c r="F838" s="27" t="s">
        <v>113</v>
      </c>
      <c r="G838" s="10" t="str">
        <f aca="false" t="array" ref="G838:G838">INDEX(Profils!$D$5:$D$34,$AE838)&amp;" en "&amp;$E838</f>
        <v>Bague en orichalque</v>
      </c>
      <c r="H838" s="16" t="n">
        <f aca="false" t="array" ref="H838:H838">INDEX(Matériaux!$B$16:$B$20,$D838)</f>
        <v>70</v>
      </c>
      <c r="I838" s="16" t="n">
        <f aca="false">IF(ISNUMBER($C$3),MIN(MAX(0,ROUND($C$3,0)),$AI838),$AI838)</f>
        <v>0</v>
      </c>
      <c r="J838" s="18" t="n">
        <f aca="false">$H838+$I838</f>
        <v>70</v>
      </c>
      <c r="K838" s="15" t="s">
        <v>109</v>
      </c>
      <c r="L838" s="19" t="n">
        <f aca="false" t="array" ref="L838:L838">IF(AND(INDEX(Profils!$F$5:$F$34,$AE838)&gt;0,INDEX(Profils!$U$5:$U$34,$AE838)&lt;=$AH838),ROUND(INDEX(Profils!$F$5:$F$34,$AE838)*Paramètres!$E$22*$AG838*$AJ838,Paramètres!$F$22),0)</f>
        <v>24</v>
      </c>
      <c r="M838" s="19" t="n">
        <f aca="false" t="array" ref="M838:M838">IF(AND(INDEX(Profils!$G$5:$G$34,$AE838)&gt;0,INDEX(Profils!$V$5:$V$34,$AE838)&lt;=$AH838),ROUND(INDEX(Profils!$G$5:$G$34,$AE838)*Paramètres!$E$23*$AG838*$AJ838,Paramètres!$F$23),0)</f>
        <v>0</v>
      </c>
      <c r="N838" s="19" t="n">
        <f aca="false" t="array" ref="N838:N838">IF(AND(INDEX(Profils!$H$5:$H$34,$AE838)&gt;0,INDEX(Profils!$W$5:$W$34,$AE838)&lt;=$AH838),ROUND(INDEX(Profils!$H$5:$H$34,$AE838)*Paramètres!$E$24*$AG838*$AJ838,Paramètres!$F$24),0)</f>
        <v>0</v>
      </c>
      <c r="O838" s="19" t="n">
        <f aca="false" t="array" ref="O838:O838">IF(AND(INDEX(Profils!$I$5:$I$34,$AE838)&gt;0,INDEX(Profils!$X$5:$X$34,$AE838)&lt;=$AH838),ROUND(INDEX(Profils!$I$5:$I$34,$AE838)*Paramètres!$E$25*$AG838*$AJ838,Paramètres!$F$25),0)</f>
        <v>0</v>
      </c>
      <c r="P838" s="19" t="n">
        <f aca="false" t="array" ref="P838:P838">IF(AND(INDEX(Profils!$J$5:$J$34,$AE838)&gt;0,INDEX(Profils!$Y$5:$Y$34,$AE838)&lt;=$AH838),ROUND(INDEX(Profils!$J$5:$J$34,$AE838)*Paramètres!$E$26*$AG838*$AJ838,Paramètres!$F$26),0)</f>
        <v>10</v>
      </c>
      <c r="Q838" s="19" t="n">
        <f aca="false" t="array" ref="Q838:Q838">IF(AND(INDEX(Profils!$K$5:$K$34,$AE838)&gt;0,INDEX(Profils!$Z$5:$Z$34,$AE838)&lt;=$AH838),ROUND(INDEX(Profils!$K$5:$K$34,$AE838)*Paramètres!$E$27*$AG838*$AJ838,Paramètres!$F$27),0)</f>
        <v>8</v>
      </c>
      <c r="R838" s="20" t="n">
        <f aca="false" t="array" ref="R838:R838">IF(AND(INDEX(Profils!$L$5:$L$34,$AE838)&gt;0,INDEX(Profils!$AA$5:$AA$34,$AE838)&lt;=$AH838),ROUND(INDEX(Profils!$L$5:$L$34,$AE838)*Paramètres!$E$28*$AG838*$AJ838,Paramètres!$F$28),0)</f>
        <v>0</v>
      </c>
      <c r="S838" s="20" t="n">
        <f aca="false" t="array" ref="S838:S838">IF(AND(INDEX(Profils!$M$5:$M$34,$AE838)&gt;0,INDEX(Profils!$AB$5:$AB$34,$AE838)&lt;=$AH838),ROUND(INDEX(Profils!$M$5:$M$34,$AE838)*Paramètres!$E$29*$AG838*$AJ838,Paramètres!$F$29),0)</f>
        <v>0</v>
      </c>
      <c r="T838" s="20" t="n">
        <f aca="false" t="array" ref="T838:T838">IF(AND(INDEX(Profils!$N$5:$N$34,$AE838)&gt;0,INDEX(Profils!$AC$5:$AC$34,$AE838)&lt;=$AH838),ROUND(INDEX(Profils!$N$5:$N$34,$AE838)*Paramètres!$E$30*$AG838*$AJ838,Paramètres!$F$30),0)</f>
        <v>0</v>
      </c>
      <c r="U838" s="19" t="n">
        <f aca="false" t="array" ref="U838:U838">IF(AND(INDEX(Profils!$O$5:$O$34,$AE838)&gt;0,INDEX(Profils!$AD$5:$AD$34,$AE838)&lt;=$AH838),ROUND(INDEX(Profils!$O$5:$O$34,$AE838)*Paramètres!$E$31*$AG838*$AJ838,Paramètres!$F$31),0)</f>
        <v>0</v>
      </c>
      <c r="V838" s="20" t="n">
        <f aca="false" t="array" ref="V838:V838">IF(AND(INDEX(Profils!$P$5:$P$34,$AE838)&gt;0,INDEX(Profils!$AE$5:$AE$34,$AE838)&lt;=$AH838),ROUND(INDEX(Profils!$P$5:$P$34,$AE838)*Paramètres!$E$32*$AG838*$AJ838,Paramètres!$F$32),0)</f>
        <v>0</v>
      </c>
      <c r="W838" s="20" t="n">
        <f aca="false" t="array" ref="W838:W838">IF(AND(INDEX(Profils!$Q$5:$Q$34,$AE838)&gt;0,INDEX(Profils!$AF$5:$AF$34,$AE838)&lt;=$AH838),ROUND(INDEX(Profils!$Q$5:$Q$34,$AE838)*Paramètres!$E$33*$AG838*$AJ838,Paramètres!$F$33),0)</f>
        <v>0.012</v>
      </c>
      <c r="X838" s="20" t="n">
        <f aca="false" t="array" ref="X838:X838">IF(AND(INDEX(Profils!$R$5:$R$34,$AE838)&gt;0,INDEX(Profils!$AG$5:$AG$34,$AE838)&lt;=$AH838),ROUND(INDEX(Profils!$R$5:$R$34,$AE838)*Paramètres!$E$34*$AG838*$AJ838,Paramètres!$F$34),0)</f>
        <v>0</v>
      </c>
      <c r="Y838" s="20" t="n">
        <f aca="false" t="array" ref="Y838:Y838">IF(AND(INDEX(Profils!$S$5:$S$34,$AE838)&gt;0,INDEX(Profils!$AH$5:$AH$34,$AE838)&lt;=$AH838),ROUND(INDEX(Profils!$S$5:$S$34,$AE838)*Paramètres!$E$35*$AG838*$AJ838,Paramètres!$F$35),0)</f>
        <v>0</v>
      </c>
      <c r="Z838" s="21" t="n">
        <f aca="false">ROUND(L838/Paramètres!$E$22+M838/Paramètres!$E$23+N838/Paramètres!$E$24+O838/Paramètres!$E$25+P838/Paramètres!$E$26+Q838/Paramètres!$E$27+R838/Paramètres!$E$28+S838/Paramètres!$E$29+T838/Paramètres!$E$30+U838/Paramètres!$E$31+V838/Paramètres!$E$32+W838/Paramètres!$E$33+X838/Paramètres!$E$34+Y838/Paramètres!$E$35,1)</f>
        <v>3.4</v>
      </c>
      <c r="AA838" s="22" t="s">
        <v>109</v>
      </c>
      <c r="AB838" s="22" t="s">
        <v>109</v>
      </c>
      <c r="AC838" s="15" t="str">
        <f aca="false">$E838</f>
        <v>orichalque</v>
      </c>
      <c r="AD838" s="16" t="n">
        <f aca="false" t="array" ref="AD838:AD838">IF($I838&gt;=$AI838,"Max",ROUND(Paramètres!$B$40*($I838+1)^Paramètres!$B$41*INDEX(Paramètres!$H$6:$H$12,$AF838),0))</f>
        <v>4</v>
      </c>
      <c r="AE838" s="23" t="n">
        <f aca="false">MATCH($B838&amp;"|"&amp;$C838,Profils!$A$5:$A$34,0)</f>
        <v>27</v>
      </c>
      <c r="AF838" s="23" t="n">
        <v>3</v>
      </c>
      <c r="AG838" s="24" t="n">
        <f aca="false" t="array" ref="AG838:AG838">INDEX(Paramètres!$C$6:$C$12,$AF838)</f>
        <v>1.45</v>
      </c>
      <c r="AH838" s="23" t="n">
        <f aca="false" t="array" ref="AH838:AH838">INDEX(Paramètres!$D$6:$D$12,$AF838)</f>
        <v>4</v>
      </c>
      <c r="AI838" s="23" t="n">
        <f aca="false" t="array" ref="AI838:AI838">INDEX(Matériaux!$C$16:$C$20,$D838)</f>
        <v>30</v>
      </c>
      <c r="AJ838" s="25" t="n">
        <f aca="false">Paramètres!$B$16+(1-Paramètres!$B$16)*(($J838-Paramètres!$B$14)/(Paramètres!$B$15-Paramètres!$B$14))^Paramètres!$B$17</f>
        <v>0.665999387952727</v>
      </c>
    </row>
    <row r="839" customFormat="false" ht="15.75" hidden="false" customHeight="true" outlineLevel="0" collapsed="false">
      <c r="A839" s="14" t="s">
        <v>955</v>
      </c>
      <c r="B839" s="15" t="s">
        <v>31</v>
      </c>
      <c r="C839" s="15" t="s">
        <v>305</v>
      </c>
      <c r="D839" s="16" t="n">
        <v>5</v>
      </c>
      <c r="E839" s="15" t="str">
        <f aca="false" t="array" ref="E839:E839">INDEX(Matériaux!$B$5:$F$12,MATCH(INDEX(Profils!$E$5:$E$34,$AE839),Matériaux!$A$5:$A$12,0),$D839)</f>
        <v>orichalque</v>
      </c>
      <c r="F839" s="28" t="s">
        <v>115</v>
      </c>
      <c r="G839" s="10" t="str">
        <f aca="false" t="array" ref="G839:G839">INDEX(Profils!$D$5:$D$34,$AE839)&amp;" en "&amp;$E839</f>
        <v>Bague en orichalque</v>
      </c>
      <c r="H839" s="16" t="n">
        <f aca="false" t="array" ref="H839:H839">INDEX(Matériaux!$B$16:$B$20,$D839)</f>
        <v>70</v>
      </c>
      <c r="I839" s="16" t="n">
        <f aca="false">IF(ISNUMBER($C$3),MIN(MAX(0,ROUND($C$3,0)),$AI839),$AI839)</f>
        <v>0</v>
      </c>
      <c r="J839" s="18" t="n">
        <f aca="false">$H839+$I839</f>
        <v>70</v>
      </c>
      <c r="K839" s="15" t="s">
        <v>109</v>
      </c>
      <c r="L839" s="19" t="n">
        <f aca="false" t="array" ref="L839:L839">IF(AND(INDEX(Profils!$F$5:$F$34,$AE839)&gt;0,INDEX(Profils!$U$5:$U$34,$AE839)&lt;=$AH839),ROUND(INDEX(Profils!$F$5:$F$34,$AE839)*Paramètres!$E$22*$AG839*$AJ839,Paramètres!$F$22),0)</f>
        <v>29</v>
      </c>
      <c r="M839" s="19" t="n">
        <f aca="false" t="array" ref="M839:M839">IF(AND(INDEX(Profils!$G$5:$G$34,$AE839)&gt;0,INDEX(Profils!$V$5:$V$34,$AE839)&lt;=$AH839),ROUND(INDEX(Profils!$G$5:$G$34,$AE839)*Paramètres!$E$23*$AG839*$AJ839,Paramètres!$F$23),0)</f>
        <v>0</v>
      </c>
      <c r="N839" s="19" t="n">
        <f aca="false" t="array" ref="N839:N839">IF(AND(INDEX(Profils!$H$5:$H$34,$AE839)&gt;0,INDEX(Profils!$W$5:$W$34,$AE839)&lt;=$AH839),ROUND(INDEX(Profils!$H$5:$H$34,$AE839)*Paramètres!$E$24*$AG839*$AJ839,Paramètres!$F$24),0)</f>
        <v>0</v>
      </c>
      <c r="O839" s="19" t="n">
        <f aca="false" t="array" ref="O839:O839">IF(AND(INDEX(Profils!$I$5:$I$34,$AE839)&gt;0,INDEX(Profils!$X$5:$X$34,$AE839)&lt;=$AH839),ROUND(INDEX(Profils!$I$5:$I$34,$AE839)*Paramètres!$E$25*$AG839*$AJ839,Paramètres!$F$25),0)</f>
        <v>0</v>
      </c>
      <c r="P839" s="19" t="n">
        <f aca="false" t="array" ref="P839:P839">IF(AND(INDEX(Profils!$J$5:$J$34,$AE839)&gt;0,INDEX(Profils!$Y$5:$Y$34,$AE839)&lt;=$AH839),ROUND(INDEX(Profils!$J$5:$J$34,$AE839)*Paramètres!$E$26*$AG839*$AJ839,Paramètres!$F$26),0)</f>
        <v>13</v>
      </c>
      <c r="Q839" s="19" t="n">
        <f aca="false" t="array" ref="Q839:Q839">IF(AND(INDEX(Profils!$K$5:$K$34,$AE839)&gt;0,INDEX(Profils!$Z$5:$Z$34,$AE839)&lt;=$AH839),ROUND(INDEX(Profils!$K$5:$K$34,$AE839)*Paramètres!$E$27*$AG839*$AJ839,Paramètres!$F$27),0)</f>
        <v>9</v>
      </c>
      <c r="R839" s="20" t="n">
        <f aca="false" t="array" ref="R839:R839">IF(AND(INDEX(Profils!$L$5:$L$34,$AE839)&gt;0,INDEX(Profils!$AA$5:$AA$34,$AE839)&lt;=$AH839),ROUND(INDEX(Profils!$L$5:$L$34,$AE839)*Paramètres!$E$28*$AG839*$AJ839,Paramètres!$F$28),0)</f>
        <v>0</v>
      </c>
      <c r="S839" s="20" t="n">
        <f aca="false" t="array" ref="S839:S839">IF(AND(INDEX(Profils!$M$5:$M$34,$AE839)&gt;0,INDEX(Profils!$AB$5:$AB$34,$AE839)&lt;=$AH839),ROUND(INDEX(Profils!$M$5:$M$34,$AE839)*Paramètres!$E$29*$AG839*$AJ839,Paramètres!$F$29),0)</f>
        <v>0</v>
      </c>
      <c r="T839" s="20" t="n">
        <f aca="false" t="array" ref="T839:T839">IF(AND(INDEX(Profils!$N$5:$N$34,$AE839)&gt;0,INDEX(Profils!$AC$5:$AC$34,$AE839)&lt;=$AH839),ROUND(INDEX(Profils!$N$5:$N$34,$AE839)*Paramètres!$E$30*$AG839*$AJ839,Paramètres!$F$30),0)</f>
        <v>0</v>
      </c>
      <c r="U839" s="19" t="n">
        <f aca="false" t="array" ref="U839:U839">IF(AND(INDEX(Profils!$O$5:$O$34,$AE839)&gt;0,INDEX(Profils!$AD$5:$AD$34,$AE839)&lt;=$AH839),ROUND(INDEX(Profils!$O$5:$O$34,$AE839)*Paramètres!$E$31*$AG839*$AJ839,Paramètres!$F$31),0)</f>
        <v>0</v>
      </c>
      <c r="V839" s="20" t="n">
        <f aca="false" t="array" ref="V839:V839">IF(AND(INDEX(Profils!$P$5:$P$34,$AE839)&gt;0,INDEX(Profils!$AE$5:$AE$34,$AE839)&lt;=$AH839),ROUND(INDEX(Profils!$P$5:$P$34,$AE839)*Paramètres!$E$32*$AG839*$AJ839,Paramètres!$F$32),0)</f>
        <v>0</v>
      </c>
      <c r="W839" s="20" t="n">
        <f aca="false" t="array" ref="W839:W839">IF(AND(INDEX(Profils!$Q$5:$Q$34,$AE839)&gt;0,INDEX(Profils!$AF$5:$AF$34,$AE839)&lt;=$AH839),ROUND(INDEX(Profils!$Q$5:$Q$34,$AE839)*Paramètres!$E$33*$AG839*$AJ839,Paramètres!$F$33),0)</f>
        <v>0.014</v>
      </c>
      <c r="X839" s="20" t="n">
        <f aca="false" t="array" ref="X839:X839">IF(AND(INDEX(Profils!$R$5:$R$34,$AE839)&gt;0,INDEX(Profils!$AG$5:$AG$34,$AE839)&lt;=$AH839),ROUND(INDEX(Profils!$R$5:$R$34,$AE839)*Paramètres!$E$34*$AG839*$AJ839,Paramètres!$F$34),0)</f>
        <v>0</v>
      </c>
      <c r="Y839" s="20" t="n">
        <f aca="false" t="array" ref="Y839:Y839">IF(AND(INDEX(Profils!$S$5:$S$34,$AE839)&gt;0,INDEX(Profils!$AH$5:$AH$34,$AE839)&lt;=$AH839),ROUND(INDEX(Profils!$S$5:$S$34,$AE839)*Paramètres!$E$35*$AG839*$AJ839,Paramètres!$F$35),0)</f>
        <v>0.014</v>
      </c>
      <c r="Z839" s="21" t="n">
        <f aca="false">ROUND(L839/Paramètres!$E$22+M839/Paramètres!$E$23+N839/Paramètres!$E$24+O839/Paramètres!$E$25+P839/Paramètres!$E$26+Q839/Paramètres!$E$27+R839/Paramètres!$E$28+S839/Paramètres!$E$29+T839/Paramètres!$E$30+U839/Paramètres!$E$31+V839/Paramètres!$E$32+W839/Paramètres!$E$33+X839/Paramètres!$E$34+Y839/Paramètres!$E$35,1)</f>
        <v>5</v>
      </c>
      <c r="AA839" s="22" t="s">
        <v>109</v>
      </c>
      <c r="AB839" s="22" t="s">
        <v>109</v>
      </c>
      <c r="AC839" s="15" t="str">
        <f aca="false">$E839</f>
        <v>orichalque</v>
      </c>
      <c r="AD839" s="16" t="n">
        <f aca="false" t="array" ref="AD839:AD839">IF($I839&gt;=$AI839,"Max",ROUND(Paramètres!$B$40*($I839+1)^Paramètres!$B$41*INDEX(Paramètres!$H$6:$H$12,$AF839),0))</f>
        <v>5</v>
      </c>
      <c r="AE839" s="23" t="n">
        <f aca="false">MATCH($B839&amp;"|"&amp;$C839,Profils!$A$5:$A$34,0)</f>
        <v>27</v>
      </c>
      <c r="AF839" s="23" t="n">
        <v>4</v>
      </c>
      <c r="AG839" s="24" t="n">
        <f aca="false" t="array" ref="AG839:AG839">INDEX(Paramètres!$C$6:$C$12,$AF839)</f>
        <v>1.75</v>
      </c>
      <c r="AH839" s="23" t="n">
        <f aca="false" t="array" ref="AH839:AH839">INDEX(Paramètres!$D$6:$D$12,$AF839)</f>
        <v>5</v>
      </c>
      <c r="AI839" s="23" t="n">
        <f aca="false" t="array" ref="AI839:AI839">INDEX(Matériaux!$C$16:$C$20,$D839)</f>
        <v>30</v>
      </c>
      <c r="AJ839" s="25" t="n">
        <f aca="false">Paramètres!$B$16+(1-Paramètres!$B$16)*(($J839-Paramètres!$B$14)/(Paramètres!$B$15-Paramètres!$B$14))^Paramètres!$B$17</f>
        <v>0.665999387952727</v>
      </c>
    </row>
    <row r="840" customFormat="false" ht="15.75" hidden="false" customHeight="true" outlineLevel="0" collapsed="false">
      <c r="A840" s="14" t="s">
        <v>956</v>
      </c>
      <c r="B840" s="15" t="s">
        <v>31</v>
      </c>
      <c r="C840" s="15" t="s">
        <v>305</v>
      </c>
      <c r="D840" s="16" t="n">
        <v>5</v>
      </c>
      <c r="E840" s="15" t="str">
        <f aca="false" t="array" ref="E840:E840">INDEX(Matériaux!$B$5:$F$12,MATCH(INDEX(Profils!$E$5:$E$34,$AE840),Matériaux!$A$5:$A$12,0),$D840)</f>
        <v>orichalque</v>
      </c>
      <c r="F840" s="29" t="s">
        <v>117</v>
      </c>
      <c r="G840" s="10" t="str">
        <f aca="false" t="array" ref="G840:G840">INDEX(Profils!$D$5:$D$34,$AE840)&amp;" en "&amp;$E840</f>
        <v>Bague en orichalque</v>
      </c>
      <c r="H840" s="16" t="n">
        <f aca="false" t="array" ref="H840:H840">INDEX(Matériaux!$B$16:$B$20,$D840)</f>
        <v>70</v>
      </c>
      <c r="I840" s="16" t="n">
        <f aca="false">IF(ISNUMBER($C$3),MIN(MAX(0,ROUND($C$3,0)),$AI840),$AI840)</f>
        <v>0</v>
      </c>
      <c r="J840" s="18" t="n">
        <f aca="false">$H840+$I840</f>
        <v>70</v>
      </c>
      <c r="K840" s="15" t="s">
        <v>109</v>
      </c>
      <c r="L840" s="19" t="n">
        <f aca="false" t="array" ref="L840:L840">IF(AND(INDEX(Profils!$F$5:$F$34,$AE840)&gt;0,INDEX(Profils!$U$5:$U$34,$AE840)&lt;=$AH840),ROUND(INDEX(Profils!$F$5:$F$34,$AE840)*Paramètres!$E$22*$AG840*$AJ840,Paramètres!$F$22),0)</f>
        <v>35</v>
      </c>
      <c r="M840" s="19" t="n">
        <f aca="false" t="array" ref="M840:M840">IF(AND(INDEX(Profils!$G$5:$G$34,$AE840)&gt;0,INDEX(Profils!$V$5:$V$34,$AE840)&lt;=$AH840),ROUND(INDEX(Profils!$G$5:$G$34,$AE840)*Paramètres!$E$23*$AG840*$AJ840,Paramètres!$F$23),0)</f>
        <v>0</v>
      </c>
      <c r="N840" s="19" t="n">
        <f aca="false" t="array" ref="N840:N840">IF(AND(INDEX(Profils!$H$5:$H$34,$AE840)&gt;0,INDEX(Profils!$W$5:$W$34,$AE840)&lt;=$AH840),ROUND(INDEX(Profils!$H$5:$H$34,$AE840)*Paramètres!$E$24*$AG840*$AJ840,Paramètres!$F$24),0)</f>
        <v>13</v>
      </c>
      <c r="O840" s="19" t="n">
        <f aca="false" t="array" ref="O840:O840">IF(AND(INDEX(Profils!$I$5:$I$34,$AE840)&gt;0,INDEX(Profils!$X$5:$X$34,$AE840)&lt;=$AH840),ROUND(INDEX(Profils!$I$5:$I$34,$AE840)*Paramètres!$E$25*$AG840*$AJ840,Paramètres!$F$25),0)</f>
        <v>0</v>
      </c>
      <c r="P840" s="19" t="n">
        <f aca="false" t="array" ref="P840:P840">IF(AND(INDEX(Profils!$J$5:$J$34,$AE840)&gt;0,INDEX(Profils!$Y$5:$Y$34,$AE840)&lt;=$AH840),ROUND(INDEX(Profils!$J$5:$J$34,$AE840)*Paramètres!$E$26*$AG840*$AJ840,Paramètres!$F$26),0)</f>
        <v>15</v>
      </c>
      <c r="Q840" s="19" t="n">
        <f aca="false" t="array" ref="Q840:Q840">IF(AND(INDEX(Profils!$K$5:$K$34,$AE840)&gt;0,INDEX(Profils!$Z$5:$Z$34,$AE840)&lt;=$AH840),ROUND(INDEX(Profils!$K$5:$K$34,$AE840)*Paramètres!$E$27*$AG840*$AJ840,Paramètres!$F$27),0)</f>
        <v>11</v>
      </c>
      <c r="R840" s="20" t="n">
        <f aca="false" t="array" ref="R840:R840">IF(AND(INDEX(Profils!$L$5:$L$34,$AE840)&gt;0,INDEX(Profils!$AA$5:$AA$34,$AE840)&lt;=$AH840),ROUND(INDEX(Profils!$L$5:$L$34,$AE840)*Paramètres!$E$28*$AG840*$AJ840,Paramètres!$F$28),0)</f>
        <v>0</v>
      </c>
      <c r="S840" s="20" t="n">
        <f aca="false" t="array" ref="S840:S840">IF(AND(INDEX(Profils!$M$5:$M$34,$AE840)&gt;0,INDEX(Profils!$AB$5:$AB$34,$AE840)&lt;=$AH840),ROUND(INDEX(Profils!$M$5:$M$34,$AE840)*Paramètres!$E$29*$AG840*$AJ840,Paramètres!$F$29),0)</f>
        <v>0</v>
      </c>
      <c r="T840" s="20" t="n">
        <f aca="false" t="array" ref="T840:T840">IF(AND(INDEX(Profils!$N$5:$N$34,$AE840)&gt;0,INDEX(Profils!$AC$5:$AC$34,$AE840)&lt;=$AH840),ROUND(INDEX(Profils!$N$5:$N$34,$AE840)*Paramètres!$E$30*$AG840*$AJ840,Paramètres!$F$30),0)</f>
        <v>0</v>
      </c>
      <c r="U840" s="19" t="n">
        <f aca="false" t="array" ref="U840:U840">IF(AND(INDEX(Profils!$O$5:$O$34,$AE840)&gt;0,INDEX(Profils!$AD$5:$AD$34,$AE840)&lt;=$AH840),ROUND(INDEX(Profils!$O$5:$O$34,$AE840)*Paramètres!$E$31*$AG840*$AJ840,Paramètres!$F$31),0)</f>
        <v>0</v>
      </c>
      <c r="V840" s="20" t="n">
        <f aca="false" t="array" ref="V840:V840">IF(AND(INDEX(Profils!$P$5:$P$34,$AE840)&gt;0,INDEX(Profils!$AE$5:$AE$34,$AE840)&lt;=$AH840),ROUND(INDEX(Profils!$P$5:$P$34,$AE840)*Paramètres!$E$32*$AG840*$AJ840,Paramètres!$F$32),0)</f>
        <v>0</v>
      </c>
      <c r="W840" s="20" t="n">
        <f aca="false" t="array" ref="W840:W840">IF(AND(INDEX(Profils!$Q$5:$Q$34,$AE840)&gt;0,INDEX(Profils!$AF$5:$AF$34,$AE840)&lt;=$AH840),ROUND(INDEX(Profils!$Q$5:$Q$34,$AE840)*Paramètres!$E$33*$AG840*$AJ840,Paramètres!$F$33),0)</f>
        <v>0.017</v>
      </c>
      <c r="X840" s="20" t="n">
        <f aca="false" t="array" ref="X840:X840">IF(AND(INDEX(Profils!$R$5:$R$34,$AE840)&gt;0,INDEX(Profils!$AG$5:$AG$34,$AE840)&lt;=$AH840),ROUND(INDEX(Profils!$R$5:$R$34,$AE840)*Paramètres!$E$34*$AG840*$AJ840,Paramètres!$F$34),0)</f>
        <v>0</v>
      </c>
      <c r="Y840" s="20" t="n">
        <f aca="false" t="array" ref="Y840:Y840">IF(AND(INDEX(Profils!$S$5:$S$34,$AE840)&gt;0,INDEX(Profils!$AH$5:$AH$34,$AE840)&lt;=$AH840),ROUND(INDEX(Profils!$S$5:$S$34,$AE840)*Paramètres!$E$35*$AG840*$AJ840,Paramètres!$F$35),0)</f>
        <v>0.017</v>
      </c>
      <c r="Z840" s="21" t="n">
        <f aca="false">ROUND(L840/Paramètres!$E$22+M840/Paramètres!$E$23+N840/Paramètres!$E$24+O840/Paramètres!$E$25+P840/Paramètres!$E$26+Q840/Paramètres!$E$27+R840/Paramètres!$E$28+S840/Paramètres!$E$29+T840/Paramètres!$E$30+U840/Paramètres!$E$31+V840/Paramètres!$E$32+W840/Paramètres!$E$33+X840/Paramètres!$E$34+Y840/Paramètres!$E$35,1)</f>
        <v>6.9</v>
      </c>
      <c r="AA840" s="22" t="s">
        <v>109</v>
      </c>
      <c r="AB840" s="22" t="s">
        <v>109</v>
      </c>
      <c r="AC840" s="15" t="str">
        <f aca="false">$E840</f>
        <v>orichalque</v>
      </c>
      <c r="AD840" s="16" t="n">
        <f aca="false" t="array" ref="AD840:AD840">IF($I840&gt;=$AI840,"Max",ROUND(Paramètres!$B$40*($I840+1)^Paramètres!$B$41*INDEX(Paramètres!$H$6:$H$12,$AF840),0))</f>
        <v>6</v>
      </c>
      <c r="AE840" s="23" t="n">
        <f aca="false">MATCH($B840&amp;"|"&amp;$C840,Profils!$A$5:$A$34,0)</f>
        <v>27</v>
      </c>
      <c r="AF840" s="23" t="n">
        <v>5</v>
      </c>
      <c r="AG840" s="24" t="n">
        <f aca="false" t="array" ref="AG840:AG840">INDEX(Paramètres!$C$6:$C$12,$AF840)</f>
        <v>2.1</v>
      </c>
      <c r="AH840" s="23" t="n">
        <f aca="false" t="array" ref="AH840:AH840">INDEX(Paramètres!$D$6:$D$12,$AF840)</f>
        <v>6</v>
      </c>
      <c r="AI840" s="23" t="n">
        <f aca="false" t="array" ref="AI840:AI840">INDEX(Matériaux!$C$16:$C$20,$D840)</f>
        <v>30</v>
      </c>
      <c r="AJ840" s="25" t="n">
        <f aca="false">Paramètres!$B$16+(1-Paramètres!$B$16)*(($J840-Paramètres!$B$14)/(Paramètres!$B$15-Paramètres!$B$14))^Paramètres!$B$17</f>
        <v>0.665999387952727</v>
      </c>
    </row>
    <row r="841" customFormat="false" ht="15.75" hidden="false" customHeight="true" outlineLevel="0" collapsed="false">
      <c r="A841" s="14" t="s">
        <v>957</v>
      </c>
      <c r="B841" s="15" t="s">
        <v>31</v>
      </c>
      <c r="C841" s="15" t="s">
        <v>305</v>
      </c>
      <c r="D841" s="16" t="n">
        <v>5</v>
      </c>
      <c r="E841" s="15" t="str">
        <f aca="false" t="array" ref="E841:E841">INDEX(Matériaux!$B$5:$F$12,MATCH(INDEX(Profils!$E$5:$E$34,$AE841),Matériaux!$A$5:$A$12,0),$D841)</f>
        <v>orichalque</v>
      </c>
      <c r="F841" s="30" t="s">
        <v>119</v>
      </c>
      <c r="G841" s="10" t="str">
        <f aca="false" t="array" ref="G841:G841">INDEX(Profils!$D$5:$D$34,$AE841)&amp;" en "&amp;$E841</f>
        <v>Bague en orichalque</v>
      </c>
      <c r="H841" s="16" t="n">
        <f aca="false" t="array" ref="H841:H841">INDEX(Matériaux!$B$16:$B$20,$D841)</f>
        <v>70</v>
      </c>
      <c r="I841" s="16" t="n">
        <f aca="false">IF(ISNUMBER($C$3),MIN(MAX(0,ROUND($C$3,0)),$AI841),$AI841)</f>
        <v>0</v>
      </c>
      <c r="J841" s="18" t="n">
        <f aca="false">$H841+$I841</f>
        <v>70</v>
      </c>
      <c r="K841" s="15" t="s">
        <v>109</v>
      </c>
      <c r="L841" s="19" t="n">
        <f aca="false" t="array" ref="L841:L841">IF(AND(INDEX(Profils!$F$5:$F$34,$AE841)&gt;0,INDEX(Profils!$U$5:$U$34,$AE841)&lt;=$AH841),ROUND(INDEX(Profils!$F$5:$F$34,$AE841)*Paramètres!$E$22*$AG841*$AJ841,Paramètres!$F$22),0)</f>
        <v>40</v>
      </c>
      <c r="M841" s="19" t="n">
        <f aca="false" t="array" ref="M841:M841">IF(AND(INDEX(Profils!$G$5:$G$34,$AE841)&gt;0,INDEX(Profils!$V$5:$V$34,$AE841)&lt;=$AH841),ROUND(INDEX(Profils!$G$5:$G$34,$AE841)*Paramètres!$E$23*$AG841*$AJ841,Paramètres!$F$23),0)</f>
        <v>0</v>
      </c>
      <c r="N841" s="19" t="n">
        <f aca="false" t="array" ref="N841:N841">IF(AND(INDEX(Profils!$H$5:$H$34,$AE841)&gt;0,INDEX(Profils!$W$5:$W$34,$AE841)&lt;=$AH841),ROUND(INDEX(Profils!$H$5:$H$34,$AE841)*Paramètres!$E$24*$AG841*$AJ841,Paramètres!$F$24),0)</f>
        <v>14</v>
      </c>
      <c r="O841" s="19" t="n">
        <f aca="false" t="array" ref="O841:O841">IF(AND(INDEX(Profils!$I$5:$I$34,$AE841)&gt;0,INDEX(Profils!$X$5:$X$34,$AE841)&lt;=$AH841),ROUND(INDEX(Profils!$I$5:$I$34,$AE841)*Paramètres!$E$25*$AG841*$AJ841,Paramètres!$F$25),0)</f>
        <v>0</v>
      </c>
      <c r="P841" s="19" t="n">
        <f aca="false" t="array" ref="P841:P841">IF(AND(INDEX(Profils!$J$5:$J$34,$AE841)&gt;0,INDEX(Profils!$Y$5:$Y$34,$AE841)&lt;=$AH841),ROUND(INDEX(Profils!$J$5:$J$34,$AE841)*Paramètres!$E$26*$AG841*$AJ841,Paramètres!$F$26),0)</f>
        <v>17</v>
      </c>
      <c r="Q841" s="19" t="n">
        <f aca="false" t="array" ref="Q841:Q841">IF(AND(INDEX(Profils!$K$5:$K$34,$AE841)&gt;0,INDEX(Profils!$Z$5:$Z$34,$AE841)&lt;=$AH841),ROUND(INDEX(Profils!$K$5:$K$34,$AE841)*Paramètres!$E$27*$AG841*$AJ841,Paramètres!$F$27),0)</f>
        <v>13</v>
      </c>
      <c r="R841" s="20" t="n">
        <f aca="false" t="array" ref="R841:R841">IF(AND(INDEX(Profils!$L$5:$L$34,$AE841)&gt;0,INDEX(Profils!$AA$5:$AA$34,$AE841)&lt;=$AH841),ROUND(INDEX(Profils!$L$5:$L$34,$AE841)*Paramètres!$E$28*$AG841*$AJ841,Paramètres!$F$28),0)</f>
        <v>0.012</v>
      </c>
      <c r="S841" s="20" t="n">
        <f aca="false" t="array" ref="S841:S841">IF(AND(INDEX(Profils!$M$5:$M$34,$AE841)&gt;0,INDEX(Profils!$AB$5:$AB$34,$AE841)&lt;=$AH841),ROUND(INDEX(Profils!$M$5:$M$34,$AE841)*Paramètres!$E$29*$AG841*$AJ841,Paramètres!$F$29),0)</f>
        <v>0</v>
      </c>
      <c r="T841" s="20" t="n">
        <f aca="false" t="array" ref="T841:T841">IF(AND(INDEX(Profils!$N$5:$N$34,$AE841)&gt;0,INDEX(Profils!$AC$5:$AC$34,$AE841)&lt;=$AH841),ROUND(INDEX(Profils!$N$5:$N$34,$AE841)*Paramètres!$E$30*$AG841*$AJ841,Paramètres!$F$30),0)</f>
        <v>0</v>
      </c>
      <c r="U841" s="19" t="n">
        <f aca="false" t="array" ref="U841:U841">IF(AND(INDEX(Profils!$O$5:$O$34,$AE841)&gt;0,INDEX(Profils!$AD$5:$AD$34,$AE841)&lt;=$AH841),ROUND(INDEX(Profils!$O$5:$O$34,$AE841)*Paramètres!$E$31*$AG841*$AJ841,Paramètres!$F$31),0)</f>
        <v>0</v>
      </c>
      <c r="V841" s="20" t="n">
        <f aca="false" t="array" ref="V841:V841">IF(AND(INDEX(Profils!$P$5:$P$34,$AE841)&gt;0,INDEX(Profils!$AE$5:$AE$34,$AE841)&lt;=$AH841),ROUND(INDEX(Profils!$P$5:$P$34,$AE841)*Paramètres!$E$32*$AG841*$AJ841,Paramètres!$F$32),0)</f>
        <v>0</v>
      </c>
      <c r="W841" s="20" t="n">
        <f aca="false" t="array" ref="W841:W841">IF(AND(INDEX(Profils!$Q$5:$Q$34,$AE841)&gt;0,INDEX(Profils!$AF$5:$AF$34,$AE841)&lt;=$AH841),ROUND(INDEX(Profils!$Q$5:$Q$34,$AE841)*Paramètres!$E$33*$AG841*$AJ841,Paramètres!$F$33),0)</f>
        <v>0.019</v>
      </c>
      <c r="X841" s="20" t="n">
        <f aca="false" t="array" ref="X841:X841">IF(AND(INDEX(Profils!$R$5:$R$34,$AE841)&gt;0,INDEX(Profils!$AG$5:$AG$34,$AE841)&lt;=$AH841),ROUND(INDEX(Profils!$R$5:$R$34,$AE841)*Paramètres!$E$34*$AG841*$AJ841,Paramètres!$F$34),0)</f>
        <v>0</v>
      </c>
      <c r="Y841" s="20" t="n">
        <f aca="false" t="array" ref="Y841:Y841">IF(AND(INDEX(Profils!$S$5:$S$34,$AE841)&gt;0,INDEX(Profils!$AH$5:$AH$34,$AE841)&lt;=$AH841),ROUND(INDEX(Profils!$S$5:$S$34,$AE841)*Paramètres!$E$35*$AG841*$AJ841,Paramètres!$F$35),0)</f>
        <v>0.019</v>
      </c>
      <c r="Z841" s="21" t="n">
        <f aca="false">ROUND(L841/Paramètres!$E$22+M841/Paramètres!$E$23+N841/Paramètres!$E$24+O841/Paramètres!$E$25+P841/Paramètres!$E$26+Q841/Paramètres!$E$27+R841/Paramètres!$E$28+S841/Paramètres!$E$29+T841/Paramètres!$E$30+U841/Paramètres!$E$31+V841/Paramètres!$E$32+W841/Paramètres!$E$33+X841/Paramètres!$E$34+Y841/Paramètres!$E$35,1)</f>
        <v>8.6</v>
      </c>
      <c r="AA841" s="22" t="s">
        <v>109</v>
      </c>
      <c r="AB841" s="22" t="s">
        <v>109</v>
      </c>
      <c r="AC841" s="15" t="str">
        <f aca="false">$E841</f>
        <v>orichalque</v>
      </c>
      <c r="AD841" s="16" t="n">
        <f aca="false" t="array" ref="AD841:AD841">IF($I841&gt;=$AI841,"Max",ROUND(Paramètres!$B$40*($I841+1)^Paramètres!$B$41*INDEX(Paramètres!$H$6:$H$12,$AF841),0))</f>
        <v>8</v>
      </c>
      <c r="AE841" s="23" t="n">
        <f aca="false">MATCH($B841&amp;"|"&amp;$C841,Profils!$A$5:$A$34,0)</f>
        <v>27</v>
      </c>
      <c r="AF841" s="23" t="n">
        <v>6</v>
      </c>
      <c r="AG841" s="24" t="n">
        <f aca="false" t="array" ref="AG841:AG841">INDEX(Paramètres!$C$6:$C$12,$AF841)</f>
        <v>2.4</v>
      </c>
      <c r="AH841" s="23" t="n">
        <f aca="false" t="array" ref="AH841:AH841">INDEX(Paramètres!$D$6:$D$12,$AF841)</f>
        <v>7</v>
      </c>
      <c r="AI841" s="23" t="n">
        <f aca="false" t="array" ref="AI841:AI841">INDEX(Matériaux!$C$16:$C$20,$D841)</f>
        <v>30</v>
      </c>
      <c r="AJ841" s="25" t="n">
        <f aca="false">Paramètres!$B$16+(1-Paramètres!$B$16)*(($J841-Paramètres!$B$14)/(Paramètres!$B$15-Paramètres!$B$14))^Paramètres!$B$17</f>
        <v>0.665999387952727</v>
      </c>
    </row>
    <row r="842" customFormat="false" ht="15.75" hidden="false" customHeight="true" outlineLevel="0" collapsed="false">
      <c r="A842" s="14" t="s">
        <v>958</v>
      </c>
      <c r="B842" s="15" t="s">
        <v>31</v>
      </c>
      <c r="C842" s="15" t="s">
        <v>305</v>
      </c>
      <c r="D842" s="16" t="s">
        <v>109</v>
      </c>
      <c r="E842" s="15" t="s">
        <v>109</v>
      </c>
      <c r="F842" s="31" t="s">
        <v>38</v>
      </c>
      <c r="G842" s="10" t="str">
        <f aca="false" t="array" ref="G842:G842">INDEX(Uniques!$E$5:$E$34,MATCH($B842&amp;"|"&amp;$C842,Uniques!$A$5:$A$34,0))</f>
        <v>Bague du Dernier Souffle</v>
      </c>
      <c r="H842" s="16" t="n">
        <f aca="false" t="array" ref="H842:H842">INDEX(Uniques!$L$5:$L$34,MATCH($B842&amp;"|"&amp;$C842,Uniques!$A$5:$A$34,0))</f>
        <v>1</v>
      </c>
      <c r="I842" s="16" t="n">
        <f aca="false">IF(ISNUMBER($C$3),MIN(MAX(0,ROUND($C$3,0)),$AI842),$AI842)</f>
        <v>0</v>
      </c>
      <c r="J842" s="18" t="n">
        <f aca="false">$H842+$I842</f>
        <v>1</v>
      </c>
      <c r="K842" s="15" t="str">
        <f aca="false" t="array" ref="K842:K842">INDEX(Uniques!$F$5:$F$34,MATCH($B842&amp;"|"&amp;$C842,Uniques!$A$5:$A$34,0))</f>
        <v>Neutre</v>
      </c>
      <c r="L842" s="19" t="n">
        <f aca="false" t="array" ref="L842:L842">IF(AND(INDEX(Profils!$F$5:$F$34,$AE842)&gt;0,INDEX(Profils!$U$5:$U$34,$AE842)&lt;=$AH842),ROUND(INDEX(Profils!$F$5:$F$34,$AE842)*Paramètres!$E$22*$AG842*$AJ842,Paramètres!$F$22),0)</f>
        <v>3</v>
      </c>
      <c r="M842" s="19" t="n">
        <f aca="false" t="array" ref="M842:M842">IF(AND(INDEX(Profils!$G$5:$G$34,$AE842)&gt;0,INDEX(Profils!$V$5:$V$34,$AE842)&lt;=$AH842),ROUND(INDEX(Profils!$G$5:$G$34,$AE842)*Paramètres!$E$23*$AG842*$AJ842,Paramètres!$F$23),0)</f>
        <v>0</v>
      </c>
      <c r="N842" s="19" t="n">
        <f aca="false" t="array" ref="N842:N842">IF(AND(INDEX(Profils!$H$5:$H$34,$AE842)&gt;0,INDEX(Profils!$W$5:$W$34,$AE842)&lt;=$AH842),ROUND(INDEX(Profils!$H$5:$H$34,$AE842)*Paramètres!$E$24*$AG842*$AJ842,Paramètres!$F$24),0)</f>
        <v>1</v>
      </c>
      <c r="O842" s="19" t="n">
        <f aca="false" t="array" ref="O842:O842">IF(AND(INDEX(Profils!$I$5:$I$34,$AE842)&gt;0,INDEX(Profils!$X$5:$X$34,$AE842)&lt;=$AH842),ROUND(INDEX(Profils!$I$5:$I$34,$AE842)*Paramètres!$E$25*$AG842*$AJ842,Paramètres!$F$25),0)</f>
        <v>0</v>
      </c>
      <c r="P842" s="19" t="n">
        <f aca="false" t="array" ref="P842:P842">IF(AND(INDEX(Profils!$J$5:$J$34,$AE842)&gt;0,INDEX(Profils!$Y$5:$Y$34,$AE842)&lt;=$AH842),ROUND(INDEX(Profils!$J$5:$J$34,$AE842)*Paramètres!$E$26*$AG842*$AJ842,Paramètres!$F$26),0)</f>
        <v>1</v>
      </c>
      <c r="Q842" s="19" t="n">
        <f aca="false" t="array" ref="Q842:Q842">IF(AND(INDEX(Profils!$K$5:$K$34,$AE842)&gt;0,INDEX(Profils!$Z$5:$Z$34,$AE842)&lt;=$AH842),ROUND(INDEX(Profils!$K$5:$K$34,$AE842)*Paramètres!$E$27*$AG842*$AJ842,Paramètres!$F$27),0)</f>
        <v>1</v>
      </c>
      <c r="R842" s="20" t="n">
        <f aca="false" t="array" ref="R842:R842">IF(AND(INDEX(Profils!$L$5:$L$34,$AE842)&gt;0,INDEX(Profils!$AA$5:$AA$34,$AE842)&lt;=$AH842),ROUND(INDEX(Profils!$L$5:$L$34,$AE842)*Paramètres!$E$28*$AG842*$AJ842,Paramètres!$F$28),0)</f>
        <v>0.001</v>
      </c>
      <c r="S842" s="20" t="n">
        <f aca="false" t="array" ref="S842:S842">IF(AND(INDEX(Profils!$M$5:$M$34,$AE842)&gt;0,INDEX(Profils!$AB$5:$AB$34,$AE842)&lt;=$AH842),ROUND(INDEX(Profils!$M$5:$M$34,$AE842)*Paramètres!$E$29*$AG842*$AJ842,Paramètres!$F$29),0)</f>
        <v>0</v>
      </c>
      <c r="T842" s="20" t="n">
        <f aca="false" t="array" ref="T842:T842">IF(AND(INDEX(Profils!$N$5:$N$34,$AE842)&gt;0,INDEX(Profils!$AC$5:$AC$34,$AE842)&lt;=$AH842),ROUND(INDEX(Profils!$N$5:$N$34,$AE842)*Paramètres!$E$30*$AG842*$AJ842,Paramètres!$F$30),0)</f>
        <v>0</v>
      </c>
      <c r="U842" s="19" t="n">
        <f aca="false" t="array" ref="U842:U842">IF(AND(INDEX(Profils!$O$5:$O$34,$AE842)&gt;0,INDEX(Profils!$AD$5:$AD$34,$AE842)&lt;=$AH842),ROUND(INDEX(Profils!$O$5:$O$34,$AE842)*Paramètres!$E$31*$AG842*$AJ842,Paramètres!$F$31),0)</f>
        <v>0</v>
      </c>
      <c r="V842" s="20" t="n">
        <f aca="false" t="array" ref="V842:V842">IF(AND(INDEX(Profils!$P$5:$P$34,$AE842)&gt;0,INDEX(Profils!$AE$5:$AE$34,$AE842)&lt;=$AH842),ROUND(INDEX(Profils!$P$5:$P$34,$AE842)*Paramètres!$E$32*$AG842*$AJ842,Paramètres!$F$32),0)</f>
        <v>0</v>
      </c>
      <c r="W842" s="20" t="n">
        <f aca="false" t="array" ref="W842:W842">IF(AND(INDEX(Profils!$Q$5:$Q$34,$AE842)&gt;0,INDEX(Profils!$AF$5:$AF$34,$AE842)&lt;=$AH842),ROUND(INDEX(Profils!$Q$5:$Q$34,$AE842)*Paramètres!$E$33*$AG842*$AJ842,Paramètres!$F$33),0)</f>
        <v>0.002</v>
      </c>
      <c r="X842" s="20" t="n">
        <f aca="false" t="array" ref="X842:X842">IF(AND(INDEX(Profils!$R$5:$R$34,$AE842)&gt;0,INDEX(Profils!$AG$5:$AG$34,$AE842)&lt;=$AH842),ROUND(INDEX(Profils!$R$5:$R$34,$AE842)*Paramètres!$E$34*$AG842*$AJ842,Paramètres!$F$34),0)</f>
        <v>0</v>
      </c>
      <c r="Y842" s="20" t="n">
        <f aca="false" t="array" ref="Y842:Y842">IF(AND(INDEX(Profils!$S$5:$S$34,$AE842)&gt;0,INDEX(Profils!$AH$5:$AH$34,$AE842)&lt;=$AH842),ROUND(INDEX(Profils!$S$5:$S$34,$AE842)*Paramètres!$E$35*$AG842*$AJ842,Paramètres!$F$35),0)</f>
        <v>0.002</v>
      </c>
      <c r="Z842" s="21" t="n">
        <f aca="false">ROUND(L842/Paramètres!$E$22+M842/Paramètres!$E$23+N842/Paramètres!$E$24+O842/Paramètres!$E$25+P842/Paramètres!$E$26+Q842/Paramètres!$E$27+R842/Paramètres!$E$28+S842/Paramètres!$E$29+T842/Paramètres!$E$30+U842/Paramètres!$E$31+V842/Paramètres!$E$32+W842/Paramètres!$E$33+X842/Paramètres!$E$34+Y842/Paramètres!$E$35,1)</f>
        <v>0.7</v>
      </c>
      <c r="AA842" s="22" t="str">
        <f aca="false" t="array" ref="AA842:AA842">INDEX(Uniques!$G$5:$G$34,MATCH($B842&amp;"|"&amp;$C842,Uniques!$A$5:$A$34,0))</f>
        <v>Dernier souffle</v>
      </c>
      <c r="AB842" s="22" t="str">
        <f aca="false" t="array" ref="AB842:AB842">INDEX(Uniques!$H$5:$H$34,MATCH($B842&amp;"|"&amp;$C842,Uniques!$A$5:$A$34,0))&amp;" ["&amp;INDEX(Uniques!$I$5:$I$34,MATCH($B842&amp;"|"&amp;$C842,Uniques!$A$5:$A$34,0))&amp;"]"</f>
        <v>Un coup qui devrait vaincre le porteur le laisse à 1 PV et lui donne +20 % d'Esquive pendant 2 tours. [1 fois par combat.]</v>
      </c>
      <c r="AC842" s="15" t="str">
        <f aca="false" t="array" ref="AC842:AC842">INDEX(Matériaux!$B$5:$F$12,MATCH(INDEX(Profils!$E$5:$E$34,$AE842),Matériaux!$A$5:$A$12,0),MATCH(MIN($J842+1,100),Matériaux!$B$16:$B$20,1))</f>
        <v>cuivre</v>
      </c>
      <c r="AD842" s="16" t="n">
        <f aca="false" t="array" ref="AD842:AD842">IF($I842&gt;=$AI842,"Max",ROUND(Paramètres!$B$40*($I842+1)^Paramètres!$B$41*INDEX(Paramètres!$H$6:$H$12,$AF842),0))</f>
        <v>9</v>
      </c>
      <c r="AE842" s="23" t="n">
        <f aca="false">MATCH($B842&amp;"|"&amp;$C842,Profils!$A$5:$A$34,0)</f>
        <v>27</v>
      </c>
      <c r="AF842" s="23" t="n">
        <v>7</v>
      </c>
      <c r="AG842" s="24" t="n">
        <f aca="false" t="array" ref="AG842:AG842">INDEX(Paramètres!$C$6:$C$12,$AF842)</f>
        <v>2.5</v>
      </c>
      <c r="AH842" s="23" t="n">
        <f aca="false" t="array" ref="AH842:AH842">INDEX(Paramètres!$D$6:$D$12,$AF842)</f>
        <v>7</v>
      </c>
      <c r="AI842" s="23" t="n">
        <f aca="false" t="array" ref="AI842:AI842">INDEX(Uniques!$M$5:$M$34,MATCH($B842&amp;"|"&amp;$C842,Uniques!$A$5:$A$34,0))</f>
        <v>99</v>
      </c>
      <c r="AJ842" s="25" t="n">
        <f aca="false">Paramètres!$B$16+(1-Paramètres!$B$16)*(($J842-Paramètres!$B$14)/(Paramètres!$B$15-Paramètres!$B$14))^Paramètres!$B$17</f>
        <v>0.05</v>
      </c>
    </row>
    <row r="843" customFormat="false" ht="15.75" hidden="false" customHeight="true" outlineLevel="0" collapsed="false">
      <c r="A843" s="14" t="s">
        <v>959</v>
      </c>
      <c r="B843" s="15" t="s">
        <v>31</v>
      </c>
      <c r="C843" s="15" t="s">
        <v>337</v>
      </c>
      <c r="D843" s="16" t="n">
        <v>1</v>
      </c>
      <c r="E843" s="15" t="str">
        <f aca="false" t="array" ref="E843:E843">INDEX(Matériaux!$B$5:$F$12,MATCH(INDEX(Profils!$E$5:$E$34,$AE843),Matériaux!$A$5:$A$12,0),$D843)</f>
        <v>toile</v>
      </c>
      <c r="F843" s="17" t="s">
        <v>108</v>
      </c>
      <c r="G843" s="10" t="str">
        <f aca="false" t="array" ref="G843:G843">INDEX(Profils!$D$5:$D$34,$AE843)&amp;" en "&amp;$E843</f>
        <v>Ceinture en toile</v>
      </c>
      <c r="H843" s="16" t="n">
        <f aca="false" t="array" ref="H843:H843">INDEX(Matériaux!$B$16:$B$20,$D843)</f>
        <v>1</v>
      </c>
      <c r="I843" s="16" t="n">
        <f aca="false">IF(ISNUMBER($C$3),MIN(MAX(0,ROUND($C$3,0)),$AI843),$AI843)</f>
        <v>0</v>
      </c>
      <c r="J843" s="18" t="n">
        <f aca="false">$H843+$I843</f>
        <v>1</v>
      </c>
      <c r="K843" s="15" t="s">
        <v>109</v>
      </c>
      <c r="L843" s="19" t="n">
        <f aca="false" t="array" ref="L843:L843">IF(AND(INDEX(Profils!$F$5:$F$34,$AE843)&gt;0,INDEX(Profils!$U$5:$U$34,$AE843)&lt;=$AH843),ROUND(INDEX(Profils!$F$5:$F$34,$AE843)*Paramètres!$E$22*$AG843*$AJ843,Paramètres!$F$22),0)</f>
        <v>0</v>
      </c>
      <c r="M843" s="19" t="n">
        <f aca="false" t="array" ref="M843:M843">IF(AND(INDEX(Profils!$G$5:$G$34,$AE843)&gt;0,INDEX(Profils!$V$5:$V$34,$AE843)&lt;=$AH843),ROUND(INDEX(Profils!$G$5:$G$34,$AE843)*Paramètres!$E$23*$AG843*$AJ843,Paramètres!$F$23),0)</f>
        <v>0</v>
      </c>
      <c r="N843" s="19" t="n">
        <f aca="false" t="array" ref="N843:N843">IF(AND(INDEX(Profils!$H$5:$H$34,$AE843)&gt;0,INDEX(Profils!$W$5:$W$34,$AE843)&lt;=$AH843),ROUND(INDEX(Profils!$H$5:$H$34,$AE843)*Paramètres!$E$24*$AG843*$AJ843,Paramètres!$F$24),0)</f>
        <v>0</v>
      </c>
      <c r="O843" s="19" t="n">
        <f aca="false" t="array" ref="O843:O843">IF(AND(INDEX(Profils!$I$5:$I$34,$AE843)&gt;0,INDEX(Profils!$X$5:$X$34,$AE843)&lt;=$AH843),ROUND(INDEX(Profils!$I$5:$I$34,$AE843)*Paramètres!$E$25*$AG843*$AJ843,Paramètres!$F$25),0)</f>
        <v>0</v>
      </c>
      <c r="P843" s="19" t="n">
        <f aca="false" t="array" ref="P843:P843">IF(AND(INDEX(Profils!$J$5:$J$34,$AE843)&gt;0,INDEX(Profils!$Y$5:$Y$34,$AE843)&lt;=$AH843),ROUND(INDEX(Profils!$J$5:$J$34,$AE843)*Paramètres!$E$26*$AG843*$AJ843,Paramètres!$F$26),0)</f>
        <v>1</v>
      </c>
      <c r="Q843" s="19" t="n">
        <f aca="false" t="array" ref="Q843:Q843">IF(AND(INDEX(Profils!$K$5:$K$34,$AE843)&gt;0,INDEX(Profils!$Z$5:$Z$34,$AE843)&lt;=$AH843),ROUND(INDEX(Profils!$K$5:$K$34,$AE843)*Paramètres!$E$27*$AG843*$AJ843,Paramètres!$F$27),0)</f>
        <v>0</v>
      </c>
      <c r="R843" s="20" t="n">
        <f aca="false" t="array" ref="R843:R843">IF(AND(INDEX(Profils!$L$5:$L$34,$AE843)&gt;0,INDEX(Profils!$AA$5:$AA$34,$AE843)&lt;=$AH843),ROUND(INDEX(Profils!$L$5:$L$34,$AE843)*Paramètres!$E$28*$AG843*$AJ843,Paramètres!$F$28),0)</f>
        <v>0.001</v>
      </c>
      <c r="S843" s="20" t="n">
        <f aca="false" t="array" ref="S843:S843">IF(AND(INDEX(Profils!$M$5:$M$34,$AE843)&gt;0,INDEX(Profils!$AB$5:$AB$34,$AE843)&lt;=$AH843),ROUND(INDEX(Profils!$M$5:$M$34,$AE843)*Paramètres!$E$29*$AG843*$AJ843,Paramètres!$F$29),0)</f>
        <v>0</v>
      </c>
      <c r="T843" s="20" t="n">
        <f aca="false" t="array" ref="T843:T843">IF(AND(INDEX(Profils!$N$5:$N$34,$AE843)&gt;0,INDEX(Profils!$AC$5:$AC$34,$AE843)&lt;=$AH843),ROUND(INDEX(Profils!$N$5:$N$34,$AE843)*Paramètres!$E$30*$AG843*$AJ843,Paramètres!$F$30),0)</f>
        <v>0</v>
      </c>
      <c r="U843" s="19" t="n">
        <f aca="false" t="array" ref="U843:U843">IF(AND(INDEX(Profils!$O$5:$O$34,$AE843)&gt;0,INDEX(Profils!$AD$5:$AD$34,$AE843)&lt;=$AH843),ROUND(INDEX(Profils!$O$5:$O$34,$AE843)*Paramètres!$E$31*$AG843*$AJ843,Paramètres!$F$31),0)</f>
        <v>0</v>
      </c>
      <c r="V843" s="20" t="n">
        <f aca="false" t="array" ref="V843:V843">IF(AND(INDEX(Profils!$P$5:$P$34,$AE843)&gt;0,INDEX(Profils!$AE$5:$AE$34,$AE843)&lt;=$AH843),ROUND(INDEX(Profils!$P$5:$P$34,$AE843)*Paramètres!$E$32*$AG843*$AJ843,Paramètres!$F$32),0)</f>
        <v>0</v>
      </c>
      <c r="W843" s="20" t="n">
        <f aca="false" t="array" ref="W843:W843">IF(AND(INDEX(Profils!$Q$5:$Q$34,$AE843)&gt;0,INDEX(Profils!$AF$5:$AF$34,$AE843)&lt;=$AH843),ROUND(INDEX(Profils!$Q$5:$Q$34,$AE843)*Paramètres!$E$33*$AG843*$AJ843,Paramètres!$F$33),0)</f>
        <v>0</v>
      </c>
      <c r="X843" s="20" t="n">
        <f aca="false" t="array" ref="X843:X843">IF(AND(INDEX(Profils!$R$5:$R$34,$AE843)&gt;0,INDEX(Profils!$AG$5:$AG$34,$AE843)&lt;=$AH843),ROUND(INDEX(Profils!$R$5:$R$34,$AE843)*Paramètres!$E$34*$AG843*$AJ843,Paramètres!$F$34),0)</f>
        <v>0</v>
      </c>
      <c r="Y843" s="20" t="n">
        <f aca="false" t="array" ref="Y843:Y843">IF(AND(INDEX(Profils!$S$5:$S$34,$AE843)&gt;0,INDEX(Profils!$AH$5:$AH$34,$AE843)&lt;=$AH843),ROUND(INDEX(Profils!$S$5:$S$34,$AE843)*Paramètres!$E$35*$AG843*$AJ843,Paramètres!$F$35),0)</f>
        <v>0</v>
      </c>
      <c r="Z843" s="21" t="n">
        <f aca="false">ROUND(L843/Paramètres!$E$22+M843/Paramètres!$E$23+N843/Paramètres!$E$24+O843/Paramètres!$E$25+P843/Paramètres!$E$26+Q843/Paramètres!$E$27+R843/Paramètres!$E$28+S843/Paramètres!$E$29+T843/Paramètres!$E$30+U843/Paramètres!$E$31+V843/Paramètres!$E$32+W843/Paramètres!$E$33+X843/Paramètres!$E$34+Y843/Paramètres!$E$35,1)</f>
        <v>0.2</v>
      </c>
      <c r="AA843" s="22" t="s">
        <v>109</v>
      </c>
      <c r="AB843" s="22" t="s">
        <v>109</v>
      </c>
      <c r="AC843" s="15" t="str">
        <f aca="false">$E843</f>
        <v>toile</v>
      </c>
      <c r="AD843" s="16" t="n">
        <f aca="false" t="array" ref="AD843:AD843">IF($I843&gt;=$AI843,"Max",ROUND(Paramètres!$B$40*($I843+1)^Paramètres!$B$41*INDEX(Paramètres!$H$6:$H$12,$AF843),0))</f>
        <v>3</v>
      </c>
      <c r="AE843" s="23" t="n">
        <f aca="false">MATCH($B843&amp;"|"&amp;$C843,Profils!$A$5:$A$34,0)</f>
        <v>28</v>
      </c>
      <c r="AF843" s="23" t="n">
        <v>1</v>
      </c>
      <c r="AG843" s="24" t="n">
        <f aca="false" t="array" ref="AG843:AG843">INDEX(Paramètres!$C$6:$C$12,$AF843)</f>
        <v>1</v>
      </c>
      <c r="AH843" s="23" t="n">
        <f aca="false" t="array" ref="AH843:AH843">INDEX(Paramètres!$D$6:$D$12,$AF843)</f>
        <v>2</v>
      </c>
      <c r="AI843" s="23" t="n">
        <f aca="false" t="array" ref="AI843:AI843">INDEX(Matériaux!$C$16:$C$20,$D843)</f>
        <v>19</v>
      </c>
      <c r="AJ843" s="25" t="n">
        <f aca="false">Paramètres!$B$16+(1-Paramètres!$B$16)*(($J843-Paramètres!$B$14)/(Paramètres!$B$15-Paramètres!$B$14))^Paramètres!$B$17</f>
        <v>0.05</v>
      </c>
    </row>
    <row r="844" customFormat="false" ht="15.75" hidden="false" customHeight="true" outlineLevel="0" collapsed="false">
      <c r="A844" s="14" t="s">
        <v>960</v>
      </c>
      <c r="B844" s="15" t="s">
        <v>31</v>
      </c>
      <c r="C844" s="15" t="s">
        <v>337</v>
      </c>
      <c r="D844" s="16" t="n">
        <v>1</v>
      </c>
      <c r="E844" s="15" t="str">
        <f aca="false" t="array" ref="E844:E844">INDEX(Matériaux!$B$5:$F$12,MATCH(INDEX(Profils!$E$5:$E$34,$AE844),Matériaux!$A$5:$A$12,0),$D844)</f>
        <v>toile</v>
      </c>
      <c r="F844" s="26" t="s">
        <v>111</v>
      </c>
      <c r="G844" s="10" t="str">
        <f aca="false" t="array" ref="G844:G844">INDEX(Profils!$D$5:$D$34,$AE844)&amp;" en "&amp;$E844</f>
        <v>Ceinture en toile</v>
      </c>
      <c r="H844" s="16" t="n">
        <f aca="false" t="array" ref="H844:H844">INDEX(Matériaux!$B$16:$B$20,$D844)</f>
        <v>1</v>
      </c>
      <c r="I844" s="16" t="n">
        <f aca="false">IF(ISNUMBER($C$3),MIN(MAX(0,ROUND($C$3,0)),$AI844),$AI844)</f>
        <v>0</v>
      </c>
      <c r="J844" s="18" t="n">
        <f aca="false">$H844+$I844</f>
        <v>1</v>
      </c>
      <c r="K844" s="15" t="s">
        <v>109</v>
      </c>
      <c r="L844" s="19" t="n">
        <f aca="false" t="array" ref="L844:L844">IF(AND(INDEX(Profils!$F$5:$F$34,$AE844)&gt;0,INDEX(Profils!$U$5:$U$34,$AE844)&lt;=$AH844),ROUND(INDEX(Profils!$F$5:$F$34,$AE844)*Paramètres!$E$22*$AG844*$AJ844,Paramètres!$F$22),0)</f>
        <v>1</v>
      </c>
      <c r="M844" s="19" t="n">
        <f aca="false" t="array" ref="M844:M844">IF(AND(INDEX(Profils!$G$5:$G$34,$AE844)&gt;0,INDEX(Profils!$V$5:$V$34,$AE844)&lt;=$AH844),ROUND(INDEX(Profils!$G$5:$G$34,$AE844)*Paramètres!$E$23*$AG844*$AJ844,Paramètres!$F$23),0)</f>
        <v>0</v>
      </c>
      <c r="N844" s="19" t="n">
        <f aca="false" t="array" ref="N844:N844">IF(AND(INDEX(Profils!$H$5:$H$34,$AE844)&gt;0,INDEX(Profils!$W$5:$W$34,$AE844)&lt;=$AH844),ROUND(INDEX(Profils!$H$5:$H$34,$AE844)*Paramètres!$E$24*$AG844*$AJ844,Paramètres!$F$24),0)</f>
        <v>0</v>
      </c>
      <c r="O844" s="19" t="n">
        <f aca="false" t="array" ref="O844:O844">IF(AND(INDEX(Profils!$I$5:$I$34,$AE844)&gt;0,INDEX(Profils!$X$5:$X$34,$AE844)&lt;=$AH844),ROUND(INDEX(Profils!$I$5:$I$34,$AE844)*Paramètres!$E$25*$AG844*$AJ844,Paramètres!$F$25),0)</f>
        <v>0</v>
      </c>
      <c r="P844" s="19" t="n">
        <f aca="false" t="array" ref="P844:P844">IF(AND(INDEX(Profils!$J$5:$J$34,$AE844)&gt;0,INDEX(Profils!$Y$5:$Y$34,$AE844)&lt;=$AH844),ROUND(INDEX(Profils!$J$5:$J$34,$AE844)*Paramètres!$E$26*$AG844*$AJ844,Paramètres!$F$26),0)</f>
        <v>1</v>
      </c>
      <c r="Q844" s="19" t="n">
        <f aca="false" t="array" ref="Q844:Q844">IF(AND(INDEX(Profils!$K$5:$K$34,$AE844)&gt;0,INDEX(Profils!$Z$5:$Z$34,$AE844)&lt;=$AH844),ROUND(INDEX(Profils!$K$5:$K$34,$AE844)*Paramètres!$E$27*$AG844*$AJ844,Paramètres!$F$27),0)</f>
        <v>0</v>
      </c>
      <c r="R844" s="20" t="n">
        <f aca="false" t="array" ref="R844:R844">IF(AND(INDEX(Profils!$L$5:$L$34,$AE844)&gt;0,INDEX(Profils!$AA$5:$AA$34,$AE844)&lt;=$AH844),ROUND(INDEX(Profils!$L$5:$L$34,$AE844)*Paramètres!$E$28*$AG844*$AJ844,Paramètres!$F$28),0)</f>
        <v>0.001</v>
      </c>
      <c r="S844" s="20" t="n">
        <f aca="false" t="array" ref="S844:S844">IF(AND(INDEX(Profils!$M$5:$M$34,$AE844)&gt;0,INDEX(Profils!$AB$5:$AB$34,$AE844)&lt;=$AH844),ROUND(INDEX(Profils!$M$5:$M$34,$AE844)*Paramètres!$E$29*$AG844*$AJ844,Paramètres!$F$29),0)</f>
        <v>0</v>
      </c>
      <c r="T844" s="20" t="n">
        <f aca="false" t="array" ref="T844:T844">IF(AND(INDEX(Profils!$N$5:$N$34,$AE844)&gt;0,INDEX(Profils!$AC$5:$AC$34,$AE844)&lt;=$AH844),ROUND(INDEX(Profils!$N$5:$N$34,$AE844)*Paramètres!$E$30*$AG844*$AJ844,Paramètres!$F$30),0)</f>
        <v>0</v>
      </c>
      <c r="U844" s="19" t="n">
        <f aca="false" t="array" ref="U844:U844">IF(AND(INDEX(Profils!$O$5:$O$34,$AE844)&gt;0,INDEX(Profils!$AD$5:$AD$34,$AE844)&lt;=$AH844),ROUND(INDEX(Profils!$O$5:$O$34,$AE844)*Paramètres!$E$31*$AG844*$AJ844,Paramètres!$F$31),0)</f>
        <v>0</v>
      </c>
      <c r="V844" s="20" t="n">
        <f aca="false" t="array" ref="V844:V844">IF(AND(INDEX(Profils!$P$5:$P$34,$AE844)&gt;0,INDEX(Profils!$AE$5:$AE$34,$AE844)&lt;=$AH844),ROUND(INDEX(Profils!$P$5:$P$34,$AE844)*Paramètres!$E$32*$AG844*$AJ844,Paramètres!$F$32),0)</f>
        <v>0</v>
      </c>
      <c r="W844" s="20" t="n">
        <f aca="false" t="array" ref="W844:W844">IF(AND(INDEX(Profils!$Q$5:$Q$34,$AE844)&gt;0,INDEX(Profils!$AF$5:$AF$34,$AE844)&lt;=$AH844),ROUND(INDEX(Profils!$Q$5:$Q$34,$AE844)*Paramètres!$E$33*$AG844*$AJ844,Paramètres!$F$33),0)</f>
        <v>0</v>
      </c>
      <c r="X844" s="20" t="n">
        <f aca="false" t="array" ref="X844:X844">IF(AND(INDEX(Profils!$R$5:$R$34,$AE844)&gt;0,INDEX(Profils!$AG$5:$AG$34,$AE844)&lt;=$AH844),ROUND(INDEX(Profils!$R$5:$R$34,$AE844)*Paramètres!$E$34*$AG844*$AJ844,Paramètres!$F$34),0)</f>
        <v>0</v>
      </c>
      <c r="Y844" s="20" t="n">
        <f aca="false" t="array" ref="Y844:Y844">IF(AND(INDEX(Profils!$S$5:$S$34,$AE844)&gt;0,INDEX(Profils!$AH$5:$AH$34,$AE844)&lt;=$AH844),ROUND(INDEX(Profils!$S$5:$S$34,$AE844)*Paramètres!$E$35*$AG844*$AJ844,Paramètres!$F$35),0)</f>
        <v>0</v>
      </c>
      <c r="Z844" s="21" t="n">
        <f aca="false">ROUND(L844/Paramètres!$E$22+M844/Paramètres!$E$23+N844/Paramètres!$E$24+O844/Paramètres!$E$25+P844/Paramètres!$E$26+Q844/Paramètres!$E$27+R844/Paramètres!$E$28+S844/Paramètres!$E$29+T844/Paramètres!$E$30+U844/Paramètres!$E$31+V844/Paramètres!$E$32+W844/Paramètres!$E$33+X844/Paramètres!$E$34+Y844/Paramètres!$E$35,1)</f>
        <v>0.2</v>
      </c>
      <c r="AA844" s="22" t="s">
        <v>109</v>
      </c>
      <c r="AB844" s="22" t="s">
        <v>109</v>
      </c>
      <c r="AC844" s="15" t="str">
        <f aca="false">$E844</f>
        <v>toile</v>
      </c>
      <c r="AD844" s="16" t="n">
        <f aca="false" t="array" ref="AD844:AD844">IF($I844&gt;=$AI844,"Max",ROUND(Paramètres!$B$40*($I844+1)^Paramètres!$B$41*INDEX(Paramètres!$H$6:$H$12,$AF844),0))</f>
        <v>4</v>
      </c>
      <c r="AE844" s="23" t="n">
        <f aca="false">MATCH($B844&amp;"|"&amp;$C844,Profils!$A$5:$A$34,0)</f>
        <v>28</v>
      </c>
      <c r="AF844" s="23" t="n">
        <v>2</v>
      </c>
      <c r="AG844" s="24" t="n">
        <f aca="false" t="array" ref="AG844:AG844">INDEX(Paramètres!$C$6:$C$12,$AF844)</f>
        <v>1.2</v>
      </c>
      <c r="AH844" s="23" t="n">
        <f aca="false" t="array" ref="AH844:AH844">INDEX(Paramètres!$D$6:$D$12,$AF844)</f>
        <v>3</v>
      </c>
      <c r="AI844" s="23" t="n">
        <f aca="false" t="array" ref="AI844:AI844">INDEX(Matériaux!$C$16:$C$20,$D844)</f>
        <v>19</v>
      </c>
      <c r="AJ844" s="25" t="n">
        <f aca="false">Paramètres!$B$16+(1-Paramètres!$B$16)*(($J844-Paramètres!$B$14)/(Paramètres!$B$15-Paramètres!$B$14))^Paramètres!$B$17</f>
        <v>0.05</v>
      </c>
    </row>
    <row r="845" customFormat="false" ht="15.75" hidden="false" customHeight="true" outlineLevel="0" collapsed="false">
      <c r="A845" s="14" t="s">
        <v>961</v>
      </c>
      <c r="B845" s="15" t="s">
        <v>31</v>
      </c>
      <c r="C845" s="15" t="s">
        <v>337</v>
      </c>
      <c r="D845" s="16" t="n">
        <v>1</v>
      </c>
      <c r="E845" s="15" t="str">
        <f aca="false" t="array" ref="E845:E845">INDEX(Matériaux!$B$5:$F$12,MATCH(INDEX(Profils!$E$5:$E$34,$AE845),Matériaux!$A$5:$A$12,0),$D845)</f>
        <v>toile</v>
      </c>
      <c r="F845" s="27" t="s">
        <v>113</v>
      </c>
      <c r="G845" s="10" t="str">
        <f aca="false" t="array" ref="G845:G845">INDEX(Profils!$D$5:$D$34,$AE845)&amp;" en "&amp;$E845</f>
        <v>Ceinture en toile</v>
      </c>
      <c r="H845" s="16" t="n">
        <f aca="false" t="array" ref="H845:H845">INDEX(Matériaux!$B$16:$B$20,$D845)</f>
        <v>1</v>
      </c>
      <c r="I845" s="16" t="n">
        <f aca="false">IF(ISNUMBER($C$3),MIN(MAX(0,ROUND($C$3,0)),$AI845),$AI845)</f>
        <v>0</v>
      </c>
      <c r="J845" s="18" t="n">
        <f aca="false">$H845+$I845</f>
        <v>1</v>
      </c>
      <c r="K845" s="15" t="s">
        <v>109</v>
      </c>
      <c r="L845" s="19" t="n">
        <f aca="false" t="array" ref="L845:L845">IF(AND(INDEX(Profils!$F$5:$F$34,$AE845)&gt;0,INDEX(Profils!$U$5:$U$34,$AE845)&lt;=$AH845),ROUND(INDEX(Profils!$F$5:$F$34,$AE845)*Paramètres!$E$22*$AG845*$AJ845,Paramètres!$F$22),0)</f>
        <v>2</v>
      </c>
      <c r="M845" s="19" t="n">
        <f aca="false" t="array" ref="M845:M845">IF(AND(INDEX(Profils!$G$5:$G$34,$AE845)&gt;0,INDEX(Profils!$V$5:$V$34,$AE845)&lt;=$AH845),ROUND(INDEX(Profils!$G$5:$G$34,$AE845)*Paramètres!$E$23*$AG845*$AJ845,Paramètres!$F$23),0)</f>
        <v>0</v>
      </c>
      <c r="N845" s="19" t="n">
        <f aca="false" t="array" ref="N845:N845">IF(AND(INDEX(Profils!$H$5:$H$34,$AE845)&gt;0,INDEX(Profils!$W$5:$W$34,$AE845)&lt;=$AH845),ROUND(INDEX(Profils!$H$5:$H$34,$AE845)*Paramètres!$E$24*$AG845*$AJ845,Paramètres!$F$24),0)</f>
        <v>0</v>
      </c>
      <c r="O845" s="19" t="n">
        <f aca="false" t="array" ref="O845:O845">IF(AND(INDEX(Profils!$I$5:$I$34,$AE845)&gt;0,INDEX(Profils!$X$5:$X$34,$AE845)&lt;=$AH845),ROUND(INDEX(Profils!$I$5:$I$34,$AE845)*Paramètres!$E$25*$AG845*$AJ845,Paramètres!$F$25),0)</f>
        <v>0</v>
      </c>
      <c r="P845" s="19" t="n">
        <f aca="false" t="array" ref="P845:P845">IF(AND(INDEX(Profils!$J$5:$J$34,$AE845)&gt;0,INDEX(Profils!$Y$5:$Y$34,$AE845)&lt;=$AH845),ROUND(INDEX(Profils!$J$5:$J$34,$AE845)*Paramètres!$E$26*$AG845*$AJ845,Paramètres!$F$26),0)</f>
        <v>1</v>
      </c>
      <c r="Q845" s="19" t="n">
        <f aca="false" t="array" ref="Q845:Q845">IF(AND(INDEX(Profils!$K$5:$K$34,$AE845)&gt;0,INDEX(Profils!$Z$5:$Z$34,$AE845)&lt;=$AH845),ROUND(INDEX(Profils!$K$5:$K$34,$AE845)*Paramètres!$E$27*$AG845*$AJ845,Paramètres!$F$27),0)</f>
        <v>0</v>
      </c>
      <c r="R845" s="20" t="n">
        <f aca="false" t="array" ref="R845:R845">IF(AND(INDEX(Profils!$L$5:$L$34,$AE845)&gt;0,INDEX(Profils!$AA$5:$AA$34,$AE845)&lt;=$AH845),ROUND(INDEX(Profils!$L$5:$L$34,$AE845)*Paramètres!$E$28*$AG845*$AJ845,Paramètres!$F$28),0)</f>
        <v>0.001</v>
      </c>
      <c r="S845" s="20" t="n">
        <f aca="false" t="array" ref="S845:S845">IF(AND(INDEX(Profils!$M$5:$M$34,$AE845)&gt;0,INDEX(Profils!$AB$5:$AB$34,$AE845)&lt;=$AH845),ROUND(INDEX(Profils!$M$5:$M$34,$AE845)*Paramètres!$E$29*$AG845*$AJ845,Paramètres!$F$29),0)</f>
        <v>0.001</v>
      </c>
      <c r="T845" s="20" t="n">
        <f aca="false" t="array" ref="T845:T845">IF(AND(INDEX(Profils!$N$5:$N$34,$AE845)&gt;0,INDEX(Profils!$AC$5:$AC$34,$AE845)&lt;=$AH845),ROUND(INDEX(Profils!$N$5:$N$34,$AE845)*Paramètres!$E$30*$AG845*$AJ845,Paramètres!$F$30),0)</f>
        <v>0</v>
      </c>
      <c r="U845" s="19" t="n">
        <f aca="false" t="array" ref="U845:U845">IF(AND(INDEX(Profils!$O$5:$O$34,$AE845)&gt;0,INDEX(Profils!$AD$5:$AD$34,$AE845)&lt;=$AH845),ROUND(INDEX(Profils!$O$5:$O$34,$AE845)*Paramètres!$E$31*$AG845*$AJ845,Paramètres!$F$31),0)</f>
        <v>0</v>
      </c>
      <c r="V845" s="20" t="n">
        <f aca="false" t="array" ref="V845:V845">IF(AND(INDEX(Profils!$P$5:$P$34,$AE845)&gt;0,INDEX(Profils!$AE$5:$AE$34,$AE845)&lt;=$AH845),ROUND(INDEX(Profils!$P$5:$P$34,$AE845)*Paramètres!$E$32*$AG845*$AJ845,Paramètres!$F$32),0)</f>
        <v>0</v>
      </c>
      <c r="W845" s="20" t="n">
        <f aca="false" t="array" ref="W845:W845">IF(AND(INDEX(Profils!$Q$5:$Q$34,$AE845)&gt;0,INDEX(Profils!$AF$5:$AF$34,$AE845)&lt;=$AH845),ROUND(INDEX(Profils!$Q$5:$Q$34,$AE845)*Paramètres!$E$33*$AG845*$AJ845,Paramètres!$F$33),0)</f>
        <v>0</v>
      </c>
      <c r="X845" s="20" t="n">
        <f aca="false" t="array" ref="X845:X845">IF(AND(INDEX(Profils!$R$5:$R$34,$AE845)&gt;0,INDEX(Profils!$AG$5:$AG$34,$AE845)&lt;=$AH845),ROUND(INDEX(Profils!$R$5:$R$34,$AE845)*Paramètres!$E$34*$AG845*$AJ845,Paramètres!$F$34),0)</f>
        <v>0</v>
      </c>
      <c r="Y845" s="20" t="n">
        <f aca="false" t="array" ref="Y845:Y845">IF(AND(INDEX(Profils!$S$5:$S$34,$AE845)&gt;0,INDEX(Profils!$AH$5:$AH$34,$AE845)&lt;=$AH845),ROUND(INDEX(Profils!$S$5:$S$34,$AE845)*Paramètres!$E$35*$AG845*$AJ845,Paramètres!$F$35),0)</f>
        <v>0</v>
      </c>
      <c r="Z845" s="21" t="n">
        <f aca="false">ROUND(L845/Paramètres!$E$22+M845/Paramètres!$E$23+N845/Paramètres!$E$24+O845/Paramètres!$E$25+P845/Paramètres!$E$26+Q845/Paramètres!$E$27+R845/Paramètres!$E$28+S845/Paramètres!$E$29+T845/Paramètres!$E$30+U845/Paramètres!$E$31+V845/Paramètres!$E$32+W845/Paramètres!$E$33+X845/Paramètres!$E$34+Y845/Paramètres!$E$35,1)</f>
        <v>0.3</v>
      </c>
      <c r="AA845" s="22" t="s">
        <v>109</v>
      </c>
      <c r="AB845" s="22" t="s">
        <v>109</v>
      </c>
      <c r="AC845" s="15" t="str">
        <f aca="false">$E845</f>
        <v>toile</v>
      </c>
      <c r="AD845" s="16" t="n">
        <f aca="false" t="array" ref="AD845:AD845">IF($I845&gt;=$AI845,"Max",ROUND(Paramètres!$B$40*($I845+1)^Paramètres!$B$41*INDEX(Paramètres!$H$6:$H$12,$AF845),0))</f>
        <v>4</v>
      </c>
      <c r="AE845" s="23" t="n">
        <f aca="false">MATCH($B845&amp;"|"&amp;$C845,Profils!$A$5:$A$34,0)</f>
        <v>28</v>
      </c>
      <c r="AF845" s="23" t="n">
        <v>3</v>
      </c>
      <c r="AG845" s="24" t="n">
        <f aca="false" t="array" ref="AG845:AG845">INDEX(Paramètres!$C$6:$C$12,$AF845)</f>
        <v>1.45</v>
      </c>
      <c r="AH845" s="23" t="n">
        <f aca="false" t="array" ref="AH845:AH845">INDEX(Paramètres!$D$6:$D$12,$AF845)</f>
        <v>4</v>
      </c>
      <c r="AI845" s="23" t="n">
        <f aca="false" t="array" ref="AI845:AI845">INDEX(Matériaux!$C$16:$C$20,$D845)</f>
        <v>19</v>
      </c>
      <c r="AJ845" s="25" t="n">
        <f aca="false">Paramètres!$B$16+(1-Paramètres!$B$16)*(($J845-Paramètres!$B$14)/(Paramètres!$B$15-Paramètres!$B$14))^Paramètres!$B$17</f>
        <v>0.05</v>
      </c>
    </row>
    <row r="846" customFormat="false" ht="15.75" hidden="false" customHeight="true" outlineLevel="0" collapsed="false">
      <c r="A846" s="14" t="s">
        <v>962</v>
      </c>
      <c r="B846" s="15" t="s">
        <v>31</v>
      </c>
      <c r="C846" s="15" t="s">
        <v>337</v>
      </c>
      <c r="D846" s="16" t="n">
        <v>1</v>
      </c>
      <c r="E846" s="15" t="str">
        <f aca="false" t="array" ref="E846:E846">INDEX(Matériaux!$B$5:$F$12,MATCH(INDEX(Profils!$E$5:$E$34,$AE846),Matériaux!$A$5:$A$12,0),$D846)</f>
        <v>toile</v>
      </c>
      <c r="F846" s="28" t="s">
        <v>115</v>
      </c>
      <c r="G846" s="10" t="str">
        <f aca="false" t="array" ref="G846:G846">INDEX(Profils!$D$5:$D$34,$AE846)&amp;" en "&amp;$E846</f>
        <v>Ceinture en toile</v>
      </c>
      <c r="H846" s="16" t="n">
        <f aca="false" t="array" ref="H846:H846">INDEX(Matériaux!$B$16:$B$20,$D846)</f>
        <v>1</v>
      </c>
      <c r="I846" s="16" t="n">
        <f aca="false">IF(ISNUMBER($C$3),MIN(MAX(0,ROUND($C$3,0)),$AI846),$AI846)</f>
        <v>0</v>
      </c>
      <c r="J846" s="18" t="n">
        <f aca="false">$H846+$I846</f>
        <v>1</v>
      </c>
      <c r="K846" s="15" t="s">
        <v>109</v>
      </c>
      <c r="L846" s="19" t="n">
        <f aca="false" t="array" ref="L846:L846">IF(AND(INDEX(Profils!$F$5:$F$34,$AE846)&gt;0,INDEX(Profils!$U$5:$U$34,$AE846)&lt;=$AH846),ROUND(INDEX(Profils!$F$5:$F$34,$AE846)*Paramètres!$E$22*$AG846*$AJ846,Paramètres!$F$22),0)</f>
        <v>2</v>
      </c>
      <c r="M846" s="19" t="n">
        <f aca="false" t="array" ref="M846:M846">IF(AND(INDEX(Profils!$G$5:$G$34,$AE846)&gt;0,INDEX(Profils!$V$5:$V$34,$AE846)&lt;=$AH846),ROUND(INDEX(Profils!$G$5:$G$34,$AE846)*Paramètres!$E$23*$AG846*$AJ846,Paramètres!$F$23),0)</f>
        <v>0</v>
      </c>
      <c r="N846" s="19" t="n">
        <f aca="false" t="array" ref="N846:N846">IF(AND(INDEX(Profils!$H$5:$H$34,$AE846)&gt;0,INDEX(Profils!$W$5:$W$34,$AE846)&lt;=$AH846),ROUND(INDEX(Profils!$H$5:$H$34,$AE846)*Paramètres!$E$24*$AG846*$AJ846,Paramètres!$F$24),0)</f>
        <v>0</v>
      </c>
      <c r="O846" s="19" t="n">
        <f aca="false" t="array" ref="O846:O846">IF(AND(INDEX(Profils!$I$5:$I$34,$AE846)&gt;0,INDEX(Profils!$X$5:$X$34,$AE846)&lt;=$AH846),ROUND(INDEX(Profils!$I$5:$I$34,$AE846)*Paramètres!$E$25*$AG846*$AJ846,Paramètres!$F$25),0)</f>
        <v>0</v>
      </c>
      <c r="P846" s="19" t="n">
        <f aca="false" t="array" ref="P846:P846">IF(AND(INDEX(Profils!$J$5:$J$34,$AE846)&gt;0,INDEX(Profils!$Y$5:$Y$34,$AE846)&lt;=$AH846),ROUND(INDEX(Profils!$J$5:$J$34,$AE846)*Paramètres!$E$26*$AG846*$AJ846,Paramètres!$F$26),0)</f>
        <v>1</v>
      </c>
      <c r="Q846" s="19" t="n">
        <f aca="false" t="array" ref="Q846:Q846">IF(AND(INDEX(Profils!$K$5:$K$34,$AE846)&gt;0,INDEX(Profils!$Z$5:$Z$34,$AE846)&lt;=$AH846),ROUND(INDEX(Profils!$K$5:$K$34,$AE846)*Paramètres!$E$27*$AG846*$AJ846,Paramètres!$F$27),0)</f>
        <v>0</v>
      </c>
      <c r="R846" s="20" t="n">
        <f aca="false" t="array" ref="R846:R846">IF(AND(INDEX(Profils!$L$5:$L$34,$AE846)&gt;0,INDEX(Profils!$AA$5:$AA$34,$AE846)&lt;=$AH846),ROUND(INDEX(Profils!$L$5:$L$34,$AE846)*Paramètres!$E$28*$AG846*$AJ846,Paramètres!$F$28),0)</f>
        <v>0.001</v>
      </c>
      <c r="S846" s="20" t="n">
        <f aca="false" t="array" ref="S846:S846">IF(AND(INDEX(Profils!$M$5:$M$34,$AE846)&gt;0,INDEX(Profils!$AB$5:$AB$34,$AE846)&lt;=$AH846),ROUND(INDEX(Profils!$M$5:$M$34,$AE846)*Paramètres!$E$29*$AG846*$AJ846,Paramètres!$F$29),0)</f>
        <v>0.001</v>
      </c>
      <c r="T846" s="20" t="n">
        <f aca="false" t="array" ref="T846:T846">IF(AND(INDEX(Profils!$N$5:$N$34,$AE846)&gt;0,INDEX(Profils!$AC$5:$AC$34,$AE846)&lt;=$AH846),ROUND(INDEX(Profils!$N$5:$N$34,$AE846)*Paramètres!$E$30*$AG846*$AJ846,Paramètres!$F$30),0)</f>
        <v>0.002</v>
      </c>
      <c r="U846" s="19" t="n">
        <f aca="false" t="array" ref="U846:U846">IF(AND(INDEX(Profils!$O$5:$O$34,$AE846)&gt;0,INDEX(Profils!$AD$5:$AD$34,$AE846)&lt;=$AH846),ROUND(INDEX(Profils!$O$5:$O$34,$AE846)*Paramètres!$E$31*$AG846*$AJ846,Paramètres!$F$31),0)</f>
        <v>0</v>
      </c>
      <c r="V846" s="20" t="n">
        <f aca="false" t="array" ref="V846:V846">IF(AND(INDEX(Profils!$P$5:$P$34,$AE846)&gt;0,INDEX(Profils!$AE$5:$AE$34,$AE846)&lt;=$AH846),ROUND(INDEX(Profils!$P$5:$P$34,$AE846)*Paramètres!$E$32*$AG846*$AJ846,Paramètres!$F$32),0)</f>
        <v>0</v>
      </c>
      <c r="W846" s="20" t="n">
        <f aca="false" t="array" ref="W846:W846">IF(AND(INDEX(Profils!$Q$5:$Q$34,$AE846)&gt;0,INDEX(Profils!$AF$5:$AF$34,$AE846)&lt;=$AH846),ROUND(INDEX(Profils!$Q$5:$Q$34,$AE846)*Paramètres!$E$33*$AG846*$AJ846,Paramètres!$F$33),0)</f>
        <v>0</v>
      </c>
      <c r="X846" s="20" t="n">
        <f aca="false" t="array" ref="X846:X846">IF(AND(INDEX(Profils!$R$5:$R$34,$AE846)&gt;0,INDEX(Profils!$AG$5:$AG$34,$AE846)&lt;=$AH846),ROUND(INDEX(Profils!$R$5:$R$34,$AE846)*Paramètres!$E$34*$AG846*$AJ846,Paramètres!$F$34),0)</f>
        <v>0</v>
      </c>
      <c r="Y846" s="20" t="n">
        <f aca="false" t="array" ref="Y846:Y846">IF(AND(INDEX(Profils!$S$5:$S$34,$AE846)&gt;0,INDEX(Profils!$AH$5:$AH$34,$AE846)&lt;=$AH846),ROUND(INDEX(Profils!$S$5:$S$34,$AE846)*Paramètres!$E$35*$AG846*$AJ846,Paramètres!$F$35),0)</f>
        <v>0</v>
      </c>
      <c r="Z846" s="21" t="n">
        <f aca="false">ROUND(L846/Paramètres!$E$22+M846/Paramètres!$E$23+N846/Paramètres!$E$24+O846/Paramètres!$E$25+P846/Paramètres!$E$26+Q846/Paramètres!$E$27+R846/Paramètres!$E$28+S846/Paramètres!$E$29+T846/Paramètres!$E$30+U846/Paramètres!$E$31+V846/Paramètres!$E$32+W846/Paramètres!$E$33+X846/Paramètres!$E$34+Y846/Paramètres!$E$35,1)</f>
        <v>0.4</v>
      </c>
      <c r="AA846" s="22" t="s">
        <v>109</v>
      </c>
      <c r="AB846" s="22" t="s">
        <v>109</v>
      </c>
      <c r="AC846" s="15" t="str">
        <f aca="false">$E846</f>
        <v>toile</v>
      </c>
      <c r="AD846" s="16" t="n">
        <f aca="false" t="array" ref="AD846:AD846">IF($I846&gt;=$AI846,"Max",ROUND(Paramètres!$B$40*($I846+1)^Paramètres!$B$41*INDEX(Paramètres!$H$6:$H$12,$AF846),0))</f>
        <v>5</v>
      </c>
      <c r="AE846" s="23" t="n">
        <f aca="false">MATCH($B846&amp;"|"&amp;$C846,Profils!$A$5:$A$34,0)</f>
        <v>28</v>
      </c>
      <c r="AF846" s="23" t="n">
        <v>4</v>
      </c>
      <c r="AG846" s="24" t="n">
        <f aca="false" t="array" ref="AG846:AG846">INDEX(Paramètres!$C$6:$C$12,$AF846)</f>
        <v>1.75</v>
      </c>
      <c r="AH846" s="23" t="n">
        <f aca="false" t="array" ref="AH846:AH846">INDEX(Paramètres!$D$6:$D$12,$AF846)</f>
        <v>5</v>
      </c>
      <c r="AI846" s="23" t="n">
        <f aca="false" t="array" ref="AI846:AI846">INDEX(Matériaux!$C$16:$C$20,$D846)</f>
        <v>19</v>
      </c>
      <c r="AJ846" s="25" t="n">
        <f aca="false">Paramètres!$B$16+(1-Paramètres!$B$16)*(($J846-Paramètres!$B$14)/(Paramètres!$B$15-Paramètres!$B$14))^Paramètres!$B$17</f>
        <v>0.05</v>
      </c>
    </row>
    <row r="847" customFormat="false" ht="15.75" hidden="false" customHeight="true" outlineLevel="0" collapsed="false">
      <c r="A847" s="14" t="s">
        <v>963</v>
      </c>
      <c r="B847" s="15" t="s">
        <v>31</v>
      </c>
      <c r="C847" s="15" t="s">
        <v>337</v>
      </c>
      <c r="D847" s="16" t="n">
        <v>1</v>
      </c>
      <c r="E847" s="15" t="str">
        <f aca="false" t="array" ref="E847:E847">INDEX(Matériaux!$B$5:$F$12,MATCH(INDEX(Profils!$E$5:$E$34,$AE847),Matériaux!$A$5:$A$12,0),$D847)</f>
        <v>toile</v>
      </c>
      <c r="F847" s="29" t="s">
        <v>117</v>
      </c>
      <c r="G847" s="10" t="str">
        <f aca="false" t="array" ref="G847:G847">INDEX(Profils!$D$5:$D$34,$AE847)&amp;" en "&amp;$E847</f>
        <v>Ceinture en toile</v>
      </c>
      <c r="H847" s="16" t="n">
        <f aca="false" t="array" ref="H847:H847">INDEX(Matériaux!$B$16:$B$20,$D847)</f>
        <v>1</v>
      </c>
      <c r="I847" s="16" t="n">
        <f aca="false">IF(ISNUMBER($C$3),MIN(MAX(0,ROUND($C$3,0)),$AI847),$AI847)</f>
        <v>0</v>
      </c>
      <c r="J847" s="18" t="n">
        <f aca="false">$H847+$I847</f>
        <v>1</v>
      </c>
      <c r="K847" s="15" t="s">
        <v>109</v>
      </c>
      <c r="L847" s="19" t="n">
        <f aca="false" t="array" ref="L847:L847">IF(AND(INDEX(Profils!$F$5:$F$34,$AE847)&gt;0,INDEX(Profils!$U$5:$U$34,$AE847)&lt;=$AH847),ROUND(INDEX(Profils!$F$5:$F$34,$AE847)*Paramètres!$E$22*$AG847*$AJ847,Paramètres!$F$22),0)</f>
        <v>2</v>
      </c>
      <c r="M847" s="19" t="n">
        <f aca="false" t="array" ref="M847:M847">IF(AND(INDEX(Profils!$G$5:$G$34,$AE847)&gt;0,INDEX(Profils!$V$5:$V$34,$AE847)&lt;=$AH847),ROUND(INDEX(Profils!$G$5:$G$34,$AE847)*Paramètres!$E$23*$AG847*$AJ847,Paramètres!$F$23),0)</f>
        <v>0</v>
      </c>
      <c r="N847" s="19" t="n">
        <f aca="false" t="array" ref="N847:N847">IF(AND(INDEX(Profils!$H$5:$H$34,$AE847)&gt;0,INDEX(Profils!$W$5:$W$34,$AE847)&lt;=$AH847),ROUND(INDEX(Profils!$H$5:$H$34,$AE847)*Paramètres!$E$24*$AG847*$AJ847,Paramètres!$F$24),0)</f>
        <v>0</v>
      </c>
      <c r="O847" s="19" t="n">
        <f aca="false" t="array" ref="O847:O847">IF(AND(INDEX(Profils!$I$5:$I$34,$AE847)&gt;0,INDEX(Profils!$X$5:$X$34,$AE847)&lt;=$AH847),ROUND(INDEX(Profils!$I$5:$I$34,$AE847)*Paramètres!$E$25*$AG847*$AJ847,Paramètres!$F$25),0)</f>
        <v>0</v>
      </c>
      <c r="P847" s="19" t="n">
        <f aca="false" t="array" ref="P847:P847">IF(AND(INDEX(Profils!$J$5:$J$34,$AE847)&gt;0,INDEX(Profils!$Y$5:$Y$34,$AE847)&lt;=$AH847),ROUND(INDEX(Profils!$J$5:$J$34,$AE847)*Paramètres!$E$26*$AG847*$AJ847,Paramètres!$F$26),0)</f>
        <v>1</v>
      </c>
      <c r="Q847" s="19" t="n">
        <f aca="false" t="array" ref="Q847:Q847">IF(AND(INDEX(Profils!$K$5:$K$34,$AE847)&gt;0,INDEX(Profils!$Z$5:$Z$34,$AE847)&lt;=$AH847),ROUND(INDEX(Profils!$K$5:$K$34,$AE847)*Paramètres!$E$27*$AG847*$AJ847,Paramètres!$F$27),0)</f>
        <v>0</v>
      </c>
      <c r="R847" s="20" t="n">
        <f aca="false" t="array" ref="R847:R847">IF(AND(INDEX(Profils!$L$5:$L$34,$AE847)&gt;0,INDEX(Profils!$AA$5:$AA$34,$AE847)&lt;=$AH847),ROUND(INDEX(Profils!$L$5:$L$34,$AE847)*Paramètres!$E$28*$AG847*$AJ847,Paramètres!$F$28),0)</f>
        <v>0.002</v>
      </c>
      <c r="S847" s="20" t="n">
        <f aca="false" t="array" ref="S847:S847">IF(AND(INDEX(Profils!$M$5:$M$34,$AE847)&gt;0,INDEX(Profils!$AB$5:$AB$34,$AE847)&lt;=$AH847),ROUND(INDEX(Profils!$M$5:$M$34,$AE847)*Paramètres!$E$29*$AG847*$AJ847,Paramètres!$F$29),0)</f>
        <v>0.001</v>
      </c>
      <c r="T847" s="20" t="n">
        <f aca="false" t="array" ref="T847:T847">IF(AND(INDEX(Profils!$N$5:$N$34,$AE847)&gt;0,INDEX(Profils!$AC$5:$AC$34,$AE847)&lt;=$AH847),ROUND(INDEX(Profils!$N$5:$N$34,$AE847)*Paramètres!$E$30*$AG847*$AJ847,Paramètres!$F$30),0)</f>
        <v>0.003</v>
      </c>
      <c r="U847" s="19" t="n">
        <f aca="false" t="array" ref="U847:U847">IF(AND(INDEX(Profils!$O$5:$O$34,$AE847)&gt;0,INDEX(Profils!$AD$5:$AD$34,$AE847)&lt;=$AH847),ROUND(INDEX(Profils!$O$5:$O$34,$AE847)*Paramètres!$E$31*$AG847*$AJ847,Paramètres!$F$31),0)</f>
        <v>0</v>
      </c>
      <c r="V847" s="20" t="n">
        <f aca="false" t="array" ref="V847:V847">IF(AND(INDEX(Profils!$P$5:$P$34,$AE847)&gt;0,INDEX(Profils!$AE$5:$AE$34,$AE847)&lt;=$AH847),ROUND(INDEX(Profils!$P$5:$P$34,$AE847)*Paramètres!$E$32*$AG847*$AJ847,Paramètres!$F$32),0)</f>
        <v>0.001</v>
      </c>
      <c r="W847" s="20" t="n">
        <f aca="false" t="array" ref="W847:W847">IF(AND(INDEX(Profils!$Q$5:$Q$34,$AE847)&gt;0,INDEX(Profils!$AF$5:$AF$34,$AE847)&lt;=$AH847),ROUND(INDEX(Profils!$Q$5:$Q$34,$AE847)*Paramètres!$E$33*$AG847*$AJ847,Paramètres!$F$33),0)</f>
        <v>0</v>
      </c>
      <c r="X847" s="20" t="n">
        <f aca="false" t="array" ref="X847:X847">IF(AND(INDEX(Profils!$R$5:$R$34,$AE847)&gt;0,INDEX(Profils!$AG$5:$AG$34,$AE847)&lt;=$AH847),ROUND(INDEX(Profils!$R$5:$R$34,$AE847)*Paramètres!$E$34*$AG847*$AJ847,Paramètres!$F$34),0)</f>
        <v>0</v>
      </c>
      <c r="Y847" s="20" t="n">
        <f aca="false" t="array" ref="Y847:Y847">IF(AND(INDEX(Profils!$S$5:$S$34,$AE847)&gt;0,INDEX(Profils!$AH$5:$AH$34,$AE847)&lt;=$AH847),ROUND(INDEX(Profils!$S$5:$S$34,$AE847)*Paramètres!$E$35*$AG847*$AJ847,Paramètres!$F$35),0)</f>
        <v>0</v>
      </c>
      <c r="Z847" s="21" t="n">
        <f aca="false">ROUND(L847/Paramètres!$E$22+M847/Paramètres!$E$23+N847/Paramètres!$E$24+O847/Paramètres!$E$25+P847/Paramètres!$E$26+Q847/Paramètres!$E$27+R847/Paramètres!$E$28+S847/Paramètres!$E$29+T847/Paramètres!$E$30+U847/Paramètres!$E$31+V847/Paramètres!$E$32+W847/Paramètres!$E$33+X847/Paramètres!$E$34+Y847/Paramètres!$E$35,1)</f>
        <v>0.5</v>
      </c>
      <c r="AA847" s="22" t="s">
        <v>109</v>
      </c>
      <c r="AB847" s="22" t="s">
        <v>109</v>
      </c>
      <c r="AC847" s="15" t="str">
        <f aca="false">$E847</f>
        <v>toile</v>
      </c>
      <c r="AD847" s="16" t="n">
        <f aca="false" t="array" ref="AD847:AD847">IF($I847&gt;=$AI847,"Max",ROUND(Paramètres!$B$40*($I847+1)^Paramètres!$B$41*INDEX(Paramètres!$H$6:$H$12,$AF847),0))</f>
        <v>6</v>
      </c>
      <c r="AE847" s="23" t="n">
        <f aca="false">MATCH($B847&amp;"|"&amp;$C847,Profils!$A$5:$A$34,0)</f>
        <v>28</v>
      </c>
      <c r="AF847" s="23" t="n">
        <v>5</v>
      </c>
      <c r="AG847" s="24" t="n">
        <f aca="false" t="array" ref="AG847:AG847">INDEX(Paramètres!$C$6:$C$12,$AF847)</f>
        <v>2.1</v>
      </c>
      <c r="AH847" s="23" t="n">
        <f aca="false" t="array" ref="AH847:AH847">INDEX(Paramètres!$D$6:$D$12,$AF847)</f>
        <v>6</v>
      </c>
      <c r="AI847" s="23" t="n">
        <f aca="false" t="array" ref="AI847:AI847">INDEX(Matériaux!$C$16:$C$20,$D847)</f>
        <v>19</v>
      </c>
      <c r="AJ847" s="25" t="n">
        <f aca="false">Paramètres!$B$16+(1-Paramètres!$B$16)*(($J847-Paramètres!$B$14)/(Paramètres!$B$15-Paramètres!$B$14))^Paramètres!$B$17</f>
        <v>0.05</v>
      </c>
    </row>
    <row r="848" customFormat="false" ht="15.75" hidden="false" customHeight="true" outlineLevel="0" collapsed="false">
      <c r="A848" s="14" t="s">
        <v>964</v>
      </c>
      <c r="B848" s="15" t="s">
        <v>31</v>
      </c>
      <c r="C848" s="15" t="s">
        <v>337</v>
      </c>
      <c r="D848" s="16" t="n">
        <v>1</v>
      </c>
      <c r="E848" s="15" t="str">
        <f aca="false" t="array" ref="E848:E848">INDEX(Matériaux!$B$5:$F$12,MATCH(INDEX(Profils!$E$5:$E$34,$AE848),Matériaux!$A$5:$A$12,0),$D848)</f>
        <v>toile</v>
      </c>
      <c r="F848" s="30" t="s">
        <v>119</v>
      </c>
      <c r="G848" s="10" t="str">
        <f aca="false" t="array" ref="G848:G848">INDEX(Profils!$D$5:$D$34,$AE848)&amp;" en "&amp;$E848</f>
        <v>Ceinture en toile</v>
      </c>
      <c r="H848" s="16" t="n">
        <f aca="false" t="array" ref="H848:H848">INDEX(Matériaux!$B$16:$B$20,$D848)</f>
        <v>1</v>
      </c>
      <c r="I848" s="16" t="n">
        <f aca="false">IF(ISNUMBER($C$3),MIN(MAX(0,ROUND($C$3,0)),$AI848),$AI848)</f>
        <v>0</v>
      </c>
      <c r="J848" s="18" t="n">
        <f aca="false">$H848+$I848</f>
        <v>1</v>
      </c>
      <c r="K848" s="15" t="s">
        <v>109</v>
      </c>
      <c r="L848" s="19" t="n">
        <f aca="false" t="array" ref="L848:L848">IF(AND(INDEX(Profils!$F$5:$F$34,$AE848)&gt;0,INDEX(Profils!$U$5:$U$34,$AE848)&lt;=$AH848),ROUND(INDEX(Profils!$F$5:$F$34,$AE848)*Paramètres!$E$22*$AG848*$AJ848,Paramètres!$F$22),0)</f>
        <v>3</v>
      </c>
      <c r="M848" s="19" t="n">
        <f aca="false" t="array" ref="M848:M848">IF(AND(INDEX(Profils!$G$5:$G$34,$AE848)&gt;0,INDEX(Profils!$V$5:$V$34,$AE848)&lt;=$AH848),ROUND(INDEX(Profils!$G$5:$G$34,$AE848)*Paramètres!$E$23*$AG848*$AJ848,Paramètres!$F$23),0)</f>
        <v>0</v>
      </c>
      <c r="N848" s="19" t="n">
        <f aca="false" t="array" ref="N848:N848">IF(AND(INDEX(Profils!$H$5:$H$34,$AE848)&gt;0,INDEX(Profils!$W$5:$W$34,$AE848)&lt;=$AH848),ROUND(INDEX(Profils!$H$5:$H$34,$AE848)*Paramètres!$E$24*$AG848*$AJ848,Paramètres!$F$24),0)</f>
        <v>0</v>
      </c>
      <c r="O848" s="19" t="n">
        <f aca="false" t="array" ref="O848:O848">IF(AND(INDEX(Profils!$I$5:$I$34,$AE848)&gt;0,INDEX(Profils!$X$5:$X$34,$AE848)&lt;=$AH848),ROUND(INDEX(Profils!$I$5:$I$34,$AE848)*Paramètres!$E$25*$AG848*$AJ848,Paramètres!$F$25),0)</f>
        <v>0</v>
      </c>
      <c r="P848" s="19" t="n">
        <f aca="false" t="array" ref="P848:P848">IF(AND(INDEX(Profils!$J$5:$J$34,$AE848)&gt;0,INDEX(Profils!$Y$5:$Y$34,$AE848)&lt;=$AH848),ROUND(INDEX(Profils!$J$5:$J$34,$AE848)*Paramètres!$E$26*$AG848*$AJ848,Paramètres!$F$26),0)</f>
        <v>1</v>
      </c>
      <c r="Q848" s="19" t="n">
        <f aca="false" t="array" ref="Q848:Q848">IF(AND(INDEX(Profils!$K$5:$K$34,$AE848)&gt;0,INDEX(Profils!$Z$5:$Z$34,$AE848)&lt;=$AH848),ROUND(INDEX(Profils!$K$5:$K$34,$AE848)*Paramètres!$E$27*$AG848*$AJ848,Paramètres!$F$27),0)</f>
        <v>0</v>
      </c>
      <c r="R848" s="20" t="n">
        <f aca="false" t="array" ref="R848:R848">IF(AND(INDEX(Profils!$L$5:$L$34,$AE848)&gt;0,INDEX(Profils!$AA$5:$AA$34,$AE848)&lt;=$AH848),ROUND(INDEX(Profils!$L$5:$L$34,$AE848)*Paramètres!$E$28*$AG848*$AJ848,Paramètres!$F$28),0)</f>
        <v>0.002</v>
      </c>
      <c r="S848" s="20" t="n">
        <f aca="false" t="array" ref="S848:S848">IF(AND(INDEX(Profils!$M$5:$M$34,$AE848)&gt;0,INDEX(Profils!$AB$5:$AB$34,$AE848)&lt;=$AH848),ROUND(INDEX(Profils!$M$5:$M$34,$AE848)*Paramètres!$E$29*$AG848*$AJ848,Paramètres!$F$29),0)</f>
        <v>0.001</v>
      </c>
      <c r="T848" s="20" t="n">
        <f aca="false" t="array" ref="T848:T848">IF(AND(INDEX(Profils!$N$5:$N$34,$AE848)&gt;0,INDEX(Profils!$AC$5:$AC$34,$AE848)&lt;=$AH848),ROUND(INDEX(Profils!$N$5:$N$34,$AE848)*Paramètres!$E$30*$AG848*$AJ848,Paramètres!$F$30),0)</f>
        <v>0.003</v>
      </c>
      <c r="U848" s="19" t="n">
        <f aca="false" t="array" ref="U848:U848">IF(AND(INDEX(Profils!$O$5:$O$34,$AE848)&gt;0,INDEX(Profils!$AD$5:$AD$34,$AE848)&lt;=$AH848),ROUND(INDEX(Profils!$O$5:$O$34,$AE848)*Paramètres!$E$31*$AG848*$AJ848,Paramètres!$F$31),0)</f>
        <v>0</v>
      </c>
      <c r="V848" s="20" t="n">
        <f aca="false" t="array" ref="V848:V848">IF(AND(INDEX(Profils!$P$5:$P$34,$AE848)&gt;0,INDEX(Profils!$AE$5:$AE$34,$AE848)&lt;=$AH848),ROUND(INDEX(Profils!$P$5:$P$34,$AE848)*Paramètres!$E$32*$AG848*$AJ848,Paramètres!$F$32),0)</f>
        <v>0.001</v>
      </c>
      <c r="W848" s="20" t="n">
        <f aca="false" t="array" ref="W848:W848">IF(AND(INDEX(Profils!$Q$5:$Q$34,$AE848)&gt;0,INDEX(Profils!$AF$5:$AF$34,$AE848)&lt;=$AH848),ROUND(INDEX(Profils!$Q$5:$Q$34,$AE848)*Paramètres!$E$33*$AG848*$AJ848,Paramètres!$F$33),0)</f>
        <v>0</v>
      </c>
      <c r="X848" s="20" t="n">
        <f aca="false" t="array" ref="X848:X848">IF(AND(INDEX(Profils!$R$5:$R$34,$AE848)&gt;0,INDEX(Profils!$AG$5:$AG$34,$AE848)&lt;=$AH848),ROUND(INDEX(Profils!$R$5:$R$34,$AE848)*Paramètres!$E$34*$AG848*$AJ848,Paramètres!$F$34),0)</f>
        <v>0</v>
      </c>
      <c r="Y848" s="20" t="n">
        <f aca="false" t="array" ref="Y848:Y848">IF(AND(INDEX(Profils!$S$5:$S$34,$AE848)&gt;0,INDEX(Profils!$AH$5:$AH$34,$AE848)&lt;=$AH848),ROUND(INDEX(Profils!$S$5:$S$34,$AE848)*Paramètres!$E$35*$AG848*$AJ848,Paramètres!$F$35),0)</f>
        <v>0.001</v>
      </c>
      <c r="Z848" s="21" t="n">
        <f aca="false">ROUND(L848/Paramètres!$E$22+M848/Paramètres!$E$23+N848/Paramètres!$E$24+O848/Paramètres!$E$25+P848/Paramètres!$E$26+Q848/Paramètres!$E$27+R848/Paramètres!$E$28+S848/Paramètres!$E$29+T848/Paramètres!$E$30+U848/Paramètres!$E$31+V848/Paramètres!$E$32+W848/Paramètres!$E$33+X848/Paramètres!$E$34+Y848/Paramètres!$E$35,1)</f>
        <v>0.7</v>
      </c>
      <c r="AA848" s="22" t="s">
        <v>109</v>
      </c>
      <c r="AB848" s="22" t="s">
        <v>109</v>
      </c>
      <c r="AC848" s="15" t="str">
        <f aca="false">$E848</f>
        <v>toile</v>
      </c>
      <c r="AD848" s="16" t="n">
        <f aca="false" t="array" ref="AD848:AD848">IF($I848&gt;=$AI848,"Max",ROUND(Paramètres!$B$40*($I848+1)^Paramètres!$B$41*INDEX(Paramètres!$H$6:$H$12,$AF848),0))</f>
        <v>8</v>
      </c>
      <c r="AE848" s="23" t="n">
        <f aca="false">MATCH($B848&amp;"|"&amp;$C848,Profils!$A$5:$A$34,0)</f>
        <v>28</v>
      </c>
      <c r="AF848" s="23" t="n">
        <v>6</v>
      </c>
      <c r="AG848" s="24" t="n">
        <f aca="false" t="array" ref="AG848:AG848">INDEX(Paramètres!$C$6:$C$12,$AF848)</f>
        <v>2.4</v>
      </c>
      <c r="AH848" s="23" t="n">
        <f aca="false" t="array" ref="AH848:AH848">INDEX(Paramètres!$D$6:$D$12,$AF848)</f>
        <v>7</v>
      </c>
      <c r="AI848" s="23" t="n">
        <f aca="false" t="array" ref="AI848:AI848">INDEX(Matériaux!$C$16:$C$20,$D848)</f>
        <v>19</v>
      </c>
      <c r="AJ848" s="25" t="n">
        <f aca="false">Paramètres!$B$16+(1-Paramètres!$B$16)*(($J848-Paramètres!$B$14)/(Paramètres!$B$15-Paramètres!$B$14))^Paramètres!$B$17</f>
        <v>0.05</v>
      </c>
    </row>
    <row r="849" customFormat="false" ht="15.75" hidden="false" customHeight="true" outlineLevel="0" collapsed="false">
      <c r="A849" s="14" t="s">
        <v>965</v>
      </c>
      <c r="B849" s="15" t="s">
        <v>31</v>
      </c>
      <c r="C849" s="15" t="s">
        <v>337</v>
      </c>
      <c r="D849" s="16" t="n">
        <v>2</v>
      </c>
      <c r="E849" s="15" t="str">
        <f aca="false" t="array" ref="E849:E849">INDEX(Matériaux!$B$5:$F$12,MATCH(INDEX(Profils!$E$5:$E$34,$AE849),Matériaux!$A$5:$A$12,0),$D849)</f>
        <v>cuir</v>
      </c>
      <c r="F849" s="17" t="s">
        <v>108</v>
      </c>
      <c r="G849" s="10" t="str">
        <f aca="false" t="array" ref="G849:G849">INDEX(Profils!$D$5:$D$34,$AE849)&amp;" en "&amp;$E849</f>
        <v>Ceinture en cuir</v>
      </c>
      <c r="H849" s="16" t="n">
        <f aca="false" t="array" ref="H849:H849">INDEX(Matériaux!$B$16:$B$20,$D849)</f>
        <v>15</v>
      </c>
      <c r="I849" s="16" t="n">
        <f aca="false">IF(ISNUMBER($C$3),MIN(MAX(0,ROUND($C$3,0)),$AI849),$AI849)</f>
        <v>0</v>
      </c>
      <c r="J849" s="18" t="n">
        <f aca="false">$H849+$I849</f>
        <v>15</v>
      </c>
      <c r="K849" s="15" t="s">
        <v>109</v>
      </c>
      <c r="L849" s="19" t="n">
        <f aca="false" t="array" ref="L849:L849">IF(AND(INDEX(Profils!$F$5:$F$34,$AE849)&gt;0,INDEX(Profils!$U$5:$U$34,$AE849)&lt;=$AH849),ROUND(INDEX(Profils!$F$5:$F$34,$AE849)*Paramètres!$E$22*$AG849*$AJ849,Paramètres!$F$22),0)</f>
        <v>0</v>
      </c>
      <c r="M849" s="19" t="n">
        <f aca="false" t="array" ref="M849:M849">IF(AND(INDEX(Profils!$G$5:$G$34,$AE849)&gt;0,INDEX(Profils!$V$5:$V$34,$AE849)&lt;=$AH849),ROUND(INDEX(Profils!$G$5:$G$34,$AE849)*Paramètres!$E$23*$AG849*$AJ849,Paramètres!$F$23),0)</f>
        <v>0</v>
      </c>
      <c r="N849" s="19" t="n">
        <f aca="false" t="array" ref="N849:N849">IF(AND(INDEX(Profils!$H$5:$H$34,$AE849)&gt;0,INDEX(Profils!$W$5:$W$34,$AE849)&lt;=$AH849),ROUND(INDEX(Profils!$H$5:$H$34,$AE849)*Paramètres!$E$24*$AG849*$AJ849,Paramètres!$F$24),0)</f>
        <v>0</v>
      </c>
      <c r="O849" s="19" t="n">
        <f aca="false" t="array" ref="O849:O849">IF(AND(INDEX(Profils!$I$5:$I$34,$AE849)&gt;0,INDEX(Profils!$X$5:$X$34,$AE849)&lt;=$AH849),ROUND(INDEX(Profils!$I$5:$I$34,$AE849)*Paramètres!$E$25*$AG849*$AJ849,Paramètres!$F$25),0)</f>
        <v>0</v>
      </c>
      <c r="P849" s="19" t="n">
        <f aca="false" t="array" ref="P849:P849">IF(AND(INDEX(Profils!$J$5:$J$34,$AE849)&gt;0,INDEX(Profils!$Y$5:$Y$34,$AE849)&lt;=$AH849),ROUND(INDEX(Profils!$J$5:$J$34,$AE849)*Paramètres!$E$26*$AG849*$AJ849,Paramètres!$F$26),0)</f>
        <v>2</v>
      </c>
      <c r="Q849" s="19" t="n">
        <f aca="false" t="array" ref="Q849:Q849">IF(AND(INDEX(Profils!$K$5:$K$34,$AE849)&gt;0,INDEX(Profils!$Z$5:$Z$34,$AE849)&lt;=$AH849),ROUND(INDEX(Profils!$K$5:$K$34,$AE849)*Paramètres!$E$27*$AG849*$AJ849,Paramètres!$F$27),0)</f>
        <v>0</v>
      </c>
      <c r="R849" s="20" t="n">
        <f aca="false" t="array" ref="R849:R849">IF(AND(INDEX(Profils!$L$5:$L$34,$AE849)&gt;0,INDEX(Profils!$AA$5:$AA$34,$AE849)&lt;=$AH849),ROUND(INDEX(Profils!$L$5:$L$34,$AE849)*Paramètres!$E$28*$AG849*$AJ849,Paramètres!$F$28),0)</f>
        <v>0.002</v>
      </c>
      <c r="S849" s="20" t="n">
        <f aca="false" t="array" ref="S849:S849">IF(AND(INDEX(Profils!$M$5:$M$34,$AE849)&gt;0,INDEX(Profils!$AB$5:$AB$34,$AE849)&lt;=$AH849),ROUND(INDEX(Profils!$M$5:$M$34,$AE849)*Paramètres!$E$29*$AG849*$AJ849,Paramètres!$F$29),0)</f>
        <v>0</v>
      </c>
      <c r="T849" s="20" t="n">
        <f aca="false" t="array" ref="T849:T849">IF(AND(INDEX(Profils!$N$5:$N$34,$AE849)&gt;0,INDEX(Profils!$AC$5:$AC$34,$AE849)&lt;=$AH849),ROUND(INDEX(Profils!$N$5:$N$34,$AE849)*Paramètres!$E$30*$AG849*$AJ849,Paramètres!$F$30),0)</f>
        <v>0</v>
      </c>
      <c r="U849" s="19" t="n">
        <f aca="false" t="array" ref="U849:U849">IF(AND(INDEX(Profils!$O$5:$O$34,$AE849)&gt;0,INDEX(Profils!$AD$5:$AD$34,$AE849)&lt;=$AH849),ROUND(INDEX(Profils!$O$5:$O$34,$AE849)*Paramètres!$E$31*$AG849*$AJ849,Paramètres!$F$31),0)</f>
        <v>0</v>
      </c>
      <c r="V849" s="20" t="n">
        <f aca="false" t="array" ref="V849:V849">IF(AND(INDEX(Profils!$P$5:$P$34,$AE849)&gt;0,INDEX(Profils!$AE$5:$AE$34,$AE849)&lt;=$AH849),ROUND(INDEX(Profils!$P$5:$P$34,$AE849)*Paramètres!$E$32*$AG849*$AJ849,Paramètres!$F$32),0)</f>
        <v>0</v>
      </c>
      <c r="W849" s="20" t="n">
        <f aca="false" t="array" ref="W849:W849">IF(AND(INDEX(Profils!$Q$5:$Q$34,$AE849)&gt;0,INDEX(Profils!$AF$5:$AF$34,$AE849)&lt;=$AH849),ROUND(INDEX(Profils!$Q$5:$Q$34,$AE849)*Paramètres!$E$33*$AG849*$AJ849,Paramètres!$F$33),0)</f>
        <v>0</v>
      </c>
      <c r="X849" s="20" t="n">
        <f aca="false" t="array" ref="X849:X849">IF(AND(INDEX(Profils!$R$5:$R$34,$AE849)&gt;0,INDEX(Profils!$AG$5:$AG$34,$AE849)&lt;=$AH849),ROUND(INDEX(Profils!$R$5:$R$34,$AE849)*Paramètres!$E$34*$AG849*$AJ849,Paramètres!$F$34),0)</f>
        <v>0</v>
      </c>
      <c r="Y849" s="20" t="n">
        <f aca="false" t="array" ref="Y849:Y849">IF(AND(INDEX(Profils!$S$5:$S$34,$AE849)&gt;0,INDEX(Profils!$AH$5:$AH$34,$AE849)&lt;=$AH849),ROUND(INDEX(Profils!$S$5:$S$34,$AE849)*Paramètres!$E$35*$AG849*$AJ849,Paramètres!$F$35),0)</f>
        <v>0</v>
      </c>
      <c r="Z849" s="21" t="n">
        <f aca="false">ROUND(L849/Paramètres!$E$22+M849/Paramètres!$E$23+N849/Paramètres!$E$24+O849/Paramètres!$E$25+P849/Paramètres!$E$26+Q849/Paramètres!$E$27+R849/Paramètres!$E$28+S849/Paramètres!$E$29+T849/Paramètres!$E$30+U849/Paramètres!$E$31+V849/Paramètres!$E$32+W849/Paramètres!$E$33+X849/Paramètres!$E$34+Y849/Paramètres!$E$35,1)</f>
        <v>0.3</v>
      </c>
      <c r="AA849" s="22" t="s">
        <v>109</v>
      </c>
      <c r="AB849" s="22" t="s">
        <v>109</v>
      </c>
      <c r="AC849" s="15" t="str">
        <f aca="false">$E849</f>
        <v>cuir</v>
      </c>
      <c r="AD849" s="16" t="n">
        <f aca="false" t="array" ref="AD849:AD849">IF($I849&gt;=$AI849,"Max",ROUND(Paramètres!$B$40*($I849+1)^Paramètres!$B$41*INDEX(Paramètres!$H$6:$H$12,$AF849),0))</f>
        <v>3</v>
      </c>
      <c r="AE849" s="23" t="n">
        <f aca="false">MATCH($B849&amp;"|"&amp;$C849,Profils!$A$5:$A$34,0)</f>
        <v>28</v>
      </c>
      <c r="AF849" s="23" t="n">
        <v>1</v>
      </c>
      <c r="AG849" s="24" t="n">
        <f aca="false" t="array" ref="AG849:AG849">INDEX(Paramètres!$C$6:$C$12,$AF849)</f>
        <v>1</v>
      </c>
      <c r="AH849" s="23" t="n">
        <f aca="false" t="array" ref="AH849:AH849">INDEX(Paramètres!$D$6:$D$12,$AF849)</f>
        <v>2</v>
      </c>
      <c r="AI849" s="23" t="n">
        <f aca="false" t="array" ref="AI849:AI849">INDEX(Matériaux!$C$16:$C$20,$D849)</f>
        <v>20</v>
      </c>
      <c r="AJ849" s="25" t="n">
        <f aca="false">Paramètres!$B$16+(1-Paramètres!$B$16)*(($J849-Paramètres!$B$14)/(Paramètres!$B$15-Paramètres!$B$14))^Paramètres!$B$17</f>
        <v>0.140847925475674</v>
      </c>
    </row>
    <row r="850" customFormat="false" ht="15.75" hidden="false" customHeight="true" outlineLevel="0" collapsed="false">
      <c r="A850" s="14" t="s">
        <v>966</v>
      </c>
      <c r="B850" s="15" t="s">
        <v>31</v>
      </c>
      <c r="C850" s="15" t="s">
        <v>337</v>
      </c>
      <c r="D850" s="16" t="n">
        <v>2</v>
      </c>
      <c r="E850" s="15" t="str">
        <f aca="false" t="array" ref="E850:E850">INDEX(Matériaux!$B$5:$F$12,MATCH(INDEX(Profils!$E$5:$E$34,$AE850),Matériaux!$A$5:$A$12,0),$D850)</f>
        <v>cuir</v>
      </c>
      <c r="F850" s="26" t="s">
        <v>111</v>
      </c>
      <c r="G850" s="10" t="str">
        <f aca="false" t="array" ref="G850:G850">INDEX(Profils!$D$5:$D$34,$AE850)&amp;" en "&amp;$E850</f>
        <v>Ceinture en cuir</v>
      </c>
      <c r="H850" s="16" t="n">
        <f aca="false" t="array" ref="H850:H850">INDEX(Matériaux!$B$16:$B$20,$D850)</f>
        <v>15</v>
      </c>
      <c r="I850" s="16" t="n">
        <f aca="false">IF(ISNUMBER($C$3),MIN(MAX(0,ROUND($C$3,0)),$AI850),$AI850)</f>
        <v>0</v>
      </c>
      <c r="J850" s="18" t="n">
        <f aca="false">$H850+$I850</f>
        <v>15</v>
      </c>
      <c r="K850" s="15" t="s">
        <v>109</v>
      </c>
      <c r="L850" s="19" t="n">
        <f aca="false" t="array" ref="L850:L850">IF(AND(INDEX(Profils!$F$5:$F$34,$AE850)&gt;0,INDEX(Profils!$U$5:$U$34,$AE850)&lt;=$AH850),ROUND(INDEX(Profils!$F$5:$F$34,$AE850)*Paramètres!$E$22*$AG850*$AJ850,Paramètres!$F$22),0)</f>
        <v>4</v>
      </c>
      <c r="M850" s="19" t="n">
        <f aca="false" t="array" ref="M850:M850">IF(AND(INDEX(Profils!$G$5:$G$34,$AE850)&gt;0,INDEX(Profils!$V$5:$V$34,$AE850)&lt;=$AH850),ROUND(INDEX(Profils!$G$5:$G$34,$AE850)*Paramètres!$E$23*$AG850*$AJ850,Paramètres!$F$23),0)</f>
        <v>0</v>
      </c>
      <c r="N850" s="19" t="n">
        <f aca="false" t="array" ref="N850:N850">IF(AND(INDEX(Profils!$H$5:$H$34,$AE850)&gt;0,INDEX(Profils!$W$5:$W$34,$AE850)&lt;=$AH850),ROUND(INDEX(Profils!$H$5:$H$34,$AE850)*Paramètres!$E$24*$AG850*$AJ850,Paramètres!$F$24),0)</f>
        <v>0</v>
      </c>
      <c r="O850" s="19" t="n">
        <f aca="false" t="array" ref="O850:O850">IF(AND(INDEX(Profils!$I$5:$I$34,$AE850)&gt;0,INDEX(Profils!$X$5:$X$34,$AE850)&lt;=$AH850),ROUND(INDEX(Profils!$I$5:$I$34,$AE850)*Paramètres!$E$25*$AG850*$AJ850,Paramètres!$F$25),0)</f>
        <v>0</v>
      </c>
      <c r="P850" s="19" t="n">
        <f aca="false" t="array" ref="P850:P850">IF(AND(INDEX(Profils!$J$5:$J$34,$AE850)&gt;0,INDEX(Profils!$Y$5:$Y$34,$AE850)&lt;=$AH850),ROUND(INDEX(Profils!$J$5:$J$34,$AE850)*Paramètres!$E$26*$AG850*$AJ850,Paramètres!$F$26),0)</f>
        <v>2</v>
      </c>
      <c r="Q850" s="19" t="n">
        <f aca="false" t="array" ref="Q850:Q850">IF(AND(INDEX(Profils!$K$5:$K$34,$AE850)&gt;0,INDEX(Profils!$Z$5:$Z$34,$AE850)&lt;=$AH850),ROUND(INDEX(Profils!$K$5:$K$34,$AE850)*Paramètres!$E$27*$AG850*$AJ850,Paramètres!$F$27),0)</f>
        <v>0</v>
      </c>
      <c r="R850" s="20" t="n">
        <f aca="false" t="array" ref="R850:R850">IF(AND(INDEX(Profils!$L$5:$L$34,$AE850)&gt;0,INDEX(Profils!$AA$5:$AA$34,$AE850)&lt;=$AH850),ROUND(INDEX(Profils!$L$5:$L$34,$AE850)*Paramètres!$E$28*$AG850*$AJ850,Paramètres!$F$28),0)</f>
        <v>0.003</v>
      </c>
      <c r="S850" s="20" t="n">
        <f aca="false" t="array" ref="S850:S850">IF(AND(INDEX(Profils!$M$5:$M$34,$AE850)&gt;0,INDEX(Profils!$AB$5:$AB$34,$AE850)&lt;=$AH850),ROUND(INDEX(Profils!$M$5:$M$34,$AE850)*Paramètres!$E$29*$AG850*$AJ850,Paramètres!$F$29),0)</f>
        <v>0</v>
      </c>
      <c r="T850" s="20" t="n">
        <f aca="false" t="array" ref="T850:T850">IF(AND(INDEX(Profils!$N$5:$N$34,$AE850)&gt;0,INDEX(Profils!$AC$5:$AC$34,$AE850)&lt;=$AH850),ROUND(INDEX(Profils!$N$5:$N$34,$AE850)*Paramètres!$E$30*$AG850*$AJ850,Paramètres!$F$30),0)</f>
        <v>0</v>
      </c>
      <c r="U850" s="19" t="n">
        <f aca="false" t="array" ref="U850:U850">IF(AND(INDEX(Profils!$O$5:$O$34,$AE850)&gt;0,INDEX(Profils!$AD$5:$AD$34,$AE850)&lt;=$AH850),ROUND(INDEX(Profils!$O$5:$O$34,$AE850)*Paramètres!$E$31*$AG850*$AJ850,Paramètres!$F$31),0)</f>
        <v>0</v>
      </c>
      <c r="V850" s="20" t="n">
        <f aca="false" t="array" ref="V850:V850">IF(AND(INDEX(Profils!$P$5:$P$34,$AE850)&gt;0,INDEX(Profils!$AE$5:$AE$34,$AE850)&lt;=$AH850),ROUND(INDEX(Profils!$P$5:$P$34,$AE850)*Paramètres!$E$32*$AG850*$AJ850,Paramètres!$F$32),0)</f>
        <v>0</v>
      </c>
      <c r="W850" s="20" t="n">
        <f aca="false" t="array" ref="W850:W850">IF(AND(INDEX(Profils!$Q$5:$Q$34,$AE850)&gt;0,INDEX(Profils!$AF$5:$AF$34,$AE850)&lt;=$AH850),ROUND(INDEX(Profils!$Q$5:$Q$34,$AE850)*Paramètres!$E$33*$AG850*$AJ850,Paramètres!$F$33),0)</f>
        <v>0</v>
      </c>
      <c r="X850" s="20" t="n">
        <f aca="false" t="array" ref="X850:X850">IF(AND(INDEX(Profils!$R$5:$R$34,$AE850)&gt;0,INDEX(Profils!$AG$5:$AG$34,$AE850)&lt;=$AH850),ROUND(INDEX(Profils!$R$5:$R$34,$AE850)*Paramètres!$E$34*$AG850*$AJ850,Paramètres!$F$34),0)</f>
        <v>0</v>
      </c>
      <c r="Y850" s="20" t="n">
        <f aca="false" t="array" ref="Y850:Y850">IF(AND(INDEX(Profils!$S$5:$S$34,$AE850)&gt;0,INDEX(Profils!$AH$5:$AH$34,$AE850)&lt;=$AH850),ROUND(INDEX(Profils!$S$5:$S$34,$AE850)*Paramètres!$E$35*$AG850*$AJ850,Paramètres!$F$35),0)</f>
        <v>0</v>
      </c>
      <c r="Z850" s="21" t="n">
        <f aca="false">ROUND(L850/Paramètres!$E$22+M850/Paramètres!$E$23+N850/Paramètres!$E$24+O850/Paramètres!$E$25+P850/Paramètres!$E$26+Q850/Paramètres!$E$27+R850/Paramètres!$E$28+S850/Paramètres!$E$29+T850/Paramètres!$E$30+U850/Paramètres!$E$31+V850/Paramètres!$E$32+W850/Paramètres!$E$33+X850/Paramètres!$E$34+Y850/Paramètres!$E$35,1)</f>
        <v>0.5</v>
      </c>
      <c r="AA850" s="22" t="s">
        <v>109</v>
      </c>
      <c r="AB850" s="22" t="s">
        <v>109</v>
      </c>
      <c r="AC850" s="15" t="str">
        <f aca="false">$E850</f>
        <v>cuir</v>
      </c>
      <c r="AD850" s="16" t="n">
        <f aca="false" t="array" ref="AD850:AD850">IF($I850&gt;=$AI850,"Max",ROUND(Paramètres!$B$40*($I850+1)^Paramètres!$B$41*INDEX(Paramètres!$H$6:$H$12,$AF850),0))</f>
        <v>4</v>
      </c>
      <c r="AE850" s="23" t="n">
        <f aca="false">MATCH($B850&amp;"|"&amp;$C850,Profils!$A$5:$A$34,0)</f>
        <v>28</v>
      </c>
      <c r="AF850" s="23" t="n">
        <v>2</v>
      </c>
      <c r="AG850" s="24" t="n">
        <f aca="false" t="array" ref="AG850:AG850">INDEX(Paramètres!$C$6:$C$12,$AF850)</f>
        <v>1.2</v>
      </c>
      <c r="AH850" s="23" t="n">
        <f aca="false" t="array" ref="AH850:AH850">INDEX(Paramètres!$D$6:$D$12,$AF850)</f>
        <v>3</v>
      </c>
      <c r="AI850" s="23" t="n">
        <f aca="false" t="array" ref="AI850:AI850">INDEX(Matériaux!$C$16:$C$20,$D850)</f>
        <v>20</v>
      </c>
      <c r="AJ850" s="25" t="n">
        <f aca="false">Paramètres!$B$16+(1-Paramètres!$B$16)*(($J850-Paramètres!$B$14)/(Paramètres!$B$15-Paramètres!$B$14))^Paramètres!$B$17</f>
        <v>0.140847925475674</v>
      </c>
    </row>
    <row r="851" customFormat="false" ht="15.75" hidden="false" customHeight="true" outlineLevel="0" collapsed="false">
      <c r="A851" s="14" t="s">
        <v>967</v>
      </c>
      <c r="B851" s="15" t="s">
        <v>31</v>
      </c>
      <c r="C851" s="15" t="s">
        <v>337</v>
      </c>
      <c r="D851" s="16" t="n">
        <v>2</v>
      </c>
      <c r="E851" s="15" t="str">
        <f aca="false" t="array" ref="E851:E851">INDEX(Matériaux!$B$5:$F$12,MATCH(INDEX(Profils!$E$5:$E$34,$AE851),Matériaux!$A$5:$A$12,0),$D851)</f>
        <v>cuir</v>
      </c>
      <c r="F851" s="27" t="s">
        <v>113</v>
      </c>
      <c r="G851" s="10" t="str">
        <f aca="false" t="array" ref="G851:G851">INDEX(Profils!$D$5:$D$34,$AE851)&amp;" en "&amp;$E851</f>
        <v>Ceinture en cuir</v>
      </c>
      <c r="H851" s="16" t="n">
        <f aca="false" t="array" ref="H851:H851">INDEX(Matériaux!$B$16:$B$20,$D851)</f>
        <v>15</v>
      </c>
      <c r="I851" s="16" t="n">
        <f aca="false">IF(ISNUMBER($C$3),MIN(MAX(0,ROUND($C$3,0)),$AI851),$AI851)</f>
        <v>0</v>
      </c>
      <c r="J851" s="18" t="n">
        <f aca="false">$H851+$I851</f>
        <v>15</v>
      </c>
      <c r="K851" s="15" t="s">
        <v>109</v>
      </c>
      <c r="L851" s="19" t="n">
        <f aca="false" t="array" ref="L851:L851">IF(AND(INDEX(Profils!$F$5:$F$34,$AE851)&gt;0,INDEX(Profils!$U$5:$U$34,$AE851)&lt;=$AH851),ROUND(INDEX(Profils!$F$5:$F$34,$AE851)*Paramètres!$E$22*$AG851*$AJ851,Paramètres!$F$22),0)</f>
        <v>5</v>
      </c>
      <c r="M851" s="19" t="n">
        <f aca="false" t="array" ref="M851:M851">IF(AND(INDEX(Profils!$G$5:$G$34,$AE851)&gt;0,INDEX(Profils!$V$5:$V$34,$AE851)&lt;=$AH851),ROUND(INDEX(Profils!$G$5:$G$34,$AE851)*Paramètres!$E$23*$AG851*$AJ851,Paramètres!$F$23),0)</f>
        <v>0</v>
      </c>
      <c r="N851" s="19" t="n">
        <f aca="false" t="array" ref="N851:N851">IF(AND(INDEX(Profils!$H$5:$H$34,$AE851)&gt;0,INDEX(Profils!$W$5:$W$34,$AE851)&lt;=$AH851),ROUND(INDEX(Profils!$H$5:$H$34,$AE851)*Paramètres!$E$24*$AG851*$AJ851,Paramètres!$F$24),0)</f>
        <v>0</v>
      </c>
      <c r="O851" s="19" t="n">
        <f aca="false" t="array" ref="O851:O851">IF(AND(INDEX(Profils!$I$5:$I$34,$AE851)&gt;0,INDEX(Profils!$X$5:$X$34,$AE851)&lt;=$AH851),ROUND(INDEX(Profils!$I$5:$I$34,$AE851)*Paramètres!$E$25*$AG851*$AJ851,Paramètres!$F$25),0)</f>
        <v>0</v>
      </c>
      <c r="P851" s="19" t="n">
        <f aca="false" t="array" ref="P851:P851">IF(AND(INDEX(Profils!$J$5:$J$34,$AE851)&gt;0,INDEX(Profils!$Y$5:$Y$34,$AE851)&lt;=$AH851),ROUND(INDEX(Profils!$J$5:$J$34,$AE851)*Paramètres!$E$26*$AG851*$AJ851,Paramètres!$F$26),0)</f>
        <v>2</v>
      </c>
      <c r="Q851" s="19" t="n">
        <f aca="false" t="array" ref="Q851:Q851">IF(AND(INDEX(Profils!$K$5:$K$34,$AE851)&gt;0,INDEX(Profils!$Z$5:$Z$34,$AE851)&lt;=$AH851),ROUND(INDEX(Profils!$K$5:$K$34,$AE851)*Paramètres!$E$27*$AG851*$AJ851,Paramètres!$F$27),0)</f>
        <v>0</v>
      </c>
      <c r="R851" s="20" t="n">
        <f aca="false" t="array" ref="R851:R851">IF(AND(INDEX(Profils!$L$5:$L$34,$AE851)&gt;0,INDEX(Profils!$AA$5:$AA$34,$AE851)&lt;=$AH851),ROUND(INDEX(Profils!$L$5:$L$34,$AE851)*Paramètres!$E$28*$AG851*$AJ851,Paramètres!$F$28),0)</f>
        <v>0.003</v>
      </c>
      <c r="S851" s="20" t="n">
        <f aca="false" t="array" ref="S851:S851">IF(AND(INDEX(Profils!$M$5:$M$34,$AE851)&gt;0,INDEX(Profils!$AB$5:$AB$34,$AE851)&lt;=$AH851),ROUND(INDEX(Profils!$M$5:$M$34,$AE851)*Paramètres!$E$29*$AG851*$AJ851,Paramètres!$F$29),0)</f>
        <v>0.002</v>
      </c>
      <c r="T851" s="20" t="n">
        <f aca="false" t="array" ref="T851:T851">IF(AND(INDEX(Profils!$N$5:$N$34,$AE851)&gt;0,INDEX(Profils!$AC$5:$AC$34,$AE851)&lt;=$AH851),ROUND(INDEX(Profils!$N$5:$N$34,$AE851)*Paramètres!$E$30*$AG851*$AJ851,Paramètres!$F$30),0)</f>
        <v>0</v>
      </c>
      <c r="U851" s="19" t="n">
        <f aca="false" t="array" ref="U851:U851">IF(AND(INDEX(Profils!$O$5:$O$34,$AE851)&gt;0,INDEX(Profils!$AD$5:$AD$34,$AE851)&lt;=$AH851),ROUND(INDEX(Profils!$O$5:$O$34,$AE851)*Paramètres!$E$31*$AG851*$AJ851,Paramètres!$F$31),0)</f>
        <v>0</v>
      </c>
      <c r="V851" s="20" t="n">
        <f aca="false" t="array" ref="V851:V851">IF(AND(INDEX(Profils!$P$5:$P$34,$AE851)&gt;0,INDEX(Profils!$AE$5:$AE$34,$AE851)&lt;=$AH851),ROUND(INDEX(Profils!$P$5:$P$34,$AE851)*Paramètres!$E$32*$AG851*$AJ851,Paramètres!$F$32),0)</f>
        <v>0</v>
      </c>
      <c r="W851" s="20" t="n">
        <f aca="false" t="array" ref="W851:W851">IF(AND(INDEX(Profils!$Q$5:$Q$34,$AE851)&gt;0,INDEX(Profils!$AF$5:$AF$34,$AE851)&lt;=$AH851),ROUND(INDEX(Profils!$Q$5:$Q$34,$AE851)*Paramètres!$E$33*$AG851*$AJ851,Paramètres!$F$33),0)</f>
        <v>0</v>
      </c>
      <c r="X851" s="20" t="n">
        <f aca="false" t="array" ref="X851:X851">IF(AND(INDEX(Profils!$R$5:$R$34,$AE851)&gt;0,INDEX(Profils!$AG$5:$AG$34,$AE851)&lt;=$AH851),ROUND(INDEX(Profils!$R$5:$R$34,$AE851)*Paramètres!$E$34*$AG851*$AJ851,Paramètres!$F$34),0)</f>
        <v>0</v>
      </c>
      <c r="Y851" s="20" t="n">
        <f aca="false" t="array" ref="Y851:Y851">IF(AND(INDEX(Profils!$S$5:$S$34,$AE851)&gt;0,INDEX(Profils!$AH$5:$AH$34,$AE851)&lt;=$AH851),ROUND(INDEX(Profils!$S$5:$S$34,$AE851)*Paramètres!$E$35*$AG851*$AJ851,Paramètres!$F$35),0)</f>
        <v>0</v>
      </c>
      <c r="Z851" s="21" t="n">
        <f aca="false">ROUND(L851/Paramètres!$E$22+M851/Paramètres!$E$23+N851/Paramètres!$E$24+O851/Paramètres!$E$25+P851/Paramètres!$E$26+Q851/Paramètres!$E$27+R851/Paramètres!$E$28+S851/Paramètres!$E$29+T851/Paramètres!$E$30+U851/Paramètres!$E$31+V851/Paramètres!$E$32+W851/Paramètres!$E$33+X851/Paramètres!$E$34+Y851/Paramètres!$E$35,1)</f>
        <v>0.7</v>
      </c>
      <c r="AA851" s="22" t="s">
        <v>109</v>
      </c>
      <c r="AB851" s="22" t="s">
        <v>109</v>
      </c>
      <c r="AC851" s="15" t="str">
        <f aca="false">$E851</f>
        <v>cuir</v>
      </c>
      <c r="AD851" s="16" t="n">
        <f aca="false" t="array" ref="AD851:AD851">IF($I851&gt;=$AI851,"Max",ROUND(Paramètres!$B$40*($I851+1)^Paramètres!$B$41*INDEX(Paramètres!$H$6:$H$12,$AF851),0))</f>
        <v>4</v>
      </c>
      <c r="AE851" s="23" t="n">
        <f aca="false">MATCH($B851&amp;"|"&amp;$C851,Profils!$A$5:$A$34,0)</f>
        <v>28</v>
      </c>
      <c r="AF851" s="23" t="n">
        <v>3</v>
      </c>
      <c r="AG851" s="24" t="n">
        <f aca="false" t="array" ref="AG851:AG851">INDEX(Paramètres!$C$6:$C$12,$AF851)</f>
        <v>1.45</v>
      </c>
      <c r="AH851" s="23" t="n">
        <f aca="false" t="array" ref="AH851:AH851">INDEX(Paramètres!$D$6:$D$12,$AF851)</f>
        <v>4</v>
      </c>
      <c r="AI851" s="23" t="n">
        <f aca="false" t="array" ref="AI851:AI851">INDEX(Matériaux!$C$16:$C$20,$D851)</f>
        <v>20</v>
      </c>
      <c r="AJ851" s="25" t="n">
        <f aca="false">Paramètres!$B$16+(1-Paramètres!$B$16)*(($J851-Paramètres!$B$14)/(Paramètres!$B$15-Paramètres!$B$14))^Paramètres!$B$17</f>
        <v>0.140847925475674</v>
      </c>
    </row>
    <row r="852" customFormat="false" ht="15.75" hidden="false" customHeight="true" outlineLevel="0" collapsed="false">
      <c r="A852" s="14" t="s">
        <v>968</v>
      </c>
      <c r="B852" s="15" t="s">
        <v>31</v>
      </c>
      <c r="C852" s="15" t="s">
        <v>337</v>
      </c>
      <c r="D852" s="16" t="n">
        <v>2</v>
      </c>
      <c r="E852" s="15" t="str">
        <f aca="false" t="array" ref="E852:E852">INDEX(Matériaux!$B$5:$F$12,MATCH(INDEX(Profils!$E$5:$E$34,$AE852),Matériaux!$A$5:$A$12,0),$D852)</f>
        <v>cuir</v>
      </c>
      <c r="F852" s="28" t="s">
        <v>115</v>
      </c>
      <c r="G852" s="10" t="str">
        <f aca="false" t="array" ref="G852:G852">INDEX(Profils!$D$5:$D$34,$AE852)&amp;" en "&amp;$E852</f>
        <v>Ceinture en cuir</v>
      </c>
      <c r="H852" s="16" t="n">
        <f aca="false" t="array" ref="H852:H852">INDEX(Matériaux!$B$16:$B$20,$D852)</f>
        <v>15</v>
      </c>
      <c r="I852" s="16" t="n">
        <f aca="false">IF(ISNUMBER($C$3),MIN(MAX(0,ROUND($C$3,0)),$AI852),$AI852)</f>
        <v>0</v>
      </c>
      <c r="J852" s="18" t="n">
        <f aca="false">$H852+$I852</f>
        <v>15</v>
      </c>
      <c r="K852" s="15" t="s">
        <v>109</v>
      </c>
      <c r="L852" s="19" t="n">
        <f aca="false" t="array" ref="L852:L852">IF(AND(INDEX(Profils!$F$5:$F$34,$AE852)&gt;0,INDEX(Profils!$U$5:$U$34,$AE852)&lt;=$AH852),ROUND(INDEX(Profils!$F$5:$F$34,$AE852)*Paramètres!$E$22*$AG852*$AJ852,Paramètres!$F$22),0)</f>
        <v>6</v>
      </c>
      <c r="M852" s="19" t="n">
        <f aca="false" t="array" ref="M852:M852">IF(AND(INDEX(Profils!$G$5:$G$34,$AE852)&gt;0,INDEX(Profils!$V$5:$V$34,$AE852)&lt;=$AH852),ROUND(INDEX(Profils!$G$5:$G$34,$AE852)*Paramètres!$E$23*$AG852*$AJ852,Paramètres!$F$23),0)</f>
        <v>0</v>
      </c>
      <c r="N852" s="19" t="n">
        <f aca="false" t="array" ref="N852:N852">IF(AND(INDEX(Profils!$H$5:$H$34,$AE852)&gt;0,INDEX(Profils!$W$5:$W$34,$AE852)&lt;=$AH852),ROUND(INDEX(Profils!$H$5:$H$34,$AE852)*Paramètres!$E$24*$AG852*$AJ852,Paramètres!$F$24),0)</f>
        <v>0</v>
      </c>
      <c r="O852" s="19" t="n">
        <f aca="false" t="array" ref="O852:O852">IF(AND(INDEX(Profils!$I$5:$I$34,$AE852)&gt;0,INDEX(Profils!$X$5:$X$34,$AE852)&lt;=$AH852),ROUND(INDEX(Profils!$I$5:$I$34,$AE852)*Paramètres!$E$25*$AG852*$AJ852,Paramètres!$F$25),0)</f>
        <v>0</v>
      </c>
      <c r="P852" s="19" t="n">
        <f aca="false" t="array" ref="P852:P852">IF(AND(INDEX(Profils!$J$5:$J$34,$AE852)&gt;0,INDEX(Profils!$Y$5:$Y$34,$AE852)&lt;=$AH852),ROUND(INDEX(Profils!$J$5:$J$34,$AE852)*Paramètres!$E$26*$AG852*$AJ852,Paramètres!$F$26),0)</f>
        <v>3</v>
      </c>
      <c r="Q852" s="19" t="n">
        <f aca="false" t="array" ref="Q852:Q852">IF(AND(INDEX(Profils!$K$5:$K$34,$AE852)&gt;0,INDEX(Profils!$Z$5:$Z$34,$AE852)&lt;=$AH852),ROUND(INDEX(Profils!$K$5:$K$34,$AE852)*Paramètres!$E$27*$AG852*$AJ852,Paramètres!$F$27),0)</f>
        <v>0</v>
      </c>
      <c r="R852" s="20" t="n">
        <f aca="false" t="array" ref="R852:R852">IF(AND(INDEX(Profils!$L$5:$L$34,$AE852)&gt;0,INDEX(Profils!$AA$5:$AA$34,$AE852)&lt;=$AH852),ROUND(INDEX(Profils!$L$5:$L$34,$AE852)*Paramètres!$E$28*$AG852*$AJ852,Paramètres!$F$28),0)</f>
        <v>0.004</v>
      </c>
      <c r="S852" s="20" t="n">
        <f aca="false" t="array" ref="S852:S852">IF(AND(INDEX(Profils!$M$5:$M$34,$AE852)&gt;0,INDEX(Profils!$AB$5:$AB$34,$AE852)&lt;=$AH852),ROUND(INDEX(Profils!$M$5:$M$34,$AE852)*Paramètres!$E$29*$AG852*$AJ852,Paramètres!$F$29),0)</f>
        <v>0.002</v>
      </c>
      <c r="T852" s="20" t="n">
        <f aca="false" t="array" ref="T852:T852">IF(AND(INDEX(Profils!$N$5:$N$34,$AE852)&gt;0,INDEX(Profils!$AC$5:$AC$34,$AE852)&lt;=$AH852),ROUND(INDEX(Profils!$N$5:$N$34,$AE852)*Paramètres!$E$30*$AG852*$AJ852,Paramètres!$F$30),0)</f>
        <v>0.006</v>
      </c>
      <c r="U852" s="19" t="n">
        <f aca="false" t="array" ref="U852:U852">IF(AND(INDEX(Profils!$O$5:$O$34,$AE852)&gt;0,INDEX(Profils!$AD$5:$AD$34,$AE852)&lt;=$AH852),ROUND(INDEX(Profils!$O$5:$O$34,$AE852)*Paramètres!$E$31*$AG852*$AJ852,Paramètres!$F$31),0)</f>
        <v>0</v>
      </c>
      <c r="V852" s="20" t="n">
        <f aca="false" t="array" ref="V852:V852">IF(AND(INDEX(Profils!$P$5:$P$34,$AE852)&gt;0,INDEX(Profils!$AE$5:$AE$34,$AE852)&lt;=$AH852),ROUND(INDEX(Profils!$P$5:$P$34,$AE852)*Paramètres!$E$32*$AG852*$AJ852,Paramètres!$F$32),0)</f>
        <v>0</v>
      </c>
      <c r="W852" s="20" t="n">
        <f aca="false" t="array" ref="W852:W852">IF(AND(INDEX(Profils!$Q$5:$Q$34,$AE852)&gt;0,INDEX(Profils!$AF$5:$AF$34,$AE852)&lt;=$AH852),ROUND(INDEX(Profils!$Q$5:$Q$34,$AE852)*Paramètres!$E$33*$AG852*$AJ852,Paramètres!$F$33),0)</f>
        <v>0</v>
      </c>
      <c r="X852" s="20" t="n">
        <f aca="false" t="array" ref="X852:X852">IF(AND(INDEX(Profils!$R$5:$R$34,$AE852)&gt;0,INDEX(Profils!$AG$5:$AG$34,$AE852)&lt;=$AH852),ROUND(INDEX(Profils!$R$5:$R$34,$AE852)*Paramètres!$E$34*$AG852*$AJ852,Paramètres!$F$34),0)</f>
        <v>0</v>
      </c>
      <c r="Y852" s="20" t="n">
        <f aca="false" t="array" ref="Y852:Y852">IF(AND(INDEX(Profils!$S$5:$S$34,$AE852)&gt;0,INDEX(Profils!$AH$5:$AH$34,$AE852)&lt;=$AH852),ROUND(INDEX(Profils!$S$5:$S$34,$AE852)*Paramètres!$E$35*$AG852*$AJ852,Paramètres!$F$35),0)</f>
        <v>0</v>
      </c>
      <c r="Z852" s="21" t="n">
        <f aca="false">ROUND(L852/Paramètres!$E$22+M852/Paramètres!$E$23+N852/Paramètres!$E$24+O852/Paramètres!$E$25+P852/Paramètres!$E$26+Q852/Paramètres!$E$27+R852/Paramètres!$E$28+S852/Paramètres!$E$29+T852/Paramètres!$E$30+U852/Paramètres!$E$31+V852/Paramètres!$E$32+W852/Paramètres!$E$33+X852/Paramètres!$E$34+Y852/Paramètres!$E$35,1)</f>
        <v>1.1</v>
      </c>
      <c r="AA852" s="22" t="s">
        <v>109</v>
      </c>
      <c r="AB852" s="22" t="s">
        <v>109</v>
      </c>
      <c r="AC852" s="15" t="str">
        <f aca="false">$E852</f>
        <v>cuir</v>
      </c>
      <c r="AD852" s="16" t="n">
        <f aca="false" t="array" ref="AD852:AD852">IF($I852&gt;=$AI852,"Max",ROUND(Paramètres!$B$40*($I852+1)^Paramètres!$B$41*INDEX(Paramètres!$H$6:$H$12,$AF852),0))</f>
        <v>5</v>
      </c>
      <c r="AE852" s="23" t="n">
        <f aca="false">MATCH($B852&amp;"|"&amp;$C852,Profils!$A$5:$A$34,0)</f>
        <v>28</v>
      </c>
      <c r="AF852" s="23" t="n">
        <v>4</v>
      </c>
      <c r="AG852" s="24" t="n">
        <f aca="false" t="array" ref="AG852:AG852">INDEX(Paramètres!$C$6:$C$12,$AF852)</f>
        <v>1.75</v>
      </c>
      <c r="AH852" s="23" t="n">
        <f aca="false" t="array" ref="AH852:AH852">INDEX(Paramètres!$D$6:$D$12,$AF852)</f>
        <v>5</v>
      </c>
      <c r="AI852" s="23" t="n">
        <f aca="false" t="array" ref="AI852:AI852">INDEX(Matériaux!$C$16:$C$20,$D852)</f>
        <v>20</v>
      </c>
      <c r="AJ852" s="25" t="n">
        <f aca="false">Paramètres!$B$16+(1-Paramètres!$B$16)*(($J852-Paramètres!$B$14)/(Paramètres!$B$15-Paramètres!$B$14))^Paramètres!$B$17</f>
        <v>0.140847925475674</v>
      </c>
    </row>
    <row r="853" customFormat="false" ht="15.75" hidden="false" customHeight="true" outlineLevel="0" collapsed="false">
      <c r="A853" s="14" t="s">
        <v>969</v>
      </c>
      <c r="B853" s="15" t="s">
        <v>31</v>
      </c>
      <c r="C853" s="15" t="s">
        <v>337</v>
      </c>
      <c r="D853" s="16" t="n">
        <v>2</v>
      </c>
      <c r="E853" s="15" t="str">
        <f aca="false" t="array" ref="E853:E853">INDEX(Matériaux!$B$5:$F$12,MATCH(INDEX(Profils!$E$5:$E$34,$AE853),Matériaux!$A$5:$A$12,0),$D853)</f>
        <v>cuir</v>
      </c>
      <c r="F853" s="29" t="s">
        <v>117</v>
      </c>
      <c r="G853" s="10" t="str">
        <f aca="false" t="array" ref="G853:G853">INDEX(Profils!$D$5:$D$34,$AE853)&amp;" en "&amp;$E853</f>
        <v>Ceinture en cuir</v>
      </c>
      <c r="H853" s="16" t="n">
        <f aca="false" t="array" ref="H853:H853">INDEX(Matériaux!$B$16:$B$20,$D853)</f>
        <v>15</v>
      </c>
      <c r="I853" s="16" t="n">
        <f aca="false">IF(ISNUMBER($C$3),MIN(MAX(0,ROUND($C$3,0)),$AI853),$AI853)</f>
        <v>0</v>
      </c>
      <c r="J853" s="18" t="n">
        <f aca="false">$H853+$I853</f>
        <v>15</v>
      </c>
      <c r="K853" s="15" t="s">
        <v>109</v>
      </c>
      <c r="L853" s="19" t="n">
        <f aca="false" t="array" ref="L853:L853">IF(AND(INDEX(Profils!$F$5:$F$34,$AE853)&gt;0,INDEX(Profils!$U$5:$U$34,$AE853)&lt;=$AH853),ROUND(INDEX(Profils!$F$5:$F$34,$AE853)*Paramètres!$E$22*$AG853*$AJ853,Paramètres!$F$22),0)</f>
        <v>7</v>
      </c>
      <c r="M853" s="19" t="n">
        <f aca="false" t="array" ref="M853:M853">IF(AND(INDEX(Profils!$G$5:$G$34,$AE853)&gt;0,INDEX(Profils!$V$5:$V$34,$AE853)&lt;=$AH853),ROUND(INDEX(Profils!$G$5:$G$34,$AE853)*Paramètres!$E$23*$AG853*$AJ853,Paramètres!$F$23),0)</f>
        <v>0</v>
      </c>
      <c r="N853" s="19" t="n">
        <f aca="false" t="array" ref="N853:N853">IF(AND(INDEX(Profils!$H$5:$H$34,$AE853)&gt;0,INDEX(Profils!$W$5:$W$34,$AE853)&lt;=$AH853),ROUND(INDEX(Profils!$H$5:$H$34,$AE853)*Paramètres!$E$24*$AG853*$AJ853,Paramètres!$F$24),0)</f>
        <v>0</v>
      </c>
      <c r="O853" s="19" t="n">
        <f aca="false" t="array" ref="O853:O853">IF(AND(INDEX(Profils!$I$5:$I$34,$AE853)&gt;0,INDEX(Profils!$X$5:$X$34,$AE853)&lt;=$AH853),ROUND(INDEX(Profils!$I$5:$I$34,$AE853)*Paramètres!$E$25*$AG853*$AJ853,Paramètres!$F$25),0)</f>
        <v>0</v>
      </c>
      <c r="P853" s="19" t="n">
        <f aca="false" t="array" ref="P853:P853">IF(AND(INDEX(Profils!$J$5:$J$34,$AE853)&gt;0,INDEX(Profils!$Y$5:$Y$34,$AE853)&lt;=$AH853),ROUND(INDEX(Profils!$J$5:$J$34,$AE853)*Paramètres!$E$26*$AG853*$AJ853,Paramètres!$F$26),0)</f>
        <v>4</v>
      </c>
      <c r="Q853" s="19" t="n">
        <f aca="false" t="array" ref="Q853:Q853">IF(AND(INDEX(Profils!$K$5:$K$34,$AE853)&gt;0,INDEX(Profils!$Z$5:$Z$34,$AE853)&lt;=$AH853),ROUND(INDEX(Profils!$K$5:$K$34,$AE853)*Paramètres!$E$27*$AG853*$AJ853,Paramètres!$F$27),0)</f>
        <v>0</v>
      </c>
      <c r="R853" s="20" t="n">
        <f aca="false" t="array" ref="R853:R853">IF(AND(INDEX(Profils!$L$5:$L$34,$AE853)&gt;0,INDEX(Profils!$AA$5:$AA$34,$AE853)&lt;=$AH853),ROUND(INDEX(Profils!$L$5:$L$34,$AE853)*Paramètres!$E$28*$AG853*$AJ853,Paramètres!$F$28),0)</f>
        <v>0.004</v>
      </c>
      <c r="S853" s="20" t="n">
        <f aca="false" t="array" ref="S853:S853">IF(AND(INDEX(Profils!$M$5:$M$34,$AE853)&gt;0,INDEX(Profils!$AB$5:$AB$34,$AE853)&lt;=$AH853),ROUND(INDEX(Profils!$M$5:$M$34,$AE853)*Paramètres!$E$29*$AG853*$AJ853,Paramètres!$F$29),0)</f>
        <v>0.003</v>
      </c>
      <c r="T853" s="20" t="n">
        <f aca="false" t="array" ref="T853:T853">IF(AND(INDEX(Profils!$N$5:$N$34,$AE853)&gt;0,INDEX(Profils!$AC$5:$AC$34,$AE853)&lt;=$AH853),ROUND(INDEX(Profils!$N$5:$N$34,$AE853)*Paramètres!$E$30*$AG853*$AJ853,Paramètres!$F$30),0)</f>
        <v>0.007</v>
      </c>
      <c r="U853" s="19" t="n">
        <f aca="false" t="array" ref="U853:U853">IF(AND(INDEX(Profils!$O$5:$O$34,$AE853)&gt;0,INDEX(Profils!$AD$5:$AD$34,$AE853)&lt;=$AH853),ROUND(INDEX(Profils!$O$5:$O$34,$AE853)*Paramètres!$E$31*$AG853*$AJ853,Paramètres!$F$31),0)</f>
        <v>0</v>
      </c>
      <c r="V853" s="20" t="n">
        <f aca="false" t="array" ref="V853:V853">IF(AND(INDEX(Profils!$P$5:$P$34,$AE853)&gt;0,INDEX(Profils!$AE$5:$AE$34,$AE853)&lt;=$AH853),ROUND(INDEX(Profils!$P$5:$P$34,$AE853)*Paramètres!$E$32*$AG853*$AJ853,Paramètres!$F$32),0)</f>
        <v>0.003</v>
      </c>
      <c r="W853" s="20" t="n">
        <f aca="false" t="array" ref="W853:W853">IF(AND(INDEX(Profils!$Q$5:$Q$34,$AE853)&gt;0,INDEX(Profils!$AF$5:$AF$34,$AE853)&lt;=$AH853),ROUND(INDEX(Profils!$Q$5:$Q$34,$AE853)*Paramètres!$E$33*$AG853*$AJ853,Paramètres!$F$33),0)</f>
        <v>0</v>
      </c>
      <c r="X853" s="20" t="n">
        <f aca="false" t="array" ref="X853:X853">IF(AND(INDEX(Profils!$R$5:$R$34,$AE853)&gt;0,INDEX(Profils!$AG$5:$AG$34,$AE853)&lt;=$AH853),ROUND(INDEX(Profils!$R$5:$R$34,$AE853)*Paramètres!$E$34*$AG853*$AJ853,Paramètres!$F$34),0)</f>
        <v>0</v>
      </c>
      <c r="Y853" s="20" t="n">
        <f aca="false" t="array" ref="Y853:Y853">IF(AND(INDEX(Profils!$S$5:$S$34,$AE853)&gt;0,INDEX(Profils!$AH$5:$AH$34,$AE853)&lt;=$AH853),ROUND(INDEX(Profils!$S$5:$S$34,$AE853)*Paramètres!$E$35*$AG853*$AJ853,Paramètres!$F$35),0)</f>
        <v>0</v>
      </c>
      <c r="Z853" s="21" t="n">
        <f aca="false">ROUND(L853/Paramètres!$E$22+M853/Paramètres!$E$23+N853/Paramètres!$E$24+O853/Paramètres!$E$25+P853/Paramètres!$E$26+Q853/Paramètres!$E$27+R853/Paramètres!$E$28+S853/Paramètres!$E$29+T853/Paramètres!$E$30+U853/Paramètres!$E$31+V853/Paramètres!$E$32+W853/Paramètres!$E$33+X853/Paramètres!$E$34+Y853/Paramètres!$E$35,1)</f>
        <v>1.6</v>
      </c>
      <c r="AA853" s="22" t="s">
        <v>109</v>
      </c>
      <c r="AB853" s="22" t="s">
        <v>109</v>
      </c>
      <c r="AC853" s="15" t="str">
        <f aca="false">$E853</f>
        <v>cuir</v>
      </c>
      <c r="AD853" s="16" t="n">
        <f aca="false" t="array" ref="AD853:AD853">IF($I853&gt;=$AI853,"Max",ROUND(Paramètres!$B$40*($I853+1)^Paramètres!$B$41*INDEX(Paramètres!$H$6:$H$12,$AF853),0))</f>
        <v>6</v>
      </c>
      <c r="AE853" s="23" t="n">
        <f aca="false">MATCH($B853&amp;"|"&amp;$C853,Profils!$A$5:$A$34,0)</f>
        <v>28</v>
      </c>
      <c r="AF853" s="23" t="n">
        <v>5</v>
      </c>
      <c r="AG853" s="24" t="n">
        <f aca="false" t="array" ref="AG853:AG853">INDEX(Paramètres!$C$6:$C$12,$AF853)</f>
        <v>2.1</v>
      </c>
      <c r="AH853" s="23" t="n">
        <f aca="false" t="array" ref="AH853:AH853">INDEX(Paramètres!$D$6:$D$12,$AF853)</f>
        <v>6</v>
      </c>
      <c r="AI853" s="23" t="n">
        <f aca="false" t="array" ref="AI853:AI853">INDEX(Matériaux!$C$16:$C$20,$D853)</f>
        <v>20</v>
      </c>
      <c r="AJ853" s="25" t="n">
        <f aca="false">Paramètres!$B$16+(1-Paramètres!$B$16)*(($J853-Paramètres!$B$14)/(Paramètres!$B$15-Paramètres!$B$14))^Paramètres!$B$17</f>
        <v>0.140847925475674</v>
      </c>
    </row>
    <row r="854" customFormat="false" ht="15.75" hidden="false" customHeight="true" outlineLevel="0" collapsed="false">
      <c r="A854" s="14" t="s">
        <v>970</v>
      </c>
      <c r="B854" s="15" t="s">
        <v>31</v>
      </c>
      <c r="C854" s="15" t="s">
        <v>337</v>
      </c>
      <c r="D854" s="16" t="n">
        <v>2</v>
      </c>
      <c r="E854" s="15" t="str">
        <f aca="false" t="array" ref="E854:E854">INDEX(Matériaux!$B$5:$F$12,MATCH(INDEX(Profils!$E$5:$E$34,$AE854),Matériaux!$A$5:$A$12,0),$D854)</f>
        <v>cuir</v>
      </c>
      <c r="F854" s="30" t="s">
        <v>119</v>
      </c>
      <c r="G854" s="10" t="str">
        <f aca="false" t="array" ref="G854:G854">INDEX(Profils!$D$5:$D$34,$AE854)&amp;" en "&amp;$E854</f>
        <v>Ceinture en cuir</v>
      </c>
      <c r="H854" s="16" t="n">
        <f aca="false" t="array" ref="H854:H854">INDEX(Matériaux!$B$16:$B$20,$D854)</f>
        <v>15</v>
      </c>
      <c r="I854" s="16" t="n">
        <f aca="false">IF(ISNUMBER($C$3),MIN(MAX(0,ROUND($C$3,0)),$AI854),$AI854)</f>
        <v>0</v>
      </c>
      <c r="J854" s="18" t="n">
        <f aca="false">$H854+$I854</f>
        <v>15</v>
      </c>
      <c r="K854" s="15" t="s">
        <v>109</v>
      </c>
      <c r="L854" s="19" t="n">
        <f aca="false" t="array" ref="L854:L854">IF(AND(INDEX(Profils!$F$5:$F$34,$AE854)&gt;0,INDEX(Profils!$U$5:$U$34,$AE854)&lt;=$AH854),ROUND(INDEX(Profils!$F$5:$F$34,$AE854)*Paramètres!$E$22*$AG854*$AJ854,Paramètres!$F$22),0)</f>
        <v>8</v>
      </c>
      <c r="M854" s="19" t="n">
        <f aca="false" t="array" ref="M854:M854">IF(AND(INDEX(Profils!$G$5:$G$34,$AE854)&gt;0,INDEX(Profils!$V$5:$V$34,$AE854)&lt;=$AH854),ROUND(INDEX(Profils!$G$5:$G$34,$AE854)*Paramètres!$E$23*$AG854*$AJ854,Paramètres!$F$23),0)</f>
        <v>0</v>
      </c>
      <c r="N854" s="19" t="n">
        <f aca="false" t="array" ref="N854:N854">IF(AND(INDEX(Profils!$H$5:$H$34,$AE854)&gt;0,INDEX(Profils!$W$5:$W$34,$AE854)&lt;=$AH854),ROUND(INDEX(Profils!$H$5:$H$34,$AE854)*Paramètres!$E$24*$AG854*$AJ854,Paramètres!$F$24),0)</f>
        <v>0</v>
      </c>
      <c r="O854" s="19" t="n">
        <f aca="false" t="array" ref="O854:O854">IF(AND(INDEX(Profils!$I$5:$I$34,$AE854)&gt;0,INDEX(Profils!$X$5:$X$34,$AE854)&lt;=$AH854),ROUND(INDEX(Profils!$I$5:$I$34,$AE854)*Paramètres!$E$25*$AG854*$AJ854,Paramètres!$F$25),0)</f>
        <v>0</v>
      </c>
      <c r="P854" s="19" t="n">
        <f aca="false" t="array" ref="P854:P854">IF(AND(INDEX(Profils!$J$5:$J$34,$AE854)&gt;0,INDEX(Profils!$Y$5:$Y$34,$AE854)&lt;=$AH854),ROUND(INDEX(Profils!$J$5:$J$34,$AE854)*Paramètres!$E$26*$AG854*$AJ854,Paramètres!$F$26),0)</f>
        <v>4</v>
      </c>
      <c r="Q854" s="19" t="n">
        <f aca="false" t="array" ref="Q854:Q854">IF(AND(INDEX(Profils!$K$5:$K$34,$AE854)&gt;0,INDEX(Profils!$Z$5:$Z$34,$AE854)&lt;=$AH854),ROUND(INDEX(Profils!$K$5:$K$34,$AE854)*Paramètres!$E$27*$AG854*$AJ854,Paramètres!$F$27),0)</f>
        <v>0</v>
      </c>
      <c r="R854" s="20" t="n">
        <f aca="false" t="array" ref="R854:R854">IF(AND(INDEX(Profils!$L$5:$L$34,$AE854)&gt;0,INDEX(Profils!$AA$5:$AA$34,$AE854)&lt;=$AH854),ROUND(INDEX(Profils!$L$5:$L$34,$AE854)*Paramètres!$E$28*$AG854*$AJ854,Paramètres!$F$28),0)</f>
        <v>0.005</v>
      </c>
      <c r="S854" s="20" t="n">
        <f aca="false" t="array" ref="S854:S854">IF(AND(INDEX(Profils!$M$5:$M$34,$AE854)&gt;0,INDEX(Profils!$AB$5:$AB$34,$AE854)&lt;=$AH854),ROUND(INDEX(Profils!$M$5:$M$34,$AE854)*Paramètres!$E$29*$AG854*$AJ854,Paramètres!$F$29),0)</f>
        <v>0.003</v>
      </c>
      <c r="T854" s="20" t="n">
        <f aca="false" t="array" ref="T854:T854">IF(AND(INDEX(Profils!$N$5:$N$34,$AE854)&gt;0,INDEX(Profils!$AC$5:$AC$34,$AE854)&lt;=$AH854),ROUND(INDEX(Profils!$N$5:$N$34,$AE854)*Paramètres!$E$30*$AG854*$AJ854,Paramètres!$F$30),0)</f>
        <v>0.008</v>
      </c>
      <c r="U854" s="19" t="n">
        <f aca="false" t="array" ref="U854:U854">IF(AND(INDEX(Profils!$O$5:$O$34,$AE854)&gt;0,INDEX(Profils!$AD$5:$AD$34,$AE854)&lt;=$AH854),ROUND(INDEX(Profils!$O$5:$O$34,$AE854)*Paramètres!$E$31*$AG854*$AJ854,Paramètres!$F$31),0)</f>
        <v>0</v>
      </c>
      <c r="V854" s="20" t="n">
        <f aca="false" t="array" ref="V854:V854">IF(AND(INDEX(Profils!$P$5:$P$34,$AE854)&gt;0,INDEX(Profils!$AE$5:$AE$34,$AE854)&lt;=$AH854),ROUND(INDEX(Profils!$P$5:$P$34,$AE854)*Paramètres!$E$32*$AG854*$AJ854,Paramètres!$F$32),0)</f>
        <v>0.003</v>
      </c>
      <c r="W854" s="20" t="n">
        <f aca="false" t="array" ref="W854:W854">IF(AND(INDEX(Profils!$Q$5:$Q$34,$AE854)&gt;0,INDEX(Profils!$AF$5:$AF$34,$AE854)&lt;=$AH854),ROUND(INDEX(Profils!$Q$5:$Q$34,$AE854)*Paramètres!$E$33*$AG854*$AJ854,Paramètres!$F$33),0)</f>
        <v>0</v>
      </c>
      <c r="X854" s="20" t="n">
        <f aca="false" t="array" ref="X854:X854">IF(AND(INDEX(Profils!$R$5:$R$34,$AE854)&gt;0,INDEX(Profils!$AG$5:$AG$34,$AE854)&lt;=$AH854),ROUND(INDEX(Profils!$R$5:$R$34,$AE854)*Paramètres!$E$34*$AG854*$AJ854,Paramètres!$F$34),0)</f>
        <v>0</v>
      </c>
      <c r="Y854" s="20" t="n">
        <f aca="false" t="array" ref="Y854:Y854">IF(AND(INDEX(Profils!$S$5:$S$34,$AE854)&gt;0,INDEX(Profils!$AH$5:$AH$34,$AE854)&lt;=$AH854),ROUND(INDEX(Profils!$S$5:$S$34,$AE854)*Paramètres!$E$35*$AG854*$AJ854,Paramètres!$F$35),0)</f>
        <v>0.003</v>
      </c>
      <c r="Z854" s="21" t="n">
        <f aca="false">ROUND(L854/Paramètres!$E$22+M854/Paramètres!$E$23+N854/Paramètres!$E$24+O854/Paramètres!$E$25+P854/Paramètres!$E$26+Q854/Paramètres!$E$27+R854/Paramètres!$E$28+S854/Paramètres!$E$29+T854/Paramètres!$E$30+U854/Paramètres!$E$31+V854/Paramètres!$E$32+W854/Paramètres!$E$33+X854/Paramètres!$E$34+Y854/Paramètres!$E$35,1)</f>
        <v>1.9</v>
      </c>
      <c r="AA854" s="22" t="s">
        <v>109</v>
      </c>
      <c r="AB854" s="22" t="s">
        <v>109</v>
      </c>
      <c r="AC854" s="15" t="str">
        <f aca="false">$E854</f>
        <v>cuir</v>
      </c>
      <c r="AD854" s="16" t="n">
        <f aca="false" t="array" ref="AD854:AD854">IF($I854&gt;=$AI854,"Max",ROUND(Paramètres!$B$40*($I854+1)^Paramètres!$B$41*INDEX(Paramètres!$H$6:$H$12,$AF854),0))</f>
        <v>8</v>
      </c>
      <c r="AE854" s="23" t="n">
        <f aca="false">MATCH($B854&amp;"|"&amp;$C854,Profils!$A$5:$A$34,0)</f>
        <v>28</v>
      </c>
      <c r="AF854" s="23" t="n">
        <v>6</v>
      </c>
      <c r="AG854" s="24" t="n">
        <f aca="false" t="array" ref="AG854:AG854">INDEX(Paramètres!$C$6:$C$12,$AF854)</f>
        <v>2.4</v>
      </c>
      <c r="AH854" s="23" t="n">
        <f aca="false" t="array" ref="AH854:AH854">INDEX(Paramètres!$D$6:$D$12,$AF854)</f>
        <v>7</v>
      </c>
      <c r="AI854" s="23" t="n">
        <f aca="false" t="array" ref="AI854:AI854">INDEX(Matériaux!$C$16:$C$20,$D854)</f>
        <v>20</v>
      </c>
      <c r="AJ854" s="25" t="n">
        <f aca="false">Paramètres!$B$16+(1-Paramètres!$B$16)*(($J854-Paramètres!$B$14)/(Paramètres!$B$15-Paramètres!$B$14))^Paramètres!$B$17</f>
        <v>0.140847925475674</v>
      </c>
    </row>
    <row r="855" customFormat="false" ht="15.75" hidden="false" customHeight="true" outlineLevel="0" collapsed="false">
      <c r="A855" s="14" t="s">
        <v>971</v>
      </c>
      <c r="B855" s="15" t="s">
        <v>31</v>
      </c>
      <c r="C855" s="15" t="s">
        <v>337</v>
      </c>
      <c r="D855" s="16" t="n">
        <v>3</v>
      </c>
      <c r="E855" s="15" t="str">
        <f aca="false" t="array" ref="E855:E855">INDEX(Matériaux!$B$5:$F$12,MATCH(INDEX(Profils!$E$5:$E$34,$AE855),Matériaux!$A$5:$A$12,0),$D855)</f>
        <v>cuir clouté</v>
      </c>
      <c r="F855" s="17" t="s">
        <v>108</v>
      </c>
      <c r="G855" s="10" t="str">
        <f aca="false" t="array" ref="G855:G855">INDEX(Profils!$D$5:$D$34,$AE855)&amp;" en "&amp;$E855</f>
        <v>Ceinture en cuir clouté</v>
      </c>
      <c r="H855" s="16" t="n">
        <f aca="false" t="array" ref="H855:H855">INDEX(Matériaux!$B$16:$B$20,$D855)</f>
        <v>30</v>
      </c>
      <c r="I855" s="16" t="n">
        <f aca="false">IF(ISNUMBER($C$3),MIN(MAX(0,ROUND($C$3,0)),$AI855),$AI855)</f>
        <v>0</v>
      </c>
      <c r="J855" s="18" t="n">
        <f aca="false">$H855+$I855</f>
        <v>30</v>
      </c>
      <c r="K855" s="15" t="s">
        <v>109</v>
      </c>
      <c r="L855" s="19" t="n">
        <f aca="false" t="array" ref="L855:L855">IF(AND(INDEX(Profils!$F$5:$F$34,$AE855)&gt;0,INDEX(Profils!$U$5:$U$34,$AE855)&lt;=$AH855),ROUND(INDEX(Profils!$F$5:$F$34,$AE855)*Paramètres!$E$22*$AG855*$AJ855,Paramètres!$F$22),0)</f>
        <v>0</v>
      </c>
      <c r="M855" s="19" t="n">
        <f aca="false" t="array" ref="M855:M855">IF(AND(INDEX(Profils!$G$5:$G$34,$AE855)&gt;0,INDEX(Profils!$V$5:$V$34,$AE855)&lt;=$AH855),ROUND(INDEX(Profils!$G$5:$G$34,$AE855)*Paramètres!$E$23*$AG855*$AJ855,Paramètres!$F$23),0)</f>
        <v>0</v>
      </c>
      <c r="N855" s="19" t="n">
        <f aca="false" t="array" ref="N855:N855">IF(AND(INDEX(Profils!$H$5:$H$34,$AE855)&gt;0,INDEX(Profils!$W$5:$W$34,$AE855)&lt;=$AH855),ROUND(INDEX(Profils!$H$5:$H$34,$AE855)*Paramètres!$E$24*$AG855*$AJ855,Paramètres!$F$24),0)</f>
        <v>0</v>
      </c>
      <c r="O855" s="19" t="n">
        <f aca="false" t="array" ref="O855:O855">IF(AND(INDEX(Profils!$I$5:$I$34,$AE855)&gt;0,INDEX(Profils!$X$5:$X$34,$AE855)&lt;=$AH855),ROUND(INDEX(Profils!$I$5:$I$34,$AE855)*Paramètres!$E$25*$AG855*$AJ855,Paramètres!$F$25),0)</f>
        <v>0</v>
      </c>
      <c r="P855" s="19" t="n">
        <f aca="false" t="array" ref="P855:P855">IF(AND(INDEX(Profils!$J$5:$J$34,$AE855)&gt;0,INDEX(Profils!$Y$5:$Y$34,$AE855)&lt;=$AH855),ROUND(INDEX(Profils!$J$5:$J$34,$AE855)*Paramètres!$E$26*$AG855*$AJ855,Paramètres!$F$26),0)</f>
        <v>3</v>
      </c>
      <c r="Q855" s="19" t="n">
        <f aca="false" t="array" ref="Q855:Q855">IF(AND(INDEX(Profils!$K$5:$K$34,$AE855)&gt;0,INDEX(Profils!$Z$5:$Z$34,$AE855)&lt;=$AH855),ROUND(INDEX(Profils!$K$5:$K$34,$AE855)*Paramètres!$E$27*$AG855*$AJ855,Paramètres!$F$27),0)</f>
        <v>0</v>
      </c>
      <c r="R855" s="20" t="n">
        <f aca="false" t="array" ref="R855:R855">IF(AND(INDEX(Profils!$L$5:$L$34,$AE855)&gt;0,INDEX(Profils!$AA$5:$AA$34,$AE855)&lt;=$AH855),ROUND(INDEX(Profils!$L$5:$L$34,$AE855)*Paramètres!$E$28*$AG855*$AJ855,Paramètres!$F$28),0)</f>
        <v>0.004</v>
      </c>
      <c r="S855" s="20" t="n">
        <f aca="false" t="array" ref="S855:S855">IF(AND(INDEX(Profils!$M$5:$M$34,$AE855)&gt;0,INDEX(Profils!$AB$5:$AB$34,$AE855)&lt;=$AH855),ROUND(INDEX(Profils!$M$5:$M$34,$AE855)*Paramètres!$E$29*$AG855*$AJ855,Paramètres!$F$29),0)</f>
        <v>0</v>
      </c>
      <c r="T855" s="20" t="n">
        <f aca="false" t="array" ref="T855:T855">IF(AND(INDEX(Profils!$N$5:$N$34,$AE855)&gt;0,INDEX(Profils!$AC$5:$AC$34,$AE855)&lt;=$AH855),ROUND(INDEX(Profils!$N$5:$N$34,$AE855)*Paramètres!$E$30*$AG855*$AJ855,Paramètres!$F$30),0)</f>
        <v>0</v>
      </c>
      <c r="U855" s="19" t="n">
        <f aca="false" t="array" ref="U855:U855">IF(AND(INDEX(Profils!$O$5:$O$34,$AE855)&gt;0,INDEX(Profils!$AD$5:$AD$34,$AE855)&lt;=$AH855),ROUND(INDEX(Profils!$O$5:$O$34,$AE855)*Paramètres!$E$31*$AG855*$AJ855,Paramètres!$F$31),0)</f>
        <v>0</v>
      </c>
      <c r="V855" s="20" t="n">
        <f aca="false" t="array" ref="V855:V855">IF(AND(INDEX(Profils!$P$5:$P$34,$AE855)&gt;0,INDEX(Profils!$AE$5:$AE$34,$AE855)&lt;=$AH855),ROUND(INDEX(Profils!$P$5:$P$34,$AE855)*Paramètres!$E$32*$AG855*$AJ855,Paramètres!$F$32),0)</f>
        <v>0</v>
      </c>
      <c r="W855" s="20" t="n">
        <f aca="false" t="array" ref="W855:W855">IF(AND(INDEX(Profils!$Q$5:$Q$34,$AE855)&gt;0,INDEX(Profils!$AF$5:$AF$34,$AE855)&lt;=$AH855),ROUND(INDEX(Profils!$Q$5:$Q$34,$AE855)*Paramètres!$E$33*$AG855*$AJ855,Paramètres!$F$33),0)</f>
        <v>0</v>
      </c>
      <c r="X855" s="20" t="n">
        <f aca="false" t="array" ref="X855:X855">IF(AND(INDEX(Profils!$R$5:$R$34,$AE855)&gt;0,INDEX(Profils!$AG$5:$AG$34,$AE855)&lt;=$AH855),ROUND(INDEX(Profils!$R$5:$R$34,$AE855)*Paramètres!$E$34*$AG855*$AJ855,Paramètres!$F$34),0)</f>
        <v>0</v>
      </c>
      <c r="Y855" s="20" t="n">
        <f aca="false" t="array" ref="Y855:Y855">IF(AND(INDEX(Profils!$S$5:$S$34,$AE855)&gt;0,INDEX(Profils!$AH$5:$AH$34,$AE855)&lt;=$AH855),ROUND(INDEX(Profils!$S$5:$S$34,$AE855)*Paramètres!$E$35*$AG855*$AJ855,Paramètres!$F$35),0)</f>
        <v>0</v>
      </c>
      <c r="Z855" s="21" t="n">
        <f aca="false">ROUND(L855/Paramètres!$E$22+M855/Paramètres!$E$23+N855/Paramètres!$E$24+O855/Paramètres!$E$25+P855/Paramètres!$E$26+Q855/Paramètres!$E$27+R855/Paramètres!$E$28+S855/Paramètres!$E$29+T855/Paramètres!$E$30+U855/Paramètres!$E$31+V855/Paramètres!$E$32+W855/Paramètres!$E$33+X855/Paramètres!$E$34+Y855/Paramètres!$E$35,1)</f>
        <v>0.5</v>
      </c>
      <c r="AA855" s="22" t="s">
        <v>109</v>
      </c>
      <c r="AB855" s="22" t="s">
        <v>109</v>
      </c>
      <c r="AC855" s="15" t="str">
        <f aca="false">$E855</f>
        <v>cuir clouté</v>
      </c>
      <c r="AD855" s="16" t="n">
        <f aca="false" t="array" ref="AD855:AD855">IF($I855&gt;=$AI855,"Max",ROUND(Paramètres!$B$40*($I855+1)^Paramètres!$B$41*INDEX(Paramètres!$H$6:$H$12,$AF855),0))</f>
        <v>3</v>
      </c>
      <c r="AE855" s="23" t="n">
        <f aca="false">MATCH($B855&amp;"|"&amp;$C855,Profils!$A$5:$A$34,0)</f>
        <v>28</v>
      </c>
      <c r="AF855" s="23" t="n">
        <v>1</v>
      </c>
      <c r="AG855" s="24" t="n">
        <f aca="false" t="array" ref="AG855:AG855">INDEX(Paramètres!$C$6:$C$12,$AF855)</f>
        <v>1</v>
      </c>
      <c r="AH855" s="23" t="n">
        <f aca="false" t="array" ref="AH855:AH855">INDEX(Paramètres!$D$6:$D$12,$AF855)</f>
        <v>2</v>
      </c>
      <c r="AI855" s="23" t="n">
        <f aca="false" t="array" ref="AI855:AI855">INDEX(Matériaux!$C$16:$C$20,$D855)</f>
        <v>25</v>
      </c>
      <c r="AJ855" s="25" t="n">
        <f aca="false">Paramètres!$B$16+(1-Paramètres!$B$16)*(($J855-Paramètres!$B$14)/(Paramètres!$B$15-Paramètres!$B$14))^Paramètres!$B$17</f>
        <v>0.26769024555533</v>
      </c>
    </row>
    <row r="856" customFormat="false" ht="15.75" hidden="false" customHeight="true" outlineLevel="0" collapsed="false">
      <c r="A856" s="14" t="s">
        <v>972</v>
      </c>
      <c r="B856" s="15" t="s">
        <v>31</v>
      </c>
      <c r="C856" s="15" t="s">
        <v>337</v>
      </c>
      <c r="D856" s="16" t="n">
        <v>3</v>
      </c>
      <c r="E856" s="15" t="str">
        <f aca="false" t="array" ref="E856:E856">INDEX(Matériaux!$B$5:$F$12,MATCH(INDEX(Profils!$E$5:$E$34,$AE856),Matériaux!$A$5:$A$12,0),$D856)</f>
        <v>cuir clouté</v>
      </c>
      <c r="F856" s="26" t="s">
        <v>111</v>
      </c>
      <c r="G856" s="10" t="str">
        <f aca="false" t="array" ref="G856:G856">INDEX(Profils!$D$5:$D$34,$AE856)&amp;" en "&amp;$E856</f>
        <v>Ceinture en cuir clouté</v>
      </c>
      <c r="H856" s="16" t="n">
        <f aca="false" t="array" ref="H856:H856">INDEX(Matériaux!$B$16:$B$20,$D856)</f>
        <v>30</v>
      </c>
      <c r="I856" s="16" t="n">
        <f aca="false">IF(ISNUMBER($C$3),MIN(MAX(0,ROUND($C$3,0)),$AI856),$AI856)</f>
        <v>0</v>
      </c>
      <c r="J856" s="18" t="n">
        <f aca="false">$H856+$I856</f>
        <v>30</v>
      </c>
      <c r="K856" s="15" t="s">
        <v>109</v>
      </c>
      <c r="L856" s="19" t="n">
        <f aca="false" t="array" ref="L856:L856">IF(AND(INDEX(Profils!$F$5:$F$34,$AE856)&gt;0,INDEX(Profils!$U$5:$U$34,$AE856)&lt;=$AH856),ROUND(INDEX(Profils!$F$5:$F$34,$AE856)*Paramètres!$E$22*$AG856*$AJ856,Paramètres!$F$22),0)</f>
        <v>7</v>
      </c>
      <c r="M856" s="19" t="n">
        <f aca="false" t="array" ref="M856:M856">IF(AND(INDEX(Profils!$G$5:$G$34,$AE856)&gt;0,INDEX(Profils!$V$5:$V$34,$AE856)&lt;=$AH856),ROUND(INDEX(Profils!$G$5:$G$34,$AE856)*Paramètres!$E$23*$AG856*$AJ856,Paramètres!$F$23),0)</f>
        <v>0</v>
      </c>
      <c r="N856" s="19" t="n">
        <f aca="false" t="array" ref="N856:N856">IF(AND(INDEX(Profils!$H$5:$H$34,$AE856)&gt;0,INDEX(Profils!$W$5:$W$34,$AE856)&lt;=$AH856),ROUND(INDEX(Profils!$H$5:$H$34,$AE856)*Paramètres!$E$24*$AG856*$AJ856,Paramètres!$F$24),0)</f>
        <v>0</v>
      </c>
      <c r="O856" s="19" t="n">
        <f aca="false" t="array" ref="O856:O856">IF(AND(INDEX(Profils!$I$5:$I$34,$AE856)&gt;0,INDEX(Profils!$X$5:$X$34,$AE856)&lt;=$AH856),ROUND(INDEX(Profils!$I$5:$I$34,$AE856)*Paramètres!$E$25*$AG856*$AJ856,Paramètres!$F$25),0)</f>
        <v>0</v>
      </c>
      <c r="P856" s="19" t="n">
        <f aca="false" t="array" ref="P856:P856">IF(AND(INDEX(Profils!$J$5:$J$34,$AE856)&gt;0,INDEX(Profils!$Y$5:$Y$34,$AE856)&lt;=$AH856),ROUND(INDEX(Profils!$J$5:$J$34,$AE856)*Paramètres!$E$26*$AG856*$AJ856,Paramètres!$F$26),0)</f>
        <v>4</v>
      </c>
      <c r="Q856" s="19" t="n">
        <f aca="false" t="array" ref="Q856:Q856">IF(AND(INDEX(Profils!$K$5:$K$34,$AE856)&gt;0,INDEX(Profils!$Z$5:$Z$34,$AE856)&lt;=$AH856),ROUND(INDEX(Profils!$K$5:$K$34,$AE856)*Paramètres!$E$27*$AG856*$AJ856,Paramètres!$F$27),0)</f>
        <v>0</v>
      </c>
      <c r="R856" s="20" t="n">
        <f aca="false" t="array" ref="R856:R856">IF(AND(INDEX(Profils!$L$5:$L$34,$AE856)&gt;0,INDEX(Profils!$AA$5:$AA$34,$AE856)&lt;=$AH856),ROUND(INDEX(Profils!$L$5:$L$34,$AE856)*Paramètres!$E$28*$AG856*$AJ856,Paramètres!$F$28),0)</f>
        <v>0.005</v>
      </c>
      <c r="S856" s="20" t="n">
        <f aca="false" t="array" ref="S856:S856">IF(AND(INDEX(Profils!$M$5:$M$34,$AE856)&gt;0,INDEX(Profils!$AB$5:$AB$34,$AE856)&lt;=$AH856),ROUND(INDEX(Profils!$M$5:$M$34,$AE856)*Paramètres!$E$29*$AG856*$AJ856,Paramètres!$F$29),0)</f>
        <v>0</v>
      </c>
      <c r="T856" s="20" t="n">
        <f aca="false" t="array" ref="T856:T856">IF(AND(INDEX(Profils!$N$5:$N$34,$AE856)&gt;0,INDEX(Profils!$AC$5:$AC$34,$AE856)&lt;=$AH856),ROUND(INDEX(Profils!$N$5:$N$34,$AE856)*Paramètres!$E$30*$AG856*$AJ856,Paramètres!$F$30),0)</f>
        <v>0</v>
      </c>
      <c r="U856" s="19" t="n">
        <f aca="false" t="array" ref="U856:U856">IF(AND(INDEX(Profils!$O$5:$O$34,$AE856)&gt;0,INDEX(Profils!$AD$5:$AD$34,$AE856)&lt;=$AH856),ROUND(INDEX(Profils!$O$5:$O$34,$AE856)*Paramètres!$E$31*$AG856*$AJ856,Paramètres!$F$31),0)</f>
        <v>0</v>
      </c>
      <c r="V856" s="20" t="n">
        <f aca="false" t="array" ref="V856:V856">IF(AND(INDEX(Profils!$P$5:$P$34,$AE856)&gt;0,INDEX(Profils!$AE$5:$AE$34,$AE856)&lt;=$AH856),ROUND(INDEX(Profils!$P$5:$P$34,$AE856)*Paramètres!$E$32*$AG856*$AJ856,Paramètres!$F$32),0)</f>
        <v>0</v>
      </c>
      <c r="W856" s="20" t="n">
        <f aca="false" t="array" ref="W856:W856">IF(AND(INDEX(Profils!$Q$5:$Q$34,$AE856)&gt;0,INDEX(Profils!$AF$5:$AF$34,$AE856)&lt;=$AH856),ROUND(INDEX(Profils!$Q$5:$Q$34,$AE856)*Paramètres!$E$33*$AG856*$AJ856,Paramètres!$F$33),0)</f>
        <v>0</v>
      </c>
      <c r="X856" s="20" t="n">
        <f aca="false" t="array" ref="X856:X856">IF(AND(INDEX(Profils!$R$5:$R$34,$AE856)&gt;0,INDEX(Profils!$AG$5:$AG$34,$AE856)&lt;=$AH856),ROUND(INDEX(Profils!$R$5:$R$34,$AE856)*Paramètres!$E$34*$AG856*$AJ856,Paramètres!$F$34),0)</f>
        <v>0</v>
      </c>
      <c r="Y856" s="20" t="n">
        <f aca="false" t="array" ref="Y856:Y856">IF(AND(INDEX(Profils!$S$5:$S$34,$AE856)&gt;0,INDEX(Profils!$AH$5:$AH$34,$AE856)&lt;=$AH856),ROUND(INDEX(Profils!$S$5:$S$34,$AE856)*Paramètres!$E$35*$AG856*$AJ856,Paramètres!$F$35),0)</f>
        <v>0</v>
      </c>
      <c r="Z856" s="21" t="n">
        <f aca="false">ROUND(L856/Paramètres!$E$22+M856/Paramètres!$E$23+N856/Paramètres!$E$24+O856/Paramètres!$E$25+P856/Paramètres!$E$26+Q856/Paramètres!$E$27+R856/Paramètres!$E$28+S856/Paramètres!$E$29+T856/Paramètres!$E$30+U856/Paramètres!$E$31+V856/Paramètres!$E$32+W856/Paramètres!$E$33+X856/Paramètres!$E$34+Y856/Paramètres!$E$35,1)</f>
        <v>0.9</v>
      </c>
      <c r="AA856" s="22" t="s">
        <v>109</v>
      </c>
      <c r="AB856" s="22" t="s">
        <v>109</v>
      </c>
      <c r="AC856" s="15" t="str">
        <f aca="false">$E856</f>
        <v>cuir clouté</v>
      </c>
      <c r="AD856" s="16" t="n">
        <f aca="false" t="array" ref="AD856:AD856">IF($I856&gt;=$AI856,"Max",ROUND(Paramètres!$B$40*($I856+1)^Paramètres!$B$41*INDEX(Paramètres!$H$6:$H$12,$AF856),0))</f>
        <v>4</v>
      </c>
      <c r="AE856" s="23" t="n">
        <f aca="false">MATCH($B856&amp;"|"&amp;$C856,Profils!$A$5:$A$34,0)</f>
        <v>28</v>
      </c>
      <c r="AF856" s="23" t="n">
        <v>2</v>
      </c>
      <c r="AG856" s="24" t="n">
        <f aca="false" t="array" ref="AG856:AG856">INDEX(Paramètres!$C$6:$C$12,$AF856)</f>
        <v>1.2</v>
      </c>
      <c r="AH856" s="23" t="n">
        <f aca="false" t="array" ref="AH856:AH856">INDEX(Paramètres!$D$6:$D$12,$AF856)</f>
        <v>3</v>
      </c>
      <c r="AI856" s="23" t="n">
        <f aca="false" t="array" ref="AI856:AI856">INDEX(Matériaux!$C$16:$C$20,$D856)</f>
        <v>25</v>
      </c>
      <c r="AJ856" s="25" t="n">
        <f aca="false">Paramètres!$B$16+(1-Paramètres!$B$16)*(($J856-Paramètres!$B$14)/(Paramètres!$B$15-Paramètres!$B$14))^Paramètres!$B$17</f>
        <v>0.26769024555533</v>
      </c>
    </row>
    <row r="857" customFormat="false" ht="15.75" hidden="false" customHeight="true" outlineLevel="0" collapsed="false">
      <c r="A857" s="14" t="s">
        <v>973</v>
      </c>
      <c r="B857" s="15" t="s">
        <v>31</v>
      </c>
      <c r="C857" s="15" t="s">
        <v>337</v>
      </c>
      <c r="D857" s="16" t="n">
        <v>3</v>
      </c>
      <c r="E857" s="15" t="str">
        <f aca="false" t="array" ref="E857:E857">INDEX(Matériaux!$B$5:$F$12,MATCH(INDEX(Profils!$E$5:$E$34,$AE857),Matériaux!$A$5:$A$12,0),$D857)</f>
        <v>cuir clouté</v>
      </c>
      <c r="F857" s="27" t="s">
        <v>113</v>
      </c>
      <c r="G857" s="10" t="str">
        <f aca="false" t="array" ref="G857:G857">INDEX(Profils!$D$5:$D$34,$AE857)&amp;" en "&amp;$E857</f>
        <v>Ceinture en cuir clouté</v>
      </c>
      <c r="H857" s="16" t="n">
        <f aca="false" t="array" ref="H857:H857">INDEX(Matériaux!$B$16:$B$20,$D857)</f>
        <v>30</v>
      </c>
      <c r="I857" s="16" t="n">
        <f aca="false">IF(ISNUMBER($C$3),MIN(MAX(0,ROUND($C$3,0)),$AI857),$AI857)</f>
        <v>0</v>
      </c>
      <c r="J857" s="18" t="n">
        <f aca="false">$H857+$I857</f>
        <v>30</v>
      </c>
      <c r="K857" s="15" t="s">
        <v>109</v>
      </c>
      <c r="L857" s="19" t="n">
        <f aca="false" t="array" ref="L857:L857">IF(AND(INDEX(Profils!$F$5:$F$34,$AE857)&gt;0,INDEX(Profils!$U$5:$U$34,$AE857)&lt;=$AH857),ROUND(INDEX(Profils!$F$5:$F$34,$AE857)*Paramètres!$E$22*$AG857*$AJ857,Paramètres!$F$22),0)</f>
        <v>9</v>
      </c>
      <c r="M857" s="19" t="n">
        <f aca="false" t="array" ref="M857:M857">IF(AND(INDEX(Profils!$G$5:$G$34,$AE857)&gt;0,INDEX(Profils!$V$5:$V$34,$AE857)&lt;=$AH857),ROUND(INDEX(Profils!$G$5:$G$34,$AE857)*Paramètres!$E$23*$AG857*$AJ857,Paramètres!$F$23),0)</f>
        <v>0</v>
      </c>
      <c r="N857" s="19" t="n">
        <f aca="false" t="array" ref="N857:N857">IF(AND(INDEX(Profils!$H$5:$H$34,$AE857)&gt;0,INDEX(Profils!$W$5:$W$34,$AE857)&lt;=$AH857),ROUND(INDEX(Profils!$H$5:$H$34,$AE857)*Paramètres!$E$24*$AG857*$AJ857,Paramètres!$F$24),0)</f>
        <v>0</v>
      </c>
      <c r="O857" s="19" t="n">
        <f aca="false" t="array" ref="O857:O857">IF(AND(INDEX(Profils!$I$5:$I$34,$AE857)&gt;0,INDEX(Profils!$X$5:$X$34,$AE857)&lt;=$AH857),ROUND(INDEX(Profils!$I$5:$I$34,$AE857)*Paramètres!$E$25*$AG857*$AJ857,Paramètres!$F$25),0)</f>
        <v>0</v>
      </c>
      <c r="P857" s="19" t="n">
        <f aca="false" t="array" ref="P857:P857">IF(AND(INDEX(Profils!$J$5:$J$34,$AE857)&gt;0,INDEX(Profils!$Y$5:$Y$34,$AE857)&lt;=$AH857),ROUND(INDEX(Profils!$J$5:$J$34,$AE857)*Paramètres!$E$26*$AG857*$AJ857,Paramètres!$F$26),0)</f>
        <v>5</v>
      </c>
      <c r="Q857" s="19" t="n">
        <f aca="false" t="array" ref="Q857:Q857">IF(AND(INDEX(Profils!$K$5:$K$34,$AE857)&gt;0,INDEX(Profils!$Z$5:$Z$34,$AE857)&lt;=$AH857),ROUND(INDEX(Profils!$K$5:$K$34,$AE857)*Paramètres!$E$27*$AG857*$AJ857,Paramètres!$F$27),0)</f>
        <v>0</v>
      </c>
      <c r="R857" s="20" t="n">
        <f aca="false" t="array" ref="R857:R857">IF(AND(INDEX(Profils!$L$5:$L$34,$AE857)&gt;0,INDEX(Profils!$AA$5:$AA$34,$AE857)&lt;=$AH857),ROUND(INDEX(Profils!$L$5:$L$34,$AE857)*Paramètres!$E$28*$AG857*$AJ857,Paramètres!$F$28),0)</f>
        <v>0.006</v>
      </c>
      <c r="S857" s="20" t="n">
        <f aca="false" t="array" ref="S857:S857">IF(AND(INDEX(Profils!$M$5:$M$34,$AE857)&gt;0,INDEX(Profils!$AB$5:$AB$34,$AE857)&lt;=$AH857),ROUND(INDEX(Profils!$M$5:$M$34,$AE857)*Paramètres!$E$29*$AG857*$AJ857,Paramètres!$F$29),0)</f>
        <v>0.004</v>
      </c>
      <c r="T857" s="20" t="n">
        <f aca="false" t="array" ref="T857:T857">IF(AND(INDEX(Profils!$N$5:$N$34,$AE857)&gt;0,INDEX(Profils!$AC$5:$AC$34,$AE857)&lt;=$AH857),ROUND(INDEX(Profils!$N$5:$N$34,$AE857)*Paramètres!$E$30*$AG857*$AJ857,Paramètres!$F$30),0)</f>
        <v>0</v>
      </c>
      <c r="U857" s="19" t="n">
        <f aca="false" t="array" ref="U857:U857">IF(AND(INDEX(Profils!$O$5:$O$34,$AE857)&gt;0,INDEX(Profils!$AD$5:$AD$34,$AE857)&lt;=$AH857),ROUND(INDEX(Profils!$O$5:$O$34,$AE857)*Paramètres!$E$31*$AG857*$AJ857,Paramètres!$F$31),0)</f>
        <v>0</v>
      </c>
      <c r="V857" s="20" t="n">
        <f aca="false" t="array" ref="V857:V857">IF(AND(INDEX(Profils!$P$5:$P$34,$AE857)&gt;0,INDEX(Profils!$AE$5:$AE$34,$AE857)&lt;=$AH857),ROUND(INDEX(Profils!$P$5:$P$34,$AE857)*Paramètres!$E$32*$AG857*$AJ857,Paramètres!$F$32),0)</f>
        <v>0</v>
      </c>
      <c r="W857" s="20" t="n">
        <f aca="false" t="array" ref="W857:W857">IF(AND(INDEX(Profils!$Q$5:$Q$34,$AE857)&gt;0,INDEX(Profils!$AF$5:$AF$34,$AE857)&lt;=$AH857),ROUND(INDEX(Profils!$Q$5:$Q$34,$AE857)*Paramètres!$E$33*$AG857*$AJ857,Paramètres!$F$33),0)</f>
        <v>0</v>
      </c>
      <c r="X857" s="20" t="n">
        <f aca="false" t="array" ref="X857:X857">IF(AND(INDEX(Profils!$R$5:$R$34,$AE857)&gt;0,INDEX(Profils!$AG$5:$AG$34,$AE857)&lt;=$AH857),ROUND(INDEX(Profils!$R$5:$R$34,$AE857)*Paramètres!$E$34*$AG857*$AJ857,Paramètres!$F$34),0)</f>
        <v>0</v>
      </c>
      <c r="Y857" s="20" t="n">
        <f aca="false" t="array" ref="Y857:Y857">IF(AND(INDEX(Profils!$S$5:$S$34,$AE857)&gt;0,INDEX(Profils!$AH$5:$AH$34,$AE857)&lt;=$AH857),ROUND(INDEX(Profils!$S$5:$S$34,$AE857)*Paramètres!$E$35*$AG857*$AJ857,Paramètres!$F$35),0)</f>
        <v>0</v>
      </c>
      <c r="Z857" s="21" t="n">
        <f aca="false">ROUND(L857/Paramètres!$E$22+M857/Paramètres!$E$23+N857/Paramètres!$E$24+O857/Paramètres!$E$25+P857/Paramètres!$E$26+Q857/Paramètres!$E$27+R857/Paramètres!$E$28+S857/Paramètres!$E$29+T857/Paramètres!$E$30+U857/Paramètres!$E$31+V857/Paramètres!$E$32+W857/Paramètres!$E$33+X857/Paramètres!$E$34+Y857/Paramètres!$E$35,1)</f>
        <v>1.5</v>
      </c>
      <c r="AA857" s="22" t="s">
        <v>109</v>
      </c>
      <c r="AB857" s="22" t="s">
        <v>109</v>
      </c>
      <c r="AC857" s="15" t="str">
        <f aca="false">$E857</f>
        <v>cuir clouté</v>
      </c>
      <c r="AD857" s="16" t="n">
        <f aca="false" t="array" ref="AD857:AD857">IF($I857&gt;=$AI857,"Max",ROUND(Paramètres!$B$40*($I857+1)^Paramètres!$B$41*INDEX(Paramètres!$H$6:$H$12,$AF857),0))</f>
        <v>4</v>
      </c>
      <c r="AE857" s="23" t="n">
        <f aca="false">MATCH($B857&amp;"|"&amp;$C857,Profils!$A$5:$A$34,0)</f>
        <v>28</v>
      </c>
      <c r="AF857" s="23" t="n">
        <v>3</v>
      </c>
      <c r="AG857" s="24" t="n">
        <f aca="false" t="array" ref="AG857:AG857">INDEX(Paramètres!$C$6:$C$12,$AF857)</f>
        <v>1.45</v>
      </c>
      <c r="AH857" s="23" t="n">
        <f aca="false" t="array" ref="AH857:AH857">INDEX(Paramètres!$D$6:$D$12,$AF857)</f>
        <v>4</v>
      </c>
      <c r="AI857" s="23" t="n">
        <f aca="false" t="array" ref="AI857:AI857">INDEX(Matériaux!$C$16:$C$20,$D857)</f>
        <v>25</v>
      </c>
      <c r="AJ857" s="25" t="n">
        <f aca="false">Paramètres!$B$16+(1-Paramètres!$B$16)*(($J857-Paramètres!$B$14)/(Paramètres!$B$15-Paramètres!$B$14))^Paramètres!$B$17</f>
        <v>0.26769024555533</v>
      </c>
    </row>
    <row r="858" customFormat="false" ht="15.75" hidden="false" customHeight="true" outlineLevel="0" collapsed="false">
      <c r="A858" s="14" t="s">
        <v>974</v>
      </c>
      <c r="B858" s="15" t="s">
        <v>31</v>
      </c>
      <c r="C858" s="15" t="s">
        <v>337</v>
      </c>
      <c r="D858" s="16" t="n">
        <v>3</v>
      </c>
      <c r="E858" s="15" t="str">
        <f aca="false" t="array" ref="E858:E858">INDEX(Matériaux!$B$5:$F$12,MATCH(INDEX(Profils!$E$5:$E$34,$AE858),Matériaux!$A$5:$A$12,0),$D858)</f>
        <v>cuir clouté</v>
      </c>
      <c r="F858" s="28" t="s">
        <v>115</v>
      </c>
      <c r="G858" s="10" t="str">
        <f aca="false" t="array" ref="G858:G858">INDEX(Profils!$D$5:$D$34,$AE858)&amp;" en "&amp;$E858</f>
        <v>Ceinture en cuir clouté</v>
      </c>
      <c r="H858" s="16" t="n">
        <f aca="false" t="array" ref="H858:H858">INDEX(Matériaux!$B$16:$B$20,$D858)</f>
        <v>30</v>
      </c>
      <c r="I858" s="16" t="n">
        <f aca="false">IF(ISNUMBER($C$3),MIN(MAX(0,ROUND($C$3,0)),$AI858),$AI858)</f>
        <v>0</v>
      </c>
      <c r="J858" s="18" t="n">
        <f aca="false">$H858+$I858</f>
        <v>30</v>
      </c>
      <c r="K858" s="15" t="s">
        <v>109</v>
      </c>
      <c r="L858" s="19" t="n">
        <f aca="false" t="array" ref="L858:L858">IF(AND(INDEX(Profils!$F$5:$F$34,$AE858)&gt;0,INDEX(Profils!$U$5:$U$34,$AE858)&lt;=$AH858),ROUND(INDEX(Profils!$F$5:$F$34,$AE858)*Paramètres!$E$22*$AG858*$AJ858,Paramètres!$F$22),0)</f>
        <v>11</v>
      </c>
      <c r="M858" s="19" t="n">
        <f aca="false" t="array" ref="M858:M858">IF(AND(INDEX(Profils!$G$5:$G$34,$AE858)&gt;0,INDEX(Profils!$V$5:$V$34,$AE858)&lt;=$AH858),ROUND(INDEX(Profils!$G$5:$G$34,$AE858)*Paramètres!$E$23*$AG858*$AJ858,Paramètres!$F$23),0)</f>
        <v>0</v>
      </c>
      <c r="N858" s="19" t="n">
        <f aca="false" t="array" ref="N858:N858">IF(AND(INDEX(Profils!$H$5:$H$34,$AE858)&gt;0,INDEX(Profils!$W$5:$W$34,$AE858)&lt;=$AH858),ROUND(INDEX(Profils!$H$5:$H$34,$AE858)*Paramètres!$E$24*$AG858*$AJ858,Paramètres!$F$24),0)</f>
        <v>0</v>
      </c>
      <c r="O858" s="19" t="n">
        <f aca="false" t="array" ref="O858:O858">IF(AND(INDEX(Profils!$I$5:$I$34,$AE858)&gt;0,INDEX(Profils!$X$5:$X$34,$AE858)&lt;=$AH858),ROUND(INDEX(Profils!$I$5:$I$34,$AE858)*Paramètres!$E$25*$AG858*$AJ858,Paramètres!$F$25),0)</f>
        <v>0</v>
      </c>
      <c r="P858" s="19" t="n">
        <f aca="false" t="array" ref="P858:P858">IF(AND(INDEX(Profils!$J$5:$J$34,$AE858)&gt;0,INDEX(Profils!$Y$5:$Y$34,$AE858)&lt;=$AH858),ROUND(INDEX(Profils!$J$5:$J$34,$AE858)*Paramètres!$E$26*$AG858*$AJ858,Paramètres!$F$26),0)</f>
        <v>6</v>
      </c>
      <c r="Q858" s="19" t="n">
        <f aca="false" t="array" ref="Q858:Q858">IF(AND(INDEX(Profils!$K$5:$K$34,$AE858)&gt;0,INDEX(Profils!$Z$5:$Z$34,$AE858)&lt;=$AH858),ROUND(INDEX(Profils!$K$5:$K$34,$AE858)*Paramètres!$E$27*$AG858*$AJ858,Paramètres!$F$27),0)</f>
        <v>0</v>
      </c>
      <c r="R858" s="20" t="n">
        <f aca="false" t="array" ref="R858:R858">IF(AND(INDEX(Profils!$L$5:$L$34,$AE858)&gt;0,INDEX(Profils!$AA$5:$AA$34,$AE858)&lt;=$AH858),ROUND(INDEX(Profils!$L$5:$L$34,$AE858)*Paramètres!$E$28*$AG858*$AJ858,Paramètres!$F$28),0)</f>
        <v>0.007</v>
      </c>
      <c r="S858" s="20" t="n">
        <f aca="false" t="array" ref="S858:S858">IF(AND(INDEX(Profils!$M$5:$M$34,$AE858)&gt;0,INDEX(Profils!$AB$5:$AB$34,$AE858)&lt;=$AH858),ROUND(INDEX(Profils!$M$5:$M$34,$AE858)*Paramètres!$E$29*$AG858*$AJ858,Paramètres!$F$29),0)</f>
        <v>0.004</v>
      </c>
      <c r="T858" s="20" t="n">
        <f aca="false" t="array" ref="T858:T858">IF(AND(INDEX(Profils!$N$5:$N$34,$AE858)&gt;0,INDEX(Profils!$AC$5:$AC$34,$AE858)&lt;=$AH858),ROUND(INDEX(Profils!$N$5:$N$34,$AE858)*Paramètres!$E$30*$AG858*$AJ858,Paramètres!$F$30),0)</f>
        <v>0.011</v>
      </c>
      <c r="U858" s="19" t="n">
        <f aca="false" t="array" ref="U858:U858">IF(AND(INDEX(Profils!$O$5:$O$34,$AE858)&gt;0,INDEX(Profils!$AD$5:$AD$34,$AE858)&lt;=$AH858),ROUND(INDEX(Profils!$O$5:$O$34,$AE858)*Paramètres!$E$31*$AG858*$AJ858,Paramètres!$F$31),0)</f>
        <v>0</v>
      </c>
      <c r="V858" s="20" t="n">
        <f aca="false" t="array" ref="V858:V858">IF(AND(INDEX(Profils!$P$5:$P$34,$AE858)&gt;0,INDEX(Profils!$AE$5:$AE$34,$AE858)&lt;=$AH858),ROUND(INDEX(Profils!$P$5:$P$34,$AE858)*Paramètres!$E$32*$AG858*$AJ858,Paramètres!$F$32),0)</f>
        <v>0</v>
      </c>
      <c r="W858" s="20" t="n">
        <f aca="false" t="array" ref="W858:W858">IF(AND(INDEX(Profils!$Q$5:$Q$34,$AE858)&gt;0,INDEX(Profils!$AF$5:$AF$34,$AE858)&lt;=$AH858),ROUND(INDEX(Profils!$Q$5:$Q$34,$AE858)*Paramètres!$E$33*$AG858*$AJ858,Paramètres!$F$33),0)</f>
        <v>0</v>
      </c>
      <c r="X858" s="20" t="n">
        <f aca="false" t="array" ref="X858:X858">IF(AND(INDEX(Profils!$R$5:$R$34,$AE858)&gt;0,INDEX(Profils!$AG$5:$AG$34,$AE858)&lt;=$AH858),ROUND(INDEX(Profils!$R$5:$R$34,$AE858)*Paramètres!$E$34*$AG858*$AJ858,Paramètres!$F$34),0)</f>
        <v>0</v>
      </c>
      <c r="Y858" s="20" t="n">
        <f aca="false" t="array" ref="Y858:Y858">IF(AND(INDEX(Profils!$S$5:$S$34,$AE858)&gt;0,INDEX(Profils!$AH$5:$AH$34,$AE858)&lt;=$AH858),ROUND(INDEX(Profils!$S$5:$S$34,$AE858)*Paramètres!$E$35*$AG858*$AJ858,Paramètres!$F$35),0)</f>
        <v>0</v>
      </c>
      <c r="Z858" s="21" t="n">
        <f aca="false">ROUND(L858/Paramètres!$E$22+M858/Paramètres!$E$23+N858/Paramètres!$E$24+O858/Paramètres!$E$25+P858/Paramètres!$E$26+Q858/Paramètres!$E$27+R858/Paramètres!$E$28+S858/Paramètres!$E$29+T858/Paramètres!$E$30+U858/Paramètres!$E$31+V858/Paramètres!$E$32+W858/Paramètres!$E$33+X858/Paramètres!$E$34+Y858/Paramètres!$E$35,1)</f>
        <v>2.1</v>
      </c>
      <c r="AA858" s="22" t="s">
        <v>109</v>
      </c>
      <c r="AB858" s="22" t="s">
        <v>109</v>
      </c>
      <c r="AC858" s="15" t="str">
        <f aca="false">$E858</f>
        <v>cuir clouté</v>
      </c>
      <c r="AD858" s="16" t="n">
        <f aca="false" t="array" ref="AD858:AD858">IF($I858&gt;=$AI858,"Max",ROUND(Paramètres!$B$40*($I858+1)^Paramètres!$B$41*INDEX(Paramètres!$H$6:$H$12,$AF858),0))</f>
        <v>5</v>
      </c>
      <c r="AE858" s="23" t="n">
        <f aca="false">MATCH($B858&amp;"|"&amp;$C858,Profils!$A$5:$A$34,0)</f>
        <v>28</v>
      </c>
      <c r="AF858" s="23" t="n">
        <v>4</v>
      </c>
      <c r="AG858" s="24" t="n">
        <f aca="false" t="array" ref="AG858:AG858">INDEX(Paramètres!$C$6:$C$12,$AF858)</f>
        <v>1.75</v>
      </c>
      <c r="AH858" s="23" t="n">
        <f aca="false" t="array" ref="AH858:AH858">INDEX(Paramètres!$D$6:$D$12,$AF858)</f>
        <v>5</v>
      </c>
      <c r="AI858" s="23" t="n">
        <f aca="false" t="array" ref="AI858:AI858">INDEX(Matériaux!$C$16:$C$20,$D858)</f>
        <v>25</v>
      </c>
      <c r="AJ858" s="25" t="n">
        <f aca="false">Paramètres!$B$16+(1-Paramètres!$B$16)*(($J858-Paramètres!$B$14)/(Paramètres!$B$15-Paramètres!$B$14))^Paramètres!$B$17</f>
        <v>0.26769024555533</v>
      </c>
    </row>
    <row r="859" customFormat="false" ht="15.75" hidden="false" customHeight="true" outlineLevel="0" collapsed="false">
      <c r="A859" s="14" t="s">
        <v>975</v>
      </c>
      <c r="B859" s="15" t="s">
        <v>31</v>
      </c>
      <c r="C859" s="15" t="s">
        <v>337</v>
      </c>
      <c r="D859" s="16" t="n">
        <v>3</v>
      </c>
      <c r="E859" s="15" t="str">
        <f aca="false" t="array" ref="E859:E859">INDEX(Matériaux!$B$5:$F$12,MATCH(INDEX(Profils!$E$5:$E$34,$AE859),Matériaux!$A$5:$A$12,0),$D859)</f>
        <v>cuir clouté</v>
      </c>
      <c r="F859" s="29" t="s">
        <v>117</v>
      </c>
      <c r="G859" s="10" t="str">
        <f aca="false" t="array" ref="G859:G859">INDEX(Profils!$D$5:$D$34,$AE859)&amp;" en "&amp;$E859</f>
        <v>Ceinture en cuir clouté</v>
      </c>
      <c r="H859" s="16" t="n">
        <f aca="false" t="array" ref="H859:H859">INDEX(Matériaux!$B$16:$B$20,$D859)</f>
        <v>30</v>
      </c>
      <c r="I859" s="16" t="n">
        <f aca="false">IF(ISNUMBER($C$3),MIN(MAX(0,ROUND($C$3,0)),$AI859),$AI859)</f>
        <v>0</v>
      </c>
      <c r="J859" s="18" t="n">
        <f aca="false">$H859+$I859</f>
        <v>30</v>
      </c>
      <c r="K859" s="15" t="s">
        <v>109</v>
      </c>
      <c r="L859" s="19" t="n">
        <f aca="false" t="array" ref="L859:L859">IF(AND(INDEX(Profils!$F$5:$F$34,$AE859)&gt;0,INDEX(Profils!$U$5:$U$34,$AE859)&lt;=$AH859),ROUND(INDEX(Profils!$F$5:$F$34,$AE859)*Paramètres!$E$22*$AG859*$AJ859,Paramètres!$F$22),0)</f>
        <v>13</v>
      </c>
      <c r="M859" s="19" t="n">
        <f aca="false" t="array" ref="M859:M859">IF(AND(INDEX(Profils!$G$5:$G$34,$AE859)&gt;0,INDEX(Profils!$V$5:$V$34,$AE859)&lt;=$AH859),ROUND(INDEX(Profils!$G$5:$G$34,$AE859)*Paramètres!$E$23*$AG859*$AJ859,Paramètres!$F$23),0)</f>
        <v>0</v>
      </c>
      <c r="N859" s="19" t="n">
        <f aca="false" t="array" ref="N859:N859">IF(AND(INDEX(Profils!$H$5:$H$34,$AE859)&gt;0,INDEX(Profils!$W$5:$W$34,$AE859)&lt;=$AH859),ROUND(INDEX(Profils!$H$5:$H$34,$AE859)*Paramètres!$E$24*$AG859*$AJ859,Paramètres!$F$24),0)</f>
        <v>0</v>
      </c>
      <c r="O859" s="19" t="n">
        <f aca="false" t="array" ref="O859:O859">IF(AND(INDEX(Profils!$I$5:$I$34,$AE859)&gt;0,INDEX(Profils!$X$5:$X$34,$AE859)&lt;=$AH859),ROUND(INDEX(Profils!$I$5:$I$34,$AE859)*Paramètres!$E$25*$AG859*$AJ859,Paramètres!$F$25),0)</f>
        <v>0</v>
      </c>
      <c r="P859" s="19" t="n">
        <f aca="false" t="array" ref="P859:P859">IF(AND(INDEX(Profils!$J$5:$J$34,$AE859)&gt;0,INDEX(Profils!$Y$5:$Y$34,$AE859)&lt;=$AH859),ROUND(INDEX(Profils!$J$5:$J$34,$AE859)*Paramètres!$E$26*$AG859*$AJ859,Paramètres!$F$26),0)</f>
        <v>7</v>
      </c>
      <c r="Q859" s="19" t="n">
        <f aca="false" t="array" ref="Q859:Q859">IF(AND(INDEX(Profils!$K$5:$K$34,$AE859)&gt;0,INDEX(Profils!$Z$5:$Z$34,$AE859)&lt;=$AH859),ROUND(INDEX(Profils!$K$5:$K$34,$AE859)*Paramètres!$E$27*$AG859*$AJ859,Paramètres!$F$27),0)</f>
        <v>0</v>
      </c>
      <c r="R859" s="20" t="n">
        <f aca="false" t="array" ref="R859:R859">IF(AND(INDEX(Profils!$L$5:$L$34,$AE859)&gt;0,INDEX(Profils!$AA$5:$AA$34,$AE859)&lt;=$AH859),ROUND(INDEX(Profils!$L$5:$L$34,$AE859)*Paramètres!$E$28*$AG859*$AJ859,Paramètres!$F$28),0)</f>
        <v>0.008</v>
      </c>
      <c r="S859" s="20" t="n">
        <f aca="false" t="array" ref="S859:S859">IF(AND(INDEX(Profils!$M$5:$M$34,$AE859)&gt;0,INDEX(Profils!$AB$5:$AB$34,$AE859)&lt;=$AH859),ROUND(INDEX(Profils!$M$5:$M$34,$AE859)*Paramètres!$E$29*$AG859*$AJ859,Paramètres!$F$29),0)</f>
        <v>0.005</v>
      </c>
      <c r="T859" s="20" t="n">
        <f aca="false" t="array" ref="T859:T859">IF(AND(INDEX(Profils!$N$5:$N$34,$AE859)&gt;0,INDEX(Profils!$AC$5:$AC$34,$AE859)&lt;=$AH859),ROUND(INDEX(Profils!$N$5:$N$34,$AE859)*Paramètres!$E$30*$AG859*$AJ859,Paramètres!$F$30),0)</f>
        <v>0.013</v>
      </c>
      <c r="U859" s="19" t="n">
        <f aca="false" t="array" ref="U859:U859">IF(AND(INDEX(Profils!$O$5:$O$34,$AE859)&gt;0,INDEX(Profils!$AD$5:$AD$34,$AE859)&lt;=$AH859),ROUND(INDEX(Profils!$O$5:$O$34,$AE859)*Paramètres!$E$31*$AG859*$AJ859,Paramètres!$F$31),0)</f>
        <v>0</v>
      </c>
      <c r="V859" s="20" t="n">
        <f aca="false" t="array" ref="V859:V859">IF(AND(INDEX(Profils!$P$5:$P$34,$AE859)&gt;0,INDEX(Profils!$AE$5:$AE$34,$AE859)&lt;=$AH859),ROUND(INDEX(Profils!$P$5:$P$34,$AE859)*Paramètres!$E$32*$AG859*$AJ859,Paramètres!$F$32),0)</f>
        <v>0.005</v>
      </c>
      <c r="W859" s="20" t="n">
        <f aca="false" t="array" ref="W859:W859">IF(AND(INDEX(Profils!$Q$5:$Q$34,$AE859)&gt;0,INDEX(Profils!$AF$5:$AF$34,$AE859)&lt;=$AH859),ROUND(INDEX(Profils!$Q$5:$Q$34,$AE859)*Paramètres!$E$33*$AG859*$AJ859,Paramètres!$F$33),0)</f>
        <v>0</v>
      </c>
      <c r="X859" s="20" t="n">
        <f aca="false" t="array" ref="X859:X859">IF(AND(INDEX(Profils!$R$5:$R$34,$AE859)&gt;0,INDEX(Profils!$AG$5:$AG$34,$AE859)&lt;=$AH859),ROUND(INDEX(Profils!$R$5:$R$34,$AE859)*Paramètres!$E$34*$AG859*$AJ859,Paramètres!$F$34),0)</f>
        <v>0</v>
      </c>
      <c r="Y859" s="20" t="n">
        <f aca="false" t="array" ref="Y859:Y859">IF(AND(INDEX(Profils!$S$5:$S$34,$AE859)&gt;0,INDEX(Profils!$AH$5:$AH$34,$AE859)&lt;=$AH859),ROUND(INDEX(Profils!$S$5:$S$34,$AE859)*Paramètres!$E$35*$AG859*$AJ859,Paramètres!$F$35),0)</f>
        <v>0</v>
      </c>
      <c r="Z859" s="21" t="n">
        <f aca="false">ROUND(L859/Paramètres!$E$22+M859/Paramètres!$E$23+N859/Paramètres!$E$24+O859/Paramètres!$E$25+P859/Paramètres!$E$26+Q859/Paramètres!$E$27+R859/Paramètres!$E$28+S859/Paramètres!$E$29+T859/Paramètres!$E$30+U859/Paramètres!$E$31+V859/Paramètres!$E$32+W859/Paramètres!$E$33+X859/Paramètres!$E$34+Y859/Paramètres!$E$35,1)</f>
        <v>2.8</v>
      </c>
      <c r="AA859" s="22" t="s">
        <v>109</v>
      </c>
      <c r="AB859" s="22" t="s">
        <v>109</v>
      </c>
      <c r="AC859" s="15" t="str">
        <f aca="false">$E859</f>
        <v>cuir clouté</v>
      </c>
      <c r="AD859" s="16" t="n">
        <f aca="false" t="array" ref="AD859:AD859">IF($I859&gt;=$AI859,"Max",ROUND(Paramètres!$B$40*($I859+1)^Paramètres!$B$41*INDEX(Paramètres!$H$6:$H$12,$AF859),0))</f>
        <v>6</v>
      </c>
      <c r="AE859" s="23" t="n">
        <f aca="false">MATCH($B859&amp;"|"&amp;$C859,Profils!$A$5:$A$34,0)</f>
        <v>28</v>
      </c>
      <c r="AF859" s="23" t="n">
        <v>5</v>
      </c>
      <c r="AG859" s="24" t="n">
        <f aca="false" t="array" ref="AG859:AG859">INDEX(Paramètres!$C$6:$C$12,$AF859)</f>
        <v>2.1</v>
      </c>
      <c r="AH859" s="23" t="n">
        <f aca="false" t="array" ref="AH859:AH859">INDEX(Paramètres!$D$6:$D$12,$AF859)</f>
        <v>6</v>
      </c>
      <c r="AI859" s="23" t="n">
        <f aca="false" t="array" ref="AI859:AI859">INDEX(Matériaux!$C$16:$C$20,$D859)</f>
        <v>25</v>
      </c>
      <c r="AJ859" s="25" t="n">
        <f aca="false">Paramètres!$B$16+(1-Paramètres!$B$16)*(($J859-Paramètres!$B$14)/(Paramètres!$B$15-Paramètres!$B$14))^Paramètres!$B$17</f>
        <v>0.26769024555533</v>
      </c>
    </row>
    <row r="860" customFormat="false" ht="15.75" hidden="false" customHeight="true" outlineLevel="0" collapsed="false">
      <c r="A860" s="14" t="s">
        <v>976</v>
      </c>
      <c r="B860" s="15" t="s">
        <v>31</v>
      </c>
      <c r="C860" s="15" t="s">
        <v>337</v>
      </c>
      <c r="D860" s="16" t="n">
        <v>3</v>
      </c>
      <c r="E860" s="15" t="str">
        <f aca="false" t="array" ref="E860:E860">INDEX(Matériaux!$B$5:$F$12,MATCH(INDEX(Profils!$E$5:$E$34,$AE860),Matériaux!$A$5:$A$12,0),$D860)</f>
        <v>cuir clouté</v>
      </c>
      <c r="F860" s="30" t="s">
        <v>119</v>
      </c>
      <c r="G860" s="10" t="str">
        <f aca="false" t="array" ref="G860:G860">INDEX(Profils!$D$5:$D$34,$AE860)&amp;" en "&amp;$E860</f>
        <v>Ceinture en cuir clouté</v>
      </c>
      <c r="H860" s="16" t="n">
        <f aca="false" t="array" ref="H860:H860">INDEX(Matériaux!$B$16:$B$20,$D860)</f>
        <v>30</v>
      </c>
      <c r="I860" s="16" t="n">
        <f aca="false">IF(ISNUMBER($C$3),MIN(MAX(0,ROUND($C$3,0)),$AI860),$AI860)</f>
        <v>0</v>
      </c>
      <c r="J860" s="18" t="n">
        <f aca="false">$H860+$I860</f>
        <v>30</v>
      </c>
      <c r="K860" s="15" t="s">
        <v>109</v>
      </c>
      <c r="L860" s="19" t="n">
        <f aca="false" t="array" ref="L860:L860">IF(AND(INDEX(Profils!$F$5:$F$34,$AE860)&gt;0,INDEX(Profils!$U$5:$U$34,$AE860)&lt;=$AH860),ROUND(INDEX(Profils!$F$5:$F$34,$AE860)*Paramètres!$E$22*$AG860*$AJ860,Paramètres!$F$22),0)</f>
        <v>14</v>
      </c>
      <c r="M860" s="19" t="n">
        <f aca="false" t="array" ref="M860:M860">IF(AND(INDEX(Profils!$G$5:$G$34,$AE860)&gt;0,INDEX(Profils!$V$5:$V$34,$AE860)&lt;=$AH860),ROUND(INDEX(Profils!$G$5:$G$34,$AE860)*Paramètres!$E$23*$AG860*$AJ860,Paramètres!$F$23),0)</f>
        <v>0</v>
      </c>
      <c r="N860" s="19" t="n">
        <f aca="false" t="array" ref="N860:N860">IF(AND(INDEX(Profils!$H$5:$H$34,$AE860)&gt;0,INDEX(Profils!$W$5:$W$34,$AE860)&lt;=$AH860),ROUND(INDEX(Profils!$H$5:$H$34,$AE860)*Paramètres!$E$24*$AG860*$AJ860,Paramètres!$F$24),0)</f>
        <v>0</v>
      </c>
      <c r="O860" s="19" t="n">
        <f aca="false" t="array" ref="O860:O860">IF(AND(INDEX(Profils!$I$5:$I$34,$AE860)&gt;0,INDEX(Profils!$X$5:$X$34,$AE860)&lt;=$AH860),ROUND(INDEX(Profils!$I$5:$I$34,$AE860)*Paramètres!$E$25*$AG860*$AJ860,Paramètres!$F$25),0)</f>
        <v>0</v>
      </c>
      <c r="P860" s="19" t="n">
        <f aca="false" t="array" ref="P860:P860">IF(AND(INDEX(Profils!$J$5:$J$34,$AE860)&gt;0,INDEX(Profils!$Y$5:$Y$34,$AE860)&lt;=$AH860),ROUND(INDEX(Profils!$J$5:$J$34,$AE860)*Paramètres!$E$26*$AG860*$AJ860,Paramètres!$F$26),0)</f>
        <v>8</v>
      </c>
      <c r="Q860" s="19" t="n">
        <f aca="false" t="array" ref="Q860:Q860">IF(AND(INDEX(Profils!$K$5:$K$34,$AE860)&gt;0,INDEX(Profils!$Z$5:$Z$34,$AE860)&lt;=$AH860),ROUND(INDEX(Profils!$K$5:$K$34,$AE860)*Paramètres!$E$27*$AG860*$AJ860,Paramètres!$F$27),0)</f>
        <v>0</v>
      </c>
      <c r="R860" s="20" t="n">
        <f aca="false" t="array" ref="R860:R860">IF(AND(INDEX(Profils!$L$5:$L$34,$AE860)&gt;0,INDEX(Profils!$AA$5:$AA$34,$AE860)&lt;=$AH860),ROUND(INDEX(Profils!$L$5:$L$34,$AE860)*Paramètres!$E$28*$AG860*$AJ860,Paramètres!$F$28),0)</f>
        <v>0.01</v>
      </c>
      <c r="S860" s="20" t="n">
        <f aca="false" t="array" ref="S860:S860">IF(AND(INDEX(Profils!$M$5:$M$34,$AE860)&gt;0,INDEX(Profils!$AB$5:$AB$34,$AE860)&lt;=$AH860),ROUND(INDEX(Profils!$M$5:$M$34,$AE860)*Paramètres!$E$29*$AG860*$AJ860,Paramètres!$F$29),0)</f>
        <v>0.006</v>
      </c>
      <c r="T860" s="20" t="n">
        <f aca="false" t="array" ref="T860:T860">IF(AND(INDEX(Profils!$N$5:$N$34,$AE860)&gt;0,INDEX(Profils!$AC$5:$AC$34,$AE860)&lt;=$AH860),ROUND(INDEX(Profils!$N$5:$N$34,$AE860)*Paramètres!$E$30*$AG860*$AJ860,Paramètres!$F$30),0)</f>
        <v>0.015</v>
      </c>
      <c r="U860" s="19" t="n">
        <f aca="false" t="array" ref="U860:U860">IF(AND(INDEX(Profils!$O$5:$O$34,$AE860)&gt;0,INDEX(Profils!$AD$5:$AD$34,$AE860)&lt;=$AH860),ROUND(INDEX(Profils!$O$5:$O$34,$AE860)*Paramètres!$E$31*$AG860*$AJ860,Paramètres!$F$31),0)</f>
        <v>0</v>
      </c>
      <c r="V860" s="20" t="n">
        <f aca="false" t="array" ref="V860:V860">IF(AND(INDEX(Profils!$P$5:$P$34,$AE860)&gt;0,INDEX(Profils!$AE$5:$AE$34,$AE860)&lt;=$AH860),ROUND(INDEX(Profils!$P$5:$P$34,$AE860)*Paramètres!$E$32*$AG860*$AJ860,Paramètres!$F$32),0)</f>
        <v>0.006</v>
      </c>
      <c r="W860" s="20" t="n">
        <f aca="false" t="array" ref="W860:W860">IF(AND(INDEX(Profils!$Q$5:$Q$34,$AE860)&gt;0,INDEX(Profils!$AF$5:$AF$34,$AE860)&lt;=$AH860),ROUND(INDEX(Profils!$Q$5:$Q$34,$AE860)*Paramètres!$E$33*$AG860*$AJ860,Paramètres!$F$33),0)</f>
        <v>0</v>
      </c>
      <c r="X860" s="20" t="n">
        <f aca="false" t="array" ref="X860:X860">IF(AND(INDEX(Profils!$R$5:$R$34,$AE860)&gt;0,INDEX(Profils!$AG$5:$AG$34,$AE860)&lt;=$AH860),ROUND(INDEX(Profils!$R$5:$R$34,$AE860)*Paramètres!$E$34*$AG860*$AJ860,Paramètres!$F$34),0)</f>
        <v>0</v>
      </c>
      <c r="Y860" s="20" t="n">
        <f aca="false" t="array" ref="Y860:Y860">IF(AND(INDEX(Profils!$S$5:$S$34,$AE860)&gt;0,INDEX(Profils!$AH$5:$AH$34,$AE860)&lt;=$AH860),ROUND(INDEX(Profils!$S$5:$S$34,$AE860)*Paramètres!$E$35*$AG860*$AJ860,Paramètres!$F$35),0)</f>
        <v>0.005</v>
      </c>
      <c r="Z860" s="21" t="n">
        <f aca="false">ROUND(L860/Paramètres!$E$22+M860/Paramètres!$E$23+N860/Paramètres!$E$24+O860/Paramètres!$E$25+P860/Paramètres!$E$26+Q860/Paramètres!$E$27+R860/Paramètres!$E$28+S860/Paramètres!$E$29+T860/Paramètres!$E$30+U860/Paramètres!$E$31+V860/Paramètres!$E$32+W860/Paramètres!$E$33+X860/Paramètres!$E$34+Y860/Paramètres!$E$35,1)</f>
        <v>3.6</v>
      </c>
      <c r="AA860" s="22" t="s">
        <v>109</v>
      </c>
      <c r="AB860" s="22" t="s">
        <v>109</v>
      </c>
      <c r="AC860" s="15" t="str">
        <f aca="false">$E860</f>
        <v>cuir clouté</v>
      </c>
      <c r="AD860" s="16" t="n">
        <f aca="false" t="array" ref="AD860:AD860">IF($I860&gt;=$AI860,"Max",ROUND(Paramètres!$B$40*($I860+1)^Paramètres!$B$41*INDEX(Paramètres!$H$6:$H$12,$AF860),0))</f>
        <v>8</v>
      </c>
      <c r="AE860" s="23" t="n">
        <f aca="false">MATCH($B860&amp;"|"&amp;$C860,Profils!$A$5:$A$34,0)</f>
        <v>28</v>
      </c>
      <c r="AF860" s="23" t="n">
        <v>6</v>
      </c>
      <c r="AG860" s="24" t="n">
        <f aca="false" t="array" ref="AG860:AG860">INDEX(Paramètres!$C$6:$C$12,$AF860)</f>
        <v>2.4</v>
      </c>
      <c r="AH860" s="23" t="n">
        <f aca="false" t="array" ref="AH860:AH860">INDEX(Paramètres!$D$6:$D$12,$AF860)</f>
        <v>7</v>
      </c>
      <c r="AI860" s="23" t="n">
        <f aca="false" t="array" ref="AI860:AI860">INDEX(Matériaux!$C$16:$C$20,$D860)</f>
        <v>25</v>
      </c>
      <c r="AJ860" s="25" t="n">
        <f aca="false">Paramètres!$B$16+(1-Paramètres!$B$16)*(($J860-Paramètres!$B$14)/(Paramètres!$B$15-Paramètres!$B$14))^Paramètres!$B$17</f>
        <v>0.26769024555533</v>
      </c>
    </row>
    <row r="861" customFormat="false" ht="15.75" hidden="false" customHeight="true" outlineLevel="0" collapsed="false">
      <c r="A861" s="14" t="s">
        <v>977</v>
      </c>
      <c r="B861" s="15" t="s">
        <v>31</v>
      </c>
      <c r="C861" s="15" t="s">
        <v>337</v>
      </c>
      <c r="D861" s="16" t="n">
        <v>4</v>
      </c>
      <c r="E861" s="15" t="str">
        <f aca="false" t="array" ref="E861:E861">INDEX(Matériaux!$B$5:$F$12,MATCH(INDEX(Profils!$E$5:$E$34,$AE861),Matériaux!$A$5:$A$12,0),$D861)</f>
        <v>écailles</v>
      </c>
      <c r="F861" s="17" t="s">
        <v>108</v>
      </c>
      <c r="G861" s="10" t="str">
        <f aca="false" t="array" ref="G861:G861">INDEX(Profils!$D$5:$D$34,$AE861)&amp;" en "&amp;$E861</f>
        <v>Ceinture en écailles</v>
      </c>
      <c r="H861" s="16" t="n">
        <f aca="false" t="array" ref="H861:H861">INDEX(Matériaux!$B$16:$B$20,$D861)</f>
        <v>50</v>
      </c>
      <c r="I861" s="16" t="n">
        <f aca="false">IF(ISNUMBER($C$3),MIN(MAX(0,ROUND($C$3,0)),$AI861),$AI861)</f>
        <v>0</v>
      </c>
      <c r="J861" s="18" t="n">
        <f aca="false">$H861+$I861</f>
        <v>50</v>
      </c>
      <c r="K861" s="15" t="s">
        <v>109</v>
      </c>
      <c r="L861" s="19" t="n">
        <f aca="false" t="array" ref="L861:L861">IF(AND(INDEX(Profils!$F$5:$F$34,$AE861)&gt;0,INDEX(Profils!$U$5:$U$34,$AE861)&lt;=$AH861),ROUND(INDEX(Profils!$F$5:$F$34,$AE861)*Paramètres!$E$22*$AG861*$AJ861,Paramètres!$F$22),0)</f>
        <v>0</v>
      </c>
      <c r="M861" s="19" t="n">
        <f aca="false" t="array" ref="M861:M861">IF(AND(INDEX(Profils!$G$5:$G$34,$AE861)&gt;0,INDEX(Profils!$V$5:$V$34,$AE861)&lt;=$AH861),ROUND(INDEX(Profils!$G$5:$G$34,$AE861)*Paramètres!$E$23*$AG861*$AJ861,Paramètres!$F$23),0)</f>
        <v>0</v>
      </c>
      <c r="N861" s="19" t="n">
        <f aca="false" t="array" ref="N861:N861">IF(AND(INDEX(Profils!$H$5:$H$34,$AE861)&gt;0,INDEX(Profils!$W$5:$W$34,$AE861)&lt;=$AH861),ROUND(INDEX(Profils!$H$5:$H$34,$AE861)*Paramètres!$E$24*$AG861*$AJ861,Paramètres!$F$24),0)</f>
        <v>0</v>
      </c>
      <c r="O861" s="19" t="n">
        <f aca="false" t="array" ref="O861:O861">IF(AND(INDEX(Profils!$I$5:$I$34,$AE861)&gt;0,INDEX(Profils!$X$5:$X$34,$AE861)&lt;=$AH861),ROUND(INDEX(Profils!$I$5:$I$34,$AE861)*Paramètres!$E$25*$AG861*$AJ861,Paramètres!$F$25),0)</f>
        <v>0</v>
      </c>
      <c r="P861" s="19" t="n">
        <f aca="false" t="array" ref="P861:P861">IF(AND(INDEX(Profils!$J$5:$J$34,$AE861)&gt;0,INDEX(Profils!$Y$5:$Y$34,$AE861)&lt;=$AH861),ROUND(INDEX(Profils!$J$5:$J$34,$AE861)*Paramètres!$E$26*$AG861*$AJ861,Paramètres!$F$26),0)</f>
        <v>6</v>
      </c>
      <c r="Q861" s="19" t="n">
        <f aca="false" t="array" ref="Q861:Q861">IF(AND(INDEX(Profils!$K$5:$K$34,$AE861)&gt;0,INDEX(Profils!$Z$5:$Z$34,$AE861)&lt;=$AH861),ROUND(INDEX(Profils!$K$5:$K$34,$AE861)*Paramètres!$E$27*$AG861*$AJ861,Paramètres!$F$27),0)</f>
        <v>0</v>
      </c>
      <c r="R861" s="20" t="n">
        <f aca="false" t="array" ref="R861:R861">IF(AND(INDEX(Profils!$L$5:$L$34,$AE861)&gt;0,INDEX(Profils!$AA$5:$AA$34,$AE861)&lt;=$AH861),ROUND(INDEX(Profils!$L$5:$L$34,$AE861)*Paramètres!$E$28*$AG861*$AJ861,Paramètres!$F$28),0)</f>
        <v>0.007</v>
      </c>
      <c r="S861" s="20" t="n">
        <f aca="false" t="array" ref="S861:S861">IF(AND(INDEX(Profils!$M$5:$M$34,$AE861)&gt;0,INDEX(Profils!$AB$5:$AB$34,$AE861)&lt;=$AH861),ROUND(INDEX(Profils!$M$5:$M$34,$AE861)*Paramètres!$E$29*$AG861*$AJ861,Paramètres!$F$29),0)</f>
        <v>0</v>
      </c>
      <c r="T861" s="20" t="n">
        <f aca="false" t="array" ref="T861:T861">IF(AND(INDEX(Profils!$N$5:$N$34,$AE861)&gt;0,INDEX(Profils!$AC$5:$AC$34,$AE861)&lt;=$AH861),ROUND(INDEX(Profils!$N$5:$N$34,$AE861)*Paramètres!$E$30*$AG861*$AJ861,Paramètres!$F$30),0)</f>
        <v>0</v>
      </c>
      <c r="U861" s="19" t="n">
        <f aca="false" t="array" ref="U861:U861">IF(AND(INDEX(Profils!$O$5:$O$34,$AE861)&gt;0,INDEX(Profils!$AD$5:$AD$34,$AE861)&lt;=$AH861),ROUND(INDEX(Profils!$O$5:$O$34,$AE861)*Paramètres!$E$31*$AG861*$AJ861,Paramètres!$F$31),0)</f>
        <v>0</v>
      </c>
      <c r="V861" s="20" t="n">
        <f aca="false" t="array" ref="V861:V861">IF(AND(INDEX(Profils!$P$5:$P$34,$AE861)&gt;0,INDEX(Profils!$AE$5:$AE$34,$AE861)&lt;=$AH861),ROUND(INDEX(Profils!$P$5:$P$34,$AE861)*Paramètres!$E$32*$AG861*$AJ861,Paramètres!$F$32),0)</f>
        <v>0</v>
      </c>
      <c r="W861" s="20" t="n">
        <f aca="false" t="array" ref="W861:W861">IF(AND(INDEX(Profils!$Q$5:$Q$34,$AE861)&gt;0,INDEX(Profils!$AF$5:$AF$34,$AE861)&lt;=$AH861),ROUND(INDEX(Profils!$Q$5:$Q$34,$AE861)*Paramètres!$E$33*$AG861*$AJ861,Paramètres!$F$33),0)</f>
        <v>0</v>
      </c>
      <c r="X861" s="20" t="n">
        <f aca="false" t="array" ref="X861:X861">IF(AND(INDEX(Profils!$R$5:$R$34,$AE861)&gt;0,INDEX(Profils!$AG$5:$AG$34,$AE861)&lt;=$AH861),ROUND(INDEX(Profils!$R$5:$R$34,$AE861)*Paramètres!$E$34*$AG861*$AJ861,Paramètres!$F$34),0)</f>
        <v>0</v>
      </c>
      <c r="Y861" s="20" t="n">
        <f aca="false" t="array" ref="Y861:Y861">IF(AND(INDEX(Profils!$S$5:$S$34,$AE861)&gt;0,INDEX(Profils!$AH$5:$AH$34,$AE861)&lt;=$AH861),ROUND(INDEX(Profils!$S$5:$S$34,$AE861)*Paramètres!$E$35*$AG861*$AJ861,Paramètres!$F$35),0)</f>
        <v>0</v>
      </c>
      <c r="Z861" s="21" t="n">
        <f aca="false">ROUND(L861/Paramètres!$E$22+M861/Paramètres!$E$23+N861/Paramètres!$E$24+O861/Paramètres!$E$25+P861/Paramètres!$E$26+Q861/Paramètres!$E$27+R861/Paramètres!$E$28+S861/Paramètres!$E$29+T861/Paramètres!$E$30+U861/Paramètres!$E$31+V861/Paramètres!$E$32+W861/Paramètres!$E$33+X861/Paramètres!$E$34+Y861/Paramètres!$E$35,1)</f>
        <v>1</v>
      </c>
      <c r="AA861" s="22" t="s">
        <v>109</v>
      </c>
      <c r="AB861" s="22" t="s">
        <v>109</v>
      </c>
      <c r="AC861" s="15" t="str">
        <f aca="false">$E861</f>
        <v>écailles</v>
      </c>
      <c r="AD861" s="16" t="n">
        <f aca="false" t="array" ref="AD861:AD861">IF($I861&gt;=$AI861,"Max",ROUND(Paramètres!$B$40*($I861+1)^Paramètres!$B$41*INDEX(Paramètres!$H$6:$H$12,$AF861),0))</f>
        <v>3</v>
      </c>
      <c r="AE861" s="23" t="n">
        <f aca="false">MATCH($B861&amp;"|"&amp;$C861,Profils!$A$5:$A$34,0)</f>
        <v>28</v>
      </c>
      <c r="AF861" s="23" t="n">
        <v>1</v>
      </c>
      <c r="AG861" s="24" t="n">
        <f aca="false" t="array" ref="AG861:AG861">INDEX(Paramètres!$C$6:$C$12,$AF861)</f>
        <v>1</v>
      </c>
      <c r="AH861" s="23" t="n">
        <f aca="false" t="array" ref="AH861:AH861">INDEX(Paramètres!$D$6:$D$12,$AF861)</f>
        <v>2</v>
      </c>
      <c r="AI861" s="23" t="n">
        <f aca="false" t="array" ref="AI861:AI861">INDEX(Matériaux!$C$16:$C$20,$D861)</f>
        <v>25</v>
      </c>
      <c r="AJ861" s="25" t="n">
        <f aca="false">Paramètres!$B$16+(1-Paramètres!$B$16)*(($J861-Paramètres!$B$14)/(Paramètres!$B$15-Paramètres!$B$14))^Paramètres!$B$17</f>
        <v>0.458504333336152</v>
      </c>
    </row>
    <row r="862" customFormat="false" ht="15.75" hidden="false" customHeight="true" outlineLevel="0" collapsed="false">
      <c r="A862" s="14" t="s">
        <v>978</v>
      </c>
      <c r="B862" s="15" t="s">
        <v>31</v>
      </c>
      <c r="C862" s="15" t="s">
        <v>337</v>
      </c>
      <c r="D862" s="16" t="n">
        <v>4</v>
      </c>
      <c r="E862" s="15" t="str">
        <f aca="false" t="array" ref="E862:E862">INDEX(Matériaux!$B$5:$F$12,MATCH(INDEX(Profils!$E$5:$E$34,$AE862),Matériaux!$A$5:$A$12,0),$D862)</f>
        <v>écailles</v>
      </c>
      <c r="F862" s="26" t="s">
        <v>111</v>
      </c>
      <c r="G862" s="10" t="str">
        <f aca="false" t="array" ref="G862:G862">INDEX(Profils!$D$5:$D$34,$AE862)&amp;" en "&amp;$E862</f>
        <v>Ceinture en écailles</v>
      </c>
      <c r="H862" s="16" t="n">
        <f aca="false" t="array" ref="H862:H862">INDEX(Matériaux!$B$16:$B$20,$D862)</f>
        <v>50</v>
      </c>
      <c r="I862" s="16" t="n">
        <f aca="false">IF(ISNUMBER($C$3),MIN(MAX(0,ROUND($C$3,0)),$AI862),$AI862)</f>
        <v>0</v>
      </c>
      <c r="J862" s="18" t="n">
        <f aca="false">$H862+$I862</f>
        <v>50</v>
      </c>
      <c r="K862" s="15" t="s">
        <v>109</v>
      </c>
      <c r="L862" s="19" t="n">
        <f aca="false" t="array" ref="L862:L862">IF(AND(INDEX(Profils!$F$5:$F$34,$AE862)&gt;0,INDEX(Profils!$U$5:$U$34,$AE862)&lt;=$AH862),ROUND(INDEX(Profils!$F$5:$F$34,$AE862)*Paramètres!$E$22*$AG862*$AJ862,Paramètres!$F$22),0)</f>
        <v>12</v>
      </c>
      <c r="M862" s="19" t="n">
        <f aca="false" t="array" ref="M862:M862">IF(AND(INDEX(Profils!$G$5:$G$34,$AE862)&gt;0,INDEX(Profils!$V$5:$V$34,$AE862)&lt;=$AH862),ROUND(INDEX(Profils!$G$5:$G$34,$AE862)*Paramètres!$E$23*$AG862*$AJ862,Paramètres!$F$23),0)</f>
        <v>0</v>
      </c>
      <c r="N862" s="19" t="n">
        <f aca="false" t="array" ref="N862:N862">IF(AND(INDEX(Profils!$H$5:$H$34,$AE862)&gt;0,INDEX(Profils!$W$5:$W$34,$AE862)&lt;=$AH862),ROUND(INDEX(Profils!$H$5:$H$34,$AE862)*Paramètres!$E$24*$AG862*$AJ862,Paramètres!$F$24),0)</f>
        <v>0</v>
      </c>
      <c r="O862" s="19" t="n">
        <f aca="false" t="array" ref="O862:O862">IF(AND(INDEX(Profils!$I$5:$I$34,$AE862)&gt;0,INDEX(Profils!$X$5:$X$34,$AE862)&lt;=$AH862),ROUND(INDEX(Profils!$I$5:$I$34,$AE862)*Paramètres!$E$25*$AG862*$AJ862,Paramètres!$F$25),0)</f>
        <v>0</v>
      </c>
      <c r="P862" s="19" t="n">
        <f aca="false" t="array" ref="P862:P862">IF(AND(INDEX(Profils!$J$5:$J$34,$AE862)&gt;0,INDEX(Profils!$Y$5:$Y$34,$AE862)&lt;=$AH862),ROUND(INDEX(Profils!$J$5:$J$34,$AE862)*Paramètres!$E$26*$AG862*$AJ862,Paramètres!$F$26),0)</f>
        <v>7</v>
      </c>
      <c r="Q862" s="19" t="n">
        <f aca="false" t="array" ref="Q862:Q862">IF(AND(INDEX(Profils!$K$5:$K$34,$AE862)&gt;0,INDEX(Profils!$Z$5:$Z$34,$AE862)&lt;=$AH862),ROUND(INDEX(Profils!$K$5:$K$34,$AE862)*Paramètres!$E$27*$AG862*$AJ862,Paramètres!$F$27),0)</f>
        <v>0</v>
      </c>
      <c r="R862" s="20" t="n">
        <f aca="false" t="array" ref="R862:R862">IF(AND(INDEX(Profils!$L$5:$L$34,$AE862)&gt;0,INDEX(Profils!$AA$5:$AA$34,$AE862)&lt;=$AH862),ROUND(INDEX(Profils!$L$5:$L$34,$AE862)*Paramètres!$E$28*$AG862*$AJ862,Paramètres!$F$28),0)</f>
        <v>0.008</v>
      </c>
      <c r="S862" s="20" t="n">
        <f aca="false" t="array" ref="S862:S862">IF(AND(INDEX(Profils!$M$5:$M$34,$AE862)&gt;0,INDEX(Profils!$AB$5:$AB$34,$AE862)&lt;=$AH862),ROUND(INDEX(Profils!$M$5:$M$34,$AE862)*Paramètres!$E$29*$AG862*$AJ862,Paramètres!$F$29),0)</f>
        <v>0</v>
      </c>
      <c r="T862" s="20" t="n">
        <f aca="false" t="array" ref="T862:T862">IF(AND(INDEX(Profils!$N$5:$N$34,$AE862)&gt;0,INDEX(Profils!$AC$5:$AC$34,$AE862)&lt;=$AH862),ROUND(INDEX(Profils!$N$5:$N$34,$AE862)*Paramètres!$E$30*$AG862*$AJ862,Paramètres!$F$30),0)</f>
        <v>0</v>
      </c>
      <c r="U862" s="19" t="n">
        <f aca="false" t="array" ref="U862:U862">IF(AND(INDEX(Profils!$O$5:$O$34,$AE862)&gt;0,INDEX(Profils!$AD$5:$AD$34,$AE862)&lt;=$AH862),ROUND(INDEX(Profils!$O$5:$O$34,$AE862)*Paramètres!$E$31*$AG862*$AJ862,Paramètres!$F$31),0)</f>
        <v>0</v>
      </c>
      <c r="V862" s="20" t="n">
        <f aca="false" t="array" ref="V862:V862">IF(AND(INDEX(Profils!$P$5:$P$34,$AE862)&gt;0,INDEX(Profils!$AE$5:$AE$34,$AE862)&lt;=$AH862),ROUND(INDEX(Profils!$P$5:$P$34,$AE862)*Paramètres!$E$32*$AG862*$AJ862,Paramètres!$F$32),0)</f>
        <v>0</v>
      </c>
      <c r="W862" s="20" t="n">
        <f aca="false" t="array" ref="W862:W862">IF(AND(INDEX(Profils!$Q$5:$Q$34,$AE862)&gt;0,INDEX(Profils!$AF$5:$AF$34,$AE862)&lt;=$AH862),ROUND(INDEX(Profils!$Q$5:$Q$34,$AE862)*Paramètres!$E$33*$AG862*$AJ862,Paramètres!$F$33),0)</f>
        <v>0</v>
      </c>
      <c r="X862" s="20" t="n">
        <f aca="false" t="array" ref="X862:X862">IF(AND(INDEX(Profils!$R$5:$R$34,$AE862)&gt;0,INDEX(Profils!$AG$5:$AG$34,$AE862)&lt;=$AH862),ROUND(INDEX(Profils!$R$5:$R$34,$AE862)*Paramètres!$E$34*$AG862*$AJ862,Paramètres!$F$34),0)</f>
        <v>0</v>
      </c>
      <c r="Y862" s="20" t="n">
        <f aca="false" t="array" ref="Y862:Y862">IF(AND(INDEX(Profils!$S$5:$S$34,$AE862)&gt;0,INDEX(Profils!$AH$5:$AH$34,$AE862)&lt;=$AH862),ROUND(INDEX(Profils!$S$5:$S$34,$AE862)*Paramètres!$E$35*$AG862*$AJ862,Paramètres!$F$35),0)</f>
        <v>0</v>
      </c>
      <c r="Z862" s="21" t="n">
        <f aca="false">ROUND(L862/Paramètres!$E$22+M862/Paramètres!$E$23+N862/Paramètres!$E$24+O862/Paramètres!$E$25+P862/Paramètres!$E$26+Q862/Paramètres!$E$27+R862/Paramètres!$E$28+S862/Paramètres!$E$29+T862/Paramètres!$E$30+U862/Paramètres!$E$31+V862/Paramètres!$E$32+W862/Paramètres!$E$33+X862/Paramètres!$E$34+Y862/Paramètres!$E$35,1)</f>
        <v>1.6</v>
      </c>
      <c r="AA862" s="22" t="s">
        <v>109</v>
      </c>
      <c r="AB862" s="22" t="s">
        <v>109</v>
      </c>
      <c r="AC862" s="15" t="str">
        <f aca="false">$E862</f>
        <v>écailles</v>
      </c>
      <c r="AD862" s="16" t="n">
        <f aca="false" t="array" ref="AD862:AD862">IF($I862&gt;=$AI862,"Max",ROUND(Paramètres!$B$40*($I862+1)^Paramètres!$B$41*INDEX(Paramètres!$H$6:$H$12,$AF862),0))</f>
        <v>4</v>
      </c>
      <c r="AE862" s="23" t="n">
        <f aca="false">MATCH($B862&amp;"|"&amp;$C862,Profils!$A$5:$A$34,0)</f>
        <v>28</v>
      </c>
      <c r="AF862" s="23" t="n">
        <v>2</v>
      </c>
      <c r="AG862" s="24" t="n">
        <f aca="false" t="array" ref="AG862:AG862">INDEX(Paramètres!$C$6:$C$12,$AF862)</f>
        <v>1.2</v>
      </c>
      <c r="AH862" s="23" t="n">
        <f aca="false" t="array" ref="AH862:AH862">INDEX(Paramètres!$D$6:$D$12,$AF862)</f>
        <v>3</v>
      </c>
      <c r="AI862" s="23" t="n">
        <f aca="false" t="array" ref="AI862:AI862">INDEX(Matériaux!$C$16:$C$20,$D862)</f>
        <v>25</v>
      </c>
      <c r="AJ862" s="25" t="n">
        <f aca="false">Paramètres!$B$16+(1-Paramètres!$B$16)*(($J862-Paramètres!$B$14)/(Paramètres!$B$15-Paramètres!$B$14))^Paramètres!$B$17</f>
        <v>0.458504333336152</v>
      </c>
    </row>
    <row r="863" customFormat="false" ht="15.75" hidden="false" customHeight="true" outlineLevel="0" collapsed="false">
      <c r="A863" s="14" t="s">
        <v>979</v>
      </c>
      <c r="B863" s="15" t="s">
        <v>31</v>
      </c>
      <c r="C863" s="15" t="s">
        <v>337</v>
      </c>
      <c r="D863" s="16" t="n">
        <v>4</v>
      </c>
      <c r="E863" s="15" t="str">
        <f aca="false" t="array" ref="E863:E863">INDEX(Matériaux!$B$5:$F$12,MATCH(INDEX(Profils!$E$5:$E$34,$AE863),Matériaux!$A$5:$A$12,0),$D863)</f>
        <v>écailles</v>
      </c>
      <c r="F863" s="27" t="s">
        <v>113</v>
      </c>
      <c r="G863" s="10" t="str">
        <f aca="false" t="array" ref="G863:G863">INDEX(Profils!$D$5:$D$34,$AE863)&amp;" en "&amp;$E863</f>
        <v>Ceinture en écailles</v>
      </c>
      <c r="H863" s="16" t="n">
        <f aca="false" t="array" ref="H863:H863">INDEX(Matériaux!$B$16:$B$20,$D863)</f>
        <v>50</v>
      </c>
      <c r="I863" s="16" t="n">
        <f aca="false">IF(ISNUMBER($C$3),MIN(MAX(0,ROUND($C$3,0)),$AI863),$AI863)</f>
        <v>0</v>
      </c>
      <c r="J863" s="18" t="n">
        <f aca="false">$H863+$I863</f>
        <v>50</v>
      </c>
      <c r="K863" s="15" t="s">
        <v>109</v>
      </c>
      <c r="L863" s="19" t="n">
        <f aca="false" t="array" ref="L863:L863">IF(AND(INDEX(Profils!$F$5:$F$34,$AE863)&gt;0,INDEX(Profils!$U$5:$U$34,$AE863)&lt;=$AH863),ROUND(INDEX(Profils!$F$5:$F$34,$AE863)*Paramètres!$E$22*$AG863*$AJ863,Paramètres!$F$22),0)</f>
        <v>15</v>
      </c>
      <c r="M863" s="19" t="n">
        <f aca="false" t="array" ref="M863:M863">IF(AND(INDEX(Profils!$G$5:$G$34,$AE863)&gt;0,INDEX(Profils!$V$5:$V$34,$AE863)&lt;=$AH863),ROUND(INDEX(Profils!$G$5:$G$34,$AE863)*Paramètres!$E$23*$AG863*$AJ863,Paramètres!$F$23),0)</f>
        <v>0</v>
      </c>
      <c r="N863" s="19" t="n">
        <f aca="false" t="array" ref="N863:N863">IF(AND(INDEX(Profils!$H$5:$H$34,$AE863)&gt;0,INDEX(Profils!$W$5:$W$34,$AE863)&lt;=$AH863),ROUND(INDEX(Profils!$H$5:$H$34,$AE863)*Paramètres!$E$24*$AG863*$AJ863,Paramètres!$F$24),0)</f>
        <v>0</v>
      </c>
      <c r="O863" s="19" t="n">
        <f aca="false" t="array" ref="O863:O863">IF(AND(INDEX(Profils!$I$5:$I$34,$AE863)&gt;0,INDEX(Profils!$X$5:$X$34,$AE863)&lt;=$AH863),ROUND(INDEX(Profils!$I$5:$I$34,$AE863)*Paramètres!$E$25*$AG863*$AJ863,Paramètres!$F$25),0)</f>
        <v>0</v>
      </c>
      <c r="P863" s="19" t="n">
        <f aca="false" t="array" ref="P863:P863">IF(AND(INDEX(Profils!$J$5:$J$34,$AE863)&gt;0,INDEX(Profils!$Y$5:$Y$34,$AE863)&lt;=$AH863),ROUND(INDEX(Profils!$J$5:$J$34,$AE863)*Paramètres!$E$26*$AG863*$AJ863,Paramètres!$F$26),0)</f>
        <v>8</v>
      </c>
      <c r="Q863" s="19" t="n">
        <f aca="false" t="array" ref="Q863:Q863">IF(AND(INDEX(Profils!$K$5:$K$34,$AE863)&gt;0,INDEX(Profils!$Z$5:$Z$34,$AE863)&lt;=$AH863),ROUND(INDEX(Profils!$K$5:$K$34,$AE863)*Paramètres!$E$27*$AG863*$AJ863,Paramètres!$F$27),0)</f>
        <v>0</v>
      </c>
      <c r="R863" s="20" t="n">
        <f aca="false" t="array" ref="R863:R863">IF(AND(INDEX(Profils!$L$5:$L$34,$AE863)&gt;0,INDEX(Profils!$AA$5:$AA$34,$AE863)&lt;=$AH863),ROUND(INDEX(Profils!$L$5:$L$34,$AE863)*Paramètres!$E$28*$AG863*$AJ863,Paramètres!$F$28),0)</f>
        <v>0.01</v>
      </c>
      <c r="S863" s="20" t="n">
        <f aca="false" t="array" ref="S863:S863">IF(AND(INDEX(Profils!$M$5:$M$34,$AE863)&gt;0,INDEX(Profils!$AB$5:$AB$34,$AE863)&lt;=$AH863),ROUND(INDEX(Profils!$M$5:$M$34,$AE863)*Paramètres!$E$29*$AG863*$AJ863,Paramètres!$F$29),0)</f>
        <v>0.006</v>
      </c>
      <c r="T863" s="20" t="n">
        <f aca="false" t="array" ref="T863:T863">IF(AND(INDEX(Profils!$N$5:$N$34,$AE863)&gt;0,INDEX(Profils!$AC$5:$AC$34,$AE863)&lt;=$AH863),ROUND(INDEX(Profils!$N$5:$N$34,$AE863)*Paramètres!$E$30*$AG863*$AJ863,Paramètres!$F$30),0)</f>
        <v>0</v>
      </c>
      <c r="U863" s="19" t="n">
        <f aca="false" t="array" ref="U863:U863">IF(AND(INDEX(Profils!$O$5:$O$34,$AE863)&gt;0,INDEX(Profils!$AD$5:$AD$34,$AE863)&lt;=$AH863),ROUND(INDEX(Profils!$O$5:$O$34,$AE863)*Paramètres!$E$31*$AG863*$AJ863,Paramètres!$F$31),0)</f>
        <v>0</v>
      </c>
      <c r="V863" s="20" t="n">
        <f aca="false" t="array" ref="V863:V863">IF(AND(INDEX(Profils!$P$5:$P$34,$AE863)&gt;0,INDEX(Profils!$AE$5:$AE$34,$AE863)&lt;=$AH863),ROUND(INDEX(Profils!$P$5:$P$34,$AE863)*Paramètres!$E$32*$AG863*$AJ863,Paramètres!$F$32),0)</f>
        <v>0</v>
      </c>
      <c r="W863" s="20" t="n">
        <f aca="false" t="array" ref="W863:W863">IF(AND(INDEX(Profils!$Q$5:$Q$34,$AE863)&gt;0,INDEX(Profils!$AF$5:$AF$34,$AE863)&lt;=$AH863),ROUND(INDEX(Profils!$Q$5:$Q$34,$AE863)*Paramètres!$E$33*$AG863*$AJ863,Paramètres!$F$33),0)</f>
        <v>0</v>
      </c>
      <c r="X863" s="20" t="n">
        <f aca="false" t="array" ref="X863:X863">IF(AND(INDEX(Profils!$R$5:$R$34,$AE863)&gt;0,INDEX(Profils!$AG$5:$AG$34,$AE863)&lt;=$AH863),ROUND(INDEX(Profils!$R$5:$R$34,$AE863)*Paramètres!$E$34*$AG863*$AJ863,Paramètres!$F$34),0)</f>
        <v>0</v>
      </c>
      <c r="Y863" s="20" t="n">
        <f aca="false" t="array" ref="Y863:Y863">IF(AND(INDEX(Profils!$S$5:$S$34,$AE863)&gt;0,INDEX(Profils!$AH$5:$AH$34,$AE863)&lt;=$AH863),ROUND(INDEX(Profils!$S$5:$S$34,$AE863)*Paramètres!$E$35*$AG863*$AJ863,Paramètres!$F$35),0)</f>
        <v>0</v>
      </c>
      <c r="Z863" s="21" t="n">
        <f aca="false">ROUND(L863/Paramètres!$E$22+M863/Paramètres!$E$23+N863/Paramètres!$E$24+O863/Paramètres!$E$25+P863/Paramètres!$E$26+Q863/Paramètres!$E$27+R863/Paramètres!$E$28+S863/Paramètres!$E$29+T863/Paramètres!$E$30+U863/Paramètres!$E$31+V863/Paramètres!$E$32+W863/Paramètres!$E$33+X863/Paramètres!$E$34+Y863/Paramètres!$E$35,1)</f>
        <v>2.4</v>
      </c>
      <c r="AA863" s="22" t="s">
        <v>109</v>
      </c>
      <c r="AB863" s="22" t="s">
        <v>109</v>
      </c>
      <c r="AC863" s="15" t="str">
        <f aca="false">$E863</f>
        <v>écailles</v>
      </c>
      <c r="AD863" s="16" t="n">
        <f aca="false" t="array" ref="AD863:AD863">IF($I863&gt;=$AI863,"Max",ROUND(Paramètres!$B$40*($I863+1)^Paramètres!$B$41*INDEX(Paramètres!$H$6:$H$12,$AF863),0))</f>
        <v>4</v>
      </c>
      <c r="AE863" s="23" t="n">
        <f aca="false">MATCH($B863&amp;"|"&amp;$C863,Profils!$A$5:$A$34,0)</f>
        <v>28</v>
      </c>
      <c r="AF863" s="23" t="n">
        <v>3</v>
      </c>
      <c r="AG863" s="24" t="n">
        <f aca="false" t="array" ref="AG863:AG863">INDEX(Paramètres!$C$6:$C$12,$AF863)</f>
        <v>1.45</v>
      </c>
      <c r="AH863" s="23" t="n">
        <f aca="false" t="array" ref="AH863:AH863">INDEX(Paramètres!$D$6:$D$12,$AF863)</f>
        <v>4</v>
      </c>
      <c r="AI863" s="23" t="n">
        <f aca="false" t="array" ref="AI863:AI863">INDEX(Matériaux!$C$16:$C$20,$D863)</f>
        <v>25</v>
      </c>
      <c r="AJ863" s="25" t="n">
        <f aca="false">Paramètres!$B$16+(1-Paramètres!$B$16)*(($J863-Paramètres!$B$14)/(Paramètres!$B$15-Paramètres!$B$14))^Paramètres!$B$17</f>
        <v>0.458504333336152</v>
      </c>
    </row>
    <row r="864" customFormat="false" ht="15.75" hidden="false" customHeight="true" outlineLevel="0" collapsed="false">
      <c r="A864" s="14" t="s">
        <v>980</v>
      </c>
      <c r="B864" s="15" t="s">
        <v>31</v>
      </c>
      <c r="C864" s="15" t="s">
        <v>337</v>
      </c>
      <c r="D864" s="16" t="n">
        <v>4</v>
      </c>
      <c r="E864" s="15" t="str">
        <f aca="false" t="array" ref="E864:E864">INDEX(Matériaux!$B$5:$F$12,MATCH(INDEX(Profils!$E$5:$E$34,$AE864),Matériaux!$A$5:$A$12,0),$D864)</f>
        <v>écailles</v>
      </c>
      <c r="F864" s="28" t="s">
        <v>115</v>
      </c>
      <c r="G864" s="10" t="str">
        <f aca="false" t="array" ref="G864:G864">INDEX(Profils!$D$5:$D$34,$AE864)&amp;" en "&amp;$E864</f>
        <v>Ceinture en écailles</v>
      </c>
      <c r="H864" s="16" t="n">
        <f aca="false" t="array" ref="H864:H864">INDEX(Matériaux!$B$16:$B$20,$D864)</f>
        <v>50</v>
      </c>
      <c r="I864" s="16" t="n">
        <f aca="false">IF(ISNUMBER($C$3),MIN(MAX(0,ROUND($C$3,0)),$AI864),$AI864)</f>
        <v>0</v>
      </c>
      <c r="J864" s="18" t="n">
        <f aca="false">$H864+$I864</f>
        <v>50</v>
      </c>
      <c r="K864" s="15" t="s">
        <v>109</v>
      </c>
      <c r="L864" s="19" t="n">
        <f aca="false" t="array" ref="L864:L864">IF(AND(INDEX(Profils!$F$5:$F$34,$AE864)&gt;0,INDEX(Profils!$U$5:$U$34,$AE864)&lt;=$AH864),ROUND(INDEX(Profils!$F$5:$F$34,$AE864)*Paramètres!$E$22*$AG864*$AJ864,Paramètres!$F$22),0)</f>
        <v>18</v>
      </c>
      <c r="M864" s="19" t="n">
        <f aca="false" t="array" ref="M864:M864">IF(AND(INDEX(Profils!$G$5:$G$34,$AE864)&gt;0,INDEX(Profils!$V$5:$V$34,$AE864)&lt;=$AH864),ROUND(INDEX(Profils!$G$5:$G$34,$AE864)*Paramètres!$E$23*$AG864*$AJ864,Paramètres!$F$23),0)</f>
        <v>0</v>
      </c>
      <c r="N864" s="19" t="n">
        <f aca="false" t="array" ref="N864:N864">IF(AND(INDEX(Profils!$H$5:$H$34,$AE864)&gt;0,INDEX(Profils!$W$5:$W$34,$AE864)&lt;=$AH864),ROUND(INDEX(Profils!$H$5:$H$34,$AE864)*Paramètres!$E$24*$AG864*$AJ864,Paramètres!$F$24),0)</f>
        <v>0</v>
      </c>
      <c r="O864" s="19" t="n">
        <f aca="false" t="array" ref="O864:O864">IF(AND(INDEX(Profils!$I$5:$I$34,$AE864)&gt;0,INDEX(Profils!$X$5:$X$34,$AE864)&lt;=$AH864),ROUND(INDEX(Profils!$I$5:$I$34,$AE864)*Paramètres!$E$25*$AG864*$AJ864,Paramètres!$F$25),0)</f>
        <v>0</v>
      </c>
      <c r="P864" s="19" t="n">
        <f aca="false" t="array" ref="P864:P864">IF(AND(INDEX(Profils!$J$5:$J$34,$AE864)&gt;0,INDEX(Profils!$Y$5:$Y$34,$AE864)&lt;=$AH864),ROUND(INDEX(Profils!$J$5:$J$34,$AE864)*Paramètres!$E$26*$AG864*$AJ864,Paramètres!$F$26),0)</f>
        <v>10</v>
      </c>
      <c r="Q864" s="19" t="n">
        <f aca="false" t="array" ref="Q864:Q864">IF(AND(INDEX(Profils!$K$5:$K$34,$AE864)&gt;0,INDEX(Profils!$Z$5:$Z$34,$AE864)&lt;=$AH864),ROUND(INDEX(Profils!$K$5:$K$34,$AE864)*Paramètres!$E$27*$AG864*$AJ864,Paramètres!$F$27),0)</f>
        <v>0</v>
      </c>
      <c r="R864" s="20" t="n">
        <f aca="false" t="array" ref="R864:R864">IF(AND(INDEX(Profils!$L$5:$L$34,$AE864)&gt;0,INDEX(Profils!$AA$5:$AA$34,$AE864)&lt;=$AH864),ROUND(INDEX(Profils!$L$5:$L$34,$AE864)*Paramètres!$E$28*$AG864*$AJ864,Paramètres!$F$28),0)</f>
        <v>0.012</v>
      </c>
      <c r="S864" s="20" t="n">
        <f aca="false" t="array" ref="S864:S864">IF(AND(INDEX(Profils!$M$5:$M$34,$AE864)&gt;0,INDEX(Profils!$AB$5:$AB$34,$AE864)&lt;=$AH864),ROUND(INDEX(Profils!$M$5:$M$34,$AE864)*Paramètres!$E$29*$AG864*$AJ864,Paramètres!$F$29),0)</f>
        <v>0.008</v>
      </c>
      <c r="T864" s="20" t="n">
        <f aca="false" t="array" ref="T864:T864">IF(AND(INDEX(Profils!$N$5:$N$34,$AE864)&gt;0,INDEX(Profils!$AC$5:$AC$34,$AE864)&lt;=$AH864),ROUND(INDEX(Profils!$N$5:$N$34,$AE864)*Paramètres!$E$30*$AG864*$AJ864,Paramètres!$F$30),0)</f>
        <v>0.019</v>
      </c>
      <c r="U864" s="19" t="n">
        <f aca="false" t="array" ref="U864:U864">IF(AND(INDEX(Profils!$O$5:$O$34,$AE864)&gt;0,INDEX(Profils!$AD$5:$AD$34,$AE864)&lt;=$AH864),ROUND(INDEX(Profils!$O$5:$O$34,$AE864)*Paramètres!$E$31*$AG864*$AJ864,Paramètres!$F$31),0)</f>
        <v>0</v>
      </c>
      <c r="V864" s="20" t="n">
        <f aca="false" t="array" ref="V864:V864">IF(AND(INDEX(Profils!$P$5:$P$34,$AE864)&gt;0,INDEX(Profils!$AE$5:$AE$34,$AE864)&lt;=$AH864),ROUND(INDEX(Profils!$P$5:$P$34,$AE864)*Paramètres!$E$32*$AG864*$AJ864,Paramètres!$F$32),0)</f>
        <v>0</v>
      </c>
      <c r="W864" s="20" t="n">
        <f aca="false" t="array" ref="W864:W864">IF(AND(INDEX(Profils!$Q$5:$Q$34,$AE864)&gt;0,INDEX(Profils!$AF$5:$AF$34,$AE864)&lt;=$AH864),ROUND(INDEX(Profils!$Q$5:$Q$34,$AE864)*Paramètres!$E$33*$AG864*$AJ864,Paramètres!$F$33),0)</f>
        <v>0</v>
      </c>
      <c r="X864" s="20" t="n">
        <f aca="false" t="array" ref="X864:X864">IF(AND(INDEX(Profils!$R$5:$R$34,$AE864)&gt;0,INDEX(Profils!$AG$5:$AG$34,$AE864)&lt;=$AH864),ROUND(INDEX(Profils!$R$5:$R$34,$AE864)*Paramètres!$E$34*$AG864*$AJ864,Paramètres!$F$34),0)</f>
        <v>0</v>
      </c>
      <c r="Y864" s="20" t="n">
        <f aca="false" t="array" ref="Y864:Y864">IF(AND(INDEX(Profils!$S$5:$S$34,$AE864)&gt;0,INDEX(Profils!$AH$5:$AH$34,$AE864)&lt;=$AH864),ROUND(INDEX(Profils!$S$5:$S$34,$AE864)*Paramètres!$E$35*$AG864*$AJ864,Paramètres!$F$35),0)</f>
        <v>0</v>
      </c>
      <c r="Z864" s="21" t="n">
        <f aca="false">ROUND(L864/Paramètres!$E$22+M864/Paramètres!$E$23+N864/Paramètres!$E$24+O864/Paramètres!$E$25+P864/Paramètres!$E$26+Q864/Paramètres!$E$27+R864/Paramètres!$E$28+S864/Paramètres!$E$29+T864/Paramètres!$E$30+U864/Paramètres!$E$31+V864/Paramètres!$E$32+W864/Paramètres!$E$33+X864/Paramètres!$E$34+Y864/Paramètres!$E$35,1)</f>
        <v>3.7</v>
      </c>
      <c r="AA864" s="22" t="s">
        <v>109</v>
      </c>
      <c r="AB864" s="22" t="s">
        <v>109</v>
      </c>
      <c r="AC864" s="15" t="str">
        <f aca="false">$E864</f>
        <v>écailles</v>
      </c>
      <c r="AD864" s="16" t="n">
        <f aca="false" t="array" ref="AD864:AD864">IF($I864&gt;=$AI864,"Max",ROUND(Paramètres!$B$40*($I864+1)^Paramètres!$B$41*INDEX(Paramètres!$H$6:$H$12,$AF864),0))</f>
        <v>5</v>
      </c>
      <c r="AE864" s="23" t="n">
        <f aca="false">MATCH($B864&amp;"|"&amp;$C864,Profils!$A$5:$A$34,0)</f>
        <v>28</v>
      </c>
      <c r="AF864" s="23" t="n">
        <v>4</v>
      </c>
      <c r="AG864" s="24" t="n">
        <f aca="false" t="array" ref="AG864:AG864">INDEX(Paramètres!$C$6:$C$12,$AF864)</f>
        <v>1.75</v>
      </c>
      <c r="AH864" s="23" t="n">
        <f aca="false" t="array" ref="AH864:AH864">INDEX(Paramètres!$D$6:$D$12,$AF864)</f>
        <v>5</v>
      </c>
      <c r="AI864" s="23" t="n">
        <f aca="false" t="array" ref="AI864:AI864">INDEX(Matériaux!$C$16:$C$20,$D864)</f>
        <v>25</v>
      </c>
      <c r="AJ864" s="25" t="n">
        <f aca="false">Paramètres!$B$16+(1-Paramètres!$B$16)*(($J864-Paramètres!$B$14)/(Paramètres!$B$15-Paramètres!$B$14))^Paramètres!$B$17</f>
        <v>0.458504333336152</v>
      </c>
    </row>
    <row r="865" customFormat="false" ht="15.75" hidden="false" customHeight="true" outlineLevel="0" collapsed="false">
      <c r="A865" s="14" t="s">
        <v>981</v>
      </c>
      <c r="B865" s="15" t="s">
        <v>31</v>
      </c>
      <c r="C865" s="15" t="s">
        <v>337</v>
      </c>
      <c r="D865" s="16" t="n">
        <v>4</v>
      </c>
      <c r="E865" s="15" t="str">
        <f aca="false" t="array" ref="E865:E865">INDEX(Matériaux!$B$5:$F$12,MATCH(INDEX(Profils!$E$5:$E$34,$AE865),Matériaux!$A$5:$A$12,0),$D865)</f>
        <v>écailles</v>
      </c>
      <c r="F865" s="29" t="s">
        <v>117</v>
      </c>
      <c r="G865" s="10" t="str">
        <f aca="false" t="array" ref="G865:G865">INDEX(Profils!$D$5:$D$34,$AE865)&amp;" en "&amp;$E865</f>
        <v>Ceinture en écailles</v>
      </c>
      <c r="H865" s="16" t="n">
        <f aca="false" t="array" ref="H865:H865">INDEX(Matériaux!$B$16:$B$20,$D865)</f>
        <v>50</v>
      </c>
      <c r="I865" s="16" t="n">
        <f aca="false">IF(ISNUMBER($C$3),MIN(MAX(0,ROUND($C$3,0)),$AI865),$AI865)</f>
        <v>0</v>
      </c>
      <c r="J865" s="18" t="n">
        <f aca="false">$H865+$I865</f>
        <v>50</v>
      </c>
      <c r="K865" s="15" t="s">
        <v>109</v>
      </c>
      <c r="L865" s="19" t="n">
        <f aca="false" t="array" ref="L865:L865">IF(AND(INDEX(Profils!$F$5:$F$34,$AE865)&gt;0,INDEX(Profils!$U$5:$U$34,$AE865)&lt;=$AH865),ROUND(INDEX(Profils!$F$5:$F$34,$AE865)*Paramètres!$E$22*$AG865*$AJ865,Paramètres!$F$22),0)</f>
        <v>22</v>
      </c>
      <c r="M865" s="19" t="n">
        <f aca="false" t="array" ref="M865:M865">IF(AND(INDEX(Profils!$G$5:$G$34,$AE865)&gt;0,INDEX(Profils!$V$5:$V$34,$AE865)&lt;=$AH865),ROUND(INDEX(Profils!$G$5:$G$34,$AE865)*Paramètres!$E$23*$AG865*$AJ865,Paramètres!$F$23),0)</f>
        <v>0</v>
      </c>
      <c r="N865" s="19" t="n">
        <f aca="false" t="array" ref="N865:N865">IF(AND(INDEX(Profils!$H$5:$H$34,$AE865)&gt;0,INDEX(Profils!$W$5:$W$34,$AE865)&lt;=$AH865),ROUND(INDEX(Profils!$H$5:$H$34,$AE865)*Paramètres!$E$24*$AG865*$AJ865,Paramètres!$F$24),0)</f>
        <v>0</v>
      </c>
      <c r="O865" s="19" t="n">
        <f aca="false" t="array" ref="O865:O865">IF(AND(INDEX(Profils!$I$5:$I$34,$AE865)&gt;0,INDEX(Profils!$X$5:$X$34,$AE865)&lt;=$AH865),ROUND(INDEX(Profils!$I$5:$I$34,$AE865)*Paramètres!$E$25*$AG865*$AJ865,Paramètres!$F$25),0)</f>
        <v>0</v>
      </c>
      <c r="P865" s="19" t="n">
        <f aca="false" t="array" ref="P865:P865">IF(AND(INDEX(Profils!$J$5:$J$34,$AE865)&gt;0,INDEX(Profils!$Y$5:$Y$34,$AE865)&lt;=$AH865),ROUND(INDEX(Profils!$J$5:$J$34,$AE865)*Paramètres!$E$26*$AG865*$AJ865,Paramètres!$F$26),0)</f>
        <v>12</v>
      </c>
      <c r="Q865" s="19" t="n">
        <f aca="false" t="array" ref="Q865:Q865">IF(AND(INDEX(Profils!$K$5:$K$34,$AE865)&gt;0,INDEX(Profils!$Z$5:$Z$34,$AE865)&lt;=$AH865),ROUND(INDEX(Profils!$K$5:$K$34,$AE865)*Paramètres!$E$27*$AG865*$AJ865,Paramètres!$F$27),0)</f>
        <v>0</v>
      </c>
      <c r="R865" s="20" t="n">
        <f aca="false" t="array" ref="R865:R865">IF(AND(INDEX(Profils!$L$5:$L$34,$AE865)&gt;0,INDEX(Profils!$AA$5:$AA$34,$AE865)&lt;=$AH865),ROUND(INDEX(Profils!$L$5:$L$34,$AE865)*Paramètres!$E$28*$AG865*$AJ865,Paramètres!$F$28),0)</f>
        <v>0.014</v>
      </c>
      <c r="S865" s="20" t="n">
        <f aca="false" t="array" ref="S865:S865">IF(AND(INDEX(Profils!$M$5:$M$34,$AE865)&gt;0,INDEX(Profils!$AB$5:$AB$34,$AE865)&lt;=$AH865),ROUND(INDEX(Profils!$M$5:$M$34,$AE865)*Paramètres!$E$29*$AG865*$AJ865,Paramètres!$F$29),0)</f>
        <v>0.009</v>
      </c>
      <c r="T865" s="20" t="n">
        <f aca="false" t="array" ref="T865:T865">IF(AND(INDEX(Profils!$N$5:$N$34,$AE865)&gt;0,INDEX(Profils!$AC$5:$AC$34,$AE865)&lt;=$AH865),ROUND(INDEX(Profils!$N$5:$N$34,$AE865)*Paramètres!$E$30*$AG865*$AJ865,Paramètres!$F$30),0)</f>
        <v>0.023</v>
      </c>
      <c r="U865" s="19" t="n">
        <f aca="false" t="array" ref="U865:U865">IF(AND(INDEX(Profils!$O$5:$O$34,$AE865)&gt;0,INDEX(Profils!$AD$5:$AD$34,$AE865)&lt;=$AH865),ROUND(INDEX(Profils!$O$5:$O$34,$AE865)*Paramètres!$E$31*$AG865*$AJ865,Paramètres!$F$31),0)</f>
        <v>0</v>
      </c>
      <c r="V865" s="20" t="n">
        <f aca="false" t="array" ref="V865:V865">IF(AND(INDEX(Profils!$P$5:$P$34,$AE865)&gt;0,INDEX(Profils!$AE$5:$AE$34,$AE865)&lt;=$AH865),ROUND(INDEX(Profils!$P$5:$P$34,$AE865)*Paramètres!$E$32*$AG865*$AJ865,Paramètres!$F$32),0)</f>
        <v>0.009</v>
      </c>
      <c r="W865" s="20" t="n">
        <f aca="false" t="array" ref="W865:W865">IF(AND(INDEX(Profils!$Q$5:$Q$34,$AE865)&gt;0,INDEX(Profils!$AF$5:$AF$34,$AE865)&lt;=$AH865),ROUND(INDEX(Profils!$Q$5:$Q$34,$AE865)*Paramètres!$E$33*$AG865*$AJ865,Paramètres!$F$33),0)</f>
        <v>0</v>
      </c>
      <c r="X865" s="20" t="n">
        <f aca="false" t="array" ref="X865:X865">IF(AND(INDEX(Profils!$R$5:$R$34,$AE865)&gt;0,INDEX(Profils!$AG$5:$AG$34,$AE865)&lt;=$AH865),ROUND(INDEX(Profils!$R$5:$R$34,$AE865)*Paramètres!$E$34*$AG865*$AJ865,Paramètres!$F$34),0)</f>
        <v>0</v>
      </c>
      <c r="Y865" s="20" t="n">
        <f aca="false" t="array" ref="Y865:Y865">IF(AND(INDEX(Profils!$S$5:$S$34,$AE865)&gt;0,INDEX(Profils!$AH$5:$AH$34,$AE865)&lt;=$AH865),ROUND(INDEX(Profils!$S$5:$S$34,$AE865)*Paramètres!$E$35*$AG865*$AJ865,Paramètres!$F$35),0)</f>
        <v>0</v>
      </c>
      <c r="Z865" s="21" t="n">
        <f aca="false">ROUND(L865/Paramètres!$E$22+M865/Paramètres!$E$23+N865/Paramètres!$E$24+O865/Paramètres!$E$25+P865/Paramètres!$E$26+Q865/Paramètres!$E$27+R865/Paramètres!$E$28+S865/Paramètres!$E$29+T865/Paramètres!$E$30+U865/Paramètres!$E$31+V865/Paramètres!$E$32+W865/Paramètres!$E$33+X865/Paramètres!$E$34+Y865/Paramètres!$E$35,1)</f>
        <v>4.9</v>
      </c>
      <c r="AA865" s="22" t="s">
        <v>109</v>
      </c>
      <c r="AB865" s="22" t="s">
        <v>109</v>
      </c>
      <c r="AC865" s="15" t="str">
        <f aca="false">$E865</f>
        <v>écailles</v>
      </c>
      <c r="AD865" s="16" t="n">
        <f aca="false" t="array" ref="AD865:AD865">IF($I865&gt;=$AI865,"Max",ROUND(Paramètres!$B$40*($I865+1)^Paramètres!$B$41*INDEX(Paramètres!$H$6:$H$12,$AF865),0))</f>
        <v>6</v>
      </c>
      <c r="AE865" s="23" t="n">
        <f aca="false">MATCH($B865&amp;"|"&amp;$C865,Profils!$A$5:$A$34,0)</f>
        <v>28</v>
      </c>
      <c r="AF865" s="23" t="n">
        <v>5</v>
      </c>
      <c r="AG865" s="24" t="n">
        <f aca="false" t="array" ref="AG865:AG865">INDEX(Paramètres!$C$6:$C$12,$AF865)</f>
        <v>2.1</v>
      </c>
      <c r="AH865" s="23" t="n">
        <f aca="false" t="array" ref="AH865:AH865">INDEX(Paramètres!$D$6:$D$12,$AF865)</f>
        <v>6</v>
      </c>
      <c r="AI865" s="23" t="n">
        <f aca="false" t="array" ref="AI865:AI865">INDEX(Matériaux!$C$16:$C$20,$D865)</f>
        <v>25</v>
      </c>
      <c r="AJ865" s="25" t="n">
        <f aca="false">Paramètres!$B$16+(1-Paramètres!$B$16)*(($J865-Paramètres!$B$14)/(Paramètres!$B$15-Paramètres!$B$14))^Paramètres!$B$17</f>
        <v>0.458504333336152</v>
      </c>
    </row>
    <row r="866" customFormat="false" ht="15.75" hidden="false" customHeight="true" outlineLevel="0" collapsed="false">
      <c r="A866" s="14" t="s">
        <v>982</v>
      </c>
      <c r="B866" s="15" t="s">
        <v>31</v>
      </c>
      <c r="C866" s="15" t="s">
        <v>337</v>
      </c>
      <c r="D866" s="16" t="n">
        <v>4</v>
      </c>
      <c r="E866" s="15" t="str">
        <f aca="false" t="array" ref="E866:E866">INDEX(Matériaux!$B$5:$F$12,MATCH(INDEX(Profils!$E$5:$E$34,$AE866),Matériaux!$A$5:$A$12,0),$D866)</f>
        <v>écailles</v>
      </c>
      <c r="F866" s="30" t="s">
        <v>119</v>
      </c>
      <c r="G866" s="10" t="str">
        <f aca="false" t="array" ref="G866:G866">INDEX(Profils!$D$5:$D$34,$AE866)&amp;" en "&amp;$E866</f>
        <v>Ceinture en écailles</v>
      </c>
      <c r="H866" s="16" t="n">
        <f aca="false" t="array" ref="H866:H866">INDEX(Matériaux!$B$16:$B$20,$D866)</f>
        <v>50</v>
      </c>
      <c r="I866" s="16" t="n">
        <f aca="false">IF(ISNUMBER($C$3),MIN(MAX(0,ROUND($C$3,0)),$AI866),$AI866)</f>
        <v>0</v>
      </c>
      <c r="J866" s="18" t="n">
        <f aca="false">$H866+$I866</f>
        <v>50</v>
      </c>
      <c r="K866" s="15" t="s">
        <v>109</v>
      </c>
      <c r="L866" s="19" t="n">
        <f aca="false" t="array" ref="L866:L866">IF(AND(INDEX(Profils!$F$5:$F$34,$AE866)&gt;0,INDEX(Profils!$U$5:$U$34,$AE866)&lt;=$AH866),ROUND(INDEX(Profils!$F$5:$F$34,$AE866)*Paramètres!$E$22*$AG866*$AJ866,Paramètres!$F$22),0)</f>
        <v>25</v>
      </c>
      <c r="M866" s="19" t="n">
        <f aca="false" t="array" ref="M866:M866">IF(AND(INDEX(Profils!$G$5:$G$34,$AE866)&gt;0,INDEX(Profils!$V$5:$V$34,$AE866)&lt;=$AH866),ROUND(INDEX(Profils!$G$5:$G$34,$AE866)*Paramètres!$E$23*$AG866*$AJ866,Paramètres!$F$23),0)</f>
        <v>0</v>
      </c>
      <c r="N866" s="19" t="n">
        <f aca="false" t="array" ref="N866:N866">IF(AND(INDEX(Profils!$H$5:$H$34,$AE866)&gt;0,INDEX(Profils!$W$5:$W$34,$AE866)&lt;=$AH866),ROUND(INDEX(Profils!$H$5:$H$34,$AE866)*Paramètres!$E$24*$AG866*$AJ866,Paramètres!$F$24),0)</f>
        <v>0</v>
      </c>
      <c r="O866" s="19" t="n">
        <f aca="false" t="array" ref="O866:O866">IF(AND(INDEX(Profils!$I$5:$I$34,$AE866)&gt;0,INDEX(Profils!$X$5:$X$34,$AE866)&lt;=$AH866),ROUND(INDEX(Profils!$I$5:$I$34,$AE866)*Paramètres!$E$25*$AG866*$AJ866,Paramètres!$F$25),0)</f>
        <v>0</v>
      </c>
      <c r="P866" s="19" t="n">
        <f aca="false" t="array" ref="P866:P866">IF(AND(INDEX(Profils!$J$5:$J$34,$AE866)&gt;0,INDEX(Profils!$Y$5:$Y$34,$AE866)&lt;=$AH866),ROUND(INDEX(Profils!$J$5:$J$34,$AE866)*Paramètres!$E$26*$AG866*$AJ866,Paramètres!$F$26),0)</f>
        <v>13</v>
      </c>
      <c r="Q866" s="19" t="n">
        <f aca="false" t="array" ref="Q866:Q866">IF(AND(INDEX(Profils!$K$5:$K$34,$AE866)&gt;0,INDEX(Profils!$Z$5:$Z$34,$AE866)&lt;=$AH866),ROUND(INDEX(Profils!$K$5:$K$34,$AE866)*Paramètres!$E$27*$AG866*$AJ866,Paramètres!$F$27),0)</f>
        <v>0</v>
      </c>
      <c r="R866" s="20" t="n">
        <f aca="false" t="array" ref="R866:R866">IF(AND(INDEX(Profils!$L$5:$L$34,$AE866)&gt;0,INDEX(Profils!$AA$5:$AA$34,$AE866)&lt;=$AH866),ROUND(INDEX(Profils!$L$5:$L$34,$AE866)*Paramètres!$E$28*$AG866*$AJ866,Paramètres!$F$28),0)</f>
        <v>0.017</v>
      </c>
      <c r="S866" s="20" t="n">
        <f aca="false" t="array" ref="S866:S866">IF(AND(INDEX(Profils!$M$5:$M$34,$AE866)&gt;0,INDEX(Profils!$AB$5:$AB$34,$AE866)&lt;=$AH866),ROUND(INDEX(Profils!$M$5:$M$34,$AE866)*Paramètres!$E$29*$AG866*$AJ866,Paramètres!$F$29),0)</f>
        <v>0.011</v>
      </c>
      <c r="T866" s="20" t="n">
        <f aca="false" t="array" ref="T866:T866">IF(AND(INDEX(Profils!$N$5:$N$34,$AE866)&gt;0,INDEX(Profils!$AC$5:$AC$34,$AE866)&lt;=$AH866),ROUND(INDEX(Profils!$N$5:$N$34,$AE866)*Paramètres!$E$30*$AG866*$AJ866,Paramètres!$F$30),0)</f>
        <v>0.026</v>
      </c>
      <c r="U866" s="19" t="n">
        <f aca="false" t="array" ref="U866:U866">IF(AND(INDEX(Profils!$O$5:$O$34,$AE866)&gt;0,INDEX(Profils!$AD$5:$AD$34,$AE866)&lt;=$AH866),ROUND(INDEX(Profils!$O$5:$O$34,$AE866)*Paramètres!$E$31*$AG866*$AJ866,Paramètres!$F$31),0)</f>
        <v>0</v>
      </c>
      <c r="V866" s="20" t="n">
        <f aca="false" t="array" ref="V866:V866">IF(AND(INDEX(Profils!$P$5:$P$34,$AE866)&gt;0,INDEX(Profils!$AE$5:$AE$34,$AE866)&lt;=$AH866),ROUND(INDEX(Profils!$P$5:$P$34,$AE866)*Paramètres!$E$32*$AG866*$AJ866,Paramètres!$F$32),0)</f>
        <v>0.01</v>
      </c>
      <c r="W866" s="20" t="n">
        <f aca="false" t="array" ref="W866:W866">IF(AND(INDEX(Profils!$Q$5:$Q$34,$AE866)&gt;0,INDEX(Profils!$AF$5:$AF$34,$AE866)&lt;=$AH866),ROUND(INDEX(Profils!$Q$5:$Q$34,$AE866)*Paramètres!$E$33*$AG866*$AJ866,Paramètres!$F$33),0)</f>
        <v>0</v>
      </c>
      <c r="X866" s="20" t="n">
        <f aca="false" t="array" ref="X866:X866">IF(AND(INDEX(Profils!$R$5:$R$34,$AE866)&gt;0,INDEX(Profils!$AG$5:$AG$34,$AE866)&lt;=$AH866),ROUND(INDEX(Profils!$R$5:$R$34,$AE866)*Paramètres!$E$34*$AG866*$AJ866,Paramètres!$F$34),0)</f>
        <v>0</v>
      </c>
      <c r="Y866" s="20" t="n">
        <f aca="false" t="array" ref="Y866:Y866">IF(AND(INDEX(Profils!$S$5:$S$34,$AE866)&gt;0,INDEX(Profils!$AH$5:$AH$34,$AE866)&lt;=$AH866),ROUND(INDEX(Profils!$S$5:$S$34,$AE866)*Paramètres!$E$35*$AG866*$AJ866,Paramètres!$F$35),0)</f>
        <v>0.008</v>
      </c>
      <c r="Z866" s="21" t="n">
        <f aca="false">ROUND(L866/Paramètres!$E$22+M866/Paramètres!$E$23+N866/Paramètres!$E$24+O866/Paramètres!$E$25+P866/Paramètres!$E$26+Q866/Paramètres!$E$27+R866/Paramètres!$E$28+S866/Paramètres!$E$29+T866/Paramètres!$E$30+U866/Paramètres!$E$31+V866/Paramètres!$E$32+W866/Paramètres!$E$33+X866/Paramètres!$E$34+Y866/Paramètres!$E$35,1)</f>
        <v>6.2</v>
      </c>
      <c r="AA866" s="22" t="s">
        <v>109</v>
      </c>
      <c r="AB866" s="22" t="s">
        <v>109</v>
      </c>
      <c r="AC866" s="15" t="str">
        <f aca="false">$E866</f>
        <v>écailles</v>
      </c>
      <c r="AD866" s="16" t="n">
        <f aca="false" t="array" ref="AD866:AD866">IF($I866&gt;=$AI866,"Max",ROUND(Paramètres!$B$40*($I866+1)^Paramètres!$B$41*INDEX(Paramètres!$H$6:$H$12,$AF866),0))</f>
        <v>8</v>
      </c>
      <c r="AE866" s="23" t="n">
        <f aca="false">MATCH($B866&amp;"|"&amp;$C866,Profils!$A$5:$A$34,0)</f>
        <v>28</v>
      </c>
      <c r="AF866" s="23" t="n">
        <v>6</v>
      </c>
      <c r="AG866" s="24" t="n">
        <f aca="false" t="array" ref="AG866:AG866">INDEX(Paramètres!$C$6:$C$12,$AF866)</f>
        <v>2.4</v>
      </c>
      <c r="AH866" s="23" t="n">
        <f aca="false" t="array" ref="AH866:AH866">INDEX(Paramètres!$D$6:$D$12,$AF866)</f>
        <v>7</v>
      </c>
      <c r="AI866" s="23" t="n">
        <f aca="false" t="array" ref="AI866:AI866">INDEX(Matériaux!$C$16:$C$20,$D866)</f>
        <v>25</v>
      </c>
      <c r="AJ866" s="25" t="n">
        <f aca="false">Paramètres!$B$16+(1-Paramètres!$B$16)*(($J866-Paramètres!$B$14)/(Paramètres!$B$15-Paramètres!$B$14))^Paramètres!$B$17</f>
        <v>0.458504333336152</v>
      </c>
    </row>
    <row r="867" customFormat="false" ht="15.75" hidden="false" customHeight="true" outlineLevel="0" collapsed="false">
      <c r="A867" s="14" t="s">
        <v>983</v>
      </c>
      <c r="B867" s="15" t="s">
        <v>31</v>
      </c>
      <c r="C867" s="15" t="s">
        <v>337</v>
      </c>
      <c r="D867" s="16" t="n">
        <v>5</v>
      </c>
      <c r="E867" s="15" t="str">
        <f aca="false" t="array" ref="E867:E867">INDEX(Matériaux!$B$5:$F$12,MATCH(INDEX(Profils!$E$5:$E$34,$AE867),Matériaux!$A$5:$A$12,0),$D867)</f>
        <v>peau de dragon</v>
      </c>
      <c r="F867" s="17" t="s">
        <v>108</v>
      </c>
      <c r="G867" s="10" t="str">
        <f aca="false" t="array" ref="G867:G867">INDEX(Profils!$D$5:$D$34,$AE867)&amp;" en "&amp;$E867</f>
        <v>Ceinture en peau de dragon</v>
      </c>
      <c r="H867" s="16" t="n">
        <f aca="false" t="array" ref="H867:H867">INDEX(Matériaux!$B$16:$B$20,$D867)</f>
        <v>70</v>
      </c>
      <c r="I867" s="16" t="n">
        <f aca="false">IF(ISNUMBER($C$3),MIN(MAX(0,ROUND($C$3,0)),$AI867),$AI867)</f>
        <v>0</v>
      </c>
      <c r="J867" s="18" t="n">
        <f aca="false">$H867+$I867</f>
        <v>70</v>
      </c>
      <c r="K867" s="15" t="s">
        <v>109</v>
      </c>
      <c r="L867" s="19" t="n">
        <f aca="false" t="array" ref="L867:L867">IF(AND(INDEX(Profils!$F$5:$F$34,$AE867)&gt;0,INDEX(Profils!$U$5:$U$34,$AE867)&lt;=$AH867),ROUND(INDEX(Profils!$F$5:$F$34,$AE867)*Paramètres!$E$22*$AG867*$AJ867,Paramètres!$F$22),0)</f>
        <v>0</v>
      </c>
      <c r="M867" s="19" t="n">
        <f aca="false" t="array" ref="M867:M867">IF(AND(INDEX(Profils!$G$5:$G$34,$AE867)&gt;0,INDEX(Profils!$V$5:$V$34,$AE867)&lt;=$AH867),ROUND(INDEX(Profils!$G$5:$G$34,$AE867)*Paramètres!$E$23*$AG867*$AJ867,Paramètres!$F$23),0)</f>
        <v>0</v>
      </c>
      <c r="N867" s="19" t="n">
        <f aca="false" t="array" ref="N867:N867">IF(AND(INDEX(Profils!$H$5:$H$34,$AE867)&gt;0,INDEX(Profils!$W$5:$W$34,$AE867)&lt;=$AH867),ROUND(INDEX(Profils!$H$5:$H$34,$AE867)*Paramètres!$E$24*$AG867*$AJ867,Paramètres!$F$24),0)</f>
        <v>0</v>
      </c>
      <c r="O867" s="19" t="n">
        <f aca="false" t="array" ref="O867:O867">IF(AND(INDEX(Profils!$I$5:$I$34,$AE867)&gt;0,INDEX(Profils!$X$5:$X$34,$AE867)&lt;=$AH867),ROUND(INDEX(Profils!$I$5:$I$34,$AE867)*Paramètres!$E$25*$AG867*$AJ867,Paramètres!$F$25),0)</f>
        <v>0</v>
      </c>
      <c r="P867" s="19" t="n">
        <f aca="false" t="array" ref="P867:P867">IF(AND(INDEX(Profils!$J$5:$J$34,$AE867)&gt;0,INDEX(Profils!$Y$5:$Y$34,$AE867)&lt;=$AH867),ROUND(INDEX(Profils!$J$5:$J$34,$AE867)*Paramètres!$E$26*$AG867*$AJ867,Paramètres!$F$26),0)</f>
        <v>8</v>
      </c>
      <c r="Q867" s="19" t="n">
        <f aca="false" t="array" ref="Q867:Q867">IF(AND(INDEX(Profils!$K$5:$K$34,$AE867)&gt;0,INDEX(Profils!$Z$5:$Z$34,$AE867)&lt;=$AH867),ROUND(INDEX(Profils!$K$5:$K$34,$AE867)*Paramètres!$E$27*$AG867*$AJ867,Paramètres!$F$27),0)</f>
        <v>0</v>
      </c>
      <c r="R867" s="20" t="n">
        <f aca="false" t="array" ref="R867:R867">IF(AND(INDEX(Profils!$L$5:$L$34,$AE867)&gt;0,INDEX(Profils!$AA$5:$AA$34,$AE867)&lt;=$AH867),ROUND(INDEX(Profils!$L$5:$L$34,$AE867)*Paramètres!$E$28*$AG867*$AJ867,Paramètres!$F$28),0)</f>
        <v>0.01</v>
      </c>
      <c r="S867" s="20" t="n">
        <f aca="false" t="array" ref="S867:S867">IF(AND(INDEX(Profils!$M$5:$M$34,$AE867)&gt;0,INDEX(Profils!$AB$5:$AB$34,$AE867)&lt;=$AH867),ROUND(INDEX(Profils!$M$5:$M$34,$AE867)*Paramètres!$E$29*$AG867*$AJ867,Paramètres!$F$29),0)</f>
        <v>0</v>
      </c>
      <c r="T867" s="20" t="n">
        <f aca="false" t="array" ref="T867:T867">IF(AND(INDEX(Profils!$N$5:$N$34,$AE867)&gt;0,INDEX(Profils!$AC$5:$AC$34,$AE867)&lt;=$AH867),ROUND(INDEX(Profils!$N$5:$N$34,$AE867)*Paramètres!$E$30*$AG867*$AJ867,Paramètres!$F$30),0)</f>
        <v>0</v>
      </c>
      <c r="U867" s="19" t="n">
        <f aca="false" t="array" ref="U867:U867">IF(AND(INDEX(Profils!$O$5:$O$34,$AE867)&gt;0,INDEX(Profils!$AD$5:$AD$34,$AE867)&lt;=$AH867),ROUND(INDEX(Profils!$O$5:$O$34,$AE867)*Paramètres!$E$31*$AG867*$AJ867,Paramètres!$F$31),0)</f>
        <v>0</v>
      </c>
      <c r="V867" s="20" t="n">
        <f aca="false" t="array" ref="V867:V867">IF(AND(INDEX(Profils!$P$5:$P$34,$AE867)&gt;0,INDEX(Profils!$AE$5:$AE$34,$AE867)&lt;=$AH867),ROUND(INDEX(Profils!$P$5:$P$34,$AE867)*Paramètres!$E$32*$AG867*$AJ867,Paramètres!$F$32),0)</f>
        <v>0</v>
      </c>
      <c r="W867" s="20" t="n">
        <f aca="false" t="array" ref="W867:W867">IF(AND(INDEX(Profils!$Q$5:$Q$34,$AE867)&gt;0,INDEX(Profils!$AF$5:$AF$34,$AE867)&lt;=$AH867),ROUND(INDEX(Profils!$Q$5:$Q$34,$AE867)*Paramètres!$E$33*$AG867*$AJ867,Paramètres!$F$33),0)</f>
        <v>0</v>
      </c>
      <c r="X867" s="20" t="n">
        <f aca="false" t="array" ref="X867:X867">IF(AND(INDEX(Profils!$R$5:$R$34,$AE867)&gt;0,INDEX(Profils!$AG$5:$AG$34,$AE867)&lt;=$AH867),ROUND(INDEX(Profils!$R$5:$R$34,$AE867)*Paramètres!$E$34*$AG867*$AJ867,Paramètres!$F$34),0)</f>
        <v>0</v>
      </c>
      <c r="Y867" s="20" t="n">
        <f aca="false" t="array" ref="Y867:Y867">IF(AND(INDEX(Profils!$S$5:$S$34,$AE867)&gt;0,INDEX(Profils!$AH$5:$AH$34,$AE867)&lt;=$AH867),ROUND(INDEX(Profils!$S$5:$S$34,$AE867)*Paramètres!$E$35*$AG867*$AJ867,Paramètres!$F$35),0)</f>
        <v>0</v>
      </c>
      <c r="Z867" s="21" t="n">
        <f aca="false">ROUND(L867/Paramètres!$E$22+M867/Paramètres!$E$23+N867/Paramètres!$E$24+O867/Paramètres!$E$25+P867/Paramètres!$E$26+Q867/Paramètres!$E$27+R867/Paramètres!$E$28+S867/Paramètres!$E$29+T867/Paramètres!$E$30+U867/Paramètres!$E$31+V867/Paramètres!$E$32+W867/Paramètres!$E$33+X867/Paramètres!$E$34+Y867/Paramètres!$E$35,1)</f>
        <v>1.3</v>
      </c>
      <c r="AA867" s="22" t="s">
        <v>109</v>
      </c>
      <c r="AB867" s="22" t="s">
        <v>109</v>
      </c>
      <c r="AC867" s="15" t="str">
        <f aca="false">$E867</f>
        <v>peau de dragon</v>
      </c>
      <c r="AD867" s="16" t="n">
        <f aca="false" t="array" ref="AD867:AD867">IF($I867&gt;=$AI867,"Max",ROUND(Paramètres!$B$40*($I867+1)^Paramètres!$B$41*INDEX(Paramètres!$H$6:$H$12,$AF867),0))</f>
        <v>3</v>
      </c>
      <c r="AE867" s="23" t="n">
        <f aca="false">MATCH($B867&amp;"|"&amp;$C867,Profils!$A$5:$A$34,0)</f>
        <v>28</v>
      </c>
      <c r="AF867" s="23" t="n">
        <v>1</v>
      </c>
      <c r="AG867" s="24" t="n">
        <f aca="false" t="array" ref="AG867:AG867">INDEX(Paramètres!$C$6:$C$12,$AF867)</f>
        <v>1</v>
      </c>
      <c r="AH867" s="23" t="n">
        <f aca="false" t="array" ref="AH867:AH867">INDEX(Paramètres!$D$6:$D$12,$AF867)</f>
        <v>2</v>
      </c>
      <c r="AI867" s="23" t="n">
        <f aca="false" t="array" ref="AI867:AI867">INDEX(Matériaux!$C$16:$C$20,$D867)</f>
        <v>30</v>
      </c>
      <c r="AJ867" s="25" t="n">
        <f aca="false">Paramètres!$B$16+(1-Paramètres!$B$16)*(($J867-Paramètres!$B$14)/(Paramètres!$B$15-Paramètres!$B$14))^Paramètres!$B$17</f>
        <v>0.665999387952727</v>
      </c>
    </row>
    <row r="868" customFormat="false" ht="15.75" hidden="false" customHeight="true" outlineLevel="0" collapsed="false">
      <c r="A868" s="14" t="s">
        <v>984</v>
      </c>
      <c r="B868" s="15" t="s">
        <v>31</v>
      </c>
      <c r="C868" s="15" t="s">
        <v>337</v>
      </c>
      <c r="D868" s="16" t="n">
        <v>5</v>
      </c>
      <c r="E868" s="15" t="str">
        <f aca="false" t="array" ref="E868:E868">INDEX(Matériaux!$B$5:$F$12,MATCH(INDEX(Profils!$E$5:$E$34,$AE868),Matériaux!$A$5:$A$12,0),$D868)</f>
        <v>peau de dragon</v>
      </c>
      <c r="F868" s="26" t="s">
        <v>111</v>
      </c>
      <c r="G868" s="10" t="str">
        <f aca="false" t="array" ref="G868:G868">INDEX(Profils!$D$5:$D$34,$AE868)&amp;" en "&amp;$E868</f>
        <v>Ceinture en peau de dragon</v>
      </c>
      <c r="H868" s="16" t="n">
        <f aca="false" t="array" ref="H868:H868">INDEX(Matériaux!$B$16:$B$20,$D868)</f>
        <v>70</v>
      </c>
      <c r="I868" s="16" t="n">
        <f aca="false">IF(ISNUMBER($C$3),MIN(MAX(0,ROUND($C$3,0)),$AI868),$AI868)</f>
        <v>0</v>
      </c>
      <c r="J868" s="18" t="n">
        <f aca="false">$H868+$I868</f>
        <v>70</v>
      </c>
      <c r="K868" s="15" t="s">
        <v>109</v>
      </c>
      <c r="L868" s="19" t="n">
        <f aca="false" t="array" ref="L868:L868">IF(AND(INDEX(Profils!$F$5:$F$34,$AE868)&gt;0,INDEX(Profils!$U$5:$U$34,$AE868)&lt;=$AH868),ROUND(INDEX(Profils!$F$5:$F$34,$AE868)*Paramètres!$E$22*$AG868*$AJ868,Paramètres!$F$22),0)</f>
        <v>18</v>
      </c>
      <c r="M868" s="19" t="n">
        <f aca="false" t="array" ref="M868:M868">IF(AND(INDEX(Profils!$G$5:$G$34,$AE868)&gt;0,INDEX(Profils!$V$5:$V$34,$AE868)&lt;=$AH868),ROUND(INDEX(Profils!$G$5:$G$34,$AE868)*Paramètres!$E$23*$AG868*$AJ868,Paramètres!$F$23),0)</f>
        <v>0</v>
      </c>
      <c r="N868" s="19" t="n">
        <f aca="false" t="array" ref="N868:N868">IF(AND(INDEX(Profils!$H$5:$H$34,$AE868)&gt;0,INDEX(Profils!$W$5:$W$34,$AE868)&lt;=$AH868),ROUND(INDEX(Profils!$H$5:$H$34,$AE868)*Paramètres!$E$24*$AG868*$AJ868,Paramètres!$F$24),0)</f>
        <v>0</v>
      </c>
      <c r="O868" s="19" t="n">
        <f aca="false" t="array" ref="O868:O868">IF(AND(INDEX(Profils!$I$5:$I$34,$AE868)&gt;0,INDEX(Profils!$X$5:$X$34,$AE868)&lt;=$AH868),ROUND(INDEX(Profils!$I$5:$I$34,$AE868)*Paramètres!$E$25*$AG868*$AJ868,Paramètres!$F$25),0)</f>
        <v>0</v>
      </c>
      <c r="P868" s="19" t="n">
        <f aca="false" t="array" ref="P868:P868">IF(AND(INDEX(Profils!$J$5:$J$34,$AE868)&gt;0,INDEX(Profils!$Y$5:$Y$34,$AE868)&lt;=$AH868),ROUND(INDEX(Profils!$J$5:$J$34,$AE868)*Paramètres!$E$26*$AG868*$AJ868,Paramètres!$F$26),0)</f>
        <v>10</v>
      </c>
      <c r="Q868" s="19" t="n">
        <f aca="false" t="array" ref="Q868:Q868">IF(AND(INDEX(Profils!$K$5:$K$34,$AE868)&gt;0,INDEX(Profils!$Z$5:$Z$34,$AE868)&lt;=$AH868),ROUND(INDEX(Profils!$K$5:$K$34,$AE868)*Paramètres!$E$27*$AG868*$AJ868,Paramètres!$F$27),0)</f>
        <v>0</v>
      </c>
      <c r="R868" s="20" t="n">
        <f aca="false" t="array" ref="R868:R868">IF(AND(INDEX(Profils!$L$5:$L$34,$AE868)&gt;0,INDEX(Profils!$AA$5:$AA$34,$AE868)&lt;=$AH868),ROUND(INDEX(Profils!$L$5:$L$34,$AE868)*Paramètres!$E$28*$AG868*$AJ868,Paramètres!$F$28),0)</f>
        <v>0.012</v>
      </c>
      <c r="S868" s="20" t="n">
        <f aca="false" t="array" ref="S868:S868">IF(AND(INDEX(Profils!$M$5:$M$34,$AE868)&gt;0,INDEX(Profils!$AB$5:$AB$34,$AE868)&lt;=$AH868),ROUND(INDEX(Profils!$M$5:$M$34,$AE868)*Paramètres!$E$29*$AG868*$AJ868,Paramètres!$F$29),0)</f>
        <v>0</v>
      </c>
      <c r="T868" s="20" t="n">
        <f aca="false" t="array" ref="T868:T868">IF(AND(INDEX(Profils!$N$5:$N$34,$AE868)&gt;0,INDEX(Profils!$AC$5:$AC$34,$AE868)&lt;=$AH868),ROUND(INDEX(Profils!$N$5:$N$34,$AE868)*Paramètres!$E$30*$AG868*$AJ868,Paramètres!$F$30),0)</f>
        <v>0</v>
      </c>
      <c r="U868" s="19" t="n">
        <f aca="false" t="array" ref="U868:U868">IF(AND(INDEX(Profils!$O$5:$O$34,$AE868)&gt;0,INDEX(Profils!$AD$5:$AD$34,$AE868)&lt;=$AH868),ROUND(INDEX(Profils!$O$5:$O$34,$AE868)*Paramètres!$E$31*$AG868*$AJ868,Paramètres!$F$31),0)</f>
        <v>0</v>
      </c>
      <c r="V868" s="20" t="n">
        <f aca="false" t="array" ref="V868:V868">IF(AND(INDEX(Profils!$P$5:$P$34,$AE868)&gt;0,INDEX(Profils!$AE$5:$AE$34,$AE868)&lt;=$AH868),ROUND(INDEX(Profils!$P$5:$P$34,$AE868)*Paramètres!$E$32*$AG868*$AJ868,Paramètres!$F$32),0)</f>
        <v>0</v>
      </c>
      <c r="W868" s="20" t="n">
        <f aca="false" t="array" ref="W868:W868">IF(AND(INDEX(Profils!$Q$5:$Q$34,$AE868)&gt;0,INDEX(Profils!$AF$5:$AF$34,$AE868)&lt;=$AH868),ROUND(INDEX(Profils!$Q$5:$Q$34,$AE868)*Paramètres!$E$33*$AG868*$AJ868,Paramètres!$F$33),0)</f>
        <v>0</v>
      </c>
      <c r="X868" s="20" t="n">
        <f aca="false" t="array" ref="X868:X868">IF(AND(INDEX(Profils!$R$5:$R$34,$AE868)&gt;0,INDEX(Profils!$AG$5:$AG$34,$AE868)&lt;=$AH868),ROUND(INDEX(Profils!$R$5:$R$34,$AE868)*Paramètres!$E$34*$AG868*$AJ868,Paramètres!$F$34),0)</f>
        <v>0</v>
      </c>
      <c r="Y868" s="20" t="n">
        <f aca="false" t="array" ref="Y868:Y868">IF(AND(INDEX(Profils!$S$5:$S$34,$AE868)&gt;0,INDEX(Profils!$AH$5:$AH$34,$AE868)&lt;=$AH868),ROUND(INDEX(Profils!$S$5:$S$34,$AE868)*Paramètres!$E$35*$AG868*$AJ868,Paramètres!$F$35),0)</f>
        <v>0</v>
      </c>
      <c r="Z868" s="21" t="n">
        <f aca="false">ROUND(L868/Paramètres!$E$22+M868/Paramètres!$E$23+N868/Paramètres!$E$24+O868/Paramètres!$E$25+P868/Paramètres!$E$26+Q868/Paramètres!$E$27+R868/Paramètres!$E$28+S868/Paramètres!$E$29+T868/Paramètres!$E$30+U868/Paramètres!$E$31+V868/Paramètres!$E$32+W868/Paramètres!$E$33+X868/Paramètres!$E$34+Y868/Paramètres!$E$35,1)</f>
        <v>2.4</v>
      </c>
      <c r="AA868" s="22" t="s">
        <v>109</v>
      </c>
      <c r="AB868" s="22" t="s">
        <v>109</v>
      </c>
      <c r="AC868" s="15" t="str">
        <f aca="false">$E868</f>
        <v>peau de dragon</v>
      </c>
      <c r="AD868" s="16" t="n">
        <f aca="false" t="array" ref="AD868:AD868">IF($I868&gt;=$AI868,"Max",ROUND(Paramètres!$B$40*($I868+1)^Paramètres!$B$41*INDEX(Paramètres!$H$6:$H$12,$AF868),0))</f>
        <v>4</v>
      </c>
      <c r="AE868" s="23" t="n">
        <f aca="false">MATCH($B868&amp;"|"&amp;$C868,Profils!$A$5:$A$34,0)</f>
        <v>28</v>
      </c>
      <c r="AF868" s="23" t="n">
        <v>2</v>
      </c>
      <c r="AG868" s="24" t="n">
        <f aca="false" t="array" ref="AG868:AG868">INDEX(Paramètres!$C$6:$C$12,$AF868)</f>
        <v>1.2</v>
      </c>
      <c r="AH868" s="23" t="n">
        <f aca="false" t="array" ref="AH868:AH868">INDEX(Paramètres!$D$6:$D$12,$AF868)</f>
        <v>3</v>
      </c>
      <c r="AI868" s="23" t="n">
        <f aca="false" t="array" ref="AI868:AI868">INDEX(Matériaux!$C$16:$C$20,$D868)</f>
        <v>30</v>
      </c>
      <c r="AJ868" s="25" t="n">
        <f aca="false">Paramètres!$B$16+(1-Paramètres!$B$16)*(($J868-Paramètres!$B$14)/(Paramètres!$B$15-Paramètres!$B$14))^Paramètres!$B$17</f>
        <v>0.665999387952727</v>
      </c>
    </row>
    <row r="869" customFormat="false" ht="15.75" hidden="false" customHeight="true" outlineLevel="0" collapsed="false">
      <c r="A869" s="14" t="s">
        <v>985</v>
      </c>
      <c r="B869" s="15" t="s">
        <v>31</v>
      </c>
      <c r="C869" s="15" t="s">
        <v>337</v>
      </c>
      <c r="D869" s="16" t="n">
        <v>5</v>
      </c>
      <c r="E869" s="15" t="str">
        <f aca="false" t="array" ref="E869:E869">INDEX(Matériaux!$B$5:$F$12,MATCH(INDEX(Profils!$E$5:$E$34,$AE869),Matériaux!$A$5:$A$12,0),$D869)</f>
        <v>peau de dragon</v>
      </c>
      <c r="F869" s="27" t="s">
        <v>113</v>
      </c>
      <c r="G869" s="10" t="str">
        <f aca="false" t="array" ref="G869:G869">INDEX(Profils!$D$5:$D$34,$AE869)&amp;" en "&amp;$E869</f>
        <v>Ceinture en peau de dragon</v>
      </c>
      <c r="H869" s="16" t="n">
        <f aca="false" t="array" ref="H869:H869">INDEX(Matériaux!$B$16:$B$20,$D869)</f>
        <v>70</v>
      </c>
      <c r="I869" s="16" t="n">
        <f aca="false">IF(ISNUMBER($C$3),MIN(MAX(0,ROUND($C$3,0)),$AI869),$AI869)</f>
        <v>0</v>
      </c>
      <c r="J869" s="18" t="n">
        <f aca="false">$H869+$I869</f>
        <v>70</v>
      </c>
      <c r="K869" s="15" t="s">
        <v>109</v>
      </c>
      <c r="L869" s="19" t="n">
        <f aca="false" t="array" ref="L869:L869">IF(AND(INDEX(Profils!$F$5:$F$34,$AE869)&gt;0,INDEX(Profils!$U$5:$U$34,$AE869)&lt;=$AH869),ROUND(INDEX(Profils!$F$5:$F$34,$AE869)*Paramètres!$E$22*$AG869*$AJ869,Paramètres!$F$22),0)</f>
        <v>22</v>
      </c>
      <c r="M869" s="19" t="n">
        <f aca="false" t="array" ref="M869:M869">IF(AND(INDEX(Profils!$G$5:$G$34,$AE869)&gt;0,INDEX(Profils!$V$5:$V$34,$AE869)&lt;=$AH869),ROUND(INDEX(Profils!$G$5:$G$34,$AE869)*Paramètres!$E$23*$AG869*$AJ869,Paramètres!$F$23),0)</f>
        <v>0</v>
      </c>
      <c r="N869" s="19" t="n">
        <f aca="false" t="array" ref="N869:N869">IF(AND(INDEX(Profils!$H$5:$H$34,$AE869)&gt;0,INDEX(Profils!$W$5:$W$34,$AE869)&lt;=$AH869),ROUND(INDEX(Profils!$H$5:$H$34,$AE869)*Paramètres!$E$24*$AG869*$AJ869,Paramètres!$F$24),0)</f>
        <v>0</v>
      </c>
      <c r="O869" s="19" t="n">
        <f aca="false" t="array" ref="O869:O869">IF(AND(INDEX(Profils!$I$5:$I$34,$AE869)&gt;0,INDEX(Profils!$X$5:$X$34,$AE869)&lt;=$AH869),ROUND(INDEX(Profils!$I$5:$I$34,$AE869)*Paramètres!$E$25*$AG869*$AJ869,Paramètres!$F$25),0)</f>
        <v>0</v>
      </c>
      <c r="P869" s="19" t="n">
        <f aca="false" t="array" ref="P869:P869">IF(AND(INDEX(Profils!$J$5:$J$34,$AE869)&gt;0,INDEX(Profils!$Y$5:$Y$34,$AE869)&lt;=$AH869),ROUND(INDEX(Profils!$J$5:$J$34,$AE869)*Paramètres!$E$26*$AG869*$AJ869,Paramètres!$F$26),0)</f>
        <v>12</v>
      </c>
      <c r="Q869" s="19" t="n">
        <f aca="false" t="array" ref="Q869:Q869">IF(AND(INDEX(Profils!$K$5:$K$34,$AE869)&gt;0,INDEX(Profils!$Z$5:$Z$34,$AE869)&lt;=$AH869),ROUND(INDEX(Profils!$K$5:$K$34,$AE869)*Paramètres!$E$27*$AG869*$AJ869,Paramètres!$F$27),0)</f>
        <v>0</v>
      </c>
      <c r="R869" s="20" t="n">
        <f aca="false" t="array" ref="R869:R869">IF(AND(INDEX(Profils!$L$5:$L$34,$AE869)&gt;0,INDEX(Profils!$AA$5:$AA$34,$AE869)&lt;=$AH869),ROUND(INDEX(Profils!$L$5:$L$34,$AE869)*Paramètres!$E$28*$AG869*$AJ869,Paramètres!$F$28),0)</f>
        <v>0.014</v>
      </c>
      <c r="S869" s="20" t="n">
        <f aca="false" t="array" ref="S869:S869">IF(AND(INDEX(Profils!$M$5:$M$34,$AE869)&gt;0,INDEX(Profils!$AB$5:$AB$34,$AE869)&lt;=$AH869),ROUND(INDEX(Profils!$M$5:$M$34,$AE869)*Paramètres!$E$29*$AG869*$AJ869,Paramètres!$F$29),0)</f>
        <v>0.009</v>
      </c>
      <c r="T869" s="20" t="n">
        <f aca="false" t="array" ref="T869:T869">IF(AND(INDEX(Profils!$N$5:$N$34,$AE869)&gt;0,INDEX(Profils!$AC$5:$AC$34,$AE869)&lt;=$AH869),ROUND(INDEX(Profils!$N$5:$N$34,$AE869)*Paramètres!$E$30*$AG869*$AJ869,Paramètres!$F$30),0)</f>
        <v>0</v>
      </c>
      <c r="U869" s="19" t="n">
        <f aca="false" t="array" ref="U869:U869">IF(AND(INDEX(Profils!$O$5:$O$34,$AE869)&gt;0,INDEX(Profils!$AD$5:$AD$34,$AE869)&lt;=$AH869),ROUND(INDEX(Profils!$O$5:$O$34,$AE869)*Paramètres!$E$31*$AG869*$AJ869,Paramètres!$F$31),0)</f>
        <v>0</v>
      </c>
      <c r="V869" s="20" t="n">
        <f aca="false" t="array" ref="V869:V869">IF(AND(INDEX(Profils!$P$5:$P$34,$AE869)&gt;0,INDEX(Profils!$AE$5:$AE$34,$AE869)&lt;=$AH869),ROUND(INDEX(Profils!$P$5:$P$34,$AE869)*Paramètres!$E$32*$AG869*$AJ869,Paramètres!$F$32),0)</f>
        <v>0</v>
      </c>
      <c r="W869" s="20" t="n">
        <f aca="false" t="array" ref="W869:W869">IF(AND(INDEX(Profils!$Q$5:$Q$34,$AE869)&gt;0,INDEX(Profils!$AF$5:$AF$34,$AE869)&lt;=$AH869),ROUND(INDEX(Profils!$Q$5:$Q$34,$AE869)*Paramètres!$E$33*$AG869*$AJ869,Paramètres!$F$33),0)</f>
        <v>0</v>
      </c>
      <c r="X869" s="20" t="n">
        <f aca="false" t="array" ref="X869:X869">IF(AND(INDEX(Profils!$R$5:$R$34,$AE869)&gt;0,INDEX(Profils!$AG$5:$AG$34,$AE869)&lt;=$AH869),ROUND(INDEX(Profils!$R$5:$R$34,$AE869)*Paramètres!$E$34*$AG869*$AJ869,Paramètres!$F$34),0)</f>
        <v>0</v>
      </c>
      <c r="Y869" s="20" t="n">
        <f aca="false" t="array" ref="Y869:Y869">IF(AND(INDEX(Profils!$S$5:$S$34,$AE869)&gt;0,INDEX(Profils!$AH$5:$AH$34,$AE869)&lt;=$AH869),ROUND(INDEX(Profils!$S$5:$S$34,$AE869)*Paramètres!$E$35*$AG869*$AJ869,Paramètres!$F$35),0)</f>
        <v>0</v>
      </c>
      <c r="Z869" s="21" t="n">
        <f aca="false">ROUND(L869/Paramètres!$E$22+M869/Paramètres!$E$23+N869/Paramètres!$E$24+O869/Paramètres!$E$25+P869/Paramètres!$E$26+Q869/Paramètres!$E$27+R869/Paramètres!$E$28+S869/Paramètres!$E$29+T869/Paramètres!$E$30+U869/Paramètres!$E$31+V869/Paramètres!$E$32+W869/Paramètres!$E$33+X869/Paramètres!$E$34+Y869/Paramètres!$E$35,1)</f>
        <v>3.6</v>
      </c>
      <c r="AA869" s="22" t="s">
        <v>109</v>
      </c>
      <c r="AB869" s="22" t="s">
        <v>109</v>
      </c>
      <c r="AC869" s="15" t="str">
        <f aca="false">$E869</f>
        <v>peau de dragon</v>
      </c>
      <c r="AD869" s="16" t="n">
        <f aca="false" t="array" ref="AD869:AD869">IF($I869&gt;=$AI869,"Max",ROUND(Paramètres!$B$40*($I869+1)^Paramètres!$B$41*INDEX(Paramètres!$H$6:$H$12,$AF869),0))</f>
        <v>4</v>
      </c>
      <c r="AE869" s="23" t="n">
        <f aca="false">MATCH($B869&amp;"|"&amp;$C869,Profils!$A$5:$A$34,0)</f>
        <v>28</v>
      </c>
      <c r="AF869" s="23" t="n">
        <v>3</v>
      </c>
      <c r="AG869" s="24" t="n">
        <f aca="false" t="array" ref="AG869:AG869">INDEX(Paramètres!$C$6:$C$12,$AF869)</f>
        <v>1.45</v>
      </c>
      <c r="AH869" s="23" t="n">
        <f aca="false" t="array" ref="AH869:AH869">INDEX(Paramètres!$D$6:$D$12,$AF869)</f>
        <v>4</v>
      </c>
      <c r="AI869" s="23" t="n">
        <f aca="false" t="array" ref="AI869:AI869">INDEX(Matériaux!$C$16:$C$20,$D869)</f>
        <v>30</v>
      </c>
      <c r="AJ869" s="25" t="n">
        <f aca="false">Paramètres!$B$16+(1-Paramètres!$B$16)*(($J869-Paramètres!$B$14)/(Paramètres!$B$15-Paramètres!$B$14))^Paramètres!$B$17</f>
        <v>0.665999387952727</v>
      </c>
    </row>
    <row r="870" customFormat="false" ht="15.75" hidden="false" customHeight="true" outlineLevel="0" collapsed="false">
      <c r="A870" s="14" t="s">
        <v>986</v>
      </c>
      <c r="B870" s="15" t="s">
        <v>31</v>
      </c>
      <c r="C870" s="15" t="s">
        <v>337</v>
      </c>
      <c r="D870" s="16" t="n">
        <v>5</v>
      </c>
      <c r="E870" s="15" t="str">
        <f aca="false" t="array" ref="E870:E870">INDEX(Matériaux!$B$5:$F$12,MATCH(INDEX(Profils!$E$5:$E$34,$AE870),Matériaux!$A$5:$A$12,0),$D870)</f>
        <v>peau de dragon</v>
      </c>
      <c r="F870" s="28" t="s">
        <v>115</v>
      </c>
      <c r="G870" s="10" t="str">
        <f aca="false" t="array" ref="G870:G870">INDEX(Profils!$D$5:$D$34,$AE870)&amp;" en "&amp;$E870</f>
        <v>Ceinture en peau de dragon</v>
      </c>
      <c r="H870" s="16" t="n">
        <f aca="false" t="array" ref="H870:H870">INDEX(Matériaux!$B$16:$B$20,$D870)</f>
        <v>70</v>
      </c>
      <c r="I870" s="16" t="n">
        <f aca="false">IF(ISNUMBER($C$3),MIN(MAX(0,ROUND($C$3,0)),$AI870),$AI870)</f>
        <v>0</v>
      </c>
      <c r="J870" s="18" t="n">
        <f aca="false">$H870+$I870</f>
        <v>70</v>
      </c>
      <c r="K870" s="15" t="s">
        <v>109</v>
      </c>
      <c r="L870" s="19" t="n">
        <f aca="false" t="array" ref="L870:L870">IF(AND(INDEX(Profils!$F$5:$F$34,$AE870)&gt;0,INDEX(Profils!$U$5:$U$34,$AE870)&lt;=$AH870),ROUND(INDEX(Profils!$F$5:$F$34,$AE870)*Paramètres!$E$22*$AG870*$AJ870,Paramètres!$F$22),0)</f>
        <v>26</v>
      </c>
      <c r="M870" s="19" t="n">
        <f aca="false" t="array" ref="M870:M870">IF(AND(INDEX(Profils!$G$5:$G$34,$AE870)&gt;0,INDEX(Profils!$V$5:$V$34,$AE870)&lt;=$AH870),ROUND(INDEX(Profils!$G$5:$G$34,$AE870)*Paramètres!$E$23*$AG870*$AJ870,Paramètres!$F$23),0)</f>
        <v>0</v>
      </c>
      <c r="N870" s="19" t="n">
        <f aca="false" t="array" ref="N870:N870">IF(AND(INDEX(Profils!$H$5:$H$34,$AE870)&gt;0,INDEX(Profils!$W$5:$W$34,$AE870)&lt;=$AH870),ROUND(INDEX(Profils!$H$5:$H$34,$AE870)*Paramètres!$E$24*$AG870*$AJ870,Paramètres!$F$24),0)</f>
        <v>0</v>
      </c>
      <c r="O870" s="19" t="n">
        <f aca="false" t="array" ref="O870:O870">IF(AND(INDEX(Profils!$I$5:$I$34,$AE870)&gt;0,INDEX(Profils!$X$5:$X$34,$AE870)&lt;=$AH870),ROUND(INDEX(Profils!$I$5:$I$34,$AE870)*Paramètres!$E$25*$AG870*$AJ870,Paramètres!$F$25),0)</f>
        <v>0</v>
      </c>
      <c r="P870" s="19" t="n">
        <f aca="false" t="array" ref="P870:P870">IF(AND(INDEX(Profils!$J$5:$J$34,$AE870)&gt;0,INDEX(Profils!$Y$5:$Y$34,$AE870)&lt;=$AH870),ROUND(INDEX(Profils!$J$5:$J$34,$AE870)*Paramètres!$E$26*$AG870*$AJ870,Paramètres!$F$26),0)</f>
        <v>14</v>
      </c>
      <c r="Q870" s="19" t="n">
        <f aca="false" t="array" ref="Q870:Q870">IF(AND(INDEX(Profils!$K$5:$K$34,$AE870)&gt;0,INDEX(Profils!$Z$5:$Z$34,$AE870)&lt;=$AH870),ROUND(INDEX(Profils!$K$5:$K$34,$AE870)*Paramètres!$E$27*$AG870*$AJ870,Paramètres!$F$27),0)</f>
        <v>0</v>
      </c>
      <c r="R870" s="20" t="n">
        <f aca="false" t="array" ref="R870:R870">IF(AND(INDEX(Profils!$L$5:$L$34,$AE870)&gt;0,INDEX(Profils!$AA$5:$AA$34,$AE870)&lt;=$AH870),ROUND(INDEX(Profils!$L$5:$L$34,$AE870)*Paramètres!$E$28*$AG870*$AJ870,Paramètres!$F$28),0)</f>
        <v>0.017</v>
      </c>
      <c r="S870" s="20" t="n">
        <f aca="false" t="array" ref="S870:S870">IF(AND(INDEX(Profils!$M$5:$M$34,$AE870)&gt;0,INDEX(Profils!$AB$5:$AB$34,$AE870)&lt;=$AH870),ROUND(INDEX(Profils!$M$5:$M$34,$AE870)*Paramètres!$E$29*$AG870*$AJ870,Paramètres!$F$29),0)</f>
        <v>0.011</v>
      </c>
      <c r="T870" s="20" t="n">
        <f aca="false" t="array" ref="T870:T870">IF(AND(INDEX(Profils!$N$5:$N$34,$AE870)&gt;0,INDEX(Profils!$AC$5:$AC$34,$AE870)&lt;=$AH870),ROUND(INDEX(Profils!$N$5:$N$34,$AE870)*Paramètres!$E$30*$AG870*$AJ870,Paramètres!$F$30),0)</f>
        <v>0.028</v>
      </c>
      <c r="U870" s="19" t="n">
        <f aca="false" t="array" ref="U870:U870">IF(AND(INDEX(Profils!$O$5:$O$34,$AE870)&gt;0,INDEX(Profils!$AD$5:$AD$34,$AE870)&lt;=$AH870),ROUND(INDEX(Profils!$O$5:$O$34,$AE870)*Paramètres!$E$31*$AG870*$AJ870,Paramètres!$F$31),0)</f>
        <v>0</v>
      </c>
      <c r="V870" s="20" t="n">
        <f aca="false" t="array" ref="V870:V870">IF(AND(INDEX(Profils!$P$5:$P$34,$AE870)&gt;0,INDEX(Profils!$AE$5:$AE$34,$AE870)&lt;=$AH870),ROUND(INDEX(Profils!$P$5:$P$34,$AE870)*Paramètres!$E$32*$AG870*$AJ870,Paramètres!$F$32),0)</f>
        <v>0</v>
      </c>
      <c r="W870" s="20" t="n">
        <f aca="false" t="array" ref="W870:W870">IF(AND(INDEX(Profils!$Q$5:$Q$34,$AE870)&gt;0,INDEX(Profils!$AF$5:$AF$34,$AE870)&lt;=$AH870),ROUND(INDEX(Profils!$Q$5:$Q$34,$AE870)*Paramètres!$E$33*$AG870*$AJ870,Paramètres!$F$33),0)</f>
        <v>0</v>
      </c>
      <c r="X870" s="20" t="n">
        <f aca="false" t="array" ref="X870:X870">IF(AND(INDEX(Profils!$R$5:$R$34,$AE870)&gt;0,INDEX(Profils!$AG$5:$AG$34,$AE870)&lt;=$AH870),ROUND(INDEX(Profils!$R$5:$R$34,$AE870)*Paramètres!$E$34*$AG870*$AJ870,Paramètres!$F$34),0)</f>
        <v>0</v>
      </c>
      <c r="Y870" s="20" t="n">
        <f aca="false" t="array" ref="Y870:Y870">IF(AND(INDEX(Profils!$S$5:$S$34,$AE870)&gt;0,INDEX(Profils!$AH$5:$AH$34,$AE870)&lt;=$AH870),ROUND(INDEX(Profils!$S$5:$S$34,$AE870)*Paramètres!$E$35*$AG870*$AJ870,Paramètres!$F$35),0)</f>
        <v>0</v>
      </c>
      <c r="Z870" s="21" t="n">
        <f aca="false">ROUND(L870/Paramètres!$E$22+M870/Paramètres!$E$23+N870/Paramètres!$E$24+O870/Paramètres!$E$25+P870/Paramètres!$E$26+Q870/Paramètres!$E$27+R870/Paramètres!$E$28+S870/Paramètres!$E$29+T870/Paramètres!$E$30+U870/Paramètres!$E$31+V870/Paramètres!$E$32+W870/Paramètres!$E$33+X870/Paramètres!$E$34+Y870/Paramètres!$E$35,1)</f>
        <v>5.2</v>
      </c>
      <c r="AA870" s="22" t="s">
        <v>109</v>
      </c>
      <c r="AB870" s="22" t="s">
        <v>109</v>
      </c>
      <c r="AC870" s="15" t="str">
        <f aca="false">$E870</f>
        <v>peau de dragon</v>
      </c>
      <c r="AD870" s="16" t="n">
        <f aca="false" t="array" ref="AD870:AD870">IF($I870&gt;=$AI870,"Max",ROUND(Paramètres!$B$40*($I870+1)^Paramètres!$B$41*INDEX(Paramètres!$H$6:$H$12,$AF870),0))</f>
        <v>5</v>
      </c>
      <c r="AE870" s="23" t="n">
        <f aca="false">MATCH($B870&amp;"|"&amp;$C870,Profils!$A$5:$A$34,0)</f>
        <v>28</v>
      </c>
      <c r="AF870" s="23" t="n">
        <v>4</v>
      </c>
      <c r="AG870" s="24" t="n">
        <f aca="false" t="array" ref="AG870:AG870">INDEX(Paramètres!$C$6:$C$12,$AF870)</f>
        <v>1.75</v>
      </c>
      <c r="AH870" s="23" t="n">
        <f aca="false" t="array" ref="AH870:AH870">INDEX(Paramètres!$D$6:$D$12,$AF870)</f>
        <v>5</v>
      </c>
      <c r="AI870" s="23" t="n">
        <f aca="false" t="array" ref="AI870:AI870">INDEX(Matériaux!$C$16:$C$20,$D870)</f>
        <v>30</v>
      </c>
      <c r="AJ870" s="25" t="n">
        <f aca="false">Paramètres!$B$16+(1-Paramètres!$B$16)*(($J870-Paramètres!$B$14)/(Paramètres!$B$15-Paramètres!$B$14))^Paramètres!$B$17</f>
        <v>0.665999387952727</v>
      </c>
    </row>
    <row r="871" customFormat="false" ht="15.75" hidden="false" customHeight="true" outlineLevel="0" collapsed="false">
      <c r="A871" s="14" t="s">
        <v>987</v>
      </c>
      <c r="B871" s="15" t="s">
        <v>31</v>
      </c>
      <c r="C871" s="15" t="s">
        <v>337</v>
      </c>
      <c r="D871" s="16" t="n">
        <v>5</v>
      </c>
      <c r="E871" s="15" t="str">
        <f aca="false" t="array" ref="E871:E871">INDEX(Matériaux!$B$5:$F$12,MATCH(INDEX(Profils!$E$5:$E$34,$AE871),Matériaux!$A$5:$A$12,0),$D871)</f>
        <v>peau de dragon</v>
      </c>
      <c r="F871" s="29" t="s">
        <v>117</v>
      </c>
      <c r="G871" s="10" t="str">
        <f aca="false" t="array" ref="G871:G871">INDEX(Profils!$D$5:$D$34,$AE871)&amp;" en "&amp;$E871</f>
        <v>Ceinture en peau de dragon</v>
      </c>
      <c r="H871" s="16" t="n">
        <f aca="false" t="array" ref="H871:H871">INDEX(Matériaux!$B$16:$B$20,$D871)</f>
        <v>70</v>
      </c>
      <c r="I871" s="16" t="n">
        <f aca="false">IF(ISNUMBER($C$3),MIN(MAX(0,ROUND($C$3,0)),$AI871),$AI871)</f>
        <v>0</v>
      </c>
      <c r="J871" s="18" t="n">
        <f aca="false">$H871+$I871</f>
        <v>70</v>
      </c>
      <c r="K871" s="15" t="s">
        <v>109</v>
      </c>
      <c r="L871" s="19" t="n">
        <f aca="false" t="array" ref="L871:L871">IF(AND(INDEX(Profils!$F$5:$F$34,$AE871)&gt;0,INDEX(Profils!$U$5:$U$34,$AE871)&lt;=$AH871),ROUND(INDEX(Profils!$F$5:$F$34,$AE871)*Paramètres!$E$22*$AG871*$AJ871,Paramètres!$F$22),0)</f>
        <v>31</v>
      </c>
      <c r="M871" s="19" t="n">
        <f aca="false" t="array" ref="M871:M871">IF(AND(INDEX(Profils!$G$5:$G$34,$AE871)&gt;0,INDEX(Profils!$V$5:$V$34,$AE871)&lt;=$AH871),ROUND(INDEX(Profils!$G$5:$G$34,$AE871)*Paramètres!$E$23*$AG871*$AJ871,Paramètres!$F$23),0)</f>
        <v>0</v>
      </c>
      <c r="N871" s="19" t="n">
        <f aca="false" t="array" ref="N871:N871">IF(AND(INDEX(Profils!$H$5:$H$34,$AE871)&gt;0,INDEX(Profils!$W$5:$W$34,$AE871)&lt;=$AH871),ROUND(INDEX(Profils!$H$5:$H$34,$AE871)*Paramètres!$E$24*$AG871*$AJ871,Paramètres!$F$24),0)</f>
        <v>0</v>
      </c>
      <c r="O871" s="19" t="n">
        <f aca="false" t="array" ref="O871:O871">IF(AND(INDEX(Profils!$I$5:$I$34,$AE871)&gt;0,INDEX(Profils!$X$5:$X$34,$AE871)&lt;=$AH871),ROUND(INDEX(Profils!$I$5:$I$34,$AE871)*Paramètres!$E$25*$AG871*$AJ871,Paramètres!$F$25),0)</f>
        <v>0</v>
      </c>
      <c r="P871" s="19" t="n">
        <f aca="false" t="array" ref="P871:P871">IF(AND(INDEX(Profils!$J$5:$J$34,$AE871)&gt;0,INDEX(Profils!$Y$5:$Y$34,$AE871)&lt;=$AH871),ROUND(INDEX(Profils!$J$5:$J$34,$AE871)*Paramètres!$E$26*$AG871*$AJ871,Paramètres!$F$26),0)</f>
        <v>17</v>
      </c>
      <c r="Q871" s="19" t="n">
        <f aca="false" t="array" ref="Q871:Q871">IF(AND(INDEX(Profils!$K$5:$K$34,$AE871)&gt;0,INDEX(Profils!$Z$5:$Z$34,$AE871)&lt;=$AH871),ROUND(INDEX(Profils!$K$5:$K$34,$AE871)*Paramètres!$E$27*$AG871*$AJ871,Paramètres!$F$27),0)</f>
        <v>0</v>
      </c>
      <c r="R871" s="20" t="n">
        <f aca="false" t="array" ref="R871:R871">IF(AND(INDEX(Profils!$L$5:$L$34,$AE871)&gt;0,INDEX(Profils!$AA$5:$AA$34,$AE871)&lt;=$AH871),ROUND(INDEX(Profils!$L$5:$L$34,$AE871)*Paramètres!$E$28*$AG871*$AJ871,Paramètres!$F$28),0)</f>
        <v>0.021</v>
      </c>
      <c r="S871" s="20" t="n">
        <f aca="false" t="array" ref="S871:S871">IF(AND(INDEX(Profils!$M$5:$M$34,$AE871)&gt;0,INDEX(Profils!$AB$5:$AB$34,$AE871)&lt;=$AH871),ROUND(INDEX(Profils!$M$5:$M$34,$AE871)*Paramètres!$E$29*$AG871*$AJ871,Paramètres!$F$29),0)</f>
        <v>0.013</v>
      </c>
      <c r="T871" s="20" t="n">
        <f aca="false" t="array" ref="T871:T871">IF(AND(INDEX(Profils!$N$5:$N$34,$AE871)&gt;0,INDEX(Profils!$AC$5:$AC$34,$AE871)&lt;=$AH871),ROUND(INDEX(Profils!$N$5:$N$34,$AE871)*Paramètres!$E$30*$AG871*$AJ871,Paramètres!$F$30),0)</f>
        <v>0.034</v>
      </c>
      <c r="U871" s="19" t="n">
        <f aca="false" t="array" ref="U871:U871">IF(AND(INDEX(Profils!$O$5:$O$34,$AE871)&gt;0,INDEX(Profils!$AD$5:$AD$34,$AE871)&lt;=$AH871),ROUND(INDEX(Profils!$O$5:$O$34,$AE871)*Paramètres!$E$31*$AG871*$AJ871,Paramètres!$F$31),0)</f>
        <v>0</v>
      </c>
      <c r="V871" s="20" t="n">
        <f aca="false" t="array" ref="V871:V871">IF(AND(INDEX(Profils!$P$5:$P$34,$AE871)&gt;0,INDEX(Profils!$AE$5:$AE$34,$AE871)&lt;=$AH871),ROUND(INDEX(Profils!$P$5:$P$34,$AE871)*Paramètres!$E$32*$AG871*$AJ871,Paramètres!$F$32),0)</f>
        <v>0.013</v>
      </c>
      <c r="W871" s="20" t="n">
        <f aca="false" t="array" ref="W871:W871">IF(AND(INDEX(Profils!$Q$5:$Q$34,$AE871)&gt;0,INDEX(Profils!$AF$5:$AF$34,$AE871)&lt;=$AH871),ROUND(INDEX(Profils!$Q$5:$Q$34,$AE871)*Paramètres!$E$33*$AG871*$AJ871,Paramètres!$F$33),0)</f>
        <v>0</v>
      </c>
      <c r="X871" s="20" t="n">
        <f aca="false" t="array" ref="X871:X871">IF(AND(INDEX(Profils!$R$5:$R$34,$AE871)&gt;0,INDEX(Profils!$AG$5:$AG$34,$AE871)&lt;=$AH871),ROUND(INDEX(Profils!$R$5:$R$34,$AE871)*Paramètres!$E$34*$AG871*$AJ871,Paramètres!$F$34),0)</f>
        <v>0</v>
      </c>
      <c r="Y871" s="20" t="n">
        <f aca="false" t="array" ref="Y871:Y871">IF(AND(INDEX(Profils!$S$5:$S$34,$AE871)&gt;0,INDEX(Profils!$AH$5:$AH$34,$AE871)&lt;=$AH871),ROUND(INDEX(Profils!$S$5:$S$34,$AE871)*Paramètres!$E$35*$AG871*$AJ871,Paramètres!$F$35),0)</f>
        <v>0</v>
      </c>
      <c r="Z871" s="21" t="n">
        <f aca="false">ROUND(L871/Paramètres!$E$22+M871/Paramètres!$E$23+N871/Paramètres!$E$24+O871/Paramètres!$E$25+P871/Paramètres!$E$26+Q871/Paramètres!$E$27+R871/Paramètres!$E$28+S871/Paramètres!$E$29+T871/Paramètres!$E$30+U871/Paramètres!$E$31+V871/Paramètres!$E$32+W871/Paramètres!$E$33+X871/Paramètres!$E$34+Y871/Paramètres!$E$35,1)</f>
        <v>7.1</v>
      </c>
      <c r="AA871" s="22" t="s">
        <v>109</v>
      </c>
      <c r="AB871" s="22" t="s">
        <v>109</v>
      </c>
      <c r="AC871" s="15" t="str">
        <f aca="false">$E871</f>
        <v>peau de dragon</v>
      </c>
      <c r="AD871" s="16" t="n">
        <f aca="false" t="array" ref="AD871:AD871">IF($I871&gt;=$AI871,"Max",ROUND(Paramètres!$B$40*($I871+1)^Paramètres!$B$41*INDEX(Paramètres!$H$6:$H$12,$AF871),0))</f>
        <v>6</v>
      </c>
      <c r="AE871" s="23" t="n">
        <f aca="false">MATCH($B871&amp;"|"&amp;$C871,Profils!$A$5:$A$34,0)</f>
        <v>28</v>
      </c>
      <c r="AF871" s="23" t="n">
        <v>5</v>
      </c>
      <c r="AG871" s="24" t="n">
        <f aca="false" t="array" ref="AG871:AG871">INDEX(Paramètres!$C$6:$C$12,$AF871)</f>
        <v>2.1</v>
      </c>
      <c r="AH871" s="23" t="n">
        <f aca="false" t="array" ref="AH871:AH871">INDEX(Paramètres!$D$6:$D$12,$AF871)</f>
        <v>6</v>
      </c>
      <c r="AI871" s="23" t="n">
        <f aca="false" t="array" ref="AI871:AI871">INDEX(Matériaux!$C$16:$C$20,$D871)</f>
        <v>30</v>
      </c>
      <c r="AJ871" s="25" t="n">
        <f aca="false">Paramètres!$B$16+(1-Paramètres!$B$16)*(($J871-Paramètres!$B$14)/(Paramètres!$B$15-Paramètres!$B$14))^Paramètres!$B$17</f>
        <v>0.665999387952727</v>
      </c>
    </row>
    <row r="872" customFormat="false" ht="15.75" hidden="false" customHeight="true" outlineLevel="0" collapsed="false">
      <c r="A872" s="14" t="s">
        <v>988</v>
      </c>
      <c r="B872" s="15" t="s">
        <v>31</v>
      </c>
      <c r="C872" s="15" t="s">
        <v>337</v>
      </c>
      <c r="D872" s="16" t="n">
        <v>5</v>
      </c>
      <c r="E872" s="15" t="str">
        <f aca="false" t="array" ref="E872:E872">INDEX(Matériaux!$B$5:$F$12,MATCH(INDEX(Profils!$E$5:$E$34,$AE872),Matériaux!$A$5:$A$12,0),$D872)</f>
        <v>peau de dragon</v>
      </c>
      <c r="F872" s="30" t="s">
        <v>119</v>
      </c>
      <c r="G872" s="10" t="str">
        <f aca="false" t="array" ref="G872:G872">INDEX(Profils!$D$5:$D$34,$AE872)&amp;" en "&amp;$E872</f>
        <v>Ceinture en peau de dragon</v>
      </c>
      <c r="H872" s="16" t="n">
        <f aca="false" t="array" ref="H872:H872">INDEX(Matériaux!$B$16:$B$20,$D872)</f>
        <v>70</v>
      </c>
      <c r="I872" s="16" t="n">
        <f aca="false">IF(ISNUMBER($C$3),MIN(MAX(0,ROUND($C$3,0)),$AI872),$AI872)</f>
        <v>0</v>
      </c>
      <c r="J872" s="18" t="n">
        <f aca="false">$H872+$I872</f>
        <v>70</v>
      </c>
      <c r="K872" s="15" t="s">
        <v>109</v>
      </c>
      <c r="L872" s="19" t="n">
        <f aca="false" t="array" ref="L872:L872">IF(AND(INDEX(Profils!$F$5:$F$34,$AE872)&gt;0,INDEX(Profils!$U$5:$U$34,$AE872)&lt;=$AH872),ROUND(INDEX(Profils!$F$5:$F$34,$AE872)*Paramètres!$E$22*$AG872*$AJ872,Paramètres!$F$22),0)</f>
        <v>36</v>
      </c>
      <c r="M872" s="19" t="n">
        <f aca="false" t="array" ref="M872:M872">IF(AND(INDEX(Profils!$G$5:$G$34,$AE872)&gt;0,INDEX(Profils!$V$5:$V$34,$AE872)&lt;=$AH872),ROUND(INDEX(Profils!$G$5:$G$34,$AE872)*Paramètres!$E$23*$AG872*$AJ872,Paramètres!$F$23),0)</f>
        <v>0</v>
      </c>
      <c r="N872" s="19" t="n">
        <f aca="false" t="array" ref="N872:N872">IF(AND(INDEX(Profils!$H$5:$H$34,$AE872)&gt;0,INDEX(Profils!$W$5:$W$34,$AE872)&lt;=$AH872),ROUND(INDEX(Profils!$H$5:$H$34,$AE872)*Paramètres!$E$24*$AG872*$AJ872,Paramètres!$F$24),0)</f>
        <v>0</v>
      </c>
      <c r="O872" s="19" t="n">
        <f aca="false" t="array" ref="O872:O872">IF(AND(INDEX(Profils!$I$5:$I$34,$AE872)&gt;0,INDEX(Profils!$X$5:$X$34,$AE872)&lt;=$AH872),ROUND(INDEX(Profils!$I$5:$I$34,$AE872)*Paramètres!$E$25*$AG872*$AJ872,Paramètres!$F$25),0)</f>
        <v>0</v>
      </c>
      <c r="P872" s="19" t="n">
        <f aca="false" t="array" ref="P872:P872">IF(AND(INDEX(Profils!$J$5:$J$34,$AE872)&gt;0,INDEX(Profils!$Y$5:$Y$34,$AE872)&lt;=$AH872),ROUND(INDEX(Profils!$J$5:$J$34,$AE872)*Paramètres!$E$26*$AG872*$AJ872,Paramètres!$F$26),0)</f>
        <v>19</v>
      </c>
      <c r="Q872" s="19" t="n">
        <f aca="false" t="array" ref="Q872:Q872">IF(AND(INDEX(Profils!$K$5:$K$34,$AE872)&gt;0,INDEX(Profils!$Z$5:$Z$34,$AE872)&lt;=$AH872),ROUND(INDEX(Profils!$K$5:$K$34,$AE872)*Paramètres!$E$27*$AG872*$AJ872,Paramètres!$F$27),0)</f>
        <v>0</v>
      </c>
      <c r="R872" s="20" t="n">
        <f aca="false" t="array" ref="R872:R872">IF(AND(INDEX(Profils!$L$5:$L$34,$AE872)&gt;0,INDEX(Profils!$AA$5:$AA$34,$AE872)&lt;=$AH872),ROUND(INDEX(Profils!$L$5:$L$34,$AE872)*Paramètres!$E$28*$AG872*$AJ872,Paramètres!$F$28),0)</f>
        <v>0.024</v>
      </c>
      <c r="S872" s="20" t="n">
        <f aca="false" t="array" ref="S872:S872">IF(AND(INDEX(Profils!$M$5:$M$34,$AE872)&gt;0,INDEX(Profils!$AB$5:$AB$34,$AE872)&lt;=$AH872),ROUND(INDEX(Profils!$M$5:$M$34,$AE872)*Paramètres!$E$29*$AG872*$AJ872,Paramètres!$F$29),0)</f>
        <v>0.015</v>
      </c>
      <c r="T872" s="20" t="n">
        <f aca="false" t="array" ref="T872:T872">IF(AND(INDEX(Profils!$N$5:$N$34,$AE872)&gt;0,INDEX(Profils!$AC$5:$AC$34,$AE872)&lt;=$AH872),ROUND(INDEX(Profils!$N$5:$N$34,$AE872)*Paramètres!$E$30*$AG872*$AJ872,Paramètres!$F$30),0)</f>
        <v>0.038</v>
      </c>
      <c r="U872" s="19" t="n">
        <f aca="false" t="array" ref="U872:U872">IF(AND(INDEX(Profils!$O$5:$O$34,$AE872)&gt;0,INDEX(Profils!$AD$5:$AD$34,$AE872)&lt;=$AH872),ROUND(INDEX(Profils!$O$5:$O$34,$AE872)*Paramètres!$E$31*$AG872*$AJ872,Paramètres!$F$31),0)</f>
        <v>0</v>
      </c>
      <c r="V872" s="20" t="n">
        <f aca="false" t="array" ref="V872:V872">IF(AND(INDEX(Profils!$P$5:$P$34,$AE872)&gt;0,INDEX(Profils!$AE$5:$AE$34,$AE872)&lt;=$AH872),ROUND(INDEX(Profils!$P$5:$P$34,$AE872)*Paramètres!$E$32*$AG872*$AJ872,Paramètres!$F$32),0)</f>
        <v>0.014</v>
      </c>
      <c r="W872" s="20" t="n">
        <f aca="false" t="array" ref="W872:W872">IF(AND(INDEX(Profils!$Q$5:$Q$34,$AE872)&gt;0,INDEX(Profils!$AF$5:$AF$34,$AE872)&lt;=$AH872),ROUND(INDEX(Profils!$Q$5:$Q$34,$AE872)*Paramètres!$E$33*$AG872*$AJ872,Paramètres!$F$33),0)</f>
        <v>0</v>
      </c>
      <c r="X872" s="20" t="n">
        <f aca="false" t="array" ref="X872:X872">IF(AND(INDEX(Profils!$R$5:$R$34,$AE872)&gt;0,INDEX(Profils!$AG$5:$AG$34,$AE872)&lt;=$AH872),ROUND(INDEX(Profils!$R$5:$R$34,$AE872)*Paramètres!$E$34*$AG872*$AJ872,Paramètres!$F$34),0)</f>
        <v>0</v>
      </c>
      <c r="Y872" s="20" t="n">
        <f aca="false" t="array" ref="Y872:Y872">IF(AND(INDEX(Profils!$S$5:$S$34,$AE872)&gt;0,INDEX(Profils!$AH$5:$AH$34,$AE872)&lt;=$AH872),ROUND(INDEX(Profils!$S$5:$S$34,$AE872)*Paramètres!$E$35*$AG872*$AJ872,Paramètres!$F$35),0)</f>
        <v>0.012</v>
      </c>
      <c r="Z872" s="21" t="n">
        <f aca="false">ROUND(L872/Paramètres!$E$22+M872/Paramètres!$E$23+N872/Paramètres!$E$24+O872/Paramètres!$E$25+P872/Paramètres!$E$26+Q872/Paramètres!$E$27+R872/Paramètres!$E$28+S872/Paramètres!$E$29+T872/Paramètres!$E$30+U872/Paramètres!$E$31+V872/Paramètres!$E$32+W872/Paramètres!$E$33+X872/Paramètres!$E$34+Y872/Paramètres!$E$35,1)</f>
        <v>8.9</v>
      </c>
      <c r="AA872" s="22" t="s">
        <v>109</v>
      </c>
      <c r="AB872" s="22" t="s">
        <v>109</v>
      </c>
      <c r="AC872" s="15" t="str">
        <f aca="false">$E872</f>
        <v>peau de dragon</v>
      </c>
      <c r="AD872" s="16" t="n">
        <f aca="false" t="array" ref="AD872:AD872">IF($I872&gt;=$AI872,"Max",ROUND(Paramètres!$B$40*($I872+1)^Paramètres!$B$41*INDEX(Paramètres!$H$6:$H$12,$AF872),0))</f>
        <v>8</v>
      </c>
      <c r="AE872" s="23" t="n">
        <f aca="false">MATCH($B872&amp;"|"&amp;$C872,Profils!$A$5:$A$34,0)</f>
        <v>28</v>
      </c>
      <c r="AF872" s="23" t="n">
        <v>6</v>
      </c>
      <c r="AG872" s="24" t="n">
        <f aca="false" t="array" ref="AG872:AG872">INDEX(Paramètres!$C$6:$C$12,$AF872)</f>
        <v>2.4</v>
      </c>
      <c r="AH872" s="23" t="n">
        <f aca="false" t="array" ref="AH872:AH872">INDEX(Paramètres!$D$6:$D$12,$AF872)</f>
        <v>7</v>
      </c>
      <c r="AI872" s="23" t="n">
        <f aca="false" t="array" ref="AI872:AI872">INDEX(Matériaux!$C$16:$C$20,$D872)</f>
        <v>30</v>
      </c>
      <c r="AJ872" s="25" t="n">
        <f aca="false">Paramètres!$B$16+(1-Paramètres!$B$16)*(($J872-Paramètres!$B$14)/(Paramètres!$B$15-Paramètres!$B$14))^Paramètres!$B$17</f>
        <v>0.665999387952727</v>
      </c>
    </row>
    <row r="873" customFormat="false" ht="15.75" hidden="false" customHeight="true" outlineLevel="0" collapsed="false">
      <c r="A873" s="14" t="s">
        <v>989</v>
      </c>
      <c r="B873" s="15" t="s">
        <v>31</v>
      </c>
      <c r="C873" s="15" t="s">
        <v>337</v>
      </c>
      <c r="D873" s="16" t="s">
        <v>109</v>
      </c>
      <c r="E873" s="15" t="s">
        <v>109</v>
      </c>
      <c r="F873" s="31" t="s">
        <v>38</v>
      </c>
      <c r="G873" s="10" t="str">
        <f aca="false" t="array" ref="G873:G873">INDEX(Uniques!$E$5:$E$34,MATCH($B873&amp;"|"&amp;$C873,Uniques!$A$5:$A$34,0))</f>
        <v>Ceinture de l'Alchimiste Chasseur</v>
      </c>
      <c r="H873" s="16" t="n">
        <f aca="false" t="array" ref="H873:H873">INDEX(Uniques!$L$5:$L$34,MATCH($B873&amp;"|"&amp;$C873,Uniques!$A$5:$A$34,0))</f>
        <v>41</v>
      </c>
      <c r="I873" s="16" t="n">
        <f aca="false">IF(ISNUMBER($C$3),MIN(MAX(0,ROUND($C$3,0)),$AI873),$AI873)</f>
        <v>0</v>
      </c>
      <c r="J873" s="18" t="n">
        <f aca="false">$H873+$I873</f>
        <v>41</v>
      </c>
      <c r="K873" s="15" t="str">
        <f aca="false" t="array" ref="K873:K873">INDEX(Uniques!$F$5:$F$34,MATCH($B873&amp;"|"&amp;$C873,Uniques!$A$5:$A$34,0))</f>
        <v>Acide</v>
      </c>
      <c r="L873" s="19" t="n">
        <f aca="false" t="array" ref="L873:L873">IF(AND(INDEX(Profils!$F$5:$F$34,$AE873)&gt;0,INDEX(Profils!$U$5:$U$34,$AE873)&lt;=$AH873),ROUND(INDEX(Profils!$F$5:$F$34,$AE873)*Paramètres!$E$22*$AG873*$AJ873,Paramètres!$F$22),0)</f>
        <v>21</v>
      </c>
      <c r="M873" s="19" t="n">
        <f aca="false" t="array" ref="M873:M873">IF(AND(INDEX(Profils!$G$5:$G$34,$AE873)&gt;0,INDEX(Profils!$V$5:$V$34,$AE873)&lt;=$AH873),ROUND(INDEX(Profils!$G$5:$G$34,$AE873)*Paramètres!$E$23*$AG873*$AJ873,Paramètres!$F$23),0)</f>
        <v>0</v>
      </c>
      <c r="N873" s="19" t="n">
        <f aca="false" t="array" ref="N873:N873">IF(AND(INDEX(Profils!$H$5:$H$34,$AE873)&gt;0,INDEX(Profils!$W$5:$W$34,$AE873)&lt;=$AH873),ROUND(INDEX(Profils!$H$5:$H$34,$AE873)*Paramètres!$E$24*$AG873*$AJ873,Paramètres!$F$24),0)</f>
        <v>0</v>
      </c>
      <c r="O873" s="19" t="n">
        <f aca="false" t="array" ref="O873:O873">IF(AND(INDEX(Profils!$I$5:$I$34,$AE873)&gt;0,INDEX(Profils!$X$5:$X$34,$AE873)&lt;=$AH873),ROUND(INDEX(Profils!$I$5:$I$34,$AE873)*Paramètres!$E$25*$AG873*$AJ873,Paramètres!$F$25),0)</f>
        <v>0</v>
      </c>
      <c r="P873" s="19" t="n">
        <f aca="false" t="array" ref="P873:P873">IF(AND(INDEX(Profils!$J$5:$J$34,$AE873)&gt;0,INDEX(Profils!$Y$5:$Y$34,$AE873)&lt;=$AH873),ROUND(INDEX(Profils!$J$5:$J$34,$AE873)*Paramètres!$E$26*$AG873*$AJ873,Paramètres!$F$26),0)</f>
        <v>11</v>
      </c>
      <c r="Q873" s="19" t="n">
        <f aca="false" t="array" ref="Q873:Q873">IF(AND(INDEX(Profils!$K$5:$K$34,$AE873)&gt;0,INDEX(Profils!$Z$5:$Z$34,$AE873)&lt;=$AH873),ROUND(INDEX(Profils!$K$5:$K$34,$AE873)*Paramètres!$E$27*$AG873*$AJ873,Paramètres!$F$27),0)</f>
        <v>0</v>
      </c>
      <c r="R873" s="20" t="n">
        <f aca="false" t="array" ref="R873:R873">IF(AND(INDEX(Profils!$L$5:$L$34,$AE873)&gt;0,INDEX(Profils!$AA$5:$AA$34,$AE873)&lt;=$AH873),ROUND(INDEX(Profils!$L$5:$L$34,$AE873)*Paramètres!$E$28*$AG873*$AJ873,Paramètres!$F$28),0)</f>
        <v>0.014</v>
      </c>
      <c r="S873" s="20" t="n">
        <f aca="false" t="array" ref="S873:S873">IF(AND(INDEX(Profils!$M$5:$M$34,$AE873)&gt;0,INDEX(Profils!$AB$5:$AB$34,$AE873)&lt;=$AH873),ROUND(INDEX(Profils!$M$5:$M$34,$AE873)*Paramètres!$E$29*$AG873*$AJ873,Paramètres!$F$29),0)</f>
        <v>0.009</v>
      </c>
      <c r="T873" s="20" t="n">
        <f aca="false" t="array" ref="T873:T873">IF(AND(INDEX(Profils!$N$5:$N$34,$AE873)&gt;0,INDEX(Profils!$AC$5:$AC$34,$AE873)&lt;=$AH873),ROUND(INDEX(Profils!$N$5:$N$34,$AE873)*Paramètres!$E$30*$AG873*$AJ873,Paramètres!$F$30),0)</f>
        <v>0.022</v>
      </c>
      <c r="U873" s="19" t="n">
        <f aca="false" t="array" ref="U873:U873">IF(AND(INDEX(Profils!$O$5:$O$34,$AE873)&gt;0,INDEX(Profils!$AD$5:$AD$34,$AE873)&lt;=$AH873),ROUND(INDEX(Profils!$O$5:$O$34,$AE873)*Paramètres!$E$31*$AG873*$AJ873,Paramètres!$F$31),0)</f>
        <v>0</v>
      </c>
      <c r="V873" s="20" t="n">
        <f aca="false" t="array" ref="V873:V873">IF(AND(INDEX(Profils!$P$5:$P$34,$AE873)&gt;0,INDEX(Profils!$AE$5:$AE$34,$AE873)&lt;=$AH873),ROUND(INDEX(Profils!$P$5:$P$34,$AE873)*Paramètres!$E$32*$AG873*$AJ873,Paramètres!$F$32),0)</f>
        <v>0.008</v>
      </c>
      <c r="W873" s="20" t="n">
        <f aca="false" t="array" ref="W873:W873">IF(AND(INDEX(Profils!$Q$5:$Q$34,$AE873)&gt;0,INDEX(Profils!$AF$5:$AF$34,$AE873)&lt;=$AH873),ROUND(INDEX(Profils!$Q$5:$Q$34,$AE873)*Paramètres!$E$33*$AG873*$AJ873,Paramètres!$F$33),0)</f>
        <v>0</v>
      </c>
      <c r="X873" s="20" t="n">
        <f aca="false" t="array" ref="X873:X873">IF(AND(INDEX(Profils!$R$5:$R$34,$AE873)&gt;0,INDEX(Profils!$AG$5:$AG$34,$AE873)&lt;=$AH873),ROUND(INDEX(Profils!$R$5:$R$34,$AE873)*Paramètres!$E$34*$AG873*$AJ873,Paramètres!$F$34),0)</f>
        <v>0</v>
      </c>
      <c r="Y873" s="20" t="n">
        <f aca="false" t="array" ref="Y873:Y873">IF(AND(INDEX(Profils!$S$5:$S$34,$AE873)&gt;0,INDEX(Profils!$AH$5:$AH$34,$AE873)&lt;=$AH873),ROUND(INDEX(Profils!$S$5:$S$34,$AE873)*Paramètres!$E$35*$AG873*$AJ873,Paramètres!$F$35),0)</f>
        <v>0.007</v>
      </c>
      <c r="Z873" s="21" t="n">
        <f aca="false">ROUND(L873/Paramètres!$E$22+M873/Paramètres!$E$23+N873/Paramètres!$E$24+O873/Paramètres!$E$25+P873/Paramètres!$E$26+Q873/Paramètres!$E$27+R873/Paramètres!$E$28+S873/Paramètres!$E$29+T873/Paramètres!$E$30+U873/Paramètres!$E$31+V873/Paramètres!$E$32+W873/Paramètres!$E$33+X873/Paramètres!$E$34+Y873/Paramètres!$E$35,1)</f>
        <v>5.2</v>
      </c>
      <c r="AA873" s="22" t="str">
        <f aca="false" t="array" ref="AA873:AA873">INDEX(Uniques!$G$5:$G$34,MATCH($B873&amp;"|"&amp;$C873,Uniques!$A$5:$A$34,0))</f>
        <v>Fioles corrosives</v>
      </c>
      <c r="AB873" s="22" t="str">
        <f aca="false" t="array" ref="AB873:AB873">INDEX(Uniques!$H$5:$H$34,MATCH($B873&amp;"|"&amp;$C873,Uniques!$A$5:$A$34,0))&amp;" ["&amp;INDEX(Uniques!$I$5:$I$34,MATCH($B873&amp;"|"&amp;$C873,Uniques!$A$5:$A$34,0))&amp;"]"</f>
        <v>Les attaques à distance ont 25 % de chance d'appliquer Corrosion : −6 % d'Armure pendant 3 tours. [3 piles max par cible (−18 % d'Armure).]</v>
      </c>
      <c r="AC873" s="15" t="str">
        <f aca="false" t="array" ref="AC873:AC873">INDEX(Matériaux!$B$5:$F$12,MATCH(INDEX(Profils!$E$5:$E$34,$AE873),Matériaux!$A$5:$A$12,0),MATCH(MIN($J873+1,100),Matériaux!$B$16:$B$20,1))</f>
        <v>cuir clouté</v>
      </c>
      <c r="AD873" s="16" t="n">
        <f aca="false" t="array" ref="AD873:AD873">IF($I873&gt;=$AI873,"Max",ROUND(Paramètres!$B$40*($I873+1)^Paramètres!$B$41*INDEX(Paramètres!$H$6:$H$12,$AF873),0))</f>
        <v>9</v>
      </c>
      <c r="AE873" s="23" t="n">
        <f aca="false">MATCH($B873&amp;"|"&amp;$C873,Profils!$A$5:$A$34,0)</f>
        <v>28</v>
      </c>
      <c r="AF873" s="23" t="n">
        <v>7</v>
      </c>
      <c r="AG873" s="24" t="n">
        <f aca="false" t="array" ref="AG873:AG873">INDEX(Paramètres!$C$6:$C$12,$AF873)</f>
        <v>2.5</v>
      </c>
      <c r="AH873" s="23" t="n">
        <f aca="false" t="array" ref="AH873:AH873">INDEX(Paramètres!$D$6:$D$12,$AF873)</f>
        <v>7</v>
      </c>
      <c r="AI873" s="23" t="n">
        <f aca="false" t="array" ref="AI873:AI873">INDEX(Uniques!$M$5:$M$34,MATCH($B873&amp;"|"&amp;$C873,Uniques!$A$5:$A$34,0))</f>
        <v>59</v>
      </c>
      <c r="AJ873" s="25" t="n">
        <f aca="false">Paramètres!$B$16+(1-Paramètres!$B$16)*(($J873-Paramètres!$B$14)/(Paramètres!$B$15-Paramètres!$B$14))^Paramètres!$B$17</f>
        <v>0.370208872482984</v>
      </c>
    </row>
    <row r="874" customFormat="false" ht="15.75" hidden="false" customHeight="true" outlineLevel="0" collapsed="false">
      <c r="A874" s="14" t="s">
        <v>990</v>
      </c>
      <c r="B874" s="15" t="s">
        <v>31</v>
      </c>
      <c r="C874" s="15" t="s">
        <v>369</v>
      </c>
      <c r="D874" s="16" t="n">
        <v>1</v>
      </c>
      <c r="E874" s="15" t="str">
        <f aca="false" t="array" ref="E874:E874">INDEX(Matériaux!$B$5:$F$12,MATCH(INDEX(Profils!$E$5:$E$34,$AE874),Matériaux!$A$5:$A$12,0),$D874)</f>
        <v>bois</v>
      </c>
      <c r="F874" s="17" t="s">
        <v>108</v>
      </c>
      <c r="G874" s="10" t="str">
        <f aca="false" t="array" ref="G874:G874">INDEX(Profils!$D$5:$D$34,$AE874)&amp;" en "&amp;$E874</f>
        <v>Arc en bois</v>
      </c>
      <c r="H874" s="16" t="n">
        <f aca="false" t="array" ref="H874:H874">INDEX(Matériaux!$B$16:$B$20,$D874)</f>
        <v>1</v>
      </c>
      <c r="I874" s="16" t="n">
        <f aca="false">IF(ISNUMBER($C$3),MIN(MAX(0,ROUND($C$3,0)),$AI874),$AI874)</f>
        <v>0</v>
      </c>
      <c r="J874" s="18" t="n">
        <f aca="false">$H874+$I874</f>
        <v>1</v>
      </c>
      <c r="K874" s="15" t="s">
        <v>109</v>
      </c>
      <c r="L874" s="19" t="n">
        <f aca="false" t="array" ref="L874:L874">IF(AND(INDEX(Profils!$F$5:$F$34,$AE874)&gt;0,INDEX(Profils!$U$5:$U$34,$AE874)&lt;=$AH874),ROUND(INDEX(Profils!$F$5:$F$34,$AE874)*Paramètres!$E$22*$AG874*$AJ874,Paramètres!$F$22),0)</f>
        <v>0</v>
      </c>
      <c r="M874" s="19" t="n">
        <f aca="false" t="array" ref="M874:M874">IF(AND(INDEX(Profils!$G$5:$G$34,$AE874)&gt;0,INDEX(Profils!$V$5:$V$34,$AE874)&lt;=$AH874),ROUND(INDEX(Profils!$G$5:$G$34,$AE874)*Paramètres!$E$23*$AG874*$AJ874,Paramètres!$F$23),0)</f>
        <v>2</v>
      </c>
      <c r="N874" s="19" t="n">
        <f aca="false" t="array" ref="N874:N874">IF(AND(INDEX(Profils!$H$5:$H$34,$AE874)&gt;0,INDEX(Profils!$W$5:$W$34,$AE874)&lt;=$AH874),ROUND(INDEX(Profils!$H$5:$H$34,$AE874)*Paramètres!$E$24*$AG874*$AJ874,Paramètres!$F$24),0)</f>
        <v>0</v>
      </c>
      <c r="O874" s="19" t="n">
        <f aca="false" t="array" ref="O874:O874">IF(AND(INDEX(Profils!$I$5:$I$34,$AE874)&gt;0,INDEX(Profils!$X$5:$X$34,$AE874)&lt;=$AH874),ROUND(INDEX(Profils!$I$5:$I$34,$AE874)*Paramètres!$E$25*$AG874*$AJ874,Paramètres!$F$25),0)</f>
        <v>0</v>
      </c>
      <c r="P874" s="19" t="n">
        <f aca="false" t="array" ref="P874:P874">IF(AND(INDEX(Profils!$J$5:$J$34,$AE874)&gt;0,INDEX(Profils!$Y$5:$Y$34,$AE874)&lt;=$AH874),ROUND(INDEX(Profils!$J$5:$J$34,$AE874)*Paramètres!$E$26*$AG874*$AJ874,Paramètres!$F$26),0)</f>
        <v>1</v>
      </c>
      <c r="Q874" s="19" t="n">
        <f aca="false" t="array" ref="Q874:Q874">IF(AND(INDEX(Profils!$K$5:$K$34,$AE874)&gt;0,INDEX(Profils!$Z$5:$Z$34,$AE874)&lt;=$AH874),ROUND(INDEX(Profils!$K$5:$K$34,$AE874)*Paramètres!$E$27*$AG874*$AJ874,Paramètres!$F$27),0)</f>
        <v>0</v>
      </c>
      <c r="R874" s="20" t="n">
        <f aca="false" t="array" ref="R874:R874">IF(AND(INDEX(Profils!$L$5:$L$34,$AE874)&gt;0,INDEX(Profils!$AA$5:$AA$34,$AE874)&lt;=$AH874),ROUND(INDEX(Profils!$L$5:$L$34,$AE874)*Paramètres!$E$28*$AG874*$AJ874,Paramètres!$F$28),0)</f>
        <v>0</v>
      </c>
      <c r="S874" s="20" t="n">
        <f aca="false" t="array" ref="S874:S874">IF(AND(INDEX(Profils!$M$5:$M$34,$AE874)&gt;0,INDEX(Profils!$AB$5:$AB$34,$AE874)&lt;=$AH874),ROUND(INDEX(Profils!$M$5:$M$34,$AE874)*Paramètres!$E$29*$AG874*$AJ874,Paramètres!$F$29),0)</f>
        <v>0</v>
      </c>
      <c r="T874" s="20" t="n">
        <f aca="false" t="array" ref="T874:T874">IF(AND(INDEX(Profils!$N$5:$N$34,$AE874)&gt;0,INDEX(Profils!$AC$5:$AC$34,$AE874)&lt;=$AH874),ROUND(INDEX(Profils!$N$5:$N$34,$AE874)*Paramètres!$E$30*$AG874*$AJ874,Paramètres!$F$30),0)</f>
        <v>0</v>
      </c>
      <c r="U874" s="19" t="n">
        <f aca="false" t="array" ref="U874:U874">IF(AND(INDEX(Profils!$O$5:$O$34,$AE874)&gt;0,INDEX(Profils!$AD$5:$AD$34,$AE874)&lt;=$AH874),ROUND(INDEX(Profils!$O$5:$O$34,$AE874)*Paramètres!$E$31*$AG874*$AJ874,Paramètres!$F$31),0)</f>
        <v>0</v>
      </c>
      <c r="V874" s="20" t="n">
        <f aca="false" t="array" ref="V874:V874">IF(AND(INDEX(Profils!$P$5:$P$34,$AE874)&gt;0,INDEX(Profils!$AE$5:$AE$34,$AE874)&lt;=$AH874),ROUND(INDEX(Profils!$P$5:$P$34,$AE874)*Paramètres!$E$32*$AG874*$AJ874,Paramètres!$F$32),0)</f>
        <v>0</v>
      </c>
      <c r="W874" s="20" t="n">
        <f aca="false" t="array" ref="W874:W874">IF(AND(INDEX(Profils!$Q$5:$Q$34,$AE874)&gt;0,INDEX(Profils!$AF$5:$AF$34,$AE874)&lt;=$AH874),ROUND(INDEX(Profils!$Q$5:$Q$34,$AE874)*Paramètres!$E$33*$AG874*$AJ874,Paramètres!$F$33),0)</f>
        <v>0</v>
      </c>
      <c r="X874" s="20" t="n">
        <f aca="false" t="array" ref="X874:X874">IF(AND(INDEX(Profils!$R$5:$R$34,$AE874)&gt;0,INDEX(Profils!$AG$5:$AG$34,$AE874)&lt;=$AH874),ROUND(INDEX(Profils!$R$5:$R$34,$AE874)*Paramètres!$E$34*$AG874*$AJ874,Paramètres!$F$34),0)</f>
        <v>0</v>
      </c>
      <c r="Y874" s="20" t="n">
        <f aca="false" t="array" ref="Y874:Y874">IF(AND(INDEX(Profils!$S$5:$S$34,$AE874)&gt;0,INDEX(Profils!$AH$5:$AH$34,$AE874)&lt;=$AH874),ROUND(INDEX(Profils!$S$5:$S$34,$AE874)*Paramètres!$E$35*$AG874*$AJ874,Paramètres!$F$35),0)</f>
        <v>0</v>
      </c>
      <c r="Z874" s="21" t="n">
        <f aca="false">ROUND(L874/Paramètres!$E$22+M874/Paramètres!$E$23+N874/Paramètres!$E$24+O874/Paramètres!$E$25+P874/Paramètres!$E$26+Q874/Paramètres!$E$27+R874/Paramètres!$E$28+S874/Paramètres!$E$29+T874/Paramètres!$E$30+U874/Paramètres!$E$31+V874/Paramètres!$E$32+W874/Paramètres!$E$33+X874/Paramètres!$E$34+Y874/Paramètres!$E$35,1)</f>
        <v>0.2</v>
      </c>
      <c r="AA874" s="22" t="s">
        <v>109</v>
      </c>
      <c r="AB874" s="22" t="s">
        <v>109</v>
      </c>
      <c r="AC874" s="15" t="str">
        <f aca="false">$E874</f>
        <v>bois</v>
      </c>
      <c r="AD874" s="16" t="n">
        <f aca="false" t="array" ref="AD874:AD874">IF($I874&gt;=$AI874,"Max",ROUND(Paramètres!$B$40*($I874+1)^Paramètres!$B$41*INDEX(Paramètres!$H$6:$H$12,$AF874),0))</f>
        <v>3</v>
      </c>
      <c r="AE874" s="23" t="n">
        <f aca="false">MATCH($B874&amp;"|"&amp;$C874,Profils!$A$5:$A$34,0)</f>
        <v>29</v>
      </c>
      <c r="AF874" s="23" t="n">
        <v>1</v>
      </c>
      <c r="AG874" s="24" t="n">
        <f aca="false" t="array" ref="AG874:AG874">INDEX(Paramètres!$C$6:$C$12,$AF874)</f>
        <v>1</v>
      </c>
      <c r="AH874" s="23" t="n">
        <f aca="false" t="array" ref="AH874:AH874">INDEX(Paramètres!$D$6:$D$12,$AF874)</f>
        <v>2</v>
      </c>
      <c r="AI874" s="23" t="n">
        <f aca="false" t="array" ref="AI874:AI874">INDEX(Matériaux!$C$16:$C$20,$D874)</f>
        <v>19</v>
      </c>
      <c r="AJ874" s="25" t="n">
        <f aca="false">Paramètres!$B$16+(1-Paramètres!$B$16)*(($J874-Paramètres!$B$14)/(Paramètres!$B$15-Paramètres!$B$14))^Paramètres!$B$17</f>
        <v>0.05</v>
      </c>
    </row>
    <row r="875" customFormat="false" ht="15.75" hidden="false" customHeight="true" outlineLevel="0" collapsed="false">
      <c r="A875" s="14" t="s">
        <v>991</v>
      </c>
      <c r="B875" s="15" t="s">
        <v>31</v>
      </c>
      <c r="C875" s="15" t="s">
        <v>369</v>
      </c>
      <c r="D875" s="16" t="n">
        <v>1</v>
      </c>
      <c r="E875" s="15" t="str">
        <f aca="false" t="array" ref="E875:E875">INDEX(Matériaux!$B$5:$F$12,MATCH(INDEX(Profils!$E$5:$E$34,$AE875),Matériaux!$A$5:$A$12,0),$D875)</f>
        <v>bois</v>
      </c>
      <c r="F875" s="26" t="s">
        <v>111</v>
      </c>
      <c r="G875" s="10" t="str">
        <f aca="false" t="array" ref="G875:G875">INDEX(Profils!$D$5:$D$34,$AE875)&amp;" en "&amp;$E875</f>
        <v>Arc en bois</v>
      </c>
      <c r="H875" s="16" t="n">
        <f aca="false" t="array" ref="H875:H875">INDEX(Matériaux!$B$16:$B$20,$D875)</f>
        <v>1</v>
      </c>
      <c r="I875" s="16" t="n">
        <f aca="false">IF(ISNUMBER($C$3),MIN(MAX(0,ROUND($C$3,0)),$AI875),$AI875)</f>
        <v>0</v>
      </c>
      <c r="J875" s="18" t="n">
        <f aca="false">$H875+$I875</f>
        <v>1</v>
      </c>
      <c r="K875" s="15" t="s">
        <v>109</v>
      </c>
      <c r="L875" s="19" t="n">
        <f aca="false" t="array" ref="L875:L875">IF(AND(INDEX(Profils!$F$5:$F$34,$AE875)&gt;0,INDEX(Profils!$U$5:$U$34,$AE875)&lt;=$AH875),ROUND(INDEX(Profils!$F$5:$F$34,$AE875)*Paramètres!$E$22*$AG875*$AJ875,Paramètres!$F$22),0)</f>
        <v>0</v>
      </c>
      <c r="M875" s="19" t="n">
        <f aca="false" t="array" ref="M875:M875">IF(AND(INDEX(Profils!$G$5:$G$34,$AE875)&gt;0,INDEX(Profils!$V$5:$V$34,$AE875)&lt;=$AH875),ROUND(INDEX(Profils!$G$5:$G$34,$AE875)*Paramètres!$E$23*$AG875*$AJ875,Paramètres!$F$23),0)</f>
        <v>2</v>
      </c>
      <c r="N875" s="19" t="n">
        <f aca="false" t="array" ref="N875:N875">IF(AND(INDEX(Profils!$H$5:$H$34,$AE875)&gt;0,INDEX(Profils!$W$5:$W$34,$AE875)&lt;=$AH875),ROUND(INDEX(Profils!$H$5:$H$34,$AE875)*Paramètres!$E$24*$AG875*$AJ875,Paramètres!$F$24),0)</f>
        <v>0</v>
      </c>
      <c r="O875" s="19" t="n">
        <f aca="false" t="array" ref="O875:O875">IF(AND(INDEX(Profils!$I$5:$I$34,$AE875)&gt;0,INDEX(Profils!$X$5:$X$34,$AE875)&lt;=$AH875),ROUND(INDEX(Profils!$I$5:$I$34,$AE875)*Paramètres!$E$25*$AG875*$AJ875,Paramètres!$F$25),0)</f>
        <v>0</v>
      </c>
      <c r="P875" s="19" t="n">
        <f aca="false" t="array" ref="P875:P875">IF(AND(INDEX(Profils!$J$5:$J$34,$AE875)&gt;0,INDEX(Profils!$Y$5:$Y$34,$AE875)&lt;=$AH875),ROUND(INDEX(Profils!$J$5:$J$34,$AE875)*Paramètres!$E$26*$AG875*$AJ875,Paramètres!$F$26),0)</f>
        <v>1</v>
      </c>
      <c r="Q875" s="19" t="n">
        <f aca="false" t="array" ref="Q875:Q875">IF(AND(INDEX(Profils!$K$5:$K$34,$AE875)&gt;0,INDEX(Profils!$Z$5:$Z$34,$AE875)&lt;=$AH875),ROUND(INDEX(Profils!$K$5:$K$34,$AE875)*Paramètres!$E$27*$AG875*$AJ875,Paramètres!$F$27),0)</f>
        <v>0</v>
      </c>
      <c r="R875" s="20" t="n">
        <f aca="false" t="array" ref="R875:R875">IF(AND(INDEX(Profils!$L$5:$L$34,$AE875)&gt;0,INDEX(Profils!$AA$5:$AA$34,$AE875)&lt;=$AH875),ROUND(INDEX(Profils!$L$5:$L$34,$AE875)*Paramètres!$E$28*$AG875*$AJ875,Paramètres!$F$28),0)</f>
        <v>0.002</v>
      </c>
      <c r="S875" s="20" t="n">
        <f aca="false" t="array" ref="S875:S875">IF(AND(INDEX(Profils!$M$5:$M$34,$AE875)&gt;0,INDEX(Profils!$AB$5:$AB$34,$AE875)&lt;=$AH875),ROUND(INDEX(Profils!$M$5:$M$34,$AE875)*Paramètres!$E$29*$AG875*$AJ875,Paramètres!$F$29),0)</f>
        <v>0</v>
      </c>
      <c r="T875" s="20" t="n">
        <f aca="false" t="array" ref="T875:T875">IF(AND(INDEX(Profils!$N$5:$N$34,$AE875)&gt;0,INDEX(Profils!$AC$5:$AC$34,$AE875)&lt;=$AH875),ROUND(INDEX(Profils!$N$5:$N$34,$AE875)*Paramètres!$E$30*$AG875*$AJ875,Paramètres!$F$30),0)</f>
        <v>0</v>
      </c>
      <c r="U875" s="19" t="n">
        <f aca="false" t="array" ref="U875:U875">IF(AND(INDEX(Profils!$O$5:$O$34,$AE875)&gt;0,INDEX(Profils!$AD$5:$AD$34,$AE875)&lt;=$AH875),ROUND(INDEX(Profils!$O$5:$O$34,$AE875)*Paramètres!$E$31*$AG875*$AJ875,Paramètres!$F$31),0)</f>
        <v>0</v>
      </c>
      <c r="V875" s="20" t="n">
        <f aca="false" t="array" ref="V875:V875">IF(AND(INDEX(Profils!$P$5:$P$34,$AE875)&gt;0,INDEX(Profils!$AE$5:$AE$34,$AE875)&lt;=$AH875),ROUND(INDEX(Profils!$P$5:$P$34,$AE875)*Paramètres!$E$32*$AG875*$AJ875,Paramètres!$F$32),0)</f>
        <v>0</v>
      </c>
      <c r="W875" s="20" t="n">
        <f aca="false" t="array" ref="W875:W875">IF(AND(INDEX(Profils!$Q$5:$Q$34,$AE875)&gt;0,INDEX(Profils!$AF$5:$AF$34,$AE875)&lt;=$AH875),ROUND(INDEX(Profils!$Q$5:$Q$34,$AE875)*Paramètres!$E$33*$AG875*$AJ875,Paramètres!$F$33),0)</f>
        <v>0</v>
      </c>
      <c r="X875" s="20" t="n">
        <f aca="false" t="array" ref="X875:X875">IF(AND(INDEX(Profils!$R$5:$R$34,$AE875)&gt;0,INDEX(Profils!$AG$5:$AG$34,$AE875)&lt;=$AH875),ROUND(INDEX(Profils!$R$5:$R$34,$AE875)*Paramètres!$E$34*$AG875*$AJ875,Paramètres!$F$34),0)</f>
        <v>0</v>
      </c>
      <c r="Y875" s="20" t="n">
        <f aca="false" t="array" ref="Y875:Y875">IF(AND(INDEX(Profils!$S$5:$S$34,$AE875)&gt;0,INDEX(Profils!$AH$5:$AH$34,$AE875)&lt;=$AH875),ROUND(INDEX(Profils!$S$5:$S$34,$AE875)*Paramètres!$E$35*$AG875*$AJ875,Paramètres!$F$35),0)</f>
        <v>0</v>
      </c>
      <c r="Z875" s="21" t="n">
        <f aca="false">ROUND(L875/Paramètres!$E$22+M875/Paramètres!$E$23+N875/Paramètres!$E$24+O875/Paramètres!$E$25+P875/Paramètres!$E$26+Q875/Paramètres!$E$27+R875/Paramètres!$E$28+S875/Paramètres!$E$29+T875/Paramètres!$E$30+U875/Paramètres!$E$31+V875/Paramètres!$E$32+W875/Paramètres!$E$33+X875/Paramètres!$E$34+Y875/Paramètres!$E$35,1)</f>
        <v>0.4</v>
      </c>
      <c r="AA875" s="22" t="s">
        <v>109</v>
      </c>
      <c r="AB875" s="22" t="s">
        <v>109</v>
      </c>
      <c r="AC875" s="15" t="str">
        <f aca="false">$E875</f>
        <v>bois</v>
      </c>
      <c r="AD875" s="16" t="n">
        <f aca="false" t="array" ref="AD875:AD875">IF($I875&gt;=$AI875,"Max",ROUND(Paramètres!$B$40*($I875+1)^Paramètres!$B$41*INDEX(Paramètres!$H$6:$H$12,$AF875),0))</f>
        <v>4</v>
      </c>
      <c r="AE875" s="23" t="n">
        <f aca="false">MATCH($B875&amp;"|"&amp;$C875,Profils!$A$5:$A$34,0)</f>
        <v>29</v>
      </c>
      <c r="AF875" s="23" t="n">
        <v>2</v>
      </c>
      <c r="AG875" s="24" t="n">
        <f aca="false" t="array" ref="AG875:AG875">INDEX(Paramètres!$C$6:$C$12,$AF875)</f>
        <v>1.2</v>
      </c>
      <c r="AH875" s="23" t="n">
        <f aca="false" t="array" ref="AH875:AH875">INDEX(Paramètres!$D$6:$D$12,$AF875)</f>
        <v>3</v>
      </c>
      <c r="AI875" s="23" t="n">
        <f aca="false" t="array" ref="AI875:AI875">INDEX(Matériaux!$C$16:$C$20,$D875)</f>
        <v>19</v>
      </c>
      <c r="AJ875" s="25" t="n">
        <f aca="false">Paramètres!$B$16+(1-Paramètres!$B$16)*(($J875-Paramètres!$B$14)/(Paramètres!$B$15-Paramètres!$B$14))^Paramètres!$B$17</f>
        <v>0.05</v>
      </c>
    </row>
    <row r="876" customFormat="false" ht="15.75" hidden="false" customHeight="true" outlineLevel="0" collapsed="false">
      <c r="A876" s="14" t="s">
        <v>992</v>
      </c>
      <c r="B876" s="15" t="s">
        <v>31</v>
      </c>
      <c r="C876" s="15" t="s">
        <v>369</v>
      </c>
      <c r="D876" s="16" t="n">
        <v>1</v>
      </c>
      <c r="E876" s="15" t="str">
        <f aca="false" t="array" ref="E876:E876">INDEX(Matériaux!$B$5:$F$12,MATCH(INDEX(Profils!$E$5:$E$34,$AE876),Matériaux!$A$5:$A$12,0),$D876)</f>
        <v>bois</v>
      </c>
      <c r="F876" s="27" t="s">
        <v>113</v>
      </c>
      <c r="G876" s="10" t="str">
        <f aca="false" t="array" ref="G876:G876">INDEX(Profils!$D$5:$D$34,$AE876)&amp;" en "&amp;$E876</f>
        <v>Arc en bois</v>
      </c>
      <c r="H876" s="16" t="n">
        <f aca="false" t="array" ref="H876:H876">INDEX(Matériaux!$B$16:$B$20,$D876)</f>
        <v>1</v>
      </c>
      <c r="I876" s="16" t="n">
        <f aca="false">IF(ISNUMBER($C$3),MIN(MAX(0,ROUND($C$3,0)),$AI876),$AI876)</f>
        <v>0</v>
      </c>
      <c r="J876" s="18" t="n">
        <f aca="false">$H876+$I876</f>
        <v>1</v>
      </c>
      <c r="K876" s="15" t="s">
        <v>109</v>
      </c>
      <c r="L876" s="19" t="n">
        <f aca="false" t="array" ref="L876:L876">IF(AND(INDEX(Profils!$F$5:$F$34,$AE876)&gt;0,INDEX(Profils!$U$5:$U$34,$AE876)&lt;=$AH876),ROUND(INDEX(Profils!$F$5:$F$34,$AE876)*Paramètres!$E$22*$AG876*$AJ876,Paramètres!$F$22),0)</f>
        <v>0</v>
      </c>
      <c r="M876" s="19" t="n">
        <f aca="false" t="array" ref="M876:M876">IF(AND(INDEX(Profils!$G$5:$G$34,$AE876)&gt;0,INDEX(Profils!$V$5:$V$34,$AE876)&lt;=$AH876),ROUND(INDEX(Profils!$G$5:$G$34,$AE876)*Paramètres!$E$23*$AG876*$AJ876,Paramètres!$F$23),0)</f>
        <v>2</v>
      </c>
      <c r="N876" s="19" t="n">
        <f aca="false" t="array" ref="N876:N876">IF(AND(INDEX(Profils!$H$5:$H$34,$AE876)&gt;0,INDEX(Profils!$W$5:$W$34,$AE876)&lt;=$AH876),ROUND(INDEX(Profils!$H$5:$H$34,$AE876)*Paramètres!$E$24*$AG876*$AJ876,Paramètres!$F$24),0)</f>
        <v>0</v>
      </c>
      <c r="O876" s="19" t="n">
        <f aca="false" t="array" ref="O876:O876">IF(AND(INDEX(Profils!$I$5:$I$34,$AE876)&gt;0,INDEX(Profils!$X$5:$X$34,$AE876)&lt;=$AH876),ROUND(INDEX(Profils!$I$5:$I$34,$AE876)*Paramètres!$E$25*$AG876*$AJ876,Paramètres!$F$25),0)</f>
        <v>0</v>
      </c>
      <c r="P876" s="19" t="n">
        <f aca="false" t="array" ref="P876:P876">IF(AND(INDEX(Profils!$J$5:$J$34,$AE876)&gt;0,INDEX(Profils!$Y$5:$Y$34,$AE876)&lt;=$AH876),ROUND(INDEX(Profils!$J$5:$J$34,$AE876)*Paramètres!$E$26*$AG876*$AJ876,Paramètres!$F$26),0)</f>
        <v>2</v>
      </c>
      <c r="Q876" s="19" t="n">
        <f aca="false" t="array" ref="Q876:Q876">IF(AND(INDEX(Profils!$K$5:$K$34,$AE876)&gt;0,INDEX(Profils!$Z$5:$Z$34,$AE876)&lt;=$AH876),ROUND(INDEX(Profils!$K$5:$K$34,$AE876)*Paramètres!$E$27*$AG876*$AJ876,Paramètres!$F$27),0)</f>
        <v>0</v>
      </c>
      <c r="R876" s="20" t="n">
        <f aca="false" t="array" ref="R876:R876">IF(AND(INDEX(Profils!$L$5:$L$34,$AE876)&gt;0,INDEX(Profils!$AA$5:$AA$34,$AE876)&lt;=$AH876),ROUND(INDEX(Profils!$L$5:$L$34,$AE876)*Paramètres!$E$28*$AG876*$AJ876,Paramètres!$F$28),0)</f>
        <v>0.002</v>
      </c>
      <c r="S876" s="20" t="n">
        <f aca="false" t="array" ref="S876:S876">IF(AND(INDEX(Profils!$M$5:$M$34,$AE876)&gt;0,INDEX(Profils!$AB$5:$AB$34,$AE876)&lt;=$AH876),ROUND(INDEX(Profils!$M$5:$M$34,$AE876)*Paramètres!$E$29*$AG876*$AJ876,Paramètres!$F$29),0)</f>
        <v>0.002</v>
      </c>
      <c r="T876" s="20" t="n">
        <f aca="false" t="array" ref="T876:T876">IF(AND(INDEX(Profils!$N$5:$N$34,$AE876)&gt;0,INDEX(Profils!$AC$5:$AC$34,$AE876)&lt;=$AH876),ROUND(INDEX(Profils!$N$5:$N$34,$AE876)*Paramètres!$E$30*$AG876*$AJ876,Paramètres!$F$30),0)</f>
        <v>0</v>
      </c>
      <c r="U876" s="19" t="n">
        <f aca="false" t="array" ref="U876:U876">IF(AND(INDEX(Profils!$O$5:$O$34,$AE876)&gt;0,INDEX(Profils!$AD$5:$AD$34,$AE876)&lt;=$AH876),ROUND(INDEX(Profils!$O$5:$O$34,$AE876)*Paramètres!$E$31*$AG876*$AJ876,Paramètres!$F$31),0)</f>
        <v>0</v>
      </c>
      <c r="V876" s="20" t="n">
        <f aca="false" t="array" ref="V876:V876">IF(AND(INDEX(Profils!$P$5:$P$34,$AE876)&gt;0,INDEX(Profils!$AE$5:$AE$34,$AE876)&lt;=$AH876),ROUND(INDEX(Profils!$P$5:$P$34,$AE876)*Paramètres!$E$32*$AG876*$AJ876,Paramètres!$F$32),0)</f>
        <v>0</v>
      </c>
      <c r="W876" s="20" t="n">
        <f aca="false" t="array" ref="W876:W876">IF(AND(INDEX(Profils!$Q$5:$Q$34,$AE876)&gt;0,INDEX(Profils!$AF$5:$AF$34,$AE876)&lt;=$AH876),ROUND(INDEX(Profils!$Q$5:$Q$34,$AE876)*Paramètres!$E$33*$AG876*$AJ876,Paramètres!$F$33),0)</f>
        <v>0</v>
      </c>
      <c r="X876" s="20" t="n">
        <f aca="false" t="array" ref="X876:X876">IF(AND(INDEX(Profils!$R$5:$R$34,$AE876)&gt;0,INDEX(Profils!$AG$5:$AG$34,$AE876)&lt;=$AH876),ROUND(INDEX(Profils!$R$5:$R$34,$AE876)*Paramètres!$E$34*$AG876*$AJ876,Paramètres!$F$34),0)</f>
        <v>0</v>
      </c>
      <c r="Y876" s="20" t="n">
        <f aca="false" t="array" ref="Y876:Y876">IF(AND(INDEX(Profils!$S$5:$S$34,$AE876)&gt;0,INDEX(Profils!$AH$5:$AH$34,$AE876)&lt;=$AH876),ROUND(INDEX(Profils!$S$5:$S$34,$AE876)*Paramètres!$E$35*$AG876*$AJ876,Paramètres!$F$35),0)</f>
        <v>0</v>
      </c>
      <c r="Z876" s="21" t="n">
        <f aca="false">ROUND(L876/Paramètres!$E$22+M876/Paramètres!$E$23+N876/Paramètres!$E$24+O876/Paramètres!$E$25+P876/Paramètres!$E$26+Q876/Paramètres!$E$27+R876/Paramètres!$E$28+S876/Paramètres!$E$29+T876/Paramètres!$E$30+U876/Paramètres!$E$31+V876/Paramètres!$E$32+W876/Paramètres!$E$33+X876/Paramètres!$E$34+Y876/Paramètres!$E$35,1)</f>
        <v>0.6</v>
      </c>
      <c r="AA876" s="22" t="s">
        <v>109</v>
      </c>
      <c r="AB876" s="22" t="s">
        <v>109</v>
      </c>
      <c r="AC876" s="15" t="str">
        <f aca="false">$E876</f>
        <v>bois</v>
      </c>
      <c r="AD876" s="16" t="n">
        <f aca="false" t="array" ref="AD876:AD876">IF($I876&gt;=$AI876,"Max",ROUND(Paramètres!$B$40*($I876+1)^Paramètres!$B$41*INDEX(Paramètres!$H$6:$H$12,$AF876),0))</f>
        <v>4</v>
      </c>
      <c r="AE876" s="23" t="n">
        <f aca="false">MATCH($B876&amp;"|"&amp;$C876,Profils!$A$5:$A$34,0)</f>
        <v>29</v>
      </c>
      <c r="AF876" s="23" t="n">
        <v>3</v>
      </c>
      <c r="AG876" s="24" t="n">
        <f aca="false" t="array" ref="AG876:AG876">INDEX(Paramètres!$C$6:$C$12,$AF876)</f>
        <v>1.45</v>
      </c>
      <c r="AH876" s="23" t="n">
        <f aca="false" t="array" ref="AH876:AH876">INDEX(Paramètres!$D$6:$D$12,$AF876)</f>
        <v>4</v>
      </c>
      <c r="AI876" s="23" t="n">
        <f aca="false" t="array" ref="AI876:AI876">INDEX(Matériaux!$C$16:$C$20,$D876)</f>
        <v>19</v>
      </c>
      <c r="AJ876" s="25" t="n">
        <f aca="false">Paramètres!$B$16+(1-Paramètres!$B$16)*(($J876-Paramètres!$B$14)/(Paramètres!$B$15-Paramètres!$B$14))^Paramètres!$B$17</f>
        <v>0.05</v>
      </c>
    </row>
    <row r="877" customFormat="false" ht="15.75" hidden="false" customHeight="true" outlineLevel="0" collapsed="false">
      <c r="A877" s="14" t="s">
        <v>993</v>
      </c>
      <c r="B877" s="15" t="s">
        <v>31</v>
      </c>
      <c r="C877" s="15" t="s">
        <v>369</v>
      </c>
      <c r="D877" s="16" t="n">
        <v>1</v>
      </c>
      <c r="E877" s="15" t="str">
        <f aca="false" t="array" ref="E877:E877">INDEX(Matériaux!$B$5:$F$12,MATCH(INDEX(Profils!$E$5:$E$34,$AE877),Matériaux!$A$5:$A$12,0),$D877)</f>
        <v>bois</v>
      </c>
      <c r="F877" s="28" t="s">
        <v>115</v>
      </c>
      <c r="G877" s="10" t="str">
        <f aca="false" t="array" ref="G877:G877">INDEX(Profils!$D$5:$D$34,$AE877)&amp;" en "&amp;$E877</f>
        <v>Arc en bois</v>
      </c>
      <c r="H877" s="16" t="n">
        <f aca="false" t="array" ref="H877:H877">INDEX(Matériaux!$B$16:$B$20,$D877)</f>
        <v>1</v>
      </c>
      <c r="I877" s="16" t="n">
        <f aca="false">IF(ISNUMBER($C$3),MIN(MAX(0,ROUND($C$3,0)),$AI877),$AI877)</f>
        <v>0</v>
      </c>
      <c r="J877" s="18" t="n">
        <f aca="false">$H877+$I877</f>
        <v>1</v>
      </c>
      <c r="K877" s="15" t="s">
        <v>109</v>
      </c>
      <c r="L877" s="19" t="n">
        <f aca="false" t="array" ref="L877:L877">IF(AND(INDEX(Profils!$F$5:$F$34,$AE877)&gt;0,INDEX(Profils!$U$5:$U$34,$AE877)&lt;=$AH877),ROUND(INDEX(Profils!$F$5:$F$34,$AE877)*Paramètres!$E$22*$AG877*$AJ877,Paramètres!$F$22),0)</f>
        <v>0</v>
      </c>
      <c r="M877" s="19" t="n">
        <f aca="false" t="array" ref="M877:M877">IF(AND(INDEX(Profils!$G$5:$G$34,$AE877)&gt;0,INDEX(Profils!$V$5:$V$34,$AE877)&lt;=$AH877),ROUND(INDEX(Profils!$G$5:$G$34,$AE877)*Paramètres!$E$23*$AG877*$AJ877,Paramètres!$F$23),0)</f>
        <v>3</v>
      </c>
      <c r="N877" s="19" t="n">
        <f aca="false" t="array" ref="N877:N877">IF(AND(INDEX(Profils!$H$5:$H$34,$AE877)&gt;0,INDEX(Profils!$W$5:$W$34,$AE877)&lt;=$AH877),ROUND(INDEX(Profils!$H$5:$H$34,$AE877)*Paramètres!$E$24*$AG877*$AJ877,Paramètres!$F$24),0)</f>
        <v>0</v>
      </c>
      <c r="O877" s="19" t="n">
        <f aca="false" t="array" ref="O877:O877">IF(AND(INDEX(Profils!$I$5:$I$34,$AE877)&gt;0,INDEX(Profils!$X$5:$X$34,$AE877)&lt;=$AH877),ROUND(INDEX(Profils!$I$5:$I$34,$AE877)*Paramètres!$E$25*$AG877*$AJ877,Paramètres!$F$25),0)</f>
        <v>0</v>
      </c>
      <c r="P877" s="19" t="n">
        <f aca="false" t="array" ref="P877:P877">IF(AND(INDEX(Profils!$J$5:$J$34,$AE877)&gt;0,INDEX(Profils!$Y$5:$Y$34,$AE877)&lt;=$AH877),ROUND(INDEX(Profils!$J$5:$J$34,$AE877)*Paramètres!$E$26*$AG877*$AJ877,Paramètres!$F$26),0)</f>
        <v>2</v>
      </c>
      <c r="Q877" s="19" t="n">
        <f aca="false" t="array" ref="Q877:Q877">IF(AND(INDEX(Profils!$K$5:$K$34,$AE877)&gt;0,INDEX(Profils!$Z$5:$Z$34,$AE877)&lt;=$AH877),ROUND(INDEX(Profils!$K$5:$K$34,$AE877)*Paramètres!$E$27*$AG877*$AJ877,Paramètres!$F$27),0)</f>
        <v>0</v>
      </c>
      <c r="R877" s="20" t="n">
        <f aca="false" t="array" ref="R877:R877">IF(AND(INDEX(Profils!$L$5:$L$34,$AE877)&gt;0,INDEX(Profils!$AA$5:$AA$34,$AE877)&lt;=$AH877),ROUND(INDEX(Profils!$L$5:$L$34,$AE877)*Paramètres!$E$28*$AG877*$AJ877,Paramètres!$F$28),0)</f>
        <v>0.002</v>
      </c>
      <c r="S877" s="20" t="n">
        <f aca="false" t="array" ref="S877:S877">IF(AND(INDEX(Profils!$M$5:$M$34,$AE877)&gt;0,INDEX(Profils!$AB$5:$AB$34,$AE877)&lt;=$AH877),ROUND(INDEX(Profils!$M$5:$M$34,$AE877)*Paramètres!$E$29*$AG877*$AJ877,Paramètres!$F$29),0)</f>
        <v>0.002</v>
      </c>
      <c r="T877" s="20" t="n">
        <f aca="false" t="array" ref="T877:T877">IF(AND(INDEX(Profils!$N$5:$N$34,$AE877)&gt;0,INDEX(Profils!$AC$5:$AC$34,$AE877)&lt;=$AH877),ROUND(INDEX(Profils!$N$5:$N$34,$AE877)*Paramètres!$E$30*$AG877*$AJ877,Paramètres!$F$30),0)</f>
        <v>0.005</v>
      </c>
      <c r="U877" s="19" t="n">
        <f aca="false" t="array" ref="U877:U877">IF(AND(INDEX(Profils!$O$5:$O$34,$AE877)&gt;0,INDEX(Profils!$AD$5:$AD$34,$AE877)&lt;=$AH877),ROUND(INDEX(Profils!$O$5:$O$34,$AE877)*Paramètres!$E$31*$AG877*$AJ877,Paramètres!$F$31),0)</f>
        <v>0</v>
      </c>
      <c r="V877" s="20" t="n">
        <f aca="false" t="array" ref="V877:V877">IF(AND(INDEX(Profils!$P$5:$P$34,$AE877)&gt;0,INDEX(Profils!$AE$5:$AE$34,$AE877)&lt;=$AH877),ROUND(INDEX(Profils!$P$5:$P$34,$AE877)*Paramètres!$E$32*$AG877*$AJ877,Paramètres!$F$32),0)</f>
        <v>0</v>
      </c>
      <c r="W877" s="20" t="n">
        <f aca="false" t="array" ref="W877:W877">IF(AND(INDEX(Profils!$Q$5:$Q$34,$AE877)&gt;0,INDEX(Profils!$AF$5:$AF$34,$AE877)&lt;=$AH877),ROUND(INDEX(Profils!$Q$5:$Q$34,$AE877)*Paramètres!$E$33*$AG877*$AJ877,Paramètres!$F$33),0)</f>
        <v>0</v>
      </c>
      <c r="X877" s="20" t="n">
        <f aca="false" t="array" ref="X877:X877">IF(AND(INDEX(Profils!$R$5:$R$34,$AE877)&gt;0,INDEX(Profils!$AG$5:$AG$34,$AE877)&lt;=$AH877),ROUND(INDEX(Profils!$R$5:$R$34,$AE877)*Paramètres!$E$34*$AG877*$AJ877,Paramètres!$F$34),0)</f>
        <v>0</v>
      </c>
      <c r="Y877" s="20" t="n">
        <f aca="false" t="array" ref="Y877:Y877">IF(AND(INDEX(Profils!$S$5:$S$34,$AE877)&gt;0,INDEX(Profils!$AH$5:$AH$34,$AE877)&lt;=$AH877),ROUND(INDEX(Profils!$S$5:$S$34,$AE877)*Paramètres!$E$35*$AG877*$AJ877,Paramètres!$F$35),0)</f>
        <v>0</v>
      </c>
      <c r="Z877" s="21" t="n">
        <f aca="false">ROUND(L877/Paramètres!$E$22+M877/Paramètres!$E$23+N877/Paramètres!$E$24+O877/Paramètres!$E$25+P877/Paramètres!$E$26+Q877/Paramètres!$E$27+R877/Paramètres!$E$28+S877/Paramètres!$E$29+T877/Paramètres!$E$30+U877/Paramètres!$E$31+V877/Paramètres!$E$32+W877/Paramètres!$E$33+X877/Paramètres!$E$34+Y877/Paramètres!$E$35,1)</f>
        <v>0.8</v>
      </c>
      <c r="AA877" s="22" t="s">
        <v>109</v>
      </c>
      <c r="AB877" s="22" t="s">
        <v>109</v>
      </c>
      <c r="AC877" s="15" t="str">
        <f aca="false">$E877</f>
        <v>bois</v>
      </c>
      <c r="AD877" s="16" t="n">
        <f aca="false" t="array" ref="AD877:AD877">IF($I877&gt;=$AI877,"Max",ROUND(Paramètres!$B$40*($I877+1)^Paramètres!$B$41*INDEX(Paramètres!$H$6:$H$12,$AF877),0))</f>
        <v>5</v>
      </c>
      <c r="AE877" s="23" t="n">
        <f aca="false">MATCH($B877&amp;"|"&amp;$C877,Profils!$A$5:$A$34,0)</f>
        <v>29</v>
      </c>
      <c r="AF877" s="23" t="n">
        <v>4</v>
      </c>
      <c r="AG877" s="24" t="n">
        <f aca="false" t="array" ref="AG877:AG877">INDEX(Paramètres!$C$6:$C$12,$AF877)</f>
        <v>1.75</v>
      </c>
      <c r="AH877" s="23" t="n">
        <f aca="false" t="array" ref="AH877:AH877">INDEX(Paramètres!$D$6:$D$12,$AF877)</f>
        <v>5</v>
      </c>
      <c r="AI877" s="23" t="n">
        <f aca="false" t="array" ref="AI877:AI877">INDEX(Matériaux!$C$16:$C$20,$D877)</f>
        <v>19</v>
      </c>
      <c r="AJ877" s="25" t="n">
        <f aca="false">Paramètres!$B$16+(1-Paramètres!$B$16)*(($J877-Paramètres!$B$14)/(Paramètres!$B$15-Paramètres!$B$14))^Paramètres!$B$17</f>
        <v>0.05</v>
      </c>
    </row>
    <row r="878" customFormat="false" ht="15.75" hidden="false" customHeight="true" outlineLevel="0" collapsed="false">
      <c r="A878" s="14" t="s">
        <v>994</v>
      </c>
      <c r="B878" s="15" t="s">
        <v>31</v>
      </c>
      <c r="C878" s="15" t="s">
        <v>369</v>
      </c>
      <c r="D878" s="16" t="n">
        <v>1</v>
      </c>
      <c r="E878" s="15" t="str">
        <f aca="false" t="array" ref="E878:E878">INDEX(Matériaux!$B$5:$F$12,MATCH(INDEX(Profils!$E$5:$E$34,$AE878),Matériaux!$A$5:$A$12,0),$D878)</f>
        <v>bois</v>
      </c>
      <c r="F878" s="29" t="s">
        <v>117</v>
      </c>
      <c r="G878" s="10" t="str">
        <f aca="false" t="array" ref="G878:G878">INDEX(Profils!$D$5:$D$34,$AE878)&amp;" en "&amp;$E878</f>
        <v>Arc en bois</v>
      </c>
      <c r="H878" s="16" t="n">
        <f aca="false" t="array" ref="H878:H878">INDEX(Matériaux!$B$16:$B$20,$D878)</f>
        <v>1</v>
      </c>
      <c r="I878" s="16" t="n">
        <f aca="false">IF(ISNUMBER($C$3),MIN(MAX(0,ROUND($C$3,0)),$AI878),$AI878)</f>
        <v>0</v>
      </c>
      <c r="J878" s="18" t="n">
        <f aca="false">$H878+$I878</f>
        <v>1</v>
      </c>
      <c r="K878" s="15" t="s">
        <v>109</v>
      </c>
      <c r="L878" s="19" t="n">
        <f aca="false" t="array" ref="L878:L878">IF(AND(INDEX(Profils!$F$5:$F$34,$AE878)&gt;0,INDEX(Profils!$U$5:$U$34,$AE878)&lt;=$AH878),ROUND(INDEX(Profils!$F$5:$F$34,$AE878)*Paramètres!$E$22*$AG878*$AJ878,Paramètres!$F$22),0)</f>
        <v>0</v>
      </c>
      <c r="M878" s="19" t="n">
        <f aca="false" t="array" ref="M878:M878">IF(AND(INDEX(Profils!$G$5:$G$34,$AE878)&gt;0,INDEX(Profils!$V$5:$V$34,$AE878)&lt;=$AH878),ROUND(INDEX(Profils!$G$5:$G$34,$AE878)*Paramètres!$E$23*$AG878*$AJ878,Paramètres!$F$23),0)</f>
        <v>3</v>
      </c>
      <c r="N878" s="19" t="n">
        <f aca="false" t="array" ref="N878:N878">IF(AND(INDEX(Profils!$H$5:$H$34,$AE878)&gt;0,INDEX(Profils!$W$5:$W$34,$AE878)&lt;=$AH878),ROUND(INDEX(Profils!$H$5:$H$34,$AE878)*Paramètres!$E$24*$AG878*$AJ878,Paramètres!$F$24),0)</f>
        <v>0</v>
      </c>
      <c r="O878" s="19" t="n">
        <f aca="false" t="array" ref="O878:O878">IF(AND(INDEX(Profils!$I$5:$I$34,$AE878)&gt;0,INDEX(Profils!$X$5:$X$34,$AE878)&lt;=$AH878),ROUND(INDEX(Profils!$I$5:$I$34,$AE878)*Paramètres!$E$25*$AG878*$AJ878,Paramètres!$F$25),0)</f>
        <v>0</v>
      </c>
      <c r="P878" s="19" t="n">
        <f aca="false" t="array" ref="P878:P878">IF(AND(INDEX(Profils!$J$5:$J$34,$AE878)&gt;0,INDEX(Profils!$Y$5:$Y$34,$AE878)&lt;=$AH878),ROUND(INDEX(Profils!$J$5:$J$34,$AE878)*Paramètres!$E$26*$AG878*$AJ878,Paramètres!$F$26),0)</f>
        <v>3</v>
      </c>
      <c r="Q878" s="19" t="n">
        <f aca="false" t="array" ref="Q878:Q878">IF(AND(INDEX(Profils!$K$5:$K$34,$AE878)&gt;0,INDEX(Profils!$Z$5:$Z$34,$AE878)&lt;=$AH878),ROUND(INDEX(Profils!$K$5:$K$34,$AE878)*Paramètres!$E$27*$AG878*$AJ878,Paramètres!$F$27),0)</f>
        <v>0</v>
      </c>
      <c r="R878" s="20" t="n">
        <f aca="false" t="array" ref="R878:R878">IF(AND(INDEX(Profils!$L$5:$L$34,$AE878)&gt;0,INDEX(Profils!$AA$5:$AA$34,$AE878)&lt;=$AH878),ROUND(INDEX(Profils!$L$5:$L$34,$AE878)*Paramètres!$E$28*$AG878*$AJ878,Paramètres!$F$28),0)</f>
        <v>0.003</v>
      </c>
      <c r="S878" s="20" t="n">
        <f aca="false" t="array" ref="S878:S878">IF(AND(INDEX(Profils!$M$5:$M$34,$AE878)&gt;0,INDEX(Profils!$AB$5:$AB$34,$AE878)&lt;=$AH878),ROUND(INDEX(Profils!$M$5:$M$34,$AE878)*Paramètres!$E$29*$AG878*$AJ878,Paramètres!$F$29),0)</f>
        <v>0.002</v>
      </c>
      <c r="T878" s="20" t="n">
        <f aca="false" t="array" ref="T878:T878">IF(AND(INDEX(Profils!$N$5:$N$34,$AE878)&gt;0,INDEX(Profils!$AC$5:$AC$34,$AE878)&lt;=$AH878),ROUND(INDEX(Profils!$N$5:$N$34,$AE878)*Paramètres!$E$30*$AG878*$AJ878,Paramètres!$F$30),0)</f>
        <v>0.006</v>
      </c>
      <c r="U878" s="19" t="n">
        <f aca="false" t="array" ref="U878:U878">IF(AND(INDEX(Profils!$O$5:$O$34,$AE878)&gt;0,INDEX(Profils!$AD$5:$AD$34,$AE878)&lt;=$AH878),ROUND(INDEX(Profils!$O$5:$O$34,$AE878)*Paramètres!$E$31*$AG878*$AJ878,Paramètres!$F$31),0)</f>
        <v>0</v>
      </c>
      <c r="V878" s="20" t="n">
        <f aca="false" t="array" ref="V878:V878">IF(AND(INDEX(Profils!$P$5:$P$34,$AE878)&gt;0,INDEX(Profils!$AE$5:$AE$34,$AE878)&lt;=$AH878),ROUND(INDEX(Profils!$P$5:$P$34,$AE878)*Paramètres!$E$32*$AG878*$AJ878,Paramètres!$F$32),0)</f>
        <v>0.003</v>
      </c>
      <c r="W878" s="20" t="n">
        <f aca="false" t="array" ref="W878:W878">IF(AND(INDEX(Profils!$Q$5:$Q$34,$AE878)&gt;0,INDEX(Profils!$AF$5:$AF$34,$AE878)&lt;=$AH878),ROUND(INDEX(Profils!$Q$5:$Q$34,$AE878)*Paramètres!$E$33*$AG878*$AJ878,Paramètres!$F$33),0)</f>
        <v>0</v>
      </c>
      <c r="X878" s="20" t="n">
        <f aca="false" t="array" ref="X878:X878">IF(AND(INDEX(Profils!$R$5:$R$34,$AE878)&gt;0,INDEX(Profils!$AG$5:$AG$34,$AE878)&lt;=$AH878),ROUND(INDEX(Profils!$R$5:$R$34,$AE878)*Paramètres!$E$34*$AG878*$AJ878,Paramètres!$F$34),0)</f>
        <v>0</v>
      </c>
      <c r="Y878" s="20" t="n">
        <f aca="false" t="array" ref="Y878:Y878">IF(AND(INDEX(Profils!$S$5:$S$34,$AE878)&gt;0,INDEX(Profils!$AH$5:$AH$34,$AE878)&lt;=$AH878),ROUND(INDEX(Profils!$S$5:$S$34,$AE878)*Paramètres!$E$35*$AG878*$AJ878,Paramètres!$F$35),0)</f>
        <v>0</v>
      </c>
      <c r="Z878" s="21" t="n">
        <f aca="false">ROUND(L878/Paramètres!$E$22+M878/Paramètres!$E$23+N878/Paramètres!$E$24+O878/Paramètres!$E$25+P878/Paramètres!$E$26+Q878/Paramètres!$E$27+R878/Paramètres!$E$28+S878/Paramètres!$E$29+T878/Paramètres!$E$30+U878/Paramètres!$E$31+V878/Paramètres!$E$32+W878/Paramètres!$E$33+X878/Paramètres!$E$34+Y878/Paramètres!$E$35,1)</f>
        <v>1.2</v>
      </c>
      <c r="AA878" s="22" t="s">
        <v>109</v>
      </c>
      <c r="AB878" s="22" t="s">
        <v>109</v>
      </c>
      <c r="AC878" s="15" t="str">
        <f aca="false">$E878</f>
        <v>bois</v>
      </c>
      <c r="AD878" s="16" t="n">
        <f aca="false" t="array" ref="AD878:AD878">IF($I878&gt;=$AI878,"Max",ROUND(Paramètres!$B$40*($I878+1)^Paramètres!$B$41*INDEX(Paramètres!$H$6:$H$12,$AF878),0))</f>
        <v>6</v>
      </c>
      <c r="AE878" s="23" t="n">
        <f aca="false">MATCH($B878&amp;"|"&amp;$C878,Profils!$A$5:$A$34,0)</f>
        <v>29</v>
      </c>
      <c r="AF878" s="23" t="n">
        <v>5</v>
      </c>
      <c r="AG878" s="24" t="n">
        <f aca="false" t="array" ref="AG878:AG878">INDEX(Paramètres!$C$6:$C$12,$AF878)</f>
        <v>2.1</v>
      </c>
      <c r="AH878" s="23" t="n">
        <f aca="false" t="array" ref="AH878:AH878">INDEX(Paramètres!$D$6:$D$12,$AF878)</f>
        <v>6</v>
      </c>
      <c r="AI878" s="23" t="n">
        <f aca="false" t="array" ref="AI878:AI878">INDEX(Matériaux!$C$16:$C$20,$D878)</f>
        <v>19</v>
      </c>
      <c r="AJ878" s="25" t="n">
        <f aca="false">Paramètres!$B$16+(1-Paramètres!$B$16)*(($J878-Paramètres!$B$14)/(Paramètres!$B$15-Paramètres!$B$14))^Paramètres!$B$17</f>
        <v>0.05</v>
      </c>
    </row>
    <row r="879" customFormat="false" ht="15.75" hidden="false" customHeight="true" outlineLevel="0" collapsed="false">
      <c r="A879" s="14" t="s">
        <v>995</v>
      </c>
      <c r="B879" s="15" t="s">
        <v>31</v>
      </c>
      <c r="C879" s="15" t="s">
        <v>369</v>
      </c>
      <c r="D879" s="16" t="n">
        <v>1</v>
      </c>
      <c r="E879" s="15" t="str">
        <f aca="false" t="array" ref="E879:E879">INDEX(Matériaux!$B$5:$F$12,MATCH(INDEX(Profils!$E$5:$E$34,$AE879),Matériaux!$A$5:$A$12,0),$D879)</f>
        <v>bois</v>
      </c>
      <c r="F879" s="30" t="s">
        <v>119</v>
      </c>
      <c r="G879" s="10" t="str">
        <f aca="false" t="array" ref="G879:G879">INDEX(Profils!$D$5:$D$34,$AE879)&amp;" en "&amp;$E879</f>
        <v>Arc en bois</v>
      </c>
      <c r="H879" s="16" t="n">
        <f aca="false" t="array" ref="H879:H879">INDEX(Matériaux!$B$16:$B$20,$D879)</f>
        <v>1</v>
      </c>
      <c r="I879" s="16" t="n">
        <f aca="false">IF(ISNUMBER($C$3),MIN(MAX(0,ROUND($C$3,0)),$AI879),$AI879)</f>
        <v>0</v>
      </c>
      <c r="J879" s="18" t="n">
        <f aca="false">$H879+$I879</f>
        <v>1</v>
      </c>
      <c r="K879" s="15" t="s">
        <v>109</v>
      </c>
      <c r="L879" s="19" t="n">
        <f aca="false" t="array" ref="L879:L879">IF(AND(INDEX(Profils!$F$5:$F$34,$AE879)&gt;0,INDEX(Profils!$U$5:$U$34,$AE879)&lt;=$AH879),ROUND(INDEX(Profils!$F$5:$F$34,$AE879)*Paramètres!$E$22*$AG879*$AJ879,Paramètres!$F$22),0)</f>
        <v>2</v>
      </c>
      <c r="M879" s="19" t="n">
        <f aca="false" t="array" ref="M879:M879">IF(AND(INDEX(Profils!$G$5:$G$34,$AE879)&gt;0,INDEX(Profils!$V$5:$V$34,$AE879)&lt;=$AH879),ROUND(INDEX(Profils!$G$5:$G$34,$AE879)*Paramètres!$E$23*$AG879*$AJ879,Paramètres!$F$23),0)</f>
        <v>4</v>
      </c>
      <c r="N879" s="19" t="n">
        <f aca="false" t="array" ref="N879:N879">IF(AND(INDEX(Profils!$H$5:$H$34,$AE879)&gt;0,INDEX(Profils!$W$5:$W$34,$AE879)&lt;=$AH879),ROUND(INDEX(Profils!$H$5:$H$34,$AE879)*Paramètres!$E$24*$AG879*$AJ879,Paramètres!$F$24),0)</f>
        <v>0</v>
      </c>
      <c r="O879" s="19" t="n">
        <f aca="false" t="array" ref="O879:O879">IF(AND(INDEX(Profils!$I$5:$I$34,$AE879)&gt;0,INDEX(Profils!$X$5:$X$34,$AE879)&lt;=$AH879),ROUND(INDEX(Profils!$I$5:$I$34,$AE879)*Paramètres!$E$25*$AG879*$AJ879,Paramètres!$F$25),0)</f>
        <v>0</v>
      </c>
      <c r="P879" s="19" t="n">
        <f aca="false" t="array" ref="P879:P879">IF(AND(INDEX(Profils!$J$5:$J$34,$AE879)&gt;0,INDEX(Profils!$Y$5:$Y$34,$AE879)&lt;=$AH879),ROUND(INDEX(Profils!$J$5:$J$34,$AE879)*Paramètres!$E$26*$AG879*$AJ879,Paramètres!$F$26),0)</f>
        <v>3</v>
      </c>
      <c r="Q879" s="19" t="n">
        <f aca="false" t="array" ref="Q879:Q879">IF(AND(INDEX(Profils!$K$5:$K$34,$AE879)&gt;0,INDEX(Profils!$Z$5:$Z$34,$AE879)&lt;=$AH879),ROUND(INDEX(Profils!$K$5:$K$34,$AE879)*Paramètres!$E$27*$AG879*$AJ879,Paramètres!$F$27),0)</f>
        <v>0</v>
      </c>
      <c r="R879" s="20" t="n">
        <f aca="false" t="array" ref="R879:R879">IF(AND(INDEX(Profils!$L$5:$L$34,$AE879)&gt;0,INDEX(Profils!$AA$5:$AA$34,$AE879)&lt;=$AH879),ROUND(INDEX(Profils!$L$5:$L$34,$AE879)*Paramètres!$E$28*$AG879*$AJ879,Paramètres!$F$28),0)</f>
        <v>0.003</v>
      </c>
      <c r="S879" s="20" t="n">
        <f aca="false" t="array" ref="S879:S879">IF(AND(INDEX(Profils!$M$5:$M$34,$AE879)&gt;0,INDEX(Profils!$AB$5:$AB$34,$AE879)&lt;=$AH879),ROUND(INDEX(Profils!$M$5:$M$34,$AE879)*Paramètres!$E$29*$AG879*$AJ879,Paramètres!$F$29),0)</f>
        <v>0.003</v>
      </c>
      <c r="T879" s="20" t="n">
        <f aca="false" t="array" ref="T879:T879">IF(AND(INDEX(Profils!$N$5:$N$34,$AE879)&gt;0,INDEX(Profils!$AC$5:$AC$34,$AE879)&lt;=$AH879),ROUND(INDEX(Profils!$N$5:$N$34,$AE879)*Paramètres!$E$30*$AG879*$AJ879,Paramètres!$F$30),0)</f>
        <v>0.006</v>
      </c>
      <c r="U879" s="19" t="n">
        <f aca="false" t="array" ref="U879:U879">IF(AND(INDEX(Profils!$O$5:$O$34,$AE879)&gt;0,INDEX(Profils!$AD$5:$AD$34,$AE879)&lt;=$AH879),ROUND(INDEX(Profils!$O$5:$O$34,$AE879)*Paramètres!$E$31*$AG879*$AJ879,Paramètres!$F$31),0)</f>
        <v>0</v>
      </c>
      <c r="V879" s="20" t="n">
        <f aca="false" t="array" ref="V879:V879">IF(AND(INDEX(Profils!$P$5:$P$34,$AE879)&gt;0,INDEX(Profils!$AE$5:$AE$34,$AE879)&lt;=$AH879),ROUND(INDEX(Profils!$P$5:$P$34,$AE879)*Paramètres!$E$32*$AG879*$AJ879,Paramètres!$F$32),0)</f>
        <v>0.003</v>
      </c>
      <c r="W879" s="20" t="n">
        <f aca="false" t="array" ref="W879:W879">IF(AND(INDEX(Profils!$Q$5:$Q$34,$AE879)&gt;0,INDEX(Profils!$AF$5:$AF$34,$AE879)&lt;=$AH879),ROUND(INDEX(Profils!$Q$5:$Q$34,$AE879)*Paramètres!$E$33*$AG879*$AJ879,Paramètres!$F$33),0)</f>
        <v>0</v>
      </c>
      <c r="X879" s="20" t="n">
        <f aca="false" t="array" ref="X879:X879">IF(AND(INDEX(Profils!$R$5:$R$34,$AE879)&gt;0,INDEX(Profils!$AG$5:$AG$34,$AE879)&lt;=$AH879),ROUND(INDEX(Profils!$R$5:$R$34,$AE879)*Paramètres!$E$34*$AG879*$AJ879,Paramètres!$F$34),0)</f>
        <v>0</v>
      </c>
      <c r="Y879" s="20" t="n">
        <f aca="false" t="array" ref="Y879:Y879">IF(AND(INDEX(Profils!$S$5:$S$34,$AE879)&gt;0,INDEX(Profils!$AH$5:$AH$34,$AE879)&lt;=$AH879),ROUND(INDEX(Profils!$S$5:$S$34,$AE879)*Paramètres!$E$35*$AG879*$AJ879,Paramètres!$F$35),0)</f>
        <v>0</v>
      </c>
      <c r="Z879" s="21" t="n">
        <f aca="false">ROUND(L879/Paramètres!$E$22+M879/Paramètres!$E$23+N879/Paramètres!$E$24+O879/Paramètres!$E$25+P879/Paramètres!$E$26+Q879/Paramètres!$E$27+R879/Paramètres!$E$28+S879/Paramètres!$E$29+T879/Paramètres!$E$30+U879/Paramètres!$E$31+V879/Paramètres!$E$32+W879/Paramètres!$E$33+X879/Paramètres!$E$34+Y879/Paramètres!$E$35,1)</f>
        <v>1.4</v>
      </c>
      <c r="AA879" s="22" t="s">
        <v>109</v>
      </c>
      <c r="AB879" s="22" t="s">
        <v>109</v>
      </c>
      <c r="AC879" s="15" t="str">
        <f aca="false">$E879</f>
        <v>bois</v>
      </c>
      <c r="AD879" s="16" t="n">
        <f aca="false" t="array" ref="AD879:AD879">IF($I879&gt;=$AI879,"Max",ROUND(Paramètres!$B$40*($I879+1)^Paramètres!$B$41*INDEX(Paramètres!$H$6:$H$12,$AF879),0))</f>
        <v>8</v>
      </c>
      <c r="AE879" s="23" t="n">
        <f aca="false">MATCH($B879&amp;"|"&amp;$C879,Profils!$A$5:$A$34,0)</f>
        <v>29</v>
      </c>
      <c r="AF879" s="23" t="n">
        <v>6</v>
      </c>
      <c r="AG879" s="24" t="n">
        <f aca="false" t="array" ref="AG879:AG879">INDEX(Paramètres!$C$6:$C$12,$AF879)</f>
        <v>2.4</v>
      </c>
      <c r="AH879" s="23" t="n">
        <f aca="false" t="array" ref="AH879:AH879">INDEX(Paramètres!$D$6:$D$12,$AF879)</f>
        <v>7</v>
      </c>
      <c r="AI879" s="23" t="n">
        <f aca="false" t="array" ref="AI879:AI879">INDEX(Matériaux!$C$16:$C$20,$D879)</f>
        <v>19</v>
      </c>
      <c r="AJ879" s="25" t="n">
        <f aca="false">Paramètres!$B$16+(1-Paramètres!$B$16)*(($J879-Paramètres!$B$14)/(Paramètres!$B$15-Paramètres!$B$14))^Paramètres!$B$17</f>
        <v>0.05</v>
      </c>
    </row>
    <row r="880" customFormat="false" ht="15.75" hidden="false" customHeight="true" outlineLevel="0" collapsed="false">
      <c r="A880" s="14" t="s">
        <v>996</v>
      </c>
      <c r="B880" s="15" t="s">
        <v>31</v>
      </c>
      <c r="C880" s="15" t="s">
        <v>369</v>
      </c>
      <c r="D880" s="16" t="n">
        <v>2</v>
      </c>
      <c r="E880" s="15" t="str">
        <f aca="false" t="array" ref="E880:E880">INDEX(Matériaux!$B$5:$F$12,MATCH(INDEX(Profils!$E$5:$E$34,$AE880),Matériaux!$A$5:$A$12,0),$D880)</f>
        <v>frêne</v>
      </c>
      <c r="F880" s="17" t="s">
        <v>108</v>
      </c>
      <c r="G880" s="10" t="str">
        <f aca="false" t="array" ref="G880:G880">INDEX(Profils!$D$5:$D$34,$AE880)&amp;" en "&amp;$E880</f>
        <v>Arc en frêne</v>
      </c>
      <c r="H880" s="16" t="n">
        <f aca="false" t="array" ref="H880:H880">INDEX(Matériaux!$B$16:$B$20,$D880)</f>
        <v>15</v>
      </c>
      <c r="I880" s="16" t="n">
        <f aca="false">IF(ISNUMBER($C$3),MIN(MAX(0,ROUND($C$3,0)),$AI880),$AI880)</f>
        <v>0</v>
      </c>
      <c r="J880" s="18" t="n">
        <f aca="false">$H880+$I880</f>
        <v>15</v>
      </c>
      <c r="K880" s="15" t="s">
        <v>109</v>
      </c>
      <c r="L880" s="19" t="n">
        <f aca="false" t="array" ref="L880:L880">IF(AND(INDEX(Profils!$F$5:$F$34,$AE880)&gt;0,INDEX(Profils!$U$5:$U$34,$AE880)&lt;=$AH880),ROUND(INDEX(Profils!$F$5:$F$34,$AE880)*Paramètres!$E$22*$AG880*$AJ880,Paramètres!$F$22),0)</f>
        <v>0</v>
      </c>
      <c r="M880" s="19" t="n">
        <f aca="false" t="array" ref="M880:M880">IF(AND(INDEX(Profils!$G$5:$G$34,$AE880)&gt;0,INDEX(Profils!$V$5:$V$34,$AE880)&lt;=$AH880),ROUND(INDEX(Profils!$G$5:$G$34,$AE880)*Paramètres!$E$23*$AG880*$AJ880,Paramètres!$F$23),0)</f>
        <v>5</v>
      </c>
      <c r="N880" s="19" t="n">
        <f aca="false" t="array" ref="N880:N880">IF(AND(INDEX(Profils!$H$5:$H$34,$AE880)&gt;0,INDEX(Profils!$W$5:$W$34,$AE880)&lt;=$AH880),ROUND(INDEX(Profils!$H$5:$H$34,$AE880)*Paramètres!$E$24*$AG880*$AJ880,Paramètres!$F$24),0)</f>
        <v>0</v>
      </c>
      <c r="O880" s="19" t="n">
        <f aca="false" t="array" ref="O880:O880">IF(AND(INDEX(Profils!$I$5:$I$34,$AE880)&gt;0,INDEX(Profils!$X$5:$X$34,$AE880)&lt;=$AH880),ROUND(INDEX(Profils!$I$5:$I$34,$AE880)*Paramètres!$E$25*$AG880*$AJ880,Paramètres!$F$25),0)</f>
        <v>0</v>
      </c>
      <c r="P880" s="19" t="n">
        <f aca="false" t="array" ref="P880:P880">IF(AND(INDEX(Profils!$J$5:$J$34,$AE880)&gt;0,INDEX(Profils!$Y$5:$Y$34,$AE880)&lt;=$AH880),ROUND(INDEX(Profils!$J$5:$J$34,$AE880)*Paramètres!$E$26*$AG880*$AJ880,Paramètres!$F$26),0)</f>
        <v>3</v>
      </c>
      <c r="Q880" s="19" t="n">
        <f aca="false" t="array" ref="Q880:Q880">IF(AND(INDEX(Profils!$K$5:$K$34,$AE880)&gt;0,INDEX(Profils!$Z$5:$Z$34,$AE880)&lt;=$AH880),ROUND(INDEX(Profils!$K$5:$K$34,$AE880)*Paramètres!$E$27*$AG880*$AJ880,Paramètres!$F$27),0)</f>
        <v>0</v>
      </c>
      <c r="R880" s="20" t="n">
        <f aca="false" t="array" ref="R880:R880">IF(AND(INDEX(Profils!$L$5:$L$34,$AE880)&gt;0,INDEX(Profils!$AA$5:$AA$34,$AE880)&lt;=$AH880),ROUND(INDEX(Profils!$L$5:$L$34,$AE880)*Paramètres!$E$28*$AG880*$AJ880,Paramètres!$F$28),0)</f>
        <v>0</v>
      </c>
      <c r="S880" s="20" t="n">
        <f aca="false" t="array" ref="S880:S880">IF(AND(INDEX(Profils!$M$5:$M$34,$AE880)&gt;0,INDEX(Profils!$AB$5:$AB$34,$AE880)&lt;=$AH880),ROUND(INDEX(Profils!$M$5:$M$34,$AE880)*Paramètres!$E$29*$AG880*$AJ880,Paramètres!$F$29),0)</f>
        <v>0</v>
      </c>
      <c r="T880" s="20" t="n">
        <f aca="false" t="array" ref="T880:T880">IF(AND(INDEX(Profils!$N$5:$N$34,$AE880)&gt;0,INDEX(Profils!$AC$5:$AC$34,$AE880)&lt;=$AH880),ROUND(INDEX(Profils!$N$5:$N$34,$AE880)*Paramètres!$E$30*$AG880*$AJ880,Paramètres!$F$30),0)</f>
        <v>0</v>
      </c>
      <c r="U880" s="19" t="n">
        <f aca="false" t="array" ref="U880:U880">IF(AND(INDEX(Profils!$O$5:$O$34,$AE880)&gt;0,INDEX(Profils!$AD$5:$AD$34,$AE880)&lt;=$AH880),ROUND(INDEX(Profils!$O$5:$O$34,$AE880)*Paramètres!$E$31*$AG880*$AJ880,Paramètres!$F$31),0)</f>
        <v>0</v>
      </c>
      <c r="V880" s="20" t="n">
        <f aca="false" t="array" ref="V880:V880">IF(AND(INDEX(Profils!$P$5:$P$34,$AE880)&gt;0,INDEX(Profils!$AE$5:$AE$34,$AE880)&lt;=$AH880),ROUND(INDEX(Profils!$P$5:$P$34,$AE880)*Paramètres!$E$32*$AG880*$AJ880,Paramètres!$F$32),0)</f>
        <v>0</v>
      </c>
      <c r="W880" s="20" t="n">
        <f aca="false" t="array" ref="W880:W880">IF(AND(INDEX(Profils!$Q$5:$Q$34,$AE880)&gt;0,INDEX(Profils!$AF$5:$AF$34,$AE880)&lt;=$AH880),ROUND(INDEX(Profils!$Q$5:$Q$34,$AE880)*Paramètres!$E$33*$AG880*$AJ880,Paramètres!$F$33),0)</f>
        <v>0</v>
      </c>
      <c r="X880" s="20" t="n">
        <f aca="false" t="array" ref="X880:X880">IF(AND(INDEX(Profils!$R$5:$R$34,$AE880)&gt;0,INDEX(Profils!$AG$5:$AG$34,$AE880)&lt;=$AH880),ROUND(INDEX(Profils!$R$5:$R$34,$AE880)*Paramètres!$E$34*$AG880*$AJ880,Paramètres!$F$34),0)</f>
        <v>0</v>
      </c>
      <c r="Y880" s="20" t="n">
        <f aca="false" t="array" ref="Y880:Y880">IF(AND(INDEX(Profils!$S$5:$S$34,$AE880)&gt;0,INDEX(Profils!$AH$5:$AH$34,$AE880)&lt;=$AH880),ROUND(INDEX(Profils!$S$5:$S$34,$AE880)*Paramètres!$E$35*$AG880*$AJ880,Paramètres!$F$35),0)</f>
        <v>0</v>
      </c>
      <c r="Z880" s="21" t="n">
        <f aca="false">ROUND(L880/Paramètres!$E$22+M880/Paramètres!$E$23+N880/Paramètres!$E$24+O880/Paramètres!$E$25+P880/Paramètres!$E$26+Q880/Paramètres!$E$27+R880/Paramètres!$E$28+S880/Paramètres!$E$29+T880/Paramètres!$E$30+U880/Paramètres!$E$31+V880/Paramètres!$E$32+W880/Paramètres!$E$33+X880/Paramètres!$E$34+Y880/Paramètres!$E$35,1)</f>
        <v>0.6</v>
      </c>
      <c r="AA880" s="22" t="s">
        <v>109</v>
      </c>
      <c r="AB880" s="22" t="s">
        <v>109</v>
      </c>
      <c r="AC880" s="15" t="str">
        <f aca="false">$E880</f>
        <v>frêne</v>
      </c>
      <c r="AD880" s="16" t="n">
        <f aca="false" t="array" ref="AD880:AD880">IF($I880&gt;=$AI880,"Max",ROUND(Paramètres!$B$40*($I880+1)^Paramètres!$B$41*INDEX(Paramètres!$H$6:$H$12,$AF880),0))</f>
        <v>3</v>
      </c>
      <c r="AE880" s="23" t="n">
        <f aca="false">MATCH($B880&amp;"|"&amp;$C880,Profils!$A$5:$A$34,0)</f>
        <v>29</v>
      </c>
      <c r="AF880" s="23" t="n">
        <v>1</v>
      </c>
      <c r="AG880" s="24" t="n">
        <f aca="false" t="array" ref="AG880:AG880">INDEX(Paramètres!$C$6:$C$12,$AF880)</f>
        <v>1</v>
      </c>
      <c r="AH880" s="23" t="n">
        <f aca="false" t="array" ref="AH880:AH880">INDEX(Paramètres!$D$6:$D$12,$AF880)</f>
        <v>2</v>
      </c>
      <c r="AI880" s="23" t="n">
        <f aca="false" t="array" ref="AI880:AI880">INDEX(Matériaux!$C$16:$C$20,$D880)</f>
        <v>20</v>
      </c>
      <c r="AJ880" s="25" t="n">
        <f aca="false">Paramètres!$B$16+(1-Paramètres!$B$16)*(($J880-Paramètres!$B$14)/(Paramètres!$B$15-Paramètres!$B$14))^Paramètres!$B$17</f>
        <v>0.140847925475674</v>
      </c>
    </row>
    <row r="881" customFormat="false" ht="15.75" hidden="false" customHeight="true" outlineLevel="0" collapsed="false">
      <c r="A881" s="14" t="s">
        <v>997</v>
      </c>
      <c r="B881" s="15" t="s">
        <v>31</v>
      </c>
      <c r="C881" s="15" t="s">
        <v>369</v>
      </c>
      <c r="D881" s="16" t="n">
        <v>2</v>
      </c>
      <c r="E881" s="15" t="str">
        <f aca="false" t="array" ref="E881:E881">INDEX(Matériaux!$B$5:$F$12,MATCH(INDEX(Profils!$E$5:$E$34,$AE881),Matériaux!$A$5:$A$12,0),$D881)</f>
        <v>frêne</v>
      </c>
      <c r="F881" s="26" t="s">
        <v>111</v>
      </c>
      <c r="G881" s="10" t="str">
        <f aca="false" t="array" ref="G881:G881">INDEX(Profils!$D$5:$D$34,$AE881)&amp;" en "&amp;$E881</f>
        <v>Arc en frêne</v>
      </c>
      <c r="H881" s="16" t="n">
        <f aca="false" t="array" ref="H881:H881">INDEX(Matériaux!$B$16:$B$20,$D881)</f>
        <v>15</v>
      </c>
      <c r="I881" s="16" t="n">
        <f aca="false">IF(ISNUMBER($C$3),MIN(MAX(0,ROUND($C$3,0)),$AI881),$AI881)</f>
        <v>0</v>
      </c>
      <c r="J881" s="18" t="n">
        <f aca="false">$H881+$I881</f>
        <v>15</v>
      </c>
      <c r="K881" s="15" t="s">
        <v>109</v>
      </c>
      <c r="L881" s="19" t="n">
        <f aca="false" t="array" ref="L881:L881">IF(AND(INDEX(Profils!$F$5:$F$34,$AE881)&gt;0,INDEX(Profils!$U$5:$U$34,$AE881)&lt;=$AH881),ROUND(INDEX(Profils!$F$5:$F$34,$AE881)*Paramètres!$E$22*$AG881*$AJ881,Paramètres!$F$22),0)</f>
        <v>0</v>
      </c>
      <c r="M881" s="19" t="n">
        <f aca="false" t="array" ref="M881:M881">IF(AND(INDEX(Profils!$G$5:$G$34,$AE881)&gt;0,INDEX(Profils!$V$5:$V$34,$AE881)&lt;=$AH881),ROUND(INDEX(Profils!$G$5:$G$34,$AE881)*Paramètres!$E$23*$AG881*$AJ881,Paramètres!$F$23),0)</f>
        <v>6</v>
      </c>
      <c r="N881" s="19" t="n">
        <f aca="false" t="array" ref="N881:N881">IF(AND(INDEX(Profils!$H$5:$H$34,$AE881)&gt;0,INDEX(Profils!$W$5:$W$34,$AE881)&lt;=$AH881),ROUND(INDEX(Profils!$H$5:$H$34,$AE881)*Paramètres!$E$24*$AG881*$AJ881,Paramètres!$F$24),0)</f>
        <v>0</v>
      </c>
      <c r="O881" s="19" t="n">
        <f aca="false" t="array" ref="O881:O881">IF(AND(INDEX(Profils!$I$5:$I$34,$AE881)&gt;0,INDEX(Profils!$X$5:$X$34,$AE881)&lt;=$AH881),ROUND(INDEX(Profils!$I$5:$I$34,$AE881)*Paramètres!$E$25*$AG881*$AJ881,Paramètres!$F$25),0)</f>
        <v>0</v>
      </c>
      <c r="P881" s="19" t="n">
        <f aca="false" t="array" ref="P881:P881">IF(AND(INDEX(Profils!$J$5:$J$34,$AE881)&gt;0,INDEX(Profils!$Y$5:$Y$34,$AE881)&lt;=$AH881),ROUND(INDEX(Profils!$J$5:$J$34,$AE881)*Paramètres!$E$26*$AG881*$AJ881,Paramètres!$F$26),0)</f>
        <v>4</v>
      </c>
      <c r="Q881" s="19" t="n">
        <f aca="false" t="array" ref="Q881:Q881">IF(AND(INDEX(Profils!$K$5:$K$34,$AE881)&gt;0,INDEX(Profils!$Z$5:$Z$34,$AE881)&lt;=$AH881),ROUND(INDEX(Profils!$K$5:$K$34,$AE881)*Paramètres!$E$27*$AG881*$AJ881,Paramètres!$F$27),0)</f>
        <v>0</v>
      </c>
      <c r="R881" s="20" t="n">
        <f aca="false" t="array" ref="R881:R881">IF(AND(INDEX(Profils!$L$5:$L$34,$AE881)&gt;0,INDEX(Profils!$AA$5:$AA$34,$AE881)&lt;=$AH881),ROUND(INDEX(Profils!$L$5:$L$34,$AE881)*Paramètres!$E$28*$AG881*$AJ881,Paramètres!$F$28),0)</f>
        <v>0.005</v>
      </c>
      <c r="S881" s="20" t="n">
        <f aca="false" t="array" ref="S881:S881">IF(AND(INDEX(Profils!$M$5:$M$34,$AE881)&gt;0,INDEX(Profils!$AB$5:$AB$34,$AE881)&lt;=$AH881),ROUND(INDEX(Profils!$M$5:$M$34,$AE881)*Paramètres!$E$29*$AG881*$AJ881,Paramètres!$F$29),0)</f>
        <v>0</v>
      </c>
      <c r="T881" s="20" t="n">
        <f aca="false" t="array" ref="T881:T881">IF(AND(INDEX(Profils!$N$5:$N$34,$AE881)&gt;0,INDEX(Profils!$AC$5:$AC$34,$AE881)&lt;=$AH881),ROUND(INDEX(Profils!$N$5:$N$34,$AE881)*Paramètres!$E$30*$AG881*$AJ881,Paramètres!$F$30),0)</f>
        <v>0</v>
      </c>
      <c r="U881" s="19" t="n">
        <f aca="false" t="array" ref="U881:U881">IF(AND(INDEX(Profils!$O$5:$O$34,$AE881)&gt;0,INDEX(Profils!$AD$5:$AD$34,$AE881)&lt;=$AH881),ROUND(INDEX(Profils!$O$5:$O$34,$AE881)*Paramètres!$E$31*$AG881*$AJ881,Paramètres!$F$31),0)</f>
        <v>0</v>
      </c>
      <c r="V881" s="20" t="n">
        <f aca="false" t="array" ref="V881:V881">IF(AND(INDEX(Profils!$P$5:$P$34,$AE881)&gt;0,INDEX(Profils!$AE$5:$AE$34,$AE881)&lt;=$AH881),ROUND(INDEX(Profils!$P$5:$P$34,$AE881)*Paramètres!$E$32*$AG881*$AJ881,Paramètres!$F$32),0)</f>
        <v>0</v>
      </c>
      <c r="W881" s="20" t="n">
        <f aca="false" t="array" ref="W881:W881">IF(AND(INDEX(Profils!$Q$5:$Q$34,$AE881)&gt;0,INDEX(Profils!$AF$5:$AF$34,$AE881)&lt;=$AH881),ROUND(INDEX(Profils!$Q$5:$Q$34,$AE881)*Paramètres!$E$33*$AG881*$AJ881,Paramètres!$F$33),0)</f>
        <v>0</v>
      </c>
      <c r="X881" s="20" t="n">
        <f aca="false" t="array" ref="X881:X881">IF(AND(INDEX(Profils!$R$5:$R$34,$AE881)&gt;0,INDEX(Profils!$AG$5:$AG$34,$AE881)&lt;=$AH881),ROUND(INDEX(Profils!$R$5:$R$34,$AE881)*Paramètres!$E$34*$AG881*$AJ881,Paramètres!$F$34),0)</f>
        <v>0</v>
      </c>
      <c r="Y881" s="20" t="n">
        <f aca="false" t="array" ref="Y881:Y881">IF(AND(INDEX(Profils!$S$5:$S$34,$AE881)&gt;0,INDEX(Profils!$AH$5:$AH$34,$AE881)&lt;=$AH881),ROUND(INDEX(Profils!$S$5:$S$34,$AE881)*Paramètres!$E$35*$AG881*$AJ881,Paramètres!$F$35),0)</f>
        <v>0</v>
      </c>
      <c r="Z881" s="21" t="n">
        <f aca="false">ROUND(L881/Paramètres!$E$22+M881/Paramètres!$E$23+N881/Paramètres!$E$24+O881/Paramètres!$E$25+P881/Paramètres!$E$26+Q881/Paramètres!$E$27+R881/Paramètres!$E$28+S881/Paramètres!$E$29+T881/Paramètres!$E$30+U881/Paramètres!$E$31+V881/Paramètres!$E$32+W881/Paramètres!$E$33+X881/Paramètres!$E$34+Y881/Paramètres!$E$35,1)</f>
        <v>1.1</v>
      </c>
      <c r="AA881" s="22" t="s">
        <v>109</v>
      </c>
      <c r="AB881" s="22" t="s">
        <v>109</v>
      </c>
      <c r="AC881" s="15" t="str">
        <f aca="false">$E881</f>
        <v>frêne</v>
      </c>
      <c r="AD881" s="16" t="n">
        <f aca="false" t="array" ref="AD881:AD881">IF($I881&gt;=$AI881,"Max",ROUND(Paramètres!$B$40*($I881+1)^Paramètres!$B$41*INDEX(Paramètres!$H$6:$H$12,$AF881),0))</f>
        <v>4</v>
      </c>
      <c r="AE881" s="23" t="n">
        <f aca="false">MATCH($B881&amp;"|"&amp;$C881,Profils!$A$5:$A$34,0)</f>
        <v>29</v>
      </c>
      <c r="AF881" s="23" t="n">
        <v>2</v>
      </c>
      <c r="AG881" s="24" t="n">
        <f aca="false" t="array" ref="AG881:AG881">INDEX(Paramètres!$C$6:$C$12,$AF881)</f>
        <v>1.2</v>
      </c>
      <c r="AH881" s="23" t="n">
        <f aca="false" t="array" ref="AH881:AH881">INDEX(Paramètres!$D$6:$D$12,$AF881)</f>
        <v>3</v>
      </c>
      <c r="AI881" s="23" t="n">
        <f aca="false" t="array" ref="AI881:AI881">INDEX(Matériaux!$C$16:$C$20,$D881)</f>
        <v>20</v>
      </c>
      <c r="AJ881" s="25" t="n">
        <f aca="false">Paramètres!$B$16+(1-Paramètres!$B$16)*(($J881-Paramètres!$B$14)/(Paramètres!$B$15-Paramètres!$B$14))^Paramètres!$B$17</f>
        <v>0.140847925475674</v>
      </c>
    </row>
    <row r="882" customFormat="false" ht="15.75" hidden="false" customHeight="true" outlineLevel="0" collapsed="false">
      <c r="A882" s="14" t="s">
        <v>998</v>
      </c>
      <c r="B882" s="15" t="s">
        <v>31</v>
      </c>
      <c r="C882" s="15" t="s">
        <v>369</v>
      </c>
      <c r="D882" s="16" t="n">
        <v>2</v>
      </c>
      <c r="E882" s="15" t="str">
        <f aca="false" t="array" ref="E882:E882">INDEX(Matériaux!$B$5:$F$12,MATCH(INDEX(Profils!$E$5:$E$34,$AE882),Matériaux!$A$5:$A$12,0),$D882)</f>
        <v>frêne</v>
      </c>
      <c r="F882" s="27" t="s">
        <v>113</v>
      </c>
      <c r="G882" s="10" t="str">
        <f aca="false" t="array" ref="G882:G882">INDEX(Profils!$D$5:$D$34,$AE882)&amp;" en "&amp;$E882</f>
        <v>Arc en frêne</v>
      </c>
      <c r="H882" s="16" t="n">
        <f aca="false" t="array" ref="H882:H882">INDEX(Matériaux!$B$16:$B$20,$D882)</f>
        <v>15</v>
      </c>
      <c r="I882" s="16" t="n">
        <f aca="false">IF(ISNUMBER($C$3),MIN(MAX(0,ROUND($C$3,0)),$AI882),$AI882)</f>
        <v>0</v>
      </c>
      <c r="J882" s="18" t="n">
        <f aca="false">$H882+$I882</f>
        <v>15</v>
      </c>
      <c r="K882" s="15" t="s">
        <v>109</v>
      </c>
      <c r="L882" s="19" t="n">
        <f aca="false" t="array" ref="L882:L882">IF(AND(INDEX(Profils!$F$5:$F$34,$AE882)&gt;0,INDEX(Profils!$U$5:$U$34,$AE882)&lt;=$AH882),ROUND(INDEX(Profils!$F$5:$F$34,$AE882)*Paramètres!$E$22*$AG882*$AJ882,Paramètres!$F$22),0)</f>
        <v>0</v>
      </c>
      <c r="M882" s="19" t="n">
        <f aca="false" t="array" ref="M882:M882">IF(AND(INDEX(Profils!$G$5:$G$34,$AE882)&gt;0,INDEX(Profils!$V$5:$V$34,$AE882)&lt;=$AH882),ROUND(INDEX(Profils!$G$5:$G$34,$AE882)*Paramètres!$E$23*$AG882*$AJ882,Paramètres!$F$23),0)</f>
        <v>7</v>
      </c>
      <c r="N882" s="19" t="n">
        <f aca="false" t="array" ref="N882:N882">IF(AND(INDEX(Profils!$H$5:$H$34,$AE882)&gt;0,INDEX(Profils!$W$5:$W$34,$AE882)&lt;=$AH882),ROUND(INDEX(Profils!$H$5:$H$34,$AE882)*Paramètres!$E$24*$AG882*$AJ882,Paramètres!$F$24),0)</f>
        <v>0</v>
      </c>
      <c r="O882" s="19" t="n">
        <f aca="false" t="array" ref="O882:O882">IF(AND(INDEX(Profils!$I$5:$I$34,$AE882)&gt;0,INDEX(Profils!$X$5:$X$34,$AE882)&lt;=$AH882),ROUND(INDEX(Profils!$I$5:$I$34,$AE882)*Paramètres!$E$25*$AG882*$AJ882,Paramètres!$F$25),0)</f>
        <v>0</v>
      </c>
      <c r="P882" s="19" t="n">
        <f aca="false" t="array" ref="P882:P882">IF(AND(INDEX(Profils!$J$5:$J$34,$AE882)&gt;0,INDEX(Profils!$Y$5:$Y$34,$AE882)&lt;=$AH882),ROUND(INDEX(Profils!$J$5:$J$34,$AE882)*Paramètres!$E$26*$AG882*$AJ882,Paramètres!$F$26),0)</f>
        <v>5</v>
      </c>
      <c r="Q882" s="19" t="n">
        <f aca="false" t="array" ref="Q882:Q882">IF(AND(INDEX(Profils!$K$5:$K$34,$AE882)&gt;0,INDEX(Profils!$Z$5:$Z$34,$AE882)&lt;=$AH882),ROUND(INDEX(Profils!$K$5:$K$34,$AE882)*Paramètres!$E$27*$AG882*$AJ882,Paramètres!$F$27),0)</f>
        <v>0</v>
      </c>
      <c r="R882" s="20" t="n">
        <f aca="false" t="array" ref="R882:R882">IF(AND(INDEX(Profils!$L$5:$L$34,$AE882)&gt;0,INDEX(Profils!$AA$5:$AA$34,$AE882)&lt;=$AH882),ROUND(INDEX(Profils!$L$5:$L$34,$AE882)*Paramètres!$E$28*$AG882*$AJ882,Paramètres!$F$28),0)</f>
        <v>0.006</v>
      </c>
      <c r="S882" s="20" t="n">
        <f aca="false" t="array" ref="S882:S882">IF(AND(INDEX(Profils!$M$5:$M$34,$AE882)&gt;0,INDEX(Profils!$AB$5:$AB$34,$AE882)&lt;=$AH882),ROUND(INDEX(Profils!$M$5:$M$34,$AE882)*Paramètres!$E$29*$AG882*$AJ882,Paramètres!$F$29),0)</f>
        <v>0.004</v>
      </c>
      <c r="T882" s="20" t="n">
        <f aca="false" t="array" ref="T882:T882">IF(AND(INDEX(Profils!$N$5:$N$34,$AE882)&gt;0,INDEX(Profils!$AC$5:$AC$34,$AE882)&lt;=$AH882),ROUND(INDEX(Profils!$N$5:$N$34,$AE882)*Paramètres!$E$30*$AG882*$AJ882,Paramètres!$F$30),0)</f>
        <v>0</v>
      </c>
      <c r="U882" s="19" t="n">
        <f aca="false" t="array" ref="U882:U882">IF(AND(INDEX(Profils!$O$5:$O$34,$AE882)&gt;0,INDEX(Profils!$AD$5:$AD$34,$AE882)&lt;=$AH882),ROUND(INDEX(Profils!$O$5:$O$34,$AE882)*Paramètres!$E$31*$AG882*$AJ882,Paramètres!$F$31),0)</f>
        <v>0</v>
      </c>
      <c r="V882" s="20" t="n">
        <f aca="false" t="array" ref="V882:V882">IF(AND(INDEX(Profils!$P$5:$P$34,$AE882)&gt;0,INDEX(Profils!$AE$5:$AE$34,$AE882)&lt;=$AH882),ROUND(INDEX(Profils!$P$5:$P$34,$AE882)*Paramètres!$E$32*$AG882*$AJ882,Paramètres!$F$32),0)</f>
        <v>0</v>
      </c>
      <c r="W882" s="20" t="n">
        <f aca="false" t="array" ref="W882:W882">IF(AND(INDEX(Profils!$Q$5:$Q$34,$AE882)&gt;0,INDEX(Profils!$AF$5:$AF$34,$AE882)&lt;=$AH882),ROUND(INDEX(Profils!$Q$5:$Q$34,$AE882)*Paramètres!$E$33*$AG882*$AJ882,Paramètres!$F$33),0)</f>
        <v>0</v>
      </c>
      <c r="X882" s="20" t="n">
        <f aca="false" t="array" ref="X882:X882">IF(AND(INDEX(Profils!$R$5:$R$34,$AE882)&gt;0,INDEX(Profils!$AG$5:$AG$34,$AE882)&lt;=$AH882),ROUND(INDEX(Profils!$R$5:$R$34,$AE882)*Paramètres!$E$34*$AG882*$AJ882,Paramètres!$F$34),0)</f>
        <v>0</v>
      </c>
      <c r="Y882" s="20" t="n">
        <f aca="false" t="array" ref="Y882:Y882">IF(AND(INDEX(Profils!$S$5:$S$34,$AE882)&gt;0,INDEX(Profils!$AH$5:$AH$34,$AE882)&lt;=$AH882),ROUND(INDEX(Profils!$S$5:$S$34,$AE882)*Paramètres!$E$35*$AG882*$AJ882,Paramètres!$F$35),0)</f>
        <v>0</v>
      </c>
      <c r="Z882" s="21" t="n">
        <f aca="false">ROUND(L882/Paramètres!$E$22+M882/Paramètres!$E$23+N882/Paramètres!$E$24+O882/Paramètres!$E$25+P882/Paramètres!$E$26+Q882/Paramètres!$E$27+R882/Paramètres!$E$28+S882/Paramètres!$E$29+T882/Paramètres!$E$30+U882/Paramètres!$E$31+V882/Paramètres!$E$32+W882/Paramètres!$E$33+X882/Paramètres!$E$34+Y882/Paramètres!$E$35,1)</f>
        <v>1.6</v>
      </c>
      <c r="AA882" s="22" t="s">
        <v>109</v>
      </c>
      <c r="AB882" s="22" t="s">
        <v>109</v>
      </c>
      <c r="AC882" s="15" t="str">
        <f aca="false">$E882</f>
        <v>frêne</v>
      </c>
      <c r="AD882" s="16" t="n">
        <f aca="false" t="array" ref="AD882:AD882">IF($I882&gt;=$AI882,"Max",ROUND(Paramètres!$B$40*($I882+1)^Paramètres!$B$41*INDEX(Paramètres!$H$6:$H$12,$AF882),0))</f>
        <v>4</v>
      </c>
      <c r="AE882" s="23" t="n">
        <f aca="false">MATCH($B882&amp;"|"&amp;$C882,Profils!$A$5:$A$34,0)</f>
        <v>29</v>
      </c>
      <c r="AF882" s="23" t="n">
        <v>3</v>
      </c>
      <c r="AG882" s="24" t="n">
        <f aca="false" t="array" ref="AG882:AG882">INDEX(Paramètres!$C$6:$C$12,$AF882)</f>
        <v>1.45</v>
      </c>
      <c r="AH882" s="23" t="n">
        <f aca="false" t="array" ref="AH882:AH882">INDEX(Paramètres!$D$6:$D$12,$AF882)</f>
        <v>4</v>
      </c>
      <c r="AI882" s="23" t="n">
        <f aca="false" t="array" ref="AI882:AI882">INDEX(Matériaux!$C$16:$C$20,$D882)</f>
        <v>20</v>
      </c>
      <c r="AJ882" s="25" t="n">
        <f aca="false">Paramètres!$B$16+(1-Paramètres!$B$16)*(($J882-Paramètres!$B$14)/(Paramètres!$B$15-Paramètres!$B$14))^Paramètres!$B$17</f>
        <v>0.140847925475674</v>
      </c>
    </row>
    <row r="883" customFormat="false" ht="15.75" hidden="false" customHeight="true" outlineLevel="0" collapsed="false">
      <c r="A883" s="14" t="s">
        <v>999</v>
      </c>
      <c r="B883" s="15" t="s">
        <v>31</v>
      </c>
      <c r="C883" s="15" t="s">
        <v>369</v>
      </c>
      <c r="D883" s="16" t="n">
        <v>2</v>
      </c>
      <c r="E883" s="15" t="str">
        <f aca="false" t="array" ref="E883:E883">INDEX(Matériaux!$B$5:$F$12,MATCH(INDEX(Profils!$E$5:$E$34,$AE883),Matériaux!$A$5:$A$12,0),$D883)</f>
        <v>frêne</v>
      </c>
      <c r="F883" s="28" t="s">
        <v>115</v>
      </c>
      <c r="G883" s="10" t="str">
        <f aca="false" t="array" ref="G883:G883">INDEX(Profils!$D$5:$D$34,$AE883)&amp;" en "&amp;$E883</f>
        <v>Arc en frêne</v>
      </c>
      <c r="H883" s="16" t="n">
        <f aca="false" t="array" ref="H883:H883">INDEX(Matériaux!$B$16:$B$20,$D883)</f>
        <v>15</v>
      </c>
      <c r="I883" s="16" t="n">
        <f aca="false">IF(ISNUMBER($C$3),MIN(MAX(0,ROUND($C$3,0)),$AI883),$AI883)</f>
        <v>0</v>
      </c>
      <c r="J883" s="18" t="n">
        <f aca="false">$H883+$I883</f>
        <v>15</v>
      </c>
      <c r="K883" s="15" t="s">
        <v>109</v>
      </c>
      <c r="L883" s="19" t="n">
        <f aca="false" t="array" ref="L883:L883">IF(AND(INDEX(Profils!$F$5:$F$34,$AE883)&gt;0,INDEX(Profils!$U$5:$U$34,$AE883)&lt;=$AH883),ROUND(INDEX(Profils!$F$5:$F$34,$AE883)*Paramètres!$E$22*$AG883*$AJ883,Paramètres!$F$22),0)</f>
        <v>0</v>
      </c>
      <c r="M883" s="19" t="n">
        <f aca="false" t="array" ref="M883:M883">IF(AND(INDEX(Profils!$G$5:$G$34,$AE883)&gt;0,INDEX(Profils!$V$5:$V$34,$AE883)&lt;=$AH883),ROUND(INDEX(Profils!$G$5:$G$34,$AE883)*Paramètres!$E$23*$AG883*$AJ883,Paramètres!$F$23),0)</f>
        <v>8</v>
      </c>
      <c r="N883" s="19" t="n">
        <f aca="false" t="array" ref="N883:N883">IF(AND(INDEX(Profils!$H$5:$H$34,$AE883)&gt;0,INDEX(Profils!$W$5:$W$34,$AE883)&lt;=$AH883),ROUND(INDEX(Profils!$H$5:$H$34,$AE883)*Paramètres!$E$24*$AG883*$AJ883,Paramètres!$F$24),0)</f>
        <v>0</v>
      </c>
      <c r="O883" s="19" t="n">
        <f aca="false" t="array" ref="O883:O883">IF(AND(INDEX(Profils!$I$5:$I$34,$AE883)&gt;0,INDEX(Profils!$X$5:$X$34,$AE883)&lt;=$AH883),ROUND(INDEX(Profils!$I$5:$I$34,$AE883)*Paramètres!$E$25*$AG883*$AJ883,Paramètres!$F$25),0)</f>
        <v>0</v>
      </c>
      <c r="P883" s="19" t="n">
        <f aca="false" t="array" ref="P883:P883">IF(AND(INDEX(Profils!$J$5:$J$34,$AE883)&gt;0,INDEX(Profils!$Y$5:$Y$34,$AE883)&lt;=$AH883),ROUND(INDEX(Profils!$J$5:$J$34,$AE883)*Paramètres!$E$26*$AG883*$AJ883,Paramètres!$F$26),0)</f>
        <v>6</v>
      </c>
      <c r="Q883" s="19" t="n">
        <f aca="false" t="array" ref="Q883:Q883">IF(AND(INDEX(Profils!$K$5:$K$34,$AE883)&gt;0,INDEX(Profils!$Z$5:$Z$34,$AE883)&lt;=$AH883),ROUND(INDEX(Profils!$K$5:$K$34,$AE883)*Paramètres!$E$27*$AG883*$AJ883,Paramètres!$F$27),0)</f>
        <v>0</v>
      </c>
      <c r="R883" s="20" t="n">
        <f aca="false" t="array" ref="R883:R883">IF(AND(INDEX(Profils!$L$5:$L$34,$AE883)&gt;0,INDEX(Profils!$AA$5:$AA$34,$AE883)&lt;=$AH883),ROUND(INDEX(Profils!$L$5:$L$34,$AE883)*Paramètres!$E$28*$AG883*$AJ883,Paramètres!$F$28),0)</f>
        <v>0.007</v>
      </c>
      <c r="S883" s="20" t="n">
        <f aca="false" t="array" ref="S883:S883">IF(AND(INDEX(Profils!$M$5:$M$34,$AE883)&gt;0,INDEX(Profils!$AB$5:$AB$34,$AE883)&lt;=$AH883),ROUND(INDEX(Profils!$M$5:$M$34,$AE883)*Paramètres!$E$29*$AG883*$AJ883,Paramètres!$F$29),0)</f>
        <v>0.005</v>
      </c>
      <c r="T883" s="20" t="n">
        <f aca="false" t="array" ref="T883:T883">IF(AND(INDEX(Profils!$N$5:$N$34,$AE883)&gt;0,INDEX(Profils!$AC$5:$AC$34,$AE883)&lt;=$AH883),ROUND(INDEX(Profils!$N$5:$N$34,$AE883)*Paramètres!$E$30*$AG883*$AJ883,Paramètres!$F$30),0)</f>
        <v>0.013</v>
      </c>
      <c r="U883" s="19" t="n">
        <f aca="false" t="array" ref="U883:U883">IF(AND(INDEX(Profils!$O$5:$O$34,$AE883)&gt;0,INDEX(Profils!$AD$5:$AD$34,$AE883)&lt;=$AH883),ROUND(INDEX(Profils!$O$5:$O$34,$AE883)*Paramètres!$E$31*$AG883*$AJ883,Paramètres!$F$31),0)</f>
        <v>0</v>
      </c>
      <c r="V883" s="20" t="n">
        <f aca="false" t="array" ref="V883:V883">IF(AND(INDEX(Profils!$P$5:$P$34,$AE883)&gt;0,INDEX(Profils!$AE$5:$AE$34,$AE883)&lt;=$AH883),ROUND(INDEX(Profils!$P$5:$P$34,$AE883)*Paramètres!$E$32*$AG883*$AJ883,Paramètres!$F$32),0)</f>
        <v>0</v>
      </c>
      <c r="W883" s="20" t="n">
        <f aca="false" t="array" ref="W883:W883">IF(AND(INDEX(Profils!$Q$5:$Q$34,$AE883)&gt;0,INDEX(Profils!$AF$5:$AF$34,$AE883)&lt;=$AH883),ROUND(INDEX(Profils!$Q$5:$Q$34,$AE883)*Paramètres!$E$33*$AG883*$AJ883,Paramètres!$F$33),0)</f>
        <v>0</v>
      </c>
      <c r="X883" s="20" t="n">
        <f aca="false" t="array" ref="X883:X883">IF(AND(INDEX(Profils!$R$5:$R$34,$AE883)&gt;0,INDEX(Profils!$AG$5:$AG$34,$AE883)&lt;=$AH883),ROUND(INDEX(Profils!$R$5:$R$34,$AE883)*Paramètres!$E$34*$AG883*$AJ883,Paramètres!$F$34),0)</f>
        <v>0</v>
      </c>
      <c r="Y883" s="20" t="n">
        <f aca="false" t="array" ref="Y883:Y883">IF(AND(INDEX(Profils!$S$5:$S$34,$AE883)&gt;0,INDEX(Profils!$AH$5:$AH$34,$AE883)&lt;=$AH883),ROUND(INDEX(Profils!$S$5:$S$34,$AE883)*Paramètres!$E$35*$AG883*$AJ883,Paramètres!$F$35),0)</f>
        <v>0</v>
      </c>
      <c r="Z883" s="21" t="n">
        <f aca="false">ROUND(L883/Paramètres!$E$22+M883/Paramètres!$E$23+N883/Paramètres!$E$24+O883/Paramètres!$E$25+P883/Paramètres!$E$26+Q883/Paramètres!$E$27+R883/Paramètres!$E$28+S883/Paramètres!$E$29+T883/Paramètres!$E$30+U883/Paramètres!$E$31+V883/Paramètres!$E$32+W883/Paramètres!$E$33+X883/Paramètres!$E$34+Y883/Paramètres!$E$35,1)</f>
        <v>2.4</v>
      </c>
      <c r="AA883" s="22" t="s">
        <v>109</v>
      </c>
      <c r="AB883" s="22" t="s">
        <v>109</v>
      </c>
      <c r="AC883" s="15" t="str">
        <f aca="false">$E883</f>
        <v>frêne</v>
      </c>
      <c r="AD883" s="16" t="n">
        <f aca="false" t="array" ref="AD883:AD883">IF($I883&gt;=$AI883,"Max",ROUND(Paramètres!$B$40*($I883+1)^Paramètres!$B$41*INDEX(Paramètres!$H$6:$H$12,$AF883),0))</f>
        <v>5</v>
      </c>
      <c r="AE883" s="23" t="n">
        <f aca="false">MATCH($B883&amp;"|"&amp;$C883,Profils!$A$5:$A$34,0)</f>
        <v>29</v>
      </c>
      <c r="AF883" s="23" t="n">
        <v>4</v>
      </c>
      <c r="AG883" s="24" t="n">
        <f aca="false" t="array" ref="AG883:AG883">INDEX(Paramètres!$C$6:$C$12,$AF883)</f>
        <v>1.75</v>
      </c>
      <c r="AH883" s="23" t="n">
        <f aca="false" t="array" ref="AH883:AH883">INDEX(Paramètres!$D$6:$D$12,$AF883)</f>
        <v>5</v>
      </c>
      <c r="AI883" s="23" t="n">
        <f aca="false" t="array" ref="AI883:AI883">INDEX(Matériaux!$C$16:$C$20,$D883)</f>
        <v>20</v>
      </c>
      <c r="AJ883" s="25" t="n">
        <f aca="false">Paramètres!$B$16+(1-Paramètres!$B$16)*(($J883-Paramètres!$B$14)/(Paramètres!$B$15-Paramètres!$B$14))^Paramètres!$B$17</f>
        <v>0.140847925475674</v>
      </c>
    </row>
    <row r="884" customFormat="false" ht="15.75" hidden="false" customHeight="true" outlineLevel="0" collapsed="false">
      <c r="A884" s="14" t="s">
        <v>1000</v>
      </c>
      <c r="B884" s="15" t="s">
        <v>31</v>
      </c>
      <c r="C884" s="15" t="s">
        <v>369</v>
      </c>
      <c r="D884" s="16" t="n">
        <v>2</v>
      </c>
      <c r="E884" s="15" t="str">
        <f aca="false" t="array" ref="E884:E884">INDEX(Matériaux!$B$5:$F$12,MATCH(INDEX(Profils!$E$5:$E$34,$AE884),Matériaux!$A$5:$A$12,0),$D884)</f>
        <v>frêne</v>
      </c>
      <c r="F884" s="29" t="s">
        <v>117</v>
      </c>
      <c r="G884" s="10" t="str">
        <f aca="false" t="array" ref="G884:G884">INDEX(Profils!$D$5:$D$34,$AE884)&amp;" en "&amp;$E884</f>
        <v>Arc en frêne</v>
      </c>
      <c r="H884" s="16" t="n">
        <f aca="false" t="array" ref="H884:H884">INDEX(Matériaux!$B$16:$B$20,$D884)</f>
        <v>15</v>
      </c>
      <c r="I884" s="16" t="n">
        <f aca="false">IF(ISNUMBER($C$3),MIN(MAX(0,ROUND($C$3,0)),$AI884),$AI884)</f>
        <v>0</v>
      </c>
      <c r="J884" s="18" t="n">
        <f aca="false">$H884+$I884</f>
        <v>15</v>
      </c>
      <c r="K884" s="15" t="s">
        <v>109</v>
      </c>
      <c r="L884" s="19" t="n">
        <f aca="false" t="array" ref="L884:L884">IF(AND(INDEX(Profils!$F$5:$F$34,$AE884)&gt;0,INDEX(Profils!$U$5:$U$34,$AE884)&lt;=$AH884),ROUND(INDEX(Profils!$F$5:$F$34,$AE884)*Paramètres!$E$22*$AG884*$AJ884,Paramètres!$F$22),0)</f>
        <v>0</v>
      </c>
      <c r="M884" s="19" t="n">
        <f aca="false" t="array" ref="M884:M884">IF(AND(INDEX(Profils!$G$5:$G$34,$AE884)&gt;0,INDEX(Profils!$V$5:$V$34,$AE884)&lt;=$AH884),ROUND(INDEX(Profils!$G$5:$G$34,$AE884)*Paramètres!$E$23*$AG884*$AJ884,Paramètres!$F$23),0)</f>
        <v>10</v>
      </c>
      <c r="N884" s="19" t="n">
        <f aca="false" t="array" ref="N884:N884">IF(AND(INDEX(Profils!$H$5:$H$34,$AE884)&gt;0,INDEX(Profils!$W$5:$W$34,$AE884)&lt;=$AH884),ROUND(INDEX(Profils!$H$5:$H$34,$AE884)*Paramètres!$E$24*$AG884*$AJ884,Paramètres!$F$24),0)</f>
        <v>0</v>
      </c>
      <c r="O884" s="19" t="n">
        <f aca="false" t="array" ref="O884:O884">IF(AND(INDEX(Profils!$I$5:$I$34,$AE884)&gt;0,INDEX(Profils!$X$5:$X$34,$AE884)&lt;=$AH884),ROUND(INDEX(Profils!$I$5:$I$34,$AE884)*Paramètres!$E$25*$AG884*$AJ884,Paramètres!$F$25),0)</f>
        <v>0</v>
      </c>
      <c r="P884" s="19" t="n">
        <f aca="false" t="array" ref="P884:P884">IF(AND(INDEX(Profils!$J$5:$J$34,$AE884)&gt;0,INDEX(Profils!$Y$5:$Y$34,$AE884)&lt;=$AH884),ROUND(INDEX(Profils!$J$5:$J$34,$AE884)*Paramètres!$E$26*$AG884*$AJ884,Paramètres!$F$26),0)</f>
        <v>7</v>
      </c>
      <c r="Q884" s="19" t="n">
        <f aca="false" t="array" ref="Q884:Q884">IF(AND(INDEX(Profils!$K$5:$K$34,$AE884)&gt;0,INDEX(Profils!$Z$5:$Z$34,$AE884)&lt;=$AH884),ROUND(INDEX(Profils!$K$5:$K$34,$AE884)*Paramètres!$E$27*$AG884*$AJ884,Paramètres!$F$27),0)</f>
        <v>0</v>
      </c>
      <c r="R884" s="20" t="n">
        <f aca="false" t="array" ref="R884:R884">IF(AND(INDEX(Profils!$L$5:$L$34,$AE884)&gt;0,INDEX(Profils!$AA$5:$AA$34,$AE884)&lt;=$AH884),ROUND(INDEX(Profils!$L$5:$L$34,$AE884)*Paramètres!$E$28*$AG884*$AJ884,Paramètres!$F$28),0)</f>
        <v>0.008</v>
      </c>
      <c r="S884" s="20" t="n">
        <f aca="false" t="array" ref="S884:S884">IF(AND(INDEX(Profils!$M$5:$M$34,$AE884)&gt;0,INDEX(Profils!$AB$5:$AB$34,$AE884)&lt;=$AH884),ROUND(INDEX(Profils!$M$5:$M$34,$AE884)*Paramètres!$E$29*$AG884*$AJ884,Paramètres!$F$29),0)</f>
        <v>0.006</v>
      </c>
      <c r="T884" s="20" t="n">
        <f aca="false" t="array" ref="T884:T884">IF(AND(INDEX(Profils!$N$5:$N$34,$AE884)&gt;0,INDEX(Profils!$AC$5:$AC$34,$AE884)&lt;=$AH884),ROUND(INDEX(Profils!$N$5:$N$34,$AE884)*Paramètres!$E$30*$AG884*$AJ884,Paramètres!$F$30),0)</f>
        <v>0.016</v>
      </c>
      <c r="U884" s="19" t="n">
        <f aca="false" t="array" ref="U884:U884">IF(AND(INDEX(Profils!$O$5:$O$34,$AE884)&gt;0,INDEX(Profils!$AD$5:$AD$34,$AE884)&lt;=$AH884),ROUND(INDEX(Profils!$O$5:$O$34,$AE884)*Paramètres!$E$31*$AG884*$AJ884,Paramètres!$F$31),0)</f>
        <v>0</v>
      </c>
      <c r="V884" s="20" t="n">
        <f aca="false" t="array" ref="V884:V884">IF(AND(INDEX(Profils!$P$5:$P$34,$AE884)&gt;0,INDEX(Profils!$AE$5:$AE$34,$AE884)&lt;=$AH884),ROUND(INDEX(Profils!$P$5:$P$34,$AE884)*Paramètres!$E$32*$AG884*$AJ884,Paramètres!$F$32),0)</f>
        <v>0.008</v>
      </c>
      <c r="W884" s="20" t="n">
        <f aca="false" t="array" ref="W884:W884">IF(AND(INDEX(Profils!$Q$5:$Q$34,$AE884)&gt;0,INDEX(Profils!$AF$5:$AF$34,$AE884)&lt;=$AH884),ROUND(INDEX(Profils!$Q$5:$Q$34,$AE884)*Paramètres!$E$33*$AG884*$AJ884,Paramètres!$F$33),0)</f>
        <v>0</v>
      </c>
      <c r="X884" s="20" t="n">
        <f aca="false" t="array" ref="X884:X884">IF(AND(INDEX(Profils!$R$5:$R$34,$AE884)&gt;0,INDEX(Profils!$AG$5:$AG$34,$AE884)&lt;=$AH884),ROUND(INDEX(Profils!$R$5:$R$34,$AE884)*Paramètres!$E$34*$AG884*$AJ884,Paramètres!$F$34),0)</f>
        <v>0</v>
      </c>
      <c r="Y884" s="20" t="n">
        <f aca="false" t="array" ref="Y884:Y884">IF(AND(INDEX(Profils!$S$5:$S$34,$AE884)&gt;0,INDEX(Profils!$AH$5:$AH$34,$AE884)&lt;=$AH884),ROUND(INDEX(Profils!$S$5:$S$34,$AE884)*Paramètres!$E$35*$AG884*$AJ884,Paramètres!$F$35),0)</f>
        <v>0</v>
      </c>
      <c r="Z884" s="21" t="n">
        <f aca="false">ROUND(L884/Paramètres!$E$22+M884/Paramètres!$E$23+N884/Paramètres!$E$24+O884/Paramètres!$E$25+P884/Paramètres!$E$26+Q884/Paramètres!$E$27+R884/Paramètres!$E$28+S884/Paramètres!$E$29+T884/Paramètres!$E$30+U884/Paramètres!$E$31+V884/Paramètres!$E$32+W884/Paramètres!$E$33+X884/Paramètres!$E$34+Y884/Paramètres!$E$35,1)</f>
        <v>3.4</v>
      </c>
      <c r="AA884" s="22" t="s">
        <v>109</v>
      </c>
      <c r="AB884" s="22" t="s">
        <v>109</v>
      </c>
      <c r="AC884" s="15" t="str">
        <f aca="false">$E884</f>
        <v>frêne</v>
      </c>
      <c r="AD884" s="16" t="n">
        <f aca="false" t="array" ref="AD884:AD884">IF($I884&gt;=$AI884,"Max",ROUND(Paramètres!$B$40*($I884+1)^Paramètres!$B$41*INDEX(Paramètres!$H$6:$H$12,$AF884),0))</f>
        <v>6</v>
      </c>
      <c r="AE884" s="23" t="n">
        <f aca="false">MATCH($B884&amp;"|"&amp;$C884,Profils!$A$5:$A$34,0)</f>
        <v>29</v>
      </c>
      <c r="AF884" s="23" t="n">
        <v>5</v>
      </c>
      <c r="AG884" s="24" t="n">
        <f aca="false" t="array" ref="AG884:AG884">INDEX(Paramètres!$C$6:$C$12,$AF884)</f>
        <v>2.1</v>
      </c>
      <c r="AH884" s="23" t="n">
        <f aca="false" t="array" ref="AH884:AH884">INDEX(Paramètres!$D$6:$D$12,$AF884)</f>
        <v>6</v>
      </c>
      <c r="AI884" s="23" t="n">
        <f aca="false" t="array" ref="AI884:AI884">INDEX(Matériaux!$C$16:$C$20,$D884)</f>
        <v>20</v>
      </c>
      <c r="AJ884" s="25" t="n">
        <f aca="false">Paramètres!$B$16+(1-Paramètres!$B$16)*(($J884-Paramètres!$B$14)/(Paramètres!$B$15-Paramètres!$B$14))^Paramètres!$B$17</f>
        <v>0.140847925475674</v>
      </c>
    </row>
    <row r="885" customFormat="false" ht="15.75" hidden="false" customHeight="true" outlineLevel="0" collapsed="false">
      <c r="A885" s="14" t="s">
        <v>1001</v>
      </c>
      <c r="B885" s="15" t="s">
        <v>31</v>
      </c>
      <c r="C885" s="15" t="s">
        <v>369</v>
      </c>
      <c r="D885" s="16" t="n">
        <v>2</v>
      </c>
      <c r="E885" s="15" t="str">
        <f aca="false" t="array" ref="E885:E885">INDEX(Matériaux!$B$5:$F$12,MATCH(INDEX(Profils!$E$5:$E$34,$AE885),Matériaux!$A$5:$A$12,0),$D885)</f>
        <v>frêne</v>
      </c>
      <c r="F885" s="30" t="s">
        <v>119</v>
      </c>
      <c r="G885" s="10" t="str">
        <f aca="false" t="array" ref="G885:G885">INDEX(Profils!$D$5:$D$34,$AE885)&amp;" en "&amp;$E885</f>
        <v>Arc en frêne</v>
      </c>
      <c r="H885" s="16" t="n">
        <f aca="false" t="array" ref="H885:H885">INDEX(Matériaux!$B$16:$B$20,$D885)</f>
        <v>15</v>
      </c>
      <c r="I885" s="16" t="n">
        <f aca="false">IF(ISNUMBER($C$3),MIN(MAX(0,ROUND($C$3,0)),$AI885),$AI885)</f>
        <v>0</v>
      </c>
      <c r="J885" s="18" t="n">
        <f aca="false">$H885+$I885</f>
        <v>15</v>
      </c>
      <c r="K885" s="15" t="s">
        <v>109</v>
      </c>
      <c r="L885" s="19" t="n">
        <f aca="false" t="array" ref="L885:L885">IF(AND(INDEX(Profils!$F$5:$F$34,$AE885)&gt;0,INDEX(Profils!$U$5:$U$34,$AE885)&lt;=$AH885),ROUND(INDEX(Profils!$F$5:$F$34,$AE885)*Paramètres!$E$22*$AG885*$AJ885,Paramètres!$F$22),0)</f>
        <v>5</v>
      </c>
      <c r="M885" s="19" t="n">
        <f aca="false" t="array" ref="M885:M885">IF(AND(INDEX(Profils!$G$5:$G$34,$AE885)&gt;0,INDEX(Profils!$V$5:$V$34,$AE885)&lt;=$AH885),ROUND(INDEX(Profils!$G$5:$G$34,$AE885)*Paramètres!$E$23*$AG885*$AJ885,Paramètres!$F$23),0)</f>
        <v>11</v>
      </c>
      <c r="N885" s="19" t="n">
        <f aca="false" t="array" ref="N885:N885">IF(AND(INDEX(Profils!$H$5:$H$34,$AE885)&gt;0,INDEX(Profils!$W$5:$W$34,$AE885)&lt;=$AH885),ROUND(INDEX(Profils!$H$5:$H$34,$AE885)*Paramètres!$E$24*$AG885*$AJ885,Paramètres!$F$24),0)</f>
        <v>0</v>
      </c>
      <c r="O885" s="19" t="n">
        <f aca="false" t="array" ref="O885:O885">IF(AND(INDEX(Profils!$I$5:$I$34,$AE885)&gt;0,INDEX(Profils!$X$5:$X$34,$AE885)&lt;=$AH885),ROUND(INDEX(Profils!$I$5:$I$34,$AE885)*Paramètres!$E$25*$AG885*$AJ885,Paramètres!$F$25),0)</f>
        <v>0</v>
      </c>
      <c r="P885" s="19" t="n">
        <f aca="false" t="array" ref="P885:P885">IF(AND(INDEX(Profils!$J$5:$J$34,$AE885)&gt;0,INDEX(Profils!$Y$5:$Y$34,$AE885)&lt;=$AH885),ROUND(INDEX(Profils!$J$5:$J$34,$AE885)*Paramètres!$E$26*$AG885*$AJ885,Paramètres!$F$26),0)</f>
        <v>8</v>
      </c>
      <c r="Q885" s="19" t="n">
        <f aca="false" t="array" ref="Q885:Q885">IF(AND(INDEX(Profils!$K$5:$K$34,$AE885)&gt;0,INDEX(Profils!$Z$5:$Z$34,$AE885)&lt;=$AH885),ROUND(INDEX(Profils!$K$5:$K$34,$AE885)*Paramètres!$E$27*$AG885*$AJ885,Paramètres!$F$27),0)</f>
        <v>0</v>
      </c>
      <c r="R885" s="20" t="n">
        <f aca="false" t="array" ref="R885:R885">IF(AND(INDEX(Profils!$L$5:$L$34,$AE885)&gt;0,INDEX(Profils!$AA$5:$AA$34,$AE885)&lt;=$AH885),ROUND(INDEX(Profils!$L$5:$L$34,$AE885)*Paramètres!$E$28*$AG885*$AJ885,Paramètres!$F$28),0)</f>
        <v>0.009</v>
      </c>
      <c r="S885" s="20" t="n">
        <f aca="false" t="array" ref="S885:S885">IF(AND(INDEX(Profils!$M$5:$M$34,$AE885)&gt;0,INDEX(Profils!$AB$5:$AB$34,$AE885)&lt;=$AH885),ROUND(INDEX(Profils!$M$5:$M$34,$AE885)*Paramètres!$E$29*$AG885*$AJ885,Paramètres!$F$29),0)</f>
        <v>0.007</v>
      </c>
      <c r="T885" s="20" t="n">
        <f aca="false" t="array" ref="T885:T885">IF(AND(INDEX(Profils!$N$5:$N$34,$AE885)&gt;0,INDEX(Profils!$AC$5:$AC$34,$AE885)&lt;=$AH885),ROUND(INDEX(Profils!$N$5:$N$34,$AE885)*Paramètres!$E$30*$AG885*$AJ885,Paramètres!$F$30),0)</f>
        <v>0.018</v>
      </c>
      <c r="U885" s="19" t="n">
        <f aca="false" t="array" ref="U885:U885">IF(AND(INDEX(Profils!$O$5:$O$34,$AE885)&gt;0,INDEX(Profils!$AD$5:$AD$34,$AE885)&lt;=$AH885),ROUND(INDEX(Profils!$O$5:$O$34,$AE885)*Paramètres!$E$31*$AG885*$AJ885,Paramètres!$F$31),0)</f>
        <v>0</v>
      </c>
      <c r="V885" s="20" t="n">
        <f aca="false" t="array" ref="V885:V885">IF(AND(INDEX(Profils!$P$5:$P$34,$AE885)&gt;0,INDEX(Profils!$AE$5:$AE$34,$AE885)&lt;=$AH885),ROUND(INDEX(Profils!$P$5:$P$34,$AE885)*Paramètres!$E$32*$AG885*$AJ885,Paramètres!$F$32),0)</f>
        <v>0.009</v>
      </c>
      <c r="W885" s="20" t="n">
        <f aca="false" t="array" ref="W885:W885">IF(AND(INDEX(Profils!$Q$5:$Q$34,$AE885)&gt;0,INDEX(Profils!$AF$5:$AF$34,$AE885)&lt;=$AH885),ROUND(INDEX(Profils!$Q$5:$Q$34,$AE885)*Paramètres!$E$33*$AG885*$AJ885,Paramètres!$F$33),0)</f>
        <v>0</v>
      </c>
      <c r="X885" s="20" t="n">
        <f aca="false" t="array" ref="X885:X885">IF(AND(INDEX(Profils!$R$5:$R$34,$AE885)&gt;0,INDEX(Profils!$AG$5:$AG$34,$AE885)&lt;=$AH885),ROUND(INDEX(Profils!$R$5:$R$34,$AE885)*Paramètres!$E$34*$AG885*$AJ885,Paramètres!$F$34),0)</f>
        <v>0</v>
      </c>
      <c r="Y885" s="20" t="n">
        <f aca="false" t="array" ref="Y885:Y885">IF(AND(INDEX(Profils!$S$5:$S$34,$AE885)&gt;0,INDEX(Profils!$AH$5:$AH$34,$AE885)&lt;=$AH885),ROUND(INDEX(Profils!$S$5:$S$34,$AE885)*Paramètres!$E$35*$AG885*$AJ885,Paramètres!$F$35),0)</f>
        <v>0</v>
      </c>
      <c r="Z885" s="21" t="n">
        <f aca="false">ROUND(L885/Paramètres!$E$22+M885/Paramètres!$E$23+N885/Paramètres!$E$24+O885/Paramètres!$E$25+P885/Paramètres!$E$26+Q885/Paramètres!$E$27+R885/Paramètres!$E$28+S885/Paramètres!$E$29+T885/Paramètres!$E$30+U885/Paramètres!$E$31+V885/Paramètres!$E$32+W885/Paramètres!$E$33+X885/Paramètres!$E$34+Y885/Paramètres!$E$35,1)</f>
        <v>4</v>
      </c>
      <c r="AA885" s="22" t="s">
        <v>109</v>
      </c>
      <c r="AB885" s="22" t="s">
        <v>109</v>
      </c>
      <c r="AC885" s="15" t="str">
        <f aca="false">$E885</f>
        <v>frêne</v>
      </c>
      <c r="AD885" s="16" t="n">
        <f aca="false" t="array" ref="AD885:AD885">IF($I885&gt;=$AI885,"Max",ROUND(Paramètres!$B$40*($I885+1)^Paramètres!$B$41*INDEX(Paramètres!$H$6:$H$12,$AF885),0))</f>
        <v>8</v>
      </c>
      <c r="AE885" s="23" t="n">
        <f aca="false">MATCH($B885&amp;"|"&amp;$C885,Profils!$A$5:$A$34,0)</f>
        <v>29</v>
      </c>
      <c r="AF885" s="23" t="n">
        <v>6</v>
      </c>
      <c r="AG885" s="24" t="n">
        <f aca="false" t="array" ref="AG885:AG885">INDEX(Paramètres!$C$6:$C$12,$AF885)</f>
        <v>2.4</v>
      </c>
      <c r="AH885" s="23" t="n">
        <f aca="false" t="array" ref="AH885:AH885">INDEX(Paramètres!$D$6:$D$12,$AF885)</f>
        <v>7</v>
      </c>
      <c r="AI885" s="23" t="n">
        <f aca="false" t="array" ref="AI885:AI885">INDEX(Matériaux!$C$16:$C$20,$D885)</f>
        <v>20</v>
      </c>
      <c r="AJ885" s="25" t="n">
        <f aca="false">Paramètres!$B$16+(1-Paramètres!$B$16)*(($J885-Paramètres!$B$14)/(Paramètres!$B$15-Paramètres!$B$14))^Paramètres!$B$17</f>
        <v>0.140847925475674</v>
      </c>
    </row>
    <row r="886" customFormat="false" ht="15.75" hidden="false" customHeight="true" outlineLevel="0" collapsed="false">
      <c r="A886" s="14" t="s">
        <v>1002</v>
      </c>
      <c r="B886" s="15" t="s">
        <v>31</v>
      </c>
      <c r="C886" s="15" t="s">
        <v>369</v>
      </c>
      <c r="D886" s="16" t="n">
        <v>3</v>
      </c>
      <c r="E886" s="15" t="str">
        <f aca="false" t="array" ref="E886:E886">INDEX(Matériaux!$B$5:$F$12,MATCH(INDEX(Profils!$E$5:$E$34,$AE886),Matériaux!$A$5:$A$12,0),$D886)</f>
        <v>if</v>
      </c>
      <c r="F886" s="17" t="s">
        <v>108</v>
      </c>
      <c r="G886" s="10" t="str">
        <f aca="false" t="array" ref="G886:G886">INDEX(Profils!$D$5:$D$34,$AE886)&amp;" en "&amp;$E886</f>
        <v>Arc en if</v>
      </c>
      <c r="H886" s="16" t="n">
        <f aca="false" t="array" ref="H886:H886">INDEX(Matériaux!$B$16:$B$20,$D886)</f>
        <v>30</v>
      </c>
      <c r="I886" s="16" t="n">
        <f aca="false">IF(ISNUMBER($C$3),MIN(MAX(0,ROUND($C$3,0)),$AI886),$AI886)</f>
        <v>0</v>
      </c>
      <c r="J886" s="18" t="n">
        <f aca="false">$H886+$I886</f>
        <v>30</v>
      </c>
      <c r="K886" s="15" t="s">
        <v>109</v>
      </c>
      <c r="L886" s="19" t="n">
        <f aca="false" t="array" ref="L886:L886">IF(AND(INDEX(Profils!$F$5:$F$34,$AE886)&gt;0,INDEX(Profils!$U$5:$U$34,$AE886)&lt;=$AH886),ROUND(INDEX(Profils!$F$5:$F$34,$AE886)*Paramètres!$E$22*$AG886*$AJ886,Paramètres!$F$22),0)</f>
        <v>0</v>
      </c>
      <c r="M886" s="19" t="n">
        <f aca="false" t="array" ref="M886:M886">IF(AND(INDEX(Profils!$G$5:$G$34,$AE886)&gt;0,INDEX(Profils!$V$5:$V$34,$AE886)&lt;=$AH886),ROUND(INDEX(Profils!$G$5:$G$34,$AE886)*Paramètres!$E$23*$AG886*$AJ886,Paramètres!$F$23),0)</f>
        <v>9</v>
      </c>
      <c r="N886" s="19" t="n">
        <f aca="false" t="array" ref="N886:N886">IF(AND(INDEX(Profils!$H$5:$H$34,$AE886)&gt;0,INDEX(Profils!$W$5:$W$34,$AE886)&lt;=$AH886),ROUND(INDEX(Profils!$H$5:$H$34,$AE886)*Paramètres!$E$24*$AG886*$AJ886,Paramètres!$F$24),0)</f>
        <v>0</v>
      </c>
      <c r="O886" s="19" t="n">
        <f aca="false" t="array" ref="O886:O886">IF(AND(INDEX(Profils!$I$5:$I$34,$AE886)&gt;0,INDEX(Profils!$X$5:$X$34,$AE886)&lt;=$AH886),ROUND(INDEX(Profils!$I$5:$I$34,$AE886)*Paramètres!$E$25*$AG886*$AJ886,Paramètres!$F$25),0)</f>
        <v>0</v>
      </c>
      <c r="P886" s="19" t="n">
        <f aca="false" t="array" ref="P886:P886">IF(AND(INDEX(Profils!$J$5:$J$34,$AE886)&gt;0,INDEX(Profils!$Y$5:$Y$34,$AE886)&lt;=$AH886),ROUND(INDEX(Profils!$J$5:$J$34,$AE886)*Paramètres!$E$26*$AG886*$AJ886,Paramètres!$F$26),0)</f>
        <v>6</v>
      </c>
      <c r="Q886" s="19" t="n">
        <f aca="false" t="array" ref="Q886:Q886">IF(AND(INDEX(Profils!$K$5:$K$34,$AE886)&gt;0,INDEX(Profils!$Z$5:$Z$34,$AE886)&lt;=$AH886),ROUND(INDEX(Profils!$K$5:$K$34,$AE886)*Paramètres!$E$27*$AG886*$AJ886,Paramètres!$F$27),0)</f>
        <v>0</v>
      </c>
      <c r="R886" s="20" t="n">
        <f aca="false" t="array" ref="R886:R886">IF(AND(INDEX(Profils!$L$5:$L$34,$AE886)&gt;0,INDEX(Profils!$AA$5:$AA$34,$AE886)&lt;=$AH886),ROUND(INDEX(Profils!$L$5:$L$34,$AE886)*Paramètres!$E$28*$AG886*$AJ886,Paramètres!$F$28),0)</f>
        <v>0</v>
      </c>
      <c r="S886" s="20" t="n">
        <f aca="false" t="array" ref="S886:S886">IF(AND(INDEX(Profils!$M$5:$M$34,$AE886)&gt;0,INDEX(Profils!$AB$5:$AB$34,$AE886)&lt;=$AH886),ROUND(INDEX(Profils!$M$5:$M$34,$AE886)*Paramètres!$E$29*$AG886*$AJ886,Paramètres!$F$29),0)</f>
        <v>0</v>
      </c>
      <c r="T886" s="20" t="n">
        <f aca="false" t="array" ref="T886:T886">IF(AND(INDEX(Profils!$N$5:$N$34,$AE886)&gt;0,INDEX(Profils!$AC$5:$AC$34,$AE886)&lt;=$AH886),ROUND(INDEX(Profils!$N$5:$N$34,$AE886)*Paramètres!$E$30*$AG886*$AJ886,Paramètres!$F$30),0)</f>
        <v>0</v>
      </c>
      <c r="U886" s="19" t="n">
        <f aca="false" t="array" ref="U886:U886">IF(AND(INDEX(Profils!$O$5:$O$34,$AE886)&gt;0,INDEX(Profils!$AD$5:$AD$34,$AE886)&lt;=$AH886),ROUND(INDEX(Profils!$O$5:$O$34,$AE886)*Paramètres!$E$31*$AG886*$AJ886,Paramètres!$F$31),0)</f>
        <v>0</v>
      </c>
      <c r="V886" s="20" t="n">
        <f aca="false" t="array" ref="V886:V886">IF(AND(INDEX(Profils!$P$5:$P$34,$AE886)&gt;0,INDEX(Profils!$AE$5:$AE$34,$AE886)&lt;=$AH886),ROUND(INDEX(Profils!$P$5:$P$34,$AE886)*Paramètres!$E$32*$AG886*$AJ886,Paramètres!$F$32),0)</f>
        <v>0</v>
      </c>
      <c r="W886" s="20" t="n">
        <f aca="false" t="array" ref="W886:W886">IF(AND(INDEX(Profils!$Q$5:$Q$34,$AE886)&gt;0,INDEX(Profils!$AF$5:$AF$34,$AE886)&lt;=$AH886),ROUND(INDEX(Profils!$Q$5:$Q$34,$AE886)*Paramètres!$E$33*$AG886*$AJ886,Paramètres!$F$33),0)</f>
        <v>0</v>
      </c>
      <c r="X886" s="20" t="n">
        <f aca="false" t="array" ref="X886:X886">IF(AND(INDEX(Profils!$R$5:$R$34,$AE886)&gt;0,INDEX(Profils!$AG$5:$AG$34,$AE886)&lt;=$AH886),ROUND(INDEX(Profils!$R$5:$R$34,$AE886)*Paramètres!$E$34*$AG886*$AJ886,Paramètres!$F$34),0)</f>
        <v>0</v>
      </c>
      <c r="Y886" s="20" t="n">
        <f aca="false" t="array" ref="Y886:Y886">IF(AND(INDEX(Profils!$S$5:$S$34,$AE886)&gt;0,INDEX(Profils!$AH$5:$AH$34,$AE886)&lt;=$AH886),ROUND(INDEX(Profils!$S$5:$S$34,$AE886)*Paramètres!$E$35*$AG886*$AJ886,Paramètres!$F$35),0)</f>
        <v>0</v>
      </c>
      <c r="Z886" s="21" t="n">
        <f aca="false">ROUND(L886/Paramètres!$E$22+M886/Paramètres!$E$23+N886/Paramètres!$E$24+O886/Paramètres!$E$25+P886/Paramètres!$E$26+Q886/Paramètres!$E$27+R886/Paramètres!$E$28+S886/Paramètres!$E$29+T886/Paramètres!$E$30+U886/Paramètres!$E$31+V886/Paramètres!$E$32+W886/Paramètres!$E$33+X886/Paramètres!$E$34+Y886/Paramètres!$E$35,1)</f>
        <v>1.1</v>
      </c>
      <c r="AA886" s="22" t="s">
        <v>109</v>
      </c>
      <c r="AB886" s="22" t="s">
        <v>109</v>
      </c>
      <c r="AC886" s="15" t="str">
        <f aca="false">$E886</f>
        <v>if</v>
      </c>
      <c r="AD886" s="16" t="n">
        <f aca="false" t="array" ref="AD886:AD886">IF($I886&gt;=$AI886,"Max",ROUND(Paramètres!$B$40*($I886+1)^Paramètres!$B$41*INDEX(Paramètres!$H$6:$H$12,$AF886),0))</f>
        <v>3</v>
      </c>
      <c r="AE886" s="23" t="n">
        <f aca="false">MATCH($B886&amp;"|"&amp;$C886,Profils!$A$5:$A$34,0)</f>
        <v>29</v>
      </c>
      <c r="AF886" s="23" t="n">
        <v>1</v>
      </c>
      <c r="AG886" s="24" t="n">
        <f aca="false" t="array" ref="AG886:AG886">INDEX(Paramètres!$C$6:$C$12,$AF886)</f>
        <v>1</v>
      </c>
      <c r="AH886" s="23" t="n">
        <f aca="false" t="array" ref="AH886:AH886">INDEX(Paramètres!$D$6:$D$12,$AF886)</f>
        <v>2</v>
      </c>
      <c r="AI886" s="23" t="n">
        <f aca="false" t="array" ref="AI886:AI886">INDEX(Matériaux!$C$16:$C$20,$D886)</f>
        <v>25</v>
      </c>
      <c r="AJ886" s="25" t="n">
        <f aca="false">Paramètres!$B$16+(1-Paramètres!$B$16)*(($J886-Paramètres!$B$14)/(Paramètres!$B$15-Paramètres!$B$14))^Paramètres!$B$17</f>
        <v>0.26769024555533</v>
      </c>
    </row>
    <row r="887" customFormat="false" ht="15.75" hidden="false" customHeight="true" outlineLevel="0" collapsed="false">
      <c r="A887" s="14" t="s">
        <v>1003</v>
      </c>
      <c r="B887" s="15" t="s">
        <v>31</v>
      </c>
      <c r="C887" s="15" t="s">
        <v>369</v>
      </c>
      <c r="D887" s="16" t="n">
        <v>3</v>
      </c>
      <c r="E887" s="15" t="str">
        <f aca="false" t="array" ref="E887:E887">INDEX(Matériaux!$B$5:$F$12,MATCH(INDEX(Profils!$E$5:$E$34,$AE887),Matériaux!$A$5:$A$12,0),$D887)</f>
        <v>if</v>
      </c>
      <c r="F887" s="26" t="s">
        <v>111</v>
      </c>
      <c r="G887" s="10" t="str">
        <f aca="false" t="array" ref="G887:G887">INDEX(Profils!$D$5:$D$34,$AE887)&amp;" en "&amp;$E887</f>
        <v>Arc en if</v>
      </c>
      <c r="H887" s="16" t="n">
        <f aca="false" t="array" ref="H887:H887">INDEX(Matériaux!$B$16:$B$20,$D887)</f>
        <v>30</v>
      </c>
      <c r="I887" s="16" t="n">
        <f aca="false">IF(ISNUMBER($C$3),MIN(MAX(0,ROUND($C$3,0)),$AI887),$AI887)</f>
        <v>0</v>
      </c>
      <c r="J887" s="18" t="n">
        <f aca="false">$H887+$I887</f>
        <v>30</v>
      </c>
      <c r="K887" s="15" t="s">
        <v>109</v>
      </c>
      <c r="L887" s="19" t="n">
        <f aca="false" t="array" ref="L887:L887">IF(AND(INDEX(Profils!$F$5:$F$34,$AE887)&gt;0,INDEX(Profils!$U$5:$U$34,$AE887)&lt;=$AH887),ROUND(INDEX(Profils!$F$5:$F$34,$AE887)*Paramètres!$E$22*$AG887*$AJ887,Paramètres!$F$22),0)</f>
        <v>0</v>
      </c>
      <c r="M887" s="19" t="n">
        <f aca="false" t="array" ref="M887:M887">IF(AND(INDEX(Profils!$G$5:$G$34,$AE887)&gt;0,INDEX(Profils!$V$5:$V$34,$AE887)&lt;=$AH887),ROUND(INDEX(Profils!$G$5:$G$34,$AE887)*Paramètres!$E$23*$AG887*$AJ887,Paramètres!$F$23),0)</f>
        <v>11</v>
      </c>
      <c r="N887" s="19" t="n">
        <f aca="false" t="array" ref="N887:N887">IF(AND(INDEX(Profils!$H$5:$H$34,$AE887)&gt;0,INDEX(Profils!$W$5:$W$34,$AE887)&lt;=$AH887),ROUND(INDEX(Profils!$H$5:$H$34,$AE887)*Paramètres!$E$24*$AG887*$AJ887,Paramètres!$F$24),0)</f>
        <v>0</v>
      </c>
      <c r="O887" s="19" t="n">
        <f aca="false" t="array" ref="O887:O887">IF(AND(INDEX(Profils!$I$5:$I$34,$AE887)&gt;0,INDEX(Profils!$X$5:$X$34,$AE887)&lt;=$AH887),ROUND(INDEX(Profils!$I$5:$I$34,$AE887)*Paramètres!$E$25*$AG887*$AJ887,Paramètres!$F$25),0)</f>
        <v>0</v>
      </c>
      <c r="P887" s="19" t="n">
        <f aca="false" t="array" ref="P887:P887">IF(AND(INDEX(Profils!$J$5:$J$34,$AE887)&gt;0,INDEX(Profils!$Y$5:$Y$34,$AE887)&lt;=$AH887),ROUND(INDEX(Profils!$J$5:$J$34,$AE887)*Paramètres!$E$26*$AG887*$AJ887,Paramètres!$F$26),0)</f>
        <v>8</v>
      </c>
      <c r="Q887" s="19" t="n">
        <f aca="false" t="array" ref="Q887:Q887">IF(AND(INDEX(Profils!$K$5:$K$34,$AE887)&gt;0,INDEX(Profils!$Z$5:$Z$34,$AE887)&lt;=$AH887),ROUND(INDEX(Profils!$K$5:$K$34,$AE887)*Paramètres!$E$27*$AG887*$AJ887,Paramètres!$F$27),0)</f>
        <v>0</v>
      </c>
      <c r="R887" s="20" t="n">
        <f aca="false" t="array" ref="R887:R887">IF(AND(INDEX(Profils!$L$5:$L$34,$AE887)&gt;0,INDEX(Profils!$AA$5:$AA$34,$AE887)&lt;=$AH887),ROUND(INDEX(Profils!$L$5:$L$34,$AE887)*Paramètres!$E$28*$AG887*$AJ887,Paramètres!$F$28),0)</f>
        <v>0.009</v>
      </c>
      <c r="S887" s="20" t="n">
        <f aca="false" t="array" ref="S887:S887">IF(AND(INDEX(Profils!$M$5:$M$34,$AE887)&gt;0,INDEX(Profils!$AB$5:$AB$34,$AE887)&lt;=$AH887),ROUND(INDEX(Profils!$M$5:$M$34,$AE887)*Paramètres!$E$29*$AG887*$AJ887,Paramètres!$F$29),0)</f>
        <v>0</v>
      </c>
      <c r="T887" s="20" t="n">
        <f aca="false" t="array" ref="T887:T887">IF(AND(INDEX(Profils!$N$5:$N$34,$AE887)&gt;0,INDEX(Profils!$AC$5:$AC$34,$AE887)&lt;=$AH887),ROUND(INDEX(Profils!$N$5:$N$34,$AE887)*Paramètres!$E$30*$AG887*$AJ887,Paramètres!$F$30),0)</f>
        <v>0</v>
      </c>
      <c r="U887" s="19" t="n">
        <f aca="false" t="array" ref="U887:U887">IF(AND(INDEX(Profils!$O$5:$O$34,$AE887)&gt;0,INDEX(Profils!$AD$5:$AD$34,$AE887)&lt;=$AH887),ROUND(INDEX(Profils!$O$5:$O$34,$AE887)*Paramètres!$E$31*$AG887*$AJ887,Paramètres!$F$31),0)</f>
        <v>0</v>
      </c>
      <c r="V887" s="20" t="n">
        <f aca="false" t="array" ref="V887:V887">IF(AND(INDEX(Profils!$P$5:$P$34,$AE887)&gt;0,INDEX(Profils!$AE$5:$AE$34,$AE887)&lt;=$AH887),ROUND(INDEX(Profils!$P$5:$P$34,$AE887)*Paramètres!$E$32*$AG887*$AJ887,Paramètres!$F$32),0)</f>
        <v>0</v>
      </c>
      <c r="W887" s="20" t="n">
        <f aca="false" t="array" ref="W887:W887">IF(AND(INDEX(Profils!$Q$5:$Q$34,$AE887)&gt;0,INDEX(Profils!$AF$5:$AF$34,$AE887)&lt;=$AH887),ROUND(INDEX(Profils!$Q$5:$Q$34,$AE887)*Paramètres!$E$33*$AG887*$AJ887,Paramètres!$F$33),0)</f>
        <v>0</v>
      </c>
      <c r="X887" s="20" t="n">
        <f aca="false" t="array" ref="X887:X887">IF(AND(INDEX(Profils!$R$5:$R$34,$AE887)&gt;0,INDEX(Profils!$AG$5:$AG$34,$AE887)&lt;=$AH887),ROUND(INDEX(Profils!$R$5:$R$34,$AE887)*Paramètres!$E$34*$AG887*$AJ887,Paramètres!$F$34),0)</f>
        <v>0</v>
      </c>
      <c r="Y887" s="20" t="n">
        <f aca="false" t="array" ref="Y887:Y887">IF(AND(INDEX(Profils!$S$5:$S$34,$AE887)&gt;0,INDEX(Profils!$AH$5:$AH$34,$AE887)&lt;=$AH887),ROUND(INDEX(Profils!$S$5:$S$34,$AE887)*Paramètres!$E$35*$AG887*$AJ887,Paramètres!$F$35),0)</f>
        <v>0</v>
      </c>
      <c r="Z887" s="21" t="n">
        <f aca="false">ROUND(L887/Paramètres!$E$22+M887/Paramètres!$E$23+N887/Paramètres!$E$24+O887/Paramètres!$E$25+P887/Paramètres!$E$26+Q887/Paramètres!$E$27+R887/Paramètres!$E$28+S887/Paramètres!$E$29+T887/Paramètres!$E$30+U887/Paramètres!$E$31+V887/Paramètres!$E$32+W887/Paramètres!$E$33+X887/Paramètres!$E$34+Y887/Paramètres!$E$35,1)</f>
        <v>2</v>
      </c>
      <c r="AA887" s="22" t="s">
        <v>109</v>
      </c>
      <c r="AB887" s="22" t="s">
        <v>109</v>
      </c>
      <c r="AC887" s="15" t="str">
        <f aca="false">$E887</f>
        <v>if</v>
      </c>
      <c r="AD887" s="16" t="n">
        <f aca="false" t="array" ref="AD887:AD887">IF($I887&gt;=$AI887,"Max",ROUND(Paramètres!$B$40*($I887+1)^Paramètres!$B$41*INDEX(Paramètres!$H$6:$H$12,$AF887),0))</f>
        <v>4</v>
      </c>
      <c r="AE887" s="23" t="n">
        <f aca="false">MATCH($B887&amp;"|"&amp;$C887,Profils!$A$5:$A$34,0)</f>
        <v>29</v>
      </c>
      <c r="AF887" s="23" t="n">
        <v>2</v>
      </c>
      <c r="AG887" s="24" t="n">
        <f aca="false" t="array" ref="AG887:AG887">INDEX(Paramètres!$C$6:$C$12,$AF887)</f>
        <v>1.2</v>
      </c>
      <c r="AH887" s="23" t="n">
        <f aca="false" t="array" ref="AH887:AH887">INDEX(Paramètres!$D$6:$D$12,$AF887)</f>
        <v>3</v>
      </c>
      <c r="AI887" s="23" t="n">
        <f aca="false" t="array" ref="AI887:AI887">INDEX(Matériaux!$C$16:$C$20,$D887)</f>
        <v>25</v>
      </c>
      <c r="AJ887" s="25" t="n">
        <f aca="false">Paramètres!$B$16+(1-Paramètres!$B$16)*(($J887-Paramètres!$B$14)/(Paramètres!$B$15-Paramètres!$B$14))^Paramètres!$B$17</f>
        <v>0.26769024555533</v>
      </c>
    </row>
    <row r="888" customFormat="false" ht="15.75" hidden="false" customHeight="true" outlineLevel="0" collapsed="false">
      <c r="A888" s="14" t="s">
        <v>1004</v>
      </c>
      <c r="B888" s="15" t="s">
        <v>31</v>
      </c>
      <c r="C888" s="15" t="s">
        <v>369</v>
      </c>
      <c r="D888" s="16" t="n">
        <v>3</v>
      </c>
      <c r="E888" s="15" t="str">
        <f aca="false" t="array" ref="E888:E888">INDEX(Matériaux!$B$5:$F$12,MATCH(INDEX(Profils!$E$5:$E$34,$AE888),Matériaux!$A$5:$A$12,0),$D888)</f>
        <v>if</v>
      </c>
      <c r="F888" s="27" t="s">
        <v>113</v>
      </c>
      <c r="G888" s="10" t="str">
        <f aca="false" t="array" ref="G888:G888">INDEX(Profils!$D$5:$D$34,$AE888)&amp;" en "&amp;$E888</f>
        <v>Arc en if</v>
      </c>
      <c r="H888" s="16" t="n">
        <f aca="false" t="array" ref="H888:H888">INDEX(Matériaux!$B$16:$B$20,$D888)</f>
        <v>30</v>
      </c>
      <c r="I888" s="16" t="n">
        <f aca="false">IF(ISNUMBER($C$3),MIN(MAX(0,ROUND($C$3,0)),$AI888),$AI888)</f>
        <v>0</v>
      </c>
      <c r="J888" s="18" t="n">
        <f aca="false">$H888+$I888</f>
        <v>30</v>
      </c>
      <c r="K888" s="15" t="s">
        <v>109</v>
      </c>
      <c r="L888" s="19" t="n">
        <f aca="false" t="array" ref="L888:L888">IF(AND(INDEX(Profils!$F$5:$F$34,$AE888)&gt;0,INDEX(Profils!$U$5:$U$34,$AE888)&lt;=$AH888),ROUND(INDEX(Profils!$F$5:$F$34,$AE888)*Paramètres!$E$22*$AG888*$AJ888,Paramètres!$F$22),0)</f>
        <v>0</v>
      </c>
      <c r="M888" s="19" t="n">
        <f aca="false" t="array" ref="M888:M888">IF(AND(INDEX(Profils!$G$5:$G$34,$AE888)&gt;0,INDEX(Profils!$V$5:$V$34,$AE888)&lt;=$AH888),ROUND(INDEX(Profils!$G$5:$G$34,$AE888)*Paramètres!$E$23*$AG888*$AJ888,Paramètres!$F$23),0)</f>
        <v>13</v>
      </c>
      <c r="N888" s="19" t="n">
        <f aca="false" t="array" ref="N888:N888">IF(AND(INDEX(Profils!$H$5:$H$34,$AE888)&gt;0,INDEX(Profils!$W$5:$W$34,$AE888)&lt;=$AH888),ROUND(INDEX(Profils!$H$5:$H$34,$AE888)*Paramètres!$E$24*$AG888*$AJ888,Paramètres!$F$24),0)</f>
        <v>0</v>
      </c>
      <c r="O888" s="19" t="n">
        <f aca="false" t="array" ref="O888:O888">IF(AND(INDEX(Profils!$I$5:$I$34,$AE888)&gt;0,INDEX(Profils!$X$5:$X$34,$AE888)&lt;=$AH888),ROUND(INDEX(Profils!$I$5:$I$34,$AE888)*Paramètres!$E$25*$AG888*$AJ888,Paramètres!$F$25),0)</f>
        <v>0</v>
      </c>
      <c r="P888" s="19" t="n">
        <f aca="false" t="array" ref="P888:P888">IF(AND(INDEX(Profils!$J$5:$J$34,$AE888)&gt;0,INDEX(Profils!$Y$5:$Y$34,$AE888)&lt;=$AH888),ROUND(INDEX(Profils!$J$5:$J$34,$AE888)*Paramètres!$E$26*$AG888*$AJ888,Paramètres!$F$26),0)</f>
        <v>9</v>
      </c>
      <c r="Q888" s="19" t="n">
        <f aca="false" t="array" ref="Q888:Q888">IF(AND(INDEX(Profils!$K$5:$K$34,$AE888)&gt;0,INDEX(Profils!$Z$5:$Z$34,$AE888)&lt;=$AH888),ROUND(INDEX(Profils!$K$5:$K$34,$AE888)*Paramètres!$E$27*$AG888*$AJ888,Paramètres!$F$27),0)</f>
        <v>0</v>
      </c>
      <c r="R888" s="20" t="n">
        <f aca="false" t="array" ref="R888:R888">IF(AND(INDEX(Profils!$L$5:$L$34,$AE888)&gt;0,INDEX(Profils!$AA$5:$AA$34,$AE888)&lt;=$AH888),ROUND(INDEX(Profils!$L$5:$L$34,$AE888)*Paramètres!$E$28*$AG888*$AJ888,Paramètres!$F$28),0)</f>
        <v>0.01</v>
      </c>
      <c r="S888" s="20" t="n">
        <f aca="false" t="array" ref="S888:S888">IF(AND(INDEX(Profils!$M$5:$M$34,$AE888)&gt;0,INDEX(Profils!$AB$5:$AB$34,$AE888)&lt;=$AH888),ROUND(INDEX(Profils!$M$5:$M$34,$AE888)*Paramètres!$E$29*$AG888*$AJ888,Paramètres!$F$29),0)</f>
        <v>0.008</v>
      </c>
      <c r="T888" s="20" t="n">
        <f aca="false" t="array" ref="T888:T888">IF(AND(INDEX(Profils!$N$5:$N$34,$AE888)&gt;0,INDEX(Profils!$AC$5:$AC$34,$AE888)&lt;=$AH888),ROUND(INDEX(Profils!$N$5:$N$34,$AE888)*Paramètres!$E$30*$AG888*$AJ888,Paramètres!$F$30),0)</f>
        <v>0</v>
      </c>
      <c r="U888" s="19" t="n">
        <f aca="false" t="array" ref="U888:U888">IF(AND(INDEX(Profils!$O$5:$O$34,$AE888)&gt;0,INDEX(Profils!$AD$5:$AD$34,$AE888)&lt;=$AH888),ROUND(INDEX(Profils!$O$5:$O$34,$AE888)*Paramètres!$E$31*$AG888*$AJ888,Paramètres!$F$31),0)</f>
        <v>0</v>
      </c>
      <c r="V888" s="20" t="n">
        <f aca="false" t="array" ref="V888:V888">IF(AND(INDEX(Profils!$P$5:$P$34,$AE888)&gt;0,INDEX(Profils!$AE$5:$AE$34,$AE888)&lt;=$AH888),ROUND(INDEX(Profils!$P$5:$P$34,$AE888)*Paramètres!$E$32*$AG888*$AJ888,Paramètres!$F$32),0)</f>
        <v>0</v>
      </c>
      <c r="W888" s="20" t="n">
        <f aca="false" t="array" ref="W888:W888">IF(AND(INDEX(Profils!$Q$5:$Q$34,$AE888)&gt;0,INDEX(Profils!$AF$5:$AF$34,$AE888)&lt;=$AH888),ROUND(INDEX(Profils!$Q$5:$Q$34,$AE888)*Paramètres!$E$33*$AG888*$AJ888,Paramètres!$F$33),0)</f>
        <v>0</v>
      </c>
      <c r="X888" s="20" t="n">
        <f aca="false" t="array" ref="X888:X888">IF(AND(INDEX(Profils!$R$5:$R$34,$AE888)&gt;0,INDEX(Profils!$AG$5:$AG$34,$AE888)&lt;=$AH888),ROUND(INDEX(Profils!$R$5:$R$34,$AE888)*Paramètres!$E$34*$AG888*$AJ888,Paramètres!$F$34),0)</f>
        <v>0</v>
      </c>
      <c r="Y888" s="20" t="n">
        <f aca="false" t="array" ref="Y888:Y888">IF(AND(INDEX(Profils!$S$5:$S$34,$AE888)&gt;0,INDEX(Profils!$AH$5:$AH$34,$AE888)&lt;=$AH888),ROUND(INDEX(Profils!$S$5:$S$34,$AE888)*Paramètres!$E$35*$AG888*$AJ888,Paramètres!$F$35),0)</f>
        <v>0</v>
      </c>
      <c r="Z888" s="21" t="n">
        <f aca="false">ROUND(L888/Paramètres!$E$22+M888/Paramètres!$E$23+N888/Paramètres!$E$24+O888/Paramètres!$E$25+P888/Paramètres!$E$26+Q888/Paramètres!$E$27+R888/Paramètres!$E$28+S888/Paramètres!$E$29+T888/Paramètres!$E$30+U888/Paramètres!$E$31+V888/Paramètres!$E$32+W888/Paramètres!$E$33+X888/Paramètres!$E$34+Y888/Paramètres!$E$35,1)</f>
        <v>3</v>
      </c>
      <c r="AA888" s="22" t="s">
        <v>109</v>
      </c>
      <c r="AB888" s="22" t="s">
        <v>109</v>
      </c>
      <c r="AC888" s="15" t="str">
        <f aca="false">$E888</f>
        <v>if</v>
      </c>
      <c r="AD888" s="16" t="n">
        <f aca="false" t="array" ref="AD888:AD888">IF($I888&gt;=$AI888,"Max",ROUND(Paramètres!$B$40*($I888+1)^Paramètres!$B$41*INDEX(Paramètres!$H$6:$H$12,$AF888),0))</f>
        <v>4</v>
      </c>
      <c r="AE888" s="23" t="n">
        <f aca="false">MATCH($B888&amp;"|"&amp;$C888,Profils!$A$5:$A$34,0)</f>
        <v>29</v>
      </c>
      <c r="AF888" s="23" t="n">
        <v>3</v>
      </c>
      <c r="AG888" s="24" t="n">
        <f aca="false" t="array" ref="AG888:AG888">INDEX(Paramètres!$C$6:$C$12,$AF888)</f>
        <v>1.45</v>
      </c>
      <c r="AH888" s="23" t="n">
        <f aca="false" t="array" ref="AH888:AH888">INDEX(Paramètres!$D$6:$D$12,$AF888)</f>
        <v>4</v>
      </c>
      <c r="AI888" s="23" t="n">
        <f aca="false" t="array" ref="AI888:AI888">INDEX(Matériaux!$C$16:$C$20,$D888)</f>
        <v>25</v>
      </c>
      <c r="AJ888" s="25" t="n">
        <f aca="false">Paramètres!$B$16+(1-Paramètres!$B$16)*(($J888-Paramètres!$B$14)/(Paramètres!$B$15-Paramètres!$B$14))^Paramètres!$B$17</f>
        <v>0.26769024555533</v>
      </c>
    </row>
    <row r="889" customFormat="false" ht="15.75" hidden="false" customHeight="true" outlineLevel="0" collapsed="false">
      <c r="A889" s="14" t="s">
        <v>1005</v>
      </c>
      <c r="B889" s="15" t="s">
        <v>31</v>
      </c>
      <c r="C889" s="15" t="s">
        <v>369</v>
      </c>
      <c r="D889" s="16" t="n">
        <v>3</v>
      </c>
      <c r="E889" s="15" t="str">
        <f aca="false" t="array" ref="E889:E889">INDEX(Matériaux!$B$5:$F$12,MATCH(INDEX(Profils!$E$5:$E$34,$AE889),Matériaux!$A$5:$A$12,0),$D889)</f>
        <v>if</v>
      </c>
      <c r="F889" s="28" t="s">
        <v>115</v>
      </c>
      <c r="G889" s="10" t="str">
        <f aca="false" t="array" ref="G889:G889">INDEX(Profils!$D$5:$D$34,$AE889)&amp;" en "&amp;$E889</f>
        <v>Arc en if</v>
      </c>
      <c r="H889" s="16" t="n">
        <f aca="false" t="array" ref="H889:H889">INDEX(Matériaux!$B$16:$B$20,$D889)</f>
        <v>30</v>
      </c>
      <c r="I889" s="16" t="n">
        <f aca="false">IF(ISNUMBER($C$3),MIN(MAX(0,ROUND($C$3,0)),$AI889),$AI889)</f>
        <v>0</v>
      </c>
      <c r="J889" s="18" t="n">
        <f aca="false">$H889+$I889</f>
        <v>30</v>
      </c>
      <c r="K889" s="15" t="s">
        <v>109</v>
      </c>
      <c r="L889" s="19" t="n">
        <f aca="false" t="array" ref="L889:L889">IF(AND(INDEX(Profils!$F$5:$F$34,$AE889)&gt;0,INDEX(Profils!$U$5:$U$34,$AE889)&lt;=$AH889),ROUND(INDEX(Profils!$F$5:$F$34,$AE889)*Paramètres!$E$22*$AG889*$AJ889,Paramètres!$F$22),0)</f>
        <v>0</v>
      </c>
      <c r="M889" s="19" t="n">
        <f aca="false" t="array" ref="M889:M889">IF(AND(INDEX(Profils!$G$5:$G$34,$AE889)&gt;0,INDEX(Profils!$V$5:$V$34,$AE889)&lt;=$AH889),ROUND(INDEX(Profils!$G$5:$G$34,$AE889)*Paramètres!$E$23*$AG889*$AJ889,Paramètres!$F$23),0)</f>
        <v>15</v>
      </c>
      <c r="N889" s="19" t="n">
        <f aca="false" t="array" ref="N889:N889">IF(AND(INDEX(Profils!$H$5:$H$34,$AE889)&gt;0,INDEX(Profils!$W$5:$W$34,$AE889)&lt;=$AH889),ROUND(INDEX(Profils!$H$5:$H$34,$AE889)*Paramètres!$E$24*$AG889*$AJ889,Paramètres!$F$24),0)</f>
        <v>0</v>
      </c>
      <c r="O889" s="19" t="n">
        <f aca="false" t="array" ref="O889:O889">IF(AND(INDEX(Profils!$I$5:$I$34,$AE889)&gt;0,INDEX(Profils!$X$5:$X$34,$AE889)&lt;=$AH889),ROUND(INDEX(Profils!$I$5:$I$34,$AE889)*Paramètres!$E$25*$AG889*$AJ889,Paramètres!$F$25),0)</f>
        <v>0</v>
      </c>
      <c r="P889" s="19" t="n">
        <f aca="false" t="array" ref="P889:P889">IF(AND(INDEX(Profils!$J$5:$J$34,$AE889)&gt;0,INDEX(Profils!$Y$5:$Y$34,$AE889)&lt;=$AH889),ROUND(INDEX(Profils!$J$5:$J$34,$AE889)*Paramètres!$E$26*$AG889*$AJ889,Paramètres!$F$26),0)</f>
        <v>11</v>
      </c>
      <c r="Q889" s="19" t="n">
        <f aca="false" t="array" ref="Q889:Q889">IF(AND(INDEX(Profils!$K$5:$K$34,$AE889)&gt;0,INDEX(Profils!$Z$5:$Z$34,$AE889)&lt;=$AH889),ROUND(INDEX(Profils!$K$5:$K$34,$AE889)*Paramètres!$E$27*$AG889*$AJ889,Paramètres!$F$27),0)</f>
        <v>0</v>
      </c>
      <c r="R889" s="20" t="n">
        <f aca="false" t="array" ref="R889:R889">IF(AND(INDEX(Profils!$L$5:$L$34,$AE889)&gt;0,INDEX(Profils!$AA$5:$AA$34,$AE889)&lt;=$AH889),ROUND(INDEX(Profils!$L$5:$L$34,$AE889)*Paramètres!$E$28*$AG889*$AJ889,Paramètres!$F$28),0)</f>
        <v>0.013</v>
      </c>
      <c r="S889" s="20" t="n">
        <f aca="false" t="array" ref="S889:S889">IF(AND(INDEX(Profils!$M$5:$M$34,$AE889)&gt;0,INDEX(Profils!$AB$5:$AB$34,$AE889)&lt;=$AH889),ROUND(INDEX(Profils!$M$5:$M$34,$AE889)*Paramètres!$E$29*$AG889*$AJ889,Paramètres!$F$29),0)</f>
        <v>0.01</v>
      </c>
      <c r="T889" s="20" t="n">
        <f aca="false" t="array" ref="T889:T889">IF(AND(INDEX(Profils!$N$5:$N$34,$AE889)&gt;0,INDEX(Profils!$AC$5:$AC$34,$AE889)&lt;=$AH889),ROUND(INDEX(Profils!$N$5:$N$34,$AE889)*Paramètres!$E$30*$AG889*$AJ889,Paramètres!$F$30),0)</f>
        <v>0.025</v>
      </c>
      <c r="U889" s="19" t="n">
        <f aca="false" t="array" ref="U889:U889">IF(AND(INDEX(Profils!$O$5:$O$34,$AE889)&gt;0,INDEX(Profils!$AD$5:$AD$34,$AE889)&lt;=$AH889),ROUND(INDEX(Profils!$O$5:$O$34,$AE889)*Paramètres!$E$31*$AG889*$AJ889,Paramètres!$F$31),0)</f>
        <v>0</v>
      </c>
      <c r="V889" s="20" t="n">
        <f aca="false" t="array" ref="V889:V889">IF(AND(INDEX(Profils!$P$5:$P$34,$AE889)&gt;0,INDEX(Profils!$AE$5:$AE$34,$AE889)&lt;=$AH889),ROUND(INDEX(Profils!$P$5:$P$34,$AE889)*Paramètres!$E$32*$AG889*$AJ889,Paramètres!$F$32),0)</f>
        <v>0</v>
      </c>
      <c r="W889" s="20" t="n">
        <f aca="false" t="array" ref="W889:W889">IF(AND(INDEX(Profils!$Q$5:$Q$34,$AE889)&gt;0,INDEX(Profils!$AF$5:$AF$34,$AE889)&lt;=$AH889),ROUND(INDEX(Profils!$Q$5:$Q$34,$AE889)*Paramètres!$E$33*$AG889*$AJ889,Paramètres!$F$33),0)</f>
        <v>0</v>
      </c>
      <c r="X889" s="20" t="n">
        <f aca="false" t="array" ref="X889:X889">IF(AND(INDEX(Profils!$R$5:$R$34,$AE889)&gt;0,INDEX(Profils!$AG$5:$AG$34,$AE889)&lt;=$AH889),ROUND(INDEX(Profils!$R$5:$R$34,$AE889)*Paramètres!$E$34*$AG889*$AJ889,Paramètres!$F$34),0)</f>
        <v>0</v>
      </c>
      <c r="Y889" s="20" t="n">
        <f aca="false" t="array" ref="Y889:Y889">IF(AND(INDEX(Profils!$S$5:$S$34,$AE889)&gt;0,INDEX(Profils!$AH$5:$AH$34,$AE889)&lt;=$AH889),ROUND(INDEX(Profils!$S$5:$S$34,$AE889)*Paramètres!$E$35*$AG889*$AJ889,Paramètres!$F$35),0)</f>
        <v>0</v>
      </c>
      <c r="Z889" s="21" t="n">
        <f aca="false">ROUND(L889/Paramètres!$E$22+M889/Paramètres!$E$23+N889/Paramètres!$E$24+O889/Paramètres!$E$25+P889/Paramètres!$E$26+Q889/Paramètres!$E$27+R889/Paramètres!$E$28+S889/Paramètres!$E$29+T889/Paramètres!$E$30+U889/Paramètres!$E$31+V889/Paramètres!$E$32+W889/Paramètres!$E$33+X889/Paramètres!$E$34+Y889/Paramètres!$E$35,1)</f>
        <v>4.5</v>
      </c>
      <c r="AA889" s="22" t="s">
        <v>109</v>
      </c>
      <c r="AB889" s="22" t="s">
        <v>109</v>
      </c>
      <c r="AC889" s="15" t="str">
        <f aca="false">$E889</f>
        <v>if</v>
      </c>
      <c r="AD889" s="16" t="n">
        <f aca="false" t="array" ref="AD889:AD889">IF($I889&gt;=$AI889,"Max",ROUND(Paramètres!$B$40*($I889+1)^Paramètres!$B$41*INDEX(Paramètres!$H$6:$H$12,$AF889),0))</f>
        <v>5</v>
      </c>
      <c r="AE889" s="23" t="n">
        <f aca="false">MATCH($B889&amp;"|"&amp;$C889,Profils!$A$5:$A$34,0)</f>
        <v>29</v>
      </c>
      <c r="AF889" s="23" t="n">
        <v>4</v>
      </c>
      <c r="AG889" s="24" t="n">
        <f aca="false" t="array" ref="AG889:AG889">INDEX(Paramètres!$C$6:$C$12,$AF889)</f>
        <v>1.75</v>
      </c>
      <c r="AH889" s="23" t="n">
        <f aca="false" t="array" ref="AH889:AH889">INDEX(Paramètres!$D$6:$D$12,$AF889)</f>
        <v>5</v>
      </c>
      <c r="AI889" s="23" t="n">
        <f aca="false" t="array" ref="AI889:AI889">INDEX(Matériaux!$C$16:$C$20,$D889)</f>
        <v>25</v>
      </c>
      <c r="AJ889" s="25" t="n">
        <f aca="false">Paramètres!$B$16+(1-Paramètres!$B$16)*(($J889-Paramètres!$B$14)/(Paramètres!$B$15-Paramètres!$B$14))^Paramètres!$B$17</f>
        <v>0.26769024555533</v>
      </c>
    </row>
    <row r="890" customFormat="false" ht="15.75" hidden="false" customHeight="true" outlineLevel="0" collapsed="false">
      <c r="A890" s="14" t="s">
        <v>1006</v>
      </c>
      <c r="B890" s="15" t="s">
        <v>31</v>
      </c>
      <c r="C890" s="15" t="s">
        <v>369</v>
      </c>
      <c r="D890" s="16" t="n">
        <v>3</v>
      </c>
      <c r="E890" s="15" t="str">
        <f aca="false" t="array" ref="E890:E890">INDEX(Matériaux!$B$5:$F$12,MATCH(INDEX(Profils!$E$5:$E$34,$AE890),Matériaux!$A$5:$A$12,0),$D890)</f>
        <v>if</v>
      </c>
      <c r="F890" s="29" t="s">
        <v>117</v>
      </c>
      <c r="G890" s="10" t="str">
        <f aca="false" t="array" ref="G890:G890">INDEX(Profils!$D$5:$D$34,$AE890)&amp;" en "&amp;$E890</f>
        <v>Arc en if</v>
      </c>
      <c r="H890" s="16" t="n">
        <f aca="false" t="array" ref="H890:H890">INDEX(Matériaux!$B$16:$B$20,$D890)</f>
        <v>30</v>
      </c>
      <c r="I890" s="16" t="n">
        <f aca="false">IF(ISNUMBER($C$3),MIN(MAX(0,ROUND($C$3,0)),$AI890),$AI890)</f>
        <v>0</v>
      </c>
      <c r="J890" s="18" t="n">
        <f aca="false">$H890+$I890</f>
        <v>30</v>
      </c>
      <c r="K890" s="15" t="s">
        <v>109</v>
      </c>
      <c r="L890" s="19" t="n">
        <f aca="false" t="array" ref="L890:L890">IF(AND(INDEX(Profils!$F$5:$F$34,$AE890)&gt;0,INDEX(Profils!$U$5:$U$34,$AE890)&lt;=$AH890),ROUND(INDEX(Profils!$F$5:$F$34,$AE890)*Paramètres!$E$22*$AG890*$AJ890,Paramètres!$F$22),0)</f>
        <v>0</v>
      </c>
      <c r="M890" s="19" t="n">
        <f aca="false" t="array" ref="M890:M890">IF(AND(INDEX(Profils!$G$5:$G$34,$AE890)&gt;0,INDEX(Profils!$V$5:$V$34,$AE890)&lt;=$AH890),ROUND(INDEX(Profils!$G$5:$G$34,$AE890)*Paramètres!$E$23*$AG890*$AJ890,Paramètres!$F$23),0)</f>
        <v>19</v>
      </c>
      <c r="N890" s="19" t="n">
        <f aca="false" t="array" ref="N890:N890">IF(AND(INDEX(Profils!$H$5:$H$34,$AE890)&gt;0,INDEX(Profils!$W$5:$W$34,$AE890)&lt;=$AH890),ROUND(INDEX(Profils!$H$5:$H$34,$AE890)*Paramètres!$E$24*$AG890*$AJ890,Paramètres!$F$24),0)</f>
        <v>0</v>
      </c>
      <c r="O890" s="19" t="n">
        <f aca="false" t="array" ref="O890:O890">IF(AND(INDEX(Profils!$I$5:$I$34,$AE890)&gt;0,INDEX(Profils!$X$5:$X$34,$AE890)&lt;=$AH890),ROUND(INDEX(Profils!$I$5:$I$34,$AE890)*Paramètres!$E$25*$AG890*$AJ890,Paramètres!$F$25),0)</f>
        <v>0</v>
      </c>
      <c r="P890" s="19" t="n">
        <f aca="false" t="array" ref="P890:P890">IF(AND(INDEX(Profils!$J$5:$J$34,$AE890)&gt;0,INDEX(Profils!$Y$5:$Y$34,$AE890)&lt;=$AH890),ROUND(INDEX(Profils!$J$5:$J$34,$AE890)*Paramètres!$E$26*$AG890*$AJ890,Paramètres!$F$26),0)</f>
        <v>13</v>
      </c>
      <c r="Q890" s="19" t="n">
        <f aca="false" t="array" ref="Q890:Q890">IF(AND(INDEX(Profils!$K$5:$K$34,$AE890)&gt;0,INDEX(Profils!$Z$5:$Z$34,$AE890)&lt;=$AH890),ROUND(INDEX(Profils!$K$5:$K$34,$AE890)*Paramètres!$E$27*$AG890*$AJ890,Paramètres!$F$27),0)</f>
        <v>0</v>
      </c>
      <c r="R890" s="20" t="n">
        <f aca="false" t="array" ref="R890:R890">IF(AND(INDEX(Profils!$L$5:$L$34,$AE890)&gt;0,INDEX(Profils!$AA$5:$AA$34,$AE890)&lt;=$AH890),ROUND(INDEX(Profils!$L$5:$L$34,$AE890)*Paramètres!$E$28*$AG890*$AJ890,Paramètres!$F$28),0)</f>
        <v>0.015</v>
      </c>
      <c r="S890" s="20" t="n">
        <f aca="false" t="array" ref="S890:S890">IF(AND(INDEX(Profils!$M$5:$M$34,$AE890)&gt;0,INDEX(Profils!$AB$5:$AB$34,$AE890)&lt;=$AH890),ROUND(INDEX(Profils!$M$5:$M$34,$AE890)*Paramètres!$E$29*$AG890*$AJ890,Paramètres!$F$29),0)</f>
        <v>0.012</v>
      </c>
      <c r="T890" s="20" t="n">
        <f aca="false" t="array" ref="T890:T890">IF(AND(INDEX(Profils!$N$5:$N$34,$AE890)&gt;0,INDEX(Profils!$AC$5:$AC$34,$AE890)&lt;=$AH890),ROUND(INDEX(Profils!$N$5:$N$34,$AE890)*Paramètres!$E$30*$AG890*$AJ890,Paramètres!$F$30),0)</f>
        <v>0.03</v>
      </c>
      <c r="U890" s="19" t="n">
        <f aca="false" t="array" ref="U890:U890">IF(AND(INDEX(Profils!$O$5:$O$34,$AE890)&gt;0,INDEX(Profils!$AD$5:$AD$34,$AE890)&lt;=$AH890),ROUND(INDEX(Profils!$O$5:$O$34,$AE890)*Paramètres!$E$31*$AG890*$AJ890,Paramètres!$F$31),0)</f>
        <v>0</v>
      </c>
      <c r="V890" s="20" t="n">
        <f aca="false" t="array" ref="V890:V890">IF(AND(INDEX(Profils!$P$5:$P$34,$AE890)&gt;0,INDEX(Profils!$AE$5:$AE$34,$AE890)&lt;=$AH890),ROUND(INDEX(Profils!$P$5:$P$34,$AE890)*Paramètres!$E$32*$AG890*$AJ890,Paramètres!$F$32),0)</f>
        <v>0.015</v>
      </c>
      <c r="W890" s="20" t="n">
        <f aca="false" t="array" ref="W890:W890">IF(AND(INDEX(Profils!$Q$5:$Q$34,$AE890)&gt;0,INDEX(Profils!$AF$5:$AF$34,$AE890)&lt;=$AH890),ROUND(INDEX(Profils!$Q$5:$Q$34,$AE890)*Paramètres!$E$33*$AG890*$AJ890,Paramètres!$F$33),0)</f>
        <v>0</v>
      </c>
      <c r="X890" s="20" t="n">
        <f aca="false" t="array" ref="X890:X890">IF(AND(INDEX(Profils!$R$5:$R$34,$AE890)&gt;0,INDEX(Profils!$AG$5:$AG$34,$AE890)&lt;=$AH890),ROUND(INDEX(Profils!$R$5:$R$34,$AE890)*Paramètres!$E$34*$AG890*$AJ890,Paramètres!$F$34),0)</f>
        <v>0</v>
      </c>
      <c r="Y890" s="20" t="n">
        <f aca="false" t="array" ref="Y890:Y890">IF(AND(INDEX(Profils!$S$5:$S$34,$AE890)&gt;0,INDEX(Profils!$AH$5:$AH$34,$AE890)&lt;=$AH890),ROUND(INDEX(Profils!$S$5:$S$34,$AE890)*Paramètres!$E$35*$AG890*$AJ890,Paramètres!$F$35),0)</f>
        <v>0</v>
      </c>
      <c r="Z890" s="21" t="n">
        <f aca="false">ROUND(L890/Paramètres!$E$22+M890/Paramètres!$E$23+N890/Paramètres!$E$24+O890/Paramètres!$E$25+P890/Paramètres!$E$26+Q890/Paramètres!$E$27+R890/Paramètres!$E$28+S890/Paramètres!$E$29+T890/Paramètres!$E$30+U890/Paramètres!$E$31+V890/Paramètres!$E$32+W890/Paramètres!$E$33+X890/Paramètres!$E$34+Y890/Paramètres!$E$35,1)</f>
        <v>6.4</v>
      </c>
      <c r="AA890" s="22" t="s">
        <v>109</v>
      </c>
      <c r="AB890" s="22" t="s">
        <v>109</v>
      </c>
      <c r="AC890" s="15" t="str">
        <f aca="false">$E890</f>
        <v>if</v>
      </c>
      <c r="AD890" s="16" t="n">
        <f aca="false" t="array" ref="AD890:AD890">IF($I890&gt;=$AI890,"Max",ROUND(Paramètres!$B$40*($I890+1)^Paramètres!$B$41*INDEX(Paramètres!$H$6:$H$12,$AF890),0))</f>
        <v>6</v>
      </c>
      <c r="AE890" s="23" t="n">
        <f aca="false">MATCH($B890&amp;"|"&amp;$C890,Profils!$A$5:$A$34,0)</f>
        <v>29</v>
      </c>
      <c r="AF890" s="23" t="n">
        <v>5</v>
      </c>
      <c r="AG890" s="24" t="n">
        <f aca="false" t="array" ref="AG890:AG890">INDEX(Paramètres!$C$6:$C$12,$AF890)</f>
        <v>2.1</v>
      </c>
      <c r="AH890" s="23" t="n">
        <f aca="false" t="array" ref="AH890:AH890">INDEX(Paramètres!$D$6:$D$12,$AF890)</f>
        <v>6</v>
      </c>
      <c r="AI890" s="23" t="n">
        <f aca="false" t="array" ref="AI890:AI890">INDEX(Matériaux!$C$16:$C$20,$D890)</f>
        <v>25</v>
      </c>
      <c r="AJ890" s="25" t="n">
        <f aca="false">Paramètres!$B$16+(1-Paramètres!$B$16)*(($J890-Paramètres!$B$14)/(Paramètres!$B$15-Paramètres!$B$14))^Paramètres!$B$17</f>
        <v>0.26769024555533</v>
      </c>
    </row>
    <row r="891" customFormat="false" ht="15.75" hidden="false" customHeight="true" outlineLevel="0" collapsed="false">
      <c r="A891" s="14" t="s">
        <v>1007</v>
      </c>
      <c r="B891" s="15" t="s">
        <v>31</v>
      </c>
      <c r="C891" s="15" t="s">
        <v>369</v>
      </c>
      <c r="D891" s="16" t="n">
        <v>3</v>
      </c>
      <c r="E891" s="15" t="str">
        <f aca="false" t="array" ref="E891:E891">INDEX(Matériaux!$B$5:$F$12,MATCH(INDEX(Profils!$E$5:$E$34,$AE891),Matériaux!$A$5:$A$12,0),$D891)</f>
        <v>if</v>
      </c>
      <c r="F891" s="30" t="s">
        <v>119</v>
      </c>
      <c r="G891" s="10" t="str">
        <f aca="false" t="array" ref="G891:G891">INDEX(Profils!$D$5:$D$34,$AE891)&amp;" en "&amp;$E891</f>
        <v>Arc en if</v>
      </c>
      <c r="H891" s="16" t="n">
        <f aca="false" t="array" ref="H891:H891">INDEX(Matériaux!$B$16:$B$20,$D891)</f>
        <v>30</v>
      </c>
      <c r="I891" s="16" t="n">
        <f aca="false">IF(ISNUMBER($C$3),MIN(MAX(0,ROUND($C$3,0)),$AI891),$AI891)</f>
        <v>0</v>
      </c>
      <c r="J891" s="18" t="n">
        <f aca="false">$H891+$I891</f>
        <v>30</v>
      </c>
      <c r="K891" s="15" t="s">
        <v>109</v>
      </c>
      <c r="L891" s="19" t="n">
        <f aca="false" t="array" ref="L891:L891">IF(AND(INDEX(Profils!$F$5:$F$34,$AE891)&gt;0,INDEX(Profils!$U$5:$U$34,$AE891)&lt;=$AH891),ROUND(INDEX(Profils!$F$5:$F$34,$AE891)*Paramètres!$E$22*$AG891*$AJ891,Paramètres!$F$22),0)</f>
        <v>10</v>
      </c>
      <c r="M891" s="19" t="n">
        <f aca="false" t="array" ref="M891:M891">IF(AND(INDEX(Profils!$G$5:$G$34,$AE891)&gt;0,INDEX(Profils!$V$5:$V$34,$AE891)&lt;=$AH891),ROUND(INDEX(Profils!$G$5:$G$34,$AE891)*Paramètres!$E$23*$AG891*$AJ891,Paramètres!$F$23),0)</f>
        <v>21</v>
      </c>
      <c r="N891" s="19" t="n">
        <f aca="false" t="array" ref="N891:N891">IF(AND(INDEX(Profils!$H$5:$H$34,$AE891)&gt;0,INDEX(Profils!$W$5:$W$34,$AE891)&lt;=$AH891),ROUND(INDEX(Profils!$H$5:$H$34,$AE891)*Paramètres!$E$24*$AG891*$AJ891,Paramètres!$F$24),0)</f>
        <v>0</v>
      </c>
      <c r="O891" s="19" t="n">
        <f aca="false" t="array" ref="O891:O891">IF(AND(INDEX(Profils!$I$5:$I$34,$AE891)&gt;0,INDEX(Profils!$X$5:$X$34,$AE891)&lt;=$AH891),ROUND(INDEX(Profils!$I$5:$I$34,$AE891)*Paramètres!$E$25*$AG891*$AJ891,Paramètres!$F$25),0)</f>
        <v>0</v>
      </c>
      <c r="P891" s="19" t="n">
        <f aca="false" t="array" ref="P891:P891">IF(AND(INDEX(Profils!$J$5:$J$34,$AE891)&gt;0,INDEX(Profils!$Y$5:$Y$34,$AE891)&lt;=$AH891),ROUND(INDEX(Profils!$J$5:$J$34,$AE891)*Paramètres!$E$26*$AG891*$AJ891,Paramètres!$F$26),0)</f>
        <v>15</v>
      </c>
      <c r="Q891" s="19" t="n">
        <f aca="false" t="array" ref="Q891:Q891">IF(AND(INDEX(Profils!$K$5:$K$34,$AE891)&gt;0,INDEX(Profils!$Z$5:$Z$34,$AE891)&lt;=$AH891),ROUND(INDEX(Profils!$K$5:$K$34,$AE891)*Paramètres!$E$27*$AG891*$AJ891,Paramètres!$F$27),0)</f>
        <v>0</v>
      </c>
      <c r="R891" s="20" t="n">
        <f aca="false" t="array" ref="R891:R891">IF(AND(INDEX(Profils!$L$5:$L$34,$AE891)&gt;0,INDEX(Profils!$AA$5:$AA$34,$AE891)&lt;=$AH891),ROUND(INDEX(Profils!$L$5:$L$34,$AE891)*Paramètres!$E$28*$AG891*$AJ891,Paramètres!$F$28),0)</f>
        <v>0.017</v>
      </c>
      <c r="S891" s="20" t="n">
        <f aca="false" t="array" ref="S891:S891">IF(AND(INDEX(Profils!$M$5:$M$34,$AE891)&gt;0,INDEX(Profils!$AB$5:$AB$34,$AE891)&lt;=$AH891),ROUND(INDEX(Profils!$M$5:$M$34,$AE891)*Paramètres!$E$29*$AG891*$AJ891,Paramètres!$F$29),0)</f>
        <v>0.014</v>
      </c>
      <c r="T891" s="20" t="n">
        <f aca="false" t="array" ref="T891:T891">IF(AND(INDEX(Profils!$N$5:$N$34,$AE891)&gt;0,INDEX(Profils!$AC$5:$AC$34,$AE891)&lt;=$AH891),ROUND(INDEX(Profils!$N$5:$N$34,$AE891)*Paramètres!$E$30*$AG891*$AJ891,Paramètres!$F$30),0)</f>
        <v>0.035</v>
      </c>
      <c r="U891" s="19" t="n">
        <f aca="false" t="array" ref="U891:U891">IF(AND(INDEX(Profils!$O$5:$O$34,$AE891)&gt;0,INDEX(Profils!$AD$5:$AD$34,$AE891)&lt;=$AH891),ROUND(INDEX(Profils!$O$5:$O$34,$AE891)*Paramètres!$E$31*$AG891*$AJ891,Paramètres!$F$31),0)</f>
        <v>0</v>
      </c>
      <c r="V891" s="20" t="n">
        <f aca="false" t="array" ref="V891:V891">IF(AND(INDEX(Profils!$P$5:$P$34,$AE891)&gt;0,INDEX(Profils!$AE$5:$AE$34,$AE891)&lt;=$AH891),ROUND(INDEX(Profils!$P$5:$P$34,$AE891)*Paramètres!$E$32*$AG891*$AJ891,Paramètres!$F$32),0)</f>
        <v>0.017</v>
      </c>
      <c r="W891" s="20" t="n">
        <f aca="false" t="array" ref="W891:W891">IF(AND(INDEX(Profils!$Q$5:$Q$34,$AE891)&gt;0,INDEX(Profils!$AF$5:$AF$34,$AE891)&lt;=$AH891),ROUND(INDEX(Profils!$Q$5:$Q$34,$AE891)*Paramètres!$E$33*$AG891*$AJ891,Paramètres!$F$33),0)</f>
        <v>0</v>
      </c>
      <c r="X891" s="20" t="n">
        <f aca="false" t="array" ref="X891:X891">IF(AND(INDEX(Profils!$R$5:$R$34,$AE891)&gt;0,INDEX(Profils!$AG$5:$AG$34,$AE891)&lt;=$AH891),ROUND(INDEX(Profils!$R$5:$R$34,$AE891)*Paramètres!$E$34*$AG891*$AJ891,Paramètres!$F$34),0)</f>
        <v>0</v>
      </c>
      <c r="Y891" s="20" t="n">
        <f aca="false" t="array" ref="Y891:Y891">IF(AND(INDEX(Profils!$S$5:$S$34,$AE891)&gt;0,INDEX(Profils!$AH$5:$AH$34,$AE891)&lt;=$AH891),ROUND(INDEX(Profils!$S$5:$S$34,$AE891)*Paramètres!$E$35*$AG891*$AJ891,Paramètres!$F$35),0)</f>
        <v>0</v>
      </c>
      <c r="Z891" s="21" t="n">
        <f aca="false">ROUND(L891/Paramètres!$E$22+M891/Paramètres!$E$23+N891/Paramètres!$E$24+O891/Paramètres!$E$25+P891/Paramètres!$E$26+Q891/Paramètres!$E$27+R891/Paramètres!$E$28+S891/Paramètres!$E$29+T891/Paramètres!$E$30+U891/Paramètres!$E$31+V891/Paramètres!$E$32+W891/Paramètres!$E$33+X891/Paramètres!$E$34+Y891/Paramètres!$E$35,1)</f>
        <v>7.7</v>
      </c>
      <c r="AA891" s="22" t="s">
        <v>109</v>
      </c>
      <c r="AB891" s="22" t="s">
        <v>109</v>
      </c>
      <c r="AC891" s="15" t="str">
        <f aca="false">$E891</f>
        <v>if</v>
      </c>
      <c r="AD891" s="16" t="n">
        <f aca="false" t="array" ref="AD891:AD891">IF($I891&gt;=$AI891,"Max",ROUND(Paramètres!$B$40*($I891+1)^Paramètres!$B$41*INDEX(Paramètres!$H$6:$H$12,$AF891),0))</f>
        <v>8</v>
      </c>
      <c r="AE891" s="23" t="n">
        <f aca="false">MATCH($B891&amp;"|"&amp;$C891,Profils!$A$5:$A$34,0)</f>
        <v>29</v>
      </c>
      <c r="AF891" s="23" t="n">
        <v>6</v>
      </c>
      <c r="AG891" s="24" t="n">
        <f aca="false" t="array" ref="AG891:AG891">INDEX(Paramètres!$C$6:$C$12,$AF891)</f>
        <v>2.4</v>
      </c>
      <c r="AH891" s="23" t="n">
        <f aca="false" t="array" ref="AH891:AH891">INDEX(Paramètres!$D$6:$D$12,$AF891)</f>
        <v>7</v>
      </c>
      <c r="AI891" s="23" t="n">
        <f aca="false" t="array" ref="AI891:AI891">INDEX(Matériaux!$C$16:$C$20,$D891)</f>
        <v>25</v>
      </c>
      <c r="AJ891" s="25" t="n">
        <f aca="false">Paramètres!$B$16+(1-Paramètres!$B$16)*(($J891-Paramètres!$B$14)/(Paramètres!$B$15-Paramètres!$B$14))^Paramètres!$B$17</f>
        <v>0.26769024555533</v>
      </c>
    </row>
    <row r="892" customFormat="false" ht="15.75" hidden="false" customHeight="true" outlineLevel="0" collapsed="false">
      <c r="A892" s="14" t="s">
        <v>1008</v>
      </c>
      <c r="B892" s="15" t="s">
        <v>31</v>
      </c>
      <c r="C892" s="15" t="s">
        <v>369</v>
      </c>
      <c r="D892" s="16" t="n">
        <v>4</v>
      </c>
      <c r="E892" s="15" t="str">
        <f aca="false" t="array" ref="E892:E892">INDEX(Matériaux!$B$5:$F$12,MATCH(INDEX(Profils!$E$5:$E$34,$AE892),Matériaux!$A$5:$A$12,0),$D892)</f>
        <v>ébène</v>
      </c>
      <c r="F892" s="17" t="s">
        <v>108</v>
      </c>
      <c r="G892" s="10" t="str">
        <f aca="false" t="array" ref="G892:G892">INDEX(Profils!$D$5:$D$34,$AE892)&amp;" en "&amp;$E892</f>
        <v>Arc en ébène</v>
      </c>
      <c r="H892" s="16" t="n">
        <f aca="false" t="array" ref="H892:H892">INDEX(Matériaux!$B$16:$B$20,$D892)</f>
        <v>50</v>
      </c>
      <c r="I892" s="16" t="n">
        <f aca="false">IF(ISNUMBER($C$3),MIN(MAX(0,ROUND($C$3,0)),$AI892),$AI892)</f>
        <v>0</v>
      </c>
      <c r="J892" s="18" t="n">
        <f aca="false">$H892+$I892</f>
        <v>50</v>
      </c>
      <c r="K892" s="15" t="s">
        <v>109</v>
      </c>
      <c r="L892" s="19" t="n">
        <f aca="false" t="array" ref="L892:L892">IF(AND(INDEX(Profils!$F$5:$F$34,$AE892)&gt;0,INDEX(Profils!$U$5:$U$34,$AE892)&lt;=$AH892),ROUND(INDEX(Profils!$F$5:$F$34,$AE892)*Paramètres!$E$22*$AG892*$AJ892,Paramètres!$F$22),0)</f>
        <v>0</v>
      </c>
      <c r="M892" s="19" t="n">
        <f aca="false" t="array" ref="M892:M892">IF(AND(INDEX(Profils!$G$5:$G$34,$AE892)&gt;0,INDEX(Profils!$V$5:$V$34,$AE892)&lt;=$AH892),ROUND(INDEX(Profils!$G$5:$G$34,$AE892)*Paramètres!$E$23*$AG892*$AJ892,Paramètres!$F$23),0)</f>
        <v>15</v>
      </c>
      <c r="N892" s="19" t="n">
        <f aca="false" t="array" ref="N892:N892">IF(AND(INDEX(Profils!$H$5:$H$34,$AE892)&gt;0,INDEX(Profils!$W$5:$W$34,$AE892)&lt;=$AH892),ROUND(INDEX(Profils!$H$5:$H$34,$AE892)*Paramètres!$E$24*$AG892*$AJ892,Paramètres!$F$24),0)</f>
        <v>0</v>
      </c>
      <c r="O892" s="19" t="n">
        <f aca="false" t="array" ref="O892:O892">IF(AND(INDEX(Profils!$I$5:$I$34,$AE892)&gt;0,INDEX(Profils!$X$5:$X$34,$AE892)&lt;=$AH892),ROUND(INDEX(Profils!$I$5:$I$34,$AE892)*Paramètres!$E$25*$AG892*$AJ892,Paramètres!$F$25),0)</f>
        <v>0</v>
      </c>
      <c r="P892" s="19" t="n">
        <f aca="false" t="array" ref="P892:P892">IF(AND(INDEX(Profils!$J$5:$J$34,$AE892)&gt;0,INDEX(Profils!$Y$5:$Y$34,$AE892)&lt;=$AH892),ROUND(INDEX(Profils!$J$5:$J$34,$AE892)*Paramètres!$E$26*$AG892*$AJ892,Paramètres!$F$26),0)</f>
        <v>11</v>
      </c>
      <c r="Q892" s="19" t="n">
        <f aca="false" t="array" ref="Q892:Q892">IF(AND(INDEX(Profils!$K$5:$K$34,$AE892)&gt;0,INDEX(Profils!$Z$5:$Z$34,$AE892)&lt;=$AH892),ROUND(INDEX(Profils!$K$5:$K$34,$AE892)*Paramètres!$E$27*$AG892*$AJ892,Paramètres!$F$27),0)</f>
        <v>0</v>
      </c>
      <c r="R892" s="20" t="n">
        <f aca="false" t="array" ref="R892:R892">IF(AND(INDEX(Profils!$L$5:$L$34,$AE892)&gt;0,INDEX(Profils!$AA$5:$AA$34,$AE892)&lt;=$AH892),ROUND(INDEX(Profils!$L$5:$L$34,$AE892)*Paramètres!$E$28*$AG892*$AJ892,Paramètres!$F$28),0)</f>
        <v>0</v>
      </c>
      <c r="S892" s="20" t="n">
        <f aca="false" t="array" ref="S892:S892">IF(AND(INDEX(Profils!$M$5:$M$34,$AE892)&gt;0,INDEX(Profils!$AB$5:$AB$34,$AE892)&lt;=$AH892),ROUND(INDEX(Profils!$M$5:$M$34,$AE892)*Paramètres!$E$29*$AG892*$AJ892,Paramètres!$F$29),0)</f>
        <v>0</v>
      </c>
      <c r="T892" s="20" t="n">
        <f aca="false" t="array" ref="T892:T892">IF(AND(INDEX(Profils!$N$5:$N$34,$AE892)&gt;0,INDEX(Profils!$AC$5:$AC$34,$AE892)&lt;=$AH892),ROUND(INDEX(Profils!$N$5:$N$34,$AE892)*Paramètres!$E$30*$AG892*$AJ892,Paramètres!$F$30),0)</f>
        <v>0</v>
      </c>
      <c r="U892" s="19" t="n">
        <f aca="false" t="array" ref="U892:U892">IF(AND(INDEX(Profils!$O$5:$O$34,$AE892)&gt;0,INDEX(Profils!$AD$5:$AD$34,$AE892)&lt;=$AH892),ROUND(INDEX(Profils!$O$5:$O$34,$AE892)*Paramètres!$E$31*$AG892*$AJ892,Paramètres!$F$31),0)</f>
        <v>0</v>
      </c>
      <c r="V892" s="20" t="n">
        <f aca="false" t="array" ref="V892:V892">IF(AND(INDEX(Profils!$P$5:$P$34,$AE892)&gt;0,INDEX(Profils!$AE$5:$AE$34,$AE892)&lt;=$AH892),ROUND(INDEX(Profils!$P$5:$P$34,$AE892)*Paramètres!$E$32*$AG892*$AJ892,Paramètres!$F$32),0)</f>
        <v>0</v>
      </c>
      <c r="W892" s="20" t="n">
        <f aca="false" t="array" ref="W892:W892">IF(AND(INDEX(Profils!$Q$5:$Q$34,$AE892)&gt;0,INDEX(Profils!$AF$5:$AF$34,$AE892)&lt;=$AH892),ROUND(INDEX(Profils!$Q$5:$Q$34,$AE892)*Paramètres!$E$33*$AG892*$AJ892,Paramètres!$F$33),0)</f>
        <v>0</v>
      </c>
      <c r="X892" s="20" t="n">
        <f aca="false" t="array" ref="X892:X892">IF(AND(INDEX(Profils!$R$5:$R$34,$AE892)&gt;0,INDEX(Profils!$AG$5:$AG$34,$AE892)&lt;=$AH892),ROUND(INDEX(Profils!$R$5:$R$34,$AE892)*Paramètres!$E$34*$AG892*$AJ892,Paramètres!$F$34),0)</f>
        <v>0</v>
      </c>
      <c r="Y892" s="20" t="n">
        <f aca="false" t="array" ref="Y892:Y892">IF(AND(INDEX(Profils!$S$5:$S$34,$AE892)&gt;0,INDEX(Profils!$AH$5:$AH$34,$AE892)&lt;=$AH892),ROUND(INDEX(Profils!$S$5:$S$34,$AE892)*Paramètres!$E$35*$AG892*$AJ892,Paramètres!$F$35),0)</f>
        <v>0</v>
      </c>
      <c r="Z892" s="21" t="n">
        <f aca="false">ROUND(L892/Paramètres!$E$22+M892/Paramètres!$E$23+N892/Paramètres!$E$24+O892/Paramètres!$E$25+P892/Paramètres!$E$26+Q892/Paramètres!$E$27+R892/Paramètres!$E$28+S892/Paramètres!$E$29+T892/Paramètres!$E$30+U892/Paramètres!$E$31+V892/Paramètres!$E$32+W892/Paramètres!$E$33+X892/Paramètres!$E$34+Y892/Paramètres!$E$35,1)</f>
        <v>1.9</v>
      </c>
      <c r="AA892" s="22" t="s">
        <v>109</v>
      </c>
      <c r="AB892" s="22" t="s">
        <v>109</v>
      </c>
      <c r="AC892" s="15" t="str">
        <f aca="false">$E892</f>
        <v>ébène</v>
      </c>
      <c r="AD892" s="16" t="n">
        <f aca="false" t="array" ref="AD892:AD892">IF($I892&gt;=$AI892,"Max",ROUND(Paramètres!$B$40*($I892+1)^Paramètres!$B$41*INDEX(Paramètres!$H$6:$H$12,$AF892),0))</f>
        <v>3</v>
      </c>
      <c r="AE892" s="23" t="n">
        <f aca="false">MATCH($B892&amp;"|"&amp;$C892,Profils!$A$5:$A$34,0)</f>
        <v>29</v>
      </c>
      <c r="AF892" s="23" t="n">
        <v>1</v>
      </c>
      <c r="AG892" s="24" t="n">
        <f aca="false" t="array" ref="AG892:AG892">INDEX(Paramètres!$C$6:$C$12,$AF892)</f>
        <v>1</v>
      </c>
      <c r="AH892" s="23" t="n">
        <f aca="false" t="array" ref="AH892:AH892">INDEX(Paramètres!$D$6:$D$12,$AF892)</f>
        <v>2</v>
      </c>
      <c r="AI892" s="23" t="n">
        <f aca="false" t="array" ref="AI892:AI892">INDEX(Matériaux!$C$16:$C$20,$D892)</f>
        <v>25</v>
      </c>
      <c r="AJ892" s="25" t="n">
        <f aca="false">Paramètres!$B$16+(1-Paramètres!$B$16)*(($J892-Paramètres!$B$14)/(Paramètres!$B$15-Paramètres!$B$14))^Paramètres!$B$17</f>
        <v>0.458504333336152</v>
      </c>
    </row>
    <row r="893" customFormat="false" ht="15.75" hidden="false" customHeight="true" outlineLevel="0" collapsed="false">
      <c r="A893" s="14" t="s">
        <v>1009</v>
      </c>
      <c r="B893" s="15" t="s">
        <v>31</v>
      </c>
      <c r="C893" s="15" t="s">
        <v>369</v>
      </c>
      <c r="D893" s="16" t="n">
        <v>4</v>
      </c>
      <c r="E893" s="15" t="str">
        <f aca="false" t="array" ref="E893:E893">INDEX(Matériaux!$B$5:$F$12,MATCH(INDEX(Profils!$E$5:$E$34,$AE893),Matériaux!$A$5:$A$12,0),$D893)</f>
        <v>ébène</v>
      </c>
      <c r="F893" s="26" t="s">
        <v>111</v>
      </c>
      <c r="G893" s="10" t="str">
        <f aca="false" t="array" ref="G893:G893">INDEX(Profils!$D$5:$D$34,$AE893)&amp;" en "&amp;$E893</f>
        <v>Arc en ébène</v>
      </c>
      <c r="H893" s="16" t="n">
        <f aca="false" t="array" ref="H893:H893">INDEX(Matériaux!$B$16:$B$20,$D893)</f>
        <v>50</v>
      </c>
      <c r="I893" s="16" t="n">
        <f aca="false">IF(ISNUMBER($C$3),MIN(MAX(0,ROUND($C$3,0)),$AI893),$AI893)</f>
        <v>0</v>
      </c>
      <c r="J893" s="18" t="n">
        <f aca="false">$H893+$I893</f>
        <v>50</v>
      </c>
      <c r="K893" s="15" t="s">
        <v>109</v>
      </c>
      <c r="L893" s="19" t="n">
        <f aca="false" t="array" ref="L893:L893">IF(AND(INDEX(Profils!$F$5:$F$34,$AE893)&gt;0,INDEX(Profils!$U$5:$U$34,$AE893)&lt;=$AH893),ROUND(INDEX(Profils!$F$5:$F$34,$AE893)*Paramètres!$E$22*$AG893*$AJ893,Paramètres!$F$22),0)</f>
        <v>0</v>
      </c>
      <c r="M893" s="19" t="n">
        <f aca="false" t="array" ref="M893:M893">IF(AND(INDEX(Profils!$G$5:$G$34,$AE893)&gt;0,INDEX(Profils!$V$5:$V$34,$AE893)&lt;=$AH893),ROUND(INDEX(Profils!$G$5:$G$34,$AE893)*Paramètres!$E$23*$AG893*$AJ893,Paramètres!$F$23),0)</f>
        <v>18</v>
      </c>
      <c r="N893" s="19" t="n">
        <f aca="false" t="array" ref="N893:N893">IF(AND(INDEX(Profils!$H$5:$H$34,$AE893)&gt;0,INDEX(Profils!$W$5:$W$34,$AE893)&lt;=$AH893),ROUND(INDEX(Profils!$H$5:$H$34,$AE893)*Paramètres!$E$24*$AG893*$AJ893,Paramètres!$F$24),0)</f>
        <v>0</v>
      </c>
      <c r="O893" s="19" t="n">
        <f aca="false" t="array" ref="O893:O893">IF(AND(INDEX(Profils!$I$5:$I$34,$AE893)&gt;0,INDEX(Profils!$X$5:$X$34,$AE893)&lt;=$AH893),ROUND(INDEX(Profils!$I$5:$I$34,$AE893)*Paramètres!$E$25*$AG893*$AJ893,Paramètres!$F$25),0)</f>
        <v>0</v>
      </c>
      <c r="P893" s="19" t="n">
        <f aca="false" t="array" ref="P893:P893">IF(AND(INDEX(Profils!$J$5:$J$34,$AE893)&gt;0,INDEX(Profils!$Y$5:$Y$34,$AE893)&lt;=$AH893),ROUND(INDEX(Profils!$J$5:$J$34,$AE893)*Paramètres!$E$26*$AG893*$AJ893,Paramètres!$F$26),0)</f>
        <v>13</v>
      </c>
      <c r="Q893" s="19" t="n">
        <f aca="false" t="array" ref="Q893:Q893">IF(AND(INDEX(Profils!$K$5:$K$34,$AE893)&gt;0,INDEX(Profils!$Z$5:$Z$34,$AE893)&lt;=$AH893),ROUND(INDEX(Profils!$K$5:$K$34,$AE893)*Paramètres!$E$27*$AG893*$AJ893,Paramètres!$F$27),0)</f>
        <v>0</v>
      </c>
      <c r="R893" s="20" t="n">
        <f aca="false" t="array" ref="R893:R893">IF(AND(INDEX(Profils!$L$5:$L$34,$AE893)&gt;0,INDEX(Profils!$AA$5:$AA$34,$AE893)&lt;=$AH893),ROUND(INDEX(Profils!$L$5:$L$34,$AE893)*Paramètres!$E$28*$AG893*$AJ893,Paramètres!$F$28),0)</f>
        <v>0.015</v>
      </c>
      <c r="S893" s="20" t="n">
        <f aca="false" t="array" ref="S893:S893">IF(AND(INDEX(Profils!$M$5:$M$34,$AE893)&gt;0,INDEX(Profils!$AB$5:$AB$34,$AE893)&lt;=$AH893),ROUND(INDEX(Profils!$M$5:$M$34,$AE893)*Paramètres!$E$29*$AG893*$AJ893,Paramètres!$F$29),0)</f>
        <v>0</v>
      </c>
      <c r="T893" s="20" t="n">
        <f aca="false" t="array" ref="T893:T893">IF(AND(INDEX(Profils!$N$5:$N$34,$AE893)&gt;0,INDEX(Profils!$AC$5:$AC$34,$AE893)&lt;=$AH893),ROUND(INDEX(Profils!$N$5:$N$34,$AE893)*Paramètres!$E$30*$AG893*$AJ893,Paramètres!$F$30),0)</f>
        <v>0</v>
      </c>
      <c r="U893" s="19" t="n">
        <f aca="false" t="array" ref="U893:U893">IF(AND(INDEX(Profils!$O$5:$O$34,$AE893)&gt;0,INDEX(Profils!$AD$5:$AD$34,$AE893)&lt;=$AH893),ROUND(INDEX(Profils!$O$5:$O$34,$AE893)*Paramètres!$E$31*$AG893*$AJ893,Paramètres!$F$31),0)</f>
        <v>0</v>
      </c>
      <c r="V893" s="20" t="n">
        <f aca="false" t="array" ref="V893:V893">IF(AND(INDEX(Profils!$P$5:$P$34,$AE893)&gt;0,INDEX(Profils!$AE$5:$AE$34,$AE893)&lt;=$AH893),ROUND(INDEX(Profils!$P$5:$P$34,$AE893)*Paramètres!$E$32*$AG893*$AJ893,Paramètres!$F$32),0)</f>
        <v>0</v>
      </c>
      <c r="W893" s="20" t="n">
        <f aca="false" t="array" ref="W893:W893">IF(AND(INDEX(Profils!$Q$5:$Q$34,$AE893)&gt;0,INDEX(Profils!$AF$5:$AF$34,$AE893)&lt;=$AH893),ROUND(INDEX(Profils!$Q$5:$Q$34,$AE893)*Paramètres!$E$33*$AG893*$AJ893,Paramètres!$F$33),0)</f>
        <v>0</v>
      </c>
      <c r="X893" s="20" t="n">
        <f aca="false" t="array" ref="X893:X893">IF(AND(INDEX(Profils!$R$5:$R$34,$AE893)&gt;0,INDEX(Profils!$AG$5:$AG$34,$AE893)&lt;=$AH893),ROUND(INDEX(Profils!$R$5:$R$34,$AE893)*Paramètres!$E$34*$AG893*$AJ893,Paramètres!$F$34),0)</f>
        <v>0</v>
      </c>
      <c r="Y893" s="20" t="n">
        <f aca="false" t="array" ref="Y893:Y893">IF(AND(INDEX(Profils!$S$5:$S$34,$AE893)&gt;0,INDEX(Profils!$AH$5:$AH$34,$AE893)&lt;=$AH893),ROUND(INDEX(Profils!$S$5:$S$34,$AE893)*Paramètres!$E$35*$AG893*$AJ893,Paramètres!$F$35),0)</f>
        <v>0</v>
      </c>
      <c r="Z893" s="21" t="n">
        <f aca="false">ROUND(L893/Paramètres!$E$22+M893/Paramètres!$E$23+N893/Paramètres!$E$24+O893/Paramètres!$E$25+P893/Paramètres!$E$26+Q893/Paramètres!$E$27+R893/Paramètres!$E$28+S893/Paramètres!$E$29+T893/Paramètres!$E$30+U893/Paramètres!$E$31+V893/Paramètres!$E$32+W893/Paramètres!$E$33+X893/Paramètres!$E$34+Y893/Paramètres!$E$35,1)</f>
        <v>3.3</v>
      </c>
      <c r="AA893" s="22" t="s">
        <v>109</v>
      </c>
      <c r="AB893" s="22" t="s">
        <v>109</v>
      </c>
      <c r="AC893" s="15" t="str">
        <f aca="false">$E893</f>
        <v>ébène</v>
      </c>
      <c r="AD893" s="16" t="n">
        <f aca="false" t="array" ref="AD893:AD893">IF($I893&gt;=$AI893,"Max",ROUND(Paramètres!$B$40*($I893+1)^Paramètres!$B$41*INDEX(Paramètres!$H$6:$H$12,$AF893),0))</f>
        <v>4</v>
      </c>
      <c r="AE893" s="23" t="n">
        <f aca="false">MATCH($B893&amp;"|"&amp;$C893,Profils!$A$5:$A$34,0)</f>
        <v>29</v>
      </c>
      <c r="AF893" s="23" t="n">
        <v>2</v>
      </c>
      <c r="AG893" s="24" t="n">
        <f aca="false" t="array" ref="AG893:AG893">INDEX(Paramètres!$C$6:$C$12,$AF893)</f>
        <v>1.2</v>
      </c>
      <c r="AH893" s="23" t="n">
        <f aca="false" t="array" ref="AH893:AH893">INDEX(Paramètres!$D$6:$D$12,$AF893)</f>
        <v>3</v>
      </c>
      <c r="AI893" s="23" t="n">
        <f aca="false" t="array" ref="AI893:AI893">INDEX(Matériaux!$C$16:$C$20,$D893)</f>
        <v>25</v>
      </c>
      <c r="AJ893" s="25" t="n">
        <f aca="false">Paramètres!$B$16+(1-Paramètres!$B$16)*(($J893-Paramètres!$B$14)/(Paramètres!$B$15-Paramètres!$B$14))^Paramètres!$B$17</f>
        <v>0.458504333336152</v>
      </c>
    </row>
    <row r="894" customFormat="false" ht="15.75" hidden="false" customHeight="true" outlineLevel="0" collapsed="false">
      <c r="A894" s="14" t="s">
        <v>1010</v>
      </c>
      <c r="B894" s="15" t="s">
        <v>31</v>
      </c>
      <c r="C894" s="15" t="s">
        <v>369</v>
      </c>
      <c r="D894" s="16" t="n">
        <v>4</v>
      </c>
      <c r="E894" s="15" t="str">
        <f aca="false" t="array" ref="E894:E894">INDEX(Matériaux!$B$5:$F$12,MATCH(INDEX(Profils!$E$5:$E$34,$AE894),Matériaux!$A$5:$A$12,0),$D894)</f>
        <v>ébène</v>
      </c>
      <c r="F894" s="27" t="s">
        <v>113</v>
      </c>
      <c r="G894" s="10" t="str">
        <f aca="false" t="array" ref="G894:G894">INDEX(Profils!$D$5:$D$34,$AE894)&amp;" en "&amp;$E894</f>
        <v>Arc en ébène</v>
      </c>
      <c r="H894" s="16" t="n">
        <f aca="false" t="array" ref="H894:H894">INDEX(Matériaux!$B$16:$B$20,$D894)</f>
        <v>50</v>
      </c>
      <c r="I894" s="16" t="n">
        <f aca="false">IF(ISNUMBER($C$3),MIN(MAX(0,ROUND($C$3,0)),$AI894),$AI894)</f>
        <v>0</v>
      </c>
      <c r="J894" s="18" t="n">
        <f aca="false">$H894+$I894</f>
        <v>50</v>
      </c>
      <c r="K894" s="15" t="s">
        <v>109</v>
      </c>
      <c r="L894" s="19" t="n">
        <f aca="false" t="array" ref="L894:L894">IF(AND(INDEX(Profils!$F$5:$F$34,$AE894)&gt;0,INDEX(Profils!$U$5:$U$34,$AE894)&lt;=$AH894),ROUND(INDEX(Profils!$F$5:$F$34,$AE894)*Paramètres!$E$22*$AG894*$AJ894,Paramètres!$F$22),0)</f>
        <v>0</v>
      </c>
      <c r="M894" s="19" t="n">
        <f aca="false" t="array" ref="M894:M894">IF(AND(INDEX(Profils!$G$5:$G$34,$AE894)&gt;0,INDEX(Profils!$V$5:$V$34,$AE894)&lt;=$AH894),ROUND(INDEX(Profils!$G$5:$G$34,$AE894)*Paramètres!$E$23*$AG894*$AJ894,Paramètres!$F$23),0)</f>
        <v>22</v>
      </c>
      <c r="N894" s="19" t="n">
        <f aca="false" t="array" ref="N894:N894">IF(AND(INDEX(Profils!$H$5:$H$34,$AE894)&gt;0,INDEX(Profils!$W$5:$W$34,$AE894)&lt;=$AH894),ROUND(INDEX(Profils!$H$5:$H$34,$AE894)*Paramètres!$E$24*$AG894*$AJ894,Paramètres!$F$24),0)</f>
        <v>0</v>
      </c>
      <c r="O894" s="19" t="n">
        <f aca="false" t="array" ref="O894:O894">IF(AND(INDEX(Profils!$I$5:$I$34,$AE894)&gt;0,INDEX(Profils!$X$5:$X$34,$AE894)&lt;=$AH894),ROUND(INDEX(Profils!$I$5:$I$34,$AE894)*Paramètres!$E$25*$AG894*$AJ894,Paramètres!$F$25),0)</f>
        <v>0</v>
      </c>
      <c r="P894" s="19" t="n">
        <f aca="false" t="array" ref="P894:P894">IF(AND(INDEX(Profils!$J$5:$J$34,$AE894)&gt;0,INDEX(Profils!$Y$5:$Y$34,$AE894)&lt;=$AH894),ROUND(INDEX(Profils!$J$5:$J$34,$AE894)*Paramètres!$E$26*$AG894*$AJ894,Paramètres!$F$26),0)</f>
        <v>16</v>
      </c>
      <c r="Q894" s="19" t="n">
        <f aca="false" t="array" ref="Q894:Q894">IF(AND(INDEX(Profils!$K$5:$K$34,$AE894)&gt;0,INDEX(Profils!$Z$5:$Z$34,$AE894)&lt;=$AH894),ROUND(INDEX(Profils!$K$5:$K$34,$AE894)*Paramètres!$E$27*$AG894*$AJ894,Paramètres!$F$27),0)</f>
        <v>0</v>
      </c>
      <c r="R894" s="20" t="n">
        <f aca="false" t="array" ref="R894:R894">IF(AND(INDEX(Profils!$L$5:$L$34,$AE894)&gt;0,INDEX(Profils!$AA$5:$AA$34,$AE894)&lt;=$AH894),ROUND(INDEX(Profils!$L$5:$L$34,$AE894)*Paramètres!$E$28*$AG894*$AJ894,Paramètres!$F$28),0)</f>
        <v>0.018</v>
      </c>
      <c r="S894" s="20" t="n">
        <f aca="false" t="array" ref="S894:S894">IF(AND(INDEX(Profils!$M$5:$M$34,$AE894)&gt;0,INDEX(Profils!$AB$5:$AB$34,$AE894)&lt;=$AH894),ROUND(INDEX(Profils!$M$5:$M$34,$AE894)*Paramètres!$E$29*$AG894*$AJ894,Paramètres!$F$29),0)</f>
        <v>0.014</v>
      </c>
      <c r="T894" s="20" t="n">
        <f aca="false" t="array" ref="T894:T894">IF(AND(INDEX(Profils!$N$5:$N$34,$AE894)&gt;0,INDEX(Profils!$AC$5:$AC$34,$AE894)&lt;=$AH894),ROUND(INDEX(Profils!$N$5:$N$34,$AE894)*Paramètres!$E$30*$AG894*$AJ894,Paramètres!$F$30),0)</f>
        <v>0</v>
      </c>
      <c r="U894" s="19" t="n">
        <f aca="false" t="array" ref="U894:U894">IF(AND(INDEX(Profils!$O$5:$O$34,$AE894)&gt;0,INDEX(Profils!$AD$5:$AD$34,$AE894)&lt;=$AH894),ROUND(INDEX(Profils!$O$5:$O$34,$AE894)*Paramètres!$E$31*$AG894*$AJ894,Paramètres!$F$31),0)</f>
        <v>0</v>
      </c>
      <c r="V894" s="20" t="n">
        <f aca="false" t="array" ref="V894:V894">IF(AND(INDEX(Profils!$P$5:$P$34,$AE894)&gt;0,INDEX(Profils!$AE$5:$AE$34,$AE894)&lt;=$AH894),ROUND(INDEX(Profils!$P$5:$P$34,$AE894)*Paramètres!$E$32*$AG894*$AJ894,Paramètres!$F$32),0)</f>
        <v>0</v>
      </c>
      <c r="W894" s="20" t="n">
        <f aca="false" t="array" ref="W894:W894">IF(AND(INDEX(Profils!$Q$5:$Q$34,$AE894)&gt;0,INDEX(Profils!$AF$5:$AF$34,$AE894)&lt;=$AH894),ROUND(INDEX(Profils!$Q$5:$Q$34,$AE894)*Paramètres!$E$33*$AG894*$AJ894,Paramètres!$F$33),0)</f>
        <v>0</v>
      </c>
      <c r="X894" s="20" t="n">
        <f aca="false" t="array" ref="X894:X894">IF(AND(INDEX(Profils!$R$5:$R$34,$AE894)&gt;0,INDEX(Profils!$AG$5:$AG$34,$AE894)&lt;=$AH894),ROUND(INDEX(Profils!$R$5:$R$34,$AE894)*Paramètres!$E$34*$AG894*$AJ894,Paramètres!$F$34),0)</f>
        <v>0</v>
      </c>
      <c r="Y894" s="20" t="n">
        <f aca="false" t="array" ref="Y894:Y894">IF(AND(INDEX(Profils!$S$5:$S$34,$AE894)&gt;0,INDEX(Profils!$AH$5:$AH$34,$AE894)&lt;=$AH894),ROUND(INDEX(Profils!$S$5:$S$34,$AE894)*Paramètres!$E$35*$AG894*$AJ894,Paramètres!$F$35),0)</f>
        <v>0</v>
      </c>
      <c r="Z894" s="21" t="n">
        <f aca="false">ROUND(L894/Paramètres!$E$22+M894/Paramètres!$E$23+N894/Paramètres!$E$24+O894/Paramètres!$E$25+P894/Paramètres!$E$26+Q894/Paramètres!$E$27+R894/Paramètres!$E$28+S894/Paramètres!$E$29+T894/Paramètres!$E$30+U894/Paramètres!$E$31+V894/Paramètres!$E$32+W894/Paramètres!$E$33+X894/Paramètres!$E$34+Y894/Paramètres!$E$35,1)</f>
        <v>5.2</v>
      </c>
      <c r="AA894" s="22" t="s">
        <v>109</v>
      </c>
      <c r="AB894" s="22" t="s">
        <v>109</v>
      </c>
      <c r="AC894" s="15" t="str">
        <f aca="false">$E894</f>
        <v>ébène</v>
      </c>
      <c r="AD894" s="16" t="n">
        <f aca="false" t="array" ref="AD894:AD894">IF($I894&gt;=$AI894,"Max",ROUND(Paramètres!$B$40*($I894+1)^Paramètres!$B$41*INDEX(Paramètres!$H$6:$H$12,$AF894),0))</f>
        <v>4</v>
      </c>
      <c r="AE894" s="23" t="n">
        <f aca="false">MATCH($B894&amp;"|"&amp;$C894,Profils!$A$5:$A$34,0)</f>
        <v>29</v>
      </c>
      <c r="AF894" s="23" t="n">
        <v>3</v>
      </c>
      <c r="AG894" s="24" t="n">
        <f aca="false" t="array" ref="AG894:AG894">INDEX(Paramètres!$C$6:$C$12,$AF894)</f>
        <v>1.45</v>
      </c>
      <c r="AH894" s="23" t="n">
        <f aca="false" t="array" ref="AH894:AH894">INDEX(Paramètres!$D$6:$D$12,$AF894)</f>
        <v>4</v>
      </c>
      <c r="AI894" s="23" t="n">
        <f aca="false" t="array" ref="AI894:AI894">INDEX(Matériaux!$C$16:$C$20,$D894)</f>
        <v>25</v>
      </c>
      <c r="AJ894" s="25" t="n">
        <f aca="false">Paramètres!$B$16+(1-Paramètres!$B$16)*(($J894-Paramètres!$B$14)/(Paramètres!$B$15-Paramètres!$B$14))^Paramètres!$B$17</f>
        <v>0.458504333336152</v>
      </c>
    </row>
    <row r="895" customFormat="false" ht="15.75" hidden="false" customHeight="true" outlineLevel="0" collapsed="false">
      <c r="A895" s="14" t="s">
        <v>1011</v>
      </c>
      <c r="B895" s="15" t="s">
        <v>31</v>
      </c>
      <c r="C895" s="15" t="s">
        <v>369</v>
      </c>
      <c r="D895" s="16" t="n">
        <v>4</v>
      </c>
      <c r="E895" s="15" t="str">
        <f aca="false" t="array" ref="E895:E895">INDEX(Matériaux!$B$5:$F$12,MATCH(INDEX(Profils!$E$5:$E$34,$AE895),Matériaux!$A$5:$A$12,0),$D895)</f>
        <v>ébène</v>
      </c>
      <c r="F895" s="28" t="s">
        <v>115</v>
      </c>
      <c r="G895" s="10" t="str">
        <f aca="false" t="array" ref="G895:G895">INDEX(Profils!$D$5:$D$34,$AE895)&amp;" en "&amp;$E895</f>
        <v>Arc en ébène</v>
      </c>
      <c r="H895" s="16" t="n">
        <f aca="false" t="array" ref="H895:H895">INDEX(Matériaux!$B$16:$B$20,$D895)</f>
        <v>50</v>
      </c>
      <c r="I895" s="16" t="n">
        <f aca="false">IF(ISNUMBER($C$3),MIN(MAX(0,ROUND($C$3,0)),$AI895),$AI895)</f>
        <v>0</v>
      </c>
      <c r="J895" s="18" t="n">
        <f aca="false">$H895+$I895</f>
        <v>50</v>
      </c>
      <c r="K895" s="15" t="s">
        <v>109</v>
      </c>
      <c r="L895" s="19" t="n">
        <f aca="false" t="array" ref="L895:L895">IF(AND(INDEX(Profils!$F$5:$F$34,$AE895)&gt;0,INDEX(Profils!$U$5:$U$34,$AE895)&lt;=$AH895),ROUND(INDEX(Profils!$F$5:$F$34,$AE895)*Paramètres!$E$22*$AG895*$AJ895,Paramètres!$F$22),0)</f>
        <v>0</v>
      </c>
      <c r="M895" s="19" t="n">
        <f aca="false" t="array" ref="M895:M895">IF(AND(INDEX(Profils!$G$5:$G$34,$AE895)&gt;0,INDEX(Profils!$V$5:$V$34,$AE895)&lt;=$AH895),ROUND(INDEX(Profils!$G$5:$G$34,$AE895)*Paramètres!$E$23*$AG895*$AJ895,Paramètres!$F$23),0)</f>
        <v>26</v>
      </c>
      <c r="N895" s="19" t="n">
        <f aca="false" t="array" ref="N895:N895">IF(AND(INDEX(Profils!$H$5:$H$34,$AE895)&gt;0,INDEX(Profils!$W$5:$W$34,$AE895)&lt;=$AH895),ROUND(INDEX(Profils!$H$5:$H$34,$AE895)*Paramètres!$E$24*$AG895*$AJ895,Paramètres!$F$24),0)</f>
        <v>0</v>
      </c>
      <c r="O895" s="19" t="n">
        <f aca="false" t="array" ref="O895:O895">IF(AND(INDEX(Profils!$I$5:$I$34,$AE895)&gt;0,INDEX(Profils!$X$5:$X$34,$AE895)&lt;=$AH895),ROUND(INDEX(Profils!$I$5:$I$34,$AE895)*Paramètres!$E$25*$AG895*$AJ895,Paramètres!$F$25),0)</f>
        <v>0</v>
      </c>
      <c r="P895" s="19" t="n">
        <f aca="false" t="array" ref="P895:P895">IF(AND(INDEX(Profils!$J$5:$J$34,$AE895)&gt;0,INDEX(Profils!$Y$5:$Y$34,$AE895)&lt;=$AH895),ROUND(INDEX(Profils!$J$5:$J$34,$AE895)*Paramètres!$E$26*$AG895*$AJ895,Paramètres!$F$26),0)</f>
        <v>19</v>
      </c>
      <c r="Q895" s="19" t="n">
        <f aca="false" t="array" ref="Q895:Q895">IF(AND(INDEX(Profils!$K$5:$K$34,$AE895)&gt;0,INDEX(Profils!$Z$5:$Z$34,$AE895)&lt;=$AH895),ROUND(INDEX(Profils!$K$5:$K$34,$AE895)*Paramètres!$E$27*$AG895*$AJ895,Paramètres!$F$27),0)</f>
        <v>0</v>
      </c>
      <c r="R895" s="20" t="n">
        <f aca="false" t="array" ref="R895:R895">IF(AND(INDEX(Profils!$L$5:$L$34,$AE895)&gt;0,INDEX(Profils!$AA$5:$AA$34,$AE895)&lt;=$AH895),ROUND(INDEX(Profils!$L$5:$L$34,$AE895)*Paramètres!$E$28*$AG895*$AJ895,Paramètres!$F$28),0)</f>
        <v>0.022</v>
      </c>
      <c r="S895" s="20" t="n">
        <f aca="false" t="array" ref="S895:S895">IF(AND(INDEX(Profils!$M$5:$M$34,$AE895)&gt;0,INDEX(Profils!$AB$5:$AB$34,$AE895)&lt;=$AH895),ROUND(INDEX(Profils!$M$5:$M$34,$AE895)*Paramètres!$E$29*$AG895*$AJ895,Paramètres!$F$29),0)</f>
        <v>0.017</v>
      </c>
      <c r="T895" s="20" t="n">
        <f aca="false" t="array" ref="T895:T895">IF(AND(INDEX(Profils!$N$5:$N$34,$AE895)&gt;0,INDEX(Profils!$AC$5:$AC$34,$AE895)&lt;=$AH895),ROUND(INDEX(Profils!$N$5:$N$34,$AE895)*Paramètres!$E$30*$AG895*$AJ895,Paramètres!$F$30),0)</f>
        <v>0.043</v>
      </c>
      <c r="U895" s="19" t="n">
        <f aca="false" t="array" ref="U895:U895">IF(AND(INDEX(Profils!$O$5:$O$34,$AE895)&gt;0,INDEX(Profils!$AD$5:$AD$34,$AE895)&lt;=$AH895),ROUND(INDEX(Profils!$O$5:$O$34,$AE895)*Paramètres!$E$31*$AG895*$AJ895,Paramètres!$F$31),0)</f>
        <v>0</v>
      </c>
      <c r="V895" s="20" t="n">
        <f aca="false" t="array" ref="V895:V895">IF(AND(INDEX(Profils!$P$5:$P$34,$AE895)&gt;0,INDEX(Profils!$AE$5:$AE$34,$AE895)&lt;=$AH895),ROUND(INDEX(Profils!$P$5:$P$34,$AE895)*Paramètres!$E$32*$AG895*$AJ895,Paramètres!$F$32),0)</f>
        <v>0</v>
      </c>
      <c r="W895" s="20" t="n">
        <f aca="false" t="array" ref="W895:W895">IF(AND(INDEX(Profils!$Q$5:$Q$34,$AE895)&gt;0,INDEX(Profils!$AF$5:$AF$34,$AE895)&lt;=$AH895),ROUND(INDEX(Profils!$Q$5:$Q$34,$AE895)*Paramètres!$E$33*$AG895*$AJ895,Paramètres!$F$33),0)</f>
        <v>0</v>
      </c>
      <c r="X895" s="20" t="n">
        <f aca="false" t="array" ref="X895:X895">IF(AND(INDEX(Profils!$R$5:$R$34,$AE895)&gt;0,INDEX(Profils!$AG$5:$AG$34,$AE895)&lt;=$AH895),ROUND(INDEX(Profils!$R$5:$R$34,$AE895)*Paramètres!$E$34*$AG895*$AJ895,Paramètres!$F$34),0)</f>
        <v>0</v>
      </c>
      <c r="Y895" s="20" t="n">
        <f aca="false" t="array" ref="Y895:Y895">IF(AND(INDEX(Profils!$S$5:$S$34,$AE895)&gt;0,INDEX(Profils!$AH$5:$AH$34,$AE895)&lt;=$AH895),ROUND(INDEX(Profils!$S$5:$S$34,$AE895)*Paramètres!$E$35*$AG895*$AJ895,Paramètres!$F$35),0)</f>
        <v>0</v>
      </c>
      <c r="Z895" s="21" t="n">
        <f aca="false">ROUND(L895/Paramètres!$E$22+M895/Paramètres!$E$23+N895/Paramètres!$E$24+O895/Paramètres!$E$25+P895/Paramètres!$E$26+Q895/Paramètres!$E$27+R895/Paramètres!$E$28+S895/Paramètres!$E$29+T895/Paramètres!$E$30+U895/Paramètres!$E$31+V895/Paramètres!$E$32+W895/Paramètres!$E$33+X895/Paramètres!$E$34+Y895/Paramètres!$E$35,1)</f>
        <v>7.6</v>
      </c>
      <c r="AA895" s="22" t="s">
        <v>109</v>
      </c>
      <c r="AB895" s="22" t="s">
        <v>109</v>
      </c>
      <c r="AC895" s="15" t="str">
        <f aca="false">$E895</f>
        <v>ébène</v>
      </c>
      <c r="AD895" s="16" t="n">
        <f aca="false" t="array" ref="AD895:AD895">IF($I895&gt;=$AI895,"Max",ROUND(Paramètres!$B$40*($I895+1)^Paramètres!$B$41*INDEX(Paramètres!$H$6:$H$12,$AF895),0))</f>
        <v>5</v>
      </c>
      <c r="AE895" s="23" t="n">
        <f aca="false">MATCH($B895&amp;"|"&amp;$C895,Profils!$A$5:$A$34,0)</f>
        <v>29</v>
      </c>
      <c r="AF895" s="23" t="n">
        <v>4</v>
      </c>
      <c r="AG895" s="24" t="n">
        <f aca="false" t="array" ref="AG895:AG895">INDEX(Paramètres!$C$6:$C$12,$AF895)</f>
        <v>1.75</v>
      </c>
      <c r="AH895" s="23" t="n">
        <f aca="false" t="array" ref="AH895:AH895">INDEX(Paramètres!$D$6:$D$12,$AF895)</f>
        <v>5</v>
      </c>
      <c r="AI895" s="23" t="n">
        <f aca="false" t="array" ref="AI895:AI895">INDEX(Matériaux!$C$16:$C$20,$D895)</f>
        <v>25</v>
      </c>
      <c r="AJ895" s="25" t="n">
        <f aca="false">Paramètres!$B$16+(1-Paramètres!$B$16)*(($J895-Paramètres!$B$14)/(Paramètres!$B$15-Paramètres!$B$14))^Paramètres!$B$17</f>
        <v>0.458504333336152</v>
      </c>
    </row>
    <row r="896" customFormat="false" ht="15.75" hidden="false" customHeight="true" outlineLevel="0" collapsed="false">
      <c r="A896" s="14" t="s">
        <v>1012</v>
      </c>
      <c r="B896" s="15" t="s">
        <v>31</v>
      </c>
      <c r="C896" s="15" t="s">
        <v>369</v>
      </c>
      <c r="D896" s="16" t="n">
        <v>4</v>
      </c>
      <c r="E896" s="15" t="str">
        <f aca="false" t="array" ref="E896:E896">INDEX(Matériaux!$B$5:$F$12,MATCH(INDEX(Profils!$E$5:$E$34,$AE896),Matériaux!$A$5:$A$12,0),$D896)</f>
        <v>ébène</v>
      </c>
      <c r="F896" s="29" t="s">
        <v>117</v>
      </c>
      <c r="G896" s="10" t="str">
        <f aca="false" t="array" ref="G896:G896">INDEX(Profils!$D$5:$D$34,$AE896)&amp;" en "&amp;$E896</f>
        <v>Arc en ébène</v>
      </c>
      <c r="H896" s="16" t="n">
        <f aca="false" t="array" ref="H896:H896">INDEX(Matériaux!$B$16:$B$20,$D896)</f>
        <v>50</v>
      </c>
      <c r="I896" s="16" t="n">
        <f aca="false">IF(ISNUMBER($C$3),MIN(MAX(0,ROUND($C$3,0)),$AI896),$AI896)</f>
        <v>0</v>
      </c>
      <c r="J896" s="18" t="n">
        <f aca="false">$H896+$I896</f>
        <v>50</v>
      </c>
      <c r="K896" s="15" t="s">
        <v>109</v>
      </c>
      <c r="L896" s="19" t="n">
        <f aca="false" t="array" ref="L896:L896">IF(AND(INDEX(Profils!$F$5:$F$34,$AE896)&gt;0,INDEX(Profils!$U$5:$U$34,$AE896)&lt;=$AH896),ROUND(INDEX(Profils!$F$5:$F$34,$AE896)*Paramètres!$E$22*$AG896*$AJ896,Paramètres!$F$22),0)</f>
        <v>0</v>
      </c>
      <c r="M896" s="19" t="n">
        <f aca="false" t="array" ref="M896:M896">IF(AND(INDEX(Profils!$G$5:$G$34,$AE896)&gt;0,INDEX(Profils!$V$5:$V$34,$AE896)&lt;=$AH896),ROUND(INDEX(Profils!$G$5:$G$34,$AE896)*Paramètres!$E$23*$AG896*$AJ896,Paramètres!$F$23),0)</f>
        <v>32</v>
      </c>
      <c r="N896" s="19" t="n">
        <f aca="false" t="array" ref="N896:N896">IF(AND(INDEX(Profils!$H$5:$H$34,$AE896)&gt;0,INDEX(Profils!$W$5:$W$34,$AE896)&lt;=$AH896),ROUND(INDEX(Profils!$H$5:$H$34,$AE896)*Paramètres!$E$24*$AG896*$AJ896,Paramètres!$F$24),0)</f>
        <v>0</v>
      </c>
      <c r="O896" s="19" t="n">
        <f aca="false" t="array" ref="O896:O896">IF(AND(INDEX(Profils!$I$5:$I$34,$AE896)&gt;0,INDEX(Profils!$X$5:$X$34,$AE896)&lt;=$AH896),ROUND(INDEX(Profils!$I$5:$I$34,$AE896)*Paramètres!$E$25*$AG896*$AJ896,Paramètres!$F$25),0)</f>
        <v>0</v>
      </c>
      <c r="P896" s="19" t="n">
        <f aca="false" t="array" ref="P896:P896">IF(AND(INDEX(Profils!$J$5:$J$34,$AE896)&gt;0,INDEX(Profils!$Y$5:$Y$34,$AE896)&lt;=$AH896),ROUND(INDEX(Profils!$J$5:$J$34,$AE896)*Paramètres!$E$26*$AG896*$AJ896,Paramètres!$F$26),0)</f>
        <v>23</v>
      </c>
      <c r="Q896" s="19" t="n">
        <f aca="false" t="array" ref="Q896:Q896">IF(AND(INDEX(Profils!$K$5:$K$34,$AE896)&gt;0,INDEX(Profils!$Z$5:$Z$34,$AE896)&lt;=$AH896),ROUND(INDEX(Profils!$K$5:$K$34,$AE896)*Paramètres!$E$27*$AG896*$AJ896,Paramètres!$F$27),0)</f>
        <v>0</v>
      </c>
      <c r="R896" s="20" t="n">
        <f aca="false" t="array" ref="R896:R896">IF(AND(INDEX(Profils!$L$5:$L$34,$AE896)&gt;0,INDEX(Profils!$AA$5:$AA$34,$AE896)&lt;=$AH896),ROUND(INDEX(Profils!$L$5:$L$34,$AE896)*Paramètres!$E$28*$AG896*$AJ896,Paramètres!$F$28),0)</f>
        <v>0.026</v>
      </c>
      <c r="S896" s="20" t="n">
        <f aca="false" t="array" ref="S896:S896">IF(AND(INDEX(Profils!$M$5:$M$34,$AE896)&gt;0,INDEX(Profils!$AB$5:$AB$34,$AE896)&lt;=$AH896),ROUND(INDEX(Profils!$M$5:$M$34,$AE896)*Paramètres!$E$29*$AG896*$AJ896,Paramètres!$F$29),0)</f>
        <v>0.021</v>
      </c>
      <c r="T896" s="20" t="n">
        <f aca="false" t="array" ref="T896:T896">IF(AND(INDEX(Profils!$N$5:$N$34,$AE896)&gt;0,INDEX(Profils!$AC$5:$AC$34,$AE896)&lt;=$AH896),ROUND(INDEX(Profils!$N$5:$N$34,$AE896)*Paramètres!$E$30*$AG896*$AJ896,Paramètres!$F$30),0)</f>
        <v>0.052</v>
      </c>
      <c r="U896" s="19" t="n">
        <f aca="false" t="array" ref="U896:U896">IF(AND(INDEX(Profils!$O$5:$O$34,$AE896)&gt;0,INDEX(Profils!$AD$5:$AD$34,$AE896)&lt;=$AH896),ROUND(INDEX(Profils!$O$5:$O$34,$AE896)*Paramètres!$E$31*$AG896*$AJ896,Paramètres!$F$31),0)</f>
        <v>0</v>
      </c>
      <c r="V896" s="20" t="n">
        <f aca="false" t="array" ref="V896:V896">IF(AND(INDEX(Profils!$P$5:$P$34,$AE896)&gt;0,INDEX(Profils!$AE$5:$AE$34,$AE896)&lt;=$AH896),ROUND(INDEX(Profils!$P$5:$P$34,$AE896)*Paramètres!$E$32*$AG896*$AJ896,Paramètres!$F$32),0)</f>
        <v>0.026</v>
      </c>
      <c r="W896" s="20" t="n">
        <f aca="false" t="array" ref="W896:W896">IF(AND(INDEX(Profils!$Q$5:$Q$34,$AE896)&gt;0,INDEX(Profils!$AF$5:$AF$34,$AE896)&lt;=$AH896),ROUND(INDEX(Profils!$Q$5:$Q$34,$AE896)*Paramètres!$E$33*$AG896*$AJ896,Paramètres!$F$33),0)</f>
        <v>0</v>
      </c>
      <c r="X896" s="20" t="n">
        <f aca="false" t="array" ref="X896:X896">IF(AND(INDEX(Profils!$R$5:$R$34,$AE896)&gt;0,INDEX(Profils!$AG$5:$AG$34,$AE896)&lt;=$AH896),ROUND(INDEX(Profils!$R$5:$R$34,$AE896)*Paramètres!$E$34*$AG896*$AJ896,Paramètres!$F$34),0)</f>
        <v>0</v>
      </c>
      <c r="Y896" s="20" t="n">
        <f aca="false" t="array" ref="Y896:Y896">IF(AND(INDEX(Profils!$S$5:$S$34,$AE896)&gt;0,INDEX(Profils!$AH$5:$AH$34,$AE896)&lt;=$AH896),ROUND(INDEX(Profils!$S$5:$S$34,$AE896)*Paramètres!$E$35*$AG896*$AJ896,Paramètres!$F$35),0)</f>
        <v>0</v>
      </c>
      <c r="Z896" s="21" t="n">
        <f aca="false">ROUND(L896/Paramètres!$E$22+M896/Paramètres!$E$23+N896/Paramètres!$E$24+O896/Paramètres!$E$25+P896/Paramètres!$E$26+Q896/Paramètres!$E$27+R896/Paramètres!$E$28+S896/Paramètres!$E$29+T896/Paramètres!$E$30+U896/Paramètres!$E$31+V896/Paramètres!$E$32+W896/Paramètres!$E$33+X896/Paramètres!$E$34+Y896/Paramètres!$E$35,1)</f>
        <v>11</v>
      </c>
      <c r="AA896" s="22" t="s">
        <v>109</v>
      </c>
      <c r="AB896" s="22" t="s">
        <v>109</v>
      </c>
      <c r="AC896" s="15" t="str">
        <f aca="false">$E896</f>
        <v>ébène</v>
      </c>
      <c r="AD896" s="16" t="n">
        <f aca="false" t="array" ref="AD896:AD896">IF($I896&gt;=$AI896,"Max",ROUND(Paramètres!$B$40*($I896+1)^Paramètres!$B$41*INDEX(Paramètres!$H$6:$H$12,$AF896),0))</f>
        <v>6</v>
      </c>
      <c r="AE896" s="23" t="n">
        <f aca="false">MATCH($B896&amp;"|"&amp;$C896,Profils!$A$5:$A$34,0)</f>
        <v>29</v>
      </c>
      <c r="AF896" s="23" t="n">
        <v>5</v>
      </c>
      <c r="AG896" s="24" t="n">
        <f aca="false" t="array" ref="AG896:AG896">INDEX(Paramètres!$C$6:$C$12,$AF896)</f>
        <v>2.1</v>
      </c>
      <c r="AH896" s="23" t="n">
        <f aca="false" t="array" ref="AH896:AH896">INDEX(Paramètres!$D$6:$D$12,$AF896)</f>
        <v>6</v>
      </c>
      <c r="AI896" s="23" t="n">
        <f aca="false" t="array" ref="AI896:AI896">INDEX(Matériaux!$C$16:$C$20,$D896)</f>
        <v>25</v>
      </c>
      <c r="AJ896" s="25" t="n">
        <f aca="false">Paramètres!$B$16+(1-Paramètres!$B$16)*(($J896-Paramètres!$B$14)/(Paramètres!$B$15-Paramètres!$B$14))^Paramètres!$B$17</f>
        <v>0.458504333336152</v>
      </c>
    </row>
    <row r="897" customFormat="false" ht="15.75" hidden="false" customHeight="true" outlineLevel="0" collapsed="false">
      <c r="A897" s="14" t="s">
        <v>1013</v>
      </c>
      <c r="B897" s="15" t="s">
        <v>31</v>
      </c>
      <c r="C897" s="15" t="s">
        <v>369</v>
      </c>
      <c r="D897" s="16" t="n">
        <v>4</v>
      </c>
      <c r="E897" s="15" t="str">
        <f aca="false" t="array" ref="E897:E897">INDEX(Matériaux!$B$5:$F$12,MATCH(INDEX(Profils!$E$5:$E$34,$AE897),Matériaux!$A$5:$A$12,0),$D897)</f>
        <v>ébène</v>
      </c>
      <c r="F897" s="30" t="s">
        <v>119</v>
      </c>
      <c r="G897" s="10" t="str">
        <f aca="false" t="array" ref="G897:G897">INDEX(Profils!$D$5:$D$34,$AE897)&amp;" en "&amp;$E897</f>
        <v>Arc en ébène</v>
      </c>
      <c r="H897" s="16" t="n">
        <f aca="false" t="array" ref="H897:H897">INDEX(Matériaux!$B$16:$B$20,$D897)</f>
        <v>50</v>
      </c>
      <c r="I897" s="16" t="n">
        <f aca="false">IF(ISNUMBER($C$3),MIN(MAX(0,ROUND($C$3,0)),$AI897),$AI897)</f>
        <v>0</v>
      </c>
      <c r="J897" s="18" t="n">
        <f aca="false">$H897+$I897</f>
        <v>50</v>
      </c>
      <c r="K897" s="15" t="s">
        <v>109</v>
      </c>
      <c r="L897" s="19" t="n">
        <f aca="false" t="array" ref="L897:L897">IF(AND(INDEX(Profils!$F$5:$F$34,$AE897)&gt;0,INDEX(Profils!$U$5:$U$34,$AE897)&lt;=$AH897),ROUND(INDEX(Profils!$F$5:$F$34,$AE897)*Paramètres!$E$22*$AG897*$AJ897,Paramètres!$F$22),0)</f>
        <v>17</v>
      </c>
      <c r="M897" s="19" t="n">
        <f aca="false" t="array" ref="M897:M897">IF(AND(INDEX(Profils!$G$5:$G$34,$AE897)&gt;0,INDEX(Profils!$V$5:$V$34,$AE897)&lt;=$AH897),ROUND(INDEX(Profils!$G$5:$G$34,$AE897)*Paramètres!$E$23*$AG897*$AJ897,Paramètres!$F$23),0)</f>
        <v>36</v>
      </c>
      <c r="N897" s="19" t="n">
        <f aca="false" t="array" ref="N897:N897">IF(AND(INDEX(Profils!$H$5:$H$34,$AE897)&gt;0,INDEX(Profils!$W$5:$W$34,$AE897)&lt;=$AH897),ROUND(INDEX(Profils!$H$5:$H$34,$AE897)*Paramètres!$E$24*$AG897*$AJ897,Paramètres!$F$24),0)</f>
        <v>0</v>
      </c>
      <c r="O897" s="19" t="n">
        <f aca="false" t="array" ref="O897:O897">IF(AND(INDEX(Profils!$I$5:$I$34,$AE897)&gt;0,INDEX(Profils!$X$5:$X$34,$AE897)&lt;=$AH897),ROUND(INDEX(Profils!$I$5:$I$34,$AE897)*Paramètres!$E$25*$AG897*$AJ897,Paramètres!$F$25),0)</f>
        <v>0</v>
      </c>
      <c r="P897" s="19" t="n">
        <f aca="false" t="array" ref="P897:P897">IF(AND(INDEX(Profils!$J$5:$J$34,$AE897)&gt;0,INDEX(Profils!$Y$5:$Y$34,$AE897)&lt;=$AH897),ROUND(INDEX(Profils!$J$5:$J$34,$AE897)*Paramètres!$E$26*$AG897*$AJ897,Paramètres!$F$26),0)</f>
        <v>26</v>
      </c>
      <c r="Q897" s="19" t="n">
        <f aca="false" t="array" ref="Q897:Q897">IF(AND(INDEX(Profils!$K$5:$K$34,$AE897)&gt;0,INDEX(Profils!$Z$5:$Z$34,$AE897)&lt;=$AH897),ROUND(INDEX(Profils!$K$5:$K$34,$AE897)*Paramètres!$E$27*$AG897*$AJ897,Paramètres!$F$27),0)</f>
        <v>0</v>
      </c>
      <c r="R897" s="20" t="n">
        <f aca="false" t="array" ref="R897:R897">IF(AND(INDEX(Profils!$L$5:$L$34,$AE897)&gt;0,INDEX(Profils!$AA$5:$AA$34,$AE897)&lt;=$AH897),ROUND(INDEX(Profils!$L$5:$L$34,$AE897)*Paramètres!$E$28*$AG897*$AJ897,Paramètres!$F$28),0)</f>
        <v>0.03</v>
      </c>
      <c r="S897" s="20" t="n">
        <f aca="false" t="array" ref="S897:S897">IF(AND(INDEX(Profils!$M$5:$M$34,$AE897)&gt;0,INDEX(Profils!$AB$5:$AB$34,$AE897)&lt;=$AH897),ROUND(INDEX(Profils!$M$5:$M$34,$AE897)*Paramètres!$E$29*$AG897*$AJ897,Paramètres!$F$29),0)</f>
        <v>0.024</v>
      </c>
      <c r="T897" s="20" t="n">
        <f aca="false" t="array" ref="T897:T897">IF(AND(INDEX(Profils!$N$5:$N$34,$AE897)&gt;0,INDEX(Profils!$AC$5:$AC$34,$AE897)&lt;=$AH897),ROUND(INDEX(Profils!$N$5:$N$34,$AE897)*Paramètres!$E$30*$AG897*$AJ897,Paramètres!$F$30),0)</f>
        <v>0.059</v>
      </c>
      <c r="U897" s="19" t="n">
        <f aca="false" t="array" ref="U897:U897">IF(AND(INDEX(Profils!$O$5:$O$34,$AE897)&gt;0,INDEX(Profils!$AD$5:$AD$34,$AE897)&lt;=$AH897),ROUND(INDEX(Profils!$O$5:$O$34,$AE897)*Paramètres!$E$31*$AG897*$AJ897,Paramètres!$F$31),0)</f>
        <v>0</v>
      </c>
      <c r="V897" s="20" t="n">
        <f aca="false" t="array" ref="V897:V897">IF(AND(INDEX(Profils!$P$5:$P$34,$AE897)&gt;0,INDEX(Profils!$AE$5:$AE$34,$AE897)&lt;=$AH897),ROUND(INDEX(Profils!$P$5:$P$34,$AE897)*Paramètres!$E$32*$AG897*$AJ897,Paramètres!$F$32),0)</f>
        <v>0.03</v>
      </c>
      <c r="W897" s="20" t="n">
        <f aca="false" t="array" ref="W897:W897">IF(AND(INDEX(Profils!$Q$5:$Q$34,$AE897)&gt;0,INDEX(Profils!$AF$5:$AF$34,$AE897)&lt;=$AH897),ROUND(INDEX(Profils!$Q$5:$Q$34,$AE897)*Paramètres!$E$33*$AG897*$AJ897,Paramètres!$F$33),0)</f>
        <v>0</v>
      </c>
      <c r="X897" s="20" t="n">
        <f aca="false" t="array" ref="X897:X897">IF(AND(INDEX(Profils!$R$5:$R$34,$AE897)&gt;0,INDEX(Profils!$AG$5:$AG$34,$AE897)&lt;=$AH897),ROUND(INDEX(Profils!$R$5:$R$34,$AE897)*Paramètres!$E$34*$AG897*$AJ897,Paramètres!$F$34),0)</f>
        <v>0</v>
      </c>
      <c r="Y897" s="20" t="n">
        <f aca="false" t="array" ref="Y897:Y897">IF(AND(INDEX(Profils!$S$5:$S$34,$AE897)&gt;0,INDEX(Profils!$AH$5:$AH$34,$AE897)&lt;=$AH897),ROUND(INDEX(Profils!$S$5:$S$34,$AE897)*Paramètres!$E$35*$AG897*$AJ897,Paramètres!$F$35),0)</f>
        <v>0</v>
      </c>
      <c r="Z897" s="21" t="n">
        <f aca="false">ROUND(L897/Paramètres!$E$22+M897/Paramètres!$E$23+N897/Paramètres!$E$24+O897/Paramètres!$E$25+P897/Paramètres!$E$26+Q897/Paramètres!$E$27+R897/Paramètres!$E$28+S897/Paramètres!$E$29+T897/Paramètres!$E$30+U897/Paramètres!$E$31+V897/Paramètres!$E$32+W897/Paramètres!$E$33+X897/Paramètres!$E$34+Y897/Paramètres!$E$35,1)</f>
        <v>13.2</v>
      </c>
      <c r="AA897" s="22" t="s">
        <v>109</v>
      </c>
      <c r="AB897" s="22" t="s">
        <v>109</v>
      </c>
      <c r="AC897" s="15" t="str">
        <f aca="false">$E897</f>
        <v>ébène</v>
      </c>
      <c r="AD897" s="16" t="n">
        <f aca="false" t="array" ref="AD897:AD897">IF($I897&gt;=$AI897,"Max",ROUND(Paramètres!$B$40*($I897+1)^Paramètres!$B$41*INDEX(Paramètres!$H$6:$H$12,$AF897),0))</f>
        <v>8</v>
      </c>
      <c r="AE897" s="23" t="n">
        <f aca="false">MATCH($B897&amp;"|"&amp;$C897,Profils!$A$5:$A$34,0)</f>
        <v>29</v>
      </c>
      <c r="AF897" s="23" t="n">
        <v>6</v>
      </c>
      <c r="AG897" s="24" t="n">
        <f aca="false" t="array" ref="AG897:AG897">INDEX(Paramètres!$C$6:$C$12,$AF897)</f>
        <v>2.4</v>
      </c>
      <c r="AH897" s="23" t="n">
        <f aca="false" t="array" ref="AH897:AH897">INDEX(Paramètres!$D$6:$D$12,$AF897)</f>
        <v>7</v>
      </c>
      <c r="AI897" s="23" t="n">
        <f aca="false" t="array" ref="AI897:AI897">INDEX(Matériaux!$C$16:$C$20,$D897)</f>
        <v>25</v>
      </c>
      <c r="AJ897" s="25" t="n">
        <f aca="false">Paramètres!$B$16+(1-Paramètres!$B$16)*(($J897-Paramètres!$B$14)/(Paramètres!$B$15-Paramètres!$B$14))^Paramètres!$B$17</f>
        <v>0.458504333336152</v>
      </c>
    </row>
    <row r="898" customFormat="false" ht="15.75" hidden="false" customHeight="true" outlineLevel="0" collapsed="false">
      <c r="A898" s="14" t="s">
        <v>1014</v>
      </c>
      <c r="B898" s="15" t="s">
        <v>31</v>
      </c>
      <c r="C898" s="15" t="s">
        <v>369</v>
      </c>
      <c r="D898" s="16" t="n">
        <v>5</v>
      </c>
      <c r="E898" s="15" t="str">
        <f aca="false" t="array" ref="E898:E898">INDEX(Matériaux!$B$5:$F$12,MATCH(INDEX(Profils!$E$5:$E$34,$AE898),Matériaux!$A$5:$A$12,0),$D898)</f>
        <v>os de dragon</v>
      </c>
      <c r="F898" s="17" t="s">
        <v>108</v>
      </c>
      <c r="G898" s="10" t="str">
        <f aca="false" t="array" ref="G898:G898">INDEX(Profils!$D$5:$D$34,$AE898)&amp;" en "&amp;$E898</f>
        <v>Arc en os de dragon</v>
      </c>
      <c r="H898" s="16" t="n">
        <f aca="false" t="array" ref="H898:H898">INDEX(Matériaux!$B$16:$B$20,$D898)</f>
        <v>70</v>
      </c>
      <c r="I898" s="16" t="n">
        <f aca="false">IF(ISNUMBER($C$3),MIN(MAX(0,ROUND($C$3,0)),$AI898),$AI898)</f>
        <v>0</v>
      </c>
      <c r="J898" s="18" t="n">
        <f aca="false">$H898+$I898</f>
        <v>70</v>
      </c>
      <c r="K898" s="15" t="s">
        <v>109</v>
      </c>
      <c r="L898" s="19" t="n">
        <f aca="false" t="array" ref="L898:L898">IF(AND(INDEX(Profils!$F$5:$F$34,$AE898)&gt;0,INDEX(Profils!$U$5:$U$34,$AE898)&lt;=$AH898),ROUND(INDEX(Profils!$F$5:$F$34,$AE898)*Paramètres!$E$22*$AG898*$AJ898,Paramètres!$F$22),0)</f>
        <v>0</v>
      </c>
      <c r="M898" s="19" t="n">
        <f aca="false" t="array" ref="M898:M898">IF(AND(INDEX(Profils!$G$5:$G$34,$AE898)&gt;0,INDEX(Profils!$V$5:$V$34,$AE898)&lt;=$AH898),ROUND(INDEX(Profils!$G$5:$G$34,$AE898)*Paramètres!$E$23*$AG898*$AJ898,Paramètres!$F$23),0)</f>
        <v>22</v>
      </c>
      <c r="N898" s="19" t="n">
        <f aca="false" t="array" ref="N898:N898">IF(AND(INDEX(Profils!$H$5:$H$34,$AE898)&gt;0,INDEX(Profils!$W$5:$W$34,$AE898)&lt;=$AH898),ROUND(INDEX(Profils!$H$5:$H$34,$AE898)*Paramètres!$E$24*$AG898*$AJ898,Paramètres!$F$24),0)</f>
        <v>0</v>
      </c>
      <c r="O898" s="19" t="n">
        <f aca="false" t="array" ref="O898:O898">IF(AND(INDEX(Profils!$I$5:$I$34,$AE898)&gt;0,INDEX(Profils!$X$5:$X$34,$AE898)&lt;=$AH898),ROUND(INDEX(Profils!$I$5:$I$34,$AE898)*Paramètres!$E$25*$AG898*$AJ898,Paramètres!$F$25),0)</f>
        <v>0</v>
      </c>
      <c r="P898" s="19" t="n">
        <f aca="false" t="array" ref="P898:P898">IF(AND(INDEX(Profils!$J$5:$J$34,$AE898)&gt;0,INDEX(Profils!$Y$5:$Y$34,$AE898)&lt;=$AH898),ROUND(INDEX(Profils!$J$5:$J$34,$AE898)*Paramètres!$E$26*$AG898*$AJ898,Paramètres!$F$26),0)</f>
        <v>16</v>
      </c>
      <c r="Q898" s="19" t="n">
        <f aca="false" t="array" ref="Q898:Q898">IF(AND(INDEX(Profils!$K$5:$K$34,$AE898)&gt;0,INDEX(Profils!$Z$5:$Z$34,$AE898)&lt;=$AH898),ROUND(INDEX(Profils!$K$5:$K$34,$AE898)*Paramètres!$E$27*$AG898*$AJ898,Paramètres!$F$27),0)</f>
        <v>0</v>
      </c>
      <c r="R898" s="20" t="n">
        <f aca="false" t="array" ref="R898:R898">IF(AND(INDEX(Profils!$L$5:$L$34,$AE898)&gt;0,INDEX(Profils!$AA$5:$AA$34,$AE898)&lt;=$AH898),ROUND(INDEX(Profils!$L$5:$L$34,$AE898)*Paramètres!$E$28*$AG898*$AJ898,Paramètres!$F$28),0)</f>
        <v>0</v>
      </c>
      <c r="S898" s="20" t="n">
        <f aca="false" t="array" ref="S898:S898">IF(AND(INDEX(Profils!$M$5:$M$34,$AE898)&gt;0,INDEX(Profils!$AB$5:$AB$34,$AE898)&lt;=$AH898),ROUND(INDEX(Profils!$M$5:$M$34,$AE898)*Paramètres!$E$29*$AG898*$AJ898,Paramètres!$F$29),0)</f>
        <v>0</v>
      </c>
      <c r="T898" s="20" t="n">
        <f aca="false" t="array" ref="T898:T898">IF(AND(INDEX(Profils!$N$5:$N$34,$AE898)&gt;0,INDEX(Profils!$AC$5:$AC$34,$AE898)&lt;=$AH898),ROUND(INDEX(Profils!$N$5:$N$34,$AE898)*Paramètres!$E$30*$AG898*$AJ898,Paramètres!$F$30),0)</f>
        <v>0</v>
      </c>
      <c r="U898" s="19" t="n">
        <f aca="false" t="array" ref="U898:U898">IF(AND(INDEX(Profils!$O$5:$O$34,$AE898)&gt;0,INDEX(Profils!$AD$5:$AD$34,$AE898)&lt;=$AH898),ROUND(INDEX(Profils!$O$5:$O$34,$AE898)*Paramètres!$E$31*$AG898*$AJ898,Paramètres!$F$31),0)</f>
        <v>0</v>
      </c>
      <c r="V898" s="20" t="n">
        <f aca="false" t="array" ref="V898:V898">IF(AND(INDEX(Profils!$P$5:$P$34,$AE898)&gt;0,INDEX(Profils!$AE$5:$AE$34,$AE898)&lt;=$AH898),ROUND(INDEX(Profils!$P$5:$P$34,$AE898)*Paramètres!$E$32*$AG898*$AJ898,Paramètres!$F$32),0)</f>
        <v>0</v>
      </c>
      <c r="W898" s="20" t="n">
        <f aca="false" t="array" ref="W898:W898">IF(AND(INDEX(Profils!$Q$5:$Q$34,$AE898)&gt;0,INDEX(Profils!$AF$5:$AF$34,$AE898)&lt;=$AH898),ROUND(INDEX(Profils!$Q$5:$Q$34,$AE898)*Paramètres!$E$33*$AG898*$AJ898,Paramètres!$F$33),0)</f>
        <v>0</v>
      </c>
      <c r="X898" s="20" t="n">
        <f aca="false" t="array" ref="X898:X898">IF(AND(INDEX(Profils!$R$5:$R$34,$AE898)&gt;0,INDEX(Profils!$AG$5:$AG$34,$AE898)&lt;=$AH898),ROUND(INDEX(Profils!$R$5:$R$34,$AE898)*Paramètres!$E$34*$AG898*$AJ898,Paramètres!$F$34),0)</f>
        <v>0</v>
      </c>
      <c r="Y898" s="20" t="n">
        <f aca="false" t="array" ref="Y898:Y898">IF(AND(INDEX(Profils!$S$5:$S$34,$AE898)&gt;0,INDEX(Profils!$AH$5:$AH$34,$AE898)&lt;=$AH898),ROUND(INDEX(Profils!$S$5:$S$34,$AE898)*Paramètres!$E$35*$AG898*$AJ898,Paramètres!$F$35),0)</f>
        <v>0</v>
      </c>
      <c r="Z898" s="21" t="n">
        <f aca="false">ROUND(L898/Paramètres!$E$22+M898/Paramètres!$E$23+N898/Paramètres!$E$24+O898/Paramètres!$E$25+P898/Paramètres!$E$26+Q898/Paramètres!$E$27+R898/Paramètres!$E$28+S898/Paramètres!$E$29+T898/Paramètres!$E$30+U898/Paramètres!$E$31+V898/Paramètres!$E$32+W898/Paramètres!$E$33+X898/Paramètres!$E$34+Y898/Paramètres!$E$35,1)</f>
        <v>2.8</v>
      </c>
      <c r="AA898" s="22" t="s">
        <v>109</v>
      </c>
      <c r="AB898" s="22" t="s">
        <v>109</v>
      </c>
      <c r="AC898" s="15" t="str">
        <f aca="false">$E898</f>
        <v>os de dragon</v>
      </c>
      <c r="AD898" s="16" t="n">
        <f aca="false" t="array" ref="AD898:AD898">IF($I898&gt;=$AI898,"Max",ROUND(Paramètres!$B$40*($I898+1)^Paramètres!$B$41*INDEX(Paramètres!$H$6:$H$12,$AF898),0))</f>
        <v>3</v>
      </c>
      <c r="AE898" s="23" t="n">
        <f aca="false">MATCH($B898&amp;"|"&amp;$C898,Profils!$A$5:$A$34,0)</f>
        <v>29</v>
      </c>
      <c r="AF898" s="23" t="n">
        <v>1</v>
      </c>
      <c r="AG898" s="24" t="n">
        <f aca="false" t="array" ref="AG898:AG898">INDEX(Paramètres!$C$6:$C$12,$AF898)</f>
        <v>1</v>
      </c>
      <c r="AH898" s="23" t="n">
        <f aca="false" t="array" ref="AH898:AH898">INDEX(Paramètres!$D$6:$D$12,$AF898)</f>
        <v>2</v>
      </c>
      <c r="AI898" s="23" t="n">
        <f aca="false" t="array" ref="AI898:AI898">INDEX(Matériaux!$C$16:$C$20,$D898)</f>
        <v>30</v>
      </c>
      <c r="AJ898" s="25" t="n">
        <f aca="false">Paramètres!$B$16+(1-Paramètres!$B$16)*(($J898-Paramètres!$B$14)/(Paramètres!$B$15-Paramètres!$B$14))^Paramètres!$B$17</f>
        <v>0.665999387952727</v>
      </c>
    </row>
    <row r="899" customFormat="false" ht="15.75" hidden="false" customHeight="true" outlineLevel="0" collapsed="false">
      <c r="A899" s="14" t="s">
        <v>1015</v>
      </c>
      <c r="B899" s="15" t="s">
        <v>31</v>
      </c>
      <c r="C899" s="15" t="s">
        <v>369</v>
      </c>
      <c r="D899" s="16" t="n">
        <v>5</v>
      </c>
      <c r="E899" s="15" t="str">
        <f aca="false" t="array" ref="E899:E899">INDEX(Matériaux!$B$5:$F$12,MATCH(INDEX(Profils!$E$5:$E$34,$AE899),Matériaux!$A$5:$A$12,0),$D899)</f>
        <v>os de dragon</v>
      </c>
      <c r="F899" s="26" t="s">
        <v>111</v>
      </c>
      <c r="G899" s="10" t="str">
        <f aca="false" t="array" ref="G899:G899">INDEX(Profils!$D$5:$D$34,$AE899)&amp;" en "&amp;$E899</f>
        <v>Arc en os de dragon</v>
      </c>
      <c r="H899" s="16" t="n">
        <f aca="false" t="array" ref="H899:H899">INDEX(Matériaux!$B$16:$B$20,$D899)</f>
        <v>70</v>
      </c>
      <c r="I899" s="16" t="n">
        <f aca="false">IF(ISNUMBER($C$3),MIN(MAX(0,ROUND($C$3,0)),$AI899),$AI899)</f>
        <v>0</v>
      </c>
      <c r="J899" s="18" t="n">
        <f aca="false">$H899+$I899</f>
        <v>70</v>
      </c>
      <c r="K899" s="15" t="s">
        <v>109</v>
      </c>
      <c r="L899" s="19" t="n">
        <f aca="false" t="array" ref="L899:L899">IF(AND(INDEX(Profils!$F$5:$F$34,$AE899)&gt;0,INDEX(Profils!$U$5:$U$34,$AE899)&lt;=$AH899),ROUND(INDEX(Profils!$F$5:$F$34,$AE899)*Paramètres!$E$22*$AG899*$AJ899,Paramètres!$F$22),0)</f>
        <v>0</v>
      </c>
      <c r="M899" s="19" t="n">
        <f aca="false" t="array" ref="M899:M899">IF(AND(INDEX(Profils!$G$5:$G$34,$AE899)&gt;0,INDEX(Profils!$V$5:$V$34,$AE899)&lt;=$AH899),ROUND(INDEX(Profils!$G$5:$G$34,$AE899)*Paramètres!$E$23*$AG899*$AJ899,Paramètres!$F$23),0)</f>
        <v>26</v>
      </c>
      <c r="N899" s="19" t="n">
        <f aca="false" t="array" ref="N899:N899">IF(AND(INDEX(Profils!$H$5:$H$34,$AE899)&gt;0,INDEX(Profils!$W$5:$W$34,$AE899)&lt;=$AH899),ROUND(INDEX(Profils!$H$5:$H$34,$AE899)*Paramètres!$E$24*$AG899*$AJ899,Paramètres!$F$24),0)</f>
        <v>0</v>
      </c>
      <c r="O899" s="19" t="n">
        <f aca="false" t="array" ref="O899:O899">IF(AND(INDEX(Profils!$I$5:$I$34,$AE899)&gt;0,INDEX(Profils!$X$5:$X$34,$AE899)&lt;=$AH899),ROUND(INDEX(Profils!$I$5:$I$34,$AE899)*Paramètres!$E$25*$AG899*$AJ899,Paramètres!$F$25),0)</f>
        <v>0</v>
      </c>
      <c r="P899" s="19" t="n">
        <f aca="false" t="array" ref="P899:P899">IF(AND(INDEX(Profils!$J$5:$J$34,$AE899)&gt;0,INDEX(Profils!$Y$5:$Y$34,$AE899)&lt;=$AH899),ROUND(INDEX(Profils!$J$5:$J$34,$AE899)*Paramètres!$E$26*$AG899*$AJ899,Paramètres!$F$26),0)</f>
        <v>19</v>
      </c>
      <c r="Q899" s="19" t="n">
        <f aca="false" t="array" ref="Q899:Q899">IF(AND(INDEX(Profils!$K$5:$K$34,$AE899)&gt;0,INDEX(Profils!$Z$5:$Z$34,$AE899)&lt;=$AH899),ROUND(INDEX(Profils!$K$5:$K$34,$AE899)*Paramètres!$E$27*$AG899*$AJ899,Paramètres!$F$27),0)</f>
        <v>0</v>
      </c>
      <c r="R899" s="20" t="n">
        <f aca="false" t="array" ref="R899:R899">IF(AND(INDEX(Profils!$L$5:$L$34,$AE899)&gt;0,INDEX(Profils!$AA$5:$AA$34,$AE899)&lt;=$AH899),ROUND(INDEX(Profils!$L$5:$L$34,$AE899)*Paramètres!$E$28*$AG899*$AJ899,Paramètres!$F$28),0)</f>
        <v>0.022</v>
      </c>
      <c r="S899" s="20" t="n">
        <f aca="false" t="array" ref="S899:S899">IF(AND(INDEX(Profils!$M$5:$M$34,$AE899)&gt;0,INDEX(Profils!$AB$5:$AB$34,$AE899)&lt;=$AH899),ROUND(INDEX(Profils!$M$5:$M$34,$AE899)*Paramètres!$E$29*$AG899*$AJ899,Paramètres!$F$29),0)</f>
        <v>0</v>
      </c>
      <c r="T899" s="20" t="n">
        <f aca="false" t="array" ref="T899:T899">IF(AND(INDEX(Profils!$N$5:$N$34,$AE899)&gt;0,INDEX(Profils!$AC$5:$AC$34,$AE899)&lt;=$AH899),ROUND(INDEX(Profils!$N$5:$N$34,$AE899)*Paramètres!$E$30*$AG899*$AJ899,Paramètres!$F$30),0)</f>
        <v>0</v>
      </c>
      <c r="U899" s="19" t="n">
        <f aca="false" t="array" ref="U899:U899">IF(AND(INDEX(Profils!$O$5:$O$34,$AE899)&gt;0,INDEX(Profils!$AD$5:$AD$34,$AE899)&lt;=$AH899),ROUND(INDEX(Profils!$O$5:$O$34,$AE899)*Paramètres!$E$31*$AG899*$AJ899,Paramètres!$F$31),0)</f>
        <v>0</v>
      </c>
      <c r="V899" s="20" t="n">
        <f aca="false" t="array" ref="V899:V899">IF(AND(INDEX(Profils!$P$5:$P$34,$AE899)&gt;0,INDEX(Profils!$AE$5:$AE$34,$AE899)&lt;=$AH899),ROUND(INDEX(Profils!$P$5:$P$34,$AE899)*Paramètres!$E$32*$AG899*$AJ899,Paramètres!$F$32),0)</f>
        <v>0</v>
      </c>
      <c r="W899" s="20" t="n">
        <f aca="false" t="array" ref="W899:W899">IF(AND(INDEX(Profils!$Q$5:$Q$34,$AE899)&gt;0,INDEX(Profils!$AF$5:$AF$34,$AE899)&lt;=$AH899),ROUND(INDEX(Profils!$Q$5:$Q$34,$AE899)*Paramètres!$E$33*$AG899*$AJ899,Paramètres!$F$33),0)</f>
        <v>0</v>
      </c>
      <c r="X899" s="20" t="n">
        <f aca="false" t="array" ref="X899:X899">IF(AND(INDEX(Profils!$R$5:$R$34,$AE899)&gt;0,INDEX(Profils!$AG$5:$AG$34,$AE899)&lt;=$AH899),ROUND(INDEX(Profils!$R$5:$R$34,$AE899)*Paramètres!$E$34*$AG899*$AJ899,Paramètres!$F$34),0)</f>
        <v>0</v>
      </c>
      <c r="Y899" s="20" t="n">
        <f aca="false" t="array" ref="Y899:Y899">IF(AND(INDEX(Profils!$S$5:$S$34,$AE899)&gt;0,INDEX(Profils!$AH$5:$AH$34,$AE899)&lt;=$AH899),ROUND(INDEX(Profils!$S$5:$S$34,$AE899)*Paramètres!$E$35*$AG899*$AJ899,Paramètres!$F$35),0)</f>
        <v>0</v>
      </c>
      <c r="Z899" s="21" t="n">
        <f aca="false">ROUND(L899/Paramètres!$E$22+M899/Paramètres!$E$23+N899/Paramètres!$E$24+O899/Paramètres!$E$25+P899/Paramètres!$E$26+Q899/Paramètres!$E$27+R899/Paramètres!$E$28+S899/Paramètres!$E$29+T899/Paramètres!$E$30+U899/Paramètres!$E$31+V899/Paramètres!$E$32+W899/Paramètres!$E$33+X899/Paramètres!$E$34+Y899/Paramètres!$E$35,1)</f>
        <v>4.8</v>
      </c>
      <c r="AA899" s="22" t="s">
        <v>109</v>
      </c>
      <c r="AB899" s="22" t="s">
        <v>109</v>
      </c>
      <c r="AC899" s="15" t="str">
        <f aca="false">$E899</f>
        <v>os de dragon</v>
      </c>
      <c r="AD899" s="16" t="n">
        <f aca="false" t="array" ref="AD899:AD899">IF($I899&gt;=$AI899,"Max",ROUND(Paramètres!$B$40*($I899+1)^Paramètres!$B$41*INDEX(Paramètres!$H$6:$H$12,$AF899),0))</f>
        <v>4</v>
      </c>
      <c r="AE899" s="23" t="n">
        <f aca="false">MATCH($B899&amp;"|"&amp;$C899,Profils!$A$5:$A$34,0)</f>
        <v>29</v>
      </c>
      <c r="AF899" s="23" t="n">
        <v>2</v>
      </c>
      <c r="AG899" s="24" t="n">
        <f aca="false" t="array" ref="AG899:AG899">INDEX(Paramètres!$C$6:$C$12,$AF899)</f>
        <v>1.2</v>
      </c>
      <c r="AH899" s="23" t="n">
        <f aca="false" t="array" ref="AH899:AH899">INDEX(Paramètres!$D$6:$D$12,$AF899)</f>
        <v>3</v>
      </c>
      <c r="AI899" s="23" t="n">
        <f aca="false" t="array" ref="AI899:AI899">INDEX(Matériaux!$C$16:$C$20,$D899)</f>
        <v>30</v>
      </c>
      <c r="AJ899" s="25" t="n">
        <f aca="false">Paramètres!$B$16+(1-Paramètres!$B$16)*(($J899-Paramètres!$B$14)/(Paramètres!$B$15-Paramètres!$B$14))^Paramètres!$B$17</f>
        <v>0.665999387952727</v>
      </c>
    </row>
    <row r="900" customFormat="false" ht="15.75" hidden="false" customHeight="true" outlineLevel="0" collapsed="false">
      <c r="A900" s="14" t="s">
        <v>1016</v>
      </c>
      <c r="B900" s="15" t="s">
        <v>31</v>
      </c>
      <c r="C900" s="15" t="s">
        <v>369</v>
      </c>
      <c r="D900" s="16" t="n">
        <v>5</v>
      </c>
      <c r="E900" s="15" t="str">
        <f aca="false" t="array" ref="E900:E900">INDEX(Matériaux!$B$5:$F$12,MATCH(INDEX(Profils!$E$5:$E$34,$AE900),Matériaux!$A$5:$A$12,0),$D900)</f>
        <v>os de dragon</v>
      </c>
      <c r="F900" s="27" t="s">
        <v>113</v>
      </c>
      <c r="G900" s="10" t="str">
        <f aca="false" t="array" ref="G900:G900">INDEX(Profils!$D$5:$D$34,$AE900)&amp;" en "&amp;$E900</f>
        <v>Arc en os de dragon</v>
      </c>
      <c r="H900" s="16" t="n">
        <f aca="false" t="array" ref="H900:H900">INDEX(Matériaux!$B$16:$B$20,$D900)</f>
        <v>70</v>
      </c>
      <c r="I900" s="16" t="n">
        <f aca="false">IF(ISNUMBER($C$3),MIN(MAX(0,ROUND($C$3,0)),$AI900),$AI900)</f>
        <v>0</v>
      </c>
      <c r="J900" s="18" t="n">
        <f aca="false">$H900+$I900</f>
        <v>70</v>
      </c>
      <c r="K900" s="15" t="s">
        <v>109</v>
      </c>
      <c r="L900" s="19" t="n">
        <f aca="false" t="array" ref="L900:L900">IF(AND(INDEX(Profils!$F$5:$F$34,$AE900)&gt;0,INDEX(Profils!$U$5:$U$34,$AE900)&lt;=$AH900),ROUND(INDEX(Profils!$F$5:$F$34,$AE900)*Paramètres!$E$22*$AG900*$AJ900,Paramètres!$F$22),0)</f>
        <v>0</v>
      </c>
      <c r="M900" s="19" t="n">
        <f aca="false" t="array" ref="M900:M900">IF(AND(INDEX(Profils!$G$5:$G$34,$AE900)&gt;0,INDEX(Profils!$V$5:$V$34,$AE900)&lt;=$AH900),ROUND(INDEX(Profils!$G$5:$G$34,$AE900)*Paramètres!$E$23*$AG900*$AJ900,Paramètres!$F$23),0)</f>
        <v>32</v>
      </c>
      <c r="N900" s="19" t="n">
        <f aca="false" t="array" ref="N900:N900">IF(AND(INDEX(Profils!$H$5:$H$34,$AE900)&gt;0,INDEX(Profils!$W$5:$W$34,$AE900)&lt;=$AH900),ROUND(INDEX(Profils!$H$5:$H$34,$AE900)*Paramètres!$E$24*$AG900*$AJ900,Paramètres!$F$24),0)</f>
        <v>0</v>
      </c>
      <c r="O900" s="19" t="n">
        <f aca="false" t="array" ref="O900:O900">IF(AND(INDEX(Profils!$I$5:$I$34,$AE900)&gt;0,INDEX(Profils!$X$5:$X$34,$AE900)&lt;=$AH900),ROUND(INDEX(Profils!$I$5:$I$34,$AE900)*Paramètres!$E$25*$AG900*$AJ900,Paramètres!$F$25),0)</f>
        <v>0</v>
      </c>
      <c r="P900" s="19" t="n">
        <f aca="false" t="array" ref="P900:P900">IF(AND(INDEX(Profils!$J$5:$J$34,$AE900)&gt;0,INDEX(Profils!$Y$5:$Y$34,$AE900)&lt;=$AH900),ROUND(INDEX(Profils!$J$5:$J$34,$AE900)*Paramètres!$E$26*$AG900*$AJ900,Paramètres!$F$26),0)</f>
        <v>23</v>
      </c>
      <c r="Q900" s="19" t="n">
        <f aca="false" t="array" ref="Q900:Q900">IF(AND(INDEX(Profils!$K$5:$K$34,$AE900)&gt;0,INDEX(Profils!$Z$5:$Z$34,$AE900)&lt;=$AH900),ROUND(INDEX(Profils!$K$5:$K$34,$AE900)*Paramètres!$E$27*$AG900*$AJ900,Paramètres!$F$27),0)</f>
        <v>0</v>
      </c>
      <c r="R900" s="20" t="n">
        <f aca="false" t="array" ref="R900:R900">IF(AND(INDEX(Profils!$L$5:$L$34,$AE900)&gt;0,INDEX(Profils!$AA$5:$AA$34,$AE900)&lt;=$AH900),ROUND(INDEX(Profils!$L$5:$L$34,$AE900)*Paramètres!$E$28*$AG900*$AJ900,Paramètres!$F$28),0)</f>
        <v>0.026</v>
      </c>
      <c r="S900" s="20" t="n">
        <f aca="false" t="array" ref="S900:S900">IF(AND(INDEX(Profils!$M$5:$M$34,$AE900)&gt;0,INDEX(Profils!$AB$5:$AB$34,$AE900)&lt;=$AH900),ROUND(INDEX(Profils!$M$5:$M$34,$AE900)*Paramètres!$E$29*$AG900*$AJ900,Paramètres!$F$29),0)</f>
        <v>0.021</v>
      </c>
      <c r="T900" s="20" t="n">
        <f aca="false" t="array" ref="T900:T900">IF(AND(INDEX(Profils!$N$5:$N$34,$AE900)&gt;0,INDEX(Profils!$AC$5:$AC$34,$AE900)&lt;=$AH900),ROUND(INDEX(Profils!$N$5:$N$34,$AE900)*Paramètres!$E$30*$AG900*$AJ900,Paramètres!$F$30),0)</f>
        <v>0</v>
      </c>
      <c r="U900" s="19" t="n">
        <f aca="false" t="array" ref="U900:U900">IF(AND(INDEX(Profils!$O$5:$O$34,$AE900)&gt;0,INDEX(Profils!$AD$5:$AD$34,$AE900)&lt;=$AH900),ROUND(INDEX(Profils!$O$5:$O$34,$AE900)*Paramètres!$E$31*$AG900*$AJ900,Paramètres!$F$31),0)</f>
        <v>0</v>
      </c>
      <c r="V900" s="20" t="n">
        <f aca="false" t="array" ref="V900:V900">IF(AND(INDEX(Profils!$P$5:$P$34,$AE900)&gt;0,INDEX(Profils!$AE$5:$AE$34,$AE900)&lt;=$AH900),ROUND(INDEX(Profils!$P$5:$P$34,$AE900)*Paramètres!$E$32*$AG900*$AJ900,Paramètres!$F$32),0)</f>
        <v>0</v>
      </c>
      <c r="W900" s="20" t="n">
        <f aca="false" t="array" ref="W900:W900">IF(AND(INDEX(Profils!$Q$5:$Q$34,$AE900)&gt;0,INDEX(Profils!$AF$5:$AF$34,$AE900)&lt;=$AH900),ROUND(INDEX(Profils!$Q$5:$Q$34,$AE900)*Paramètres!$E$33*$AG900*$AJ900,Paramètres!$F$33),0)</f>
        <v>0</v>
      </c>
      <c r="X900" s="20" t="n">
        <f aca="false" t="array" ref="X900:X900">IF(AND(INDEX(Profils!$R$5:$R$34,$AE900)&gt;0,INDEX(Profils!$AG$5:$AG$34,$AE900)&lt;=$AH900),ROUND(INDEX(Profils!$R$5:$R$34,$AE900)*Paramètres!$E$34*$AG900*$AJ900,Paramètres!$F$34),0)</f>
        <v>0</v>
      </c>
      <c r="Y900" s="20" t="n">
        <f aca="false" t="array" ref="Y900:Y900">IF(AND(INDEX(Profils!$S$5:$S$34,$AE900)&gt;0,INDEX(Profils!$AH$5:$AH$34,$AE900)&lt;=$AH900),ROUND(INDEX(Profils!$S$5:$S$34,$AE900)*Paramètres!$E$35*$AG900*$AJ900,Paramètres!$F$35),0)</f>
        <v>0</v>
      </c>
      <c r="Z900" s="21" t="n">
        <f aca="false">ROUND(L900/Paramètres!$E$22+M900/Paramètres!$E$23+N900/Paramètres!$E$24+O900/Paramètres!$E$25+P900/Paramètres!$E$26+Q900/Paramètres!$E$27+R900/Paramètres!$E$28+S900/Paramètres!$E$29+T900/Paramètres!$E$30+U900/Paramètres!$E$31+V900/Paramètres!$E$32+W900/Paramètres!$E$33+X900/Paramètres!$E$34+Y900/Paramètres!$E$35,1)</f>
        <v>7.5</v>
      </c>
      <c r="AA900" s="22" t="s">
        <v>109</v>
      </c>
      <c r="AB900" s="22" t="s">
        <v>109</v>
      </c>
      <c r="AC900" s="15" t="str">
        <f aca="false">$E900</f>
        <v>os de dragon</v>
      </c>
      <c r="AD900" s="16" t="n">
        <f aca="false" t="array" ref="AD900:AD900">IF($I900&gt;=$AI900,"Max",ROUND(Paramètres!$B$40*($I900+1)^Paramètres!$B$41*INDEX(Paramètres!$H$6:$H$12,$AF900),0))</f>
        <v>4</v>
      </c>
      <c r="AE900" s="23" t="n">
        <f aca="false">MATCH($B900&amp;"|"&amp;$C900,Profils!$A$5:$A$34,0)</f>
        <v>29</v>
      </c>
      <c r="AF900" s="23" t="n">
        <v>3</v>
      </c>
      <c r="AG900" s="24" t="n">
        <f aca="false" t="array" ref="AG900:AG900">INDEX(Paramètres!$C$6:$C$12,$AF900)</f>
        <v>1.45</v>
      </c>
      <c r="AH900" s="23" t="n">
        <f aca="false" t="array" ref="AH900:AH900">INDEX(Paramètres!$D$6:$D$12,$AF900)</f>
        <v>4</v>
      </c>
      <c r="AI900" s="23" t="n">
        <f aca="false" t="array" ref="AI900:AI900">INDEX(Matériaux!$C$16:$C$20,$D900)</f>
        <v>30</v>
      </c>
      <c r="AJ900" s="25" t="n">
        <f aca="false">Paramètres!$B$16+(1-Paramètres!$B$16)*(($J900-Paramètres!$B$14)/(Paramètres!$B$15-Paramètres!$B$14))^Paramètres!$B$17</f>
        <v>0.665999387952727</v>
      </c>
    </row>
    <row r="901" customFormat="false" ht="15.75" hidden="false" customHeight="true" outlineLevel="0" collapsed="false">
      <c r="A901" s="14" t="s">
        <v>1017</v>
      </c>
      <c r="B901" s="15" t="s">
        <v>31</v>
      </c>
      <c r="C901" s="15" t="s">
        <v>369</v>
      </c>
      <c r="D901" s="16" t="n">
        <v>5</v>
      </c>
      <c r="E901" s="15" t="str">
        <f aca="false" t="array" ref="E901:E901">INDEX(Matériaux!$B$5:$F$12,MATCH(INDEX(Profils!$E$5:$E$34,$AE901),Matériaux!$A$5:$A$12,0),$D901)</f>
        <v>os de dragon</v>
      </c>
      <c r="F901" s="28" t="s">
        <v>115</v>
      </c>
      <c r="G901" s="10" t="str">
        <f aca="false" t="array" ref="G901:G901">INDEX(Profils!$D$5:$D$34,$AE901)&amp;" en "&amp;$E901</f>
        <v>Arc en os de dragon</v>
      </c>
      <c r="H901" s="16" t="n">
        <f aca="false" t="array" ref="H901:H901">INDEX(Matériaux!$B$16:$B$20,$D901)</f>
        <v>70</v>
      </c>
      <c r="I901" s="16" t="n">
        <f aca="false">IF(ISNUMBER($C$3),MIN(MAX(0,ROUND($C$3,0)),$AI901),$AI901)</f>
        <v>0</v>
      </c>
      <c r="J901" s="18" t="n">
        <f aca="false">$H901+$I901</f>
        <v>70</v>
      </c>
      <c r="K901" s="15" t="s">
        <v>109</v>
      </c>
      <c r="L901" s="19" t="n">
        <f aca="false" t="array" ref="L901:L901">IF(AND(INDEX(Profils!$F$5:$F$34,$AE901)&gt;0,INDEX(Profils!$U$5:$U$34,$AE901)&lt;=$AH901),ROUND(INDEX(Profils!$F$5:$F$34,$AE901)*Paramètres!$E$22*$AG901*$AJ901,Paramètres!$F$22),0)</f>
        <v>0</v>
      </c>
      <c r="M901" s="19" t="n">
        <f aca="false" t="array" ref="M901:M901">IF(AND(INDEX(Profils!$G$5:$G$34,$AE901)&gt;0,INDEX(Profils!$V$5:$V$34,$AE901)&lt;=$AH901),ROUND(INDEX(Profils!$G$5:$G$34,$AE901)*Paramètres!$E$23*$AG901*$AJ901,Paramètres!$F$23),0)</f>
        <v>38</v>
      </c>
      <c r="N901" s="19" t="n">
        <f aca="false" t="array" ref="N901:N901">IF(AND(INDEX(Profils!$H$5:$H$34,$AE901)&gt;0,INDEX(Profils!$W$5:$W$34,$AE901)&lt;=$AH901),ROUND(INDEX(Profils!$H$5:$H$34,$AE901)*Paramètres!$E$24*$AG901*$AJ901,Paramètres!$F$24),0)</f>
        <v>0</v>
      </c>
      <c r="O901" s="19" t="n">
        <f aca="false" t="array" ref="O901:O901">IF(AND(INDEX(Profils!$I$5:$I$34,$AE901)&gt;0,INDEX(Profils!$X$5:$X$34,$AE901)&lt;=$AH901),ROUND(INDEX(Profils!$I$5:$I$34,$AE901)*Paramètres!$E$25*$AG901*$AJ901,Paramètres!$F$25),0)</f>
        <v>0</v>
      </c>
      <c r="P901" s="19" t="n">
        <f aca="false" t="array" ref="P901:P901">IF(AND(INDEX(Profils!$J$5:$J$34,$AE901)&gt;0,INDEX(Profils!$Y$5:$Y$34,$AE901)&lt;=$AH901),ROUND(INDEX(Profils!$J$5:$J$34,$AE901)*Paramètres!$E$26*$AG901*$AJ901,Paramètres!$F$26),0)</f>
        <v>28</v>
      </c>
      <c r="Q901" s="19" t="n">
        <f aca="false" t="array" ref="Q901:Q901">IF(AND(INDEX(Profils!$K$5:$K$34,$AE901)&gt;0,INDEX(Profils!$Z$5:$Z$34,$AE901)&lt;=$AH901),ROUND(INDEX(Profils!$K$5:$K$34,$AE901)*Paramètres!$E$27*$AG901*$AJ901,Paramètres!$F$27),0)</f>
        <v>0</v>
      </c>
      <c r="R901" s="20" t="n">
        <f aca="false" t="array" ref="R901:R901">IF(AND(INDEX(Profils!$L$5:$L$34,$AE901)&gt;0,INDEX(Profils!$AA$5:$AA$34,$AE901)&lt;=$AH901),ROUND(INDEX(Profils!$L$5:$L$34,$AE901)*Paramètres!$E$28*$AG901*$AJ901,Paramètres!$F$28),0)</f>
        <v>0.031</v>
      </c>
      <c r="S901" s="20" t="n">
        <f aca="false" t="array" ref="S901:S901">IF(AND(INDEX(Profils!$M$5:$M$34,$AE901)&gt;0,INDEX(Profils!$AB$5:$AB$34,$AE901)&lt;=$AH901),ROUND(INDEX(Profils!$M$5:$M$34,$AE901)*Paramètres!$E$29*$AG901*$AJ901,Paramètres!$F$29),0)</f>
        <v>0.025</v>
      </c>
      <c r="T901" s="20" t="n">
        <f aca="false" t="array" ref="T901:T901">IF(AND(INDEX(Profils!$N$5:$N$34,$AE901)&gt;0,INDEX(Profils!$AC$5:$AC$34,$AE901)&lt;=$AH901),ROUND(INDEX(Profils!$N$5:$N$34,$AE901)*Paramètres!$E$30*$AG901*$AJ901,Paramètres!$F$30),0)</f>
        <v>0.063</v>
      </c>
      <c r="U901" s="19" t="n">
        <f aca="false" t="array" ref="U901:U901">IF(AND(INDEX(Profils!$O$5:$O$34,$AE901)&gt;0,INDEX(Profils!$AD$5:$AD$34,$AE901)&lt;=$AH901),ROUND(INDEX(Profils!$O$5:$O$34,$AE901)*Paramètres!$E$31*$AG901*$AJ901,Paramètres!$F$31),0)</f>
        <v>0</v>
      </c>
      <c r="V901" s="20" t="n">
        <f aca="false" t="array" ref="V901:V901">IF(AND(INDEX(Profils!$P$5:$P$34,$AE901)&gt;0,INDEX(Profils!$AE$5:$AE$34,$AE901)&lt;=$AH901),ROUND(INDEX(Profils!$P$5:$P$34,$AE901)*Paramètres!$E$32*$AG901*$AJ901,Paramètres!$F$32),0)</f>
        <v>0</v>
      </c>
      <c r="W901" s="20" t="n">
        <f aca="false" t="array" ref="W901:W901">IF(AND(INDEX(Profils!$Q$5:$Q$34,$AE901)&gt;0,INDEX(Profils!$AF$5:$AF$34,$AE901)&lt;=$AH901),ROUND(INDEX(Profils!$Q$5:$Q$34,$AE901)*Paramètres!$E$33*$AG901*$AJ901,Paramètres!$F$33),0)</f>
        <v>0</v>
      </c>
      <c r="X901" s="20" t="n">
        <f aca="false" t="array" ref="X901:X901">IF(AND(INDEX(Profils!$R$5:$R$34,$AE901)&gt;0,INDEX(Profils!$AG$5:$AG$34,$AE901)&lt;=$AH901),ROUND(INDEX(Profils!$R$5:$R$34,$AE901)*Paramètres!$E$34*$AG901*$AJ901,Paramètres!$F$34),0)</f>
        <v>0</v>
      </c>
      <c r="Y901" s="20" t="n">
        <f aca="false" t="array" ref="Y901:Y901">IF(AND(INDEX(Profils!$S$5:$S$34,$AE901)&gt;0,INDEX(Profils!$AH$5:$AH$34,$AE901)&lt;=$AH901),ROUND(INDEX(Profils!$S$5:$S$34,$AE901)*Paramètres!$E$35*$AG901*$AJ901,Paramètres!$F$35),0)</f>
        <v>0</v>
      </c>
      <c r="Z901" s="21" t="n">
        <f aca="false">ROUND(L901/Paramètres!$E$22+M901/Paramètres!$E$23+N901/Paramètres!$E$24+O901/Paramètres!$E$25+P901/Paramètres!$E$26+Q901/Paramètres!$E$27+R901/Paramètres!$E$28+S901/Paramètres!$E$29+T901/Paramètres!$E$30+U901/Paramètres!$E$31+V901/Paramètres!$E$32+W901/Paramètres!$E$33+X901/Paramètres!$E$34+Y901/Paramètres!$E$35,1)</f>
        <v>11.1</v>
      </c>
      <c r="AA901" s="22" t="s">
        <v>109</v>
      </c>
      <c r="AB901" s="22" t="s">
        <v>109</v>
      </c>
      <c r="AC901" s="15" t="str">
        <f aca="false">$E901</f>
        <v>os de dragon</v>
      </c>
      <c r="AD901" s="16" t="n">
        <f aca="false" t="array" ref="AD901:AD901">IF($I901&gt;=$AI901,"Max",ROUND(Paramètres!$B$40*($I901+1)^Paramètres!$B$41*INDEX(Paramètres!$H$6:$H$12,$AF901),0))</f>
        <v>5</v>
      </c>
      <c r="AE901" s="23" t="n">
        <f aca="false">MATCH($B901&amp;"|"&amp;$C901,Profils!$A$5:$A$34,0)</f>
        <v>29</v>
      </c>
      <c r="AF901" s="23" t="n">
        <v>4</v>
      </c>
      <c r="AG901" s="24" t="n">
        <f aca="false" t="array" ref="AG901:AG901">INDEX(Paramètres!$C$6:$C$12,$AF901)</f>
        <v>1.75</v>
      </c>
      <c r="AH901" s="23" t="n">
        <f aca="false" t="array" ref="AH901:AH901">INDEX(Paramètres!$D$6:$D$12,$AF901)</f>
        <v>5</v>
      </c>
      <c r="AI901" s="23" t="n">
        <f aca="false" t="array" ref="AI901:AI901">INDEX(Matériaux!$C$16:$C$20,$D901)</f>
        <v>30</v>
      </c>
      <c r="AJ901" s="25" t="n">
        <f aca="false">Paramètres!$B$16+(1-Paramètres!$B$16)*(($J901-Paramètres!$B$14)/(Paramètres!$B$15-Paramètres!$B$14))^Paramètres!$B$17</f>
        <v>0.665999387952727</v>
      </c>
    </row>
    <row r="902" customFormat="false" ht="15.75" hidden="false" customHeight="true" outlineLevel="0" collapsed="false">
      <c r="A902" s="14" t="s">
        <v>1018</v>
      </c>
      <c r="B902" s="15" t="s">
        <v>31</v>
      </c>
      <c r="C902" s="15" t="s">
        <v>369</v>
      </c>
      <c r="D902" s="16" t="n">
        <v>5</v>
      </c>
      <c r="E902" s="15" t="str">
        <f aca="false" t="array" ref="E902:E902">INDEX(Matériaux!$B$5:$F$12,MATCH(INDEX(Profils!$E$5:$E$34,$AE902),Matériaux!$A$5:$A$12,0),$D902)</f>
        <v>os de dragon</v>
      </c>
      <c r="F902" s="29" t="s">
        <v>117</v>
      </c>
      <c r="G902" s="10" t="str">
        <f aca="false" t="array" ref="G902:G902">INDEX(Profils!$D$5:$D$34,$AE902)&amp;" en "&amp;$E902</f>
        <v>Arc en os de dragon</v>
      </c>
      <c r="H902" s="16" t="n">
        <f aca="false" t="array" ref="H902:H902">INDEX(Matériaux!$B$16:$B$20,$D902)</f>
        <v>70</v>
      </c>
      <c r="I902" s="16" t="n">
        <f aca="false">IF(ISNUMBER($C$3),MIN(MAX(0,ROUND($C$3,0)),$AI902),$AI902)</f>
        <v>0</v>
      </c>
      <c r="J902" s="18" t="n">
        <f aca="false">$H902+$I902</f>
        <v>70</v>
      </c>
      <c r="K902" s="15" t="s">
        <v>109</v>
      </c>
      <c r="L902" s="19" t="n">
        <f aca="false" t="array" ref="L902:L902">IF(AND(INDEX(Profils!$F$5:$F$34,$AE902)&gt;0,INDEX(Profils!$U$5:$U$34,$AE902)&lt;=$AH902),ROUND(INDEX(Profils!$F$5:$F$34,$AE902)*Paramètres!$E$22*$AG902*$AJ902,Paramètres!$F$22),0)</f>
        <v>0</v>
      </c>
      <c r="M902" s="19" t="n">
        <f aca="false" t="array" ref="M902:M902">IF(AND(INDEX(Profils!$G$5:$G$34,$AE902)&gt;0,INDEX(Profils!$V$5:$V$34,$AE902)&lt;=$AH902),ROUND(INDEX(Profils!$G$5:$G$34,$AE902)*Paramètres!$E$23*$AG902*$AJ902,Paramètres!$F$23),0)</f>
        <v>46</v>
      </c>
      <c r="N902" s="19" t="n">
        <f aca="false" t="array" ref="N902:N902">IF(AND(INDEX(Profils!$H$5:$H$34,$AE902)&gt;0,INDEX(Profils!$W$5:$W$34,$AE902)&lt;=$AH902),ROUND(INDEX(Profils!$H$5:$H$34,$AE902)*Paramètres!$E$24*$AG902*$AJ902,Paramètres!$F$24),0)</f>
        <v>0</v>
      </c>
      <c r="O902" s="19" t="n">
        <f aca="false" t="array" ref="O902:O902">IF(AND(INDEX(Profils!$I$5:$I$34,$AE902)&gt;0,INDEX(Profils!$X$5:$X$34,$AE902)&lt;=$AH902),ROUND(INDEX(Profils!$I$5:$I$34,$AE902)*Paramètres!$E$25*$AG902*$AJ902,Paramètres!$F$25),0)</f>
        <v>0</v>
      </c>
      <c r="P902" s="19" t="n">
        <f aca="false" t="array" ref="P902:P902">IF(AND(INDEX(Profils!$J$5:$J$34,$AE902)&gt;0,INDEX(Profils!$Y$5:$Y$34,$AE902)&lt;=$AH902),ROUND(INDEX(Profils!$J$5:$J$34,$AE902)*Paramètres!$E$26*$AG902*$AJ902,Paramètres!$F$26),0)</f>
        <v>34</v>
      </c>
      <c r="Q902" s="19" t="n">
        <f aca="false" t="array" ref="Q902:Q902">IF(AND(INDEX(Profils!$K$5:$K$34,$AE902)&gt;0,INDEX(Profils!$Z$5:$Z$34,$AE902)&lt;=$AH902),ROUND(INDEX(Profils!$K$5:$K$34,$AE902)*Paramètres!$E$27*$AG902*$AJ902,Paramètres!$F$27),0)</f>
        <v>0</v>
      </c>
      <c r="R902" s="20" t="n">
        <f aca="false" t="array" ref="R902:R902">IF(AND(INDEX(Profils!$L$5:$L$34,$AE902)&gt;0,INDEX(Profils!$AA$5:$AA$34,$AE902)&lt;=$AH902),ROUND(INDEX(Profils!$L$5:$L$34,$AE902)*Paramètres!$E$28*$AG902*$AJ902,Paramètres!$F$28),0)</f>
        <v>0.038</v>
      </c>
      <c r="S902" s="20" t="n">
        <f aca="false" t="array" ref="S902:S902">IF(AND(INDEX(Profils!$M$5:$M$34,$AE902)&gt;0,INDEX(Profils!$AB$5:$AB$34,$AE902)&lt;=$AH902),ROUND(INDEX(Profils!$M$5:$M$34,$AE902)*Paramètres!$E$29*$AG902*$AJ902,Paramètres!$F$29),0)</f>
        <v>0.03</v>
      </c>
      <c r="T902" s="20" t="n">
        <f aca="false" t="array" ref="T902:T902">IF(AND(INDEX(Profils!$N$5:$N$34,$AE902)&gt;0,INDEX(Profils!$AC$5:$AC$34,$AE902)&lt;=$AH902),ROUND(INDEX(Profils!$N$5:$N$34,$AE902)*Paramètres!$E$30*$AG902*$AJ902,Paramètres!$F$30),0)</f>
        <v>0.076</v>
      </c>
      <c r="U902" s="19" t="n">
        <f aca="false" t="array" ref="U902:U902">IF(AND(INDEX(Profils!$O$5:$O$34,$AE902)&gt;0,INDEX(Profils!$AD$5:$AD$34,$AE902)&lt;=$AH902),ROUND(INDEX(Profils!$O$5:$O$34,$AE902)*Paramètres!$E$31*$AG902*$AJ902,Paramètres!$F$31),0)</f>
        <v>0</v>
      </c>
      <c r="V902" s="20" t="n">
        <f aca="false" t="array" ref="V902:V902">IF(AND(INDEX(Profils!$P$5:$P$34,$AE902)&gt;0,INDEX(Profils!$AE$5:$AE$34,$AE902)&lt;=$AH902),ROUND(INDEX(Profils!$P$5:$P$34,$AE902)*Paramètres!$E$32*$AG902*$AJ902,Paramètres!$F$32),0)</f>
        <v>0.038</v>
      </c>
      <c r="W902" s="20" t="n">
        <f aca="false" t="array" ref="W902:W902">IF(AND(INDEX(Profils!$Q$5:$Q$34,$AE902)&gt;0,INDEX(Profils!$AF$5:$AF$34,$AE902)&lt;=$AH902),ROUND(INDEX(Profils!$Q$5:$Q$34,$AE902)*Paramètres!$E$33*$AG902*$AJ902,Paramètres!$F$33),0)</f>
        <v>0</v>
      </c>
      <c r="X902" s="20" t="n">
        <f aca="false" t="array" ref="X902:X902">IF(AND(INDEX(Profils!$R$5:$R$34,$AE902)&gt;0,INDEX(Profils!$AG$5:$AG$34,$AE902)&lt;=$AH902),ROUND(INDEX(Profils!$R$5:$R$34,$AE902)*Paramètres!$E$34*$AG902*$AJ902,Paramètres!$F$34),0)</f>
        <v>0</v>
      </c>
      <c r="Y902" s="20" t="n">
        <f aca="false" t="array" ref="Y902:Y902">IF(AND(INDEX(Profils!$S$5:$S$34,$AE902)&gt;0,INDEX(Profils!$AH$5:$AH$34,$AE902)&lt;=$AH902),ROUND(INDEX(Profils!$S$5:$S$34,$AE902)*Paramètres!$E$35*$AG902*$AJ902,Paramètres!$F$35),0)</f>
        <v>0</v>
      </c>
      <c r="Z902" s="21" t="n">
        <f aca="false">ROUND(L902/Paramètres!$E$22+M902/Paramètres!$E$23+N902/Paramètres!$E$24+O902/Paramètres!$E$25+P902/Paramètres!$E$26+Q902/Paramètres!$E$27+R902/Paramètres!$E$28+S902/Paramètres!$E$29+T902/Paramètres!$E$30+U902/Paramètres!$E$31+V902/Paramètres!$E$32+W902/Paramètres!$E$33+X902/Paramètres!$E$34+Y902/Paramètres!$E$35,1)</f>
        <v>16</v>
      </c>
      <c r="AA902" s="22" t="s">
        <v>109</v>
      </c>
      <c r="AB902" s="22" t="s">
        <v>109</v>
      </c>
      <c r="AC902" s="15" t="str">
        <f aca="false">$E902</f>
        <v>os de dragon</v>
      </c>
      <c r="AD902" s="16" t="n">
        <f aca="false" t="array" ref="AD902:AD902">IF($I902&gt;=$AI902,"Max",ROUND(Paramètres!$B$40*($I902+1)^Paramètres!$B$41*INDEX(Paramètres!$H$6:$H$12,$AF902),0))</f>
        <v>6</v>
      </c>
      <c r="AE902" s="23" t="n">
        <f aca="false">MATCH($B902&amp;"|"&amp;$C902,Profils!$A$5:$A$34,0)</f>
        <v>29</v>
      </c>
      <c r="AF902" s="23" t="n">
        <v>5</v>
      </c>
      <c r="AG902" s="24" t="n">
        <f aca="false" t="array" ref="AG902:AG902">INDEX(Paramètres!$C$6:$C$12,$AF902)</f>
        <v>2.1</v>
      </c>
      <c r="AH902" s="23" t="n">
        <f aca="false" t="array" ref="AH902:AH902">INDEX(Paramètres!$D$6:$D$12,$AF902)</f>
        <v>6</v>
      </c>
      <c r="AI902" s="23" t="n">
        <f aca="false" t="array" ref="AI902:AI902">INDEX(Matériaux!$C$16:$C$20,$D902)</f>
        <v>30</v>
      </c>
      <c r="AJ902" s="25" t="n">
        <f aca="false">Paramètres!$B$16+(1-Paramètres!$B$16)*(($J902-Paramètres!$B$14)/(Paramètres!$B$15-Paramètres!$B$14))^Paramètres!$B$17</f>
        <v>0.665999387952727</v>
      </c>
    </row>
    <row r="903" customFormat="false" ht="15.75" hidden="false" customHeight="true" outlineLevel="0" collapsed="false">
      <c r="A903" s="14" t="s">
        <v>1019</v>
      </c>
      <c r="B903" s="15" t="s">
        <v>31</v>
      </c>
      <c r="C903" s="15" t="s">
        <v>369</v>
      </c>
      <c r="D903" s="16" t="n">
        <v>5</v>
      </c>
      <c r="E903" s="15" t="str">
        <f aca="false" t="array" ref="E903:E903">INDEX(Matériaux!$B$5:$F$12,MATCH(INDEX(Profils!$E$5:$E$34,$AE903),Matériaux!$A$5:$A$12,0),$D903)</f>
        <v>os de dragon</v>
      </c>
      <c r="F903" s="30" t="s">
        <v>119</v>
      </c>
      <c r="G903" s="10" t="str">
        <f aca="false" t="array" ref="G903:G903">INDEX(Profils!$D$5:$D$34,$AE903)&amp;" en "&amp;$E903</f>
        <v>Arc en os de dragon</v>
      </c>
      <c r="H903" s="16" t="n">
        <f aca="false" t="array" ref="H903:H903">INDEX(Matériaux!$B$16:$B$20,$D903)</f>
        <v>70</v>
      </c>
      <c r="I903" s="16" t="n">
        <f aca="false">IF(ISNUMBER($C$3),MIN(MAX(0,ROUND($C$3,0)),$AI903),$AI903)</f>
        <v>0</v>
      </c>
      <c r="J903" s="18" t="n">
        <f aca="false">$H903+$I903</f>
        <v>70</v>
      </c>
      <c r="K903" s="15" t="s">
        <v>109</v>
      </c>
      <c r="L903" s="19" t="n">
        <f aca="false" t="array" ref="L903:L903">IF(AND(INDEX(Profils!$F$5:$F$34,$AE903)&gt;0,INDEX(Profils!$U$5:$U$34,$AE903)&lt;=$AH903),ROUND(INDEX(Profils!$F$5:$F$34,$AE903)*Paramètres!$E$22*$AG903*$AJ903,Paramètres!$F$22),0)</f>
        <v>24</v>
      </c>
      <c r="M903" s="19" t="n">
        <f aca="false" t="array" ref="M903:M903">IF(AND(INDEX(Profils!$G$5:$G$34,$AE903)&gt;0,INDEX(Profils!$V$5:$V$34,$AE903)&lt;=$AH903),ROUND(INDEX(Profils!$G$5:$G$34,$AE903)*Paramètres!$E$23*$AG903*$AJ903,Paramètres!$F$23),0)</f>
        <v>53</v>
      </c>
      <c r="N903" s="19" t="n">
        <f aca="false" t="array" ref="N903:N903">IF(AND(INDEX(Profils!$H$5:$H$34,$AE903)&gt;0,INDEX(Profils!$W$5:$W$34,$AE903)&lt;=$AH903),ROUND(INDEX(Profils!$H$5:$H$34,$AE903)*Paramètres!$E$24*$AG903*$AJ903,Paramètres!$F$24),0)</f>
        <v>0</v>
      </c>
      <c r="O903" s="19" t="n">
        <f aca="false" t="array" ref="O903:O903">IF(AND(INDEX(Profils!$I$5:$I$34,$AE903)&gt;0,INDEX(Profils!$X$5:$X$34,$AE903)&lt;=$AH903),ROUND(INDEX(Profils!$I$5:$I$34,$AE903)*Paramètres!$E$25*$AG903*$AJ903,Paramètres!$F$25),0)</f>
        <v>0</v>
      </c>
      <c r="P903" s="19" t="n">
        <f aca="false" t="array" ref="P903:P903">IF(AND(INDEX(Profils!$J$5:$J$34,$AE903)&gt;0,INDEX(Profils!$Y$5:$Y$34,$AE903)&lt;=$AH903),ROUND(INDEX(Profils!$J$5:$J$34,$AE903)*Paramètres!$E$26*$AG903*$AJ903,Paramètres!$F$26),0)</f>
        <v>38</v>
      </c>
      <c r="Q903" s="19" t="n">
        <f aca="false" t="array" ref="Q903:Q903">IF(AND(INDEX(Profils!$K$5:$K$34,$AE903)&gt;0,INDEX(Profils!$Z$5:$Z$34,$AE903)&lt;=$AH903),ROUND(INDEX(Profils!$K$5:$K$34,$AE903)*Paramètres!$E$27*$AG903*$AJ903,Paramètres!$F$27),0)</f>
        <v>0</v>
      </c>
      <c r="R903" s="20" t="n">
        <f aca="false" t="array" ref="R903:R903">IF(AND(INDEX(Profils!$L$5:$L$34,$AE903)&gt;0,INDEX(Profils!$AA$5:$AA$34,$AE903)&lt;=$AH903),ROUND(INDEX(Profils!$L$5:$L$34,$AE903)*Paramètres!$E$28*$AG903*$AJ903,Paramètres!$F$28),0)</f>
        <v>0.043</v>
      </c>
      <c r="S903" s="20" t="n">
        <f aca="false" t="array" ref="S903:S903">IF(AND(INDEX(Profils!$M$5:$M$34,$AE903)&gt;0,INDEX(Profils!$AB$5:$AB$34,$AE903)&lt;=$AH903),ROUND(INDEX(Profils!$M$5:$M$34,$AE903)*Paramètres!$E$29*$AG903*$AJ903,Paramètres!$F$29),0)</f>
        <v>0.035</v>
      </c>
      <c r="T903" s="20" t="n">
        <f aca="false" t="array" ref="T903:T903">IF(AND(INDEX(Profils!$N$5:$N$34,$AE903)&gt;0,INDEX(Profils!$AC$5:$AC$34,$AE903)&lt;=$AH903),ROUND(INDEX(Profils!$N$5:$N$34,$AE903)*Paramètres!$E$30*$AG903*$AJ903,Paramètres!$F$30),0)</f>
        <v>0.086</v>
      </c>
      <c r="U903" s="19" t="n">
        <f aca="false" t="array" ref="U903:U903">IF(AND(INDEX(Profils!$O$5:$O$34,$AE903)&gt;0,INDEX(Profils!$AD$5:$AD$34,$AE903)&lt;=$AH903),ROUND(INDEX(Profils!$O$5:$O$34,$AE903)*Paramètres!$E$31*$AG903*$AJ903,Paramètres!$F$31),0)</f>
        <v>0</v>
      </c>
      <c r="V903" s="20" t="n">
        <f aca="false" t="array" ref="V903:V903">IF(AND(INDEX(Profils!$P$5:$P$34,$AE903)&gt;0,INDEX(Profils!$AE$5:$AE$34,$AE903)&lt;=$AH903),ROUND(INDEX(Profils!$P$5:$P$34,$AE903)*Paramètres!$E$32*$AG903*$AJ903,Paramètres!$F$32),0)</f>
        <v>0.043</v>
      </c>
      <c r="W903" s="20" t="n">
        <f aca="false" t="array" ref="W903:W903">IF(AND(INDEX(Profils!$Q$5:$Q$34,$AE903)&gt;0,INDEX(Profils!$AF$5:$AF$34,$AE903)&lt;=$AH903),ROUND(INDEX(Profils!$Q$5:$Q$34,$AE903)*Paramètres!$E$33*$AG903*$AJ903,Paramètres!$F$33),0)</f>
        <v>0</v>
      </c>
      <c r="X903" s="20" t="n">
        <f aca="false" t="array" ref="X903:X903">IF(AND(INDEX(Profils!$R$5:$R$34,$AE903)&gt;0,INDEX(Profils!$AG$5:$AG$34,$AE903)&lt;=$AH903),ROUND(INDEX(Profils!$R$5:$R$34,$AE903)*Paramètres!$E$34*$AG903*$AJ903,Paramètres!$F$34),0)</f>
        <v>0</v>
      </c>
      <c r="Y903" s="20" t="n">
        <f aca="false" t="array" ref="Y903:Y903">IF(AND(INDEX(Profils!$S$5:$S$34,$AE903)&gt;0,INDEX(Profils!$AH$5:$AH$34,$AE903)&lt;=$AH903),ROUND(INDEX(Profils!$S$5:$S$34,$AE903)*Paramètres!$E$35*$AG903*$AJ903,Paramètres!$F$35),0)</f>
        <v>0</v>
      </c>
      <c r="Z903" s="21" t="n">
        <f aca="false">ROUND(L903/Paramètres!$E$22+M903/Paramètres!$E$23+N903/Paramètres!$E$24+O903/Paramètres!$E$25+P903/Paramètres!$E$26+Q903/Paramètres!$E$27+R903/Paramètres!$E$28+S903/Paramètres!$E$29+T903/Paramètres!$E$30+U903/Paramètres!$E$31+V903/Paramètres!$E$32+W903/Paramètres!$E$33+X903/Paramètres!$E$34+Y903/Paramètres!$E$35,1)</f>
        <v>19.2</v>
      </c>
      <c r="AA903" s="22" t="s">
        <v>109</v>
      </c>
      <c r="AB903" s="22" t="s">
        <v>109</v>
      </c>
      <c r="AC903" s="15" t="str">
        <f aca="false">$E903</f>
        <v>os de dragon</v>
      </c>
      <c r="AD903" s="16" t="n">
        <f aca="false" t="array" ref="AD903:AD903">IF($I903&gt;=$AI903,"Max",ROUND(Paramètres!$B$40*($I903+1)^Paramètres!$B$41*INDEX(Paramètres!$H$6:$H$12,$AF903),0))</f>
        <v>8</v>
      </c>
      <c r="AE903" s="23" t="n">
        <f aca="false">MATCH($B903&amp;"|"&amp;$C903,Profils!$A$5:$A$34,0)</f>
        <v>29</v>
      </c>
      <c r="AF903" s="23" t="n">
        <v>6</v>
      </c>
      <c r="AG903" s="24" t="n">
        <f aca="false" t="array" ref="AG903:AG903">INDEX(Paramètres!$C$6:$C$12,$AF903)</f>
        <v>2.4</v>
      </c>
      <c r="AH903" s="23" t="n">
        <f aca="false" t="array" ref="AH903:AH903">INDEX(Paramètres!$D$6:$D$12,$AF903)</f>
        <v>7</v>
      </c>
      <c r="AI903" s="23" t="n">
        <f aca="false" t="array" ref="AI903:AI903">INDEX(Matériaux!$C$16:$C$20,$D903)</f>
        <v>30</v>
      </c>
      <c r="AJ903" s="25" t="n">
        <f aca="false">Paramètres!$B$16+(1-Paramètres!$B$16)*(($J903-Paramètres!$B$14)/(Paramètres!$B$15-Paramètres!$B$14))^Paramètres!$B$17</f>
        <v>0.665999387952727</v>
      </c>
    </row>
    <row r="904" customFormat="false" ht="15.75" hidden="false" customHeight="true" outlineLevel="0" collapsed="false">
      <c r="A904" s="14" t="s">
        <v>1020</v>
      </c>
      <c r="B904" s="15" t="s">
        <v>31</v>
      </c>
      <c r="C904" s="15" t="s">
        <v>369</v>
      </c>
      <c r="D904" s="16" t="s">
        <v>109</v>
      </c>
      <c r="E904" s="15" t="s">
        <v>109</v>
      </c>
      <c r="F904" s="31" t="s">
        <v>38</v>
      </c>
      <c r="G904" s="10" t="str">
        <f aca="false" t="array" ref="G904:G904">INDEX(Uniques!$E$5:$E$34,MATCH($B904&amp;"|"&amp;$C904,Uniques!$A$5:$A$34,0))</f>
        <v>Arc des Mille Tempêtes</v>
      </c>
      <c r="H904" s="16" t="n">
        <f aca="false" t="array" ref="H904:H904">INDEX(Uniques!$L$5:$L$34,MATCH($B904&amp;"|"&amp;$C904,Uniques!$A$5:$A$34,0))</f>
        <v>31</v>
      </c>
      <c r="I904" s="16" t="n">
        <f aca="false">IF(ISNUMBER($C$3),MIN(MAX(0,ROUND($C$3,0)),$AI904),$AI904)</f>
        <v>0</v>
      </c>
      <c r="J904" s="18" t="n">
        <f aca="false">$H904+$I904</f>
        <v>31</v>
      </c>
      <c r="K904" s="15" t="str">
        <f aca="false" t="array" ref="K904:K904">INDEX(Uniques!$F$5:$F$34,MATCH($B904&amp;"|"&amp;$C904,Uniques!$A$5:$A$34,0))</f>
        <v>Vent</v>
      </c>
      <c r="L904" s="19" t="n">
        <f aca="false" t="array" ref="L904:L904">IF(AND(INDEX(Profils!$F$5:$F$34,$AE904)&gt;0,INDEX(Profils!$U$5:$U$34,$AE904)&lt;=$AH904),ROUND(INDEX(Profils!$F$5:$F$34,$AE904)*Paramètres!$E$22*$AG904*$AJ904,Paramètres!$F$22),0)</f>
        <v>10</v>
      </c>
      <c r="M904" s="19" t="n">
        <f aca="false" t="array" ref="M904:M904">IF(AND(INDEX(Profils!$G$5:$G$34,$AE904)&gt;0,INDEX(Profils!$V$5:$V$34,$AE904)&lt;=$AH904),ROUND(INDEX(Profils!$G$5:$G$34,$AE904)*Paramètres!$E$23*$AG904*$AJ904,Paramètres!$F$23),0)</f>
        <v>23</v>
      </c>
      <c r="N904" s="19" t="n">
        <f aca="false" t="array" ref="N904:N904">IF(AND(INDEX(Profils!$H$5:$H$34,$AE904)&gt;0,INDEX(Profils!$W$5:$W$34,$AE904)&lt;=$AH904),ROUND(INDEX(Profils!$H$5:$H$34,$AE904)*Paramètres!$E$24*$AG904*$AJ904,Paramètres!$F$24),0)</f>
        <v>0</v>
      </c>
      <c r="O904" s="19" t="n">
        <f aca="false" t="array" ref="O904:O904">IF(AND(INDEX(Profils!$I$5:$I$34,$AE904)&gt;0,INDEX(Profils!$X$5:$X$34,$AE904)&lt;=$AH904),ROUND(INDEX(Profils!$I$5:$I$34,$AE904)*Paramètres!$E$25*$AG904*$AJ904,Paramètres!$F$25),0)</f>
        <v>0</v>
      </c>
      <c r="P904" s="19" t="n">
        <f aca="false" t="array" ref="P904:P904">IF(AND(INDEX(Profils!$J$5:$J$34,$AE904)&gt;0,INDEX(Profils!$Y$5:$Y$34,$AE904)&lt;=$AH904),ROUND(INDEX(Profils!$J$5:$J$34,$AE904)*Paramètres!$E$26*$AG904*$AJ904,Paramètres!$F$26),0)</f>
        <v>17</v>
      </c>
      <c r="Q904" s="19" t="n">
        <f aca="false" t="array" ref="Q904:Q904">IF(AND(INDEX(Profils!$K$5:$K$34,$AE904)&gt;0,INDEX(Profils!$Z$5:$Z$34,$AE904)&lt;=$AH904),ROUND(INDEX(Profils!$K$5:$K$34,$AE904)*Paramètres!$E$27*$AG904*$AJ904,Paramètres!$F$27),0)</f>
        <v>0</v>
      </c>
      <c r="R904" s="20" t="n">
        <f aca="false" t="array" ref="R904:R904">IF(AND(INDEX(Profils!$L$5:$L$34,$AE904)&gt;0,INDEX(Profils!$AA$5:$AA$34,$AE904)&lt;=$AH904),ROUND(INDEX(Profils!$L$5:$L$34,$AE904)*Paramètres!$E$28*$AG904*$AJ904,Paramètres!$F$28),0)</f>
        <v>0.019</v>
      </c>
      <c r="S904" s="20" t="n">
        <f aca="false" t="array" ref="S904:S904">IF(AND(INDEX(Profils!$M$5:$M$34,$AE904)&gt;0,INDEX(Profils!$AB$5:$AB$34,$AE904)&lt;=$AH904),ROUND(INDEX(Profils!$M$5:$M$34,$AE904)*Paramètres!$E$29*$AG904*$AJ904,Paramètres!$F$29),0)</f>
        <v>0.015</v>
      </c>
      <c r="T904" s="20" t="n">
        <f aca="false" t="array" ref="T904:T904">IF(AND(INDEX(Profils!$N$5:$N$34,$AE904)&gt;0,INDEX(Profils!$AC$5:$AC$34,$AE904)&lt;=$AH904),ROUND(INDEX(Profils!$N$5:$N$34,$AE904)*Paramètres!$E$30*$AG904*$AJ904,Paramètres!$F$30),0)</f>
        <v>0.037</v>
      </c>
      <c r="U904" s="19" t="n">
        <f aca="false" t="array" ref="U904:U904">IF(AND(INDEX(Profils!$O$5:$O$34,$AE904)&gt;0,INDEX(Profils!$AD$5:$AD$34,$AE904)&lt;=$AH904),ROUND(INDEX(Profils!$O$5:$O$34,$AE904)*Paramètres!$E$31*$AG904*$AJ904,Paramètres!$F$31),0)</f>
        <v>0</v>
      </c>
      <c r="V904" s="20" t="n">
        <f aca="false" t="array" ref="V904:V904">IF(AND(INDEX(Profils!$P$5:$P$34,$AE904)&gt;0,INDEX(Profils!$AE$5:$AE$34,$AE904)&lt;=$AH904),ROUND(INDEX(Profils!$P$5:$P$34,$AE904)*Paramètres!$E$32*$AG904*$AJ904,Paramètres!$F$32),0)</f>
        <v>0.019</v>
      </c>
      <c r="W904" s="20" t="n">
        <f aca="false" t="array" ref="W904:W904">IF(AND(INDEX(Profils!$Q$5:$Q$34,$AE904)&gt;0,INDEX(Profils!$AF$5:$AF$34,$AE904)&lt;=$AH904),ROUND(INDEX(Profils!$Q$5:$Q$34,$AE904)*Paramètres!$E$33*$AG904*$AJ904,Paramètres!$F$33),0)</f>
        <v>0</v>
      </c>
      <c r="X904" s="20" t="n">
        <f aca="false" t="array" ref="X904:X904">IF(AND(INDEX(Profils!$R$5:$R$34,$AE904)&gt;0,INDEX(Profils!$AG$5:$AG$34,$AE904)&lt;=$AH904),ROUND(INDEX(Profils!$R$5:$R$34,$AE904)*Paramètres!$E$34*$AG904*$AJ904,Paramètres!$F$34),0)</f>
        <v>0</v>
      </c>
      <c r="Y904" s="20" t="n">
        <f aca="false" t="array" ref="Y904:Y904">IF(AND(INDEX(Profils!$S$5:$S$34,$AE904)&gt;0,INDEX(Profils!$AH$5:$AH$34,$AE904)&lt;=$AH904),ROUND(INDEX(Profils!$S$5:$S$34,$AE904)*Paramètres!$E$35*$AG904*$AJ904,Paramètres!$F$35),0)</f>
        <v>0</v>
      </c>
      <c r="Z904" s="21" t="n">
        <f aca="false">ROUND(L904/Paramètres!$E$22+M904/Paramètres!$E$23+N904/Paramètres!$E$24+O904/Paramètres!$E$25+P904/Paramètres!$E$26+Q904/Paramètres!$E$27+R904/Paramètres!$E$28+S904/Paramètres!$E$29+T904/Paramètres!$E$30+U904/Paramètres!$E$31+V904/Paramètres!$E$32+W904/Paramètres!$E$33+X904/Paramètres!$E$34+Y904/Paramètres!$E$35,1)</f>
        <v>8.4</v>
      </c>
      <c r="AA904" s="22" t="str">
        <f aca="false" t="array" ref="AA904:AA904">INDEX(Uniques!$G$5:$G$34,MATCH($B904&amp;"|"&amp;$C904,Uniques!$A$5:$A$34,0))</f>
        <v>Pluie de flèches</v>
      </c>
      <c r="AB904" s="22" t="str">
        <f aca="false" t="array" ref="AB904:AB904">INDEX(Uniques!$H$5:$H$34,MATCH($B904&amp;"|"&amp;$C904,Uniques!$A$5:$A$34,0))&amp;" ["&amp;INDEX(Uniques!$I$5:$I$34,MATCH($B904&amp;"|"&amp;$C904,Uniques!$A$5:$A$34,0))&amp;"]"</f>
        <v>Les attaques de base ont 20 % de chance de tirer 2 flèches supplémentaires sur des cibles différentes (30 % des dégâts chacune). [1 fois par tour.]</v>
      </c>
      <c r="AC904" s="15" t="str">
        <f aca="false" t="array" ref="AC904:AC904">INDEX(Matériaux!$B$5:$F$12,MATCH(INDEX(Profils!$E$5:$E$34,$AE904),Matériaux!$A$5:$A$12,0),MATCH(MIN($J904+1,100),Matériaux!$B$16:$B$20,1))</f>
        <v>if</v>
      </c>
      <c r="AD904" s="16" t="n">
        <f aca="false" t="array" ref="AD904:AD904">IF($I904&gt;=$AI904,"Max",ROUND(Paramètres!$B$40*($I904+1)^Paramètres!$B$41*INDEX(Paramètres!$H$6:$H$12,$AF904),0))</f>
        <v>9</v>
      </c>
      <c r="AE904" s="23" t="n">
        <f aca="false">MATCH($B904&amp;"|"&amp;$C904,Profils!$A$5:$A$34,0)</f>
        <v>29</v>
      </c>
      <c r="AF904" s="23" t="n">
        <v>7</v>
      </c>
      <c r="AG904" s="24" t="n">
        <f aca="false" t="array" ref="AG904:AG904">INDEX(Paramètres!$C$6:$C$12,$AF904)</f>
        <v>2.5</v>
      </c>
      <c r="AH904" s="23" t="n">
        <f aca="false" t="array" ref="AH904:AH904">INDEX(Paramètres!$D$6:$D$12,$AF904)</f>
        <v>7</v>
      </c>
      <c r="AI904" s="23" t="n">
        <f aca="false" t="array" ref="AI904:AI904">INDEX(Uniques!$M$5:$M$34,MATCH($B904&amp;"|"&amp;$C904,Uniques!$A$5:$A$34,0))</f>
        <v>69</v>
      </c>
      <c r="AJ904" s="25" t="n">
        <f aca="false">Paramètres!$B$16+(1-Paramètres!$B$16)*(($J904-Paramètres!$B$14)/(Paramètres!$B$15-Paramètres!$B$14))^Paramètres!$B$17</f>
        <v>0.276728898137755</v>
      </c>
    </row>
    <row r="905" customFormat="false" ht="15.75" hidden="false" customHeight="true" outlineLevel="0" collapsed="false">
      <c r="A905" s="14" t="s">
        <v>1021</v>
      </c>
      <c r="B905" s="15" t="s">
        <v>31</v>
      </c>
      <c r="C905" s="15" t="s">
        <v>401</v>
      </c>
      <c r="D905" s="16" t="n">
        <v>1</v>
      </c>
      <c r="E905" s="15" t="str">
        <f aca="false" t="array" ref="E905:E905">INDEX(Matériaux!$B$5:$F$12,MATCH(INDEX(Profils!$E$5:$E$34,$AE905),Matériaux!$A$5:$A$12,0),$D905)</f>
        <v>toile</v>
      </c>
      <c r="F905" s="17" t="s">
        <v>108</v>
      </c>
      <c r="G905" s="10" t="str">
        <f aca="false" t="array" ref="G905:G905">INDEX(Profils!$D$5:$D$34,$AE905)&amp;" en "&amp;$E905</f>
        <v>Carquois en toile</v>
      </c>
      <c r="H905" s="16" t="n">
        <f aca="false" t="array" ref="H905:H905">INDEX(Matériaux!$B$16:$B$20,$D905)</f>
        <v>1</v>
      </c>
      <c r="I905" s="16" t="n">
        <f aca="false">IF(ISNUMBER($C$3),MIN(MAX(0,ROUND($C$3,0)),$AI905),$AI905)</f>
        <v>0</v>
      </c>
      <c r="J905" s="18" t="n">
        <f aca="false">$H905+$I905</f>
        <v>1</v>
      </c>
      <c r="K905" s="15" t="s">
        <v>109</v>
      </c>
      <c r="L905" s="19" t="n">
        <f aca="false" t="array" ref="L905:L905">IF(AND(INDEX(Profils!$F$5:$F$34,$AE905)&gt;0,INDEX(Profils!$U$5:$U$34,$AE905)&lt;=$AH905),ROUND(INDEX(Profils!$F$5:$F$34,$AE905)*Paramètres!$E$22*$AG905*$AJ905,Paramètres!$F$22),0)</f>
        <v>0</v>
      </c>
      <c r="M905" s="19" t="n">
        <f aca="false" t="array" ref="M905:M905">IF(AND(INDEX(Profils!$G$5:$G$34,$AE905)&gt;0,INDEX(Profils!$V$5:$V$34,$AE905)&lt;=$AH905),ROUND(INDEX(Profils!$G$5:$G$34,$AE905)*Paramètres!$E$23*$AG905*$AJ905,Paramètres!$F$23),0)</f>
        <v>0</v>
      </c>
      <c r="N905" s="19" t="n">
        <f aca="false" t="array" ref="N905:N905">IF(AND(INDEX(Profils!$H$5:$H$34,$AE905)&gt;0,INDEX(Profils!$W$5:$W$34,$AE905)&lt;=$AH905),ROUND(INDEX(Profils!$H$5:$H$34,$AE905)*Paramètres!$E$24*$AG905*$AJ905,Paramètres!$F$24),0)</f>
        <v>0</v>
      </c>
      <c r="O905" s="19" t="n">
        <f aca="false" t="array" ref="O905:O905">IF(AND(INDEX(Profils!$I$5:$I$34,$AE905)&gt;0,INDEX(Profils!$X$5:$X$34,$AE905)&lt;=$AH905),ROUND(INDEX(Profils!$I$5:$I$34,$AE905)*Paramètres!$E$25*$AG905*$AJ905,Paramètres!$F$25),0)</f>
        <v>0</v>
      </c>
      <c r="P905" s="19" t="n">
        <f aca="false" t="array" ref="P905:P905">IF(AND(INDEX(Profils!$J$5:$J$34,$AE905)&gt;0,INDEX(Profils!$Y$5:$Y$34,$AE905)&lt;=$AH905),ROUND(INDEX(Profils!$J$5:$J$34,$AE905)*Paramètres!$E$26*$AG905*$AJ905,Paramètres!$F$26),0)</f>
        <v>0</v>
      </c>
      <c r="Q905" s="19" t="n">
        <f aca="false" t="array" ref="Q905:Q905">IF(AND(INDEX(Profils!$K$5:$K$34,$AE905)&gt;0,INDEX(Profils!$Z$5:$Z$34,$AE905)&lt;=$AH905),ROUND(INDEX(Profils!$K$5:$K$34,$AE905)*Paramètres!$E$27*$AG905*$AJ905,Paramètres!$F$27),0)</f>
        <v>0</v>
      </c>
      <c r="R905" s="20" t="n">
        <f aca="false" t="array" ref="R905:R905">IF(AND(INDEX(Profils!$L$5:$L$34,$AE905)&gt;0,INDEX(Profils!$AA$5:$AA$34,$AE905)&lt;=$AH905),ROUND(INDEX(Profils!$L$5:$L$34,$AE905)*Paramètres!$E$28*$AG905*$AJ905,Paramètres!$F$28),0)</f>
        <v>0.001</v>
      </c>
      <c r="S905" s="20" t="n">
        <f aca="false" t="array" ref="S905:S905">IF(AND(INDEX(Profils!$M$5:$M$34,$AE905)&gt;0,INDEX(Profils!$AB$5:$AB$34,$AE905)&lt;=$AH905),ROUND(INDEX(Profils!$M$5:$M$34,$AE905)*Paramètres!$E$29*$AG905*$AJ905,Paramètres!$F$29),0)</f>
        <v>0</v>
      </c>
      <c r="T905" s="20" t="n">
        <f aca="false" t="array" ref="T905:T905">IF(AND(INDEX(Profils!$N$5:$N$34,$AE905)&gt;0,INDEX(Profils!$AC$5:$AC$34,$AE905)&lt;=$AH905),ROUND(INDEX(Profils!$N$5:$N$34,$AE905)*Paramètres!$E$30*$AG905*$AJ905,Paramètres!$F$30),0)</f>
        <v>0.002</v>
      </c>
      <c r="U905" s="19" t="n">
        <f aca="false" t="array" ref="U905:U905">IF(AND(INDEX(Profils!$O$5:$O$34,$AE905)&gt;0,INDEX(Profils!$AD$5:$AD$34,$AE905)&lt;=$AH905),ROUND(INDEX(Profils!$O$5:$O$34,$AE905)*Paramètres!$E$31*$AG905*$AJ905,Paramètres!$F$31),0)</f>
        <v>0</v>
      </c>
      <c r="V905" s="20" t="n">
        <f aca="false" t="array" ref="V905:V905">IF(AND(INDEX(Profils!$P$5:$P$34,$AE905)&gt;0,INDEX(Profils!$AE$5:$AE$34,$AE905)&lt;=$AH905),ROUND(INDEX(Profils!$P$5:$P$34,$AE905)*Paramètres!$E$32*$AG905*$AJ905,Paramètres!$F$32),0)</f>
        <v>0</v>
      </c>
      <c r="W905" s="20" t="n">
        <f aca="false" t="array" ref="W905:W905">IF(AND(INDEX(Profils!$Q$5:$Q$34,$AE905)&gt;0,INDEX(Profils!$AF$5:$AF$34,$AE905)&lt;=$AH905),ROUND(INDEX(Profils!$Q$5:$Q$34,$AE905)*Paramètres!$E$33*$AG905*$AJ905,Paramètres!$F$33),0)</f>
        <v>0</v>
      </c>
      <c r="X905" s="20" t="n">
        <f aca="false" t="array" ref="X905:X905">IF(AND(INDEX(Profils!$R$5:$R$34,$AE905)&gt;0,INDEX(Profils!$AG$5:$AG$34,$AE905)&lt;=$AH905),ROUND(INDEX(Profils!$R$5:$R$34,$AE905)*Paramètres!$E$34*$AG905*$AJ905,Paramètres!$F$34),0)</f>
        <v>0</v>
      </c>
      <c r="Y905" s="20" t="n">
        <f aca="false" t="array" ref="Y905:Y905">IF(AND(INDEX(Profils!$S$5:$S$34,$AE905)&gt;0,INDEX(Profils!$AH$5:$AH$34,$AE905)&lt;=$AH905),ROUND(INDEX(Profils!$S$5:$S$34,$AE905)*Paramètres!$E$35*$AG905*$AJ905,Paramètres!$F$35),0)</f>
        <v>0</v>
      </c>
      <c r="Z905" s="21" t="n">
        <f aca="false">ROUND(L905/Paramètres!$E$22+M905/Paramètres!$E$23+N905/Paramètres!$E$24+O905/Paramètres!$E$25+P905/Paramètres!$E$26+Q905/Paramètres!$E$27+R905/Paramètres!$E$28+S905/Paramètres!$E$29+T905/Paramètres!$E$30+U905/Paramètres!$E$31+V905/Paramètres!$E$32+W905/Paramètres!$E$33+X905/Paramètres!$E$34+Y905/Paramètres!$E$35,1)</f>
        <v>0.1</v>
      </c>
      <c r="AA905" s="22" t="s">
        <v>109</v>
      </c>
      <c r="AB905" s="22" t="s">
        <v>109</v>
      </c>
      <c r="AC905" s="15" t="str">
        <f aca="false">$E905</f>
        <v>toile</v>
      </c>
      <c r="AD905" s="16" t="n">
        <f aca="false" t="array" ref="AD905:AD905">IF($I905&gt;=$AI905,"Max",ROUND(Paramètres!$B$40*($I905+1)^Paramètres!$B$41*INDEX(Paramètres!$H$6:$H$12,$AF905),0))</f>
        <v>3</v>
      </c>
      <c r="AE905" s="23" t="n">
        <f aca="false">MATCH($B905&amp;"|"&amp;$C905,Profils!$A$5:$A$34,0)</f>
        <v>30</v>
      </c>
      <c r="AF905" s="23" t="n">
        <v>1</v>
      </c>
      <c r="AG905" s="24" t="n">
        <f aca="false" t="array" ref="AG905:AG905">INDEX(Paramètres!$C$6:$C$12,$AF905)</f>
        <v>1</v>
      </c>
      <c r="AH905" s="23" t="n">
        <f aca="false" t="array" ref="AH905:AH905">INDEX(Paramètres!$D$6:$D$12,$AF905)</f>
        <v>2</v>
      </c>
      <c r="AI905" s="23" t="n">
        <f aca="false" t="array" ref="AI905:AI905">INDEX(Matériaux!$C$16:$C$20,$D905)</f>
        <v>19</v>
      </c>
      <c r="AJ905" s="25" t="n">
        <f aca="false">Paramètres!$B$16+(1-Paramètres!$B$16)*(($J905-Paramètres!$B$14)/(Paramètres!$B$15-Paramètres!$B$14))^Paramètres!$B$17</f>
        <v>0.05</v>
      </c>
    </row>
    <row r="906" customFormat="false" ht="15.75" hidden="false" customHeight="true" outlineLevel="0" collapsed="false">
      <c r="A906" s="14" t="s">
        <v>1022</v>
      </c>
      <c r="B906" s="15" t="s">
        <v>31</v>
      </c>
      <c r="C906" s="15" t="s">
        <v>401</v>
      </c>
      <c r="D906" s="16" t="n">
        <v>1</v>
      </c>
      <c r="E906" s="15" t="str">
        <f aca="false" t="array" ref="E906:E906">INDEX(Matériaux!$B$5:$F$12,MATCH(INDEX(Profils!$E$5:$E$34,$AE906),Matériaux!$A$5:$A$12,0),$D906)</f>
        <v>toile</v>
      </c>
      <c r="F906" s="26" t="s">
        <v>111</v>
      </c>
      <c r="G906" s="10" t="str">
        <f aca="false" t="array" ref="G906:G906">INDEX(Profils!$D$5:$D$34,$AE906)&amp;" en "&amp;$E906</f>
        <v>Carquois en toile</v>
      </c>
      <c r="H906" s="16" t="n">
        <f aca="false" t="array" ref="H906:H906">INDEX(Matériaux!$B$16:$B$20,$D906)</f>
        <v>1</v>
      </c>
      <c r="I906" s="16" t="n">
        <f aca="false">IF(ISNUMBER($C$3),MIN(MAX(0,ROUND($C$3,0)),$AI906),$AI906)</f>
        <v>0</v>
      </c>
      <c r="J906" s="18" t="n">
        <f aca="false">$H906+$I906</f>
        <v>1</v>
      </c>
      <c r="K906" s="15" t="s">
        <v>109</v>
      </c>
      <c r="L906" s="19" t="n">
        <f aca="false" t="array" ref="L906:L906">IF(AND(INDEX(Profils!$F$5:$F$34,$AE906)&gt;0,INDEX(Profils!$U$5:$U$34,$AE906)&lt;=$AH906),ROUND(INDEX(Profils!$F$5:$F$34,$AE906)*Paramètres!$E$22*$AG906*$AJ906,Paramètres!$F$22),0)</f>
        <v>0</v>
      </c>
      <c r="M906" s="19" t="n">
        <f aca="false" t="array" ref="M906:M906">IF(AND(INDEX(Profils!$G$5:$G$34,$AE906)&gt;0,INDEX(Profils!$V$5:$V$34,$AE906)&lt;=$AH906),ROUND(INDEX(Profils!$G$5:$G$34,$AE906)*Paramètres!$E$23*$AG906*$AJ906,Paramètres!$F$23),0)</f>
        <v>0</v>
      </c>
      <c r="N906" s="19" t="n">
        <f aca="false" t="array" ref="N906:N906">IF(AND(INDEX(Profils!$H$5:$H$34,$AE906)&gt;0,INDEX(Profils!$W$5:$W$34,$AE906)&lt;=$AH906),ROUND(INDEX(Profils!$H$5:$H$34,$AE906)*Paramètres!$E$24*$AG906*$AJ906,Paramètres!$F$24),0)</f>
        <v>0</v>
      </c>
      <c r="O906" s="19" t="n">
        <f aca="false" t="array" ref="O906:O906">IF(AND(INDEX(Profils!$I$5:$I$34,$AE906)&gt;0,INDEX(Profils!$X$5:$X$34,$AE906)&lt;=$AH906),ROUND(INDEX(Profils!$I$5:$I$34,$AE906)*Paramètres!$E$25*$AG906*$AJ906,Paramètres!$F$25),0)</f>
        <v>0</v>
      </c>
      <c r="P906" s="19" t="n">
        <f aca="false" t="array" ref="P906:P906">IF(AND(INDEX(Profils!$J$5:$J$34,$AE906)&gt;0,INDEX(Profils!$Y$5:$Y$34,$AE906)&lt;=$AH906),ROUND(INDEX(Profils!$J$5:$J$34,$AE906)*Paramètres!$E$26*$AG906*$AJ906,Paramètres!$F$26),0)</f>
        <v>1</v>
      </c>
      <c r="Q906" s="19" t="n">
        <f aca="false" t="array" ref="Q906:Q906">IF(AND(INDEX(Profils!$K$5:$K$34,$AE906)&gt;0,INDEX(Profils!$Z$5:$Z$34,$AE906)&lt;=$AH906),ROUND(INDEX(Profils!$K$5:$K$34,$AE906)*Paramètres!$E$27*$AG906*$AJ906,Paramètres!$F$27),0)</f>
        <v>0</v>
      </c>
      <c r="R906" s="20" t="n">
        <f aca="false" t="array" ref="R906:R906">IF(AND(INDEX(Profils!$L$5:$L$34,$AE906)&gt;0,INDEX(Profils!$AA$5:$AA$34,$AE906)&lt;=$AH906),ROUND(INDEX(Profils!$L$5:$L$34,$AE906)*Paramètres!$E$28*$AG906*$AJ906,Paramètres!$F$28),0)</f>
        <v>0.001</v>
      </c>
      <c r="S906" s="20" t="n">
        <f aca="false" t="array" ref="S906:S906">IF(AND(INDEX(Profils!$M$5:$M$34,$AE906)&gt;0,INDEX(Profils!$AB$5:$AB$34,$AE906)&lt;=$AH906),ROUND(INDEX(Profils!$M$5:$M$34,$AE906)*Paramètres!$E$29*$AG906*$AJ906,Paramètres!$F$29),0)</f>
        <v>0</v>
      </c>
      <c r="T906" s="20" t="n">
        <f aca="false" t="array" ref="T906:T906">IF(AND(INDEX(Profils!$N$5:$N$34,$AE906)&gt;0,INDEX(Profils!$AC$5:$AC$34,$AE906)&lt;=$AH906),ROUND(INDEX(Profils!$N$5:$N$34,$AE906)*Paramètres!$E$30*$AG906*$AJ906,Paramètres!$F$30),0)</f>
        <v>0.003</v>
      </c>
      <c r="U906" s="19" t="n">
        <f aca="false" t="array" ref="U906:U906">IF(AND(INDEX(Profils!$O$5:$O$34,$AE906)&gt;0,INDEX(Profils!$AD$5:$AD$34,$AE906)&lt;=$AH906),ROUND(INDEX(Profils!$O$5:$O$34,$AE906)*Paramètres!$E$31*$AG906*$AJ906,Paramètres!$F$31),0)</f>
        <v>0</v>
      </c>
      <c r="V906" s="20" t="n">
        <f aca="false" t="array" ref="V906:V906">IF(AND(INDEX(Profils!$P$5:$P$34,$AE906)&gt;0,INDEX(Profils!$AE$5:$AE$34,$AE906)&lt;=$AH906),ROUND(INDEX(Profils!$P$5:$P$34,$AE906)*Paramètres!$E$32*$AG906*$AJ906,Paramètres!$F$32),0)</f>
        <v>0</v>
      </c>
      <c r="W906" s="20" t="n">
        <f aca="false" t="array" ref="W906:W906">IF(AND(INDEX(Profils!$Q$5:$Q$34,$AE906)&gt;0,INDEX(Profils!$AF$5:$AF$34,$AE906)&lt;=$AH906),ROUND(INDEX(Profils!$Q$5:$Q$34,$AE906)*Paramètres!$E$33*$AG906*$AJ906,Paramètres!$F$33),0)</f>
        <v>0</v>
      </c>
      <c r="X906" s="20" t="n">
        <f aca="false" t="array" ref="X906:X906">IF(AND(INDEX(Profils!$R$5:$R$34,$AE906)&gt;0,INDEX(Profils!$AG$5:$AG$34,$AE906)&lt;=$AH906),ROUND(INDEX(Profils!$R$5:$R$34,$AE906)*Paramètres!$E$34*$AG906*$AJ906,Paramètres!$F$34),0)</f>
        <v>0</v>
      </c>
      <c r="Y906" s="20" t="n">
        <f aca="false" t="array" ref="Y906:Y906">IF(AND(INDEX(Profils!$S$5:$S$34,$AE906)&gt;0,INDEX(Profils!$AH$5:$AH$34,$AE906)&lt;=$AH906),ROUND(INDEX(Profils!$S$5:$S$34,$AE906)*Paramètres!$E$35*$AG906*$AJ906,Paramètres!$F$35),0)</f>
        <v>0</v>
      </c>
      <c r="Z906" s="21" t="n">
        <f aca="false">ROUND(L906/Paramètres!$E$22+M906/Paramètres!$E$23+N906/Paramètres!$E$24+O906/Paramètres!$E$25+P906/Paramètres!$E$26+Q906/Paramètres!$E$27+R906/Paramètres!$E$28+S906/Paramètres!$E$29+T906/Paramètres!$E$30+U906/Paramètres!$E$31+V906/Paramètres!$E$32+W906/Paramètres!$E$33+X906/Paramètres!$E$34+Y906/Paramètres!$E$35,1)</f>
        <v>0.3</v>
      </c>
      <c r="AA906" s="22" t="s">
        <v>109</v>
      </c>
      <c r="AB906" s="22" t="s">
        <v>109</v>
      </c>
      <c r="AC906" s="15" t="str">
        <f aca="false">$E906</f>
        <v>toile</v>
      </c>
      <c r="AD906" s="16" t="n">
        <f aca="false" t="array" ref="AD906:AD906">IF($I906&gt;=$AI906,"Max",ROUND(Paramètres!$B$40*($I906+1)^Paramètres!$B$41*INDEX(Paramètres!$H$6:$H$12,$AF906),0))</f>
        <v>4</v>
      </c>
      <c r="AE906" s="23" t="n">
        <f aca="false">MATCH($B906&amp;"|"&amp;$C906,Profils!$A$5:$A$34,0)</f>
        <v>30</v>
      </c>
      <c r="AF906" s="23" t="n">
        <v>2</v>
      </c>
      <c r="AG906" s="24" t="n">
        <f aca="false" t="array" ref="AG906:AG906">INDEX(Paramètres!$C$6:$C$12,$AF906)</f>
        <v>1.2</v>
      </c>
      <c r="AH906" s="23" t="n">
        <f aca="false" t="array" ref="AH906:AH906">INDEX(Paramètres!$D$6:$D$12,$AF906)</f>
        <v>3</v>
      </c>
      <c r="AI906" s="23" t="n">
        <f aca="false" t="array" ref="AI906:AI906">INDEX(Matériaux!$C$16:$C$20,$D906)</f>
        <v>19</v>
      </c>
      <c r="AJ906" s="25" t="n">
        <f aca="false">Paramètres!$B$16+(1-Paramètres!$B$16)*(($J906-Paramètres!$B$14)/(Paramètres!$B$15-Paramètres!$B$14))^Paramètres!$B$17</f>
        <v>0.05</v>
      </c>
    </row>
    <row r="907" customFormat="false" ht="15.75" hidden="false" customHeight="true" outlineLevel="0" collapsed="false">
      <c r="A907" s="14" t="s">
        <v>1023</v>
      </c>
      <c r="B907" s="15" t="s">
        <v>31</v>
      </c>
      <c r="C907" s="15" t="s">
        <v>401</v>
      </c>
      <c r="D907" s="16" t="n">
        <v>1</v>
      </c>
      <c r="E907" s="15" t="str">
        <f aca="false" t="array" ref="E907:E907">INDEX(Matériaux!$B$5:$F$12,MATCH(INDEX(Profils!$E$5:$E$34,$AE907),Matériaux!$A$5:$A$12,0),$D907)</f>
        <v>toile</v>
      </c>
      <c r="F907" s="27" t="s">
        <v>113</v>
      </c>
      <c r="G907" s="10" t="str">
        <f aca="false" t="array" ref="G907:G907">INDEX(Profils!$D$5:$D$34,$AE907)&amp;" en "&amp;$E907</f>
        <v>Carquois en toile</v>
      </c>
      <c r="H907" s="16" t="n">
        <f aca="false" t="array" ref="H907:H907">INDEX(Matériaux!$B$16:$B$20,$D907)</f>
        <v>1</v>
      </c>
      <c r="I907" s="16" t="n">
        <f aca="false">IF(ISNUMBER($C$3),MIN(MAX(0,ROUND($C$3,0)),$AI907),$AI907)</f>
        <v>0</v>
      </c>
      <c r="J907" s="18" t="n">
        <f aca="false">$H907+$I907</f>
        <v>1</v>
      </c>
      <c r="K907" s="15" t="s">
        <v>109</v>
      </c>
      <c r="L907" s="19" t="n">
        <f aca="false" t="array" ref="L907:L907">IF(AND(INDEX(Profils!$F$5:$F$34,$AE907)&gt;0,INDEX(Profils!$U$5:$U$34,$AE907)&lt;=$AH907),ROUND(INDEX(Profils!$F$5:$F$34,$AE907)*Paramètres!$E$22*$AG907*$AJ907,Paramètres!$F$22),0)</f>
        <v>0</v>
      </c>
      <c r="M907" s="19" t="n">
        <f aca="false" t="array" ref="M907:M907">IF(AND(INDEX(Profils!$G$5:$G$34,$AE907)&gt;0,INDEX(Profils!$V$5:$V$34,$AE907)&lt;=$AH907),ROUND(INDEX(Profils!$G$5:$G$34,$AE907)*Paramètres!$E$23*$AG907*$AJ907,Paramètres!$F$23),0)</f>
        <v>0</v>
      </c>
      <c r="N907" s="19" t="n">
        <f aca="false" t="array" ref="N907:N907">IF(AND(INDEX(Profils!$H$5:$H$34,$AE907)&gt;0,INDEX(Profils!$W$5:$W$34,$AE907)&lt;=$AH907),ROUND(INDEX(Profils!$H$5:$H$34,$AE907)*Paramètres!$E$24*$AG907*$AJ907,Paramètres!$F$24),0)</f>
        <v>0</v>
      </c>
      <c r="O907" s="19" t="n">
        <f aca="false" t="array" ref="O907:O907">IF(AND(INDEX(Profils!$I$5:$I$34,$AE907)&gt;0,INDEX(Profils!$X$5:$X$34,$AE907)&lt;=$AH907),ROUND(INDEX(Profils!$I$5:$I$34,$AE907)*Paramètres!$E$25*$AG907*$AJ907,Paramètres!$F$25),0)</f>
        <v>0</v>
      </c>
      <c r="P907" s="19" t="n">
        <f aca="false" t="array" ref="P907:P907">IF(AND(INDEX(Profils!$J$5:$J$34,$AE907)&gt;0,INDEX(Profils!$Y$5:$Y$34,$AE907)&lt;=$AH907),ROUND(INDEX(Profils!$J$5:$J$34,$AE907)*Paramètres!$E$26*$AG907*$AJ907,Paramètres!$F$26),0)</f>
        <v>1</v>
      </c>
      <c r="Q907" s="19" t="n">
        <f aca="false" t="array" ref="Q907:Q907">IF(AND(INDEX(Profils!$K$5:$K$34,$AE907)&gt;0,INDEX(Profils!$Z$5:$Z$34,$AE907)&lt;=$AH907),ROUND(INDEX(Profils!$K$5:$K$34,$AE907)*Paramètres!$E$27*$AG907*$AJ907,Paramètres!$F$27),0)</f>
        <v>0</v>
      </c>
      <c r="R907" s="20" t="n">
        <f aca="false" t="array" ref="R907:R907">IF(AND(INDEX(Profils!$L$5:$L$34,$AE907)&gt;0,INDEX(Profils!$AA$5:$AA$34,$AE907)&lt;=$AH907),ROUND(INDEX(Profils!$L$5:$L$34,$AE907)*Paramètres!$E$28*$AG907*$AJ907,Paramètres!$F$28),0)</f>
        <v>0.002</v>
      </c>
      <c r="S907" s="20" t="n">
        <f aca="false" t="array" ref="S907:S907">IF(AND(INDEX(Profils!$M$5:$M$34,$AE907)&gt;0,INDEX(Profils!$AB$5:$AB$34,$AE907)&lt;=$AH907),ROUND(INDEX(Profils!$M$5:$M$34,$AE907)*Paramètres!$E$29*$AG907*$AJ907,Paramètres!$F$29),0)</f>
        <v>0.001</v>
      </c>
      <c r="T907" s="20" t="n">
        <f aca="false" t="array" ref="T907:T907">IF(AND(INDEX(Profils!$N$5:$N$34,$AE907)&gt;0,INDEX(Profils!$AC$5:$AC$34,$AE907)&lt;=$AH907),ROUND(INDEX(Profils!$N$5:$N$34,$AE907)*Paramètres!$E$30*$AG907*$AJ907,Paramètres!$F$30),0)</f>
        <v>0.003</v>
      </c>
      <c r="U907" s="19" t="n">
        <f aca="false" t="array" ref="U907:U907">IF(AND(INDEX(Profils!$O$5:$O$34,$AE907)&gt;0,INDEX(Profils!$AD$5:$AD$34,$AE907)&lt;=$AH907),ROUND(INDEX(Profils!$O$5:$O$34,$AE907)*Paramètres!$E$31*$AG907*$AJ907,Paramètres!$F$31),0)</f>
        <v>0</v>
      </c>
      <c r="V907" s="20" t="n">
        <f aca="false" t="array" ref="V907:V907">IF(AND(INDEX(Profils!$P$5:$P$34,$AE907)&gt;0,INDEX(Profils!$AE$5:$AE$34,$AE907)&lt;=$AH907),ROUND(INDEX(Profils!$P$5:$P$34,$AE907)*Paramètres!$E$32*$AG907*$AJ907,Paramètres!$F$32),0)</f>
        <v>0</v>
      </c>
      <c r="W907" s="20" t="n">
        <f aca="false" t="array" ref="W907:W907">IF(AND(INDEX(Profils!$Q$5:$Q$34,$AE907)&gt;0,INDEX(Profils!$AF$5:$AF$34,$AE907)&lt;=$AH907),ROUND(INDEX(Profils!$Q$5:$Q$34,$AE907)*Paramètres!$E$33*$AG907*$AJ907,Paramètres!$F$33),0)</f>
        <v>0</v>
      </c>
      <c r="X907" s="20" t="n">
        <f aca="false" t="array" ref="X907:X907">IF(AND(INDEX(Profils!$R$5:$R$34,$AE907)&gt;0,INDEX(Profils!$AG$5:$AG$34,$AE907)&lt;=$AH907),ROUND(INDEX(Profils!$R$5:$R$34,$AE907)*Paramètres!$E$34*$AG907*$AJ907,Paramètres!$F$34),0)</f>
        <v>0</v>
      </c>
      <c r="Y907" s="20" t="n">
        <f aca="false" t="array" ref="Y907:Y907">IF(AND(INDEX(Profils!$S$5:$S$34,$AE907)&gt;0,INDEX(Profils!$AH$5:$AH$34,$AE907)&lt;=$AH907),ROUND(INDEX(Profils!$S$5:$S$34,$AE907)*Paramètres!$E$35*$AG907*$AJ907,Paramètres!$F$35),0)</f>
        <v>0</v>
      </c>
      <c r="Z907" s="21" t="n">
        <f aca="false">ROUND(L907/Paramètres!$E$22+M907/Paramètres!$E$23+N907/Paramètres!$E$24+O907/Paramètres!$E$25+P907/Paramètres!$E$26+Q907/Paramètres!$E$27+R907/Paramètres!$E$28+S907/Paramètres!$E$29+T907/Paramètres!$E$30+U907/Paramètres!$E$31+V907/Paramètres!$E$32+W907/Paramètres!$E$33+X907/Paramètres!$E$34+Y907/Paramètres!$E$35,1)</f>
        <v>0.4</v>
      </c>
      <c r="AA907" s="22" t="s">
        <v>109</v>
      </c>
      <c r="AB907" s="22" t="s">
        <v>109</v>
      </c>
      <c r="AC907" s="15" t="str">
        <f aca="false">$E907</f>
        <v>toile</v>
      </c>
      <c r="AD907" s="16" t="n">
        <f aca="false" t="array" ref="AD907:AD907">IF($I907&gt;=$AI907,"Max",ROUND(Paramètres!$B$40*($I907+1)^Paramètres!$B$41*INDEX(Paramètres!$H$6:$H$12,$AF907),0))</f>
        <v>4</v>
      </c>
      <c r="AE907" s="23" t="n">
        <f aca="false">MATCH($B907&amp;"|"&amp;$C907,Profils!$A$5:$A$34,0)</f>
        <v>30</v>
      </c>
      <c r="AF907" s="23" t="n">
        <v>3</v>
      </c>
      <c r="AG907" s="24" t="n">
        <f aca="false" t="array" ref="AG907:AG907">INDEX(Paramètres!$C$6:$C$12,$AF907)</f>
        <v>1.45</v>
      </c>
      <c r="AH907" s="23" t="n">
        <f aca="false" t="array" ref="AH907:AH907">INDEX(Paramètres!$D$6:$D$12,$AF907)</f>
        <v>4</v>
      </c>
      <c r="AI907" s="23" t="n">
        <f aca="false" t="array" ref="AI907:AI907">INDEX(Matériaux!$C$16:$C$20,$D907)</f>
        <v>19</v>
      </c>
      <c r="AJ907" s="25" t="n">
        <f aca="false">Paramètres!$B$16+(1-Paramètres!$B$16)*(($J907-Paramètres!$B$14)/(Paramètres!$B$15-Paramètres!$B$14))^Paramètres!$B$17</f>
        <v>0.05</v>
      </c>
    </row>
    <row r="908" customFormat="false" ht="15.75" hidden="false" customHeight="true" outlineLevel="0" collapsed="false">
      <c r="A908" s="14" t="s">
        <v>1024</v>
      </c>
      <c r="B908" s="15" t="s">
        <v>31</v>
      </c>
      <c r="C908" s="15" t="s">
        <v>401</v>
      </c>
      <c r="D908" s="16" t="n">
        <v>1</v>
      </c>
      <c r="E908" s="15" t="str">
        <f aca="false" t="array" ref="E908:E908">INDEX(Matériaux!$B$5:$F$12,MATCH(INDEX(Profils!$E$5:$E$34,$AE908),Matériaux!$A$5:$A$12,0),$D908)</f>
        <v>toile</v>
      </c>
      <c r="F908" s="28" t="s">
        <v>115</v>
      </c>
      <c r="G908" s="10" t="str">
        <f aca="false" t="array" ref="G908:G908">INDEX(Profils!$D$5:$D$34,$AE908)&amp;" en "&amp;$E908</f>
        <v>Carquois en toile</v>
      </c>
      <c r="H908" s="16" t="n">
        <f aca="false" t="array" ref="H908:H908">INDEX(Matériaux!$B$16:$B$20,$D908)</f>
        <v>1</v>
      </c>
      <c r="I908" s="16" t="n">
        <f aca="false">IF(ISNUMBER($C$3),MIN(MAX(0,ROUND($C$3,0)),$AI908),$AI908)</f>
        <v>0</v>
      </c>
      <c r="J908" s="18" t="n">
        <f aca="false">$H908+$I908</f>
        <v>1</v>
      </c>
      <c r="K908" s="15" t="s">
        <v>109</v>
      </c>
      <c r="L908" s="19" t="n">
        <f aca="false" t="array" ref="L908:L908">IF(AND(INDEX(Profils!$F$5:$F$34,$AE908)&gt;0,INDEX(Profils!$U$5:$U$34,$AE908)&lt;=$AH908),ROUND(INDEX(Profils!$F$5:$F$34,$AE908)*Paramètres!$E$22*$AG908*$AJ908,Paramètres!$F$22),0)</f>
        <v>0</v>
      </c>
      <c r="M908" s="19" t="n">
        <f aca="false" t="array" ref="M908:M908">IF(AND(INDEX(Profils!$G$5:$G$34,$AE908)&gt;0,INDEX(Profils!$V$5:$V$34,$AE908)&lt;=$AH908),ROUND(INDEX(Profils!$G$5:$G$34,$AE908)*Paramètres!$E$23*$AG908*$AJ908,Paramètres!$F$23),0)</f>
        <v>0</v>
      </c>
      <c r="N908" s="19" t="n">
        <f aca="false" t="array" ref="N908:N908">IF(AND(INDEX(Profils!$H$5:$H$34,$AE908)&gt;0,INDEX(Profils!$W$5:$W$34,$AE908)&lt;=$AH908),ROUND(INDEX(Profils!$H$5:$H$34,$AE908)*Paramètres!$E$24*$AG908*$AJ908,Paramètres!$F$24),0)</f>
        <v>0</v>
      </c>
      <c r="O908" s="19" t="n">
        <f aca="false" t="array" ref="O908:O908">IF(AND(INDEX(Profils!$I$5:$I$34,$AE908)&gt;0,INDEX(Profils!$X$5:$X$34,$AE908)&lt;=$AH908),ROUND(INDEX(Profils!$I$5:$I$34,$AE908)*Paramètres!$E$25*$AG908*$AJ908,Paramètres!$F$25),0)</f>
        <v>0</v>
      </c>
      <c r="P908" s="19" t="n">
        <f aca="false" t="array" ref="P908:P908">IF(AND(INDEX(Profils!$J$5:$J$34,$AE908)&gt;0,INDEX(Profils!$Y$5:$Y$34,$AE908)&lt;=$AH908),ROUND(INDEX(Profils!$J$5:$J$34,$AE908)*Paramètres!$E$26*$AG908*$AJ908,Paramètres!$F$26),0)</f>
        <v>1</v>
      </c>
      <c r="Q908" s="19" t="n">
        <f aca="false" t="array" ref="Q908:Q908">IF(AND(INDEX(Profils!$K$5:$K$34,$AE908)&gt;0,INDEX(Profils!$Z$5:$Z$34,$AE908)&lt;=$AH908),ROUND(INDEX(Profils!$K$5:$K$34,$AE908)*Paramètres!$E$27*$AG908*$AJ908,Paramètres!$F$27),0)</f>
        <v>0</v>
      </c>
      <c r="R908" s="20" t="n">
        <f aca="false" t="array" ref="R908:R908">IF(AND(INDEX(Profils!$L$5:$L$34,$AE908)&gt;0,INDEX(Profils!$AA$5:$AA$34,$AE908)&lt;=$AH908),ROUND(INDEX(Profils!$L$5:$L$34,$AE908)*Paramètres!$E$28*$AG908*$AJ908,Paramètres!$F$28),0)</f>
        <v>0.002</v>
      </c>
      <c r="S908" s="20" t="n">
        <f aca="false" t="array" ref="S908:S908">IF(AND(INDEX(Profils!$M$5:$M$34,$AE908)&gt;0,INDEX(Profils!$AB$5:$AB$34,$AE908)&lt;=$AH908),ROUND(INDEX(Profils!$M$5:$M$34,$AE908)*Paramètres!$E$29*$AG908*$AJ908,Paramètres!$F$29),0)</f>
        <v>0.001</v>
      </c>
      <c r="T908" s="20" t="n">
        <f aca="false" t="array" ref="T908:T908">IF(AND(INDEX(Profils!$N$5:$N$34,$AE908)&gt;0,INDEX(Profils!$AC$5:$AC$34,$AE908)&lt;=$AH908),ROUND(INDEX(Profils!$N$5:$N$34,$AE908)*Paramètres!$E$30*$AG908*$AJ908,Paramètres!$F$30),0)</f>
        <v>0.004</v>
      </c>
      <c r="U908" s="19" t="n">
        <f aca="false" t="array" ref="U908:U908">IF(AND(INDEX(Profils!$O$5:$O$34,$AE908)&gt;0,INDEX(Profils!$AD$5:$AD$34,$AE908)&lt;=$AH908),ROUND(INDEX(Profils!$O$5:$O$34,$AE908)*Paramètres!$E$31*$AG908*$AJ908,Paramètres!$F$31),0)</f>
        <v>0</v>
      </c>
      <c r="V908" s="20" t="n">
        <f aca="false" t="array" ref="V908:V908">IF(AND(INDEX(Profils!$P$5:$P$34,$AE908)&gt;0,INDEX(Profils!$AE$5:$AE$34,$AE908)&lt;=$AH908),ROUND(INDEX(Profils!$P$5:$P$34,$AE908)*Paramètres!$E$32*$AG908*$AJ908,Paramètres!$F$32),0)</f>
        <v>0.002</v>
      </c>
      <c r="W908" s="20" t="n">
        <f aca="false" t="array" ref="W908:W908">IF(AND(INDEX(Profils!$Q$5:$Q$34,$AE908)&gt;0,INDEX(Profils!$AF$5:$AF$34,$AE908)&lt;=$AH908),ROUND(INDEX(Profils!$Q$5:$Q$34,$AE908)*Paramètres!$E$33*$AG908*$AJ908,Paramètres!$F$33),0)</f>
        <v>0</v>
      </c>
      <c r="X908" s="20" t="n">
        <f aca="false" t="array" ref="X908:X908">IF(AND(INDEX(Profils!$R$5:$R$34,$AE908)&gt;0,INDEX(Profils!$AG$5:$AG$34,$AE908)&lt;=$AH908),ROUND(INDEX(Profils!$R$5:$R$34,$AE908)*Paramètres!$E$34*$AG908*$AJ908,Paramètres!$F$34),0)</f>
        <v>0</v>
      </c>
      <c r="Y908" s="20" t="n">
        <f aca="false" t="array" ref="Y908:Y908">IF(AND(INDEX(Profils!$S$5:$S$34,$AE908)&gt;0,INDEX(Profils!$AH$5:$AH$34,$AE908)&lt;=$AH908),ROUND(INDEX(Profils!$S$5:$S$34,$AE908)*Paramètres!$E$35*$AG908*$AJ908,Paramètres!$F$35),0)</f>
        <v>0</v>
      </c>
      <c r="Z908" s="21" t="n">
        <f aca="false">ROUND(L908/Paramètres!$E$22+M908/Paramètres!$E$23+N908/Paramètres!$E$24+O908/Paramètres!$E$25+P908/Paramètres!$E$26+Q908/Paramètres!$E$27+R908/Paramètres!$E$28+S908/Paramètres!$E$29+T908/Paramètres!$E$30+U908/Paramètres!$E$31+V908/Paramètres!$E$32+W908/Paramètres!$E$33+X908/Paramètres!$E$34+Y908/Paramètres!$E$35,1)</f>
        <v>0.6</v>
      </c>
      <c r="AA908" s="22" t="s">
        <v>109</v>
      </c>
      <c r="AB908" s="22" t="s">
        <v>109</v>
      </c>
      <c r="AC908" s="15" t="str">
        <f aca="false">$E908</f>
        <v>toile</v>
      </c>
      <c r="AD908" s="16" t="n">
        <f aca="false" t="array" ref="AD908:AD908">IF($I908&gt;=$AI908,"Max",ROUND(Paramètres!$B$40*($I908+1)^Paramètres!$B$41*INDEX(Paramètres!$H$6:$H$12,$AF908),0))</f>
        <v>5</v>
      </c>
      <c r="AE908" s="23" t="n">
        <f aca="false">MATCH($B908&amp;"|"&amp;$C908,Profils!$A$5:$A$34,0)</f>
        <v>30</v>
      </c>
      <c r="AF908" s="23" t="n">
        <v>4</v>
      </c>
      <c r="AG908" s="24" t="n">
        <f aca="false" t="array" ref="AG908:AG908">INDEX(Paramètres!$C$6:$C$12,$AF908)</f>
        <v>1.75</v>
      </c>
      <c r="AH908" s="23" t="n">
        <f aca="false" t="array" ref="AH908:AH908">INDEX(Paramètres!$D$6:$D$12,$AF908)</f>
        <v>5</v>
      </c>
      <c r="AI908" s="23" t="n">
        <f aca="false" t="array" ref="AI908:AI908">INDEX(Matériaux!$C$16:$C$20,$D908)</f>
        <v>19</v>
      </c>
      <c r="AJ908" s="25" t="n">
        <f aca="false">Paramètres!$B$16+(1-Paramètres!$B$16)*(($J908-Paramètres!$B$14)/(Paramètres!$B$15-Paramètres!$B$14))^Paramètres!$B$17</f>
        <v>0.05</v>
      </c>
    </row>
    <row r="909" customFormat="false" ht="15.75" hidden="false" customHeight="true" outlineLevel="0" collapsed="false">
      <c r="A909" s="14" t="s">
        <v>1025</v>
      </c>
      <c r="B909" s="15" t="s">
        <v>31</v>
      </c>
      <c r="C909" s="15" t="s">
        <v>401</v>
      </c>
      <c r="D909" s="16" t="n">
        <v>1</v>
      </c>
      <c r="E909" s="15" t="str">
        <f aca="false" t="array" ref="E909:E909">INDEX(Matériaux!$B$5:$F$12,MATCH(INDEX(Profils!$E$5:$E$34,$AE909),Matériaux!$A$5:$A$12,0),$D909)</f>
        <v>toile</v>
      </c>
      <c r="F909" s="29" t="s">
        <v>117</v>
      </c>
      <c r="G909" s="10" t="str">
        <f aca="false" t="array" ref="G909:G909">INDEX(Profils!$D$5:$D$34,$AE909)&amp;" en "&amp;$E909</f>
        <v>Carquois en toile</v>
      </c>
      <c r="H909" s="16" t="n">
        <f aca="false" t="array" ref="H909:H909">INDEX(Matériaux!$B$16:$B$20,$D909)</f>
        <v>1</v>
      </c>
      <c r="I909" s="16" t="n">
        <f aca="false">IF(ISNUMBER($C$3),MIN(MAX(0,ROUND($C$3,0)),$AI909),$AI909)</f>
        <v>0</v>
      </c>
      <c r="J909" s="18" t="n">
        <f aca="false">$H909+$I909</f>
        <v>1</v>
      </c>
      <c r="K909" s="15" t="s">
        <v>109</v>
      </c>
      <c r="L909" s="19" t="n">
        <f aca="false" t="array" ref="L909:L909">IF(AND(INDEX(Profils!$F$5:$F$34,$AE909)&gt;0,INDEX(Profils!$U$5:$U$34,$AE909)&lt;=$AH909),ROUND(INDEX(Profils!$F$5:$F$34,$AE909)*Paramètres!$E$22*$AG909*$AJ909,Paramètres!$F$22),0)</f>
        <v>0</v>
      </c>
      <c r="M909" s="19" t="n">
        <f aca="false" t="array" ref="M909:M909">IF(AND(INDEX(Profils!$G$5:$G$34,$AE909)&gt;0,INDEX(Profils!$V$5:$V$34,$AE909)&lt;=$AH909),ROUND(INDEX(Profils!$G$5:$G$34,$AE909)*Paramètres!$E$23*$AG909*$AJ909,Paramètres!$F$23),0)</f>
        <v>0</v>
      </c>
      <c r="N909" s="19" t="n">
        <f aca="false" t="array" ref="N909:N909">IF(AND(INDEX(Profils!$H$5:$H$34,$AE909)&gt;0,INDEX(Profils!$W$5:$W$34,$AE909)&lt;=$AH909),ROUND(INDEX(Profils!$H$5:$H$34,$AE909)*Paramètres!$E$24*$AG909*$AJ909,Paramètres!$F$24),0)</f>
        <v>0</v>
      </c>
      <c r="O909" s="19" t="n">
        <f aca="false" t="array" ref="O909:O909">IF(AND(INDEX(Profils!$I$5:$I$34,$AE909)&gt;0,INDEX(Profils!$X$5:$X$34,$AE909)&lt;=$AH909),ROUND(INDEX(Profils!$I$5:$I$34,$AE909)*Paramètres!$E$25*$AG909*$AJ909,Paramètres!$F$25),0)</f>
        <v>0</v>
      </c>
      <c r="P909" s="19" t="n">
        <f aca="false" t="array" ref="P909:P909">IF(AND(INDEX(Profils!$J$5:$J$34,$AE909)&gt;0,INDEX(Profils!$Y$5:$Y$34,$AE909)&lt;=$AH909),ROUND(INDEX(Profils!$J$5:$J$34,$AE909)*Paramètres!$E$26*$AG909*$AJ909,Paramètres!$F$26),0)</f>
        <v>2</v>
      </c>
      <c r="Q909" s="19" t="n">
        <f aca="false" t="array" ref="Q909:Q909">IF(AND(INDEX(Profils!$K$5:$K$34,$AE909)&gt;0,INDEX(Profils!$Z$5:$Z$34,$AE909)&lt;=$AH909),ROUND(INDEX(Profils!$K$5:$K$34,$AE909)*Paramètres!$E$27*$AG909*$AJ909,Paramètres!$F$27),0)</f>
        <v>1</v>
      </c>
      <c r="R909" s="20" t="n">
        <f aca="false" t="array" ref="R909:R909">IF(AND(INDEX(Profils!$L$5:$L$34,$AE909)&gt;0,INDEX(Profils!$AA$5:$AA$34,$AE909)&lt;=$AH909),ROUND(INDEX(Profils!$L$5:$L$34,$AE909)*Paramètres!$E$28*$AG909*$AJ909,Paramètres!$F$28),0)</f>
        <v>0.003</v>
      </c>
      <c r="S909" s="20" t="n">
        <f aca="false" t="array" ref="S909:S909">IF(AND(INDEX(Profils!$M$5:$M$34,$AE909)&gt;0,INDEX(Profils!$AB$5:$AB$34,$AE909)&lt;=$AH909),ROUND(INDEX(Profils!$M$5:$M$34,$AE909)*Paramètres!$E$29*$AG909*$AJ909,Paramètres!$F$29),0)</f>
        <v>0.002</v>
      </c>
      <c r="T909" s="20" t="n">
        <f aca="false" t="array" ref="T909:T909">IF(AND(INDEX(Profils!$N$5:$N$34,$AE909)&gt;0,INDEX(Profils!$AC$5:$AC$34,$AE909)&lt;=$AH909),ROUND(INDEX(Profils!$N$5:$N$34,$AE909)*Paramètres!$E$30*$AG909*$AJ909,Paramètres!$F$30),0)</f>
        <v>0.005</v>
      </c>
      <c r="U909" s="19" t="n">
        <f aca="false" t="array" ref="U909:U909">IF(AND(INDEX(Profils!$O$5:$O$34,$AE909)&gt;0,INDEX(Profils!$AD$5:$AD$34,$AE909)&lt;=$AH909),ROUND(INDEX(Profils!$O$5:$O$34,$AE909)*Paramètres!$E$31*$AG909*$AJ909,Paramètres!$F$31),0)</f>
        <v>0</v>
      </c>
      <c r="V909" s="20" t="n">
        <f aca="false" t="array" ref="V909:V909">IF(AND(INDEX(Profils!$P$5:$P$34,$AE909)&gt;0,INDEX(Profils!$AE$5:$AE$34,$AE909)&lt;=$AH909),ROUND(INDEX(Profils!$P$5:$P$34,$AE909)*Paramètres!$E$32*$AG909*$AJ909,Paramètres!$F$32),0)</f>
        <v>0.002</v>
      </c>
      <c r="W909" s="20" t="n">
        <f aca="false" t="array" ref="W909:W909">IF(AND(INDEX(Profils!$Q$5:$Q$34,$AE909)&gt;0,INDEX(Profils!$AF$5:$AF$34,$AE909)&lt;=$AH909),ROUND(INDEX(Profils!$Q$5:$Q$34,$AE909)*Paramètres!$E$33*$AG909*$AJ909,Paramètres!$F$33),0)</f>
        <v>0</v>
      </c>
      <c r="X909" s="20" t="n">
        <f aca="false" t="array" ref="X909:X909">IF(AND(INDEX(Profils!$R$5:$R$34,$AE909)&gt;0,INDEX(Profils!$AG$5:$AG$34,$AE909)&lt;=$AH909),ROUND(INDEX(Profils!$R$5:$R$34,$AE909)*Paramètres!$E$34*$AG909*$AJ909,Paramètres!$F$34),0)</f>
        <v>0</v>
      </c>
      <c r="Y909" s="20" t="n">
        <f aca="false" t="array" ref="Y909:Y909">IF(AND(INDEX(Profils!$S$5:$S$34,$AE909)&gt;0,INDEX(Profils!$AH$5:$AH$34,$AE909)&lt;=$AH909),ROUND(INDEX(Profils!$S$5:$S$34,$AE909)*Paramètres!$E$35*$AG909*$AJ909,Paramètres!$F$35),0)</f>
        <v>0</v>
      </c>
      <c r="Z909" s="21" t="n">
        <f aca="false">ROUND(L909/Paramètres!$E$22+M909/Paramètres!$E$23+N909/Paramètres!$E$24+O909/Paramètres!$E$25+P909/Paramètres!$E$26+Q909/Paramètres!$E$27+R909/Paramètres!$E$28+S909/Paramètres!$E$29+T909/Paramètres!$E$30+U909/Paramètres!$E$31+V909/Paramètres!$E$32+W909/Paramètres!$E$33+X909/Paramètres!$E$34+Y909/Paramètres!$E$35,1)</f>
        <v>0.9</v>
      </c>
      <c r="AA909" s="22" t="s">
        <v>109</v>
      </c>
      <c r="AB909" s="22" t="s">
        <v>109</v>
      </c>
      <c r="AC909" s="15" t="str">
        <f aca="false">$E909</f>
        <v>toile</v>
      </c>
      <c r="AD909" s="16" t="n">
        <f aca="false" t="array" ref="AD909:AD909">IF($I909&gt;=$AI909,"Max",ROUND(Paramètres!$B$40*($I909+1)^Paramètres!$B$41*INDEX(Paramètres!$H$6:$H$12,$AF909),0))</f>
        <v>6</v>
      </c>
      <c r="AE909" s="23" t="n">
        <f aca="false">MATCH($B909&amp;"|"&amp;$C909,Profils!$A$5:$A$34,0)</f>
        <v>30</v>
      </c>
      <c r="AF909" s="23" t="n">
        <v>5</v>
      </c>
      <c r="AG909" s="24" t="n">
        <f aca="false" t="array" ref="AG909:AG909">INDEX(Paramètres!$C$6:$C$12,$AF909)</f>
        <v>2.1</v>
      </c>
      <c r="AH909" s="23" t="n">
        <f aca="false" t="array" ref="AH909:AH909">INDEX(Paramètres!$D$6:$D$12,$AF909)</f>
        <v>6</v>
      </c>
      <c r="AI909" s="23" t="n">
        <f aca="false" t="array" ref="AI909:AI909">INDEX(Matériaux!$C$16:$C$20,$D909)</f>
        <v>19</v>
      </c>
      <c r="AJ909" s="25" t="n">
        <f aca="false">Paramètres!$B$16+(1-Paramètres!$B$16)*(($J909-Paramètres!$B$14)/(Paramètres!$B$15-Paramètres!$B$14))^Paramètres!$B$17</f>
        <v>0.05</v>
      </c>
    </row>
    <row r="910" customFormat="false" ht="15.75" hidden="false" customHeight="true" outlineLevel="0" collapsed="false">
      <c r="A910" s="14" t="s">
        <v>1026</v>
      </c>
      <c r="B910" s="15" t="s">
        <v>31</v>
      </c>
      <c r="C910" s="15" t="s">
        <v>401</v>
      </c>
      <c r="D910" s="16" t="n">
        <v>1</v>
      </c>
      <c r="E910" s="15" t="str">
        <f aca="false" t="array" ref="E910:E910">INDEX(Matériaux!$B$5:$F$12,MATCH(INDEX(Profils!$E$5:$E$34,$AE910),Matériaux!$A$5:$A$12,0),$D910)</f>
        <v>toile</v>
      </c>
      <c r="F910" s="30" t="s">
        <v>119</v>
      </c>
      <c r="G910" s="10" t="str">
        <f aca="false" t="array" ref="G910:G910">INDEX(Profils!$D$5:$D$34,$AE910)&amp;" en "&amp;$E910</f>
        <v>Carquois en toile</v>
      </c>
      <c r="H910" s="16" t="n">
        <f aca="false" t="array" ref="H910:H910">INDEX(Matériaux!$B$16:$B$20,$D910)</f>
        <v>1</v>
      </c>
      <c r="I910" s="16" t="n">
        <f aca="false">IF(ISNUMBER($C$3),MIN(MAX(0,ROUND($C$3,0)),$AI910),$AI910)</f>
        <v>0</v>
      </c>
      <c r="J910" s="18" t="n">
        <f aca="false">$H910+$I910</f>
        <v>1</v>
      </c>
      <c r="K910" s="15" t="s">
        <v>109</v>
      </c>
      <c r="L910" s="19" t="n">
        <f aca="false" t="array" ref="L910:L910">IF(AND(INDEX(Profils!$F$5:$F$34,$AE910)&gt;0,INDEX(Profils!$U$5:$U$34,$AE910)&lt;=$AH910),ROUND(INDEX(Profils!$F$5:$F$34,$AE910)*Paramètres!$E$22*$AG910*$AJ910,Paramètres!$F$22),0)</f>
        <v>0</v>
      </c>
      <c r="M910" s="19" t="n">
        <f aca="false" t="array" ref="M910:M910">IF(AND(INDEX(Profils!$G$5:$G$34,$AE910)&gt;0,INDEX(Profils!$V$5:$V$34,$AE910)&lt;=$AH910),ROUND(INDEX(Profils!$G$5:$G$34,$AE910)*Paramètres!$E$23*$AG910*$AJ910,Paramètres!$F$23),0)</f>
        <v>2</v>
      </c>
      <c r="N910" s="19" t="n">
        <f aca="false" t="array" ref="N910:N910">IF(AND(INDEX(Profils!$H$5:$H$34,$AE910)&gt;0,INDEX(Profils!$W$5:$W$34,$AE910)&lt;=$AH910),ROUND(INDEX(Profils!$H$5:$H$34,$AE910)*Paramètres!$E$24*$AG910*$AJ910,Paramètres!$F$24),0)</f>
        <v>0</v>
      </c>
      <c r="O910" s="19" t="n">
        <f aca="false" t="array" ref="O910:O910">IF(AND(INDEX(Profils!$I$5:$I$34,$AE910)&gt;0,INDEX(Profils!$X$5:$X$34,$AE910)&lt;=$AH910),ROUND(INDEX(Profils!$I$5:$I$34,$AE910)*Paramètres!$E$25*$AG910*$AJ910,Paramètres!$F$25),0)</f>
        <v>0</v>
      </c>
      <c r="P910" s="19" t="n">
        <f aca="false" t="array" ref="P910:P910">IF(AND(INDEX(Profils!$J$5:$J$34,$AE910)&gt;0,INDEX(Profils!$Y$5:$Y$34,$AE910)&lt;=$AH910),ROUND(INDEX(Profils!$J$5:$J$34,$AE910)*Paramètres!$E$26*$AG910*$AJ910,Paramètres!$F$26),0)</f>
        <v>2</v>
      </c>
      <c r="Q910" s="19" t="n">
        <f aca="false" t="array" ref="Q910:Q910">IF(AND(INDEX(Profils!$K$5:$K$34,$AE910)&gt;0,INDEX(Profils!$Z$5:$Z$34,$AE910)&lt;=$AH910),ROUND(INDEX(Profils!$K$5:$K$34,$AE910)*Paramètres!$E$27*$AG910*$AJ910,Paramètres!$F$27),0)</f>
        <v>1</v>
      </c>
      <c r="R910" s="20" t="n">
        <f aca="false" t="array" ref="R910:R910">IF(AND(INDEX(Profils!$L$5:$L$34,$AE910)&gt;0,INDEX(Profils!$AA$5:$AA$34,$AE910)&lt;=$AH910),ROUND(INDEX(Profils!$L$5:$L$34,$AE910)*Paramètres!$E$28*$AG910*$AJ910,Paramètres!$F$28),0)</f>
        <v>0.003</v>
      </c>
      <c r="S910" s="20" t="n">
        <f aca="false" t="array" ref="S910:S910">IF(AND(INDEX(Profils!$M$5:$M$34,$AE910)&gt;0,INDEX(Profils!$AB$5:$AB$34,$AE910)&lt;=$AH910),ROUND(INDEX(Profils!$M$5:$M$34,$AE910)*Paramètres!$E$29*$AG910*$AJ910,Paramètres!$F$29),0)</f>
        <v>0.002</v>
      </c>
      <c r="T910" s="20" t="n">
        <f aca="false" t="array" ref="T910:T910">IF(AND(INDEX(Profils!$N$5:$N$34,$AE910)&gt;0,INDEX(Profils!$AC$5:$AC$34,$AE910)&lt;=$AH910),ROUND(INDEX(Profils!$N$5:$N$34,$AE910)*Paramètres!$E$30*$AG910*$AJ910,Paramètres!$F$30),0)</f>
        <v>0.006</v>
      </c>
      <c r="U910" s="19" t="n">
        <f aca="false" t="array" ref="U910:U910">IF(AND(INDEX(Profils!$O$5:$O$34,$AE910)&gt;0,INDEX(Profils!$AD$5:$AD$34,$AE910)&lt;=$AH910),ROUND(INDEX(Profils!$O$5:$O$34,$AE910)*Paramètres!$E$31*$AG910*$AJ910,Paramètres!$F$31),0)</f>
        <v>0</v>
      </c>
      <c r="V910" s="20" t="n">
        <f aca="false" t="array" ref="V910:V910">IF(AND(INDEX(Profils!$P$5:$P$34,$AE910)&gt;0,INDEX(Profils!$AE$5:$AE$34,$AE910)&lt;=$AH910),ROUND(INDEX(Profils!$P$5:$P$34,$AE910)*Paramètres!$E$32*$AG910*$AJ910,Paramètres!$F$32),0)</f>
        <v>0.003</v>
      </c>
      <c r="W910" s="20" t="n">
        <f aca="false" t="array" ref="W910:W910">IF(AND(INDEX(Profils!$Q$5:$Q$34,$AE910)&gt;0,INDEX(Profils!$AF$5:$AF$34,$AE910)&lt;=$AH910),ROUND(INDEX(Profils!$Q$5:$Q$34,$AE910)*Paramètres!$E$33*$AG910*$AJ910,Paramètres!$F$33),0)</f>
        <v>0</v>
      </c>
      <c r="X910" s="20" t="n">
        <f aca="false" t="array" ref="X910:X910">IF(AND(INDEX(Profils!$R$5:$R$34,$AE910)&gt;0,INDEX(Profils!$AG$5:$AG$34,$AE910)&lt;=$AH910),ROUND(INDEX(Profils!$R$5:$R$34,$AE910)*Paramètres!$E$34*$AG910*$AJ910,Paramètres!$F$34),0)</f>
        <v>0</v>
      </c>
      <c r="Y910" s="20" t="n">
        <f aca="false" t="array" ref="Y910:Y910">IF(AND(INDEX(Profils!$S$5:$S$34,$AE910)&gt;0,INDEX(Profils!$AH$5:$AH$34,$AE910)&lt;=$AH910),ROUND(INDEX(Profils!$S$5:$S$34,$AE910)*Paramètres!$E$35*$AG910*$AJ910,Paramètres!$F$35),0)</f>
        <v>0</v>
      </c>
      <c r="Z910" s="21" t="n">
        <f aca="false">ROUND(L910/Paramètres!$E$22+M910/Paramètres!$E$23+N910/Paramètres!$E$24+O910/Paramètres!$E$25+P910/Paramètres!$E$26+Q910/Paramètres!$E$27+R910/Paramètres!$E$28+S910/Paramètres!$E$29+T910/Paramètres!$E$30+U910/Paramètres!$E$31+V910/Paramètres!$E$32+W910/Paramètres!$E$33+X910/Paramètres!$E$34+Y910/Paramètres!$E$35,1)</f>
        <v>1.2</v>
      </c>
      <c r="AA910" s="22" t="s">
        <v>109</v>
      </c>
      <c r="AB910" s="22" t="s">
        <v>109</v>
      </c>
      <c r="AC910" s="15" t="str">
        <f aca="false">$E910</f>
        <v>toile</v>
      </c>
      <c r="AD910" s="16" t="n">
        <f aca="false" t="array" ref="AD910:AD910">IF($I910&gt;=$AI910,"Max",ROUND(Paramètres!$B$40*($I910+1)^Paramètres!$B$41*INDEX(Paramètres!$H$6:$H$12,$AF910),0))</f>
        <v>8</v>
      </c>
      <c r="AE910" s="23" t="n">
        <f aca="false">MATCH($B910&amp;"|"&amp;$C910,Profils!$A$5:$A$34,0)</f>
        <v>30</v>
      </c>
      <c r="AF910" s="23" t="n">
        <v>6</v>
      </c>
      <c r="AG910" s="24" t="n">
        <f aca="false" t="array" ref="AG910:AG910">INDEX(Paramètres!$C$6:$C$12,$AF910)</f>
        <v>2.4</v>
      </c>
      <c r="AH910" s="23" t="n">
        <f aca="false" t="array" ref="AH910:AH910">INDEX(Paramètres!$D$6:$D$12,$AF910)</f>
        <v>7</v>
      </c>
      <c r="AI910" s="23" t="n">
        <f aca="false" t="array" ref="AI910:AI910">INDEX(Matériaux!$C$16:$C$20,$D910)</f>
        <v>19</v>
      </c>
      <c r="AJ910" s="25" t="n">
        <f aca="false">Paramètres!$B$16+(1-Paramètres!$B$16)*(($J910-Paramètres!$B$14)/(Paramètres!$B$15-Paramètres!$B$14))^Paramètres!$B$17</f>
        <v>0.05</v>
      </c>
    </row>
    <row r="911" customFormat="false" ht="15.75" hidden="false" customHeight="true" outlineLevel="0" collapsed="false">
      <c r="A911" s="14" t="s">
        <v>1027</v>
      </c>
      <c r="B911" s="15" t="s">
        <v>31</v>
      </c>
      <c r="C911" s="15" t="s">
        <v>401</v>
      </c>
      <c r="D911" s="16" t="n">
        <v>2</v>
      </c>
      <c r="E911" s="15" t="str">
        <f aca="false" t="array" ref="E911:E911">INDEX(Matériaux!$B$5:$F$12,MATCH(INDEX(Profils!$E$5:$E$34,$AE911),Matériaux!$A$5:$A$12,0),$D911)</f>
        <v>cuir</v>
      </c>
      <c r="F911" s="17" t="s">
        <v>108</v>
      </c>
      <c r="G911" s="10" t="str">
        <f aca="false" t="array" ref="G911:G911">INDEX(Profils!$D$5:$D$34,$AE911)&amp;" en "&amp;$E911</f>
        <v>Carquois en cuir</v>
      </c>
      <c r="H911" s="16" t="n">
        <f aca="false" t="array" ref="H911:H911">INDEX(Matériaux!$B$16:$B$20,$D911)</f>
        <v>15</v>
      </c>
      <c r="I911" s="16" t="n">
        <f aca="false">IF(ISNUMBER($C$3),MIN(MAX(0,ROUND($C$3,0)),$AI911),$AI911)</f>
        <v>0</v>
      </c>
      <c r="J911" s="18" t="n">
        <f aca="false">$H911+$I911</f>
        <v>15</v>
      </c>
      <c r="K911" s="15" t="s">
        <v>109</v>
      </c>
      <c r="L911" s="19" t="n">
        <f aca="false" t="array" ref="L911:L911">IF(AND(INDEX(Profils!$F$5:$F$34,$AE911)&gt;0,INDEX(Profils!$U$5:$U$34,$AE911)&lt;=$AH911),ROUND(INDEX(Profils!$F$5:$F$34,$AE911)*Paramètres!$E$22*$AG911*$AJ911,Paramètres!$F$22),0)</f>
        <v>0</v>
      </c>
      <c r="M911" s="19" t="n">
        <f aca="false" t="array" ref="M911:M911">IF(AND(INDEX(Profils!$G$5:$G$34,$AE911)&gt;0,INDEX(Profils!$V$5:$V$34,$AE911)&lt;=$AH911),ROUND(INDEX(Profils!$G$5:$G$34,$AE911)*Paramètres!$E$23*$AG911*$AJ911,Paramètres!$F$23),0)</f>
        <v>0</v>
      </c>
      <c r="N911" s="19" t="n">
        <f aca="false" t="array" ref="N911:N911">IF(AND(INDEX(Profils!$H$5:$H$34,$AE911)&gt;0,INDEX(Profils!$W$5:$W$34,$AE911)&lt;=$AH911),ROUND(INDEX(Profils!$H$5:$H$34,$AE911)*Paramètres!$E$24*$AG911*$AJ911,Paramètres!$F$24),0)</f>
        <v>0</v>
      </c>
      <c r="O911" s="19" t="n">
        <f aca="false" t="array" ref="O911:O911">IF(AND(INDEX(Profils!$I$5:$I$34,$AE911)&gt;0,INDEX(Profils!$X$5:$X$34,$AE911)&lt;=$AH911),ROUND(INDEX(Profils!$I$5:$I$34,$AE911)*Paramètres!$E$25*$AG911*$AJ911,Paramètres!$F$25),0)</f>
        <v>0</v>
      </c>
      <c r="P911" s="19" t="n">
        <f aca="false" t="array" ref="P911:P911">IF(AND(INDEX(Profils!$J$5:$J$34,$AE911)&gt;0,INDEX(Profils!$Y$5:$Y$34,$AE911)&lt;=$AH911),ROUND(INDEX(Profils!$J$5:$J$34,$AE911)*Paramètres!$E$26*$AG911*$AJ911,Paramètres!$F$26),0)</f>
        <v>0</v>
      </c>
      <c r="Q911" s="19" t="n">
        <f aca="false" t="array" ref="Q911:Q911">IF(AND(INDEX(Profils!$K$5:$K$34,$AE911)&gt;0,INDEX(Profils!$Z$5:$Z$34,$AE911)&lt;=$AH911),ROUND(INDEX(Profils!$K$5:$K$34,$AE911)*Paramètres!$E$27*$AG911*$AJ911,Paramètres!$F$27),0)</f>
        <v>0</v>
      </c>
      <c r="R911" s="20" t="n">
        <f aca="false" t="array" ref="R911:R911">IF(AND(INDEX(Profils!$L$5:$L$34,$AE911)&gt;0,INDEX(Profils!$AA$5:$AA$34,$AE911)&lt;=$AH911),ROUND(INDEX(Profils!$L$5:$L$34,$AE911)*Paramètres!$E$28*$AG911*$AJ911,Paramètres!$F$28),0)</f>
        <v>0.003</v>
      </c>
      <c r="S911" s="20" t="n">
        <f aca="false" t="array" ref="S911:S911">IF(AND(INDEX(Profils!$M$5:$M$34,$AE911)&gt;0,INDEX(Profils!$AB$5:$AB$34,$AE911)&lt;=$AH911),ROUND(INDEX(Profils!$M$5:$M$34,$AE911)*Paramètres!$E$29*$AG911*$AJ911,Paramètres!$F$29),0)</f>
        <v>0</v>
      </c>
      <c r="T911" s="20" t="n">
        <f aca="false" t="array" ref="T911:T911">IF(AND(INDEX(Profils!$N$5:$N$34,$AE911)&gt;0,INDEX(Profils!$AC$5:$AC$34,$AE911)&lt;=$AH911),ROUND(INDEX(Profils!$N$5:$N$34,$AE911)*Paramètres!$E$30*$AG911*$AJ911,Paramètres!$F$30),0)</f>
        <v>0.007</v>
      </c>
      <c r="U911" s="19" t="n">
        <f aca="false" t="array" ref="U911:U911">IF(AND(INDEX(Profils!$O$5:$O$34,$AE911)&gt;0,INDEX(Profils!$AD$5:$AD$34,$AE911)&lt;=$AH911),ROUND(INDEX(Profils!$O$5:$O$34,$AE911)*Paramètres!$E$31*$AG911*$AJ911,Paramètres!$F$31),0)</f>
        <v>0</v>
      </c>
      <c r="V911" s="20" t="n">
        <f aca="false" t="array" ref="V911:V911">IF(AND(INDEX(Profils!$P$5:$P$34,$AE911)&gt;0,INDEX(Profils!$AE$5:$AE$34,$AE911)&lt;=$AH911),ROUND(INDEX(Profils!$P$5:$P$34,$AE911)*Paramètres!$E$32*$AG911*$AJ911,Paramètres!$F$32),0)</f>
        <v>0</v>
      </c>
      <c r="W911" s="20" t="n">
        <f aca="false" t="array" ref="W911:W911">IF(AND(INDEX(Profils!$Q$5:$Q$34,$AE911)&gt;0,INDEX(Profils!$AF$5:$AF$34,$AE911)&lt;=$AH911),ROUND(INDEX(Profils!$Q$5:$Q$34,$AE911)*Paramètres!$E$33*$AG911*$AJ911,Paramètres!$F$33),0)</f>
        <v>0</v>
      </c>
      <c r="X911" s="20" t="n">
        <f aca="false" t="array" ref="X911:X911">IF(AND(INDEX(Profils!$R$5:$R$34,$AE911)&gt;0,INDEX(Profils!$AG$5:$AG$34,$AE911)&lt;=$AH911),ROUND(INDEX(Profils!$R$5:$R$34,$AE911)*Paramètres!$E$34*$AG911*$AJ911,Paramètres!$F$34),0)</f>
        <v>0</v>
      </c>
      <c r="Y911" s="20" t="n">
        <f aca="false" t="array" ref="Y911:Y911">IF(AND(INDEX(Profils!$S$5:$S$34,$AE911)&gt;0,INDEX(Profils!$AH$5:$AH$34,$AE911)&lt;=$AH911),ROUND(INDEX(Profils!$S$5:$S$34,$AE911)*Paramètres!$E$35*$AG911*$AJ911,Paramètres!$F$35),0)</f>
        <v>0</v>
      </c>
      <c r="Z911" s="21" t="n">
        <f aca="false">ROUND(L911/Paramètres!$E$22+M911/Paramètres!$E$23+N911/Paramètres!$E$24+O911/Paramètres!$E$25+P911/Paramètres!$E$26+Q911/Paramètres!$E$27+R911/Paramètres!$E$28+S911/Paramètres!$E$29+T911/Paramètres!$E$30+U911/Paramètres!$E$31+V911/Paramètres!$E$32+W911/Paramètres!$E$33+X911/Paramètres!$E$34+Y911/Paramètres!$E$35,1)</f>
        <v>0.4</v>
      </c>
      <c r="AA911" s="22" t="s">
        <v>109</v>
      </c>
      <c r="AB911" s="22" t="s">
        <v>109</v>
      </c>
      <c r="AC911" s="15" t="str">
        <f aca="false">$E911</f>
        <v>cuir</v>
      </c>
      <c r="AD911" s="16" t="n">
        <f aca="false" t="array" ref="AD911:AD911">IF($I911&gt;=$AI911,"Max",ROUND(Paramètres!$B$40*($I911+1)^Paramètres!$B$41*INDEX(Paramètres!$H$6:$H$12,$AF911),0))</f>
        <v>3</v>
      </c>
      <c r="AE911" s="23" t="n">
        <f aca="false">MATCH($B911&amp;"|"&amp;$C911,Profils!$A$5:$A$34,0)</f>
        <v>30</v>
      </c>
      <c r="AF911" s="23" t="n">
        <v>1</v>
      </c>
      <c r="AG911" s="24" t="n">
        <f aca="false" t="array" ref="AG911:AG911">INDEX(Paramètres!$C$6:$C$12,$AF911)</f>
        <v>1</v>
      </c>
      <c r="AH911" s="23" t="n">
        <f aca="false" t="array" ref="AH911:AH911">INDEX(Paramètres!$D$6:$D$12,$AF911)</f>
        <v>2</v>
      </c>
      <c r="AI911" s="23" t="n">
        <f aca="false" t="array" ref="AI911:AI911">INDEX(Matériaux!$C$16:$C$20,$D911)</f>
        <v>20</v>
      </c>
      <c r="AJ911" s="25" t="n">
        <f aca="false">Paramètres!$B$16+(1-Paramètres!$B$16)*(($J911-Paramètres!$B$14)/(Paramètres!$B$15-Paramètres!$B$14))^Paramètres!$B$17</f>
        <v>0.140847925475674</v>
      </c>
    </row>
    <row r="912" customFormat="false" ht="15.75" hidden="false" customHeight="true" outlineLevel="0" collapsed="false">
      <c r="A912" s="14" t="s">
        <v>1028</v>
      </c>
      <c r="B912" s="15" t="s">
        <v>31</v>
      </c>
      <c r="C912" s="15" t="s">
        <v>401</v>
      </c>
      <c r="D912" s="16" t="n">
        <v>2</v>
      </c>
      <c r="E912" s="15" t="str">
        <f aca="false" t="array" ref="E912:E912">INDEX(Matériaux!$B$5:$F$12,MATCH(INDEX(Profils!$E$5:$E$34,$AE912),Matériaux!$A$5:$A$12,0),$D912)</f>
        <v>cuir</v>
      </c>
      <c r="F912" s="26" t="s">
        <v>111</v>
      </c>
      <c r="G912" s="10" t="str">
        <f aca="false" t="array" ref="G912:G912">INDEX(Profils!$D$5:$D$34,$AE912)&amp;" en "&amp;$E912</f>
        <v>Carquois en cuir</v>
      </c>
      <c r="H912" s="16" t="n">
        <f aca="false" t="array" ref="H912:H912">INDEX(Matériaux!$B$16:$B$20,$D912)</f>
        <v>15</v>
      </c>
      <c r="I912" s="16" t="n">
        <f aca="false">IF(ISNUMBER($C$3),MIN(MAX(0,ROUND($C$3,0)),$AI912),$AI912)</f>
        <v>0</v>
      </c>
      <c r="J912" s="18" t="n">
        <f aca="false">$H912+$I912</f>
        <v>15</v>
      </c>
      <c r="K912" s="15" t="s">
        <v>109</v>
      </c>
      <c r="L912" s="19" t="n">
        <f aca="false" t="array" ref="L912:L912">IF(AND(INDEX(Profils!$F$5:$F$34,$AE912)&gt;0,INDEX(Profils!$U$5:$U$34,$AE912)&lt;=$AH912),ROUND(INDEX(Profils!$F$5:$F$34,$AE912)*Paramètres!$E$22*$AG912*$AJ912,Paramètres!$F$22),0)</f>
        <v>0</v>
      </c>
      <c r="M912" s="19" t="n">
        <f aca="false" t="array" ref="M912:M912">IF(AND(INDEX(Profils!$G$5:$G$34,$AE912)&gt;0,INDEX(Profils!$V$5:$V$34,$AE912)&lt;=$AH912),ROUND(INDEX(Profils!$G$5:$G$34,$AE912)*Paramètres!$E$23*$AG912*$AJ912,Paramètres!$F$23),0)</f>
        <v>0</v>
      </c>
      <c r="N912" s="19" t="n">
        <f aca="false" t="array" ref="N912:N912">IF(AND(INDEX(Profils!$H$5:$H$34,$AE912)&gt;0,INDEX(Profils!$W$5:$W$34,$AE912)&lt;=$AH912),ROUND(INDEX(Profils!$H$5:$H$34,$AE912)*Paramètres!$E$24*$AG912*$AJ912,Paramètres!$F$24),0)</f>
        <v>0</v>
      </c>
      <c r="O912" s="19" t="n">
        <f aca="false" t="array" ref="O912:O912">IF(AND(INDEX(Profils!$I$5:$I$34,$AE912)&gt;0,INDEX(Profils!$X$5:$X$34,$AE912)&lt;=$AH912),ROUND(INDEX(Profils!$I$5:$I$34,$AE912)*Paramètres!$E$25*$AG912*$AJ912,Paramètres!$F$25),0)</f>
        <v>0</v>
      </c>
      <c r="P912" s="19" t="n">
        <f aca="false" t="array" ref="P912:P912">IF(AND(INDEX(Profils!$J$5:$J$34,$AE912)&gt;0,INDEX(Profils!$Y$5:$Y$34,$AE912)&lt;=$AH912),ROUND(INDEX(Profils!$J$5:$J$34,$AE912)*Paramètres!$E$26*$AG912*$AJ912,Paramètres!$F$26),0)</f>
        <v>3</v>
      </c>
      <c r="Q912" s="19" t="n">
        <f aca="false" t="array" ref="Q912:Q912">IF(AND(INDEX(Profils!$K$5:$K$34,$AE912)&gt;0,INDEX(Profils!$Z$5:$Z$34,$AE912)&lt;=$AH912),ROUND(INDEX(Profils!$K$5:$K$34,$AE912)*Paramètres!$E$27*$AG912*$AJ912,Paramètres!$F$27),0)</f>
        <v>0</v>
      </c>
      <c r="R912" s="20" t="n">
        <f aca="false" t="array" ref="R912:R912">IF(AND(INDEX(Profils!$L$5:$L$34,$AE912)&gt;0,INDEX(Profils!$AA$5:$AA$34,$AE912)&lt;=$AH912),ROUND(INDEX(Profils!$L$5:$L$34,$AE912)*Paramètres!$E$28*$AG912*$AJ912,Paramètres!$F$28),0)</f>
        <v>0.004</v>
      </c>
      <c r="S912" s="20" t="n">
        <f aca="false" t="array" ref="S912:S912">IF(AND(INDEX(Profils!$M$5:$M$34,$AE912)&gt;0,INDEX(Profils!$AB$5:$AB$34,$AE912)&lt;=$AH912),ROUND(INDEX(Profils!$M$5:$M$34,$AE912)*Paramètres!$E$29*$AG912*$AJ912,Paramètres!$F$29),0)</f>
        <v>0</v>
      </c>
      <c r="T912" s="20" t="n">
        <f aca="false" t="array" ref="T912:T912">IF(AND(INDEX(Profils!$N$5:$N$34,$AE912)&gt;0,INDEX(Profils!$AC$5:$AC$34,$AE912)&lt;=$AH912),ROUND(INDEX(Profils!$N$5:$N$34,$AE912)*Paramètres!$E$30*$AG912*$AJ912,Paramètres!$F$30),0)</f>
        <v>0.008</v>
      </c>
      <c r="U912" s="19" t="n">
        <f aca="false" t="array" ref="U912:U912">IF(AND(INDEX(Profils!$O$5:$O$34,$AE912)&gt;0,INDEX(Profils!$AD$5:$AD$34,$AE912)&lt;=$AH912),ROUND(INDEX(Profils!$O$5:$O$34,$AE912)*Paramètres!$E$31*$AG912*$AJ912,Paramètres!$F$31),0)</f>
        <v>0</v>
      </c>
      <c r="V912" s="20" t="n">
        <f aca="false" t="array" ref="V912:V912">IF(AND(INDEX(Profils!$P$5:$P$34,$AE912)&gt;0,INDEX(Profils!$AE$5:$AE$34,$AE912)&lt;=$AH912),ROUND(INDEX(Profils!$P$5:$P$34,$AE912)*Paramètres!$E$32*$AG912*$AJ912,Paramètres!$F$32),0)</f>
        <v>0</v>
      </c>
      <c r="W912" s="20" t="n">
        <f aca="false" t="array" ref="W912:W912">IF(AND(INDEX(Profils!$Q$5:$Q$34,$AE912)&gt;0,INDEX(Profils!$AF$5:$AF$34,$AE912)&lt;=$AH912),ROUND(INDEX(Profils!$Q$5:$Q$34,$AE912)*Paramètres!$E$33*$AG912*$AJ912,Paramètres!$F$33),0)</f>
        <v>0</v>
      </c>
      <c r="X912" s="20" t="n">
        <f aca="false" t="array" ref="X912:X912">IF(AND(INDEX(Profils!$R$5:$R$34,$AE912)&gt;0,INDEX(Profils!$AG$5:$AG$34,$AE912)&lt;=$AH912),ROUND(INDEX(Profils!$R$5:$R$34,$AE912)*Paramètres!$E$34*$AG912*$AJ912,Paramètres!$F$34),0)</f>
        <v>0</v>
      </c>
      <c r="Y912" s="20" t="n">
        <f aca="false" t="array" ref="Y912:Y912">IF(AND(INDEX(Profils!$S$5:$S$34,$AE912)&gt;0,INDEX(Profils!$AH$5:$AH$34,$AE912)&lt;=$AH912),ROUND(INDEX(Profils!$S$5:$S$34,$AE912)*Paramètres!$E$35*$AG912*$AJ912,Paramètres!$F$35),0)</f>
        <v>0</v>
      </c>
      <c r="Z912" s="21" t="n">
        <f aca="false">ROUND(L912/Paramètres!$E$22+M912/Paramètres!$E$23+N912/Paramètres!$E$24+O912/Paramètres!$E$25+P912/Paramètres!$E$26+Q912/Paramètres!$E$27+R912/Paramètres!$E$28+S912/Paramètres!$E$29+T912/Paramètres!$E$30+U912/Paramètres!$E$31+V912/Paramètres!$E$32+W912/Paramètres!$E$33+X912/Paramètres!$E$34+Y912/Paramètres!$E$35,1)</f>
        <v>0.8</v>
      </c>
      <c r="AA912" s="22" t="s">
        <v>109</v>
      </c>
      <c r="AB912" s="22" t="s">
        <v>109</v>
      </c>
      <c r="AC912" s="15" t="str">
        <f aca="false">$E912</f>
        <v>cuir</v>
      </c>
      <c r="AD912" s="16" t="n">
        <f aca="false" t="array" ref="AD912:AD912">IF($I912&gt;=$AI912,"Max",ROUND(Paramètres!$B$40*($I912+1)^Paramètres!$B$41*INDEX(Paramètres!$H$6:$H$12,$AF912),0))</f>
        <v>4</v>
      </c>
      <c r="AE912" s="23" t="n">
        <f aca="false">MATCH($B912&amp;"|"&amp;$C912,Profils!$A$5:$A$34,0)</f>
        <v>30</v>
      </c>
      <c r="AF912" s="23" t="n">
        <v>2</v>
      </c>
      <c r="AG912" s="24" t="n">
        <f aca="false" t="array" ref="AG912:AG912">INDEX(Paramètres!$C$6:$C$12,$AF912)</f>
        <v>1.2</v>
      </c>
      <c r="AH912" s="23" t="n">
        <f aca="false" t="array" ref="AH912:AH912">INDEX(Paramètres!$D$6:$D$12,$AF912)</f>
        <v>3</v>
      </c>
      <c r="AI912" s="23" t="n">
        <f aca="false" t="array" ref="AI912:AI912">INDEX(Matériaux!$C$16:$C$20,$D912)</f>
        <v>20</v>
      </c>
      <c r="AJ912" s="25" t="n">
        <f aca="false">Paramètres!$B$16+(1-Paramètres!$B$16)*(($J912-Paramètres!$B$14)/(Paramètres!$B$15-Paramètres!$B$14))^Paramètres!$B$17</f>
        <v>0.140847925475674</v>
      </c>
    </row>
    <row r="913" customFormat="false" ht="15.75" hidden="false" customHeight="true" outlineLevel="0" collapsed="false">
      <c r="A913" s="14" t="s">
        <v>1029</v>
      </c>
      <c r="B913" s="15" t="s">
        <v>31</v>
      </c>
      <c r="C913" s="15" t="s">
        <v>401</v>
      </c>
      <c r="D913" s="16" t="n">
        <v>2</v>
      </c>
      <c r="E913" s="15" t="str">
        <f aca="false" t="array" ref="E913:E913">INDEX(Matériaux!$B$5:$F$12,MATCH(INDEX(Profils!$E$5:$E$34,$AE913),Matériaux!$A$5:$A$12,0),$D913)</f>
        <v>cuir</v>
      </c>
      <c r="F913" s="27" t="s">
        <v>113</v>
      </c>
      <c r="G913" s="10" t="str">
        <f aca="false" t="array" ref="G913:G913">INDEX(Profils!$D$5:$D$34,$AE913)&amp;" en "&amp;$E913</f>
        <v>Carquois en cuir</v>
      </c>
      <c r="H913" s="16" t="n">
        <f aca="false" t="array" ref="H913:H913">INDEX(Matériaux!$B$16:$B$20,$D913)</f>
        <v>15</v>
      </c>
      <c r="I913" s="16" t="n">
        <f aca="false">IF(ISNUMBER($C$3),MIN(MAX(0,ROUND($C$3,0)),$AI913),$AI913)</f>
        <v>0</v>
      </c>
      <c r="J913" s="18" t="n">
        <f aca="false">$H913+$I913</f>
        <v>15</v>
      </c>
      <c r="K913" s="15" t="s">
        <v>109</v>
      </c>
      <c r="L913" s="19" t="n">
        <f aca="false" t="array" ref="L913:L913">IF(AND(INDEX(Profils!$F$5:$F$34,$AE913)&gt;0,INDEX(Profils!$U$5:$U$34,$AE913)&lt;=$AH913),ROUND(INDEX(Profils!$F$5:$F$34,$AE913)*Paramètres!$E$22*$AG913*$AJ913,Paramètres!$F$22),0)</f>
        <v>0</v>
      </c>
      <c r="M913" s="19" t="n">
        <f aca="false" t="array" ref="M913:M913">IF(AND(INDEX(Profils!$G$5:$G$34,$AE913)&gt;0,INDEX(Profils!$V$5:$V$34,$AE913)&lt;=$AH913),ROUND(INDEX(Profils!$G$5:$G$34,$AE913)*Paramètres!$E$23*$AG913*$AJ913,Paramètres!$F$23),0)</f>
        <v>0</v>
      </c>
      <c r="N913" s="19" t="n">
        <f aca="false" t="array" ref="N913:N913">IF(AND(INDEX(Profils!$H$5:$H$34,$AE913)&gt;0,INDEX(Profils!$W$5:$W$34,$AE913)&lt;=$AH913),ROUND(INDEX(Profils!$H$5:$H$34,$AE913)*Paramètres!$E$24*$AG913*$AJ913,Paramètres!$F$24),0)</f>
        <v>0</v>
      </c>
      <c r="O913" s="19" t="n">
        <f aca="false" t="array" ref="O913:O913">IF(AND(INDEX(Profils!$I$5:$I$34,$AE913)&gt;0,INDEX(Profils!$X$5:$X$34,$AE913)&lt;=$AH913),ROUND(INDEX(Profils!$I$5:$I$34,$AE913)*Paramètres!$E$25*$AG913*$AJ913,Paramètres!$F$25),0)</f>
        <v>0</v>
      </c>
      <c r="P913" s="19" t="n">
        <f aca="false" t="array" ref="P913:P913">IF(AND(INDEX(Profils!$J$5:$J$34,$AE913)&gt;0,INDEX(Profils!$Y$5:$Y$34,$AE913)&lt;=$AH913),ROUND(INDEX(Profils!$J$5:$J$34,$AE913)*Paramètres!$E$26*$AG913*$AJ913,Paramètres!$F$26),0)</f>
        <v>3</v>
      </c>
      <c r="Q913" s="19" t="n">
        <f aca="false" t="array" ref="Q913:Q913">IF(AND(INDEX(Profils!$K$5:$K$34,$AE913)&gt;0,INDEX(Profils!$Z$5:$Z$34,$AE913)&lt;=$AH913),ROUND(INDEX(Profils!$K$5:$K$34,$AE913)*Paramètres!$E$27*$AG913*$AJ913,Paramètres!$F$27),0)</f>
        <v>0</v>
      </c>
      <c r="R913" s="20" t="n">
        <f aca="false" t="array" ref="R913:R913">IF(AND(INDEX(Profils!$L$5:$L$34,$AE913)&gt;0,INDEX(Profils!$AA$5:$AA$34,$AE913)&lt;=$AH913),ROUND(INDEX(Profils!$L$5:$L$34,$AE913)*Paramètres!$E$28*$AG913*$AJ913,Paramètres!$F$28),0)</f>
        <v>0.005</v>
      </c>
      <c r="S913" s="20" t="n">
        <f aca="false" t="array" ref="S913:S913">IF(AND(INDEX(Profils!$M$5:$M$34,$AE913)&gt;0,INDEX(Profils!$AB$5:$AB$34,$AE913)&lt;=$AH913),ROUND(INDEX(Profils!$M$5:$M$34,$AE913)*Paramètres!$E$29*$AG913*$AJ913,Paramètres!$F$29),0)</f>
        <v>0.003</v>
      </c>
      <c r="T913" s="20" t="n">
        <f aca="false" t="array" ref="T913:T913">IF(AND(INDEX(Profils!$N$5:$N$34,$AE913)&gt;0,INDEX(Profils!$AC$5:$AC$34,$AE913)&lt;=$AH913),ROUND(INDEX(Profils!$N$5:$N$34,$AE913)*Paramètres!$E$30*$AG913*$AJ913,Paramètres!$F$30),0)</f>
        <v>0.01</v>
      </c>
      <c r="U913" s="19" t="n">
        <f aca="false" t="array" ref="U913:U913">IF(AND(INDEX(Profils!$O$5:$O$34,$AE913)&gt;0,INDEX(Profils!$AD$5:$AD$34,$AE913)&lt;=$AH913),ROUND(INDEX(Profils!$O$5:$O$34,$AE913)*Paramètres!$E$31*$AG913*$AJ913,Paramètres!$F$31),0)</f>
        <v>0</v>
      </c>
      <c r="V913" s="20" t="n">
        <f aca="false" t="array" ref="V913:V913">IF(AND(INDEX(Profils!$P$5:$P$34,$AE913)&gt;0,INDEX(Profils!$AE$5:$AE$34,$AE913)&lt;=$AH913),ROUND(INDEX(Profils!$P$5:$P$34,$AE913)*Paramètres!$E$32*$AG913*$AJ913,Paramètres!$F$32),0)</f>
        <v>0</v>
      </c>
      <c r="W913" s="20" t="n">
        <f aca="false" t="array" ref="W913:W913">IF(AND(INDEX(Profils!$Q$5:$Q$34,$AE913)&gt;0,INDEX(Profils!$AF$5:$AF$34,$AE913)&lt;=$AH913),ROUND(INDEX(Profils!$Q$5:$Q$34,$AE913)*Paramètres!$E$33*$AG913*$AJ913,Paramètres!$F$33),0)</f>
        <v>0</v>
      </c>
      <c r="X913" s="20" t="n">
        <f aca="false" t="array" ref="X913:X913">IF(AND(INDEX(Profils!$R$5:$R$34,$AE913)&gt;0,INDEX(Profils!$AG$5:$AG$34,$AE913)&lt;=$AH913),ROUND(INDEX(Profils!$R$5:$R$34,$AE913)*Paramètres!$E$34*$AG913*$AJ913,Paramètres!$F$34),0)</f>
        <v>0</v>
      </c>
      <c r="Y913" s="20" t="n">
        <f aca="false" t="array" ref="Y913:Y913">IF(AND(INDEX(Profils!$S$5:$S$34,$AE913)&gt;0,INDEX(Profils!$AH$5:$AH$34,$AE913)&lt;=$AH913),ROUND(INDEX(Profils!$S$5:$S$34,$AE913)*Paramètres!$E$35*$AG913*$AJ913,Paramètres!$F$35),0)</f>
        <v>0</v>
      </c>
      <c r="Z913" s="21" t="n">
        <f aca="false">ROUND(L913/Paramètres!$E$22+M913/Paramètres!$E$23+N913/Paramètres!$E$24+O913/Paramètres!$E$25+P913/Paramètres!$E$26+Q913/Paramètres!$E$27+R913/Paramètres!$E$28+S913/Paramètres!$E$29+T913/Paramètres!$E$30+U913/Paramètres!$E$31+V913/Paramètres!$E$32+W913/Paramètres!$E$33+X913/Paramètres!$E$34+Y913/Paramètres!$E$35,1)</f>
        <v>1.2</v>
      </c>
      <c r="AA913" s="22" t="s">
        <v>109</v>
      </c>
      <c r="AB913" s="22" t="s">
        <v>109</v>
      </c>
      <c r="AC913" s="15" t="str">
        <f aca="false">$E913</f>
        <v>cuir</v>
      </c>
      <c r="AD913" s="16" t="n">
        <f aca="false" t="array" ref="AD913:AD913">IF($I913&gt;=$AI913,"Max",ROUND(Paramètres!$B$40*($I913+1)^Paramètres!$B$41*INDEX(Paramètres!$H$6:$H$12,$AF913),0))</f>
        <v>4</v>
      </c>
      <c r="AE913" s="23" t="n">
        <f aca="false">MATCH($B913&amp;"|"&amp;$C913,Profils!$A$5:$A$34,0)</f>
        <v>30</v>
      </c>
      <c r="AF913" s="23" t="n">
        <v>3</v>
      </c>
      <c r="AG913" s="24" t="n">
        <f aca="false" t="array" ref="AG913:AG913">INDEX(Paramètres!$C$6:$C$12,$AF913)</f>
        <v>1.45</v>
      </c>
      <c r="AH913" s="23" t="n">
        <f aca="false" t="array" ref="AH913:AH913">INDEX(Paramètres!$D$6:$D$12,$AF913)</f>
        <v>4</v>
      </c>
      <c r="AI913" s="23" t="n">
        <f aca="false" t="array" ref="AI913:AI913">INDEX(Matériaux!$C$16:$C$20,$D913)</f>
        <v>20</v>
      </c>
      <c r="AJ913" s="25" t="n">
        <f aca="false">Paramètres!$B$16+(1-Paramètres!$B$16)*(($J913-Paramètres!$B$14)/(Paramètres!$B$15-Paramètres!$B$14))^Paramètres!$B$17</f>
        <v>0.140847925475674</v>
      </c>
    </row>
    <row r="914" customFormat="false" ht="15.75" hidden="false" customHeight="true" outlineLevel="0" collapsed="false">
      <c r="A914" s="14" t="s">
        <v>1030</v>
      </c>
      <c r="B914" s="15" t="s">
        <v>31</v>
      </c>
      <c r="C914" s="15" t="s">
        <v>401</v>
      </c>
      <c r="D914" s="16" t="n">
        <v>2</v>
      </c>
      <c r="E914" s="15" t="str">
        <f aca="false" t="array" ref="E914:E914">INDEX(Matériaux!$B$5:$F$12,MATCH(INDEX(Profils!$E$5:$E$34,$AE914),Matériaux!$A$5:$A$12,0),$D914)</f>
        <v>cuir</v>
      </c>
      <c r="F914" s="28" t="s">
        <v>115</v>
      </c>
      <c r="G914" s="10" t="str">
        <f aca="false" t="array" ref="G914:G914">INDEX(Profils!$D$5:$D$34,$AE914)&amp;" en "&amp;$E914</f>
        <v>Carquois en cuir</v>
      </c>
      <c r="H914" s="16" t="n">
        <f aca="false" t="array" ref="H914:H914">INDEX(Matériaux!$B$16:$B$20,$D914)</f>
        <v>15</v>
      </c>
      <c r="I914" s="16" t="n">
        <f aca="false">IF(ISNUMBER($C$3),MIN(MAX(0,ROUND($C$3,0)),$AI914),$AI914)</f>
        <v>0</v>
      </c>
      <c r="J914" s="18" t="n">
        <f aca="false">$H914+$I914</f>
        <v>15</v>
      </c>
      <c r="K914" s="15" t="s">
        <v>109</v>
      </c>
      <c r="L914" s="19" t="n">
        <f aca="false" t="array" ref="L914:L914">IF(AND(INDEX(Profils!$F$5:$F$34,$AE914)&gt;0,INDEX(Profils!$U$5:$U$34,$AE914)&lt;=$AH914),ROUND(INDEX(Profils!$F$5:$F$34,$AE914)*Paramètres!$E$22*$AG914*$AJ914,Paramètres!$F$22),0)</f>
        <v>0</v>
      </c>
      <c r="M914" s="19" t="n">
        <f aca="false" t="array" ref="M914:M914">IF(AND(INDEX(Profils!$G$5:$G$34,$AE914)&gt;0,INDEX(Profils!$V$5:$V$34,$AE914)&lt;=$AH914),ROUND(INDEX(Profils!$G$5:$G$34,$AE914)*Paramètres!$E$23*$AG914*$AJ914,Paramètres!$F$23),0)</f>
        <v>0</v>
      </c>
      <c r="N914" s="19" t="n">
        <f aca="false" t="array" ref="N914:N914">IF(AND(INDEX(Profils!$H$5:$H$34,$AE914)&gt;0,INDEX(Profils!$W$5:$W$34,$AE914)&lt;=$AH914),ROUND(INDEX(Profils!$H$5:$H$34,$AE914)*Paramètres!$E$24*$AG914*$AJ914,Paramètres!$F$24),0)</f>
        <v>0</v>
      </c>
      <c r="O914" s="19" t="n">
        <f aca="false" t="array" ref="O914:O914">IF(AND(INDEX(Profils!$I$5:$I$34,$AE914)&gt;0,INDEX(Profils!$X$5:$X$34,$AE914)&lt;=$AH914),ROUND(INDEX(Profils!$I$5:$I$34,$AE914)*Paramètres!$E$25*$AG914*$AJ914,Paramètres!$F$25),0)</f>
        <v>0</v>
      </c>
      <c r="P914" s="19" t="n">
        <f aca="false" t="array" ref="P914:P914">IF(AND(INDEX(Profils!$J$5:$J$34,$AE914)&gt;0,INDEX(Profils!$Y$5:$Y$34,$AE914)&lt;=$AH914),ROUND(INDEX(Profils!$J$5:$J$34,$AE914)*Paramètres!$E$26*$AG914*$AJ914,Paramètres!$F$26),0)</f>
        <v>4</v>
      </c>
      <c r="Q914" s="19" t="n">
        <f aca="false" t="array" ref="Q914:Q914">IF(AND(INDEX(Profils!$K$5:$K$34,$AE914)&gt;0,INDEX(Profils!$Z$5:$Z$34,$AE914)&lt;=$AH914),ROUND(INDEX(Profils!$K$5:$K$34,$AE914)*Paramètres!$E$27*$AG914*$AJ914,Paramètres!$F$27),0)</f>
        <v>0</v>
      </c>
      <c r="R914" s="20" t="n">
        <f aca="false" t="array" ref="R914:R914">IF(AND(INDEX(Profils!$L$5:$L$34,$AE914)&gt;0,INDEX(Profils!$AA$5:$AA$34,$AE914)&lt;=$AH914),ROUND(INDEX(Profils!$L$5:$L$34,$AE914)*Paramètres!$E$28*$AG914*$AJ914,Paramètres!$F$28),0)</f>
        <v>0.006</v>
      </c>
      <c r="S914" s="20" t="n">
        <f aca="false" t="array" ref="S914:S914">IF(AND(INDEX(Profils!$M$5:$M$34,$AE914)&gt;0,INDEX(Profils!$AB$5:$AB$34,$AE914)&lt;=$AH914),ROUND(INDEX(Profils!$M$5:$M$34,$AE914)*Paramètres!$E$29*$AG914*$AJ914,Paramètres!$F$29),0)</f>
        <v>0.004</v>
      </c>
      <c r="T914" s="20" t="n">
        <f aca="false" t="array" ref="T914:T914">IF(AND(INDEX(Profils!$N$5:$N$34,$AE914)&gt;0,INDEX(Profils!$AC$5:$AC$34,$AE914)&lt;=$AH914),ROUND(INDEX(Profils!$N$5:$N$34,$AE914)*Paramètres!$E$30*$AG914*$AJ914,Paramètres!$F$30),0)</f>
        <v>0.012</v>
      </c>
      <c r="U914" s="19" t="n">
        <f aca="false" t="array" ref="U914:U914">IF(AND(INDEX(Profils!$O$5:$O$34,$AE914)&gt;0,INDEX(Profils!$AD$5:$AD$34,$AE914)&lt;=$AH914),ROUND(INDEX(Profils!$O$5:$O$34,$AE914)*Paramètres!$E$31*$AG914*$AJ914,Paramètres!$F$31),0)</f>
        <v>0</v>
      </c>
      <c r="V914" s="20" t="n">
        <f aca="false" t="array" ref="V914:V914">IF(AND(INDEX(Profils!$P$5:$P$34,$AE914)&gt;0,INDEX(Profils!$AE$5:$AE$34,$AE914)&lt;=$AH914),ROUND(INDEX(Profils!$P$5:$P$34,$AE914)*Paramètres!$E$32*$AG914*$AJ914,Paramètres!$F$32),0)</f>
        <v>0.005</v>
      </c>
      <c r="W914" s="20" t="n">
        <f aca="false" t="array" ref="W914:W914">IF(AND(INDEX(Profils!$Q$5:$Q$34,$AE914)&gt;0,INDEX(Profils!$AF$5:$AF$34,$AE914)&lt;=$AH914),ROUND(INDEX(Profils!$Q$5:$Q$34,$AE914)*Paramètres!$E$33*$AG914*$AJ914,Paramètres!$F$33),0)</f>
        <v>0</v>
      </c>
      <c r="X914" s="20" t="n">
        <f aca="false" t="array" ref="X914:X914">IF(AND(INDEX(Profils!$R$5:$R$34,$AE914)&gt;0,INDEX(Profils!$AG$5:$AG$34,$AE914)&lt;=$AH914),ROUND(INDEX(Profils!$R$5:$R$34,$AE914)*Paramètres!$E$34*$AG914*$AJ914,Paramètres!$F$34),0)</f>
        <v>0</v>
      </c>
      <c r="Y914" s="20" t="n">
        <f aca="false" t="array" ref="Y914:Y914">IF(AND(INDEX(Profils!$S$5:$S$34,$AE914)&gt;0,INDEX(Profils!$AH$5:$AH$34,$AE914)&lt;=$AH914),ROUND(INDEX(Profils!$S$5:$S$34,$AE914)*Paramètres!$E$35*$AG914*$AJ914,Paramètres!$F$35),0)</f>
        <v>0</v>
      </c>
      <c r="Z914" s="21" t="n">
        <f aca="false">ROUND(L914/Paramètres!$E$22+M914/Paramètres!$E$23+N914/Paramètres!$E$24+O914/Paramètres!$E$25+P914/Paramètres!$E$26+Q914/Paramètres!$E$27+R914/Paramètres!$E$28+S914/Paramètres!$E$29+T914/Paramètres!$E$30+U914/Paramètres!$E$31+V914/Paramètres!$E$32+W914/Paramètres!$E$33+X914/Paramètres!$E$34+Y914/Paramètres!$E$35,1)</f>
        <v>1.8</v>
      </c>
      <c r="AA914" s="22" t="s">
        <v>109</v>
      </c>
      <c r="AB914" s="22" t="s">
        <v>109</v>
      </c>
      <c r="AC914" s="15" t="str">
        <f aca="false">$E914</f>
        <v>cuir</v>
      </c>
      <c r="AD914" s="16" t="n">
        <f aca="false" t="array" ref="AD914:AD914">IF($I914&gt;=$AI914,"Max",ROUND(Paramètres!$B$40*($I914+1)^Paramètres!$B$41*INDEX(Paramètres!$H$6:$H$12,$AF914),0))</f>
        <v>5</v>
      </c>
      <c r="AE914" s="23" t="n">
        <f aca="false">MATCH($B914&amp;"|"&amp;$C914,Profils!$A$5:$A$34,0)</f>
        <v>30</v>
      </c>
      <c r="AF914" s="23" t="n">
        <v>4</v>
      </c>
      <c r="AG914" s="24" t="n">
        <f aca="false" t="array" ref="AG914:AG914">INDEX(Paramètres!$C$6:$C$12,$AF914)</f>
        <v>1.75</v>
      </c>
      <c r="AH914" s="23" t="n">
        <f aca="false" t="array" ref="AH914:AH914">INDEX(Paramètres!$D$6:$D$12,$AF914)</f>
        <v>5</v>
      </c>
      <c r="AI914" s="23" t="n">
        <f aca="false" t="array" ref="AI914:AI914">INDEX(Matériaux!$C$16:$C$20,$D914)</f>
        <v>20</v>
      </c>
      <c r="AJ914" s="25" t="n">
        <f aca="false">Paramètres!$B$16+(1-Paramètres!$B$16)*(($J914-Paramètres!$B$14)/(Paramètres!$B$15-Paramètres!$B$14))^Paramètres!$B$17</f>
        <v>0.140847925475674</v>
      </c>
    </row>
    <row r="915" customFormat="false" ht="15.75" hidden="false" customHeight="true" outlineLevel="0" collapsed="false">
      <c r="A915" s="14" t="s">
        <v>1031</v>
      </c>
      <c r="B915" s="15" t="s">
        <v>31</v>
      </c>
      <c r="C915" s="15" t="s">
        <v>401</v>
      </c>
      <c r="D915" s="16" t="n">
        <v>2</v>
      </c>
      <c r="E915" s="15" t="str">
        <f aca="false" t="array" ref="E915:E915">INDEX(Matériaux!$B$5:$F$12,MATCH(INDEX(Profils!$E$5:$E$34,$AE915),Matériaux!$A$5:$A$12,0),$D915)</f>
        <v>cuir</v>
      </c>
      <c r="F915" s="29" t="s">
        <v>117</v>
      </c>
      <c r="G915" s="10" t="str">
        <f aca="false" t="array" ref="G915:G915">INDEX(Profils!$D$5:$D$34,$AE915)&amp;" en "&amp;$E915</f>
        <v>Carquois en cuir</v>
      </c>
      <c r="H915" s="16" t="n">
        <f aca="false" t="array" ref="H915:H915">INDEX(Matériaux!$B$16:$B$20,$D915)</f>
        <v>15</v>
      </c>
      <c r="I915" s="16" t="n">
        <f aca="false">IF(ISNUMBER($C$3),MIN(MAX(0,ROUND($C$3,0)),$AI915),$AI915)</f>
        <v>0</v>
      </c>
      <c r="J915" s="18" t="n">
        <f aca="false">$H915+$I915</f>
        <v>15</v>
      </c>
      <c r="K915" s="15" t="s">
        <v>109</v>
      </c>
      <c r="L915" s="19" t="n">
        <f aca="false" t="array" ref="L915:L915">IF(AND(INDEX(Profils!$F$5:$F$34,$AE915)&gt;0,INDEX(Profils!$U$5:$U$34,$AE915)&lt;=$AH915),ROUND(INDEX(Profils!$F$5:$F$34,$AE915)*Paramètres!$E$22*$AG915*$AJ915,Paramètres!$F$22),0)</f>
        <v>0</v>
      </c>
      <c r="M915" s="19" t="n">
        <f aca="false" t="array" ref="M915:M915">IF(AND(INDEX(Profils!$G$5:$G$34,$AE915)&gt;0,INDEX(Profils!$V$5:$V$34,$AE915)&lt;=$AH915),ROUND(INDEX(Profils!$G$5:$G$34,$AE915)*Paramètres!$E$23*$AG915*$AJ915,Paramètres!$F$23),0)</f>
        <v>0</v>
      </c>
      <c r="N915" s="19" t="n">
        <f aca="false" t="array" ref="N915:N915">IF(AND(INDEX(Profils!$H$5:$H$34,$AE915)&gt;0,INDEX(Profils!$W$5:$W$34,$AE915)&lt;=$AH915),ROUND(INDEX(Profils!$H$5:$H$34,$AE915)*Paramètres!$E$24*$AG915*$AJ915,Paramètres!$F$24),0)</f>
        <v>0</v>
      </c>
      <c r="O915" s="19" t="n">
        <f aca="false" t="array" ref="O915:O915">IF(AND(INDEX(Profils!$I$5:$I$34,$AE915)&gt;0,INDEX(Profils!$X$5:$X$34,$AE915)&lt;=$AH915),ROUND(INDEX(Profils!$I$5:$I$34,$AE915)*Paramètres!$E$25*$AG915*$AJ915,Paramètres!$F$25),0)</f>
        <v>0</v>
      </c>
      <c r="P915" s="19" t="n">
        <f aca="false" t="array" ref="P915:P915">IF(AND(INDEX(Profils!$J$5:$J$34,$AE915)&gt;0,INDEX(Profils!$Y$5:$Y$34,$AE915)&lt;=$AH915),ROUND(INDEX(Profils!$J$5:$J$34,$AE915)*Paramètres!$E$26*$AG915*$AJ915,Paramètres!$F$26),0)</f>
        <v>5</v>
      </c>
      <c r="Q915" s="19" t="n">
        <f aca="false" t="array" ref="Q915:Q915">IF(AND(INDEX(Profils!$K$5:$K$34,$AE915)&gt;0,INDEX(Profils!$Z$5:$Z$34,$AE915)&lt;=$AH915),ROUND(INDEX(Profils!$K$5:$K$34,$AE915)*Paramètres!$E$27*$AG915*$AJ915,Paramètres!$F$27),0)</f>
        <v>3</v>
      </c>
      <c r="R915" s="20" t="n">
        <f aca="false" t="array" ref="R915:R915">IF(AND(INDEX(Profils!$L$5:$L$34,$AE915)&gt;0,INDEX(Profils!$AA$5:$AA$34,$AE915)&lt;=$AH915),ROUND(INDEX(Profils!$L$5:$L$34,$AE915)*Paramètres!$E$28*$AG915*$AJ915,Paramètres!$F$28),0)</f>
        <v>0.007</v>
      </c>
      <c r="S915" s="20" t="n">
        <f aca="false" t="array" ref="S915:S915">IF(AND(INDEX(Profils!$M$5:$M$34,$AE915)&gt;0,INDEX(Profils!$AB$5:$AB$34,$AE915)&lt;=$AH915),ROUND(INDEX(Profils!$M$5:$M$34,$AE915)*Paramètres!$E$29*$AG915*$AJ915,Paramètres!$F$29),0)</f>
        <v>0.005</v>
      </c>
      <c r="T915" s="20" t="n">
        <f aca="false" t="array" ref="T915:T915">IF(AND(INDEX(Profils!$N$5:$N$34,$AE915)&gt;0,INDEX(Profils!$AC$5:$AC$34,$AE915)&lt;=$AH915),ROUND(INDEX(Profils!$N$5:$N$34,$AE915)*Paramètres!$E$30*$AG915*$AJ915,Paramètres!$F$30),0)</f>
        <v>0.014</v>
      </c>
      <c r="U915" s="19" t="n">
        <f aca="false" t="array" ref="U915:U915">IF(AND(INDEX(Profils!$O$5:$O$34,$AE915)&gt;0,INDEX(Profils!$AD$5:$AD$34,$AE915)&lt;=$AH915),ROUND(INDEX(Profils!$O$5:$O$34,$AE915)*Paramètres!$E$31*$AG915*$AJ915,Paramètres!$F$31),0)</f>
        <v>0</v>
      </c>
      <c r="V915" s="20" t="n">
        <f aca="false" t="array" ref="V915:V915">IF(AND(INDEX(Profils!$P$5:$P$34,$AE915)&gt;0,INDEX(Profils!$AE$5:$AE$34,$AE915)&lt;=$AH915),ROUND(INDEX(Profils!$P$5:$P$34,$AE915)*Paramètres!$E$32*$AG915*$AJ915,Paramètres!$F$32),0)</f>
        <v>0.006</v>
      </c>
      <c r="W915" s="20" t="n">
        <f aca="false" t="array" ref="W915:W915">IF(AND(INDEX(Profils!$Q$5:$Q$34,$AE915)&gt;0,INDEX(Profils!$AF$5:$AF$34,$AE915)&lt;=$AH915),ROUND(INDEX(Profils!$Q$5:$Q$34,$AE915)*Paramètres!$E$33*$AG915*$AJ915,Paramètres!$F$33),0)</f>
        <v>0</v>
      </c>
      <c r="X915" s="20" t="n">
        <f aca="false" t="array" ref="X915:X915">IF(AND(INDEX(Profils!$R$5:$R$34,$AE915)&gt;0,INDEX(Profils!$AG$5:$AG$34,$AE915)&lt;=$AH915),ROUND(INDEX(Profils!$R$5:$R$34,$AE915)*Paramètres!$E$34*$AG915*$AJ915,Paramètres!$F$34),0)</f>
        <v>0</v>
      </c>
      <c r="Y915" s="20" t="n">
        <f aca="false" t="array" ref="Y915:Y915">IF(AND(INDEX(Profils!$S$5:$S$34,$AE915)&gt;0,INDEX(Profils!$AH$5:$AH$34,$AE915)&lt;=$AH915),ROUND(INDEX(Profils!$S$5:$S$34,$AE915)*Paramètres!$E$35*$AG915*$AJ915,Paramètres!$F$35),0)</f>
        <v>0</v>
      </c>
      <c r="Z915" s="21" t="n">
        <f aca="false">ROUND(L915/Paramètres!$E$22+M915/Paramètres!$E$23+N915/Paramètres!$E$24+O915/Paramètres!$E$25+P915/Paramètres!$E$26+Q915/Paramètres!$E$27+R915/Paramètres!$E$28+S915/Paramètres!$E$29+T915/Paramètres!$E$30+U915/Paramètres!$E$31+V915/Paramètres!$E$32+W915/Paramètres!$E$33+X915/Paramètres!$E$34+Y915/Paramètres!$E$35,1)</f>
        <v>2.5</v>
      </c>
      <c r="AA915" s="22" t="s">
        <v>109</v>
      </c>
      <c r="AB915" s="22" t="s">
        <v>109</v>
      </c>
      <c r="AC915" s="15" t="str">
        <f aca="false">$E915</f>
        <v>cuir</v>
      </c>
      <c r="AD915" s="16" t="n">
        <f aca="false" t="array" ref="AD915:AD915">IF($I915&gt;=$AI915,"Max",ROUND(Paramètres!$B$40*($I915+1)^Paramètres!$B$41*INDEX(Paramètres!$H$6:$H$12,$AF915),0))</f>
        <v>6</v>
      </c>
      <c r="AE915" s="23" t="n">
        <f aca="false">MATCH($B915&amp;"|"&amp;$C915,Profils!$A$5:$A$34,0)</f>
        <v>30</v>
      </c>
      <c r="AF915" s="23" t="n">
        <v>5</v>
      </c>
      <c r="AG915" s="24" t="n">
        <f aca="false" t="array" ref="AG915:AG915">INDEX(Paramètres!$C$6:$C$12,$AF915)</f>
        <v>2.1</v>
      </c>
      <c r="AH915" s="23" t="n">
        <f aca="false" t="array" ref="AH915:AH915">INDEX(Paramètres!$D$6:$D$12,$AF915)</f>
        <v>6</v>
      </c>
      <c r="AI915" s="23" t="n">
        <f aca="false" t="array" ref="AI915:AI915">INDEX(Matériaux!$C$16:$C$20,$D915)</f>
        <v>20</v>
      </c>
      <c r="AJ915" s="25" t="n">
        <f aca="false">Paramètres!$B$16+(1-Paramètres!$B$16)*(($J915-Paramètres!$B$14)/(Paramètres!$B$15-Paramètres!$B$14))^Paramètres!$B$17</f>
        <v>0.140847925475674</v>
      </c>
    </row>
    <row r="916" customFormat="false" ht="15.75" hidden="false" customHeight="true" outlineLevel="0" collapsed="false">
      <c r="A916" s="14" t="s">
        <v>1032</v>
      </c>
      <c r="B916" s="15" t="s">
        <v>31</v>
      </c>
      <c r="C916" s="15" t="s">
        <v>401</v>
      </c>
      <c r="D916" s="16" t="n">
        <v>2</v>
      </c>
      <c r="E916" s="15" t="str">
        <f aca="false" t="array" ref="E916:E916">INDEX(Matériaux!$B$5:$F$12,MATCH(INDEX(Profils!$E$5:$E$34,$AE916),Matériaux!$A$5:$A$12,0),$D916)</f>
        <v>cuir</v>
      </c>
      <c r="F916" s="30" t="s">
        <v>119</v>
      </c>
      <c r="G916" s="10" t="str">
        <f aca="false" t="array" ref="G916:G916">INDEX(Profils!$D$5:$D$34,$AE916)&amp;" en "&amp;$E916</f>
        <v>Carquois en cuir</v>
      </c>
      <c r="H916" s="16" t="n">
        <f aca="false" t="array" ref="H916:H916">INDEX(Matériaux!$B$16:$B$20,$D916)</f>
        <v>15</v>
      </c>
      <c r="I916" s="16" t="n">
        <f aca="false">IF(ISNUMBER($C$3),MIN(MAX(0,ROUND($C$3,0)),$AI916),$AI916)</f>
        <v>0</v>
      </c>
      <c r="J916" s="18" t="n">
        <f aca="false">$H916+$I916</f>
        <v>15</v>
      </c>
      <c r="K916" s="15" t="s">
        <v>109</v>
      </c>
      <c r="L916" s="19" t="n">
        <f aca="false" t="array" ref="L916:L916">IF(AND(INDEX(Profils!$F$5:$F$34,$AE916)&gt;0,INDEX(Profils!$U$5:$U$34,$AE916)&lt;=$AH916),ROUND(INDEX(Profils!$F$5:$F$34,$AE916)*Paramètres!$E$22*$AG916*$AJ916,Paramètres!$F$22),0)</f>
        <v>0</v>
      </c>
      <c r="M916" s="19" t="n">
        <f aca="false" t="array" ref="M916:M916">IF(AND(INDEX(Profils!$G$5:$G$34,$AE916)&gt;0,INDEX(Profils!$V$5:$V$34,$AE916)&lt;=$AH916),ROUND(INDEX(Profils!$G$5:$G$34,$AE916)*Paramètres!$E$23*$AG916*$AJ916,Paramètres!$F$23),0)</f>
        <v>5</v>
      </c>
      <c r="N916" s="19" t="n">
        <f aca="false" t="array" ref="N916:N916">IF(AND(INDEX(Profils!$H$5:$H$34,$AE916)&gt;0,INDEX(Profils!$W$5:$W$34,$AE916)&lt;=$AH916),ROUND(INDEX(Profils!$H$5:$H$34,$AE916)*Paramètres!$E$24*$AG916*$AJ916,Paramètres!$F$24),0)</f>
        <v>0</v>
      </c>
      <c r="O916" s="19" t="n">
        <f aca="false" t="array" ref="O916:O916">IF(AND(INDEX(Profils!$I$5:$I$34,$AE916)&gt;0,INDEX(Profils!$X$5:$X$34,$AE916)&lt;=$AH916),ROUND(INDEX(Profils!$I$5:$I$34,$AE916)*Paramètres!$E$25*$AG916*$AJ916,Paramètres!$F$25),0)</f>
        <v>0</v>
      </c>
      <c r="P916" s="19" t="n">
        <f aca="false" t="array" ref="P916:P916">IF(AND(INDEX(Profils!$J$5:$J$34,$AE916)&gt;0,INDEX(Profils!$Y$5:$Y$34,$AE916)&lt;=$AH916),ROUND(INDEX(Profils!$J$5:$J$34,$AE916)*Paramètres!$E$26*$AG916*$AJ916,Paramètres!$F$26),0)</f>
        <v>6</v>
      </c>
      <c r="Q916" s="19" t="n">
        <f aca="false" t="array" ref="Q916:Q916">IF(AND(INDEX(Profils!$K$5:$K$34,$AE916)&gt;0,INDEX(Profils!$Z$5:$Z$34,$AE916)&lt;=$AH916),ROUND(INDEX(Profils!$K$5:$K$34,$AE916)*Paramètres!$E$27*$AG916*$AJ916,Paramètres!$F$27),0)</f>
        <v>3</v>
      </c>
      <c r="R916" s="20" t="n">
        <f aca="false" t="array" ref="R916:R916">IF(AND(INDEX(Profils!$L$5:$L$34,$AE916)&gt;0,INDEX(Profils!$AA$5:$AA$34,$AE916)&lt;=$AH916),ROUND(INDEX(Profils!$L$5:$L$34,$AE916)*Paramètres!$E$28*$AG916*$AJ916,Paramètres!$F$28),0)</f>
        <v>0.008</v>
      </c>
      <c r="S916" s="20" t="n">
        <f aca="false" t="array" ref="S916:S916">IF(AND(INDEX(Profils!$M$5:$M$34,$AE916)&gt;0,INDEX(Profils!$AB$5:$AB$34,$AE916)&lt;=$AH916),ROUND(INDEX(Profils!$M$5:$M$34,$AE916)*Paramètres!$E$29*$AG916*$AJ916,Paramètres!$F$29),0)</f>
        <v>0.006</v>
      </c>
      <c r="T916" s="20" t="n">
        <f aca="false" t="array" ref="T916:T916">IF(AND(INDEX(Profils!$N$5:$N$34,$AE916)&gt;0,INDEX(Profils!$AC$5:$AC$34,$AE916)&lt;=$AH916),ROUND(INDEX(Profils!$N$5:$N$34,$AE916)*Paramètres!$E$30*$AG916*$AJ916,Paramètres!$F$30),0)</f>
        <v>0.016</v>
      </c>
      <c r="U916" s="19" t="n">
        <f aca="false" t="array" ref="U916:U916">IF(AND(INDEX(Profils!$O$5:$O$34,$AE916)&gt;0,INDEX(Profils!$AD$5:$AD$34,$AE916)&lt;=$AH916),ROUND(INDEX(Profils!$O$5:$O$34,$AE916)*Paramètres!$E$31*$AG916*$AJ916,Paramètres!$F$31),0)</f>
        <v>0</v>
      </c>
      <c r="V916" s="20" t="n">
        <f aca="false" t="array" ref="V916:V916">IF(AND(INDEX(Profils!$P$5:$P$34,$AE916)&gt;0,INDEX(Profils!$AE$5:$AE$34,$AE916)&lt;=$AH916),ROUND(INDEX(Profils!$P$5:$P$34,$AE916)*Paramètres!$E$32*$AG916*$AJ916,Paramètres!$F$32),0)</f>
        <v>0.007</v>
      </c>
      <c r="W916" s="20" t="n">
        <f aca="false" t="array" ref="W916:W916">IF(AND(INDEX(Profils!$Q$5:$Q$34,$AE916)&gt;0,INDEX(Profils!$AF$5:$AF$34,$AE916)&lt;=$AH916),ROUND(INDEX(Profils!$Q$5:$Q$34,$AE916)*Paramètres!$E$33*$AG916*$AJ916,Paramètres!$F$33),0)</f>
        <v>0</v>
      </c>
      <c r="X916" s="20" t="n">
        <f aca="false" t="array" ref="X916:X916">IF(AND(INDEX(Profils!$R$5:$R$34,$AE916)&gt;0,INDEX(Profils!$AG$5:$AG$34,$AE916)&lt;=$AH916),ROUND(INDEX(Profils!$R$5:$R$34,$AE916)*Paramètres!$E$34*$AG916*$AJ916,Paramètres!$F$34),0)</f>
        <v>0</v>
      </c>
      <c r="Y916" s="20" t="n">
        <f aca="false" t="array" ref="Y916:Y916">IF(AND(INDEX(Profils!$S$5:$S$34,$AE916)&gt;0,INDEX(Profils!$AH$5:$AH$34,$AE916)&lt;=$AH916),ROUND(INDEX(Profils!$S$5:$S$34,$AE916)*Paramètres!$E$35*$AG916*$AJ916,Paramètres!$F$35),0)</f>
        <v>0</v>
      </c>
      <c r="Z916" s="21" t="n">
        <f aca="false">ROUND(L916/Paramètres!$E$22+M916/Paramètres!$E$23+N916/Paramètres!$E$24+O916/Paramètres!$E$25+P916/Paramètres!$E$26+Q916/Paramètres!$E$27+R916/Paramètres!$E$28+S916/Paramètres!$E$29+T916/Paramètres!$E$30+U916/Paramètres!$E$31+V916/Paramètres!$E$32+W916/Paramètres!$E$33+X916/Paramètres!$E$34+Y916/Paramètres!$E$35,1)</f>
        <v>3.2</v>
      </c>
      <c r="AA916" s="22" t="s">
        <v>109</v>
      </c>
      <c r="AB916" s="22" t="s">
        <v>109</v>
      </c>
      <c r="AC916" s="15" t="str">
        <f aca="false">$E916</f>
        <v>cuir</v>
      </c>
      <c r="AD916" s="16" t="n">
        <f aca="false" t="array" ref="AD916:AD916">IF($I916&gt;=$AI916,"Max",ROUND(Paramètres!$B$40*($I916+1)^Paramètres!$B$41*INDEX(Paramètres!$H$6:$H$12,$AF916),0))</f>
        <v>8</v>
      </c>
      <c r="AE916" s="23" t="n">
        <f aca="false">MATCH($B916&amp;"|"&amp;$C916,Profils!$A$5:$A$34,0)</f>
        <v>30</v>
      </c>
      <c r="AF916" s="23" t="n">
        <v>6</v>
      </c>
      <c r="AG916" s="24" t="n">
        <f aca="false" t="array" ref="AG916:AG916">INDEX(Paramètres!$C$6:$C$12,$AF916)</f>
        <v>2.4</v>
      </c>
      <c r="AH916" s="23" t="n">
        <f aca="false" t="array" ref="AH916:AH916">INDEX(Paramètres!$D$6:$D$12,$AF916)</f>
        <v>7</v>
      </c>
      <c r="AI916" s="23" t="n">
        <f aca="false" t="array" ref="AI916:AI916">INDEX(Matériaux!$C$16:$C$20,$D916)</f>
        <v>20</v>
      </c>
      <c r="AJ916" s="25" t="n">
        <f aca="false">Paramètres!$B$16+(1-Paramètres!$B$16)*(($J916-Paramètres!$B$14)/(Paramètres!$B$15-Paramètres!$B$14))^Paramètres!$B$17</f>
        <v>0.140847925475674</v>
      </c>
    </row>
    <row r="917" customFormat="false" ht="15.75" hidden="false" customHeight="true" outlineLevel="0" collapsed="false">
      <c r="A917" s="14" t="s">
        <v>1033</v>
      </c>
      <c r="B917" s="15" t="s">
        <v>31</v>
      </c>
      <c r="C917" s="15" t="s">
        <v>401</v>
      </c>
      <c r="D917" s="16" t="n">
        <v>3</v>
      </c>
      <c r="E917" s="15" t="str">
        <f aca="false" t="array" ref="E917:E917">INDEX(Matériaux!$B$5:$F$12,MATCH(INDEX(Profils!$E$5:$E$34,$AE917),Matériaux!$A$5:$A$12,0),$D917)</f>
        <v>cuir clouté</v>
      </c>
      <c r="F917" s="17" t="s">
        <v>108</v>
      </c>
      <c r="G917" s="10" t="str">
        <f aca="false" t="array" ref="G917:G917">INDEX(Profils!$D$5:$D$34,$AE917)&amp;" en "&amp;$E917</f>
        <v>Carquois en cuir clouté</v>
      </c>
      <c r="H917" s="16" t="n">
        <f aca="false" t="array" ref="H917:H917">INDEX(Matériaux!$B$16:$B$20,$D917)</f>
        <v>30</v>
      </c>
      <c r="I917" s="16" t="n">
        <f aca="false">IF(ISNUMBER($C$3),MIN(MAX(0,ROUND($C$3,0)),$AI917),$AI917)</f>
        <v>0</v>
      </c>
      <c r="J917" s="18" t="n">
        <f aca="false">$H917+$I917</f>
        <v>30</v>
      </c>
      <c r="K917" s="15" t="s">
        <v>109</v>
      </c>
      <c r="L917" s="19" t="n">
        <f aca="false" t="array" ref="L917:L917">IF(AND(INDEX(Profils!$F$5:$F$34,$AE917)&gt;0,INDEX(Profils!$U$5:$U$34,$AE917)&lt;=$AH917),ROUND(INDEX(Profils!$F$5:$F$34,$AE917)*Paramètres!$E$22*$AG917*$AJ917,Paramètres!$F$22),0)</f>
        <v>0</v>
      </c>
      <c r="M917" s="19" t="n">
        <f aca="false" t="array" ref="M917:M917">IF(AND(INDEX(Profils!$G$5:$G$34,$AE917)&gt;0,INDEX(Profils!$V$5:$V$34,$AE917)&lt;=$AH917),ROUND(INDEX(Profils!$G$5:$G$34,$AE917)*Paramètres!$E$23*$AG917*$AJ917,Paramètres!$F$23),0)</f>
        <v>0</v>
      </c>
      <c r="N917" s="19" t="n">
        <f aca="false" t="array" ref="N917:N917">IF(AND(INDEX(Profils!$H$5:$H$34,$AE917)&gt;0,INDEX(Profils!$W$5:$W$34,$AE917)&lt;=$AH917),ROUND(INDEX(Profils!$H$5:$H$34,$AE917)*Paramètres!$E$24*$AG917*$AJ917,Paramètres!$F$24),0)</f>
        <v>0</v>
      </c>
      <c r="O917" s="19" t="n">
        <f aca="false" t="array" ref="O917:O917">IF(AND(INDEX(Profils!$I$5:$I$34,$AE917)&gt;0,INDEX(Profils!$X$5:$X$34,$AE917)&lt;=$AH917),ROUND(INDEX(Profils!$I$5:$I$34,$AE917)*Paramètres!$E$25*$AG917*$AJ917,Paramètres!$F$25),0)</f>
        <v>0</v>
      </c>
      <c r="P917" s="19" t="n">
        <f aca="false" t="array" ref="P917:P917">IF(AND(INDEX(Profils!$J$5:$J$34,$AE917)&gt;0,INDEX(Profils!$Y$5:$Y$34,$AE917)&lt;=$AH917),ROUND(INDEX(Profils!$J$5:$J$34,$AE917)*Paramètres!$E$26*$AG917*$AJ917,Paramètres!$F$26),0)</f>
        <v>0</v>
      </c>
      <c r="Q917" s="19" t="n">
        <f aca="false" t="array" ref="Q917:Q917">IF(AND(INDEX(Profils!$K$5:$K$34,$AE917)&gt;0,INDEX(Profils!$Z$5:$Z$34,$AE917)&lt;=$AH917),ROUND(INDEX(Profils!$K$5:$K$34,$AE917)*Paramètres!$E$27*$AG917*$AJ917,Paramètres!$F$27),0)</f>
        <v>0</v>
      </c>
      <c r="R917" s="20" t="n">
        <f aca="false" t="array" ref="R917:R917">IF(AND(INDEX(Profils!$L$5:$L$34,$AE917)&gt;0,INDEX(Profils!$AA$5:$AA$34,$AE917)&lt;=$AH917),ROUND(INDEX(Profils!$L$5:$L$34,$AE917)*Paramètres!$E$28*$AG917*$AJ917,Paramètres!$F$28),0)</f>
        <v>0.006</v>
      </c>
      <c r="S917" s="20" t="n">
        <f aca="false" t="array" ref="S917:S917">IF(AND(INDEX(Profils!$M$5:$M$34,$AE917)&gt;0,INDEX(Profils!$AB$5:$AB$34,$AE917)&lt;=$AH917),ROUND(INDEX(Profils!$M$5:$M$34,$AE917)*Paramètres!$E$29*$AG917*$AJ917,Paramètres!$F$29),0)</f>
        <v>0</v>
      </c>
      <c r="T917" s="20" t="n">
        <f aca="false" t="array" ref="T917:T917">IF(AND(INDEX(Profils!$N$5:$N$34,$AE917)&gt;0,INDEX(Profils!$AC$5:$AC$34,$AE917)&lt;=$AH917),ROUND(INDEX(Profils!$N$5:$N$34,$AE917)*Paramètres!$E$30*$AG917*$AJ917,Paramètres!$F$30),0)</f>
        <v>0.013</v>
      </c>
      <c r="U917" s="19" t="n">
        <f aca="false" t="array" ref="U917:U917">IF(AND(INDEX(Profils!$O$5:$O$34,$AE917)&gt;0,INDEX(Profils!$AD$5:$AD$34,$AE917)&lt;=$AH917),ROUND(INDEX(Profils!$O$5:$O$34,$AE917)*Paramètres!$E$31*$AG917*$AJ917,Paramètres!$F$31),0)</f>
        <v>0</v>
      </c>
      <c r="V917" s="20" t="n">
        <f aca="false" t="array" ref="V917:V917">IF(AND(INDEX(Profils!$P$5:$P$34,$AE917)&gt;0,INDEX(Profils!$AE$5:$AE$34,$AE917)&lt;=$AH917),ROUND(INDEX(Profils!$P$5:$P$34,$AE917)*Paramètres!$E$32*$AG917*$AJ917,Paramètres!$F$32),0)</f>
        <v>0</v>
      </c>
      <c r="W917" s="20" t="n">
        <f aca="false" t="array" ref="W917:W917">IF(AND(INDEX(Profils!$Q$5:$Q$34,$AE917)&gt;0,INDEX(Profils!$AF$5:$AF$34,$AE917)&lt;=$AH917),ROUND(INDEX(Profils!$Q$5:$Q$34,$AE917)*Paramètres!$E$33*$AG917*$AJ917,Paramètres!$F$33),0)</f>
        <v>0</v>
      </c>
      <c r="X917" s="20" t="n">
        <f aca="false" t="array" ref="X917:X917">IF(AND(INDEX(Profils!$R$5:$R$34,$AE917)&gt;0,INDEX(Profils!$AG$5:$AG$34,$AE917)&lt;=$AH917),ROUND(INDEX(Profils!$R$5:$R$34,$AE917)*Paramètres!$E$34*$AG917*$AJ917,Paramètres!$F$34),0)</f>
        <v>0</v>
      </c>
      <c r="Y917" s="20" t="n">
        <f aca="false" t="array" ref="Y917:Y917">IF(AND(INDEX(Profils!$S$5:$S$34,$AE917)&gt;0,INDEX(Profils!$AH$5:$AH$34,$AE917)&lt;=$AH917),ROUND(INDEX(Profils!$S$5:$S$34,$AE917)*Paramètres!$E$35*$AG917*$AJ917,Paramètres!$F$35),0)</f>
        <v>0</v>
      </c>
      <c r="Z917" s="21" t="n">
        <f aca="false">ROUND(L917/Paramètres!$E$22+M917/Paramètres!$E$23+N917/Paramètres!$E$24+O917/Paramètres!$E$25+P917/Paramètres!$E$26+Q917/Paramètres!$E$27+R917/Paramètres!$E$28+S917/Paramètres!$E$29+T917/Paramètres!$E$30+U917/Paramètres!$E$31+V917/Paramètres!$E$32+W917/Paramètres!$E$33+X917/Paramètres!$E$34+Y917/Paramètres!$E$35,1)</f>
        <v>0.8</v>
      </c>
      <c r="AA917" s="22" t="s">
        <v>109</v>
      </c>
      <c r="AB917" s="22" t="s">
        <v>109</v>
      </c>
      <c r="AC917" s="15" t="str">
        <f aca="false">$E917</f>
        <v>cuir clouté</v>
      </c>
      <c r="AD917" s="16" t="n">
        <f aca="false" t="array" ref="AD917:AD917">IF($I917&gt;=$AI917,"Max",ROUND(Paramètres!$B$40*($I917+1)^Paramètres!$B$41*INDEX(Paramètres!$H$6:$H$12,$AF917),0))</f>
        <v>3</v>
      </c>
      <c r="AE917" s="23" t="n">
        <f aca="false">MATCH($B917&amp;"|"&amp;$C917,Profils!$A$5:$A$34,0)</f>
        <v>30</v>
      </c>
      <c r="AF917" s="23" t="n">
        <v>1</v>
      </c>
      <c r="AG917" s="24" t="n">
        <f aca="false" t="array" ref="AG917:AG917">INDEX(Paramètres!$C$6:$C$12,$AF917)</f>
        <v>1</v>
      </c>
      <c r="AH917" s="23" t="n">
        <f aca="false" t="array" ref="AH917:AH917">INDEX(Paramètres!$D$6:$D$12,$AF917)</f>
        <v>2</v>
      </c>
      <c r="AI917" s="23" t="n">
        <f aca="false" t="array" ref="AI917:AI917">INDEX(Matériaux!$C$16:$C$20,$D917)</f>
        <v>25</v>
      </c>
      <c r="AJ917" s="25" t="n">
        <f aca="false">Paramètres!$B$16+(1-Paramètres!$B$16)*(($J917-Paramètres!$B$14)/(Paramètres!$B$15-Paramètres!$B$14))^Paramètres!$B$17</f>
        <v>0.26769024555533</v>
      </c>
    </row>
    <row r="918" customFormat="false" ht="15.75" hidden="false" customHeight="true" outlineLevel="0" collapsed="false">
      <c r="A918" s="14" t="s">
        <v>1034</v>
      </c>
      <c r="B918" s="15" t="s">
        <v>31</v>
      </c>
      <c r="C918" s="15" t="s">
        <v>401</v>
      </c>
      <c r="D918" s="16" t="n">
        <v>3</v>
      </c>
      <c r="E918" s="15" t="str">
        <f aca="false" t="array" ref="E918:E918">INDEX(Matériaux!$B$5:$F$12,MATCH(INDEX(Profils!$E$5:$E$34,$AE918),Matériaux!$A$5:$A$12,0),$D918)</f>
        <v>cuir clouté</v>
      </c>
      <c r="F918" s="26" t="s">
        <v>111</v>
      </c>
      <c r="G918" s="10" t="str">
        <f aca="false" t="array" ref="G918:G918">INDEX(Profils!$D$5:$D$34,$AE918)&amp;" en "&amp;$E918</f>
        <v>Carquois en cuir clouté</v>
      </c>
      <c r="H918" s="16" t="n">
        <f aca="false" t="array" ref="H918:H918">INDEX(Matériaux!$B$16:$B$20,$D918)</f>
        <v>30</v>
      </c>
      <c r="I918" s="16" t="n">
        <f aca="false">IF(ISNUMBER($C$3),MIN(MAX(0,ROUND($C$3,0)),$AI918),$AI918)</f>
        <v>0</v>
      </c>
      <c r="J918" s="18" t="n">
        <f aca="false">$H918+$I918</f>
        <v>30</v>
      </c>
      <c r="K918" s="15" t="s">
        <v>109</v>
      </c>
      <c r="L918" s="19" t="n">
        <f aca="false" t="array" ref="L918:L918">IF(AND(INDEX(Profils!$F$5:$F$34,$AE918)&gt;0,INDEX(Profils!$U$5:$U$34,$AE918)&lt;=$AH918),ROUND(INDEX(Profils!$F$5:$F$34,$AE918)*Paramètres!$E$22*$AG918*$AJ918,Paramètres!$F$22),0)</f>
        <v>0</v>
      </c>
      <c r="M918" s="19" t="n">
        <f aca="false" t="array" ref="M918:M918">IF(AND(INDEX(Profils!$G$5:$G$34,$AE918)&gt;0,INDEX(Profils!$V$5:$V$34,$AE918)&lt;=$AH918),ROUND(INDEX(Profils!$G$5:$G$34,$AE918)*Paramètres!$E$23*$AG918*$AJ918,Paramètres!$F$23),0)</f>
        <v>0</v>
      </c>
      <c r="N918" s="19" t="n">
        <f aca="false" t="array" ref="N918:N918">IF(AND(INDEX(Profils!$H$5:$H$34,$AE918)&gt;0,INDEX(Profils!$W$5:$W$34,$AE918)&lt;=$AH918),ROUND(INDEX(Profils!$H$5:$H$34,$AE918)*Paramètres!$E$24*$AG918*$AJ918,Paramètres!$F$24),0)</f>
        <v>0</v>
      </c>
      <c r="O918" s="19" t="n">
        <f aca="false" t="array" ref="O918:O918">IF(AND(INDEX(Profils!$I$5:$I$34,$AE918)&gt;0,INDEX(Profils!$X$5:$X$34,$AE918)&lt;=$AH918),ROUND(INDEX(Profils!$I$5:$I$34,$AE918)*Paramètres!$E$25*$AG918*$AJ918,Paramètres!$F$25),0)</f>
        <v>0</v>
      </c>
      <c r="P918" s="19" t="n">
        <f aca="false" t="array" ref="P918:P918">IF(AND(INDEX(Profils!$J$5:$J$34,$AE918)&gt;0,INDEX(Profils!$Y$5:$Y$34,$AE918)&lt;=$AH918),ROUND(INDEX(Profils!$J$5:$J$34,$AE918)*Paramètres!$E$26*$AG918*$AJ918,Paramètres!$F$26),0)</f>
        <v>5</v>
      </c>
      <c r="Q918" s="19" t="n">
        <f aca="false" t="array" ref="Q918:Q918">IF(AND(INDEX(Profils!$K$5:$K$34,$AE918)&gt;0,INDEX(Profils!$Z$5:$Z$34,$AE918)&lt;=$AH918),ROUND(INDEX(Profils!$K$5:$K$34,$AE918)*Paramètres!$E$27*$AG918*$AJ918,Paramètres!$F$27),0)</f>
        <v>0</v>
      </c>
      <c r="R918" s="20" t="n">
        <f aca="false" t="array" ref="R918:R918">IF(AND(INDEX(Profils!$L$5:$L$34,$AE918)&gt;0,INDEX(Profils!$AA$5:$AA$34,$AE918)&lt;=$AH918),ROUND(INDEX(Profils!$L$5:$L$34,$AE918)*Paramètres!$E$28*$AG918*$AJ918,Paramètres!$F$28),0)</f>
        <v>0.008</v>
      </c>
      <c r="S918" s="20" t="n">
        <f aca="false" t="array" ref="S918:S918">IF(AND(INDEX(Profils!$M$5:$M$34,$AE918)&gt;0,INDEX(Profils!$AB$5:$AB$34,$AE918)&lt;=$AH918),ROUND(INDEX(Profils!$M$5:$M$34,$AE918)*Paramètres!$E$29*$AG918*$AJ918,Paramètres!$F$29),0)</f>
        <v>0</v>
      </c>
      <c r="T918" s="20" t="n">
        <f aca="false" t="array" ref="T918:T918">IF(AND(INDEX(Profils!$N$5:$N$34,$AE918)&gt;0,INDEX(Profils!$AC$5:$AC$34,$AE918)&lt;=$AH918),ROUND(INDEX(Profils!$N$5:$N$34,$AE918)*Paramètres!$E$30*$AG918*$AJ918,Paramètres!$F$30),0)</f>
        <v>0.015</v>
      </c>
      <c r="U918" s="19" t="n">
        <f aca="false" t="array" ref="U918:U918">IF(AND(INDEX(Profils!$O$5:$O$34,$AE918)&gt;0,INDEX(Profils!$AD$5:$AD$34,$AE918)&lt;=$AH918),ROUND(INDEX(Profils!$O$5:$O$34,$AE918)*Paramètres!$E$31*$AG918*$AJ918,Paramètres!$F$31),0)</f>
        <v>0</v>
      </c>
      <c r="V918" s="20" t="n">
        <f aca="false" t="array" ref="V918:V918">IF(AND(INDEX(Profils!$P$5:$P$34,$AE918)&gt;0,INDEX(Profils!$AE$5:$AE$34,$AE918)&lt;=$AH918),ROUND(INDEX(Profils!$P$5:$P$34,$AE918)*Paramètres!$E$32*$AG918*$AJ918,Paramètres!$F$32),0)</f>
        <v>0</v>
      </c>
      <c r="W918" s="20" t="n">
        <f aca="false" t="array" ref="W918:W918">IF(AND(INDEX(Profils!$Q$5:$Q$34,$AE918)&gt;0,INDEX(Profils!$AF$5:$AF$34,$AE918)&lt;=$AH918),ROUND(INDEX(Profils!$Q$5:$Q$34,$AE918)*Paramètres!$E$33*$AG918*$AJ918,Paramètres!$F$33),0)</f>
        <v>0</v>
      </c>
      <c r="X918" s="20" t="n">
        <f aca="false" t="array" ref="X918:X918">IF(AND(INDEX(Profils!$R$5:$R$34,$AE918)&gt;0,INDEX(Profils!$AG$5:$AG$34,$AE918)&lt;=$AH918),ROUND(INDEX(Profils!$R$5:$R$34,$AE918)*Paramètres!$E$34*$AG918*$AJ918,Paramètres!$F$34),0)</f>
        <v>0</v>
      </c>
      <c r="Y918" s="20" t="n">
        <f aca="false" t="array" ref="Y918:Y918">IF(AND(INDEX(Profils!$S$5:$S$34,$AE918)&gt;0,INDEX(Profils!$AH$5:$AH$34,$AE918)&lt;=$AH918),ROUND(INDEX(Profils!$S$5:$S$34,$AE918)*Paramètres!$E$35*$AG918*$AJ918,Paramètres!$F$35),0)</f>
        <v>0</v>
      </c>
      <c r="Z918" s="21" t="n">
        <f aca="false">ROUND(L918/Paramètres!$E$22+M918/Paramètres!$E$23+N918/Paramètres!$E$24+O918/Paramètres!$E$25+P918/Paramètres!$E$26+Q918/Paramètres!$E$27+R918/Paramètres!$E$28+S918/Paramètres!$E$29+T918/Paramètres!$E$30+U918/Paramètres!$E$31+V918/Paramètres!$E$32+W918/Paramètres!$E$33+X918/Paramètres!$E$34+Y918/Paramètres!$E$35,1)</f>
        <v>1.5</v>
      </c>
      <c r="AA918" s="22" t="s">
        <v>109</v>
      </c>
      <c r="AB918" s="22" t="s">
        <v>109</v>
      </c>
      <c r="AC918" s="15" t="str">
        <f aca="false">$E918</f>
        <v>cuir clouté</v>
      </c>
      <c r="AD918" s="16" t="n">
        <f aca="false" t="array" ref="AD918:AD918">IF($I918&gt;=$AI918,"Max",ROUND(Paramètres!$B$40*($I918+1)^Paramètres!$B$41*INDEX(Paramètres!$H$6:$H$12,$AF918),0))</f>
        <v>4</v>
      </c>
      <c r="AE918" s="23" t="n">
        <f aca="false">MATCH($B918&amp;"|"&amp;$C918,Profils!$A$5:$A$34,0)</f>
        <v>30</v>
      </c>
      <c r="AF918" s="23" t="n">
        <v>2</v>
      </c>
      <c r="AG918" s="24" t="n">
        <f aca="false" t="array" ref="AG918:AG918">INDEX(Paramètres!$C$6:$C$12,$AF918)</f>
        <v>1.2</v>
      </c>
      <c r="AH918" s="23" t="n">
        <f aca="false" t="array" ref="AH918:AH918">INDEX(Paramètres!$D$6:$D$12,$AF918)</f>
        <v>3</v>
      </c>
      <c r="AI918" s="23" t="n">
        <f aca="false" t="array" ref="AI918:AI918">INDEX(Matériaux!$C$16:$C$20,$D918)</f>
        <v>25</v>
      </c>
      <c r="AJ918" s="25" t="n">
        <f aca="false">Paramètres!$B$16+(1-Paramètres!$B$16)*(($J918-Paramètres!$B$14)/(Paramètres!$B$15-Paramètres!$B$14))^Paramètres!$B$17</f>
        <v>0.26769024555533</v>
      </c>
    </row>
    <row r="919" customFormat="false" ht="15.75" hidden="false" customHeight="true" outlineLevel="0" collapsed="false">
      <c r="A919" s="14" t="s">
        <v>1035</v>
      </c>
      <c r="B919" s="15" t="s">
        <v>31</v>
      </c>
      <c r="C919" s="15" t="s">
        <v>401</v>
      </c>
      <c r="D919" s="16" t="n">
        <v>3</v>
      </c>
      <c r="E919" s="15" t="str">
        <f aca="false" t="array" ref="E919:E919">INDEX(Matériaux!$B$5:$F$12,MATCH(INDEX(Profils!$E$5:$E$34,$AE919),Matériaux!$A$5:$A$12,0),$D919)</f>
        <v>cuir clouté</v>
      </c>
      <c r="F919" s="27" t="s">
        <v>113</v>
      </c>
      <c r="G919" s="10" t="str">
        <f aca="false" t="array" ref="G919:G919">INDEX(Profils!$D$5:$D$34,$AE919)&amp;" en "&amp;$E919</f>
        <v>Carquois en cuir clouté</v>
      </c>
      <c r="H919" s="16" t="n">
        <f aca="false" t="array" ref="H919:H919">INDEX(Matériaux!$B$16:$B$20,$D919)</f>
        <v>30</v>
      </c>
      <c r="I919" s="16" t="n">
        <f aca="false">IF(ISNUMBER($C$3),MIN(MAX(0,ROUND($C$3,0)),$AI919),$AI919)</f>
        <v>0</v>
      </c>
      <c r="J919" s="18" t="n">
        <f aca="false">$H919+$I919</f>
        <v>30</v>
      </c>
      <c r="K919" s="15" t="s">
        <v>109</v>
      </c>
      <c r="L919" s="19" t="n">
        <f aca="false" t="array" ref="L919:L919">IF(AND(INDEX(Profils!$F$5:$F$34,$AE919)&gt;0,INDEX(Profils!$U$5:$U$34,$AE919)&lt;=$AH919),ROUND(INDEX(Profils!$F$5:$F$34,$AE919)*Paramètres!$E$22*$AG919*$AJ919,Paramètres!$F$22),0)</f>
        <v>0</v>
      </c>
      <c r="M919" s="19" t="n">
        <f aca="false" t="array" ref="M919:M919">IF(AND(INDEX(Profils!$G$5:$G$34,$AE919)&gt;0,INDEX(Profils!$V$5:$V$34,$AE919)&lt;=$AH919),ROUND(INDEX(Profils!$G$5:$G$34,$AE919)*Paramètres!$E$23*$AG919*$AJ919,Paramètres!$F$23),0)</f>
        <v>0</v>
      </c>
      <c r="N919" s="19" t="n">
        <f aca="false" t="array" ref="N919:N919">IF(AND(INDEX(Profils!$H$5:$H$34,$AE919)&gt;0,INDEX(Profils!$W$5:$W$34,$AE919)&lt;=$AH919),ROUND(INDEX(Profils!$H$5:$H$34,$AE919)*Paramètres!$E$24*$AG919*$AJ919,Paramètres!$F$24),0)</f>
        <v>0</v>
      </c>
      <c r="O919" s="19" t="n">
        <f aca="false" t="array" ref="O919:O919">IF(AND(INDEX(Profils!$I$5:$I$34,$AE919)&gt;0,INDEX(Profils!$X$5:$X$34,$AE919)&lt;=$AH919),ROUND(INDEX(Profils!$I$5:$I$34,$AE919)*Paramètres!$E$25*$AG919*$AJ919,Paramètres!$F$25),0)</f>
        <v>0</v>
      </c>
      <c r="P919" s="19" t="n">
        <f aca="false" t="array" ref="P919:P919">IF(AND(INDEX(Profils!$J$5:$J$34,$AE919)&gt;0,INDEX(Profils!$Y$5:$Y$34,$AE919)&lt;=$AH919),ROUND(INDEX(Profils!$J$5:$J$34,$AE919)*Paramètres!$E$26*$AG919*$AJ919,Paramètres!$F$26),0)</f>
        <v>7</v>
      </c>
      <c r="Q919" s="19" t="n">
        <f aca="false" t="array" ref="Q919:Q919">IF(AND(INDEX(Profils!$K$5:$K$34,$AE919)&gt;0,INDEX(Profils!$Z$5:$Z$34,$AE919)&lt;=$AH919),ROUND(INDEX(Profils!$K$5:$K$34,$AE919)*Paramètres!$E$27*$AG919*$AJ919,Paramètres!$F$27),0)</f>
        <v>0</v>
      </c>
      <c r="R919" s="20" t="n">
        <f aca="false" t="array" ref="R919:R919">IF(AND(INDEX(Profils!$L$5:$L$34,$AE919)&gt;0,INDEX(Profils!$AA$5:$AA$34,$AE919)&lt;=$AH919),ROUND(INDEX(Profils!$L$5:$L$34,$AE919)*Paramètres!$E$28*$AG919*$AJ919,Paramètres!$F$28),0)</f>
        <v>0.009</v>
      </c>
      <c r="S919" s="20" t="n">
        <f aca="false" t="array" ref="S919:S919">IF(AND(INDEX(Profils!$M$5:$M$34,$AE919)&gt;0,INDEX(Profils!$AB$5:$AB$34,$AE919)&lt;=$AH919),ROUND(INDEX(Profils!$M$5:$M$34,$AE919)*Paramètres!$E$29*$AG919*$AJ919,Paramètres!$F$29),0)</f>
        <v>0.007</v>
      </c>
      <c r="T919" s="20" t="n">
        <f aca="false" t="array" ref="T919:T919">IF(AND(INDEX(Profils!$N$5:$N$34,$AE919)&gt;0,INDEX(Profils!$AC$5:$AC$34,$AE919)&lt;=$AH919),ROUND(INDEX(Profils!$N$5:$N$34,$AE919)*Paramètres!$E$30*$AG919*$AJ919,Paramètres!$F$30),0)</f>
        <v>0.019</v>
      </c>
      <c r="U919" s="19" t="n">
        <f aca="false" t="array" ref="U919:U919">IF(AND(INDEX(Profils!$O$5:$O$34,$AE919)&gt;0,INDEX(Profils!$AD$5:$AD$34,$AE919)&lt;=$AH919),ROUND(INDEX(Profils!$O$5:$O$34,$AE919)*Paramètres!$E$31*$AG919*$AJ919,Paramètres!$F$31),0)</f>
        <v>0</v>
      </c>
      <c r="V919" s="20" t="n">
        <f aca="false" t="array" ref="V919:V919">IF(AND(INDEX(Profils!$P$5:$P$34,$AE919)&gt;0,INDEX(Profils!$AE$5:$AE$34,$AE919)&lt;=$AH919),ROUND(INDEX(Profils!$P$5:$P$34,$AE919)*Paramètres!$E$32*$AG919*$AJ919,Paramètres!$F$32),0)</f>
        <v>0</v>
      </c>
      <c r="W919" s="20" t="n">
        <f aca="false" t="array" ref="W919:W919">IF(AND(INDEX(Profils!$Q$5:$Q$34,$AE919)&gt;0,INDEX(Profils!$AF$5:$AF$34,$AE919)&lt;=$AH919),ROUND(INDEX(Profils!$Q$5:$Q$34,$AE919)*Paramètres!$E$33*$AG919*$AJ919,Paramètres!$F$33),0)</f>
        <v>0</v>
      </c>
      <c r="X919" s="20" t="n">
        <f aca="false" t="array" ref="X919:X919">IF(AND(INDEX(Profils!$R$5:$R$34,$AE919)&gt;0,INDEX(Profils!$AG$5:$AG$34,$AE919)&lt;=$AH919),ROUND(INDEX(Profils!$R$5:$R$34,$AE919)*Paramètres!$E$34*$AG919*$AJ919,Paramètres!$F$34),0)</f>
        <v>0</v>
      </c>
      <c r="Y919" s="20" t="n">
        <f aca="false" t="array" ref="Y919:Y919">IF(AND(INDEX(Profils!$S$5:$S$34,$AE919)&gt;0,INDEX(Profils!$AH$5:$AH$34,$AE919)&lt;=$AH919),ROUND(INDEX(Profils!$S$5:$S$34,$AE919)*Paramètres!$E$35*$AG919*$AJ919,Paramètres!$F$35),0)</f>
        <v>0</v>
      </c>
      <c r="Z919" s="21" t="n">
        <f aca="false">ROUND(L919/Paramètres!$E$22+M919/Paramètres!$E$23+N919/Paramètres!$E$24+O919/Paramètres!$E$25+P919/Paramètres!$E$26+Q919/Paramètres!$E$27+R919/Paramètres!$E$28+S919/Paramètres!$E$29+T919/Paramètres!$E$30+U919/Paramètres!$E$31+V919/Paramètres!$E$32+W919/Paramètres!$E$33+X919/Paramètres!$E$34+Y919/Paramètres!$E$35,1)</f>
        <v>2.4</v>
      </c>
      <c r="AA919" s="22" t="s">
        <v>109</v>
      </c>
      <c r="AB919" s="22" t="s">
        <v>109</v>
      </c>
      <c r="AC919" s="15" t="str">
        <f aca="false">$E919</f>
        <v>cuir clouté</v>
      </c>
      <c r="AD919" s="16" t="n">
        <f aca="false" t="array" ref="AD919:AD919">IF($I919&gt;=$AI919,"Max",ROUND(Paramètres!$B$40*($I919+1)^Paramètres!$B$41*INDEX(Paramètres!$H$6:$H$12,$AF919),0))</f>
        <v>4</v>
      </c>
      <c r="AE919" s="23" t="n">
        <f aca="false">MATCH($B919&amp;"|"&amp;$C919,Profils!$A$5:$A$34,0)</f>
        <v>30</v>
      </c>
      <c r="AF919" s="23" t="n">
        <v>3</v>
      </c>
      <c r="AG919" s="24" t="n">
        <f aca="false" t="array" ref="AG919:AG919">INDEX(Paramètres!$C$6:$C$12,$AF919)</f>
        <v>1.45</v>
      </c>
      <c r="AH919" s="23" t="n">
        <f aca="false" t="array" ref="AH919:AH919">INDEX(Paramètres!$D$6:$D$12,$AF919)</f>
        <v>4</v>
      </c>
      <c r="AI919" s="23" t="n">
        <f aca="false" t="array" ref="AI919:AI919">INDEX(Matériaux!$C$16:$C$20,$D919)</f>
        <v>25</v>
      </c>
      <c r="AJ919" s="25" t="n">
        <f aca="false">Paramètres!$B$16+(1-Paramètres!$B$16)*(($J919-Paramètres!$B$14)/(Paramètres!$B$15-Paramètres!$B$14))^Paramètres!$B$17</f>
        <v>0.26769024555533</v>
      </c>
    </row>
    <row r="920" customFormat="false" ht="15.75" hidden="false" customHeight="true" outlineLevel="0" collapsed="false">
      <c r="A920" s="14" t="s">
        <v>1036</v>
      </c>
      <c r="B920" s="15" t="s">
        <v>31</v>
      </c>
      <c r="C920" s="15" t="s">
        <v>401</v>
      </c>
      <c r="D920" s="16" t="n">
        <v>3</v>
      </c>
      <c r="E920" s="15" t="str">
        <f aca="false" t="array" ref="E920:E920">INDEX(Matériaux!$B$5:$F$12,MATCH(INDEX(Profils!$E$5:$E$34,$AE920),Matériaux!$A$5:$A$12,0),$D920)</f>
        <v>cuir clouté</v>
      </c>
      <c r="F920" s="28" t="s">
        <v>115</v>
      </c>
      <c r="G920" s="10" t="str">
        <f aca="false" t="array" ref="G920:G920">INDEX(Profils!$D$5:$D$34,$AE920)&amp;" en "&amp;$E920</f>
        <v>Carquois en cuir clouté</v>
      </c>
      <c r="H920" s="16" t="n">
        <f aca="false" t="array" ref="H920:H920">INDEX(Matériaux!$B$16:$B$20,$D920)</f>
        <v>30</v>
      </c>
      <c r="I920" s="16" t="n">
        <f aca="false">IF(ISNUMBER($C$3),MIN(MAX(0,ROUND($C$3,0)),$AI920),$AI920)</f>
        <v>0</v>
      </c>
      <c r="J920" s="18" t="n">
        <f aca="false">$H920+$I920</f>
        <v>30</v>
      </c>
      <c r="K920" s="15" t="s">
        <v>109</v>
      </c>
      <c r="L920" s="19" t="n">
        <f aca="false" t="array" ref="L920:L920">IF(AND(INDEX(Profils!$F$5:$F$34,$AE920)&gt;0,INDEX(Profils!$U$5:$U$34,$AE920)&lt;=$AH920),ROUND(INDEX(Profils!$F$5:$F$34,$AE920)*Paramètres!$E$22*$AG920*$AJ920,Paramètres!$F$22),0)</f>
        <v>0</v>
      </c>
      <c r="M920" s="19" t="n">
        <f aca="false" t="array" ref="M920:M920">IF(AND(INDEX(Profils!$G$5:$G$34,$AE920)&gt;0,INDEX(Profils!$V$5:$V$34,$AE920)&lt;=$AH920),ROUND(INDEX(Profils!$G$5:$G$34,$AE920)*Paramètres!$E$23*$AG920*$AJ920,Paramètres!$F$23),0)</f>
        <v>0</v>
      </c>
      <c r="N920" s="19" t="n">
        <f aca="false" t="array" ref="N920:N920">IF(AND(INDEX(Profils!$H$5:$H$34,$AE920)&gt;0,INDEX(Profils!$W$5:$W$34,$AE920)&lt;=$AH920),ROUND(INDEX(Profils!$H$5:$H$34,$AE920)*Paramètres!$E$24*$AG920*$AJ920,Paramètres!$F$24),0)</f>
        <v>0</v>
      </c>
      <c r="O920" s="19" t="n">
        <f aca="false" t="array" ref="O920:O920">IF(AND(INDEX(Profils!$I$5:$I$34,$AE920)&gt;0,INDEX(Profils!$X$5:$X$34,$AE920)&lt;=$AH920),ROUND(INDEX(Profils!$I$5:$I$34,$AE920)*Paramètres!$E$25*$AG920*$AJ920,Paramètres!$F$25),0)</f>
        <v>0</v>
      </c>
      <c r="P920" s="19" t="n">
        <f aca="false" t="array" ref="P920:P920">IF(AND(INDEX(Profils!$J$5:$J$34,$AE920)&gt;0,INDEX(Profils!$Y$5:$Y$34,$AE920)&lt;=$AH920),ROUND(INDEX(Profils!$J$5:$J$34,$AE920)*Paramètres!$E$26*$AG920*$AJ920,Paramètres!$F$26),0)</f>
        <v>8</v>
      </c>
      <c r="Q920" s="19" t="n">
        <f aca="false" t="array" ref="Q920:Q920">IF(AND(INDEX(Profils!$K$5:$K$34,$AE920)&gt;0,INDEX(Profils!$Z$5:$Z$34,$AE920)&lt;=$AH920),ROUND(INDEX(Profils!$K$5:$K$34,$AE920)*Paramètres!$E$27*$AG920*$AJ920,Paramètres!$F$27),0)</f>
        <v>0</v>
      </c>
      <c r="R920" s="20" t="n">
        <f aca="false" t="array" ref="R920:R920">IF(AND(INDEX(Profils!$L$5:$L$34,$AE920)&gt;0,INDEX(Profils!$AA$5:$AA$34,$AE920)&lt;=$AH920),ROUND(INDEX(Profils!$L$5:$L$34,$AE920)*Paramètres!$E$28*$AG920*$AJ920,Paramètres!$F$28),0)</f>
        <v>0.011</v>
      </c>
      <c r="S920" s="20" t="n">
        <f aca="false" t="array" ref="S920:S920">IF(AND(INDEX(Profils!$M$5:$M$34,$AE920)&gt;0,INDEX(Profils!$AB$5:$AB$34,$AE920)&lt;=$AH920),ROUND(INDEX(Profils!$M$5:$M$34,$AE920)*Paramètres!$E$29*$AG920*$AJ920,Paramètres!$F$29),0)</f>
        <v>0.008</v>
      </c>
      <c r="T920" s="20" t="n">
        <f aca="false" t="array" ref="T920:T920">IF(AND(INDEX(Profils!$N$5:$N$34,$AE920)&gt;0,INDEX(Profils!$AC$5:$AC$34,$AE920)&lt;=$AH920),ROUND(INDEX(Profils!$N$5:$N$34,$AE920)*Paramètres!$E$30*$AG920*$AJ920,Paramètres!$F$30),0)</f>
        <v>0.022</v>
      </c>
      <c r="U920" s="19" t="n">
        <f aca="false" t="array" ref="U920:U920">IF(AND(INDEX(Profils!$O$5:$O$34,$AE920)&gt;0,INDEX(Profils!$AD$5:$AD$34,$AE920)&lt;=$AH920),ROUND(INDEX(Profils!$O$5:$O$34,$AE920)*Paramètres!$E$31*$AG920*$AJ920,Paramètres!$F$31),0)</f>
        <v>0</v>
      </c>
      <c r="V920" s="20" t="n">
        <f aca="false" t="array" ref="V920:V920">IF(AND(INDEX(Profils!$P$5:$P$34,$AE920)&gt;0,INDEX(Profils!$AE$5:$AE$34,$AE920)&lt;=$AH920),ROUND(INDEX(Profils!$P$5:$P$34,$AE920)*Paramètres!$E$32*$AG920*$AJ920,Paramètres!$F$32),0)</f>
        <v>0.01</v>
      </c>
      <c r="W920" s="20" t="n">
        <f aca="false" t="array" ref="W920:W920">IF(AND(INDEX(Profils!$Q$5:$Q$34,$AE920)&gt;0,INDEX(Profils!$AF$5:$AF$34,$AE920)&lt;=$AH920),ROUND(INDEX(Profils!$Q$5:$Q$34,$AE920)*Paramètres!$E$33*$AG920*$AJ920,Paramètres!$F$33),0)</f>
        <v>0</v>
      </c>
      <c r="X920" s="20" t="n">
        <f aca="false" t="array" ref="X920:X920">IF(AND(INDEX(Profils!$R$5:$R$34,$AE920)&gt;0,INDEX(Profils!$AG$5:$AG$34,$AE920)&lt;=$AH920),ROUND(INDEX(Profils!$R$5:$R$34,$AE920)*Paramètres!$E$34*$AG920*$AJ920,Paramètres!$F$34),0)</f>
        <v>0</v>
      </c>
      <c r="Y920" s="20" t="n">
        <f aca="false" t="array" ref="Y920:Y920">IF(AND(INDEX(Profils!$S$5:$S$34,$AE920)&gt;0,INDEX(Profils!$AH$5:$AH$34,$AE920)&lt;=$AH920),ROUND(INDEX(Profils!$S$5:$S$34,$AE920)*Paramètres!$E$35*$AG920*$AJ920,Paramètres!$F$35),0)</f>
        <v>0</v>
      </c>
      <c r="Z920" s="21" t="n">
        <f aca="false">ROUND(L920/Paramètres!$E$22+M920/Paramètres!$E$23+N920/Paramètres!$E$24+O920/Paramètres!$E$25+P920/Paramètres!$E$26+Q920/Paramètres!$E$27+R920/Paramètres!$E$28+S920/Paramètres!$E$29+T920/Paramètres!$E$30+U920/Paramètres!$E$31+V920/Paramètres!$E$32+W920/Paramètres!$E$33+X920/Paramètres!$E$34+Y920/Paramètres!$E$35,1)</f>
        <v>3.5</v>
      </c>
      <c r="AA920" s="22" t="s">
        <v>109</v>
      </c>
      <c r="AB920" s="22" t="s">
        <v>109</v>
      </c>
      <c r="AC920" s="15" t="str">
        <f aca="false">$E920</f>
        <v>cuir clouté</v>
      </c>
      <c r="AD920" s="16" t="n">
        <f aca="false" t="array" ref="AD920:AD920">IF($I920&gt;=$AI920,"Max",ROUND(Paramètres!$B$40*($I920+1)^Paramètres!$B$41*INDEX(Paramètres!$H$6:$H$12,$AF920),0))</f>
        <v>5</v>
      </c>
      <c r="AE920" s="23" t="n">
        <f aca="false">MATCH($B920&amp;"|"&amp;$C920,Profils!$A$5:$A$34,0)</f>
        <v>30</v>
      </c>
      <c r="AF920" s="23" t="n">
        <v>4</v>
      </c>
      <c r="AG920" s="24" t="n">
        <f aca="false" t="array" ref="AG920:AG920">INDEX(Paramètres!$C$6:$C$12,$AF920)</f>
        <v>1.75</v>
      </c>
      <c r="AH920" s="23" t="n">
        <f aca="false" t="array" ref="AH920:AH920">INDEX(Paramètres!$D$6:$D$12,$AF920)</f>
        <v>5</v>
      </c>
      <c r="AI920" s="23" t="n">
        <f aca="false" t="array" ref="AI920:AI920">INDEX(Matériaux!$C$16:$C$20,$D920)</f>
        <v>25</v>
      </c>
      <c r="AJ920" s="25" t="n">
        <f aca="false">Paramètres!$B$16+(1-Paramètres!$B$16)*(($J920-Paramètres!$B$14)/(Paramètres!$B$15-Paramètres!$B$14))^Paramètres!$B$17</f>
        <v>0.26769024555533</v>
      </c>
    </row>
    <row r="921" customFormat="false" ht="15.75" hidden="false" customHeight="true" outlineLevel="0" collapsed="false">
      <c r="A921" s="14" t="s">
        <v>1037</v>
      </c>
      <c r="B921" s="15" t="s">
        <v>31</v>
      </c>
      <c r="C921" s="15" t="s">
        <v>401</v>
      </c>
      <c r="D921" s="16" t="n">
        <v>3</v>
      </c>
      <c r="E921" s="15" t="str">
        <f aca="false" t="array" ref="E921:E921">INDEX(Matériaux!$B$5:$F$12,MATCH(INDEX(Profils!$E$5:$E$34,$AE921),Matériaux!$A$5:$A$12,0),$D921)</f>
        <v>cuir clouté</v>
      </c>
      <c r="F921" s="29" t="s">
        <v>117</v>
      </c>
      <c r="G921" s="10" t="str">
        <f aca="false" t="array" ref="G921:G921">INDEX(Profils!$D$5:$D$34,$AE921)&amp;" en "&amp;$E921</f>
        <v>Carquois en cuir clouté</v>
      </c>
      <c r="H921" s="16" t="n">
        <f aca="false" t="array" ref="H921:H921">INDEX(Matériaux!$B$16:$B$20,$D921)</f>
        <v>30</v>
      </c>
      <c r="I921" s="16" t="n">
        <f aca="false">IF(ISNUMBER($C$3),MIN(MAX(0,ROUND($C$3,0)),$AI921),$AI921)</f>
        <v>0</v>
      </c>
      <c r="J921" s="18" t="n">
        <f aca="false">$H921+$I921</f>
        <v>30</v>
      </c>
      <c r="K921" s="15" t="s">
        <v>109</v>
      </c>
      <c r="L921" s="19" t="n">
        <f aca="false" t="array" ref="L921:L921">IF(AND(INDEX(Profils!$F$5:$F$34,$AE921)&gt;0,INDEX(Profils!$U$5:$U$34,$AE921)&lt;=$AH921),ROUND(INDEX(Profils!$F$5:$F$34,$AE921)*Paramètres!$E$22*$AG921*$AJ921,Paramètres!$F$22),0)</f>
        <v>0</v>
      </c>
      <c r="M921" s="19" t="n">
        <f aca="false" t="array" ref="M921:M921">IF(AND(INDEX(Profils!$G$5:$G$34,$AE921)&gt;0,INDEX(Profils!$V$5:$V$34,$AE921)&lt;=$AH921),ROUND(INDEX(Profils!$G$5:$G$34,$AE921)*Paramètres!$E$23*$AG921*$AJ921,Paramètres!$F$23),0)</f>
        <v>0</v>
      </c>
      <c r="N921" s="19" t="n">
        <f aca="false" t="array" ref="N921:N921">IF(AND(INDEX(Profils!$H$5:$H$34,$AE921)&gt;0,INDEX(Profils!$W$5:$W$34,$AE921)&lt;=$AH921),ROUND(INDEX(Profils!$H$5:$H$34,$AE921)*Paramètres!$E$24*$AG921*$AJ921,Paramètres!$F$24),0)</f>
        <v>0</v>
      </c>
      <c r="O921" s="19" t="n">
        <f aca="false" t="array" ref="O921:O921">IF(AND(INDEX(Profils!$I$5:$I$34,$AE921)&gt;0,INDEX(Profils!$X$5:$X$34,$AE921)&lt;=$AH921),ROUND(INDEX(Profils!$I$5:$I$34,$AE921)*Paramètres!$E$25*$AG921*$AJ921,Paramètres!$F$25),0)</f>
        <v>0</v>
      </c>
      <c r="P921" s="19" t="n">
        <f aca="false" t="array" ref="P921:P921">IF(AND(INDEX(Profils!$J$5:$J$34,$AE921)&gt;0,INDEX(Profils!$Y$5:$Y$34,$AE921)&lt;=$AH921),ROUND(INDEX(Profils!$J$5:$J$34,$AE921)*Paramètres!$E$26*$AG921*$AJ921,Paramètres!$F$26),0)</f>
        <v>9</v>
      </c>
      <c r="Q921" s="19" t="n">
        <f aca="false" t="array" ref="Q921:Q921">IF(AND(INDEX(Profils!$K$5:$K$34,$AE921)&gt;0,INDEX(Profils!$Z$5:$Z$34,$AE921)&lt;=$AH921),ROUND(INDEX(Profils!$K$5:$K$34,$AE921)*Paramètres!$E$27*$AG921*$AJ921,Paramètres!$F$27),0)</f>
        <v>6</v>
      </c>
      <c r="R921" s="20" t="n">
        <f aca="false" t="array" ref="R921:R921">IF(AND(INDEX(Profils!$L$5:$L$34,$AE921)&gt;0,INDEX(Profils!$AA$5:$AA$34,$AE921)&lt;=$AH921),ROUND(INDEX(Profils!$L$5:$L$34,$AE921)*Paramètres!$E$28*$AG921*$AJ921,Paramètres!$F$28),0)</f>
        <v>0.013</v>
      </c>
      <c r="S921" s="20" t="n">
        <f aca="false" t="array" ref="S921:S921">IF(AND(INDEX(Profils!$M$5:$M$34,$AE921)&gt;0,INDEX(Profils!$AB$5:$AB$34,$AE921)&lt;=$AH921),ROUND(INDEX(Profils!$M$5:$M$34,$AE921)*Paramètres!$E$29*$AG921*$AJ921,Paramètres!$F$29),0)</f>
        <v>0.009</v>
      </c>
      <c r="T921" s="20" t="n">
        <f aca="false" t="array" ref="T921:T921">IF(AND(INDEX(Profils!$N$5:$N$34,$AE921)&gt;0,INDEX(Profils!$AC$5:$AC$34,$AE921)&lt;=$AH921),ROUND(INDEX(Profils!$N$5:$N$34,$AE921)*Paramètres!$E$30*$AG921*$AJ921,Paramètres!$F$30),0)</f>
        <v>0.027</v>
      </c>
      <c r="U921" s="19" t="n">
        <f aca="false" t="array" ref="U921:U921">IF(AND(INDEX(Profils!$O$5:$O$34,$AE921)&gt;0,INDEX(Profils!$AD$5:$AD$34,$AE921)&lt;=$AH921),ROUND(INDEX(Profils!$O$5:$O$34,$AE921)*Paramètres!$E$31*$AG921*$AJ921,Paramètres!$F$31),0)</f>
        <v>0</v>
      </c>
      <c r="V921" s="20" t="n">
        <f aca="false" t="array" ref="V921:V921">IF(AND(INDEX(Profils!$P$5:$P$34,$AE921)&gt;0,INDEX(Profils!$AE$5:$AE$34,$AE921)&lt;=$AH921),ROUND(INDEX(Profils!$P$5:$P$34,$AE921)*Paramètres!$E$32*$AG921*$AJ921,Paramètres!$F$32),0)</f>
        <v>0.012</v>
      </c>
      <c r="W921" s="20" t="n">
        <f aca="false" t="array" ref="W921:W921">IF(AND(INDEX(Profils!$Q$5:$Q$34,$AE921)&gt;0,INDEX(Profils!$AF$5:$AF$34,$AE921)&lt;=$AH921),ROUND(INDEX(Profils!$Q$5:$Q$34,$AE921)*Paramètres!$E$33*$AG921*$AJ921,Paramètres!$F$33),0)</f>
        <v>0</v>
      </c>
      <c r="X921" s="20" t="n">
        <f aca="false" t="array" ref="X921:X921">IF(AND(INDEX(Profils!$R$5:$R$34,$AE921)&gt;0,INDEX(Profils!$AG$5:$AG$34,$AE921)&lt;=$AH921),ROUND(INDEX(Profils!$R$5:$R$34,$AE921)*Paramètres!$E$34*$AG921*$AJ921,Paramètres!$F$34),0)</f>
        <v>0</v>
      </c>
      <c r="Y921" s="20" t="n">
        <f aca="false" t="array" ref="Y921:Y921">IF(AND(INDEX(Profils!$S$5:$S$34,$AE921)&gt;0,INDEX(Profils!$AH$5:$AH$34,$AE921)&lt;=$AH921),ROUND(INDEX(Profils!$S$5:$S$34,$AE921)*Paramètres!$E$35*$AG921*$AJ921,Paramètres!$F$35),0)</f>
        <v>0</v>
      </c>
      <c r="Z921" s="21" t="n">
        <f aca="false">ROUND(L921/Paramètres!$E$22+M921/Paramètres!$E$23+N921/Paramètres!$E$24+O921/Paramètres!$E$25+P921/Paramètres!$E$26+Q921/Paramètres!$E$27+R921/Paramètres!$E$28+S921/Paramètres!$E$29+T921/Paramètres!$E$30+U921/Paramètres!$E$31+V921/Paramètres!$E$32+W921/Paramètres!$E$33+X921/Paramètres!$E$34+Y921/Paramètres!$E$35,1)</f>
        <v>4.7</v>
      </c>
      <c r="AA921" s="22" t="s">
        <v>109</v>
      </c>
      <c r="AB921" s="22" t="s">
        <v>109</v>
      </c>
      <c r="AC921" s="15" t="str">
        <f aca="false">$E921</f>
        <v>cuir clouté</v>
      </c>
      <c r="AD921" s="16" t="n">
        <f aca="false" t="array" ref="AD921:AD921">IF($I921&gt;=$AI921,"Max",ROUND(Paramètres!$B$40*($I921+1)^Paramètres!$B$41*INDEX(Paramètres!$H$6:$H$12,$AF921),0))</f>
        <v>6</v>
      </c>
      <c r="AE921" s="23" t="n">
        <f aca="false">MATCH($B921&amp;"|"&amp;$C921,Profils!$A$5:$A$34,0)</f>
        <v>30</v>
      </c>
      <c r="AF921" s="23" t="n">
        <v>5</v>
      </c>
      <c r="AG921" s="24" t="n">
        <f aca="false" t="array" ref="AG921:AG921">INDEX(Paramètres!$C$6:$C$12,$AF921)</f>
        <v>2.1</v>
      </c>
      <c r="AH921" s="23" t="n">
        <f aca="false" t="array" ref="AH921:AH921">INDEX(Paramètres!$D$6:$D$12,$AF921)</f>
        <v>6</v>
      </c>
      <c r="AI921" s="23" t="n">
        <f aca="false" t="array" ref="AI921:AI921">INDEX(Matériaux!$C$16:$C$20,$D921)</f>
        <v>25</v>
      </c>
      <c r="AJ921" s="25" t="n">
        <f aca="false">Paramètres!$B$16+(1-Paramètres!$B$16)*(($J921-Paramètres!$B$14)/(Paramètres!$B$15-Paramètres!$B$14))^Paramètres!$B$17</f>
        <v>0.26769024555533</v>
      </c>
    </row>
    <row r="922" customFormat="false" ht="15.75" hidden="false" customHeight="true" outlineLevel="0" collapsed="false">
      <c r="A922" s="14" t="s">
        <v>1038</v>
      </c>
      <c r="B922" s="15" t="s">
        <v>31</v>
      </c>
      <c r="C922" s="15" t="s">
        <v>401</v>
      </c>
      <c r="D922" s="16" t="n">
        <v>3</v>
      </c>
      <c r="E922" s="15" t="str">
        <f aca="false" t="array" ref="E922:E922">INDEX(Matériaux!$B$5:$F$12,MATCH(INDEX(Profils!$E$5:$E$34,$AE922),Matériaux!$A$5:$A$12,0),$D922)</f>
        <v>cuir clouté</v>
      </c>
      <c r="F922" s="30" t="s">
        <v>119</v>
      </c>
      <c r="G922" s="10" t="str">
        <f aca="false" t="array" ref="G922:G922">INDEX(Profils!$D$5:$D$34,$AE922)&amp;" en "&amp;$E922</f>
        <v>Carquois en cuir clouté</v>
      </c>
      <c r="H922" s="16" t="n">
        <f aca="false" t="array" ref="H922:H922">INDEX(Matériaux!$B$16:$B$20,$D922)</f>
        <v>30</v>
      </c>
      <c r="I922" s="16" t="n">
        <f aca="false">IF(ISNUMBER($C$3),MIN(MAX(0,ROUND($C$3,0)),$AI922),$AI922)</f>
        <v>0</v>
      </c>
      <c r="J922" s="18" t="n">
        <f aca="false">$H922+$I922</f>
        <v>30</v>
      </c>
      <c r="K922" s="15" t="s">
        <v>109</v>
      </c>
      <c r="L922" s="19" t="n">
        <f aca="false" t="array" ref="L922:L922">IF(AND(INDEX(Profils!$F$5:$F$34,$AE922)&gt;0,INDEX(Profils!$U$5:$U$34,$AE922)&lt;=$AH922),ROUND(INDEX(Profils!$F$5:$F$34,$AE922)*Paramètres!$E$22*$AG922*$AJ922,Paramètres!$F$22),0)</f>
        <v>0</v>
      </c>
      <c r="M922" s="19" t="n">
        <f aca="false" t="array" ref="M922:M922">IF(AND(INDEX(Profils!$G$5:$G$34,$AE922)&gt;0,INDEX(Profils!$V$5:$V$34,$AE922)&lt;=$AH922),ROUND(INDEX(Profils!$G$5:$G$34,$AE922)*Paramètres!$E$23*$AG922*$AJ922,Paramètres!$F$23),0)</f>
        <v>9</v>
      </c>
      <c r="N922" s="19" t="n">
        <f aca="false" t="array" ref="N922:N922">IF(AND(INDEX(Profils!$H$5:$H$34,$AE922)&gt;0,INDEX(Profils!$W$5:$W$34,$AE922)&lt;=$AH922),ROUND(INDEX(Profils!$H$5:$H$34,$AE922)*Paramètres!$E$24*$AG922*$AJ922,Paramètres!$F$24),0)</f>
        <v>0</v>
      </c>
      <c r="O922" s="19" t="n">
        <f aca="false" t="array" ref="O922:O922">IF(AND(INDEX(Profils!$I$5:$I$34,$AE922)&gt;0,INDEX(Profils!$X$5:$X$34,$AE922)&lt;=$AH922),ROUND(INDEX(Profils!$I$5:$I$34,$AE922)*Paramètres!$E$25*$AG922*$AJ922,Paramètres!$F$25),0)</f>
        <v>0</v>
      </c>
      <c r="P922" s="19" t="n">
        <f aca="false" t="array" ref="P922:P922">IF(AND(INDEX(Profils!$J$5:$J$34,$AE922)&gt;0,INDEX(Profils!$Y$5:$Y$34,$AE922)&lt;=$AH922),ROUND(INDEX(Profils!$J$5:$J$34,$AE922)*Paramètres!$E$26*$AG922*$AJ922,Paramètres!$F$26),0)</f>
        <v>11</v>
      </c>
      <c r="Q922" s="19" t="n">
        <f aca="false" t="array" ref="Q922:Q922">IF(AND(INDEX(Profils!$K$5:$K$34,$AE922)&gt;0,INDEX(Profils!$Z$5:$Z$34,$AE922)&lt;=$AH922),ROUND(INDEX(Profils!$K$5:$K$34,$AE922)*Paramètres!$E$27*$AG922*$AJ922,Paramètres!$F$27),0)</f>
        <v>6</v>
      </c>
      <c r="R922" s="20" t="n">
        <f aca="false" t="array" ref="R922:R922">IF(AND(INDEX(Profils!$L$5:$L$34,$AE922)&gt;0,INDEX(Profils!$AA$5:$AA$34,$AE922)&lt;=$AH922),ROUND(INDEX(Profils!$L$5:$L$34,$AE922)*Paramètres!$E$28*$AG922*$AJ922,Paramètres!$F$28),0)</f>
        <v>0.015</v>
      </c>
      <c r="S922" s="20" t="n">
        <f aca="false" t="array" ref="S922:S922">IF(AND(INDEX(Profils!$M$5:$M$34,$AE922)&gt;0,INDEX(Profils!$AB$5:$AB$34,$AE922)&lt;=$AH922),ROUND(INDEX(Profils!$M$5:$M$34,$AE922)*Paramètres!$E$29*$AG922*$AJ922,Paramètres!$F$29),0)</f>
        <v>0.011</v>
      </c>
      <c r="T922" s="20" t="n">
        <f aca="false" t="array" ref="T922:T922">IF(AND(INDEX(Profils!$N$5:$N$34,$AE922)&gt;0,INDEX(Profils!$AC$5:$AC$34,$AE922)&lt;=$AH922),ROUND(INDEX(Profils!$N$5:$N$34,$AE922)*Paramètres!$E$30*$AG922*$AJ922,Paramètres!$F$30),0)</f>
        <v>0.031</v>
      </c>
      <c r="U922" s="19" t="n">
        <f aca="false" t="array" ref="U922:U922">IF(AND(INDEX(Profils!$O$5:$O$34,$AE922)&gt;0,INDEX(Profils!$AD$5:$AD$34,$AE922)&lt;=$AH922),ROUND(INDEX(Profils!$O$5:$O$34,$AE922)*Paramètres!$E$31*$AG922*$AJ922,Paramètres!$F$31),0)</f>
        <v>0</v>
      </c>
      <c r="V922" s="20" t="n">
        <f aca="false" t="array" ref="V922:V922">IF(AND(INDEX(Profils!$P$5:$P$34,$AE922)&gt;0,INDEX(Profils!$AE$5:$AE$34,$AE922)&lt;=$AH922),ROUND(INDEX(Profils!$P$5:$P$34,$AE922)*Paramètres!$E$32*$AG922*$AJ922,Paramètres!$F$32),0)</f>
        <v>0.013</v>
      </c>
      <c r="W922" s="20" t="n">
        <f aca="false" t="array" ref="W922:W922">IF(AND(INDEX(Profils!$Q$5:$Q$34,$AE922)&gt;0,INDEX(Profils!$AF$5:$AF$34,$AE922)&lt;=$AH922),ROUND(INDEX(Profils!$Q$5:$Q$34,$AE922)*Paramètres!$E$33*$AG922*$AJ922,Paramètres!$F$33),0)</f>
        <v>0</v>
      </c>
      <c r="X922" s="20" t="n">
        <f aca="false" t="array" ref="X922:X922">IF(AND(INDEX(Profils!$R$5:$R$34,$AE922)&gt;0,INDEX(Profils!$AG$5:$AG$34,$AE922)&lt;=$AH922),ROUND(INDEX(Profils!$R$5:$R$34,$AE922)*Paramètres!$E$34*$AG922*$AJ922,Paramètres!$F$34),0)</f>
        <v>0</v>
      </c>
      <c r="Y922" s="20" t="n">
        <f aca="false" t="array" ref="Y922:Y922">IF(AND(INDEX(Profils!$S$5:$S$34,$AE922)&gt;0,INDEX(Profils!$AH$5:$AH$34,$AE922)&lt;=$AH922),ROUND(INDEX(Profils!$S$5:$S$34,$AE922)*Paramètres!$E$35*$AG922*$AJ922,Paramètres!$F$35),0)</f>
        <v>0</v>
      </c>
      <c r="Z922" s="21" t="n">
        <f aca="false">ROUND(L922/Paramètres!$E$22+M922/Paramètres!$E$23+N922/Paramètres!$E$24+O922/Paramètres!$E$25+P922/Paramètres!$E$26+Q922/Paramètres!$E$27+R922/Paramètres!$E$28+S922/Paramètres!$E$29+T922/Paramètres!$E$30+U922/Paramètres!$E$31+V922/Paramètres!$E$32+W922/Paramètres!$E$33+X922/Paramètres!$E$34+Y922/Paramètres!$E$35,1)</f>
        <v>5.9</v>
      </c>
      <c r="AA922" s="22" t="s">
        <v>109</v>
      </c>
      <c r="AB922" s="22" t="s">
        <v>109</v>
      </c>
      <c r="AC922" s="15" t="str">
        <f aca="false">$E922</f>
        <v>cuir clouté</v>
      </c>
      <c r="AD922" s="16" t="n">
        <f aca="false" t="array" ref="AD922:AD922">IF($I922&gt;=$AI922,"Max",ROUND(Paramètres!$B$40*($I922+1)^Paramètres!$B$41*INDEX(Paramètres!$H$6:$H$12,$AF922),0))</f>
        <v>8</v>
      </c>
      <c r="AE922" s="23" t="n">
        <f aca="false">MATCH($B922&amp;"|"&amp;$C922,Profils!$A$5:$A$34,0)</f>
        <v>30</v>
      </c>
      <c r="AF922" s="23" t="n">
        <v>6</v>
      </c>
      <c r="AG922" s="24" t="n">
        <f aca="false" t="array" ref="AG922:AG922">INDEX(Paramètres!$C$6:$C$12,$AF922)</f>
        <v>2.4</v>
      </c>
      <c r="AH922" s="23" t="n">
        <f aca="false" t="array" ref="AH922:AH922">INDEX(Paramètres!$D$6:$D$12,$AF922)</f>
        <v>7</v>
      </c>
      <c r="AI922" s="23" t="n">
        <f aca="false" t="array" ref="AI922:AI922">INDEX(Matériaux!$C$16:$C$20,$D922)</f>
        <v>25</v>
      </c>
      <c r="AJ922" s="25" t="n">
        <f aca="false">Paramètres!$B$16+(1-Paramètres!$B$16)*(($J922-Paramètres!$B$14)/(Paramètres!$B$15-Paramètres!$B$14))^Paramètres!$B$17</f>
        <v>0.26769024555533</v>
      </c>
    </row>
    <row r="923" customFormat="false" ht="15.75" hidden="false" customHeight="true" outlineLevel="0" collapsed="false">
      <c r="A923" s="14" t="s">
        <v>1039</v>
      </c>
      <c r="B923" s="15" t="s">
        <v>31</v>
      </c>
      <c r="C923" s="15" t="s">
        <v>401</v>
      </c>
      <c r="D923" s="16" t="n">
        <v>4</v>
      </c>
      <c r="E923" s="15" t="str">
        <f aca="false" t="array" ref="E923:E923">INDEX(Matériaux!$B$5:$F$12,MATCH(INDEX(Profils!$E$5:$E$34,$AE923),Matériaux!$A$5:$A$12,0),$D923)</f>
        <v>écailles</v>
      </c>
      <c r="F923" s="17" t="s">
        <v>108</v>
      </c>
      <c r="G923" s="10" t="str">
        <f aca="false" t="array" ref="G923:G923">INDEX(Profils!$D$5:$D$34,$AE923)&amp;" en "&amp;$E923</f>
        <v>Carquois en écailles</v>
      </c>
      <c r="H923" s="16" t="n">
        <f aca="false" t="array" ref="H923:H923">INDEX(Matériaux!$B$16:$B$20,$D923)</f>
        <v>50</v>
      </c>
      <c r="I923" s="16" t="n">
        <f aca="false">IF(ISNUMBER($C$3),MIN(MAX(0,ROUND($C$3,0)),$AI923),$AI923)</f>
        <v>0</v>
      </c>
      <c r="J923" s="18" t="n">
        <f aca="false">$H923+$I923</f>
        <v>50</v>
      </c>
      <c r="K923" s="15" t="s">
        <v>109</v>
      </c>
      <c r="L923" s="19" t="n">
        <f aca="false" t="array" ref="L923:L923">IF(AND(INDEX(Profils!$F$5:$F$34,$AE923)&gt;0,INDEX(Profils!$U$5:$U$34,$AE923)&lt;=$AH923),ROUND(INDEX(Profils!$F$5:$F$34,$AE923)*Paramètres!$E$22*$AG923*$AJ923,Paramètres!$F$22),0)</f>
        <v>0</v>
      </c>
      <c r="M923" s="19" t="n">
        <f aca="false" t="array" ref="M923:M923">IF(AND(INDEX(Profils!$G$5:$G$34,$AE923)&gt;0,INDEX(Profils!$V$5:$V$34,$AE923)&lt;=$AH923),ROUND(INDEX(Profils!$G$5:$G$34,$AE923)*Paramètres!$E$23*$AG923*$AJ923,Paramètres!$F$23),0)</f>
        <v>0</v>
      </c>
      <c r="N923" s="19" t="n">
        <f aca="false" t="array" ref="N923:N923">IF(AND(INDEX(Profils!$H$5:$H$34,$AE923)&gt;0,INDEX(Profils!$W$5:$W$34,$AE923)&lt;=$AH923),ROUND(INDEX(Profils!$H$5:$H$34,$AE923)*Paramètres!$E$24*$AG923*$AJ923,Paramètres!$F$24),0)</f>
        <v>0</v>
      </c>
      <c r="O923" s="19" t="n">
        <f aca="false" t="array" ref="O923:O923">IF(AND(INDEX(Profils!$I$5:$I$34,$AE923)&gt;0,INDEX(Profils!$X$5:$X$34,$AE923)&lt;=$AH923),ROUND(INDEX(Profils!$I$5:$I$34,$AE923)*Paramètres!$E$25*$AG923*$AJ923,Paramètres!$F$25),0)</f>
        <v>0</v>
      </c>
      <c r="P923" s="19" t="n">
        <f aca="false" t="array" ref="P923:P923">IF(AND(INDEX(Profils!$J$5:$J$34,$AE923)&gt;0,INDEX(Profils!$Y$5:$Y$34,$AE923)&lt;=$AH923),ROUND(INDEX(Profils!$J$5:$J$34,$AE923)*Paramètres!$E$26*$AG923*$AJ923,Paramètres!$F$26),0)</f>
        <v>0</v>
      </c>
      <c r="Q923" s="19" t="n">
        <f aca="false" t="array" ref="Q923:Q923">IF(AND(INDEX(Profils!$K$5:$K$34,$AE923)&gt;0,INDEX(Profils!$Z$5:$Z$34,$AE923)&lt;=$AH923),ROUND(INDEX(Profils!$K$5:$K$34,$AE923)*Paramètres!$E$27*$AG923*$AJ923,Paramètres!$F$27),0)</f>
        <v>0</v>
      </c>
      <c r="R923" s="20" t="n">
        <f aca="false" t="array" ref="R923:R923">IF(AND(INDEX(Profils!$L$5:$L$34,$AE923)&gt;0,INDEX(Profils!$AA$5:$AA$34,$AE923)&lt;=$AH923),ROUND(INDEX(Profils!$L$5:$L$34,$AE923)*Paramètres!$E$28*$AG923*$AJ923,Paramètres!$F$28),0)</f>
        <v>0.011</v>
      </c>
      <c r="S923" s="20" t="n">
        <f aca="false" t="array" ref="S923:S923">IF(AND(INDEX(Profils!$M$5:$M$34,$AE923)&gt;0,INDEX(Profils!$AB$5:$AB$34,$AE923)&lt;=$AH923),ROUND(INDEX(Profils!$M$5:$M$34,$AE923)*Paramètres!$E$29*$AG923*$AJ923,Paramètres!$F$29),0)</f>
        <v>0</v>
      </c>
      <c r="T923" s="20" t="n">
        <f aca="false" t="array" ref="T923:T923">IF(AND(INDEX(Profils!$N$5:$N$34,$AE923)&gt;0,INDEX(Profils!$AC$5:$AC$34,$AE923)&lt;=$AH923),ROUND(INDEX(Profils!$N$5:$N$34,$AE923)*Paramètres!$E$30*$AG923*$AJ923,Paramètres!$F$30),0)</f>
        <v>0.022</v>
      </c>
      <c r="U923" s="19" t="n">
        <f aca="false" t="array" ref="U923:U923">IF(AND(INDEX(Profils!$O$5:$O$34,$AE923)&gt;0,INDEX(Profils!$AD$5:$AD$34,$AE923)&lt;=$AH923),ROUND(INDEX(Profils!$O$5:$O$34,$AE923)*Paramètres!$E$31*$AG923*$AJ923,Paramètres!$F$31),0)</f>
        <v>0</v>
      </c>
      <c r="V923" s="20" t="n">
        <f aca="false" t="array" ref="V923:V923">IF(AND(INDEX(Profils!$P$5:$P$34,$AE923)&gt;0,INDEX(Profils!$AE$5:$AE$34,$AE923)&lt;=$AH923),ROUND(INDEX(Profils!$P$5:$P$34,$AE923)*Paramètres!$E$32*$AG923*$AJ923,Paramètres!$F$32),0)</f>
        <v>0</v>
      </c>
      <c r="W923" s="20" t="n">
        <f aca="false" t="array" ref="W923:W923">IF(AND(INDEX(Profils!$Q$5:$Q$34,$AE923)&gt;0,INDEX(Profils!$AF$5:$AF$34,$AE923)&lt;=$AH923),ROUND(INDEX(Profils!$Q$5:$Q$34,$AE923)*Paramètres!$E$33*$AG923*$AJ923,Paramètres!$F$33),0)</f>
        <v>0</v>
      </c>
      <c r="X923" s="20" t="n">
        <f aca="false" t="array" ref="X923:X923">IF(AND(INDEX(Profils!$R$5:$R$34,$AE923)&gt;0,INDEX(Profils!$AG$5:$AG$34,$AE923)&lt;=$AH923),ROUND(INDEX(Profils!$R$5:$R$34,$AE923)*Paramètres!$E$34*$AG923*$AJ923,Paramètres!$F$34),0)</f>
        <v>0</v>
      </c>
      <c r="Y923" s="20" t="n">
        <f aca="false" t="array" ref="Y923:Y923">IF(AND(INDEX(Profils!$S$5:$S$34,$AE923)&gt;0,INDEX(Profils!$AH$5:$AH$34,$AE923)&lt;=$AH923),ROUND(INDEX(Profils!$S$5:$S$34,$AE923)*Paramètres!$E$35*$AG923*$AJ923,Paramètres!$F$35),0)</f>
        <v>0</v>
      </c>
      <c r="Z923" s="21" t="n">
        <f aca="false">ROUND(L923/Paramètres!$E$22+M923/Paramètres!$E$23+N923/Paramètres!$E$24+O923/Paramètres!$E$25+P923/Paramètres!$E$26+Q923/Paramètres!$E$27+R923/Paramètres!$E$28+S923/Paramètres!$E$29+T923/Paramètres!$E$30+U923/Paramètres!$E$31+V923/Paramètres!$E$32+W923/Paramètres!$E$33+X923/Paramètres!$E$34+Y923/Paramètres!$E$35,1)</f>
        <v>1.5</v>
      </c>
      <c r="AA923" s="22" t="s">
        <v>109</v>
      </c>
      <c r="AB923" s="22" t="s">
        <v>109</v>
      </c>
      <c r="AC923" s="15" t="str">
        <f aca="false">$E923</f>
        <v>écailles</v>
      </c>
      <c r="AD923" s="16" t="n">
        <f aca="false" t="array" ref="AD923:AD923">IF($I923&gt;=$AI923,"Max",ROUND(Paramètres!$B$40*($I923+1)^Paramètres!$B$41*INDEX(Paramètres!$H$6:$H$12,$AF923),0))</f>
        <v>3</v>
      </c>
      <c r="AE923" s="23" t="n">
        <f aca="false">MATCH($B923&amp;"|"&amp;$C923,Profils!$A$5:$A$34,0)</f>
        <v>30</v>
      </c>
      <c r="AF923" s="23" t="n">
        <v>1</v>
      </c>
      <c r="AG923" s="24" t="n">
        <f aca="false" t="array" ref="AG923:AG923">INDEX(Paramètres!$C$6:$C$12,$AF923)</f>
        <v>1</v>
      </c>
      <c r="AH923" s="23" t="n">
        <f aca="false" t="array" ref="AH923:AH923">INDEX(Paramètres!$D$6:$D$12,$AF923)</f>
        <v>2</v>
      </c>
      <c r="AI923" s="23" t="n">
        <f aca="false" t="array" ref="AI923:AI923">INDEX(Matériaux!$C$16:$C$20,$D923)</f>
        <v>25</v>
      </c>
      <c r="AJ923" s="25" t="n">
        <f aca="false">Paramètres!$B$16+(1-Paramètres!$B$16)*(($J923-Paramètres!$B$14)/(Paramètres!$B$15-Paramètres!$B$14))^Paramètres!$B$17</f>
        <v>0.458504333336152</v>
      </c>
    </row>
    <row r="924" customFormat="false" ht="15.75" hidden="false" customHeight="true" outlineLevel="0" collapsed="false">
      <c r="A924" s="14" t="s">
        <v>1040</v>
      </c>
      <c r="B924" s="15" t="s">
        <v>31</v>
      </c>
      <c r="C924" s="15" t="s">
        <v>401</v>
      </c>
      <c r="D924" s="16" t="n">
        <v>4</v>
      </c>
      <c r="E924" s="15" t="str">
        <f aca="false" t="array" ref="E924:E924">INDEX(Matériaux!$B$5:$F$12,MATCH(INDEX(Profils!$E$5:$E$34,$AE924),Matériaux!$A$5:$A$12,0),$D924)</f>
        <v>écailles</v>
      </c>
      <c r="F924" s="26" t="s">
        <v>111</v>
      </c>
      <c r="G924" s="10" t="str">
        <f aca="false" t="array" ref="G924:G924">INDEX(Profils!$D$5:$D$34,$AE924)&amp;" en "&amp;$E924</f>
        <v>Carquois en écailles</v>
      </c>
      <c r="H924" s="16" t="n">
        <f aca="false" t="array" ref="H924:H924">INDEX(Matériaux!$B$16:$B$20,$D924)</f>
        <v>50</v>
      </c>
      <c r="I924" s="16" t="n">
        <f aca="false">IF(ISNUMBER($C$3),MIN(MAX(0,ROUND($C$3,0)),$AI924),$AI924)</f>
        <v>0</v>
      </c>
      <c r="J924" s="18" t="n">
        <f aca="false">$H924+$I924</f>
        <v>50</v>
      </c>
      <c r="K924" s="15" t="s">
        <v>109</v>
      </c>
      <c r="L924" s="19" t="n">
        <f aca="false" t="array" ref="L924:L924">IF(AND(INDEX(Profils!$F$5:$F$34,$AE924)&gt;0,INDEX(Profils!$U$5:$U$34,$AE924)&lt;=$AH924),ROUND(INDEX(Profils!$F$5:$F$34,$AE924)*Paramètres!$E$22*$AG924*$AJ924,Paramètres!$F$22),0)</f>
        <v>0</v>
      </c>
      <c r="M924" s="19" t="n">
        <f aca="false" t="array" ref="M924:M924">IF(AND(INDEX(Profils!$G$5:$G$34,$AE924)&gt;0,INDEX(Profils!$V$5:$V$34,$AE924)&lt;=$AH924),ROUND(INDEX(Profils!$G$5:$G$34,$AE924)*Paramètres!$E$23*$AG924*$AJ924,Paramètres!$F$23),0)</f>
        <v>0</v>
      </c>
      <c r="N924" s="19" t="n">
        <f aca="false" t="array" ref="N924:N924">IF(AND(INDEX(Profils!$H$5:$H$34,$AE924)&gt;0,INDEX(Profils!$W$5:$W$34,$AE924)&lt;=$AH924),ROUND(INDEX(Profils!$H$5:$H$34,$AE924)*Paramètres!$E$24*$AG924*$AJ924,Paramètres!$F$24),0)</f>
        <v>0</v>
      </c>
      <c r="O924" s="19" t="n">
        <f aca="false" t="array" ref="O924:O924">IF(AND(INDEX(Profils!$I$5:$I$34,$AE924)&gt;0,INDEX(Profils!$X$5:$X$34,$AE924)&lt;=$AH924),ROUND(INDEX(Profils!$I$5:$I$34,$AE924)*Paramètres!$E$25*$AG924*$AJ924,Paramètres!$F$25),0)</f>
        <v>0</v>
      </c>
      <c r="P924" s="19" t="n">
        <f aca="false" t="array" ref="P924:P924">IF(AND(INDEX(Profils!$J$5:$J$34,$AE924)&gt;0,INDEX(Profils!$Y$5:$Y$34,$AE924)&lt;=$AH924),ROUND(INDEX(Profils!$J$5:$J$34,$AE924)*Paramètres!$E$26*$AG924*$AJ924,Paramètres!$F$26),0)</f>
        <v>9</v>
      </c>
      <c r="Q924" s="19" t="n">
        <f aca="false" t="array" ref="Q924:Q924">IF(AND(INDEX(Profils!$K$5:$K$34,$AE924)&gt;0,INDEX(Profils!$Z$5:$Z$34,$AE924)&lt;=$AH924),ROUND(INDEX(Profils!$K$5:$K$34,$AE924)*Paramètres!$E$27*$AG924*$AJ924,Paramètres!$F$27),0)</f>
        <v>0</v>
      </c>
      <c r="R924" s="20" t="n">
        <f aca="false" t="array" ref="R924:R924">IF(AND(INDEX(Profils!$L$5:$L$34,$AE924)&gt;0,INDEX(Profils!$AA$5:$AA$34,$AE924)&lt;=$AH924),ROUND(INDEX(Profils!$L$5:$L$34,$AE924)*Paramètres!$E$28*$AG924*$AJ924,Paramètres!$F$28),0)</f>
        <v>0.013</v>
      </c>
      <c r="S924" s="20" t="n">
        <f aca="false" t="array" ref="S924:S924">IF(AND(INDEX(Profils!$M$5:$M$34,$AE924)&gt;0,INDEX(Profils!$AB$5:$AB$34,$AE924)&lt;=$AH924),ROUND(INDEX(Profils!$M$5:$M$34,$AE924)*Paramètres!$E$29*$AG924*$AJ924,Paramètres!$F$29),0)</f>
        <v>0</v>
      </c>
      <c r="T924" s="20" t="n">
        <f aca="false" t="array" ref="T924:T924">IF(AND(INDEX(Profils!$N$5:$N$34,$AE924)&gt;0,INDEX(Profils!$AC$5:$AC$34,$AE924)&lt;=$AH924),ROUND(INDEX(Profils!$N$5:$N$34,$AE924)*Paramètres!$E$30*$AG924*$AJ924,Paramètres!$F$30),0)</f>
        <v>0.026</v>
      </c>
      <c r="U924" s="19" t="n">
        <f aca="false" t="array" ref="U924:U924">IF(AND(INDEX(Profils!$O$5:$O$34,$AE924)&gt;0,INDEX(Profils!$AD$5:$AD$34,$AE924)&lt;=$AH924),ROUND(INDEX(Profils!$O$5:$O$34,$AE924)*Paramètres!$E$31*$AG924*$AJ924,Paramètres!$F$31),0)</f>
        <v>0</v>
      </c>
      <c r="V924" s="20" t="n">
        <f aca="false" t="array" ref="V924:V924">IF(AND(INDEX(Profils!$P$5:$P$34,$AE924)&gt;0,INDEX(Profils!$AE$5:$AE$34,$AE924)&lt;=$AH924),ROUND(INDEX(Profils!$P$5:$P$34,$AE924)*Paramètres!$E$32*$AG924*$AJ924,Paramètres!$F$32),0)</f>
        <v>0</v>
      </c>
      <c r="W924" s="20" t="n">
        <f aca="false" t="array" ref="W924:W924">IF(AND(INDEX(Profils!$Q$5:$Q$34,$AE924)&gt;0,INDEX(Profils!$AF$5:$AF$34,$AE924)&lt;=$AH924),ROUND(INDEX(Profils!$Q$5:$Q$34,$AE924)*Paramètres!$E$33*$AG924*$AJ924,Paramètres!$F$33),0)</f>
        <v>0</v>
      </c>
      <c r="X924" s="20" t="n">
        <f aca="false" t="array" ref="X924:X924">IF(AND(INDEX(Profils!$R$5:$R$34,$AE924)&gt;0,INDEX(Profils!$AG$5:$AG$34,$AE924)&lt;=$AH924),ROUND(INDEX(Profils!$R$5:$R$34,$AE924)*Paramètres!$E$34*$AG924*$AJ924,Paramètres!$F$34),0)</f>
        <v>0</v>
      </c>
      <c r="Y924" s="20" t="n">
        <f aca="false" t="array" ref="Y924:Y924">IF(AND(INDEX(Profils!$S$5:$S$34,$AE924)&gt;0,INDEX(Profils!$AH$5:$AH$34,$AE924)&lt;=$AH924),ROUND(INDEX(Profils!$S$5:$S$34,$AE924)*Paramètres!$E$35*$AG924*$AJ924,Paramètres!$F$35),0)</f>
        <v>0</v>
      </c>
      <c r="Z924" s="21" t="n">
        <f aca="false">ROUND(L924/Paramètres!$E$22+M924/Paramètres!$E$23+N924/Paramètres!$E$24+O924/Paramètres!$E$25+P924/Paramètres!$E$26+Q924/Paramètres!$E$27+R924/Paramètres!$E$28+S924/Paramètres!$E$29+T924/Paramètres!$E$30+U924/Paramètres!$E$31+V924/Paramètres!$E$32+W924/Paramètres!$E$33+X924/Paramètres!$E$34+Y924/Paramètres!$E$35,1)</f>
        <v>2.5</v>
      </c>
      <c r="AA924" s="22" t="s">
        <v>109</v>
      </c>
      <c r="AB924" s="22" t="s">
        <v>109</v>
      </c>
      <c r="AC924" s="15" t="str">
        <f aca="false">$E924</f>
        <v>écailles</v>
      </c>
      <c r="AD924" s="16" t="n">
        <f aca="false" t="array" ref="AD924:AD924">IF($I924&gt;=$AI924,"Max",ROUND(Paramètres!$B$40*($I924+1)^Paramètres!$B$41*INDEX(Paramètres!$H$6:$H$12,$AF924),0))</f>
        <v>4</v>
      </c>
      <c r="AE924" s="23" t="n">
        <f aca="false">MATCH($B924&amp;"|"&amp;$C924,Profils!$A$5:$A$34,0)</f>
        <v>30</v>
      </c>
      <c r="AF924" s="23" t="n">
        <v>2</v>
      </c>
      <c r="AG924" s="24" t="n">
        <f aca="false" t="array" ref="AG924:AG924">INDEX(Paramètres!$C$6:$C$12,$AF924)</f>
        <v>1.2</v>
      </c>
      <c r="AH924" s="23" t="n">
        <f aca="false" t="array" ref="AH924:AH924">INDEX(Paramètres!$D$6:$D$12,$AF924)</f>
        <v>3</v>
      </c>
      <c r="AI924" s="23" t="n">
        <f aca="false" t="array" ref="AI924:AI924">INDEX(Matériaux!$C$16:$C$20,$D924)</f>
        <v>25</v>
      </c>
      <c r="AJ924" s="25" t="n">
        <f aca="false">Paramètres!$B$16+(1-Paramètres!$B$16)*(($J924-Paramètres!$B$14)/(Paramètres!$B$15-Paramètres!$B$14))^Paramètres!$B$17</f>
        <v>0.458504333336152</v>
      </c>
    </row>
    <row r="925" customFormat="false" ht="15.75" hidden="false" customHeight="true" outlineLevel="0" collapsed="false">
      <c r="A925" s="14" t="s">
        <v>1041</v>
      </c>
      <c r="B925" s="15" t="s">
        <v>31</v>
      </c>
      <c r="C925" s="15" t="s">
        <v>401</v>
      </c>
      <c r="D925" s="16" t="n">
        <v>4</v>
      </c>
      <c r="E925" s="15" t="str">
        <f aca="false" t="array" ref="E925:E925">INDEX(Matériaux!$B$5:$F$12,MATCH(INDEX(Profils!$E$5:$E$34,$AE925),Matériaux!$A$5:$A$12,0),$D925)</f>
        <v>écailles</v>
      </c>
      <c r="F925" s="27" t="s">
        <v>113</v>
      </c>
      <c r="G925" s="10" t="str">
        <f aca="false" t="array" ref="G925:G925">INDEX(Profils!$D$5:$D$34,$AE925)&amp;" en "&amp;$E925</f>
        <v>Carquois en écailles</v>
      </c>
      <c r="H925" s="16" t="n">
        <f aca="false" t="array" ref="H925:H925">INDEX(Matériaux!$B$16:$B$20,$D925)</f>
        <v>50</v>
      </c>
      <c r="I925" s="16" t="n">
        <f aca="false">IF(ISNUMBER($C$3),MIN(MAX(0,ROUND($C$3,0)),$AI925),$AI925)</f>
        <v>0</v>
      </c>
      <c r="J925" s="18" t="n">
        <f aca="false">$H925+$I925</f>
        <v>50</v>
      </c>
      <c r="K925" s="15" t="s">
        <v>109</v>
      </c>
      <c r="L925" s="19" t="n">
        <f aca="false" t="array" ref="L925:L925">IF(AND(INDEX(Profils!$F$5:$F$34,$AE925)&gt;0,INDEX(Profils!$U$5:$U$34,$AE925)&lt;=$AH925),ROUND(INDEX(Profils!$F$5:$F$34,$AE925)*Paramètres!$E$22*$AG925*$AJ925,Paramètres!$F$22),0)</f>
        <v>0</v>
      </c>
      <c r="M925" s="19" t="n">
        <f aca="false" t="array" ref="M925:M925">IF(AND(INDEX(Profils!$G$5:$G$34,$AE925)&gt;0,INDEX(Profils!$V$5:$V$34,$AE925)&lt;=$AH925),ROUND(INDEX(Profils!$G$5:$G$34,$AE925)*Paramètres!$E$23*$AG925*$AJ925,Paramètres!$F$23),0)</f>
        <v>0</v>
      </c>
      <c r="N925" s="19" t="n">
        <f aca="false" t="array" ref="N925:N925">IF(AND(INDEX(Profils!$H$5:$H$34,$AE925)&gt;0,INDEX(Profils!$W$5:$W$34,$AE925)&lt;=$AH925),ROUND(INDEX(Profils!$H$5:$H$34,$AE925)*Paramètres!$E$24*$AG925*$AJ925,Paramètres!$F$24),0)</f>
        <v>0</v>
      </c>
      <c r="O925" s="19" t="n">
        <f aca="false" t="array" ref="O925:O925">IF(AND(INDEX(Profils!$I$5:$I$34,$AE925)&gt;0,INDEX(Profils!$X$5:$X$34,$AE925)&lt;=$AH925),ROUND(INDEX(Profils!$I$5:$I$34,$AE925)*Paramètres!$E$25*$AG925*$AJ925,Paramètres!$F$25),0)</f>
        <v>0</v>
      </c>
      <c r="P925" s="19" t="n">
        <f aca="false" t="array" ref="P925:P925">IF(AND(INDEX(Profils!$J$5:$J$34,$AE925)&gt;0,INDEX(Profils!$Y$5:$Y$34,$AE925)&lt;=$AH925),ROUND(INDEX(Profils!$J$5:$J$34,$AE925)*Paramètres!$E$26*$AG925*$AJ925,Paramètres!$F$26),0)</f>
        <v>11</v>
      </c>
      <c r="Q925" s="19" t="n">
        <f aca="false" t="array" ref="Q925:Q925">IF(AND(INDEX(Profils!$K$5:$K$34,$AE925)&gt;0,INDEX(Profils!$Z$5:$Z$34,$AE925)&lt;=$AH925),ROUND(INDEX(Profils!$K$5:$K$34,$AE925)*Paramètres!$E$27*$AG925*$AJ925,Paramètres!$F$27),0)</f>
        <v>0</v>
      </c>
      <c r="R925" s="20" t="n">
        <f aca="false" t="array" ref="R925:R925">IF(AND(INDEX(Profils!$L$5:$L$34,$AE925)&gt;0,INDEX(Profils!$AA$5:$AA$34,$AE925)&lt;=$AH925),ROUND(INDEX(Profils!$L$5:$L$34,$AE925)*Paramètres!$E$28*$AG925*$AJ925,Paramètres!$F$28),0)</f>
        <v>0.016</v>
      </c>
      <c r="S925" s="20" t="n">
        <f aca="false" t="array" ref="S925:S925">IF(AND(INDEX(Profils!$M$5:$M$34,$AE925)&gt;0,INDEX(Profils!$AB$5:$AB$34,$AE925)&lt;=$AH925),ROUND(INDEX(Profils!$M$5:$M$34,$AE925)*Paramètres!$E$29*$AG925*$AJ925,Paramètres!$F$29),0)</f>
        <v>0.011</v>
      </c>
      <c r="T925" s="20" t="n">
        <f aca="false" t="array" ref="T925:T925">IF(AND(INDEX(Profils!$N$5:$N$34,$AE925)&gt;0,INDEX(Profils!$AC$5:$AC$34,$AE925)&lt;=$AH925),ROUND(INDEX(Profils!$N$5:$N$34,$AE925)*Paramètres!$E$30*$AG925*$AJ925,Paramètres!$F$30),0)</f>
        <v>0.032</v>
      </c>
      <c r="U925" s="19" t="n">
        <f aca="false" t="array" ref="U925:U925">IF(AND(INDEX(Profils!$O$5:$O$34,$AE925)&gt;0,INDEX(Profils!$AD$5:$AD$34,$AE925)&lt;=$AH925),ROUND(INDEX(Profils!$O$5:$O$34,$AE925)*Paramètres!$E$31*$AG925*$AJ925,Paramètres!$F$31),0)</f>
        <v>0</v>
      </c>
      <c r="V925" s="20" t="n">
        <f aca="false" t="array" ref="V925:V925">IF(AND(INDEX(Profils!$P$5:$P$34,$AE925)&gt;0,INDEX(Profils!$AE$5:$AE$34,$AE925)&lt;=$AH925),ROUND(INDEX(Profils!$P$5:$P$34,$AE925)*Paramètres!$E$32*$AG925*$AJ925,Paramètres!$F$32),0)</f>
        <v>0</v>
      </c>
      <c r="W925" s="20" t="n">
        <f aca="false" t="array" ref="W925:W925">IF(AND(INDEX(Profils!$Q$5:$Q$34,$AE925)&gt;0,INDEX(Profils!$AF$5:$AF$34,$AE925)&lt;=$AH925),ROUND(INDEX(Profils!$Q$5:$Q$34,$AE925)*Paramètres!$E$33*$AG925*$AJ925,Paramètres!$F$33),0)</f>
        <v>0</v>
      </c>
      <c r="X925" s="20" t="n">
        <f aca="false" t="array" ref="X925:X925">IF(AND(INDEX(Profils!$R$5:$R$34,$AE925)&gt;0,INDEX(Profils!$AG$5:$AG$34,$AE925)&lt;=$AH925),ROUND(INDEX(Profils!$R$5:$R$34,$AE925)*Paramètres!$E$34*$AG925*$AJ925,Paramètres!$F$34),0)</f>
        <v>0</v>
      </c>
      <c r="Y925" s="20" t="n">
        <f aca="false" t="array" ref="Y925:Y925">IF(AND(INDEX(Profils!$S$5:$S$34,$AE925)&gt;0,INDEX(Profils!$AH$5:$AH$34,$AE925)&lt;=$AH925),ROUND(INDEX(Profils!$S$5:$S$34,$AE925)*Paramètres!$E$35*$AG925*$AJ925,Paramètres!$F$35),0)</f>
        <v>0</v>
      </c>
      <c r="Z925" s="21" t="n">
        <f aca="false">ROUND(L925/Paramètres!$E$22+M925/Paramètres!$E$23+N925/Paramètres!$E$24+O925/Paramètres!$E$25+P925/Paramètres!$E$26+Q925/Paramètres!$E$27+R925/Paramètres!$E$28+S925/Paramètres!$E$29+T925/Paramètres!$E$30+U925/Paramètres!$E$31+V925/Paramètres!$E$32+W925/Paramètres!$E$33+X925/Paramètres!$E$34+Y925/Paramètres!$E$35,1)</f>
        <v>4</v>
      </c>
      <c r="AA925" s="22" t="s">
        <v>109</v>
      </c>
      <c r="AB925" s="22" t="s">
        <v>109</v>
      </c>
      <c r="AC925" s="15" t="str">
        <f aca="false">$E925</f>
        <v>écailles</v>
      </c>
      <c r="AD925" s="16" t="n">
        <f aca="false" t="array" ref="AD925:AD925">IF($I925&gt;=$AI925,"Max",ROUND(Paramètres!$B$40*($I925+1)^Paramètres!$B$41*INDEX(Paramètres!$H$6:$H$12,$AF925),0))</f>
        <v>4</v>
      </c>
      <c r="AE925" s="23" t="n">
        <f aca="false">MATCH($B925&amp;"|"&amp;$C925,Profils!$A$5:$A$34,0)</f>
        <v>30</v>
      </c>
      <c r="AF925" s="23" t="n">
        <v>3</v>
      </c>
      <c r="AG925" s="24" t="n">
        <f aca="false" t="array" ref="AG925:AG925">INDEX(Paramètres!$C$6:$C$12,$AF925)</f>
        <v>1.45</v>
      </c>
      <c r="AH925" s="23" t="n">
        <f aca="false" t="array" ref="AH925:AH925">INDEX(Paramètres!$D$6:$D$12,$AF925)</f>
        <v>4</v>
      </c>
      <c r="AI925" s="23" t="n">
        <f aca="false" t="array" ref="AI925:AI925">INDEX(Matériaux!$C$16:$C$20,$D925)</f>
        <v>25</v>
      </c>
      <c r="AJ925" s="25" t="n">
        <f aca="false">Paramètres!$B$16+(1-Paramètres!$B$16)*(($J925-Paramètres!$B$14)/(Paramètres!$B$15-Paramètres!$B$14))^Paramètres!$B$17</f>
        <v>0.458504333336152</v>
      </c>
    </row>
    <row r="926" customFormat="false" ht="15.75" hidden="false" customHeight="true" outlineLevel="0" collapsed="false">
      <c r="A926" s="14" t="s">
        <v>1042</v>
      </c>
      <c r="B926" s="15" t="s">
        <v>31</v>
      </c>
      <c r="C926" s="15" t="s">
        <v>401</v>
      </c>
      <c r="D926" s="16" t="n">
        <v>4</v>
      </c>
      <c r="E926" s="15" t="str">
        <f aca="false" t="array" ref="E926:E926">INDEX(Matériaux!$B$5:$F$12,MATCH(INDEX(Profils!$E$5:$E$34,$AE926),Matériaux!$A$5:$A$12,0),$D926)</f>
        <v>écailles</v>
      </c>
      <c r="F926" s="28" t="s">
        <v>115</v>
      </c>
      <c r="G926" s="10" t="str">
        <f aca="false" t="array" ref="G926:G926">INDEX(Profils!$D$5:$D$34,$AE926)&amp;" en "&amp;$E926</f>
        <v>Carquois en écailles</v>
      </c>
      <c r="H926" s="16" t="n">
        <f aca="false" t="array" ref="H926:H926">INDEX(Matériaux!$B$16:$B$20,$D926)</f>
        <v>50</v>
      </c>
      <c r="I926" s="16" t="n">
        <f aca="false">IF(ISNUMBER($C$3),MIN(MAX(0,ROUND($C$3,0)),$AI926),$AI926)</f>
        <v>0</v>
      </c>
      <c r="J926" s="18" t="n">
        <f aca="false">$H926+$I926</f>
        <v>50</v>
      </c>
      <c r="K926" s="15" t="s">
        <v>109</v>
      </c>
      <c r="L926" s="19" t="n">
        <f aca="false" t="array" ref="L926:L926">IF(AND(INDEX(Profils!$F$5:$F$34,$AE926)&gt;0,INDEX(Profils!$U$5:$U$34,$AE926)&lt;=$AH926),ROUND(INDEX(Profils!$F$5:$F$34,$AE926)*Paramètres!$E$22*$AG926*$AJ926,Paramètres!$F$22),0)</f>
        <v>0</v>
      </c>
      <c r="M926" s="19" t="n">
        <f aca="false" t="array" ref="M926:M926">IF(AND(INDEX(Profils!$G$5:$G$34,$AE926)&gt;0,INDEX(Profils!$V$5:$V$34,$AE926)&lt;=$AH926),ROUND(INDEX(Profils!$G$5:$G$34,$AE926)*Paramètres!$E$23*$AG926*$AJ926,Paramètres!$F$23),0)</f>
        <v>0</v>
      </c>
      <c r="N926" s="19" t="n">
        <f aca="false" t="array" ref="N926:N926">IF(AND(INDEX(Profils!$H$5:$H$34,$AE926)&gt;0,INDEX(Profils!$W$5:$W$34,$AE926)&lt;=$AH926),ROUND(INDEX(Profils!$H$5:$H$34,$AE926)*Paramètres!$E$24*$AG926*$AJ926,Paramètres!$F$24),0)</f>
        <v>0</v>
      </c>
      <c r="O926" s="19" t="n">
        <f aca="false" t="array" ref="O926:O926">IF(AND(INDEX(Profils!$I$5:$I$34,$AE926)&gt;0,INDEX(Profils!$X$5:$X$34,$AE926)&lt;=$AH926),ROUND(INDEX(Profils!$I$5:$I$34,$AE926)*Paramètres!$E$25*$AG926*$AJ926,Paramètres!$F$25),0)</f>
        <v>0</v>
      </c>
      <c r="P926" s="19" t="n">
        <f aca="false" t="array" ref="P926:P926">IF(AND(INDEX(Profils!$J$5:$J$34,$AE926)&gt;0,INDEX(Profils!$Y$5:$Y$34,$AE926)&lt;=$AH926),ROUND(INDEX(Profils!$J$5:$J$34,$AE926)*Paramètres!$E$26*$AG926*$AJ926,Paramètres!$F$26),0)</f>
        <v>13</v>
      </c>
      <c r="Q926" s="19" t="n">
        <f aca="false" t="array" ref="Q926:Q926">IF(AND(INDEX(Profils!$K$5:$K$34,$AE926)&gt;0,INDEX(Profils!$Z$5:$Z$34,$AE926)&lt;=$AH926),ROUND(INDEX(Profils!$K$5:$K$34,$AE926)*Paramètres!$E$27*$AG926*$AJ926,Paramètres!$F$27),0)</f>
        <v>0</v>
      </c>
      <c r="R926" s="20" t="n">
        <f aca="false" t="array" ref="R926:R926">IF(AND(INDEX(Profils!$L$5:$L$34,$AE926)&gt;0,INDEX(Profils!$AA$5:$AA$34,$AE926)&lt;=$AH926),ROUND(INDEX(Profils!$L$5:$L$34,$AE926)*Paramètres!$E$28*$AG926*$AJ926,Paramètres!$F$28),0)</f>
        <v>0.019</v>
      </c>
      <c r="S926" s="20" t="n">
        <f aca="false" t="array" ref="S926:S926">IF(AND(INDEX(Profils!$M$5:$M$34,$AE926)&gt;0,INDEX(Profils!$AB$5:$AB$34,$AE926)&lt;=$AH926),ROUND(INDEX(Profils!$M$5:$M$34,$AE926)*Paramètres!$E$29*$AG926*$AJ926,Paramètres!$F$29),0)</f>
        <v>0.013</v>
      </c>
      <c r="T926" s="20" t="n">
        <f aca="false" t="array" ref="T926:T926">IF(AND(INDEX(Profils!$N$5:$N$34,$AE926)&gt;0,INDEX(Profils!$AC$5:$AC$34,$AE926)&lt;=$AH926),ROUND(INDEX(Profils!$N$5:$N$34,$AE926)*Paramètres!$E$30*$AG926*$AJ926,Paramètres!$F$30),0)</f>
        <v>0.039</v>
      </c>
      <c r="U926" s="19" t="n">
        <f aca="false" t="array" ref="U926:U926">IF(AND(INDEX(Profils!$O$5:$O$34,$AE926)&gt;0,INDEX(Profils!$AD$5:$AD$34,$AE926)&lt;=$AH926),ROUND(INDEX(Profils!$O$5:$O$34,$AE926)*Paramètres!$E$31*$AG926*$AJ926,Paramètres!$F$31),0)</f>
        <v>0</v>
      </c>
      <c r="V926" s="20" t="n">
        <f aca="false" t="array" ref="V926:V926">IF(AND(INDEX(Profils!$P$5:$P$34,$AE926)&gt;0,INDEX(Profils!$AE$5:$AE$34,$AE926)&lt;=$AH926),ROUND(INDEX(Profils!$P$5:$P$34,$AE926)*Paramètres!$E$32*$AG926*$AJ926,Paramètres!$F$32),0)</f>
        <v>0.017</v>
      </c>
      <c r="W926" s="20" t="n">
        <f aca="false" t="array" ref="W926:W926">IF(AND(INDEX(Profils!$Q$5:$Q$34,$AE926)&gt;0,INDEX(Profils!$AF$5:$AF$34,$AE926)&lt;=$AH926),ROUND(INDEX(Profils!$Q$5:$Q$34,$AE926)*Paramètres!$E$33*$AG926*$AJ926,Paramètres!$F$33),0)</f>
        <v>0</v>
      </c>
      <c r="X926" s="20" t="n">
        <f aca="false" t="array" ref="X926:X926">IF(AND(INDEX(Profils!$R$5:$R$34,$AE926)&gt;0,INDEX(Profils!$AG$5:$AG$34,$AE926)&lt;=$AH926),ROUND(INDEX(Profils!$R$5:$R$34,$AE926)*Paramètres!$E$34*$AG926*$AJ926,Paramètres!$F$34),0)</f>
        <v>0</v>
      </c>
      <c r="Y926" s="20" t="n">
        <f aca="false" t="array" ref="Y926:Y926">IF(AND(INDEX(Profils!$S$5:$S$34,$AE926)&gt;0,INDEX(Profils!$AH$5:$AH$34,$AE926)&lt;=$AH926),ROUND(INDEX(Profils!$S$5:$S$34,$AE926)*Paramètres!$E$35*$AG926*$AJ926,Paramètres!$F$35),0)</f>
        <v>0</v>
      </c>
      <c r="Z926" s="21" t="n">
        <f aca="false">ROUND(L926/Paramètres!$E$22+M926/Paramètres!$E$23+N926/Paramètres!$E$24+O926/Paramètres!$E$25+P926/Paramètres!$E$26+Q926/Paramètres!$E$27+R926/Paramètres!$E$28+S926/Paramètres!$E$29+T926/Paramètres!$E$30+U926/Paramètres!$E$31+V926/Paramètres!$E$32+W926/Paramètres!$E$33+X926/Paramètres!$E$34+Y926/Paramètres!$E$35,1)</f>
        <v>5.9</v>
      </c>
      <c r="AA926" s="22" t="s">
        <v>109</v>
      </c>
      <c r="AB926" s="22" t="s">
        <v>109</v>
      </c>
      <c r="AC926" s="15" t="str">
        <f aca="false">$E926</f>
        <v>écailles</v>
      </c>
      <c r="AD926" s="16" t="n">
        <f aca="false" t="array" ref="AD926:AD926">IF($I926&gt;=$AI926,"Max",ROUND(Paramètres!$B$40*($I926+1)^Paramètres!$B$41*INDEX(Paramètres!$H$6:$H$12,$AF926),0))</f>
        <v>5</v>
      </c>
      <c r="AE926" s="23" t="n">
        <f aca="false">MATCH($B926&amp;"|"&amp;$C926,Profils!$A$5:$A$34,0)</f>
        <v>30</v>
      </c>
      <c r="AF926" s="23" t="n">
        <v>4</v>
      </c>
      <c r="AG926" s="24" t="n">
        <f aca="false" t="array" ref="AG926:AG926">INDEX(Paramètres!$C$6:$C$12,$AF926)</f>
        <v>1.75</v>
      </c>
      <c r="AH926" s="23" t="n">
        <f aca="false" t="array" ref="AH926:AH926">INDEX(Paramètres!$D$6:$D$12,$AF926)</f>
        <v>5</v>
      </c>
      <c r="AI926" s="23" t="n">
        <f aca="false" t="array" ref="AI926:AI926">INDEX(Matériaux!$C$16:$C$20,$D926)</f>
        <v>25</v>
      </c>
      <c r="AJ926" s="25" t="n">
        <f aca="false">Paramètres!$B$16+(1-Paramètres!$B$16)*(($J926-Paramètres!$B$14)/(Paramètres!$B$15-Paramètres!$B$14))^Paramètres!$B$17</f>
        <v>0.458504333336152</v>
      </c>
    </row>
    <row r="927" customFormat="false" ht="15.75" hidden="false" customHeight="true" outlineLevel="0" collapsed="false">
      <c r="A927" s="14" t="s">
        <v>1043</v>
      </c>
      <c r="B927" s="15" t="s">
        <v>31</v>
      </c>
      <c r="C927" s="15" t="s">
        <v>401</v>
      </c>
      <c r="D927" s="16" t="n">
        <v>4</v>
      </c>
      <c r="E927" s="15" t="str">
        <f aca="false" t="array" ref="E927:E927">INDEX(Matériaux!$B$5:$F$12,MATCH(INDEX(Profils!$E$5:$E$34,$AE927),Matériaux!$A$5:$A$12,0),$D927)</f>
        <v>écailles</v>
      </c>
      <c r="F927" s="29" t="s">
        <v>117</v>
      </c>
      <c r="G927" s="10" t="str">
        <f aca="false" t="array" ref="G927:G927">INDEX(Profils!$D$5:$D$34,$AE927)&amp;" en "&amp;$E927</f>
        <v>Carquois en écailles</v>
      </c>
      <c r="H927" s="16" t="n">
        <f aca="false" t="array" ref="H927:H927">INDEX(Matériaux!$B$16:$B$20,$D927)</f>
        <v>50</v>
      </c>
      <c r="I927" s="16" t="n">
        <f aca="false">IF(ISNUMBER($C$3),MIN(MAX(0,ROUND($C$3,0)),$AI927),$AI927)</f>
        <v>0</v>
      </c>
      <c r="J927" s="18" t="n">
        <f aca="false">$H927+$I927</f>
        <v>50</v>
      </c>
      <c r="K927" s="15" t="s">
        <v>109</v>
      </c>
      <c r="L927" s="19" t="n">
        <f aca="false" t="array" ref="L927:L927">IF(AND(INDEX(Profils!$F$5:$F$34,$AE927)&gt;0,INDEX(Profils!$U$5:$U$34,$AE927)&lt;=$AH927),ROUND(INDEX(Profils!$F$5:$F$34,$AE927)*Paramètres!$E$22*$AG927*$AJ927,Paramètres!$F$22),0)</f>
        <v>0</v>
      </c>
      <c r="M927" s="19" t="n">
        <f aca="false" t="array" ref="M927:M927">IF(AND(INDEX(Profils!$G$5:$G$34,$AE927)&gt;0,INDEX(Profils!$V$5:$V$34,$AE927)&lt;=$AH927),ROUND(INDEX(Profils!$G$5:$G$34,$AE927)*Paramètres!$E$23*$AG927*$AJ927,Paramètres!$F$23),0)</f>
        <v>0</v>
      </c>
      <c r="N927" s="19" t="n">
        <f aca="false" t="array" ref="N927:N927">IF(AND(INDEX(Profils!$H$5:$H$34,$AE927)&gt;0,INDEX(Profils!$W$5:$W$34,$AE927)&lt;=$AH927),ROUND(INDEX(Profils!$H$5:$H$34,$AE927)*Paramètres!$E$24*$AG927*$AJ927,Paramètres!$F$24),0)</f>
        <v>0</v>
      </c>
      <c r="O927" s="19" t="n">
        <f aca="false" t="array" ref="O927:O927">IF(AND(INDEX(Profils!$I$5:$I$34,$AE927)&gt;0,INDEX(Profils!$X$5:$X$34,$AE927)&lt;=$AH927),ROUND(INDEX(Profils!$I$5:$I$34,$AE927)*Paramètres!$E$25*$AG927*$AJ927,Paramètres!$F$25),0)</f>
        <v>0</v>
      </c>
      <c r="P927" s="19" t="n">
        <f aca="false" t="array" ref="P927:P927">IF(AND(INDEX(Profils!$J$5:$J$34,$AE927)&gt;0,INDEX(Profils!$Y$5:$Y$34,$AE927)&lt;=$AH927),ROUND(INDEX(Profils!$J$5:$J$34,$AE927)*Paramètres!$E$26*$AG927*$AJ927,Paramètres!$F$26),0)</f>
        <v>16</v>
      </c>
      <c r="Q927" s="19" t="n">
        <f aca="false" t="array" ref="Q927:Q927">IF(AND(INDEX(Profils!$K$5:$K$34,$AE927)&gt;0,INDEX(Profils!$Z$5:$Z$34,$AE927)&lt;=$AH927),ROUND(INDEX(Profils!$K$5:$K$34,$AE927)*Paramètres!$E$27*$AG927*$AJ927,Paramètres!$F$27),0)</f>
        <v>10</v>
      </c>
      <c r="R927" s="20" t="n">
        <f aca="false" t="array" ref="R927:R927">IF(AND(INDEX(Profils!$L$5:$L$34,$AE927)&gt;0,INDEX(Profils!$AA$5:$AA$34,$AE927)&lt;=$AH927),ROUND(INDEX(Profils!$L$5:$L$34,$AE927)*Paramètres!$E$28*$AG927*$AJ927,Paramètres!$F$28),0)</f>
        <v>0.023</v>
      </c>
      <c r="S927" s="20" t="n">
        <f aca="false" t="array" ref="S927:S927">IF(AND(INDEX(Profils!$M$5:$M$34,$AE927)&gt;0,INDEX(Profils!$AB$5:$AB$34,$AE927)&lt;=$AH927),ROUND(INDEX(Profils!$M$5:$M$34,$AE927)*Paramètres!$E$29*$AG927*$AJ927,Paramètres!$F$29),0)</f>
        <v>0.016</v>
      </c>
      <c r="T927" s="20" t="n">
        <f aca="false" t="array" ref="T927:T927">IF(AND(INDEX(Profils!$N$5:$N$34,$AE927)&gt;0,INDEX(Profils!$AC$5:$AC$34,$AE927)&lt;=$AH927),ROUND(INDEX(Profils!$N$5:$N$34,$AE927)*Paramètres!$E$30*$AG927*$AJ927,Paramètres!$F$30),0)</f>
        <v>0.046</v>
      </c>
      <c r="U927" s="19" t="n">
        <f aca="false" t="array" ref="U927:U927">IF(AND(INDEX(Profils!$O$5:$O$34,$AE927)&gt;0,INDEX(Profils!$AD$5:$AD$34,$AE927)&lt;=$AH927),ROUND(INDEX(Profils!$O$5:$O$34,$AE927)*Paramètres!$E$31*$AG927*$AJ927,Paramètres!$F$31),0)</f>
        <v>0</v>
      </c>
      <c r="V927" s="20" t="n">
        <f aca="false" t="array" ref="V927:V927">IF(AND(INDEX(Profils!$P$5:$P$34,$AE927)&gt;0,INDEX(Profils!$AE$5:$AE$34,$AE927)&lt;=$AH927),ROUND(INDEX(Profils!$P$5:$P$34,$AE927)*Paramètres!$E$32*$AG927*$AJ927,Paramètres!$F$32),0)</f>
        <v>0.02</v>
      </c>
      <c r="W927" s="20" t="n">
        <f aca="false" t="array" ref="W927:W927">IF(AND(INDEX(Profils!$Q$5:$Q$34,$AE927)&gt;0,INDEX(Profils!$AF$5:$AF$34,$AE927)&lt;=$AH927),ROUND(INDEX(Profils!$Q$5:$Q$34,$AE927)*Paramètres!$E$33*$AG927*$AJ927,Paramètres!$F$33),0)</f>
        <v>0</v>
      </c>
      <c r="X927" s="20" t="n">
        <f aca="false" t="array" ref="X927:X927">IF(AND(INDEX(Profils!$R$5:$R$34,$AE927)&gt;0,INDEX(Profils!$AG$5:$AG$34,$AE927)&lt;=$AH927),ROUND(INDEX(Profils!$R$5:$R$34,$AE927)*Paramètres!$E$34*$AG927*$AJ927,Paramètres!$F$34),0)</f>
        <v>0</v>
      </c>
      <c r="Y927" s="20" t="n">
        <f aca="false" t="array" ref="Y927:Y927">IF(AND(INDEX(Profils!$S$5:$S$34,$AE927)&gt;0,INDEX(Profils!$AH$5:$AH$34,$AE927)&lt;=$AH927),ROUND(INDEX(Profils!$S$5:$S$34,$AE927)*Paramètres!$E$35*$AG927*$AJ927,Paramètres!$F$35),0)</f>
        <v>0</v>
      </c>
      <c r="Z927" s="21" t="n">
        <f aca="false">ROUND(L927/Paramètres!$E$22+M927/Paramètres!$E$23+N927/Paramètres!$E$24+O927/Paramètres!$E$25+P927/Paramètres!$E$26+Q927/Paramètres!$E$27+R927/Paramètres!$E$28+S927/Paramètres!$E$29+T927/Paramètres!$E$30+U927/Paramètres!$E$31+V927/Paramètres!$E$32+W927/Paramètres!$E$33+X927/Paramètres!$E$34+Y927/Paramètres!$E$35,1)</f>
        <v>8.1</v>
      </c>
      <c r="AA927" s="22" t="s">
        <v>109</v>
      </c>
      <c r="AB927" s="22" t="s">
        <v>109</v>
      </c>
      <c r="AC927" s="15" t="str">
        <f aca="false">$E927</f>
        <v>écailles</v>
      </c>
      <c r="AD927" s="16" t="n">
        <f aca="false" t="array" ref="AD927:AD927">IF($I927&gt;=$AI927,"Max",ROUND(Paramètres!$B$40*($I927+1)^Paramètres!$B$41*INDEX(Paramètres!$H$6:$H$12,$AF927),0))</f>
        <v>6</v>
      </c>
      <c r="AE927" s="23" t="n">
        <f aca="false">MATCH($B927&amp;"|"&amp;$C927,Profils!$A$5:$A$34,0)</f>
        <v>30</v>
      </c>
      <c r="AF927" s="23" t="n">
        <v>5</v>
      </c>
      <c r="AG927" s="24" t="n">
        <f aca="false" t="array" ref="AG927:AG927">INDEX(Paramètres!$C$6:$C$12,$AF927)</f>
        <v>2.1</v>
      </c>
      <c r="AH927" s="23" t="n">
        <f aca="false" t="array" ref="AH927:AH927">INDEX(Paramètres!$D$6:$D$12,$AF927)</f>
        <v>6</v>
      </c>
      <c r="AI927" s="23" t="n">
        <f aca="false" t="array" ref="AI927:AI927">INDEX(Matériaux!$C$16:$C$20,$D927)</f>
        <v>25</v>
      </c>
      <c r="AJ927" s="25" t="n">
        <f aca="false">Paramètres!$B$16+(1-Paramètres!$B$16)*(($J927-Paramètres!$B$14)/(Paramètres!$B$15-Paramètres!$B$14))^Paramètres!$B$17</f>
        <v>0.458504333336152</v>
      </c>
    </row>
    <row r="928" customFormat="false" ht="15.75" hidden="false" customHeight="true" outlineLevel="0" collapsed="false">
      <c r="A928" s="14" t="s">
        <v>1044</v>
      </c>
      <c r="B928" s="15" t="s">
        <v>31</v>
      </c>
      <c r="C928" s="15" t="s">
        <v>401</v>
      </c>
      <c r="D928" s="16" t="n">
        <v>4</v>
      </c>
      <c r="E928" s="15" t="str">
        <f aca="false" t="array" ref="E928:E928">INDEX(Matériaux!$B$5:$F$12,MATCH(INDEX(Profils!$E$5:$E$34,$AE928),Matériaux!$A$5:$A$12,0),$D928)</f>
        <v>écailles</v>
      </c>
      <c r="F928" s="30" t="s">
        <v>119</v>
      </c>
      <c r="G928" s="10" t="str">
        <f aca="false" t="array" ref="G928:G928">INDEX(Profils!$D$5:$D$34,$AE928)&amp;" en "&amp;$E928</f>
        <v>Carquois en écailles</v>
      </c>
      <c r="H928" s="16" t="n">
        <f aca="false" t="array" ref="H928:H928">INDEX(Matériaux!$B$16:$B$20,$D928)</f>
        <v>50</v>
      </c>
      <c r="I928" s="16" t="n">
        <f aca="false">IF(ISNUMBER($C$3),MIN(MAX(0,ROUND($C$3,0)),$AI928),$AI928)</f>
        <v>0</v>
      </c>
      <c r="J928" s="18" t="n">
        <f aca="false">$H928+$I928</f>
        <v>50</v>
      </c>
      <c r="K928" s="15" t="s">
        <v>109</v>
      </c>
      <c r="L928" s="19" t="n">
        <f aca="false" t="array" ref="L928:L928">IF(AND(INDEX(Profils!$F$5:$F$34,$AE928)&gt;0,INDEX(Profils!$U$5:$U$34,$AE928)&lt;=$AH928),ROUND(INDEX(Profils!$F$5:$F$34,$AE928)*Paramètres!$E$22*$AG928*$AJ928,Paramètres!$F$22),0)</f>
        <v>0</v>
      </c>
      <c r="M928" s="19" t="n">
        <f aca="false" t="array" ref="M928:M928">IF(AND(INDEX(Profils!$G$5:$G$34,$AE928)&gt;0,INDEX(Profils!$V$5:$V$34,$AE928)&lt;=$AH928),ROUND(INDEX(Profils!$G$5:$G$34,$AE928)*Paramètres!$E$23*$AG928*$AJ928,Paramètres!$F$23),0)</f>
        <v>15</v>
      </c>
      <c r="N928" s="19" t="n">
        <f aca="false" t="array" ref="N928:N928">IF(AND(INDEX(Profils!$H$5:$H$34,$AE928)&gt;0,INDEX(Profils!$W$5:$W$34,$AE928)&lt;=$AH928),ROUND(INDEX(Profils!$H$5:$H$34,$AE928)*Paramètres!$E$24*$AG928*$AJ928,Paramètres!$F$24),0)</f>
        <v>0</v>
      </c>
      <c r="O928" s="19" t="n">
        <f aca="false" t="array" ref="O928:O928">IF(AND(INDEX(Profils!$I$5:$I$34,$AE928)&gt;0,INDEX(Profils!$X$5:$X$34,$AE928)&lt;=$AH928),ROUND(INDEX(Profils!$I$5:$I$34,$AE928)*Paramètres!$E$25*$AG928*$AJ928,Paramètres!$F$25),0)</f>
        <v>0</v>
      </c>
      <c r="P928" s="19" t="n">
        <f aca="false" t="array" ref="P928:P928">IF(AND(INDEX(Profils!$J$5:$J$34,$AE928)&gt;0,INDEX(Profils!$Y$5:$Y$34,$AE928)&lt;=$AH928),ROUND(INDEX(Profils!$J$5:$J$34,$AE928)*Paramètres!$E$26*$AG928*$AJ928,Paramètres!$F$26),0)</f>
        <v>18</v>
      </c>
      <c r="Q928" s="19" t="n">
        <f aca="false" t="array" ref="Q928:Q928">IF(AND(INDEX(Profils!$K$5:$K$34,$AE928)&gt;0,INDEX(Profils!$Z$5:$Z$34,$AE928)&lt;=$AH928),ROUND(INDEX(Profils!$K$5:$K$34,$AE928)*Paramètres!$E$27*$AG928*$AJ928,Paramètres!$F$27),0)</f>
        <v>11</v>
      </c>
      <c r="R928" s="20" t="n">
        <f aca="false" t="array" ref="R928:R928">IF(AND(INDEX(Profils!$L$5:$L$34,$AE928)&gt;0,INDEX(Profils!$AA$5:$AA$34,$AE928)&lt;=$AH928),ROUND(INDEX(Profils!$L$5:$L$34,$AE928)*Paramètres!$E$28*$AG928*$AJ928,Paramètres!$F$28),0)</f>
        <v>0.026</v>
      </c>
      <c r="S928" s="20" t="n">
        <f aca="false" t="array" ref="S928:S928">IF(AND(INDEX(Profils!$M$5:$M$34,$AE928)&gt;0,INDEX(Profils!$AB$5:$AB$34,$AE928)&lt;=$AH928),ROUND(INDEX(Profils!$M$5:$M$34,$AE928)*Paramètres!$E$29*$AG928*$AJ928,Paramètres!$F$29),0)</f>
        <v>0.018</v>
      </c>
      <c r="T928" s="20" t="n">
        <f aca="false" t="array" ref="T928:T928">IF(AND(INDEX(Profils!$N$5:$N$34,$AE928)&gt;0,INDEX(Profils!$AC$5:$AC$34,$AE928)&lt;=$AH928),ROUND(INDEX(Profils!$N$5:$N$34,$AE928)*Paramètres!$E$30*$AG928*$AJ928,Paramètres!$F$30),0)</f>
        <v>0.053</v>
      </c>
      <c r="U928" s="19" t="n">
        <f aca="false" t="array" ref="U928:U928">IF(AND(INDEX(Profils!$O$5:$O$34,$AE928)&gt;0,INDEX(Profils!$AD$5:$AD$34,$AE928)&lt;=$AH928),ROUND(INDEX(Profils!$O$5:$O$34,$AE928)*Paramètres!$E$31*$AG928*$AJ928,Paramètres!$F$31),0)</f>
        <v>0</v>
      </c>
      <c r="V928" s="20" t="n">
        <f aca="false" t="array" ref="V928:V928">IF(AND(INDEX(Profils!$P$5:$P$34,$AE928)&gt;0,INDEX(Profils!$AE$5:$AE$34,$AE928)&lt;=$AH928),ROUND(INDEX(Profils!$P$5:$P$34,$AE928)*Paramètres!$E$32*$AG928*$AJ928,Paramètres!$F$32),0)</f>
        <v>0.023</v>
      </c>
      <c r="W928" s="20" t="n">
        <f aca="false" t="array" ref="W928:W928">IF(AND(INDEX(Profils!$Q$5:$Q$34,$AE928)&gt;0,INDEX(Profils!$AF$5:$AF$34,$AE928)&lt;=$AH928),ROUND(INDEX(Profils!$Q$5:$Q$34,$AE928)*Paramètres!$E$33*$AG928*$AJ928,Paramètres!$F$33),0)</f>
        <v>0</v>
      </c>
      <c r="X928" s="20" t="n">
        <f aca="false" t="array" ref="X928:X928">IF(AND(INDEX(Profils!$R$5:$R$34,$AE928)&gt;0,INDEX(Profils!$AG$5:$AG$34,$AE928)&lt;=$AH928),ROUND(INDEX(Profils!$R$5:$R$34,$AE928)*Paramètres!$E$34*$AG928*$AJ928,Paramètres!$F$34),0)</f>
        <v>0</v>
      </c>
      <c r="Y928" s="20" t="n">
        <f aca="false" t="array" ref="Y928:Y928">IF(AND(INDEX(Profils!$S$5:$S$34,$AE928)&gt;0,INDEX(Profils!$AH$5:$AH$34,$AE928)&lt;=$AH928),ROUND(INDEX(Profils!$S$5:$S$34,$AE928)*Paramètres!$E$35*$AG928*$AJ928,Paramètres!$F$35),0)</f>
        <v>0</v>
      </c>
      <c r="Z928" s="21" t="n">
        <f aca="false">ROUND(L928/Paramètres!$E$22+M928/Paramètres!$E$23+N928/Paramètres!$E$24+O928/Paramètres!$E$25+P928/Paramètres!$E$26+Q928/Paramètres!$E$27+R928/Paramètres!$E$28+S928/Paramètres!$E$29+T928/Paramètres!$E$30+U928/Paramètres!$E$31+V928/Paramètres!$E$32+W928/Paramètres!$E$33+X928/Paramètres!$E$34+Y928/Paramètres!$E$35,1)</f>
        <v>10.1</v>
      </c>
      <c r="AA928" s="22" t="s">
        <v>109</v>
      </c>
      <c r="AB928" s="22" t="s">
        <v>109</v>
      </c>
      <c r="AC928" s="15" t="str">
        <f aca="false">$E928</f>
        <v>écailles</v>
      </c>
      <c r="AD928" s="16" t="n">
        <f aca="false" t="array" ref="AD928:AD928">IF($I928&gt;=$AI928,"Max",ROUND(Paramètres!$B$40*($I928+1)^Paramètres!$B$41*INDEX(Paramètres!$H$6:$H$12,$AF928),0))</f>
        <v>8</v>
      </c>
      <c r="AE928" s="23" t="n">
        <f aca="false">MATCH($B928&amp;"|"&amp;$C928,Profils!$A$5:$A$34,0)</f>
        <v>30</v>
      </c>
      <c r="AF928" s="23" t="n">
        <v>6</v>
      </c>
      <c r="AG928" s="24" t="n">
        <f aca="false" t="array" ref="AG928:AG928">INDEX(Paramètres!$C$6:$C$12,$AF928)</f>
        <v>2.4</v>
      </c>
      <c r="AH928" s="23" t="n">
        <f aca="false" t="array" ref="AH928:AH928">INDEX(Paramètres!$D$6:$D$12,$AF928)</f>
        <v>7</v>
      </c>
      <c r="AI928" s="23" t="n">
        <f aca="false" t="array" ref="AI928:AI928">INDEX(Matériaux!$C$16:$C$20,$D928)</f>
        <v>25</v>
      </c>
      <c r="AJ928" s="25" t="n">
        <f aca="false">Paramètres!$B$16+(1-Paramètres!$B$16)*(($J928-Paramètres!$B$14)/(Paramètres!$B$15-Paramètres!$B$14))^Paramètres!$B$17</f>
        <v>0.458504333336152</v>
      </c>
    </row>
    <row r="929" customFormat="false" ht="15.75" hidden="false" customHeight="true" outlineLevel="0" collapsed="false">
      <c r="A929" s="14" t="s">
        <v>1045</v>
      </c>
      <c r="B929" s="15" t="s">
        <v>31</v>
      </c>
      <c r="C929" s="15" t="s">
        <v>401</v>
      </c>
      <c r="D929" s="16" t="n">
        <v>5</v>
      </c>
      <c r="E929" s="15" t="str">
        <f aca="false" t="array" ref="E929:E929">INDEX(Matériaux!$B$5:$F$12,MATCH(INDEX(Profils!$E$5:$E$34,$AE929),Matériaux!$A$5:$A$12,0),$D929)</f>
        <v>peau de dragon</v>
      </c>
      <c r="F929" s="17" t="s">
        <v>108</v>
      </c>
      <c r="G929" s="10" t="str">
        <f aca="false" t="array" ref="G929:G929">INDEX(Profils!$D$5:$D$34,$AE929)&amp;" en "&amp;$E929</f>
        <v>Carquois en peau de dragon</v>
      </c>
      <c r="H929" s="16" t="n">
        <f aca="false" t="array" ref="H929:H929">INDEX(Matériaux!$B$16:$B$20,$D929)</f>
        <v>70</v>
      </c>
      <c r="I929" s="16" t="n">
        <f aca="false">IF(ISNUMBER($C$3),MIN(MAX(0,ROUND($C$3,0)),$AI929),$AI929)</f>
        <v>0</v>
      </c>
      <c r="J929" s="18" t="n">
        <f aca="false">$H929+$I929</f>
        <v>70</v>
      </c>
      <c r="K929" s="15" t="s">
        <v>109</v>
      </c>
      <c r="L929" s="19" t="n">
        <f aca="false" t="array" ref="L929:L929">IF(AND(INDEX(Profils!$F$5:$F$34,$AE929)&gt;0,INDEX(Profils!$U$5:$U$34,$AE929)&lt;=$AH929),ROUND(INDEX(Profils!$F$5:$F$34,$AE929)*Paramètres!$E$22*$AG929*$AJ929,Paramètres!$F$22),0)</f>
        <v>0</v>
      </c>
      <c r="M929" s="19" t="n">
        <f aca="false" t="array" ref="M929:M929">IF(AND(INDEX(Profils!$G$5:$G$34,$AE929)&gt;0,INDEX(Profils!$V$5:$V$34,$AE929)&lt;=$AH929),ROUND(INDEX(Profils!$G$5:$G$34,$AE929)*Paramètres!$E$23*$AG929*$AJ929,Paramètres!$F$23),0)</f>
        <v>0</v>
      </c>
      <c r="N929" s="19" t="n">
        <f aca="false" t="array" ref="N929:N929">IF(AND(INDEX(Profils!$H$5:$H$34,$AE929)&gt;0,INDEX(Profils!$W$5:$W$34,$AE929)&lt;=$AH929),ROUND(INDEX(Profils!$H$5:$H$34,$AE929)*Paramètres!$E$24*$AG929*$AJ929,Paramètres!$F$24),0)</f>
        <v>0</v>
      </c>
      <c r="O929" s="19" t="n">
        <f aca="false" t="array" ref="O929:O929">IF(AND(INDEX(Profils!$I$5:$I$34,$AE929)&gt;0,INDEX(Profils!$X$5:$X$34,$AE929)&lt;=$AH929),ROUND(INDEX(Profils!$I$5:$I$34,$AE929)*Paramètres!$E$25*$AG929*$AJ929,Paramètres!$F$25),0)</f>
        <v>0</v>
      </c>
      <c r="P929" s="19" t="n">
        <f aca="false" t="array" ref="P929:P929">IF(AND(INDEX(Profils!$J$5:$J$34,$AE929)&gt;0,INDEX(Profils!$Y$5:$Y$34,$AE929)&lt;=$AH929),ROUND(INDEX(Profils!$J$5:$J$34,$AE929)*Paramètres!$E$26*$AG929*$AJ929,Paramètres!$F$26),0)</f>
        <v>0</v>
      </c>
      <c r="Q929" s="19" t="n">
        <f aca="false" t="array" ref="Q929:Q929">IF(AND(INDEX(Profils!$K$5:$K$34,$AE929)&gt;0,INDEX(Profils!$Z$5:$Z$34,$AE929)&lt;=$AH929),ROUND(INDEX(Profils!$K$5:$K$34,$AE929)*Paramètres!$E$27*$AG929*$AJ929,Paramètres!$F$27),0)</f>
        <v>0</v>
      </c>
      <c r="R929" s="20" t="n">
        <f aca="false" t="array" ref="R929:R929">IF(AND(INDEX(Profils!$L$5:$L$34,$AE929)&gt;0,INDEX(Profils!$AA$5:$AA$34,$AE929)&lt;=$AH929),ROUND(INDEX(Profils!$L$5:$L$34,$AE929)*Paramètres!$E$28*$AG929*$AJ929,Paramètres!$F$28),0)</f>
        <v>0.016</v>
      </c>
      <c r="S929" s="20" t="n">
        <f aca="false" t="array" ref="S929:S929">IF(AND(INDEX(Profils!$M$5:$M$34,$AE929)&gt;0,INDEX(Profils!$AB$5:$AB$34,$AE929)&lt;=$AH929),ROUND(INDEX(Profils!$M$5:$M$34,$AE929)*Paramètres!$E$29*$AG929*$AJ929,Paramètres!$F$29),0)</f>
        <v>0</v>
      </c>
      <c r="T929" s="20" t="n">
        <f aca="false" t="array" ref="T929:T929">IF(AND(INDEX(Profils!$N$5:$N$34,$AE929)&gt;0,INDEX(Profils!$AC$5:$AC$34,$AE929)&lt;=$AH929),ROUND(INDEX(Profils!$N$5:$N$34,$AE929)*Paramètres!$E$30*$AG929*$AJ929,Paramètres!$F$30),0)</f>
        <v>0.032</v>
      </c>
      <c r="U929" s="19" t="n">
        <f aca="false" t="array" ref="U929:U929">IF(AND(INDEX(Profils!$O$5:$O$34,$AE929)&gt;0,INDEX(Profils!$AD$5:$AD$34,$AE929)&lt;=$AH929),ROUND(INDEX(Profils!$O$5:$O$34,$AE929)*Paramètres!$E$31*$AG929*$AJ929,Paramètres!$F$31),0)</f>
        <v>0</v>
      </c>
      <c r="V929" s="20" t="n">
        <f aca="false" t="array" ref="V929:V929">IF(AND(INDEX(Profils!$P$5:$P$34,$AE929)&gt;0,INDEX(Profils!$AE$5:$AE$34,$AE929)&lt;=$AH929),ROUND(INDEX(Profils!$P$5:$P$34,$AE929)*Paramètres!$E$32*$AG929*$AJ929,Paramètres!$F$32),0)</f>
        <v>0</v>
      </c>
      <c r="W929" s="20" t="n">
        <f aca="false" t="array" ref="W929:W929">IF(AND(INDEX(Profils!$Q$5:$Q$34,$AE929)&gt;0,INDEX(Profils!$AF$5:$AF$34,$AE929)&lt;=$AH929),ROUND(INDEX(Profils!$Q$5:$Q$34,$AE929)*Paramètres!$E$33*$AG929*$AJ929,Paramètres!$F$33),0)</f>
        <v>0</v>
      </c>
      <c r="X929" s="20" t="n">
        <f aca="false" t="array" ref="X929:X929">IF(AND(INDEX(Profils!$R$5:$R$34,$AE929)&gt;0,INDEX(Profils!$AG$5:$AG$34,$AE929)&lt;=$AH929),ROUND(INDEX(Profils!$R$5:$R$34,$AE929)*Paramètres!$E$34*$AG929*$AJ929,Paramètres!$F$34),0)</f>
        <v>0</v>
      </c>
      <c r="Y929" s="20" t="n">
        <f aca="false" t="array" ref="Y929:Y929">IF(AND(INDEX(Profils!$S$5:$S$34,$AE929)&gt;0,INDEX(Profils!$AH$5:$AH$34,$AE929)&lt;=$AH929),ROUND(INDEX(Profils!$S$5:$S$34,$AE929)*Paramètres!$E$35*$AG929*$AJ929,Paramètres!$F$35),0)</f>
        <v>0</v>
      </c>
      <c r="Z929" s="21" t="n">
        <f aca="false">ROUND(L929/Paramètres!$E$22+M929/Paramètres!$E$23+N929/Paramètres!$E$24+O929/Paramètres!$E$25+P929/Paramètres!$E$26+Q929/Paramètres!$E$27+R929/Paramètres!$E$28+S929/Paramètres!$E$29+T929/Paramètres!$E$30+U929/Paramètres!$E$31+V929/Paramètres!$E$32+W929/Paramètres!$E$33+X929/Paramètres!$E$34+Y929/Paramètres!$E$35,1)</f>
        <v>2.1</v>
      </c>
      <c r="AA929" s="22" t="s">
        <v>109</v>
      </c>
      <c r="AB929" s="22" t="s">
        <v>109</v>
      </c>
      <c r="AC929" s="15" t="str">
        <f aca="false">$E929</f>
        <v>peau de dragon</v>
      </c>
      <c r="AD929" s="16" t="n">
        <f aca="false" t="array" ref="AD929:AD929">IF($I929&gt;=$AI929,"Max",ROUND(Paramètres!$B$40*($I929+1)^Paramètres!$B$41*INDEX(Paramètres!$H$6:$H$12,$AF929),0))</f>
        <v>3</v>
      </c>
      <c r="AE929" s="23" t="n">
        <f aca="false">MATCH($B929&amp;"|"&amp;$C929,Profils!$A$5:$A$34,0)</f>
        <v>30</v>
      </c>
      <c r="AF929" s="23" t="n">
        <v>1</v>
      </c>
      <c r="AG929" s="24" t="n">
        <f aca="false" t="array" ref="AG929:AG929">INDEX(Paramètres!$C$6:$C$12,$AF929)</f>
        <v>1</v>
      </c>
      <c r="AH929" s="23" t="n">
        <f aca="false" t="array" ref="AH929:AH929">INDEX(Paramètres!$D$6:$D$12,$AF929)</f>
        <v>2</v>
      </c>
      <c r="AI929" s="23" t="n">
        <f aca="false" t="array" ref="AI929:AI929">INDEX(Matériaux!$C$16:$C$20,$D929)</f>
        <v>30</v>
      </c>
      <c r="AJ929" s="25" t="n">
        <f aca="false">Paramètres!$B$16+(1-Paramètres!$B$16)*(($J929-Paramètres!$B$14)/(Paramètres!$B$15-Paramètres!$B$14))^Paramètres!$B$17</f>
        <v>0.665999387952727</v>
      </c>
    </row>
    <row r="930" customFormat="false" ht="15.75" hidden="false" customHeight="true" outlineLevel="0" collapsed="false">
      <c r="A930" s="14" t="s">
        <v>1046</v>
      </c>
      <c r="B930" s="15" t="s">
        <v>31</v>
      </c>
      <c r="C930" s="15" t="s">
        <v>401</v>
      </c>
      <c r="D930" s="16" t="n">
        <v>5</v>
      </c>
      <c r="E930" s="15" t="str">
        <f aca="false" t="array" ref="E930:E930">INDEX(Matériaux!$B$5:$F$12,MATCH(INDEX(Profils!$E$5:$E$34,$AE930),Matériaux!$A$5:$A$12,0),$D930)</f>
        <v>peau de dragon</v>
      </c>
      <c r="F930" s="26" t="s">
        <v>111</v>
      </c>
      <c r="G930" s="10" t="str">
        <f aca="false" t="array" ref="G930:G930">INDEX(Profils!$D$5:$D$34,$AE930)&amp;" en "&amp;$E930</f>
        <v>Carquois en peau de dragon</v>
      </c>
      <c r="H930" s="16" t="n">
        <f aca="false" t="array" ref="H930:H930">INDEX(Matériaux!$B$16:$B$20,$D930)</f>
        <v>70</v>
      </c>
      <c r="I930" s="16" t="n">
        <f aca="false">IF(ISNUMBER($C$3),MIN(MAX(0,ROUND($C$3,0)),$AI930),$AI930)</f>
        <v>0</v>
      </c>
      <c r="J930" s="18" t="n">
        <f aca="false">$H930+$I930</f>
        <v>70</v>
      </c>
      <c r="K930" s="15" t="s">
        <v>109</v>
      </c>
      <c r="L930" s="19" t="n">
        <f aca="false" t="array" ref="L930:L930">IF(AND(INDEX(Profils!$F$5:$F$34,$AE930)&gt;0,INDEX(Profils!$U$5:$U$34,$AE930)&lt;=$AH930),ROUND(INDEX(Profils!$F$5:$F$34,$AE930)*Paramètres!$E$22*$AG930*$AJ930,Paramètres!$F$22),0)</f>
        <v>0</v>
      </c>
      <c r="M930" s="19" t="n">
        <f aca="false" t="array" ref="M930:M930">IF(AND(INDEX(Profils!$G$5:$G$34,$AE930)&gt;0,INDEX(Profils!$V$5:$V$34,$AE930)&lt;=$AH930),ROUND(INDEX(Profils!$G$5:$G$34,$AE930)*Paramètres!$E$23*$AG930*$AJ930,Paramètres!$F$23),0)</f>
        <v>0</v>
      </c>
      <c r="N930" s="19" t="n">
        <f aca="false" t="array" ref="N930:N930">IF(AND(INDEX(Profils!$H$5:$H$34,$AE930)&gt;0,INDEX(Profils!$W$5:$W$34,$AE930)&lt;=$AH930),ROUND(INDEX(Profils!$H$5:$H$34,$AE930)*Paramètres!$E$24*$AG930*$AJ930,Paramètres!$F$24),0)</f>
        <v>0</v>
      </c>
      <c r="O930" s="19" t="n">
        <f aca="false" t="array" ref="O930:O930">IF(AND(INDEX(Profils!$I$5:$I$34,$AE930)&gt;0,INDEX(Profils!$X$5:$X$34,$AE930)&lt;=$AH930),ROUND(INDEX(Profils!$I$5:$I$34,$AE930)*Paramètres!$E$25*$AG930*$AJ930,Paramètres!$F$25),0)</f>
        <v>0</v>
      </c>
      <c r="P930" s="19" t="n">
        <f aca="false" t="array" ref="P930:P930">IF(AND(INDEX(Profils!$J$5:$J$34,$AE930)&gt;0,INDEX(Profils!$Y$5:$Y$34,$AE930)&lt;=$AH930),ROUND(INDEX(Profils!$J$5:$J$34,$AE930)*Paramètres!$E$26*$AG930*$AJ930,Paramètres!$F$26),0)</f>
        <v>13</v>
      </c>
      <c r="Q930" s="19" t="n">
        <f aca="false" t="array" ref="Q930:Q930">IF(AND(INDEX(Profils!$K$5:$K$34,$AE930)&gt;0,INDEX(Profils!$Z$5:$Z$34,$AE930)&lt;=$AH930),ROUND(INDEX(Profils!$K$5:$K$34,$AE930)*Paramètres!$E$27*$AG930*$AJ930,Paramètres!$F$27),0)</f>
        <v>0</v>
      </c>
      <c r="R930" s="20" t="n">
        <f aca="false" t="array" ref="R930:R930">IF(AND(INDEX(Profils!$L$5:$L$34,$AE930)&gt;0,INDEX(Profils!$AA$5:$AA$34,$AE930)&lt;=$AH930),ROUND(INDEX(Profils!$L$5:$L$34,$AE930)*Paramètres!$E$28*$AG930*$AJ930,Paramètres!$F$28),0)</f>
        <v>0.019</v>
      </c>
      <c r="S930" s="20" t="n">
        <f aca="false" t="array" ref="S930:S930">IF(AND(INDEX(Profils!$M$5:$M$34,$AE930)&gt;0,INDEX(Profils!$AB$5:$AB$34,$AE930)&lt;=$AH930),ROUND(INDEX(Profils!$M$5:$M$34,$AE930)*Paramètres!$E$29*$AG930*$AJ930,Paramètres!$F$29),0)</f>
        <v>0</v>
      </c>
      <c r="T930" s="20" t="n">
        <f aca="false" t="array" ref="T930:T930">IF(AND(INDEX(Profils!$N$5:$N$34,$AE930)&gt;0,INDEX(Profils!$AC$5:$AC$34,$AE930)&lt;=$AH930),ROUND(INDEX(Profils!$N$5:$N$34,$AE930)*Paramètres!$E$30*$AG930*$AJ930,Paramètres!$F$30),0)</f>
        <v>0.038</v>
      </c>
      <c r="U930" s="19" t="n">
        <f aca="false" t="array" ref="U930:U930">IF(AND(INDEX(Profils!$O$5:$O$34,$AE930)&gt;0,INDEX(Profils!$AD$5:$AD$34,$AE930)&lt;=$AH930),ROUND(INDEX(Profils!$O$5:$O$34,$AE930)*Paramètres!$E$31*$AG930*$AJ930,Paramètres!$F$31),0)</f>
        <v>0</v>
      </c>
      <c r="V930" s="20" t="n">
        <f aca="false" t="array" ref="V930:V930">IF(AND(INDEX(Profils!$P$5:$P$34,$AE930)&gt;0,INDEX(Profils!$AE$5:$AE$34,$AE930)&lt;=$AH930),ROUND(INDEX(Profils!$P$5:$P$34,$AE930)*Paramètres!$E$32*$AG930*$AJ930,Paramètres!$F$32),0)</f>
        <v>0</v>
      </c>
      <c r="W930" s="20" t="n">
        <f aca="false" t="array" ref="W930:W930">IF(AND(INDEX(Profils!$Q$5:$Q$34,$AE930)&gt;0,INDEX(Profils!$AF$5:$AF$34,$AE930)&lt;=$AH930),ROUND(INDEX(Profils!$Q$5:$Q$34,$AE930)*Paramètres!$E$33*$AG930*$AJ930,Paramètres!$F$33),0)</f>
        <v>0</v>
      </c>
      <c r="X930" s="20" t="n">
        <f aca="false" t="array" ref="X930:X930">IF(AND(INDEX(Profils!$R$5:$R$34,$AE930)&gt;0,INDEX(Profils!$AG$5:$AG$34,$AE930)&lt;=$AH930),ROUND(INDEX(Profils!$R$5:$R$34,$AE930)*Paramètres!$E$34*$AG930*$AJ930,Paramètres!$F$34),0)</f>
        <v>0</v>
      </c>
      <c r="Y930" s="20" t="n">
        <f aca="false" t="array" ref="Y930:Y930">IF(AND(INDEX(Profils!$S$5:$S$34,$AE930)&gt;0,INDEX(Profils!$AH$5:$AH$34,$AE930)&lt;=$AH930),ROUND(INDEX(Profils!$S$5:$S$34,$AE930)*Paramètres!$E$35*$AG930*$AJ930,Paramètres!$F$35),0)</f>
        <v>0</v>
      </c>
      <c r="Z930" s="21" t="n">
        <f aca="false">ROUND(L930/Paramètres!$E$22+M930/Paramètres!$E$23+N930/Paramètres!$E$24+O930/Paramètres!$E$25+P930/Paramètres!$E$26+Q930/Paramètres!$E$27+R930/Paramètres!$E$28+S930/Paramètres!$E$29+T930/Paramètres!$E$30+U930/Paramètres!$E$31+V930/Paramètres!$E$32+W930/Paramètres!$E$33+X930/Paramètres!$E$34+Y930/Paramètres!$E$35,1)</f>
        <v>3.6</v>
      </c>
      <c r="AA930" s="22" t="s">
        <v>109</v>
      </c>
      <c r="AB930" s="22" t="s">
        <v>109</v>
      </c>
      <c r="AC930" s="15" t="str">
        <f aca="false">$E930</f>
        <v>peau de dragon</v>
      </c>
      <c r="AD930" s="16" t="n">
        <f aca="false" t="array" ref="AD930:AD930">IF($I930&gt;=$AI930,"Max",ROUND(Paramètres!$B$40*($I930+1)^Paramètres!$B$41*INDEX(Paramètres!$H$6:$H$12,$AF930),0))</f>
        <v>4</v>
      </c>
      <c r="AE930" s="23" t="n">
        <f aca="false">MATCH($B930&amp;"|"&amp;$C930,Profils!$A$5:$A$34,0)</f>
        <v>30</v>
      </c>
      <c r="AF930" s="23" t="n">
        <v>2</v>
      </c>
      <c r="AG930" s="24" t="n">
        <f aca="false" t="array" ref="AG930:AG930">INDEX(Paramètres!$C$6:$C$12,$AF930)</f>
        <v>1.2</v>
      </c>
      <c r="AH930" s="23" t="n">
        <f aca="false" t="array" ref="AH930:AH930">INDEX(Paramètres!$D$6:$D$12,$AF930)</f>
        <v>3</v>
      </c>
      <c r="AI930" s="23" t="n">
        <f aca="false" t="array" ref="AI930:AI930">INDEX(Matériaux!$C$16:$C$20,$D930)</f>
        <v>30</v>
      </c>
      <c r="AJ930" s="25" t="n">
        <f aca="false">Paramètres!$B$16+(1-Paramètres!$B$16)*(($J930-Paramètres!$B$14)/(Paramètres!$B$15-Paramètres!$B$14))^Paramètres!$B$17</f>
        <v>0.665999387952727</v>
      </c>
    </row>
    <row r="931" customFormat="false" ht="15.75" hidden="false" customHeight="true" outlineLevel="0" collapsed="false">
      <c r="A931" s="14" t="s">
        <v>1047</v>
      </c>
      <c r="B931" s="15" t="s">
        <v>31</v>
      </c>
      <c r="C931" s="15" t="s">
        <v>401</v>
      </c>
      <c r="D931" s="16" t="n">
        <v>5</v>
      </c>
      <c r="E931" s="15" t="str">
        <f aca="false" t="array" ref="E931:E931">INDEX(Matériaux!$B$5:$F$12,MATCH(INDEX(Profils!$E$5:$E$34,$AE931),Matériaux!$A$5:$A$12,0),$D931)</f>
        <v>peau de dragon</v>
      </c>
      <c r="F931" s="27" t="s">
        <v>113</v>
      </c>
      <c r="G931" s="10" t="str">
        <f aca="false" t="array" ref="G931:G931">INDEX(Profils!$D$5:$D$34,$AE931)&amp;" en "&amp;$E931</f>
        <v>Carquois en peau de dragon</v>
      </c>
      <c r="H931" s="16" t="n">
        <f aca="false" t="array" ref="H931:H931">INDEX(Matériaux!$B$16:$B$20,$D931)</f>
        <v>70</v>
      </c>
      <c r="I931" s="16" t="n">
        <f aca="false">IF(ISNUMBER($C$3),MIN(MAX(0,ROUND($C$3,0)),$AI931),$AI931)</f>
        <v>0</v>
      </c>
      <c r="J931" s="18" t="n">
        <f aca="false">$H931+$I931</f>
        <v>70</v>
      </c>
      <c r="K931" s="15" t="s">
        <v>109</v>
      </c>
      <c r="L931" s="19" t="n">
        <f aca="false" t="array" ref="L931:L931">IF(AND(INDEX(Profils!$F$5:$F$34,$AE931)&gt;0,INDEX(Profils!$U$5:$U$34,$AE931)&lt;=$AH931),ROUND(INDEX(Profils!$F$5:$F$34,$AE931)*Paramètres!$E$22*$AG931*$AJ931,Paramètres!$F$22),0)</f>
        <v>0</v>
      </c>
      <c r="M931" s="19" t="n">
        <f aca="false" t="array" ref="M931:M931">IF(AND(INDEX(Profils!$G$5:$G$34,$AE931)&gt;0,INDEX(Profils!$V$5:$V$34,$AE931)&lt;=$AH931),ROUND(INDEX(Profils!$G$5:$G$34,$AE931)*Paramètres!$E$23*$AG931*$AJ931,Paramètres!$F$23),0)</f>
        <v>0</v>
      </c>
      <c r="N931" s="19" t="n">
        <f aca="false" t="array" ref="N931:N931">IF(AND(INDEX(Profils!$H$5:$H$34,$AE931)&gt;0,INDEX(Profils!$W$5:$W$34,$AE931)&lt;=$AH931),ROUND(INDEX(Profils!$H$5:$H$34,$AE931)*Paramètres!$E$24*$AG931*$AJ931,Paramètres!$F$24),0)</f>
        <v>0</v>
      </c>
      <c r="O931" s="19" t="n">
        <f aca="false" t="array" ref="O931:O931">IF(AND(INDEX(Profils!$I$5:$I$34,$AE931)&gt;0,INDEX(Profils!$X$5:$X$34,$AE931)&lt;=$AH931),ROUND(INDEX(Profils!$I$5:$I$34,$AE931)*Paramètres!$E$25*$AG931*$AJ931,Paramètres!$F$25),0)</f>
        <v>0</v>
      </c>
      <c r="P931" s="19" t="n">
        <f aca="false" t="array" ref="P931:P931">IF(AND(INDEX(Profils!$J$5:$J$34,$AE931)&gt;0,INDEX(Profils!$Y$5:$Y$34,$AE931)&lt;=$AH931),ROUND(INDEX(Profils!$J$5:$J$34,$AE931)*Paramètres!$E$26*$AG931*$AJ931,Paramètres!$F$26),0)</f>
        <v>16</v>
      </c>
      <c r="Q931" s="19" t="n">
        <f aca="false" t="array" ref="Q931:Q931">IF(AND(INDEX(Profils!$K$5:$K$34,$AE931)&gt;0,INDEX(Profils!$Z$5:$Z$34,$AE931)&lt;=$AH931),ROUND(INDEX(Profils!$K$5:$K$34,$AE931)*Paramètres!$E$27*$AG931*$AJ931,Paramètres!$F$27),0)</f>
        <v>0</v>
      </c>
      <c r="R931" s="20" t="n">
        <f aca="false" t="array" ref="R931:R931">IF(AND(INDEX(Profils!$L$5:$L$34,$AE931)&gt;0,INDEX(Profils!$AA$5:$AA$34,$AE931)&lt;=$AH931),ROUND(INDEX(Profils!$L$5:$L$34,$AE931)*Paramètres!$E$28*$AG931*$AJ931,Paramètres!$F$28),0)</f>
        <v>0.023</v>
      </c>
      <c r="S931" s="20" t="n">
        <f aca="false" t="array" ref="S931:S931">IF(AND(INDEX(Profils!$M$5:$M$34,$AE931)&gt;0,INDEX(Profils!$AB$5:$AB$34,$AE931)&lt;=$AH931),ROUND(INDEX(Profils!$M$5:$M$34,$AE931)*Paramètres!$E$29*$AG931*$AJ931,Paramètres!$F$29),0)</f>
        <v>0.016</v>
      </c>
      <c r="T931" s="20" t="n">
        <f aca="false" t="array" ref="T931:T931">IF(AND(INDEX(Profils!$N$5:$N$34,$AE931)&gt;0,INDEX(Profils!$AC$5:$AC$34,$AE931)&lt;=$AH931),ROUND(INDEX(Profils!$N$5:$N$34,$AE931)*Paramètres!$E$30*$AG931*$AJ931,Paramètres!$F$30),0)</f>
        <v>0.046</v>
      </c>
      <c r="U931" s="19" t="n">
        <f aca="false" t="array" ref="U931:U931">IF(AND(INDEX(Profils!$O$5:$O$34,$AE931)&gt;0,INDEX(Profils!$AD$5:$AD$34,$AE931)&lt;=$AH931),ROUND(INDEX(Profils!$O$5:$O$34,$AE931)*Paramètres!$E$31*$AG931*$AJ931,Paramètres!$F$31),0)</f>
        <v>0</v>
      </c>
      <c r="V931" s="20" t="n">
        <f aca="false" t="array" ref="V931:V931">IF(AND(INDEX(Profils!$P$5:$P$34,$AE931)&gt;0,INDEX(Profils!$AE$5:$AE$34,$AE931)&lt;=$AH931),ROUND(INDEX(Profils!$P$5:$P$34,$AE931)*Paramètres!$E$32*$AG931*$AJ931,Paramètres!$F$32),0)</f>
        <v>0</v>
      </c>
      <c r="W931" s="20" t="n">
        <f aca="false" t="array" ref="W931:W931">IF(AND(INDEX(Profils!$Q$5:$Q$34,$AE931)&gt;0,INDEX(Profils!$AF$5:$AF$34,$AE931)&lt;=$AH931),ROUND(INDEX(Profils!$Q$5:$Q$34,$AE931)*Paramètres!$E$33*$AG931*$AJ931,Paramètres!$F$33),0)</f>
        <v>0</v>
      </c>
      <c r="X931" s="20" t="n">
        <f aca="false" t="array" ref="X931:X931">IF(AND(INDEX(Profils!$R$5:$R$34,$AE931)&gt;0,INDEX(Profils!$AG$5:$AG$34,$AE931)&lt;=$AH931),ROUND(INDEX(Profils!$R$5:$R$34,$AE931)*Paramètres!$E$34*$AG931*$AJ931,Paramètres!$F$34),0)</f>
        <v>0</v>
      </c>
      <c r="Y931" s="20" t="n">
        <f aca="false" t="array" ref="Y931:Y931">IF(AND(INDEX(Profils!$S$5:$S$34,$AE931)&gt;0,INDEX(Profils!$AH$5:$AH$34,$AE931)&lt;=$AH931),ROUND(INDEX(Profils!$S$5:$S$34,$AE931)*Paramètres!$E$35*$AG931*$AJ931,Paramètres!$F$35),0)</f>
        <v>0</v>
      </c>
      <c r="Z931" s="21" t="n">
        <f aca="false">ROUND(L931/Paramètres!$E$22+M931/Paramètres!$E$23+N931/Paramètres!$E$24+O931/Paramètres!$E$25+P931/Paramètres!$E$26+Q931/Paramètres!$E$27+R931/Paramètres!$E$28+S931/Paramètres!$E$29+T931/Paramètres!$E$30+U931/Paramètres!$E$31+V931/Paramètres!$E$32+W931/Paramètres!$E$33+X931/Paramètres!$E$34+Y931/Paramètres!$E$35,1)</f>
        <v>5.7</v>
      </c>
      <c r="AA931" s="22" t="s">
        <v>109</v>
      </c>
      <c r="AB931" s="22" t="s">
        <v>109</v>
      </c>
      <c r="AC931" s="15" t="str">
        <f aca="false">$E931</f>
        <v>peau de dragon</v>
      </c>
      <c r="AD931" s="16" t="n">
        <f aca="false" t="array" ref="AD931:AD931">IF($I931&gt;=$AI931,"Max",ROUND(Paramètres!$B$40*($I931+1)^Paramètres!$B$41*INDEX(Paramètres!$H$6:$H$12,$AF931),0))</f>
        <v>4</v>
      </c>
      <c r="AE931" s="23" t="n">
        <f aca="false">MATCH($B931&amp;"|"&amp;$C931,Profils!$A$5:$A$34,0)</f>
        <v>30</v>
      </c>
      <c r="AF931" s="23" t="n">
        <v>3</v>
      </c>
      <c r="AG931" s="24" t="n">
        <f aca="false" t="array" ref="AG931:AG931">INDEX(Paramètres!$C$6:$C$12,$AF931)</f>
        <v>1.45</v>
      </c>
      <c r="AH931" s="23" t="n">
        <f aca="false" t="array" ref="AH931:AH931">INDEX(Paramètres!$D$6:$D$12,$AF931)</f>
        <v>4</v>
      </c>
      <c r="AI931" s="23" t="n">
        <f aca="false" t="array" ref="AI931:AI931">INDEX(Matériaux!$C$16:$C$20,$D931)</f>
        <v>30</v>
      </c>
      <c r="AJ931" s="25" t="n">
        <f aca="false">Paramètres!$B$16+(1-Paramètres!$B$16)*(($J931-Paramètres!$B$14)/(Paramètres!$B$15-Paramètres!$B$14))^Paramètres!$B$17</f>
        <v>0.665999387952727</v>
      </c>
    </row>
    <row r="932" customFormat="false" ht="15.75" hidden="false" customHeight="true" outlineLevel="0" collapsed="false">
      <c r="A932" s="14" t="s">
        <v>1048</v>
      </c>
      <c r="B932" s="15" t="s">
        <v>31</v>
      </c>
      <c r="C932" s="15" t="s">
        <v>401</v>
      </c>
      <c r="D932" s="16" t="n">
        <v>5</v>
      </c>
      <c r="E932" s="15" t="str">
        <f aca="false" t="array" ref="E932:E932">INDEX(Matériaux!$B$5:$F$12,MATCH(INDEX(Profils!$E$5:$E$34,$AE932),Matériaux!$A$5:$A$12,0),$D932)</f>
        <v>peau de dragon</v>
      </c>
      <c r="F932" s="28" t="s">
        <v>115</v>
      </c>
      <c r="G932" s="10" t="str">
        <f aca="false" t="array" ref="G932:G932">INDEX(Profils!$D$5:$D$34,$AE932)&amp;" en "&amp;$E932</f>
        <v>Carquois en peau de dragon</v>
      </c>
      <c r="H932" s="16" t="n">
        <f aca="false" t="array" ref="H932:H932">INDEX(Matériaux!$B$16:$B$20,$D932)</f>
        <v>70</v>
      </c>
      <c r="I932" s="16" t="n">
        <f aca="false">IF(ISNUMBER($C$3),MIN(MAX(0,ROUND($C$3,0)),$AI932),$AI932)</f>
        <v>0</v>
      </c>
      <c r="J932" s="18" t="n">
        <f aca="false">$H932+$I932</f>
        <v>70</v>
      </c>
      <c r="K932" s="15" t="s">
        <v>109</v>
      </c>
      <c r="L932" s="19" t="n">
        <f aca="false" t="array" ref="L932:L932">IF(AND(INDEX(Profils!$F$5:$F$34,$AE932)&gt;0,INDEX(Profils!$U$5:$U$34,$AE932)&lt;=$AH932),ROUND(INDEX(Profils!$F$5:$F$34,$AE932)*Paramètres!$E$22*$AG932*$AJ932,Paramètres!$F$22),0)</f>
        <v>0</v>
      </c>
      <c r="M932" s="19" t="n">
        <f aca="false" t="array" ref="M932:M932">IF(AND(INDEX(Profils!$G$5:$G$34,$AE932)&gt;0,INDEX(Profils!$V$5:$V$34,$AE932)&lt;=$AH932),ROUND(INDEX(Profils!$G$5:$G$34,$AE932)*Paramètres!$E$23*$AG932*$AJ932,Paramètres!$F$23),0)</f>
        <v>0</v>
      </c>
      <c r="N932" s="19" t="n">
        <f aca="false" t="array" ref="N932:N932">IF(AND(INDEX(Profils!$H$5:$H$34,$AE932)&gt;0,INDEX(Profils!$W$5:$W$34,$AE932)&lt;=$AH932),ROUND(INDEX(Profils!$H$5:$H$34,$AE932)*Paramètres!$E$24*$AG932*$AJ932,Paramètres!$F$24),0)</f>
        <v>0</v>
      </c>
      <c r="O932" s="19" t="n">
        <f aca="false" t="array" ref="O932:O932">IF(AND(INDEX(Profils!$I$5:$I$34,$AE932)&gt;0,INDEX(Profils!$X$5:$X$34,$AE932)&lt;=$AH932),ROUND(INDEX(Profils!$I$5:$I$34,$AE932)*Paramètres!$E$25*$AG932*$AJ932,Paramètres!$F$25),0)</f>
        <v>0</v>
      </c>
      <c r="P932" s="19" t="n">
        <f aca="false" t="array" ref="P932:P932">IF(AND(INDEX(Profils!$J$5:$J$34,$AE932)&gt;0,INDEX(Profils!$Y$5:$Y$34,$AE932)&lt;=$AH932),ROUND(INDEX(Profils!$J$5:$J$34,$AE932)*Paramètres!$E$26*$AG932*$AJ932,Paramètres!$F$26),0)</f>
        <v>20</v>
      </c>
      <c r="Q932" s="19" t="n">
        <f aca="false" t="array" ref="Q932:Q932">IF(AND(INDEX(Profils!$K$5:$K$34,$AE932)&gt;0,INDEX(Profils!$Z$5:$Z$34,$AE932)&lt;=$AH932),ROUND(INDEX(Profils!$K$5:$K$34,$AE932)*Paramètres!$E$27*$AG932*$AJ932,Paramètres!$F$27),0)</f>
        <v>0</v>
      </c>
      <c r="R932" s="20" t="n">
        <f aca="false" t="array" ref="R932:R932">IF(AND(INDEX(Profils!$L$5:$L$34,$AE932)&gt;0,INDEX(Profils!$AA$5:$AA$34,$AE932)&lt;=$AH932),ROUND(INDEX(Profils!$L$5:$L$34,$AE932)*Paramètres!$E$28*$AG932*$AJ932,Paramètres!$F$28),0)</f>
        <v>0.028</v>
      </c>
      <c r="S932" s="20" t="n">
        <f aca="false" t="array" ref="S932:S932">IF(AND(INDEX(Profils!$M$5:$M$34,$AE932)&gt;0,INDEX(Profils!$AB$5:$AB$34,$AE932)&lt;=$AH932),ROUND(INDEX(Profils!$M$5:$M$34,$AE932)*Paramètres!$E$29*$AG932*$AJ932,Paramètres!$F$29),0)</f>
        <v>0.02</v>
      </c>
      <c r="T932" s="20" t="n">
        <f aca="false" t="array" ref="T932:T932">IF(AND(INDEX(Profils!$N$5:$N$34,$AE932)&gt;0,INDEX(Profils!$AC$5:$AC$34,$AE932)&lt;=$AH932),ROUND(INDEX(Profils!$N$5:$N$34,$AE932)*Paramètres!$E$30*$AG932*$AJ932,Paramètres!$F$30),0)</f>
        <v>0.056</v>
      </c>
      <c r="U932" s="19" t="n">
        <f aca="false" t="array" ref="U932:U932">IF(AND(INDEX(Profils!$O$5:$O$34,$AE932)&gt;0,INDEX(Profils!$AD$5:$AD$34,$AE932)&lt;=$AH932),ROUND(INDEX(Profils!$O$5:$O$34,$AE932)*Paramètres!$E$31*$AG932*$AJ932,Paramètres!$F$31),0)</f>
        <v>0</v>
      </c>
      <c r="V932" s="20" t="n">
        <f aca="false" t="array" ref="V932:V932">IF(AND(INDEX(Profils!$P$5:$P$34,$AE932)&gt;0,INDEX(Profils!$AE$5:$AE$34,$AE932)&lt;=$AH932),ROUND(INDEX(Profils!$P$5:$P$34,$AE932)*Paramètres!$E$32*$AG932*$AJ932,Paramètres!$F$32),0)</f>
        <v>0.024</v>
      </c>
      <c r="W932" s="20" t="n">
        <f aca="false" t="array" ref="W932:W932">IF(AND(INDEX(Profils!$Q$5:$Q$34,$AE932)&gt;0,INDEX(Profils!$AF$5:$AF$34,$AE932)&lt;=$AH932),ROUND(INDEX(Profils!$Q$5:$Q$34,$AE932)*Paramètres!$E$33*$AG932*$AJ932,Paramètres!$F$33),0)</f>
        <v>0</v>
      </c>
      <c r="X932" s="20" t="n">
        <f aca="false" t="array" ref="X932:X932">IF(AND(INDEX(Profils!$R$5:$R$34,$AE932)&gt;0,INDEX(Profils!$AG$5:$AG$34,$AE932)&lt;=$AH932),ROUND(INDEX(Profils!$R$5:$R$34,$AE932)*Paramètres!$E$34*$AG932*$AJ932,Paramètres!$F$34),0)</f>
        <v>0</v>
      </c>
      <c r="Y932" s="20" t="n">
        <f aca="false" t="array" ref="Y932:Y932">IF(AND(INDEX(Profils!$S$5:$S$34,$AE932)&gt;0,INDEX(Profils!$AH$5:$AH$34,$AE932)&lt;=$AH932),ROUND(INDEX(Profils!$S$5:$S$34,$AE932)*Paramètres!$E$35*$AG932*$AJ932,Paramètres!$F$35),0)</f>
        <v>0</v>
      </c>
      <c r="Z932" s="21" t="n">
        <f aca="false">ROUND(L932/Paramètres!$E$22+M932/Paramètres!$E$23+N932/Paramètres!$E$24+O932/Paramètres!$E$25+P932/Paramètres!$E$26+Q932/Paramètres!$E$27+R932/Paramètres!$E$28+S932/Paramètres!$E$29+T932/Paramètres!$E$30+U932/Paramètres!$E$31+V932/Paramètres!$E$32+W932/Paramètres!$E$33+X932/Paramètres!$E$34+Y932/Paramètres!$E$35,1)</f>
        <v>8.7</v>
      </c>
      <c r="AA932" s="22" t="s">
        <v>109</v>
      </c>
      <c r="AB932" s="22" t="s">
        <v>109</v>
      </c>
      <c r="AC932" s="15" t="str">
        <f aca="false">$E932</f>
        <v>peau de dragon</v>
      </c>
      <c r="AD932" s="16" t="n">
        <f aca="false" t="array" ref="AD932:AD932">IF($I932&gt;=$AI932,"Max",ROUND(Paramètres!$B$40*($I932+1)^Paramètres!$B$41*INDEX(Paramètres!$H$6:$H$12,$AF932),0))</f>
        <v>5</v>
      </c>
      <c r="AE932" s="23" t="n">
        <f aca="false">MATCH($B932&amp;"|"&amp;$C932,Profils!$A$5:$A$34,0)</f>
        <v>30</v>
      </c>
      <c r="AF932" s="23" t="n">
        <v>4</v>
      </c>
      <c r="AG932" s="24" t="n">
        <f aca="false" t="array" ref="AG932:AG932">INDEX(Paramètres!$C$6:$C$12,$AF932)</f>
        <v>1.75</v>
      </c>
      <c r="AH932" s="23" t="n">
        <f aca="false" t="array" ref="AH932:AH932">INDEX(Paramètres!$D$6:$D$12,$AF932)</f>
        <v>5</v>
      </c>
      <c r="AI932" s="23" t="n">
        <f aca="false" t="array" ref="AI932:AI932">INDEX(Matériaux!$C$16:$C$20,$D932)</f>
        <v>30</v>
      </c>
      <c r="AJ932" s="25" t="n">
        <f aca="false">Paramètres!$B$16+(1-Paramètres!$B$16)*(($J932-Paramètres!$B$14)/(Paramètres!$B$15-Paramètres!$B$14))^Paramètres!$B$17</f>
        <v>0.665999387952727</v>
      </c>
    </row>
    <row r="933" customFormat="false" ht="15.75" hidden="false" customHeight="true" outlineLevel="0" collapsed="false">
      <c r="A933" s="14" t="s">
        <v>1049</v>
      </c>
      <c r="B933" s="15" t="s">
        <v>31</v>
      </c>
      <c r="C933" s="15" t="s">
        <v>401</v>
      </c>
      <c r="D933" s="16" t="n">
        <v>5</v>
      </c>
      <c r="E933" s="15" t="str">
        <f aca="false" t="array" ref="E933:E933">INDEX(Matériaux!$B$5:$F$12,MATCH(INDEX(Profils!$E$5:$E$34,$AE933),Matériaux!$A$5:$A$12,0),$D933)</f>
        <v>peau de dragon</v>
      </c>
      <c r="F933" s="29" t="s">
        <v>117</v>
      </c>
      <c r="G933" s="10" t="str">
        <f aca="false" t="array" ref="G933:G933">INDEX(Profils!$D$5:$D$34,$AE933)&amp;" en "&amp;$E933</f>
        <v>Carquois en peau de dragon</v>
      </c>
      <c r="H933" s="16" t="n">
        <f aca="false" t="array" ref="H933:H933">INDEX(Matériaux!$B$16:$B$20,$D933)</f>
        <v>70</v>
      </c>
      <c r="I933" s="16" t="n">
        <f aca="false">IF(ISNUMBER($C$3),MIN(MAX(0,ROUND($C$3,0)),$AI933),$AI933)</f>
        <v>0</v>
      </c>
      <c r="J933" s="18" t="n">
        <f aca="false">$H933+$I933</f>
        <v>70</v>
      </c>
      <c r="K933" s="15" t="s">
        <v>109</v>
      </c>
      <c r="L933" s="19" t="n">
        <f aca="false" t="array" ref="L933:L933">IF(AND(INDEX(Profils!$F$5:$F$34,$AE933)&gt;0,INDEX(Profils!$U$5:$U$34,$AE933)&lt;=$AH933),ROUND(INDEX(Profils!$F$5:$F$34,$AE933)*Paramètres!$E$22*$AG933*$AJ933,Paramètres!$F$22),0)</f>
        <v>0</v>
      </c>
      <c r="M933" s="19" t="n">
        <f aca="false" t="array" ref="M933:M933">IF(AND(INDEX(Profils!$G$5:$G$34,$AE933)&gt;0,INDEX(Profils!$V$5:$V$34,$AE933)&lt;=$AH933),ROUND(INDEX(Profils!$G$5:$G$34,$AE933)*Paramètres!$E$23*$AG933*$AJ933,Paramètres!$F$23),0)</f>
        <v>0</v>
      </c>
      <c r="N933" s="19" t="n">
        <f aca="false" t="array" ref="N933:N933">IF(AND(INDEX(Profils!$H$5:$H$34,$AE933)&gt;0,INDEX(Profils!$W$5:$W$34,$AE933)&lt;=$AH933),ROUND(INDEX(Profils!$H$5:$H$34,$AE933)*Paramètres!$E$24*$AG933*$AJ933,Paramètres!$F$24),0)</f>
        <v>0</v>
      </c>
      <c r="O933" s="19" t="n">
        <f aca="false" t="array" ref="O933:O933">IF(AND(INDEX(Profils!$I$5:$I$34,$AE933)&gt;0,INDEX(Profils!$X$5:$X$34,$AE933)&lt;=$AH933),ROUND(INDEX(Profils!$I$5:$I$34,$AE933)*Paramètres!$E$25*$AG933*$AJ933,Paramètres!$F$25),0)</f>
        <v>0</v>
      </c>
      <c r="P933" s="19" t="n">
        <f aca="false" t="array" ref="P933:P933">IF(AND(INDEX(Profils!$J$5:$J$34,$AE933)&gt;0,INDEX(Profils!$Y$5:$Y$34,$AE933)&lt;=$AH933),ROUND(INDEX(Profils!$J$5:$J$34,$AE933)*Paramètres!$E$26*$AG933*$AJ933,Paramètres!$F$26),0)</f>
        <v>23</v>
      </c>
      <c r="Q933" s="19" t="n">
        <f aca="false" t="array" ref="Q933:Q933">IF(AND(INDEX(Profils!$K$5:$K$34,$AE933)&gt;0,INDEX(Profils!$Z$5:$Z$34,$AE933)&lt;=$AH933),ROUND(INDEX(Profils!$K$5:$K$34,$AE933)*Paramètres!$E$27*$AG933*$AJ933,Paramètres!$F$27),0)</f>
        <v>14</v>
      </c>
      <c r="R933" s="20" t="n">
        <f aca="false" t="array" ref="R933:R933">IF(AND(INDEX(Profils!$L$5:$L$34,$AE933)&gt;0,INDEX(Profils!$AA$5:$AA$34,$AE933)&lt;=$AH933),ROUND(INDEX(Profils!$L$5:$L$34,$AE933)*Paramètres!$E$28*$AG933*$AJ933,Paramètres!$F$28),0)</f>
        <v>0.034</v>
      </c>
      <c r="S933" s="20" t="n">
        <f aca="false" t="array" ref="S933:S933">IF(AND(INDEX(Profils!$M$5:$M$34,$AE933)&gt;0,INDEX(Profils!$AB$5:$AB$34,$AE933)&lt;=$AH933),ROUND(INDEX(Profils!$M$5:$M$34,$AE933)*Paramètres!$E$29*$AG933*$AJ933,Paramètres!$F$29),0)</f>
        <v>0.023</v>
      </c>
      <c r="T933" s="20" t="n">
        <f aca="false" t="array" ref="T933:T933">IF(AND(INDEX(Profils!$N$5:$N$34,$AE933)&gt;0,INDEX(Profils!$AC$5:$AC$34,$AE933)&lt;=$AH933),ROUND(INDEX(Profils!$N$5:$N$34,$AE933)*Paramètres!$E$30*$AG933*$AJ933,Paramètres!$F$30),0)</f>
        <v>0.067</v>
      </c>
      <c r="U933" s="19" t="n">
        <f aca="false" t="array" ref="U933:U933">IF(AND(INDEX(Profils!$O$5:$O$34,$AE933)&gt;0,INDEX(Profils!$AD$5:$AD$34,$AE933)&lt;=$AH933),ROUND(INDEX(Profils!$O$5:$O$34,$AE933)*Paramètres!$E$31*$AG933*$AJ933,Paramètres!$F$31),0)</f>
        <v>0</v>
      </c>
      <c r="V933" s="20" t="n">
        <f aca="false" t="array" ref="V933:V933">IF(AND(INDEX(Profils!$P$5:$P$34,$AE933)&gt;0,INDEX(Profils!$AE$5:$AE$34,$AE933)&lt;=$AH933),ROUND(INDEX(Profils!$P$5:$P$34,$AE933)*Paramètres!$E$32*$AG933*$AJ933,Paramètres!$F$32),0)</f>
        <v>0.029</v>
      </c>
      <c r="W933" s="20" t="n">
        <f aca="false" t="array" ref="W933:W933">IF(AND(INDEX(Profils!$Q$5:$Q$34,$AE933)&gt;0,INDEX(Profils!$AF$5:$AF$34,$AE933)&lt;=$AH933),ROUND(INDEX(Profils!$Q$5:$Q$34,$AE933)*Paramètres!$E$33*$AG933*$AJ933,Paramètres!$F$33),0)</f>
        <v>0</v>
      </c>
      <c r="X933" s="20" t="n">
        <f aca="false" t="array" ref="X933:X933">IF(AND(INDEX(Profils!$R$5:$R$34,$AE933)&gt;0,INDEX(Profils!$AG$5:$AG$34,$AE933)&lt;=$AH933),ROUND(INDEX(Profils!$R$5:$R$34,$AE933)*Paramètres!$E$34*$AG933*$AJ933,Paramètres!$F$34),0)</f>
        <v>0</v>
      </c>
      <c r="Y933" s="20" t="n">
        <f aca="false" t="array" ref="Y933:Y933">IF(AND(INDEX(Profils!$S$5:$S$34,$AE933)&gt;0,INDEX(Profils!$AH$5:$AH$34,$AE933)&lt;=$AH933),ROUND(INDEX(Profils!$S$5:$S$34,$AE933)*Paramètres!$E$35*$AG933*$AJ933,Paramètres!$F$35),0)</f>
        <v>0</v>
      </c>
      <c r="Z933" s="21" t="n">
        <f aca="false">ROUND(L933/Paramètres!$E$22+M933/Paramètres!$E$23+N933/Paramètres!$E$24+O933/Paramètres!$E$25+P933/Paramètres!$E$26+Q933/Paramètres!$E$27+R933/Paramètres!$E$28+S933/Paramètres!$E$29+T933/Paramètres!$E$30+U933/Paramètres!$E$31+V933/Paramètres!$E$32+W933/Paramètres!$E$33+X933/Paramètres!$E$34+Y933/Paramètres!$E$35,1)</f>
        <v>11.7</v>
      </c>
      <c r="AA933" s="22" t="s">
        <v>109</v>
      </c>
      <c r="AB933" s="22" t="s">
        <v>109</v>
      </c>
      <c r="AC933" s="15" t="str">
        <f aca="false">$E933</f>
        <v>peau de dragon</v>
      </c>
      <c r="AD933" s="16" t="n">
        <f aca="false" t="array" ref="AD933:AD933">IF($I933&gt;=$AI933,"Max",ROUND(Paramètres!$B$40*($I933+1)^Paramètres!$B$41*INDEX(Paramètres!$H$6:$H$12,$AF933),0))</f>
        <v>6</v>
      </c>
      <c r="AE933" s="23" t="n">
        <f aca="false">MATCH($B933&amp;"|"&amp;$C933,Profils!$A$5:$A$34,0)</f>
        <v>30</v>
      </c>
      <c r="AF933" s="23" t="n">
        <v>5</v>
      </c>
      <c r="AG933" s="24" t="n">
        <f aca="false" t="array" ref="AG933:AG933">INDEX(Paramètres!$C$6:$C$12,$AF933)</f>
        <v>2.1</v>
      </c>
      <c r="AH933" s="23" t="n">
        <f aca="false" t="array" ref="AH933:AH933">INDEX(Paramètres!$D$6:$D$12,$AF933)</f>
        <v>6</v>
      </c>
      <c r="AI933" s="23" t="n">
        <f aca="false" t="array" ref="AI933:AI933">INDEX(Matériaux!$C$16:$C$20,$D933)</f>
        <v>30</v>
      </c>
      <c r="AJ933" s="25" t="n">
        <f aca="false">Paramètres!$B$16+(1-Paramètres!$B$16)*(($J933-Paramètres!$B$14)/(Paramètres!$B$15-Paramètres!$B$14))^Paramètres!$B$17</f>
        <v>0.665999387952727</v>
      </c>
    </row>
    <row r="934" customFormat="false" ht="15.75" hidden="false" customHeight="true" outlineLevel="0" collapsed="false">
      <c r="A934" s="14" t="s">
        <v>1050</v>
      </c>
      <c r="B934" s="15" t="s">
        <v>31</v>
      </c>
      <c r="C934" s="15" t="s">
        <v>401</v>
      </c>
      <c r="D934" s="16" t="n">
        <v>5</v>
      </c>
      <c r="E934" s="15" t="str">
        <f aca="false" t="array" ref="E934:E934">INDEX(Matériaux!$B$5:$F$12,MATCH(INDEX(Profils!$E$5:$E$34,$AE934),Matériaux!$A$5:$A$12,0),$D934)</f>
        <v>peau de dragon</v>
      </c>
      <c r="F934" s="30" t="s">
        <v>119</v>
      </c>
      <c r="G934" s="10" t="str">
        <f aca="false" t="array" ref="G934:G934">INDEX(Profils!$D$5:$D$34,$AE934)&amp;" en "&amp;$E934</f>
        <v>Carquois en peau de dragon</v>
      </c>
      <c r="H934" s="16" t="n">
        <f aca="false" t="array" ref="H934:H934">INDEX(Matériaux!$B$16:$B$20,$D934)</f>
        <v>70</v>
      </c>
      <c r="I934" s="16" t="n">
        <f aca="false">IF(ISNUMBER($C$3),MIN(MAX(0,ROUND($C$3,0)),$AI934),$AI934)</f>
        <v>0</v>
      </c>
      <c r="J934" s="18" t="n">
        <f aca="false">$H934+$I934</f>
        <v>70</v>
      </c>
      <c r="K934" s="15" t="s">
        <v>109</v>
      </c>
      <c r="L934" s="19" t="n">
        <f aca="false" t="array" ref="L934:L934">IF(AND(INDEX(Profils!$F$5:$F$34,$AE934)&gt;0,INDEX(Profils!$U$5:$U$34,$AE934)&lt;=$AH934),ROUND(INDEX(Profils!$F$5:$F$34,$AE934)*Paramètres!$E$22*$AG934*$AJ934,Paramètres!$F$22),0)</f>
        <v>0</v>
      </c>
      <c r="M934" s="19" t="n">
        <f aca="false" t="array" ref="M934:M934">IF(AND(INDEX(Profils!$G$5:$G$34,$AE934)&gt;0,INDEX(Profils!$V$5:$V$34,$AE934)&lt;=$AH934),ROUND(INDEX(Profils!$G$5:$G$34,$AE934)*Paramètres!$E$23*$AG934*$AJ934,Paramètres!$F$23),0)</f>
        <v>22</v>
      </c>
      <c r="N934" s="19" t="n">
        <f aca="false" t="array" ref="N934:N934">IF(AND(INDEX(Profils!$H$5:$H$34,$AE934)&gt;0,INDEX(Profils!$W$5:$W$34,$AE934)&lt;=$AH934),ROUND(INDEX(Profils!$H$5:$H$34,$AE934)*Paramètres!$E$24*$AG934*$AJ934,Paramètres!$F$24),0)</f>
        <v>0</v>
      </c>
      <c r="O934" s="19" t="n">
        <f aca="false" t="array" ref="O934:O934">IF(AND(INDEX(Profils!$I$5:$I$34,$AE934)&gt;0,INDEX(Profils!$X$5:$X$34,$AE934)&lt;=$AH934),ROUND(INDEX(Profils!$I$5:$I$34,$AE934)*Paramètres!$E$25*$AG934*$AJ934,Paramètres!$F$25),0)</f>
        <v>0</v>
      </c>
      <c r="P934" s="19" t="n">
        <f aca="false" t="array" ref="P934:P934">IF(AND(INDEX(Profils!$J$5:$J$34,$AE934)&gt;0,INDEX(Profils!$Y$5:$Y$34,$AE934)&lt;=$AH934),ROUND(INDEX(Profils!$J$5:$J$34,$AE934)*Paramètres!$E$26*$AG934*$AJ934,Paramètres!$F$26),0)</f>
        <v>27</v>
      </c>
      <c r="Q934" s="19" t="n">
        <f aca="false" t="array" ref="Q934:Q934">IF(AND(INDEX(Profils!$K$5:$K$34,$AE934)&gt;0,INDEX(Profils!$Z$5:$Z$34,$AE934)&lt;=$AH934),ROUND(INDEX(Profils!$K$5:$K$34,$AE934)*Paramètres!$E$27*$AG934*$AJ934,Paramètres!$F$27),0)</f>
        <v>16</v>
      </c>
      <c r="R934" s="20" t="n">
        <f aca="false" t="array" ref="R934:R934">IF(AND(INDEX(Profils!$L$5:$L$34,$AE934)&gt;0,INDEX(Profils!$AA$5:$AA$34,$AE934)&lt;=$AH934),ROUND(INDEX(Profils!$L$5:$L$34,$AE934)*Paramètres!$E$28*$AG934*$AJ934,Paramètres!$F$28),0)</f>
        <v>0.038</v>
      </c>
      <c r="S934" s="20" t="n">
        <f aca="false" t="array" ref="S934:S934">IF(AND(INDEX(Profils!$M$5:$M$34,$AE934)&gt;0,INDEX(Profils!$AB$5:$AB$34,$AE934)&lt;=$AH934),ROUND(INDEX(Profils!$M$5:$M$34,$AE934)*Paramètres!$E$29*$AG934*$AJ934,Paramètres!$F$29),0)</f>
        <v>0.027</v>
      </c>
      <c r="T934" s="20" t="n">
        <f aca="false" t="array" ref="T934:T934">IF(AND(INDEX(Profils!$N$5:$N$34,$AE934)&gt;0,INDEX(Profils!$AC$5:$AC$34,$AE934)&lt;=$AH934),ROUND(INDEX(Profils!$N$5:$N$34,$AE934)*Paramètres!$E$30*$AG934*$AJ934,Paramètres!$F$30),0)</f>
        <v>0.077</v>
      </c>
      <c r="U934" s="19" t="n">
        <f aca="false" t="array" ref="U934:U934">IF(AND(INDEX(Profils!$O$5:$O$34,$AE934)&gt;0,INDEX(Profils!$AD$5:$AD$34,$AE934)&lt;=$AH934),ROUND(INDEX(Profils!$O$5:$O$34,$AE934)*Paramètres!$E$31*$AG934*$AJ934,Paramètres!$F$31),0)</f>
        <v>0</v>
      </c>
      <c r="V934" s="20" t="n">
        <f aca="false" t="array" ref="V934:V934">IF(AND(INDEX(Profils!$P$5:$P$34,$AE934)&gt;0,INDEX(Profils!$AE$5:$AE$34,$AE934)&lt;=$AH934),ROUND(INDEX(Profils!$P$5:$P$34,$AE934)*Paramètres!$E$32*$AG934*$AJ934,Paramètres!$F$32),0)</f>
        <v>0.034</v>
      </c>
      <c r="W934" s="20" t="n">
        <f aca="false" t="array" ref="W934:W934">IF(AND(INDEX(Profils!$Q$5:$Q$34,$AE934)&gt;0,INDEX(Profils!$AF$5:$AF$34,$AE934)&lt;=$AH934),ROUND(INDEX(Profils!$Q$5:$Q$34,$AE934)*Paramètres!$E$33*$AG934*$AJ934,Paramètres!$F$33),0)</f>
        <v>0</v>
      </c>
      <c r="X934" s="20" t="n">
        <f aca="false" t="array" ref="X934:X934">IF(AND(INDEX(Profils!$R$5:$R$34,$AE934)&gt;0,INDEX(Profils!$AG$5:$AG$34,$AE934)&lt;=$AH934),ROUND(INDEX(Profils!$R$5:$R$34,$AE934)*Paramètres!$E$34*$AG934*$AJ934,Paramètres!$F$34),0)</f>
        <v>0</v>
      </c>
      <c r="Y934" s="20" t="n">
        <f aca="false" t="array" ref="Y934:Y934">IF(AND(INDEX(Profils!$S$5:$S$34,$AE934)&gt;0,INDEX(Profils!$AH$5:$AH$34,$AE934)&lt;=$AH934),ROUND(INDEX(Profils!$S$5:$S$34,$AE934)*Paramètres!$E$35*$AG934*$AJ934,Paramètres!$F$35),0)</f>
        <v>0</v>
      </c>
      <c r="Z934" s="21" t="n">
        <f aca="false">ROUND(L934/Paramètres!$E$22+M934/Paramètres!$E$23+N934/Paramètres!$E$24+O934/Paramètres!$E$25+P934/Paramètres!$E$26+Q934/Paramètres!$E$27+R934/Paramètres!$E$28+S934/Paramètres!$E$29+T934/Paramètres!$E$30+U934/Paramètres!$E$31+V934/Paramètres!$E$32+W934/Paramètres!$E$33+X934/Paramètres!$E$34+Y934/Paramètres!$E$35,1)</f>
        <v>14.9</v>
      </c>
      <c r="AA934" s="22" t="s">
        <v>109</v>
      </c>
      <c r="AB934" s="22" t="s">
        <v>109</v>
      </c>
      <c r="AC934" s="15" t="str">
        <f aca="false">$E934</f>
        <v>peau de dragon</v>
      </c>
      <c r="AD934" s="16" t="n">
        <f aca="false" t="array" ref="AD934:AD934">IF($I934&gt;=$AI934,"Max",ROUND(Paramètres!$B$40*($I934+1)^Paramètres!$B$41*INDEX(Paramètres!$H$6:$H$12,$AF934),0))</f>
        <v>8</v>
      </c>
      <c r="AE934" s="23" t="n">
        <f aca="false">MATCH($B934&amp;"|"&amp;$C934,Profils!$A$5:$A$34,0)</f>
        <v>30</v>
      </c>
      <c r="AF934" s="23" t="n">
        <v>6</v>
      </c>
      <c r="AG934" s="24" t="n">
        <f aca="false" t="array" ref="AG934:AG934">INDEX(Paramètres!$C$6:$C$12,$AF934)</f>
        <v>2.4</v>
      </c>
      <c r="AH934" s="23" t="n">
        <f aca="false" t="array" ref="AH934:AH934">INDEX(Paramètres!$D$6:$D$12,$AF934)</f>
        <v>7</v>
      </c>
      <c r="AI934" s="23" t="n">
        <f aca="false" t="array" ref="AI934:AI934">INDEX(Matériaux!$C$16:$C$20,$D934)</f>
        <v>30</v>
      </c>
      <c r="AJ934" s="25" t="n">
        <f aca="false">Paramètres!$B$16+(1-Paramètres!$B$16)*(($J934-Paramètres!$B$14)/(Paramètres!$B$15-Paramètres!$B$14))^Paramètres!$B$17</f>
        <v>0.665999387952727</v>
      </c>
    </row>
    <row r="935" customFormat="false" ht="15.75" hidden="false" customHeight="true" outlineLevel="0" collapsed="false">
      <c r="A935" s="14" t="s">
        <v>1051</v>
      </c>
      <c r="B935" s="15" t="s">
        <v>31</v>
      </c>
      <c r="C935" s="15" t="s">
        <v>401</v>
      </c>
      <c r="D935" s="16" t="s">
        <v>109</v>
      </c>
      <c r="E935" s="15" t="s">
        <v>109</v>
      </c>
      <c r="F935" s="31" t="s">
        <v>38</v>
      </c>
      <c r="G935" s="10" t="str">
        <f aca="false" t="array" ref="G935:G935">INDEX(Uniques!$E$5:$E$34,MATCH($B935&amp;"|"&amp;$C935,Uniques!$A$5:$A$34,0))</f>
        <v>Carquois du Chasseur de Spectres</v>
      </c>
      <c r="H935" s="16" t="n">
        <f aca="false" t="array" ref="H935:H935">INDEX(Uniques!$L$5:$L$34,MATCH($B935&amp;"|"&amp;$C935,Uniques!$A$5:$A$34,0))</f>
        <v>91</v>
      </c>
      <c r="I935" s="16" t="n">
        <f aca="false">IF(ISNUMBER($C$3),MIN(MAX(0,ROUND($C$3,0)),$AI935),$AI935)</f>
        <v>0</v>
      </c>
      <c r="J935" s="18" t="n">
        <f aca="false">$H935+$I935</f>
        <v>91</v>
      </c>
      <c r="K935" s="15" t="str">
        <f aca="false" t="array" ref="K935:K935">INDEX(Uniques!$F$5:$F$34,MATCH($B935&amp;"|"&amp;$C935,Uniques!$A$5:$A$34,0))</f>
        <v>Ombre</v>
      </c>
      <c r="L935" s="19" t="n">
        <f aca="false" t="array" ref="L935:L935">IF(AND(INDEX(Profils!$F$5:$F$34,$AE935)&gt;0,INDEX(Profils!$U$5:$U$34,$AE935)&lt;=$AH935),ROUND(INDEX(Profils!$F$5:$F$34,$AE935)*Paramètres!$E$22*$AG935*$AJ935,Paramètres!$F$22),0)</f>
        <v>0</v>
      </c>
      <c r="M935" s="19" t="n">
        <f aca="false" t="array" ref="M935:M935">IF(AND(INDEX(Profils!$G$5:$G$34,$AE935)&gt;0,INDEX(Profils!$V$5:$V$34,$AE935)&lt;=$AH935),ROUND(INDEX(Profils!$G$5:$G$34,$AE935)*Paramètres!$E$23*$AG935*$AJ935,Paramètres!$F$23),0)</f>
        <v>30</v>
      </c>
      <c r="N935" s="19" t="n">
        <f aca="false" t="array" ref="N935:N935">IF(AND(INDEX(Profils!$H$5:$H$34,$AE935)&gt;0,INDEX(Profils!$W$5:$W$34,$AE935)&lt;=$AH935),ROUND(INDEX(Profils!$H$5:$H$34,$AE935)*Paramètres!$E$24*$AG935*$AJ935,Paramètres!$F$24),0)</f>
        <v>0</v>
      </c>
      <c r="O935" s="19" t="n">
        <f aca="false" t="array" ref="O935:O935">IF(AND(INDEX(Profils!$I$5:$I$34,$AE935)&gt;0,INDEX(Profils!$X$5:$X$34,$AE935)&lt;=$AH935),ROUND(INDEX(Profils!$I$5:$I$34,$AE935)*Paramètres!$E$25*$AG935*$AJ935,Paramètres!$F$25),0)</f>
        <v>0</v>
      </c>
      <c r="P935" s="19" t="n">
        <f aca="false" t="array" ref="P935:P935">IF(AND(INDEX(Profils!$J$5:$J$34,$AE935)&gt;0,INDEX(Profils!$Y$5:$Y$34,$AE935)&lt;=$AH935),ROUND(INDEX(Profils!$J$5:$J$34,$AE935)*Paramètres!$E$26*$AG935*$AJ935,Paramètres!$F$26),0)</f>
        <v>38</v>
      </c>
      <c r="Q935" s="19" t="n">
        <f aca="false" t="array" ref="Q935:Q935">IF(AND(INDEX(Profils!$K$5:$K$34,$AE935)&gt;0,INDEX(Profils!$Z$5:$Z$34,$AE935)&lt;=$AH935),ROUND(INDEX(Profils!$K$5:$K$34,$AE935)*Paramètres!$E$27*$AG935*$AJ935,Paramètres!$F$27),0)</f>
        <v>22</v>
      </c>
      <c r="R935" s="20" t="n">
        <f aca="false" t="array" ref="R935:R935">IF(AND(INDEX(Profils!$L$5:$L$34,$AE935)&gt;0,INDEX(Profils!$AA$5:$AA$34,$AE935)&lt;=$AH935),ROUND(INDEX(Profils!$L$5:$L$34,$AE935)*Paramètres!$E$28*$AG935*$AJ935,Paramètres!$F$28),0)</f>
        <v>0.054</v>
      </c>
      <c r="S935" s="20" t="n">
        <f aca="false" t="array" ref="S935:S935">IF(AND(INDEX(Profils!$M$5:$M$34,$AE935)&gt;0,INDEX(Profils!$AB$5:$AB$34,$AE935)&lt;=$AH935),ROUND(INDEX(Profils!$M$5:$M$34,$AE935)*Paramètres!$E$29*$AG935*$AJ935,Paramètres!$F$29),0)</f>
        <v>0.038</v>
      </c>
      <c r="T935" s="20" t="n">
        <f aca="false" t="array" ref="T935:T935">IF(AND(INDEX(Profils!$N$5:$N$34,$AE935)&gt;0,INDEX(Profils!$AC$5:$AC$34,$AE935)&lt;=$AH935),ROUND(INDEX(Profils!$N$5:$N$34,$AE935)*Paramètres!$E$30*$AG935*$AJ935,Paramètres!$F$30),0)</f>
        <v>0.108</v>
      </c>
      <c r="U935" s="19" t="n">
        <f aca="false" t="array" ref="U935:U935">IF(AND(INDEX(Profils!$O$5:$O$34,$AE935)&gt;0,INDEX(Profils!$AD$5:$AD$34,$AE935)&lt;=$AH935),ROUND(INDEX(Profils!$O$5:$O$34,$AE935)*Paramètres!$E$31*$AG935*$AJ935,Paramètres!$F$31),0)</f>
        <v>0</v>
      </c>
      <c r="V935" s="20" t="n">
        <f aca="false" t="array" ref="V935:V935">IF(AND(INDEX(Profils!$P$5:$P$34,$AE935)&gt;0,INDEX(Profils!$AE$5:$AE$34,$AE935)&lt;=$AH935),ROUND(INDEX(Profils!$P$5:$P$34,$AE935)*Paramètres!$E$32*$AG935*$AJ935,Paramètres!$F$32),0)</f>
        <v>0.047</v>
      </c>
      <c r="W935" s="20" t="n">
        <f aca="false" t="array" ref="W935:W935">IF(AND(INDEX(Profils!$Q$5:$Q$34,$AE935)&gt;0,INDEX(Profils!$AF$5:$AF$34,$AE935)&lt;=$AH935),ROUND(INDEX(Profils!$Q$5:$Q$34,$AE935)*Paramètres!$E$33*$AG935*$AJ935,Paramètres!$F$33),0)</f>
        <v>0</v>
      </c>
      <c r="X935" s="20" t="n">
        <f aca="false" t="array" ref="X935:X935">IF(AND(INDEX(Profils!$R$5:$R$34,$AE935)&gt;0,INDEX(Profils!$AG$5:$AG$34,$AE935)&lt;=$AH935),ROUND(INDEX(Profils!$R$5:$R$34,$AE935)*Paramètres!$E$34*$AG935*$AJ935,Paramètres!$F$34),0)</f>
        <v>0</v>
      </c>
      <c r="Y935" s="20" t="n">
        <f aca="false" t="array" ref="Y935:Y935">IF(AND(INDEX(Profils!$S$5:$S$34,$AE935)&gt;0,INDEX(Profils!$AH$5:$AH$34,$AE935)&lt;=$AH935),ROUND(INDEX(Profils!$S$5:$S$34,$AE935)*Paramètres!$E$35*$AG935*$AJ935,Paramètres!$F$35),0)</f>
        <v>0</v>
      </c>
      <c r="Z935" s="21" t="n">
        <f aca="false">ROUND(L935/Paramètres!$E$22+M935/Paramètres!$E$23+N935/Paramètres!$E$24+O935/Paramètres!$E$25+P935/Paramètres!$E$26+Q935/Paramètres!$E$27+R935/Paramètres!$E$28+S935/Paramètres!$E$29+T935/Paramètres!$E$30+U935/Paramètres!$E$31+V935/Paramètres!$E$32+W935/Paramètres!$E$33+X935/Paramètres!$E$34+Y935/Paramètres!$E$35,1)</f>
        <v>20.9</v>
      </c>
      <c r="AA935" s="22" t="str">
        <f aca="false" t="array" ref="AA935:AA935">INDEX(Uniques!$G$5:$G$34,MATCH($B935&amp;"|"&amp;$C935,Uniques!$A$5:$A$34,0))</f>
        <v>Flèches spectrales</v>
      </c>
      <c r="AB935" s="22" t="str">
        <f aca="false" t="array" ref="AB935:AB935">INDEX(Uniques!$H$5:$H$34,MATCH($B935&amp;"|"&amp;$C935,Uniques!$A$5:$A$34,0))&amp;" ["&amp;INDEX(Uniques!$I$5:$I$34,MATCH($B935&amp;"|"&amp;$C935,Uniques!$A$5:$A$34,0))&amp;"]"</f>
        <v>Les coups critiques traversent la cible et infligent 40 % de leurs dégâts à un second ennemi. [1 fois par tour.]</v>
      </c>
      <c r="AC935" s="15" t="str">
        <f aca="false" t="array" ref="AC935:AC935">INDEX(Matériaux!$B$5:$F$12,MATCH(INDEX(Profils!$E$5:$E$34,$AE935),Matériaux!$A$5:$A$12,0),MATCH(MIN($J935+1,100),Matériaux!$B$16:$B$20,1))</f>
        <v>peau de dragon</v>
      </c>
      <c r="AD935" s="16" t="n">
        <f aca="false" t="array" ref="AD935:AD935">IF($I935&gt;=$AI935,"Max",ROUND(Paramètres!$B$40*($I935+1)^Paramètres!$B$41*INDEX(Paramètres!$H$6:$H$12,$AF935),0))</f>
        <v>9</v>
      </c>
      <c r="AE935" s="23" t="n">
        <f aca="false">MATCH($B935&amp;"|"&amp;$C935,Profils!$A$5:$A$34,0)</f>
        <v>30</v>
      </c>
      <c r="AF935" s="23" t="n">
        <v>7</v>
      </c>
      <c r="AG935" s="24" t="n">
        <f aca="false" t="array" ref="AG935:AG935">INDEX(Paramètres!$C$6:$C$12,$AF935)</f>
        <v>2.5</v>
      </c>
      <c r="AH935" s="23" t="n">
        <f aca="false" t="array" ref="AH935:AH935">INDEX(Paramètres!$D$6:$D$12,$AF935)</f>
        <v>7</v>
      </c>
      <c r="AI935" s="23" t="n">
        <f aca="false" t="array" ref="AI935:AI935">INDEX(Uniques!$M$5:$M$34,MATCH($B935&amp;"|"&amp;$C935,Uniques!$A$5:$A$34,0))</f>
        <v>9</v>
      </c>
      <c r="AJ935" s="25" t="n">
        <f aca="false">Paramètres!$B$16+(1-Paramètres!$B$16)*(($J935-Paramètres!$B$14)/(Paramètres!$B$15-Paramètres!$B$14))^Paramètres!$B$17</f>
        <v>0.89732960994541</v>
      </c>
    </row>
  </sheetData>
  <autoFilter ref="A5:AJ9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32"/>
    <col collapsed="false" customWidth="true" hidden="false" outlineLevel="0" max="2" min="2" style="1" width="24"/>
    <col collapsed="false" customWidth="true" hidden="false" outlineLevel="0" max="3" min="3" style="1" width="14"/>
    <col collapsed="false" customWidth="true" hidden="false" outlineLevel="0" max="4" min="4" style="1" width="10"/>
    <col collapsed="false" customWidth="true" hidden="false" outlineLevel="0" max="5" min="5" style="1" width="12"/>
    <col collapsed="false" customWidth="true" hidden="false" outlineLevel="0" max="6" min="6" style="1" width="22"/>
    <col collapsed="false" customWidth="true" hidden="false" outlineLevel="0" max="26" min="7" style="1" width="8.71"/>
  </cols>
  <sheetData>
    <row r="1" customFormat="false" ht="17.25" hidden="false" customHeight="true" outlineLevel="0" collapsed="false">
      <c r="A1" s="8" t="s">
        <v>1052</v>
      </c>
    </row>
    <row r="2" customFormat="false" ht="15" hidden="false" customHeight="true" outlineLevel="0" collapsed="false">
      <c r="A2" s="9" t="s">
        <v>1053</v>
      </c>
    </row>
    <row r="3" customFormat="false" ht="15" hidden="false" customHeight="true" outlineLevel="0" collapsed="false">
      <c r="A3" s="10" t="s">
        <v>74</v>
      </c>
      <c r="B3" s="11" t="s">
        <v>27</v>
      </c>
    </row>
    <row r="4" customFormat="false" ht="15" hidden="false" customHeight="true" outlineLevel="0" collapsed="false">
      <c r="A4" s="10" t="s">
        <v>75</v>
      </c>
      <c r="B4" s="11" t="s">
        <v>369</v>
      </c>
    </row>
    <row r="5" customFormat="false" ht="15" hidden="false" customHeight="true" outlineLevel="0" collapsed="false">
      <c r="A5" s="10" t="s">
        <v>36</v>
      </c>
      <c r="B5" s="11" t="s">
        <v>115</v>
      </c>
    </row>
    <row r="6" customFormat="false" ht="15" hidden="false" customHeight="true" outlineLevel="0" collapsed="false">
      <c r="A6" s="10" t="s">
        <v>1054</v>
      </c>
      <c r="B6" s="11" t="n">
        <v>2</v>
      </c>
    </row>
    <row r="7" customFormat="false" ht="15" hidden="false" customHeight="true" outlineLevel="0" collapsed="false">
      <c r="A7" s="10" t="s">
        <v>1055</v>
      </c>
      <c r="B7" s="11" t="n">
        <v>10</v>
      </c>
    </row>
    <row r="9" customFormat="false" ht="15" hidden="false" customHeight="true" outlineLevel="0" collapsed="false">
      <c r="A9" s="32" t="s">
        <v>1056</v>
      </c>
      <c r="B9" s="33" t="n">
        <f aca="false">MATCH($B$3&amp;"|"&amp;$B$4,Profils!$A$5:$A$34,0)</f>
        <v>9</v>
      </c>
    </row>
    <row r="10" customFormat="false" ht="15" hidden="false" customHeight="true" outlineLevel="0" collapsed="false">
      <c r="A10" s="32" t="s">
        <v>1057</v>
      </c>
      <c r="B10" s="33" t="n">
        <f aca="false">MATCH($B$5,Paramètres!$A$6:$A$12,0)</f>
        <v>4</v>
      </c>
    </row>
    <row r="11" customFormat="false" ht="15" hidden="false" customHeight="true" outlineLevel="0" collapsed="false">
      <c r="A11" s="32" t="s">
        <v>1058</v>
      </c>
      <c r="B11" s="34" t="n">
        <f aca="false" t="array" ref="B11:B11">INDEX(Paramètres!$C$6:$C$12,$B$10)</f>
        <v>1.75</v>
      </c>
    </row>
    <row r="12" customFormat="false" ht="15" hidden="false" customHeight="true" outlineLevel="0" collapsed="false">
      <c r="A12" s="32" t="s">
        <v>1059</v>
      </c>
      <c r="B12" s="33" t="n">
        <f aca="false" t="array" ref="B12:B12">INDEX(Paramètres!$D$6:$D$12,$B$10)</f>
        <v>5</v>
      </c>
    </row>
    <row r="13" customFormat="false" ht="15" hidden="false" customHeight="true" outlineLevel="0" collapsed="false">
      <c r="A13" s="32" t="s">
        <v>1060</v>
      </c>
      <c r="B13" s="35" t="str">
        <f aca="false" t="array" ref="B13:B13">INDEX(Paramètres!$E$6:$E$12,$B$10)</f>
        <v>Non</v>
      </c>
    </row>
    <row r="14" customFormat="false" ht="15" hidden="false" customHeight="true" outlineLevel="0" collapsed="false">
      <c r="A14" s="32" t="s">
        <v>79</v>
      </c>
      <c r="B14" s="33" t="n">
        <f aca="false" t="array" ref="B14:B14">IF($B$13="Oui",INDEX(Uniques!$L$5:$L$34,MATCH($B$3&amp;"|"&amp;$B$4,Uniques!$A$5:$A$34,0)),INDEX(Matériaux!$B$16:$B$20,$B$6))</f>
        <v>15</v>
      </c>
    </row>
    <row r="15" customFormat="false" ht="15" hidden="false" customHeight="true" outlineLevel="0" collapsed="false">
      <c r="A15" s="32" t="s">
        <v>1061</v>
      </c>
      <c r="B15" s="33" t="n">
        <f aca="false" t="array" ref="B15:B15">IF($B$13="Oui",INDEX(Uniques!$M$5:$M$34,MATCH($B$3&amp;"|"&amp;$B$4,Uniques!$A$5:$A$34,0)),INDEX(Matériaux!$C$16:$C$20,$B$6))</f>
        <v>20</v>
      </c>
    </row>
    <row r="16" customFormat="false" ht="15" hidden="false" customHeight="true" outlineLevel="0" collapsed="false">
      <c r="A16" s="10" t="s">
        <v>1062</v>
      </c>
      <c r="B16" s="18" t="n">
        <f aca="false">MIN(MAX(0,$B$7),$B$15)</f>
        <v>10</v>
      </c>
    </row>
    <row r="17" customFormat="false" ht="15" hidden="false" customHeight="true" outlineLevel="0" collapsed="false">
      <c r="A17" s="10" t="s">
        <v>80</v>
      </c>
      <c r="B17" s="18" t="n">
        <f aca="false">$B$14+$B$16</f>
        <v>25</v>
      </c>
    </row>
    <row r="18" customFormat="false" ht="15" hidden="false" customHeight="true" outlineLevel="0" collapsed="false">
      <c r="A18" s="32" t="s">
        <v>1063</v>
      </c>
      <c r="B18" s="36" t="n">
        <f aca="false">Paramètres!$B$16+(1-Paramètres!$B$16)*(($B$17-Paramètres!$B$14)/(Paramètres!$B$15-Paramètres!$B$14))^Paramètres!$B$17</f>
        <v>0.223466198806946</v>
      </c>
    </row>
    <row r="20" customFormat="false" ht="15" hidden="false" customHeight="true" outlineLevel="0" collapsed="false">
      <c r="A20" s="10" t="s">
        <v>78</v>
      </c>
      <c r="B20" s="37" t="str">
        <f aca="false" t="array" ref="B20:B20">IF($B$13="Oui",INDEX(Uniques!$E$5:$E$34,MATCH($B$3&amp;"|"&amp;$B$4,Uniques!$A$5:$A$34,0)),$B$21&amp;" en "&amp;$B$22)</f>
        <v>Épée en fer</v>
      </c>
      <c r="C20" s="37"/>
      <c r="D20" s="37"/>
      <c r="E20" s="37"/>
      <c r="F20" s="37"/>
    </row>
    <row r="21" customFormat="false" ht="15.75" hidden="false" customHeight="true" outlineLevel="0" collapsed="false">
      <c r="A21" s="10" t="s">
        <v>1064</v>
      </c>
      <c r="B21" s="38" t="str">
        <f aca="false" t="array" ref="B21:B21">INDEX(Profils!$D$5:$D$34,$B$9)</f>
        <v>Épée</v>
      </c>
      <c r="C21" s="38"/>
      <c r="D21" s="38"/>
      <c r="E21" s="38"/>
      <c r="F21" s="38"/>
    </row>
    <row r="22" customFormat="false" ht="15.75" hidden="false" customHeight="true" outlineLevel="0" collapsed="false">
      <c r="A22" s="10" t="s">
        <v>77</v>
      </c>
      <c r="B22" s="38" t="str">
        <f aca="false" t="array" ref="B22:B22">IF($B$13="Oui","—",INDEX(Matériaux!$B$5:$F$12,MATCH(INDEX(Profils!$E$5:$E$34,$B$9),Matériaux!$A$5:$A$12,0),$B$6))</f>
        <v>fer</v>
      </c>
      <c r="C22" s="38"/>
      <c r="D22" s="38"/>
      <c r="E22" s="38"/>
      <c r="F22" s="38"/>
    </row>
    <row r="23" customFormat="false" ht="15.75" hidden="false" customHeight="true" outlineLevel="0" collapsed="false">
      <c r="A23" s="10" t="s">
        <v>81</v>
      </c>
      <c r="B23" s="38" t="str">
        <f aca="false" t="array" ref="B23:B23">IF($B$13="Oui",INDEX(Uniques!$F$5:$F$34,MATCH($B$3&amp;"|"&amp;$B$4,Uniques!$A$5:$A$34,0)),"—")</f>
        <v>—</v>
      </c>
      <c r="C23" s="38"/>
      <c r="D23" s="38"/>
      <c r="E23" s="38"/>
      <c r="F23" s="38"/>
    </row>
    <row r="24" customFormat="false" ht="15.75" hidden="false" customHeight="true" outlineLevel="0" collapsed="false">
      <c r="A24" s="10" t="s">
        <v>96</v>
      </c>
      <c r="B24" s="38" t="str">
        <f aca="false" t="array" ref="B24:B24">IF($B$13="Oui",INDEX(Uniques!$G$5:$G$34,MATCH($B$3&amp;"|"&amp;$B$4,Uniques!$A$5:$A$34,0)),"—")</f>
        <v>—</v>
      </c>
      <c r="C24" s="38"/>
      <c r="D24" s="38"/>
      <c r="E24" s="38"/>
      <c r="F24" s="38"/>
    </row>
    <row r="25" customFormat="false" ht="30" hidden="false" customHeight="true" outlineLevel="0" collapsed="false">
      <c r="A25" s="10" t="s">
        <v>97</v>
      </c>
      <c r="B25" s="39" t="str">
        <f aca="false" t="array" ref="B25:B25">IF($B$13="Oui",INDEX(Uniques!$H$5:$H$34,MATCH($B$3&amp;"|"&amp;$B$4,Uniques!$A$5:$A$34,0)),"—")</f>
        <v>—</v>
      </c>
      <c r="C25" s="39"/>
      <c r="D25" s="39"/>
      <c r="E25" s="39"/>
      <c r="F25" s="39"/>
    </row>
    <row r="26" customFormat="false" ht="15.75" hidden="false" customHeight="true" outlineLevel="0" collapsed="false">
      <c r="A26" s="10" t="s">
        <v>1065</v>
      </c>
      <c r="B26" s="38" t="str">
        <f aca="false" t="array" ref="B26:B26">IF($B$13="Oui",INDEX(Uniques!$I$5:$I$34,MATCH($B$3&amp;"|"&amp;$B$4,Uniques!$A$5:$A$34,0)),"—")</f>
        <v>—</v>
      </c>
      <c r="C26" s="38"/>
      <c r="D26" s="38"/>
      <c r="E26" s="38"/>
      <c r="F26" s="38"/>
    </row>
    <row r="27" customFormat="false" ht="15.75" hidden="false" customHeight="true" outlineLevel="0" collapsed="false">
      <c r="A27" s="10" t="s">
        <v>98</v>
      </c>
      <c r="B27" s="38" t="str">
        <f aca="false" t="array" ref="B27:B27">IF($B$13="Oui",INDEX(Matériaux!$B$5:$F$12,MATCH(INDEX(Profils!$E$5:$E$34,$B$9),Matériaux!$A$5:$A$12,0),MATCH(MIN($B$17+1,100),Matériaux!$B$16:$B$20,1)),$B$22)</f>
        <v>fer</v>
      </c>
      <c r="C27" s="38"/>
      <c r="D27" s="38"/>
      <c r="E27" s="38"/>
      <c r="F27" s="38"/>
    </row>
    <row r="28" customFormat="false" ht="15.75" hidden="false" customHeight="true" outlineLevel="0" collapsed="false">
      <c r="A28" s="10" t="s">
        <v>99</v>
      </c>
      <c r="B28" s="40" t="n">
        <f aca="false" t="array" ref="B28:B28">IF($B$16&gt;=$B$15,"Max",INDEX(Amélioration!$B$6:$H$104,$B$16+1,$B$10))</f>
        <v>105</v>
      </c>
      <c r="C28" s="40"/>
      <c r="D28" s="40"/>
      <c r="E28" s="40"/>
      <c r="F28" s="40"/>
    </row>
    <row r="29" customFormat="false" ht="15.75" hidden="false" customHeight="true" outlineLevel="0" collapsed="false">
      <c r="A29" s="10" t="s">
        <v>1066</v>
      </c>
      <c r="B29" s="40" t="n">
        <f aca="false" t="array" ref="B29:B29">IF($B$16=0,0,INDEX(Amélioration!$J$6:$P$104,$B$16,$B$10))</f>
        <v>462</v>
      </c>
      <c r="C29" s="40"/>
      <c r="D29" s="40"/>
      <c r="E29" s="40"/>
      <c r="F29" s="40"/>
    </row>
    <row r="30" customFormat="false" ht="15.75" hidden="false" customHeight="true" outlineLevel="0" collapsed="false"/>
    <row r="31" customFormat="false" ht="19.5" hidden="false" customHeight="true" outlineLevel="0" collapsed="false">
      <c r="A31" s="13" t="s">
        <v>1067</v>
      </c>
      <c r="B31" s="13" t="s">
        <v>1068</v>
      </c>
      <c r="C31" s="13" t="s">
        <v>1069</v>
      </c>
      <c r="D31" s="13" t="s">
        <v>1070</v>
      </c>
      <c r="E31" s="13" t="s">
        <v>1071</v>
      </c>
      <c r="F31" s="13" t="s">
        <v>1072</v>
      </c>
    </row>
    <row r="32" customFormat="false" ht="15.75" hidden="false" customHeight="true" outlineLevel="0" collapsed="false">
      <c r="A32" s="22" t="s">
        <v>82</v>
      </c>
      <c r="B32" s="41" t="n">
        <f aca="false">IF(E32="Oui",ROUND(C32*Paramètres!$E$22*$B$11*$B$18,Paramètres!$F$22),0)</f>
        <v>0</v>
      </c>
      <c r="C32" s="42" t="n">
        <f aca="false" t="array" ref="C32:C32">INDEX(Profils!$F$5:$F$34,$B$9)</f>
        <v>0.8</v>
      </c>
      <c r="D32" s="43" t="n">
        <f aca="false" t="array" ref="D32:D32">INDEX(Profils!$U$5:$U$34,$B$9)</f>
        <v>6</v>
      </c>
      <c r="E32" s="15" t="str">
        <f aca="false">IF(AND(C32&gt;0,D32&lt;=$B$12),"Oui","Non")</f>
        <v>Non</v>
      </c>
      <c r="F32" s="15" t="str">
        <f aca="false">Paramètres!B22</f>
        <v>Principale</v>
      </c>
    </row>
    <row r="33" customFormat="false" ht="15.75" hidden="false" customHeight="true" outlineLevel="0" collapsed="false">
      <c r="A33" s="22" t="s">
        <v>83</v>
      </c>
      <c r="B33" s="41" t="n">
        <f aca="false">IF(E33="Oui",ROUND(C33*Paramètres!$E$23*$B$11*$B$18,Paramètres!$F$23),0)</f>
        <v>19</v>
      </c>
      <c r="C33" s="42" t="n">
        <f aca="false" t="array" ref="C33:C33">INDEX(Profils!$G$5:$G$34,$B$9)</f>
        <v>3.2</v>
      </c>
      <c r="D33" s="43" t="n">
        <f aca="false" t="array" ref="D33:D33">INDEX(Profils!$V$5:$V$34,$B$9)</f>
        <v>1</v>
      </c>
      <c r="E33" s="15" t="str">
        <f aca="false">IF(AND(C33&gt;0,D33&lt;=$B$12),"Oui","Non")</f>
        <v>Oui</v>
      </c>
      <c r="F33" s="15" t="str">
        <f aca="false">Paramètres!B23</f>
        <v>Principale</v>
      </c>
    </row>
    <row r="34" customFormat="false" ht="15.75" hidden="false" customHeight="true" outlineLevel="0" collapsed="false">
      <c r="A34" s="22" t="s">
        <v>84</v>
      </c>
      <c r="B34" s="41" t="n">
        <f aca="false">IF(E34="Oui",ROUND(C34*Paramètres!$E$24*$B$11*$B$18,Paramètres!$F$24),0)</f>
        <v>0</v>
      </c>
      <c r="C34" s="42" t="n">
        <f aca="false" t="array" ref="C34:C34">INDEX(Profils!$H$5:$H$34,$B$9)</f>
        <v>0</v>
      </c>
      <c r="D34" s="43" t="n">
        <f aca="false" t="array" ref="D34:D34">INDEX(Profils!$W$5:$W$34,$B$9)</f>
        <v>0</v>
      </c>
      <c r="E34" s="15" t="str">
        <f aca="false">IF(AND(C34&gt;0,D34&lt;=$B$12),"Oui","Non")</f>
        <v>Non</v>
      </c>
      <c r="F34" s="15" t="str">
        <f aca="false">Paramètres!B24</f>
        <v>Principale</v>
      </c>
    </row>
    <row r="35" customFormat="false" ht="15.75" hidden="false" customHeight="true" outlineLevel="0" collapsed="false">
      <c r="A35" s="22" t="s">
        <v>85</v>
      </c>
      <c r="B35" s="41" t="n">
        <f aca="false">IF(E35="Oui",ROUND(C35*Paramètres!$E$25*$B$11*$B$18,Paramètres!$F$25),0)</f>
        <v>0</v>
      </c>
      <c r="C35" s="42" t="n">
        <f aca="false" t="array" ref="C35:C35">INDEX(Profils!$I$5:$I$34,$B$9)</f>
        <v>0</v>
      </c>
      <c r="D35" s="43" t="n">
        <f aca="false" t="array" ref="D35:D35">INDEX(Profils!$X$5:$X$34,$B$9)</f>
        <v>0</v>
      </c>
      <c r="E35" s="15" t="str">
        <f aca="false">IF(AND(C35&gt;0,D35&lt;=$B$12),"Oui","Non")</f>
        <v>Non</v>
      </c>
      <c r="F35" s="15" t="str">
        <f aca="false">Paramètres!B25</f>
        <v>Principale</v>
      </c>
    </row>
    <row r="36" customFormat="false" ht="15.75" hidden="false" customHeight="true" outlineLevel="0" collapsed="false">
      <c r="A36" s="22" t="s">
        <v>86</v>
      </c>
      <c r="B36" s="41" t="n">
        <f aca="false">IF(E36="Oui",ROUND(C36*Paramètres!$E$26*$B$11*$B$18,Paramètres!$F$26),0)</f>
        <v>0</v>
      </c>
      <c r="C36" s="42" t="n">
        <f aca="false" t="array" ref="C36:C36">INDEX(Profils!$J$5:$J$34,$B$9)</f>
        <v>0.6</v>
      </c>
      <c r="D36" s="43" t="n">
        <f aca="false" t="array" ref="D36:D36">INDEX(Profils!$Y$5:$Y$34,$B$9)</f>
        <v>7</v>
      </c>
      <c r="E36" s="15" t="str">
        <f aca="false">IF(AND(C36&gt;0,D36&lt;=$B$12),"Oui","Non")</f>
        <v>Non</v>
      </c>
      <c r="F36" s="15" t="str">
        <f aca="false">Paramètres!B26</f>
        <v>Principale</v>
      </c>
    </row>
    <row r="37" customFormat="false" ht="15.75" hidden="false" customHeight="true" outlineLevel="0" collapsed="false">
      <c r="A37" s="22" t="s">
        <v>67</v>
      </c>
      <c r="B37" s="41" t="n">
        <f aca="false">IF(E37="Oui",ROUND(C37*Paramètres!$E$27*$B$11*$B$18,Paramètres!$F$27),0)</f>
        <v>0</v>
      </c>
      <c r="C37" s="42" t="n">
        <f aca="false">INDEX(Profils!$K$5:$K$34,$B$9)</f>
        <v>0</v>
      </c>
      <c r="D37" s="43" t="n">
        <f aca="false">INDEX(Profils!$Z$5:$Z$34,$B$9)</f>
        <v>0</v>
      </c>
      <c r="E37" s="15" t="str">
        <f aca="false">IF(AND(C37&gt;0,D37&lt;=$B$12),"Oui","Non")</f>
        <v>Non</v>
      </c>
      <c r="F37" s="15" t="str">
        <f aca="false">Paramètres!B27</f>
        <v>Principale</v>
      </c>
    </row>
    <row r="38" customFormat="false" ht="15.75" hidden="false" customHeight="true" outlineLevel="0" collapsed="false">
      <c r="A38" s="22" t="s">
        <v>87</v>
      </c>
      <c r="B38" s="44" t="n">
        <f aca="false">IF(E38="Oui",ROUND(C38*Paramètres!$E$28*$B$11*$B$18,Paramètres!$F$28),0)</f>
        <v>0.009</v>
      </c>
      <c r="C38" s="42" t="n">
        <f aca="false" t="array" ref="C38:C38">INDEX(Profils!$L$5:$L$34,$B$9)</f>
        <v>1.6</v>
      </c>
      <c r="D38" s="43" t="n">
        <f aca="false" t="array" ref="D38:D38">INDEX(Profils!$AA$5:$AA$34,$B$9)</f>
        <v>2</v>
      </c>
      <c r="E38" s="15" t="str">
        <f aca="false">IF(AND(C38&gt;0,D38&lt;=$B$12),"Oui","Non")</f>
        <v>Oui</v>
      </c>
      <c r="F38" s="15" t="str">
        <f aca="false">Paramètres!B28</f>
        <v>Équipement</v>
      </c>
    </row>
    <row r="39" customFormat="false" ht="15.75" hidden="false" customHeight="true" outlineLevel="0" collapsed="false">
      <c r="A39" s="22" t="s">
        <v>88</v>
      </c>
      <c r="B39" s="44" t="n">
        <f aca="false">IF(E39="Oui",ROUND(C39*Paramètres!$E$29*$B$11*$B$18,Paramètres!$F$29),0)</f>
        <v>0.007</v>
      </c>
      <c r="C39" s="42" t="n">
        <f aca="false" t="array" ref="C39:C39">INDEX(Profils!$M$5:$M$34,$B$9)</f>
        <v>1.4</v>
      </c>
      <c r="D39" s="43" t="n">
        <f aca="false" t="array" ref="D39:D39">INDEX(Profils!$AB$5:$AB$34,$B$9)</f>
        <v>4</v>
      </c>
      <c r="E39" s="15" t="str">
        <f aca="false">IF(AND(C39&gt;0,D39&lt;=$B$12),"Oui","Non")</f>
        <v>Oui</v>
      </c>
      <c r="F39" s="15" t="str">
        <f aca="false">Paramètres!B29</f>
        <v>Équipement</v>
      </c>
    </row>
    <row r="40" customFormat="false" ht="15.75" hidden="false" customHeight="true" outlineLevel="0" collapsed="false">
      <c r="A40" s="22" t="s">
        <v>89</v>
      </c>
      <c r="B40" s="44" t="n">
        <f aca="false">IF(E40="Oui",ROUND(C40*Paramètres!$E$30*$B$11*$B$18,Paramètres!$F$30),0)</f>
        <v>0.018</v>
      </c>
      <c r="C40" s="42" t="n">
        <f aca="false" t="array" ref="C40:C40">INDEX(Profils!$N$5:$N$34,$B$9)</f>
        <v>1.5</v>
      </c>
      <c r="D40" s="43" t="n">
        <f aca="false" t="array" ref="D40:D40">INDEX(Profils!$AC$5:$AC$34,$B$9)</f>
        <v>3</v>
      </c>
      <c r="E40" s="15" t="str">
        <f aca="false">IF(AND(C40&gt;0,D40&lt;=$B$12),"Oui","Non")</f>
        <v>Oui</v>
      </c>
      <c r="F40" s="15" t="str">
        <f aca="false">Paramètres!B30</f>
        <v>Équipement</v>
      </c>
    </row>
    <row r="41" customFormat="false" ht="15.75" hidden="false" customHeight="true" outlineLevel="0" collapsed="false">
      <c r="A41" s="22" t="s">
        <v>90</v>
      </c>
      <c r="B41" s="41" t="n">
        <f aca="false">IF(E41="Oui",ROUND(C41*Paramètres!$E$31*$B$11*$B$18,Paramètres!$F$31),0)</f>
        <v>0</v>
      </c>
      <c r="C41" s="42" t="n">
        <f aca="false" t="array" ref="C41:C41">INDEX(Profils!$O$5:$O$34,$B$9)</f>
        <v>0</v>
      </c>
      <c r="D41" s="43" t="n">
        <f aca="false" t="array" ref="D41:D41">INDEX(Profils!$AD$5:$AD$34,$B$9)</f>
        <v>0</v>
      </c>
      <c r="E41" s="15" t="str">
        <f aca="false">IF(AND(C41&gt;0,D41&lt;=$B$12),"Oui","Non")</f>
        <v>Non</v>
      </c>
      <c r="F41" s="15" t="str">
        <f aca="false">Paramètres!B31</f>
        <v>Équipement</v>
      </c>
    </row>
    <row r="42" customFormat="false" ht="15.75" hidden="false" customHeight="true" outlineLevel="0" collapsed="false">
      <c r="A42" s="22" t="s">
        <v>91</v>
      </c>
      <c r="B42" s="44" t="n">
        <f aca="false">IF(E42="Oui",ROUND(C42*Paramètres!$E$32*$B$11*$B$18,Paramètres!$F$32),0)</f>
        <v>0.008</v>
      </c>
      <c r="C42" s="42" t="n">
        <f aca="false" t="array" ref="C42:C42">INDEX(Profils!$P$5:$P$34,$B$9)</f>
        <v>1.4</v>
      </c>
      <c r="D42" s="43" t="n">
        <f aca="false" t="array" ref="D42:D42">INDEX(Profils!$AE$5:$AE$34,$B$9)</f>
        <v>5</v>
      </c>
      <c r="E42" s="15" t="str">
        <f aca="false">IF(AND(C42&gt;0,D42&lt;=$B$12),"Oui","Non")</f>
        <v>Oui</v>
      </c>
      <c r="F42" s="15" t="str">
        <f aca="false">Paramètres!B32</f>
        <v>Équipement</v>
      </c>
    </row>
    <row r="43" customFormat="false" ht="15.75" hidden="false" customHeight="true" outlineLevel="0" collapsed="false">
      <c r="A43" s="22" t="s">
        <v>92</v>
      </c>
      <c r="B43" s="44" t="n">
        <f aca="false">IF(E43="Oui",ROUND(C43*Paramètres!$E$33*$B$11*$B$18,Paramètres!$F$33),0)</f>
        <v>0</v>
      </c>
      <c r="C43" s="42" t="n">
        <f aca="false" t="array" ref="C43:C43">INDEX(Profils!$Q$5:$Q$34,$B$9)</f>
        <v>0</v>
      </c>
      <c r="D43" s="43" t="n">
        <f aca="false" t="array" ref="D43:D43">INDEX(Profils!$AF$5:$AF$34,$B$9)</f>
        <v>0</v>
      </c>
      <c r="E43" s="15" t="str">
        <f aca="false">IF(AND(C43&gt;0,D43&lt;=$B$12),"Oui","Non")</f>
        <v>Non</v>
      </c>
      <c r="F43" s="15" t="str">
        <f aca="false">Paramètres!B33</f>
        <v>Spécialisée</v>
      </c>
    </row>
    <row r="44" customFormat="false" ht="15.75" hidden="false" customHeight="true" outlineLevel="0" collapsed="false">
      <c r="A44" s="22" t="s">
        <v>93</v>
      </c>
      <c r="B44" s="44" t="n">
        <f aca="false">IF(E44="Oui",ROUND(C44*Paramètres!$E$34*$B$11*$B$18,Paramètres!$F$34),0)</f>
        <v>0</v>
      </c>
      <c r="C44" s="42" t="n">
        <f aca="false" t="array" ref="C44:C44">INDEX(Profils!$R$5:$R$34,$B$9)</f>
        <v>0</v>
      </c>
      <c r="D44" s="43" t="n">
        <f aca="false" t="array" ref="D44:D44">INDEX(Profils!$AG$5:$AG$34,$B$9)</f>
        <v>0</v>
      </c>
      <c r="E44" s="15" t="str">
        <f aca="false">IF(AND(C44&gt;0,D44&lt;=$B$12),"Oui","Non")</f>
        <v>Non</v>
      </c>
      <c r="F44" s="15" t="str">
        <f aca="false">Paramètres!B34</f>
        <v>Spécialisée</v>
      </c>
    </row>
    <row r="45" customFormat="false" ht="15.75" hidden="false" customHeight="true" outlineLevel="0" collapsed="false">
      <c r="A45" s="22" t="s">
        <v>94</v>
      </c>
      <c r="B45" s="44" t="n">
        <f aca="false">IF(E45="Oui",ROUND(C45*Paramètres!$E$35*$B$11*$B$18,Paramètres!$F$35),0)</f>
        <v>0</v>
      </c>
      <c r="C45" s="42" t="n">
        <f aca="false" t="array" ref="C45:C45">INDEX(Profils!$S$5:$S$34,$B$9)</f>
        <v>0</v>
      </c>
      <c r="D45" s="43" t="n">
        <f aca="false" t="array" ref="D45:D45">INDEX(Profils!$AH$5:$AH$34,$B$9)</f>
        <v>0</v>
      </c>
      <c r="E45" s="15" t="str">
        <f aca="false">IF(AND(C45&gt;0,D45&lt;=$B$12),"Oui","Non")</f>
        <v>Non</v>
      </c>
      <c r="F45" s="15" t="str">
        <f aca="false">Paramètres!B35</f>
        <v>Spécialisée</v>
      </c>
    </row>
    <row r="46" customFormat="false" ht="15.75" hidden="false" customHeight="true" outlineLevel="0" collapsed="false">
      <c r="A46" s="45" t="s">
        <v>95</v>
      </c>
      <c r="B46" s="46" t="n">
        <f aca="false">ROUND(B32/Paramètres!$E$22+B33/Paramètres!$E$23+B34/Paramètres!$E$24+B35/Paramètres!$E$25+B36/Paramètres!$E$26+B37/Paramètres!$E$27+B38/Paramètres!$E$28+B39/Paramètres!$E$29+B40/Paramètres!$E$30+B41/Paramètres!$E$31+B42/Paramètres!$E$32+B43/Paramètres!$E$33+B44/Paramètres!$E$34+B45/Paramètres!$E$35,1)</f>
        <v>3.6</v>
      </c>
    </row>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10">
    <mergeCell ref="B20:F20"/>
    <mergeCell ref="B21:F21"/>
    <mergeCell ref="B22:F22"/>
    <mergeCell ref="B23:F23"/>
    <mergeCell ref="B24:F24"/>
    <mergeCell ref="B25:F25"/>
    <mergeCell ref="B26:F26"/>
    <mergeCell ref="B27:F27"/>
    <mergeCell ref="B28:F28"/>
    <mergeCell ref="B29:F29"/>
  </mergeCells>
  <conditionalFormatting sqref="A32:F45">
    <cfRule type="expression" priority="2" aboveAverage="0" equalAverage="0" bottom="0" percent="0" rank="0" text="" dxfId="12">
      <formula>$E32="Non"</formula>
    </cfRule>
  </conditionalFormatting>
  <dataValidations count="5">
    <dataValidation allowBlank="true" errorStyle="stop" operator="between" showDropDown="false" showErrorMessage="false" showInputMessage="false" sqref="B4" type="list">
      <formula1>Paramètres!$K$6:$K$15</formula1>
      <formula2>0</formula2>
    </dataValidation>
    <dataValidation allowBlank="true" errorStyle="stop" operator="between" showDropDown="false" showErrorMessage="false" showInputMessage="false" sqref="B7" type="decimal">
      <formula1>0</formula1>
      <formula2>99</formula2>
    </dataValidation>
    <dataValidation allowBlank="true" errorStyle="stop" operator="between" showDropDown="false" showErrorMessage="false" showInputMessage="false" sqref="B5" type="list">
      <formula1>Paramètres!$A$6:$A$12</formula1>
      <formula2>0</formula2>
    </dataValidation>
    <dataValidation allowBlank="true" errorStyle="stop" operator="between" showDropDown="false" showErrorMessage="false" showInputMessage="false" sqref="B3" type="list">
      <formula1>Paramètres!$J$6:$J$8</formula1>
      <formula2>0</formula2>
    </dataValidation>
    <dataValidation allowBlank="true" errorStyle="stop" operator="between" showDropDown="false" showErrorMessage="false" showInputMessage="false" sqref="B6"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D6" activeCellId="0" sqref="D6"/>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10"/>
    <col collapsed="false" customWidth="true" hidden="false" outlineLevel="0" max="3" min="3" style="1" width="9"/>
    <col collapsed="false" customWidth="true" hidden="false" outlineLevel="0" max="17" min="4" style="1" width="11"/>
    <col collapsed="false" customWidth="true" hidden="false" outlineLevel="0" max="19" min="18" style="1" width="12"/>
    <col collapsed="false" customWidth="true" hidden="false" outlineLevel="0" max="27" min="20" style="1" width="8.71"/>
  </cols>
  <sheetData>
    <row r="1" customFormat="false" ht="17.25" hidden="false" customHeight="true" outlineLevel="0" collapsed="false">
      <c r="A1" s="8" t="s">
        <v>1073</v>
      </c>
    </row>
    <row r="2" customFormat="false" ht="15" hidden="false" customHeight="true" outlineLevel="0" collapsed="false">
      <c r="A2" s="9" t="str">
        <f aca="false">"Objet : "&amp;Calculateur!B20&amp;"  —  "&amp;Calculateur!B3&amp;", "&amp;Calculateur!B4&amp;", "&amp;Calculateur!B5&amp;IF(Calculateur!B13="Oui","",", palier "&amp;Calculateur!B6)&amp;"   (changez l'objet dans le Calculateur)"</f>
        <v>Objet : Épée en fer  —  Guerrier, Arme 1, Épique, palier 2   (changez l'objet dans le Calculateur)</v>
      </c>
    </row>
    <row r="4" customFormat="false" ht="43.5" hidden="false" customHeight="true" outlineLevel="0" collapsed="false">
      <c r="A4" s="13" t="s">
        <v>18</v>
      </c>
      <c r="B4" s="13" t="s">
        <v>80</v>
      </c>
      <c r="C4" s="13" t="s">
        <v>1074</v>
      </c>
      <c r="D4" s="13" t="s">
        <v>82</v>
      </c>
      <c r="E4" s="13" t="s">
        <v>83</v>
      </c>
      <c r="F4" s="13" t="s">
        <v>84</v>
      </c>
      <c r="G4" s="13" t="s">
        <v>85</v>
      </c>
      <c r="H4" s="13" t="s">
        <v>86</v>
      </c>
      <c r="I4" s="13" t="s">
        <v>67</v>
      </c>
      <c r="J4" s="13" t="s">
        <v>87</v>
      </c>
      <c r="K4" s="13" t="s">
        <v>88</v>
      </c>
      <c r="L4" s="13" t="s">
        <v>89</v>
      </c>
      <c r="M4" s="13" t="s">
        <v>90</v>
      </c>
      <c r="N4" s="13" t="s">
        <v>91</v>
      </c>
      <c r="O4" s="13" t="s">
        <v>92</v>
      </c>
      <c r="P4" s="13" t="s">
        <v>93</v>
      </c>
      <c r="Q4" s="13" t="s">
        <v>94</v>
      </c>
      <c r="R4" s="13" t="s">
        <v>1075</v>
      </c>
      <c r="S4" s="13" t="s">
        <v>1076</v>
      </c>
    </row>
    <row r="5" customFormat="false" ht="15" hidden="false" customHeight="true" outlineLevel="0" collapsed="false">
      <c r="A5" s="14" t="s">
        <v>1077</v>
      </c>
      <c r="B5" s="14"/>
      <c r="C5" s="34" t="n">
        <v>1</v>
      </c>
      <c r="D5" s="47" t="n">
        <f aca="false">IF(Calculateur!$E32="Oui",Calculateur!$C32*Paramètres!$E$22*Calculateur!$B$11,0)</f>
        <v>0</v>
      </c>
      <c r="E5" s="47" t="n">
        <f aca="false">IF(Calculateur!$E33="Oui",Calculateur!$C33*Paramètres!$E$23*Calculateur!$B$11,0)</f>
        <v>84</v>
      </c>
      <c r="F5" s="47" t="n">
        <f aca="false">IF(Calculateur!$E34="Oui",Calculateur!$C34*Paramètres!$E$24*Calculateur!$B$11,0)</f>
        <v>0</v>
      </c>
      <c r="G5" s="47" t="n">
        <f aca="false">IF(Calculateur!$E35="Oui",Calculateur!$C35*Paramètres!$E$25*Calculateur!$B$11,0)</f>
        <v>0</v>
      </c>
      <c r="H5" s="47" t="n">
        <f aca="false">IF(Calculateur!$E36="Oui",Calculateur!$C36*Paramètres!$E$26*Calculateur!$B$11,0)</f>
        <v>0</v>
      </c>
      <c r="I5" s="47" t="n">
        <f aca="false">IF(Calculateur!$E37="Oui",Calculateur!$C37*Paramètres!$E$27*Calculateur!$B$11,0)</f>
        <v>0</v>
      </c>
      <c r="J5" s="47" t="n">
        <f aca="false">IF(Calculateur!$E38="Oui",Calculateur!$C38*Paramètres!$E$28*Calculateur!$B$11,0)</f>
        <v>0.042</v>
      </c>
      <c r="K5" s="47" t="n">
        <f aca="false">IF(Calculateur!$E39="Oui",Calculateur!$C39*Paramètres!$E$29*Calculateur!$B$11,0)</f>
        <v>0.0294</v>
      </c>
      <c r="L5" s="47" t="n">
        <f aca="false">IF(Calculateur!$E40="Oui",Calculateur!$C40*Paramètres!$E$30*Calculateur!$B$11,0)</f>
        <v>0.07875</v>
      </c>
      <c r="M5" s="47" t="n">
        <f aca="false">IF(Calculateur!$E41="Oui",Calculateur!$C41*Paramètres!$E$31*Calculateur!$B$11,0)</f>
        <v>0</v>
      </c>
      <c r="N5" s="47" t="n">
        <f aca="false">IF(Calculateur!$E42="Oui",Calculateur!$C42*Paramètres!$E$32*Calculateur!$B$11,0)</f>
        <v>0.03675</v>
      </c>
      <c r="O5" s="47" t="n">
        <f aca="false">IF(Calculateur!$E43="Oui",Calculateur!$C43*Paramètres!$E$33*Calculateur!$B$11,0)</f>
        <v>0</v>
      </c>
      <c r="P5" s="47" t="n">
        <f aca="false">IF(Calculateur!$E44="Oui",Calculateur!$C44*Paramètres!$E$34*Calculateur!$B$11,0)</f>
        <v>0</v>
      </c>
      <c r="Q5" s="47" t="n">
        <f aca="false">IF(Calculateur!$E45="Oui",Calculateur!$C45*Paramètres!$E$35*Calculateur!$B$11,0)</f>
        <v>0</v>
      </c>
    </row>
    <row r="6" customFormat="false" ht="15" hidden="false" customHeight="true" outlineLevel="0" collapsed="false">
      <c r="A6" s="18" t="n">
        <v>0</v>
      </c>
      <c r="B6" s="16" t="n">
        <f aca="false">IF($A6&gt;Calculateur!$B$15,"",Calculateur!$B$14+$A6)</f>
        <v>15</v>
      </c>
      <c r="C6" s="36" t="n">
        <f aca="false">IF($B6="","",Paramètres!$B$16+(1-Paramètres!$B$16)*(($B6-Paramètres!$B$14)/(Paramètres!$B$15-Paramètres!$B$14))^Paramètres!$B$17)</f>
        <v>0.140847925475674</v>
      </c>
      <c r="D6" s="19" t="n">
        <f aca="false">IF($B6="","",ROUND(D$5*$C6,Paramètres!$F$22))</f>
        <v>0</v>
      </c>
      <c r="E6" s="19" t="n">
        <f aca="false">IF($B6="","",ROUND(E$5*$C6,Paramètres!$F$23))</f>
        <v>12</v>
      </c>
      <c r="F6" s="19" t="n">
        <f aca="false">IF($B6="","",ROUND(F$5*$C6,Paramètres!$F$24))</f>
        <v>0</v>
      </c>
      <c r="G6" s="19" t="n">
        <f aca="false">IF($B6="","",ROUND(G$5*$C6,Paramètres!$F$25))</f>
        <v>0</v>
      </c>
      <c r="H6" s="19" t="n">
        <f aca="false">IF($B6="","",ROUND(H$5*$C6,Paramètres!$F$26))</f>
        <v>0</v>
      </c>
      <c r="I6" s="19" t="n">
        <f aca="false">IF($B6="","",ROUND(I$5*$C6,Paramètres!$F$27))</f>
        <v>0</v>
      </c>
      <c r="J6" s="20" t="n">
        <f aca="false">IF($B6="","",ROUND(J$5*$C6,Paramètres!$F$28))</f>
        <v>0.006</v>
      </c>
      <c r="K6" s="20" t="n">
        <f aca="false">IF($B6="","",ROUND(K$5*$C6,Paramètres!$F$29))</f>
        <v>0.004</v>
      </c>
      <c r="L6" s="20" t="n">
        <f aca="false">IF($B6="","",ROUND(L$5*$C6,Paramètres!$F$30))</f>
        <v>0.011</v>
      </c>
      <c r="M6" s="19" t="n">
        <f aca="false">IF($B6="","",ROUND(M$5*$C6,Paramètres!$F$31))</f>
        <v>0</v>
      </c>
      <c r="N6" s="20" t="n">
        <f aca="false">IF($B6="","",ROUND(N$5*$C6,Paramètres!$F$32))</f>
        <v>0.005</v>
      </c>
      <c r="O6" s="20" t="n">
        <f aca="false">IF($B6="","",ROUND(O$5*$C6,Paramètres!$F$33))</f>
        <v>0</v>
      </c>
      <c r="P6" s="20" t="n">
        <f aca="false">IF($B6="","",ROUND(P$5*$C6,Paramètres!$F$34))</f>
        <v>0</v>
      </c>
      <c r="Q6" s="20" t="n">
        <f aca="false">IF($B6="","",ROUND(Q$5*$C6,Paramètres!$F$35))</f>
        <v>0</v>
      </c>
      <c r="R6" s="19" t="str">
        <f aca="false" t="array" ref="R6:R6">IF(OR($B6="",$A6=0),"",INDEX(Amélioration!$B$6:$H$104,$A6,Calculateur!$B$10))</f>
        <v/>
      </c>
      <c r="S6" s="19" t="n">
        <f aca="false" t="array" ref="S6:S6">IF($B6="","",IF($A6=0,0,INDEX(Amélioration!$J$6:$P$104,$A6,Calculateur!$B$10)))</f>
        <v>0</v>
      </c>
    </row>
    <row r="7" customFormat="false" ht="15" hidden="false" customHeight="true" outlineLevel="0" collapsed="false">
      <c r="A7" s="18" t="n">
        <v>1</v>
      </c>
      <c r="B7" s="16" t="n">
        <f aca="false">IF($A7&gt;Calculateur!$B$15,"",Calculateur!$B$14+$A7)</f>
        <v>16</v>
      </c>
      <c r="C7" s="36" t="n">
        <f aca="false">IF($B7="","",Paramètres!$B$16+(1-Paramètres!$B$16)*(($B7-Paramètres!$B$14)/(Paramètres!$B$15-Paramètres!$B$14))^Paramètres!$B$17)</f>
        <v>0.148689484994666</v>
      </c>
      <c r="D7" s="19" t="n">
        <f aca="false">IF($B7="","",ROUND(D$5*$C7,Paramètres!$F$22))</f>
        <v>0</v>
      </c>
      <c r="E7" s="19" t="n">
        <f aca="false">IF($B7="","",ROUND(E$5*$C7,Paramètres!$F$23))</f>
        <v>12</v>
      </c>
      <c r="F7" s="19" t="n">
        <f aca="false">IF($B7="","",ROUND(F$5*$C7,Paramètres!$F$24))</f>
        <v>0</v>
      </c>
      <c r="G7" s="19" t="n">
        <f aca="false">IF($B7="","",ROUND(G$5*$C7,Paramètres!$F$25))</f>
        <v>0</v>
      </c>
      <c r="H7" s="19" t="n">
        <f aca="false">IF($B7="","",ROUND(H$5*$C7,Paramètres!$F$26))</f>
        <v>0</v>
      </c>
      <c r="I7" s="19" t="n">
        <f aca="false">IF($B7="","",ROUND(I$5*$C7,Paramètres!$F$27))</f>
        <v>0</v>
      </c>
      <c r="J7" s="20" t="n">
        <f aca="false">IF($B7="","",ROUND(J$5*$C7,Paramètres!$F$28))</f>
        <v>0.006</v>
      </c>
      <c r="K7" s="20" t="n">
        <f aca="false">IF($B7="","",ROUND(K$5*$C7,Paramètres!$F$29))</f>
        <v>0.004</v>
      </c>
      <c r="L7" s="20" t="n">
        <f aca="false">IF($B7="","",ROUND(L$5*$C7,Paramètres!$F$30))</f>
        <v>0.012</v>
      </c>
      <c r="M7" s="19" t="n">
        <f aca="false">IF($B7="","",ROUND(M$5*$C7,Paramètres!$F$31))</f>
        <v>0</v>
      </c>
      <c r="N7" s="20" t="n">
        <f aca="false">IF($B7="","",ROUND(N$5*$C7,Paramètres!$F$32))</f>
        <v>0.005</v>
      </c>
      <c r="O7" s="20" t="n">
        <f aca="false">IF($B7="","",ROUND(O$5*$C7,Paramètres!$F$33))</f>
        <v>0</v>
      </c>
      <c r="P7" s="20" t="n">
        <f aca="false">IF($B7="","",ROUND(P$5*$C7,Paramètres!$F$34))</f>
        <v>0</v>
      </c>
      <c r="Q7" s="20" t="n">
        <f aca="false">IF($B7="","",ROUND(Q$5*$C7,Paramètres!$F$35))</f>
        <v>0</v>
      </c>
      <c r="R7" s="19" t="n">
        <f aca="false" t="array" ref="R7:R7">IF(OR($B7="",$A7=0),"",INDEX(Amélioration!$B$6:$H$104,$A7,Calculateur!$B$10))</f>
        <v>5</v>
      </c>
      <c r="S7" s="19" t="n">
        <f aca="false" t="array" ref="S7:S7">IF($B7="","",IF($A7=0,0,INDEX(Amélioration!$J$6:$P$104,$A7,Calculateur!$B$10)))</f>
        <v>5</v>
      </c>
    </row>
    <row r="8" customFormat="false" ht="15" hidden="false" customHeight="true" outlineLevel="0" collapsed="false">
      <c r="A8" s="18" t="n">
        <v>2</v>
      </c>
      <c r="B8" s="16" t="n">
        <f aca="false">IF($A8&gt;Calculateur!$B$15,"",Calculateur!$B$14+$A8)</f>
        <v>17</v>
      </c>
      <c r="C8" s="36" t="n">
        <f aca="false">IF($B8="","",Paramètres!$B$16+(1-Paramètres!$B$16)*(($B8-Paramètres!$B$14)/(Paramètres!$B$15-Paramètres!$B$14))^Paramètres!$B$17)</f>
        <v>0.156636369529698</v>
      </c>
      <c r="D8" s="19" t="n">
        <f aca="false">IF($B8="","",ROUND(D$5*$C8,Paramètres!$F$22))</f>
        <v>0</v>
      </c>
      <c r="E8" s="19" t="n">
        <f aca="false">IF($B8="","",ROUND(E$5*$C8,Paramètres!$F$23))</f>
        <v>13</v>
      </c>
      <c r="F8" s="19" t="n">
        <f aca="false">IF($B8="","",ROUND(F$5*$C8,Paramètres!$F$24))</f>
        <v>0</v>
      </c>
      <c r="G8" s="19" t="n">
        <f aca="false">IF($B8="","",ROUND(G$5*$C8,Paramètres!$F$25))</f>
        <v>0</v>
      </c>
      <c r="H8" s="19" t="n">
        <f aca="false">IF($B8="","",ROUND(H$5*$C8,Paramètres!$F$26))</f>
        <v>0</v>
      </c>
      <c r="I8" s="19" t="n">
        <f aca="false">IF($B8="","",ROUND(I$5*$C8,Paramètres!$F$27))</f>
        <v>0</v>
      </c>
      <c r="J8" s="20" t="n">
        <f aca="false">IF($B8="","",ROUND(J$5*$C8,Paramètres!$F$28))</f>
        <v>0.007</v>
      </c>
      <c r="K8" s="20" t="n">
        <f aca="false">IF($B8="","",ROUND(K$5*$C8,Paramètres!$F$29))</f>
        <v>0.005</v>
      </c>
      <c r="L8" s="20" t="n">
        <f aca="false">IF($B8="","",ROUND(L$5*$C8,Paramètres!$F$30))</f>
        <v>0.012</v>
      </c>
      <c r="M8" s="19" t="n">
        <f aca="false">IF($B8="","",ROUND(M$5*$C8,Paramètres!$F$31))</f>
        <v>0</v>
      </c>
      <c r="N8" s="20" t="n">
        <f aca="false">IF($B8="","",ROUND(N$5*$C8,Paramètres!$F$32))</f>
        <v>0.006</v>
      </c>
      <c r="O8" s="20" t="n">
        <f aca="false">IF($B8="","",ROUND(O$5*$C8,Paramètres!$F$33))</f>
        <v>0</v>
      </c>
      <c r="P8" s="20" t="n">
        <f aca="false">IF($B8="","",ROUND(P$5*$C8,Paramètres!$F$34))</f>
        <v>0</v>
      </c>
      <c r="Q8" s="20" t="n">
        <f aca="false">IF($B8="","",ROUND(Q$5*$C8,Paramètres!$F$35))</f>
        <v>0</v>
      </c>
      <c r="R8" s="19" t="n">
        <f aca="false" t="array" ref="R8:R8">IF(OR($B8="",$A8=0),"",INDEX(Amélioration!$B$6:$H$104,$A8,Calculateur!$B$10))</f>
        <v>12</v>
      </c>
      <c r="S8" s="19" t="n">
        <f aca="false" t="array" ref="S8:S8">IF($B8="","",IF($A8=0,0,INDEX(Amélioration!$J$6:$P$104,$A8,Calculateur!$B$10)))</f>
        <v>17</v>
      </c>
    </row>
    <row r="9" customFormat="false" ht="15" hidden="false" customHeight="true" outlineLevel="0" collapsed="false">
      <c r="A9" s="18" t="n">
        <v>3</v>
      </c>
      <c r="B9" s="16" t="n">
        <f aca="false">IF($A9&gt;Calculateur!$B$15,"",Calculateur!$B$14+$A9)</f>
        <v>18</v>
      </c>
      <c r="C9" s="36" t="n">
        <f aca="false">IF($B9="","",Paramètres!$B$16+(1-Paramètres!$B$16)*(($B9-Paramètres!$B$14)/(Paramètres!$B$15-Paramètres!$B$14))^Paramètres!$B$17)</f>
        <v>0.1646832725879</v>
      </c>
      <c r="D9" s="19" t="n">
        <f aca="false">IF($B9="","",ROUND(D$5*$C9,Paramètres!$F$22))</f>
        <v>0</v>
      </c>
      <c r="E9" s="19" t="n">
        <f aca="false">IF($B9="","",ROUND(E$5*$C9,Paramètres!$F$23))</f>
        <v>14</v>
      </c>
      <c r="F9" s="19" t="n">
        <f aca="false">IF($B9="","",ROUND(F$5*$C9,Paramètres!$F$24))</f>
        <v>0</v>
      </c>
      <c r="G9" s="19" t="n">
        <f aca="false">IF($B9="","",ROUND(G$5*$C9,Paramètres!$F$25))</f>
        <v>0</v>
      </c>
      <c r="H9" s="19" t="n">
        <f aca="false">IF($B9="","",ROUND(H$5*$C9,Paramètres!$F$26))</f>
        <v>0</v>
      </c>
      <c r="I9" s="19" t="n">
        <f aca="false">IF($B9="","",ROUND(I$5*$C9,Paramètres!$F$27))</f>
        <v>0</v>
      </c>
      <c r="J9" s="20" t="n">
        <f aca="false">IF($B9="","",ROUND(J$5*$C9,Paramètres!$F$28))</f>
        <v>0.007</v>
      </c>
      <c r="K9" s="20" t="n">
        <f aca="false">IF($B9="","",ROUND(K$5*$C9,Paramètres!$F$29))</f>
        <v>0.005</v>
      </c>
      <c r="L9" s="20" t="n">
        <f aca="false">IF($B9="","",ROUND(L$5*$C9,Paramètres!$F$30))</f>
        <v>0.013</v>
      </c>
      <c r="M9" s="19" t="n">
        <f aca="false">IF($B9="","",ROUND(M$5*$C9,Paramètres!$F$31))</f>
        <v>0</v>
      </c>
      <c r="N9" s="20" t="n">
        <f aca="false">IF($B9="","",ROUND(N$5*$C9,Paramètres!$F$32))</f>
        <v>0.006</v>
      </c>
      <c r="O9" s="20" t="n">
        <f aca="false">IF($B9="","",ROUND(O$5*$C9,Paramètres!$F$33))</f>
        <v>0</v>
      </c>
      <c r="P9" s="20" t="n">
        <f aca="false">IF($B9="","",ROUND(P$5*$C9,Paramètres!$F$34))</f>
        <v>0</v>
      </c>
      <c r="Q9" s="20" t="n">
        <f aca="false">IF($B9="","",ROUND(Q$5*$C9,Paramètres!$F$35))</f>
        <v>0</v>
      </c>
      <c r="R9" s="19" t="n">
        <f aca="false" t="array" ref="R9:R9">IF(OR($B9="",$A9=0),"",INDEX(Amélioration!$B$6:$H$104,$A9,Calculateur!$B$10))</f>
        <v>21</v>
      </c>
      <c r="S9" s="19" t="n">
        <f aca="false" t="array" ref="S9:S9">IF($B9="","",IF($A9=0,0,INDEX(Amélioration!$J$6:$P$104,$A9,Calculateur!$B$10)))</f>
        <v>38</v>
      </c>
    </row>
    <row r="10" customFormat="false" ht="15" hidden="false" customHeight="true" outlineLevel="0" collapsed="false">
      <c r="A10" s="18" t="n">
        <v>4</v>
      </c>
      <c r="B10" s="16" t="n">
        <f aca="false">IF($A10&gt;Calculateur!$B$15,"",Calculateur!$B$14+$A10)</f>
        <v>19</v>
      </c>
      <c r="C10" s="36" t="n">
        <f aca="false">IF($B10="","",Paramètres!$B$16+(1-Paramètres!$B$16)*(($B10-Paramètres!$B$14)/(Paramètres!$B$15-Paramètres!$B$14))^Paramètres!$B$17)</f>
        <v>0.172825453944077</v>
      </c>
      <c r="D10" s="19" t="n">
        <f aca="false">IF($B10="","",ROUND(D$5*$C10,Paramètres!$F$22))</f>
        <v>0</v>
      </c>
      <c r="E10" s="19" t="n">
        <f aca="false">IF($B10="","",ROUND(E$5*$C10,Paramètres!$F$23))</f>
        <v>15</v>
      </c>
      <c r="F10" s="19" t="n">
        <f aca="false">IF($B10="","",ROUND(F$5*$C10,Paramètres!$F$24))</f>
        <v>0</v>
      </c>
      <c r="G10" s="19" t="n">
        <f aca="false">IF($B10="","",ROUND(G$5*$C10,Paramètres!$F$25))</f>
        <v>0</v>
      </c>
      <c r="H10" s="19" t="n">
        <f aca="false">IF($B10="","",ROUND(H$5*$C10,Paramètres!$F$26))</f>
        <v>0</v>
      </c>
      <c r="I10" s="19" t="n">
        <f aca="false">IF($B10="","",ROUND(I$5*$C10,Paramètres!$F$27))</f>
        <v>0</v>
      </c>
      <c r="J10" s="20" t="n">
        <f aca="false">IF($B10="","",ROUND(J$5*$C10,Paramètres!$F$28))</f>
        <v>0.007</v>
      </c>
      <c r="K10" s="20" t="n">
        <f aca="false">IF($B10="","",ROUND(K$5*$C10,Paramètres!$F$29))</f>
        <v>0.005</v>
      </c>
      <c r="L10" s="20" t="n">
        <f aca="false">IF($B10="","",ROUND(L$5*$C10,Paramètres!$F$30))</f>
        <v>0.014</v>
      </c>
      <c r="M10" s="19" t="n">
        <f aca="false">IF($B10="","",ROUND(M$5*$C10,Paramètres!$F$31))</f>
        <v>0</v>
      </c>
      <c r="N10" s="20" t="n">
        <f aca="false">IF($B10="","",ROUND(N$5*$C10,Paramètres!$F$32))</f>
        <v>0.006</v>
      </c>
      <c r="O10" s="20" t="n">
        <f aca="false">IF($B10="","",ROUND(O$5*$C10,Paramètres!$F$33))</f>
        <v>0</v>
      </c>
      <c r="P10" s="20" t="n">
        <f aca="false">IF($B10="","",ROUND(P$5*$C10,Paramètres!$F$34))</f>
        <v>0</v>
      </c>
      <c r="Q10" s="20" t="n">
        <f aca="false">IF($B10="","",ROUND(Q$5*$C10,Paramètres!$F$35))</f>
        <v>0</v>
      </c>
      <c r="R10" s="19" t="n">
        <f aca="false" t="array" ref="R10:R10">IF(OR($B10="",$A10=0),"",INDEX(Amélioration!$B$6:$H$104,$A10,Calculateur!$B$10))</f>
        <v>30</v>
      </c>
      <c r="S10" s="19" t="n">
        <f aca="false" t="array" ref="S10:S10">IF($B10="","",IF($A10=0,0,INDEX(Amélioration!$J$6:$P$104,$A10,Calculateur!$B$10)))</f>
        <v>68</v>
      </c>
    </row>
    <row r="11" customFormat="false" ht="15" hidden="false" customHeight="true" outlineLevel="0" collapsed="false">
      <c r="A11" s="18" t="n">
        <v>5</v>
      </c>
      <c r="B11" s="16" t="n">
        <f aca="false">IF($A11&gt;Calculateur!$B$15,"",Calculateur!$B$14+$A11)</f>
        <v>20</v>
      </c>
      <c r="C11" s="36" t="n">
        <f aca="false">IF($B11="","",Paramètres!$B$16+(1-Paramètres!$B$16)*(($B11-Paramètres!$B$14)/(Paramètres!$B$15-Paramètres!$B$14))^Paramètres!$B$17)</f>
        <v>0.181058650851904</v>
      </c>
      <c r="D11" s="19" t="n">
        <f aca="false">IF($B11="","",ROUND(D$5*$C11,Paramètres!$F$22))</f>
        <v>0</v>
      </c>
      <c r="E11" s="19" t="n">
        <f aca="false">IF($B11="","",ROUND(E$5*$C11,Paramètres!$F$23))</f>
        <v>15</v>
      </c>
      <c r="F11" s="19" t="n">
        <f aca="false">IF($B11="","",ROUND(F$5*$C11,Paramètres!$F$24))</f>
        <v>0</v>
      </c>
      <c r="G11" s="19" t="n">
        <f aca="false">IF($B11="","",ROUND(G$5*$C11,Paramètres!$F$25))</f>
        <v>0</v>
      </c>
      <c r="H11" s="19" t="n">
        <f aca="false">IF($B11="","",ROUND(H$5*$C11,Paramètres!$F$26))</f>
        <v>0</v>
      </c>
      <c r="I11" s="19" t="n">
        <f aca="false">IF($B11="","",ROUND(I$5*$C11,Paramètres!$F$27))</f>
        <v>0</v>
      </c>
      <c r="J11" s="20" t="n">
        <f aca="false">IF($B11="","",ROUND(J$5*$C11,Paramètres!$F$28))</f>
        <v>0.008</v>
      </c>
      <c r="K11" s="20" t="n">
        <f aca="false">IF($B11="","",ROUND(K$5*$C11,Paramètres!$F$29))</f>
        <v>0.005</v>
      </c>
      <c r="L11" s="20" t="n">
        <f aca="false">IF($B11="","",ROUND(L$5*$C11,Paramètres!$F$30))</f>
        <v>0.014</v>
      </c>
      <c r="M11" s="19" t="n">
        <f aca="false">IF($B11="","",ROUND(M$5*$C11,Paramètres!$F$31))</f>
        <v>0</v>
      </c>
      <c r="N11" s="20" t="n">
        <f aca="false">IF($B11="","",ROUND(N$5*$C11,Paramètres!$F$32))</f>
        <v>0.007</v>
      </c>
      <c r="O11" s="20" t="n">
        <f aca="false">IF($B11="","",ROUND(O$5*$C11,Paramètres!$F$33))</f>
        <v>0</v>
      </c>
      <c r="P11" s="20" t="n">
        <f aca="false">IF($B11="","",ROUND(P$5*$C11,Paramètres!$F$34))</f>
        <v>0</v>
      </c>
      <c r="Q11" s="20" t="n">
        <f aca="false">IF($B11="","",ROUND(Q$5*$C11,Paramètres!$F$35))</f>
        <v>0</v>
      </c>
      <c r="R11" s="19" t="n">
        <f aca="false" t="array" ref="R11:R11">IF(OR($B11="",$A11=0),"",INDEX(Amélioration!$B$6:$H$104,$A11,Calculateur!$B$10))</f>
        <v>39</v>
      </c>
      <c r="S11" s="19" t="n">
        <f aca="false" t="array" ref="S11:S11">IF($B11="","",IF($A11=0,0,INDEX(Amélioration!$J$6:$P$104,$A11,Calculateur!$B$10)))</f>
        <v>107</v>
      </c>
    </row>
    <row r="12" customFormat="false" ht="15" hidden="false" customHeight="true" outlineLevel="0" collapsed="false">
      <c r="A12" s="18" t="n">
        <v>6</v>
      </c>
      <c r="B12" s="16" t="n">
        <f aca="false">IF($A12&gt;Calculateur!$B$15,"",Calculateur!$B$14+$A12)</f>
        <v>21</v>
      </c>
      <c r="C12" s="36" t="n">
        <f aca="false">IF($B12="","",Paramètres!$B$16+(1-Paramètres!$B$16)*(($B12-Paramètres!$B$14)/(Paramètres!$B$15-Paramètres!$B$14))^Paramètres!$B$17)</f>
        <v>0.189379007156239</v>
      </c>
      <c r="D12" s="19" t="n">
        <f aca="false">IF($B12="","",ROUND(D$5*$C12,Paramètres!$F$22))</f>
        <v>0</v>
      </c>
      <c r="E12" s="19" t="n">
        <f aca="false">IF($B12="","",ROUND(E$5*$C12,Paramètres!$F$23))</f>
        <v>16</v>
      </c>
      <c r="F12" s="19" t="n">
        <f aca="false">IF($B12="","",ROUND(F$5*$C12,Paramètres!$F$24))</f>
        <v>0</v>
      </c>
      <c r="G12" s="19" t="n">
        <f aca="false">IF($B12="","",ROUND(G$5*$C12,Paramètres!$F$25))</f>
        <v>0</v>
      </c>
      <c r="H12" s="19" t="n">
        <f aca="false">IF($B12="","",ROUND(H$5*$C12,Paramètres!$F$26))</f>
        <v>0</v>
      </c>
      <c r="I12" s="19" t="n">
        <f aca="false">IF($B12="","",ROUND(I$5*$C12,Paramètres!$F$27))</f>
        <v>0</v>
      </c>
      <c r="J12" s="20" t="n">
        <f aca="false">IF($B12="","",ROUND(J$5*$C12,Paramètres!$F$28))</f>
        <v>0.008</v>
      </c>
      <c r="K12" s="20" t="n">
        <f aca="false">IF($B12="","",ROUND(K$5*$C12,Paramètres!$F$29))</f>
        <v>0.006</v>
      </c>
      <c r="L12" s="20" t="n">
        <f aca="false">IF($B12="","",ROUND(L$5*$C12,Paramètres!$F$30))</f>
        <v>0.015</v>
      </c>
      <c r="M12" s="19" t="n">
        <f aca="false">IF($B12="","",ROUND(M$5*$C12,Paramètres!$F$31))</f>
        <v>0</v>
      </c>
      <c r="N12" s="20" t="n">
        <f aca="false">IF($B12="","",ROUND(N$5*$C12,Paramètres!$F$32))</f>
        <v>0.007</v>
      </c>
      <c r="O12" s="20" t="n">
        <f aca="false">IF($B12="","",ROUND(O$5*$C12,Paramètres!$F$33))</f>
        <v>0</v>
      </c>
      <c r="P12" s="20" t="n">
        <f aca="false">IF($B12="","",ROUND(P$5*$C12,Paramètres!$F$34))</f>
        <v>0</v>
      </c>
      <c r="Q12" s="20" t="n">
        <f aca="false">IF($B12="","",ROUND(Q$5*$C12,Paramètres!$F$35))</f>
        <v>0</v>
      </c>
      <c r="R12" s="19" t="n">
        <f aca="false" t="array" ref="R12:R12">IF(OR($B12="",$A12=0),"",INDEX(Amélioration!$B$6:$H$104,$A12,Calculateur!$B$10))</f>
        <v>49</v>
      </c>
      <c r="S12" s="19" t="n">
        <f aca="false" t="array" ref="S12:S12">IF($B12="","",IF($A12=0,0,INDEX(Amélioration!$J$6:$P$104,$A12,Calculateur!$B$10)))</f>
        <v>156</v>
      </c>
    </row>
    <row r="13" customFormat="false" ht="15" hidden="false" customHeight="true" outlineLevel="0" collapsed="false">
      <c r="A13" s="18" t="n">
        <v>7</v>
      </c>
      <c r="B13" s="16" t="n">
        <f aca="false">IF($A13&gt;Calculateur!$B$15,"",Calculateur!$B$14+$A13)</f>
        <v>22</v>
      </c>
      <c r="C13" s="36" t="n">
        <f aca="false">IF($B13="","",Paramètres!$B$16+(1-Paramètres!$B$16)*(($B13-Paramètres!$B$14)/(Paramètres!$B$15-Paramètres!$B$14))^Paramètres!$B$17)</f>
        <v>0.197783015975362</v>
      </c>
      <c r="D13" s="19" t="n">
        <f aca="false">IF($B13="","",ROUND(D$5*$C13,Paramètres!$F$22))</f>
        <v>0</v>
      </c>
      <c r="E13" s="19" t="n">
        <f aca="false">IF($B13="","",ROUND(E$5*$C13,Paramètres!$F$23))</f>
        <v>17</v>
      </c>
      <c r="F13" s="19" t="n">
        <f aca="false">IF($B13="","",ROUND(F$5*$C13,Paramètres!$F$24))</f>
        <v>0</v>
      </c>
      <c r="G13" s="19" t="n">
        <f aca="false">IF($B13="","",ROUND(G$5*$C13,Paramètres!$F$25))</f>
        <v>0</v>
      </c>
      <c r="H13" s="19" t="n">
        <f aca="false">IF($B13="","",ROUND(H$5*$C13,Paramètres!$F$26))</f>
        <v>0</v>
      </c>
      <c r="I13" s="19" t="n">
        <f aca="false">IF($B13="","",ROUND(I$5*$C13,Paramètres!$F$27))</f>
        <v>0</v>
      </c>
      <c r="J13" s="20" t="n">
        <f aca="false">IF($B13="","",ROUND(J$5*$C13,Paramètres!$F$28))</f>
        <v>0.008</v>
      </c>
      <c r="K13" s="20" t="n">
        <f aca="false">IF($B13="","",ROUND(K$5*$C13,Paramètres!$F$29))</f>
        <v>0.006</v>
      </c>
      <c r="L13" s="20" t="n">
        <f aca="false">IF($B13="","",ROUND(L$5*$C13,Paramètres!$F$30))</f>
        <v>0.016</v>
      </c>
      <c r="M13" s="19" t="n">
        <f aca="false">IF($B13="","",ROUND(M$5*$C13,Paramètres!$F$31))</f>
        <v>0</v>
      </c>
      <c r="N13" s="20" t="n">
        <f aca="false">IF($B13="","",ROUND(N$5*$C13,Paramètres!$F$32))</f>
        <v>0.007</v>
      </c>
      <c r="O13" s="20" t="n">
        <f aca="false">IF($B13="","",ROUND(O$5*$C13,Paramètres!$F$33))</f>
        <v>0</v>
      </c>
      <c r="P13" s="20" t="n">
        <f aca="false">IF($B13="","",ROUND(P$5*$C13,Paramètres!$F$34))</f>
        <v>0</v>
      </c>
      <c r="Q13" s="20" t="n">
        <f aca="false">IF($B13="","",ROUND(Q$5*$C13,Paramètres!$F$35))</f>
        <v>0</v>
      </c>
      <c r="R13" s="19" t="n">
        <f aca="false" t="array" ref="R13:R13">IF(OR($B13="",$A13=0),"",INDEX(Amélioration!$B$6:$H$104,$A13,Calculateur!$B$10))</f>
        <v>60</v>
      </c>
      <c r="S13" s="19" t="n">
        <f aca="false" t="array" ref="S13:S13">IF($B13="","",IF($A13=0,0,INDEX(Amélioration!$J$6:$P$104,$A13,Calculateur!$B$10)))</f>
        <v>216</v>
      </c>
    </row>
    <row r="14" customFormat="false" ht="15" hidden="false" customHeight="true" outlineLevel="0" collapsed="false">
      <c r="A14" s="18" t="n">
        <v>8</v>
      </c>
      <c r="B14" s="16" t="n">
        <f aca="false">IF($A14&gt;Calculateur!$B$15,"",Calculateur!$B$14+$A14)</f>
        <v>23</v>
      </c>
      <c r="C14" s="36" t="n">
        <f aca="false">IF($B14="","",Paramètres!$B$16+(1-Paramètres!$B$16)*(($B14-Paramètres!$B$14)/(Paramètres!$B$15-Paramètres!$B$14))^Paramètres!$B$17)</f>
        <v>0.206267472827909</v>
      </c>
      <c r="D14" s="19" t="n">
        <f aca="false">IF($B14="","",ROUND(D$5*$C14,Paramètres!$F$22))</f>
        <v>0</v>
      </c>
      <c r="E14" s="19" t="n">
        <f aca="false">IF($B14="","",ROUND(E$5*$C14,Paramètres!$F$23))</f>
        <v>17</v>
      </c>
      <c r="F14" s="19" t="n">
        <f aca="false">IF($B14="","",ROUND(F$5*$C14,Paramètres!$F$24))</f>
        <v>0</v>
      </c>
      <c r="G14" s="19" t="n">
        <f aca="false">IF($B14="","",ROUND(G$5*$C14,Paramètres!$F$25))</f>
        <v>0</v>
      </c>
      <c r="H14" s="19" t="n">
        <f aca="false">IF($B14="","",ROUND(H$5*$C14,Paramètres!$F$26))</f>
        <v>0</v>
      </c>
      <c r="I14" s="19" t="n">
        <f aca="false">IF($B14="","",ROUND(I$5*$C14,Paramètres!$F$27))</f>
        <v>0</v>
      </c>
      <c r="J14" s="20" t="n">
        <f aca="false">IF($B14="","",ROUND(J$5*$C14,Paramètres!$F$28))</f>
        <v>0.009</v>
      </c>
      <c r="K14" s="20" t="n">
        <f aca="false">IF($B14="","",ROUND(K$5*$C14,Paramètres!$F$29))</f>
        <v>0.006</v>
      </c>
      <c r="L14" s="20" t="n">
        <f aca="false">IF($B14="","",ROUND(L$5*$C14,Paramètres!$F$30))</f>
        <v>0.016</v>
      </c>
      <c r="M14" s="19" t="n">
        <f aca="false">IF($B14="","",ROUND(M$5*$C14,Paramètres!$F$31))</f>
        <v>0</v>
      </c>
      <c r="N14" s="20" t="n">
        <f aca="false">IF($B14="","",ROUND(N$5*$C14,Paramètres!$F$32))</f>
        <v>0.008</v>
      </c>
      <c r="O14" s="20" t="n">
        <f aca="false">IF($B14="","",ROUND(O$5*$C14,Paramètres!$F$33))</f>
        <v>0</v>
      </c>
      <c r="P14" s="20" t="n">
        <f aca="false">IF($B14="","",ROUND(P$5*$C14,Paramètres!$F$34))</f>
        <v>0</v>
      </c>
      <c r="Q14" s="20" t="n">
        <f aca="false">IF($B14="","",ROUND(Q$5*$C14,Paramètres!$F$35))</f>
        <v>0</v>
      </c>
      <c r="R14" s="19" t="n">
        <f aca="false" t="array" ref="R14:R14">IF(OR($B14="",$A14=0),"",INDEX(Amélioration!$B$6:$H$104,$A14,Calculateur!$B$10))</f>
        <v>71</v>
      </c>
      <c r="S14" s="19" t="n">
        <f aca="false" t="array" ref="S14:S14">IF($B14="","",IF($A14=0,0,INDEX(Amélioration!$J$6:$P$104,$A14,Calculateur!$B$10)))</f>
        <v>287</v>
      </c>
    </row>
    <row r="15" customFormat="false" ht="15" hidden="false" customHeight="true" outlineLevel="0" collapsed="false">
      <c r="A15" s="18" t="n">
        <v>9</v>
      </c>
      <c r="B15" s="16" t="n">
        <f aca="false">IF($A15&gt;Calculateur!$B$15,"",Calculateur!$B$14+$A15)</f>
        <v>24</v>
      </c>
      <c r="C15" s="36" t="n">
        <f aca="false">IF($B15="","",Paramètres!$B$16+(1-Paramètres!$B$16)*(($B15-Paramètres!$B$14)/(Paramètres!$B$15-Paramètres!$B$14))^Paramètres!$B$17)</f>
        <v>0.214829436909506</v>
      </c>
      <c r="D15" s="19" t="n">
        <f aca="false">IF($B15="","",ROUND(D$5*$C15,Paramètres!$F$22))</f>
        <v>0</v>
      </c>
      <c r="E15" s="19" t="n">
        <f aca="false">IF($B15="","",ROUND(E$5*$C15,Paramètres!$F$23))</f>
        <v>18</v>
      </c>
      <c r="F15" s="19" t="n">
        <f aca="false">IF($B15="","",ROUND(F$5*$C15,Paramètres!$F$24))</f>
        <v>0</v>
      </c>
      <c r="G15" s="19" t="n">
        <f aca="false">IF($B15="","",ROUND(G$5*$C15,Paramètres!$F$25))</f>
        <v>0</v>
      </c>
      <c r="H15" s="19" t="n">
        <f aca="false">IF($B15="","",ROUND(H$5*$C15,Paramètres!$F$26))</f>
        <v>0</v>
      </c>
      <c r="I15" s="19" t="n">
        <f aca="false">IF($B15="","",ROUND(I$5*$C15,Paramètres!$F$27))</f>
        <v>0</v>
      </c>
      <c r="J15" s="20" t="n">
        <f aca="false">IF($B15="","",ROUND(J$5*$C15,Paramètres!$F$28))</f>
        <v>0.009</v>
      </c>
      <c r="K15" s="20" t="n">
        <f aca="false">IF($B15="","",ROUND(K$5*$C15,Paramètres!$F$29))</f>
        <v>0.006</v>
      </c>
      <c r="L15" s="20" t="n">
        <f aca="false">IF($B15="","",ROUND(L$5*$C15,Paramètres!$F$30))</f>
        <v>0.017</v>
      </c>
      <c r="M15" s="19" t="n">
        <f aca="false">IF($B15="","",ROUND(M$5*$C15,Paramètres!$F$31))</f>
        <v>0</v>
      </c>
      <c r="N15" s="20" t="n">
        <f aca="false">IF($B15="","",ROUND(N$5*$C15,Paramètres!$F$32))</f>
        <v>0.008</v>
      </c>
      <c r="O15" s="20" t="n">
        <f aca="false">IF($B15="","",ROUND(O$5*$C15,Paramètres!$F$33))</f>
        <v>0</v>
      </c>
      <c r="P15" s="20" t="n">
        <f aca="false">IF($B15="","",ROUND(P$5*$C15,Paramètres!$F$34))</f>
        <v>0</v>
      </c>
      <c r="Q15" s="20" t="n">
        <f aca="false">IF($B15="","",ROUND(Q$5*$C15,Paramètres!$F$35))</f>
        <v>0</v>
      </c>
      <c r="R15" s="19" t="n">
        <f aca="false" t="array" ref="R15:R15">IF(OR($B15="",$A15=0),"",INDEX(Amélioration!$B$6:$H$104,$A15,Calculateur!$B$10))</f>
        <v>82</v>
      </c>
      <c r="S15" s="19" t="n">
        <f aca="false" t="array" ref="S15:S15">IF($B15="","",IF($A15=0,0,INDEX(Amélioration!$J$6:$P$104,$A15,Calculateur!$B$10)))</f>
        <v>369</v>
      </c>
    </row>
    <row r="16" customFormat="false" ht="15" hidden="false" customHeight="true" outlineLevel="0" collapsed="false">
      <c r="A16" s="18" t="n">
        <v>10</v>
      </c>
      <c r="B16" s="16" t="n">
        <f aca="false">IF($A16&gt;Calculateur!$B$15,"",Calculateur!$B$14+$A16)</f>
        <v>25</v>
      </c>
      <c r="C16" s="36" t="n">
        <f aca="false">IF($B16="","",Paramètres!$B$16+(1-Paramètres!$B$16)*(($B16-Paramètres!$B$14)/(Paramètres!$B$15-Paramètres!$B$14))^Paramètres!$B$17)</f>
        <v>0.223466198806946</v>
      </c>
      <c r="D16" s="19" t="n">
        <f aca="false">IF($B16="","",ROUND(D$5*$C16,Paramètres!$F$22))</f>
        <v>0</v>
      </c>
      <c r="E16" s="19" t="n">
        <f aca="false">IF($B16="","",ROUND(E$5*$C16,Paramètres!$F$23))</f>
        <v>19</v>
      </c>
      <c r="F16" s="19" t="n">
        <f aca="false">IF($B16="","",ROUND(F$5*$C16,Paramètres!$F$24))</f>
        <v>0</v>
      </c>
      <c r="G16" s="19" t="n">
        <f aca="false">IF($B16="","",ROUND(G$5*$C16,Paramètres!$F$25))</f>
        <v>0</v>
      </c>
      <c r="H16" s="19" t="n">
        <f aca="false">IF($B16="","",ROUND(H$5*$C16,Paramètres!$F$26))</f>
        <v>0</v>
      </c>
      <c r="I16" s="19" t="n">
        <f aca="false">IF($B16="","",ROUND(I$5*$C16,Paramètres!$F$27))</f>
        <v>0</v>
      </c>
      <c r="J16" s="20" t="n">
        <f aca="false">IF($B16="","",ROUND(J$5*$C16,Paramètres!$F$28))</f>
        <v>0.009</v>
      </c>
      <c r="K16" s="20" t="n">
        <f aca="false">IF($B16="","",ROUND(K$5*$C16,Paramètres!$F$29))</f>
        <v>0.007</v>
      </c>
      <c r="L16" s="20" t="n">
        <f aca="false">IF($B16="","",ROUND(L$5*$C16,Paramètres!$F$30))</f>
        <v>0.018</v>
      </c>
      <c r="M16" s="19" t="n">
        <f aca="false">IF($B16="","",ROUND(M$5*$C16,Paramètres!$F$31))</f>
        <v>0</v>
      </c>
      <c r="N16" s="20" t="n">
        <f aca="false">IF($B16="","",ROUND(N$5*$C16,Paramètres!$F$32))</f>
        <v>0.008</v>
      </c>
      <c r="O16" s="20" t="n">
        <f aca="false">IF($B16="","",ROUND(O$5*$C16,Paramètres!$F$33))</f>
        <v>0</v>
      </c>
      <c r="P16" s="20" t="n">
        <f aca="false">IF($B16="","",ROUND(P$5*$C16,Paramètres!$F$34))</f>
        <v>0</v>
      </c>
      <c r="Q16" s="20" t="n">
        <f aca="false">IF($B16="","",ROUND(Q$5*$C16,Paramètres!$F$35))</f>
        <v>0</v>
      </c>
      <c r="R16" s="19" t="n">
        <f aca="false" t="array" ref="R16:R16">IF(OR($B16="",$A16=0),"",INDEX(Amélioration!$B$6:$H$104,$A16,Calculateur!$B$10))</f>
        <v>93</v>
      </c>
      <c r="S16" s="19" t="n">
        <f aca="false" t="array" ref="S16:S16">IF($B16="","",IF($A16=0,0,INDEX(Amélioration!$J$6:$P$104,$A16,Calculateur!$B$10)))</f>
        <v>462</v>
      </c>
    </row>
    <row r="17" customFormat="false" ht="15" hidden="false" customHeight="true" outlineLevel="0" collapsed="false">
      <c r="A17" s="18" t="n">
        <v>11</v>
      </c>
      <c r="B17" s="16" t="n">
        <f aca="false">IF($A17&gt;Calculateur!$B$15,"",Calculateur!$B$14+$A17)</f>
        <v>26</v>
      </c>
      <c r="C17" s="36" t="n">
        <f aca="false">IF($B17="","",Paramètres!$B$16+(1-Paramètres!$B$16)*(($B17-Paramètres!$B$14)/(Paramètres!$B$15-Paramètres!$B$14))^Paramètres!$B$17)</f>
        <v>0.232175253354332</v>
      </c>
      <c r="D17" s="19" t="n">
        <f aca="false">IF($B17="","",ROUND(D$5*$C17,Paramètres!$F$22))</f>
        <v>0</v>
      </c>
      <c r="E17" s="19" t="n">
        <f aca="false">IF($B17="","",ROUND(E$5*$C17,Paramètres!$F$23))</f>
        <v>20</v>
      </c>
      <c r="F17" s="19" t="n">
        <f aca="false">IF($B17="","",ROUND(F$5*$C17,Paramètres!$F$24))</f>
        <v>0</v>
      </c>
      <c r="G17" s="19" t="n">
        <f aca="false">IF($B17="","",ROUND(G$5*$C17,Paramètres!$F$25))</f>
        <v>0</v>
      </c>
      <c r="H17" s="19" t="n">
        <f aca="false">IF($B17="","",ROUND(H$5*$C17,Paramètres!$F$26))</f>
        <v>0</v>
      </c>
      <c r="I17" s="19" t="n">
        <f aca="false">IF($B17="","",ROUND(I$5*$C17,Paramètres!$F$27))</f>
        <v>0</v>
      </c>
      <c r="J17" s="20" t="n">
        <f aca="false">IF($B17="","",ROUND(J$5*$C17,Paramètres!$F$28))</f>
        <v>0.01</v>
      </c>
      <c r="K17" s="20" t="n">
        <f aca="false">IF($B17="","",ROUND(K$5*$C17,Paramètres!$F$29))</f>
        <v>0.007</v>
      </c>
      <c r="L17" s="20" t="n">
        <f aca="false">IF($B17="","",ROUND(L$5*$C17,Paramètres!$F$30))</f>
        <v>0.018</v>
      </c>
      <c r="M17" s="19" t="n">
        <f aca="false">IF($B17="","",ROUND(M$5*$C17,Paramètres!$F$31))</f>
        <v>0</v>
      </c>
      <c r="N17" s="20" t="n">
        <f aca="false">IF($B17="","",ROUND(N$5*$C17,Paramètres!$F$32))</f>
        <v>0.009</v>
      </c>
      <c r="O17" s="20" t="n">
        <f aca="false">IF($B17="","",ROUND(O$5*$C17,Paramètres!$F$33))</f>
        <v>0</v>
      </c>
      <c r="P17" s="20" t="n">
        <f aca="false">IF($B17="","",ROUND(P$5*$C17,Paramètres!$F$34))</f>
        <v>0</v>
      </c>
      <c r="Q17" s="20" t="n">
        <f aca="false">IF($B17="","",ROUND(Q$5*$C17,Paramètres!$F$35))</f>
        <v>0</v>
      </c>
      <c r="R17" s="19" t="n">
        <f aca="false" t="array" ref="R17:R17">IF(OR($B17="",$A17=0),"",INDEX(Amélioration!$B$6:$H$104,$A17,Calculateur!$B$10))</f>
        <v>105</v>
      </c>
      <c r="S17" s="19" t="n">
        <f aca="false" t="array" ref="S17:S17">IF($B17="","",IF($A17=0,0,INDEX(Amélioration!$J$6:$P$104,$A17,Calculateur!$B$10)))</f>
        <v>567</v>
      </c>
    </row>
    <row r="18" customFormat="false" ht="15" hidden="false" customHeight="true" outlineLevel="0" collapsed="false">
      <c r="A18" s="18" t="n">
        <v>12</v>
      </c>
      <c r="B18" s="16" t="n">
        <f aca="false">IF($A18&gt;Calculateur!$B$15,"",Calculateur!$B$14+$A18)</f>
        <v>27</v>
      </c>
      <c r="C18" s="36" t="n">
        <f aca="false">IF($B18="","",Paramètres!$B$16+(1-Paramètres!$B$16)*(($B18-Paramètres!$B$14)/(Paramètres!$B$15-Paramètres!$B$14))^Paramètres!$B$17)</f>
        <v>0.240954276638051</v>
      </c>
      <c r="D18" s="19" t="n">
        <f aca="false">IF($B18="","",ROUND(D$5*$C18,Paramètres!$F$22))</f>
        <v>0</v>
      </c>
      <c r="E18" s="19" t="n">
        <f aca="false">IF($B18="","",ROUND(E$5*$C18,Paramètres!$F$23))</f>
        <v>20</v>
      </c>
      <c r="F18" s="19" t="n">
        <f aca="false">IF($B18="","",ROUND(F$5*$C18,Paramètres!$F$24))</f>
        <v>0</v>
      </c>
      <c r="G18" s="19" t="n">
        <f aca="false">IF($B18="","",ROUND(G$5*$C18,Paramètres!$F$25))</f>
        <v>0</v>
      </c>
      <c r="H18" s="19" t="n">
        <f aca="false">IF($B18="","",ROUND(H$5*$C18,Paramètres!$F$26))</f>
        <v>0</v>
      </c>
      <c r="I18" s="19" t="n">
        <f aca="false">IF($B18="","",ROUND(I$5*$C18,Paramètres!$F$27))</f>
        <v>0</v>
      </c>
      <c r="J18" s="20" t="n">
        <f aca="false">IF($B18="","",ROUND(J$5*$C18,Paramètres!$F$28))</f>
        <v>0.01</v>
      </c>
      <c r="K18" s="20" t="n">
        <f aca="false">IF($B18="","",ROUND(K$5*$C18,Paramètres!$F$29))</f>
        <v>0.007</v>
      </c>
      <c r="L18" s="20" t="n">
        <f aca="false">IF($B18="","",ROUND(L$5*$C18,Paramètres!$F$30))</f>
        <v>0.019</v>
      </c>
      <c r="M18" s="19" t="n">
        <f aca="false">IF($B18="","",ROUND(M$5*$C18,Paramètres!$F$31))</f>
        <v>0</v>
      </c>
      <c r="N18" s="20" t="n">
        <f aca="false">IF($B18="","",ROUND(N$5*$C18,Paramètres!$F$32))</f>
        <v>0.009</v>
      </c>
      <c r="O18" s="20" t="n">
        <f aca="false">IF($B18="","",ROUND(O$5*$C18,Paramètres!$F$33))</f>
        <v>0</v>
      </c>
      <c r="P18" s="20" t="n">
        <f aca="false">IF($B18="","",ROUND(P$5*$C18,Paramètres!$F$34))</f>
        <v>0</v>
      </c>
      <c r="Q18" s="20" t="n">
        <f aca="false">IF($B18="","",ROUND(Q$5*$C18,Paramètres!$F$35))</f>
        <v>0</v>
      </c>
      <c r="R18" s="19" t="n">
        <f aca="false" t="array" ref="R18:R18">IF(OR($B18="",$A18=0),"",INDEX(Amélioration!$B$6:$H$104,$A18,Calculateur!$B$10))</f>
        <v>117</v>
      </c>
      <c r="S18" s="19" t="n">
        <f aca="false" t="array" ref="S18:S18">IF($B18="","",IF($A18=0,0,INDEX(Amélioration!$J$6:$P$104,$A18,Calculateur!$B$10)))</f>
        <v>684</v>
      </c>
    </row>
    <row r="19" customFormat="false" ht="15" hidden="false" customHeight="true" outlineLevel="0" collapsed="false">
      <c r="A19" s="18" t="n">
        <v>13</v>
      </c>
      <c r="B19" s="16" t="n">
        <f aca="false">IF($A19&gt;Calculateur!$B$15,"",Calculateur!$B$14+$A19)</f>
        <v>28</v>
      </c>
      <c r="C19" s="36" t="n">
        <f aca="false">IF($B19="","",Paramètres!$B$16+(1-Paramètres!$B$16)*(($B19-Paramètres!$B$14)/(Paramètres!$B$15-Paramètres!$B$14))^Paramètres!$B$17)</f>
        <v>0.249801106380343</v>
      </c>
      <c r="D19" s="19" t="n">
        <f aca="false">IF($B19="","",ROUND(D$5*$C19,Paramètres!$F$22))</f>
        <v>0</v>
      </c>
      <c r="E19" s="19" t="n">
        <f aca="false">IF($B19="","",ROUND(E$5*$C19,Paramètres!$F$23))</f>
        <v>21</v>
      </c>
      <c r="F19" s="19" t="n">
        <f aca="false">IF($B19="","",ROUND(F$5*$C19,Paramètres!$F$24))</f>
        <v>0</v>
      </c>
      <c r="G19" s="19" t="n">
        <f aca="false">IF($B19="","",ROUND(G$5*$C19,Paramètres!$F$25))</f>
        <v>0</v>
      </c>
      <c r="H19" s="19" t="n">
        <f aca="false">IF($B19="","",ROUND(H$5*$C19,Paramètres!$F$26))</f>
        <v>0</v>
      </c>
      <c r="I19" s="19" t="n">
        <f aca="false">IF($B19="","",ROUND(I$5*$C19,Paramètres!$F$27))</f>
        <v>0</v>
      </c>
      <c r="J19" s="20" t="n">
        <f aca="false">IF($B19="","",ROUND(J$5*$C19,Paramètres!$F$28))</f>
        <v>0.01</v>
      </c>
      <c r="K19" s="20" t="n">
        <f aca="false">IF($B19="","",ROUND(K$5*$C19,Paramètres!$F$29))</f>
        <v>0.007</v>
      </c>
      <c r="L19" s="20" t="n">
        <f aca="false">IF($B19="","",ROUND(L$5*$C19,Paramètres!$F$30))</f>
        <v>0.02</v>
      </c>
      <c r="M19" s="19" t="n">
        <f aca="false">IF($B19="","",ROUND(M$5*$C19,Paramètres!$F$31))</f>
        <v>0</v>
      </c>
      <c r="N19" s="20" t="n">
        <f aca="false">IF($B19="","",ROUND(N$5*$C19,Paramètres!$F$32))</f>
        <v>0.009</v>
      </c>
      <c r="O19" s="20" t="n">
        <f aca="false">IF($B19="","",ROUND(O$5*$C19,Paramètres!$F$33))</f>
        <v>0</v>
      </c>
      <c r="P19" s="20" t="n">
        <f aca="false">IF($B19="","",ROUND(P$5*$C19,Paramètres!$F$34))</f>
        <v>0</v>
      </c>
      <c r="Q19" s="20" t="n">
        <f aca="false">IF($B19="","",ROUND(Q$5*$C19,Paramètres!$F$35))</f>
        <v>0</v>
      </c>
      <c r="R19" s="19" t="n">
        <f aca="false" t="array" ref="R19:R19">IF(OR($B19="",$A19=0),"",INDEX(Amélioration!$B$6:$H$104,$A19,Calculateur!$B$10))</f>
        <v>130</v>
      </c>
      <c r="S19" s="19" t="n">
        <f aca="false" t="array" ref="S19:S19">IF($B19="","",IF($A19=0,0,INDEX(Amélioration!$J$6:$P$104,$A19,Calculateur!$B$10)))</f>
        <v>814</v>
      </c>
    </row>
    <row r="20" customFormat="false" ht="15" hidden="false" customHeight="true" outlineLevel="0" collapsed="false">
      <c r="A20" s="18" t="n">
        <v>14</v>
      </c>
      <c r="B20" s="16" t="n">
        <f aca="false">IF($A20&gt;Calculateur!$B$15,"",Calculateur!$B$14+$A20)</f>
        <v>29</v>
      </c>
      <c r="C20" s="36" t="n">
        <f aca="false">IF($B20="","",Paramètres!$B$16+(1-Paramètres!$B$16)*(($B20-Paramètres!$B$14)/(Paramètres!$B$15-Paramètres!$B$14))^Paramètres!$B$17)</f>
        <v>0.258713725097601</v>
      </c>
      <c r="D20" s="19" t="n">
        <f aca="false">IF($B20="","",ROUND(D$5*$C20,Paramètres!$F$22))</f>
        <v>0</v>
      </c>
      <c r="E20" s="19" t="n">
        <f aca="false">IF($B20="","",ROUND(E$5*$C20,Paramètres!$F$23))</f>
        <v>22</v>
      </c>
      <c r="F20" s="19" t="n">
        <f aca="false">IF($B20="","",ROUND(F$5*$C20,Paramètres!$F$24))</f>
        <v>0</v>
      </c>
      <c r="G20" s="19" t="n">
        <f aca="false">IF($B20="","",ROUND(G$5*$C20,Paramètres!$F$25))</f>
        <v>0</v>
      </c>
      <c r="H20" s="19" t="n">
        <f aca="false">IF($B20="","",ROUND(H$5*$C20,Paramètres!$F$26))</f>
        <v>0</v>
      </c>
      <c r="I20" s="19" t="n">
        <f aca="false">IF($B20="","",ROUND(I$5*$C20,Paramètres!$F$27))</f>
        <v>0</v>
      </c>
      <c r="J20" s="20" t="n">
        <f aca="false">IF($B20="","",ROUND(J$5*$C20,Paramètres!$F$28))</f>
        <v>0.011</v>
      </c>
      <c r="K20" s="20" t="n">
        <f aca="false">IF($B20="","",ROUND(K$5*$C20,Paramètres!$F$29))</f>
        <v>0.008</v>
      </c>
      <c r="L20" s="20" t="n">
        <f aca="false">IF($B20="","",ROUND(L$5*$C20,Paramètres!$F$30))</f>
        <v>0.02</v>
      </c>
      <c r="M20" s="19" t="n">
        <f aca="false">IF($B20="","",ROUND(M$5*$C20,Paramètres!$F$31))</f>
        <v>0</v>
      </c>
      <c r="N20" s="20" t="n">
        <f aca="false">IF($B20="","",ROUND(N$5*$C20,Paramètres!$F$32))</f>
        <v>0.01</v>
      </c>
      <c r="O20" s="20" t="n">
        <f aca="false">IF($B20="","",ROUND(O$5*$C20,Paramètres!$F$33))</f>
        <v>0</v>
      </c>
      <c r="P20" s="20" t="n">
        <f aca="false">IF($B20="","",ROUND(P$5*$C20,Paramètres!$F$34))</f>
        <v>0</v>
      </c>
      <c r="Q20" s="20" t="n">
        <f aca="false">IF($B20="","",ROUND(Q$5*$C20,Paramètres!$F$35))</f>
        <v>0</v>
      </c>
      <c r="R20" s="19" t="n">
        <f aca="false" t="array" ref="R20:R20">IF(OR($B20="",$A20=0),"",INDEX(Amélioration!$B$6:$H$104,$A20,Calculateur!$B$10))</f>
        <v>142</v>
      </c>
      <c r="S20" s="19" t="n">
        <f aca="false" t="array" ref="S20:S20">IF($B20="","",IF($A20=0,0,INDEX(Amélioration!$J$6:$P$104,$A20,Calculateur!$B$10)))</f>
        <v>956</v>
      </c>
    </row>
    <row r="21" customFormat="false" ht="15.75" hidden="false" customHeight="true" outlineLevel="0" collapsed="false">
      <c r="A21" s="18" t="n">
        <v>15</v>
      </c>
      <c r="B21" s="16" t="n">
        <f aca="false">IF($A21&gt;Calculateur!$B$15,"",Calculateur!$B$14+$A21)</f>
        <v>30</v>
      </c>
      <c r="C21" s="36" t="n">
        <f aca="false">IF($B21="","",Paramètres!$B$16+(1-Paramètres!$B$16)*(($B21-Paramètres!$B$14)/(Paramètres!$B$15-Paramètres!$B$14))^Paramètres!$B$17)</f>
        <v>0.26769024555533</v>
      </c>
      <c r="D21" s="19" t="n">
        <f aca="false">IF($B21="","",ROUND(D$5*$C21,Paramètres!$F$22))</f>
        <v>0</v>
      </c>
      <c r="E21" s="19" t="n">
        <f aca="false">IF($B21="","",ROUND(E$5*$C21,Paramètres!$F$23))</f>
        <v>22</v>
      </c>
      <c r="F21" s="19" t="n">
        <f aca="false">IF($B21="","",ROUND(F$5*$C21,Paramètres!$F$24))</f>
        <v>0</v>
      </c>
      <c r="G21" s="19" t="n">
        <f aca="false">IF($B21="","",ROUND(G$5*$C21,Paramètres!$F$25))</f>
        <v>0</v>
      </c>
      <c r="H21" s="19" t="n">
        <f aca="false">IF($B21="","",ROUND(H$5*$C21,Paramètres!$F$26))</f>
        <v>0</v>
      </c>
      <c r="I21" s="19" t="n">
        <f aca="false">IF($B21="","",ROUND(I$5*$C21,Paramètres!$F$27))</f>
        <v>0</v>
      </c>
      <c r="J21" s="20" t="n">
        <f aca="false">IF($B21="","",ROUND(J$5*$C21,Paramètres!$F$28))</f>
        <v>0.011</v>
      </c>
      <c r="K21" s="20" t="n">
        <f aca="false">IF($B21="","",ROUND(K$5*$C21,Paramètres!$F$29))</f>
        <v>0.008</v>
      </c>
      <c r="L21" s="20" t="n">
        <f aca="false">IF($B21="","",ROUND(L$5*$C21,Paramètres!$F$30))</f>
        <v>0.021</v>
      </c>
      <c r="M21" s="19" t="n">
        <f aca="false">IF($B21="","",ROUND(M$5*$C21,Paramètres!$F$31))</f>
        <v>0</v>
      </c>
      <c r="N21" s="20" t="n">
        <f aca="false">IF($B21="","",ROUND(N$5*$C21,Paramètres!$F$32))</f>
        <v>0.01</v>
      </c>
      <c r="O21" s="20" t="n">
        <f aca="false">IF($B21="","",ROUND(O$5*$C21,Paramètres!$F$33))</f>
        <v>0</v>
      </c>
      <c r="P21" s="20" t="n">
        <f aca="false">IF($B21="","",ROUND(P$5*$C21,Paramètres!$F$34))</f>
        <v>0</v>
      </c>
      <c r="Q21" s="20" t="n">
        <f aca="false">IF($B21="","",ROUND(Q$5*$C21,Paramètres!$F$35))</f>
        <v>0</v>
      </c>
      <c r="R21" s="19" t="n">
        <f aca="false" t="array" ref="R21:R21">IF(OR($B21="",$A21=0),"",INDEX(Amélioration!$B$6:$H$104,$A21,Calculateur!$B$10))</f>
        <v>155</v>
      </c>
      <c r="S21" s="19" t="n">
        <f aca="false" t="array" ref="S21:S21">IF($B21="","",IF($A21=0,0,INDEX(Amélioration!$J$6:$P$104,$A21,Calculateur!$B$10)))</f>
        <v>1111</v>
      </c>
    </row>
    <row r="22" customFormat="false" ht="15.75" hidden="false" customHeight="true" outlineLevel="0" collapsed="false">
      <c r="A22" s="18" t="n">
        <v>16</v>
      </c>
      <c r="B22" s="16" t="n">
        <f aca="false">IF($A22&gt;Calculateur!$B$15,"",Calculateur!$B$14+$A22)</f>
        <v>31</v>
      </c>
      <c r="C22" s="36" t="n">
        <f aca="false">IF($B22="","",Paramètres!$B$16+(1-Paramètres!$B$16)*(($B22-Paramètres!$B$14)/(Paramètres!$B$15-Paramètres!$B$14))^Paramètres!$B$17)</f>
        <v>0.276728898137755</v>
      </c>
      <c r="D22" s="19" t="n">
        <f aca="false">IF($B22="","",ROUND(D$5*$C22,Paramètres!$F$22))</f>
        <v>0</v>
      </c>
      <c r="E22" s="19" t="n">
        <f aca="false">IF($B22="","",ROUND(E$5*$C22,Paramètres!$F$23))</f>
        <v>23</v>
      </c>
      <c r="F22" s="19" t="n">
        <f aca="false">IF($B22="","",ROUND(F$5*$C22,Paramètres!$F$24))</f>
        <v>0</v>
      </c>
      <c r="G22" s="19" t="n">
        <f aca="false">IF($B22="","",ROUND(G$5*$C22,Paramètres!$F$25))</f>
        <v>0</v>
      </c>
      <c r="H22" s="19" t="n">
        <f aca="false">IF($B22="","",ROUND(H$5*$C22,Paramètres!$F$26))</f>
        <v>0</v>
      </c>
      <c r="I22" s="19" t="n">
        <f aca="false">IF($B22="","",ROUND(I$5*$C22,Paramètres!$F$27))</f>
        <v>0</v>
      </c>
      <c r="J22" s="20" t="n">
        <f aca="false">IF($B22="","",ROUND(J$5*$C22,Paramètres!$F$28))</f>
        <v>0.012</v>
      </c>
      <c r="K22" s="20" t="n">
        <f aca="false">IF($B22="","",ROUND(K$5*$C22,Paramètres!$F$29))</f>
        <v>0.008</v>
      </c>
      <c r="L22" s="20" t="n">
        <f aca="false">IF($B22="","",ROUND(L$5*$C22,Paramètres!$F$30))</f>
        <v>0.022</v>
      </c>
      <c r="M22" s="19" t="n">
        <f aca="false">IF($B22="","",ROUND(M$5*$C22,Paramètres!$F$31))</f>
        <v>0</v>
      </c>
      <c r="N22" s="20" t="n">
        <f aca="false">IF($B22="","",ROUND(N$5*$C22,Paramètres!$F$32))</f>
        <v>0.01</v>
      </c>
      <c r="O22" s="20" t="n">
        <f aca="false">IF($B22="","",ROUND(O$5*$C22,Paramètres!$F$33))</f>
        <v>0</v>
      </c>
      <c r="P22" s="20" t="n">
        <f aca="false">IF($B22="","",ROUND(P$5*$C22,Paramètres!$F$34))</f>
        <v>0</v>
      </c>
      <c r="Q22" s="20" t="n">
        <f aca="false">IF($B22="","",ROUND(Q$5*$C22,Paramètres!$F$35))</f>
        <v>0</v>
      </c>
      <c r="R22" s="19" t="n">
        <f aca="false" t="array" ref="R22:R22">IF(OR($B22="",$A22=0),"",INDEX(Amélioration!$B$6:$H$104,$A22,Calculateur!$B$10))</f>
        <v>168</v>
      </c>
      <c r="S22" s="19" t="n">
        <f aca="false" t="array" ref="S22:S22">IF($B22="","",IF($A22=0,0,INDEX(Amélioration!$J$6:$P$104,$A22,Calculateur!$B$10)))</f>
        <v>1279</v>
      </c>
    </row>
    <row r="23" customFormat="false" ht="15.75" hidden="false" customHeight="true" outlineLevel="0" collapsed="false">
      <c r="A23" s="18" t="n">
        <v>17</v>
      </c>
      <c r="B23" s="16" t="n">
        <f aca="false">IF($A23&gt;Calculateur!$B$15,"",Calculateur!$B$14+$A23)</f>
        <v>32</v>
      </c>
      <c r="C23" s="36" t="n">
        <f aca="false">IF($B23="","",Paramètres!$B$16+(1-Paramètres!$B$16)*(($B23-Paramètres!$B$14)/(Paramètres!$B$15-Paramètres!$B$14))^Paramètres!$B$17)</f>
        <v>0.285828019824335</v>
      </c>
      <c r="D23" s="19" t="n">
        <f aca="false">IF($B23="","",ROUND(D$5*$C23,Paramètres!$F$22))</f>
        <v>0</v>
      </c>
      <c r="E23" s="19" t="n">
        <f aca="false">IF($B23="","",ROUND(E$5*$C23,Paramètres!$F$23))</f>
        <v>24</v>
      </c>
      <c r="F23" s="19" t="n">
        <f aca="false">IF($B23="","",ROUND(F$5*$C23,Paramètres!$F$24))</f>
        <v>0</v>
      </c>
      <c r="G23" s="19" t="n">
        <f aca="false">IF($B23="","",ROUND(G$5*$C23,Paramètres!$F$25))</f>
        <v>0</v>
      </c>
      <c r="H23" s="19" t="n">
        <f aca="false">IF($B23="","",ROUND(H$5*$C23,Paramètres!$F$26))</f>
        <v>0</v>
      </c>
      <c r="I23" s="19" t="n">
        <f aca="false">IF($B23="","",ROUND(I$5*$C23,Paramètres!$F$27))</f>
        <v>0</v>
      </c>
      <c r="J23" s="20" t="n">
        <f aca="false">IF($B23="","",ROUND(J$5*$C23,Paramètres!$F$28))</f>
        <v>0.012</v>
      </c>
      <c r="K23" s="20" t="n">
        <f aca="false">IF($B23="","",ROUND(K$5*$C23,Paramètres!$F$29))</f>
        <v>0.008</v>
      </c>
      <c r="L23" s="20" t="n">
        <f aca="false">IF($B23="","",ROUND(L$5*$C23,Paramètres!$F$30))</f>
        <v>0.023</v>
      </c>
      <c r="M23" s="19" t="n">
        <f aca="false">IF($B23="","",ROUND(M$5*$C23,Paramètres!$F$31))</f>
        <v>0</v>
      </c>
      <c r="N23" s="20" t="n">
        <f aca="false">IF($B23="","",ROUND(N$5*$C23,Paramètres!$F$32))</f>
        <v>0.011</v>
      </c>
      <c r="O23" s="20" t="n">
        <f aca="false">IF($B23="","",ROUND(O$5*$C23,Paramètres!$F$33))</f>
        <v>0</v>
      </c>
      <c r="P23" s="20" t="n">
        <f aca="false">IF($B23="","",ROUND(P$5*$C23,Paramètres!$F$34))</f>
        <v>0</v>
      </c>
      <c r="Q23" s="20" t="n">
        <f aca="false">IF($B23="","",ROUND(Q$5*$C23,Paramètres!$F$35))</f>
        <v>0</v>
      </c>
      <c r="R23" s="19" t="n">
        <f aca="false" t="array" ref="R23:R23">IF(OR($B23="",$A23=0),"",INDEX(Amélioration!$B$6:$H$104,$A23,Calculateur!$B$10))</f>
        <v>181</v>
      </c>
      <c r="S23" s="19" t="n">
        <f aca="false" t="array" ref="S23:S23">IF($B23="","",IF($A23=0,0,INDEX(Amélioration!$J$6:$P$104,$A23,Calculateur!$B$10)))</f>
        <v>1460</v>
      </c>
    </row>
    <row r="24" customFormat="false" ht="15.75" hidden="false" customHeight="true" outlineLevel="0" collapsed="false">
      <c r="A24" s="18" t="n">
        <v>18</v>
      </c>
      <c r="B24" s="16" t="n">
        <f aca="false">IF($A24&gt;Calculateur!$B$15,"",Calculateur!$B$14+$A24)</f>
        <v>33</v>
      </c>
      <c r="C24" s="36" t="n">
        <f aca="false">IF($B24="","",Paramètres!$B$16+(1-Paramètres!$B$16)*(($B24-Paramètres!$B$14)/(Paramètres!$B$15-Paramètres!$B$14))^Paramètres!$B$17)</f>
        <v>0.294986044523241</v>
      </c>
      <c r="D24" s="19" t="n">
        <f aca="false">IF($B24="","",ROUND(D$5*$C24,Paramètres!$F$22))</f>
        <v>0</v>
      </c>
      <c r="E24" s="19" t="n">
        <f aca="false">IF($B24="","",ROUND(E$5*$C24,Paramètres!$F$23))</f>
        <v>25</v>
      </c>
      <c r="F24" s="19" t="n">
        <f aca="false">IF($B24="","",ROUND(F$5*$C24,Paramètres!$F$24))</f>
        <v>0</v>
      </c>
      <c r="G24" s="19" t="n">
        <f aca="false">IF($B24="","",ROUND(G$5*$C24,Paramètres!$F$25))</f>
        <v>0</v>
      </c>
      <c r="H24" s="19" t="n">
        <f aca="false">IF($B24="","",ROUND(H$5*$C24,Paramètres!$F$26))</f>
        <v>0</v>
      </c>
      <c r="I24" s="19" t="n">
        <f aca="false">IF($B24="","",ROUND(I$5*$C24,Paramètres!$F$27))</f>
        <v>0</v>
      </c>
      <c r="J24" s="20" t="n">
        <f aca="false">IF($B24="","",ROUND(J$5*$C24,Paramètres!$F$28))</f>
        <v>0.012</v>
      </c>
      <c r="K24" s="20" t="n">
        <f aca="false">IF($B24="","",ROUND(K$5*$C24,Paramètres!$F$29))</f>
        <v>0.009</v>
      </c>
      <c r="L24" s="20" t="n">
        <f aca="false">IF($B24="","",ROUND(L$5*$C24,Paramètres!$F$30))</f>
        <v>0.023</v>
      </c>
      <c r="M24" s="19" t="n">
        <f aca="false">IF($B24="","",ROUND(M$5*$C24,Paramètres!$F$31))</f>
        <v>0</v>
      </c>
      <c r="N24" s="20" t="n">
        <f aca="false">IF($B24="","",ROUND(N$5*$C24,Paramètres!$F$32))</f>
        <v>0.011</v>
      </c>
      <c r="O24" s="20" t="n">
        <f aca="false">IF($B24="","",ROUND(O$5*$C24,Paramètres!$F$33))</f>
        <v>0</v>
      </c>
      <c r="P24" s="20" t="n">
        <f aca="false">IF($B24="","",ROUND(P$5*$C24,Paramètres!$F$34))</f>
        <v>0</v>
      </c>
      <c r="Q24" s="20" t="n">
        <f aca="false">IF($B24="","",ROUND(Q$5*$C24,Paramètres!$F$35))</f>
        <v>0</v>
      </c>
      <c r="R24" s="19" t="n">
        <f aca="false" t="array" ref="R24:R24">IF(OR($B24="",$A24=0),"",INDEX(Amélioration!$B$6:$H$104,$A24,Calculateur!$B$10))</f>
        <v>195</v>
      </c>
      <c r="S24" s="19" t="n">
        <f aca="false" t="array" ref="S24:S24">IF($B24="","",IF($A24=0,0,INDEX(Amélioration!$J$6:$P$104,$A24,Calculateur!$B$10)))</f>
        <v>1655</v>
      </c>
    </row>
    <row r="25" customFormat="false" ht="15.75" hidden="false" customHeight="true" outlineLevel="0" collapsed="false">
      <c r="A25" s="18" t="n">
        <v>19</v>
      </c>
      <c r="B25" s="16" t="n">
        <f aca="false">IF($A25&gt;Calculateur!$B$15,"",Calculateur!$B$14+$A25)</f>
        <v>34</v>
      </c>
      <c r="C25" s="36" t="n">
        <f aca="false">IF($B25="","",Paramètres!$B$16+(1-Paramètres!$B$16)*(($B25-Paramètres!$B$14)/(Paramètres!$B$15-Paramètres!$B$14))^Paramètres!$B$17)</f>
        <v>0.304201494557406</v>
      </c>
      <c r="D25" s="19" t="n">
        <f aca="false">IF($B25="","",ROUND(D$5*$C25,Paramètres!$F$22))</f>
        <v>0</v>
      </c>
      <c r="E25" s="19" t="n">
        <f aca="false">IF($B25="","",ROUND(E$5*$C25,Paramètres!$F$23))</f>
        <v>26</v>
      </c>
      <c r="F25" s="19" t="n">
        <f aca="false">IF($B25="","",ROUND(F$5*$C25,Paramètres!$F$24))</f>
        <v>0</v>
      </c>
      <c r="G25" s="19" t="n">
        <f aca="false">IF($B25="","",ROUND(G$5*$C25,Paramètres!$F$25))</f>
        <v>0</v>
      </c>
      <c r="H25" s="19" t="n">
        <f aca="false">IF($B25="","",ROUND(H$5*$C25,Paramètres!$F$26))</f>
        <v>0</v>
      </c>
      <c r="I25" s="19" t="n">
        <f aca="false">IF($B25="","",ROUND(I$5*$C25,Paramètres!$F$27))</f>
        <v>0</v>
      </c>
      <c r="J25" s="20" t="n">
        <f aca="false">IF($B25="","",ROUND(J$5*$C25,Paramètres!$F$28))</f>
        <v>0.013</v>
      </c>
      <c r="K25" s="20" t="n">
        <f aca="false">IF($B25="","",ROUND(K$5*$C25,Paramètres!$F$29))</f>
        <v>0.009</v>
      </c>
      <c r="L25" s="20" t="n">
        <f aca="false">IF($B25="","",ROUND(L$5*$C25,Paramètres!$F$30))</f>
        <v>0.024</v>
      </c>
      <c r="M25" s="19" t="n">
        <f aca="false">IF($B25="","",ROUND(M$5*$C25,Paramètres!$F$31))</f>
        <v>0</v>
      </c>
      <c r="N25" s="20" t="n">
        <f aca="false">IF($B25="","",ROUND(N$5*$C25,Paramètres!$F$32))</f>
        <v>0.011</v>
      </c>
      <c r="O25" s="20" t="n">
        <f aca="false">IF($B25="","",ROUND(O$5*$C25,Paramètres!$F$33))</f>
        <v>0</v>
      </c>
      <c r="P25" s="20" t="n">
        <f aca="false">IF($B25="","",ROUND(P$5*$C25,Paramètres!$F$34))</f>
        <v>0</v>
      </c>
      <c r="Q25" s="20" t="n">
        <f aca="false">IF($B25="","",ROUND(Q$5*$C25,Paramètres!$F$35))</f>
        <v>0</v>
      </c>
      <c r="R25" s="19" t="n">
        <f aca="false" t="array" ref="R25:R25">IF(OR($B25="",$A25=0),"",INDEX(Amélioration!$B$6:$H$104,$A25,Calculateur!$B$10))</f>
        <v>208</v>
      </c>
      <c r="S25" s="19" t="n">
        <f aca="false" t="array" ref="S25:S25">IF($B25="","",IF($A25=0,0,INDEX(Amélioration!$J$6:$P$104,$A25,Calculateur!$B$10)))</f>
        <v>1863</v>
      </c>
    </row>
    <row r="26" customFormat="false" ht="15.75" hidden="false" customHeight="true" outlineLevel="0" collapsed="false">
      <c r="A26" s="18" t="n">
        <v>20</v>
      </c>
      <c r="B26" s="16" t="n">
        <f aca="false">IF($A26&gt;Calculateur!$B$15,"",Calculateur!$B$14+$A26)</f>
        <v>35</v>
      </c>
      <c r="C26" s="36" t="n">
        <f aca="false">IF($B26="","",Paramètres!$B$16+(1-Paramètres!$B$16)*(($B26-Paramètres!$B$14)/(Paramètres!$B$15-Paramètres!$B$14))^Paramètres!$B$17)</f>
        <v>0.313472973134794</v>
      </c>
      <c r="D26" s="19" t="n">
        <f aca="false">IF($B26="","",ROUND(D$5*$C26,Paramètres!$F$22))</f>
        <v>0</v>
      </c>
      <c r="E26" s="19" t="n">
        <f aca="false">IF($B26="","",ROUND(E$5*$C26,Paramètres!$F$23))</f>
        <v>26</v>
      </c>
      <c r="F26" s="19" t="n">
        <f aca="false">IF($B26="","",ROUND(F$5*$C26,Paramètres!$F$24))</f>
        <v>0</v>
      </c>
      <c r="G26" s="19" t="n">
        <f aca="false">IF($B26="","",ROUND(G$5*$C26,Paramètres!$F$25))</f>
        <v>0</v>
      </c>
      <c r="H26" s="19" t="n">
        <f aca="false">IF($B26="","",ROUND(H$5*$C26,Paramètres!$F$26))</f>
        <v>0</v>
      </c>
      <c r="I26" s="19" t="n">
        <f aca="false">IF($B26="","",ROUND(I$5*$C26,Paramètres!$F$27))</f>
        <v>0</v>
      </c>
      <c r="J26" s="20" t="n">
        <f aca="false">IF($B26="","",ROUND(J$5*$C26,Paramètres!$F$28))</f>
        <v>0.013</v>
      </c>
      <c r="K26" s="20" t="n">
        <f aca="false">IF($B26="","",ROUND(K$5*$C26,Paramètres!$F$29))</f>
        <v>0.009</v>
      </c>
      <c r="L26" s="20" t="n">
        <f aca="false">IF($B26="","",ROUND(L$5*$C26,Paramètres!$F$30))</f>
        <v>0.025</v>
      </c>
      <c r="M26" s="19" t="n">
        <f aca="false">IF($B26="","",ROUND(M$5*$C26,Paramètres!$F$31))</f>
        <v>0</v>
      </c>
      <c r="N26" s="20" t="n">
        <f aca="false">IF($B26="","",ROUND(N$5*$C26,Paramètres!$F$32))</f>
        <v>0.012</v>
      </c>
      <c r="O26" s="20" t="n">
        <f aca="false">IF($B26="","",ROUND(O$5*$C26,Paramètres!$F$33))</f>
        <v>0</v>
      </c>
      <c r="P26" s="20" t="n">
        <f aca="false">IF($B26="","",ROUND(P$5*$C26,Paramètres!$F$34))</f>
        <v>0</v>
      </c>
      <c r="Q26" s="20" t="n">
        <f aca="false">IF($B26="","",ROUND(Q$5*$C26,Paramètres!$F$35))</f>
        <v>0</v>
      </c>
      <c r="R26" s="19" t="n">
        <f aca="false" t="array" ref="R26:R26">IF(OR($B26="",$A26=0),"",INDEX(Amélioration!$B$6:$H$104,$A26,Calculateur!$B$10))</f>
        <v>222</v>
      </c>
      <c r="S26" s="19" t="n">
        <f aca="false" t="array" ref="S26:S26">IF($B26="","",IF($A26=0,0,INDEX(Amélioration!$J$6:$P$104,$A26,Calculateur!$B$10)))</f>
        <v>2085</v>
      </c>
    </row>
    <row r="27" customFormat="false" ht="15.75" hidden="false" customHeight="true" outlineLevel="0" collapsed="false">
      <c r="A27" s="18" t="n">
        <v>21</v>
      </c>
      <c r="B27" s="16" t="str">
        <f aca="false">IF($A27&gt;Calculateur!$B$15,"",Calculateur!$B$14+$A27)</f>
        <v/>
      </c>
      <c r="C27" s="36" t="str">
        <f aca="false">IF($B27="","",Paramètres!$B$16+(1-Paramètres!$B$16)*(($B27-Paramètres!$B$14)/(Paramètres!$B$15-Paramètres!$B$14))^Paramètres!$B$17)</f>
        <v/>
      </c>
      <c r="D27" s="19" t="str">
        <f aca="false">IF($B27="","",ROUND(D$5*$C27,Paramètres!$F$22))</f>
        <v/>
      </c>
      <c r="E27" s="19" t="str">
        <f aca="false">IF($B27="","",ROUND(E$5*$C27,Paramètres!$F$23))</f>
        <v/>
      </c>
      <c r="F27" s="19" t="str">
        <f aca="false">IF($B27="","",ROUND(F$5*$C27,Paramètres!$F$24))</f>
        <v/>
      </c>
      <c r="G27" s="19" t="str">
        <f aca="false">IF($B27="","",ROUND(G$5*$C27,Paramètres!$F$25))</f>
        <v/>
      </c>
      <c r="H27" s="19" t="str">
        <f aca="false">IF($B27="","",ROUND(H$5*$C27,Paramètres!$F$26))</f>
        <v/>
      </c>
      <c r="I27" s="19" t="str">
        <f aca="false">IF($B27="","",ROUND(I$5*$C27,Paramètres!$F$27))</f>
        <v/>
      </c>
      <c r="J27" s="20" t="str">
        <f aca="false">IF($B27="","",ROUND(J$5*$C27,Paramètres!$F$28))</f>
        <v/>
      </c>
      <c r="K27" s="20" t="str">
        <f aca="false">IF($B27="","",ROUND(K$5*$C27,Paramètres!$F$29))</f>
        <v/>
      </c>
      <c r="L27" s="20" t="str">
        <f aca="false">IF($B27="","",ROUND(L$5*$C27,Paramètres!$F$30))</f>
        <v/>
      </c>
      <c r="M27" s="19" t="str">
        <f aca="false">IF($B27="","",ROUND(M$5*$C27,Paramètres!$F$31))</f>
        <v/>
      </c>
      <c r="N27" s="20" t="str">
        <f aca="false">IF($B27="","",ROUND(N$5*$C27,Paramètres!$F$32))</f>
        <v/>
      </c>
      <c r="O27" s="20" t="str">
        <f aca="false">IF($B27="","",ROUND(O$5*$C27,Paramètres!$F$33))</f>
        <v/>
      </c>
      <c r="P27" s="20" t="str">
        <f aca="false">IF($B27="","",ROUND(P$5*$C27,Paramètres!$F$34))</f>
        <v/>
      </c>
      <c r="Q27" s="20" t="str">
        <f aca="false">IF($B27="","",ROUND(Q$5*$C27,Paramètres!$F$35))</f>
        <v/>
      </c>
      <c r="R27" s="19" t="str">
        <f aca="false" t="array" ref="R27:R27">IF(OR($B27="",$A27=0),"",INDEX(Amélioration!$B$6:$H$104,$A27,Calculateur!$B$10))</f>
        <v/>
      </c>
      <c r="S27" s="19" t="str">
        <f aca="false" t="array" ref="S27:S27">IF($B27="","",IF($A27=0,0,INDEX(Amélioration!$J$6:$P$104,$A27,Calculateur!$B$10)))</f>
        <v/>
      </c>
    </row>
    <row r="28" customFormat="false" ht="15.75" hidden="false" customHeight="true" outlineLevel="0" collapsed="false">
      <c r="A28" s="18" t="n">
        <v>22</v>
      </c>
      <c r="B28" s="16" t="str">
        <f aca="false">IF($A28&gt;Calculateur!$B$15,"",Calculateur!$B$14+$A28)</f>
        <v/>
      </c>
      <c r="C28" s="36" t="str">
        <f aca="false">IF($B28="","",Paramètres!$B$16+(1-Paramètres!$B$16)*(($B28-Paramètres!$B$14)/(Paramètres!$B$15-Paramètres!$B$14))^Paramètres!$B$17)</f>
        <v/>
      </c>
      <c r="D28" s="19" t="str">
        <f aca="false">IF($B28="","",ROUND(D$5*$C28,Paramètres!$F$22))</f>
        <v/>
      </c>
      <c r="E28" s="19" t="str">
        <f aca="false">IF($B28="","",ROUND(E$5*$C28,Paramètres!$F$23))</f>
        <v/>
      </c>
      <c r="F28" s="19" t="str">
        <f aca="false">IF($B28="","",ROUND(F$5*$C28,Paramètres!$F$24))</f>
        <v/>
      </c>
      <c r="G28" s="19" t="str">
        <f aca="false">IF($B28="","",ROUND(G$5*$C28,Paramètres!$F$25))</f>
        <v/>
      </c>
      <c r="H28" s="19" t="str">
        <f aca="false">IF($B28="","",ROUND(H$5*$C28,Paramètres!$F$26))</f>
        <v/>
      </c>
      <c r="I28" s="19" t="str">
        <f aca="false">IF($B28="","",ROUND(I$5*$C28,Paramètres!$F$27))</f>
        <v/>
      </c>
      <c r="J28" s="20" t="str">
        <f aca="false">IF($B28="","",ROUND(J$5*$C28,Paramètres!$F$28))</f>
        <v/>
      </c>
      <c r="K28" s="20" t="str">
        <f aca="false">IF($B28="","",ROUND(K$5*$C28,Paramètres!$F$29))</f>
        <v/>
      </c>
      <c r="L28" s="20" t="str">
        <f aca="false">IF($B28="","",ROUND(L$5*$C28,Paramètres!$F$30))</f>
        <v/>
      </c>
      <c r="M28" s="19" t="str">
        <f aca="false">IF($B28="","",ROUND(M$5*$C28,Paramètres!$F$31))</f>
        <v/>
      </c>
      <c r="N28" s="20" t="str">
        <f aca="false">IF($B28="","",ROUND(N$5*$C28,Paramètres!$F$32))</f>
        <v/>
      </c>
      <c r="O28" s="20" t="str">
        <f aca="false">IF($B28="","",ROUND(O$5*$C28,Paramètres!$F$33))</f>
        <v/>
      </c>
      <c r="P28" s="20" t="str">
        <f aca="false">IF($B28="","",ROUND(P$5*$C28,Paramètres!$F$34))</f>
        <v/>
      </c>
      <c r="Q28" s="20" t="str">
        <f aca="false">IF($B28="","",ROUND(Q$5*$C28,Paramètres!$F$35))</f>
        <v/>
      </c>
      <c r="R28" s="19" t="str">
        <f aca="false" t="array" ref="R28:R28">IF(OR($B28="",$A28=0),"",INDEX(Amélioration!$B$6:$H$104,$A28,Calculateur!$B$10))</f>
        <v/>
      </c>
      <c r="S28" s="19" t="str">
        <f aca="false" t="array" ref="S28:S28">IF($B28="","",IF($A28=0,0,INDEX(Amélioration!$J$6:$P$104,$A28,Calculateur!$B$10)))</f>
        <v/>
      </c>
    </row>
    <row r="29" customFormat="false" ht="15.75" hidden="false" customHeight="true" outlineLevel="0" collapsed="false">
      <c r="A29" s="18" t="n">
        <v>23</v>
      </c>
      <c r="B29" s="16" t="str">
        <f aca="false">IF($A29&gt;Calculateur!$B$15,"",Calculateur!$B$14+$A29)</f>
        <v/>
      </c>
      <c r="C29" s="36" t="str">
        <f aca="false">IF($B29="","",Paramètres!$B$16+(1-Paramètres!$B$16)*(($B29-Paramètres!$B$14)/(Paramètres!$B$15-Paramètres!$B$14))^Paramètres!$B$17)</f>
        <v/>
      </c>
      <c r="D29" s="19" t="str">
        <f aca="false">IF($B29="","",ROUND(D$5*$C29,Paramètres!$F$22))</f>
        <v/>
      </c>
      <c r="E29" s="19" t="str">
        <f aca="false">IF($B29="","",ROUND(E$5*$C29,Paramètres!$F$23))</f>
        <v/>
      </c>
      <c r="F29" s="19" t="str">
        <f aca="false">IF($B29="","",ROUND(F$5*$C29,Paramètres!$F$24))</f>
        <v/>
      </c>
      <c r="G29" s="19" t="str">
        <f aca="false">IF($B29="","",ROUND(G$5*$C29,Paramètres!$F$25))</f>
        <v/>
      </c>
      <c r="H29" s="19" t="str">
        <f aca="false">IF($B29="","",ROUND(H$5*$C29,Paramètres!$F$26))</f>
        <v/>
      </c>
      <c r="I29" s="19" t="str">
        <f aca="false">IF($B29="","",ROUND(I$5*$C29,Paramètres!$F$27))</f>
        <v/>
      </c>
      <c r="J29" s="20" t="str">
        <f aca="false">IF($B29="","",ROUND(J$5*$C29,Paramètres!$F$28))</f>
        <v/>
      </c>
      <c r="K29" s="20" t="str">
        <f aca="false">IF($B29="","",ROUND(K$5*$C29,Paramètres!$F$29))</f>
        <v/>
      </c>
      <c r="L29" s="20" t="str">
        <f aca="false">IF($B29="","",ROUND(L$5*$C29,Paramètres!$F$30))</f>
        <v/>
      </c>
      <c r="M29" s="19" t="str">
        <f aca="false">IF($B29="","",ROUND(M$5*$C29,Paramètres!$F$31))</f>
        <v/>
      </c>
      <c r="N29" s="20" t="str">
        <f aca="false">IF($B29="","",ROUND(N$5*$C29,Paramètres!$F$32))</f>
        <v/>
      </c>
      <c r="O29" s="20" t="str">
        <f aca="false">IF($B29="","",ROUND(O$5*$C29,Paramètres!$F$33))</f>
        <v/>
      </c>
      <c r="P29" s="20" t="str">
        <f aca="false">IF($B29="","",ROUND(P$5*$C29,Paramètres!$F$34))</f>
        <v/>
      </c>
      <c r="Q29" s="20" t="str">
        <f aca="false">IF($B29="","",ROUND(Q$5*$C29,Paramètres!$F$35))</f>
        <v/>
      </c>
      <c r="R29" s="19" t="str">
        <f aca="false" t="array" ref="R29:R29">IF(OR($B29="",$A29=0),"",INDEX(Amélioration!$B$6:$H$104,$A29,Calculateur!$B$10))</f>
        <v/>
      </c>
      <c r="S29" s="19" t="str">
        <f aca="false" t="array" ref="S29:S29">IF($B29="","",IF($A29=0,0,INDEX(Amélioration!$J$6:$P$104,$A29,Calculateur!$B$10)))</f>
        <v/>
      </c>
    </row>
    <row r="30" customFormat="false" ht="15.75" hidden="false" customHeight="true" outlineLevel="0" collapsed="false">
      <c r="A30" s="18" t="n">
        <v>24</v>
      </c>
      <c r="B30" s="16" t="str">
        <f aca="false">IF($A30&gt;Calculateur!$B$15,"",Calculateur!$B$14+$A30)</f>
        <v/>
      </c>
      <c r="C30" s="36" t="str">
        <f aca="false">IF($B30="","",Paramètres!$B$16+(1-Paramètres!$B$16)*(($B30-Paramètres!$B$14)/(Paramètres!$B$15-Paramètres!$B$14))^Paramètres!$B$17)</f>
        <v/>
      </c>
      <c r="D30" s="19" t="str">
        <f aca="false">IF($B30="","",ROUND(D$5*$C30,Paramètres!$F$22))</f>
        <v/>
      </c>
      <c r="E30" s="19" t="str">
        <f aca="false">IF($B30="","",ROUND(E$5*$C30,Paramètres!$F$23))</f>
        <v/>
      </c>
      <c r="F30" s="19" t="str">
        <f aca="false">IF($B30="","",ROUND(F$5*$C30,Paramètres!$F$24))</f>
        <v/>
      </c>
      <c r="G30" s="19" t="str">
        <f aca="false">IF($B30="","",ROUND(G$5*$C30,Paramètres!$F$25))</f>
        <v/>
      </c>
      <c r="H30" s="19" t="str">
        <f aca="false">IF($B30="","",ROUND(H$5*$C30,Paramètres!$F$26))</f>
        <v/>
      </c>
      <c r="I30" s="19" t="str">
        <f aca="false">IF($B30="","",ROUND(I$5*$C30,Paramètres!$F$27))</f>
        <v/>
      </c>
      <c r="J30" s="20" t="str">
        <f aca="false">IF($B30="","",ROUND(J$5*$C30,Paramètres!$F$28))</f>
        <v/>
      </c>
      <c r="K30" s="20" t="str">
        <f aca="false">IF($B30="","",ROUND(K$5*$C30,Paramètres!$F$29))</f>
        <v/>
      </c>
      <c r="L30" s="20" t="str">
        <f aca="false">IF($B30="","",ROUND(L$5*$C30,Paramètres!$F$30))</f>
        <v/>
      </c>
      <c r="M30" s="19" t="str">
        <f aca="false">IF($B30="","",ROUND(M$5*$C30,Paramètres!$F$31))</f>
        <v/>
      </c>
      <c r="N30" s="20" t="str">
        <f aca="false">IF($B30="","",ROUND(N$5*$C30,Paramètres!$F$32))</f>
        <v/>
      </c>
      <c r="O30" s="20" t="str">
        <f aca="false">IF($B30="","",ROUND(O$5*$C30,Paramètres!$F$33))</f>
        <v/>
      </c>
      <c r="P30" s="20" t="str">
        <f aca="false">IF($B30="","",ROUND(P$5*$C30,Paramètres!$F$34))</f>
        <v/>
      </c>
      <c r="Q30" s="20" t="str">
        <f aca="false">IF($B30="","",ROUND(Q$5*$C30,Paramètres!$F$35))</f>
        <v/>
      </c>
      <c r="R30" s="19" t="str">
        <f aca="false" t="array" ref="R30:R30">IF(OR($B30="",$A30=0),"",INDEX(Amélioration!$B$6:$H$104,$A30,Calculateur!$B$10))</f>
        <v/>
      </c>
      <c r="S30" s="19" t="str">
        <f aca="false" t="array" ref="S30:S30">IF($B30="","",IF($A30=0,0,INDEX(Amélioration!$J$6:$P$104,$A30,Calculateur!$B$10)))</f>
        <v/>
      </c>
    </row>
    <row r="31" customFormat="false" ht="15.75" hidden="false" customHeight="true" outlineLevel="0" collapsed="false">
      <c r="A31" s="18" t="n">
        <v>25</v>
      </c>
      <c r="B31" s="16" t="str">
        <f aca="false">IF($A31&gt;Calculateur!$B$15,"",Calculateur!$B$14+$A31)</f>
        <v/>
      </c>
      <c r="C31" s="36" t="str">
        <f aca="false">IF($B31="","",Paramètres!$B$16+(1-Paramètres!$B$16)*(($B31-Paramètres!$B$14)/(Paramètres!$B$15-Paramètres!$B$14))^Paramètres!$B$17)</f>
        <v/>
      </c>
      <c r="D31" s="19" t="str">
        <f aca="false">IF($B31="","",ROUND(D$5*$C31,Paramètres!$F$22))</f>
        <v/>
      </c>
      <c r="E31" s="19" t="str">
        <f aca="false">IF($B31="","",ROUND(E$5*$C31,Paramètres!$F$23))</f>
        <v/>
      </c>
      <c r="F31" s="19" t="str">
        <f aca="false">IF($B31="","",ROUND(F$5*$C31,Paramètres!$F$24))</f>
        <v/>
      </c>
      <c r="G31" s="19" t="str">
        <f aca="false">IF($B31="","",ROUND(G$5*$C31,Paramètres!$F$25))</f>
        <v/>
      </c>
      <c r="H31" s="19" t="str">
        <f aca="false">IF($B31="","",ROUND(H$5*$C31,Paramètres!$F$26))</f>
        <v/>
      </c>
      <c r="I31" s="19" t="str">
        <f aca="false">IF($B31="","",ROUND(I$5*$C31,Paramètres!$F$27))</f>
        <v/>
      </c>
      <c r="J31" s="20" t="str">
        <f aca="false">IF($B31="","",ROUND(J$5*$C31,Paramètres!$F$28))</f>
        <v/>
      </c>
      <c r="K31" s="20" t="str">
        <f aca="false">IF($B31="","",ROUND(K$5*$C31,Paramètres!$F$29))</f>
        <v/>
      </c>
      <c r="L31" s="20" t="str">
        <f aca="false">IF($B31="","",ROUND(L$5*$C31,Paramètres!$F$30))</f>
        <v/>
      </c>
      <c r="M31" s="19" t="str">
        <f aca="false">IF($B31="","",ROUND(M$5*$C31,Paramètres!$F$31))</f>
        <v/>
      </c>
      <c r="N31" s="20" t="str">
        <f aca="false">IF($B31="","",ROUND(N$5*$C31,Paramètres!$F$32))</f>
        <v/>
      </c>
      <c r="O31" s="20" t="str">
        <f aca="false">IF($B31="","",ROUND(O$5*$C31,Paramètres!$F$33))</f>
        <v/>
      </c>
      <c r="P31" s="20" t="str">
        <f aca="false">IF($B31="","",ROUND(P$5*$C31,Paramètres!$F$34))</f>
        <v/>
      </c>
      <c r="Q31" s="20" t="str">
        <f aca="false">IF($B31="","",ROUND(Q$5*$C31,Paramètres!$F$35))</f>
        <v/>
      </c>
      <c r="R31" s="19" t="str">
        <f aca="false" t="array" ref="R31:R31">IF(OR($B31="",$A31=0),"",INDEX(Amélioration!$B$6:$H$104,$A31,Calculateur!$B$10))</f>
        <v/>
      </c>
      <c r="S31" s="19" t="str">
        <f aca="false" t="array" ref="S31:S31">IF($B31="","",IF($A31=0,0,INDEX(Amélioration!$J$6:$P$104,$A31,Calculateur!$B$10)))</f>
        <v/>
      </c>
    </row>
    <row r="32" customFormat="false" ht="15.75" hidden="false" customHeight="true" outlineLevel="0" collapsed="false">
      <c r="A32" s="18" t="n">
        <v>26</v>
      </c>
      <c r="B32" s="16" t="str">
        <f aca="false">IF($A32&gt;Calculateur!$B$15,"",Calculateur!$B$14+$A32)</f>
        <v/>
      </c>
      <c r="C32" s="36" t="str">
        <f aca="false">IF($B32="","",Paramètres!$B$16+(1-Paramètres!$B$16)*(($B32-Paramètres!$B$14)/(Paramètres!$B$15-Paramètres!$B$14))^Paramètres!$B$17)</f>
        <v/>
      </c>
      <c r="D32" s="19" t="str">
        <f aca="false">IF($B32="","",ROUND(D$5*$C32,Paramètres!$F$22))</f>
        <v/>
      </c>
      <c r="E32" s="19" t="str">
        <f aca="false">IF($B32="","",ROUND(E$5*$C32,Paramètres!$F$23))</f>
        <v/>
      </c>
      <c r="F32" s="19" t="str">
        <f aca="false">IF($B32="","",ROUND(F$5*$C32,Paramètres!$F$24))</f>
        <v/>
      </c>
      <c r="G32" s="19" t="str">
        <f aca="false">IF($B32="","",ROUND(G$5*$C32,Paramètres!$F$25))</f>
        <v/>
      </c>
      <c r="H32" s="19" t="str">
        <f aca="false">IF($B32="","",ROUND(H$5*$C32,Paramètres!$F$26))</f>
        <v/>
      </c>
      <c r="I32" s="19" t="str">
        <f aca="false">IF($B32="","",ROUND(I$5*$C32,Paramètres!$F$27))</f>
        <v/>
      </c>
      <c r="J32" s="20" t="str">
        <f aca="false">IF($B32="","",ROUND(J$5*$C32,Paramètres!$F$28))</f>
        <v/>
      </c>
      <c r="K32" s="20" t="str">
        <f aca="false">IF($B32="","",ROUND(K$5*$C32,Paramètres!$F$29))</f>
        <v/>
      </c>
      <c r="L32" s="20" t="str">
        <f aca="false">IF($B32="","",ROUND(L$5*$C32,Paramètres!$F$30))</f>
        <v/>
      </c>
      <c r="M32" s="19" t="str">
        <f aca="false">IF($B32="","",ROUND(M$5*$C32,Paramètres!$F$31))</f>
        <v/>
      </c>
      <c r="N32" s="20" t="str">
        <f aca="false">IF($B32="","",ROUND(N$5*$C32,Paramètres!$F$32))</f>
        <v/>
      </c>
      <c r="O32" s="20" t="str">
        <f aca="false">IF($B32="","",ROUND(O$5*$C32,Paramètres!$F$33))</f>
        <v/>
      </c>
      <c r="P32" s="20" t="str">
        <f aca="false">IF($B32="","",ROUND(P$5*$C32,Paramètres!$F$34))</f>
        <v/>
      </c>
      <c r="Q32" s="20" t="str">
        <f aca="false">IF($B32="","",ROUND(Q$5*$C32,Paramètres!$F$35))</f>
        <v/>
      </c>
      <c r="R32" s="19" t="str">
        <f aca="false" t="array" ref="R32:R32">IF(OR($B32="",$A32=0),"",INDEX(Amélioration!$B$6:$H$104,$A32,Calculateur!$B$10))</f>
        <v/>
      </c>
      <c r="S32" s="19" t="str">
        <f aca="false" t="array" ref="S32:S32">IF($B32="","",IF($A32=0,0,INDEX(Amélioration!$J$6:$P$104,$A32,Calculateur!$B$10)))</f>
        <v/>
      </c>
    </row>
    <row r="33" customFormat="false" ht="15.75" hidden="false" customHeight="true" outlineLevel="0" collapsed="false">
      <c r="A33" s="18" t="n">
        <v>27</v>
      </c>
      <c r="B33" s="16" t="str">
        <f aca="false">IF($A33&gt;Calculateur!$B$15,"",Calculateur!$B$14+$A33)</f>
        <v/>
      </c>
      <c r="C33" s="36" t="str">
        <f aca="false">IF($B33="","",Paramètres!$B$16+(1-Paramètres!$B$16)*(($B33-Paramètres!$B$14)/(Paramètres!$B$15-Paramètres!$B$14))^Paramètres!$B$17)</f>
        <v/>
      </c>
      <c r="D33" s="19" t="str">
        <f aca="false">IF($B33="","",ROUND(D$5*$C33,Paramètres!$F$22))</f>
        <v/>
      </c>
      <c r="E33" s="19" t="str">
        <f aca="false">IF($B33="","",ROUND(E$5*$C33,Paramètres!$F$23))</f>
        <v/>
      </c>
      <c r="F33" s="19" t="str">
        <f aca="false">IF($B33="","",ROUND(F$5*$C33,Paramètres!$F$24))</f>
        <v/>
      </c>
      <c r="G33" s="19" t="str">
        <f aca="false">IF($B33="","",ROUND(G$5*$C33,Paramètres!$F$25))</f>
        <v/>
      </c>
      <c r="H33" s="19" t="str">
        <f aca="false">IF($B33="","",ROUND(H$5*$C33,Paramètres!$F$26))</f>
        <v/>
      </c>
      <c r="I33" s="19" t="str">
        <f aca="false">IF($B33="","",ROUND(I$5*$C33,Paramètres!$F$27))</f>
        <v/>
      </c>
      <c r="J33" s="20" t="str">
        <f aca="false">IF($B33="","",ROUND(J$5*$C33,Paramètres!$F$28))</f>
        <v/>
      </c>
      <c r="K33" s="20" t="str">
        <f aca="false">IF($B33="","",ROUND(K$5*$C33,Paramètres!$F$29))</f>
        <v/>
      </c>
      <c r="L33" s="20" t="str">
        <f aca="false">IF($B33="","",ROUND(L$5*$C33,Paramètres!$F$30))</f>
        <v/>
      </c>
      <c r="M33" s="19" t="str">
        <f aca="false">IF($B33="","",ROUND(M$5*$C33,Paramètres!$F$31))</f>
        <v/>
      </c>
      <c r="N33" s="20" t="str">
        <f aca="false">IF($B33="","",ROUND(N$5*$C33,Paramètres!$F$32))</f>
        <v/>
      </c>
      <c r="O33" s="20" t="str">
        <f aca="false">IF($B33="","",ROUND(O$5*$C33,Paramètres!$F$33))</f>
        <v/>
      </c>
      <c r="P33" s="20" t="str">
        <f aca="false">IF($B33="","",ROUND(P$5*$C33,Paramètres!$F$34))</f>
        <v/>
      </c>
      <c r="Q33" s="20" t="str">
        <f aca="false">IF($B33="","",ROUND(Q$5*$C33,Paramètres!$F$35))</f>
        <v/>
      </c>
      <c r="R33" s="19" t="str">
        <f aca="false" t="array" ref="R33:R33">IF(OR($B33="",$A33=0),"",INDEX(Amélioration!$B$6:$H$104,$A33,Calculateur!$B$10))</f>
        <v/>
      </c>
      <c r="S33" s="19" t="str">
        <f aca="false" t="array" ref="S33:S33">IF($B33="","",IF($A33=0,0,INDEX(Amélioration!$J$6:$P$104,$A33,Calculateur!$B$10)))</f>
        <v/>
      </c>
    </row>
    <row r="34" customFormat="false" ht="15.75" hidden="false" customHeight="true" outlineLevel="0" collapsed="false">
      <c r="A34" s="18" t="n">
        <v>28</v>
      </c>
      <c r="B34" s="16" t="str">
        <f aca="false">IF($A34&gt;Calculateur!$B$15,"",Calculateur!$B$14+$A34)</f>
        <v/>
      </c>
      <c r="C34" s="36" t="str">
        <f aca="false">IF($B34="","",Paramètres!$B$16+(1-Paramètres!$B$16)*(($B34-Paramètres!$B$14)/(Paramètres!$B$15-Paramètres!$B$14))^Paramètres!$B$17)</f>
        <v/>
      </c>
      <c r="D34" s="19" t="str">
        <f aca="false">IF($B34="","",ROUND(D$5*$C34,Paramètres!$F$22))</f>
        <v/>
      </c>
      <c r="E34" s="19" t="str">
        <f aca="false">IF($B34="","",ROUND(E$5*$C34,Paramètres!$F$23))</f>
        <v/>
      </c>
      <c r="F34" s="19" t="str">
        <f aca="false">IF($B34="","",ROUND(F$5*$C34,Paramètres!$F$24))</f>
        <v/>
      </c>
      <c r="G34" s="19" t="str">
        <f aca="false">IF($B34="","",ROUND(G$5*$C34,Paramètres!$F$25))</f>
        <v/>
      </c>
      <c r="H34" s="19" t="str">
        <f aca="false">IF($B34="","",ROUND(H$5*$C34,Paramètres!$F$26))</f>
        <v/>
      </c>
      <c r="I34" s="19" t="str">
        <f aca="false">IF($B34="","",ROUND(I$5*$C34,Paramètres!$F$27))</f>
        <v/>
      </c>
      <c r="J34" s="20" t="str">
        <f aca="false">IF($B34="","",ROUND(J$5*$C34,Paramètres!$F$28))</f>
        <v/>
      </c>
      <c r="K34" s="20" t="str">
        <f aca="false">IF($B34="","",ROUND(K$5*$C34,Paramètres!$F$29))</f>
        <v/>
      </c>
      <c r="L34" s="20" t="str">
        <f aca="false">IF($B34="","",ROUND(L$5*$C34,Paramètres!$F$30))</f>
        <v/>
      </c>
      <c r="M34" s="19" t="str">
        <f aca="false">IF($B34="","",ROUND(M$5*$C34,Paramètres!$F$31))</f>
        <v/>
      </c>
      <c r="N34" s="20" t="str">
        <f aca="false">IF($B34="","",ROUND(N$5*$C34,Paramètres!$F$32))</f>
        <v/>
      </c>
      <c r="O34" s="20" t="str">
        <f aca="false">IF($B34="","",ROUND(O$5*$C34,Paramètres!$F$33))</f>
        <v/>
      </c>
      <c r="P34" s="20" t="str">
        <f aca="false">IF($B34="","",ROUND(P$5*$C34,Paramètres!$F$34))</f>
        <v/>
      </c>
      <c r="Q34" s="20" t="str">
        <f aca="false">IF($B34="","",ROUND(Q$5*$C34,Paramètres!$F$35))</f>
        <v/>
      </c>
      <c r="R34" s="19" t="str">
        <f aca="false" t="array" ref="R34:R34">IF(OR($B34="",$A34=0),"",INDEX(Amélioration!$B$6:$H$104,$A34,Calculateur!$B$10))</f>
        <v/>
      </c>
      <c r="S34" s="19" t="str">
        <f aca="false" t="array" ref="S34:S34">IF($B34="","",IF($A34=0,0,INDEX(Amélioration!$J$6:$P$104,$A34,Calculateur!$B$10)))</f>
        <v/>
      </c>
    </row>
    <row r="35" customFormat="false" ht="15.75" hidden="false" customHeight="true" outlineLevel="0" collapsed="false">
      <c r="A35" s="18" t="n">
        <v>29</v>
      </c>
      <c r="B35" s="16" t="str">
        <f aca="false">IF($A35&gt;Calculateur!$B$15,"",Calculateur!$B$14+$A35)</f>
        <v/>
      </c>
      <c r="C35" s="36" t="str">
        <f aca="false">IF($B35="","",Paramètres!$B$16+(1-Paramètres!$B$16)*(($B35-Paramètres!$B$14)/(Paramètres!$B$15-Paramètres!$B$14))^Paramètres!$B$17)</f>
        <v/>
      </c>
      <c r="D35" s="19" t="str">
        <f aca="false">IF($B35="","",ROUND(D$5*$C35,Paramètres!$F$22))</f>
        <v/>
      </c>
      <c r="E35" s="19" t="str">
        <f aca="false">IF($B35="","",ROUND(E$5*$C35,Paramètres!$F$23))</f>
        <v/>
      </c>
      <c r="F35" s="19" t="str">
        <f aca="false">IF($B35="","",ROUND(F$5*$C35,Paramètres!$F$24))</f>
        <v/>
      </c>
      <c r="G35" s="19" t="str">
        <f aca="false">IF($B35="","",ROUND(G$5*$C35,Paramètres!$F$25))</f>
        <v/>
      </c>
      <c r="H35" s="19" t="str">
        <f aca="false">IF($B35="","",ROUND(H$5*$C35,Paramètres!$F$26))</f>
        <v/>
      </c>
      <c r="I35" s="19" t="str">
        <f aca="false">IF($B35="","",ROUND(I$5*$C35,Paramètres!$F$27))</f>
        <v/>
      </c>
      <c r="J35" s="20" t="str">
        <f aca="false">IF($B35="","",ROUND(J$5*$C35,Paramètres!$F$28))</f>
        <v/>
      </c>
      <c r="K35" s="20" t="str">
        <f aca="false">IF($B35="","",ROUND(K$5*$C35,Paramètres!$F$29))</f>
        <v/>
      </c>
      <c r="L35" s="20" t="str">
        <f aca="false">IF($B35="","",ROUND(L$5*$C35,Paramètres!$F$30))</f>
        <v/>
      </c>
      <c r="M35" s="19" t="str">
        <f aca="false">IF($B35="","",ROUND(M$5*$C35,Paramètres!$F$31))</f>
        <v/>
      </c>
      <c r="N35" s="20" t="str">
        <f aca="false">IF($B35="","",ROUND(N$5*$C35,Paramètres!$F$32))</f>
        <v/>
      </c>
      <c r="O35" s="20" t="str">
        <f aca="false">IF($B35="","",ROUND(O$5*$C35,Paramètres!$F$33))</f>
        <v/>
      </c>
      <c r="P35" s="20" t="str">
        <f aca="false">IF($B35="","",ROUND(P$5*$C35,Paramètres!$F$34))</f>
        <v/>
      </c>
      <c r="Q35" s="20" t="str">
        <f aca="false">IF($B35="","",ROUND(Q$5*$C35,Paramètres!$F$35))</f>
        <v/>
      </c>
      <c r="R35" s="19" t="str">
        <f aca="false" t="array" ref="R35:R35">IF(OR($B35="",$A35=0),"",INDEX(Amélioration!$B$6:$H$104,$A35,Calculateur!$B$10))</f>
        <v/>
      </c>
      <c r="S35" s="19" t="str">
        <f aca="false" t="array" ref="S35:S35">IF($B35="","",IF($A35=0,0,INDEX(Amélioration!$J$6:$P$104,$A35,Calculateur!$B$10)))</f>
        <v/>
      </c>
    </row>
    <row r="36" customFormat="false" ht="15.75" hidden="false" customHeight="true" outlineLevel="0" collapsed="false">
      <c r="A36" s="18" t="n">
        <v>30</v>
      </c>
      <c r="B36" s="16" t="str">
        <f aca="false">IF($A36&gt;Calculateur!$B$15,"",Calculateur!$B$14+$A36)</f>
        <v/>
      </c>
      <c r="C36" s="36" t="str">
        <f aca="false">IF($B36="","",Paramètres!$B$16+(1-Paramètres!$B$16)*(($B36-Paramètres!$B$14)/(Paramètres!$B$15-Paramètres!$B$14))^Paramètres!$B$17)</f>
        <v/>
      </c>
      <c r="D36" s="19" t="str">
        <f aca="false">IF($B36="","",ROUND(D$5*$C36,Paramètres!$F$22))</f>
        <v/>
      </c>
      <c r="E36" s="19" t="str">
        <f aca="false">IF($B36="","",ROUND(E$5*$C36,Paramètres!$F$23))</f>
        <v/>
      </c>
      <c r="F36" s="19" t="str">
        <f aca="false">IF($B36="","",ROUND(F$5*$C36,Paramètres!$F$24))</f>
        <v/>
      </c>
      <c r="G36" s="19" t="str">
        <f aca="false">IF($B36="","",ROUND(G$5*$C36,Paramètres!$F$25))</f>
        <v/>
      </c>
      <c r="H36" s="19" t="str">
        <f aca="false">IF($B36="","",ROUND(H$5*$C36,Paramètres!$F$26))</f>
        <v/>
      </c>
      <c r="I36" s="19" t="str">
        <f aca="false">IF($B36="","",ROUND(I$5*$C36,Paramètres!$F$27))</f>
        <v/>
      </c>
      <c r="J36" s="20" t="str">
        <f aca="false">IF($B36="","",ROUND(J$5*$C36,Paramètres!$F$28))</f>
        <v/>
      </c>
      <c r="K36" s="20" t="str">
        <f aca="false">IF($B36="","",ROUND(K$5*$C36,Paramètres!$F$29))</f>
        <v/>
      </c>
      <c r="L36" s="20" t="str">
        <f aca="false">IF($B36="","",ROUND(L$5*$C36,Paramètres!$F$30))</f>
        <v/>
      </c>
      <c r="M36" s="19" t="str">
        <f aca="false">IF($B36="","",ROUND(M$5*$C36,Paramètres!$F$31))</f>
        <v/>
      </c>
      <c r="N36" s="20" t="str">
        <f aca="false">IF($B36="","",ROUND(N$5*$C36,Paramètres!$F$32))</f>
        <v/>
      </c>
      <c r="O36" s="20" t="str">
        <f aca="false">IF($B36="","",ROUND(O$5*$C36,Paramètres!$F$33))</f>
        <v/>
      </c>
      <c r="P36" s="20" t="str">
        <f aca="false">IF($B36="","",ROUND(P$5*$C36,Paramètres!$F$34))</f>
        <v/>
      </c>
      <c r="Q36" s="20" t="str">
        <f aca="false">IF($B36="","",ROUND(Q$5*$C36,Paramètres!$F$35))</f>
        <v/>
      </c>
      <c r="R36" s="19" t="str">
        <f aca="false" t="array" ref="R36:R36">IF(OR($B36="",$A36=0),"",INDEX(Amélioration!$B$6:$H$104,$A36,Calculateur!$B$10))</f>
        <v/>
      </c>
      <c r="S36" s="19" t="str">
        <f aca="false" t="array" ref="S36:S36">IF($B36="","",IF($A36=0,0,INDEX(Amélioration!$J$6:$P$104,$A36,Calculateur!$B$10)))</f>
        <v/>
      </c>
    </row>
    <row r="37" customFormat="false" ht="15.75" hidden="false" customHeight="true" outlineLevel="0" collapsed="false">
      <c r="A37" s="18" t="n">
        <v>31</v>
      </c>
      <c r="B37" s="16" t="str">
        <f aca="false">IF($A37&gt;Calculateur!$B$15,"",Calculateur!$B$14+$A37)</f>
        <v/>
      </c>
      <c r="C37" s="36" t="str">
        <f aca="false">IF($B37="","",Paramètres!$B$16+(1-Paramètres!$B$16)*(($B37-Paramètres!$B$14)/(Paramètres!$B$15-Paramètres!$B$14))^Paramètres!$B$17)</f>
        <v/>
      </c>
      <c r="D37" s="19" t="str">
        <f aca="false">IF($B37="","",ROUND(D$5*$C37,Paramètres!$F$22))</f>
        <v/>
      </c>
      <c r="E37" s="19" t="str">
        <f aca="false">IF($B37="","",ROUND(E$5*$C37,Paramètres!$F$23))</f>
        <v/>
      </c>
      <c r="F37" s="19" t="str">
        <f aca="false">IF($B37="","",ROUND(F$5*$C37,Paramètres!$F$24))</f>
        <v/>
      </c>
      <c r="G37" s="19" t="str">
        <f aca="false">IF($B37="","",ROUND(G$5*$C37,Paramètres!$F$25))</f>
        <v/>
      </c>
      <c r="H37" s="19" t="str">
        <f aca="false">IF($B37="","",ROUND(H$5*$C37,Paramètres!$F$26))</f>
        <v/>
      </c>
      <c r="I37" s="19" t="str">
        <f aca="false">IF($B37="","",ROUND(I$5*$C37,Paramètres!$F$27))</f>
        <v/>
      </c>
      <c r="J37" s="20" t="str">
        <f aca="false">IF($B37="","",ROUND(J$5*$C37,Paramètres!$F$28))</f>
        <v/>
      </c>
      <c r="K37" s="20" t="str">
        <f aca="false">IF($B37="","",ROUND(K$5*$C37,Paramètres!$F$29))</f>
        <v/>
      </c>
      <c r="L37" s="20" t="str">
        <f aca="false">IF($B37="","",ROUND(L$5*$C37,Paramètres!$F$30))</f>
        <v/>
      </c>
      <c r="M37" s="19" t="str">
        <f aca="false">IF($B37="","",ROUND(M$5*$C37,Paramètres!$F$31))</f>
        <v/>
      </c>
      <c r="N37" s="20" t="str">
        <f aca="false">IF($B37="","",ROUND(N$5*$C37,Paramètres!$F$32))</f>
        <v/>
      </c>
      <c r="O37" s="20" t="str">
        <f aca="false">IF($B37="","",ROUND(O$5*$C37,Paramètres!$F$33))</f>
        <v/>
      </c>
      <c r="P37" s="20" t="str">
        <f aca="false">IF($B37="","",ROUND(P$5*$C37,Paramètres!$F$34))</f>
        <v/>
      </c>
      <c r="Q37" s="20" t="str">
        <f aca="false">IF($B37="","",ROUND(Q$5*$C37,Paramètres!$F$35))</f>
        <v/>
      </c>
      <c r="R37" s="19" t="str">
        <f aca="false" t="array" ref="R37:R37">IF(OR($B37="",$A37=0),"",INDEX(Amélioration!$B$6:$H$104,$A37,Calculateur!$B$10))</f>
        <v/>
      </c>
      <c r="S37" s="19" t="str">
        <f aca="false" t="array" ref="S37:S37">IF($B37="","",IF($A37=0,0,INDEX(Amélioration!$J$6:$P$104,$A37,Calculateur!$B$10)))</f>
        <v/>
      </c>
    </row>
    <row r="38" customFormat="false" ht="15.75" hidden="false" customHeight="true" outlineLevel="0" collapsed="false">
      <c r="A38" s="18" t="n">
        <v>32</v>
      </c>
      <c r="B38" s="16" t="str">
        <f aca="false">IF($A38&gt;Calculateur!$B$15,"",Calculateur!$B$14+$A38)</f>
        <v/>
      </c>
      <c r="C38" s="36" t="str">
        <f aca="false">IF($B38="","",Paramètres!$B$16+(1-Paramètres!$B$16)*(($B38-Paramètres!$B$14)/(Paramètres!$B$15-Paramètres!$B$14))^Paramètres!$B$17)</f>
        <v/>
      </c>
      <c r="D38" s="19" t="str">
        <f aca="false">IF($B38="","",ROUND(D$5*$C38,Paramètres!$F$22))</f>
        <v/>
      </c>
      <c r="E38" s="19" t="str">
        <f aca="false">IF($B38="","",ROUND(E$5*$C38,Paramètres!$F$23))</f>
        <v/>
      </c>
      <c r="F38" s="19" t="str">
        <f aca="false">IF($B38="","",ROUND(F$5*$C38,Paramètres!$F$24))</f>
        <v/>
      </c>
      <c r="G38" s="19" t="str">
        <f aca="false">IF($B38="","",ROUND(G$5*$C38,Paramètres!$F$25))</f>
        <v/>
      </c>
      <c r="H38" s="19" t="str">
        <f aca="false">IF($B38="","",ROUND(H$5*$C38,Paramètres!$F$26))</f>
        <v/>
      </c>
      <c r="I38" s="19" t="str">
        <f aca="false">IF($B38="","",ROUND(I$5*$C38,Paramètres!$F$27))</f>
        <v/>
      </c>
      <c r="J38" s="20" t="str">
        <f aca="false">IF($B38="","",ROUND(J$5*$C38,Paramètres!$F$28))</f>
        <v/>
      </c>
      <c r="K38" s="20" t="str">
        <f aca="false">IF($B38="","",ROUND(K$5*$C38,Paramètres!$F$29))</f>
        <v/>
      </c>
      <c r="L38" s="20" t="str">
        <f aca="false">IF($B38="","",ROUND(L$5*$C38,Paramètres!$F$30))</f>
        <v/>
      </c>
      <c r="M38" s="19" t="str">
        <f aca="false">IF($B38="","",ROUND(M$5*$C38,Paramètres!$F$31))</f>
        <v/>
      </c>
      <c r="N38" s="20" t="str">
        <f aca="false">IF($B38="","",ROUND(N$5*$C38,Paramètres!$F$32))</f>
        <v/>
      </c>
      <c r="O38" s="20" t="str">
        <f aca="false">IF($B38="","",ROUND(O$5*$C38,Paramètres!$F$33))</f>
        <v/>
      </c>
      <c r="P38" s="20" t="str">
        <f aca="false">IF($B38="","",ROUND(P$5*$C38,Paramètres!$F$34))</f>
        <v/>
      </c>
      <c r="Q38" s="20" t="str">
        <f aca="false">IF($B38="","",ROUND(Q$5*$C38,Paramètres!$F$35))</f>
        <v/>
      </c>
      <c r="R38" s="19" t="str">
        <f aca="false" t="array" ref="R38:R38">IF(OR($B38="",$A38=0),"",INDEX(Amélioration!$B$6:$H$104,$A38,Calculateur!$B$10))</f>
        <v/>
      </c>
      <c r="S38" s="19" t="str">
        <f aca="false" t="array" ref="S38:S38">IF($B38="","",IF($A38=0,0,INDEX(Amélioration!$J$6:$P$104,$A38,Calculateur!$B$10)))</f>
        <v/>
      </c>
    </row>
    <row r="39" customFormat="false" ht="15.75" hidden="false" customHeight="true" outlineLevel="0" collapsed="false">
      <c r="A39" s="18" t="n">
        <v>33</v>
      </c>
      <c r="B39" s="16" t="str">
        <f aca="false">IF($A39&gt;Calculateur!$B$15,"",Calculateur!$B$14+$A39)</f>
        <v/>
      </c>
      <c r="C39" s="36" t="str">
        <f aca="false">IF($B39="","",Paramètres!$B$16+(1-Paramètres!$B$16)*(($B39-Paramètres!$B$14)/(Paramètres!$B$15-Paramètres!$B$14))^Paramètres!$B$17)</f>
        <v/>
      </c>
      <c r="D39" s="19" t="str">
        <f aca="false">IF($B39="","",ROUND(D$5*$C39,Paramètres!$F$22))</f>
        <v/>
      </c>
      <c r="E39" s="19" t="str">
        <f aca="false">IF($B39="","",ROUND(E$5*$C39,Paramètres!$F$23))</f>
        <v/>
      </c>
      <c r="F39" s="19" t="str">
        <f aca="false">IF($B39="","",ROUND(F$5*$C39,Paramètres!$F$24))</f>
        <v/>
      </c>
      <c r="G39" s="19" t="str">
        <f aca="false">IF($B39="","",ROUND(G$5*$C39,Paramètres!$F$25))</f>
        <v/>
      </c>
      <c r="H39" s="19" t="str">
        <f aca="false">IF($B39="","",ROUND(H$5*$C39,Paramètres!$F$26))</f>
        <v/>
      </c>
      <c r="I39" s="19" t="str">
        <f aca="false">IF($B39="","",ROUND(I$5*$C39,Paramètres!$F$27))</f>
        <v/>
      </c>
      <c r="J39" s="20" t="str">
        <f aca="false">IF($B39="","",ROUND(J$5*$C39,Paramètres!$F$28))</f>
        <v/>
      </c>
      <c r="K39" s="20" t="str">
        <f aca="false">IF($B39="","",ROUND(K$5*$C39,Paramètres!$F$29))</f>
        <v/>
      </c>
      <c r="L39" s="20" t="str">
        <f aca="false">IF($B39="","",ROUND(L$5*$C39,Paramètres!$F$30))</f>
        <v/>
      </c>
      <c r="M39" s="19" t="str">
        <f aca="false">IF($B39="","",ROUND(M$5*$C39,Paramètres!$F$31))</f>
        <v/>
      </c>
      <c r="N39" s="20" t="str">
        <f aca="false">IF($B39="","",ROUND(N$5*$C39,Paramètres!$F$32))</f>
        <v/>
      </c>
      <c r="O39" s="20" t="str">
        <f aca="false">IF($B39="","",ROUND(O$5*$C39,Paramètres!$F$33))</f>
        <v/>
      </c>
      <c r="P39" s="20" t="str">
        <f aca="false">IF($B39="","",ROUND(P$5*$C39,Paramètres!$F$34))</f>
        <v/>
      </c>
      <c r="Q39" s="20" t="str">
        <f aca="false">IF($B39="","",ROUND(Q$5*$C39,Paramètres!$F$35))</f>
        <v/>
      </c>
      <c r="R39" s="19" t="str">
        <f aca="false" t="array" ref="R39:R39">IF(OR($B39="",$A39=0),"",INDEX(Amélioration!$B$6:$H$104,$A39,Calculateur!$B$10))</f>
        <v/>
      </c>
      <c r="S39" s="19" t="str">
        <f aca="false" t="array" ref="S39:S39">IF($B39="","",IF($A39=0,0,INDEX(Amélioration!$J$6:$P$104,$A39,Calculateur!$B$10)))</f>
        <v/>
      </c>
    </row>
    <row r="40" customFormat="false" ht="15.75" hidden="false" customHeight="true" outlineLevel="0" collapsed="false">
      <c r="A40" s="18" t="n">
        <v>34</v>
      </c>
      <c r="B40" s="16" t="str">
        <f aca="false">IF($A40&gt;Calculateur!$B$15,"",Calculateur!$B$14+$A40)</f>
        <v/>
      </c>
      <c r="C40" s="36" t="str">
        <f aca="false">IF($B40="","",Paramètres!$B$16+(1-Paramètres!$B$16)*(($B40-Paramètres!$B$14)/(Paramètres!$B$15-Paramètres!$B$14))^Paramètres!$B$17)</f>
        <v/>
      </c>
      <c r="D40" s="19" t="str">
        <f aca="false">IF($B40="","",ROUND(D$5*$C40,Paramètres!$F$22))</f>
        <v/>
      </c>
      <c r="E40" s="19" t="str">
        <f aca="false">IF($B40="","",ROUND(E$5*$C40,Paramètres!$F$23))</f>
        <v/>
      </c>
      <c r="F40" s="19" t="str">
        <f aca="false">IF($B40="","",ROUND(F$5*$C40,Paramètres!$F$24))</f>
        <v/>
      </c>
      <c r="G40" s="19" t="str">
        <f aca="false">IF($B40="","",ROUND(G$5*$C40,Paramètres!$F$25))</f>
        <v/>
      </c>
      <c r="H40" s="19" t="str">
        <f aca="false">IF($B40="","",ROUND(H$5*$C40,Paramètres!$F$26))</f>
        <v/>
      </c>
      <c r="I40" s="19" t="str">
        <f aca="false">IF($B40="","",ROUND(I$5*$C40,Paramètres!$F$27))</f>
        <v/>
      </c>
      <c r="J40" s="20" t="str">
        <f aca="false">IF($B40="","",ROUND(J$5*$C40,Paramètres!$F$28))</f>
        <v/>
      </c>
      <c r="K40" s="20" t="str">
        <f aca="false">IF($B40="","",ROUND(K$5*$C40,Paramètres!$F$29))</f>
        <v/>
      </c>
      <c r="L40" s="20" t="str">
        <f aca="false">IF($B40="","",ROUND(L$5*$C40,Paramètres!$F$30))</f>
        <v/>
      </c>
      <c r="M40" s="19" t="str">
        <f aca="false">IF($B40="","",ROUND(M$5*$C40,Paramètres!$F$31))</f>
        <v/>
      </c>
      <c r="N40" s="20" t="str">
        <f aca="false">IF($B40="","",ROUND(N$5*$C40,Paramètres!$F$32))</f>
        <v/>
      </c>
      <c r="O40" s="20" t="str">
        <f aca="false">IF($B40="","",ROUND(O$5*$C40,Paramètres!$F$33))</f>
        <v/>
      </c>
      <c r="P40" s="20" t="str">
        <f aca="false">IF($B40="","",ROUND(P$5*$C40,Paramètres!$F$34))</f>
        <v/>
      </c>
      <c r="Q40" s="20" t="str">
        <f aca="false">IF($B40="","",ROUND(Q$5*$C40,Paramètres!$F$35))</f>
        <v/>
      </c>
      <c r="R40" s="19" t="str">
        <f aca="false" t="array" ref="R40:R40">IF(OR($B40="",$A40=0),"",INDEX(Amélioration!$B$6:$H$104,$A40,Calculateur!$B$10))</f>
        <v/>
      </c>
      <c r="S40" s="19" t="str">
        <f aca="false" t="array" ref="S40:S40">IF($B40="","",IF($A40=0,0,INDEX(Amélioration!$J$6:$P$104,$A40,Calculateur!$B$10)))</f>
        <v/>
      </c>
    </row>
    <row r="41" customFormat="false" ht="15.75" hidden="false" customHeight="true" outlineLevel="0" collapsed="false">
      <c r="A41" s="18" t="n">
        <v>35</v>
      </c>
      <c r="B41" s="16" t="str">
        <f aca="false">IF($A41&gt;Calculateur!$B$15,"",Calculateur!$B$14+$A41)</f>
        <v/>
      </c>
      <c r="C41" s="36" t="str">
        <f aca="false">IF($B41="","",Paramètres!$B$16+(1-Paramètres!$B$16)*(($B41-Paramètres!$B$14)/(Paramètres!$B$15-Paramètres!$B$14))^Paramètres!$B$17)</f>
        <v/>
      </c>
      <c r="D41" s="19" t="str">
        <f aca="false">IF($B41="","",ROUND(D$5*$C41,Paramètres!$F$22))</f>
        <v/>
      </c>
      <c r="E41" s="19" t="str">
        <f aca="false">IF($B41="","",ROUND(E$5*$C41,Paramètres!$F$23))</f>
        <v/>
      </c>
      <c r="F41" s="19" t="str">
        <f aca="false">IF($B41="","",ROUND(F$5*$C41,Paramètres!$F$24))</f>
        <v/>
      </c>
      <c r="G41" s="19" t="str">
        <f aca="false">IF($B41="","",ROUND(G$5*$C41,Paramètres!$F$25))</f>
        <v/>
      </c>
      <c r="H41" s="19" t="str">
        <f aca="false">IF($B41="","",ROUND(H$5*$C41,Paramètres!$F$26))</f>
        <v/>
      </c>
      <c r="I41" s="19" t="str">
        <f aca="false">IF($B41="","",ROUND(I$5*$C41,Paramètres!$F$27))</f>
        <v/>
      </c>
      <c r="J41" s="20" t="str">
        <f aca="false">IF($B41="","",ROUND(J$5*$C41,Paramètres!$F$28))</f>
        <v/>
      </c>
      <c r="K41" s="20" t="str">
        <f aca="false">IF($B41="","",ROUND(K$5*$C41,Paramètres!$F$29))</f>
        <v/>
      </c>
      <c r="L41" s="20" t="str">
        <f aca="false">IF($B41="","",ROUND(L$5*$C41,Paramètres!$F$30))</f>
        <v/>
      </c>
      <c r="M41" s="19" t="str">
        <f aca="false">IF($B41="","",ROUND(M$5*$C41,Paramètres!$F$31))</f>
        <v/>
      </c>
      <c r="N41" s="20" t="str">
        <f aca="false">IF($B41="","",ROUND(N$5*$C41,Paramètres!$F$32))</f>
        <v/>
      </c>
      <c r="O41" s="20" t="str">
        <f aca="false">IF($B41="","",ROUND(O$5*$C41,Paramètres!$F$33))</f>
        <v/>
      </c>
      <c r="P41" s="20" t="str">
        <f aca="false">IF($B41="","",ROUND(P$5*$C41,Paramètres!$F$34))</f>
        <v/>
      </c>
      <c r="Q41" s="20" t="str">
        <f aca="false">IF($B41="","",ROUND(Q$5*$C41,Paramètres!$F$35))</f>
        <v/>
      </c>
      <c r="R41" s="19" t="str">
        <f aca="false" t="array" ref="R41:R41">IF(OR($B41="",$A41=0),"",INDEX(Amélioration!$B$6:$H$104,$A41,Calculateur!$B$10))</f>
        <v/>
      </c>
      <c r="S41" s="19" t="str">
        <f aca="false" t="array" ref="S41:S41">IF($B41="","",IF($A41=0,0,INDEX(Amélioration!$J$6:$P$104,$A41,Calculateur!$B$10)))</f>
        <v/>
      </c>
    </row>
    <row r="42" customFormat="false" ht="15.75" hidden="false" customHeight="true" outlineLevel="0" collapsed="false">
      <c r="A42" s="18" t="n">
        <v>36</v>
      </c>
      <c r="B42" s="16" t="str">
        <f aca="false">IF($A42&gt;Calculateur!$B$15,"",Calculateur!$B$14+$A42)</f>
        <v/>
      </c>
      <c r="C42" s="36" t="str">
        <f aca="false">IF($B42="","",Paramètres!$B$16+(1-Paramètres!$B$16)*(($B42-Paramètres!$B$14)/(Paramètres!$B$15-Paramètres!$B$14))^Paramètres!$B$17)</f>
        <v/>
      </c>
      <c r="D42" s="19" t="str">
        <f aca="false">IF($B42="","",ROUND(D$5*$C42,Paramètres!$F$22))</f>
        <v/>
      </c>
      <c r="E42" s="19" t="str">
        <f aca="false">IF($B42="","",ROUND(E$5*$C42,Paramètres!$F$23))</f>
        <v/>
      </c>
      <c r="F42" s="19" t="str">
        <f aca="false">IF($B42="","",ROUND(F$5*$C42,Paramètres!$F$24))</f>
        <v/>
      </c>
      <c r="G42" s="19" t="str">
        <f aca="false">IF($B42="","",ROUND(G$5*$C42,Paramètres!$F$25))</f>
        <v/>
      </c>
      <c r="H42" s="19" t="str">
        <f aca="false">IF($B42="","",ROUND(H$5*$C42,Paramètres!$F$26))</f>
        <v/>
      </c>
      <c r="I42" s="19" t="str">
        <f aca="false">IF($B42="","",ROUND(I$5*$C42,Paramètres!$F$27))</f>
        <v/>
      </c>
      <c r="J42" s="20" t="str">
        <f aca="false">IF($B42="","",ROUND(J$5*$C42,Paramètres!$F$28))</f>
        <v/>
      </c>
      <c r="K42" s="20" t="str">
        <f aca="false">IF($B42="","",ROUND(K$5*$C42,Paramètres!$F$29))</f>
        <v/>
      </c>
      <c r="L42" s="20" t="str">
        <f aca="false">IF($B42="","",ROUND(L$5*$C42,Paramètres!$F$30))</f>
        <v/>
      </c>
      <c r="M42" s="19" t="str">
        <f aca="false">IF($B42="","",ROUND(M$5*$C42,Paramètres!$F$31))</f>
        <v/>
      </c>
      <c r="N42" s="20" t="str">
        <f aca="false">IF($B42="","",ROUND(N$5*$C42,Paramètres!$F$32))</f>
        <v/>
      </c>
      <c r="O42" s="20" t="str">
        <f aca="false">IF($B42="","",ROUND(O$5*$C42,Paramètres!$F$33))</f>
        <v/>
      </c>
      <c r="P42" s="20" t="str">
        <f aca="false">IF($B42="","",ROUND(P$5*$C42,Paramètres!$F$34))</f>
        <v/>
      </c>
      <c r="Q42" s="20" t="str">
        <f aca="false">IF($B42="","",ROUND(Q$5*$C42,Paramètres!$F$35))</f>
        <v/>
      </c>
      <c r="R42" s="19" t="str">
        <f aca="false" t="array" ref="R42:R42">IF(OR($B42="",$A42=0),"",INDEX(Amélioration!$B$6:$H$104,$A42,Calculateur!$B$10))</f>
        <v/>
      </c>
      <c r="S42" s="19" t="str">
        <f aca="false" t="array" ref="S42:S42">IF($B42="","",IF($A42=0,0,INDEX(Amélioration!$J$6:$P$104,$A42,Calculateur!$B$10)))</f>
        <v/>
      </c>
    </row>
    <row r="43" customFormat="false" ht="15.75" hidden="false" customHeight="true" outlineLevel="0" collapsed="false">
      <c r="A43" s="18" t="n">
        <v>37</v>
      </c>
      <c r="B43" s="16" t="str">
        <f aca="false">IF($A43&gt;Calculateur!$B$15,"",Calculateur!$B$14+$A43)</f>
        <v/>
      </c>
      <c r="C43" s="36" t="str">
        <f aca="false">IF($B43="","",Paramètres!$B$16+(1-Paramètres!$B$16)*(($B43-Paramètres!$B$14)/(Paramètres!$B$15-Paramètres!$B$14))^Paramètres!$B$17)</f>
        <v/>
      </c>
      <c r="D43" s="19" t="str">
        <f aca="false">IF($B43="","",ROUND(D$5*$C43,Paramètres!$F$22))</f>
        <v/>
      </c>
      <c r="E43" s="19" t="str">
        <f aca="false">IF($B43="","",ROUND(E$5*$C43,Paramètres!$F$23))</f>
        <v/>
      </c>
      <c r="F43" s="19" t="str">
        <f aca="false">IF($B43="","",ROUND(F$5*$C43,Paramètres!$F$24))</f>
        <v/>
      </c>
      <c r="G43" s="19" t="str">
        <f aca="false">IF($B43="","",ROUND(G$5*$C43,Paramètres!$F$25))</f>
        <v/>
      </c>
      <c r="H43" s="19" t="str">
        <f aca="false">IF($B43="","",ROUND(H$5*$C43,Paramètres!$F$26))</f>
        <v/>
      </c>
      <c r="I43" s="19" t="str">
        <f aca="false">IF($B43="","",ROUND(I$5*$C43,Paramètres!$F$27))</f>
        <v/>
      </c>
      <c r="J43" s="20" t="str">
        <f aca="false">IF($B43="","",ROUND(J$5*$C43,Paramètres!$F$28))</f>
        <v/>
      </c>
      <c r="K43" s="20" t="str">
        <f aca="false">IF($B43="","",ROUND(K$5*$C43,Paramètres!$F$29))</f>
        <v/>
      </c>
      <c r="L43" s="20" t="str">
        <f aca="false">IF($B43="","",ROUND(L$5*$C43,Paramètres!$F$30))</f>
        <v/>
      </c>
      <c r="M43" s="19" t="str">
        <f aca="false">IF($B43="","",ROUND(M$5*$C43,Paramètres!$F$31))</f>
        <v/>
      </c>
      <c r="N43" s="20" t="str">
        <f aca="false">IF($B43="","",ROUND(N$5*$C43,Paramètres!$F$32))</f>
        <v/>
      </c>
      <c r="O43" s="20" t="str">
        <f aca="false">IF($B43="","",ROUND(O$5*$C43,Paramètres!$F$33))</f>
        <v/>
      </c>
      <c r="P43" s="20" t="str">
        <f aca="false">IF($B43="","",ROUND(P$5*$C43,Paramètres!$F$34))</f>
        <v/>
      </c>
      <c r="Q43" s="20" t="str">
        <f aca="false">IF($B43="","",ROUND(Q$5*$C43,Paramètres!$F$35))</f>
        <v/>
      </c>
      <c r="R43" s="19" t="str">
        <f aca="false" t="array" ref="R43:R43">IF(OR($B43="",$A43=0),"",INDEX(Amélioration!$B$6:$H$104,$A43,Calculateur!$B$10))</f>
        <v/>
      </c>
      <c r="S43" s="19" t="str">
        <f aca="false" t="array" ref="S43:S43">IF($B43="","",IF($A43=0,0,INDEX(Amélioration!$J$6:$P$104,$A43,Calculateur!$B$10)))</f>
        <v/>
      </c>
    </row>
    <row r="44" customFormat="false" ht="15.75" hidden="false" customHeight="true" outlineLevel="0" collapsed="false">
      <c r="A44" s="18" t="n">
        <v>38</v>
      </c>
      <c r="B44" s="16" t="str">
        <f aca="false">IF($A44&gt;Calculateur!$B$15,"",Calculateur!$B$14+$A44)</f>
        <v/>
      </c>
      <c r="C44" s="36" t="str">
        <f aca="false">IF($B44="","",Paramètres!$B$16+(1-Paramètres!$B$16)*(($B44-Paramètres!$B$14)/(Paramètres!$B$15-Paramètres!$B$14))^Paramètres!$B$17)</f>
        <v/>
      </c>
      <c r="D44" s="19" t="str">
        <f aca="false">IF($B44="","",ROUND(D$5*$C44,Paramètres!$F$22))</f>
        <v/>
      </c>
      <c r="E44" s="19" t="str">
        <f aca="false">IF($B44="","",ROUND(E$5*$C44,Paramètres!$F$23))</f>
        <v/>
      </c>
      <c r="F44" s="19" t="str">
        <f aca="false">IF($B44="","",ROUND(F$5*$C44,Paramètres!$F$24))</f>
        <v/>
      </c>
      <c r="G44" s="19" t="str">
        <f aca="false">IF($B44="","",ROUND(G$5*$C44,Paramètres!$F$25))</f>
        <v/>
      </c>
      <c r="H44" s="19" t="str">
        <f aca="false">IF($B44="","",ROUND(H$5*$C44,Paramètres!$F$26))</f>
        <v/>
      </c>
      <c r="I44" s="19" t="str">
        <f aca="false">IF($B44="","",ROUND(I$5*$C44,Paramètres!$F$27))</f>
        <v/>
      </c>
      <c r="J44" s="20" t="str">
        <f aca="false">IF($B44="","",ROUND(J$5*$C44,Paramètres!$F$28))</f>
        <v/>
      </c>
      <c r="K44" s="20" t="str">
        <f aca="false">IF($B44="","",ROUND(K$5*$C44,Paramètres!$F$29))</f>
        <v/>
      </c>
      <c r="L44" s="20" t="str">
        <f aca="false">IF($B44="","",ROUND(L$5*$C44,Paramètres!$F$30))</f>
        <v/>
      </c>
      <c r="M44" s="19" t="str">
        <f aca="false">IF($B44="","",ROUND(M$5*$C44,Paramètres!$F$31))</f>
        <v/>
      </c>
      <c r="N44" s="20" t="str">
        <f aca="false">IF($B44="","",ROUND(N$5*$C44,Paramètres!$F$32))</f>
        <v/>
      </c>
      <c r="O44" s="20" t="str">
        <f aca="false">IF($B44="","",ROUND(O$5*$C44,Paramètres!$F$33))</f>
        <v/>
      </c>
      <c r="P44" s="20" t="str">
        <f aca="false">IF($B44="","",ROUND(P$5*$C44,Paramètres!$F$34))</f>
        <v/>
      </c>
      <c r="Q44" s="20" t="str">
        <f aca="false">IF($B44="","",ROUND(Q$5*$C44,Paramètres!$F$35))</f>
        <v/>
      </c>
      <c r="R44" s="19" t="str">
        <f aca="false" t="array" ref="R44:R44">IF(OR($B44="",$A44=0),"",INDEX(Amélioration!$B$6:$H$104,$A44,Calculateur!$B$10))</f>
        <v/>
      </c>
      <c r="S44" s="19" t="str">
        <f aca="false" t="array" ref="S44:S44">IF($B44="","",IF($A44=0,0,INDEX(Amélioration!$J$6:$P$104,$A44,Calculateur!$B$10)))</f>
        <v/>
      </c>
    </row>
    <row r="45" customFormat="false" ht="15.75" hidden="false" customHeight="true" outlineLevel="0" collapsed="false">
      <c r="A45" s="18" t="n">
        <v>39</v>
      </c>
      <c r="B45" s="16" t="str">
        <f aca="false">IF($A45&gt;Calculateur!$B$15,"",Calculateur!$B$14+$A45)</f>
        <v/>
      </c>
      <c r="C45" s="36" t="str">
        <f aca="false">IF($B45="","",Paramètres!$B$16+(1-Paramètres!$B$16)*(($B45-Paramètres!$B$14)/(Paramètres!$B$15-Paramètres!$B$14))^Paramètres!$B$17)</f>
        <v/>
      </c>
      <c r="D45" s="19" t="str">
        <f aca="false">IF($B45="","",ROUND(D$5*$C45,Paramètres!$F$22))</f>
        <v/>
      </c>
      <c r="E45" s="19" t="str">
        <f aca="false">IF($B45="","",ROUND(E$5*$C45,Paramètres!$F$23))</f>
        <v/>
      </c>
      <c r="F45" s="19" t="str">
        <f aca="false">IF($B45="","",ROUND(F$5*$C45,Paramètres!$F$24))</f>
        <v/>
      </c>
      <c r="G45" s="19" t="str">
        <f aca="false">IF($B45="","",ROUND(G$5*$C45,Paramètres!$F$25))</f>
        <v/>
      </c>
      <c r="H45" s="19" t="str">
        <f aca="false">IF($B45="","",ROUND(H$5*$C45,Paramètres!$F$26))</f>
        <v/>
      </c>
      <c r="I45" s="19" t="str">
        <f aca="false">IF($B45="","",ROUND(I$5*$C45,Paramètres!$F$27))</f>
        <v/>
      </c>
      <c r="J45" s="20" t="str">
        <f aca="false">IF($B45="","",ROUND(J$5*$C45,Paramètres!$F$28))</f>
        <v/>
      </c>
      <c r="K45" s="20" t="str">
        <f aca="false">IF($B45="","",ROUND(K$5*$C45,Paramètres!$F$29))</f>
        <v/>
      </c>
      <c r="L45" s="20" t="str">
        <f aca="false">IF($B45="","",ROUND(L$5*$C45,Paramètres!$F$30))</f>
        <v/>
      </c>
      <c r="M45" s="19" t="str">
        <f aca="false">IF($B45="","",ROUND(M$5*$C45,Paramètres!$F$31))</f>
        <v/>
      </c>
      <c r="N45" s="20" t="str">
        <f aca="false">IF($B45="","",ROUND(N$5*$C45,Paramètres!$F$32))</f>
        <v/>
      </c>
      <c r="O45" s="20" t="str">
        <f aca="false">IF($B45="","",ROUND(O$5*$C45,Paramètres!$F$33))</f>
        <v/>
      </c>
      <c r="P45" s="20" t="str">
        <f aca="false">IF($B45="","",ROUND(P$5*$C45,Paramètres!$F$34))</f>
        <v/>
      </c>
      <c r="Q45" s="20" t="str">
        <f aca="false">IF($B45="","",ROUND(Q$5*$C45,Paramètres!$F$35))</f>
        <v/>
      </c>
      <c r="R45" s="19" t="str">
        <f aca="false" t="array" ref="R45:R45">IF(OR($B45="",$A45=0),"",INDEX(Amélioration!$B$6:$H$104,$A45,Calculateur!$B$10))</f>
        <v/>
      </c>
      <c r="S45" s="19" t="str">
        <f aca="false" t="array" ref="S45:S45">IF($B45="","",IF($A45=0,0,INDEX(Amélioration!$J$6:$P$104,$A45,Calculateur!$B$10)))</f>
        <v/>
      </c>
    </row>
    <row r="46" customFormat="false" ht="15.75" hidden="false" customHeight="true" outlineLevel="0" collapsed="false">
      <c r="A46" s="18" t="n">
        <v>40</v>
      </c>
      <c r="B46" s="16" t="str">
        <f aca="false">IF($A46&gt;Calculateur!$B$15,"",Calculateur!$B$14+$A46)</f>
        <v/>
      </c>
      <c r="C46" s="36" t="str">
        <f aca="false">IF($B46="","",Paramètres!$B$16+(1-Paramètres!$B$16)*(($B46-Paramètres!$B$14)/(Paramètres!$B$15-Paramètres!$B$14))^Paramètres!$B$17)</f>
        <v/>
      </c>
      <c r="D46" s="19" t="str">
        <f aca="false">IF($B46="","",ROUND(D$5*$C46,Paramètres!$F$22))</f>
        <v/>
      </c>
      <c r="E46" s="19" t="str">
        <f aca="false">IF($B46="","",ROUND(E$5*$C46,Paramètres!$F$23))</f>
        <v/>
      </c>
      <c r="F46" s="19" t="str">
        <f aca="false">IF($B46="","",ROUND(F$5*$C46,Paramètres!$F$24))</f>
        <v/>
      </c>
      <c r="G46" s="19" t="str">
        <f aca="false">IF($B46="","",ROUND(G$5*$C46,Paramètres!$F$25))</f>
        <v/>
      </c>
      <c r="H46" s="19" t="str">
        <f aca="false">IF($B46="","",ROUND(H$5*$C46,Paramètres!$F$26))</f>
        <v/>
      </c>
      <c r="I46" s="19" t="str">
        <f aca="false">IF($B46="","",ROUND(I$5*$C46,Paramètres!$F$27))</f>
        <v/>
      </c>
      <c r="J46" s="20" t="str">
        <f aca="false">IF($B46="","",ROUND(J$5*$C46,Paramètres!$F$28))</f>
        <v/>
      </c>
      <c r="K46" s="20" t="str">
        <f aca="false">IF($B46="","",ROUND(K$5*$C46,Paramètres!$F$29))</f>
        <v/>
      </c>
      <c r="L46" s="20" t="str">
        <f aca="false">IF($B46="","",ROUND(L$5*$C46,Paramètres!$F$30))</f>
        <v/>
      </c>
      <c r="M46" s="19" t="str">
        <f aca="false">IF($B46="","",ROUND(M$5*$C46,Paramètres!$F$31))</f>
        <v/>
      </c>
      <c r="N46" s="20" t="str">
        <f aca="false">IF($B46="","",ROUND(N$5*$C46,Paramètres!$F$32))</f>
        <v/>
      </c>
      <c r="O46" s="20" t="str">
        <f aca="false">IF($B46="","",ROUND(O$5*$C46,Paramètres!$F$33))</f>
        <v/>
      </c>
      <c r="P46" s="20" t="str">
        <f aca="false">IF($B46="","",ROUND(P$5*$C46,Paramètres!$F$34))</f>
        <v/>
      </c>
      <c r="Q46" s="20" t="str">
        <f aca="false">IF($B46="","",ROUND(Q$5*$C46,Paramètres!$F$35))</f>
        <v/>
      </c>
      <c r="R46" s="19" t="str">
        <f aca="false" t="array" ref="R46:R46">IF(OR($B46="",$A46=0),"",INDEX(Amélioration!$B$6:$H$104,$A46,Calculateur!$B$10))</f>
        <v/>
      </c>
      <c r="S46" s="19" t="str">
        <f aca="false" t="array" ref="S46:S46">IF($B46="","",IF($A46=0,0,INDEX(Amélioration!$J$6:$P$104,$A46,Calculateur!$B$10)))</f>
        <v/>
      </c>
    </row>
    <row r="47" customFormat="false" ht="15.75" hidden="false" customHeight="true" outlineLevel="0" collapsed="false">
      <c r="A47" s="18" t="n">
        <v>41</v>
      </c>
      <c r="B47" s="16" t="str">
        <f aca="false">IF($A47&gt;Calculateur!$B$15,"",Calculateur!$B$14+$A47)</f>
        <v/>
      </c>
      <c r="C47" s="36" t="str">
        <f aca="false">IF($B47="","",Paramètres!$B$16+(1-Paramètres!$B$16)*(($B47-Paramètres!$B$14)/(Paramètres!$B$15-Paramètres!$B$14))^Paramètres!$B$17)</f>
        <v/>
      </c>
      <c r="D47" s="19" t="str">
        <f aca="false">IF($B47="","",ROUND(D$5*$C47,Paramètres!$F$22))</f>
        <v/>
      </c>
      <c r="E47" s="19" t="str">
        <f aca="false">IF($B47="","",ROUND(E$5*$C47,Paramètres!$F$23))</f>
        <v/>
      </c>
      <c r="F47" s="19" t="str">
        <f aca="false">IF($B47="","",ROUND(F$5*$C47,Paramètres!$F$24))</f>
        <v/>
      </c>
      <c r="G47" s="19" t="str">
        <f aca="false">IF($B47="","",ROUND(G$5*$C47,Paramètres!$F$25))</f>
        <v/>
      </c>
      <c r="H47" s="19" t="str">
        <f aca="false">IF($B47="","",ROUND(H$5*$C47,Paramètres!$F$26))</f>
        <v/>
      </c>
      <c r="I47" s="19" t="str">
        <f aca="false">IF($B47="","",ROUND(I$5*$C47,Paramètres!$F$27))</f>
        <v/>
      </c>
      <c r="J47" s="20" t="str">
        <f aca="false">IF($B47="","",ROUND(J$5*$C47,Paramètres!$F$28))</f>
        <v/>
      </c>
      <c r="K47" s="20" t="str">
        <f aca="false">IF($B47="","",ROUND(K$5*$C47,Paramètres!$F$29))</f>
        <v/>
      </c>
      <c r="L47" s="20" t="str">
        <f aca="false">IF($B47="","",ROUND(L$5*$C47,Paramètres!$F$30))</f>
        <v/>
      </c>
      <c r="M47" s="19" t="str">
        <f aca="false">IF($B47="","",ROUND(M$5*$C47,Paramètres!$F$31))</f>
        <v/>
      </c>
      <c r="N47" s="20" t="str">
        <f aca="false">IF($B47="","",ROUND(N$5*$C47,Paramètres!$F$32))</f>
        <v/>
      </c>
      <c r="O47" s="20" t="str">
        <f aca="false">IF($B47="","",ROUND(O$5*$C47,Paramètres!$F$33))</f>
        <v/>
      </c>
      <c r="P47" s="20" t="str">
        <f aca="false">IF($B47="","",ROUND(P$5*$C47,Paramètres!$F$34))</f>
        <v/>
      </c>
      <c r="Q47" s="20" t="str">
        <f aca="false">IF($B47="","",ROUND(Q$5*$C47,Paramètres!$F$35))</f>
        <v/>
      </c>
      <c r="R47" s="19" t="str">
        <f aca="false" t="array" ref="R47:R47">IF(OR($B47="",$A47=0),"",INDEX(Amélioration!$B$6:$H$104,$A47,Calculateur!$B$10))</f>
        <v/>
      </c>
      <c r="S47" s="19" t="str">
        <f aca="false" t="array" ref="S47:S47">IF($B47="","",IF($A47=0,0,INDEX(Amélioration!$J$6:$P$104,$A47,Calculateur!$B$10)))</f>
        <v/>
      </c>
    </row>
    <row r="48" customFormat="false" ht="15.75" hidden="false" customHeight="true" outlineLevel="0" collapsed="false">
      <c r="A48" s="18" t="n">
        <v>42</v>
      </c>
      <c r="B48" s="16" t="str">
        <f aca="false">IF($A48&gt;Calculateur!$B$15,"",Calculateur!$B$14+$A48)</f>
        <v/>
      </c>
      <c r="C48" s="36" t="str">
        <f aca="false">IF($B48="","",Paramètres!$B$16+(1-Paramètres!$B$16)*(($B48-Paramètres!$B$14)/(Paramètres!$B$15-Paramètres!$B$14))^Paramètres!$B$17)</f>
        <v/>
      </c>
      <c r="D48" s="19" t="str">
        <f aca="false">IF($B48="","",ROUND(D$5*$C48,Paramètres!$F$22))</f>
        <v/>
      </c>
      <c r="E48" s="19" t="str">
        <f aca="false">IF($B48="","",ROUND(E$5*$C48,Paramètres!$F$23))</f>
        <v/>
      </c>
      <c r="F48" s="19" t="str">
        <f aca="false">IF($B48="","",ROUND(F$5*$C48,Paramètres!$F$24))</f>
        <v/>
      </c>
      <c r="G48" s="19" t="str">
        <f aca="false">IF($B48="","",ROUND(G$5*$C48,Paramètres!$F$25))</f>
        <v/>
      </c>
      <c r="H48" s="19" t="str">
        <f aca="false">IF($B48="","",ROUND(H$5*$C48,Paramètres!$F$26))</f>
        <v/>
      </c>
      <c r="I48" s="19" t="str">
        <f aca="false">IF($B48="","",ROUND(I$5*$C48,Paramètres!$F$27))</f>
        <v/>
      </c>
      <c r="J48" s="20" t="str">
        <f aca="false">IF($B48="","",ROUND(J$5*$C48,Paramètres!$F$28))</f>
        <v/>
      </c>
      <c r="K48" s="20" t="str">
        <f aca="false">IF($B48="","",ROUND(K$5*$C48,Paramètres!$F$29))</f>
        <v/>
      </c>
      <c r="L48" s="20" t="str">
        <f aca="false">IF($B48="","",ROUND(L$5*$C48,Paramètres!$F$30))</f>
        <v/>
      </c>
      <c r="M48" s="19" t="str">
        <f aca="false">IF($B48="","",ROUND(M$5*$C48,Paramètres!$F$31))</f>
        <v/>
      </c>
      <c r="N48" s="20" t="str">
        <f aca="false">IF($B48="","",ROUND(N$5*$C48,Paramètres!$F$32))</f>
        <v/>
      </c>
      <c r="O48" s="20" t="str">
        <f aca="false">IF($B48="","",ROUND(O$5*$C48,Paramètres!$F$33))</f>
        <v/>
      </c>
      <c r="P48" s="20" t="str">
        <f aca="false">IF($B48="","",ROUND(P$5*$C48,Paramètres!$F$34))</f>
        <v/>
      </c>
      <c r="Q48" s="20" t="str">
        <f aca="false">IF($B48="","",ROUND(Q$5*$C48,Paramètres!$F$35))</f>
        <v/>
      </c>
      <c r="R48" s="19" t="str">
        <f aca="false" t="array" ref="R48:R48">IF(OR($B48="",$A48=0),"",INDEX(Amélioration!$B$6:$H$104,$A48,Calculateur!$B$10))</f>
        <v/>
      </c>
      <c r="S48" s="19" t="str">
        <f aca="false" t="array" ref="S48:S48">IF($B48="","",IF($A48=0,0,INDEX(Amélioration!$J$6:$P$104,$A48,Calculateur!$B$10)))</f>
        <v/>
      </c>
    </row>
    <row r="49" customFormat="false" ht="15.75" hidden="false" customHeight="true" outlineLevel="0" collapsed="false">
      <c r="A49" s="18" t="n">
        <v>43</v>
      </c>
      <c r="B49" s="16" t="str">
        <f aca="false">IF($A49&gt;Calculateur!$B$15,"",Calculateur!$B$14+$A49)</f>
        <v/>
      </c>
      <c r="C49" s="36" t="str">
        <f aca="false">IF($B49="","",Paramètres!$B$16+(1-Paramètres!$B$16)*(($B49-Paramètres!$B$14)/(Paramètres!$B$15-Paramètres!$B$14))^Paramètres!$B$17)</f>
        <v/>
      </c>
      <c r="D49" s="19" t="str">
        <f aca="false">IF($B49="","",ROUND(D$5*$C49,Paramètres!$F$22))</f>
        <v/>
      </c>
      <c r="E49" s="19" t="str">
        <f aca="false">IF($B49="","",ROUND(E$5*$C49,Paramètres!$F$23))</f>
        <v/>
      </c>
      <c r="F49" s="19" t="str">
        <f aca="false">IF($B49="","",ROUND(F$5*$C49,Paramètres!$F$24))</f>
        <v/>
      </c>
      <c r="G49" s="19" t="str">
        <f aca="false">IF($B49="","",ROUND(G$5*$C49,Paramètres!$F$25))</f>
        <v/>
      </c>
      <c r="H49" s="19" t="str">
        <f aca="false">IF($B49="","",ROUND(H$5*$C49,Paramètres!$F$26))</f>
        <v/>
      </c>
      <c r="I49" s="19" t="str">
        <f aca="false">IF($B49="","",ROUND(I$5*$C49,Paramètres!$F$27))</f>
        <v/>
      </c>
      <c r="J49" s="20" t="str">
        <f aca="false">IF($B49="","",ROUND(J$5*$C49,Paramètres!$F$28))</f>
        <v/>
      </c>
      <c r="K49" s="20" t="str">
        <f aca="false">IF($B49="","",ROUND(K$5*$C49,Paramètres!$F$29))</f>
        <v/>
      </c>
      <c r="L49" s="20" t="str">
        <f aca="false">IF($B49="","",ROUND(L$5*$C49,Paramètres!$F$30))</f>
        <v/>
      </c>
      <c r="M49" s="19" t="str">
        <f aca="false">IF($B49="","",ROUND(M$5*$C49,Paramètres!$F$31))</f>
        <v/>
      </c>
      <c r="N49" s="20" t="str">
        <f aca="false">IF($B49="","",ROUND(N$5*$C49,Paramètres!$F$32))</f>
        <v/>
      </c>
      <c r="O49" s="20" t="str">
        <f aca="false">IF($B49="","",ROUND(O$5*$C49,Paramètres!$F$33))</f>
        <v/>
      </c>
      <c r="P49" s="20" t="str">
        <f aca="false">IF($B49="","",ROUND(P$5*$C49,Paramètres!$F$34))</f>
        <v/>
      </c>
      <c r="Q49" s="20" t="str">
        <f aca="false">IF($B49="","",ROUND(Q$5*$C49,Paramètres!$F$35))</f>
        <v/>
      </c>
      <c r="R49" s="19" t="str">
        <f aca="false" t="array" ref="R49:R49">IF(OR($B49="",$A49=0),"",INDEX(Amélioration!$B$6:$H$104,$A49,Calculateur!$B$10))</f>
        <v/>
      </c>
      <c r="S49" s="19" t="str">
        <f aca="false" t="array" ref="S49:S49">IF($B49="","",IF($A49=0,0,INDEX(Amélioration!$J$6:$P$104,$A49,Calculateur!$B$10)))</f>
        <v/>
      </c>
    </row>
    <row r="50" customFormat="false" ht="15.75" hidden="false" customHeight="true" outlineLevel="0" collapsed="false">
      <c r="A50" s="18" t="n">
        <v>44</v>
      </c>
      <c r="B50" s="16" t="str">
        <f aca="false">IF($A50&gt;Calculateur!$B$15,"",Calculateur!$B$14+$A50)</f>
        <v/>
      </c>
      <c r="C50" s="36" t="str">
        <f aca="false">IF($B50="","",Paramètres!$B$16+(1-Paramètres!$B$16)*(($B50-Paramètres!$B$14)/(Paramètres!$B$15-Paramètres!$B$14))^Paramètres!$B$17)</f>
        <v/>
      </c>
      <c r="D50" s="19" t="str">
        <f aca="false">IF($B50="","",ROUND(D$5*$C50,Paramètres!$F$22))</f>
        <v/>
      </c>
      <c r="E50" s="19" t="str">
        <f aca="false">IF($B50="","",ROUND(E$5*$C50,Paramètres!$F$23))</f>
        <v/>
      </c>
      <c r="F50" s="19" t="str">
        <f aca="false">IF($B50="","",ROUND(F$5*$C50,Paramètres!$F$24))</f>
        <v/>
      </c>
      <c r="G50" s="19" t="str">
        <f aca="false">IF($B50="","",ROUND(G$5*$C50,Paramètres!$F$25))</f>
        <v/>
      </c>
      <c r="H50" s="19" t="str">
        <f aca="false">IF($B50="","",ROUND(H$5*$C50,Paramètres!$F$26))</f>
        <v/>
      </c>
      <c r="I50" s="19" t="str">
        <f aca="false">IF($B50="","",ROUND(I$5*$C50,Paramètres!$F$27))</f>
        <v/>
      </c>
      <c r="J50" s="20" t="str">
        <f aca="false">IF($B50="","",ROUND(J$5*$C50,Paramètres!$F$28))</f>
        <v/>
      </c>
      <c r="K50" s="20" t="str">
        <f aca="false">IF($B50="","",ROUND(K$5*$C50,Paramètres!$F$29))</f>
        <v/>
      </c>
      <c r="L50" s="20" t="str">
        <f aca="false">IF($B50="","",ROUND(L$5*$C50,Paramètres!$F$30))</f>
        <v/>
      </c>
      <c r="M50" s="19" t="str">
        <f aca="false">IF($B50="","",ROUND(M$5*$C50,Paramètres!$F$31))</f>
        <v/>
      </c>
      <c r="N50" s="20" t="str">
        <f aca="false">IF($B50="","",ROUND(N$5*$C50,Paramètres!$F$32))</f>
        <v/>
      </c>
      <c r="O50" s="20" t="str">
        <f aca="false">IF($B50="","",ROUND(O$5*$C50,Paramètres!$F$33))</f>
        <v/>
      </c>
      <c r="P50" s="20" t="str">
        <f aca="false">IF($B50="","",ROUND(P$5*$C50,Paramètres!$F$34))</f>
        <v/>
      </c>
      <c r="Q50" s="20" t="str">
        <f aca="false">IF($B50="","",ROUND(Q$5*$C50,Paramètres!$F$35))</f>
        <v/>
      </c>
      <c r="R50" s="19" t="str">
        <f aca="false" t="array" ref="R50:R50">IF(OR($B50="",$A50=0),"",INDEX(Amélioration!$B$6:$H$104,$A50,Calculateur!$B$10))</f>
        <v/>
      </c>
      <c r="S50" s="19" t="str">
        <f aca="false" t="array" ref="S50:S50">IF($B50="","",IF($A50=0,0,INDEX(Amélioration!$J$6:$P$104,$A50,Calculateur!$B$10)))</f>
        <v/>
      </c>
    </row>
    <row r="51" customFormat="false" ht="15.75" hidden="false" customHeight="true" outlineLevel="0" collapsed="false">
      <c r="A51" s="18" t="n">
        <v>45</v>
      </c>
      <c r="B51" s="16" t="str">
        <f aca="false">IF($A51&gt;Calculateur!$B$15,"",Calculateur!$B$14+$A51)</f>
        <v/>
      </c>
      <c r="C51" s="36" t="str">
        <f aca="false">IF($B51="","",Paramètres!$B$16+(1-Paramètres!$B$16)*(($B51-Paramètres!$B$14)/(Paramètres!$B$15-Paramètres!$B$14))^Paramètres!$B$17)</f>
        <v/>
      </c>
      <c r="D51" s="19" t="str">
        <f aca="false">IF($B51="","",ROUND(D$5*$C51,Paramètres!$F$22))</f>
        <v/>
      </c>
      <c r="E51" s="19" t="str">
        <f aca="false">IF($B51="","",ROUND(E$5*$C51,Paramètres!$F$23))</f>
        <v/>
      </c>
      <c r="F51" s="19" t="str">
        <f aca="false">IF($B51="","",ROUND(F$5*$C51,Paramètres!$F$24))</f>
        <v/>
      </c>
      <c r="G51" s="19" t="str">
        <f aca="false">IF($B51="","",ROUND(G$5*$C51,Paramètres!$F$25))</f>
        <v/>
      </c>
      <c r="H51" s="19" t="str">
        <f aca="false">IF($B51="","",ROUND(H$5*$C51,Paramètres!$F$26))</f>
        <v/>
      </c>
      <c r="I51" s="19" t="str">
        <f aca="false">IF($B51="","",ROUND(I$5*$C51,Paramètres!$F$27))</f>
        <v/>
      </c>
      <c r="J51" s="20" t="str">
        <f aca="false">IF($B51="","",ROUND(J$5*$C51,Paramètres!$F$28))</f>
        <v/>
      </c>
      <c r="K51" s="20" t="str">
        <f aca="false">IF($B51="","",ROUND(K$5*$C51,Paramètres!$F$29))</f>
        <v/>
      </c>
      <c r="L51" s="20" t="str">
        <f aca="false">IF($B51="","",ROUND(L$5*$C51,Paramètres!$F$30))</f>
        <v/>
      </c>
      <c r="M51" s="19" t="str">
        <f aca="false">IF($B51="","",ROUND(M$5*$C51,Paramètres!$F$31))</f>
        <v/>
      </c>
      <c r="N51" s="20" t="str">
        <f aca="false">IF($B51="","",ROUND(N$5*$C51,Paramètres!$F$32))</f>
        <v/>
      </c>
      <c r="O51" s="20" t="str">
        <f aca="false">IF($B51="","",ROUND(O$5*$C51,Paramètres!$F$33))</f>
        <v/>
      </c>
      <c r="P51" s="20" t="str">
        <f aca="false">IF($B51="","",ROUND(P$5*$C51,Paramètres!$F$34))</f>
        <v/>
      </c>
      <c r="Q51" s="20" t="str">
        <f aca="false">IF($B51="","",ROUND(Q$5*$C51,Paramètres!$F$35))</f>
        <v/>
      </c>
      <c r="R51" s="19" t="str">
        <f aca="false" t="array" ref="R51:R51">IF(OR($B51="",$A51=0),"",INDEX(Amélioration!$B$6:$H$104,$A51,Calculateur!$B$10))</f>
        <v/>
      </c>
      <c r="S51" s="19" t="str">
        <f aca="false" t="array" ref="S51:S51">IF($B51="","",IF($A51=0,0,INDEX(Amélioration!$J$6:$P$104,$A51,Calculateur!$B$10)))</f>
        <v/>
      </c>
    </row>
    <row r="52" customFormat="false" ht="15.75" hidden="false" customHeight="true" outlineLevel="0" collapsed="false">
      <c r="A52" s="18" t="n">
        <v>46</v>
      </c>
      <c r="B52" s="16" t="str">
        <f aca="false">IF($A52&gt;Calculateur!$B$15,"",Calculateur!$B$14+$A52)</f>
        <v/>
      </c>
      <c r="C52" s="36" t="str">
        <f aca="false">IF($B52="","",Paramètres!$B$16+(1-Paramètres!$B$16)*(($B52-Paramètres!$B$14)/(Paramètres!$B$15-Paramètres!$B$14))^Paramètres!$B$17)</f>
        <v/>
      </c>
      <c r="D52" s="19" t="str">
        <f aca="false">IF($B52="","",ROUND(D$5*$C52,Paramètres!$F$22))</f>
        <v/>
      </c>
      <c r="E52" s="19" t="str">
        <f aca="false">IF($B52="","",ROUND(E$5*$C52,Paramètres!$F$23))</f>
        <v/>
      </c>
      <c r="F52" s="19" t="str">
        <f aca="false">IF($B52="","",ROUND(F$5*$C52,Paramètres!$F$24))</f>
        <v/>
      </c>
      <c r="G52" s="19" t="str">
        <f aca="false">IF($B52="","",ROUND(G$5*$C52,Paramètres!$F$25))</f>
        <v/>
      </c>
      <c r="H52" s="19" t="str">
        <f aca="false">IF($B52="","",ROUND(H$5*$C52,Paramètres!$F$26))</f>
        <v/>
      </c>
      <c r="I52" s="19" t="str">
        <f aca="false">IF($B52="","",ROUND(I$5*$C52,Paramètres!$F$27))</f>
        <v/>
      </c>
      <c r="J52" s="20" t="str">
        <f aca="false">IF($B52="","",ROUND(J$5*$C52,Paramètres!$F$28))</f>
        <v/>
      </c>
      <c r="K52" s="20" t="str">
        <f aca="false">IF($B52="","",ROUND(K$5*$C52,Paramètres!$F$29))</f>
        <v/>
      </c>
      <c r="L52" s="20" t="str">
        <f aca="false">IF($B52="","",ROUND(L$5*$C52,Paramètres!$F$30))</f>
        <v/>
      </c>
      <c r="M52" s="19" t="str">
        <f aca="false">IF($B52="","",ROUND(M$5*$C52,Paramètres!$F$31))</f>
        <v/>
      </c>
      <c r="N52" s="20" t="str">
        <f aca="false">IF($B52="","",ROUND(N$5*$C52,Paramètres!$F$32))</f>
        <v/>
      </c>
      <c r="O52" s="20" t="str">
        <f aca="false">IF($B52="","",ROUND(O$5*$C52,Paramètres!$F$33))</f>
        <v/>
      </c>
      <c r="P52" s="20" t="str">
        <f aca="false">IF($B52="","",ROUND(P$5*$C52,Paramètres!$F$34))</f>
        <v/>
      </c>
      <c r="Q52" s="20" t="str">
        <f aca="false">IF($B52="","",ROUND(Q$5*$C52,Paramètres!$F$35))</f>
        <v/>
      </c>
      <c r="R52" s="19" t="str">
        <f aca="false" t="array" ref="R52:R52">IF(OR($B52="",$A52=0),"",INDEX(Amélioration!$B$6:$H$104,$A52,Calculateur!$B$10))</f>
        <v/>
      </c>
      <c r="S52" s="19" t="str">
        <f aca="false" t="array" ref="S52:S52">IF($B52="","",IF($A52=0,0,INDEX(Amélioration!$J$6:$P$104,$A52,Calculateur!$B$10)))</f>
        <v/>
      </c>
    </row>
    <row r="53" customFormat="false" ht="15.75" hidden="false" customHeight="true" outlineLevel="0" collapsed="false">
      <c r="A53" s="18" t="n">
        <v>47</v>
      </c>
      <c r="B53" s="16" t="str">
        <f aca="false">IF($A53&gt;Calculateur!$B$15,"",Calculateur!$B$14+$A53)</f>
        <v/>
      </c>
      <c r="C53" s="36" t="str">
        <f aca="false">IF($B53="","",Paramètres!$B$16+(1-Paramètres!$B$16)*(($B53-Paramètres!$B$14)/(Paramètres!$B$15-Paramètres!$B$14))^Paramètres!$B$17)</f>
        <v/>
      </c>
      <c r="D53" s="19" t="str">
        <f aca="false">IF($B53="","",ROUND(D$5*$C53,Paramètres!$F$22))</f>
        <v/>
      </c>
      <c r="E53" s="19" t="str">
        <f aca="false">IF($B53="","",ROUND(E$5*$C53,Paramètres!$F$23))</f>
        <v/>
      </c>
      <c r="F53" s="19" t="str">
        <f aca="false">IF($B53="","",ROUND(F$5*$C53,Paramètres!$F$24))</f>
        <v/>
      </c>
      <c r="G53" s="19" t="str">
        <f aca="false">IF($B53="","",ROUND(G$5*$C53,Paramètres!$F$25))</f>
        <v/>
      </c>
      <c r="H53" s="19" t="str">
        <f aca="false">IF($B53="","",ROUND(H$5*$C53,Paramètres!$F$26))</f>
        <v/>
      </c>
      <c r="I53" s="19" t="str">
        <f aca="false">IF($B53="","",ROUND(I$5*$C53,Paramètres!$F$27))</f>
        <v/>
      </c>
      <c r="J53" s="20" t="str">
        <f aca="false">IF($B53="","",ROUND(J$5*$C53,Paramètres!$F$28))</f>
        <v/>
      </c>
      <c r="K53" s="20" t="str">
        <f aca="false">IF($B53="","",ROUND(K$5*$C53,Paramètres!$F$29))</f>
        <v/>
      </c>
      <c r="L53" s="20" t="str">
        <f aca="false">IF($B53="","",ROUND(L$5*$C53,Paramètres!$F$30))</f>
        <v/>
      </c>
      <c r="M53" s="19" t="str">
        <f aca="false">IF($B53="","",ROUND(M$5*$C53,Paramètres!$F$31))</f>
        <v/>
      </c>
      <c r="N53" s="20" t="str">
        <f aca="false">IF($B53="","",ROUND(N$5*$C53,Paramètres!$F$32))</f>
        <v/>
      </c>
      <c r="O53" s="20" t="str">
        <f aca="false">IF($B53="","",ROUND(O$5*$C53,Paramètres!$F$33))</f>
        <v/>
      </c>
      <c r="P53" s="20" t="str">
        <f aca="false">IF($B53="","",ROUND(P$5*$C53,Paramètres!$F$34))</f>
        <v/>
      </c>
      <c r="Q53" s="20" t="str">
        <f aca="false">IF($B53="","",ROUND(Q$5*$C53,Paramètres!$F$35))</f>
        <v/>
      </c>
      <c r="R53" s="19" t="str">
        <f aca="false" t="array" ref="R53:R53">IF(OR($B53="",$A53=0),"",INDEX(Amélioration!$B$6:$H$104,$A53,Calculateur!$B$10))</f>
        <v/>
      </c>
      <c r="S53" s="19" t="str">
        <f aca="false" t="array" ref="S53:S53">IF($B53="","",IF($A53=0,0,INDEX(Amélioration!$J$6:$P$104,$A53,Calculateur!$B$10)))</f>
        <v/>
      </c>
    </row>
    <row r="54" customFormat="false" ht="15.75" hidden="false" customHeight="true" outlineLevel="0" collapsed="false">
      <c r="A54" s="18" t="n">
        <v>48</v>
      </c>
      <c r="B54" s="16" t="str">
        <f aca="false">IF($A54&gt;Calculateur!$B$15,"",Calculateur!$B$14+$A54)</f>
        <v/>
      </c>
      <c r="C54" s="36" t="str">
        <f aca="false">IF($B54="","",Paramètres!$B$16+(1-Paramètres!$B$16)*(($B54-Paramètres!$B$14)/(Paramètres!$B$15-Paramètres!$B$14))^Paramètres!$B$17)</f>
        <v/>
      </c>
      <c r="D54" s="19" t="str">
        <f aca="false">IF($B54="","",ROUND(D$5*$C54,Paramètres!$F$22))</f>
        <v/>
      </c>
      <c r="E54" s="19" t="str">
        <f aca="false">IF($B54="","",ROUND(E$5*$C54,Paramètres!$F$23))</f>
        <v/>
      </c>
      <c r="F54" s="19" t="str">
        <f aca="false">IF($B54="","",ROUND(F$5*$C54,Paramètres!$F$24))</f>
        <v/>
      </c>
      <c r="G54" s="19" t="str">
        <f aca="false">IF($B54="","",ROUND(G$5*$C54,Paramètres!$F$25))</f>
        <v/>
      </c>
      <c r="H54" s="19" t="str">
        <f aca="false">IF($B54="","",ROUND(H$5*$C54,Paramètres!$F$26))</f>
        <v/>
      </c>
      <c r="I54" s="19" t="str">
        <f aca="false">IF($B54="","",ROUND(I$5*$C54,Paramètres!$F$27))</f>
        <v/>
      </c>
      <c r="J54" s="20" t="str">
        <f aca="false">IF($B54="","",ROUND(J$5*$C54,Paramètres!$F$28))</f>
        <v/>
      </c>
      <c r="K54" s="20" t="str">
        <f aca="false">IF($B54="","",ROUND(K$5*$C54,Paramètres!$F$29))</f>
        <v/>
      </c>
      <c r="L54" s="20" t="str">
        <f aca="false">IF($B54="","",ROUND(L$5*$C54,Paramètres!$F$30))</f>
        <v/>
      </c>
      <c r="M54" s="19" t="str">
        <f aca="false">IF($B54="","",ROUND(M$5*$C54,Paramètres!$F$31))</f>
        <v/>
      </c>
      <c r="N54" s="20" t="str">
        <f aca="false">IF($B54="","",ROUND(N$5*$C54,Paramètres!$F$32))</f>
        <v/>
      </c>
      <c r="O54" s="20" t="str">
        <f aca="false">IF($B54="","",ROUND(O$5*$C54,Paramètres!$F$33))</f>
        <v/>
      </c>
      <c r="P54" s="20" t="str">
        <f aca="false">IF($B54="","",ROUND(P$5*$C54,Paramètres!$F$34))</f>
        <v/>
      </c>
      <c r="Q54" s="20" t="str">
        <f aca="false">IF($B54="","",ROUND(Q$5*$C54,Paramètres!$F$35))</f>
        <v/>
      </c>
      <c r="R54" s="19" t="str">
        <f aca="false" t="array" ref="R54:R54">IF(OR($B54="",$A54=0),"",INDEX(Amélioration!$B$6:$H$104,$A54,Calculateur!$B$10))</f>
        <v/>
      </c>
      <c r="S54" s="19" t="str">
        <f aca="false" t="array" ref="S54:S54">IF($B54="","",IF($A54=0,0,INDEX(Amélioration!$J$6:$P$104,$A54,Calculateur!$B$10)))</f>
        <v/>
      </c>
    </row>
    <row r="55" customFormat="false" ht="15.75" hidden="false" customHeight="true" outlineLevel="0" collapsed="false">
      <c r="A55" s="18" t="n">
        <v>49</v>
      </c>
      <c r="B55" s="16" t="str">
        <f aca="false">IF($A55&gt;Calculateur!$B$15,"",Calculateur!$B$14+$A55)</f>
        <v/>
      </c>
      <c r="C55" s="36" t="str">
        <f aca="false">IF($B55="","",Paramètres!$B$16+(1-Paramètres!$B$16)*(($B55-Paramètres!$B$14)/(Paramètres!$B$15-Paramètres!$B$14))^Paramètres!$B$17)</f>
        <v/>
      </c>
      <c r="D55" s="19" t="str">
        <f aca="false">IF($B55="","",ROUND(D$5*$C55,Paramètres!$F$22))</f>
        <v/>
      </c>
      <c r="E55" s="19" t="str">
        <f aca="false">IF($B55="","",ROUND(E$5*$C55,Paramètres!$F$23))</f>
        <v/>
      </c>
      <c r="F55" s="19" t="str">
        <f aca="false">IF($B55="","",ROUND(F$5*$C55,Paramètres!$F$24))</f>
        <v/>
      </c>
      <c r="G55" s="19" t="str">
        <f aca="false">IF($B55="","",ROUND(G$5*$C55,Paramètres!$F$25))</f>
        <v/>
      </c>
      <c r="H55" s="19" t="str">
        <f aca="false">IF($B55="","",ROUND(H$5*$C55,Paramètres!$F$26))</f>
        <v/>
      </c>
      <c r="I55" s="19" t="str">
        <f aca="false">IF($B55="","",ROUND(I$5*$C55,Paramètres!$F$27))</f>
        <v/>
      </c>
      <c r="J55" s="20" t="str">
        <f aca="false">IF($B55="","",ROUND(J$5*$C55,Paramètres!$F$28))</f>
        <v/>
      </c>
      <c r="K55" s="20" t="str">
        <f aca="false">IF($B55="","",ROUND(K$5*$C55,Paramètres!$F$29))</f>
        <v/>
      </c>
      <c r="L55" s="20" t="str">
        <f aca="false">IF($B55="","",ROUND(L$5*$C55,Paramètres!$F$30))</f>
        <v/>
      </c>
      <c r="M55" s="19" t="str">
        <f aca="false">IF($B55="","",ROUND(M$5*$C55,Paramètres!$F$31))</f>
        <v/>
      </c>
      <c r="N55" s="20" t="str">
        <f aca="false">IF($B55="","",ROUND(N$5*$C55,Paramètres!$F$32))</f>
        <v/>
      </c>
      <c r="O55" s="20" t="str">
        <f aca="false">IF($B55="","",ROUND(O$5*$C55,Paramètres!$F$33))</f>
        <v/>
      </c>
      <c r="P55" s="20" t="str">
        <f aca="false">IF($B55="","",ROUND(P$5*$C55,Paramètres!$F$34))</f>
        <v/>
      </c>
      <c r="Q55" s="20" t="str">
        <f aca="false">IF($B55="","",ROUND(Q$5*$C55,Paramètres!$F$35))</f>
        <v/>
      </c>
      <c r="R55" s="19" t="str">
        <f aca="false" t="array" ref="R55:R55">IF(OR($B55="",$A55=0),"",INDEX(Amélioration!$B$6:$H$104,$A55,Calculateur!$B$10))</f>
        <v/>
      </c>
      <c r="S55" s="19" t="str">
        <f aca="false" t="array" ref="S55:S55">IF($B55="","",IF($A55=0,0,INDEX(Amélioration!$J$6:$P$104,$A55,Calculateur!$B$10)))</f>
        <v/>
      </c>
    </row>
    <row r="56" customFormat="false" ht="15.75" hidden="false" customHeight="true" outlineLevel="0" collapsed="false">
      <c r="A56" s="18" t="n">
        <v>50</v>
      </c>
      <c r="B56" s="16" t="str">
        <f aca="false">IF($A56&gt;Calculateur!$B$15,"",Calculateur!$B$14+$A56)</f>
        <v/>
      </c>
      <c r="C56" s="36" t="str">
        <f aca="false">IF($B56="","",Paramètres!$B$16+(1-Paramètres!$B$16)*(($B56-Paramètres!$B$14)/(Paramètres!$B$15-Paramètres!$B$14))^Paramètres!$B$17)</f>
        <v/>
      </c>
      <c r="D56" s="19" t="str">
        <f aca="false">IF($B56="","",ROUND(D$5*$C56,Paramètres!$F$22))</f>
        <v/>
      </c>
      <c r="E56" s="19" t="str">
        <f aca="false">IF($B56="","",ROUND(E$5*$C56,Paramètres!$F$23))</f>
        <v/>
      </c>
      <c r="F56" s="19" t="str">
        <f aca="false">IF($B56="","",ROUND(F$5*$C56,Paramètres!$F$24))</f>
        <v/>
      </c>
      <c r="G56" s="19" t="str">
        <f aca="false">IF($B56="","",ROUND(G$5*$C56,Paramètres!$F$25))</f>
        <v/>
      </c>
      <c r="H56" s="19" t="str">
        <f aca="false">IF($B56="","",ROUND(H$5*$C56,Paramètres!$F$26))</f>
        <v/>
      </c>
      <c r="I56" s="19" t="str">
        <f aca="false">IF($B56="","",ROUND(I$5*$C56,Paramètres!$F$27))</f>
        <v/>
      </c>
      <c r="J56" s="20" t="str">
        <f aca="false">IF($B56="","",ROUND(J$5*$C56,Paramètres!$F$28))</f>
        <v/>
      </c>
      <c r="K56" s="20" t="str">
        <f aca="false">IF($B56="","",ROUND(K$5*$C56,Paramètres!$F$29))</f>
        <v/>
      </c>
      <c r="L56" s="20" t="str">
        <f aca="false">IF($B56="","",ROUND(L$5*$C56,Paramètres!$F$30))</f>
        <v/>
      </c>
      <c r="M56" s="19" t="str">
        <f aca="false">IF($B56="","",ROUND(M$5*$C56,Paramètres!$F$31))</f>
        <v/>
      </c>
      <c r="N56" s="20" t="str">
        <f aca="false">IF($B56="","",ROUND(N$5*$C56,Paramètres!$F$32))</f>
        <v/>
      </c>
      <c r="O56" s="20" t="str">
        <f aca="false">IF($B56="","",ROUND(O$5*$C56,Paramètres!$F$33))</f>
        <v/>
      </c>
      <c r="P56" s="20" t="str">
        <f aca="false">IF($B56="","",ROUND(P$5*$C56,Paramètres!$F$34))</f>
        <v/>
      </c>
      <c r="Q56" s="20" t="str">
        <f aca="false">IF($B56="","",ROUND(Q$5*$C56,Paramètres!$F$35))</f>
        <v/>
      </c>
      <c r="R56" s="19" t="str">
        <f aca="false" t="array" ref="R56:R56">IF(OR($B56="",$A56=0),"",INDEX(Amélioration!$B$6:$H$104,$A56,Calculateur!$B$10))</f>
        <v/>
      </c>
      <c r="S56" s="19" t="str">
        <f aca="false" t="array" ref="S56:S56">IF($B56="","",IF($A56=0,0,INDEX(Amélioration!$J$6:$P$104,$A56,Calculateur!$B$10)))</f>
        <v/>
      </c>
    </row>
    <row r="57" customFormat="false" ht="15.75" hidden="false" customHeight="true" outlineLevel="0" collapsed="false">
      <c r="A57" s="18" t="n">
        <v>51</v>
      </c>
      <c r="B57" s="16" t="str">
        <f aca="false">IF($A57&gt;Calculateur!$B$15,"",Calculateur!$B$14+$A57)</f>
        <v/>
      </c>
      <c r="C57" s="36" t="str">
        <f aca="false">IF($B57="","",Paramètres!$B$16+(1-Paramètres!$B$16)*(($B57-Paramètres!$B$14)/(Paramètres!$B$15-Paramètres!$B$14))^Paramètres!$B$17)</f>
        <v/>
      </c>
      <c r="D57" s="19" t="str">
        <f aca="false">IF($B57="","",ROUND(D$5*$C57,Paramètres!$F$22))</f>
        <v/>
      </c>
      <c r="E57" s="19" t="str">
        <f aca="false">IF($B57="","",ROUND(E$5*$C57,Paramètres!$F$23))</f>
        <v/>
      </c>
      <c r="F57" s="19" t="str">
        <f aca="false">IF($B57="","",ROUND(F$5*$C57,Paramètres!$F$24))</f>
        <v/>
      </c>
      <c r="G57" s="19" t="str">
        <f aca="false">IF($B57="","",ROUND(G$5*$C57,Paramètres!$F$25))</f>
        <v/>
      </c>
      <c r="H57" s="19" t="str">
        <f aca="false">IF($B57="","",ROUND(H$5*$C57,Paramètres!$F$26))</f>
        <v/>
      </c>
      <c r="I57" s="19" t="str">
        <f aca="false">IF($B57="","",ROUND(I$5*$C57,Paramètres!$F$27))</f>
        <v/>
      </c>
      <c r="J57" s="20" t="str">
        <f aca="false">IF($B57="","",ROUND(J$5*$C57,Paramètres!$F$28))</f>
        <v/>
      </c>
      <c r="K57" s="20" t="str">
        <f aca="false">IF($B57="","",ROUND(K$5*$C57,Paramètres!$F$29))</f>
        <v/>
      </c>
      <c r="L57" s="20" t="str">
        <f aca="false">IF($B57="","",ROUND(L$5*$C57,Paramètres!$F$30))</f>
        <v/>
      </c>
      <c r="M57" s="19" t="str">
        <f aca="false">IF($B57="","",ROUND(M$5*$C57,Paramètres!$F$31))</f>
        <v/>
      </c>
      <c r="N57" s="20" t="str">
        <f aca="false">IF($B57="","",ROUND(N$5*$C57,Paramètres!$F$32))</f>
        <v/>
      </c>
      <c r="O57" s="20" t="str">
        <f aca="false">IF($B57="","",ROUND(O$5*$C57,Paramètres!$F$33))</f>
        <v/>
      </c>
      <c r="P57" s="20" t="str">
        <f aca="false">IF($B57="","",ROUND(P$5*$C57,Paramètres!$F$34))</f>
        <v/>
      </c>
      <c r="Q57" s="20" t="str">
        <f aca="false">IF($B57="","",ROUND(Q$5*$C57,Paramètres!$F$35))</f>
        <v/>
      </c>
      <c r="R57" s="19" t="str">
        <f aca="false" t="array" ref="R57:R57">IF(OR($B57="",$A57=0),"",INDEX(Amélioration!$B$6:$H$104,$A57,Calculateur!$B$10))</f>
        <v/>
      </c>
      <c r="S57" s="19" t="str">
        <f aca="false" t="array" ref="S57:S57">IF($B57="","",IF($A57=0,0,INDEX(Amélioration!$J$6:$P$104,$A57,Calculateur!$B$10)))</f>
        <v/>
      </c>
    </row>
    <row r="58" customFormat="false" ht="15.75" hidden="false" customHeight="true" outlineLevel="0" collapsed="false">
      <c r="A58" s="18" t="n">
        <v>52</v>
      </c>
      <c r="B58" s="16" t="str">
        <f aca="false">IF($A58&gt;Calculateur!$B$15,"",Calculateur!$B$14+$A58)</f>
        <v/>
      </c>
      <c r="C58" s="36" t="str">
        <f aca="false">IF($B58="","",Paramètres!$B$16+(1-Paramètres!$B$16)*(($B58-Paramètres!$B$14)/(Paramètres!$B$15-Paramètres!$B$14))^Paramètres!$B$17)</f>
        <v/>
      </c>
      <c r="D58" s="19" t="str">
        <f aca="false">IF($B58="","",ROUND(D$5*$C58,Paramètres!$F$22))</f>
        <v/>
      </c>
      <c r="E58" s="19" t="str">
        <f aca="false">IF($B58="","",ROUND(E$5*$C58,Paramètres!$F$23))</f>
        <v/>
      </c>
      <c r="F58" s="19" t="str">
        <f aca="false">IF($B58="","",ROUND(F$5*$C58,Paramètres!$F$24))</f>
        <v/>
      </c>
      <c r="G58" s="19" t="str">
        <f aca="false">IF($B58="","",ROUND(G$5*$C58,Paramètres!$F$25))</f>
        <v/>
      </c>
      <c r="H58" s="19" t="str">
        <f aca="false">IF($B58="","",ROUND(H$5*$C58,Paramètres!$F$26))</f>
        <v/>
      </c>
      <c r="I58" s="19" t="str">
        <f aca="false">IF($B58="","",ROUND(I$5*$C58,Paramètres!$F$27))</f>
        <v/>
      </c>
      <c r="J58" s="20" t="str">
        <f aca="false">IF($B58="","",ROUND(J$5*$C58,Paramètres!$F$28))</f>
        <v/>
      </c>
      <c r="K58" s="20" t="str">
        <f aca="false">IF($B58="","",ROUND(K$5*$C58,Paramètres!$F$29))</f>
        <v/>
      </c>
      <c r="L58" s="20" t="str">
        <f aca="false">IF($B58="","",ROUND(L$5*$C58,Paramètres!$F$30))</f>
        <v/>
      </c>
      <c r="M58" s="19" t="str">
        <f aca="false">IF($B58="","",ROUND(M$5*$C58,Paramètres!$F$31))</f>
        <v/>
      </c>
      <c r="N58" s="20" t="str">
        <f aca="false">IF($B58="","",ROUND(N$5*$C58,Paramètres!$F$32))</f>
        <v/>
      </c>
      <c r="O58" s="20" t="str">
        <f aca="false">IF($B58="","",ROUND(O$5*$C58,Paramètres!$F$33))</f>
        <v/>
      </c>
      <c r="P58" s="20" t="str">
        <f aca="false">IF($B58="","",ROUND(P$5*$C58,Paramètres!$F$34))</f>
        <v/>
      </c>
      <c r="Q58" s="20" t="str">
        <f aca="false">IF($B58="","",ROUND(Q$5*$C58,Paramètres!$F$35))</f>
        <v/>
      </c>
      <c r="R58" s="19" t="str">
        <f aca="false" t="array" ref="R58:R58">IF(OR($B58="",$A58=0),"",INDEX(Amélioration!$B$6:$H$104,$A58,Calculateur!$B$10))</f>
        <v/>
      </c>
      <c r="S58" s="19" t="str">
        <f aca="false" t="array" ref="S58:S58">IF($B58="","",IF($A58=0,0,INDEX(Amélioration!$J$6:$P$104,$A58,Calculateur!$B$10)))</f>
        <v/>
      </c>
    </row>
    <row r="59" customFormat="false" ht="15.75" hidden="false" customHeight="true" outlineLevel="0" collapsed="false">
      <c r="A59" s="18" t="n">
        <v>53</v>
      </c>
      <c r="B59" s="16" t="str">
        <f aca="false">IF($A59&gt;Calculateur!$B$15,"",Calculateur!$B$14+$A59)</f>
        <v/>
      </c>
      <c r="C59" s="36" t="str">
        <f aca="false">IF($B59="","",Paramètres!$B$16+(1-Paramètres!$B$16)*(($B59-Paramètres!$B$14)/(Paramètres!$B$15-Paramètres!$B$14))^Paramètres!$B$17)</f>
        <v/>
      </c>
      <c r="D59" s="19" t="str">
        <f aca="false">IF($B59="","",ROUND(D$5*$C59,Paramètres!$F$22))</f>
        <v/>
      </c>
      <c r="E59" s="19" t="str">
        <f aca="false">IF($B59="","",ROUND(E$5*$C59,Paramètres!$F$23))</f>
        <v/>
      </c>
      <c r="F59" s="19" t="str">
        <f aca="false">IF($B59="","",ROUND(F$5*$C59,Paramètres!$F$24))</f>
        <v/>
      </c>
      <c r="G59" s="19" t="str">
        <f aca="false">IF($B59="","",ROUND(G$5*$C59,Paramètres!$F$25))</f>
        <v/>
      </c>
      <c r="H59" s="19" t="str">
        <f aca="false">IF($B59="","",ROUND(H$5*$C59,Paramètres!$F$26))</f>
        <v/>
      </c>
      <c r="I59" s="19" t="str">
        <f aca="false">IF($B59="","",ROUND(I$5*$C59,Paramètres!$F$27))</f>
        <v/>
      </c>
      <c r="J59" s="20" t="str">
        <f aca="false">IF($B59="","",ROUND(J$5*$C59,Paramètres!$F$28))</f>
        <v/>
      </c>
      <c r="K59" s="20" t="str">
        <f aca="false">IF($B59="","",ROUND(K$5*$C59,Paramètres!$F$29))</f>
        <v/>
      </c>
      <c r="L59" s="20" t="str">
        <f aca="false">IF($B59="","",ROUND(L$5*$C59,Paramètres!$F$30))</f>
        <v/>
      </c>
      <c r="M59" s="19" t="str">
        <f aca="false">IF($B59="","",ROUND(M$5*$C59,Paramètres!$F$31))</f>
        <v/>
      </c>
      <c r="N59" s="20" t="str">
        <f aca="false">IF($B59="","",ROUND(N$5*$C59,Paramètres!$F$32))</f>
        <v/>
      </c>
      <c r="O59" s="20" t="str">
        <f aca="false">IF($B59="","",ROUND(O$5*$C59,Paramètres!$F$33))</f>
        <v/>
      </c>
      <c r="P59" s="20" t="str">
        <f aca="false">IF($B59="","",ROUND(P$5*$C59,Paramètres!$F$34))</f>
        <v/>
      </c>
      <c r="Q59" s="20" t="str">
        <f aca="false">IF($B59="","",ROUND(Q$5*$C59,Paramètres!$F$35))</f>
        <v/>
      </c>
      <c r="R59" s="19" t="str">
        <f aca="false" t="array" ref="R59:R59">IF(OR($B59="",$A59=0),"",INDEX(Amélioration!$B$6:$H$104,$A59,Calculateur!$B$10))</f>
        <v/>
      </c>
      <c r="S59" s="19" t="str">
        <f aca="false" t="array" ref="S59:S59">IF($B59="","",IF($A59=0,0,INDEX(Amélioration!$J$6:$P$104,$A59,Calculateur!$B$10)))</f>
        <v/>
      </c>
    </row>
    <row r="60" customFormat="false" ht="15.75" hidden="false" customHeight="true" outlineLevel="0" collapsed="false">
      <c r="A60" s="18" t="n">
        <v>54</v>
      </c>
      <c r="B60" s="16" t="str">
        <f aca="false">IF($A60&gt;Calculateur!$B$15,"",Calculateur!$B$14+$A60)</f>
        <v/>
      </c>
      <c r="C60" s="36" t="str">
        <f aca="false">IF($B60="","",Paramètres!$B$16+(1-Paramètres!$B$16)*(($B60-Paramètres!$B$14)/(Paramètres!$B$15-Paramètres!$B$14))^Paramètres!$B$17)</f>
        <v/>
      </c>
      <c r="D60" s="19" t="str">
        <f aca="false">IF($B60="","",ROUND(D$5*$C60,Paramètres!$F$22))</f>
        <v/>
      </c>
      <c r="E60" s="19" t="str">
        <f aca="false">IF($B60="","",ROUND(E$5*$C60,Paramètres!$F$23))</f>
        <v/>
      </c>
      <c r="F60" s="19" t="str">
        <f aca="false">IF($B60="","",ROUND(F$5*$C60,Paramètres!$F$24))</f>
        <v/>
      </c>
      <c r="G60" s="19" t="str">
        <f aca="false">IF($B60="","",ROUND(G$5*$C60,Paramètres!$F$25))</f>
        <v/>
      </c>
      <c r="H60" s="19" t="str">
        <f aca="false">IF($B60="","",ROUND(H$5*$C60,Paramètres!$F$26))</f>
        <v/>
      </c>
      <c r="I60" s="19" t="str">
        <f aca="false">IF($B60="","",ROUND(I$5*$C60,Paramètres!$F$27))</f>
        <v/>
      </c>
      <c r="J60" s="20" t="str">
        <f aca="false">IF($B60="","",ROUND(J$5*$C60,Paramètres!$F$28))</f>
        <v/>
      </c>
      <c r="K60" s="20" t="str">
        <f aca="false">IF($B60="","",ROUND(K$5*$C60,Paramètres!$F$29))</f>
        <v/>
      </c>
      <c r="L60" s="20" t="str">
        <f aca="false">IF($B60="","",ROUND(L$5*$C60,Paramètres!$F$30))</f>
        <v/>
      </c>
      <c r="M60" s="19" t="str">
        <f aca="false">IF($B60="","",ROUND(M$5*$C60,Paramètres!$F$31))</f>
        <v/>
      </c>
      <c r="N60" s="20" t="str">
        <f aca="false">IF($B60="","",ROUND(N$5*$C60,Paramètres!$F$32))</f>
        <v/>
      </c>
      <c r="O60" s="20" t="str">
        <f aca="false">IF($B60="","",ROUND(O$5*$C60,Paramètres!$F$33))</f>
        <v/>
      </c>
      <c r="P60" s="20" t="str">
        <f aca="false">IF($B60="","",ROUND(P$5*$C60,Paramètres!$F$34))</f>
        <v/>
      </c>
      <c r="Q60" s="20" t="str">
        <f aca="false">IF($B60="","",ROUND(Q$5*$C60,Paramètres!$F$35))</f>
        <v/>
      </c>
      <c r="R60" s="19" t="str">
        <f aca="false" t="array" ref="R60:R60">IF(OR($B60="",$A60=0),"",INDEX(Amélioration!$B$6:$H$104,$A60,Calculateur!$B$10))</f>
        <v/>
      </c>
      <c r="S60" s="19" t="str">
        <f aca="false" t="array" ref="S60:S60">IF($B60="","",IF($A60=0,0,INDEX(Amélioration!$J$6:$P$104,$A60,Calculateur!$B$10)))</f>
        <v/>
      </c>
    </row>
    <row r="61" customFormat="false" ht="15.75" hidden="false" customHeight="true" outlineLevel="0" collapsed="false">
      <c r="A61" s="18" t="n">
        <v>55</v>
      </c>
      <c r="B61" s="16" t="str">
        <f aca="false">IF($A61&gt;Calculateur!$B$15,"",Calculateur!$B$14+$A61)</f>
        <v/>
      </c>
      <c r="C61" s="36" t="str">
        <f aca="false">IF($B61="","",Paramètres!$B$16+(1-Paramètres!$B$16)*(($B61-Paramètres!$B$14)/(Paramètres!$B$15-Paramètres!$B$14))^Paramètres!$B$17)</f>
        <v/>
      </c>
      <c r="D61" s="19" t="str">
        <f aca="false">IF($B61="","",ROUND(D$5*$C61,Paramètres!$F$22))</f>
        <v/>
      </c>
      <c r="E61" s="19" t="str">
        <f aca="false">IF($B61="","",ROUND(E$5*$C61,Paramètres!$F$23))</f>
        <v/>
      </c>
      <c r="F61" s="19" t="str">
        <f aca="false">IF($B61="","",ROUND(F$5*$C61,Paramètres!$F$24))</f>
        <v/>
      </c>
      <c r="G61" s="19" t="str">
        <f aca="false">IF($B61="","",ROUND(G$5*$C61,Paramètres!$F$25))</f>
        <v/>
      </c>
      <c r="H61" s="19" t="str">
        <f aca="false">IF($B61="","",ROUND(H$5*$C61,Paramètres!$F$26))</f>
        <v/>
      </c>
      <c r="I61" s="19" t="str">
        <f aca="false">IF($B61="","",ROUND(I$5*$C61,Paramètres!$F$27))</f>
        <v/>
      </c>
      <c r="J61" s="20" t="str">
        <f aca="false">IF($B61="","",ROUND(J$5*$C61,Paramètres!$F$28))</f>
        <v/>
      </c>
      <c r="K61" s="20" t="str">
        <f aca="false">IF($B61="","",ROUND(K$5*$C61,Paramètres!$F$29))</f>
        <v/>
      </c>
      <c r="L61" s="20" t="str">
        <f aca="false">IF($B61="","",ROUND(L$5*$C61,Paramètres!$F$30))</f>
        <v/>
      </c>
      <c r="M61" s="19" t="str">
        <f aca="false">IF($B61="","",ROUND(M$5*$C61,Paramètres!$F$31))</f>
        <v/>
      </c>
      <c r="N61" s="20" t="str">
        <f aca="false">IF($B61="","",ROUND(N$5*$C61,Paramètres!$F$32))</f>
        <v/>
      </c>
      <c r="O61" s="20" t="str">
        <f aca="false">IF($B61="","",ROUND(O$5*$C61,Paramètres!$F$33))</f>
        <v/>
      </c>
      <c r="P61" s="20" t="str">
        <f aca="false">IF($B61="","",ROUND(P$5*$C61,Paramètres!$F$34))</f>
        <v/>
      </c>
      <c r="Q61" s="20" t="str">
        <f aca="false">IF($B61="","",ROUND(Q$5*$C61,Paramètres!$F$35))</f>
        <v/>
      </c>
      <c r="R61" s="19" t="str">
        <f aca="false" t="array" ref="R61:R61">IF(OR($B61="",$A61=0),"",INDEX(Amélioration!$B$6:$H$104,$A61,Calculateur!$B$10))</f>
        <v/>
      </c>
      <c r="S61" s="19" t="str">
        <f aca="false" t="array" ref="S61:S61">IF($B61="","",IF($A61=0,0,INDEX(Amélioration!$J$6:$P$104,$A61,Calculateur!$B$10)))</f>
        <v/>
      </c>
    </row>
    <row r="62" customFormat="false" ht="15.75" hidden="false" customHeight="true" outlineLevel="0" collapsed="false">
      <c r="A62" s="18" t="n">
        <v>56</v>
      </c>
      <c r="B62" s="16" t="str">
        <f aca="false">IF($A62&gt;Calculateur!$B$15,"",Calculateur!$B$14+$A62)</f>
        <v/>
      </c>
      <c r="C62" s="36" t="str">
        <f aca="false">IF($B62="","",Paramètres!$B$16+(1-Paramètres!$B$16)*(($B62-Paramètres!$B$14)/(Paramètres!$B$15-Paramètres!$B$14))^Paramètres!$B$17)</f>
        <v/>
      </c>
      <c r="D62" s="19" t="str">
        <f aca="false">IF($B62="","",ROUND(D$5*$C62,Paramètres!$F$22))</f>
        <v/>
      </c>
      <c r="E62" s="19" t="str">
        <f aca="false">IF($B62="","",ROUND(E$5*$C62,Paramètres!$F$23))</f>
        <v/>
      </c>
      <c r="F62" s="19" t="str">
        <f aca="false">IF($B62="","",ROUND(F$5*$C62,Paramètres!$F$24))</f>
        <v/>
      </c>
      <c r="G62" s="19" t="str">
        <f aca="false">IF($B62="","",ROUND(G$5*$C62,Paramètres!$F$25))</f>
        <v/>
      </c>
      <c r="H62" s="19" t="str">
        <f aca="false">IF($B62="","",ROUND(H$5*$C62,Paramètres!$F$26))</f>
        <v/>
      </c>
      <c r="I62" s="19" t="str">
        <f aca="false">IF($B62="","",ROUND(I$5*$C62,Paramètres!$F$27))</f>
        <v/>
      </c>
      <c r="J62" s="20" t="str">
        <f aca="false">IF($B62="","",ROUND(J$5*$C62,Paramètres!$F$28))</f>
        <v/>
      </c>
      <c r="K62" s="20" t="str">
        <f aca="false">IF($B62="","",ROUND(K$5*$C62,Paramètres!$F$29))</f>
        <v/>
      </c>
      <c r="L62" s="20" t="str">
        <f aca="false">IF($B62="","",ROUND(L$5*$C62,Paramètres!$F$30))</f>
        <v/>
      </c>
      <c r="M62" s="19" t="str">
        <f aca="false">IF($B62="","",ROUND(M$5*$C62,Paramètres!$F$31))</f>
        <v/>
      </c>
      <c r="N62" s="20" t="str">
        <f aca="false">IF($B62="","",ROUND(N$5*$C62,Paramètres!$F$32))</f>
        <v/>
      </c>
      <c r="O62" s="20" t="str">
        <f aca="false">IF($B62="","",ROUND(O$5*$C62,Paramètres!$F$33))</f>
        <v/>
      </c>
      <c r="P62" s="20" t="str">
        <f aca="false">IF($B62="","",ROUND(P$5*$C62,Paramètres!$F$34))</f>
        <v/>
      </c>
      <c r="Q62" s="20" t="str">
        <f aca="false">IF($B62="","",ROUND(Q$5*$C62,Paramètres!$F$35))</f>
        <v/>
      </c>
      <c r="R62" s="19" t="str">
        <f aca="false" t="array" ref="R62:R62">IF(OR($B62="",$A62=0),"",INDEX(Amélioration!$B$6:$H$104,$A62,Calculateur!$B$10))</f>
        <v/>
      </c>
      <c r="S62" s="19" t="str">
        <f aca="false" t="array" ref="S62:S62">IF($B62="","",IF($A62=0,0,INDEX(Amélioration!$J$6:$P$104,$A62,Calculateur!$B$10)))</f>
        <v/>
      </c>
    </row>
    <row r="63" customFormat="false" ht="15.75" hidden="false" customHeight="true" outlineLevel="0" collapsed="false">
      <c r="A63" s="18" t="n">
        <v>57</v>
      </c>
      <c r="B63" s="16" t="str">
        <f aca="false">IF($A63&gt;Calculateur!$B$15,"",Calculateur!$B$14+$A63)</f>
        <v/>
      </c>
      <c r="C63" s="36" t="str">
        <f aca="false">IF($B63="","",Paramètres!$B$16+(1-Paramètres!$B$16)*(($B63-Paramètres!$B$14)/(Paramètres!$B$15-Paramètres!$B$14))^Paramètres!$B$17)</f>
        <v/>
      </c>
      <c r="D63" s="19" t="str">
        <f aca="false">IF($B63="","",ROUND(D$5*$C63,Paramètres!$F$22))</f>
        <v/>
      </c>
      <c r="E63" s="19" t="str">
        <f aca="false">IF($B63="","",ROUND(E$5*$C63,Paramètres!$F$23))</f>
        <v/>
      </c>
      <c r="F63" s="19" t="str">
        <f aca="false">IF($B63="","",ROUND(F$5*$C63,Paramètres!$F$24))</f>
        <v/>
      </c>
      <c r="G63" s="19" t="str">
        <f aca="false">IF($B63="","",ROUND(G$5*$C63,Paramètres!$F$25))</f>
        <v/>
      </c>
      <c r="H63" s="19" t="str">
        <f aca="false">IF($B63="","",ROUND(H$5*$C63,Paramètres!$F$26))</f>
        <v/>
      </c>
      <c r="I63" s="19" t="str">
        <f aca="false">IF($B63="","",ROUND(I$5*$C63,Paramètres!$F$27))</f>
        <v/>
      </c>
      <c r="J63" s="20" t="str">
        <f aca="false">IF($B63="","",ROUND(J$5*$C63,Paramètres!$F$28))</f>
        <v/>
      </c>
      <c r="K63" s="20" t="str">
        <f aca="false">IF($B63="","",ROUND(K$5*$C63,Paramètres!$F$29))</f>
        <v/>
      </c>
      <c r="L63" s="20" t="str">
        <f aca="false">IF($B63="","",ROUND(L$5*$C63,Paramètres!$F$30))</f>
        <v/>
      </c>
      <c r="M63" s="19" t="str">
        <f aca="false">IF($B63="","",ROUND(M$5*$C63,Paramètres!$F$31))</f>
        <v/>
      </c>
      <c r="N63" s="20" t="str">
        <f aca="false">IF($B63="","",ROUND(N$5*$C63,Paramètres!$F$32))</f>
        <v/>
      </c>
      <c r="O63" s="20" t="str">
        <f aca="false">IF($B63="","",ROUND(O$5*$C63,Paramètres!$F$33))</f>
        <v/>
      </c>
      <c r="P63" s="20" t="str">
        <f aca="false">IF($B63="","",ROUND(P$5*$C63,Paramètres!$F$34))</f>
        <v/>
      </c>
      <c r="Q63" s="20" t="str">
        <f aca="false">IF($B63="","",ROUND(Q$5*$C63,Paramètres!$F$35))</f>
        <v/>
      </c>
      <c r="R63" s="19" t="str">
        <f aca="false" t="array" ref="R63:R63">IF(OR($B63="",$A63=0),"",INDEX(Amélioration!$B$6:$H$104,$A63,Calculateur!$B$10))</f>
        <v/>
      </c>
      <c r="S63" s="19" t="str">
        <f aca="false" t="array" ref="S63:S63">IF($B63="","",IF($A63=0,0,INDEX(Amélioration!$J$6:$P$104,$A63,Calculateur!$B$10)))</f>
        <v/>
      </c>
    </row>
    <row r="64" customFormat="false" ht="15.75" hidden="false" customHeight="true" outlineLevel="0" collapsed="false">
      <c r="A64" s="18" t="n">
        <v>58</v>
      </c>
      <c r="B64" s="16" t="str">
        <f aca="false">IF($A64&gt;Calculateur!$B$15,"",Calculateur!$B$14+$A64)</f>
        <v/>
      </c>
      <c r="C64" s="36" t="str">
        <f aca="false">IF($B64="","",Paramètres!$B$16+(1-Paramètres!$B$16)*(($B64-Paramètres!$B$14)/(Paramètres!$B$15-Paramètres!$B$14))^Paramètres!$B$17)</f>
        <v/>
      </c>
      <c r="D64" s="19" t="str">
        <f aca="false">IF($B64="","",ROUND(D$5*$C64,Paramètres!$F$22))</f>
        <v/>
      </c>
      <c r="E64" s="19" t="str">
        <f aca="false">IF($B64="","",ROUND(E$5*$C64,Paramètres!$F$23))</f>
        <v/>
      </c>
      <c r="F64" s="19" t="str">
        <f aca="false">IF($B64="","",ROUND(F$5*$C64,Paramètres!$F$24))</f>
        <v/>
      </c>
      <c r="G64" s="19" t="str">
        <f aca="false">IF($B64="","",ROUND(G$5*$C64,Paramètres!$F$25))</f>
        <v/>
      </c>
      <c r="H64" s="19" t="str">
        <f aca="false">IF($B64="","",ROUND(H$5*$C64,Paramètres!$F$26))</f>
        <v/>
      </c>
      <c r="I64" s="19" t="str">
        <f aca="false">IF($B64="","",ROUND(I$5*$C64,Paramètres!$F$27))</f>
        <v/>
      </c>
      <c r="J64" s="20" t="str">
        <f aca="false">IF($B64="","",ROUND(J$5*$C64,Paramètres!$F$28))</f>
        <v/>
      </c>
      <c r="K64" s="20" t="str">
        <f aca="false">IF($B64="","",ROUND(K$5*$C64,Paramètres!$F$29))</f>
        <v/>
      </c>
      <c r="L64" s="20" t="str">
        <f aca="false">IF($B64="","",ROUND(L$5*$C64,Paramètres!$F$30))</f>
        <v/>
      </c>
      <c r="M64" s="19" t="str">
        <f aca="false">IF($B64="","",ROUND(M$5*$C64,Paramètres!$F$31))</f>
        <v/>
      </c>
      <c r="N64" s="20" t="str">
        <f aca="false">IF($B64="","",ROUND(N$5*$C64,Paramètres!$F$32))</f>
        <v/>
      </c>
      <c r="O64" s="20" t="str">
        <f aca="false">IF($B64="","",ROUND(O$5*$C64,Paramètres!$F$33))</f>
        <v/>
      </c>
      <c r="P64" s="20" t="str">
        <f aca="false">IF($B64="","",ROUND(P$5*$C64,Paramètres!$F$34))</f>
        <v/>
      </c>
      <c r="Q64" s="20" t="str">
        <f aca="false">IF($B64="","",ROUND(Q$5*$C64,Paramètres!$F$35))</f>
        <v/>
      </c>
      <c r="R64" s="19" t="str">
        <f aca="false" t="array" ref="R64:R64">IF(OR($B64="",$A64=0),"",INDEX(Amélioration!$B$6:$H$104,$A64,Calculateur!$B$10))</f>
        <v/>
      </c>
      <c r="S64" s="19" t="str">
        <f aca="false" t="array" ref="S64:S64">IF($B64="","",IF($A64=0,0,INDEX(Amélioration!$J$6:$P$104,$A64,Calculateur!$B$10)))</f>
        <v/>
      </c>
    </row>
    <row r="65" customFormat="false" ht="15.75" hidden="false" customHeight="true" outlineLevel="0" collapsed="false">
      <c r="A65" s="18" t="n">
        <v>59</v>
      </c>
      <c r="B65" s="16" t="str">
        <f aca="false">IF($A65&gt;Calculateur!$B$15,"",Calculateur!$B$14+$A65)</f>
        <v/>
      </c>
      <c r="C65" s="36" t="str">
        <f aca="false">IF($B65="","",Paramètres!$B$16+(1-Paramètres!$B$16)*(($B65-Paramètres!$B$14)/(Paramètres!$B$15-Paramètres!$B$14))^Paramètres!$B$17)</f>
        <v/>
      </c>
      <c r="D65" s="19" t="str">
        <f aca="false">IF($B65="","",ROUND(D$5*$C65,Paramètres!$F$22))</f>
        <v/>
      </c>
      <c r="E65" s="19" t="str">
        <f aca="false">IF($B65="","",ROUND(E$5*$C65,Paramètres!$F$23))</f>
        <v/>
      </c>
      <c r="F65" s="19" t="str">
        <f aca="false">IF($B65="","",ROUND(F$5*$C65,Paramètres!$F$24))</f>
        <v/>
      </c>
      <c r="G65" s="19" t="str">
        <f aca="false">IF($B65="","",ROUND(G$5*$C65,Paramètres!$F$25))</f>
        <v/>
      </c>
      <c r="H65" s="19" t="str">
        <f aca="false">IF($B65="","",ROUND(H$5*$C65,Paramètres!$F$26))</f>
        <v/>
      </c>
      <c r="I65" s="19" t="str">
        <f aca="false">IF($B65="","",ROUND(I$5*$C65,Paramètres!$F$27))</f>
        <v/>
      </c>
      <c r="J65" s="20" t="str">
        <f aca="false">IF($B65="","",ROUND(J$5*$C65,Paramètres!$F$28))</f>
        <v/>
      </c>
      <c r="K65" s="20" t="str">
        <f aca="false">IF($B65="","",ROUND(K$5*$C65,Paramètres!$F$29))</f>
        <v/>
      </c>
      <c r="L65" s="20" t="str">
        <f aca="false">IF($B65="","",ROUND(L$5*$C65,Paramètres!$F$30))</f>
        <v/>
      </c>
      <c r="M65" s="19" t="str">
        <f aca="false">IF($B65="","",ROUND(M$5*$C65,Paramètres!$F$31))</f>
        <v/>
      </c>
      <c r="N65" s="20" t="str">
        <f aca="false">IF($B65="","",ROUND(N$5*$C65,Paramètres!$F$32))</f>
        <v/>
      </c>
      <c r="O65" s="20" t="str">
        <f aca="false">IF($B65="","",ROUND(O$5*$C65,Paramètres!$F$33))</f>
        <v/>
      </c>
      <c r="P65" s="20" t="str">
        <f aca="false">IF($B65="","",ROUND(P$5*$C65,Paramètres!$F$34))</f>
        <v/>
      </c>
      <c r="Q65" s="20" t="str">
        <f aca="false">IF($B65="","",ROUND(Q$5*$C65,Paramètres!$F$35))</f>
        <v/>
      </c>
      <c r="R65" s="19" t="str">
        <f aca="false" t="array" ref="R65:R65">IF(OR($B65="",$A65=0),"",INDEX(Amélioration!$B$6:$H$104,$A65,Calculateur!$B$10))</f>
        <v/>
      </c>
      <c r="S65" s="19" t="str">
        <f aca="false" t="array" ref="S65:S65">IF($B65="","",IF($A65=0,0,INDEX(Amélioration!$J$6:$P$104,$A65,Calculateur!$B$10)))</f>
        <v/>
      </c>
    </row>
    <row r="66" customFormat="false" ht="15.75" hidden="false" customHeight="true" outlineLevel="0" collapsed="false">
      <c r="A66" s="18" t="n">
        <v>60</v>
      </c>
      <c r="B66" s="16" t="str">
        <f aca="false">IF($A66&gt;Calculateur!$B$15,"",Calculateur!$B$14+$A66)</f>
        <v/>
      </c>
      <c r="C66" s="36" t="str">
        <f aca="false">IF($B66="","",Paramètres!$B$16+(1-Paramètres!$B$16)*(($B66-Paramètres!$B$14)/(Paramètres!$B$15-Paramètres!$B$14))^Paramètres!$B$17)</f>
        <v/>
      </c>
      <c r="D66" s="19" t="str">
        <f aca="false">IF($B66="","",ROUND(D$5*$C66,Paramètres!$F$22))</f>
        <v/>
      </c>
      <c r="E66" s="19" t="str">
        <f aca="false">IF($B66="","",ROUND(E$5*$C66,Paramètres!$F$23))</f>
        <v/>
      </c>
      <c r="F66" s="19" t="str">
        <f aca="false">IF($B66="","",ROUND(F$5*$C66,Paramètres!$F$24))</f>
        <v/>
      </c>
      <c r="G66" s="19" t="str">
        <f aca="false">IF($B66="","",ROUND(G$5*$C66,Paramètres!$F$25))</f>
        <v/>
      </c>
      <c r="H66" s="19" t="str">
        <f aca="false">IF($B66="","",ROUND(H$5*$C66,Paramètres!$F$26))</f>
        <v/>
      </c>
      <c r="I66" s="19" t="str">
        <f aca="false">IF($B66="","",ROUND(I$5*$C66,Paramètres!$F$27))</f>
        <v/>
      </c>
      <c r="J66" s="20" t="str">
        <f aca="false">IF($B66="","",ROUND(J$5*$C66,Paramètres!$F$28))</f>
        <v/>
      </c>
      <c r="K66" s="20" t="str">
        <f aca="false">IF($B66="","",ROUND(K$5*$C66,Paramètres!$F$29))</f>
        <v/>
      </c>
      <c r="L66" s="20" t="str">
        <f aca="false">IF($B66="","",ROUND(L$5*$C66,Paramètres!$F$30))</f>
        <v/>
      </c>
      <c r="M66" s="19" t="str">
        <f aca="false">IF($B66="","",ROUND(M$5*$C66,Paramètres!$F$31))</f>
        <v/>
      </c>
      <c r="N66" s="20" t="str">
        <f aca="false">IF($B66="","",ROUND(N$5*$C66,Paramètres!$F$32))</f>
        <v/>
      </c>
      <c r="O66" s="20" t="str">
        <f aca="false">IF($B66="","",ROUND(O$5*$C66,Paramètres!$F$33))</f>
        <v/>
      </c>
      <c r="P66" s="20" t="str">
        <f aca="false">IF($B66="","",ROUND(P$5*$C66,Paramètres!$F$34))</f>
        <v/>
      </c>
      <c r="Q66" s="20" t="str">
        <f aca="false">IF($B66="","",ROUND(Q$5*$C66,Paramètres!$F$35))</f>
        <v/>
      </c>
      <c r="R66" s="19" t="str">
        <f aca="false" t="array" ref="R66:R66">IF(OR($B66="",$A66=0),"",INDEX(Amélioration!$B$6:$H$104,$A66,Calculateur!$B$10))</f>
        <v/>
      </c>
      <c r="S66" s="19" t="str">
        <f aca="false" t="array" ref="S66:S66">IF($B66="","",IF($A66=0,0,INDEX(Amélioration!$J$6:$P$104,$A66,Calculateur!$B$10)))</f>
        <v/>
      </c>
    </row>
    <row r="67" customFormat="false" ht="15.75" hidden="false" customHeight="true" outlineLevel="0" collapsed="false">
      <c r="A67" s="18" t="n">
        <v>61</v>
      </c>
      <c r="B67" s="16" t="str">
        <f aca="false">IF($A67&gt;Calculateur!$B$15,"",Calculateur!$B$14+$A67)</f>
        <v/>
      </c>
      <c r="C67" s="36" t="str">
        <f aca="false">IF($B67="","",Paramètres!$B$16+(1-Paramètres!$B$16)*(($B67-Paramètres!$B$14)/(Paramètres!$B$15-Paramètres!$B$14))^Paramètres!$B$17)</f>
        <v/>
      </c>
      <c r="D67" s="19" t="str">
        <f aca="false">IF($B67="","",ROUND(D$5*$C67,Paramètres!$F$22))</f>
        <v/>
      </c>
      <c r="E67" s="19" t="str">
        <f aca="false">IF($B67="","",ROUND(E$5*$C67,Paramètres!$F$23))</f>
        <v/>
      </c>
      <c r="F67" s="19" t="str">
        <f aca="false">IF($B67="","",ROUND(F$5*$C67,Paramètres!$F$24))</f>
        <v/>
      </c>
      <c r="G67" s="19" t="str">
        <f aca="false">IF($B67="","",ROUND(G$5*$C67,Paramètres!$F$25))</f>
        <v/>
      </c>
      <c r="H67" s="19" t="str">
        <f aca="false">IF($B67="","",ROUND(H$5*$C67,Paramètres!$F$26))</f>
        <v/>
      </c>
      <c r="I67" s="19" t="str">
        <f aca="false">IF($B67="","",ROUND(I$5*$C67,Paramètres!$F$27))</f>
        <v/>
      </c>
      <c r="J67" s="20" t="str">
        <f aca="false">IF($B67="","",ROUND(J$5*$C67,Paramètres!$F$28))</f>
        <v/>
      </c>
      <c r="K67" s="20" t="str">
        <f aca="false">IF($B67="","",ROUND(K$5*$C67,Paramètres!$F$29))</f>
        <v/>
      </c>
      <c r="L67" s="20" t="str">
        <f aca="false">IF($B67="","",ROUND(L$5*$C67,Paramètres!$F$30))</f>
        <v/>
      </c>
      <c r="M67" s="19" t="str">
        <f aca="false">IF($B67="","",ROUND(M$5*$C67,Paramètres!$F$31))</f>
        <v/>
      </c>
      <c r="N67" s="20" t="str">
        <f aca="false">IF($B67="","",ROUND(N$5*$C67,Paramètres!$F$32))</f>
        <v/>
      </c>
      <c r="O67" s="20" t="str">
        <f aca="false">IF($B67="","",ROUND(O$5*$C67,Paramètres!$F$33))</f>
        <v/>
      </c>
      <c r="P67" s="20" t="str">
        <f aca="false">IF($B67="","",ROUND(P$5*$C67,Paramètres!$F$34))</f>
        <v/>
      </c>
      <c r="Q67" s="20" t="str">
        <f aca="false">IF($B67="","",ROUND(Q$5*$C67,Paramètres!$F$35))</f>
        <v/>
      </c>
      <c r="R67" s="19" t="str">
        <f aca="false" t="array" ref="R67:R67">IF(OR($B67="",$A67=0),"",INDEX(Amélioration!$B$6:$H$104,$A67,Calculateur!$B$10))</f>
        <v/>
      </c>
      <c r="S67" s="19" t="str">
        <f aca="false" t="array" ref="S67:S67">IF($B67="","",IF($A67=0,0,INDEX(Amélioration!$J$6:$P$104,$A67,Calculateur!$B$10)))</f>
        <v/>
      </c>
    </row>
    <row r="68" customFormat="false" ht="15.75" hidden="false" customHeight="true" outlineLevel="0" collapsed="false">
      <c r="A68" s="18" t="n">
        <v>62</v>
      </c>
      <c r="B68" s="16" t="str">
        <f aca="false">IF($A68&gt;Calculateur!$B$15,"",Calculateur!$B$14+$A68)</f>
        <v/>
      </c>
      <c r="C68" s="36" t="str">
        <f aca="false">IF($B68="","",Paramètres!$B$16+(1-Paramètres!$B$16)*(($B68-Paramètres!$B$14)/(Paramètres!$B$15-Paramètres!$B$14))^Paramètres!$B$17)</f>
        <v/>
      </c>
      <c r="D68" s="19" t="str">
        <f aca="false">IF($B68="","",ROUND(D$5*$C68,Paramètres!$F$22))</f>
        <v/>
      </c>
      <c r="E68" s="19" t="str">
        <f aca="false">IF($B68="","",ROUND(E$5*$C68,Paramètres!$F$23))</f>
        <v/>
      </c>
      <c r="F68" s="19" t="str">
        <f aca="false">IF($B68="","",ROUND(F$5*$C68,Paramètres!$F$24))</f>
        <v/>
      </c>
      <c r="G68" s="19" t="str">
        <f aca="false">IF($B68="","",ROUND(G$5*$C68,Paramètres!$F$25))</f>
        <v/>
      </c>
      <c r="H68" s="19" t="str">
        <f aca="false">IF($B68="","",ROUND(H$5*$C68,Paramètres!$F$26))</f>
        <v/>
      </c>
      <c r="I68" s="19" t="str">
        <f aca="false">IF($B68="","",ROUND(I$5*$C68,Paramètres!$F$27))</f>
        <v/>
      </c>
      <c r="J68" s="20" t="str">
        <f aca="false">IF($B68="","",ROUND(J$5*$C68,Paramètres!$F$28))</f>
        <v/>
      </c>
      <c r="K68" s="20" t="str">
        <f aca="false">IF($B68="","",ROUND(K$5*$C68,Paramètres!$F$29))</f>
        <v/>
      </c>
      <c r="L68" s="20" t="str">
        <f aca="false">IF($B68="","",ROUND(L$5*$C68,Paramètres!$F$30))</f>
        <v/>
      </c>
      <c r="M68" s="19" t="str">
        <f aca="false">IF($B68="","",ROUND(M$5*$C68,Paramètres!$F$31))</f>
        <v/>
      </c>
      <c r="N68" s="20" t="str">
        <f aca="false">IF($B68="","",ROUND(N$5*$C68,Paramètres!$F$32))</f>
        <v/>
      </c>
      <c r="O68" s="20" t="str">
        <f aca="false">IF($B68="","",ROUND(O$5*$C68,Paramètres!$F$33))</f>
        <v/>
      </c>
      <c r="P68" s="20" t="str">
        <f aca="false">IF($B68="","",ROUND(P$5*$C68,Paramètres!$F$34))</f>
        <v/>
      </c>
      <c r="Q68" s="20" t="str">
        <f aca="false">IF($B68="","",ROUND(Q$5*$C68,Paramètres!$F$35))</f>
        <v/>
      </c>
      <c r="R68" s="19" t="str">
        <f aca="false" t="array" ref="R68:R68">IF(OR($B68="",$A68=0),"",INDEX(Amélioration!$B$6:$H$104,$A68,Calculateur!$B$10))</f>
        <v/>
      </c>
      <c r="S68" s="19" t="str">
        <f aca="false" t="array" ref="S68:S68">IF($B68="","",IF($A68=0,0,INDEX(Amélioration!$J$6:$P$104,$A68,Calculateur!$B$10)))</f>
        <v/>
      </c>
    </row>
    <row r="69" customFormat="false" ht="15.75" hidden="false" customHeight="true" outlineLevel="0" collapsed="false">
      <c r="A69" s="18" t="n">
        <v>63</v>
      </c>
      <c r="B69" s="16" t="str">
        <f aca="false">IF($A69&gt;Calculateur!$B$15,"",Calculateur!$B$14+$A69)</f>
        <v/>
      </c>
      <c r="C69" s="36" t="str">
        <f aca="false">IF($B69="","",Paramètres!$B$16+(1-Paramètres!$B$16)*(($B69-Paramètres!$B$14)/(Paramètres!$B$15-Paramètres!$B$14))^Paramètres!$B$17)</f>
        <v/>
      </c>
      <c r="D69" s="19" t="str">
        <f aca="false">IF($B69="","",ROUND(D$5*$C69,Paramètres!$F$22))</f>
        <v/>
      </c>
      <c r="E69" s="19" t="str">
        <f aca="false">IF($B69="","",ROUND(E$5*$C69,Paramètres!$F$23))</f>
        <v/>
      </c>
      <c r="F69" s="19" t="str">
        <f aca="false">IF($B69="","",ROUND(F$5*$C69,Paramètres!$F$24))</f>
        <v/>
      </c>
      <c r="G69" s="19" t="str">
        <f aca="false">IF($B69="","",ROUND(G$5*$C69,Paramètres!$F$25))</f>
        <v/>
      </c>
      <c r="H69" s="19" t="str">
        <f aca="false">IF($B69="","",ROUND(H$5*$C69,Paramètres!$F$26))</f>
        <v/>
      </c>
      <c r="I69" s="19" t="str">
        <f aca="false">IF($B69="","",ROUND(I$5*$C69,Paramètres!$F$27))</f>
        <v/>
      </c>
      <c r="J69" s="20" t="str">
        <f aca="false">IF($B69="","",ROUND(J$5*$C69,Paramètres!$F$28))</f>
        <v/>
      </c>
      <c r="K69" s="20" t="str">
        <f aca="false">IF($B69="","",ROUND(K$5*$C69,Paramètres!$F$29))</f>
        <v/>
      </c>
      <c r="L69" s="20" t="str">
        <f aca="false">IF($B69="","",ROUND(L$5*$C69,Paramètres!$F$30))</f>
        <v/>
      </c>
      <c r="M69" s="19" t="str">
        <f aca="false">IF($B69="","",ROUND(M$5*$C69,Paramètres!$F$31))</f>
        <v/>
      </c>
      <c r="N69" s="20" t="str">
        <f aca="false">IF($B69="","",ROUND(N$5*$C69,Paramètres!$F$32))</f>
        <v/>
      </c>
      <c r="O69" s="20" t="str">
        <f aca="false">IF($B69="","",ROUND(O$5*$C69,Paramètres!$F$33))</f>
        <v/>
      </c>
      <c r="P69" s="20" t="str">
        <f aca="false">IF($B69="","",ROUND(P$5*$C69,Paramètres!$F$34))</f>
        <v/>
      </c>
      <c r="Q69" s="20" t="str">
        <f aca="false">IF($B69="","",ROUND(Q$5*$C69,Paramètres!$F$35))</f>
        <v/>
      </c>
      <c r="R69" s="19" t="str">
        <f aca="false" t="array" ref="R69:R69">IF(OR($B69="",$A69=0),"",INDEX(Amélioration!$B$6:$H$104,$A69,Calculateur!$B$10))</f>
        <v/>
      </c>
      <c r="S69" s="19" t="str">
        <f aca="false" t="array" ref="S69:S69">IF($B69="","",IF($A69=0,0,INDEX(Amélioration!$J$6:$P$104,$A69,Calculateur!$B$10)))</f>
        <v/>
      </c>
    </row>
    <row r="70" customFormat="false" ht="15.75" hidden="false" customHeight="true" outlineLevel="0" collapsed="false">
      <c r="A70" s="18" t="n">
        <v>64</v>
      </c>
      <c r="B70" s="16" t="str">
        <f aca="false">IF($A70&gt;Calculateur!$B$15,"",Calculateur!$B$14+$A70)</f>
        <v/>
      </c>
      <c r="C70" s="36" t="str">
        <f aca="false">IF($B70="","",Paramètres!$B$16+(1-Paramètres!$B$16)*(($B70-Paramètres!$B$14)/(Paramètres!$B$15-Paramètres!$B$14))^Paramètres!$B$17)</f>
        <v/>
      </c>
      <c r="D70" s="19" t="str">
        <f aca="false">IF($B70="","",ROUND(D$5*$C70,Paramètres!$F$22))</f>
        <v/>
      </c>
      <c r="E70" s="19" t="str">
        <f aca="false">IF($B70="","",ROUND(E$5*$C70,Paramètres!$F$23))</f>
        <v/>
      </c>
      <c r="F70" s="19" t="str">
        <f aca="false">IF($B70="","",ROUND(F$5*$C70,Paramètres!$F$24))</f>
        <v/>
      </c>
      <c r="G70" s="19" t="str">
        <f aca="false">IF($B70="","",ROUND(G$5*$C70,Paramètres!$F$25))</f>
        <v/>
      </c>
      <c r="H70" s="19" t="str">
        <f aca="false">IF($B70="","",ROUND(H$5*$C70,Paramètres!$F$26))</f>
        <v/>
      </c>
      <c r="I70" s="19" t="str">
        <f aca="false">IF($B70="","",ROUND(I$5*$C70,Paramètres!$F$27))</f>
        <v/>
      </c>
      <c r="J70" s="20" t="str">
        <f aca="false">IF($B70="","",ROUND(J$5*$C70,Paramètres!$F$28))</f>
        <v/>
      </c>
      <c r="K70" s="20" t="str">
        <f aca="false">IF($B70="","",ROUND(K$5*$C70,Paramètres!$F$29))</f>
        <v/>
      </c>
      <c r="L70" s="20" t="str">
        <f aca="false">IF($B70="","",ROUND(L$5*$C70,Paramètres!$F$30))</f>
        <v/>
      </c>
      <c r="M70" s="19" t="str">
        <f aca="false">IF($B70="","",ROUND(M$5*$C70,Paramètres!$F$31))</f>
        <v/>
      </c>
      <c r="N70" s="20" t="str">
        <f aca="false">IF($B70="","",ROUND(N$5*$C70,Paramètres!$F$32))</f>
        <v/>
      </c>
      <c r="O70" s="20" t="str">
        <f aca="false">IF($B70="","",ROUND(O$5*$C70,Paramètres!$F$33))</f>
        <v/>
      </c>
      <c r="P70" s="20" t="str">
        <f aca="false">IF($B70="","",ROUND(P$5*$C70,Paramètres!$F$34))</f>
        <v/>
      </c>
      <c r="Q70" s="20" t="str">
        <f aca="false">IF($B70="","",ROUND(Q$5*$C70,Paramètres!$F$35))</f>
        <v/>
      </c>
      <c r="R70" s="19" t="str">
        <f aca="false" t="array" ref="R70:R70">IF(OR($B70="",$A70=0),"",INDEX(Amélioration!$B$6:$H$104,$A70,Calculateur!$B$10))</f>
        <v/>
      </c>
      <c r="S70" s="19" t="str">
        <f aca="false" t="array" ref="S70:S70">IF($B70="","",IF($A70=0,0,INDEX(Amélioration!$J$6:$P$104,$A70,Calculateur!$B$10)))</f>
        <v/>
      </c>
    </row>
    <row r="71" customFormat="false" ht="15.75" hidden="false" customHeight="true" outlineLevel="0" collapsed="false">
      <c r="A71" s="18" t="n">
        <v>65</v>
      </c>
      <c r="B71" s="16" t="str">
        <f aca="false">IF($A71&gt;Calculateur!$B$15,"",Calculateur!$B$14+$A71)</f>
        <v/>
      </c>
      <c r="C71" s="36" t="str">
        <f aca="false">IF($B71="","",Paramètres!$B$16+(1-Paramètres!$B$16)*(($B71-Paramètres!$B$14)/(Paramètres!$B$15-Paramètres!$B$14))^Paramètres!$B$17)</f>
        <v/>
      </c>
      <c r="D71" s="19" t="str">
        <f aca="false">IF($B71="","",ROUND(D$5*$C71,Paramètres!$F$22))</f>
        <v/>
      </c>
      <c r="E71" s="19" t="str">
        <f aca="false">IF($B71="","",ROUND(E$5*$C71,Paramètres!$F$23))</f>
        <v/>
      </c>
      <c r="F71" s="19" t="str">
        <f aca="false">IF($B71="","",ROUND(F$5*$C71,Paramètres!$F$24))</f>
        <v/>
      </c>
      <c r="G71" s="19" t="str">
        <f aca="false">IF($B71="","",ROUND(G$5*$C71,Paramètres!$F$25))</f>
        <v/>
      </c>
      <c r="H71" s="19" t="str">
        <f aca="false">IF($B71="","",ROUND(H$5*$C71,Paramètres!$F$26))</f>
        <v/>
      </c>
      <c r="I71" s="19" t="str">
        <f aca="false">IF($B71="","",ROUND(I$5*$C71,Paramètres!$F$27))</f>
        <v/>
      </c>
      <c r="J71" s="20" t="str">
        <f aca="false">IF($B71="","",ROUND(J$5*$C71,Paramètres!$F$28))</f>
        <v/>
      </c>
      <c r="K71" s="20" t="str">
        <f aca="false">IF($B71="","",ROUND(K$5*$C71,Paramètres!$F$29))</f>
        <v/>
      </c>
      <c r="L71" s="20" t="str">
        <f aca="false">IF($B71="","",ROUND(L$5*$C71,Paramètres!$F$30))</f>
        <v/>
      </c>
      <c r="M71" s="19" t="str">
        <f aca="false">IF($B71="","",ROUND(M$5*$C71,Paramètres!$F$31))</f>
        <v/>
      </c>
      <c r="N71" s="20" t="str">
        <f aca="false">IF($B71="","",ROUND(N$5*$C71,Paramètres!$F$32))</f>
        <v/>
      </c>
      <c r="O71" s="20" t="str">
        <f aca="false">IF($B71="","",ROUND(O$5*$C71,Paramètres!$F$33))</f>
        <v/>
      </c>
      <c r="P71" s="20" t="str">
        <f aca="false">IF($B71="","",ROUND(P$5*$C71,Paramètres!$F$34))</f>
        <v/>
      </c>
      <c r="Q71" s="20" t="str">
        <f aca="false">IF($B71="","",ROUND(Q$5*$C71,Paramètres!$F$35))</f>
        <v/>
      </c>
      <c r="R71" s="19" t="str">
        <f aca="false" t="array" ref="R71:R71">IF(OR($B71="",$A71=0),"",INDEX(Amélioration!$B$6:$H$104,$A71,Calculateur!$B$10))</f>
        <v/>
      </c>
      <c r="S71" s="19" t="str">
        <f aca="false" t="array" ref="S71:S71">IF($B71="","",IF($A71=0,0,INDEX(Amélioration!$J$6:$P$104,$A71,Calculateur!$B$10)))</f>
        <v/>
      </c>
    </row>
    <row r="72" customFormat="false" ht="15.75" hidden="false" customHeight="true" outlineLevel="0" collapsed="false">
      <c r="A72" s="18" t="n">
        <v>66</v>
      </c>
      <c r="B72" s="16" t="str">
        <f aca="false">IF($A72&gt;Calculateur!$B$15,"",Calculateur!$B$14+$A72)</f>
        <v/>
      </c>
      <c r="C72" s="36" t="str">
        <f aca="false">IF($B72="","",Paramètres!$B$16+(1-Paramètres!$B$16)*(($B72-Paramètres!$B$14)/(Paramètres!$B$15-Paramètres!$B$14))^Paramètres!$B$17)</f>
        <v/>
      </c>
      <c r="D72" s="19" t="str">
        <f aca="false">IF($B72="","",ROUND(D$5*$C72,Paramètres!$F$22))</f>
        <v/>
      </c>
      <c r="E72" s="19" t="str">
        <f aca="false">IF($B72="","",ROUND(E$5*$C72,Paramètres!$F$23))</f>
        <v/>
      </c>
      <c r="F72" s="19" t="str">
        <f aca="false">IF($B72="","",ROUND(F$5*$C72,Paramètres!$F$24))</f>
        <v/>
      </c>
      <c r="G72" s="19" t="str">
        <f aca="false">IF($B72="","",ROUND(G$5*$C72,Paramètres!$F$25))</f>
        <v/>
      </c>
      <c r="H72" s="19" t="str">
        <f aca="false">IF($B72="","",ROUND(H$5*$C72,Paramètres!$F$26))</f>
        <v/>
      </c>
      <c r="I72" s="19" t="str">
        <f aca="false">IF($B72="","",ROUND(I$5*$C72,Paramètres!$F$27))</f>
        <v/>
      </c>
      <c r="J72" s="20" t="str">
        <f aca="false">IF($B72="","",ROUND(J$5*$C72,Paramètres!$F$28))</f>
        <v/>
      </c>
      <c r="K72" s="20" t="str">
        <f aca="false">IF($B72="","",ROUND(K$5*$C72,Paramètres!$F$29))</f>
        <v/>
      </c>
      <c r="L72" s="20" t="str">
        <f aca="false">IF($B72="","",ROUND(L$5*$C72,Paramètres!$F$30))</f>
        <v/>
      </c>
      <c r="M72" s="19" t="str">
        <f aca="false">IF($B72="","",ROUND(M$5*$C72,Paramètres!$F$31))</f>
        <v/>
      </c>
      <c r="N72" s="20" t="str">
        <f aca="false">IF($B72="","",ROUND(N$5*$C72,Paramètres!$F$32))</f>
        <v/>
      </c>
      <c r="O72" s="20" t="str">
        <f aca="false">IF($B72="","",ROUND(O$5*$C72,Paramètres!$F$33))</f>
        <v/>
      </c>
      <c r="P72" s="20" t="str">
        <f aca="false">IF($B72="","",ROUND(P$5*$C72,Paramètres!$F$34))</f>
        <v/>
      </c>
      <c r="Q72" s="20" t="str">
        <f aca="false">IF($B72="","",ROUND(Q$5*$C72,Paramètres!$F$35))</f>
        <v/>
      </c>
      <c r="R72" s="19" t="str">
        <f aca="false" t="array" ref="R72:R72">IF(OR($B72="",$A72=0),"",INDEX(Amélioration!$B$6:$H$104,$A72,Calculateur!$B$10))</f>
        <v/>
      </c>
      <c r="S72" s="19" t="str">
        <f aca="false" t="array" ref="S72:S72">IF($B72="","",IF($A72=0,0,INDEX(Amélioration!$J$6:$P$104,$A72,Calculateur!$B$10)))</f>
        <v/>
      </c>
    </row>
    <row r="73" customFormat="false" ht="15.75" hidden="false" customHeight="true" outlineLevel="0" collapsed="false">
      <c r="A73" s="18" t="n">
        <v>67</v>
      </c>
      <c r="B73" s="16" t="str">
        <f aca="false">IF($A73&gt;Calculateur!$B$15,"",Calculateur!$B$14+$A73)</f>
        <v/>
      </c>
      <c r="C73" s="36" t="str">
        <f aca="false">IF($B73="","",Paramètres!$B$16+(1-Paramètres!$B$16)*(($B73-Paramètres!$B$14)/(Paramètres!$B$15-Paramètres!$B$14))^Paramètres!$B$17)</f>
        <v/>
      </c>
      <c r="D73" s="19" t="str">
        <f aca="false">IF($B73="","",ROUND(D$5*$C73,Paramètres!$F$22))</f>
        <v/>
      </c>
      <c r="E73" s="19" t="str">
        <f aca="false">IF($B73="","",ROUND(E$5*$C73,Paramètres!$F$23))</f>
        <v/>
      </c>
      <c r="F73" s="19" t="str">
        <f aca="false">IF($B73="","",ROUND(F$5*$C73,Paramètres!$F$24))</f>
        <v/>
      </c>
      <c r="G73" s="19" t="str">
        <f aca="false">IF($B73="","",ROUND(G$5*$C73,Paramètres!$F$25))</f>
        <v/>
      </c>
      <c r="H73" s="19" t="str">
        <f aca="false">IF($B73="","",ROUND(H$5*$C73,Paramètres!$F$26))</f>
        <v/>
      </c>
      <c r="I73" s="19" t="str">
        <f aca="false">IF($B73="","",ROUND(I$5*$C73,Paramètres!$F$27))</f>
        <v/>
      </c>
      <c r="J73" s="20" t="str">
        <f aca="false">IF($B73="","",ROUND(J$5*$C73,Paramètres!$F$28))</f>
        <v/>
      </c>
      <c r="K73" s="20" t="str">
        <f aca="false">IF($B73="","",ROUND(K$5*$C73,Paramètres!$F$29))</f>
        <v/>
      </c>
      <c r="L73" s="20" t="str">
        <f aca="false">IF($B73="","",ROUND(L$5*$C73,Paramètres!$F$30))</f>
        <v/>
      </c>
      <c r="M73" s="19" t="str">
        <f aca="false">IF($B73="","",ROUND(M$5*$C73,Paramètres!$F$31))</f>
        <v/>
      </c>
      <c r="N73" s="20" t="str">
        <f aca="false">IF($B73="","",ROUND(N$5*$C73,Paramètres!$F$32))</f>
        <v/>
      </c>
      <c r="O73" s="20" t="str">
        <f aca="false">IF($B73="","",ROUND(O$5*$C73,Paramètres!$F$33))</f>
        <v/>
      </c>
      <c r="P73" s="20" t="str">
        <f aca="false">IF($B73="","",ROUND(P$5*$C73,Paramètres!$F$34))</f>
        <v/>
      </c>
      <c r="Q73" s="20" t="str">
        <f aca="false">IF($B73="","",ROUND(Q$5*$C73,Paramètres!$F$35))</f>
        <v/>
      </c>
      <c r="R73" s="19" t="str">
        <f aca="false" t="array" ref="R73:R73">IF(OR($B73="",$A73=0),"",INDEX(Amélioration!$B$6:$H$104,$A73,Calculateur!$B$10))</f>
        <v/>
      </c>
      <c r="S73" s="19" t="str">
        <f aca="false" t="array" ref="S73:S73">IF($B73="","",IF($A73=0,0,INDEX(Amélioration!$J$6:$P$104,$A73,Calculateur!$B$10)))</f>
        <v/>
      </c>
    </row>
    <row r="74" customFormat="false" ht="15.75" hidden="false" customHeight="true" outlineLevel="0" collapsed="false">
      <c r="A74" s="18" t="n">
        <v>68</v>
      </c>
      <c r="B74" s="16" t="str">
        <f aca="false">IF($A74&gt;Calculateur!$B$15,"",Calculateur!$B$14+$A74)</f>
        <v/>
      </c>
      <c r="C74" s="36" t="str">
        <f aca="false">IF($B74="","",Paramètres!$B$16+(1-Paramètres!$B$16)*(($B74-Paramètres!$B$14)/(Paramètres!$B$15-Paramètres!$B$14))^Paramètres!$B$17)</f>
        <v/>
      </c>
      <c r="D74" s="19" t="str">
        <f aca="false">IF($B74="","",ROUND(D$5*$C74,Paramètres!$F$22))</f>
        <v/>
      </c>
      <c r="E74" s="19" t="str">
        <f aca="false">IF($B74="","",ROUND(E$5*$C74,Paramètres!$F$23))</f>
        <v/>
      </c>
      <c r="F74" s="19" t="str">
        <f aca="false">IF($B74="","",ROUND(F$5*$C74,Paramètres!$F$24))</f>
        <v/>
      </c>
      <c r="G74" s="19" t="str">
        <f aca="false">IF($B74="","",ROUND(G$5*$C74,Paramètres!$F$25))</f>
        <v/>
      </c>
      <c r="H74" s="19" t="str">
        <f aca="false">IF($B74="","",ROUND(H$5*$C74,Paramètres!$F$26))</f>
        <v/>
      </c>
      <c r="I74" s="19" t="str">
        <f aca="false">IF($B74="","",ROUND(I$5*$C74,Paramètres!$F$27))</f>
        <v/>
      </c>
      <c r="J74" s="20" t="str">
        <f aca="false">IF($B74="","",ROUND(J$5*$C74,Paramètres!$F$28))</f>
        <v/>
      </c>
      <c r="K74" s="20" t="str">
        <f aca="false">IF($B74="","",ROUND(K$5*$C74,Paramètres!$F$29))</f>
        <v/>
      </c>
      <c r="L74" s="20" t="str">
        <f aca="false">IF($B74="","",ROUND(L$5*$C74,Paramètres!$F$30))</f>
        <v/>
      </c>
      <c r="M74" s="19" t="str">
        <f aca="false">IF($B74="","",ROUND(M$5*$C74,Paramètres!$F$31))</f>
        <v/>
      </c>
      <c r="N74" s="20" t="str">
        <f aca="false">IF($B74="","",ROUND(N$5*$C74,Paramètres!$F$32))</f>
        <v/>
      </c>
      <c r="O74" s="20" t="str">
        <f aca="false">IF($B74="","",ROUND(O$5*$C74,Paramètres!$F$33))</f>
        <v/>
      </c>
      <c r="P74" s="20" t="str">
        <f aca="false">IF($B74="","",ROUND(P$5*$C74,Paramètres!$F$34))</f>
        <v/>
      </c>
      <c r="Q74" s="20" t="str">
        <f aca="false">IF($B74="","",ROUND(Q$5*$C74,Paramètres!$F$35))</f>
        <v/>
      </c>
      <c r="R74" s="19" t="str">
        <f aca="false" t="array" ref="R74:R74">IF(OR($B74="",$A74=0),"",INDEX(Amélioration!$B$6:$H$104,$A74,Calculateur!$B$10))</f>
        <v/>
      </c>
      <c r="S74" s="19" t="str">
        <f aca="false" t="array" ref="S74:S74">IF($B74="","",IF($A74=0,0,INDEX(Amélioration!$J$6:$P$104,$A74,Calculateur!$B$10)))</f>
        <v/>
      </c>
    </row>
    <row r="75" customFormat="false" ht="15.75" hidden="false" customHeight="true" outlineLevel="0" collapsed="false">
      <c r="A75" s="18" t="n">
        <v>69</v>
      </c>
      <c r="B75" s="16" t="str">
        <f aca="false">IF($A75&gt;Calculateur!$B$15,"",Calculateur!$B$14+$A75)</f>
        <v/>
      </c>
      <c r="C75" s="36" t="str">
        <f aca="false">IF($B75="","",Paramètres!$B$16+(1-Paramètres!$B$16)*(($B75-Paramètres!$B$14)/(Paramètres!$B$15-Paramètres!$B$14))^Paramètres!$B$17)</f>
        <v/>
      </c>
      <c r="D75" s="19" t="str">
        <f aca="false">IF($B75="","",ROUND(D$5*$C75,Paramètres!$F$22))</f>
        <v/>
      </c>
      <c r="E75" s="19" t="str">
        <f aca="false">IF($B75="","",ROUND(E$5*$C75,Paramètres!$F$23))</f>
        <v/>
      </c>
      <c r="F75" s="19" t="str">
        <f aca="false">IF($B75="","",ROUND(F$5*$C75,Paramètres!$F$24))</f>
        <v/>
      </c>
      <c r="G75" s="19" t="str">
        <f aca="false">IF($B75="","",ROUND(G$5*$C75,Paramètres!$F$25))</f>
        <v/>
      </c>
      <c r="H75" s="19" t="str">
        <f aca="false">IF($B75="","",ROUND(H$5*$C75,Paramètres!$F$26))</f>
        <v/>
      </c>
      <c r="I75" s="19" t="str">
        <f aca="false">IF($B75="","",ROUND(I$5*$C75,Paramètres!$F$27))</f>
        <v/>
      </c>
      <c r="J75" s="20" t="str">
        <f aca="false">IF($B75="","",ROUND(J$5*$C75,Paramètres!$F$28))</f>
        <v/>
      </c>
      <c r="K75" s="20" t="str">
        <f aca="false">IF($B75="","",ROUND(K$5*$C75,Paramètres!$F$29))</f>
        <v/>
      </c>
      <c r="L75" s="20" t="str">
        <f aca="false">IF($B75="","",ROUND(L$5*$C75,Paramètres!$F$30))</f>
        <v/>
      </c>
      <c r="M75" s="19" t="str">
        <f aca="false">IF($B75="","",ROUND(M$5*$C75,Paramètres!$F$31))</f>
        <v/>
      </c>
      <c r="N75" s="20" t="str">
        <f aca="false">IF($B75="","",ROUND(N$5*$C75,Paramètres!$F$32))</f>
        <v/>
      </c>
      <c r="O75" s="20" t="str">
        <f aca="false">IF($B75="","",ROUND(O$5*$C75,Paramètres!$F$33))</f>
        <v/>
      </c>
      <c r="P75" s="20" t="str">
        <f aca="false">IF($B75="","",ROUND(P$5*$C75,Paramètres!$F$34))</f>
        <v/>
      </c>
      <c r="Q75" s="20" t="str">
        <f aca="false">IF($B75="","",ROUND(Q$5*$C75,Paramètres!$F$35))</f>
        <v/>
      </c>
      <c r="R75" s="19" t="str">
        <f aca="false" t="array" ref="R75:R75">IF(OR($B75="",$A75=0),"",INDEX(Amélioration!$B$6:$H$104,$A75,Calculateur!$B$10))</f>
        <v/>
      </c>
      <c r="S75" s="19" t="str">
        <f aca="false" t="array" ref="S75:S75">IF($B75="","",IF($A75=0,0,INDEX(Amélioration!$J$6:$P$104,$A75,Calculateur!$B$10)))</f>
        <v/>
      </c>
    </row>
    <row r="76" customFormat="false" ht="15.75" hidden="false" customHeight="true" outlineLevel="0" collapsed="false">
      <c r="A76" s="18" t="n">
        <v>70</v>
      </c>
      <c r="B76" s="16" t="str">
        <f aca="false">IF($A76&gt;Calculateur!$B$15,"",Calculateur!$B$14+$A76)</f>
        <v/>
      </c>
      <c r="C76" s="36" t="str">
        <f aca="false">IF($B76="","",Paramètres!$B$16+(1-Paramètres!$B$16)*(($B76-Paramètres!$B$14)/(Paramètres!$B$15-Paramètres!$B$14))^Paramètres!$B$17)</f>
        <v/>
      </c>
      <c r="D76" s="19" t="str">
        <f aca="false">IF($B76="","",ROUND(D$5*$C76,Paramètres!$F$22))</f>
        <v/>
      </c>
      <c r="E76" s="19" t="str">
        <f aca="false">IF($B76="","",ROUND(E$5*$C76,Paramètres!$F$23))</f>
        <v/>
      </c>
      <c r="F76" s="19" t="str">
        <f aca="false">IF($B76="","",ROUND(F$5*$C76,Paramètres!$F$24))</f>
        <v/>
      </c>
      <c r="G76" s="19" t="str">
        <f aca="false">IF($B76="","",ROUND(G$5*$C76,Paramètres!$F$25))</f>
        <v/>
      </c>
      <c r="H76" s="19" t="str">
        <f aca="false">IF($B76="","",ROUND(H$5*$C76,Paramètres!$F$26))</f>
        <v/>
      </c>
      <c r="I76" s="19" t="str">
        <f aca="false">IF($B76="","",ROUND(I$5*$C76,Paramètres!$F$27))</f>
        <v/>
      </c>
      <c r="J76" s="20" t="str">
        <f aca="false">IF($B76="","",ROUND(J$5*$C76,Paramètres!$F$28))</f>
        <v/>
      </c>
      <c r="K76" s="20" t="str">
        <f aca="false">IF($B76="","",ROUND(K$5*$C76,Paramètres!$F$29))</f>
        <v/>
      </c>
      <c r="L76" s="20" t="str">
        <f aca="false">IF($B76="","",ROUND(L$5*$C76,Paramètres!$F$30))</f>
        <v/>
      </c>
      <c r="M76" s="19" t="str">
        <f aca="false">IF($B76="","",ROUND(M$5*$C76,Paramètres!$F$31))</f>
        <v/>
      </c>
      <c r="N76" s="20" t="str">
        <f aca="false">IF($B76="","",ROUND(N$5*$C76,Paramètres!$F$32))</f>
        <v/>
      </c>
      <c r="O76" s="20" t="str">
        <f aca="false">IF($B76="","",ROUND(O$5*$C76,Paramètres!$F$33))</f>
        <v/>
      </c>
      <c r="P76" s="20" t="str">
        <f aca="false">IF($B76="","",ROUND(P$5*$C76,Paramètres!$F$34))</f>
        <v/>
      </c>
      <c r="Q76" s="20" t="str">
        <f aca="false">IF($B76="","",ROUND(Q$5*$C76,Paramètres!$F$35))</f>
        <v/>
      </c>
      <c r="R76" s="19" t="str">
        <f aca="false" t="array" ref="R76:R76">IF(OR($B76="",$A76=0),"",INDEX(Amélioration!$B$6:$H$104,$A76,Calculateur!$B$10))</f>
        <v/>
      </c>
      <c r="S76" s="19" t="str">
        <f aca="false" t="array" ref="S76:S76">IF($B76="","",IF($A76=0,0,INDEX(Amélioration!$J$6:$P$104,$A76,Calculateur!$B$10)))</f>
        <v/>
      </c>
    </row>
    <row r="77" customFormat="false" ht="15.75" hidden="false" customHeight="true" outlineLevel="0" collapsed="false">
      <c r="A77" s="18" t="n">
        <v>71</v>
      </c>
      <c r="B77" s="16" t="str">
        <f aca="false">IF($A77&gt;Calculateur!$B$15,"",Calculateur!$B$14+$A77)</f>
        <v/>
      </c>
      <c r="C77" s="36" t="str">
        <f aca="false">IF($B77="","",Paramètres!$B$16+(1-Paramètres!$B$16)*(($B77-Paramètres!$B$14)/(Paramètres!$B$15-Paramètres!$B$14))^Paramètres!$B$17)</f>
        <v/>
      </c>
      <c r="D77" s="19" t="str">
        <f aca="false">IF($B77="","",ROUND(D$5*$C77,Paramètres!$F$22))</f>
        <v/>
      </c>
      <c r="E77" s="19" t="str">
        <f aca="false">IF($B77="","",ROUND(E$5*$C77,Paramètres!$F$23))</f>
        <v/>
      </c>
      <c r="F77" s="19" t="str">
        <f aca="false">IF($B77="","",ROUND(F$5*$C77,Paramètres!$F$24))</f>
        <v/>
      </c>
      <c r="G77" s="19" t="str">
        <f aca="false">IF($B77="","",ROUND(G$5*$C77,Paramètres!$F$25))</f>
        <v/>
      </c>
      <c r="H77" s="19" t="str">
        <f aca="false">IF($B77="","",ROUND(H$5*$C77,Paramètres!$F$26))</f>
        <v/>
      </c>
      <c r="I77" s="19" t="str">
        <f aca="false">IF($B77="","",ROUND(I$5*$C77,Paramètres!$F$27))</f>
        <v/>
      </c>
      <c r="J77" s="20" t="str">
        <f aca="false">IF($B77="","",ROUND(J$5*$C77,Paramètres!$F$28))</f>
        <v/>
      </c>
      <c r="K77" s="20" t="str">
        <f aca="false">IF($B77="","",ROUND(K$5*$C77,Paramètres!$F$29))</f>
        <v/>
      </c>
      <c r="L77" s="20" t="str">
        <f aca="false">IF($B77="","",ROUND(L$5*$C77,Paramètres!$F$30))</f>
        <v/>
      </c>
      <c r="M77" s="19" t="str">
        <f aca="false">IF($B77="","",ROUND(M$5*$C77,Paramètres!$F$31))</f>
        <v/>
      </c>
      <c r="N77" s="20" t="str">
        <f aca="false">IF($B77="","",ROUND(N$5*$C77,Paramètres!$F$32))</f>
        <v/>
      </c>
      <c r="O77" s="20" t="str">
        <f aca="false">IF($B77="","",ROUND(O$5*$C77,Paramètres!$F$33))</f>
        <v/>
      </c>
      <c r="P77" s="20" t="str">
        <f aca="false">IF($B77="","",ROUND(P$5*$C77,Paramètres!$F$34))</f>
        <v/>
      </c>
      <c r="Q77" s="20" t="str">
        <f aca="false">IF($B77="","",ROUND(Q$5*$C77,Paramètres!$F$35))</f>
        <v/>
      </c>
      <c r="R77" s="19" t="str">
        <f aca="false" t="array" ref="R77:R77">IF(OR($B77="",$A77=0),"",INDEX(Amélioration!$B$6:$H$104,$A77,Calculateur!$B$10))</f>
        <v/>
      </c>
      <c r="S77" s="19" t="str">
        <f aca="false" t="array" ref="S77:S77">IF($B77="","",IF($A77=0,0,INDEX(Amélioration!$J$6:$P$104,$A77,Calculateur!$B$10)))</f>
        <v/>
      </c>
    </row>
    <row r="78" customFormat="false" ht="15.75" hidden="false" customHeight="true" outlineLevel="0" collapsed="false">
      <c r="A78" s="18" t="n">
        <v>72</v>
      </c>
      <c r="B78" s="16" t="str">
        <f aca="false">IF($A78&gt;Calculateur!$B$15,"",Calculateur!$B$14+$A78)</f>
        <v/>
      </c>
      <c r="C78" s="36" t="str">
        <f aca="false">IF($B78="","",Paramètres!$B$16+(1-Paramètres!$B$16)*(($B78-Paramètres!$B$14)/(Paramètres!$B$15-Paramètres!$B$14))^Paramètres!$B$17)</f>
        <v/>
      </c>
      <c r="D78" s="19" t="str">
        <f aca="false">IF($B78="","",ROUND(D$5*$C78,Paramètres!$F$22))</f>
        <v/>
      </c>
      <c r="E78" s="19" t="str">
        <f aca="false">IF($B78="","",ROUND(E$5*$C78,Paramètres!$F$23))</f>
        <v/>
      </c>
      <c r="F78" s="19" t="str">
        <f aca="false">IF($B78="","",ROUND(F$5*$C78,Paramètres!$F$24))</f>
        <v/>
      </c>
      <c r="G78" s="19" t="str">
        <f aca="false">IF($B78="","",ROUND(G$5*$C78,Paramètres!$F$25))</f>
        <v/>
      </c>
      <c r="H78" s="19" t="str">
        <f aca="false">IF($B78="","",ROUND(H$5*$C78,Paramètres!$F$26))</f>
        <v/>
      </c>
      <c r="I78" s="19" t="str">
        <f aca="false">IF($B78="","",ROUND(I$5*$C78,Paramètres!$F$27))</f>
        <v/>
      </c>
      <c r="J78" s="20" t="str">
        <f aca="false">IF($B78="","",ROUND(J$5*$C78,Paramètres!$F$28))</f>
        <v/>
      </c>
      <c r="K78" s="20" t="str">
        <f aca="false">IF($B78="","",ROUND(K$5*$C78,Paramètres!$F$29))</f>
        <v/>
      </c>
      <c r="L78" s="20" t="str">
        <f aca="false">IF($B78="","",ROUND(L$5*$C78,Paramètres!$F$30))</f>
        <v/>
      </c>
      <c r="M78" s="19" t="str">
        <f aca="false">IF($B78="","",ROUND(M$5*$C78,Paramètres!$F$31))</f>
        <v/>
      </c>
      <c r="N78" s="20" t="str">
        <f aca="false">IF($B78="","",ROUND(N$5*$C78,Paramètres!$F$32))</f>
        <v/>
      </c>
      <c r="O78" s="20" t="str">
        <f aca="false">IF($B78="","",ROUND(O$5*$C78,Paramètres!$F$33))</f>
        <v/>
      </c>
      <c r="P78" s="20" t="str">
        <f aca="false">IF($B78="","",ROUND(P$5*$C78,Paramètres!$F$34))</f>
        <v/>
      </c>
      <c r="Q78" s="20" t="str">
        <f aca="false">IF($B78="","",ROUND(Q$5*$C78,Paramètres!$F$35))</f>
        <v/>
      </c>
      <c r="R78" s="19" t="str">
        <f aca="false" t="array" ref="R78:R78">IF(OR($B78="",$A78=0),"",INDEX(Amélioration!$B$6:$H$104,$A78,Calculateur!$B$10))</f>
        <v/>
      </c>
      <c r="S78" s="19" t="str">
        <f aca="false" t="array" ref="S78:S78">IF($B78="","",IF($A78=0,0,INDEX(Amélioration!$J$6:$P$104,$A78,Calculateur!$B$10)))</f>
        <v/>
      </c>
    </row>
    <row r="79" customFormat="false" ht="15.75" hidden="false" customHeight="true" outlineLevel="0" collapsed="false">
      <c r="A79" s="18" t="n">
        <v>73</v>
      </c>
      <c r="B79" s="16" t="str">
        <f aca="false">IF($A79&gt;Calculateur!$B$15,"",Calculateur!$B$14+$A79)</f>
        <v/>
      </c>
      <c r="C79" s="36" t="str">
        <f aca="false">IF($B79="","",Paramètres!$B$16+(1-Paramètres!$B$16)*(($B79-Paramètres!$B$14)/(Paramètres!$B$15-Paramètres!$B$14))^Paramètres!$B$17)</f>
        <v/>
      </c>
      <c r="D79" s="19" t="str">
        <f aca="false">IF($B79="","",ROUND(D$5*$C79,Paramètres!$F$22))</f>
        <v/>
      </c>
      <c r="E79" s="19" t="str">
        <f aca="false">IF($B79="","",ROUND(E$5*$C79,Paramètres!$F$23))</f>
        <v/>
      </c>
      <c r="F79" s="19" t="str">
        <f aca="false">IF($B79="","",ROUND(F$5*$C79,Paramètres!$F$24))</f>
        <v/>
      </c>
      <c r="G79" s="19" t="str">
        <f aca="false">IF($B79="","",ROUND(G$5*$C79,Paramètres!$F$25))</f>
        <v/>
      </c>
      <c r="H79" s="19" t="str">
        <f aca="false">IF($B79="","",ROUND(H$5*$C79,Paramètres!$F$26))</f>
        <v/>
      </c>
      <c r="I79" s="19" t="str">
        <f aca="false">IF($B79="","",ROUND(I$5*$C79,Paramètres!$F$27))</f>
        <v/>
      </c>
      <c r="J79" s="20" t="str">
        <f aca="false">IF($B79="","",ROUND(J$5*$C79,Paramètres!$F$28))</f>
        <v/>
      </c>
      <c r="K79" s="20" t="str">
        <f aca="false">IF($B79="","",ROUND(K$5*$C79,Paramètres!$F$29))</f>
        <v/>
      </c>
      <c r="L79" s="20" t="str">
        <f aca="false">IF($B79="","",ROUND(L$5*$C79,Paramètres!$F$30))</f>
        <v/>
      </c>
      <c r="M79" s="19" t="str">
        <f aca="false">IF($B79="","",ROUND(M$5*$C79,Paramètres!$F$31))</f>
        <v/>
      </c>
      <c r="N79" s="20" t="str">
        <f aca="false">IF($B79="","",ROUND(N$5*$C79,Paramètres!$F$32))</f>
        <v/>
      </c>
      <c r="O79" s="20" t="str">
        <f aca="false">IF($B79="","",ROUND(O$5*$C79,Paramètres!$F$33))</f>
        <v/>
      </c>
      <c r="P79" s="20" t="str">
        <f aca="false">IF($B79="","",ROUND(P$5*$C79,Paramètres!$F$34))</f>
        <v/>
      </c>
      <c r="Q79" s="20" t="str">
        <f aca="false">IF($B79="","",ROUND(Q$5*$C79,Paramètres!$F$35))</f>
        <v/>
      </c>
      <c r="R79" s="19" t="str">
        <f aca="false" t="array" ref="R79:R79">IF(OR($B79="",$A79=0),"",INDEX(Amélioration!$B$6:$H$104,$A79,Calculateur!$B$10))</f>
        <v/>
      </c>
      <c r="S79" s="19" t="str">
        <f aca="false" t="array" ref="S79:S79">IF($B79="","",IF($A79=0,0,INDEX(Amélioration!$J$6:$P$104,$A79,Calculateur!$B$10)))</f>
        <v/>
      </c>
    </row>
    <row r="80" customFormat="false" ht="15.75" hidden="false" customHeight="true" outlineLevel="0" collapsed="false">
      <c r="A80" s="18" t="n">
        <v>74</v>
      </c>
      <c r="B80" s="16" t="str">
        <f aca="false">IF($A80&gt;Calculateur!$B$15,"",Calculateur!$B$14+$A80)</f>
        <v/>
      </c>
      <c r="C80" s="36" t="str">
        <f aca="false">IF($B80="","",Paramètres!$B$16+(1-Paramètres!$B$16)*(($B80-Paramètres!$B$14)/(Paramètres!$B$15-Paramètres!$B$14))^Paramètres!$B$17)</f>
        <v/>
      </c>
      <c r="D80" s="19" t="str">
        <f aca="false">IF($B80="","",ROUND(D$5*$C80,Paramètres!$F$22))</f>
        <v/>
      </c>
      <c r="E80" s="19" t="str">
        <f aca="false">IF($B80="","",ROUND(E$5*$C80,Paramètres!$F$23))</f>
        <v/>
      </c>
      <c r="F80" s="19" t="str">
        <f aca="false">IF($B80="","",ROUND(F$5*$C80,Paramètres!$F$24))</f>
        <v/>
      </c>
      <c r="G80" s="19" t="str">
        <f aca="false">IF($B80="","",ROUND(G$5*$C80,Paramètres!$F$25))</f>
        <v/>
      </c>
      <c r="H80" s="19" t="str">
        <f aca="false">IF($B80="","",ROUND(H$5*$C80,Paramètres!$F$26))</f>
        <v/>
      </c>
      <c r="I80" s="19" t="str">
        <f aca="false">IF($B80="","",ROUND(I$5*$C80,Paramètres!$F$27))</f>
        <v/>
      </c>
      <c r="J80" s="20" t="str">
        <f aca="false">IF($B80="","",ROUND(J$5*$C80,Paramètres!$F$28))</f>
        <v/>
      </c>
      <c r="K80" s="20" t="str">
        <f aca="false">IF($B80="","",ROUND(K$5*$C80,Paramètres!$F$29))</f>
        <v/>
      </c>
      <c r="L80" s="20" t="str">
        <f aca="false">IF($B80="","",ROUND(L$5*$C80,Paramètres!$F$30))</f>
        <v/>
      </c>
      <c r="M80" s="19" t="str">
        <f aca="false">IF($B80="","",ROUND(M$5*$C80,Paramètres!$F$31))</f>
        <v/>
      </c>
      <c r="N80" s="20" t="str">
        <f aca="false">IF($B80="","",ROUND(N$5*$C80,Paramètres!$F$32))</f>
        <v/>
      </c>
      <c r="O80" s="20" t="str">
        <f aca="false">IF($B80="","",ROUND(O$5*$C80,Paramètres!$F$33))</f>
        <v/>
      </c>
      <c r="P80" s="20" t="str">
        <f aca="false">IF($B80="","",ROUND(P$5*$C80,Paramètres!$F$34))</f>
        <v/>
      </c>
      <c r="Q80" s="20" t="str">
        <f aca="false">IF($B80="","",ROUND(Q$5*$C80,Paramètres!$F$35))</f>
        <v/>
      </c>
      <c r="R80" s="19" t="str">
        <f aca="false" t="array" ref="R80:R80">IF(OR($B80="",$A80=0),"",INDEX(Amélioration!$B$6:$H$104,$A80,Calculateur!$B$10))</f>
        <v/>
      </c>
      <c r="S80" s="19" t="str">
        <f aca="false" t="array" ref="S80:S80">IF($B80="","",IF($A80=0,0,INDEX(Amélioration!$J$6:$P$104,$A80,Calculateur!$B$10)))</f>
        <v/>
      </c>
    </row>
    <row r="81" customFormat="false" ht="15.75" hidden="false" customHeight="true" outlineLevel="0" collapsed="false">
      <c r="A81" s="18" t="n">
        <v>75</v>
      </c>
      <c r="B81" s="16" t="str">
        <f aca="false">IF($A81&gt;Calculateur!$B$15,"",Calculateur!$B$14+$A81)</f>
        <v/>
      </c>
      <c r="C81" s="36" t="str">
        <f aca="false">IF($B81="","",Paramètres!$B$16+(1-Paramètres!$B$16)*(($B81-Paramètres!$B$14)/(Paramètres!$B$15-Paramètres!$B$14))^Paramètres!$B$17)</f>
        <v/>
      </c>
      <c r="D81" s="19" t="str">
        <f aca="false">IF($B81="","",ROUND(D$5*$C81,Paramètres!$F$22))</f>
        <v/>
      </c>
      <c r="E81" s="19" t="str">
        <f aca="false">IF($B81="","",ROUND(E$5*$C81,Paramètres!$F$23))</f>
        <v/>
      </c>
      <c r="F81" s="19" t="str">
        <f aca="false">IF($B81="","",ROUND(F$5*$C81,Paramètres!$F$24))</f>
        <v/>
      </c>
      <c r="G81" s="19" t="str">
        <f aca="false">IF($B81="","",ROUND(G$5*$C81,Paramètres!$F$25))</f>
        <v/>
      </c>
      <c r="H81" s="19" t="str">
        <f aca="false">IF($B81="","",ROUND(H$5*$C81,Paramètres!$F$26))</f>
        <v/>
      </c>
      <c r="I81" s="19" t="str">
        <f aca="false">IF($B81="","",ROUND(I$5*$C81,Paramètres!$F$27))</f>
        <v/>
      </c>
      <c r="J81" s="20" t="str">
        <f aca="false">IF($B81="","",ROUND(J$5*$C81,Paramètres!$F$28))</f>
        <v/>
      </c>
      <c r="K81" s="20" t="str">
        <f aca="false">IF($B81="","",ROUND(K$5*$C81,Paramètres!$F$29))</f>
        <v/>
      </c>
      <c r="L81" s="20" t="str">
        <f aca="false">IF($B81="","",ROUND(L$5*$C81,Paramètres!$F$30))</f>
        <v/>
      </c>
      <c r="M81" s="19" t="str">
        <f aca="false">IF($B81="","",ROUND(M$5*$C81,Paramètres!$F$31))</f>
        <v/>
      </c>
      <c r="N81" s="20" t="str">
        <f aca="false">IF($B81="","",ROUND(N$5*$C81,Paramètres!$F$32))</f>
        <v/>
      </c>
      <c r="O81" s="20" t="str">
        <f aca="false">IF($B81="","",ROUND(O$5*$C81,Paramètres!$F$33))</f>
        <v/>
      </c>
      <c r="P81" s="20" t="str">
        <f aca="false">IF($B81="","",ROUND(P$5*$C81,Paramètres!$F$34))</f>
        <v/>
      </c>
      <c r="Q81" s="20" t="str">
        <f aca="false">IF($B81="","",ROUND(Q$5*$C81,Paramètres!$F$35))</f>
        <v/>
      </c>
      <c r="R81" s="19" t="str">
        <f aca="false" t="array" ref="R81:R81">IF(OR($B81="",$A81=0),"",INDEX(Amélioration!$B$6:$H$104,$A81,Calculateur!$B$10))</f>
        <v/>
      </c>
      <c r="S81" s="19" t="str">
        <f aca="false" t="array" ref="S81:S81">IF($B81="","",IF($A81=0,0,INDEX(Amélioration!$J$6:$P$104,$A81,Calculateur!$B$10)))</f>
        <v/>
      </c>
    </row>
    <row r="82" customFormat="false" ht="15.75" hidden="false" customHeight="true" outlineLevel="0" collapsed="false">
      <c r="A82" s="18" t="n">
        <v>76</v>
      </c>
      <c r="B82" s="16" t="str">
        <f aca="false">IF($A82&gt;Calculateur!$B$15,"",Calculateur!$B$14+$A82)</f>
        <v/>
      </c>
      <c r="C82" s="36" t="str">
        <f aca="false">IF($B82="","",Paramètres!$B$16+(1-Paramètres!$B$16)*(($B82-Paramètres!$B$14)/(Paramètres!$B$15-Paramètres!$B$14))^Paramètres!$B$17)</f>
        <v/>
      </c>
      <c r="D82" s="19" t="str">
        <f aca="false">IF($B82="","",ROUND(D$5*$C82,Paramètres!$F$22))</f>
        <v/>
      </c>
      <c r="E82" s="19" t="str">
        <f aca="false">IF($B82="","",ROUND(E$5*$C82,Paramètres!$F$23))</f>
        <v/>
      </c>
      <c r="F82" s="19" t="str">
        <f aca="false">IF($B82="","",ROUND(F$5*$C82,Paramètres!$F$24))</f>
        <v/>
      </c>
      <c r="G82" s="19" t="str">
        <f aca="false">IF($B82="","",ROUND(G$5*$C82,Paramètres!$F$25))</f>
        <v/>
      </c>
      <c r="H82" s="19" t="str">
        <f aca="false">IF($B82="","",ROUND(H$5*$C82,Paramètres!$F$26))</f>
        <v/>
      </c>
      <c r="I82" s="19" t="str">
        <f aca="false">IF($B82="","",ROUND(I$5*$C82,Paramètres!$F$27))</f>
        <v/>
      </c>
      <c r="J82" s="20" t="str">
        <f aca="false">IF($B82="","",ROUND(J$5*$C82,Paramètres!$F$28))</f>
        <v/>
      </c>
      <c r="K82" s="20" t="str">
        <f aca="false">IF($B82="","",ROUND(K$5*$C82,Paramètres!$F$29))</f>
        <v/>
      </c>
      <c r="L82" s="20" t="str">
        <f aca="false">IF($B82="","",ROUND(L$5*$C82,Paramètres!$F$30))</f>
        <v/>
      </c>
      <c r="M82" s="19" t="str">
        <f aca="false">IF($B82="","",ROUND(M$5*$C82,Paramètres!$F$31))</f>
        <v/>
      </c>
      <c r="N82" s="20" t="str">
        <f aca="false">IF($B82="","",ROUND(N$5*$C82,Paramètres!$F$32))</f>
        <v/>
      </c>
      <c r="O82" s="20" t="str">
        <f aca="false">IF($B82="","",ROUND(O$5*$C82,Paramètres!$F$33))</f>
        <v/>
      </c>
      <c r="P82" s="20" t="str">
        <f aca="false">IF($B82="","",ROUND(P$5*$C82,Paramètres!$F$34))</f>
        <v/>
      </c>
      <c r="Q82" s="20" t="str">
        <f aca="false">IF($B82="","",ROUND(Q$5*$C82,Paramètres!$F$35))</f>
        <v/>
      </c>
      <c r="R82" s="19" t="str">
        <f aca="false" t="array" ref="R82:R82">IF(OR($B82="",$A82=0),"",INDEX(Amélioration!$B$6:$H$104,$A82,Calculateur!$B$10))</f>
        <v/>
      </c>
      <c r="S82" s="19" t="str">
        <f aca="false" t="array" ref="S82:S82">IF($B82="","",IF($A82=0,0,INDEX(Amélioration!$J$6:$P$104,$A82,Calculateur!$B$10)))</f>
        <v/>
      </c>
    </row>
    <row r="83" customFormat="false" ht="15.75" hidden="false" customHeight="true" outlineLevel="0" collapsed="false">
      <c r="A83" s="18" t="n">
        <v>77</v>
      </c>
      <c r="B83" s="16" t="str">
        <f aca="false">IF($A83&gt;Calculateur!$B$15,"",Calculateur!$B$14+$A83)</f>
        <v/>
      </c>
      <c r="C83" s="36" t="str">
        <f aca="false">IF($B83="","",Paramètres!$B$16+(1-Paramètres!$B$16)*(($B83-Paramètres!$B$14)/(Paramètres!$B$15-Paramètres!$B$14))^Paramètres!$B$17)</f>
        <v/>
      </c>
      <c r="D83" s="19" t="str">
        <f aca="false">IF($B83="","",ROUND(D$5*$C83,Paramètres!$F$22))</f>
        <v/>
      </c>
      <c r="E83" s="19" t="str">
        <f aca="false">IF($B83="","",ROUND(E$5*$C83,Paramètres!$F$23))</f>
        <v/>
      </c>
      <c r="F83" s="19" t="str">
        <f aca="false">IF($B83="","",ROUND(F$5*$C83,Paramètres!$F$24))</f>
        <v/>
      </c>
      <c r="G83" s="19" t="str">
        <f aca="false">IF($B83="","",ROUND(G$5*$C83,Paramètres!$F$25))</f>
        <v/>
      </c>
      <c r="H83" s="19" t="str">
        <f aca="false">IF($B83="","",ROUND(H$5*$C83,Paramètres!$F$26))</f>
        <v/>
      </c>
      <c r="I83" s="19" t="str">
        <f aca="false">IF($B83="","",ROUND(I$5*$C83,Paramètres!$F$27))</f>
        <v/>
      </c>
      <c r="J83" s="20" t="str">
        <f aca="false">IF($B83="","",ROUND(J$5*$C83,Paramètres!$F$28))</f>
        <v/>
      </c>
      <c r="K83" s="20" t="str">
        <f aca="false">IF($B83="","",ROUND(K$5*$C83,Paramètres!$F$29))</f>
        <v/>
      </c>
      <c r="L83" s="20" t="str">
        <f aca="false">IF($B83="","",ROUND(L$5*$C83,Paramètres!$F$30))</f>
        <v/>
      </c>
      <c r="M83" s="19" t="str">
        <f aca="false">IF($B83="","",ROUND(M$5*$C83,Paramètres!$F$31))</f>
        <v/>
      </c>
      <c r="N83" s="20" t="str">
        <f aca="false">IF($B83="","",ROUND(N$5*$C83,Paramètres!$F$32))</f>
        <v/>
      </c>
      <c r="O83" s="20" t="str">
        <f aca="false">IF($B83="","",ROUND(O$5*$C83,Paramètres!$F$33))</f>
        <v/>
      </c>
      <c r="P83" s="20" t="str">
        <f aca="false">IF($B83="","",ROUND(P$5*$C83,Paramètres!$F$34))</f>
        <v/>
      </c>
      <c r="Q83" s="20" t="str">
        <f aca="false">IF($B83="","",ROUND(Q$5*$C83,Paramètres!$F$35))</f>
        <v/>
      </c>
      <c r="R83" s="19" t="str">
        <f aca="false" t="array" ref="R83:R83">IF(OR($B83="",$A83=0),"",INDEX(Amélioration!$B$6:$H$104,$A83,Calculateur!$B$10))</f>
        <v/>
      </c>
      <c r="S83" s="19" t="str">
        <f aca="false" t="array" ref="S83:S83">IF($B83="","",IF($A83=0,0,INDEX(Amélioration!$J$6:$P$104,$A83,Calculateur!$B$10)))</f>
        <v/>
      </c>
    </row>
    <row r="84" customFormat="false" ht="15.75" hidden="false" customHeight="true" outlineLevel="0" collapsed="false">
      <c r="A84" s="18" t="n">
        <v>78</v>
      </c>
      <c r="B84" s="16" t="str">
        <f aca="false">IF($A84&gt;Calculateur!$B$15,"",Calculateur!$B$14+$A84)</f>
        <v/>
      </c>
      <c r="C84" s="36" t="str">
        <f aca="false">IF($B84="","",Paramètres!$B$16+(1-Paramètres!$B$16)*(($B84-Paramètres!$B$14)/(Paramètres!$B$15-Paramètres!$B$14))^Paramètres!$B$17)</f>
        <v/>
      </c>
      <c r="D84" s="19" t="str">
        <f aca="false">IF($B84="","",ROUND(D$5*$C84,Paramètres!$F$22))</f>
        <v/>
      </c>
      <c r="E84" s="19" t="str">
        <f aca="false">IF($B84="","",ROUND(E$5*$C84,Paramètres!$F$23))</f>
        <v/>
      </c>
      <c r="F84" s="19" t="str">
        <f aca="false">IF($B84="","",ROUND(F$5*$C84,Paramètres!$F$24))</f>
        <v/>
      </c>
      <c r="G84" s="19" t="str">
        <f aca="false">IF($B84="","",ROUND(G$5*$C84,Paramètres!$F$25))</f>
        <v/>
      </c>
      <c r="H84" s="19" t="str">
        <f aca="false">IF($B84="","",ROUND(H$5*$C84,Paramètres!$F$26))</f>
        <v/>
      </c>
      <c r="I84" s="19" t="str">
        <f aca="false">IF($B84="","",ROUND(I$5*$C84,Paramètres!$F$27))</f>
        <v/>
      </c>
      <c r="J84" s="20" t="str">
        <f aca="false">IF($B84="","",ROUND(J$5*$C84,Paramètres!$F$28))</f>
        <v/>
      </c>
      <c r="K84" s="20" t="str">
        <f aca="false">IF($B84="","",ROUND(K$5*$C84,Paramètres!$F$29))</f>
        <v/>
      </c>
      <c r="L84" s="20" t="str">
        <f aca="false">IF($B84="","",ROUND(L$5*$C84,Paramètres!$F$30))</f>
        <v/>
      </c>
      <c r="M84" s="19" t="str">
        <f aca="false">IF($B84="","",ROUND(M$5*$C84,Paramètres!$F$31))</f>
        <v/>
      </c>
      <c r="N84" s="20" t="str">
        <f aca="false">IF($B84="","",ROUND(N$5*$C84,Paramètres!$F$32))</f>
        <v/>
      </c>
      <c r="O84" s="20" t="str">
        <f aca="false">IF($B84="","",ROUND(O$5*$C84,Paramètres!$F$33))</f>
        <v/>
      </c>
      <c r="P84" s="20" t="str">
        <f aca="false">IF($B84="","",ROUND(P$5*$C84,Paramètres!$F$34))</f>
        <v/>
      </c>
      <c r="Q84" s="20" t="str">
        <f aca="false">IF($B84="","",ROUND(Q$5*$C84,Paramètres!$F$35))</f>
        <v/>
      </c>
      <c r="R84" s="19" t="str">
        <f aca="false" t="array" ref="R84:R84">IF(OR($B84="",$A84=0),"",INDEX(Amélioration!$B$6:$H$104,$A84,Calculateur!$B$10))</f>
        <v/>
      </c>
      <c r="S84" s="19" t="str">
        <f aca="false" t="array" ref="S84:S84">IF($B84="","",IF($A84=0,0,INDEX(Amélioration!$J$6:$P$104,$A84,Calculateur!$B$10)))</f>
        <v/>
      </c>
    </row>
    <row r="85" customFormat="false" ht="15.75" hidden="false" customHeight="true" outlineLevel="0" collapsed="false">
      <c r="A85" s="18" t="n">
        <v>79</v>
      </c>
      <c r="B85" s="16" t="str">
        <f aca="false">IF($A85&gt;Calculateur!$B$15,"",Calculateur!$B$14+$A85)</f>
        <v/>
      </c>
      <c r="C85" s="36" t="str">
        <f aca="false">IF($B85="","",Paramètres!$B$16+(1-Paramètres!$B$16)*(($B85-Paramètres!$B$14)/(Paramètres!$B$15-Paramètres!$B$14))^Paramètres!$B$17)</f>
        <v/>
      </c>
      <c r="D85" s="19" t="str">
        <f aca="false">IF($B85="","",ROUND(D$5*$C85,Paramètres!$F$22))</f>
        <v/>
      </c>
      <c r="E85" s="19" t="str">
        <f aca="false">IF($B85="","",ROUND(E$5*$C85,Paramètres!$F$23))</f>
        <v/>
      </c>
      <c r="F85" s="19" t="str">
        <f aca="false">IF($B85="","",ROUND(F$5*$C85,Paramètres!$F$24))</f>
        <v/>
      </c>
      <c r="G85" s="19" t="str">
        <f aca="false">IF($B85="","",ROUND(G$5*$C85,Paramètres!$F$25))</f>
        <v/>
      </c>
      <c r="H85" s="19" t="str">
        <f aca="false">IF($B85="","",ROUND(H$5*$C85,Paramètres!$F$26))</f>
        <v/>
      </c>
      <c r="I85" s="19" t="str">
        <f aca="false">IF($B85="","",ROUND(I$5*$C85,Paramètres!$F$27))</f>
        <v/>
      </c>
      <c r="J85" s="20" t="str">
        <f aca="false">IF($B85="","",ROUND(J$5*$C85,Paramètres!$F$28))</f>
        <v/>
      </c>
      <c r="K85" s="20" t="str">
        <f aca="false">IF($B85="","",ROUND(K$5*$C85,Paramètres!$F$29))</f>
        <v/>
      </c>
      <c r="L85" s="20" t="str">
        <f aca="false">IF($B85="","",ROUND(L$5*$C85,Paramètres!$F$30))</f>
        <v/>
      </c>
      <c r="M85" s="19" t="str">
        <f aca="false">IF($B85="","",ROUND(M$5*$C85,Paramètres!$F$31))</f>
        <v/>
      </c>
      <c r="N85" s="20" t="str">
        <f aca="false">IF($B85="","",ROUND(N$5*$C85,Paramètres!$F$32))</f>
        <v/>
      </c>
      <c r="O85" s="20" t="str">
        <f aca="false">IF($B85="","",ROUND(O$5*$C85,Paramètres!$F$33))</f>
        <v/>
      </c>
      <c r="P85" s="20" t="str">
        <f aca="false">IF($B85="","",ROUND(P$5*$C85,Paramètres!$F$34))</f>
        <v/>
      </c>
      <c r="Q85" s="20" t="str">
        <f aca="false">IF($B85="","",ROUND(Q$5*$C85,Paramètres!$F$35))</f>
        <v/>
      </c>
      <c r="R85" s="19" t="str">
        <f aca="false" t="array" ref="R85:R85">IF(OR($B85="",$A85=0),"",INDEX(Amélioration!$B$6:$H$104,$A85,Calculateur!$B$10))</f>
        <v/>
      </c>
      <c r="S85" s="19" t="str">
        <f aca="false" t="array" ref="S85:S85">IF($B85="","",IF($A85=0,0,INDEX(Amélioration!$J$6:$P$104,$A85,Calculateur!$B$10)))</f>
        <v/>
      </c>
    </row>
    <row r="86" customFormat="false" ht="15.75" hidden="false" customHeight="true" outlineLevel="0" collapsed="false">
      <c r="A86" s="18" t="n">
        <v>80</v>
      </c>
      <c r="B86" s="16" t="str">
        <f aca="false">IF($A86&gt;Calculateur!$B$15,"",Calculateur!$B$14+$A86)</f>
        <v/>
      </c>
      <c r="C86" s="36" t="str">
        <f aca="false">IF($B86="","",Paramètres!$B$16+(1-Paramètres!$B$16)*(($B86-Paramètres!$B$14)/(Paramètres!$B$15-Paramètres!$B$14))^Paramètres!$B$17)</f>
        <v/>
      </c>
      <c r="D86" s="19" t="str">
        <f aca="false">IF($B86="","",ROUND(D$5*$C86,Paramètres!$F$22))</f>
        <v/>
      </c>
      <c r="E86" s="19" t="str">
        <f aca="false">IF($B86="","",ROUND(E$5*$C86,Paramètres!$F$23))</f>
        <v/>
      </c>
      <c r="F86" s="19" t="str">
        <f aca="false">IF($B86="","",ROUND(F$5*$C86,Paramètres!$F$24))</f>
        <v/>
      </c>
      <c r="G86" s="19" t="str">
        <f aca="false">IF($B86="","",ROUND(G$5*$C86,Paramètres!$F$25))</f>
        <v/>
      </c>
      <c r="H86" s="19" t="str">
        <f aca="false">IF($B86="","",ROUND(H$5*$C86,Paramètres!$F$26))</f>
        <v/>
      </c>
      <c r="I86" s="19" t="str">
        <f aca="false">IF($B86="","",ROUND(I$5*$C86,Paramètres!$F$27))</f>
        <v/>
      </c>
      <c r="J86" s="20" t="str">
        <f aca="false">IF($B86="","",ROUND(J$5*$C86,Paramètres!$F$28))</f>
        <v/>
      </c>
      <c r="K86" s="20" t="str">
        <f aca="false">IF($B86="","",ROUND(K$5*$C86,Paramètres!$F$29))</f>
        <v/>
      </c>
      <c r="L86" s="20" t="str">
        <f aca="false">IF($B86="","",ROUND(L$5*$C86,Paramètres!$F$30))</f>
        <v/>
      </c>
      <c r="M86" s="19" t="str">
        <f aca="false">IF($B86="","",ROUND(M$5*$C86,Paramètres!$F$31))</f>
        <v/>
      </c>
      <c r="N86" s="20" t="str">
        <f aca="false">IF($B86="","",ROUND(N$5*$C86,Paramètres!$F$32))</f>
        <v/>
      </c>
      <c r="O86" s="20" t="str">
        <f aca="false">IF($B86="","",ROUND(O$5*$C86,Paramètres!$F$33))</f>
        <v/>
      </c>
      <c r="P86" s="20" t="str">
        <f aca="false">IF($B86="","",ROUND(P$5*$C86,Paramètres!$F$34))</f>
        <v/>
      </c>
      <c r="Q86" s="20" t="str">
        <f aca="false">IF($B86="","",ROUND(Q$5*$C86,Paramètres!$F$35))</f>
        <v/>
      </c>
      <c r="R86" s="19" t="str">
        <f aca="false" t="array" ref="R86:R86">IF(OR($B86="",$A86=0),"",INDEX(Amélioration!$B$6:$H$104,$A86,Calculateur!$B$10))</f>
        <v/>
      </c>
      <c r="S86" s="19" t="str">
        <f aca="false" t="array" ref="S86:S86">IF($B86="","",IF($A86=0,0,INDEX(Amélioration!$J$6:$P$104,$A86,Calculateur!$B$10)))</f>
        <v/>
      </c>
    </row>
    <row r="87" customFormat="false" ht="15.75" hidden="false" customHeight="true" outlineLevel="0" collapsed="false">
      <c r="A87" s="18" t="n">
        <v>81</v>
      </c>
      <c r="B87" s="16" t="str">
        <f aca="false">IF($A87&gt;Calculateur!$B$15,"",Calculateur!$B$14+$A87)</f>
        <v/>
      </c>
      <c r="C87" s="36" t="str">
        <f aca="false">IF($B87="","",Paramètres!$B$16+(1-Paramètres!$B$16)*(($B87-Paramètres!$B$14)/(Paramètres!$B$15-Paramètres!$B$14))^Paramètres!$B$17)</f>
        <v/>
      </c>
      <c r="D87" s="19" t="str">
        <f aca="false">IF($B87="","",ROUND(D$5*$C87,Paramètres!$F$22))</f>
        <v/>
      </c>
      <c r="E87" s="19" t="str">
        <f aca="false">IF($B87="","",ROUND(E$5*$C87,Paramètres!$F$23))</f>
        <v/>
      </c>
      <c r="F87" s="19" t="str">
        <f aca="false">IF($B87="","",ROUND(F$5*$C87,Paramètres!$F$24))</f>
        <v/>
      </c>
      <c r="G87" s="19" t="str">
        <f aca="false">IF($B87="","",ROUND(G$5*$C87,Paramètres!$F$25))</f>
        <v/>
      </c>
      <c r="H87" s="19" t="str">
        <f aca="false">IF($B87="","",ROUND(H$5*$C87,Paramètres!$F$26))</f>
        <v/>
      </c>
      <c r="I87" s="19" t="str">
        <f aca="false">IF($B87="","",ROUND(I$5*$C87,Paramètres!$F$27))</f>
        <v/>
      </c>
      <c r="J87" s="20" t="str">
        <f aca="false">IF($B87="","",ROUND(J$5*$C87,Paramètres!$F$28))</f>
        <v/>
      </c>
      <c r="K87" s="20" t="str">
        <f aca="false">IF($B87="","",ROUND(K$5*$C87,Paramètres!$F$29))</f>
        <v/>
      </c>
      <c r="L87" s="20" t="str">
        <f aca="false">IF($B87="","",ROUND(L$5*$C87,Paramètres!$F$30))</f>
        <v/>
      </c>
      <c r="M87" s="19" t="str">
        <f aca="false">IF($B87="","",ROUND(M$5*$C87,Paramètres!$F$31))</f>
        <v/>
      </c>
      <c r="N87" s="20" t="str">
        <f aca="false">IF($B87="","",ROUND(N$5*$C87,Paramètres!$F$32))</f>
        <v/>
      </c>
      <c r="O87" s="20" t="str">
        <f aca="false">IF($B87="","",ROUND(O$5*$C87,Paramètres!$F$33))</f>
        <v/>
      </c>
      <c r="P87" s="20" t="str">
        <f aca="false">IF($B87="","",ROUND(P$5*$C87,Paramètres!$F$34))</f>
        <v/>
      </c>
      <c r="Q87" s="20" t="str">
        <f aca="false">IF($B87="","",ROUND(Q$5*$C87,Paramètres!$F$35))</f>
        <v/>
      </c>
      <c r="R87" s="19" t="str">
        <f aca="false" t="array" ref="R87:R87">IF(OR($B87="",$A87=0),"",INDEX(Amélioration!$B$6:$H$104,$A87,Calculateur!$B$10))</f>
        <v/>
      </c>
      <c r="S87" s="19" t="str">
        <f aca="false" t="array" ref="S87:S87">IF($B87="","",IF($A87=0,0,INDEX(Amélioration!$J$6:$P$104,$A87,Calculateur!$B$10)))</f>
        <v/>
      </c>
    </row>
    <row r="88" customFormat="false" ht="15.75" hidden="false" customHeight="true" outlineLevel="0" collapsed="false">
      <c r="A88" s="18" t="n">
        <v>82</v>
      </c>
      <c r="B88" s="16" t="str">
        <f aca="false">IF($A88&gt;Calculateur!$B$15,"",Calculateur!$B$14+$A88)</f>
        <v/>
      </c>
      <c r="C88" s="36" t="str">
        <f aca="false">IF($B88="","",Paramètres!$B$16+(1-Paramètres!$B$16)*(($B88-Paramètres!$B$14)/(Paramètres!$B$15-Paramètres!$B$14))^Paramètres!$B$17)</f>
        <v/>
      </c>
      <c r="D88" s="19" t="str">
        <f aca="false">IF($B88="","",ROUND(D$5*$C88,Paramètres!$F$22))</f>
        <v/>
      </c>
      <c r="E88" s="19" t="str">
        <f aca="false">IF($B88="","",ROUND(E$5*$C88,Paramètres!$F$23))</f>
        <v/>
      </c>
      <c r="F88" s="19" t="str">
        <f aca="false">IF($B88="","",ROUND(F$5*$C88,Paramètres!$F$24))</f>
        <v/>
      </c>
      <c r="G88" s="19" t="str">
        <f aca="false">IF($B88="","",ROUND(G$5*$C88,Paramètres!$F$25))</f>
        <v/>
      </c>
      <c r="H88" s="19" t="str">
        <f aca="false">IF($B88="","",ROUND(H$5*$C88,Paramètres!$F$26))</f>
        <v/>
      </c>
      <c r="I88" s="19" t="str">
        <f aca="false">IF($B88="","",ROUND(I$5*$C88,Paramètres!$F$27))</f>
        <v/>
      </c>
      <c r="J88" s="20" t="str">
        <f aca="false">IF($B88="","",ROUND(J$5*$C88,Paramètres!$F$28))</f>
        <v/>
      </c>
      <c r="K88" s="20" t="str">
        <f aca="false">IF($B88="","",ROUND(K$5*$C88,Paramètres!$F$29))</f>
        <v/>
      </c>
      <c r="L88" s="20" t="str">
        <f aca="false">IF($B88="","",ROUND(L$5*$C88,Paramètres!$F$30))</f>
        <v/>
      </c>
      <c r="M88" s="19" t="str">
        <f aca="false">IF($B88="","",ROUND(M$5*$C88,Paramètres!$F$31))</f>
        <v/>
      </c>
      <c r="N88" s="20" t="str">
        <f aca="false">IF($B88="","",ROUND(N$5*$C88,Paramètres!$F$32))</f>
        <v/>
      </c>
      <c r="O88" s="20" t="str">
        <f aca="false">IF($B88="","",ROUND(O$5*$C88,Paramètres!$F$33))</f>
        <v/>
      </c>
      <c r="P88" s="20" t="str">
        <f aca="false">IF($B88="","",ROUND(P$5*$C88,Paramètres!$F$34))</f>
        <v/>
      </c>
      <c r="Q88" s="20" t="str">
        <f aca="false">IF($B88="","",ROUND(Q$5*$C88,Paramètres!$F$35))</f>
        <v/>
      </c>
      <c r="R88" s="19" t="str">
        <f aca="false" t="array" ref="R88:R88">IF(OR($B88="",$A88=0),"",INDEX(Amélioration!$B$6:$H$104,$A88,Calculateur!$B$10))</f>
        <v/>
      </c>
      <c r="S88" s="19" t="str">
        <f aca="false" t="array" ref="S88:S88">IF($B88="","",IF($A88=0,0,INDEX(Amélioration!$J$6:$P$104,$A88,Calculateur!$B$10)))</f>
        <v/>
      </c>
    </row>
    <row r="89" customFormat="false" ht="15.75" hidden="false" customHeight="true" outlineLevel="0" collapsed="false">
      <c r="A89" s="18" t="n">
        <v>83</v>
      </c>
      <c r="B89" s="16" t="str">
        <f aca="false">IF($A89&gt;Calculateur!$B$15,"",Calculateur!$B$14+$A89)</f>
        <v/>
      </c>
      <c r="C89" s="36" t="str">
        <f aca="false">IF($B89="","",Paramètres!$B$16+(1-Paramètres!$B$16)*(($B89-Paramètres!$B$14)/(Paramètres!$B$15-Paramètres!$B$14))^Paramètres!$B$17)</f>
        <v/>
      </c>
      <c r="D89" s="19" t="str">
        <f aca="false">IF($B89="","",ROUND(D$5*$C89,Paramètres!$F$22))</f>
        <v/>
      </c>
      <c r="E89" s="19" t="str">
        <f aca="false">IF($B89="","",ROUND(E$5*$C89,Paramètres!$F$23))</f>
        <v/>
      </c>
      <c r="F89" s="19" t="str">
        <f aca="false">IF($B89="","",ROUND(F$5*$C89,Paramètres!$F$24))</f>
        <v/>
      </c>
      <c r="G89" s="19" t="str">
        <f aca="false">IF($B89="","",ROUND(G$5*$C89,Paramètres!$F$25))</f>
        <v/>
      </c>
      <c r="H89" s="19" t="str">
        <f aca="false">IF($B89="","",ROUND(H$5*$C89,Paramètres!$F$26))</f>
        <v/>
      </c>
      <c r="I89" s="19" t="str">
        <f aca="false">IF($B89="","",ROUND(I$5*$C89,Paramètres!$F$27))</f>
        <v/>
      </c>
      <c r="J89" s="20" t="str">
        <f aca="false">IF($B89="","",ROUND(J$5*$C89,Paramètres!$F$28))</f>
        <v/>
      </c>
      <c r="K89" s="20" t="str">
        <f aca="false">IF($B89="","",ROUND(K$5*$C89,Paramètres!$F$29))</f>
        <v/>
      </c>
      <c r="L89" s="20" t="str">
        <f aca="false">IF($B89="","",ROUND(L$5*$C89,Paramètres!$F$30))</f>
        <v/>
      </c>
      <c r="M89" s="19" t="str">
        <f aca="false">IF($B89="","",ROUND(M$5*$C89,Paramètres!$F$31))</f>
        <v/>
      </c>
      <c r="N89" s="20" t="str">
        <f aca="false">IF($B89="","",ROUND(N$5*$C89,Paramètres!$F$32))</f>
        <v/>
      </c>
      <c r="O89" s="20" t="str">
        <f aca="false">IF($B89="","",ROUND(O$5*$C89,Paramètres!$F$33))</f>
        <v/>
      </c>
      <c r="P89" s="20" t="str">
        <f aca="false">IF($B89="","",ROUND(P$5*$C89,Paramètres!$F$34))</f>
        <v/>
      </c>
      <c r="Q89" s="20" t="str">
        <f aca="false">IF($B89="","",ROUND(Q$5*$C89,Paramètres!$F$35))</f>
        <v/>
      </c>
      <c r="R89" s="19" t="str">
        <f aca="false" t="array" ref="R89:R89">IF(OR($B89="",$A89=0),"",INDEX(Amélioration!$B$6:$H$104,$A89,Calculateur!$B$10))</f>
        <v/>
      </c>
      <c r="S89" s="19" t="str">
        <f aca="false" t="array" ref="S89:S89">IF($B89="","",IF($A89=0,0,INDEX(Amélioration!$J$6:$P$104,$A89,Calculateur!$B$10)))</f>
        <v/>
      </c>
    </row>
    <row r="90" customFormat="false" ht="15.75" hidden="false" customHeight="true" outlineLevel="0" collapsed="false">
      <c r="A90" s="18" t="n">
        <v>84</v>
      </c>
      <c r="B90" s="16" t="str">
        <f aca="false">IF($A90&gt;Calculateur!$B$15,"",Calculateur!$B$14+$A90)</f>
        <v/>
      </c>
      <c r="C90" s="36" t="str">
        <f aca="false">IF($B90="","",Paramètres!$B$16+(1-Paramètres!$B$16)*(($B90-Paramètres!$B$14)/(Paramètres!$B$15-Paramètres!$B$14))^Paramètres!$B$17)</f>
        <v/>
      </c>
      <c r="D90" s="19" t="str">
        <f aca="false">IF($B90="","",ROUND(D$5*$C90,Paramètres!$F$22))</f>
        <v/>
      </c>
      <c r="E90" s="19" t="str">
        <f aca="false">IF($B90="","",ROUND(E$5*$C90,Paramètres!$F$23))</f>
        <v/>
      </c>
      <c r="F90" s="19" t="str">
        <f aca="false">IF($B90="","",ROUND(F$5*$C90,Paramètres!$F$24))</f>
        <v/>
      </c>
      <c r="G90" s="19" t="str">
        <f aca="false">IF($B90="","",ROUND(G$5*$C90,Paramètres!$F$25))</f>
        <v/>
      </c>
      <c r="H90" s="19" t="str">
        <f aca="false">IF($B90="","",ROUND(H$5*$C90,Paramètres!$F$26))</f>
        <v/>
      </c>
      <c r="I90" s="19" t="str">
        <f aca="false">IF($B90="","",ROUND(I$5*$C90,Paramètres!$F$27))</f>
        <v/>
      </c>
      <c r="J90" s="20" t="str">
        <f aca="false">IF($B90="","",ROUND(J$5*$C90,Paramètres!$F$28))</f>
        <v/>
      </c>
      <c r="K90" s="20" t="str">
        <f aca="false">IF($B90="","",ROUND(K$5*$C90,Paramètres!$F$29))</f>
        <v/>
      </c>
      <c r="L90" s="20" t="str">
        <f aca="false">IF($B90="","",ROUND(L$5*$C90,Paramètres!$F$30))</f>
        <v/>
      </c>
      <c r="M90" s="19" t="str">
        <f aca="false">IF($B90="","",ROUND(M$5*$C90,Paramètres!$F$31))</f>
        <v/>
      </c>
      <c r="N90" s="20" t="str">
        <f aca="false">IF($B90="","",ROUND(N$5*$C90,Paramètres!$F$32))</f>
        <v/>
      </c>
      <c r="O90" s="20" t="str">
        <f aca="false">IF($B90="","",ROUND(O$5*$C90,Paramètres!$F$33))</f>
        <v/>
      </c>
      <c r="P90" s="20" t="str">
        <f aca="false">IF($B90="","",ROUND(P$5*$C90,Paramètres!$F$34))</f>
        <v/>
      </c>
      <c r="Q90" s="20" t="str">
        <f aca="false">IF($B90="","",ROUND(Q$5*$C90,Paramètres!$F$35))</f>
        <v/>
      </c>
      <c r="R90" s="19" t="str">
        <f aca="false" t="array" ref="R90:R90">IF(OR($B90="",$A90=0),"",INDEX(Amélioration!$B$6:$H$104,$A90,Calculateur!$B$10))</f>
        <v/>
      </c>
      <c r="S90" s="19" t="str">
        <f aca="false" t="array" ref="S90:S90">IF($B90="","",IF($A90=0,0,INDEX(Amélioration!$J$6:$P$104,$A90,Calculateur!$B$10)))</f>
        <v/>
      </c>
    </row>
    <row r="91" customFormat="false" ht="15.75" hidden="false" customHeight="true" outlineLevel="0" collapsed="false">
      <c r="A91" s="18" t="n">
        <v>85</v>
      </c>
      <c r="B91" s="16" t="str">
        <f aca="false">IF($A91&gt;Calculateur!$B$15,"",Calculateur!$B$14+$A91)</f>
        <v/>
      </c>
      <c r="C91" s="36" t="str">
        <f aca="false">IF($B91="","",Paramètres!$B$16+(1-Paramètres!$B$16)*(($B91-Paramètres!$B$14)/(Paramètres!$B$15-Paramètres!$B$14))^Paramètres!$B$17)</f>
        <v/>
      </c>
      <c r="D91" s="19" t="str">
        <f aca="false">IF($B91="","",ROUND(D$5*$C91,Paramètres!$F$22))</f>
        <v/>
      </c>
      <c r="E91" s="19" t="str">
        <f aca="false">IF($B91="","",ROUND(E$5*$C91,Paramètres!$F$23))</f>
        <v/>
      </c>
      <c r="F91" s="19" t="str">
        <f aca="false">IF($B91="","",ROUND(F$5*$C91,Paramètres!$F$24))</f>
        <v/>
      </c>
      <c r="G91" s="19" t="str">
        <f aca="false">IF($B91="","",ROUND(G$5*$C91,Paramètres!$F$25))</f>
        <v/>
      </c>
      <c r="H91" s="19" t="str">
        <f aca="false">IF($B91="","",ROUND(H$5*$C91,Paramètres!$F$26))</f>
        <v/>
      </c>
      <c r="I91" s="19" t="str">
        <f aca="false">IF($B91="","",ROUND(I$5*$C91,Paramètres!$F$27))</f>
        <v/>
      </c>
      <c r="J91" s="20" t="str">
        <f aca="false">IF($B91="","",ROUND(J$5*$C91,Paramètres!$F$28))</f>
        <v/>
      </c>
      <c r="K91" s="20" t="str">
        <f aca="false">IF($B91="","",ROUND(K$5*$C91,Paramètres!$F$29))</f>
        <v/>
      </c>
      <c r="L91" s="20" t="str">
        <f aca="false">IF($B91="","",ROUND(L$5*$C91,Paramètres!$F$30))</f>
        <v/>
      </c>
      <c r="M91" s="19" t="str">
        <f aca="false">IF($B91="","",ROUND(M$5*$C91,Paramètres!$F$31))</f>
        <v/>
      </c>
      <c r="N91" s="20" t="str">
        <f aca="false">IF($B91="","",ROUND(N$5*$C91,Paramètres!$F$32))</f>
        <v/>
      </c>
      <c r="O91" s="20" t="str">
        <f aca="false">IF($B91="","",ROUND(O$5*$C91,Paramètres!$F$33))</f>
        <v/>
      </c>
      <c r="P91" s="20" t="str">
        <f aca="false">IF($B91="","",ROUND(P$5*$C91,Paramètres!$F$34))</f>
        <v/>
      </c>
      <c r="Q91" s="20" t="str">
        <f aca="false">IF($B91="","",ROUND(Q$5*$C91,Paramètres!$F$35))</f>
        <v/>
      </c>
      <c r="R91" s="19" t="str">
        <f aca="false" t="array" ref="R91:R91">IF(OR($B91="",$A91=0),"",INDEX(Amélioration!$B$6:$H$104,$A91,Calculateur!$B$10))</f>
        <v/>
      </c>
      <c r="S91" s="19" t="str">
        <f aca="false" t="array" ref="S91:S91">IF($B91="","",IF($A91=0,0,INDEX(Amélioration!$J$6:$P$104,$A91,Calculateur!$B$10)))</f>
        <v/>
      </c>
    </row>
    <row r="92" customFormat="false" ht="15.75" hidden="false" customHeight="true" outlineLevel="0" collapsed="false">
      <c r="A92" s="18" t="n">
        <v>86</v>
      </c>
      <c r="B92" s="16" t="str">
        <f aca="false">IF($A92&gt;Calculateur!$B$15,"",Calculateur!$B$14+$A92)</f>
        <v/>
      </c>
      <c r="C92" s="36" t="str">
        <f aca="false">IF($B92="","",Paramètres!$B$16+(1-Paramètres!$B$16)*(($B92-Paramètres!$B$14)/(Paramètres!$B$15-Paramètres!$B$14))^Paramètres!$B$17)</f>
        <v/>
      </c>
      <c r="D92" s="19" t="str">
        <f aca="false">IF($B92="","",ROUND(D$5*$C92,Paramètres!$F$22))</f>
        <v/>
      </c>
      <c r="E92" s="19" t="str">
        <f aca="false">IF($B92="","",ROUND(E$5*$C92,Paramètres!$F$23))</f>
        <v/>
      </c>
      <c r="F92" s="19" t="str">
        <f aca="false">IF($B92="","",ROUND(F$5*$C92,Paramètres!$F$24))</f>
        <v/>
      </c>
      <c r="G92" s="19" t="str">
        <f aca="false">IF($B92="","",ROUND(G$5*$C92,Paramètres!$F$25))</f>
        <v/>
      </c>
      <c r="H92" s="19" t="str">
        <f aca="false">IF($B92="","",ROUND(H$5*$C92,Paramètres!$F$26))</f>
        <v/>
      </c>
      <c r="I92" s="19" t="str">
        <f aca="false">IF($B92="","",ROUND(I$5*$C92,Paramètres!$F$27))</f>
        <v/>
      </c>
      <c r="J92" s="20" t="str">
        <f aca="false">IF($B92="","",ROUND(J$5*$C92,Paramètres!$F$28))</f>
        <v/>
      </c>
      <c r="K92" s="20" t="str">
        <f aca="false">IF($B92="","",ROUND(K$5*$C92,Paramètres!$F$29))</f>
        <v/>
      </c>
      <c r="L92" s="20" t="str">
        <f aca="false">IF($B92="","",ROUND(L$5*$C92,Paramètres!$F$30))</f>
        <v/>
      </c>
      <c r="M92" s="19" t="str">
        <f aca="false">IF($B92="","",ROUND(M$5*$C92,Paramètres!$F$31))</f>
        <v/>
      </c>
      <c r="N92" s="20" t="str">
        <f aca="false">IF($B92="","",ROUND(N$5*$C92,Paramètres!$F$32))</f>
        <v/>
      </c>
      <c r="O92" s="20" t="str">
        <f aca="false">IF($B92="","",ROUND(O$5*$C92,Paramètres!$F$33))</f>
        <v/>
      </c>
      <c r="P92" s="20" t="str">
        <f aca="false">IF($B92="","",ROUND(P$5*$C92,Paramètres!$F$34))</f>
        <v/>
      </c>
      <c r="Q92" s="20" t="str">
        <f aca="false">IF($B92="","",ROUND(Q$5*$C92,Paramètres!$F$35))</f>
        <v/>
      </c>
      <c r="R92" s="19" t="str">
        <f aca="false" t="array" ref="R92:R92">IF(OR($B92="",$A92=0),"",INDEX(Amélioration!$B$6:$H$104,$A92,Calculateur!$B$10))</f>
        <v/>
      </c>
      <c r="S92" s="19" t="str">
        <f aca="false" t="array" ref="S92:S92">IF($B92="","",IF($A92=0,0,INDEX(Amélioration!$J$6:$P$104,$A92,Calculateur!$B$10)))</f>
        <v/>
      </c>
    </row>
    <row r="93" customFormat="false" ht="15.75" hidden="false" customHeight="true" outlineLevel="0" collapsed="false">
      <c r="A93" s="18" t="n">
        <v>87</v>
      </c>
      <c r="B93" s="16" t="str">
        <f aca="false">IF($A93&gt;Calculateur!$B$15,"",Calculateur!$B$14+$A93)</f>
        <v/>
      </c>
      <c r="C93" s="36" t="str">
        <f aca="false">IF($B93="","",Paramètres!$B$16+(1-Paramètres!$B$16)*(($B93-Paramètres!$B$14)/(Paramètres!$B$15-Paramètres!$B$14))^Paramètres!$B$17)</f>
        <v/>
      </c>
      <c r="D93" s="19" t="str">
        <f aca="false">IF($B93="","",ROUND(D$5*$C93,Paramètres!$F$22))</f>
        <v/>
      </c>
      <c r="E93" s="19" t="str">
        <f aca="false">IF($B93="","",ROUND(E$5*$C93,Paramètres!$F$23))</f>
        <v/>
      </c>
      <c r="F93" s="19" t="str">
        <f aca="false">IF($B93="","",ROUND(F$5*$C93,Paramètres!$F$24))</f>
        <v/>
      </c>
      <c r="G93" s="19" t="str">
        <f aca="false">IF($B93="","",ROUND(G$5*$C93,Paramètres!$F$25))</f>
        <v/>
      </c>
      <c r="H93" s="19" t="str">
        <f aca="false">IF($B93="","",ROUND(H$5*$C93,Paramètres!$F$26))</f>
        <v/>
      </c>
      <c r="I93" s="19" t="str">
        <f aca="false">IF($B93="","",ROUND(I$5*$C93,Paramètres!$F$27))</f>
        <v/>
      </c>
      <c r="J93" s="20" t="str">
        <f aca="false">IF($B93="","",ROUND(J$5*$C93,Paramètres!$F$28))</f>
        <v/>
      </c>
      <c r="K93" s="20" t="str">
        <f aca="false">IF($B93="","",ROUND(K$5*$C93,Paramètres!$F$29))</f>
        <v/>
      </c>
      <c r="L93" s="20" t="str">
        <f aca="false">IF($B93="","",ROUND(L$5*$C93,Paramètres!$F$30))</f>
        <v/>
      </c>
      <c r="M93" s="19" t="str">
        <f aca="false">IF($B93="","",ROUND(M$5*$C93,Paramètres!$F$31))</f>
        <v/>
      </c>
      <c r="N93" s="20" t="str">
        <f aca="false">IF($B93="","",ROUND(N$5*$C93,Paramètres!$F$32))</f>
        <v/>
      </c>
      <c r="O93" s="20" t="str">
        <f aca="false">IF($B93="","",ROUND(O$5*$C93,Paramètres!$F$33))</f>
        <v/>
      </c>
      <c r="P93" s="20" t="str">
        <f aca="false">IF($B93="","",ROUND(P$5*$C93,Paramètres!$F$34))</f>
        <v/>
      </c>
      <c r="Q93" s="20" t="str">
        <f aca="false">IF($B93="","",ROUND(Q$5*$C93,Paramètres!$F$35))</f>
        <v/>
      </c>
      <c r="R93" s="19" t="str">
        <f aca="false" t="array" ref="R93:R93">IF(OR($B93="",$A93=0),"",INDEX(Amélioration!$B$6:$H$104,$A93,Calculateur!$B$10))</f>
        <v/>
      </c>
      <c r="S93" s="19" t="str">
        <f aca="false" t="array" ref="S93:S93">IF($B93="","",IF($A93=0,0,INDEX(Amélioration!$J$6:$P$104,$A93,Calculateur!$B$10)))</f>
        <v/>
      </c>
    </row>
    <row r="94" customFormat="false" ht="15.75" hidden="false" customHeight="true" outlineLevel="0" collapsed="false">
      <c r="A94" s="18" t="n">
        <v>88</v>
      </c>
      <c r="B94" s="16" t="str">
        <f aca="false">IF($A94&gt;Calculateur!$B$15,"",Calculateur!$B$14+$A94)</f>
        <v/>
      </c>
      <c r="C94" s="36" t="str">
        <f aca="false">IF($B94="","",Paramètres!$B$16+(1-Paramètres!$B$16)*(($B94-Paramètres!$B$14)/(Paramètres!$B$15-Paramètres!$B$14))^Paramètres!$B$17)</f>
        <v/>
      </c>
      <c r="D94" s="19" t="str">
        <f aca="false">IF($B94="","",ROUND(D$5*$C94,Paramètres!$F$22))</f>
        <v/>
      </c>
      <c r="E94" s="19" t="str">
        <f aca="false">IF($B94="","",ROUND(E$5*$C94,Paramètres!$F$23))</f>
        <v/>
      </c>
      <c r="F94" s="19" t="str">
        <f aca="false">IF($B94="","",ROUND(F$5*$C94,Paramètres!$F$24))</f>
        <v/>
      </c>
      <c r="G94" s="19" t="str">
        <f aca="false">IF($B94="","",ROUND(G$5*$C94,Paramètres!$F$25))</f>
        <v/>
      </c>
      <c r="H94" s="19" t="str">
        <f aca="false">IF($B94="","",ROUND(H$5*$C94,Paramètres!$F$26))</f>
        <v/>
      </c>
      <c r="I94" s="19" t="str">
        <f aca="false">IF($B94="","",ROUND(I$5*$C94,Paramètres!$F$27))</f>
        <v/>
      </c>
      <c r="J94" s="20" t="str">
        <f aca="false">IF($B94="","",ROUND(J$5*$C94,Paramètres!$F$28))</f>
        <v/>
      </c>
      <c r="K94" s="20" t="str">
        <f aca="false">IF($B94="","",ROUND(K$5*$C94,Paramètres!$F$29))</f>
        <v/>
      </c>
      <c r="L94" s="20" t="str">
        <f aca="false">IF($B94="","",ROUND(L$5*$C94,Paramètres!$F$30))</f>
        <v/>
      </c>
      <c r="M94" s="19" t="str">
        <f aca="false">IF($B94="","",ROUND(M$5*$C94,Paramètres!$F$31))</f>
        <v/>
      </c>
      <c r="N94" s="20" t="str">
        <f aca="false">IF($B94="","",ROUND(N$5*$C94,Paramètres!$F$32))</f>
        <v/>
      </c>
      <c r="O94" s="20" t="str">
        <f aca="false">IF($B94="","",ROUND(O$5*$C94,Paramètres!$F$33))</f>
        <v/>
      </c>
      <c r="P94" s="20" t="str">
        <f aca="false">IF($B94="","",ROUND(P$5*$C94,Paramètres!$F$34))</f>
        <v/>
      </c>
      <c r="Q94" s="20" t="str">
        <f aca="false">IF($B94="","",ROUND(Q$5*$C94,Paramètres!$F$35))</f>
        <v/>
      </c>
      <c r="R94" s="19" t="str">
        <f aca="false" t="array" ref="R94:R94">IF(OR($B94="",$A94=0),"",INDEX(Amélioration!$B$6:$H$104,$A94,Calculateur!$B$10))</f>
        <v/>
      </c>
      <c r="S94" s="19" t="str">
        <f aca="false" t="array" ref="S94:S94">IF($B94="","",IF($A94=0,0,INDEX(Amélioration!$J$6:$P$104,$A94,Calculateur!$B$10)))</f>
        <v/>
      </c>
    </row>
    <row r="95" customFormat="false" ht="15.75" hidden="false" customHeight="true" outlineLevel="0" collapsed="false">
      <c r="A95" s="18" t="n">
        <v>89</v>
      </c>
      <c r="B95" s="16" t="str">
        <f aca="false">IF($A95&gt;Calculateur!$B$15,"",Calculateur!$B$14+$A95)</f>
        <v/>
      </c>
      <c r="C95" s="36" t="str">
        <f aca="false">IF($B95="","",Paramètres!$B$16+(1-Paramètres!$B$16)*(($B95-Paramètres!$B$14)/(Paramètres!$B$15-Paramètres!$B$14))^Paramètres!$B$17)</f>
        <v/>
      </c>
      <c r="D95" s="19" t="str">
        <f aca="false">IF($B95="","",ROUND(D$5*$C95,Paramètres!$F$22))</f>
        <v/>
      </c>
      <c r="E95" s="19" t="str">
        <f aca="false">IF($B95="","",ROUND(E$5*$C95,Paramètres!$F$23))</f>
        <v/>
      </c>
      <c r="F95" s="19" t="str">
        <f aca="false">IF($B95="","",ROUND(F$5*$C95,Paramètres!$F$24))</f>
        <v/>
      </c>
      <c r="G95" s="19" t="str">
        <f aca="false">IF($B95="","",ROUND(G$5*$C95,Paramètres!$F$25))</f>
        <v/>
      </c>
      <c r="H95" s="19" t="str">
        <f aca="false">IF($B95="","",ROUND(H$5*$C95,Paramètres!$F$26))</f>
        <v/>
      </c>
      <c r="I95" s="19" t="str">
        <f aca="false">IF($B95="","",ROUND(I$5*$C95,Paramètres!$F$27))</f>
        <v/>
      </c>
      <c r="J95" s="20" t="str">
        <f aca="false">IF($B95="","",ROUND(J$5*$C95,Paramètres!$F$28))</f>
        <v/>
      </c>
      <c r="K95" s="20" t="str">
        <f aca="false">IF($B95="","",ROUND(K$5*$C95,Paramètres!$F$29))</f>
        <v/>
      </c>
      <c r="L95" s="20" t="str">
        <f aca="false">IF($B95="","",ROUND(L$5*$C95,Paramètres!$F$30))</f>
        <v/>
      </c>
      <c r="M95" s="19" t="str">
        <f aca="false">IF($B95="","",ROUND(M$5*$C95,Paramètres!$F$31))</f>
        <v/>
      </c>
      <c r="N95" s="20" t="str">
        <f aca="false">IF($B95="","",ROUND(N$5*$C95,Paramètres!$F$32))</f>
        <v/>
      </c>
      <c r="O95" s="20" t="str">
        <f aca="false">IF($B95="","",ROUND(O$5*$C95,Paramètres!$F$33))</f>
        <v/>
      </c>
      <c r="P95" s="20" t="str">
        <f aca="false">IF($B95="","",ROUND(P$5*$C95,Paramètres!$F$34))</f>
        <v/>
      </c>
      <c r="Q95" s="20" t="str">
        <f aca="false">IF($B95="","",ROUND(Q$5*$C95,Paramètres!$F$35))</f>
        <v/>
      </c>
      <c r="R95" s="19" t="str">
        <f aca="false" t="array" ref="R95:R95">IF(OR($B95="",$A95=0),"",INDEX(Amélioration!$B$6:$H$104,$A95,Calculateur!$B$10))</f>
        <v/>
      </c>
      <c r="S95" s="19" t="str">
        <f aca="false" t="array" ref="S95:S95">IF($B95="","",IF($A95=0,0,INDEX(Amélioration!$J$6:$P$104,$A95,Calculateur!$B$10)))</f>
        <v/>
      </c>
    </row>
    <row r="96" customFormat="false" ht="15.75" hidden="false" customHeight="true" outlineLevel="0" collapsed="false">
      <c r="A96" s="18" t="n">
        <v>90</v>
      </c>
      <c r="B96" s="16" t="str">
        <f aca="false">IF($A96&gt;Calculateur!$B$15,"",Calculateur!$B$14+$A96)</f>
        <v/>
      </c>
      <c r="C96" s="36" t="str">
        <f aca="false">IF($B96="","",Paramètres!$B$16+(1-Paramètres!$B$16)*(($B96-Paramètres!$B$14)/(Paramètres!$B$15-Paramètres!$B$14))^Paramètres!$B$17)</f>
        <v/>
      </c>
      <c r="D96" s="19" t="str">
        <f aca="false">IF($B96="","",ROUND(D$5*$C96,Paramètres!$F$22))</f>
        <v/>
      </c>
      <c r="E96" s="19" t="str">
        <f aca="false">IF($B96="","",ROUND(E$5*$C96,Paramètres!$F$23))</f>
        <v/>
      </c>
      <c r="F96" s="19" t="str">
        <f aca="false">IF($B96="","",ROUND(F$5*$C96,Paramètres!$F$24))</f>
        <v/>
      </c>
      <c r="G96" s="19" t="str">
        <f aca="false">IF($B96="","",ROUND(G$5*$C96,Paramètres!$F$25))</f>
        <v/>
      </c>
      <c r="H96" s="19" t="str">
        <f aca="false">IF($B96="","",ROUND(H$5*$C96,Paramètres!$F$26))</f>
        <v/>
      </c>
      <c r="I96" s="19" t="str">
        <f aca="false">IF($B96="","",ROUND(I$5*$C96,Paramètres!$F$27))</f>
        <v/>
      </c>
      <c r="J96" s="20" t="str">
        <f aca="false">IF($B96="","",ROUND(J$5*$C96,Paramètres!$F$28))</f>
        <v/>
      </c>
      <c r="K96" s="20" t="str">
        <f aca="false">IF($B96="","",ROUND(K$5*$C96,Paramètres!$F$29))</f>
        <v/>
      </c>
      <c r="L96" s="20" t="str">
        <f aca="false">IF($B96="","",ROUND(L$5*$C96,Paramètres!$F$30))</f>
        <v/>
      </c>
      <c r="M96" s="19" t="str">
        <f aca="false">IF($B96="","",ROUND(M$5*$C96,Paramètres!$F$31))</f>
        <v/>
      </c>
      <c r="N96" s="20" t="str">
        <f aca="false">IF($B96="","",ROUND(N$5*$C96,Paramètres!$F$32))</f>
        <v/>
      </c>
      <c r="O96" s="20" t="str">
        <f aca="false">IF($B96="","",ROUND(O$5*$C96,Paramètres!$F$33))</f>
        <v/>
      </c>
      <c r="P96" s="20" t="str">
        <f aca="false">IF($B96="","",ROUND(P$5*$C96,Paramètres!$F$34))</f>
        <v/>
      </c>
      <c r="Q96" s="20" t="str">
        <f aca="false">IF($B96="","",ROUND(Q$5*$C96,Paramètres!$F$35))</f>
        <v/>
      </c>
      <c r="R96" s="19" t="str">
        <f aca="false" t="array" ref="R96:R96">IF(OR($B96="",$A96=0),"",INDEX(Amélioration!$B$6:$H$104,$A96,Calculateur!$B$10))</f>
        <v/>
      </c>
      <c r="S96" s="19" t="str">
        <f aca="false" t="array" ref="S96:S96">IF($B96="","",IF($A96=0,0,INDEX(Amélioration!$J$6:$P$104,$A96,Calculateur!$B$10)))</f>
        <v/>
      </c>
    </row>
    <row r="97" customFormat="false" ht="15.75" hidden="false" customHeight="true" outlineLevel="0" collapsed="false">
      <c r="A97" s="18" t="n">
        <v>91</v>
      </c>
      <c r="B97" s="16" t="str">
        <f aca="false">IF($A97&gt;Calculateur!$B$15,"",Calculateur!$B$14+$A97)</f>
        <v/>
      </c>
      <c r="C97" s="36" t="str">
        <f aca="false">IF($B97="","",Paramètres!$B$16+(1-Paramètres!$B$16)*(($B97-Paramètres!$B$14)/(Paramètres!$B$15-Paramètres!$B$14))^Paramètres!$B$17)</f>
        <v/>
      </c>
      <c r="D97" s="19" t="str">
        <f aca="false">IF($B97="","",ROUND(D$5*$C97,Paramètres!$F$22))</f>
        <v/>
      </c>
      <c r="E97" s="19" t="str">
        <f aca="false">IF($B97="","",ROUND(E$5*$C97,Paramètres!$F$23))</f>
        <v/>
      </c>
      <c r="F97" s="19" t="str">
        <f aca="false">IF($B97="","",ROUND(F$5*$C97,Paramètres!$F$24))</f>
        <v/>
      </c>
      <c r="G97" s="19" t="str">
        <f aca="false">IF($B97="","",ROUND(G$5*$C97,Paramètres!$F$25))</f>
        <v/>
      </c>
      <c r="H97" s="19" t="str">
        <f aca="false">IF($B97="","",ROUND(H$5*$C97,Paramètres!$F$26))</f>
        <v/>
      </c>
      <c r="I97" s="19" t="str">
        <f aca="false">IF($B97="","",ROUND(I$5*$C97,Paramètres!$F$27))</f>
        <v/>
      </c>
      <c r="J97" s="20" t="str">
        <f aca="false">IF($B97="","",ROUND(J$5*$C97,Paramètres!$F$28))</f>
        <v/>
      </c>
      <c r="K97" s="20" t="str">
        <f aca="false">IF($B97="","",ROUND(K$5*$C97,Paramètres!$F$29))</f>
        <v/>
      </c>
      <c r="L97" s="20" t="str">
        <f aca="false">IF($B97="","",ROUND(L$5*$C97,Paramètres!$F$30))</f>
        <v/>
      </c>
      <c r="M97" s="19" t="str">
        <f aca="false">IF($B97="","",ROUND(M$5*$C97,Paramètres!$F$31))</f>
        <v/>
      </c>
      <c r="N97" s="20" t="str">
        <f aca="false">IF($B97="","",ROUND(N$5*$C97,Paramètres!$F$32))</f>
        <v/>
      </c>
      <c r="O97" s="20" t="str">
        <f aca="false">IF($B97="","",ROUND(O$5*$C97,Paramètres!$F$33))</f>
        <v/>
      </c>
      <c r="P97" s="20" t="str">
        <f aca="false">IF($B97="","",ROUND(P$5*$C97,Paramètres!$F$34))</f>
        <v/>
      </c>
      <c r="Q97" s="20" t="str">
        <f aca="false">IF($B97="","",ROUND(Q$5*$C97,Paramètres!$F$35))</f>
        <v/>
      </c>
      <c r="R97" s="19" t="str">
        <f aca="false" t="array" ref="R97:R97">IF(OR($B97="",$A97=0),"",INDEX(Amélioration!$B$6:$H$104,$A97,Calculateur!$B$10))</f>
        <v/>
      </c>
      <c r="S97" s="19" t="str">
        <f aca="false" t="array" ref="S97:S97">IF($B97="","",IF($A97=0,0,INDEX(Amélioration!$J$6:$P$104,$A97,Calculateur!$B$10)))</f>
        <v/>
      </c>
    </row>
    <row r="98" customFormat="false" ht="15.75" hidden="false" customHeight="true" outlineLevel="0" collapsed="false">
      <c r="A98" s="18" t="n">
        <v>92</v>
      </c>
      <c r="B98" s="16" t="str">
        <f aca="false">IF($A98&gt;Calculateur!$B$15,"",Calculateur!$B$14+$A98)</f>
        <v/>
      </c>
      <c r="C98" s="36" t="str">
        <f aca="false">IF($B98="","",Paramètres!$B$16+(1-Paramètres!$B$16)*(($B98-Paramètres!$B$14)/(Paramètres!$B$15-Paramètres!$B$14))^Paramètres!$B$17)</f>
        <v/>
      </c>
      <c r="D98" s="19" t="str">
        <f aca="false">IF($B98="","",ROUND(D$5*$C98,Paramètres!$F$22))</f>
        <v/>
      </c>
      <c r="E98" s="19" t="str">
        <f aca="false">IF($B98="","",ROUND(E$5*$C98,Paramètres!$F$23))</f>
        <v/>
      </c>
      <c r="F98" s="19" t="str">
        <f aca="false">IF($B98="","",ROUND(F$5*$C98,Paramètres!$F$24))</f>
        <v/>
      </c>
      <c r="G98" s="19" t="str">
        <f aca="false">IF($B98="","",ROUND(G$5*$C98,Paramètres!$F$25))</f>
        <v/>
      </c>
      <c r="H98" s="19" t="str">
        <f aca="false">IF($B98="","",ROUND(H$5*$C98,Paramètres!$F$26))</f>
        <v/>
      </c>
      <c r="I98" s="19" t="str">
        <f aca="false">IF($B98="","",ROUND(I$5*$C98,Paramètres!$F$27))</f>
        <v/>
      </c>
      <c r="J98" s="20" t="str">
        <f aca="false">IF($B98="","",ROUND(J$5*$C98,Paramètres!$F$28))</f>
        <v/>
      </c>
      <c r="K98" s="20" t="str">
        <f aca="false">IF($B98="","",ROUND(K$5*$C98,Paramètres!$F$29))</f>
        <v/>
      </c>
      <c r="L98" s="20" t="str">
        <f aca="false">IF($B98="","",ROUND(L$5*$C98,Paramètres!$F$30))</f>
        <v/>
      </c>
      <c r="M98" s="19" t="str">
        <f aca="false">IF($B98="","",ROUND(M$5*$C98,Paramètres!$F$31))</f>
        <v/>
      </c>
      <c r="N98" s="20" t="str">
        <f aca="false">IF($B98="","",ROUND(N$5*$C98,Paramètres!$F$32))</f>
        <v/>
      </c>
      <c r="O98" s="20" t="str">
        <f aca="false">IF($B98="","",ROUND(O$5*$C98,Paramètres!$F$33))</f>
        <v/>
      </c>
      <c r="P98" s="20" t="str">
        <f aca="false">IF($B98="","",ROUND(P$5*$C98,Paramètres!$F$34))</f>
        <v/>
      </c>
      <c r="Q98" s="20" t="str">
        <f aca="false">IF($B98="","",ROUND(Q$5*$C98,Paramètres!$F$35))</f>
        <v/>
      </c>
      <c r="R98" s="19" t="str">
        <f aca="false" t="array" ref="R98:R98">IF(OR($B98="",$A98=0),"",INDEX(Amélioration!$B$6:$H$104,$A98,Calculateur!$B$10))</f>
        <v/>
      </c>
      <c r="S98" s="19" t="str">
        <f aca="false" t="array" ref="S98:S98">IF($B98="","",IF($A98=0,0,INDEX(Amélioration!$J$6:$P$104,$A98,Calculateur!$B$10)))</f>
        <v/>
      </c>
    </row>
    <row r="99" customFormat="false" ht="15.75" hidden="false" customHeight="true" outlineLevel="0" collapsed="false">
      <c r="A99" s="18" t="n">
        <v>93</v>
      </c>
      <c r="B99" s="16" t="str">
        <f aca="false">IF($A99&gt;Calculateur!$B$15,"",Calculateur!$B$14+$A99)</f>
        <v/>
      </c>
      <c r="C99" s="36" t="str">
        <f aca="false">IF($B99="","",Paramètres!$B$16+(1-Paramètres!$B$16)*(($B99-Paramètres!$B$14)/(Paramètres!$B$15-Paramètres!$B$14))^Paramètres!$B$17)</f>
        <v/>
      </c>
      <c r="D99" s="19" t="str">
        <f aca="false">IF($B99="","",ROUND(D$5*$C99,Paramètres!$F$22))</f>
        <v/>
      </c>
      <c r="E99" s="19" t="str">
        <f aca="false">IF($B99="","",ROUND(E$5*$C99,Paramètres!$F$23))</f>
        <v/>
      </c>
      <c r="F99" s="19" t="str">
        <f aca="false">IF($B99="","",ROUND(F$5*$C99,Paramètres!$F$24))</f>
        <v/>
      </c>
      <c r="G99" s="19" t="str">
        <f aca="false">IF($B99="","",ROUND(G$5*$C99,Paramètres!$F$25))</f>
        <v/>
      </c>
      <c r="H99" s="19" t="str">
        <f aca="false">IF($B99="","",ROUND(H$5*$C99,Paramètres!$F$26))</f>
        <v/>
      </c>
      <c r="I99" s="19" t="str">
        <f aca="false">IF($B99="","",ROUND(I$5*$C99,Paramètres!$F$27))</f>
        <v/>
      </c>
      <c r="J99" s="20" t="str">
        <f aca="false">IF($B99="","",ROUND(J$5*$C99,Paramètres!$F$28))</f>
        <v/>
      </c>
      <c r="K99" s="20" t="str">
        <f aca="false">IF($B99="","",ROUND(K$5*$C99,Paramètres!$F$29))</f>
        <v/>
      </c>
      <c r="L99" s="20" t="str">
        <f aca="false">IF($B99="","",ROUND(L$5*$C99,Paramètres!$F$30))</f>
        <v/>
      </c>
      <c r="M99" s="19" t="str">
        <f aca="false">IF($B99="","",ROUND(M$5*$C99,Paramètres!$F$31))</f>
        <v/>
      </c>
      <c r="N99" s="20" t="str">
        <f aca="false">IF($B99="","",ROUND(N$5*$C99,Paramètres!$F$32))</f>
        <v/>
      </c>
      <c r="O99" s="20" t="str">
        <f aca="false">IF($B99="","",ROUND(O$5*$C99,Paramètres!$F$33))</f>
        <v/>
      </c>
      <c r="P99" s="20" t="str">
        <f aca="false">IF($B99="","",ROUND(P$5*$C99,Paramètres!$F$34))</f>
        <v/>
      </c>
      <c r="Q99" s="20" t="str">
        <f aca="false">IF($B99="","",ROUND(Q$5*$C99,Paramètres!$F$35))</f>
        <v/>
      </c>
      <c r="R99" s="19" t="str">
        <f aca="false" t="array" ref="R99:R99">IF(OR($B99="",$A99=0),"",INDEX(Amélioration!$B$6:$H$104,$A99,Calculateur!$B$10))</f>
        <v/>
      </c>
      <c r="S99" s="19" t="str">
        <f aca="false" t="array" ref="S99:S99">IF($B99="","",IF($A99=0,0,INDEX(Amélioration!$J$6:$P$104,$A99,Calculateur!$B$10)))</f>
        <v/>
      </c>
    </row>
    <row r="100" customFormat="false" ht="15.75" hidden="false" customHeight="true" outlineLevel="0" collapsed="false">
      <c r="A100" s="18" t="n">
        <v>94</v>
      </c>
      <c r="B100" s="16" t="str">
        <f aca="false">IF($A100&gt;Calculateur!$B$15,"",Calculateur!$B$14+$A100)</f>
        <v/>
      </c>
      <c r="C100" s="36" t="str">
        <f aca="false">IF($B100="","",Paramètres!$B$16+(1-Paramètres!$B$16)*(($B100-Paramètres!$B$14)/(Paramètres!$B$15-Paramètres!$B$14))^Paramètres!$B$17)</f>
        <v/>
      </c>
      <c r="D100" s="19" t="str">
        <f aca="false">IF($B100="","",ROUND(D$5*$C100,Paramètres!$F$22))</f>
        <v/>
      </c>
      <c r="E100" s="19" t="str">
        <f aca="false">IF($B100="","",ROUND(E$5*$C100,Paramètres!$F$23))</f>
        <v/>
      </c>
      <c r="F100" s="19" t="str">
        <f aca="false">IF($B100="","",ROUND(F$5*$C100,Paramètres!$F$24))</f>
        <v/>
      </c>
      <c r="G100" s="19" t="str">
        <f aca="false">IF($B100="","",ROUND(G$5*$C100,Paramètres!$F$25))</f>
        <v/>
      </c>
      <c r="H100" s="19" t="str">
        <f aca="false">IF($B100="","",ROUND(H$5*$C100,Paramètres!$F$26))</f>
        <v/>
      </c>
      <c r="I100" s="19" t="str">
        <f aca="false">IF($B100="","",ROUND(I$5*$C100,Paramètres!$F$27))</f>
        <v/>
      </c>
      <c r="J100" s="20" t="str">
        <f aca="false">IF($B100="","",ROUND(J$5*$C100,Paramètres!$F$28))</f>
        <v/>
      </c>
      <c r="K100" s="20" t="str">
        <f aca="false">IF($B100="","",ROUND(K$5*$C100,Paramètres!$F$29))</f>
        <v/>
      </c>
      <c r="L100" s="20" t="str">
        <f aca="false">IF($B100="","",ROUND(L$5*$C100,Paramètres!$F$30))</f>
        <v/>
      </c>
      <c r="M100" s="19" t="str">
        <f aca="false">IF($B100="","",ROUND(M$5*$C100,Paramètres!$F$31))</f>
        <v/>
      </c>
      <c r="N100" s="20" t="str">
        <f aca="false">IF($B100="","",ROUND(N$5*$C100,Paramètres!$F$32))</f>
        <v/>
      </c>
      <c r="O100" s="20" t="str">
        <f aca="false">IF($B100="","",ROUND(O$5*$C100,Paramètres!$F$33))</f>
        <v/>
      </c>
      <c r="P100" s="20" t="str">
        <f aca="false">IF($B100="","",ROUND(P$5*$C100,Paramètres!$F$34))</f>
        <v/>
      </c>
      <c r="Q100" s="20" t="str">
        <f aca="false">IF($B100="","",ROUND(Q$5*$C100,Paramètres!$F$35))</f>
        <v/>
      </c>
      <c r="R100" s="19" t="str">
        <f aca="false" t="array" ref="R100:R100">IF(OR($B100="",$A100=0),"",INDEX(Amélioration!$B$6:$H$104,$A100,Calculateur!$B$10))</f>
        <v/>
      </c>
      <c r="S100" s="19" t="str">
        <f aca="false" t="array" ref="S100:S100">IF($B100="","",IF($A100=0,0,INDEX(Amélioration!$J$6:$P$104,$A100,Calculateur!$B$10)))</f>
        <v/>
      </c>
    </row>
    <row r="101" customFormat="false" ht="15.75" hidden="false" customHeight="true" outlineLevel="0" collapsed="false">
      <c r="A101" s="18" t="n">
        <v>95</v>
      </c>
      <c r="B101" s="16" t="str">
        <f aca="false">IF($A101&gt;Calculateur!$B$15,"",Calculateur!$B$14+$A101)</f>
        <v/>
      </c>
      <c r="C101" s="36" t="str">
        <f aca="false">IF($B101="","",Paramètres!$B$16+(1-Paramètres!$B$16)*(($B101-Paramètres!$B$14)/(Paramètres!$B$15-Paramètres!$B$14))^Paramètres!$B$17)</f>
        <v/>
      </c>
      <c r="D101" s="19" t="str">
        <f aca="false">IF($B101="","",ROUND(D$5*$C101,Paramètres!$F$22))</f>
        <v/>
      </c>
      <c r="E101" s="19" t="str">
        <f aca="false">IF($B101="","",ROUND(E$5*$C101,Paramètres!$F$23))</f>
        <v/>
      </c>
      <c r="F101" s="19" t="str">
        <f aca="false">IF($B101="","",ROUND(F$5*$C101,Paramètres!$F$24))</f>
        <v/>
      </c>
      <c r="G101" s="19" t="str">
        <f aca="false">IF($B101="","",ROUND(G$5*$C101,Paramètres!$F$25))</f>
        <v/>
      </c>
      <c r="H101" s="19" t="str">
        <f aca="false">IF($B101="","",ROUND(H$5*$C101,Paramètres!$F$26))</f>
        <v/>
      </c>
      <c r="I101" s="19" t="str">
        <f aca="false">IF($B101="","",ROUND(I$5*$C101,Paramètres!$F$27))</f>
        <v/>
      </c>
      <c r="J101" s="20" t="str">
        <f aca="false">IF($B101="","",ROUND(J$5*$C101,Paramètres!$F$28))</f>
        <v/>
      </c>
      <c r="K101" s="20" t="str">
        <f aca="false">IF($B101="","",ROUND(K$5*$C101,Paramètres!$F$29))</f>
        <v/>
      </c>
      <c r="L101" s="20" t="str">
        <f aca="false">IF($B101="","",ROUND(L$5*$C101,Paramètres!$F$30))</f>
        <v/>
      </c>
      <c r="M101" s="19" t="str">
        <f aca="false">IF($B101="","",ROUND(M$5*$C101,Paramètres!$F$31))</f>
        <v/>
      </c>
      <c r="N101" s="20" t="str">
        <f aca="false">IF($B101="","",ROUND(N$5*$C101,Paramètres!$F$32))</f>
        <v/>
      </c>
      <c r="O101" s="20" t="str">
        <f aca="false">IF($B101="","",ROUND(O$5*$C101,Paramètres!$F$33))</f>
        <v/>
      </c>
      <c r="P101" s="20" t="str">
        <f aca="false">IF($B101="","",ROUND(P$5*$C101,Paramètres!$F$34))</f>
        <v/>
      </c>
      <c r="Q101" s="20" t="str">
        <f aca="false">IF($B101="","",ROUND(Q$5*$C101,Paramètres!$F$35))</f>
        <v/>
      </c>
      <c r="R101" s="19" t="str">
        <f aca="false" t="array" ref="R101:R101">IF(OR($B101="",$A101=0),"",INDEX(Amélioration!$B$6:$H$104,$A101,Calculateur!$B$10))</f>
        <v/>
      </c>
      <c r="S101" s="19" t="str">
        <f aca="false" t="array" ref="S101:S101">IF($B101="","",IF($A101=0,0,INDEX(Amélioration!$J$6:$P$104,$A101,Calculateur!$B$10)))</f>
        <v/>
      </c>
    </row>
    <row r="102" customFormat="false" ht="15.75" hidden="false" customHeight="true" outlineLevel="0" collapsed="false">
      <c r="A102" s="18" t="n">
        <v>96</v>
      </c>
      <c r="B102" s="16" t="str">
        <f aca="false">IF($A102&gt;Calculateur!$B$15,"",Calculateur!$B$14+$A102)</f>
        <v/>
      </c>
      <c r="C102" s="36" t="str">
        <f aca="false">IF($B102="","",Paramètres!$B$16+(1-Paramètres!$B$16)*(($B102-Paramètres!$B$14)/(Paramètres!$B$15-Paramètres!$B$14))^Paramètres!$B$17)</f>
        <v/>
      </c>
      <c r="D102" s="19" t="str">
        <f aca="false">IF($B102="","",ROUND(D$5*$C102,Paramètres!$F$22))</f>
        <v/>
      </c>
      <c r="E102" s="19" t="str">
        <f aca="false">IF($B102="","",ROUND(E$5*$C102,Paramètres!$F$23))</f>
        <v/>
      </c>
      <c r="F102" s="19" t="str">
        <f aca="false">IF($B102="","",ROUND(F$5*$C102,Paramètres!$F$24))</f>
        <v/>
      </c>
      <c r="G102" s="19" t="str">
        <f aca="false">IF($B102="","",ROUND(G$5*$C102,Paramètres!$F$25))</f>
        <v/>
      </c>
      <c r="H102" s="19" t="str">
        <f aca="false">IF($B102="","",ROUND(H$5*$C102,Paramètres!$F$26))</f>
        <v/>
      </c>
      <c r="I102" s="19" t="str">
        <f aca="false">IF($B102="","",ROUND(I$5*$C102,Paramètres!$F$27))</f>
        <v/>
      </c>
      <c r="J102" s="20" t="str">
        <f aca="false">IF($B102="","",ROUND(J$5*$C102,Paramètres!$F$28))</f>
        <v/>
      </c>
      <c r="K102" s="20" t="str">
        <f aca="false">IF($B102="","",ROUND(K$5*$C102,Paramètres!$F$29))</f>
        <v/>
      </c>
      <c r="L102" s="20" t="str">
        <f aca="false">IF($B102="","",ROUND(L$5*$C102,Paramètres!$F$30))</f>
        <v/>
      </c>
      <c r="M102" s="19" t="str">
        <f aca="false">IF($B102="","",ROUND(M$5*$C102,Paramètres!$F$31))</f>
        <v/>
      </c>
      <c r="N102" s="20" t="str">
        <f aca="false">IF($B102="","",ROUND(N$5*$C102,Paramètres!$F$32))</f>
        <v/>
      </c>
      <c r="O102" s="20" t="str">
        <f aca="false">IF($B102="","",ROUND(O$5*$C102,Paramètres!$F$33))</f>
        <v/>
      </c>
      <c r="P102" s="20" t="str">
        <f aca="false">IF($B102="","",ROUND(P$5*$C102,Paramètres!$F$34))</f>
        <v/>
      </c>
      <c r="Q102" s="20" t="str">
        <f aca="false">IF($B102="","",ROUND(Q$5*$C102,Paramètres!$F$35))</f>
        <v/>
      </c>
      <c r="R102" s="19" t="str">
        <f aca="false" t="array" ref="R102:R102">IF(OR($B102="",$A102=0),"",INDEX(Amélioration!$B$6:$H$104,$A102,Calculateur!$B$10))</f>
        <v/>
      </c>
      <c r="S102" s="19" t="str">
        <f aca="false" t="array" ref="S102:S102">IF($B102="","",IF($A102=0,0,INDEX(Amélioration!$J$6:$P$104,$A102,Calculateur!$B$10)))</f>
        <v/>
      </c>
    </row>
    <row r="103" customFormat="false" ht="15.75" hidden="false" customHeight="true" outlineLevel="0" collapsed="false">
      <c r="A103" s="18" t="n">
        <v>97</v>
      </c>
      <c r="B103" s="16" t="str">
        <f aca="false">IF($A103&gt;Calculateur!$B$15,"",Calculateur!$B$14+$A103)</f>
        <v/>
      </c>
      <c r="C103" s="36" t="str">
        <f aca="false">IF($B103="","",Paramètres!$B$16+(1-Paramètres!$B$16)*(($B103-Paramètres!$B$14)/(Paramètres!$B$15-Paramètres!$B$14))^Paramètres!$B$17)</f>
        <v/>
      </c>
      <c r="D103" s="19" t="str">
        <f aca="false">IF($B103="","",ROUND(D$5*$C103,Paramètres!$F$22))</f>
        <v/>
      </c>
      <c r="E103" s="19" t="str">
        <f aca="false">IF($B103="","",ROUND(E$5*$C103,Paramètres!$F$23))</f>
        <v/>
      </c>
      <c r="F103" s="19" t="str">
        <f aca="false">IF($B103="","",ROUND(F$5*$C103,Paramètres!$F$24))</f>
        <v/>
      </c>
      <c r="G103" s="19" t="str">
        <f aca="false">IF($B103="","",ROUND(G$5*$C103,Paramètres!$F$25))</f>
        <v/>
      </c>
      <c r="H103" s="19" t="str">
        <f aca="false">IF($B103="","",ROUND(H$5*$C103,Paramètres!$F$26))</f>
        <v/>
      </c>
      <c r="I103" s="19" t="str">
        <f aca="false">IF($B103="","",ROUND(I$5*$C103,Paramètres!$F$27))</f>
        <v/>
      </c>
      <c r="J103" s="20" t="str">
        <f aca="false">IF($B103="","",ROUND(J$5*$C103,Paramètres!$F$28))</f>
        <v/>
      </c>
      <c r="K103" s="20" t="str">
        <f aca="false">IF($B103="","",ROUND(K$5*$C103,Paramètres!$F$29))</f>
        <v/>
      </c>
      <c r="L103" s="20" t="str">
        <f aca="false">IF($B103="","",ROUND(L$5*$C103,Paramètres!$F$30))</f>
        <v/>
      </c>
      <c r="M103" s="19" t="str">
        <f aca="false">IF($B103="","",ROUND(M$5*$C103,Paramètres!$F$31))</f>
        <v/>
      </c>
      <c r="N103" s="20" t="str">
        <f aca="false">IF($B103="","",ROUND(N$5*$C103,Paramètres!$F$32))</f>
        <v/>
      </c>
      <c r="O103" s="20" t="str">
        <f aca="false">IF($B103="","",ROUND(O$5*$C103,Paramètres!$F$33))</f>
        <v/>
      </c>
      <c r="P103" s="20" t="str">
        <f aca="false">IF($B103="","",ROUND(P$5*$C103,Paramètres!$F$34))</f>
        <v/>
      </c>
      <c r="Q103" s="20" t="str">
        <f aca="false">IF($B103="","",ROUND(Q$5*$C103,Paramètres!$F$35))</f>
        <v/>
      </c>
      <c r="R103" s="19" t="str">
        <f aca="false" t="array" ref="R103:R103">IF(OR($B103="",$A103=0),"",INDEX(Amélioration!$B$6:$H$104,$A103,Calculateur!$B$10))</f>
        <v/>
      </c>
      <c r="S103" s="19" t="str">
        <f aca="false" t="array" ref="S103:S103">IF($B103="","",IF($A103=0,0,INDEX(Amélioration!$J$6:$P$104,$A103,Calculateur!$B$10)))</f>
        <v/>
      </c>
    </row>
    <row r="104" customFormat="false" ht="15.75" hidden="false" customHeight="true" outlineLevel="0" collapsed="false">
      <c r="A104" s="18" t="n">
        <v>98</v>
      </c>
      <c r="B104" s="16" t="str">
        <f aca="false">IF($A104&gt;Calculateur!$B$15,"",Calculateur!$B$14+$A104)</f>
        <v/>
      </c>
      <c r="C104" s="36" t="str">
        <f aca="false">IF($B104="","",Paramètres!$B$16+(1-Paramètres!$B$16)*(($B104-Paramètres!$B$14)/(Paramètres!$B$15-Paramètres!$B$14))^Paramètres!$B$17)</f>
        <v/>
      </c>
      <c r="D104" s="19" t="str">
        <f aca="false">IF($B104="","",ROUND(D$5*$C104,Paramètres!$F$22))</f>
        <v/>
      </c>
      <c r="E104" s="19" t="str">
        <f aca="false">IF($B104="","",ROUND(E$5*$C104,Paramètres!$F$23))</f>
        <v/>
      </c>
      <c r="F104" s="19" t="str">
        <f aca="false">IF($B104="","",ROUND(F$5*$C104,Paramètres!$F$24))</f>
        <v/>
      </c>
      <c r="G104" s="19" t="str">
        <f aca="false">IF($B104="","",ROUND(G$5*$C104,Paramètres!$F$25))</f>
        <v/>
      </c>
      <c r="H104" s="19" t="str">
        <f aca="false">IF($B104="","",ROUND(H$5*$C104,Paramètres!$F$26))</f>
        <v/>
      </c>
      <c r="I104" s="19" t="str">
        <f aca="false">IF($B104="","",ROUND(I$5*$C104,Paramètres!$F$27))</f>
        <v/>
      </c>
      <c r="J104" s="20" t="str">
        <f aca="false">IF($B104="","",ROUND(J$5*$C104,Paramètres!$F$28))</f>
        <v/>
      </c>
      <c r="K104" s="20" t="str">
        <f aca="false">IF($B104="","",ROUND(K$5*$C104,Paramètres!$F$29))</f>
        <v/>
      </c>
      <c r="L104" s="20" t="str">
        <f aca="false">IF($B104="","",ROUND(L$5*$C104,Paramètres!$F$30))</f>
        <v/>
      </c>
      <c r="M104" s="19" t="str">
        <f aca="false">IF($B104="","",ROUND(M$5*$C104,Paramètres!$F$31))</f>
        <v/>
      </c>
      <c r="N104" s="20" t="str">
        <f aca="false">IF($B104="","",ROUND(N$5*$C104,Paramètres!$F$32))</f>
        <v/>
      </c>
      <c r="O104" s="20" t="str">
        <f aca="false">IF($B104="","",ROUND(O$5*$C104,Paramètres!$F$33))</f>
        <v/>
      </c>
      <c r="P104" s="20" t="str">
        <f aca="false">IF($B104="","",ROUND(P$5*$C104,Paramètres!$F$34))</f>
        <v/>
      </c>
      <c r="Q104" s="20" t="str">
        <f aca="false">IF($B104="","",ROUND(Q$5*$C104,Paramètres!$F$35))</f>
        <v/>
      </c>
      <c r="R104" s="19" t="str">
        <f aca="false" t="array" ref="R104:R104">IF(OR($B104="",$A104=0),"",INDEX(Amélioration!$B$6:$H$104,$A104,Calculateur!$B$10))</f>
        <v/>
      </c>
      <c r="S104" s="19" t="str">
        <f aca="false" t="array" ref="S104:S104">IF($B104="","",IF($A104=0,0,INDEX(Amélioration!$J$6:$P$104,$A104,Calculateur!$B$10)))</f>
        <v/>
      </c>
    </row>
    <row r="105" customFormat="false" ht="15.75" hidden="false" customHeight="true" outlineLevel="0" collapsed="false">
      <c r="A105" s="18" t="n">
        <v>99</v>
      </c>
      <c r="B105" s="16" t="str">
        <f aca="false">IF($A105&gt;Calculateur!$B$15,"",Calculateur!$B$14+$A105)</f>
        <v/>
      </c>
      <c r="C105" s="36" t="str">
        <f aca="false">IF($B105="","",Paramètres!$B$16+(1-Paramètres!$B$16)*(($B105-Paramètres!$B$14)/(Paramètres!$B$15-Paramètres!$B$14))^Paramètres!$B$17)</f>
        <v/>
      </c>
      <c r="D105" s="19" t="str">
        <f aca="false">IF($B105="","",ROUND(D$5*$C105,Paramètres!$F$22))</f>
        <v/>
      </c>
      <c r="E105" s="19" t="str">
        <f aca="false">IF($B105="","",ROUND(E$5*$C105,Paramètres!$F$23))</f>
        <v/>
      </c>
      <c r="F105" s="19" t="str">
        <f aca="false">IF($B105="","",ROUND(F$5*$C105,Paramètres!$F$24))</f>
        <v/>
      </c>
      <c r="G105" s="19" t="str">
        <f aca="false">IF($B105="","",ROUND(G$5*$C105,Paramètres!$F$25))</f>
        <v/>
      </c>
      <c r="H105" s="19" t="str">
        <f aca="false">IF($B105="","",ROUND(H$5*$C105,Paramètres!$F$26))</f>
        <v/>
      </c>
      <c r="I105" s="19" t="str">
        <f aca="false">IF($B105="","",ROUND(I$5*$C105,Paramètres!$F$27))</f>
        <v/>
      </c>
      <c r="J105" s="20" t="str">
        <f aca="false">IF($B105="","",ROUND(J$5*$C105,Paramètres!$F$28))</f>
        <v/>
      </c>
      <c r="K105" s="20" t="str">
        <f aca="false">IF($B105="","",ROUND(K$5*$C105,Paramètres!$F$29))</f>
        <v/>
      </c>
      <c r="L105" s="20" t="str">
        <f aca="false">IF($B105="","",ROUND(L$5*$C105,Paramètres!$F$30))</f>
        <v/>
      </c>
      <c r="M105" s="19" t="str">
        <f aca="false">IF($B105="","",ROUND(M$5*$C105,Paramètres!$F$31))</f>
        <v/>
      </c>
      <c r="N105" s="20" t="str">
        <f aca="false">IF($B105="","",ROUND(N$5*$C105,Paramètres!$F$32))</f>
        <v/>
      </c>
      <c r="O105" s="20" t="str">
        <f aca="false">IF($B105="","",ROUND(O$5*$C105,Paramètres!$F$33))</f>
        <v/>
      </c>
      <c r="P105" s="20" t="str">
        <f aca="false">IF($B105="","",ROUND(P$5*$C105,Paramètres!$F$34))</f>
        <v/>
      </c>
      <c r="Q105" s="20" t="str">
        <f aca="false">IF($B105="","",ROUND(Q$5*$C105,Paramètres!$F$35))</f>
        <v/>
      </c>
      <c r="R105" s="19" t="str">
        <f aca="false" t="array" ref="R105:R105">IF(OR($B105="",$A105=0),"",INDEX(Amélioration!$B$6:$H$104,$A105,Calculateur!$B$10))</f>
        <v/>
      </c>
      <c r="S105" s="19" t="str">
        <f aca="false" t="array" ref="S105:S105">IF($B105="","",IF($A105=0,0,INDEX(Amélioration!$J$6:$P$104,$A105,Calculateur!$B$10)))</f>
        <v/>
      </c>
    </row>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5:B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0"/>
    <col collapsed="false" customWidth="true" hidden="false" outlineLevel="0" max="15" min="2" style="1" width="13"/>
  </cols>
  <sheetData>
    <row r="1" customFormat="false" ht="17.25" hidden="false" customHeight="true" outlineLevel="0" collapsed="false">
      <c r="A1" s="48" t="s">
        <v>1078</v>
      </c>
      <c r="P1" s="1"/>
      <c r="Q1" s="1"/>
      <c r="R1" s="1"/>
      <c r="S1" s="1"/>
      <c r="T1" s="1"/>
      <c r="U1" s="1"/>
      <c r="V1" s="1"/>
      <c r="W1" s="1"/>
      <c r="X1" s="1"/>
      <c r="Y1" s="1"/>
      <c r="Z1" s="1"/>
      <c r="AA1" s="1"/>
    </row>
    <row r="2" customFormat="false" ht="15" hidden="false" customHeight="true" outlineLevel="0" collapsed="false">
      <c r="A2" s="3" t="s">
        <v>1079</v>
      </c>
      <c r="P2" s="1"/>
      <c r="Q2" s="1"/>
      <c r="R2" s="1"/>
      <c r="S2" s="1"/>
      <c r="T2" s="1"/>
      <c r="U2" s="1"/>
      <c r="V2" s="1"/>
      <c r="W2" s="1"/>
      <c r="X2" s="1"/>
      <c r="Y2" s="1"/>
      <c r="Z2" s="1"/>
      <c r="AA2" s="1"/>
    </row>
    <row r="3" customFormat="false" ht="15" hidden="false" customHeight="true" outlineLevel="0" collapsed="false">
      <c r="A3" s="49" t="s">
        <v>74</v>
      </c>
      <c r="B3" s="50" t="s">
        <v>27</v>
      </c>
      <c r="P3" s="1"/>
      <c r="Q3" s="1"/>
      <c r="R3" s="1"/>
      <c r="S3" s="1"/>
      <c r="T3" s="1"/>
      <c r="U3" s="1"/>
      <c r="V3" s="1"/>
      <c r="W3" s="1"/>
      <c r="X3" s="1"/>
      <c r="Y3" s="1"/>
      <c r="Z3" s="1"/>
      <c r="AA3" s="1"/>
    </row>
    <row r="4" customFormat="false" ht="15" hidden="false" customHeight="true" outlineLevel="0" collapsed="false">
      <c r="A4" s="49" t="s">
        <v>1080</v>
      </c>
      <c r="B4" s="51" t="n">
        <v>5</v>
      </c>
      <c r="P4" s="1"/>
      <c r="Q4" s="1"/>
      <c r="R4" s="1"/>
      <c r="S4" s="1"/>
      <c r="T4" s="1"/>
      <c r="U4" s="1"/>
      <c r="V4" s="1"/>
      <c r="W4" s="1"/>
      <c r="X4" s="1"/>
      <c r="Y4" s="1"/>
      <c r="Z4" s="1"/>
      <c r="AA4" s="1"/>
    </row>
    <row r="5" customFormat="false" ht="15" hidden="false" customHeight="true" outlineLevel="0" collapsed="false">
      <c r="A5" s="49" t="s">
        <v>1055</v>
      </c>
      <c r="B5" s="51" t="n">
        <v>30</v>
      </c>
      <c r="P5" s="1"/>
      <c r="Q5" s="1"/>
      <c r="R5" s="1"/>
      <c r="S5" s="1"/>
      <c r="T5" s="1"/>
      <c r="U5" s="1"/>
      <c r="V5" s="1"/>
      <c r="W5" s="1"/>
      <c r="X5" s="1"/>
      <c r="Y5" s="1"/>
      <c r="Z5" s="1"/>
      <c r="AA5" s="1"/>
    </row>
    <row r="6" customFormat="false" ht="15" hidden="false" customHeight="true" outlineLevel="0" collapsed="false">
      <c r="A6" s="32" t="s">
        <v>1081</v>
      </c>
      <c r="B6" s="33" t="n">
        <f aca="false" t="array" ref="B6:B6">INDEX(Matériaux!$B$16:$B$20,$B$4)+MIN(MAX(0,$B$5),INDEX(Matériaux!$C$16:$C$20,$B$4))</f>
        <v>100</v>
      </c>
      <c r="C6" s="36" t="n">
        <f aca="false">Paramètres!$B$16+(1-Paramètres!$B$16)*(($B$6-Paramètres!$B$14)/(Paramètres!$B$15-Paramètres!$B$14))^Paramètres!$B$17</f>
        <v>1</v>
      </c>
      <c r="P6" s="1"/>
      <c r="Q6" s="1"/>
      <c r="R6" s="1"/>
      <c r="S6" s="1"/>
      <c r="T6" s="1"/>
      <c r="U6" s="1"/>
      <c r="V6" s="1"/>
      <c r="W6" s="1"/>
      <c r="X6" s="1"/>
      <c r="Y6" s="1"/>
      <c r="Z6" s="1"/>
      <c r="AA6" s="1"/>
    </row>
    <row r="7" customFormat="false" ht="43.5" hidden="false" customHeight="true" outlineLevel="0" collapsed="false">
      <c r="A7" s="13" t="s">
        <v>36</v>
      </c>
      <c r="B7" s="13" t="s">
        <v>82</v>
      </c>
      <c r="C7" s="13" t="s">
        <v>83</v>
      </c>
      <c r="D7" s="13" t="s">
        <v>84</v>
      </c>
      <c r="E7" s="13" t="s">
        <v>85</v>
      </c>
      <c r="F7" s="13" t="s">
        <v>86</v>
      </c>
      <c r="G7" s="13" t="s">
        <v>67</v>
      </c>
      <c r="H7" s="13" t="s">
        <v>87</v>
      </c>
      <c r="I7" s="13" t="s">
        <v>88</v>
      </c>
      <c r="J7" s="13" t="s">
        <v>89</v>
      </c>
      <c r="K7" s="13" t="s">
        <v>90</v>
      </c>
      <c r="L7" s="13" t="s">
        <v>91</v>
      </c>
      <c r="M7" s="13" t="s">
        <v>92</v>
      </c>
      <c r="N7" s="13" t="s">
        <v>93</v>
      </c>
      <c r="O7" s="13" t="s">
        <v>94</v>
      </c>
      <c r="P7" s="1"/>
      <c r="Q7" s="1"/>
      <c r="R7" s="1"/>
      <c r="S7" s="1"/>
      <c r="T7" s="1"/>
      <c r="U7" s="1"/>
      <c r="V7" s="1"/>
      <c r="W7" s="1"/>
      <c r="X7" s="1"/>
      <c r="Y7" s="1"/>
      <c r="Z7" s="1"/>
      <c r="AA7" s="1"/>
    </row>
    <row r="8" customFormat="false" ht="15" hidden="false" customHeight="true" outlineLevel="0" collapsed="false">
      <c r="A8" s="52" t="str">
        <f aca="false">Paramètres!A6</f>
        <v>Commun</v>
      </c>
      <c r="B8" s="53" t="n">
        <f aca="false">SUMPRODUCT((Profils!$B$5:$B$34=$B$3)*(Profils!$F$5:$F$34&gt;0)*(Profils!$U$5:$U$34&lt;=Paramètres!$D$6)*ROUND(Profils!$F$5:$F$34*Paramètres!$E$22*Paramètres!$C$6*$C$6,Paramètres!$F$22))</f>
        <v>280</v>
      </c>
      <c r="C8" s="53" t="n">
        <f aca="false">SUMPRODUCT((Profils!$B$5:$B$34=$B$3)*(Profils!$G$5:$G$34&gt;0)*(Profils!$V$5:$V$34&lt;=Paramètres!$D$6)*ROUND(Profils!$G$5:$G$34*Paramètres!$E$23*Paramètres!$C$6*$C$6,Paramètres!$F$23))</f>
        <v>78</v>
      </c>
      <c r="D8" s="53" t="n">
        <f aca="false">SUMPRODUCT((Profils!$B$5:$B$34=$B$3)*(Profils!$H$5:$H$34&gt;0)*(Profils!$W$5:$W$34&lt;=Paramètres!$D$6)*ROUND(Profils!$H$5:$H$34*Paramètres!$E$24*Paramètres!$C$6*$C$6,Paramètres!$F$24))</f>
        <v>84</v>
      </c>
      <c r="E8" s="53" t="n">
        <f aca="false">SUMPRODUCT((Profils!$B$5:$B$34=$B$3)*(Profils!$I$5:$I$34&gt;0)*(Profils!$X$5:$X$34&lt;=Paramètres!$D$6)*ROUND(Profils!$I$5:$I$34*Paramètres!$E$25*Paramètres!$C$6*$C$6,Paramètres!$F$25))</f>
        <v>0</v>
      </c>
      <c r="F8" s="53" t="n">
        <f aca="false">SUMPRODUCT((Profils!$B$5:$B$34=$B$3)*(Profils!$J$5:$J$34&gt;0)*(Profils!$Y$5:$Y$34&lt;=Paramètres!$D$6)*ROUND(Profils!$J$5:$J$34*Paramètres!$E$26*Paramètres!$C$6*$C$6,Paramètres!$F$26))</f>
        <v>14</v>
      </c>
      <c r="G8" s="53" t="n">
        <f aca="false">SUMPRODUCT((Profils!$B$5:$B$34=$B$3)*(Profils!$K$5:$K$34&gt;0)*(Profils!$Z$5:$Z$34&lt;=Paramètres!$D$6)*ROUND(Profils!$K$5:$K$34*Paramètres!$E$27*Paramètres!$C$6*$C$6,Paramètres!$F$27))</f>
        <v>0</v>
      </c>
      <c r="H8" s="54" t="n">
        <f aca="false">SUMPRODUCT((Profils!$B$5:$B$34=$B$3)*(Profils!$L$5:$L$34&gt;0)*(Profils!$AA$5:$AA$34&lt;=Paramètres!$D$6)*ROUND(Profils!$L$5:$L$34*Paramètres!$E$28*Paramètres!$C$6*$C$6,Paramètres!$F$28))</f>
        <v>0.024</v>
      </c>
      <c r="I8" s="54" t="n">
        <f aca="false">SUMPRODUCT((Profils!$B$5:$B$34=$B$3)*(Profils!$M$5:$M$34&gt;0)*(Profils!$AB$5:$AB$34&lt;=Paramètres!$D$6)*ROUND(Profils!$M$5:$M$34*Paramètres!$E$29*Paramètres!$C$6*$C$6,Paramètres!$F$29))</f>
        <v>0.011</v>
      </c>
      <c r="J8" s="54" t="n">
        <f aca="false">SUMPRODUCT((Profils!$B$5:$B$34=$B$3)*(Profils!$N$5:$N$34&gt;0)*(Profils!$AC$5:$AC$34&lt;=Paramètres!$D$6)*ROUND(Profils!$N$5:$N$34*Paramètres!$E$30*Paramètres!$C$6*$C$6,Paramètres!$F$30))</f>
        <v>0</v>
      </c>
      <c r="K8" s="53" t="n">
        <f aca="false">SUMPRODUCT((Profils!$B$5:$B$34=$B$3)*(Profils!$O$5:$O$34&gt;0)*(Profils!$AD$5:$AD$34&lt;=Paramètres!$D$6)*ROUND(Profils!$O$5:$O$34*Paramètres!$E$31*Paramètres!$C$6*$C$6,Paramètres!$F$31))</f>
        <v>120</v>
      </c>
      <c r="L8" s="54" t="n">
        <f aca="false">SUMPRODUCT((Profils!$B$5:$B$34=$B$3)*(Profils!$P$5:$P$34&gt;0)*(Profils!$AE$5:$AE$34&lt;=Paramètres!$D$6)*ROUND(Profils!$P$5:$P$34*Paramètres!$E$32*Paramètres!$C$6*$C$6,Paramètres!$F$32))</f>
        <v>0</v>
      </c>
      <c r="M8" s="54" t="n">
        <f aca="false">SUMPRODUCT((Profils!$B$5:$B$34=$B$3)*(Profils!$Q$5:$Q$34&gt;0)*(Profils!$AF$5:$AF$34&lt;=Paramètres!$D$6)*ROUND(Profils!$Q$5:$Q$34*Paramètres!$E$33*Paramètres!$C$6*$C$6,Paramètres!$F$33))</f>
        <v>0</v>
      </c>
      <c r="N8" s="54" t="n">
        <f aca="false">SUMPRODUCT((Profils!$B$5:$B$34=$B$3)*(Profils!$R$5:$R$34&gt;0)*(Profils!$AG$5:$AG$34&lt;=Paramètres!$D$6)*ROUND(Profils!$R$5:$R$34*Paramètres!$E$34*Paramètres!$C$6*$C$6,Paramètres!$F$34))</f>
        <v>0</v>
      </c>
      <c r="O8" s="54" t="n">
        <f aca="false">SUMPRODUCT((Profils!$B$5:$B$34=$B$3)*(Profils!$S$5:$S$34&gt;0)*(Profils!$AH$5:$AH$34&lt;=Paramètres!$D$6)*ROUND(Profils!$S$5:$S$34*Paramètres!$E$35*Paramètres!$C$6*$C$6,Paramètres!$F$35))</f>
        <v>0</v>
      </c>
      <c r="P8" s="1"/>
      <c r="Q8" s="1"/>
      <c r="R8" s="1"/>
      <c r="S8" s="1"/>
      <c r="T8" s="1"/>
      <c r="U8" s="1"/>
      <c r="V8" s="1"/>
      <c r="W8" s="1"/>
      <c r="X8" s="1"/>
      <c r="Y8" s="1"/>
      <c r="Z8" s="1"/>
      <c r="AA8" s="1"/>
    </row>
    <row r="9" customFormat="false" ht="15" hidden="false" customHeight="true" outlineLevel="0" collapsed="false">
      <c r="A9" s="55" t="str">
        <f aca="false">Paramètres!A7</f>
        <v>Rare</v>
      </c>
      <c r="B9" s="53" t="n">
        <f aca="false">SUMPRODUCT((Profils!$B$5:$B$34=$B$3)*(Profils!$F$5:$F$34&gt;0)*(Profils!$U$5:$U$34&lt;=Paramètres!$D$7)*ROUND(Profils!$F$5:$F$34*Paramètres!$E$22*Paramètres!$C$7*$C$6,Paramètres!$F$22))</f>
        <v>384</v>
      </c>
      <c r="C9" s="53" t="n">
        <f aca="false">SUMPRODUCT((Profils!$B$5:$B$34=$B$3)*(Profils!$G$5:$G$34&gt;0)*(Profils!$V$5:$V$34&lt;=Paramètres!$D$7)*ROUND(Profils!$G$5:$G$34*Paramètres!$E$23*Paramètres!$C$7*$C$6,Paramètres!$F$23))</f>
        <v>94</v>
      </c>
      <c r="D9" s="53" t="n">
        <f aca="false">SUMPRODUCT((Profils!$B$5:$B$34=$B$3)*(Profils!$H$5:$H$34&gt;0)*(Profils!$W$5:$W$34&lt;=Paramètres!$D$7)*ROUND(Profils!$H$5:$H$34*Paramètres!$E$24*Paramètres!$C$7*$C$6,Paramètres!$F$24))</f>
        <v>174</v>
      </c>
      <c r="E9" s="53" t="n">
        <f aca="false">SUMPRODUCT((Profils!$B$5:$B$34=$B$3)*(Profils!$I$5:$I$34&gt;0)*(Profils!$X$5:$X$34&lt;=Paramètres!$D$7)*ROUND(Profils!$I$5:$I$34*Paramètres!$E$25*Paramètres!$C$7*$C$6,Paramètres!$F$25))</f>
        <v>0</v>
      </c>
      <c r="F9" s="53" t="n">
        <f aca="false">SUMPRODUCT((Profils!$B$5:$B$34=$B$3)*(Profils!$J$5:$J$34&gt;0)*(Profils!$Y$5:$Y$34&lt;=Paramètres!$D$7)*ROUND(Profils!$J$5:$J$34*Paramètres!$E$26*Paramètres!$C$7*$C$6,Paramètres!$F$26))</f>
        <v>17</v>
      </c>
      <c r="G9" s="53" t="n">
        <f aca="false">SUMPRODUCT((Profils!$B$5:$B$34=$B$3)*(Profils!$K$5:$K$34&gt;0)*(Profils!$Z$5:$Z$34&lt;=Paramètres!$D$7)*ROUND(Profils!$K$5:$K$34*Paramètres!$E$27*Paramètres!$C$7*$C$6,Paramètres!$F$27))</f>
        <v>13</v>
      </c>
      <c r="H9" s="54" t="n">
        <f aca="false">SUMPRODUCT((Profils!$B$5:$B$34=$B$3)*(Profils!$L$5:$L$34&gt;0)*(Profils!$AA$5:$AA$34&lt;=Paramètres!$D$7)*ROUND(Profils!$L$5:$L$34*Paramètres!$E$28*Paramètres!$C$7*$C$6,Paramètres!$F$28))</f>
        <v>0.029</v>
      </c>
      <c r="I9" s="54" t="n">
        <f aca="false">SUMPRODUCT((Profils!$B$5:$B$34=$B$3)*(Profils!$M$5:$M$34&gt;0)*(Profils!$AB$5:$AB$34&lt;=Paramètres!$D$7)*ROUND(Profils!$M$5:$M$34*Paramètres!$E$29*Paramètres!$C$7*$C$6,Paramètres!$F$29))</f>
        <v>0.013</v>
      </c>
      <c r="J9" s="54" t="n">
        <f aca="false">SUMPRODUCT((Profils!$B$5:$B$34=$B$3)*(Profils!$N$5:$N$34&gt;0)*(Profils!$AC$5:$AC$34&lt;=Paramètres!$D$7)*ROUND(Profils!$N$5:$N$34*Paramètres!$E$30*Paramètres!$C$7*$C$6,Paramètres!$F$30))</f>
        <v>0.086</v>
      </c>
      <c r="K9" s="53" t="n">
        <f aca="false">SUMPRODUCT((Profils!$B$5:$B$34=$B$3)*(Profils!$O$5:$O$34&gt;0)*(Profils!$AD$5:$AD$34&lt;=Paramètres!$D$7)*ROUND(Profils!$O$5:$O$34*Paramètres!$E$31*Paramètres!$C$7*$C$6,Paramètres!$F$31))</f>
        <v>173</v>
      </c>
      <c r="L9" s="54" t="n">
        <f aca="false">SUMPRODUCT((Profils!$B$5:$B$34=$B$3)*(Profils!$P$5:$P$34&gt;0)*(Profils!$AE$5:$AE$34&lt;=Paramètres!$D$7)*ROUND(Profils!$P$5:$P$34*Paramètres!$E$32*Paramètres!$C$7*$C$6,Paramètres!$F$32))</f>
        <v>0</v>
      </c>
      <c r="M9" s="54" t="n">
        <f aca="false">SUMPRODUCT((Profils!$B$5:$B$34=$B$3)*(Profils!$Q$5:$Q$34&gt;0)*(Profils!$AF$5:$AF$34&lt;=Paramètres!$D$7)*ROUND(Profils!$Q$5:$Q$34*Paramètres!$E$33*Paramètres!$C$7*$C$6,Paramètres!$F$33))</f>
        <v>0.034</v>
      </c>
      <c r="N9" s="54" t="n">
        <f aca="false">SUMPRODUCT((Profils!$B$5:$B$34=$B$3)*(Profils!$R$5:$R$34&gt;0)*(Profils!$AG$5:$AG$34&lt;=Paramètres!$D$7)*ROUND(Profils!$R$5:$R$34*Paramètres!$E$34*Paramètres!$C$7*$C$6,Paramètres!$F$34))</f>
        <v>0</v>
      </c>
      <c r="O9" s="54" t="n">
        <f aca="false">SUMPRODUCT((Profils!$B$5:$B$34=$B$3)*(Profils!$S$5:$S$34&gt;0)*(Profils!$AH$5:$AH$34&lt;=Paramètres!$D$7)*ROUND(Profils!$S$5:$S$34*Paramètres!$E$35*Paramètres!$C$7*$C$6,Paramètres!$F$35))</f>
        <v>0</v>
      </c>
      <c r="P9" s="1"/>
      <c r="Q9" s="1"/>
      <c r="R9" s="1"/>
      <c r="S9" s="1"/>
      <c r="T9" s="1"/>
      <c r="U9" s="1"/>
      <c r="V9" s="1"/>
      <c r="W9" s="1"/>
      <c r="X9" s="1"/>
      <c r="Y9" s="1"/>
      <c r="Z9" s="1"/>
      <c r="AA9" s="1"/>
    </row>
    <row r="10" customFormat="false" ht="15" hidden="false" customHeight="true" outlineLevel="0" collapsed="false">
      <c r="A10" s="56" t="str">
        <f aca="false">Paramètres!A8</f>
        <v>Super rare</v>
      </c>
      <c r="B10" s="53" t="n">
        <f aca="false">SUMPRODUCT((Profils!$B$5:$B$34=$B$3)*(Profils!$F$5:$F$34&gt;0)*(Profils!$U$5:$U$34&lt;=Paramètres!$D$8)*ROUND(Profils!$F$5:$F$34*Paramètres!$E$22*Paramètres!$C$8*$C$6,Paramètres!$F$22))</f>
        <v>495</v>
      </c>
      <c r="C10" s="53" t="n">
        <f aca="false">SUMPRODUCT((Profils!$B$5:$B$34=$B$3)*(Profils!$G$5:$G$34&gt;0)*(Profils!$V$5:$V$34&lt;=Paramètres!$D$8)*ROUND(Profils!$G$5:$G$34*Paramètres!$E$23*Paramètres!$C$8*$C$6,Paramètres!$F$23))</f>
        <v>163</v>
      </c>
      <c r="D10" s="53" t="n">
        <f aca="false">SUMPRODUCT((Profils!$B$5:$B$34=$B$3)*(Profils!$H$5:$H$34&gt;0)*(Profils!$W$5:$W$34&lt;=Paramètres!$D$8)*ROUND(Profils!$H$5:$H$34*Paramètres!$E$24*Paramètres!$C$8*$C$6,Paramètres!$F$24))</f>
        <v>233</v>
      </c>
      <c r="E10" s="53" t="n">
        <f aca="false">SUMPRODUCT((Profils!$B$5:$B$34=$B$3)*(Profils!$I$5:$I$34&gt;0)*(Profils!$X$5:$X$34&lt;=Paramètres!$D$8)*ROUND(Profils!$I$5:$I$34*Paramètres!$E$25*Paramètres!$C$8*$C$6,Paramètres!$F$25))</f>
        <v>0</v>
      </c>
      <c r="F10" s="53" t="n">
        <f aca="false">SUMPRODUCT((Profils!$B$5:$B$34=$B$3)*(Profils!$J$5:$J$34&gt;0)*(Profils!$Y$5:$Y$34&lt;=Paramètres!$D$8)*ROUND(Profils!$J$5:$J$34*Paramètres!$E$26*Paramètres!$C$8*$C$6,Paramètres!$F$26))</f>
        <v>21</v>
      </c>
      <c r="G10" s="53" t="n">
        <f aca="false">SUMPRODUCT((Profils!$B$5:$B$34=$B$3)*(Profils!$K$5:$K$34&gt;0)*(Profils!$Z$5:$Z$34&lt;=Paramètres!$D$8)*ROUND(Profils!$K$5:$K$34*Paramètres!$E$27*Paramètres!$C$8*$C$6,Paramètres!$F$27))</f>
        <v>16</v>
      </c>
      <c r="H10" s="54" t="n">
        <f aca="false">SUMPRODUCT((Profils!$B$5:$B$34=$B$3)*(Profils!$L$5:$L$34&gt;0)*(Profils!$AA$5:$AA$34&lt;=Paramètres!$D$8)*ROUND(Profils!$L$5:$L$34*Paramètres!$E$28*Paramètres!$C$8*$C$6,Paramètres!$F$28))</f>
        <v>0.035</v>
      </c>
      <c r="I10" s="54" t="n">
        <f aca="false">SUMPRODUCT((Profils!$B$5:$B$34=$B$3)*(Profils!$M$5:$M$34&gt;0)*(Profils!$AB$5:$AB$34&lt;=Paramètres!$D$8)*ROUND(Profils!$M$5:$M$34*Paramètres!$E$29*Paramètres!$C$8*$C$6,Paramètres!$F$29))</f>
        <v>0.04</v>
      </c>
      <c r="J10" s="54" t="n">
        <f aca="false">SUMPRODUCT((Profils!$B$5:$B$34=$B$3)*(Profils!$N$5:$N$34&gt;0)*(Profils!$AC$5:$AC$34&lt;=Paramètres!$D$8)*ROUND(Profils!$N$5:$N$34*Paramètres!$E$30*Paramètres!$C$8*$C$6,Paramètres!$F$30))</f>
        <v>0.104</v>
      </c>
      <c r="K10" s="53" t="n">
        <f aca="false">SUMPRODUCT((Profils!$B$5:$B$34=$B$3)*(Profils!$O$5:$O$34&gt;0)*(Profils!$AD$5:$AD$34&lt;=Paramètres!$D$8)*ROUND(Profils!$O$5:$O$34*Paramètres!$E$31*Paramètres!$C$8*$C$6,Paramètres!$F$31))</f>
        <v>232</v>
      </c>
      <c r="L10" s="54" t="n">
        <f aca="false">SUMPRODUCT((Profils!$B$5:$B$34=$B$3)*(Profils!$P$5:$P$34&gt;0)*(Profils!$AE$5:$AE$34&lt;=Paramètres!$D$8)*ROUND(Profils!$P$5:$P$34*Paramètres!$E$32*Paramètres!$C$8*$C$6,Paramètres!$F$32))</f>
        <v>0</v>
      </c>
      <c r="M10" s="54" t="n">
        <f aca="false">SUMPRODUCT((Profils!$B$5:$B$34=$B$3)*(Profils!$Q$5:$Q$34&gt;0)*(Profils!$AF$5:$AF$34&lt;=Paramètres!$D$8)*ROUND(Profils!$Q$5:$Q$34*Paramètres!$E$33*Paramètres!$C$8*$C$6,Paramètres!$F$33))</f>
        <v>0.068</v>
      </c>
      <c r="N10" s="54" t="n">
        <f aca="false">SUMPRODUCT((Profils!$B$5:$B$34=$B$3)*(Profils!$R$5:$R$34&gt;0)*(Profils!$AG$5:$AG$34&lt;=Paramètres!$D$8)*ROUND(Profils!$R$5:$R$34*Paramètres!$E$34*Paramètres!$C$8*$C$6,Paramètres!$F$34))</f>
        <v>0</v>
      </c>
      <c r="O10" s="54" t="n">
        <f aca="false">SUMPRODUCT((Profils!$B$5:$B$34=$B$3)*(Profils!$S$5:$S$34&gt;0)*(Profils!$AH$5:$AH$34&lt;=Paramètres!$D$8)*ROUND(Profils!$S$5:$S$34*Paramètres!$E$35*Paramètres!$C$8*$C$6,Paramètres!$F$35))</f>
        <v>0.042</v>
      </c>
      <c r="P10" s="1"/>
      <c r="Q10" s="1"/>
      <c r="R10" s="1"/>
      <c r="S10" s="1"/>
      <c r="T10" s="1"/>
      <c r="U10" s="1"/>
      <c r="V10" s="1"/>
      <c r="W10" s="1"/>
      <c r="X10" s="1"/>
      <c r="Y10" s="1"/>
      <c r="Z10" s="1"/>
      <c r="AA10" s="1"/>
    </row>
    <row r="11" customFormat="false" ht="15" hidden="false" customHeight="true" outlineLevel="0" collapsed="false">
      <c r="A11" s="57" t="str">
        <f aca="false">Paramètres!A9</f>
        <v>Épique</v>
      </c>
      <c r="B11" s="53" t="n">
        <f aca="false">SUMPRODUCT((Profils!$B$5:$B$34=$B$3)*(Profils!$F$5:$F$34&gt;0)*(Profils!$U$5:$U$34&lt;=Paramètres!$D$9)*ROUND(Profils!$F$5:$F$34*Paramètres!$E$22*Paramètres!$C$9*$C$6,Paramètres!$F$22))</f>
        <v>596</v>
      </c>
      <c r="C11" s="53" t="n">
        <f aca="false">SUMPRODUCT((Profils!$B$5:$B$34=$B$3)*(Profils!$G$5:$G$34&gt;0)*(Profils!$V$5:$V$34&lt;=Paramètres!$D$9)*ROUND(Profils!$G$5:$G$34*Paramètres!$E$23*Paramètres!$C$9*$C$6,Paramètres!$F$23))</f>
        <v>196</v>
      </c>
      <c r="D11" s="53" t="n">
        <f aca="false">SUMPRODUCT((Profils!$B$5:$B$34=$B$3)*(Profils!$H$5:$H$34&gt;0)*(Profils!$W$5:$W$34&lt;=Paramètres!$D$9)*ROUND(Profils!$H$5:$H$34*Paramètres!$E$24*Paramètres!$C$9*$C$6,Paramètres!$F$24))</f>
        <v>281</v>
      </c>
      <c r="E11" s="53" t="n">
        <f aca="false">SUMPRODUCT((Profils!$B$5:$B$34=$B$3)*(Profils!$I$5:$I$34&gt;0)*(Profils!$X$5:$X$34&lt;=Paramètres!$D$9)*ROUND(Profils!$I$5:$I$34*Paramètres!$E$25*Paramètres!$C$9*$C$6,Paramètres!$F$25))</f>
        <v>0</v>
      </c>
      <c r="F11" s="53" t="n">
        <f aca="false">SUMPRODUCT((Profils!$B$5:$B$34=$B$3)*(Profils!$J$5:$J$34&gt;0)*(Profils!$Y$5:$Y$34&lt;=Paramètres!$D$9)*ROUND(Profils!$J$5:$J$34*Paramètres!$E$26*Paramètres!$C$9*$C$6,Paramètres!$F$26))</f>
        <v>38</v>
      </c>
      <c r="G11" s="53" t="n">
        <f aca="false">SUMPRODUCT((Profils!$B$5:$B$34=$B$3)*(Profils!$K$5:$K$34&gt;0)*(Profils!$Z$5:$Z$34&lt;=Paramètres!$D$9)*ROUND(Profils!$K$5:$K$34*Paramètres!$E$27*Paramètres!$C$9*$C$6,Paramètres!$F$27))</f>
        <v>31</v>
      </c>
      <c r="H11" s="54" t="n">
        <f aca="false">SUMPRODUCT((Profils!$B$5:$B$34=$B$3)*(Profils!$L$5:$L$34&gt;0)*(Profils!$AA$5:$AA$34&lt;=Paramètres!$D$9)*ROUND(Profils!$L$5:$L$34*Paramètres!$E$28*Paramètres!$C$9*$C$6,Paramètres!$F$28))</f>
        <v>0.063</v>
      </c>
      <c r="I11" s="54" t="n">
        <f aca="false">SUMPRODUCT((Profils!$B$5:$B$34=$B$3)*(Profils!$M$5:$M$34&gt;0)*(Profils!$AB$5:$AB$34&lt;=Paramètres!$D$9)*ROUND(Profils!$M$5:$M$34*Paramètres!$E$29*Paramètres!$C$9*$C$6,Paramètres!$F$29))</f>
        <v>0.048</v>
      </c>
      <c r="J11" s="54" t="n">
        <f aca="false">SUMPRODUCT((Profils!$B$5:$B$34=$B$3)*(Profils!$N$5:$N$34&gt;0)*(Profils!$AC$5:$AC$34&lt;=Paramètres!$D$9)*ROUND(Profils!$N$5:$N$34*Paramètres!$E$30*Paramètres!$C$9*$C$6,Paramètres!$F$30))</f>
        <v>0.126</v>
      </c>
      <c r="K11" s="53" t="n">
        <f aca="false">SUMPRODUCT((Profils!$B$5:$B$34=$B$3)*(Profils!$O$5:$O$34&gt;0)*(Profils!$AD$5:$AD$34&lt;=Paramètres!$D$9)*ROUND(Profils!$O$5:$O$34*Paramètres!$E$31*Paramètres!$C$9*$C$6,Paramètres!$F$31))</f>
        <v>315</v>
      </c>
      <c r="L11" s="54" t="n">
        <f aca="false">SUMPRODUCT((Profils!$B$5:$B$34=$B$3)*(Profils!$P$5:$P$34&gt;0)*(Profils!$AE$5:$AE$34&lt;=Paramètres!$D$9)*ROUND(Profils!$P$5:$P$34*Paramètres!$E$32*Paramètres!$C$9*$C$6,Paramètres!$F$32))</f>
        <v>0.053</v>
      </c>
      <c r="M11" s="54" t="n">
        <f aca="false">SUMPRODUCT((Profils!$B$5:$B$34=$B$3)*(Profils!$Q$5:$Q$34&gt;0)*(Profils!$AF$5:$AF$34&lt;=Paramètres!$D$9)*ROUND(Profils!$Q$5:$Q$34*Paramètres!$E$33*Paramètres!$C$9*$C$6,Paramètres!$F$33))</f>
        <v>0.119</v>
      </c>
      <c r="N11" s="54" t="n">
        <f aca="false">SUMPRODUCT((Profils!$B$5:$B$34=$B$3)*(Profils!$R$5:$R$34&gt;0)*(Profils!$AG$5:$AG$34&lt;=Paramètres!$D$9)*ROUND(Profils!$R$5:$R$34*Paramètres!$E$34*Paramètres!$C$9*$C$6,Paramètres!$F$34))</f>
        <v>0</v>
      </c>
      <c r="O11" s="54" t="n">
        <f aca="false">SUMPRODUCT((Profils!$B$5:$B$34=$B$3)*(Profils!$S$5:$S$34&gt;0)*(Profils!$AH$5:$AH$34&lt;=Paramètres!$D$9)*ROUND(Profils!$S$5:$S$34*Paramètres!$E$35*Paramètres!$C$9*$C$6,Paramètres!$F$35))</f>
        <v>0.103</v>
      </c>
      <c r="P11" s="1"/>
      <c r="Q11" s="1"/>
      <c r="R11" s="1"/>
      <c r="S11" s="1"/>
      <c r="T11" s="1"/>
      <c r="U11" s="1"/>
      <c r="V11" s="1"/>
      <c r="W11" s="1"/>
      <c r="X11" s="1"/>
      <c r="Y11" s="1"/>
      <c r="Z11" s="1"/>
      <c r="AA11" s="1"/>
    </row>
    <row r="12" customFormat="false" ht="15" hidden="false" customHeight="true" outlineLevel="0" collapsed="false">
      <c r="A12" s="58" t="str">
        <f aca="false">Paramètres!A10</f>
        <v>Mythique</v>
      </c>
      <c r="B12" s="53" t="n">
        <f aca="false">SUMPRODUCT((Profils!$B$5:$B$34=$B$3)*(Profils!$F$5:$F$34&gt;0)*(Profils!$U$5:$U$34&lt;=Paramètres!$D$10)*ROUND(Profils!$F$5:$F$34*Paramètres!$E$22*Paramètres!$C$10*$C$6,Paramètres!$F$22))</f>
        <v>757</v>
      </c>
      <c r="C12" s="53" t="n">
        <f aca="false">SUMPRODUCT((Profils!$B$5:$B$34=$B$3)*(Profils!$G$5:$G$34&gt;0)*(Profils!$V$5:$V$34&lt;=Paramètres!$D$10)*ROUND(Profils!$G$5:$G$34*Paramètres!$E$23*Paramètres!$C$10*$C$6,Paramètres!$F$23))</f>
        <v>288</v>
      </c>
      <c r="D12" s="53" t="n">
        <f aca="false">SUMPRODUCT((Profils!$B$5:$B$34=$B$3)*(Profils!$H$5:$H$34&gt;0)*(Profils!$W$5:$W$34&lt;=Paramètres!$D$10)*ROUND(Profils!$H$5:$H$34*Paramètres!$E$24*Paramètres!$C$10*$C$6,Paramètres!$F$24))</f>
        <v>339</v>
      </c>
      <c r="E12" s="53" t="n">
        <f aca="false">SUMPRODUCT((Profils!$B$5:$B$34=$B$3)*(Profils!$I$5:$I$34&gt;0)*(Profils!$X$5:$X$34&lt;=Paramètres!$D$10)*ROUND(Profils!$I$5:$I$34*Paramètres!$E$25*Paramètres!$C$10*$C$6,Paramètres!$F$25))</f>
        <v>0</v>
      </c>
      <c r="F12" s="53" t="n">
        <f aca="false">SUMPRODUCT((Profils!$B$5:$B$34=$B$3)*(Profils!$J$5:$J$34&gt;0)*(Profils!$Y$5:$Y$34&lt;=Paramètres!$D$10)*ROUND(Profils!$J$5:$J$34*Paramètres!$E$26*Paramètres!$C$10*$C$6,Paramètres!$F$26))</f>
        <v>58</v>
      </c>
      <c r="G12" s="53" t="n">
        <f aca="false">SUMPRODUCT((Profils!$B$5:$B$34=$B$3)*(Profils!$K$5:$K$34&gt;0)*(Profils!$Z$5:$Z$34&lt;=Paramètres!$D$10)*ROUND(Profils!$K$5:$K$34*Paramètres!$E$27*Paramètres!$C$10*$C$6,Paramètres!$F$27))</f>
        <v>38</v>
      </c>
      <c r="H12" s="54" t="n">
        <f aca="false">SUMPRODUCT((Profils!$B$5:$B$34=$B$3)*(Profils!$L$5:$L$34&gt;0)*(Profils!$AA$5:$AA$34&lt;=Paramètres!$D$10)*ROUND(Profils!$L$5:$L$34*Paramètres!$E$28*Paramètres!$C$10*$C$6,Paramètres!$F$28))</f>
        <v>0.075</v>
      </c>
      <c r="I12" s="54" t="n">
        <f aca="false">SUMPRODUCT((Profils!$B$5:$B$34=$B$3)*(Profils!$M$5:$M$34&gt;0)*(Profils!$AB$5:$AB$34&lt;=Paramètres!$D$10)*ROUND(Profils!$M$5:$M$34*Paramètres!$E$29*Paramètres!$C$10*$C$6,Paramètres!$F$29))</f>
        <v>0.058</v>
      </c>
      <c r="J12" s="54" t="n">
        <f aca="false">SUMPRODUCT((Profils!$B$5:$B$34=$B$3)*(Profils!$N$5:$N$34&gt;0)*(Profils!$AC$5:$AC$34&lt;=Paramètres!$D$10)*ROUND(Profils!$N$5:$N$34*Paramètres!$E$30*Paramètres!$C$10*$C$6,Paramètres!$F$30))</f>
        <v>0.152</v>
      </c>
      <c r="K12" s="53" t="n">
        <f aca="false">SUMPRODUCT((Profils!$B$5:$B$34=$B$3)*(Profils!$O$5:$O$34&gt;0)*(Profils!$AD$5:$AD$34&lt;=Paramètres!$D$10)*ROUND(Profils!$O$5:$O$34*Paramètres!$E$31*Paramètres!$C$10*$C$6,Paramètres!$F$31))</f>
        <v>402</v>
      </c>
      <c r="L12" s="54" t="n">
        <f aca="false">SUMPRODUCT((Profils!$B$5:$B$34=$B$3)*(Profils!$P$5:$P$34&gt;0)*(Profils!$AE$5:$AE$34&lt;=Paramètres!$D$10)*ROUND(Profils!$P$5:$P$34*Paramètres!$E$32*Paramètres!$C$10*$C$6,Paramètres!$F$32))</f>
        <v>0.085</v>
      </c>
      <c r="M12" s="54" t="n">
        <f aca="false">SUMPRODUCT((Profils!$B$5:$B$34=$B$3)*(Profils!$Q$5:$Q$34&gt;0)*(Profils!$AF$5:$AF$34&lt;=Paramètres!$D$10)*ROUND(Profils!$Q$5:$Q$34*Paramètres!$E$33*Paramètres!$C$10*$C$6,Paramètres!$F$33))</f>
        <v>0.161</v>
      </c>
      <c r="N12" s="54" t="n">
        <f aca="false">SUMPRODUCT((Profils!$B$5:$B$34=$B$3)*(Profils!$R$5:$R$34&gt;0)*(Profils!$AG$5:$AG$34&lt;=Paramètres!$D$10)*ROUND(Profils!$R$5:$R$34*Paramètres!$E$34*Paramètres!$C$10*$C$6,Paramètres!$F$34))</f>
        <v>0</v>
      </c>
      <c r="O12" s="54" t="n">
        <f aca="false">SUMPRODUCT((Profils!$B$5:$B$34=$B$3)*(Profils!$S$5:$S$34&gt;0)*(Profils!$AH$5:$AH$34&lt;=Paramètres!$D$10)*ROUND(Profils!$S$5:$S$34*Paramètres!$E$35*Paramètres!$C$10*$C$6,Paramètres!$F$35))</f>
        <v>0.161</v>
      </c>
      <c r="P12" s="1"/>
      <c r="Q12" s="1"/>
      <c r="R12" s="1"/>
      <c r="S12" s="1"/>
      <c r="T12" s="1"/>
      <c r="U12" s="1"/>
      <c r="V12" s="1"/>
      <c r="W12" s="1"/>
      <c r="X12" s="1"/>
      <c r="Y12" s="1"/>
      <c r="Z12" s="1"/>
      <c r="AA12" s="1"/>
    </row>
    <row r="13" customFormat="false" ht="15" hidden="false" customHeight="true" outlineLevel="0" collapsed="false">
      <c r="A13" s="59" t="str">
        <f aca="false">Paramètres!A11</f>
        <v>Légendaire</v>
      </c>
      <c r="B13" s="53" t="n">
        <f aca="false">SUMPRODUCT((Profils!$B$5:$B$34=$B$3)*(Profils!$F$5:$F$34&gt;0)*(Profils!$U$5:$U$34&lt;=Paramètres!$D$11)*ROUND(Profils!$F$5:$F$34*Paramètres!$E$22*Paramètres!$C$11*$C$6,Paramètres!$F$22))</f>
        <v>864</v>
      </c>
      <c r="C13" s="53" t="n">
        <f aca="false">SUMPRODUCT((Profils!$B$5:$B$34=$B$3)*(Profils!$G$5:$G$34&gt;0)*(Profils!$V$5:$V$34&lt;=Paramètres!$D$11)*ROUND(Profils!$G$5:$G$34*Paramètres!$E$23*Paramètres!$C$11*$C$6,Paramètres!$F$23))</f>
        <v>346</v>
      </c>
      <c r="D13" s="53" t="n">
        <f aca="false">SUMPRODUCT((Profils!$B$5:$B$34=$B$3)*(Profils!$H$5:$H$34&gt;0)*(Profils!$W$5:$W$34&lt;=Paramètres!$D$11)*ROUND(Profils!$H$5:$H$34*Paramètres!$E$24*Paramètres!$C$11*$C$6,Paramètres!$F$24))</f>
        <v>384</v>
      </c>
      <c r="E13" s="53" t="n">
        <f aca="false">SUMPRODUCT((Profils!$B$5:$B$34=$B$3)*(Profils!$I$5:$I$34&gt;0)*(Profils!$X$5:$X$34&lt;=Paramètres!$D$11)*ROUND(Profils!$I$5:$I$34*Paramètres!$E$25*Paramètres!$C$11*$C$6,Paramètres!$F$25))</f>
        <v>0</v>
      </c>
      <c r="F13" s="53" t="n">
        <f aca="false">SUMPRODUCT((Profils!$B$5:$B$34=$B$3)*(Profils!$J$5:$J$34&gt;0)*(Profils!$Y$5:$Y$34&lt;=Paramètres!$D$11)*ROUND(Profils!$J$5:$J$34*Paramètres!$E$26*Paramètres!$C$11*$C$6,Paramètres!$F$26))</f>
        <v>104</v>
      </c>
      <c r="G13" s="53" t="n">
        <f aca="false">SUMPRODUCT((Profils!$B$5:$B$34=$B$3)*(Profils!$K$5:$K$34&gt;0)*(Profils!$Z$5:$Z$34&lt;=Paramètres!$D$11)*ROUND(Profils!$K$5:$K$34*Paramètres!$E$27*Paramètres!$C$11*$C$6,Paramètres!$F$27))</f>
        <v>55</v>
      </c>
      <c r="H13" s="54" t="n">
        <f aca="false">SUMPRODUCT((Profils!$B$5:$B$34=$B$3)*(Profils!$L$5:$L$34&gt;0)*(Profils!$AA$5:$AA$34&lt;=Paramètres!$D$11)*ROUND(Profils!$L$5:$L$34*Paramètres!$E$28*Paramètres!$C$11*$C$6,Paramètres!$F$28))</f>
        <v>0.112</v>
      </c>
      <c r="I13" s="54" t="n">
        <f aca="false">SUMPRODUCT((Profils!$B$5:$B$34=$B$3)*(Profils!$M$5:$M$34&gt;0)*(Profils!$AB$5:$AB$34&lt;=Paramètres!$D$11)*ROUND(Profils!$M$5:$M$34*Paramètres!$E$29*Paramètres!$C$11*$C$6,Paramètres!$F$29))</f>
        <v>0.066</v>
      </c>
      <c r="J13" s="54" t="n">
        <f aca="false">SUMPRODUCT((Profils!$B$5:$B$34=$B$3)*(Profils!$N$5:$N$34&gt;0)*(Profils!$AC$5:$AC$34&lt;=Paramètres!$D$11)*ROUND(Profils!$N$5:$N$34*Paramètres!$E$30*Paramètres!$C$11*$C$6,Paramètres!$F$30))</f>
        <v>0.202</v>
      </c>
      <c r="K13" s="53" t="n">
        <f aca="false">SUMPRODUCT((Profils!$B$5:$B$34=$B$3)*(Profils!$O$5:$O$34&gt;0)*(Profils!$AD$5:$AD$34&lt;=Paramètres!$D$11)*ROUND(Profils!$O$5:$O$34*Paramètres!$E$31*Paramètres!$C$11*$C$6,Paramètres!$F$31))</f>
        <v>462</v>
      </c>
      <c r="L13" s="54" t="n">
        <f aca="false">SUMPRODUCT((Profils!$B$5:$B$34=$B$3)*(Profils!$P$5:$P$34&gt;0)*(Profils!$AE$5:$AE$34&lt;=Paramètres!$D$11)*ROUND(Profils!$P$5:$P$34*Paramètres!$E$32*Paramètres!$C$11*$C$6,Paramètres!$F$32))</f>
        <v>0.097</v>
      </c>
      <c r="M13" s="54" t="n">
        <f aca="false">SUMPRODUCT((Profils!$B$5:$B$34=$B$3)*(Profils!$Q$5:$Q$34&gt;0)*(Profils!$AF$5:$AF$34&lt;=Paramètres!$D$11)*ROUND(Profils!$Q$5:$Q$34*Paramètres!$E$33*Paramètres!$C$11*$C$6,Paramètres!$F$33))</f>
        <v>0.202</v>
      </c>
      <c r="N13" s="54" t="n">
        <f aca="false">SUMPRODUCT((Profils!$B$5:$B$34=$B$3)*(Profils!$R$5:$R$34&gt;0)*(Profils!$AG$5:$AG$34&lt;=Paramètres!$D$11)*ROUND(Profils!$R$5:$R$34*Paramètres!$E$34*Paramètres!$C$11*$C$6,Paramètres!$F$34))</f>
        <v>0</v>
      </c>
      <c r="O13" s="54" t="n">
        <f aca="false">SUMPRODUCT((Profils!$B$5:$B$34=$B$3)*(Profils!$S$5:$S$34&gt;0)*(Profils!$AH$5:$AH$34&lt;=Paramètres!$D$11)*ROUND(Profils!$S$5:$S$34*Paramètres!$E$35*Paramètres!$C$11*$C$6,Paramètres!$F$35))</f>
        <v>0.202</v>
      </c>
      <c r="P13" s="1"/>
      <c r="Q13" s="1"/>
      <c r="R13" s="1"/>
      <c r="S13" s="1"/>
      <c r="T13" s="1"/>
      <c r="U13" s="1"/>
      <c r="V13" s="1"/>
      <c r="W13" s="1"/>
      <c r="X13" s="1"/>
      <c r="Y13" s="1"/>
      <c r="Z13" s="1"/>
      <c r="AA13" s="1"/>
    </row>
    <row r="14" customFormat="false" ht="15" hidden="false" customHeight="true" outlineLevel="0" collapsed="false">
      <c r="A14" s="60" t="str">
        <f aca="false">Paramètres!A12</f>
        <v>Unique</v>
      </c>
      <c r="B14" s="53" t="n">
        <f aca="false">SUMPRODUCT((Profils!$B$5:$B$34=$B$3)*(Profils!$F$5:$F$34&gt;0)*(Profils!$U$5:$U$34&lt;=Paramètres!$D$12)*ROUND(Profils!$F$5:$F$34*Paramètres!$E$22*Paramètres!$C$12*$C$6,Paramètres!$F$22))</f>
        <v>901</v>
      </c>
      <c r="C14" s="53" t="n">
        <f aca="false">SUMPRODUCT((Profils!$B$5:$B$34=$B$3)*(Profils!$G$5:$G$34&gt;0)*(Profils!$V$5:$V$34&lt;=Paramètres!$D$12)*ROUND(Profils!$G$5:$G$34*Paramètres!$E$23*Paramètres!$C$12*$C$6,Paramètres!$F$23))</f>
        <v>362</v>
      </c>
      <c r="D14" s="53" t="n">
        <f aca="false">SUMPRODUCT((Profils!$B$5:$B$34=$B$3)*(Profils!$H$5:$H$34&gt;0)*(Profils!$W$5:$W$34&lt;=Paramètres!$D$12)*ROUND(Profils!$H$5:$H$34*Paramètres!$E$24*Paramètres!$C$12*$C$6,Paramètres!$F$24))</f>
        <v>404</v>
      </c>
      <c r="E14" s="53" t="n">
        <f aca="false">SUMPRODUCT((Profils!$B$5:$B$34=$B$3)*(Profils!$I$5:$I$34&gt;0)*(Profils!$X$5:$X$34&lt;=Paramètres!$D$12)*ROUND(Profils!$I$5:$I$34*Paramètres!$E$25*Paramètres!$C$12*$C$6,Paramètres!$F$25))</f>
        <v>0</v>
      </c>
      <c r="F14" s="53" t="n">
        <f aca="false">SUMPRODUCT((Profils!$B$5:$B$34=$B$3)*(Profils!$J$5:$J$34&gt;0)*(Profils!$Y$5:$Y$34&lt;=Paramètres!$D$12)*ROUND(Profils!$J$5:$J$34*Paramètres!$E$26*Paramètres!$C$12*$C$6,Paramètres!$F$26))</f>
        <v>108</v>
      </c>
      <c r="G14" s="53" t="n">
        <f aca="false">SUMPRODUCT((Profils!$B$5:$B$34=$B$3)*(Profils!$K$5:$K$34&gt;0)*(Profils!$Z$5:$Z$34&lt;=Paramètres!$D$12)*ROUND(Profils!$K$5:$K$34*Paramètres!$E$27*Paramètres!$C$12*$C$6,Paramètres!$F$27))</f>
        <v>59</v>
      </c>
      <c r="H14" s="54" t="n">
        <f aca="false">SUMPRODUCT((Profils!$B$5:$B$34=$B$3)*(Profils!$L$5:$L$34&gt;0)*(Profils!$AA$5:$AA$34&lt;=Paramètres!$D$12)*ROUND(Profils!$L$5:$L$34*Paramètres!$E$28*Paramètres!$C$12*$C$6,Paramètres!$F$28))</f>
        <v>0.116</v>
      </c>
      <c r="I14" s="54" t="n">
        <f aca="false">SUMPRODUCT((Profils!$B$5:$B$34=$B$3)*(Profils!$M$5:$M$34&gt;0)*(Profils!$AB$5:$AB$34&lt;=Paramètres!$D$12)*ROUND(Profils!$M$5:$M$34*Paramètres!$E$29*Paramètres!$C$12*$C$6,Paramètres!$F$29))</f>
        <v>0.069</v>
      </c>
      <c r="J14" s="54" t="n">
        <f aca="false">SUMPRODUCT((Profils!$B$5:$B$34=$B$3)*(Profils!$N$5:$N$34&gt;0)*(Profils!$AC$5:$AC$34&lt;=Paramètres!$D$12)*ROUND(Profils!$N$5:$N$34*Paramètres!$E$30*Paramètres!$C$12*$C$6,Paramètres!$F$30))</f>
        <v>0.211</v>
      </c>
      <c r="K14" s="53" t="n">
        <f aca="false">SUMPRODUCT((Profils!$B$5:$B$34=$B$3)*(Profils!$O$5:$O$34&gt;0)*(Profils!$AD$5:$AD$34&lt;=Paramètres!$D$12)*ROUND(Profils!$O$5:$O$34*Paramètres!$E$31*Paramètres!$C$12*$C$6,Paramètres!$F$31))</f>
        <v>480</v>
      </c>
      <c r="L14" s="54" t="n">
        <f aca="false">SUMPRODUCT((Profils!$B$5:$B$34=$B$3)*(Profils!$P$5:$P$34&gt;0)*(Profils!$AE$5:$AE$34&lt;=Paramètres!$D$12)*ROUND(Profils!$P$5:$P$34*Paramètres!$E$32*Paramètres!$C$12*$C$6,Paramètres!$F$32))</f>
        <v>0.102</v>
      </c>
      <c r="M14" s="54" t="n">
        <f aca="false">SUMPRODUCT((Profils!$B$5:$B$34=$B$3)*(Profils!$Q$5:$Q$34&gt;0)*(Profils!$AF$5:$AF$34&lt;=Paramètres!$D$12)*ROUND(Profils!$Q$5:$Q$34*Paramètres!$E$33*Paramètres!$C$12*$C$6,Paramètres!$F$33))</f>
        <v>0.212</v>
      </c>
      <c r="N14" s="54" t="n">
        <f aca="false">SUMPRODUCT((Profils!$B$5:$B$34=$B$3)*(Profils!$R$5:$R$34&gt;0)*(Profils!$AG$5:$AG$34&lt;=Paramètres!$D$12)*ROUND(Profils!$R$5:$R$34*Paramètres!$E$34*Paramètres!$C$12*$C$6,Paramètres!$F$34))</f>
        <v>0</v>
      </c>
      <c r="O14" s="54" t="n">
        <f aca="false">SUMPRODUCT((Profils!$B$5:$B$34=$B$3)*(Profils!$S$5:$S$34&gt;0)*(Profils!$AH$5:$AH$34&lt;=Paramètres!$D$12)*ROUND(Profils!$S$5:$S$34*Paramètres!$E$35*Paramètres!$C$12*$C$6,Paramètres!$F$35))</f>
        <v>0.212</v>
      </c>
      <c r="P14" s="1"/>
      <c r="Q14" s="1"/>
      <c r="R14" s="1"/>
      <c r="S14" s="1"/>
      <c r="T14" s="1"/>
      <c r="U14" s="1"/>
      <c r="V14" s="1"/>
      <c r="W14" s="1"/>
      <c r="X14" s="1"/>
      <c r="Y14" s="1"/>
      <c r="Z14" s="1"/>
      <c r="AA14" s="1"/>
    </row>
    <row r="15" customFormat="false" ht="15" hidden="false" customHeight="true" outlineLevel="0" collapsed="false">
      <c r="A15" s="61" t="s">
        <v>1082</v>
      </c>
      <c r="B15" s="62" t="str">
        <f aca="false">IF(ISBLANK(Paramètres!G22),"",Paramètres!G22)</f>
        <v/>
      </c>
      <c r="C15" s="62" t="str">
        <f aca="false">IF(ISBLANK(Paramètres!G23),"",Paramètres!G23)</f>
        <v/>
      </c>
      <c r="D15" s="62" t="str">
        <f aca="false">IF(ISBLANK(Paramètres!G24),"",Paramètres!G24)</f>
        <v/>
      </c>
      <c r="E15" s="62" t="str">
        <f aca="false">IF(ISBLANK(Paramètres!G25),"",Paramètres!G25)</f>
        <v/>
      </c>
      <c r="F15" s="62" t="str">
        <f aca="false">IF(ISBLANK(Paramètres!G26),"",Paramètres!G26)</f>
        <v/>
      </c>
      <c r="G15" s="62" t="str">
        <f aca="false">IF(ISBLANK(Paramètres!G27),"",Paramètres!G27)</f>
        <v/>
      </c>
      <c r="H15" s="62" t="n">
        <f aca="false">IF(ISBLANK(Paramètres!G28),"",Paramètres!G28)</f>
        <v>0.4</v>
      </c>
      <c r="I15" s="62" t="n">
        <f aca="false">IF(ISBLANK(Paramètres!G29),"",Paramètres!G29)</f>
        <v>0.3</v>
      </c>
      <c r="J15" s="62" t="n">
        <f aca="false">IF(ISBLANK(Paramètres!G30),"",Paramètres!G30)</f>
        <v>1</v>
      </c>
      <c r="K15" s="62" t="str">
        <f aca="false">IF(ISBLANK(Paramètres!G31),"",Paramètres!G31)</f>
        <v/>
      </c>
      <c r="L15" s="62" t="n">
        <f aca="false">IF(ISBLANK(Paramètres!G32),"",Paramètres!G32)</f>
        <v>0.35</v>
      </c>
      <c r="M15" s="62" t="n">
        <f aca="false">IF(ISBLANK(Paramètres!G33),"",Paramètres!G33)</f>
        <v>0.3</v>
      </c>
      <c r="N15" s="62" t="n">
        <f aca="false">IF(ISBLANK(Paramètres!G34),"",Paramètres!G34)</f>
        <v>0.4</v>
      </c>
      <c r="O15" s="62" t="n">
        <f aca="false">IF(ISBLANK(Paramètres!G35),"",Paramètres!G35)</f>
        <v>0.3</v>
      </c>
      <c r="P15" s="1"/>
      <c r="Q15" s="1"/>
      <c r="R15" s="1"/>
      <c r="S15" s="1"/>
      <c r="T15" s="1"/>
      <c r="U15" s="1"/>
      <c r="V15" s="1"/>
      <c r="W15" s="1"/>
      <c r="X15" s="1"/>
      <c r="Y15" s="1"/>
      <c r="Z15" s="1"/>
      <c r="AA15" s="1"/>
    </row>
    <row r="16" customFormat="false" ht="15" hidden="false" customHeight="true" outlineLevel="0" collapsed="false">
      <c r="P16" s="1"/>
      <c r="Q16" s="1"/>
      <c r="R16" s="1"/>
      <c r="S16" s="1"/>
      <c r="T16" s="1"/>
      <c r="U16" s="1"/>
      <c r="V16" s="1"/>
      <c r="W16" s="1"/>
      <c r="X16" s="1"/>
      <c r="Y16" s="1"/>
      <c r="Z16" s="1"/>
      <c r="AA16" s="1"/>
    </row>
    <row r="17" customFormat="false" ht="15" hidden="false" customHeight="true" outlineLevel="0" collapsed="false">
      <c r="P17" s="1"/>
      <c r="Q17" s="1"/>
      <c r="R17" s="1"/>
      <c r="S17" s="1"/>
      <c r="T17" s="1"/>
      <c r="U17" s="1"/>
      <c r="V17" s="1"/>
      <c r="W17" s="1"/>
      <c r="X17" s="1"/>
      <c r="Y17" s="1"/>
      <c r="Z17" s="1"/>
      <c r="AA17" s="1"/>
    </row>
    <row r="18" customFormat="false" ht="15" hidden="false" customHeight="true" outlineLevel="0" collapsed="false">
      <c r="P18" s="1"/>
      <c r="Q18" s="1"/>
      <c r="R18" s="1"/>
      <c r="S18" s="1"/>
      <c r="T18" s="1"/>
      <c r="U18" s="1"/>
      <c r="V18" s="1"/>
      <c r="W18" s="1"/>
      <c r="X18" s="1"/>
      <c r="Y18" s="1"/>
      <c r="Z18" s="1"/>
      <c r="AA18" s="1"/>
    </row>
    <row r="19" customFormat="false" ht="15" hidden="false" customHeight="true" outlineLevel="0" collapsed="false">
      <c r="P19" s="1"/>
      <c r="Q19" s="1"/>
      <c r="R19" s="1"/>
      <c r="S19" s="1"/>
      <c r="T19" s="1"/>
      <c r="U19" s="1"/>
      <c r="V19" s="1"/>
      <c r="W19" s="1"/>
      <c r="X19" s="1"/>
      <c r="Y19" s="1"/>
      <c r="Z19" s="1"/>
      <c r="AA19" s="1"/>
    </row>
    <row r="20" customFormat="false" ht="15" hidden="false" customHeight="true" outlineLevel="0" collapsed="false">
      <c r="P20" s="1"/>
      <c r="Q20" s="1"/>
      <c r="R20" s="1"/>
      <c r="S20" s="1"/>
      <c r="T20" s="1"/>
      <c r="U20" s="1"/>
      <c r="V20" s="1"/>
      <c r="W20" s="1"/>
      <c r="X20" s="1"/>
      <c r="Y20" s="1"/>
      <c r="Z20" s="1"/>
      <c r="AA20" s="1"/>
    </row>
    <row r="21" customFormat="false" ht="15.75" hidden="false" customHeight="true" outlineLevel="0" collapsed="false">
      <c r="P21" s="1"/>
      <c r="Q21" s="1"/>
      <c r="R21" s="1"/>
      <c r="S21" s="1"/>
      <c r="T21" s="1"/>
      <c r="U21" s="1"/>
      <c r="V21" s="1"/>
      <c r="W21" s="1"/>
      <c r="X21" s="1"/>
      <c r="Y21" s="1"/>
      <c r="Z21" s="1"/>
      <c r="AA21" s="1"/>
    </row>
    <row r="22" customFormat="false" ht="15.75" hidden="false" customHeight="true" outlineLevel="0" collapsed="false">
      <c r="P22" s="1"/>
      <c r="Q22" s="1"/>
      <c r="R22" s="1"/>
      <c r="S22" s="1"/>
      <c r="T22" s="1"/>
      <c r="U22" s="1"/>
      <c r="V22" s="1"/>
      <c r="W22" s="1"/>
      <c r="X22" s="1"/>
      <c r="Y22" s="1"/>
      <c r="Z22" s="1"/>
      <c r="AA22" s="1"/>
    </row>
    <row r="23" customFormat="false" ht="15.75" hidden="false" customHeight="true" outlineLevel="0" collapsed="false">
      <c r="P23" s="1"/>
      <c r="Q23" s="1"/>
      <c r="R23" s="1"/>
      <c r="S23" s="1"/>
      <c r="T23" s="1"/>
      <c r="U23" s="1"/>
      <c r="V23" s="1"/>
      <c r="W23" s="1"/>
      <c r="X23" s="1"/>
      <c r="Y23" s="1"/>
      <c r="Z23" s="1"/>
      <c r="AA23" s="1"/>
    </row>
    <row r="24" customFormat="false" ht="15.75" hidden="false" customHeight="true" outlineLevel="0" collapsed="false">
      <c r="P24" s="1"/>
      <c r="Q24" s="1"/>
      <c r="R24" s="1"/>
      <c r="S24" s="1"/>
      <c r="T24" s="1"/>
      <c r="U24" s="1"/>
      <c r="V24" s="1"/>
      <c r="W24" s="1"/>
      <c r="X24" s="1"/>
      <c r="Y24" s="1"/>
      <c r="Z24" s="1"/>
      <c r="AA24" s="1"/>
    </row>
    <row r="25" customFormat="false" ht="15.75" hidden="false" customHeight="true" outlineLevel="0" collapsed="false">
      <c r="P25" s="1"/>
      <c r="Q25" s="1"/>
      <c r="R25" s="1"/>
      <c r="S25" s="1"/>
      <c r="T25" s="1"/>
      <c r="U25" s="1"/>
      <c r="V25" s="1"/>
      <c r="W25" s="1"/>
      <c r="X25" s="1"/>
      <c r="Y25" s="1"/>
      <c r="Z25" s="1"/>
      <c r="AA25" s="1"/>
    </row>
    <row r="26" customFormat="false" ht="15.75" hidden="false" customHeight="true" outlineLevel="0" collapsed="false">
      <c r="P26" s="1"/>
      <c r="Q26" s="1"/>
      <c r="R26" s="1"/>
      <c r="S26" s="1"/>
      <c r="T26" s="1"/>
      <c r="U26" s="1"/>
      <c r="V26" s="1"/>
      <c r="W26" s="1"/>
      <c r="X26" s="1"/>
      <c r="Y26" s="1"/>
      <c r="Z26" s="1"/>
      <c r="AA26" s="1"/>
    </row>
    <row r="27" customFormat="false" ht="15.75" hidden="false" customHeight="true" outlineLevel="0" collapsed="false">
      <c r="P27" s="1"/>
      <c r="Q27" s="1"/>
      <c r="R27" s="1"/>
      <c r="S27" s="1"/>
      <c r="T27" s="1"/>
      <c r="U27" s="1"/>
      <c r="V27" s="1"/>
      <c r="W27" s="1"/>
      <c r="X27" s="1"/>
      <c r="Y27" s="1"/>
      <c r="Z27" s="1"/>
      <c r="AA27" s="1"/>
    </row>
    <row r="28" customFormat="false" ht="15.75" hidden="false" customHeight="true" outlineLevel="0" collapsed="false">
      <c r="P28" s="1"/>
      <c r="Q28" s="1"/>
      <c r="R28" s="1"/>
      <c r="S28" s="1"/>
      <c r="T28" s="1"/>
      <c r="U28" s="1"/>
      <c r="V28" s="1"/>
      <c r="W28" s="1"/>
      <c r="X28" s="1"/>
      <c r="Y28" s="1"/>
      <c r="Z28" s="1"/>
      <c r="AA28" s="1"/>
    </row>
    <row r="29" customFormat="false" ht="15.75" hidden="false" customHeight="true" outlineLevel="0" collapsed="false">
      <c r="P29" s="1"/>
      <c r="Q29" s="1"/>
      <c r="R29" s="1"/>
      <c r="S29" s="1"/>
      <c r="T29" s="1"/>
      <c r="U29" s="1"/>
      <c r="V29" s="1"/>
      <c r="W29" s="1"/>
      <c r="X29" s="1"/>
      <c r="Y29" s="1"/>
      <c r="Z29" s="1"/>
      <c r="AA29" s="1"/>
    </row>
    <row r="30" customFormat="false" ht="15.75" hidden="false" customHeight="true" outlineLevel="0" collapsed="false">
      <c r="P30" s="1"/>
      <c r="Q30" s="1"/>
      <c r="R30" s="1"/>
      <c r="S30" s="1"/>
      <c r="T30" s="1"/>
      <c r="U30" s="1"/>
      <c r="V30" s="1"/>
      <c r="W30" s="1"/>
      <c r="X30" s="1"/>
      <c r="Y30" s="1"/>
      <c r="Z30" s="1"/>
      <c r="AA30" s="1"/>
    </row>
    <row r="31" customFormat="false" ht="15.75" hidden="false" customHeight="true" outlineLevel="0" collapsed="false">
      <c r="P31" s="1"/>
      <c r="Q31" s="1"/>
      <c r="R31" s="1"/>
      <c r="S31" s="1"/>
      <c r="T31" s="1"/>
      <c r="U31" s="1"/>
      <c r="V31" s="1"/>
      <c r="W31" s="1"/>
      <c r="X31" s="1"/>
      <c r="Y31" s="1"/>
      <c r="Z31" s="1"/>
      <c r="AA31" s="1"/>
    </row>
    <row r="32" customFormat="false" ht="15.75" hidden="false" customHeight="true" outlineLevel="0" collapsed="false">
      <c r="P32" s="1"/>
      <c r="Q32" s="1"/>
      <c r="R32" s="1"/>
      <c r="S32" s="1"/>
      <c r="T32" s="1"/>
      <c r="U32" s="1"/>
      <c r="V32" s="1"/>
      <c r="W32" s="1"/>
      <c r="X32" s="1"/>
      <c r="Y32" s="1"/>
      <c r="Z32" s="1"/>
      <c r="AA32" s="1"/>
    </row>
    <row r="33" customFormat="false" ht="15.75" hidden="false" customHeight="true" outlineLevel="0" collapsed="false">
      <c r="P33" s="1"/>
      <c r="Q33" s="1"/>
      <c r="R33" s="1"/>
      <c r="S33" s="1"/>
      <c r="T33" s="1"/>
      <c r="U33" s="1"/>
      <c r="V33" s="1"/>
      <c r="W33" s="1"/>
      <c r="X33" s="1"/>
      <c r="Y33" s="1"/>
      <c r="Z33" s="1"/>
      <c r="AA33" s="1"/>
    </row>
    <row r="34" customFormat="false" ht="15.75" hidden="false" customHeight="true" outlineLevel="0" collapsed="false">
      <c r="P34" s="1"/>
      <c r="Q34" s="1"/>
      <c r="R34" s="1"/>
      <c r="S34" s="1"/>
      <c r="T34" s="1"/>
      <c r="U34" s="1"/>
      <c r="V34" s="1"/>
      <c r="W34" s="1"/>
      <c r="X34" s="1"/>
      <c r="Y34" s="1"/>
      <c r="Z34" s="1"/>
      <c r="AA34" s="1"/>
    </row>
    <row r="35" customFormat="false" ht="15.75" hidden="false" customHeight="true" outlineLevel="0" collapsed="false">
      <c r="P35" s="1"/>
      <c r="Q35" s="1"/>
      <c r="R35" s="1"/>
      <c r="S35" s="1"/>
      <c r="T35" s="1"/>
      <c r="U35" s="1"/>
      <c r="V35" s="1"/>
      <c r="W35" s="1"/>
      <c r="X35" s="1"/>
      <c r="Y35" s="1"/>
      <c r="Z35" s="1"/>
      <c r="AA35" s="1"/>
    </row>
    <row r="36" customFormat="false" ht="15.75" hidden="false" customHeight="true" outlineLevel="0" collapsed="false">
      <c r="P36" s="1"/>
      <c r="Q36" s="1"/>
      <c r="R36" s="1"/>
      <c r="S36" s="1"/>
      <c r="T36" s="1"/>
      <c r="U36" s="1"/>
      <c r="V36" s="1"/>
      <c r="W36" s="1"/>
      <c r="X36" s="1"/>
      <c r="Y36" s="1"/>
      <c r="Z36" s="1"/>
      <c r="AA36" s="1"/>
    </row>
    <row r="37" customFormat="false" ht="15.75" hidden="false" customHeight="true" outlineLevel="0" collapsed="false">
      <c r="P37" s="1"/>
      <c r="Q37" s="1"/>
      <c r="R37" s="1"/>
      <c r="S37" s="1"/>
      <c r="T37" s="1"/>
      <c r="U37" s="1"/>
      <c r="V37" s="1"/>
      <c r="W37" s="1"/>
      <c r="X37" s="1"/>
      <c r="Y37" s="1"/>
      <c r="Z37" s="1"/>
      <c r="AA37" s="1"/>
    </row>
    <row r="38" customFormat="false" ht="15.75" hidden="false" customHeight="true" outlineLevel="0" collapsed="false">
      <c r="P38" s="1"/>
      <c r="Q38" s="1"/>
      <c r="R38" s="1"/>
      <c r="S38" s="1"/>
      <c r="T38" s="1"/>
      <c r="U38" s="1"/>
      <c r="V38" s="1"/>
      <c r="W38" s="1"/>
      <c r="X38" s="1"/>
      <c r="Y38" s="1"/>
      <c r="Z38" s="1"/>
      <c r="AA38" s="1"/>
    </row>
    <row r="39" customFormat="false" ht="15.75" hidden="false" customHeight="true" outlineLevel="0" collapsed="false">
      <c r="P39" s="1"/>
      <c r="Q39" s="1"/>
      <c r="R39" s="1"/>
      <c r="S39" s="1"/>
      <c r="T39" s="1"/>
      <c r="U39" s="1"/>
      <c r="V39" s="1"/>
      <c r="W39" s="1"/>
      <c r="X39" s="1"/>
      <c r="Y39" s="1"/>
      <c r="Z39" s="1"/>
      <c r="AA39" s="1"/>
    </row>
    <row r="40" customFormat="false" ht="15.75" hidden="false" customHeight="true" outlineLevel="0" collapsed="false">
      <c r="P40" s="1"/>
      <c r="Q40" s="1"/>
      <c r="R40" s="1"/>
      <c r="S40" s="1"/>
      <c r="T40" s="1"/>
      <c r="U40" s="1"/>
      <c r="V40" s="1"/>
      <c r="W40" s="1"/>
      <c r="X40" s="1"/>
      <c r="Y40" s="1"/>
      <c r="Z40" s="1"/>
      <c r="AA40" s="1"/>
    </row>
    <row r="41" customFormat="false" ht="15.75" hidden="false" customHeight="true" outlineLevel="0" collapsed="false">
      <c r="P41" s="1"/>
      <c r="Q41" s="1"/>
      <c r="R41" s="1"/>
      <c r="S41" s="1"/>
      <c r="T41" s="1"/>
      <c r="U41" s="1"/>
      <c r="V41" s="1"/>
      <c r="W41" s="1"/>
      <c r="X41" s="1"/>
      <c r="Y41" s="1"/>
      <c r="Z41" s="1"/>
      <c r="AA41" s="1"/>
    </row>
    <row r="42" customFormat="false" ht="15.75" hidden="false" customHeight="true" outlineLevel="0" collapsed="false">
      <c r="P42" s="1"/>
      <c r="Q42" s="1"/>
      <c r="R42" s="1"/>
      <c r="S42" s="1"/>
      <c r="T42" s="1"/>
      <c r="U42" s="1"/>
      <c r="V42" s="1"/>
      <c r="W42" s="1"/>
      <c r="X42" s="1"/>
      <c r="Y42" s="1"/>
      <c r="Z42" s="1"/>
      <c r="AA42" s="1"/>
    </row>
    <row r="43" customFormat="false" ht="15.75" hidden="false" customHeight="true" outlineLevel="0" collapsed="false">
      <c r="P43" s="1"/>
      <c r="Q43" s="1"/>
      <c r="R43" s="1"/>
      <c r="S43" s="1"/>
      <c r="T43" s="1"/>
      <c r="U43" s="1"/>
      <c r="V43" s="1"/>
      <c r="W43" s="1"/>
      <c r="X43" s="1"/>
      <c r="Y43" s="1"/>
      <c r="Z43" s="1"/>
      <c r="AA43" s="1"/>
    </row>
    <row r="44" customFormat="false" ht="15.75" hidden="false" customHeight="true" outlineLevel="0" collapsed="false">
      <c r="P44" s="1"/>
      <c r="Q44" s="1"/>
      <c r="R44" s="1"/>
      <c r="S44" s="1"/>
      <c r="T44" s="1"/>
      <c r="U44" s="1"/>
      <c r="V44" s="1"/>
      <c r="W44" s="1"/>
      <c r="X44" s="1"/>
      <c r="Y44" s="1"/>
      <c r="Z44" s="1"/>
      <c r="AA44" s="1"/>
    </row>
    <row r="45" customFormat="false" ht="15.75" hidden="false" customHeight="true" outlineLevel="0" collapsed="false">
      <c r="P45" s="1"/>
      <c r="Q45" s="1"/>
      <c r="R45" s="1"/>
      <c r="S45" s="1"/>
      <c r="T45" s="1"/>
      <c r="U45" s="1"/>
      <c r="V45" s="1"/>
      <c r="W45" s="1"/>
      <c r="X45" s="1"/>
      <c r="Y45" s="1"/>
      <c r="Z45" s="1"/>
      <c r="AA45" s="1"/>
    </row>
    <row r="46" customFormat="false" ht="15.75" hidden="false" customHeight="true" outlineLevel="0" collapsed="false">
      <c r="P46" s="1"/>
      <c r="Q46" s="1"/>
      <c r="R46" s="1"/>
      <c r="S46" s="1"/>
      <c r="T46" s="1"/>
      <c r="U46" s="1"/>
      <c r="V46" s="1"/>
      <c r="W46" s="1"/>
      <c r="X46" s="1"/>
      <c r="Y46" s="1"/>
      <c r="Z46" s="1"/>
      <c r="AA46" s="1"/>
    </row>
    <row r="47" customFormat="false" ht="15.75" hidden="false" customHeight="true" outlineLevel="0" collapsed="false">
      <c r="P47" s="1"/>
      <c r="Q47" s="1"/>
      <c r="R47" s="1"/>
      <c r="S47" s="1"/>
      <c r="T47" s="1"/>
      <c r="U47" s="1"/>
      <c r="V47" s="1"/>
      <c r="W47" s="1"/>
      <c r="X47" s="1"/>
      <c r="Y47" s="1"/>
      <c r="Z47" s="1"/>
      <c r="AA47" s="1"/>
    </row>
    <row r="48" customFormat="false" ht="15.75" hidden="false" customHeight="true" outlineLevel="0" collapsed="false">
      <c r="P48" s="1"/>
      <c r="Q48" s="1"/>
      <c r="R48" s="1"/>
      <c r="S48" s="1"/>
      <c r="T48" s="1"/>
      <c r="U48" s="1"/>
      <c r="V48" s="1"/>
      <c r="W48" s="1"/>
      <c r="X48" s="1"/>
      <c r="Y48" s="1"/>
      <c r="Z48" s="1"/>
      <c r="AA48" s="1"/>
    </row>
    <row r="49" customFormat="false" ht="15.75" hidden="false" customHeight="true" outlineLevel="0" collapsed="false">
      <c r="P49" s="1"/>
      <c r="Q49" s="1"/>
      <c r="R49" s="1"/>
      <c r="S49" s="1"/>
      <c r="T49" s="1"/>
      <c r="U49" s="1"/>
      <c r="V49" s="1"/>
      <c r="W49" s="1"/>
      <c r="X49" s="1"/>
      <c r="Y49" s="1"/>
      <c r="Z49" s="1"/>
      <c r="AA49" s="1"/>
    </row>
    <row r="50" customFormat="false" ht="15.75" hidden="false" customHeight="true" outlineLevel="0" collapsed="false">
      <c r="P50" s="1"/>
      <c r="Q50" s="1"/>
      <c r="R50" s="1"/>
      <c r="S50" s="1"/>
      <c r="T50" s="1"/>
      <c r="U50" s="1"/>
      <c r="V50" s="1"/>
      <c r="W50" s="1"/>
      <c r="X50" s="1"/>
      <c r="Y50" s="1"/>
      <c r="Z50" s="1"/>
      <c r="AA50" s="1"/>
    </row>
    <row r="51" customFormat="false" ht="15.75" hidden="false" customHeight="true" outlineLevel="0" collapsed="false">
      <c r="P51" s="1"/>
      <c r="Q51" s="1"/>
      <c r="R51" s="1"/>
      <c r="S51" s="1"/>
      <c r="T51" s="1"/>
      <c r="U51" s="1"/>
      <c r="V51" s="1"/>
      <c r="W51" s="1"/>
      <c r="X51" s="1"/>
      <c r="Y51" s="1"/>
      <c r="Z51" s="1"/>
      <c r="AA51" s="1"/>
    </row>
    <row r="52" customFormat="false" ht="15.75" hidden="false" customHeight="true" outlineLevel="0" collapsed="false">
      <c r="P52" s="1"/>
      <c r="Q52" s="1"/>
      <c r="R52" s="1"/>
      <c r="S52" s="1"/>
      <c r="T52" s="1"/>
      <c r="U52" s="1"/>
      <c r="V52" s="1"/>
      <c r="W52" s="1"/>
      <c r="X52" s="1"/>
      <c r="Y52" s="1"/>
      <c r="Z52" s="1"/>
      <c r="AA52" s="1"/>
    </row>
    <row r="53" customFormat="false" ht="15.75" hidden="false" customHeight="true" outlineLevel="0" collapsed="false">
      <c r="P53" s="1"/>
      <c r="Q53" s="1"/>
      <c r="R53" s="1"/>
      <c r="S53" s="1"/>
      <c r="T53" s="1"/>
      <c r="U53" s="1"/>
      <c r="V53" s="1"/>
      <c r="W53" s="1"/>
      <c r="X53" s="1"/>
      <c r="Y53" s="1"/>
      <c r="Z53" s="1"/>
      <c r="AA53" s="1"/>
    </row>
    <row r="54" customFormat="false" ht="15.75" hidden="false" customHeight="true" outlineLevel="0" collapsed="false">
      <c r="P54" s="1"/>
      <c r="Q54" s="1"/>
      <c r="R54" s="1"/>
      <c r="S54" s="1"/>
      <c r="T54" s="1"/>
      <c r="U54" s="1"/>
      <c r="V54" s="1"/>
      <c r="W54" s="1"/>
      <c r="X54" s="1"/>
      <c r="Y54" s="1"/>
      <c r="Z54" s="1"/>
      <c r="AA54" s="1"/>
    </row>
    <row r="55" customFormat="false" ht="15.75" hidden="false" customHeight="true" outlineLevel="0" collapsed="false">
      <c r="P55" s="1"/>
      <c r="Q55" s="1"/>
      <c r="R55" s="1"/>
      <c r="S55" s="1"/>
      <c r="T55" s="1"/>
      <c r="U55" s="1"/>
      <c r="V55" s="1"/>
      <c r="W55" s="1"/>
      <c r="X55" s="1"/>
      <c r="Y55" s="1"/>
      <c r="Z55" s="1"/>
      <c r="AA55" s="1"/>
    </row>
    <row r="56" customFormat="false" ht="15.75" hidden="false" customHeight="true" outlineLevel="0" collapsed="false">
      <c r="P56" s="1"/>
      <c r="Q56" s="1"/>
      <c r="R56" s="1"/>
      <c r="S56" s="1"/>
      <c r="T56" s="1"/>
      <c r="U56" s="1"/>
      <c r="V56" s="1"/>
      <c r="W56" s="1"/>
      <c r="X56" s="1"/>
      <c r="Y56" s="1"/>
      <c r="Z56" s="1"/>
      <c r="AA56" s="1"/>
    </row>
    <row r="57" customFormat="false" ht="15.75" hidden="false" customHeight="true" outlineLevel="0" collapsed="false">
      <c r="P57" s="1"/>
      <c r="Q57" s="1"/>
      <c r="R57" s="1"/>
      <c r="S57" s="1"/>
      <c r="T57" s="1"/>
      <c r="U57" s="1"/>
      <c r="V57" s="1"/>
      <c r="W57" s="1"/>
      <c r="X57" s="1"/>
      <c r="Y57" s="1"/>
      <c r="Z57" s="1"/>
      <c r="AA57" s="1"/>
    </row>
    <row r="58" customFormat="false" ht="15.75" hidden="false" customHeight="true" outlineLevel="0" collapsed="false">
      <c r="P58" s="1"/>
      <c r="Q58" s="1"/>
      <c r="R58" s="1"/>
      <c r="S58" s="1"/>
      <c r="T58" s="1"/>
      <c r="U58" s="1"/>
      <c r="V58" s="1"/>
      <c r="W58" s="1"/>
      <c r="X58" s="1"/>
      <c r="Y58" s="1"/>
      <c r="Z58" s="1"/>
      <c r="AA58" s="1"/>
    </row>
    <row r="59" customFormat="false" ht="15.75" hidden="false" customHeight="true" outlineLevel="0" collapsed="false">
      <c r="P59" s="1"/>
      <c r="Q59" s="1"/>
      <c r="R59" s="1"/>
      <c r="S59" s="1"/>
      <c r="T59" s="1"/>
      <c r="U59" s="1"/>
      <c r="V59" s="1"/>
      <c r="W59" s="1"/>
      <c r="X59" s="1"/>
      <c r="Y59" s="1"/>
      <c r="Z59" s="1"/>
      <c r="AA59" s="1"/>
    </row>
    <row r="60" customFormat="false" ht="15.75" hidden="false" customHeight="true" outlineLevel="0" collapsed="false">
      <c r="P60" s="1"/>
      <c r="Q60" s="1"/>
      <c r="R60" s="1"/>
      <c r="S60" s="1"/>
      <c r="T60" s="1"/>
      <c r="U60" s="1"/>
      <c r="V60" s="1"/>
      <c r="W60" s="1"/>
      <c r="X60" s="1"/>
      <c r="Y60" s="1"/>
      <c r="Z60" s="1"/>
      <c r="AA60" s="1"/>
    </row>
    <row r="61" customFormat="false" ht="15.75" hidden="false" customHeight="true" outlineLevel="0" collapsed="false">
      <c r="P61" s="1"/>
      <c r="Q61" s="1"/>
      <c r="R61" s="1"/>
      <c r="S61" s="1"/>
      <c r="T61" s="1"/>
      <c r="U61" s="1"/>
      <c r="V61" s="1"/>
      <c r="W61" s="1"/>
      <c r="X61" s="1"/>
      <c r="Y61" s="1"/>
      <c r="Z61" s="1"/>
      <c r="AA61" s="1"/>
    </row>
    <row r="62" customFormat="false" ht="15.75" hidden="false" customHeight="true" outlineLevel="0" collapsed="false">
      <c r="P62" s="1"/>
      <c r="Q62" s="1"/>
      <c r="R62" s="1"/>
      <c r="S62" s="1"/>
      <c r="T62" s="1"/>
      <c r="U62" s="1"/>
      <c r="V62" s="1"/>
      <c r="W62" s="1"/>
      <c r="X62" s="1"/>
      <c r="Y62" s="1"/>
      <c r="Z62" s="1"/>
      <c r="AA62" s="1"/>
    </row>
    <row r="63" customFormat="false" ht="15.75" hidden="false" customHeight="true" outlineLevel="0" collapsed="false">
      <c r="P63" s="1"/>
      <c r="Q63" s="1"/>
      <c r="R63" s="1"/>
      <c r="S63" s="1"/>
      <c r="T63" s="1"/>
      <c r="U63" s="1"/>
      <c r="V63" s="1"/>
      <c r="W63" s="1"/>
      <c r="X63" s="1"/>
      <c r="Y63" s="1"/>
      <c r="Z63" s="1"/>
      <c r="AA63" s="1"/>
    </row>
    <row r="64" customFormat="false" ht="15.75" hidden="false" customHeight="true" outlineLevel="0" collapsed="false">
      <c r="P64" s="1"/>
      <c r="Q64" s="1"/>
      <c r="R64" s="1"/>
      <c r="S64" s="1"/>
      <c r="T64" s="1"/>
      <c r="U64" s="1"/>
      <c r="V64" s="1"/>
      <c r="W64" s="1"/>
      <c r="X64" s="1"/>
      <c r="Y64" s="1"/>
      <c r="Z64" s="1"/>
      <c r="AA64" s="1"/>
    </row>
    <row r="65" customFormat="false" ht="15.75" hidden="false" customHeight="true" outlineLevel="0" collapsed="false">
      <c r="P65" s="1"/>
      <c r="Q65" s="1"/>
      <c r="R65" s="1"/>
      <c r="S65" s="1"/>
      <c r="T65" s="1"/>
      <c r="U65" s="1"/>
      <c r="V65" s="1"/>
      <c r="W65" s="1"/>
      <c r="X65" s="1"/>
      <c r="Y65" s="1"/>
      <c r="Z65" s="1"/>
      <c r="AA65" s="1"/>
    </row>
    <row r="66" customFormat="false" ht="15.75" hidden="false" customHeight="true" outlineLevel="0" collapsed="false">
      <c r="P66" s="1"/>
      <c r="Q66" s="1"/>
      <c r="R66" s="1"/>
      <c r="S66" s="1"/>
      <c r="T66" s="1"/>
      <c r="U66" s="1"/>
      <c r="V66" s="1"/>
      <c r="W66" s="1"/>
      <c r="X66" s="1"/>
      <c r="Y66" s="1"/>
      <c r="Z66" s="1"/>
      <c r="AA66" s="1"/>
    </row>
    <row r="67" customFormat="false" ht="15.75" hidden="false" customHeight="true" outlineLevel="0" collapsed="false">
      <c r="P67" s="1"/>
      <c r="Q67" s="1"/>
      <c r="R67" s="1"/>
      <c r="S67" s="1"/>
      <c r="T67" s="1"/>
      <c r="U67" s="1"/>
      <c r="V67" s="1"/>
      <c r="W67" s="1"/>
      <c r="X67" s="1"/>
      <c r="Y67" s="1"/>
      <c r="Z67" s="1"/>
      <c r="AA67" s="1"/>
    </row>
    <row r="68" customFormat="false" ht="15.75" hidden="false" customHeight="true" outlineLevel="0" collapsed="false">
      <c r="P68" s="1"/>
      <c r="Q68" s="1"/>
      <c r="R68" s="1"/>
      <c r="S68" s="1"/>
      <c r="T68" s="1"/>
      <c r="U68" s="1"/>
      <c r="V68" s="1"/>
      <c r="W68" s="1"/>
      <c r="X68" s="1"/>
      <c r="Y68" s="1"/>
      <c r="Z68" s="1"/>
      <c r="AA68" s="1"/>
    </row>
    <row r="69" customFormat="false" ht="15.75" hidden="false" customHeight="true" outlineLevel="0" collapsed="false">
      <c r="P69" s="1"/>
      <c r="Q69" s="1"/>
      <c r="R69" s="1"/>
      <c r="S69" s="1"/>
      <c r="T69" s="1"/>
      <c r="U69" s="1"/>
      <c r="V69" s="1"/>
      <c r="W69" s="1"/>
      <c r="X69" s="1"/>
      <c r="Y69" s="1"/>
      <c r="Z69" s="1"/>
      <c r="AA69" s="1"/>
    </row>
    <row r="70" customFormat="false" ht="15.75" hidden="false" customHeight="true" outlineLevel="0" collapsed="false">
      <c r="P70" s="1"/>
      <c r="Q70" s="1"/>
      <c r="R70" s="1"/>
      <c r="S70" s="1"/>
      <c r="T70" s="1"/>
      <c r="U70" s="1"/>
      <c r="V70" s="1"/>
      <c r="W70" s="1"/>
      <c r="X70" s="1"/>
      <c r="Y70" s="1"/>
      <c r="Z70" s="1"/>
      <c r="AA70" s="1"/>
    </row>
    <row r="71" customFormat="false" ht="15.75" hidden="false" customHeight="true" outlineLevel="0" collapsed="false">
      <c r="P71" s="1"/>
      <c r="Q71" s="1"/>
      <c r="R71" s="1"/>
      <c r="S71" s="1"/>
      <c r="T71" s="1"/>
      <c r="U71" s="1"/>
      <c r="V71" s="1"/>
      <c r="W71" s="1"/>
      <c r="X71" s="1"/>
      <c r="Y71" s="1"/>
      <c r="Z71" s="1"/>
      <c r="AA71" s="1"/>
    </row>
    <row r="72" customFormat="false" ht="15.75" hidden="false" customHeight="true" outlineLevel="0" collapsed="false">
      <c r="P72" s="1"/>
      <c r="Q72" s="1"/>
      <c r="R72" s="1"/>
      <c r="S72" s="1"/>
      <c r="T72" s="1"/>
      <c r="U72" s="1"/>
      <c r="V72" s="1"/>
      <c r="W72" s="1"/>
      <c r="X72" s="1"/>
      <c r="Y72" s="1"/>
      <c r="Z72" s="1"/>
      <c r="AA72" s="1"/>
    </row>
    <row r="73" customFormat="false" ht="15.75" hidden="false" customHeight="true" outlineLevel="0" collapsed="false">
      <c r="P73" s="1"/>
      <c r="Q73" s="1"/>
      <c r="R73" s="1"/>
      <c r="S73" s="1"/>
      <c r="T73" s="1"/>
      <c r="U73" s="1"/>
      <c r="V73" s="1"/>
      <c r="W73" s="1"/>
      <c r="X73" s="1"/>
      <c r="Y73" s="1"/>
      <c r="Z73" s="1"/>
      <c r="AA73" s="1"/>
    </row>
    <row r="74" customFormat="false" ht="15.75" hidden="false" customHeight="true" outlineLevel="0" collapsed="false">
      <c r="P74" s="1"/>
      <c r="Q74" s="1"/>
      <c r="R74" s="1"/>
      <c r="S74" s="1"/>
      <c r="T74" s="1"/>
      <c r="U74" s="1"/>
      <c r="V74" s="1"/>
      <c r="W74" s="1"/>
      <c r="X74" s="1"/>
      <c r="Y74" s="1"/>
      <c r="Z74" s="1"/>
      <c r="AA74" s="1"/>
    </row>
    <row r="75" customFormat="false" ht="15.75" hidden="false" customHeight="true" outlineLevel="0" collapsed="false">
      <c r="P75" s="1"/>
      <c r="Q75" s="1"/>
      <c r="R75" s="1"/>
      <c r="S75" s="1"/>
      <c r="T75" s="1"/>
      <c r="U75" s="1"/>
      <c r="V75" s="1"/>
      <c r="W75" s="1"/>
      <c r="X75" s="1"/>
      <c r="Y75" s="1"/>
      <c r="Z75" s="1"/>
      <c r="AA75" s="1"/>
    </row>
    <row r="76" customFormat="false" ht="15.75" hidden="false" customHeight="true" outlineLevel="0" collapsed="false">
      <c r="P76" s="1"/>
      <c r="Q76" s="1"/>
      <c r="R76" s="1"/>
      <c r="S76" s="1"/>
      <c r="T76" s="1"/>
      <c r="U76" s="1"/>
      <c r="V76" s="1"/>
      <c r="W76" s="1"/>
      <c r="X76" s="1"/>
      <c r="Y76" s="1"/>
      <c r="Z76" s="1"/>
      <c r="AA76" s="1"/>
    </row>
    <row r="77" customFormat="false" ht="15.75" hidden="false" customHeight="true" outlineLevel="0" collapsed="false">
      <c r="P77" s="1"/>
      <c r="Q77" s="1"/>
      <c r="R77" s="1"/>
      <c r="S77" s="1"/>
      <c r="T77" s="1"/>
      <c r="U77" s="1"/>
      <c r="V77" s="1"/>
      <c r="W77" s="1"/>
      <c r="X77" s="1"/>
      <c r="Y77" s="1"/>
      <c r="Z77" s="1"/>
      <c r="AA77" s="1"/>
    </row>
    <row r="78" customFormat="false" ht="15.75" hidden="false" customHeight="true" outlineLevel="0" collapsed="false">
      <c r="P78" s="1"/>
      <c r="Q78" s="1"/>
      <c r="R78" s="1"/>
      <c r="S78" s="1"/>
      <c r="T78" s="1"/>
      <c r="U78" s="1"/>
      <c r="V78" s="1"/>
      <c r="W78" s="1"/>
      <c r="X78" s="1"/>
      <c r="Y78" s="1"/>
      <c r="Z78" s="1"/>
      <c r="AA78" s="1"/>
    </row>
    <row r="79" customFormat="false" ht="15.75" hidden="false" customHeight="true" outlineLevel="0" collapsed="false">
      <c r="P79" s="1"/>
      <c r="Q79" s="1"/>
      <c r="R79" s="1"/>
      <c r="S79" s="1"/>
      <c r="T79" s="1"/>
      <c r="U79" s="1"/>
      <c r="V79" s="1"/>
      <c r="W79" s="1"/>
      <c r="X79" s="1"/>
      <c r="Y79" s="1"/>
      <c r="Z79" s="1"/>
      <c r="AA79" s="1"/>
    </row>
    <row r="80" customFormat="false" ht="15.75" hidden="false" customHeight="true" outlineLevel="0" collapsed="false">
      <c r="P80" s="1"/>
      <c r="Q80" s="1"/>
      <c r="R80" s="1"/>
      <c r="S80" s="1"/>
      <c r="T80" s="1"/>
      <c r="U80" s="1"/>
      <c r="V80" s="1"/>
      <c r="W80" s="1"/>
      <c r="X80" s="1"/>
      <c r="Y80" s="1"/>
      <c r="Z80" s="1"/>
      <c r="AA80" s="1"/>
    </row>
    <row r="81" customFormat="false" ht="15.75" hidden="false" customHeight="true" outlineLevel="0" collapsed="false">
      <c r="P81" s="1"/>
      <c r="Q81" s="1"/>
      <c r="R81" s="1"/>
      <c r="S81" s="1"/>
      <c r="T81" s="1"/>
      <c r="U81" s="1"/>
      <c r="V81" s="1"/>
      <c r="W81" s="1"/>
      <c r="X81" s="1"/>
      <c r="Y81" s="1"/>
      <c r="Z81" s="1"/>
      <c r="AA81" s="1"/>
    </row>
    <row r="82" customFormat="false" ht="15.75" hidden="false" customHeight="true" outlineLevel="0" collapsed="false">
      <c r="P82" s="1"/>
      <c r="Q82" s="1"/>
      <c r="R82" s="1"/>
      <c r="S82" s="1"/>
      <c r="T82" s="1"/>
      <c r="U82" s="1"/>
      <c r="V82" s="1"/>
      <c r="W82" s="1"/>
      <c r="X82" s="1"/>
      <c r="Y82" s="1"/>
      <c r="Z82" s="1"/>
      <c r="AA82" s="1"/>
    </row>
    <row r="83" customFormat="false" ht="15.75" hidden="false" customHeight="true" outlineLevel="0" collapsed="false">
      <c r="P83" s="1"/>
      <c r="Q83" s="1"/>
      <c r="R83" s="1"/>
      <c r="S83" s="1"/>
      <c r="T83" s="1"/>
      <c r="U83" s="1"/>
      <c r="V83" s="1"/>
      <c r="W83" s="1"/>
      <c r="X83" s="1"/>
      <c r="Y83" s="1"/>
      <c r="Z83" s="1"/>
      <c r="AA83" s="1"/>
    </row>
    <row r="84" customFormat="false" ht="15.75" hidden="false" customHeight="true" outlineLevel="0" collapsed="false">
      <c r="P84" s="1"/>
      <c r="Q84" s="1"/>
      <c r="R84" s="1"/>
      <c r="S84" s="1"/>
      <c r="T84" s="1"/>
      <c r="U84" s="1"/>
      <c r="V84" s="1"/>
      <c r="W84" s="1"/>
      <c r="X84" s="1"/>
      <c r="Y84" s="1"/>
      <c r="Z84" s="1"/>
      <c r="AA84" s="1"/>
    </row>
    <row r="85" customFormat="false" ht="15.75" hidden="false" customHeight="true" outlineLevel="0" collapsed="false">
      <c r="P85" s="1"/>
      <c r="Q85" s="1"/>
      <c r="R85" s="1"/>
      <c r="S85" s="1"/>
      <c r="T85" s="1"/>
      <c r="U85" s="1"/>
      <c r="V85" s="1"/>
      <c r="W85" s="1"/>
      <c r="X85" s="1"/>
      <c r="Y85" s="1"/>
      <c r="Z85" s="1"/>
      <c r="AA85" s="1"/>
    </row>
    <row r="86" customFormat="false" ht="15.75" hidden="false" customHeight="true" outlineLevel="0" collapsed="false">
      <c r="P86" s="1"/>
      <c r="Q86" s="1"/>
      <c r="R86" s="1"/>
      <c r="S86" s="1"/>
      <c r="T86" s="1"/>
      <c r="U86" s="1"/>
      <c r="V86" s="1"/>
      <c r="W86" s="1"/>
      <c r="X86" s="1"/>
      <c r="Y86" s="1"/>
      <c r="Z86" s="1"/>
      <c r="AA86" s="1"/>
    </row>
    <row r="87" customFormat="false" ht="15.75" hidden="false" customHeight="true" outlineLevel="0" collapsed="false">
      <c r="P87" s="1"/>
      <c r="Q87" s="1"/>
      <c r="R87" s="1"/>
      <c r="S87" s="1"/>
      <c r="T87" s="1"/>
      <c r="U87" s="1"/>
      <c r="V87" s="1"/>
      <c r="W87" s="1"/>
      <c r="X87" s="1"/>
      <c r="Y87" s="1"/>
      <c r="Z87" s="1"/>
      <c r="AA87" s="1"/>
    </row>
    <row r="88" customFormat="false" ht="15.75" hidden="false" customHeight="true" outlineLevel="0" collapsed="false">
      <c r="P88" s="1"/>
      <c r="Q88" s="1"/>
      <c r="R88" s="1"/>
      <c r="S88" s="1"/>
      <c r="T88" s="1"/>
      <c r="U88" s="1"/>
      <c r="V88" s="1"/>
      <c r="W88" s="1"/>
      <c r="X88" s="1"/>
      <c r="Y88" s="1"/>
      <c r="Z88" s="1"/>
      <c r="AA88" s="1"/>
    </row>
    <row r="89" customFormat="false" ht="15.75" hidden="false" customHeight="true" outlineLevel="0" collapsed="false">
      <c r="P89" s="1"/>
      <c r="Q89" s="1"/>
      <c r="R89" s="1"/>
      <c r="S89" s="1"/>
      <c r="T89" s="1"/>
      <c r="U89" s="1"/>
      <c r="V89" s="1"/>
      <c r="W89" s="1"/>
      <c r="X89" s="1"/>
      <c r="Y89" s="1"/>
      <c r="Z89" s="1"/>
      <c r="AA89" s="1"/>
    </row>
    <row r="90" customFormat="false" ht="15.75" hidden="false" customHeight="true" outlineLevel="0" collapsed="false">
      <c r="P90" s="1"/>
      <c r="Q90" s="1"/>
      <c r="R90" s="1"/>
      <c r="S90" s="1"/>
      <c r="T90" s="1"/>
      <c r="U90" s="1"/>
      <c r="V90" s="1"/>
      <c r="W90" s="1"/>
      <c r="X90" s="1"/>
      <c r="Y90" s="1"/>
      <c r="Z90" s="1"/>
      <c r="AA90" s="1"/>
    </row>
    <row r="91" customFormat="false" ht="15.75" hidden="false" customHeight="true" outlineLevel="0" collapsed="false">
      <c r="P91" s="1"/>
      <c r="Q91" s="1"/>
      <c r="R91" s="1"/>
      <c r="S91" s="1"/>
      <c r="T91" s="1"/>
      <c r="U91" s="1"/>
      <c r="V91" s="1"/>
      <c r="W91" s="1"/>
      <c r="X91" s="1"/>
      <c r="Y91" s="1"/>
      <c r="Z91" s="1"/>
      <c r="AA91" s="1"/>
    </row>
    <row r="92" customFormat="false" ht="15.75" hidden="false" customHeight="true" outlineLevel="0" collapsed="false">
      <c r="P92" s="1"/>
      <c r="Q92" s="1"/>
      <c r="R92" s="1"/>
      <c r="S92" s="1"/>
      <c r="T92" s="1"/>
      <c r="U92" s="1"/>
      <c r="V92" s="1"/>
      <c r="W92" s="1"/>
      <c r="X92" s="1"/>
      <c r="Y92" s="1"/>
      <c r="Z92" s="1"/>
      <c r="AA92" s="1"/>
    </row>
    <row r="93" customFormat="false" ht="15.75" hidden="false" customHeight="true" outlineLevel="0" collapsed="false">
      <c r="P93" s="1"/>
      <c r="Q93" s="1"/>
      <c r="R93" s="1"/>
      <c r="S93" s="1"/>
      <c r="T93" s="1"/>
      <c r="U93" s="1"/>
      <c r="V93" s="1"/>
      <c r="W93" s="1"/>
      <c r="X93" s="1"/>
      <c r="Y93" s="1"/>
      <c r="Z93" s="1"/>
      <c r="AA93" s="1"/>
    </row>
    <row r="94" customFormat="false" ht="15.75" hidden="false" customHeight="true" outlineLevel="0" collapsed="false">
      <c r="P94" s="1"/>
      <c r="Q94" s="1"/>
      <c r="R94" s="1"/>
      <c r="S94" s="1"/>
      <c r="T94" s="1"/>
      <c r="U94" s="1"/>
      <c r="V94" s="1"/>
      <c r="W94" s="1"/>
      <c r="X94" s="1"/>
      <c r="Y94" s="1"/>
      <c r="Z94" s="1"/>
      <c r="AA94" s="1"/>
    </row>
    <row r="95" customFormat="false" ht="15.75" hidden="false" customHeight="true" outlineLevel="0" collapsed="false">
      <c r="P95" s="1"/>
      <c r="Q95" s="1"/>
      <c r="R95" s="1"/>
      <c r="S95" s="1"/>
      <c r="T95" s="1"/>
      <c r="U95" s="1"/>
      <c r="V95" s="1"/>
      <c r="W95" s="1"/>
      <c r="X95" s="1"/>
      <c r="Y95" s="1"/>
      <c r="Z95" s="1"/>
      <c r="AA95" s="1"/>
    </row>
    <row r="96" customFormat="false" ht="15.75" hidden="false" customHeight="true" outlineLevel="0" collapsed="false">
      <c r="P96" s="1"/>
      <c r="Q96" s="1"/>
      <c r="R96" s="1"/>
      <c r="S96" s="1"/>
      <c r="T96" s="1"/>
      <c r="U96" s="1"/>
      <c r="V96" s="1"/>
      <c r="W96" s="1"/>
      <c r="X96" s="1"/>
      <c r="Y96" s="1"/>
      <c r="Z96" s="1"/>
      <c r="AA96" s="1"/>
    </row>
    <row r="97" customFormat="false" ht="15.75" hidden="false" customHeight="true" outlineLevel="0" collapsed="false">
      <c r="P97" s="1"/>
      <c r="Q97" s="1"/>
      <c r="R97" s="1"/>
      <c r="S97" s="1"/>
      <c r="T97" s="1"/>
      <c r="U97" s="1"/>
      <c r="V97" s="1"/>
      <c r="W97" s="1"/>
      <c r="X97" s="1"/>
      <c r="Y97" s="1"/>
      <c r="Z97" s="1"/>
      <c r="AA97" s="1"/>
    </row>
    <row r="98" customFormat="false" ht="15.75" hidden="false" customHeight="true" outlineLevel="0" collapsed="false">
      <c r="P98" s="1"/>
      <c r="Q98" s="1"/>
      <c r="R98" s="1"/>
      <c r="S98" s="1"/>
      <c r="T98" s="1"/>
      <c r="U98" s="1"/>
      <c r="V98" s="1"/>
      <c r="W98" s="1"/>
      <c r="X98" s="1"/>
      <c r="Y98" s="1"/>
      <c r="Z98" s="1"/>
      <c r="AA98" s="1"/>
    </row>
    <row r="99" customFormat="false" ht="15.75" hidden="false" customHeight="true" outlineLevel="0" collapsed="false">
      <c r="P99" s="1"/>
      <c r="Q99" s="1"/>
      <c r="R99" s="1"/>
      <c r="S99" s="1"/>
      <c r="T99" s="1"/>
      <c r="U99" s="1"/>
      <c r="V99" s="1"/>
      <c r="W99" s="1"/>
      <c r="X99" s="1"/>
      <c r="Y99" s="1"/>
      <c r="Z99" s="1"/>
      <c r="AA99" s="1"/>
    </row>
    <row r="100" customFormat="false" ht="15.75" hidden="false" customHeight="true" outlineLevel="0" collapsed="false">
      <c r="P100" s="1"/>
      <c r="Q100" s="1"/>
      <c r="R100" s="1"/>
      <c r="S100" s="1"/>
      <c r="T100" s="1"/>
      <c r="U100" s="1"/>
      <c r="V100" s="1"/>
      <c r="W100" s="1"/>
      <c r="X100" s="1"/>
      <c r="Y100" s="1"/>
      <c r="Z100" s="1"/>
      <c r="AA100" s="1"/>
    </row>
    <row r="101" customFormat="false" ht="15.75" hidden="false" customHeight="true" outlineLevel="0" collapsed="false">
      <c r="P101" s="1"/>
      <c r="Q101" s="1"/>
      <c r="R101" s="1"/>
      <c r="S101" s="1"/>
      <c r="T101" s="1"/>
      <c r="U101" s="1"/>
      <c r="V101" s="1"/>
      <c r="W101" s="1"/>
      <c r="X101" s="1"/>
      <c r="Y101" s="1"/>
      <c r="Z101" s="1"/>
      <c r="AA101" s="1"/>
    </row>
    <row r="102" customFormat="false" ht="15.75" hidden="false" customHeight="true" outlineLevel="0" collapsed="false">
      <c r="P102" s="1"/>
      <c r="Q102" s="1"/>
      <c r="R102" s="1"/>
      <c r="S102" s="1"/>
      <c r="T102" s="1"/>
      <c r="U102" s="1"/>
      <c r="V102" s="1"/>
      <c r="W102" s="1"/>
      <c r="X102" s="1"/>
      <c r="Y102" s="1"/>
      <c r="Z102" s="1"/>
      <c r="AA102" s="1"/>
    </row>
    <row r="103" customFormat="false" ht="15.75" hidden="false" customHeight="true" outlineLevel="0" collapsed="false">
      <c r="P103" s="1"/>
      <c r="Q103" s="1"/>
      <c r="R103" s="1"/>
      <c r="S103" s="1"/>
      <c r="T103" s="1"/>
      <c r="U103" s="1"/>
      <c r="V103" s="1"/>
      <c r="W103" s="1"/>
      <c r="X103" s="1"/>
      <c r="Y103" s="1"/>
      <c r="Z103" s="1"/>
      <c r="AA103" s="1"/>
    </row>
    <row r="104" customFormat="false" ht="15.75" hidden="false" customHeight="true" outlineLevel="0" collapsed="false">
      <c r="P104" s="1"/>
      <c r="Q104" s="1"/>
      <c r="R104" s="1"/>
      <c r="S104" s="1"/>
      <c r="T104" s="1"/>
      <c r="U104" s="1"/>
      <c r="V104" s="1"/>
      <c r="W104" s="1"/>
      <c r="X104" s="1"/>
      <c r="Y104" s="1"/>
      <c r="Z104" s="1"/>
      <c r="AA104" s="1"/>
    </row>
    <row r="105" customFormat="false" ht="15.75" hidden="false" customHeight="true" outlineLevel="0" collapsed="false">
      <c r="P105" s="1"/>
      <c r="Q105" s="1"/>
      <c r="R105" s="1"/>
      <c r="S105" s="1"/>
      <c r="T105" s="1"/>
      <c r="U105" s="1"/>
      <c r="V105" s="1"/>
      <c r="W105" s="1"/>
      <c r="X105" s="1"/>
      <c r="Y105" s="1"/>
      <c r="Z105" s="1"/>
      <c r="AA105" s="1"/>
    </row>
    <row r="106" customFormat="false" ht="15.75" hidden="false" customHeight="true" outlineLevel="0" collapsed="false">
      <c r="P106" s="1"/>
      <c r="Q106" s="1"/>
      <c r="R106" s="1"/>
      <c r="S106" s="1"/>
      <c r="T106" s="1"/>
      <c r="U106" s="1"/>
      <c r="V106" s="1"/>
      <c r="W106" s="1"/>
      <c r="X106" s="1"/>
      <c r="Y106" s="1"/>
      <c r="Z106" s="1"/>
      <c r="AA106" s="1"/>
    </row>
    <row r="107" customFormat="false" ht="15.75" hidden="false" customHeight="true" outlineLevel="0" collapsed="false">
      <c r="P107" s="1"/>
      <c r="Q107" s="1"/>
      <c r="R107" s="1"/>
      <c r="S107" s="1"/>
      <c r="T107" s="1"/>
      <c r="U107" s="1"/>
      <c r="V107" s="1"/>
      <c r="W107" s="1"/>
      <c r="X107" s="1"/>
      <c r="Y107" s="1"/>
      <c r="Z107" s="1"/>
      <c r="AA107" s="1"/>
    </row>
    <row r="108" customFormat="false" ht="15.75" hidden="false" customHeight="true" outlineLevel="0" collapsed="false">
      <c r="P108" s="1"/>
      <c r="Q108" s="1"/>
      <c r="R108" s="1"/>
      <c r="S108" s="1"/>
      <c r="T108" s="1"/>
      <c r="U108" s="1"/>
      <c r="V108" s="1"/>
      <c r="W108" s="1"/>
      <c r="X108" s="1"/>
      <c r="Y108" s="1"/>
      <c r="Z108" s="1"/>
      <c r="AA108" s="1"/>
    </row>
    <row r="109" customFormat="false" ht="15.75" hidden="false" customHeight="true" outlineLevel="0" collapsed="false">
      <c r="P109" s="1"/>
      <c r="Q109" s="1"/>
      <c r="R109" s="1"/>
      <c r="S109" s="1"/>
      <c r="T109" s="1"/>
      <c r="U109" s="1"/>
      <c r="V109" s="1"/>
      <c r="W109" s="1"/>
      <c r="X109" s="1"/>
      <c r="Y109" s="1"/>
      <c r="Z109" s="1"/>
      <c r="AA109" s="1"/>
    </row>
    <row r="110" customFormat="false" ht="15.75" hidden="false" customHeight="true" outlineLevel="0" collapsed="false">
      <c r="P110" s="1"/>
      <c r="Q110" s="1"/>
      <c r="R110" s="1"/>
      <c r="S110" s="1"/>
      <c r="T110" s="1"/>
      <c r="U110" s="1"/>
      <c r="V110" s="1"/>
      <c r="W110" s="1"/>
      <c r="X110" s="1"/>
      <c r="Y110" s="1"/>
      <c r="Z110" s="1"/>
      <c r="AA110" s="1"/>
    </row>
    <row r="111" customFormat="false" ht="15.75" hidden="false" customHeight="true" outlineLevel="0" collapsed="false">
      <c r="P111" s="1"/>
      <c r="Q111" s="1"/>
      <c r="R111" s="1"/>
      <c r="S111" s="1"/>
      <c r="T111" s="1"/>
      <c r="U111" s="1"/>
      <c r="V111" s="1"/>
      <c r="W111" s="1"/>
      <c r="X111" s="1"/>
      <c r="Y111" s="1"/>
      <c r="Z111" s="1"/>
      <c r="AA111" s="1"/>
    </row>
    <row r="112" customFormat="false" ht="15.75" hidden="false" customHeight="true" outlineLevel="0" collapsed="false">
      <c r="P112" s="1"/>
      <c r="Q112" s="1"/>
      <c r="R112" s="1"/>
      <c r="S112" s="1"/>
      <c r="T112" s="1"/>
      <c r="U112" s="1"/>
      <c r="V112" s="1"/>
      <c r="W112" s="1"/>
      <c r="X112" s="1"/>
      <c r="Y112" s="1"/>
      <c r="Z112" s="1"/>
      <c r="AA112" s="1"/>
    </row>
    <row r="113" customFormat="false" ht="15.75" hidden="false" customHeight="true" outlineLevel="0" collapsed="false">
      <c r="P113" s="1"/>
      <c r="Q113" s="1"/>
      <c r="R113" s="1"/>
      <c r="S113" s="1"/>
      <c r="T113" s="1"/>
      <c r="U113" s="1"/>
      <c r="V113" s="1"/>
      <c r="W113" s="1"/>
      <c r="X113" s="1"/>
      <c r="Y113" s="1"/>
      <c r="Z113" s="1"/>
      <c r="AA113" s="1"/>
    </row>
    <row r="114" customFormat="false" ht="15.75" hidden="false" customHeight="true" outlineLevel="0" collapsed="false">
      <c r="P114" s="1"/>
      <c r="Q114" s="1"/>
      <c r="R114" s="1"/>
      <c r="S114" s="1"/>
      <c r="T114" s="1"/>
      <c r="U114" s="1"/>
      <c r="V114" s="1"/>
      <c r="W114" s="1"/>
      <c r="X114" s="1"/>
      <c r="Y114" s="1"/>
      <c r="Z114" s="1"/>
      <c r="AA114" s="1"/>
    </row>
    <row r="115" customFormat="false" ht="15.75" hidden="false" customHeight="true" outlineLevel="0" collapsed="false">
      <c r="P115" s="1"/>
      <c r="Q115" s="1"/>
      <c r="R115" s="1"/>
      <c r="S115" s="1"/>
      <c r="T115" s="1"/>
      <c r="U115" s="1"/>
      <c r="V115" s="1"/>
      <c r="W115" s="1"/>
      <c r="X115" s="1"/>
      <c r="Y115" s="1"/>
      <c r="Z115" s="1"/>
      <c r="AA115" s="1"/>
    </row>
    <row r="116" customFormat="false" ht="15.75" hidden="false" customHeight="true" outlineLevel="0" collapsed="false">
      <c r="P116" s="1"/>
      <c r="Q116" s="1"/>
      <c r="R116" s="1"/>
      <c r="S116" s="1"/>
      <c r="T116" s="1"/>
      <c r="U116" s="1"/>
      <c r="V116" s="1"/>
      <c r="W116" s="1"/>
      <c r="X116" s="1"/>
      <c r="Y116" s="1"/>
      <c r="Z116" s="1"/>
      <c r="AA116" s="1"/>
    </row>
    <row r="117" customFormat="false" ht="15.75" hidden="false" customHeight="true" outlineLevel="0" collapsed="false">
      <c r="P117" s="1"/>
      <c r="Q117" s="1"/>
      <c r="R117" s="1"/>
      <c r="S117" s="1"/>
      <c r="T117" s="1"/>
      <c r="U117" s="1"/>
      <c r="V117" s="1"/>
      <c r="W117" s="1"/>
      <c r="X117" s="1"/>
      <c r="Y117" s="1"/>
      <c r="Z117" s="1"/>
      <c r="AA117" s="1"/>
    </row>
    <row r="118" customFormat="false" ht="15.75" hidden="false" customHeight="true" outlineLevel="0" collapsed="false">
      <c r="P118" s="1"/>
      <c r="Q118" s="1"/>
      <c r="R118" s="1"/>
      <c r="S118" s="1"/>
      <c r="T118" s="1"/>
      <c r="U118" s="1"/>
      <c r="V118" s="1"/>
      <c r="W118" s="1"/>
      <c r="X118" s="1"/>
      <c r="Y118" s="1"/>
      <c r="Z118" s="1"/>
      <c r="AA118" s="1"/>
    </row>
    <row r="119" customFormat="false" ht="15.75" hidden="false" customHeight="true" outlineLevel="0" collapsed="false">
      <c r="P119" s="1"/>
      <c r="Q119" s="1"/>
      <c r="R119" s="1"/>
      <c r="S119" s="1"/>
      <c r="T119" s="1"/>
      <c r="U119" s="1"/>
      <c r="V119" s="1"/>
      <c r="W119" s="1"/>
      <c r="X119" s="1"/>
      <c r="Y119" s="1"/>
      <c r="Z119" s="1"/>
      <c r="AA119" s="1"/>
    </row>
    <row r="120" customFormat="false" ht="15.75" hidden="false" customHeight="true" outlineLevel="0" collapsed="false">
      <c r="P120" s="1"/>
      <c r="Q120" s="1"/>
      <c r="R120" s="1"/>
      <c r="S120" s="1"/>
      <c r="T120" s="1"/>
      <c r="U120" s="1"/>
      <c r="V120" s="1"/>
      <c r="W120" s="1"/>
      <c r="X120" s="1"/>
      <c r="Y120" s="1"/>
      <c r="Z120" s="1"/>
      <c r="AA120" s="1"/>
    </row>
    <row r="121" customFormat="false" ht="15.75" hidden="false" customHeight="true" outlineLevel="0" collapsed="false">
      <c r="P121" s="1"/>
      <c r="Q121" s="1"/>
      <c r="R121" s="1"/>
      <c r="S121" s="1"/>
      <c r="T121" s="1"/>
      <c r="U121" s="1"/>
      <c r="V121" s="1"/>
      <c r="W121" s="1"/>
      <c r="X121" s="1"/>
      <c r="Y121" s="1"/>
      <c r="Z121" s="1"/>
      <c r="AA121" s="1"/>
    </row>
    <row r="122" customFormat="false" ht="15.75" hidden="false" customHeight="true" outlineLevel="0" collapsed="false">
      <c r="P122" s="1"/>
      <c r="Q122" s="1"/>
      <c r="R122" s="1"/>
      <c r="S122" s="1"/>
      <c r="T122" s="1"/>
      <c r="U122" s="1"/>
      <c r="V122" s="1"/>
      <c r="W122" s="1"/>
      <c r="X122" s="1"/>
      <c r="Y122" s="1"/>
      <c r="Z122" s="1"/>
      <c r="AA122" s="1"/>
    </row>
    <row r="123" customFormat="false" ht="15.75" hidden="false" customHeight="true" outlineLevel="0" collapsed="false">
      <c r="P123" s="1"/>
      <c r="Q123" s="1"/>
      <c r="R123" s="1"/>
      <c r="S123" s="1"/>
      <c r="T123" s="1"/>
      <c r="U123" s="1"/>
      <c r="V123" s="1"/>
      <c r="W123" s="1"/>
      <c r="X123" s="1"/>
      <c r="Y123" s="1"/>
      <c r="Z123" s="1"/>
      <c r="AA123" s="1"/>
    </row>
    <row r="124" customFormat="false" ht="15.75" hidden="false" customHeight="true" outlineLevel="0" collapsed="false">
      <c r="P124" s="1"/>
      <c r="Q124" s="1"/>
      <c r="R124" s="1"/>
      <c r="S124" s="1"/>
      <c r="T124" s="1"/>
      <c r="U124" s="1"/>
      <c r="V124" s="1"/>
      <c r="W124" s="1"/>
      <c r="X124" s="1"/>
      <c r="Y124" s="1"/>
      <c r="Z124" s="1"/>
      <c r="AA124" s="1"/>
    </row>
    <row r="125" customFormat="false" ht="15.75" hidden="false" customHeight="true" outlineLevel="0" collapsed="false">
      <c r="P125" s="1"/>
      <c r="Q125" s="1"/>
      <c r="R125" s="1"/>
      <c r="S125" s="1"/>
      <c r="T125" s="1"/>
      <c r="U125" s="1"/>
      <c r="V125" s="1"/>
      <c r="W125" s="1"/>
      <c r="X125" s="1"/>
      <c r="Y125" s="1"/>
      <c r="Z125" s="1"/>
      <c r="AA125" s="1"/>
    </row>
    <row r="126" customFormat="false" ht="15.75" hidden="false" customHeight="true" outlineLevel="0" collapsed="false">
      <c r="P126" s="1"/>
      <c r="Q126" s="1"/>
      <c r="R126" s="1"/>
      <c r="S126" s="1"/>
      <c r="T126" s="1"/>
      <c r="U126" s="1"/>
      <c r="V126" s="1"/>
      <c r="W126" s="1"/>
      <c r="X126" s="1"/>
      <c r="Y126" s="1"/>
      <c r="Z126" s="1"/>
      <c r="AA126" s="1"/>
    </row>
    <row r="127" customFormat="false" ht="15.75" hidden="false" customHeight="true" outlineLevel="0" collapsed="false">
      <c r="P127" s="1"/>
      <c r="Q127" s="1"/>
      <c r="R127" s="1"/>
      <c r="S127" s="1"/>
      <c r="T127" s="1"/>
      <c r="U127" s="1"/>
      <c r="V127" s="1"/>
      <c r="W127" s="1"/>
      <c r="X127" s="1"/>
      <c r="Y127" s="1"/>
      <c r="Z127" s="1"/>
      <c r="AA127" s="1"/>
    </row>
    <row r="128" customFormat="false" ht="15.75" hidden="false" customHeight="true" outlineLevel="0" collapsed="false">
      <c r="P128" s="1"/>
      <c r="Q128" s="1"/>
      <c r="R128" s="1"/>
      <c r="S128" s="1"/>
      <c r="T128" s="1"/>
      <c r="U128" s="1"/>
      <c r="V128" s="1"/>
      <c r="W128" s="1"/>
      <c r="X128" s="1"/>
      <c r="Y128" s="1"/>
      <c r="Z128" s="1"/>
      <c r="AA128" s="1"/>
    </row>
    <row r="129" customFormat="false" ht="15.75" hidden="false" customHeight="true" outlineLevel="0" collapsed="false">
      <c r="P129" s="1"/>
      <c r="Q129" s="1"/>
      <c r="R129" s="1"/>
      <c r="S129" s="1"/>
      <c r="T129" s="1"/>
      <c r="U129" s="1"/>
      <c r="V129" s="1"/>
      <c r="W129" s="1"/>
      <c r="X129" s="1"/>
      <c r="Y129" s="1"/>
      <c r="Z129" s="1"/>
      <c r="AA129" s="1"/>
    </row>
    <row r="130" customFormat="false" ht="15.75" hidden="false" customHeight="true" outlineLevel="0" collapsed="false">
      <c r="P130" s="1"/>
      <c r="Q130" s="1"/>
      <c r="R130" s="1"/>
      <c r="S130" s="1"/>
      <c r="T130" s="1"/>
      <c r="U130" s="1"/>
      <c r="V130" s="1"/>
      <c r="W130" s="1"/>
      <c r="X130" s="1"/>
      <c r="Y130" s="1"/>
      <c r="Z130" s="1"/>
      <c r="AA130" s="1"/>
    </row>
    <row r="131" customFormat="false" ht="15.75" hidden="false" customHeight="true" outlineLevel="0" collapsed="false">
      <c r="P131" s="1"/>
      <c r="Q131" s="1"/>
      <c r="R131" s="1"/>
      <c r="S131" s="1"/>
      <c r="T131" s="1"/>
      <c r="U131" s="1"/>
      <c r="V131" s="1"/>
      <c r="W131" s="1"/>
      <c r="X131" s="1"/>
      <c r="Y131" s="1"/>
      <c r="Z131" s="1"/>
      <c r="AA131" s="1"/>
    </row>
    <row r="132" customFormat="false" ht="15.75" hidden="false" customHeight="true" outlineLevel="0" collapsed="false">
      <c r="P132" s="1"/>
      <c r="Q132" s="1"/>
      <c r="R132" s="1"/>
      <c r="S132" s="1"/>
      <c r="T132" s="1"/>
      <c r="U132" s="1"/>
      <c r="V132" s="1"/>
      <c r="W132" s="1"/>
      <c r="X132" s="1"/>
      <c r="Y132" s="1"/>
      <c r="Z132" s="1"/>
      <c r="AA132" s="1"/>
    </row>
    <row r="133" customFormat="false" ht="15.75" hidden="false" customHeight="true" outlineLevel="0" collapsed="false">
      <c r="P133" s="1"/>
      <c r="Q133" s="1"/>
      <c r="R133" s="1"/>
      <c r="S133" s="1"/>
      <c r="T133" s="1"/>
      <c r="U133" s="1"/>
      <c r="V133" s="1"/>
      <c r="W133" s="1"/>
      <c r="X133" s="1"/>
      <c r="Y133" s="1"/>
      <c r="Z133" s="1"/>
      <c r="AA133" s="1"/>
    </row>
    <row r="134" customFormat="false" ht="15.75" hidden="false" customHeight="true" outlineLevel="0" collapsed="false">
      <c r="P134" s="1"/>
      <c r="Q134" s="1"/>
      <c r="R134" s="1"/>
      <c r="S134" s="1"/>
      <c r="T134" s="1"/>
      <c r="U134" s="1"/>
      <c r="V134" s="1"/>
      <c r="W134" s="1"/>
      <c r="X134" s="1"/>
      <c r="Y134" s="1"/>
      <c r="Z134" s="1"/>
      <c r="AA134" s="1"/>
    </row>
    <row r="135" customFormat="false" ht="15.75" hidden="false" customHeight="true" outlineLevel="0" collapsed="false">
      <c r="P135" s="1"/>
      <c r="Q135" s="1"/>
      <c r="R135" s="1"/>
      <c r="S135" s="1"/>
      <c r="T135" s="1"/>
      <c r="U135" s="1"/>
      <c r="V135" s="1"/>
      <c r="W135" s="1"/>
      <c r="X135" s="1"/>
      <c r="Y135" s="1"/>
      <c r="Z135" s="1"/>
      <c r="AA135" s="1"/>
    </row>
    <row r="136" customFormat="false" ht="15.75" hidden="false" customHeight="true" outlineLevel="0" collapsed="false">
      <c r="P136" s="1"/>
      <c r="Q136" s="1"/>
      <c r="R136" s="1"/>
      <c r="S136" s="1"/>
      <c r="T136" s="1"/>
      <c r="U136" s="1"/>
      <c r="V136" s="1"/>
      <c r="W136" s="1"/>
      <c r="X136" s="1"/>
      <c r="Y136" s="1"/>
      <c r="Z136" s="1"/>
      <c r="AA136" s="1"/>
    </row>
    <row r="137" customFormat="false" ht="15.75" hidden="false" customHeight="true" outlineLevel="0" collapsed="false">
      <c r="P137" s="1"/>
      <c r="Q137" s="1"/>
      <c r="R137" s="1"/>
      <c r="S137" s="1"/>
      <c r="T137" s="1"/>
      <c r="U137" s="1"/>
      <c r="V137" s="1"/>
      <c r="W137" s="1"/>
      <c r="X137" s="1"/>
      <c r="Y137" s="1"/>
      <c r="Z137" s="1"/>
      <c r="AA137" s="1"/>
    </row>
    <row r="138" customFormat="false" ht="15.75" hidden="false" customHeight="true" outlineLevel="0" collapsed="false">
      <c r="P138" s="1"/>
      <c r="Q138" s="1"/>
      <c r="R138" s="1"/>
      <c r="S138" s="1"/>
      <c r="T138" s="1"/>
      <c r="U138" s="1"/>
      <c r="V138" s="1"/>
      <c r="W138" s="1"/>
      <c r="X138" s="1"/>
      <c r="Y138" s="1"/>
      <c r="Z138" s="1"/>
      <c r="AA138" s="1"/>
    </row>
    <row r="139" customFormat="false" ht="15.75" hidden="false" customHeight="true" outlineLevel="0" collapsed="false">
      <c r="P139" s="1"/>
      <c r="Q139" s="1"/>
      <c r="R139" s="1"/>
      <c r="S139" s="1"/>
      <c r="T139" s="1"/>
      <c r="U139" s="1"/>
      <c r="V139" s="1"/>
      <c r="W139" s="1"/>
      <c r="X139" s="1"/>
      <c r="Y139" s="1"/>
      <c r="Z139" s="1"/>
      <c r="AA139" s="1"/>
    </row>
    <row r="140" customFormat="false" ht="15.75" hidden="false" customHeight="true" outlineLevel="0" collapsed="false">
      <c r="P140" s="1"/>
      <c r="Q140" s="1"/>
      <c r="R140" s="1"/>
      <c r="S140" s="1"/>
      <c r="T140" s="1"/>
      <c r="U140" s="1"/>
      <c r="V140" s="1"/>
      <c r="W140" s="1"/>
      <c r="X140" s="1"/>
      <c r="Y140" s="1"/>
      <c r="Z140" s="1"/>
      <c r="AA140" s="1"/>
    </row>
    <row r="141" customFormat="false" ht="15.75" hidden="false" customHeight="true" outlineLevel="0" collapsed="false">
      <c r="P141" s="1"/>
      <c r="Q141" s="1"/>
      <c r="R141" s="1"/>
      <c r="S141" s="1"/>
      <c r="T141" s="1"/>
      <c r="U141" s="1"/>
      <c r="V141" s="1"/>
      <c r="W141" s="1"/>
      <c r="X141" s="1"/>
      <c r="Y141" s="1"/>
      <c r="Z141" s="1"/>
      <c r="AA141" s="1"/>
    </row>
    <row r="142" customFormat="false" ht="15.75" hidden="false" customHeight="true" outlineLevel="0" collapsed="false">
      <c r="P142" s="1"/>
      <c r="Q142" s="1"/>
      <c r="R142" s="1"/>
      <c r="S142" s="1"/>
      <c r="T142" s="1"/>
      <c r="U142" s="1"/>
      <c r="V142" s="1"/>
      <c r="W142" s="1"/>
      <c r="X142" s="1"/>
      <c r="Y142" s="1"/>
      <c r="Z142" s="1"/>
      <c r="AA142" s="1"/>
    </row>
    <row r="143" customFormat="false" ht="15.75" hidden="false" customHeight="true" outlineLevel="0" collapsed="false">
      <c r="P143" s="1"/>
      <c r="Q143" s="1"/>
      <c r="R143" s="1"/>
      <c r="S143" s="1"/>
      <c r="T143" s="1"/>
      <c r="U143" s="1"/>
      <c r="V143" s="1"/>
      <c r="W143" s="1"/>
      <c r="X143" s="1"/>
      <c r="Y143" s="1"/>
      <c r="Z143" s="1"/>
      <c r="AA143" s="1"/>
    </row>
    <row r="144" customFormat="false" ht="15.75" hidden="false" customHeight="true" outlineLevel="0" collapsed="false">
      <c r="P144" s="1"/>
      <c r="Q144" s="1"/>
      <c r="R144" s="1"/>
      <c r="S144" s="1"/>
      <c r="T144" s="1"/>
      <c r="U144" s="1"/>
      <c r="V144" s="1"/>
      <c r="W144" s="1"/>
      <c r="X144" s="1"/>
      <c r="Y144" s="1"/>
      <c r="Z144" s="1"/>
      <c r="AA144" s="1"/>
    </row>
    <row r="145" customFormat="false" ht="15.75" hidden="false" customHeight="true" outlineLevel="0" collapsed="false">
      <c r="P145" s="1"/>
      <c r="Q145" s="1"/>
      <c r="R145" s="1"/>
      <c r="S145" s="1"/>
      <c r="T145" s="1"/>
      <c r="U145" s="1"/>
      <c r="V145" s="1"/>
      <c r="W145" s="1"/>
      <c r="X145" s="1"/>
      <c r="Y145" s="1"/>
      <c r="Z145" s="1"/>
      <c r="AA145" s="1"/>
    </row>
    <row r="146" customFormat="false" ht="15.75" hidden="false" customHeight="true" outlineLevel="0" collapsed="false">
      <c r="P146" s="1"/>
      <c r="Q146" s="1"/>
      <c r="R146" s="1"/>
      <c r="S146" s="1"/>
      <c r="T146" s="1"/>
      <c r="U146" s="1"/>
      <c r="V146" s="1"/>
      <c r="W146" s="1"/>
      <c r="X146" s="1"/>
      <c r="Y146" s="1"/>
      <c r="Z146" s="1"/>
      <c r="AA146" s="1"/>
    </row>
    <row r="147" customFormat="false" ht="15.75" hidden="false" customHeight="true" outlineLevel="0" collapsed="false">
      <c r="P147" s="1"/>
      <c r="Q147" s="1"/>
      <c r="R147" s="1"/>
      <c r="S147" s="1"/>
      <c r="T147" s="1"/>
      <c r="U147" s="1"/>
      <c r="V147" s="1"/>
      <c r="W147" s="1"/>
      <c r="X147" s="1"/>
      <c r="Y147" s="1"/>
      <c r="Z147" s="1"/>
      <c r="AA147" s="1"/>
    </row>
    <row r="148" customFormat="false" ht="15.75" hidden="false" customHeight="true" outlineLevel="0" collapsed="false">
      <c r="P148" s="1"/>
      <c r="Q148" s="1"/>
      <c r="R148" s="1"/>
      <c r="S148" s="1"/>
      <c r="T148" s="1"/>
      <c r="U148" s="1"/>
      <c r="V148" s="1"/>
      <c r="W148" s="1"/>
      <c r="X148" s="1"/>
      <c r="Y148" s="1"/>
      <c r="Z148" s="1"/>
      <c r="AA148" s="1"/>
    </row>
    <row r="149" customFormat="false" ht="15.75" hidden="false" customHeight="true" outlineLevel="0" collapsed="false">
      <c r="P149" s="1"/>
      <c r="Q149" s="1"/>
      <c r="R149" s="1"/>
      <c r="S149" s="1"/>
      <c r="T149" s="1"/>
      <c r="U149" s="1"/>
      <c r="V149" s="1"/>
      <c r="W149" s="1"/>
      <c r="X149" s="1"/>
      <c r="Y149" s="1"/>
      <c r="Z149" s="1"/>
      <c r="AA149" s="1"/>
    </row>
    <row r="150" customFormat="false" ht="15.75" hidden="false" customHeight="true" outlineLevel="0" collapsed="false">
      <c r="P150" s="1"/>
      <c r="Q150" s="1"/>
      <c r="R150" s="1"/>
      <c r="S150" s="1"/>
      <c r="T150" s="1"/>
      <c r="U150" s="1"/>
      <c r="V150" s="1"/>
      <c r="W150" s="1"/>
      <c r="X150" s="1"/>
      <c r="Y150" s="1"/>
      <c r="Z150" s="1"/>
      <c r="AA150" s="1"/>
    </row>
    <row r="151" customFormat="false" ht="15.75" hidden="false" customHeight="true" outlineLevel="0" collapsed="false">
      <c r="P151" s="1"/>
      <c r="Q151" s="1"/>
      <c r="R151" s="1"/>
      <c r="S151" s="1"/>
      <c r="T151" s="1"/>
      <c r="U151" s="1"/>
      <c r="V151" s="1"/>
      <c r="W151" s="1"/>
      <c r="X151" s="1"/>
      <c r="Y151" s="1"/>
      <c r="Z151" s="1"/>
      <c r="AA151" s="1"/>
    </row>
    <row r="152" customFormat="false" ht="15.75" hidden="false" customHeight="true" outlineLevel="0" collapsed="false">
      <c r="P152" s="1"/>
      <c r="Q152" s="1"/>
      <c r="R152" s="1"/>
      <c r="S152" s="1"/>
      <c r="T152" s="1"/>
      <c r="U152" s="1"/>
      <c r="V152" s="1"/>
      <c r="W152" s="1"/>
      <c r="X152" s="1"/>
      <c r="Y152" s="1"/>
      <c r="Z152" s="1"/>
      <c r="AA152" s="1"/>
    </row>
    <row r="153" customFormat="false" ht="15.75" hidden="false" customHeight="true" outlineLevel="0" collapsed="false">
      <c r="P153" s="1"/>
      <c r="Q153" s="1"/>
      <c r="R153" s="1"/>
      <c r="S153" s="1"/>
      <c r="T153" s="1"/>
      <c r="U153" s="1"/>
      <c r="V153" s="1"/>
      <c r="W153" s="1"/>
      <c r="X153" s="1"/>
      <c r="Y153" s="1"/>
      <c r="Z153" s="1"/>
      <c r="AA153" s="1"/>
    </row>
    <row r="154" customFormat="false" ht="15.75" hidden="false" customHeight="true" outlineLevel="0" collapsed="false">
      <c r="P154" s="1"/>
      <c r="Q154" s="1"/>
      <c r="R154" s="1"/>
      <c r="S154" s="1"/>
      <c r="T154" s="1"/>
      <c r="U154" s="1"/>
      <c r="V154" s="1"/>
      <c r="W154" s="1"/>
      <c r="X154" s="1"/>
      <c r="Y154" s="1"/>
      <c r="Z154" s="1"/>
      <c r="AA154" s="1"/>
    </row>
    <row r="155" customFormat="false" ht="15.75" hidden="false" customHeight="true" outlineLevel="0" collapsed="false">
      <c r="P155" s="1"/>
      <c r="Q155" s="1"/>
      <c r="R155" s="1"/>
      <c r="S155" s="1"/>
      <c r="T155" s="1"/>
      <c r="U155" s="1"/>
      <c r="V155" s="1"/>
      <c r="W155" s="1"/>
      <c r="X155" s="1"/>
      <c r="Y155" s="1"/>
      <c r="Z155" s="1"/>
      <c r="AA155" s="1"/>
    </row>
    <row r="156" customFormat="false" ht="15.75" hidden="false" customHeight="true" outlineLevel="0" collapsed="false">
      <c r="P156" s="1"/>
      <c r="Q156" s="1"/>
      <c r="R156" s="1"/>
      <c r="S156" s="1"/>
      <c r="T156" s="1"/>
      <c r="U156" s="1"/>
      <c r="V156" s="1"/>
      <c r="W156" s="1"/>
      <c r="X156" s="1"/>
      <c r="Y156" s="1"/>
      <c r="Z156" s="1"/>
      <c r="AA156" s="1"/>
    </row>
    <row r="157" customFormat="false" ht="15.75" hidden="false" customHeight="true" outlineLevel="0" collapsed="false">
      <c r="P157" s="1"/>
      <c r="Q157" s="1"/>
      <c r="R157" s="1"/>
      <c r="S157" s="1"/>
      <c r="T157" s="1"/>
      <c r="U157" s="1"/>
      <c r="V157" s="1"/>
      <c r="W157" s="1"/>
      <c r="X157" s="1"/>
      <c r="Y157" s="1"/>
      <c r="Z157" s="1"/>
      <c r="AA157" s="1"/>
    </row>
    <row r="158" customFormat="false" ht="15.75" hidden="false" customHeight="true" outlineLevel="0" collapsed="false">
      <c r="P158" s="1"/>
      <c r="Q158" s="1"/>
      <c r="R158" s="1"/>
      <c r="S158" s="1"/>
      <c r="T158" s="1"/>
      <c r="U158" s="1"/>
      <c r="V158" s="1"/>
      <c r="W158" s="1"/>
      <c r="X158" s="1"/>
      <c r="Y158" s="1"/>
      <c r="Z158" s="1"/>
      <c r="AA158" s="1"/>
    </row>
    <row r="159" customFormat="false" ht="15.75" hidden="false" customHeight="true" outlineLevel="0" collapsed="false">
      <c r="P159" s="1"/>
      <c r="Q159" s="1"/>
      <c r="R159" s="1"/>
      <c r="S159" s="1"/>
      <c r="T159" s="1"/>
      <c r="U159" s="1"/>
      <c r="V159" s="1"/>
      <c r="W159" s="1"/>
      <c r="X159" s="1"/>
      <c r="Y159" s="1"/>
      <c r="Z159" s="1"/>
      <c r="AA159" s="1"/>
    </row>
    <row r="160" customFormat="false" ht="15.75" hidden="false" customHeight="true" outlineLevel="0" collapsed="false">
      <c r="P160" s="1"/>
      <c r="Q160" s="1"/>
      <c r="R160" s="1"/>
      <c r="S160" s="1"/>
      <c r="T160" s="1"/>
      <c r="U160" s="1"/>
      <c r="V160" s="1"/>
      <c r="W160" s="1"/>
      <c r="X160" s="1"/>
      <c r="Y160" s="1"/>
      <c r="Z160" s="1"/>
      <c r="AA160" s="1"/>
    </row>
    <row r="161" customFormat="false" ht="15.75" hidden="false" customHeight="true" outlineLevel="0" collapsed="false">
      <c r="P161" s="1"/>
      <c r="Q161" s="1"/>
      <c r="R161" s="1"/>
      <c r="S161" s="1"/>
      <c r="T161" s="1"/>
      <c r="U161" s="1"/>
      <c r="V161" s="1"/>
      <c r="W161" s="1"/>
      <c r="X161" s="1"/>
      <c r="Y161" s="1"/>
      <c r="Z161" s="1"/>
      <c r="AA161" s="1"/>
    </row>
    <row r="162" customFormat="false" ht="15.75" hidden="false" customHeight="true" outlineLevel="0" collapsed="false">
      <c r="P162" s="1"/>
      <c r="Q162" s="1"/>
      <c r="R162" s="1"/>
      <c r="S162" s="1"/>
      <c r="T162" s="1"/>
      <c r="U162" s="1"/>
      <c r="V162" s="1"/>
      <c r="W162" s="1"/>
      <c r="X162" s="1"/>
      <c r="Y162" s="1"/>
      <c r="Z162" s="1"/>
      <c r="AA162" s="1"/>
    </row>
    <row r="163" customFormat="false" ht="15.75" hidden="false" customHeight="true" outlineLevel="0" collapsed="false">
      <c r="P163" s="1"/>
      <c r="Q163" s="1"/>
      <c r="R163" s="1"/>
      <c r="S163" s="1"/>
      <c r="T163" s="1"/>
      <c r="U163" s="1"/>
      <c r="V163" s="1"/>
      <c r="W163" s="1"/>
      <c r="X163" s="1"/>
      <c r="Y163" s="1"/>
      <c r="Z163" s="1"/>
      <c r="AA163" s="1"/>
    </row>
    <row r="164" customFormat="false" ht="15.75" hidden="false" customHeight="true" outlineLevel="0" collapsed="false">
      <c r="P164" s="1"/>
      <c r="Q164" s="1"/>
      <c r="R164" s="1"/>
      <c r="S164" s="1"/>
      <c r="T164" s="1"/>
      <c r="U164" s="1"/>
      <c r="V164" s="1"/>
      <c r="W164" s="1"/>
      <c r="X164" s="1"/>
      <c r="Y164" s="1"/>
      <c r="Z164" s="1"/>
      <c r="AA164" s="1"/>
    </row>
    <row r="165" customFormat="false" ht="15.75" hidden="false" customHeight="true" outlineLevel="0" collapsed="false">
      <c r="P165" s="1"/>
      <c r="Q165" s="1"/>
      <c r="R165" s="1"/>
      <c r="S165" s="1"/>
      <c r="T165" s="1"/>
      <c r="U165" s="1"/>
      <c r="V165" s="1"/>
      <c r="W165" s="1"/>
      <c r="X165" s="1"/>
      <c r="Y165" s="1"/>
      <c r="Z165" s="1"/>
      <c r="AA165" s="1"/>
    </row>
    <row r="166" customFormat="false" ht="15.75" hidden="false" customHeight="true" outlineLevel="0" collapsed="false">
      <c r="P166" s="1"/>
      <c r="Q166" s="1"/>
      <c r="R166" s="1"/>
      <c r="S166" s="1"/>
      <c r="T166" s="1"/>
      <c r="U166" s="1"/>
      <c r="V166" s="1"/>
      <c r="W166" s="1"/>
      <c r="X166" s="1"/>
      <c r="Y166" s="1"/>
      <c r="Z166" s="1"/>
      <c r="AA166" s="1"/>
    </row>
    <row r="167" customFormat="false" ht="15.75" hidden="false" customHeight="true" outlineLevel="0" collapsed="false">
      <c r="P167" s="1"/>
      <c r="Q167" s="1"/>
      <c r="R167" s="1"/>
      <c r="S167" s="1"/>
      <c r="T167" s="1"/>
      <c r="U167" s="1"/>
      <c r="V167" s="1"/>
      <c r="W167" s="1"/>
      <c r="X167" s="1"/>
      <c r="Y167" s="1"/>
      <c r="Z167" s="1"/>
      <c r="AA167" s="1"/>
    </row>
    <row r="168" customFormat="false" ht="15.75" hidden="false" customHeight="true" outlineLevel="0" collapsed="false">
      <c r="P168" s="1"/>
      <c r="Q168" s="1"/>
      <c r="R168" s="1"/>
      <c r="S168" s="1"/>
      <c r="T168" s="1"/>
      <c r="U168" s="1"/>
      <c r="V168" s="1"/>
      <c r="W168" s="1"/>
      <c r="X168" s="1"/>
      <c r="Y168" s="1"/>
      <c r="Z168" s="1"/>
      <c r="AA168" s="1"/>
    </row>
    <row r="169" customFormat="false" ht="15.75" hidden="false" customHeight="true" outlineLevel="0" collapsed="false">
      <c r="P169" s="1"/>
      <c r="Q169" s="1"/>
      <c r="R169" s="1"/>
      <c r="S169" s="1"/>
      <c r="T169" s="1"/>
      <c r="U169" s="1"/>
      <c r="V169" s="1"/>
      <c r="W169" s="1"/>
      <c r="X169" s="1"/>
      <c r="Y169" s="1"/>
      <c r="Z169" s="1"/>
      <c r="AA169" s="1"/>
    </row>
    <row r="170" customFormat="false" ht="15.75" hidden="false" customHeight="true" outlineLevel="0" collapsed="false">
      <c r="P170" s="1"/>
      <c r="Q170" s="1"/>
      <c r="R170" s="1"/>
      <c r="S170" s="1"/>
      <c r="T170" s="1"/>
      <c r="U170" s="1"/>
      <c r="V170" s="1"/>
      <c r="W170" s="1"/>
      <c r="X170" s="1"/>
      <c r="Y170" s="1"/>
      <c r="Z170" s="1"/>
      <c r="AA170" s="1"/>
    </row>
    <row r="171" customFormat="false" ht="15.75" hidden="false" customHeight="true" outlineLevel="0" collapsed="false">
      <c r="P171" s="1"/>
      <c r="Q171" s="1"/>
      <c r="R171" s="1"/>
      <c r="S171" s="1"/>
      <c r="T171" s="1"/>
      <c r="U171" s="1"/>
      <c r="V171" s="1"/>
      <c r="W171" s="1"/>
      <c r="X171" s="1"/>
      <c r="Y171" s="1"/>
      <c r="Z171" s="1"/>
      <c r="AA171" s="1"/>
    </row>
    <row r="172" customFormat="false" ht="15.75" hidden="false" customHeight="true" outlineLevel="0" collapsed="false">
      <c r="P172" s="1"/>
      <c r="Q172" s="1"/>
      <c r="R172" s="1"/>
      <c r="S172" s="1"/>
      <c r="T172" s="1"/>
      <c r="U172" s="1"/>
      <c r="V172" s="1"/>
      <c r="W172" s="1"/>
      <c r="X172" s="1"/>
      <c r="Y172" s="1"/>
      <c r="Z172" s="1"/>
      <c r="AA172" s="1"/>
    </row>
    <row r="173" customFormat="false" ht="15.75" hidden="false" customHeight="true" outlineLevel="0" collapsed="false">
      <c r="P173" s="1"/>
      <c r="Q173" s="1"/>
      <c r="R173" s="1"/>
      <c r="S173" s="1"/>
      <c r="T173" s="1"/>
      <c r="U173" s="1"/>
      <c r="V173" s="1"/>
      <c r="W173" s="1"/>
      <c r="X173" s="1"/>
      <c r="Y173" s="1"/>
      <c r="Z173" s="1"/>
      <c r="AA173" s="1"/>
    </row>
    <row r="174" customFormat="false" ht="15.75" hidden="false" customHeight="true" outlineLevel="0" collapsed="false">
      <c r="P174" s="1"/>
      <c r="Q174" s="1"/>
      <c r="R174" s="1"/>
      <c r="S174" s="1"/>
      <c r="T174" s="1"/>
      <c r="U174" s="1"/>
      <c r="V174" s="1"/>
      <c r="W174" s="1"/>
      <c r="X174" s="1"/>
      <c r="Y174" s="1"/>
      <c r="Z174" s="1"/>
      <c r="AA174" s="1"/>
    </row>
    <row r="175" customFormat="false" ht="15.75" hidden="false" customHeight="true" outlineLevel="0" collapsed="false">
      <c r="P175" s="1"/>
      <c r="Q175" s="1"/>
      <c r="R175" s="1"/>
      <c r="S175" s="1"/>
      <c r="T175" s="1"/>
      <c r="U175" s="1"/>
      <c r="V175" s="1"/>
      <c r="W175" s="1"/>
      <c r="X175" s="1"/>
      <c r="Y175" s="1"/>
      <c r="Z175" s="1"/>
      <c r="AA175" s="1"/>
    </row>
    <row r="176" customFormat="false" ht="15.75" hidden="false" customHeight="true" outlineLevel="0" collapsed="false">
      <c r="P176" s="1"/>
      <c r="Q176" s="1"/>
      <c r="R176" s="1"/>
      <c r="S176" s="1"/>
      <c r="T176" s="1"/>
      <c r="U176" s="1"/>
      <c r="V176" s="1"/>
      <c r="W176" s="1"/>
      <c r="X176" s="1"/>
      <c r="Y176" s="1"/>
      <c r="Z176" s="1"/>
      <c r="AA176" s="1"/>
    </row>
    <row r="177" customFormat="false" ht="15.75" hidden="false" customHeight="true" outlineLevel="0" collapsed="false">
      <c r="P177" s="1"/>
      <c r="Q177" s="1"/>
      <c r="R177" s="1"/>
      <c r="S177" s="1"/>
      <c r="T177" s="1"/>
      <c r="U177" s="1"/>
      <c r="V177" s="1"/>
      <c r="W177" s="1"/>
      <c r="X177" s="1"/>
      <c r="Y177" s="1"/>
      <c r="Z177" s="1"/>
      <c r="AA177" s="1"/>
    </row>
    <row r="178" customFormat="false" ht="15.75" hidden="false" customHeight="true" outlineLevel="0" collapsed="false">
      <c r="P178" s="1"/>
      <c r="Q178" s="1"/>
      <c r="R178" s="1"/>
      <c r="S178" s="1"/>
      <c r="T178" s="1"/>
      <c r="U178" s="1"/>
      <c r="V178" s="1"/>
      <c r="W178" s="1"/>
      <c r="X178" s="1"/>
      <c r="Y178" s="1"/>
      <c r="Z178" s="1"/>
      <c r="AA178" s="1"/>
    </row>
    <row r="179" customFormat="false" ht="15.75" hidden="false" customHeight="true" outlineLevel="0" collapsed="false">
      <c r="P179" s="1"/>
      <c r="Q179" s="1"/>
      <c r="R179" s="1"/>
      <c r="S179" s="1"/>
      <c r="T179" s="1"/>
      <c r="U179" s="1"/>
      <c r="V179" s="1"/>
      <c r="W179" s="1"/>
      <c r="X179" s="1"/>
      <c r="Y179" s="1"/>
      <c r="Z179" s="1"/>
      <c r="AA179" s="1"/>
    </row>
    <row r="180" customFormat="false" ht="15.75" hidden="false" customHeight="true" outlineLevel="0" collapsed="false">
      <c r="P180" s="1"/>
      <c r="Q180" s="1"/>
      <c r="R180" s="1"/>
      <c r="S180" s="1"/>
      <c r="T180" s="1"/>
      <c r="U180" s="1"/>
      <c r="V180" s="1"/>
      <c r="W180" s="1"/>
      <c r="X180" s="1"/>
      <c r="Y180" s="1"/>
      <c r="Z180" s="1"/>
      <c r="AA180" s="1"/>
    </row>
    <row r="181" customFormat="false" ht="15.75" hidden="false" customHeight="true" outlineLevel="0" collapsed="false">
      <c r="P181" s="1"/>
      <c r="Q181" s="1"/>
      <c r="R181" s="1"/>
      <c r="S181" s="1"/>
      <c r="T181" s="1"/>
      <c r="U181" s="1"/>
      <c r="V181" s="1"/>
      <c r="W181" s="1"/>
      <c r="X181" s="1"/>
      <c r="Y181" s="1"/>
      <c r="Z181" s="1"/>
      <c r="AA181" s="1"/>
    </row>
    <row r="182" customFormat="false" ht="15.75" hidden="false" customHeight="true" outlineLevel="0" collapsed="false">
      <c r="P182" s="1"/>
      <c r="Q182" s="1"/>
      <c r="R182" s="1"/>
      <c r="S182" s="1"/>
      <c r="T182" s="1"/>
      <c r="U182" s="1"/>
      <c r="V182" s="1"/>
      <c r="W182" s="1"/>
      <c r="X182" s="1"/>
      <c r="Y182" s="1"/>
      <c r="Z182" s="1"/>
      <c r="AA182" s="1"/>
    </row>
    <row r="183" customFormat="false" ht="15.75" hidden="false" customHeight="true" outlineLevel="0" collapsed="false">
      <c r="P183" s="1"/>
      <c r="Q183" s="1"/>
      <c r="R183" s="1"/>
      <c r="S183" s="1"/>
      <c r="T183" s="1"/>
      <c r="U183" s="1"/>
      <c r="V183" s="1"/>
      <c r="W183" s="1"/>
      <c r="X183" s="1"/>
      <c r="Y183" s="1"/>
      <c r="Z183" s="1"/>
      <c r="AA183" s="1"/>
    </row>
    <row r="184" customFormat="false" ht="15.75" hidden="false" customHeight="true" outlineLevel="0" collapsed="false">
      <c r="P184" s="1"/>
      <c r="Q184" s="1"/>
      <c r="R184" s="1"/>
      <c r="S184" s="1"/>
      <c r="T184" s="1"/>
      <c r="U184" s="1"/>
      <c r="V184" s="1"/>
      <c r="W184" s="1"/>
      <c r="X184" s="1"/>
      <c r="Y184" s="1"/>
      <c r="Z184" s="1"/>
      <c r="AA184" s="1"/>
    </row>
    <row r="185" customFormat="false" ht="15.75" hidden="false" customHeight="true" outlineLevel="0" collapsed="false">
      <c r="P185" s="1"/>
      <c r="Q185" s="1"/>
      <c r="R185" s="1"/>
      <c r="S185" s="1"/>
      <c r="T185" s="1"/>
      <c r="U185" s="1"/>
      <c r="V185" s="1"/>
      <c r="W185" s="1"/>
      <c r="X185" s="1"/>
      <c r="Y185" s="1"/>
      <c r="Z185" s="1"/>
      <c r="AA185" s="1"/>
    </row>
    <row r="186" customFormat="false" ht="15.75" hidden="false" customHeight="true" outlineLevel="0" collapsed="false">
      <c r="P186" s="1"/>
      <c r="Q186" s="1"/>
      <c r="R186" s="1"/>
      <c r="S186" s="1"/>
      <c r="T186" s="1"/>
      <c r="U186" s="1"/>
      <c r="V186" s="1"/>
      <c r="W186" s="1"/>
      <c r="X186" s="1"/>
      <c r="Y186" s="1"/>
      <c r="Z186" s="1"/>
      <c r="AA186" s="1"/>
    </row>
    <row r="187" customFormat="false" ht="15.75" hidden="false" customHeight="true" outlineLevel="0" collapsed="false">
      <c r="P187" s="1"/>
      <c r="Q187" s="1"/>
      <c r="R187" s="1"/>
      <c r="S187" s="1"/>
      <c r="T187" s="1"/>
      <c r="U187" s="1"/>
      <c r="V187" s="1"/>
      <c r="W187" s="1"/>
      <c r="X187" s="1"/>
      <c r="Y187" s="1"/>
      <c r="Z187" s="1"/>
      <c r="AA187" s="1"/>
    </row>
    <row r="188" customFormat="false" ht="15.75" hidden="false" customHeight="true" outlineLevel="0" collapsed="false">
      <c r="P188" s="1"/>
      <c r="Q188" s="1"/>
      <c r="R188" s="1"/>
      <c r="S188" s="1"/>
      <c r="T188" s="1"/>
      <c r="U188" s="1"/>
      <c r="V188" s="1"/>
      <c r="W188" s="1"/>
      <c r="X188" s="1"/>
      <c r="Y188" s="1"/>
      <c r="Z188" s="1"/>
      <c r="AA188" s="1"/>
    </row>
    <row r="189" customFormat="false" ht="15.75" hidden="false" customHeight="true" outlineLevel="0" collapsed="false">
      <c r="P189" s="1"/>
      <c r="Q189" s="1"/>
      <c r="R189" s="1"/>
      <c r="S189" s="1"/>
      <c r="T189" s="1"/>
      <c r="U189" s="1"/>
      <c r="V189" s="1"/>
      <c r="W189" s="1"/>
      <c r="X189" s="1"/>
      <c r="Y189" s="1"/>
      <c r="Z189" s="1"/>
      <c r="AA189" s="1"/>
    </row>
    <row r="190" customFormat="false" ht="15.75" hidden="false" customHeight="true" outlineLevel="0" collapsed="false">
      <c r="P190" s="1"/>
      <c r="Q190" s="1"/>
      <c r="R190" s="1"/>
      <c r="S190" s="1"/>
      <c r="T190" s="1"/>
      <c r="U190" s="1"/>
      <c r="V190" s="1"/>
      <c r="W190" s="1"/>
      <c r="X190" s="1"/>
      <c r="Y190" s="1"/>
      <c r="Z190" s="1"/>
      <c r="AA190" s="1"/>
    </row>
    <row r="191" customFormat="false" ht="15.75" hidden="false" customHeight="true" outlineLevel="0" collapsed="false">
      <c r="P191" s="1"/>
      <c r="Q191" s="1"/>
      <c r="R191" s="1"/>
      <c r="S191" s="1"/>
      <c r="T191" s="1"/>
      <c r="U191" s="1"/>
      <c r="V191" s="1"/>
      <c r="W191" s="1"/>
      <c r="X191" s="1"/>
      <c r="Y191" s="1"/>
      <c r="Z191" s="1"/>
      <c r="AA191" s="1"/>
    </row>
    <row r="192" customFormat="false" ht="15.75" hidden="false" customHeight="true" outlineLevel="0" collapsed="false">
      <c r="P192" s="1"/>
      <c r="Q192" s="1"/>
      <c r="R192" s="1"/>
      <c r="S192" s="1"/>
      <c r="T192" s="1"/>
      <c r="U192" s="1"/>
      <c r="V192" s="1"/>
      <c r="W192" s="1"/>
      <c r="X192" s="1"/>
      <c r="Y192" s="1"/>
      <c r="Z192" s="1"/>
      <c r="AA192" s="1"/>
    </row>
    <row r="193" customFormat="false" ht="15.75" hidden="false" customHeight="true" outlineLevel="0" collapsed="false">
      <c r="P193" s="1"/>
      <c r="Q193" s="1"/>
      <c r="R193" s="1"/>
      <c r="S193" s="1"/>
      <c r="T193" s="1"/>
      <c r="U193" s="1"/>
      <c r="V193" s="1"/>
      <c r="W193" s="1"/>
      <c r="X193" s="1"/>
      <c r="Y193" s="1"/>
      <c r="Z193" s="1"/>
      <c r="AA193" s="1"/>
    </row>
    <row r="194" customFormat="false" ht="15.75" hidden="false" customHeight="true" outlineLevel="0" collapsed="false">
      <c r="P194" s="1"/>
      <c r="Q194" s="1"/>
      <c r="R194" s="1"/>
      <c r="S194" s="1"/>
      <c r="T194" s="1"/>
      <c r="U194" s="1"/>
      <c r="V194" s="1"/>
      <c r="W194" s="1"/>
      <c r="X194" s="1"/>
      <c r="Y194" s="1"/>
      <c r="Z194" s="1"/>
      <c r="AA194" s="1"/>
    </row>
    <row r="195" customFormat="false" ht="15.75" hidden="false" customHeight="true" outlineLevel="0" collapsed="false">
      <c r="P195" s="1"/>
      <c r="Q195" s="1"/>
      <c r="R195" s="1"/>
      <c r="S195" s="1"/>
      <c r="T195" s="1"/>
      <c r="U195" s="1"/>
      <c r="V195" s="1"/>
      <c r="W195" s="1"/>
      <c r="X195" s="1"/>
      <c r="Y195" s="1"/>
      <c r="Z195" s="1"/>
      <c r="AA195" s="1"/>
    </row>
    <row r="196" customFormat="false" ht="15.75" hidden="false" customHeight="true" outlineLevel="0" collapsed="false">
      <c r="P196" s="1"/>
      <c r="Q196" s="1"/>
      <c r="R196" s="1"/>
      <c r="S196" s="1"/>
      <c r="T196" s="1"/>
      <c r="U196" s="1"/>
      <c r="V196" s="1"/>
      <c r="W196" s="1"/>
      <c r="X196" s="1"/>
      <c r="Y196" s="1"/>
      <c r="Z196" s="1"/>
      <c r="AA196" s="1"/>
    </row>
    <row r="197" customFormat="false" ht="15.75" hidden="false" customHeight="true" outlineLevel="0" collapsed="false">
      <c r="P197" s="1"/>
      <c r="Q197" s="1"/>
      <c r="R197" s="1"/>
      <c r="S197" s="1"/>
      <c r="T197" s="1"/>
      <c r="U197" s="1"/>
      <c r="V197" s="1"/>
      <c r="W197" s="1"/>
      <c r="X197" s="1"/>
      <c r="Y197" s="1"/>
      <c r="Z197" s="1"/>
      <c r="AA197" s="1"/>
    </row>
    <row r="198" customFormat="false" ht="15.75" hidden="false" customHeight="true" outlineLevel="0" collapsed="false">
      <c r="P198" s="1"/>
      <c r="Q198" s="1"/>
      <c r="R198" s="1"/>
      <c r="S198" s="1"/>
      <c r="T198" s="1"/>
      <c r="U198" s="1"/>
      <c r="V198" s="1"/>
      <c r="W198" s="1"/>
      <c r="X198" s="1"/>
      <c r="Y198" s="1"/>
      <c r="Z198" s="1"/>
      <c r="AA198" s="1"/>
    </row>
    <row r="199" customFormat="false" ht="15.75" hidden="false" customHeight="true" outlineLevel="0" collapsed="false">
      <c r="P199" s="1"/>
      <c r="Q199" s="1"/>
      <c r="R199" s="1"/>
      <c r="S199" s="1"/>
      <c r="T199" s="1"/>
      <c r="U199" s="1"/>
      <c r="V199" s="1"/>
      <c r="W199" s="1"/>
      <c r="X199" s="1"/>
      <c r="Y199" s="1"/>
      <c r="Z199" s="1"/>
      <c r="AA199" s="1"/>
    </row>
    <row r="200" customFormat="false" ht="15.75" hidden="false" customHeight="true" outlineLevel="0" collapsed="false">
      <c r="P200" s="1"/>
      <c r="Q200" s="1"/>
      <c r="R200" s="1"/>
      <c r="S200" s="1"/>
      <c r="T200" s="1"/>
      <c r="U200" s="1"/>
      <c r="V200" s="1"/>
      <c r="W200" s="1"/>
      <c r="X200" s="1"/>
      <c r="Y200" s="1"/>
      <c r="Z200" s="1"/>
      <c r="AA200" s="1"/>
    </row>
    <row r="201" customFormat="false" ht="15.75" hidden="false" customHeight="true" outlineLevel="0" collapsed="false">
      <c r="P201" s="1"/>
      <c r="Q201" s="1"/>
      <c r="R201" s="1"/>
      <c r="S201" s="1"/>
      <c r="T201" s="1"/>
      <c r="U201" s="1"/>
      <c r="V201" s="1"/>
      <c r="W201" s="1"/>
      <c r="X201" s="1"/>
      <c r="Y201" s="1"/>
      <c r="Z201" s="1"/>
      <c r="AA201" s="1"/>
    </row>
    <row r="202" customFormat="false" ht="15.75" hidden="false" customHeight="true" outlineLevel="0" collapsed="false">
      <c r="P202" s="1"/>
      <c r="Q202" s="1"/>
      <c r="R202" s="1"/>
      <c r="S202" s="1"/>
      <c r="T202" s="1"/>
      <c r="U202" s="1"/>
      <c r="V202" s="1"/>
      <c r="W202" s="1"/>
      <c r="X202" s="1"/>
      <c r="Y202" s="1"/>
      <c r="Z202" s="1"/>
      <c r="AA202" s="1"/>
    </row>
    <row r="203" customFormat="false" ht="15.75" hidden="false" customHeight="true" outlineLevel="0" collapsed="false">
      <c r="P203" s="1"/>
      <c r="Q203" s="1"/>
      <c r="R203" s="1"/>
      <c r="S203" s="1"/>
      <c r="T203" s="1"/>
      <c r="U203" s="1"/>
      <c r="V203" s="1"/>
      <c r="W203" s="1"/>
      <c r="X203" s="1"/>
      <c r="Y203" s="1"/>
      <c r="Z203" s="1"/>
      <c r="AA203" s="1"/>
    </row>
    <row r="204" customFormat="false" ht="15.75" hidden="false" customHeight="true" outlineLevel="0" collapsed="false">
      <c r="P204" s="1"/>
      <c r="Q204" s="1"/>
      <c r="R204" s="1"/>
      <c r="S204" s="1"/>
      <c r="T204" s="1"/>
      <c r="U204" s="1"/>
      <c r="V204" s="1"/>
      <c r="W204" s="1"/>
      <c r="X204" s="1"/>
      <c r="Y204" s="1"/>
      <c r="Z204" s="1"/>
      <c r="AA204" s="1"/>
    </row>
    <row r="205" customFormat="false" ht="15.75" hidden="false" customHeight="true" outlineLevel="0" collapsed="false">
      <c r="P205" s="1"/>
      <c r="Q205" s="1"/>
      <c r="R205" s="1"/>
      <c r="S205" s="1"/>
      <c r="T205" s="1"/>
      <c r="U205" s="1"/>
      <c r="V205" s="1"/>
      <c r="W205" s="1"/>
      <c r="X205" s="1"/>
      <c r="Y205" s="1"/>
      <c r="Z205" s="1"/>
      <c r="AA205" s="1"/>
    </row>
    <row r="206" customFormat="false" ht="15.75" hidden="false" customHeight="true" outlineLevel="0" collapsed="false">
      <c r="P206" s="1"/>
      <c r="Q206" s="1"/>
      <c r="R206" s="1"/>
      <c r="S206" s="1"/>
      <c r="T206" s="1"/>
      <c r="U206" s="1"/>
      <c r="V206" s="1"/>
      <c r="W206" s="1"/>
      <c r="X206" s="1"/>
      <c r="Y206" s="1"/>
      <c r="Z206" s="1"/>
      <c r="AA206" s="1"/>
    </row>
    <row r="207" customFormat="false" ht="15.75" hidden="false" customHeight="true" outlineLevel="0" collapsed="false">
      <c r="P207" s="1"/>
      <c r="Q207" s="1"/>
      <c r="R207" s="1"/>
      <c r="S207" s="1"/>
      <c r="T207" s="1"/>
      <c r="U207" s="1"/>
      <c r="V207" s="1"/>
      <c r="W207" s="1"/>
      <c r="X207" s="1"/>
      <c r="Y207" s="1"/>
      <c r="Z207" s="1"/>
      <c r="AA207" s="1"/>
    </row>
    <row r="208" customFormat="false" ht="15.75" hidden="false" customHeight="true" outlineLevel="0" collapsed="false">
      <c r="P208" s="1"/>
      <c r="Q208" s="1"/>
      <c r="R208" s="1"/>
      <c r="S208" s="1"/>
      <c r="T208" s="1"/>
      <c r="U208" s="1"/>
      <c r="V208" s="1"/>
      <c r="W208" s="1"/>
      <c r="X208" s="1"/>
      <c r="Y208" s="1"/>
      <c r="Z208" s="1"/>
      <c r="AA208" s="1"/>
    </row>
    <row r="209" customFormat="false" ht="15.75" hidden="false" customHeight="true" outlineLevel="0" collapsed="false">
      <c r="P209" s="1"/>
      <c r="Q209" s="1"/>
      <c r="R209" s="1"/>
      <c r="S209" s="1"/>
      <c r="T209" s="1"/>
      <c r="U209" s="1"/>
      <c r="V209" s="1"/>
      <c r="W209" s="1"/>
      <c r="X209" s="1"/>
      <c r="Y209" s="1"/>
      <c r="Z209" s="1"/>
      <c r="AA209" s="1"/>
    </row>
    <row r="210" customFormat="false" ht="15.75" hidden="false" customHeight="true" outlineLevel="0" collapsed="false">
      <c r="P210" s="1"/>
      <c r="Q210" s="1"/>
      <c r="R210" s="1"/>
      <c r="S210" s="1"/>
      <c r="T210" s="1"/>
      <c r="U210" s="1"/>
      <c r="V210" s="1"/>
      <c r="W210" s="1"/>
      <c r="X210" s="1"/>
      <c r="Y210" s="1"/>
      <c r="Z210" s="1"/>
      <c r="AA210" s="1"/>
    </row>
    <row r="211" customFormat="false" ht="15.75" hidden="false" customHeight="true" outlineLevel="0" collapsed="false">
      <c r="P211" s="1"/>
      <c r="Q211" s="1"/>
      <c r="R211" s="1"/>
      <c r="S211" s="1"/>
      <c r="T211" s="1"/>
      <c r="U211" s="1"/>
      <c r="V211" s="1"/>
      <c r="W211" s="1"/>
      <c r="X211" s="1"/>
      <c r="Y211" s="1"/>
      <c r="Z211" s="1"/>
      <c r="AA211" s="1"/>
    </row>
    <row r="212" customFormat="false" ht="15.75" hidden="false" customHeight="true" outlineLevel="0" collapsed="false">
      <c r="P212" s="1"/>
      <c r="Q212" s="1"/>
      <c r="R212" s="1"/>
      <c r="S212" s="1"/>
      <c r="T212" s="1"/>
      <c r="U212" s="1"/>
      <c r="V212" s="1"/>
      <c r="W212" s="1"/>
      <c r="X212" s="1"/>
      <c r="Y212" s="1"/>
      <c r="Z212" s="1"/>
      <c r="AA212" s="1"/>
    </row>
    <row r="213" customFormat="false" ht="15.75" hidden="false" customHeight="true" outlineLevel="0" collapsed="false">
      <c r="P213" s="1"/>
      <c r="Q213" s="1"/>
      <c r="R213" s="1"/>
      <c r="S213" s="1"/>
      <c r="T213" s="1"/>
      <c r="U213" s="1"/>
      <c r="V213" s="1"/>
      <c r="W213" s="1"/>
      <c r="X213" s="1"/>
      <c r="Y213" s="1"/>
      <c r="Z213" s="1"/>
      <c r="AA213" s="1"/>
    </row>
    <row r="214" customFormat="false" ht="15.75" hidden="false" customHeight="true" outlineLevel="0" collapsed="false">
      <c r="P214" s="1"/>
      <c r="Q214" s="1"/>
      <c r="R214" s="1"/>
      <c r="S214" s="1"/>
      <c r="T214" s="1"/>
      <c r="U214" s="1"/>
      <c r="V214" s="1"/>
      <c r="W214" s="1"/>
      <c r="X214" s="1"/>
      <c r="Y214" s="1"/>
      <c r="Z214" s="1"/>
      <c r="AA214" s="1"/>
    </row>
    <row r="215" customFormat="false" ht="15.75" hidden="false" customHeight="true" outlineLevel="0" collapsed="false">
      <c r="P215" s="1"/>
      <c r="Q215" s="1"/>
      <c r="R215" s="1"/>
      <c r="S215" s="1"/>
      <c r="T215" s="1"/>
      <c r="U215" s="1"/>
      <c r="V215" s="1"/>
      <c r="W215" s="1"/>
      <c r="X215" s="1"/>
      <c r="Y215" s="1"/>
      <c r="Z215" s="1"/>
      <c r="AA215" s="1"/>
    </row>
    <row r="216" customFormat="false" ht="15.75" hidden="false" customHeight="true" outlineLevel="0" collapsed="false">
      <c r="P216" s="1"/>
      <c r="Q216" s="1"/>
      <c r="R216" s="1"/>
      <c r="S216" s="1"/>
      <c r="T216" s="1"/>
      <c r="U216" s="1"/>
      <c r="V216" s="1"/>
      <c r="W216" s="1"/>
      <c r="X216" s="1"/>
      <c r="Y216" s="1"/>
      <c r="Z216" s="1"/>
      <c r="AA216" s="1"/>
    </row>
    <row r="217" customFormat="false" ht="15.75" hidden="false" customHeight="true" outlineLevel="0" collapsed="false">
      <c r="P217" s="1"/>
      <c r="Q217" s="1"/>
      <c r="R217" s="1"/>
      <c r="S217" s="1"/>
      <c r="T217" s="1"/>
      <c r="U217" s="1"/>
      <c r="V217" s="1"/>
      <c r="W217" s="1"/>
      <c r="X217" s="1"/>
      <c r="Y217" s="1"/>
      <c r="Z217" s="1"/>
      <c r="AA217" s="1"/>
    </row>
    <row r="218" customFormat="false" ht="15.75" hidden="false" customHeight="true" outlineLevel="0" collapsed="false">
      <c r="P218" s="1"/>
      <c r="Q218" s="1"/>
      <c r="R218" s="1"/>
      <c r="S218" s="1"/>
      <c r="T218" s="1"/>
      <c r="U218" s="1"/>
      <c r="V218" s="1"/>
      <c r="W218" s="1"/>
      <c r="X218" s="1"/>
      <c r="Y218" s="1"/>
      <c r="Z218" s="1"/>
      <c r="AA218" s="1"/>
    </row>
    <row r="219" customFormat="false" ht="15.75" hidden="false" customHeight="true" outlineLevel="0" collapsed="false">
      <c r="P219" s="1"/>
      <c r="Q219" s="1"/>
      <c r="R219" s="1"/>
      <c r="S219" s="1"/>
      <c r="T219" s="1"/>
      <c r="U219" s="1"/>
      <c r="V219" s="1"/>
      <c r="W219" s="1"/>
      <c r="X219" s="1"/>
      <c r="Y219" s="1"/>
      <c r="Z219" s="1"/>
      <c r="AA219" s="1"/>
    </row>
    <row r="220" customFormat="false" ht="15.75" hidden="false" customHeight="true" outlineLevel="0" collapsed="false">
      <c r="P220" s="1"/>
      <c r="Q220" s="1"/>
      <c r="R220" s="1"/>
      <c r="S220" s="1"/>
      <c r="T220" s="1"/>
      <c r="U220" s="1"/>
      <c r="V220" s="1"/>
      <c r="W220" s="1"/>
      <c r="X220" s="1"/>
      <c r="Y220" s="1"/>
      <c r="Z220" s="1"/>
      <c r="AA220" s="1"/>
    </row>
    <row r="221" customFormat="false" ht="15.75" hidden="false" customHeight="true" outlineLevel="0" collapsed="false">
      <c r="P221" s="1"/>
      <c r="Q221" s="1"/>
      <c r="R221" s="1"/>
      <c r="S221" s="1"/>
      <c r="T221" s="1"/>
      <c r="U221" s="1"/>
      <c r="V221" s="1"/>
      <c r="W221" s="1"/>
      <c r="X221" s="1"/>
      <c r="Y221" s="1"/>
      <c r="Z221" s="1"/>
      <c r="AA221" s="1"/>
    </row>
    <row r="222" customFormat="false" ht="15.75" hidden="false" customHeight="true" outlineLevel="0" collapsed="false">
      <c r="P222" s="1"/>
      <c r="Q222" s="1"/>
      <c r="R222" s="1"/>
      <c r="S222" s="1"/>
      <c r="T222" s="1"/>
      <c r="U222" s="1"/>
      <c r="V222" s="1"/>
      <c r="W222" s="1"/>
      <c r="X222" s="1"/>
      <c r="Y222" s="1"/>
      <c r="Z222" s="1"/>
      <c r="AA222" s="1"/>
    </row>
    <row r="223" customFormat="false" ht="15.75" hidden="false" customHeight="true" outlineLevel="0" collapsed="false">
      <c r="P223" s="1"/>
      <c r="Q223" s="1"/>
      <c r="R223" s="1"/>
      <c r="S223" s="1"/>
      <c r="T223" s="1"/>
      <c r="U223" s="1"/>
      <c r="V223" s="1"/>
      <c r="W223" s="1"/>
      <c r="X223" s="1"/>
      <c r="Y223" s="1"/>
      <c r="Z223" s="1"/>
      <c r="AA223" s="1"/>
    </row>
    <row r="224" customFormat="false" ht="15.75" hidden="false" customHeight="true" outlineLevel="0" collapsed="false">
      <c r="P224" s="1"/>
      <c r="Q224" s="1"/>
      <c r="R224" s="1"/>
      <c r="S224" s="1"/>
      <c r="T224" s="1"/>
      <c r="U224" s="1"/>
      <c r="V224" s="1"/>
      <c r="W224" s="1"/>
      <c r="X224" s="1"/>
      <c r="Y224" s="1"/>
      <c r="Z224" s="1"/>
      <c r="AA224" s="1"/>
    </row>
    <row r="225" customFormat="false" ht="15.75" hidden="false" customHeight="true" outlineLevel="0" collapsed="false">
      <c r="P225" s="1"/>
      <c r="Q225" s="1"/>
      <c r="R225" s="1"/>
      <c r="S225" s="1"/>
      <c r="T225" s="1"/>
      <c r="U225" s="1"/>
      <c r="V225" s="1"/>
      <c r="W225" s="1"/>
      <c r="X225" s="1"/>
      <c r="Y225" s="1"/>
      <c r="Z225" s="1"/>
      <c r="AA225" s="1"/>
    </row>
    <row r="226" customFormat="false" ht="15.75" hidden="false" customHeight="true" outlineLevel="0" collapsed="false">
      <c r="P226" s="1"/>
      <c r="Q226" s="1"/>
      <c r="R226" s="1"/>
      <c r="S226" s="1"/>
      <c r="T226" s="1"/>
      <c r="U226" s="1"/>
      <c r="V226" s="1"/>
      <c r="W226" s="1"/>
      <c r="X226" s="1"/>
      <c r="Y226" s="1"/>
      <c r="Z226" s="1"/>
      <c r="AA226" s="1"/>
    </row>
    <row r="227" customFormat="false" ht="15.75" hidden="false" customHeight="true" outlineLevel="0" collapsed="false">
      <c r="P227" s="1"/>
      <c r="Q227" s="1"/>
      <c r="R227" s="1"/>
      <c r="S227" s="1"/>
      <c r="T227" s="1"/>
      <c r="U227" s="1"/>
      <c r="V227" s="1"/>
      <c r="W227" s="1"/>
      <c r="X227" s="1"/>
      <c r="Y227" s="1"/>
      <c r="Z227" s="1"/>
      <c r="AA227" s="1"/>
    </row>
    <row r="228" customFormat="false" ht="15.75" hidden="false" customHeight="true" outlineLevel="0" collapsed="false">
      <c r="P228" s="1"/>
      <c r="Q228" s="1"/>
      <c r="R228" s="1"/>
      <c r="S228" s="1"/>
      <c r="T228" s="1"/>
      <c r="U228" s="1"/>
      <c r="V228" s="1"/>
      <c r="W228" s="1"/>
      <c r="X228" s="1"/>
      <c r="Y228" s="1"/>
      <c r="Z228" s="1"/>
      <c r="AA228" s="1"/>
    </row>
    <row r="229" customFormat="false" ht="15.75" hidden="false" customHeight="true" outlineLevel="0" collapsed="false">
      <c r="P229" s="1"/>
      <c r="Q229" s="1"/>
      <c r="R229" s="1"/>
      <c r="S229" s="1"/>
      <c r="T229" s="1"/>
      <c r="U229" s="1"/>
      <c r="V229" s="1"/>
      <c r="W229" s="1"/>
      <c r="X229" s="1"/>
      <c r="Y229" s="1"/>
      <c r="Z229" s="1"/>
      <c r="AA229" s="1"/>
    </row>
    <row r="230" customFormat="false" ht="15.75" hidden="false" customHeight="true" outlineLevel="0" collapsed="false">
      <c r="P230" s="1"/>
      <c r="Q230" s="1"/>
      <c r="R230" s="1"/>
      <c r="S230" s="1"/>
      <c r="T230" s="1"/>
      <c r="U230" s="1"/>
      <c r="V230" s="1"/>
      <c r="W230" s="1"/>
      <c r="X230" s="1"/>
      <c r="Y230" s="1"/>
      <c r="Z230" s="1"/>
      <c r="AA230" s="1"/>
    </row>
    <row r="231" customFormat="false" ht="15.75" hidden="false" customHeight="true" outlineLevel="0" collapsed="false">
      <c r="P231" s="1"/>
      <c r="Q231" s="1"/>
      <c r="R231" s="1"/>
      <c r="S231" s="1"/>
      <c r="T231" s="1"/>
      <c r="U231" s="1"/>
      <c r="V231" s="1"/>
      <c r="W231" s="1"/>
      <c r="X231" s="1"/>
      <c r="Y231" s="1"/>
      <c r="Z231" s="1"/>
      <c r="AA231" s="1"/>
    </row>
    <row r="232" customFormat="false" ht="15.75" hidden="false" customHeight="true" outlineLevel="0" collapsed="false">
      <c r="P232" s="1"/>
      <c r="Q232" s="1"/>
      <c r="R232" s="1"/>
      <c r="S232" s="1"/>
      <c r="T232" s="1"/>
      <c r="U232" s="1"/>
      <c r="V232" s="1"/>
      <c r="W232" s="1"/>
      <c r="X232" s="1"/>
      <c r="Y232" s="1"/>
      <c r="Z232" s="1"/>
      <c r="AA232" s="1"/>
    </row>
    <row r="233" customFormat="false" ht="15.75" hidden="false" customHeight="true" outlineLevel="0" collapsed="false">
      <c r="P233" s="1"/>
      <c r="Q233" s="1"/>
      <c r="R233" s="1"/>
      <c r="S233" s="1"/>
      <c r="T233" s="1"/>
      <c r="U233" s="1"/>
      <c r="V233" s="1"/>
      <c r="W233" s="1"/>
      <c r="X233" s="1"/>
      <c r="Y233" s="1"/>
      <c r="Z233" s="1"/>
      <c r="AA233" s="1"/>
    </row>
    <row r="234" customFormat="false" ht="15.75" hidden="false" customHeight="true" outlineLevel="0" collapsed="false">
      <c r="P234" s="1"/>
      <c r="Q234" s="1"/>
      <c r="R234" s="1"/>
      <c r="S234" s="1"/>
      <c r="T234" s="1"/>
      <c r="U234" s="1"/>
      <c r="V234" s="1"/>
      <c r="W234" s="1"/>
      <c r="X234" s="1"/>
      <c r="Y234" s="1"/>
      <c r="Z234" s="1"/>
      <c r="AA234" s="1"/>
    </row>
    <row r="235" customFormat="false" ht="15.75" hidden="false" customHeight="true" outlineLevel="0" collapsed="false">
      <c r="P235" s="1"/>
      <c r="Q235" s="1"/>
      <c r="R235" s="1"/>
      <c r="S235" s="1"/>
      <c r="T235" s="1"/>
      <c r="U235" s="1"/>
      <c r="V235" s="1"/>
      <c r="W235" s="1"/>
      <c r="X235" s="1"/>
      <c r="Y235" s="1"/>
      <c r="Z235" s="1"/>
      <c r="AA235" s="1"/>
    </row>
    <row r="236" customFormat="false" ht="15.75" hidden="false" customHeight="true" outlineLevel="0" collapsed="false">
      <c r="P236" s="1"/>
      <c r="Q236" s="1"/>
      <c r="R236" s="1"/>
      <c r="S236" s="1"/>
      <c r="T236" s="1"/>
      <c r="U236" s="1"/>
      <c r="V236" s="1"/>
      <c r="W236" s="1"/>
      <c r="X236" s="1"/>
      <c r="Y236" s="1"/>
      <c r="Z236" s="1"/>
      <c r="AA236" s="1"/>
    </row>
    <row r="237" customFormat="false" ht="15.75" hidden="false" customHeight="true" outlineLevel="0" collapsed="false">
      <c r="P237" s="1"/>
      <c r="Q237" s="1"/>
      <c r="R237" s="1"/>
      <c r="S237" s="1"/>
      <c r="T237" s="1"/>
      <c r="U237" s="1"/>
      <c r="V237" s="1"/>
      <c r="W237" s="1"/>
      <c r="X237" s="1"/>
      <c r="Y237" s="1"/>
      <c r="Z237" s="1"/>
      <c r="AA237" s="1"/>
    </row>
    <row r="238" customFormat="false" ht="15.75" hidden="false" customHeight="true" outlineLevel="0" collapsed="false">
      <c r="P238" s="1"/>
      <c r="Q238" s="1"/>
      <c r="R238" s="1"/>
      <c r="S238" s="1"/>
      <c r="T238" s="1"/>
      <c r="U238" s="1"/>
      <c r="V238" s="1"/>
      <c r="W238" s="1"/>
      <c r="X238" s="1"/>
      <c r="Y238" s="1"/>
      <c r="Z238" s="1"/>
      <c r="AA238" s="1"/>
    </row>
    <row r="239" customFormat="false" ht="15.75" hidden="false" customHeight="true" outlineLevel="0" collapsed="false">
      <c r="P239" s="1"/>
      <c r="Q239" s="1"/>
      <c r="R239" s="1"/>
      <c r="S239" s="1"/>
      <c r="T239" s="1"/>
      <c r="U239" s="1"/>
      <c r="V239" s="1"/>
      <c r="W239" s="1"/>
      <c r="X239" s="1"/>
      <c r="Y239" s="1"/>
      <c r="Z239" s="1"/>
      <c r="AA239" s="1"/>
    </row>
    <row r="240" customFormat="false" ht="15.75" hidden="false" customHeight="true" outlineLevel="0" collapsed="false">
      <c r="P240" s="1"/>
      <c r="Q240" s="1"/>
      <c r="R240" s="1"/>
      <c r="S240" s="1"/>
      <c r="T240" s="1"/>
      <c r="U240" s="1"/>
      <c r="V240" s="1"/>
      <c r="W240" s="1"/>
      <c r="X240" s="1"/>
      <c r="Y240" s="1"/>
      <c r="Z240" s="1"/>
      <c r="AA240" s="1"/>
    </row>
    <row r="241" customFormat="false" ht="15.75" hidden="false" customHeight="true" outlineLevel="0" collapsed="false">
      <c r="P241" s="1"/>
      <c r="Q241" s="1"/>
      <c r="R241" s="1"/>
      <c r="S241" s="1"/>
      <c r="T241" s="1"/>
      <c r="U241" s="1"/>
      <c r="V241" s="1"/>
      <c r="W241" s="1"/>
      <c r="X241" s="1"/>
      <c r="Y241" s="1"/>
      <c r="Z241" s="1"/>
      <c r="AA241" s="1"/>
    </row>
    <row r="242" customFormat="false" ht="15.75" hidden="false" customHeight="true" outlineLevel="0" collapsed="false">
      <c r="P242" s="1"/>
      <c r="Q242" s="1"/>
      <c r="R242" s="1"/>
      <c r="S242" s="1"/>
      <c r="T242" s="1"/>
      <c r="U242" s="1"/>
      <c r="V242" s="1"/>
      <c r="W242" s="1"/>
      <c r="X242" s="1"/>
      <c r="Y242" s="1"/>
      <c r="Z242" s="1"/>
      <c r="AA242" s="1"/>
    </row>
    <row r="243" customFormat="false" ht="15.75" hidden="false" customHeight="true" outlineLevel="0" collapsed="false">
      <c r="P243" s="1"/>
      <c r="Q243" s="1"/>
      <c r="R243" s="1"/>
      <c r="S243" s="1"/>
      <c r="T243" s="1"/>
      <c r="U243" s="1"/>
      <c r="V243" s="1"/>
      <c r="W243" s="1"/>
      <c r="X243" s="1"/>
      <c r="Y243" s="1"/>
      <c r="Z243" s="1"/>
      <c r="AA243" s="1"/>
    </row>
    <row r="244" customFormat="false" ht="15.75" hidden="false" customHeight="true" outlineLevel="0" collapsed="false">
      <c r="P244" s="1"/>
      <c r="Q244" s="1"/>
      <c r="R244" s="1"/>
      <c r="S244" s="1"/>
      <c r="T244" s="1"/>
      <c r="U244" s="1"/>
      <c r="V244" s="1"/>
      <c r="W244" s="1"/>
      <c r="X244" s="1"/>
      <c r="Y244" s="1"/>
      <c r="Z244" s="1"/>
      <c r="AA244" s="1"/>
    </row>
    <row r="245" customFormat="false" ht="15.75" hidden="false" customHeight="true" outlineLevel="0" collapsed="false">
      <c r="P245" s="1"/>
      <c r="Q245" s="1"/>
      <c r="R245" s="1"/>
      <c r="S245" s="1"/>
      <c r="T245" s="1"/>
      <c r="U245" s="1"/>
      <c r="V245" s="1"/>
      <c r="W245" s="1"/>
      <c r="X245" s="1"/>
      <c r="Y245" s="1"/>
      <c r="Z245" s="1"/>
      <c r="AA245" s="1"/>
    </row>
    <row r="246" customFormat="false" ht="15.75" hidden="false" customHeight="true" outlineLevel="0" collapsed="false">
      <c r="P246" s="1"/>
      <c r="Q246" s="1"/>
      <c r="R246" s="1"/>
      <c r="S246" s="1"/>
      <c r="T246" s="1"/>
      <c r="U246" s="1"/>
      <c r="V246" s="1"/>
      <c r="W246" s="1"/>
      <c r="X246" s="1"/>
      <c r="Y246" s="1"/>
      <c r="Z246" s="1"/>
      <c r="AA246" s="1"/>
    </row>
    <row r="247" customFormat="false" ht="15.75" hidden="false" customHeight="true" outlineLevel="0" collapsed="false">
      <c r="P247" s="1"/>
      <c r="Q247" s="1"/>
      <c r="R247" s="1"/>
      <c r="S247" s="1"/>
      <c r="T247" s="1"/>
      <c r="U247" s="1"/>
      <c r="V247" s="1"/>
      <c r="W247" s="1"/>
      <c r="X247" s="1"/>
      <c r="Y247" s="1"/>
      <c r="Z247" s="1"/>
      <c r="AA247" s="1"/>
    </row>
    <row r="248" customFormat="false" ht="15.75" hidden="false" customHeight="true" outlineLevel="0" collapsed="false">
      <c r="P248" s="1"/>
      <c r="Q248" s="1"/>
      <c r="R248" s="1"/>
      <c r="S248" s="1"/>
      <c r="T248" s="1"/>
      <c r="U248" s="1"/>
      <c r="V248" s="1"/>
      <c r="W248" s="1"/>
      <c r="X248" s="1"/>
      <c r="Y248" s="1"/>
      <c r="Z248" s="1"/>
      <c r="AA248" s="1"/>
    </row>
    <row r="249" customFormat="false" ht="15.75" hidden="false" customHeight="true" outlineLevel="0" collapsed="false">
      <c r="P249" s="1"/>
      <c r="Q249" s="1"/>
      <c r="R249" s="1"/>
      <c r="S249" s="1"/>
      <c r="T249" s="1"/>
      <c r="U249" s="1"/>
      <c r="V249" s="1"/>
      <c r="W249" s="1"/>
      <c r="X249" s="1"/>
      <c r="Y249" s="1"/>
      <c r="Z249" s="1"/>
      <c r="AA249" s="1"/>
    </row>
    <row r="250" customFormat="false" ht="15.75" hidden="false" customHeight="true" outlineLevel="0" collapsed="false">
      <c r="P250" s="1"/>
      <c r="Q250" s="1"/>
      <c r="R250" s="1"/>
      <c r="S250" s="1"/>
      <c r="T250" s="1"/>
      <c r="U250" s="1"/>
      <c r="V250" s="1"/>
      <c r="W250" s="1"/>
      <c r="X250" s="1"/>
      <c r="Y250" s="1"/>
      <c r="Z250" s="1"/>
      <c r="AA250" s="1"/>
    </row>
    <row r="251" customFormat="false" ht="15.75" hidden="false" customHeight="true" outlineLevel="0" collapsed="false">
      <c r="P251" s="1"/>
      <c r="Q251" s="1"/>
      <c r="R251" s="1"/>
      <c r="S251" s="1"/>
      <c r="T251" s="1"/>
      <c r="U251" s="1"/>
      <c r="V251" s="1"/>
      <c r="W251" s="1"/>
      <c r="X251" s="1"/>
      <c r="Y251" s="1"/>
      <c r="Z251" s="1"/>
      <c r="AA251" s="1"/>
    </row>
    <row r="252" customFormat="false" ht="15.75" hidden="false" customHeight="true" outlineLevel="0" collapsed="false">
      <c r="P252" s="1"/>
      <c r="Q252" s="1"/>
      <c r="R252" s="1"/>
      <c r="S252" s="1"/>
      <c r="T252" s="1"/>
      <c r="U252" s="1"/>
      <c r="V252" s="1"/>
      <c r="W252" s="1"/>
      <c r="X252" s="1"/>
      <c r="Y252" s="1"/>
      <c r="Z252" s="1"/>
      <c r="AA252" s="1"/>
    </row>
    <row r="253" customFormat="false" ht="15.75" hidden="false" customHeight="true" outlineLevel="0" collapsed="false">
      <c r="P253" s="1"/>
      <c r="Q253" s="1"/>
      <c r="R253" s="1"/>
      <c r="S253" s="1"/>
      <c r="T253" s="1"/>
      <c r="U253" s="1"/>
      <c r="V253" s="1"/>
      <c r="W253" s="1"/>
      <c r="X253" s="1"/>
      <c r="Y253" s="1"/>
      <c r="Z253" s="1"/>
      <c r="AA253" s="1"/>
    </row>
    <row r="254" customFormat="false" ht="15.75" hidden="false" customHeight="true" outlineLevel="0" collapsed="false">
      <c r="P254" s="1"/>
      <c r="Q254" s="1"/>
      <c r="R254" s="1"/>
      <c r="S254" s="1"/>
      <c r="T254" s="1"/>
      <c r="U254" s="1"/>
      <c r="V254" s="1"/>
      <c r="W254" s="1"/>
      <c r="X254" s="1"/>
      <c r="Y254" s="1"/>
      <c r="Z254" s="1"/>
      <c r="AA254" s="1"/>
    </row>
    <row r="255" customFormat="false" ht="15.75" hidden="false" customHeight="true" outlineLevel="0" collapsed="false">
      <c r="P255" s="1"/>
      <c r="Q255" s="1"/>
      <c r="R255" s="1"/>
      <c r="S255" s="1"/>
      <c r="T255" s="1"/>
      <c r="U255" s="1"/>
      <c r="V255" s="1"/>
      <c r="W255" s="1"/>
      <c r="X255" s="1"/>
      <c r="Y255" s="1"/>
      <c r="Z255" s="1"/>
      <c r="AA255" s="1"/>
    </row>
    <row r="256" customFormat="false" ht="15.75" hidden="false" customHeight="true" outlineLevel="0" collapsed="false">
      <c r="P256" s="1"/>
      <c r="Q256" s="1"/>
      <c r="R256" s="1"/>
      <c r="S256" s="1"/>
      <c r="T256" s="1"/>
      <c r="U256" s="1"/>
      <c r="V256" s="1"/>
      <c r="W256" s="1"/>
      <c r="X256" s="1"/>
      <c r="Y256" s="1"/>
      <c r="Z256" s="1"/>
      <c r="AA256" s="1"/>
    </row>
    <row r="257" customFormat="false" ht="15.75" hidden="false" customHeight="true" outlineLevel="0" collapsed="false">
      <c r="P257" s="1"/>
      <c r="Q257" s="1"/>
      <c r="R257" s="1"/>
      <c r="S257" s="1"/>
      <c r="T257" s="1"/>
      <c r="U257" s="1"/>
      <c r="V257" s="1"/>
      <c r="W257" s="1"/>
      <c r="X257" s="1"/>
      <c r="Y257" s="1"/>
      <c r="Z257" s="1"/>
      <c r="AA257" s="1"/>
    </row>
    <row r="258" customFormat="false" ht="15.75" hidden="false" customHeight="true" outlineLevel="0" collapsed="false">
      <c r="P258" s="1"/>
      <c r="Q258" s="1"/>
      <c r="R258" s="1"/>
      <c r="S258" s="1"/>
      <c r="T258" s="1"/>
      <c r="U258" s="1"/>
      <c r="V258" s="1"/>
      <c r="W258" s="1"/>
      <c r="X258" s="1"/>
      <c r="Y258" s="1"/>
      <c r="Z258" s="1"/>
      <c r="AA258" s="1"/>
    </row>
    <row r="259" customFormat="false" ht="15.75" hidden="false" customHeight="true" outlineLevel="0" collapsed="false">
      <c r="P259" s="1"/>
      <c r="Q259" s="1"/>
      <c r="R259" s="1"/>
      <c r="S259" s="1"/>
      <c r="T259" s="1"/>
      <c r="U259" s="1"/>
      <c r="V259" s="1"/>
      <c r="W259" s="1"/>
      <c r="X259" s="1"/>
      <c r="Y259" s="1"/>
      <c r="Z259" s="1"/>
      <c r="AA259" s="1"/>
    </row>
    <row r="260" customFormat="false" ht="15.75" hidden="false" customHeight="true" outlineLevel="0" collapsed="false">
      <c r="P260" s="1"/>
      <c r="Q260" s="1"/>
      <c r="R260" s="1"/>
      <c r="S260" s="1"/>
      <c r="T260" s="1"/>
      <c r="U260" s="1"/>
      <c r="V260" s="1"/>
      <c r="W260" s="1"/>
      <c r="X260" s="1"/>
      <c r="Y260" s="1"/>
      <c r="Z260" s="1"/>
      <c r="AA260" s="1"/>
    </row>
    <row r="261" customFormat="false" ht="15.75" hidden="false" customHeight="true" outlineLevel="0" collapsed="false">
      <c r="P261" s="1"/>
      <c r="Q261" s="1"/>
      <c r="R261" s="1"/>
      <c r="S261" s="1"/>
      <c r="T261" s="1"/>
      <c r="U261" s="1"/>
      <c r="V261" s="1"/>
      <c r="W261" s="1"/>
      <c r="X261" s="1"/>
      <c r="Y261" s="1"/>
      <c r="Z261" s="1"/>
      <c r="AA261" s="1"/>
    </row>
    <row r="262" customFormat="false" ht="15.75" hidden="false" customHeight="true" outlineLevel="0" collapsed="false">
      <c r="P262" s="1"/>
      <c r="Q262" s="1"/>
      <c r="R262" s="1"/>
      <c r="S262" s="1"/>
      <c r="T262" s="1"/>
      <c r="U262" s="1"/>
      <c r="V262" s="1"/>
      <c r="W262" s="1"/>
      <c r="X262" s="1"/>
      <c r="Y262" s="1"/>
      <c r="Z262" s="1"/>
      <c r="AA262" s="1"/>
    </row>
    <row r="263" customFormat="false" ht="15.75" hidden="false" customHeight="true" outlineLevel="0" collapsed="false">
      <c r="P263" s="1"/>
      <c r="Q263" s="1"/>
      <c r="R263" s="1"/>
      <c r="S263" s="1"/>
      <c r="T263" s="1"/>
      <c r="U263" s="1"/>
      <c r="V263" s="1"/>
      <c r="W263" s="1"/>
      <c r="X263" s="1"/>
      <c r="Y263" s="1"/>
      <c r="Z263" s="1"/>
      <c r="AA263" s="1"/>
    </row>
    <row r="264" customFormat="false" ht="15.75" hidden="false" customHeight="true" outlineLevel="0" collapsed="false">
      <c r="P264" s="1"/>
      <c r="Q264" s="1"/>
      <c r="R264" s="1"/>
      <c r="S264" s="1"/>
      <c r="T264" s="1"/>
      <c r="U264" s="1"/>
      <c r="V264" s="1"/>
      <c r="W264" s="1"/>
      <c r="X264" s="1"/>
      <c r="Y264" s="1"/>
      <c r="Z264" s="1"/>
      <c r="AA264" s="1"/>
    </row>
    <row r="265" customFormat="false" ht="15.75" hidden="false" customHeight="true" outlineLevel="0" collapsed="false">
      <c r="P265" s="1"/>
      <c r="Q265" s="1"/>
      <c r="R265" s="1"/>
      <c r="S265" s="1"/>
      <c r="T265" s="1"/>
      <c r="U265" s="1"/>
      <c r="V265" s="1"/>
      <c r="W265" s="1"/>
      <c r="X265" s="1"/>
      <c r="Y265" s="1"/>
      <c r="Z265" s="1"/>
      <c r="AA265" s="1"/>
    </row>
    <row r="266" customFormat="false" ht="15.75" hidden="false" customHeight="true" outlineLevel="0" collapsed="false">
      <c r="P266" s="1"/>
      <c r="Q266" s="1"/>
      <c r="R266" s="1"/>
      <c r="S266" s="1"/>
      <c r="T266" s="1"/>
      <c r="U266" s="1"/>
      <c r="V266" s="1"/>
      <c r="W266" s="1"/>
      <c r="X266" s="1"/>
      <c r="Y266" s="1"/>
      <c r="Z266" s="1"/>
      <c r="AA266" s="1"/>
    </row>
    <row r="267" customFormat="false" ht="15.75" hidden="false" customHeight="true" outlineLevel="0" collapsed="false">
      <c r="P267" s="1"/>
      <c r="Q267" s="1"/>
      <c r="R267" s="1"/>
      <c r="S267" s="1"/>
      <c r="T267" s="1"/>
      <c r="U267" s="1"/>
      <c r="V267" s="1"/>
      <c r="W267" s="1"/>
      <c r="X267" s="1"/>
      <c r="Y267" s="1"/>
      <c r="Z267" s="1"/>
      <c r="AA267" s="1"/>
    </row>
    <row r="268" customFormat="false" ht="15.75" hidden="false" customHeight="true" outlineLevel="0" collapsed="false">
      <c r="P268" s="1"/>
      <c r="Q268" s="1"/>
      <c r="R268" s="1"/>
      <c r="S268" s="1"/>
      <c r="T268" s="1"/>
      <c r="U268" s="1"/>
      <c r="V268" s="1"/>
      <c r="W268" s="1"/>
      <c r="X268" s="1"/>
      <c r="Y268" s="1"/>
      <c r="Z268" s="1"/>
      <c r="AA268" s="1"/>
    </row>
    <row r="269" customFormat="false" ht="15.75" hidden="false" customHeight="true" outlineLevel="0" collapsed="false">
      <c r="P269" s="1"/>
      <c r="Q269" s="1"/>
      <c r="R269" s="1"/>
      <c r="S269" s="1"/>
      <c r="T269" s="1"/>
      <c r="U269" s="1"/>
      <c r="V269" s="1"/>
      <c r="W269" s="1"/>
      <c r="X269" s="1"/>
      <c r="Y269" s="1"/>
      <c r="Z269" s="1"/>
      <c r="AA269" s="1"/>
    </row>
    <row r="270" customFormat="false" ht="15.75" hidden="false" customHeight="true" outlineLevel="0" collapsed="false">
      <c r="P270" s="1"/>
      <c r="Q270" s="1"/>
      <c r="R270" s="1"/>
      <c r="S270" s="1"/>
      <c r="T270" s="1"/>
      <c r="U270" s="1"/>
      <c r="V270" s="1"/>
      <c r="W270" s="1"/>
      <c r="X270" s="1"/>
      <c r="Y270" s="1"/>
      <c r="Z270" s="1"/>
      <c r="AA270" s="1"/>
    </row>
    <row r="271" customFormat="false" ht="15.75" hidden="false" customHeight="true" outlineLevel="0" collapsed="false">
      <c r="P271" s="1"/>
      <c r="Q271" s="1"/>
      <c r="R271" s="1"/>
      <c r="S271" s="1"/>
      <c r="T271" s="1"/>
      <c r="U271" s="1"/>
      <c r="V271" s="1"/>
      <c r="W271" s="1"/>
      <c r="X271" s="1"/>
      <c r="Y271" s="1"/>
      <c r="Z271" s="1"/>
      <c r="AA271" s="1"/>
    </row>
    <row r="272" customFormat="false" ht="15.75" hidden="false" customHeight="true" outlineLevel="0" collapsed="false">
      <c r="P272" s="1"/>
      <c r="Q272" s="1"/>
      <c r="R272" s="1"/>
      <c r="S272" s="1"/>
      <c r="T272" s="1"/>
      <c r="U272" s="1"/>
      <c r="V272" s="1"/>
      <c r="W272" s="1"/>
      <c r="X272" s="1"/>
      <c r="Y272" s="1"/>
      <c r="Z272" s="1"/>
      <c r="AA272" s="1"/>
    </row>
    <row r="273" customFormat="false" ht="15.75" hidden="false" customHeight="true" outlineLevel="0" collapsed="false">
      <c r="P273" s="1"/>
      <c r="Q273" s="1"/>
      <c r="R273" s="1"/>
      <c r="S273" s="1"/>
      <c r="T273" s="1"/>
      <c r="U273" s="1"/>
      <c r="V273" s="1"/>
      <c r="W273" s="1"/>
      <c r="X273" s="1"/>
      <c r="Y273" s="1"/>
      <c r="Z273" s="1"/>
      <c r="AA273" s="1"/>
    </row>
    <row r="274" customFormat="false" ht="15.75" hidden="false" customHeight="true" outlineLevel="0" collapsed="false">
      <c r="P274" s="1"/>
      <c r="Q274" s="1"/>
      <c r="R274" s="1"/>
      <c r="S274" s="1"/>
      <c r="T274" s="1"/>
      <c r="U274" s="1"/>
      <c r="V274" s="1"/>
      <c r="W274" s="1"/>
      <c r="X274" s="1"/>
      <c r="Y274" s="1"/>
      <c r="Z274" s="1"/>
      <c r="AA274" s="1"/>
    </row>
    <row r="275" customFormat="false" ht="15.75" hidden="false" customHeight="true" outlineLevel="0" collapsed="false">
      <c r="P275" s="1"/>
      <c r="Q275" s="1"/>
      <c r="R275" s="1"/>
      <c r="S275" s="1"/>
      <c r="T275" s="1"/>
      <c r="U275" s="1"/>
      <c r="V275" s="1"/>
      <c r="W275" s="1"/>
      <c r="X275" s="1"/>
      <c r="Y275" s="1"/>
      <c r="Z275" s="1"/>
      <c r="AA275" s="1"/>
    </row>
    <row r="276" customFormat="false" ht="15.75" hidden="false" customHeight="true" outlineLevel="0" collapsed="false">
      <c r="P276" s="1"/>
      <c r="Q276" s="1"/>
      <c r="R276" s="1"/>
      <c r="S276" s="1"/>
      <c r="T276" s="1"/>
      <c r="U276" s="1"/>
      <c r="V276" s="1"/>
      <c r="W276" s="1"/>
      <c r="X276" s="1"/>
      <c r="Y276" s="1"/>
      <c r="Z276" s="1"/>
      <c r="AA276" s="1"/>
    </row>
    <row r="277" customFormat="false" ht="15.75" hidden="false" customHeight="true" outlineLevel="0" collapsed="false">
      <c r="P277" s="1"/>
      <c r="Q277" s="1"/>
      <c r="R277" s="1"/>
      <c r="S277" s="1"/>
      <c r="T277" s="1"/>
      <c r="U277" s="1"/>
      <c r="V277" s="1"/>
      <c r="W277" s="1"/>
      <c r="X277" s="1"/>
      <c r="Y277" s="1"/>
      <c r="Z277" s="1"/>
      <c r="AA277" s="1"/>
    </row>
    <row r="278" customFormat="false" ht="15.75" hidden="false" customHeight="true" outlineLevel="0" collapsed="false">
      <c r="P278" s="1"/>
      <c r="Q278" s="1"/>
      <c r="R278" s="1"/>
      <c r="S278" s="1"/>
      <c r="T278" s="1"/>
      <c r="U278" s="1"/>
      <c r="V278" s="1"/>
      <c r="W278" s="1"/>
      <c r="X278" s="1"/>
      <c r="Y278" s="1"/>
      <c r="Z278" s="1"/>
      <c r="AA278" s="1"/>
    </row>
    <row r="279" customFormat="false" ht="15.75" hidden="false" customHeight="true" outlineLevel="0" collapsed="false">
      <c r="P279" s="1"/>
      <c r="Q279" s="1"/>
      <c r="R279" s="1"/>
      <c r="S279" s="1"/>
      <c r="T279" s="1"/>
      <c r="U279" s="1"/>
      <c r="V279" s="1"/>
      <c r="W279" s="1"/>
      <c r="X279" s="1"/>
      <c r="Y279" s="1"/>
      <c r="Z279" s="1"/>
      <c r="AA279" s="1"/>
    </row>
    <row r="280" customFormat="false" ht="15.75" hidden="false" customHeight="true" outlineLevel="0" collapsed="false">
      <c r="P280" s="1"/>
      <c r="Q280" s="1"/>
      <c r="R280" s="1"/>
      <c r="S280" s="1"/>
      <c r="T280" s="1"/>
      <c r="U280" s="1"/>
      <c r="V280" s="1"/>
      <c r="W280" s="1"/>
      <c r="X280" s="1"/>
      <c r="Y280" s="1"/>
      <c r="Z280" s="1"/>
      <c r="AA280" s="1"/>
    </row>
    <row r="281" customFormat="false" ht="15.75" hidden="false" customHeight="true" outlineLevel="0" collapsed="false">
      <c r="P281" s="1"/>
      <c r="Q281" s="1"/>
      <c r="R281" s="1"/>
      <c r="S281" s="1"/>
      <c r="T281" s="1"/>
      <c r="U281" s="1"/>
      <c r="V281" s="1"/>
      <c r="W281" s="1"/>
      <c r="X281" s="1"/>
      <c r="Y281" s="1"/>
      <c r="Z281" s="1"/>
      <c r="AA281" s="1"/>
    </row>
    <row r="282" customFormat="false" ht="15.75" hidden="false" customHeight="true" outlineLevel="0" collapsed="false">
      <c r="P282" s="1"/>
      <c r="Q282" s="1"/>
      <c r="R282" s="1"/>
      <c r="S282" s="1"/>
      <c r="T282" s="1"/>
      <c r="U282" s="1"/>
      <c r="V282" s="1"/>
      <c r="W282" s="1"/>
      <c r="X282" s="1"/>
      <c r="Y282" s="1"/>
      <c r="Z282" s="1"/>
      <c r="AA282" s="1"/>
    </row>
    <row r="283" customFormat="false" ht="15.75" hidden="false" customHeight="true" outlineLevel="0" collapsed="false">
      <c r="P283" s="1"/>
      <c r="Q283" s="1"/>
      <c r="R283" s="1"/>
      <c r="S283" s="1"/>
      <c r="T283" s="1"/>
      <c r="U283" s="1"/>
      <c r="V283" s="1"/>
      <c r="W283" s="1"/>
      <c r="X283" s="1"/>
      <c r="Y283" s="1"/>
      <c r="Z283" s="1"/>
      <c r="AA283" s="1"/>
    </row>
    <row r="284" customFormat="false" ht="15.75" hidden="false" customHeight="true" outlineLevel="0" collapsed="false">
      <c r="P284" s="1"/>
      <c r="Q284" s="1"/>
      <c r="R284" s="1"/>
      <c r="S284" s="1"/>
      <c r="T284" s="1"/>
      <c r="U284" s="1"/>
      <c r="V284" s="1"/>
      <c r="W284" s="1"/>
      <c r="X284" s="1"/>
      <c r="Y284" s="1"/>
      <c r="Z284" s="1"/>
      <c r="AA284" s="1"/>
    </row>
    <row r="285" customFormat="false" ht="15.75" hidden="false" customHeight="true" outlineLevel="0" collapsed="false">
      <c r="P285" s="1"/>
      <c r="Q285" s="1"/>
      <c r="R285" s="1"/>
      <c r="S285" s="1"/>
      <c r="T285" s="1"/>
      <c r="U285" s="1"/>
      <c r="V285" s="1"/>
      <c r="W285" s="1"/>
      <c r="X285" s="1"/>
      <c r="Y285" s="1"/>
      <c r="Z285" s="1"/>
      <c r="AA285" s="1"/>
    </row>
    <row r="286" customFormat="false" ht="15.75" hidden="false" customHeight="true" outlineLevel="0" collapsed="false">
      <c r="P286" s="1"/>
      <c r="Q286" s="1"/>
      <c r="R286" s="1"/>
      <c r="S286" s="1"/>
      <c r="T286" s="1"/>
      <c r="U286" s="1"/>
      <c r="V286" s="1"/>
      <c r="W286" s="1"/>
      <c r="X286" s="1"/>
      <c r="Y286" s="1"/>
      <c r="Z286" s="1"/>
      <c r="AA286" s="1"/>
    </row>
    <row r="287" customFormat="false" ht="15.75" hidden="false" customHeight="true" outlineLevel="0" collapsed="false">
      <c r="P287" s="1"/>
      <c r="Q287" s="1"/>
      <c r="R287" s="1"/>
      <c r="S287" s="1"/>
      <c r="T287" s="1"/>
      <c r="U287" s="1"/>
      <c r="V287" s="1"/>
      <c r="W287" s="1"/>
      <c r="X287" s="1"/>
      <c r="Y287" s="1"/>
      <c r="Z287" s="1"/>
      <c r="AA287" s="1"/>
    </row>
    <row r="288" customFormat="false" ht="15.75" hidden="false" customHeight="true" outlineLevel="0" collapsed="false">
      <c r="P288" s="1"/>
      <c r="Q288" s="1"/>
      <c r="R288" s="1"/>
      <c r="S288" s="1"/>
      <c r="T288" s="1"/>
      <c r="U288" s="1"/>
      <c r="V288" s="1"/>
      <c r="W288" s="1"/>
      <c r="X288" s="1"/>
      <c r="Y288" s="1"/>
      <c r="Z288" s="1"/>
      <c r="AA288" s="1"/>
    </row>
    <row r="289" customFormat="false" ht="15.75" hidden="false" customHeight="true" outlineLevel="0" collapsed="false">
      <c r="P289" s="1"/>
      <c r="Q289" s="1"/>
      <c r="R289" s="1"/>
      <c r="S289" s="1"/>
      <c r="T289" s="1"/>
      <c r="U289" s="1"/>
      <c r="V289" s="1"/>
      <c r="W289" s="1"/>
      <c r="X289" s="1"/>
      <c r="Y289" s="1"/>
      <c r="Z289" s="1"/>
      <c r="AA289" s="1"/>
    </row>
    <row r="290" customFormat="false" ht="15.75" hidden="false" customHeight="true" outlineLevel="0" collapsed="false">
      <c r="P290" s="1"/>
      <c r="Q290" s="1"/>
      <c r="R290" s="1"/>
      <c r="S290" s="1"/>
      <c r="T290" s="1"/>
      <c r="U290" s="1"/>
      <c r="V290" s="1"/>
      <c r="W290" s="1"/>
      <c r="X290" s="1"/>
      <c r="Y290" s="1"/>
      <c r="Z290" s="1"/>
      <c r="AA290" s="1"/>
    </row>
    <row r="291" customFormat="false" ht="15.75" hidden="false" customHeight="true" outlineLevel="0" collapsed="false">
      <c r="P291" s="1"/>
      <c r="Q291" s="1"/>
      <c r="R291" s="1"/>
      <c r="S291" s="1"/>
      <c r="T291" s="1"/>
      <c r="U291" s="1"/>
      <c r="V291" s="1"/>
      <c r="W291" s="1"/>
      <c r="X291" s="1"/>
      <c r="Y291" s="1"/>
      <c r="Z291" s="1"/>
      <c r="AA291" s="1"/>
    </row>
    <row r="292" customFormat="false" ht="15.75" hidden="false" customHeight="true" outlineLevel="0" collapsed="false">
      <c r="P292" s="1"/>
      <c r="Q292" s="1"/>
      <c r="R292" s="1"/>
      <c r="S292" s="1"/>
      <c r="T292" s="1"/>
      <c r="U292" s="1"/>
      <c r="V292" s="1"/>
      <c r="W292" s="1"/>
      <c r="X292" s="1"/>
      <c r="Y292" s="1"/>
      <c r="Z292" s="1"/>
      <c r="AA292" s="1"/>
    </row>
    <row r="293" customFormat="false" ht="15.75" hidden="false" customHeight="true" outlineLevel="0" collapsed="false">
      <c r="P293" s="1"/>
      <c r="Q293" s="1"/>
      <c r="R293" s="1"/>
      <c r="S293" s="1"/>
      <c r="T293" s="1"/>
      <c r="U293" s="1"/>
      <c r="V293" s="1"/>
      <c r="W293" s="1"/>
      <c r="X293" s="1"/>
      <c r="Y293" s="1"/>
      <c r="Z293" s="1"/>
      <c r="AA293" s="1"/>
    </row>
    <row r="294" customFormat="false" ht="15.75" hidden="false" customHeight="true" outlineLevel="0" collapsed="false">
      <c r="P294" s="1"/>
      <c r="Q294" s="1"/>
      <c r="R294" s="1"/>
      <c r="S294" s="1"/>
      <c r="T294" s="1"/>
      <c r="U294" s="1"/>
      <c r="V294" s="1"/>
      <c r="W294" s="1"/>
      <c r="X294" s="1"/>
      <c r="Y294" s="1"/>
      <c r="Z294" s="1"/>
      <c r="AA294" s="1"/>
    </row>
    <row r="295" customFormat="false" ht="15.75" hidden="false" customHeight="true" outlineLevel="0" collapsed="false">
      <c r="P295" s="1"/>
      <c r="Q295" s="1"/>
      <c r="R295" s="1"/>
      <c r="S295" s="1"/>
      <c r="T295" s="1"/>
      <c r="U295" s="1"/>
      <c r="V295" s="1"/>
      <c r="W295" s="1"/>
      <c r="X295" s="1"/>
      <c r="Y295" s="1"/>
      <c r="Z295" s="1"/>
      <c r="AA295" s="1"/>
    </row>
    <row r="296" customFormat="false" ht="15.75" hidden="false" customHeight="true" outlineLevel="0" collapsed="false">
      <c r="P296" s="1"/>
      <c r="Q296" s="1"/>
      <c r="R296" s="1"/>
      <c r="S296" s="1"/>
      <c r="T296" s="1"/>
      <c r="U296" s="1"/>
      <c r="V296" s="1"/>
      <c r="W296" s="1"/>
      <c r="X296" s="1"/>
      <c r="Y296" s="1"/>
      <c r="Z296" s="1"/>
      <c r="AA296" s="1"/>
    </row>
    <row r="297" customFormat="false" ht="15.75" hidden="false" customHeight="true" outlineLevel="0" collapsed="false">
      <c r="P297" s="1"/>
      <c r="Q297" s="1"/>
      <c r="R297" s="1"/>
      <c r="S297" s="1"/>
      <c r="T297" s="1"/>
      <c r="U297" s="1"/>
      <c r="V297" s="1"/>
      <c r="W297" s="1"/>
      <c r="X297" s="1"/>
      <c r="Y297" s="1"/>
      <c r="Z297" s="1"/>
      <c r="AA297" s="1"/>
    </row>
    <row r="298" customFormat="false" ht="15.75" hidden="false" customHeight="true" outlineLevel="0" collapsed="false">
      <c r="P298" s="1"/>
      <c r="Q298" s="1"/>
      <c r="R298" s="1"/>
      <c r="S298" s="1"/>
      <c r="T298" s="1"/>
      <c r="U298" s="1"/>
      <c r="V298" s="1"/>
      <c r="W298" s="1"/>
      <c r="X298" s="1"/>
      <c r="Y298" s="1"/>
      <c r="Z298" s="1"/>
      <c r="AA298" s="1"/>
    </row>
    <row r="299" customFormat="false" ht="15.75" hidden="false" customHeight="true" outlineLevel="0" collapsed="false">
      <c r="P299" s="1"/>
      <c r="Q299" s="1"/>
      <c r="R299" s="1"/>
      <c r="S299" s="1"/>
      <c r="T299" s="1"/>
      <c r="U299" s="1"/>
      <c r="V299" s="1"/>
      <c r="W299" s="1"/>
      <c r="X299" s="1"/>
      <c r="Y299" s="1"/>
      <c r="Z299" s="1"/>
      <c r="AA299" s="1"/>
    </row>
    <row r="300" customFormat="false" ht="15.75" hidden="false" customHeight="true" outlineLevel="0" collapsed="false">
      <c r="P300" s="1"/>
      <c r="Q300" s="1"/>
      <c r="R300" s="1"/>
      <c r="S300" s="1"/>
      <c r="T300" s="1"/>
      <c r="U300" s="1"/>
      <c r="V300" s="1"/>
      <c r="W300" s="1"/>
      <c r="X300" s="1"/>
      <c r="Y300" s="1"/>
      <c r="Z300" s="1"/>
      <c r="AA300" s="1"/>
    </row>
    <row r="301" customFormat="false" ht="15.75" hidden="false" customHeight="true" outlineLevel="0" collapsed="false">
      <c r="P301" s="1"/>
      <c r="Q301" s="1"/>
      <c r="R301" s="1"/>
      <c r="S301" s="1"/>
      <c r="T301" s="1"/>
      <c r="U301" s="1"/>
      <c r="V301" s="1"/>
      <c r="W301" s="1"/>
      <c r="X301" s="1"/>
      <c r="Y301" s="1"/>
      <c r="Z301" s="1"/>
      <c r="AA301" s="1"/>
    </row>
    <row r="302" customFormat="false" ht="15.75" hidden="false" customHeight="true" outlineLevel="0" collapsed="false">
      <c r="P302" s="1"/>
      <c r="Q302" s="1"/>
      <c r="R302" s="1"/>
      <c r="S302" s="1"/>
      <c r="T302" s="1"/>
      <c r="U302" s="1"/>
      <c r="V302" s="1"/>
      <c r="W302" s="1"/>
      <c r="X302" s="1"/>
      <c r="Y302" s="1"/>
      <c r="Z302" s="1"/>
      <c r="AA302" s="1"/>
    </row>
    <row r="303" customFormat="false" ht="15.75" hidden="false" customHeight="true" outlineLevel="0" collapsed="false">
      <c r="P303" s="1"/>
      <c r="Q303" s="1"/>
      <c r="R303" s="1"/>
      <c r="S303" s="1"/>
      <c r="T303" s="1"/>
      <c r="U303" s="1"/>
      <c r="V303" s="1"/>
      <c r="W303" s="1"/>
      <c r="X303" s="1"/>
      <c r="Y303" s="1"/>
      <c r="Z303" s="1"/>
      <c r="AA303" s="1"/>
    </row>
    <row r="304" customFormat="false" ht="15.75" hidden="false" customHeight="true" outlineLevel="0" collapsed="false">
      <c r="P304" s="1"/>
      <c r="Q304" s="1"/>
      <c r="R304" s="1"/>
      <c r="S304" s="1"/>
      <c r="T304" s="1"/>
      <c r="U304" s="1"/>
      <c r="V304" s="1"/>
      <c r="W304" s="1"/>
      <c r="X304" s="1"/>
      <c r="Y304" s="1"/>
      <c r="Z304" s="1"/>
      <c r="AA304" s="1"/>
    </row>
    <row r="305" customFormat="false" ht="15.75" hidden="false" customHeight="true" outlineLevel="0" collapsed="false">
      <c r="P305" s="1"/>
      <c r="Q305" s="1"/>
      <c r="R305" s="1"/>
      <c r="S305" s="1"/>
      <c r="T305" s="1"/>
      <c r="U305" s="1"/>
      <c r="V305" s="1"/>
      <c r="W305" s="1"/>
      <c r="X305" s="1"/>
      <c r="Y305" s="1"/>
      <c r="Z305" s="1"/>
      <c r="AA305" s="1"/>
    </row>
    <row r="306" customFormat="false" ht="15.75" hidden="false" customHeight="true" outlineLevel="0" collapsed="false">
      <c r="P306" s="1"/>
      <c r="Q306" s="1"/>
      <c r="R306" s="1"/>
      <c r="S306" s="1"/>
      <c r="T306" s="1"/>
      <c r="U306" s="1"/>
      <c r="V306" s="1"/>
      <c r="W306" s="1"/>
      <c r="X306" s="1"/>
      <c r="Y306" s="1"/>
      <c r="Z306" s="1"/>
      <c r="AA306" s="1"/>
    </row>
    <row r="307" customFormat="false" ht="15.75" hidden="false" customHeight="true" outlineLevel="0" collapsed="false">
      <c r="P307" s="1"/>
      <c r="Q307" s="1"/>
      <c r="R307" s="1"/>
      <c r="S307" s="1"/>
      <c r="T307" s="1"/>
      <c r="U307" s="1"/>
      <c r="V307" s="1"/>
      <c r="W307" s="1"/>
      <c r="X307" s="1"/>
      <c r="Y307" s="1"/>
      <c r="Z307" s="1"/>
      <c r="AA307" s="1"/>
    </row>
    <row r="308" customFormat="false" ht="15.75" hidden="false" customHeight="true" outlineLevel="0" collapsed="false">
      <c r="P308" s="1"/>
      <c r="Q308" s="1"/>
      <c r="R308" s="1"/>
      <c r="S308" s="1"/>
      <c r="T308" s="1"/>
      <c r="U308" s="1"/>
      <c r="V308" s="1"/>
      <c r="W308" s="1"/>
      <c r="X308" s="1"/>
      <c r="Y308" s="1"/>
      <c r="Z308" s="1"/>
      <c r="AA308" s="1"/>
    </row>
    <row r="309" customFormat="false" ht="15.75" hidden="false" customHeight="true" outlineLevel="0" collapsed="false">
      <c r="P309" s="1"/>
      <c r="Q309" s="1"/>
      <c r="R309" s="1"/>
      <c r="S309" s="1"/>
      <c r="T309" s="1"/>
      <c r="U309" s="1"/>
      <c r="V309" s="1"/>
      <c r="W309" s="1"/>
      <c r="X309" s="1"/>
      <c r="Y309" s="1"/>
      <c r="Z309" s="1"/>
      <c r="AA309" s="1"/>
    </row>
    <row r="310" customFormat="false" ht="15.75" hidden="false" customHeight="true" outlineLevel="0" collapsed="false">
      <c r="P310" s="1"/>
      <c r="Q310" s="1"/>
      <c r="R310" s="1"/>
      <c r="S310" s="1"/>
      <c r="T310" s="1"/>
      <c r="U310" s="1"/>
      <c r="V310" s="1"/>
      <c r="W310" s="1"/>
      <c r="X310" s="1"/>
      <c r="Y310" s="1"/>
      <c r="Z310" s="1"/>
      <c r="AA310" s="1"/>
    </row>
    <row r="311" customFormat="false" ht="15.75" hidden="false" customHeight="true" outlineLevel="0" collapsed="false">
      <c r="P311" s="1"/>
      <c r="Q311" s="1"/>
      <c r="R311" s="1"/>
      <c r="S311" s="1"/>
      <c r="T311" s="1"/>
      <c r="U311" s="1"/>
      <c r="V311" s="1"/>
      <c r="W311" s="1"/>
      <c r="X311" s="1"/>
      <c r="Y311" s="1"/>
      <c r="Z311" s="1"/>
      <c r="AA311" s="1"/>
    </row>
    <row r="312" customFormat="false" ht="15.75" hidden="false" customHeight="true" outlineLevel="0" collapsed="false">
      <c r="P312" s="1"/>
      <c r="Q312" s="1"/>
      <c r="R312" s="1"/>
      <c r="S312" s="1"/>
      <c r="T312" s="1"/>
      <c r="U312" s="1"/>
      <c r="V312" s="1"/>
      <c r="W312" s="1"/>
      <c r="X312" s="1"/>
      <c r="Y312" s="1"/>
      <c r="Z312" s="1"/>
      <c r="AA312" s="1"/>
    </row>
    <row r="313" customFormat="false" ht="15.75" hidden="false" customHeight="true" outlineLevel="0" collapsed="false">
      <c r="P313" s="1"/>
      <c r="Q313" s="1"/>
      <c r="R313" s="1"/>
      <c r="S313" s="1"/>
      <c r="T313" s="1"/>
      <c r="U313" s="1"/>
      <c r="V313" s="1"/>
      <c r="W313" s="1"/>
      <c r="X313" s="1"/>
      <c r="Y313" s="1"/>
      <c r="Z313" s="1"/>
      <c r="AA313" s="1"/>
    </row>
    <row r="314" customFormat="false" ht="15.75" hidden="false" customHeight="true" outlineLevel="0" collapsed="false">
      <c r="P314" s="1"/>
      <c r="Q314" s="1"/>
      <c r="R314" s="1"/>
      <c r="S314" s="1"/>
      <c r="T314" s="1"/>
      <c r="U314" s="1"/>
      <c r="V314" s="1"/>
      <c r="W314" s="1"/>
      <c r="X314" s="1"/>
      <c r="Y314" s="1"/>
      <c r="Z314" s="1"/>
      <c r="AA314" s="1"/>
    </row>
    <row r="315" customFormat="false" ht="15.75" hidden="false" customHeight="true" outlineLevel="0" collapsed="false">
      <c r="P315" s="1"/>
      <c r="Q315" s="1"/>
      <c r="R315" s="1"/>
      <c r="S315" s="1"/>
      <c r="T315" s="1"/>
      <c r="U315" s="1"/>
      <c r="V315" s="1"/>
      <c r="W315" s="1"/>
      <c r="X315" s="1"/>
      <c r="Y315" s="1"/>
      <c r="Z315" s="1"/>
      <c r="AA315" s="1"/>
    </row>
    <row r="316" customFormat="false" ht="15.75" hidden="false" customHeight="true" outlineLevel="0" collapsed="false">
      <c r="P316" s="1"/>
      <c r="Q316" s="1"/>
      <c r="R316" s="1"/>
      <c r="S316" s="1"/>
      <c r="T316" s="1"/>
      <c r="U316" s="1"/>
      <c r="V316" s="1"/>
      <c r="W316" s="1"/>
      <c r="X316" s="1"/>
      <c r="Y316" s="1"/>
      <c r="Z316" s="1"/>
      <c r="AA316" s="1"/>
    </row>
    <row r="317" customFormat="false" ht="15.75" hidden="false" customHeight="true" outlineLevel="0" collapsed="false">
      <c r="P317" s="1"/>
      <c r="Q317" s="1"/>
      <c r="R317" s="1"/>
      <c r="S317" s="1"/>
      <c r="T317" s="1"/>
      <c r="U317" s="1"/>
      <c r="V317" s="1"/>
      <c r="W317" s="1"/>
      <c r="X317" s="1"/>
      <c r="Y317" s="1"/>
      <c r="Z317" s="1"/>
      <c r="AA317" s="1"/>
    </row>
    <row r="318" customFormat="false" ht="15.75" hidden="false" customHeight="true" outlineLevel="0" collapsed="false">
      <c r="P318" s="1"/>
      <c r="Q318" s="1"/>
      <c r="R318" s="1"/>
      <c r="S318" s="1"/>
      <c r="T318" s="1"/>
      <c r="U318" s="1"/>
      <c r="V318" s="1"/>
      <c r="W318" s="1"/>
      <c r="X318" s="1"/>
      <c r="Y318" s="1"/>
      <c r="Z318" s="1"/>
      <c r="AA318" s="1"/>
    </row>
    <row r="319" customFormat="false" ht="15.75" hidden="false" customHeight="true" outlineLevel="0" collapsed="false">
      <c r="P319" s="1"/>
      <c r="Q319" s="1"/>
      <c r="R319" s="1"/>
      <c r="S319" s="1"/>
      <c r="T319" s="1"/>
      <c r="U319" s="1"/>
      <c r="V319" s="1"/>
      <c r="W319" s="1"/>
      <c r="X319" s="1"/>
      <c r="Y319" s="1"/>
      <c r="Z319" s="1"/>
      <c r="AA319" s="1"/>
    </row>
    <row r="320" customFormat="false" ht="15.75" hidden="false" customHeight="true" outlineLevel="0" collapsed="false">
      <c r="P320" s="1"/>
      <c r="Q320" s="1"/>
      <c r="R320" s="1"/>
      <c r="S320" s="1"/>
      <c r="T320" s="1"/>
      <c r="U320" s="1"/>
      <c r="V320" s="1"/>
      <c r="W320" s="1"/>
      <c r="X320" s="1"/>
      <c r="Y320" s="1"/>
      <c r="Z320" s="1"/>
      <c r="AA320" s="1"/>
    </row>
    <row r="321" customFormat="false" ht="15.75" hidden="false" customHeight="true" outlineLevel="0" collapsed="false">
      <c r="P321" s="1"/>
      <c r="Q321" s="1"/>
      <c r="R321" s="1"/>
      <c r="S321" s="1"/>
      <c r="T321" s="1"/>
      <c r="U321" s="1"/>
      <c r="V321" s="1"/>
      <c r="W321" s="1"/>
      <c r="X321" s="1"/>
      <c r="Y321" s="1"/>
      <c r="Z321" s="1"/>
      <c r="AA321" s="1"/>
    </row>
    <row r="322" customFormat="false" ht="15.75" hidden="false" customHeight="true" outlineLevel="0" collapsed="false">
      <c r="P322" s="1"/>
      <c r="Q322" s="1"/>
      <c r="R322" s="1"/>
      <c r="S322" s="1"/>
      <c r="T322" s="1"/>
      <c r="U322" s="1"/>
      <c r="V322" s="1"/>
      <c r="W322" s="1"/>
      <c r="X322" s="1"/>
      <c r="Y322" s="1"/>
      <c r="Z322" s="1"/>
      <c r="AA322" s="1"/>
    </row>
    <row r="323" customFormat="false" ht="15.75" hidden="false" customHeight="true" outlineLevel="0" collapsed="false">
      <c r="P323" s="1"/>
      <c r="Q323" s="1"/>
      <c r="R323" s="1"/>
      <c r="S323" s="1"/>
      <c r="T323" s="1"/>
      <c r="U323" s="1"/>
      <c r="V323" s="1"/>
      <c r="W323" s="1"/>
      <c r="X323" s="1"/>
      <c r="Y323" s="1"/>
      <c r="Z323" s="1"/>
      <c r="AA323" s="1"/>
    </row>
    <row r="324" customFormat="false" ht="15.75" hidden="false" customHeight="true" outlineLevel="0" collapsed="false">
      <c r="P324" s="1"/>
      <c r="Q324" s="1"/>
      <c r="R324" s="1"/>
      <c r="S324" s="1"/>
      <c r="T324" s="1"/>
      <c r="U324" s="1"/>
      <c r="V324" s="1"/>
      <c r="W324" s="1"/>
      <c r="X324" s="1"/>
      <c r="Y324" s="1"/>
      <c r="Z324" s="1"/>
      <c r="AA324" s="1"/>
    </row>
    <row r="325" customFormat="false" ht="15.75" hidden="false" customHeight="true" outlineLevel="0" collapsed="false">
      <c r="P325" s="1"/>
      <c r="Q325" s="1"/>
      <c r="R325" s="1"/>
      <c r="S325" s="1"/>
      <c r="T325" s="1"/>
      <c r="U325" s="1"/>
      <c r="V325" s="1"/>
      <c r="W325" s="1"/>
      <c r="X325" s="1"/>
      <c r="Y325" s="1"/>
      <c r="Z325" s="1"/>
      <c r="AA325" s="1"/>
    </row>
    <row r="326" customFormat="false" ht="15.75" hidden="false" customHeight="true" outlineLevel="0" collapsed="false">
      <c r="P326" s="1"/>
      <c r="Q326" s="1"/>
      <c r="R326" s="1"/>
      <c r="S326" s="1"/>
      <c r="T326" s="1"/>
      <c r="U326" s="1"/>
      <c r="V326" s="1"/>
      <c r="W326" s="1"/>
      <c r="X326" s="1"/>
      <c r="Y326" s="1"/>
      <c r="Z326" s="1"/>
      <c r="AA326" s="1"/>
    </row>
    <row r="327" customFormat="false" ht="15.75" hidden="false" customHeight="true" outlineLevel="0" collapsed="false">
      <c r="P327" s="1"/>
      <c r="Q327" s="1"/>
      <c r="R327" s="1"/>
      <c r="S327" s="1"/>
      <c r="T327" s="1"/>
      <c r="U327" s="1"/>
      <c r="V327" s="1"/>
      <c r="W327" s="1"/>
      <c r="X327" s="1"/>
      <c r="Y327" s="1"/>
      <c r="Z327" s="1"/>
      <c r="AA327" s="1"/>
    </row>
    <row r="328" customFormat="false" ht="15.75" hidden="false" customHeight="true" outlineLevel="0" collapsed="false">
      <c r="P328" s="1"/>
      <c r="Q328" s="1"/>
      <c r="R328" s="1"/>
      <c r="S328" s="1"/>
      <c r="T328" s="1"/>
      <c r="U328" s="1"/>
      <c r="V328" s="1"/>
      <c r="W328" s="1"/>
      <c r="X328" s="1"/>
      <c r="Y328" s="1"/>
      <c r="Z328" s="1"/>
      <c r="AA328" s="1"/>
    </row>
    <row r="329" customFormat="false" ht="15.75" hidden="false" customHeight="true" outlineLevel="0" collapsed="false">
      <c r="P329" s="1"/>
      <c r="Q329" s="1"/>
      <c r="R329" s="1"/>
      <c r="S329" s="1"/>
      <c r="T329" s="1"/>
      <c r="U329" s="1"/>
      <c r="V329" s="1"/>
      <c r="W329" s="1"/>
      <c r="X329" s="1"/>
      <c r="Y329" s="1"/>
      <c r="Z329" s="1"/>
      <c r="AA329" s="1"/>
    </row>
    <row r="330" customFormat="false" ht="15.75" hidden="false" customHeight="true" outlineLevel="0" collapsed="false">
      <c r="P330" s="1"/>
      <c r="Q330" s="1"/>
      <c r="R330" s="1"/>
      <c r="S330" s="1"/>
      <c r="T330" s="1"/>
      <c r="U330" s="1"/>
      <c r="V330" s="1"/>
      <c r="W330" s="1"/>
      <c r="X330" s="1"/>
      <c r="Y330" s="1"/>
      <c r="Z330" s="1"/>
      <c r="AA330" s="1"/>
    </row>
    <row r="331" customFormat="false" ht="15.75" hidden="false" customHeight="true" outlineLevel="0" collapsed="false">
      <c r="P331" s="1"/>
      <c r="Q331" s="1"/>
      <c r="R331" s="1"/>
      <c r="S331" s="1"/>
      <c r="T331" s="1"/>
      <c r="U331" s="1"/>
      <c r="V331" s="1"/>
      <c r="W331" s="1"/>
      <c r="X331" s="1"/>
      <c r="Y331" s="1"/>
      <c r="Z331" s="1"/>
      <c r="AA331" s="1"/>
    </row>
    <row r="332" customFormat="false" ht="15.75" hidden="false" customHeight="true" outlineLevel="0" collapsed="false">
      <c r="P332" s="1"/>
      <c r="Q332" s="1"/>
      <c r="R332" s="1"/>
      <c r="S332" s="1"/>
      <c r="T332" s="1"/>
      <c r="U332" s="1"/>
      <c r="V332" s="1"/>
      <c r="W332" s="1"/>
      <c r="X332" s="1"/>
      <c r="Y332" s="1"/>
      <c r="Z332" s="1"/>
      <c r="AA332" s="1"/>
    </row>
    <row r="333" customFormat="false" ht="15.75" hidden="false" customHeight="true" outlineLevel="0" collapsed="false">
      <c r="P333" s="1"/>
      <c r="Q333" s="1"/>
      <c r="R333" s="1"/>
      <c r="S333" s="1"/>
      <c r="T333" s="1"/>
      <c r="U333" s="1"/>
      <c r="V333" s="1"/>
      <c r="W333" s="1"/>
      <c r="X333" s="1"/>
      <c r="Y333" s="1"/>
      <c r="Z333" s="1"/>
      <c r="AA333" s="1"/>
    </row>
    <row r="334" customFormat="false" ht="15.75" hidden="false" customHeight="true" outlineLevel="0" collapsed="false">
      <c r="P334" s="1"/>
      <c r="Q334" s="1"/>
      <c r="R334" s="1"/>
      <c r="S334" s="1"/>
      <c r="T334" s="1"/>
      <c r="U334" s="1"/>
      <c r="V334" s="1"/>
      <c r="W334" s="1"/>
      <c r="X334" s="1"/>
      <c r="Y334" s="1"/>
      <c r="Z334" s="1"/>
      <c r="AA334" s="1"/>
    </row>
    <row r="335" customFormat="false" ht="15.75" hidden="false" customHeight="true" outlineLevel="0" collapsed="false">
      <c r="P335" s="1"/>
      <c r="Q335" s="1"/>
      <c r="R335" s="1"/>
      <c r="S335" s="1"/>
      <c r="T335" s="1"/>
      <c r="U335" s="1"/>
      <c r="V335" s="1"/>
      <c r="W335" s="1"/>
      <c r="X335" s="1"/>
      <c r="Y335" s="1"/>
      <c r="Z335" s="1"/>
      <c r="AA335" s="1"/>
    </row>
    <row r="336" customFormat="false" ht="15.75" hidden="false" customHeight="true" outlineLevel="0" collapsed="false">
      <c r="P336" s="1"/>
      <c r="Q336" s="1"/>
      <c r="R336" s="1"/>
      <c r="S336" s="1"/>
      <c r="T336" s="1"/>
      <c r="U336" s="1"/>
      <c r="V336" s="1"/>
      <c r="W336" s="1"/>
      <c r="X336" s="1"/>
      <c r="Y336" s="1"/>
      <c r="Z336" s="1"/>
      <c r="AA336" s="1"/>
    </row>
    <row r="337" customFormat="false" ht="15.75" hidden="false" customHeight="true" outlineLevel="0" collapsed="false">
      <c r="P337" s="1"/>
      <c r="Q337" s="1"/>
      <c r="R337" s="1"/>
      <c r="S337" s="1"/>
      <c r="T337" s="1"/>
      <c r="U337" s="1"/>
      <c r="V337" s="1"/>
      <c r="W337" s="1"/>
      <c r="X337" s="1"/>
      <c r="Y337" s="1"/>
      <c r="Z337" s="1"/>
      <c r="AA337" s="1"/>
    </row>
    <row r="338" customFormat="false" ht="15.75" hidden="false" customHeight="true" outlineLevel="0" collapsed="false">
      <c r="P338" s="1"/>
      <c r="Q338" s="1"/>
      <c r="R338" s="1"/>
      <c r="S338" s="1"/>
      <c r="T338" s="1"/>
      <c r="U338" s="1"/>
      <c r="V338" s="1"/>
      <c r="W338" s="1"/>
      <c r="X338" s="1"/>
      <c r="Y338" s="1"/>
      <c r="Z338" s="1"/>
      <c r="AA338" s="1"/>
    </row>
    <row r="339" customFormat="false" ht="15.75" hidden="false" customHeight="true" outlineLevel="0" collapsed="false">
      <c r="P339" s="1"/>
      <c r="Q339" s="1"/>
      <c r="R339" s="1"/>
      <c r="S339" s="1"/>
      <c r="T339" s="1"/>
      <c r="U339" s="1"/>
      <c r="V339" s="1"/>
      <c r="W339" s="1"/>
      <c r="X339" s="1"/>
      <c r="Y339" s="1"/>
      <c r="Z339" s="1"/>
      <c r="AA339" s="1"/>
    </row>
    <row r="340" customFormat="false" ht="15.75" hidden="false" customHeight="true" outlineLevel="0" collapsed="false">
      <c r="P340" s="1"/>
      <c r="Q340" s="1"/>
      <c r="R340" s="1"/>
      <c r="S340" s="1"/>
      <c r="T340" s="1"/>
      <c r="U340" s="1"/>
      <c r="V340" s="1"/>
      <c r="W340" s="1"/>
      <c r="X340" s="1"/>
      <c r="Y340" s="1"/>
      <c r="Z340" s="1"/>
      <c r="AA340" s="1"/>
    </row>
    <row r="341" customFormat="false" ht="15.75" hidden="false" customHeight="true" outlineLevel="0" collapsed="false">
      <c r="P341" s="1"/>
      <c r="Q341" s="1"/>
      <c r="R341" s="1"/>
      <c r="S341" s="1"/>
      <c r="T341" s="1"/>
      <c r="U341" s="1"/>
      <c r="V341" s="1"/>
      <c r="W341" s="1"/>
      <c r="X341" s="1"/>
      <c r="Y341" s="1"/>
      <c r="Z341" s="1"/>
      <c r="AA341" s="1"/>
    </row>
    <row r="342" customFormat="false" ht="15.75" hidden="false" customHeight="true" outlineLevel="0" collapsed="false">
      <c r="P342" s="1"/>
      <c r="Q342" s="1"/>
      <c r="R342" s="1"/>
      <c r="S342" s="1"/>
      <c r="T342" s="1"/>
      <c r="U342" s="1"/>
      <c r="V342" s="1"/>
      <c r="W342" s="1"/>
      <c r="X342" s="1"/>
      <c r="Y342" s="1"/>
      <c r="Z342" s="1"/>
      <c r="AA342" s="1"/>
    </row>
    <row r="343" customFormat="false" ht="15.75" hidden="false" customHeight="true" outlineLevel="0" collapsed="false">
      <c r="P343" s="1"/>
      <c r="Q343" s="1"/>
      <c r="R343" s="1"/>
      <c r="S343" s="1"/>
      <c r="T343" s="1"/>
      <c r="U343" s="1"/>
      <c r="V343" s="1"/>
      <c r="W343" s="1"/>
      <c r="X343" s="1"/>
      <c r="Y343" s="1"/>
      <c r="Z343" s="1"/>
      <c r="AA343" s="1"/>
    </row>
    <row r="344" customFormat="false" ht="15.75" hidden="false" customHeight="true" outlineLevel="0" collapsed="false">
      <c r="P344" s="1"/>
      <c r="Q344" s="1"/>
      <c r="R344" s="1"/>
      <c r="S344" s="1"/>
      <c r="T344" s="1"/>
      <c r="U344" s="1"/>
      <c r="V344" s="1"/>
      <c r="W344" s="1"/>
      <c r="X344" s="1"/>
      <c r="Y344" s="1"/>
      <c r="Z344" s="1"/>
      <c r="AA344" s="1"/>
    </row>
    <row r="345" customFormat="false" ht="15.75" hidden="false" customHeight="true" outlineLevel="0" collapsed="false">
      <c r="P345" s="1"/>
      <c r="Q345" s="1"/>
      <c r="R345" s="1"/>
      <c r="S345" s="1"/>
      <c r="T345" s="1"/>
      <c r="U345" s="1"/>
      <c r="V345" s="1"/>
      <c r="W345" s="1"/>
      <c r="X345" s="1"/>
      <c r="Y345" s="1"/>
      <c r="Z345" s="1"/>
      <c r="AA345" s="1"/>
    </row>
    <row r="346" customFormat="false" ht="15.75" hidden="false" customHeight="true" outlineLevel="0" collapsed="false">
      <c r="P346" s="1"/>
      <c r="Q346" s="1"/>
      <c r="R346" s="1"/>
      <c r="S346" s="1"/>
      <c r="T346" s="1"/>
      <c r="U346" s="1"/>
      <c r="V346" s="1"/>
      <c r="W346" s="1"/>
      <c r="X346" s="1"/>
      <c r="Y346" s="1"/>
      <c r="Z346" s="1"/>
      <c r="AA346" s="1"/>
    </row>
    <row r="347" customFormat="false" ht="15.75" hidden="false" customHeight="true" outlineLevel="0" collapsed="false">
      <c r="P347" s="1"/>
      <c r="Q347" s="1"/>
      <c r="R347" s="1"/>
      <c r="S347" s="1"/>
      <c r="T347" s="1"/>
      <c r="U347" s="1"/>
      <c r="V347" s="1"/>
      <c r="W347" s="1"/>
      <c r="X347" s="1"/>
      <c r="Y347" s="1"/>
      <c r="Z347" s="1"/>
      <c r="AA347" s="1"/>
    </row>
    <row r="348" customFormat="false" ht="15.75" hidden="false" customHeight="true" outlineLevel="0" collapsed="false">
      <c r="P348" s="1"/>
      <c r="Q348" s="1"/>
      <c r="R348" s="1"/>
      <c r="S348" s="1"/>
      <c r="T348" s="1"/>
      <c r="U348" s="1"/>
      <c r="V348" s="1"/>
      <c r="W348" s="1"/>
      <c r="X348" s="1"/>
      <c r="Y348" s="1"/>
      <c r="Z348" s="1"/>
      <c r="AA348" s="1"/>
    </row>
    <row r="349" customFormat="false" ht="15.75" hidden="false" customHeight="true" outlineLevel="0" collapsed="false">
      <c r="P349" s="1"/>
      <c r="Q349" s="1"/>
      <c r="R349" s="1"/>
      <c r="S349" s="1"/>
      <c r="T349" s="1"/>
      <c r="U349" s="1"/>
      <c r="V349" s="1"/>
      <c r="W349" s="1"/>
      <c r="X349" s="1"/>
      <c r="Y349" s="1"/>
      <c r="Z349" s="1"/>
      <c r="AA349" s="1"/>
    </row>
    <row r="350" customFormat="false" ht="15.75" hidden="false" customHeight="true" outlineLevel="0" collapsed="false">
      <c r="P350" s="1"/>
      <c r="Q350" s="1"/>
      <c r="R350" s="1"/>
      <c r="S350" s="1"/>
      <c r="T350" s="1"/>
      <c r="U350" s="1"/>
      <c r="V350" s="1"/>
      <c r="W350" s="1"/>
      <c r="X350" s="1"/>
      <c r="Y350" s="1"/>
      <c r="Z350" s="1"/>
      <c r="AA350" s="1"/>
    </row>
    <row r="351" customFormat="false" ht="15.75" hidden="false" customHeight="true" outlineLevel="0" collapsed="false">
      <c r="P351" s="1"/>
      <c r="Q351" s="1"/>
      <c r="R351" s="1"/>
      <c r="S351" s="1"/>
      <c r="T351" s="1"/>
      <c r="U351" s="1"/>
      <c r="V351" s="1"/>
      <c r="W351" s="1"/>
      <c r="X351" s="1"/>
      <c r="Y351" s="1"/>
      <c r="Z351" s="1"/>
      <c r="AA351" s="1"/>
    </row>
    <row r="352" customFormat="false" ht="15.75" hidden="false" customHeight="true" outlineLevel="0" collapsed="false">
      <c r="P352" s="1"/>
      <c r="Q352" s="1"/>
      <c r="R352" s="1"/>
      <c r="S352" s="1"/>
      <c r="T352" s="1"/>
      <c r="U352" s="1"/>
      <c r="V352" s="1"/>
      <c r="W352" s="1"/>
      <c r="X352" s="1"/>
      <c r="Y352" s="1"/>
      <c r="Z352" s="1"/>
      <c r="AA352" s="1"/>
    </row>
    <row r="353" customFormat="false" ht="15.75" hidden="false" customHeight="true" outlineLevel="0" collapsed="false">
      <c r="P353" s="1"/>
      <c r="Q353" s="1"/>
      <c r="R353" s="1"/>
      <c r="S353" s="1"/>
      <c r="T353" s="1"/>
      <c r="U353" s="1"/>
      <c r="V353" s="1"/>
      <c r="W353" s="1"/>
      <c r="X353" s="1"/>
      <c r="Y353" s="1"/>
      <c r="Z353" s="1"/>
      <c r="AA353" s="1"/>
    </row>
    <row r="354" customFormat="false" ht="15.75" hidden="false" customHeight="true" outlineLevel="0" collapsed="false">
      <c r="P354" s="1"/>
      <c r="Q354" s="1"/>
      <c r="R354" s="1"/>
      <c r="S354" s="1"/>
      <c r="T354" s="1"/>
      <c r="U354" s="1"/>
      <c r="V354" s="1"/>
      <c r="W354" s="1"/>
      <c r="X354" s="1"/>
      <c r="Y354" s="1"/>
      <c r="Z354" s="1"/>
      <c r="AA354" s="1"/>
    </row>
    <row r="355" customFormat="false" ht="15.75" hidden="false" customHeight="true" outlineLevel="0" collapsed="false">
      <c r="P355" s="1"/>
      <c r="Q355" s="1"/>
      <c r="R355" s="1"/>
      <c r="S355" s="1"/>
      <c r="T355" s="1"/>
      <c r="U355" s="1"/>
      <c r="V355" s="1"/>
      <c r="W355" s="1"/>
      <c r="X355" s="1"/>
      <c r="Y355" s="1"/>
      <c r="Z355" s="1"/>
      <c r="AA355" s="1"/>
    </row>
    <row r="356" customFormat="false" ht="15.75" hidden="false" customHeight="true" outlineLevel="0" collapsed="false">
      <c r="P356" s="1"/>
      <c r="Q356" s="1"/>
      <c r="R356" s="1"/>
      <c r="S356" s="1"/>
      <c r="T356" s="1"/>
      <c r="U356" s="1"/>
      <c r="V356" s="1"/>
      <c r="W356" s="1"/>
      <c r="X356" s="1"/>
      <c r="Y356" s="1"/>
      <c r="Z356" s="1"/>
      <c r="AA356" s="1"/>
    </row>
    <row r="357" customFormat="false" ht="15.75" hidden="false" customHeight="true" outlineLevel="0" collapsed="false">
      <c r="P357" s="1"/>
      <c r="Q357" s="1"/>
      <c r="R357" s="1"/>
      <c r="S357" s="1"/>
      <c r="T357" s="1"/>
      <c r="U357" s="1"/>
      <c r="V357" s="1"/>
      <c r="W357" s="1"/>
      <c r="X357" s="1"/>
      <c r="Y357" s="1"/>
      <c r="Z357" s="1"/>
      <c r="AA357" s="1"/>
    </row>
    <row r="358" customFormat="false" ht="15.75" hidden="false" customHeight="true" outlineLevel="0" collapsed="false">
      <c r="P358" s="1"/>
      <c r="Q358" s="1"/>
      <c r="R358" s="1"/>
      <c r="S358" s="1"/>
      <c r="T358" s="1"/>
      <c r="U358" s="1"/>
      <c r="V358" s="1"/>
      <c r="W358" s="1"/>
      <c r="X358" s="1"/>
      <c r="Y358" s="1"/>
      <c r="Z358" s="1"/>
      <c r="AA358" s="1"/>
    </row>
    <row r="359" customFormat="false" ht="15.75" hidden="false" customHeight="true" outlineLevel="0" collapsed="false">
      <c r="P359" s="1"/>
      <c r="Q359" s="1"/>
      <c r="R359" s="1"/>
      <c r="S359" s="1"/>
      <c r="T359" s="1"/>
      <c r="U359" s="1"/>
      <c r="V359" s="1"/>
      <c r="W359" s="1"/>
      <c r="X359" s="1"/>
      <c r="Y359" s="1"/>
      <c r="Z359" s="1"/>
      <c r="AA359" s="1"/>
    </row>
    <row r="360" customFormat="false" ht="15.75" hidden="false" customHeight="true" outlineLevel="0" collapsed="false">
      <c r="P360" s="1"/>
      <c r="Q360" s="1"/>
      <c r="R360" s="1"/>
      <c r="S360" s="1"/>
      <c r="T360" s="1"/>
      <c r="U360" s="1"/>
      <c r="V360" s="1"/>
      <c r="W360" s="1"/>
      <c r="X360" s="1"/>
      <c r="Y360" s="1"/>
      <c r="Z360" s="1"/>
      <c r="AA360" s="1"/>
    </row>
    <row r="361" customFormat="false" ht="15.75" hidden="false" customHeight="true" outlineLevel="0" collapsed="false">
      <c r="P361" s="1"/>
      <c r="Q361" s="1"/>
      <c r="R361" s="1"/>
      <c r="S361" s="1"/>
      <c r="T361" s="1"/>
      <c r="U361" s="1"/>
      <c r="V361" s="1"/>
      <c r="W361" s="1"/>
      <c r="X361" s="1"/>
      <c r="Y361" s="1"/>
      <c r="Z361" s="1"/>
      <c r="AA361" s="1"/>
    </row>
    <row r="362" customFormat="false" ht="15.75" hidden="false" customHeight="true" outlineLevel="0" collapsed="false">
      <c r="P362" s="1"/>
      <c r="Q362" s="1"/>
      <c r="R362" s="1"/>
      <c r="S362" s="1"/>
      <c r="T362" s="1"/>
      <c r="U362" s="1"/>
      <c r="V362" s="1"/>
      <c r="W362" s="1"/>
      <c r="X362" s="1"/>
      <c r="Y362" s="1"/>
      <c r="Z362" s="1"/>
      <c r="AA362" s="1"/>
    </row>
    <row r="363" customFormat="false" ht="15.75" hidden="false" customHeight="true" outlineLevel="0" collapsed="false">
      <c r="P363" s="1"/>
      <c r="Q363" s="1"/>
      <c r="R363" s="1"/>
      <c r="S363" s="1"/>
      <c r="T363" s="1"/>
      <c r="U363" s="1"/>
      <c r="V363" s="1"/>
      <c r="W363" s="1"/>
      <c r="X363" s="1"/>
      <c r="Y363" s="1"/>
      <c r="Z363" s="1"/>
      <c r="AA363" s="1"/>
    </row>
    <row r="364" customFormat="false" ht="15.75" hidden="false" customHeight="true" outlineLevel="0" collapsed="false">
      <c r="P364" s="1"/>
      <c r="Q364" s="1"/>
      <c r="R364" s="1"/>
      <c r="S364" s="1"/>
      <c r="T364" s="1"/>
      <c r="U364" s="1"/>
      <c r="V364" s="1"/>
      <c r="W364" s="1"/>
      <c r="X364" s="1"/>
      <c r="Y364" s="1"/>
      <c r="Z364" s="1"/>
      <c r="AA364" s="1"/>
    </row>
    <row r="365" customFormat="false" ht="15.75" hidden="false" customHeight="true" outlineLevel="0" collapsed="false">
      <c r="P365" s="1"/>
      <c r="Q365" s="1"/>
      <c r="R365" s="1"/>
      <c r="S365" s="1"/>
      <c r="T365" s="1"/>
      <c r="U365" s="1"/>
      <c r="V365" s="1"/>
      <c r="W365" s="1"/>
      <c r="X365" s="1"/>
      <c r="Y365" s="1"/>
      <c r="Z365" s="1"/>
      <c r="AA365" s="1"/>
    </row>
    <row r="366" customFormat="false" ht="15.75" hidden="false" customHeight="true" outlineLevel="0" collapsed="false">
      <c r="P366" s="1"/>
      <c r="Q366" s="1"/>
      <c r="R366" s="1"/>
      <c r="S366" s="1"/>
      <c r="T366" s="1"/>
      <c r="U366" s="1"/>
      <c r="V366" s="1"/>
      <c r="W366" s="1"/>
      <c r="X366" s="1"/>
      <c r="Y366" s="1"/>
      <c r="Z366" s="1"/>
      <c r="AA366" s="1"/>
    </row>
    <row r="367" customFormat="false" ht="15.75" hidden="false" customHeight="true" outlineLevel="0" collapsed="false">
      <c r="P367" s="1"/>
      <c r="Q367" s="1"/>
      <c r="R367" s="1"/>
      <c r="S367" s="1"/>
      <c r="T367" s="1"/>
      <c r="U367" s="1"/>
      <c r="V367" s="1"/>
      <c r="W367" s="1"/>
      <c r="X367" s="1"/>
      <c r="Y367" s="1"/>
      <c r="Z367" s="1"/>
      <c r="AA367" s="1"/>
    </row>
    <row r="368" customFormat="false" ht="15.75" hidden="false" customHeight="true" outlineLevel="0" collapsed="false">
      <c r="P368" s="1"/>
      <c r="Q368" s="1"/>
      <c r="R368" s="1"/>
      <c r="S368" s="1"/>
      <c r="T368" s="1"/>
      <c r="U368" s="1"/>
      <c r="V368" s="1"/>
      <c r="W368" s="1"/>
      <c r="X368" s="1"/>
      <c r="Y368" s="1"/>
      <c r="Z368" s="1"/>
      <c r="AA368" s="1"/>
    </row>
    <row r="369" customFormat="false" ht="15.75" hidden="false" customHeight="true" outlineLevel="0" collapsed="false">
      <c r="P369" s="1"/>
      <c r="Q369" s="1"/>
      <c r="R369" s="1"/>
      <c r="S369" s="1"/>
      <c r="T369" s="1"/>
      <c r="U369" s="1"/>
      <c r="V369" s="1"/>
      <c r="W369" s="1"/>
      <c r="X369" s="1"/>
      <c r="Y369" s="1"/>
      <c r="Z369" s="1"/>
      <c r="AA369" s="1"/>
    </row>
    <row r="370" customFormat="false" ht="15.75" hidden="false" customHeight="true" outlineLevel="0" collapsed="false">
      <c r="P370" s="1"/>
      <c r="Q370" s="1"/>
      <c r="R370" s="1"/>
      <c r="S370" s="1"/>
      <c r="T370" s="1"/>
      <c r="U370" s="1"/>
      <c r="V370" s="1"/>
      <c r="W370" s="1"/>
      <c r="X370" s="1"/>
      <c r="Y370" s="1"/>
      <c r="Z370" s="1"/>
      <c r="AA370" s="1"/>
    </row>
    <row r="371" customFormat="false" ht="15.75" hidden="false" customHeight="true" outlineLevel="0" collapsed="false">
      <c r="P371" s="1"/>
      <c r="Q371" s="1"/>
      <c r="R371" s="1"/>
      <c r="S371" s="1"/>
      <c r="T371" s="1"/>
      <c r="U371" s="1"/>
      <c r="V371" s="1"/>
      <c r="W371" s="1"/>
      <c r="X371" s="1"/>
      <c r="Y371" s="1"/>
      <c r="Z371" s="1"/>
      <c r="AA371" s="1"/>
    </row>
    <row r="372" customFormat="false" ht="15.75" hidden="false" customHeight="true" outlineLevel="0" collapsed="false">
      <c r="P372" s="1"/>
      <c r="Q372" s="1"/>
      <c r="R372" s="1"/>
      <c r="S372" s="1"/>
      <c r="T372" s="1"/>
      <c r="U372" s="1"/>
      <c r="V372" s="1"/>
      <c r="W372" s="1"/>
      <c r="X372" s="1"/>
      <c r="Y372" s="1"/>
      <c r="Z372" s="1"/>
      <c r="AA372" s="1"/>
    </row>
    <row r="373" customFormat="false" ht="15.75" hidden="false" customHeight="true" outlineLevel="0" collapsed="false">
      <c r="P373" s="1"/>
      <c r="Q373" s="1"/>
      <c r="R373" s="1"/>
      <c r="S373" s="1"/>
      <c r="T373" s="1"/>
      <c r="U373" s="1"/>
      <c r="V373" s="1"/>
      <c r="W373" s="1"/>
      <c r="X373" s="1"/>
      <c r="Y373" s="1"/>
      <c r="Z373" s="1"/>
      <c r="AA373" s="1"/>
    </row>
    <row r="374" customFormat="false" ht="15.75" hidden="false" customHeight="true" outlineLevel="0" collapsed="false">
      <c r="P374" s="1"/>
      <c r="Q374" s="1"/>
      <c r="R374" s="1"/>
      <c r="S374" s="1"/>
      <c r="T374" s="1"/>
      <c r="U374" s="1"/>
      <c r="V374" s="1"/>
      <c r="W374" s="1"/>
      <c r="X374" s="1"/>
      <c r="Y374" s="1"/>
      <c r="Z374" s="1"/>
      <c r="AA374" s="1"/>
    </row>
    <row r="375" customFormat="false" ht="15.75" hidden="false" customHeight="true" outlineLevel="0" collapsed="false">
      <c r="P375" s="1"/>
      <c r="Q375" s="1"/>
      <c r="R375" s="1"/>
      <c r="S375" s="1"/>
      <c r="T375" s="1"/>
      <c r="U375" s="1"/>
      <c r="V375" s="1"/>
      <c r="W375" s="1"/>
      <c r="X375" s="1"/>
      <c r="Y375" s="1"/>
      <c r="Z375" s="1"/>
      <c r="AA375" s="1"/>
    </row>
    <row r="376" customFormat="false" ht="15.75" hidden="false" customHeight="true" outlineLevel="0" collapsed="false">
      <c r="P376" s="1"/>
      <c r="Q376" s="1"/>
      <c r="R376" s="1"/>
      <c r="S376" s="1"/>
      <c r="T376" s="1"/>
      <c r="U376" s="1"/>
      <c r="V376" s="1"/>
      <c r="W376" s="1"/>
      <c r="X376" s="1"/>
      <c r="Y376" s="1"/>
      <c r="Z376" s="1"/>
      <c r="AA376" s="1"/>
    </row>
    <row r="377" customFormat="false" ht="15.75" hidden="false" customHeight="true" outlineLevel="0" collapsed="false">
      <c r="P377" s="1"/>
      <c r="Q377" s="1"/>
      <c r="R377" s="1"/>
      <c r="S377" s="1"/>
      <c r="T377" s="1"/>
      <c r="U377" s="1"/>
      <c r="V377" s="1"/>
      <c r="W377" s="1"/>
      <c r="X377" s="1"/>
      <c r="Y377" s="1"/>
      <c r="Z377" s="1"/>
      <c r="AA377" s="1"/>
    </row>
    <row r="378" customFormat="false" ht="15.75" hidden="false" customHeight="true" outlineLevel="0" collapsed="false">
      <c r="P378" s="1"/>
      <c r="Q378" s="1"/>
      <c r="R378" s="1"/>
      <c r="S378" s="1"/>
      <c r="T378" s="1"/>
      <c r="U378" s="1"/>
      <c r="V378" s="1"/>
      <c r="W378" s="1"/>
      <c r="X378" s="1"/>
      <c r="Y378" s="1"/>
      <c r="Z378" s="1"/>
      <c r="AA378" s="1"/>
    </row>
    <row r="379" customFormat="false" ht="15.75" hidden="false" customHeight="true" outlineLevel="0" collapsed="false">
      <c r="P379" s="1"/>
      <c r="Q379" s="1"/>
      <c r="R379" s="1"/>
      <c r="S379" s="1"/>
      <c r="T379" s="1"/>
      <c r="U379" s="1"/>
      <c r="V379" s="1"/>
      <c r="W379" s="1"/>
      <c r="X379" s="1"/>
      <c r="Y379" s="1"/>
      <c r="Z379" s="1"/>
      <c r="AA379" s="1"/>
    </row>
    <row r="380" customFormat="false" ht="15.75" hidden="false" customHeight="true" outlineLevel="0" collapsed="false">
      <c r="P380" s="1"/>
      <c r="Q380" s="1"/>
      <c r="R380" s="1"/>
      <c r="S380" s="1"/>
      <c r="T380" s="1"/>
      <c r="U380" s="1"/>
      <c r="V380" s="1"/>
      <c r="W380" s="1"/>
      <c r="X380" s="1"/>
      <c r="Y380" s="1"/>
      <c r="Z380" s="1"/>
      <c r="AA380" s="1"/>
    </row>
    <row r="381" customFormat="false" ht="15.75" hidden="false" customHeight="true" outlineLevel="0" collapsed="false">
      <c r="P381" s="1"/>
      <c r="Q381" s="1"/>
      <c r="R381" s="1"/>
      <c r="S381" s="1"/>
      <c r="T381" s="1"/>
      <c r="U381" s="1"/>
      <c r="V381" s="1"/>
      <c r="W381" s="1"/>
      <c r="X381" s="1"/>
      <c r="Y381" s="1"/>
      <c r="Z381" s="1"/>
      <c r="AA381" s="1"/>
    </row>
    <row r="382" customFormat="false" ht="15.75" hidden="false" customHeight="true" outlineLevel="0" collapsed="false">
      <c r="P382" s="1"/>
      <c r="Q382" s="1"/>
      <c r="R382" s="1"/>
      <c r="S382" s="1"/>
      <c r="T382" s="1"/>
      <c r="U382" s="1"/>
      <c r="V382" s="1"/>
      <c r="W382" s="1"/>
      <c r="X382" s="1"/>
      <c r="Y382" s="1"/>
      <c r="Z382" s="1"/>
      <c r="AA382" s="1"/>
    </row>
    <row r="383" customFormat="false" ht="15.75" hidden="false" customHeight="true" outlineLevel="0" collapsed="false">
      <c r="P383" s="1"/>
      <c r="Q383" s="1"/>
      <c r="R383" s="1"/>
      <c r="S383" s="1"/>
      <c r="T383" s="1"/>
      <c r="U383" s="1"/>
      <c r="V383" s="1"/>
      <c r="W383" s="1"/>
      <c r="X383" s="1"/>
      <c r="Y383" s="1"/>
      <c r="Z383" s="1"/>
      <c r="AA383" s="1"/>
    </row>
    <row r="384" customFormat="false" ht="15.75" hidden="false" customHeight="true" outlineLevel="0" collapsed="false">
      <c r="P384" s="1"/>
      <c r="Q384" s="1"/>
      <c r="R384" s="1"/>
      <c r="S384" s="1"/>
      <c r="T384" s="1"/>
      <c r="U384" s="1"/>
      <c r="V384" s="1"/>
      <c r="W384" s="1"/>
      <c r="X384" s="1"/>
      <c r="Y384" s="1"/>
      <c r="Z384" s="1"/>
      <c r="AA384" s="1"/>
    </row>
    <row r="385" customFormat="false" ht="15.75" hidden="false" customHeight="true" outlineLevel="0" collapsed="false">
      <c r="P385" s="1"/>
      <c r="Q385" s="1"/>
      <c r="R385" s="1"/>
      <c r="S385" s="1"/>
      <c r="T385" s="1"/>
      <c r="U385" s="1"/>
      <c r="V385" s="1"/>
      <c r="W385" s="1"/>
      <c r="X385" s="1"/>
      <c r="Y385" s="1"/>
      <c r="Z385" s="1"/>
      <c r="AA385" s="1"/>
    </row>
    <row r="386" customFormat="false" ht="15.75" hidden="false" customHeight="true" outlineLevel="0" collapsed="false">
      <c r="P386" s="1"/>
      <c r="Q386" s="1"/>
      <c r="R386" s="1"/>
      <c r="S386" s="1"/>
      <c r="T386" s="1"/>
      <c r="U386" s="1"/>
      <c r="V386" s="1"/>
      <c r="W386" s="1"/>
      <c r="X386" s="1"/>
      <c r="Y386" s="1"/>
      <c r="Z386" s="1"/>
      <c r="AA386" s="1"/>
    </row>
    <row r="387" customFormat="false" ht="15.75" hidden="false" customHeight="true" outlineLevel="0" collapsed="false">
      <c r="P387" s="1"/>
      <c r="Q387" s="1"/>
      <c r="R387" s="1"/>
      <c r="S387" s="1"/>
      <c r="T387" s="1"/>
      <c r="U387" s="1"/>
      <c r="V387" s="1"/>
      <c r="W387" s="1"/>
      <c r="X387" s="1"/>
      <c r="Y387" s="1"/>
      <c r="Z387" s="1"/>
      <c r="AA387" s="1"/>
    </row>
    <row r="388" customFormat="false" ht="15.75" hidden="false" customHeight="true" outlineLevel="0" collapsed="false">
      <c r="P388" s="1"/>
      <c r="Q388" s="1"/>
      <c r="R388" s="1"/>
      <c r="S388" s="1"/>
      <c r="T388" s="1"/>
      <c r="U388" s="1"/>
      <c r="V388" s="1"/>
      <c r="W388" s="1"/>
      <c r="X388" s="1"/>
      <c r="Y388" s="1"/>
      <c r="Z388" s="1"/>
      <c r="AA388" s="1"/>
    </row>
    <row r="389" customFormat="false" ht="15.75" hidden="false" customHeight="true" outlineLevel="0" collapsed="false">
      <c r="P389" s="1"/>
      <c r="Q389" s="1"/>
      <c r="R389" s="1"/>
      <c r="S389" s="1"/>
      <c r="T389" s="1"/>
      <c r="U389" s="1"/>
      <c r="V389" s="1"/>
      <c r="W389" s="1"/>
      <c r="X389" s="1"/>
      <c r="Y389" s="1"/>
      <c r="Z389" s="1"/>
      <c r="AA389" s="1"/>
    </row>
    <row r="390" customFormat="false" ht="15.75" hidden="false" customHeight="true" outlineLevel="0" collapsed="false">
      <c r="P390" s="1"/>
      <c r="Q390" s="1"/>
      <c r="R390" s="1"/>
      <c r="S390" s="1"/>
      <c r="T390" s="1"/>
      <c r="U390" s="1"/>
      <c r="V390" s="1"/>
      <c r="W390" s="1"/>
      <c r="X390" s="1"/>
      <c r="Y390" s="1"/>
      <c r="Z390" s="1"/>
      <c r="AA390" s="1"/>
    </row>
    <row r="391" customFormat="false" ht="15.75" hidden="false" customHeight="true" outlineLevel="0" collapsed="false">
      <c r="P391" s="1"/>
      <c r="Q391" s="1"/>
      <c r="R391" s="1"/>
      <c r="S391" s="1"/>
      <c r="T391" s="1"/>
      <c r="U391" s="1"/>
      <c r="V391" s="1"/>
      <c r="W391" s="1"/>
      <c r="X391" s="1"/>
      <c r="Y391" s="1"/>
      <c r="Z391" s="1"/>
      <c r="AA391" s="1"/>
    </row>
    <row r="392" customFormat="false" ht="15.75" hidden="false" customHeight="true" outlineLevel="0" collapsed="false">
      <c r="P392" s="1"/>
      <c r="Q392" s="1"/>
      <c r="R392" s="1"/>
      <c r="S392" s="1"/>
      <c r="T392" s="1"/>
      <c r="U392" s="1"/>
      <c r="V392" s="1"/>
      <c r="W392" s="1"/>
      <c r="X392" s="1"/>
      <c r="Y392" s="1"/>
      <c r="Z392" s="1"/>
      <c r="AA392" s="1"/>
    </row>
    <row r="393" customFormat="false" ht="15.75" hidden="false" customHeight="true" outlineLevel="0" collapsed="false">
      <c r="P393" s="1"/>
      <c r="Q393" s="1"/>
      <c r="R393" s="1"/>
      <c r="S393" s="1"/>
      <c r="T393" s="1"/>
      <c r="U393" s="1"/>
      <c r="V393" s="1"/>
      <c r="W393" s="1"/>
      <c r="X393" s="1"/>
      <c r="Y393" s="1"/>
      <c r="Z393" s="1"/>
      <c r="AA393" s="1"/>
    </row>
    <row r="394" customFormat="false" ht="15.75" hidden="false" customHeight="true" outlineLevel="0" collapsed="false">
      <c r="P394" s="1"/>
      <c r="Q394" s="1"/>
      <c r="R394" s="1"/>
      <c r="S394" s="1"/>
      <c r="T394" s="1"/>
      <c r="U394" s="1"/>
      <c r="V394" s="1"/>
      <c r="W394" s="1"/>
      <c r="X394" s="1"/>
      <c r="Y394" s="1"/>
      <c r="Z394" s="1"/>
      <c r="AA394" s="1"/>
    </row>
    <row r="395" customFormat="false" ht="15.75" hidden="false" customHeight="true" outlineLevel="0" collapsed="false">
      <c r="P395" s="1"/>
      <c r="Q395" s="1"/>
      <c r="R395" s="1"/>
      <c r="S395" s="1"/>
      <c r="T395" s="1"/>
      <c r="U395" s="1"/>
      <c r="V395" s="1"/>
      <c r="W395" s="1"/>
      <c r="X395" s="1"/>
      <c r="Y395" s="1"/>
      <c r="Z395" s="1"/>
      <c r="AA395" s="1"/>
    </row>
    <row r="396" customFormat="false" ht="15.75" hidden="false" customHeight="true" outlineLevel="0" collapsed="false">
      <c r="P396" s="1"/>
      <c r="Q396" s="1"/>
      <c r="R396" s="1"/>
      <c r="S396" s="1"/>
      <c r="T396" s="1"/>
      <c r="U396" s="1"/>
      <c r="V396" s="1"/>
      <c r="W396" s="1"/>
      <c r="X396" s="1"/>
      <c r="Y396" s="1"/>
      <c r="Z396" s="1"/>
      <c r="AA396" s="1"/>
    </row>
    <row r="397" customFormat="false" ht="15.75" hidden="false" customHeight="true" outlineLevel="0" collapsed="false">
      <c r="P397" s="1"/>
      <c r="Q397" s="1"/>
      <c r="R397" s="1"/>
      <c r="S397" s="1"/>
      <c r="T397" s="1"/>
      <c r="U397" s="1"/>
      <c r="V397" s="1"/>
      <c r="W397" s="1"/>
      <c r="X397" s="1"/>
      <c r="Y397" s="1"/>
      <c r="Z397" s="1"/>
      <c r="AA397" s="1"/>
    </row>
    <row r="398" customFormat="false" ht="15.75" hidden="false" customHeight="true" outlineLevel="0" collapsed="false">
      <c r="P398" s="1"/>
      <c r="Q398" s="1"/>
      <c r="R398" s="1"/>
      <c r="S398" s="1"/>
      <c r="T398" s="1"/>
      <c r="U398" s="1"/>
      <c r="V398" s="1"/>
      <c r="W398" s="1"/>
      <c r="X398" s="1"/>
      <c r="Y398" s="1"/>
      <c r="Z398" s="1"/>
      <c r="AA398" s="1"/>
    </row>
    <row r="399" customFormat="false" ht="15.75" hidden="false" customHeight="true" outlineLevel="0" collapsed="false">
      <c r="P399" s="1"/>
      <c r="Q399" s="1"/>
      <c r="R399" s="1"/>
      <c r="S399" s="1"/>
      <c r="T399" s="1"/>
      <c r="U399" s="1"/>
      <c r="V399" s="1"/>
      <c r="W399" s="1"/>
      <c r="X399" s="1"/>
      <c r="Y399" s="1"/>
      <c r="Z399" s="1"/>
      <c r="AA399" s="1"/>
    </row>
    <row r="400" customFormat="false" ht="15.75" hidden="false" customHeight="true" outlineLevel="0" collapsed="false">
      <c r="P400" s="1"/>
      <c r="Q400" s="1"/>
      <c r="R400" s="1"/>
      <c r="S400" s="1"/>
      <c r="T400" s="1"/>
      <c r="U400" s="1"/>
      <c r="V400" s="1"/>
      <c r="W400" s="1"/>
      <c r="X400" s="1"/>
      <c r="Y400" s="1"/>
      <c r="Z400" s="1"/>
      <c r="AA400" s="1"/>
    </row>
    <row r="401" customFormat="false" ht="15.75" hidden="false" customHeight="true" outlineLevel="0" collapsed="false">
      <c r="P401" s="1"/>
      <c r="Q401" s="1"/>
      <c r="R401" s="1"/>
      <c r="S401" s="1"/>
      <c r="T401" s="1"/>
      <c r="U401" s="1"/>
      <c r="V401" s="1"/>
      <c r="W401" s="1"/>
      <c r="X401" s="1"/>
      <c r="Y401" s="1"/>
      <c r="Z401" s="1"/>
      <c r="AA401" s="1"/>
    </row>
    <row r="402" customFormat="false" ht="15.75" hidden="false" customHeight="true" outlineLevel="0" collapsed="false">
      <c r="P402" s="1"/>
      <c r="Q402" s="1"/>
      <c r="R402" s="1"/>
      <c r="S402" s="1"/>
      <c r="T402" s="1"/>
      <c r="U402" s="1"/>
      <c r="V402" s="1"/>
      <c r="W402" s="1"/>
      <c r="X402" s="1"/>
      <c r="Y402" s="1"/>
      <c r="Z402" s="1"/>
      <c r="AA402" s="1"/>
    </row>
    <row r="403" customFormat="false" ht="15.75" hidden="false" customHeight="true" outlineLevel="0" collapsed="false">
      <c r="P403" s="1"/>
      <c r="Q403" s="1"/>
      <c r="R403" s="1"/>
      <c r="S403" s="1"/>
      <c r="T403" s="1"/>
      <c r="U403" s="1"/>
      <c r="V403" s="1"/>
      <c r="W403" s="1"/>
      <c r="X403" s="1"/>
      <c r="Y403" s="1"/>
      <c r="Z403" s="1"/>
      <c r="AA403" s="1"/>
    </row>
    <row r="404" customFormat="false" ht="15.75" hidden="false" customHeight="true" outlineLevel="0" collapsed="false">
      <c r="P404" s="1"/>
      <c r="Q404" s="1"/>
      <c r="R404" s="1"/>
      <c r="S404" s="1"/>
      <c r="T404" s="1"/>
      <c r="U404" s="1"/>
      <c r="V404" s="1"/>
      <c r="W404" s="1"/>
      <c r="X404" s="1"/>
      <c r="Y404" s="1"/>
      <c r="Z404" s="1"/>
      <c r="AA404" s="1"/>
    </row>
    <row r="405" customFormat="false" ht="15.75" hidden="false" customHeight="true" outlineLevel="0" collapsed="false">
      <c r="P405" s="1"/>
      <c r="Q405" s="1"/>
      <c r="R405" s="1"/>
      <c r="S405" s="1"/>
      <c r="T405" s="1"/>
      <c r="U405" s="1"/>
      <c r="V405" s="1"/>
      <c r="W405" s="1"/>
      <c r="X405" s="1"/>
      <c r="Y405" s="1"/>
      <c r="Z405" s="1"/>
      <c r="AA405" s="1"/>
    </row>
    <row r="406" customFormat="false" ht="15.75" hidden="false" customHeight="true" outlineLevel="0" collapsed="false">
      <c r="P406" s="1"/>
      <c r="Q406" s="1"/>
      <c r="R406" s="1"/>
      <c r="S406" s="1"/>
      <c r="T406" s="1"/>
      <c r="U406" s="1"/>
      <c r="V406" s="1"/>
      <c r="W406" s="1"/>
      <c r="X406" s="1"/>
      <c r="Y406" s="1"/>
      <c r="Z406" s="1"/>
      <c r="AA406" s="1"/>
    </row>
    <row r="407" customFormat="false" ht="15.75" hidden="false" customHeight="true" outlineLevel="0" collapsed="false">
      <c r="P407" s="1"/>
      <c r="Q407" s="1"/>
      <c r="R407" s="1"/>
      <c r="S407" s="1"/>
      <c r="T407" s="1"/>
      <c r="U407" s="1"/>
      <c r="V407" s="1"/>
      <c r="W407" s="1"/>
      <c r="X407" s="1"/>
      <c r="Y407" s="1"/>
      <c r="Z407" s="1"/>
      <c r="AA407" s="1"/>
    </row>
    <row r="408" customFormat="false" ht="15.75" hidden="false" customHeight="true" outlineLevel="0" collapsed="false">
      <c r="P408" s="1"/>
      <c r="Q408" s="1"/>
      <c r="R408" s="1"/>
      <c r="S408" s="1"/>
      <c r="T408" s="1"/>
      <c r="U408" s="1"/>
      <c r="V408" s="1"/>
      <c r="W408" s="1"/>
      <c r="X408" s="1"/>
      <c r="Y408" s="1"/>
      <c r="Z408" s="1"/>
      <c r="AA408" s="1"/>
    </row>
    <row r="409" customFormat="false" ht="15.75" hidden="false" customHeight="true" outlineLevel="0" collapsed="false">
      <c r="P409" s="1"/>
      <c r="Q409" s="1"/>
      <c r="R409" s="1"/>
      <c r="S409" s="1"/>
      <c r="T409" s="1"/>
      <c r="U409" s="1"/>
      <c r="V409" s="1"/>
      <c r="W409" s="1"/>
      <c r="X409" s="1"/>
      <c r="Y409" s="1"/>
      <c r="Z409" s="1"/>
      <c r="AA409" s="1"/>
    </row>
    <row r="410" customFormat="false" ht="15.75" hidden="false" customHeight="true" outlineLevel="0" collapsed="false">
      <c r="P410" s="1"/>
      <c r="Q410" s="1"/>
      <c r="R410" s="1"/>
      <c r="S410" s="1"/>
      <c r="T410" s="1"/>
      <c r="U410" s="1"/>
      <c r="V410" s="1"/>
      <c r="W410" s="1"/>
      <c r="X410" s="1"/>
      <c r="Y410" s="1"/>
      <c r="Z410" s="1"/>
      <c r="AA410" s="1"/>
    </row>
    <row r="411" customFormat="false" ht="15.75" hidden="false" customHeight="true" outlineLevel="0" collapsed="false">
      <c r="P411" s="1"/>
      <c r="Q411" s="1"/>
      <c r="R411" s="1"/>
      <c r="S411" s="1"/>
      <c r="T411" s="1"/>
      <c r="U411" s="1"/>
      <c r="V411" s="1"/>
      <c r="W411" s="1"/>
      <c r="X411" s="1"/>
      <c r="Y411" s="1"/>
      <c r="Z411" s="1"/>
      <c r="AA411" s="1"/>
    </row>
    <row r="412" customFormat="false" ht="15.75" hidden="false" customHeight="true" outlineLevel="0" collapsed="false">
      <c r="P412" s="1"/>
      <c r="Q412" s="1"/>
      <c r="R412" s="1"/>
      <c r="S412" s="1"/>
      <c r="T412" s="1"/>
      <c r="U412" s="1"/>
      <c r="V412" s="1"/>
      <c r="W412" s="1"/>
      <c r="X412" s="1"/>
      <c r="Y412" s="1"/>
      <c r="Z412" s="1"/>
      <c r="AA412" s="1"/>
    </row>
    <row r="413" customFormat="false" ht="15.75" hidden="false" customHeight="true" outlineLevel="0" collapsed="false">
      <c r="P413" s="1"/>
      <c r="Q413" s="1"/>
      <c r="R413" s="1"/>
      <c r="S413" s="1"/>
      <c r="T413" s="1"/>
      <c r="U413" s="1"/>
      <c r="V413" s="1"/>
      <c r="W413" s="1"/>
      <c r="X413" s="1"/>
      <c r="Y413" s="1"/>
      <c r="Z413" s="1"/>
      <c r="AA413" s="1"/>
    </row>
    <row r="414" customFormat="false" ht="15.75" hidden="false" customHeight="true" outlineLevel="0" collapsed="false">
      <c r="P414" s="1"/>
      <c r="Q414" s="1"/>
      <c r="R414" s="1"/>
      <c r="S414" s="1"/>
      <c r="T414" s="1"/>
      <c r="U414" s="1"/>
      <c r="V414" s="1"/>
      <c r="W414" s="1"/>
      <c r="X414" s="1"/>
      <c r="Y414" s="1"/>
      <c r="Z414" s="1"/>
      <c r="AA414" s="1"/>
    </row>
    <row r="415" customFormat="false" ht="15.75" hidden="false" customHeight="true" outlineLevel="0" collapsed="false">
      <c r="P415" s="1"/>
      <c r="Q415" s="1"/>
      <c r="R415" s="1"/>
      <c r="S415" s="1"/>
      <c r="T415" s="1"/>
      <c r="U415" s="1"/>
      <c r="V415" s="1"/>
      <c r="W415" s="1"/>
      <c r="X415" s="1"/>
      <c r="Y415" s="1"/>
      <c r="Z415" s="1"/>
      <c r="AA415" s="1"/>
    </row>
    <row r="416" customFormat="false" ht="15.75" hidden="false" customHeight="true" outlineLevel="0" collapsed="false">
      <c r="P416" s="1"/>
      <c r="Q416" s="1"/>
      <c r="R416" s="1"/>
      <c r="S416" s="1"/>
      <c r="T416" s="1"/>
      <c r="U416" s="1"/>
      <c r="V416" s="1"/>
      <c r="W416" s="1"/>
      <c r="X416" s="1"/>
      <c r="Y416" s="1"/>
      <c r="Z416" s="1"/>
      <c r="AA416" s="1"/>
    </row>
    <row r="417" customFormat="false" ht="15.75" hidden="false" customHeight="true" outlineLevel="0" collapsed="false">
      <c r="P417" s="1"/>
      <c r="Q417" s="1"/>
      <c r="R417" s="1"/>
      <c r="S417" s="1"/>
      <c r="T417" s="1"/>
      <c r="U417" s="1"/>
      <c r="V417" s="1"/>
      <c r="W417" s="1"/>
      <c r="X417" s="1"/>
      <c r="Y417" s="1"/>
      <c r="Z417" s="1"/>
      <c r="AA417" s="1"/>
    </row>
    <row r="418" customFormat="false" ht="15.75" hidden="false" customHeight="true" outlineLevel="0" collapsed="false">
      <c r="P418" s="1"/>
      <c r="Q418" s="1"/>
      <c r="R418" s="1"/>
      <c r="S418" s="1"/>
      <c r="T418" s="1"/>
      <c r="U418" s="1"/>
      <c r="V418" s="1"/>
      <c r="W418" s="1"/>
      <c r="X418" s="1"/>
      <c r="Y418" s="1"/>
      <c r="Z418" s="1"/>
      <c r="AA418" s="1"/>
    </row>
    <row r="419" customFormat="false" ht="15.75" hidden="false" customHeight="true" outlineLevel="0" collapsed="false">
      <c r="P419" s="1"/>
      <c r="Q419" s="1"/>
      <c r="R419" s="1"/>
      <c r="S419" s="1"/>
      <c r="T419" s="1"/>
      <c r="U419" s="1"/>
      <c r="V419" s="1"/>
      <c r="W419" s="1"/>
      <c r="X419" s="1"/>
      <c r="Y419" s="1"/>
      <c r="Z419" s="1"/>
      <c r="AA419" s="1"/>
    </row>
    <row r="420" customFormat="false" ht="15.75" hidden="false" customHeight="true" outlineLevel="0" collapsed="false">
      <c r="P420" s="1"/>
      <c r="Q420" s="1"/>
      <c r="R420" s="1"/>
      <c r="S420" s="1"/>
      <c r="T420" s="1"/>
      <c r="U420" s="1"/>
      <c r="V420" s="1"/>
      <c r="W420" s="1"/>
      <c r="X420" s="1"/>
      <c r="Y420" s="1"/>
      <c r="Z420" s="1"/>
      <c r="AA420" s="1"/>
    </row>
    <row r="421" customFormat="false" ht="15.75" hidden="false" customHeight="true" outlineLevel="0" collapsed="false">
      <c r="P421" s="1"/>
      <c r="Q421" s="1"/>
      <c r="R421" s="1"/>
      <c r="S421" s="1"/>
      <c r="T421" s="1"/>
      <c r="U421" s="1"/>
      <c r="V421" s="1"/>
      <c r="W421" s="1"/>
      <c r="X421" s="1"/>
      <c r="Y421" s="1"/>
      <c r="Z421" s="1"/>
      <c r="AA421" s="1"/>
    </row>
    <row r="422" customFormat="false" ht="15.75" hidden="false" customHeight="true" outlineLevel="0" collapsed="false">
      <c r="P422" s="1"/>
      <c r="Q422" s="1"/>
      <c r="R422" s="1"/>
      <c r="S422" s="1"/>
      <c r="T422" s="1"/>
      <c r="U422" s="1"/>
      <c r="V422" s="1"/>
      <c r="W422" s="1"/>
      <c r="X422" s="1"/>
      <c r="Y422" s="1"/>
      <c r="Z422" s="1"/>
      <c r="AA422" s="1"/>
    </row>
    <row r="423" customFormat="false" ht="15.75" hidden="false" customHeight="true" outlineLevel="0" collapsed="false">
      <c r="P423" s="1"/>
      <c r="Q423" s="1"/>
      <c r="R423" s="1"/>
      <c r="S423" s="1"/>
      <c r="T423" s="1"/>
      <c r="U423" s="1"/>
      <c r="V423" s="1"/>
      <c r="W423" s="1"/>
      <c r="X423" s="1"/>
      <c r="Y423" s="1"/>
      <c r="Z423" s="1"/>
      <c r="AA423" s="1"/>
    </row>
    <row r="424" customFormat="false" ht="15.75" hidden="false" customHeight="true" outlineLevel="0" collapsed="false">
      <c r="P424" s="1"/>
      <c r="Q424" s="1"/>
      <c r="R424" s="1"/>
      <c r="S424" s="1"/>
      <c r="T424" s="1"/>
      <c r="U424" s="1"/>
      <c r="V424" s="1"/>
      <c r="W424" s="1"/>
      <c r="X424" s="1"/>
      <c r="Y424" s="1"/>
      <c r="Z424" s="1"/>
      <c r="AA424" s="1"/>
    </row>
    <row r="425" customFormat="false" ht="15.75" hidden="false" customHeight="true" outlineLevel="0" collapsed="false">
      <c r="P425" s="1"/>
      <c r="Q425" s="1"/>
      <c r="R425" s="1"/>
      <c r="S425" s="1"/>
      <c r="T425" s="1"/>
      <c r="U425" s="1"/>
      <c r="V425" s="1"/>
      <c r="W425" s="1"/>
      <c r="X425" s="1"/>
      <c r="Y425" s="1"/>
      <c r="Z425" s="1"/>
      <c r="AA425" s="1"/>
    </row>
    <row r="426" customFormat="false" ht="15.75" hidden="false" customHeight="true" outlineLevel="0" collapsed="false">
      <c r="P426" s="1"/>
      <c r="Q426" s="1"/>
      <c r="R426" s="1"/>
      <c r="S426" s="1"/>
      <c r="T426" s="1"/>
      <c r="U426" s="1"/>
      <c r="V426" s="1"/>
      <c r="W426" s="1"/>
      <c r="X426" s="1"/>
      <c r="Y426" s="1"/>
      <c r="Z426" s="1"/>
      <c r="AA426" s="1"/>
    </row>
    <row r="427" customFormat="false" ht="15.75" hidden="false" customHeight="true" outlineLevel="0" collapsed="false">
      <c r="P427" s="1"/>
      <c r="Q427" s="1"/>
      <c r="R427" s="1"/>
      <c r="S427" s="1"/>
      <c r="T427" s="1"/>
      <c r="U427" s="1"/>
      <c r="V427" s="1"/>
      <c r="W427" s="1"/>
      <c r="X427" s="1"/>
      <c r="Y427" s="1"/>
      <c r="Z427" s="1"/>
      <c r="AA427" s="1"/>
    </row>
    <row r="428" customFormat="false" ht="15.75" hidden="false" customHeight="true" outlineLevel="0" collapsed="false">
      <c r="P428" s="1"/>
      <c r="Q428" s="1"/>
      <c r="R428" s="1"/>
      <c r="S428" s="1"/>
      <c r="T428" s="1"/>
      <c r="U428" s="1"/>
      <c r="V428" s="1"/>
      <c r="W428" s="1"/>
      <c r="X428" s="1"/>
      <c r="Y428" s="1"/>
      <c r="Z428" s="1"/>
      <c r="AA428" s="1"/>
    </row>
    <row r="429" customFormat="false" ht="15.75" hidden="false" customHeight="true" outlineLevel="0" collapsed="false">
      <c r="P429" s="1"/>
      <c r="Q429" s="1"/>
      <c r="R429" s="1"/>
      <c r="S429" s="1"/>
      <c r="T429" s="1"/>
      <c r="U429" s="1"/>
      <c r="V429" s="1"/>
      <c r="W429" s="1"/>
      <c r="X429" s="1"/>
      <c r="Y429" s="1"/>
      <c r="Z429" s="1"/>
      <c r="AA429" s="1"/>
    </row>
    <row r="430" customFormat="false" ht="15.75" hidden="false" customHeight="true" outlineLevel="0" collapsed="false">
      <c r="P430" s="1"/>
      <c r="Q430" s="1"/>
      <c r="R430" s="1"/>
      <c r="S430" s="1"/>
      <c r="T430" s="1"/>
      <c r="U430" s="1"/>
      <c r="V430" s="1"/>
      <c r="W430" s="1"/>
      <c r="X430" s="1"/>
      <c r="Y430" s="1"/>
      <c r="Z430" s="1"/>
      <c r="AA430" s="1"/>
    </row>
    <row r="431" customFormat="false" ht="15.75" hidden="false" customHeight="true" outlineLevel="0" collapsed="false">
      <c r="P431" s="1"/>
      <c r="Q431" s="1"/>
      <c r="R431" s="1"/>
      <c r="S431" s="1"/>
      <c r="T431" s="1"/>
      <c r="U431" s="1"/>
      <c r="V431" s="1"/>
      <c r="W431" s="1"/>
      <c r="X431" s="1"/>
      <c r="Y431" s="1"/>
      <c r="Z431" s="1"/>
      <c r="AA431" s="1"/>
    </row>
    <row r="432" customFormat="false" ht="15.75" hidden="false" customHeight="true" outlineLevel="0" collapsed="false">
      <c r="P432" s="1"/>
      <c r="Q432" s="1"/>
      <c r="R432" s="1"/>
      <c r="S432" s="1"/>
      <c r="T432" s="1"/>
      <c r="U432" s="1"/>
      <c r="V432" s="1"/>
      <c r="W432" s="1"/>
      <c r="X432" s="1"/>
      <c r="Y432" s="1"/>
      <c r="Z432" s="1"/>
      <c r="AA432" s="1"/>
    </row>
    <row r="433" customFormat="false" ht="15.75" hidden="false" customHeight="true" outlineLevel="0" collapsed="false">
      <c r="P433" s="1"/>
      <c r="Q433" s="1"/>
      <c r="R433" s="1"/>
      <c r="S433" s="1"/>
      <c r="T433" s="1"/>
      <c r="U433" s="1"/>
      <c r="V433" s="1"/>
      <c r="W433" s="1"/>
      <c r="X433" s="1"/>
      <c r="Y433" s="1"/>
      <c r="Z433" s="1"/>
      <c r="AA433" s="1"/>
    </row>
    <row r="434" customFormat="false" ht="15.75" hidden="false" customHeight="true" outlineLevel="0" collapsed="false">
      <c r="P434" s="1"/>
      <c r="Q434" s="1"/>
      <c r="R434" s="1"/>
      <c r="S434" s="1"/>
      <c r="T434" s="1"/>
      <c r="U434" s="1"/>
      <c r="V434" s="1"/>
      <c r="W434" s="1"/>
      <c r="X434" s="1"/>
      <c r="Y434" s="1"/>
      <c r="Z434" s="1"/>
      <c r="AA434" s="1"/>
    </row>
    <row r="435" customFormat="false" ht="15.75" hidden="false" customHeight="true" outlineLevel="0" collapsed="false">
      <c r="P435" s="1"/>
      <c r="Q435" s="1"/>
      <c r="R435" s="1"/>
      <c r="S435" s="1"/>
      <c r="T435" s="1"/>
      <c r="U435" s="1"/>
      <c r="V435" s="1"/>
      <c r="W435" s="1"/>
      <c r="X435" s="1"/>
      <c r="Y435" s="1"/>
      <c r="Z435" s="1"/>
      <c r="AA435" s="1"/>
    </row>
    <row r="436" customFormat="false" ht="15.75" hidden="false" customHeight="true" outlineLevel="0" collapsed="false">
      <c r="P436" s="1"/>
      <c r="Q436" s="1"/>
      <c r="R436" s="1"/>
      <c r="S436" s="1"/>
      <c r="T436" s="1"/>
      <c r="U436" s="1"/>
      <c r="V436" s="1"/>
      <c r="W436" s="1"/>
      <c r="X436" s="1"/>
      <c r="Y436" s="1"/>
      <c r="Z436" s="1"/>
      <c r="AA436" s="1"/>
    </row>
    <row r="437" customFormat="false" ht="15.75" hidden="false" customHeight="true" outlineLevel="0" collapsed="false">
      <c r="P437" s="1"/>
      <c r="Q437" s="1"/>
      <c r="R437" s="1"/>
      <c r="S437" s="1"/>
      <c r="T437" s="1"/>
      <c r="U437" s="1"/>
      <c r="V437" s="1"/>
      <c r="W437" s="1"/>
      <c r="X437" s="1"/>
      <c r="Y437" s="1"/>
      <c r="Z437" s="1"/>
      <c r="AA437" s="1"/>
    </row>
    <row r="438" customFormat="false" ht="15.75" hidden="false" customHeight="true" outlineLevel="0" collapsed="false">
      <c r="P438" s="1"/>
      <c r="Q438" s="1"/>
      <c r="R438" s="1"/>
      <c r="S438" s="1"/>
      <c r="T438" s="1"/>
      <c r="U438" s="1"/>
      <c r="V438" s="1"/>
      <c r="W438" s="1"/>
      <c r="X438" s="1"/>
      <c r="Y438" s="1"/>
      <c r="Z438" s="1"/>
      <c r="AA438" s="1"/>
    </row>
    <row r="439" customFormat="false" ht="15.75" hidden="false" customHeight="true" outlineLevel="0" collapsed="false">
      <c r="P439" s="1"/>
      <c r="Q439" s="1"/>
      <c r="R439" s="1"/>
      <c r="S439" s="1"/>
      <c r="T439" s="1"/>
      <c r="U439" s="1"/>
      <c r="V439" s="1"/>
      <c r="W439" s="1"/>
      <c r="X439" s="1"/>
      <c r="Y439" s="1"/>
      <c r="Z439" s="1"/>
      <c r="AA439" s="1"/>
    </row>
    <row r="440" customFormat="false" ht="15.75" hidden="false" customHeight="true" outlineLevel="0" collapsed="false">
      <c r="P440" s="1"/>
      <c r="Q440" s="1"/>
      <c r="R440" s="1"/>
      <c r="S440" s="1"/>
      <c r="T440" s="1"/>
      <c r="U440" s="1"/>
      <c r="V440" s="1"/>
      <c r="W440" s="1"/>
      <c r="X440" s="1"/>
      <c r="Y440" s="1"/>
      <c r="Z440" s="1"/>
      <c r="AA440" s="1"/>
    </row>
    <row r="441" customFormat="false" ht="15.75" hidden="false" customHeight="true" outlineLevel="0" collapsed="false">
      <c r="P441" s="1"/>
      <c r="Q441" s="1"/>
      <c r="R441" s="1"/>
      <c r="S441" s="1"/>
      <c r="T441" s="1"/>
      <c r="U441" s="1"/>
      <c r="V441" s="1"/>
      <c r="W441" s="1"/>
      <c r="X441" s="1"/>
      <c r="Y441" s="1"/>
      <c r="Z441" s="1"/>
      <c r="AA441" s="1"/>
    </row>
    <row r="442" customFormat="false" ht="15.75" hidden="false" customHeight="true" outlineLevel="0" collapsed="false">
      <c r="P442" s="1"/>
      <c r="Q442" s="1"/>
      <c r="R442" s="1"/>
      <c r="S442" s="1"/>
      <c r="T442" s="1"/>
      <c r="U442" s="1"/>
      <c r="V442" s="1"/>
      <c r="W442" s="1"/>
      <c r="X442" s="1"/>
      <c r="Y442" s="1"/>
      <c r="Z442" s="1"/>
      <c r="AA442" s="1"/>
    </row>
    <row r="443" customFormat="false" ht="15.75" hidden="false" customHeight="true" outlineLevel="0" collapsed="false">
      <c r="P443" s="1"/>
      <c r="Q443" s="1"/>
      <c r="R443" s="1"/>
      <c r="S443" s="1"/>
      <c r="T443" s="1"/>
      <c r="U443" s="1"/>
      <c r="V443" s="1"/>
      <c r="W443" s="1"/>
      <c r="X443" s="1"/>
      <c r="Y443" s="1"/>
      <c r="Z443" s="1"/>
      <c r="AA443" s="1"/>
    </row>
    <row r="444" customFormat="false" ht="15.75" hidden="false" customHeight="true" outlineLevel="0" collapsed="false">
      <c r="P444" s="1"/>
      <c r="Q444" s="1"/>
      <c r="R444" s="1"/>
      <c r="S444" s="1"/>
      <c r="T444" s="1"/>
      <c r="U444" s="1"/>
      <c r="V444" s="1"/>
      <c r="W444" s="1"/>
      <c r="X444" s="1"/>
      <c r="Y444" s="1"/>
      <c r="Z444" s="1"/>
      <c r="AA444" s="1"/>
    </row>
    <row r="445" customFormat="false" ht="15.75" hidden="false" customHeight="true" outlineLevel="0" collapsed="false">
      <c r="P445" s="1"/>
      <c r="Q445" s="1"/>
      <c r="R445" s="1"/>
      <c r="S445" s="1"/>
      <c r="T445" s="1"/>
      <c r="U445" s="1"/>
      <c r="V445" s="1"/>
      <c r="W445" s="1"/>
      <c r="X445" s="1"/>
      <c r="Y445" s="1"/>
      <c r="Z445" s="1"/>
      <c r="AA445" s="1"/>
    </row>
    <row r="446" customFormat="false" ht="15.75" hidden="false" customHeight="true" outlineLevel="0" collapsed="false">
      <c r="P446" s="1"/>
      <c r="Q446" s="1"/>
      <c r="R446" s="1"/>
      <c r="S446" s="1"/>
      <c r="T446" s="1"/>
      <c r="U446" s="1"/>
      <c r="V446" s="1"/>
      <c r="W446" s="1"/>
      <c r="X446" s="1"/>
      <c r="Y446" s="1"/>
      <c r="Z446" s="1"/>
      <c r="AA446" s="1"/>
    </row>
    <row r="447" customFormat="false" ht="15.75" hidden="false" customHeight="true" outlineLevel="0" collapsed="false">
      <c r="P447" s="1"/>
      <c r="Q447" s="1"/>
      <c r="R447" s="1"/>
      <c r="S447" s="1"/>
      <c r="T447" s="1"/>
      <c r="U447" s="1"/>
      <c r="V447" s="1"/>
      <c r="W447" s="1"/>
      <c r="X447" s="1"/>
      <c r="Y447" s="1"/>
      <c r="Z447" s="1"/>
      <c r="AA447" s="1"/>
    </row>
    <row r="448" customFormat="false" ht="15.75" hidden="false" customHeight="true" outlineLevel="0" collapsed="false">
      <c r="P448" s="1"/>
      <c r="Q448" s="1"/>
      <c r="R448" s="1"/>
      <c r="S448" s="1"/>
      <c r="T448" s="1"/>
      <c r="U448" s="1"/>
      <c r="V448" s="1"/>
      <c r="W448" s="1"/>
      <c r="X448" s="1"/>
      <c r="Y448" s="1"/>
      <c r="Z448" s="1"/>
      <c r="AA448" s="1"/>
    </row>
    <row r="449" customFormat="false" ht="15.75" hidden="false" customHeight="true" outlineLevel="0" collapsed="false">
      <c r="P449" s="1"/>
      <c r="Q449" s="1"/>
      <c r="R449" s="1"/>
      <c r="S449" s="1"/>
      <c r="T449" s="1"/>
      <c r="U449" s="1"/>
      <c r="V449" s="1"/>
      <c r="W449" s="1"/>
      <c r="X449" s="1"/>
      <c r="Y449" s="1"/>
      <c r="Z449" s="1"/>
      <c r="AA449" s="1"/>
    </row>
    <row r="450" customFormat="false" ht="15.75" hidden="false" customHeight="true" outlineLevel="0" collapsed="false">
      <c r="P450" s="1"/>
      <c r="Q450" s="1"/>
      <c r="R450" s="1"/>
      <c r="S450" s="1"/>
      <c r="T450" s="1"/>
      <c r="U450" s="1"/>
      <c r="V450" s="1"/>
      <c r="W450" s="1"/>
      <c r="X450" s="1"/>
      <c r="Y450" s="1"/>
      <c r="Z450" s="1"/>
      <c r="AA450" s="1"/>
    </row>
    <row r="451" customFormat="false" ht="15.75" hidden="false" customHeight="true" outlineLevel="0" collapsed="false">
      <c r="P451" s="1"/>
      <c r="Q451" s="1"/>
      <c r="R451" s="1"/>
      <c r="S451" s="1"/>
      <c r="T451" s="1"/>
      <c r="U451" s="1"/>
      <c r="V451" s="1"/>
      <c r="W451" s="1"/>
      <c r="X451" s="1"/>
      <c r="Y451" s="1"/>
      <c r="Z451" s="1"/>
      <c r="AA451" s="1"/>
    </row>
    <row r="452" customFormat="false" ht="15.75" hidden="false" customHeight="true" outlineLevel="0" collapsed="false">
      <c r="P452" s="1"/>
      <c r="Q452" s="1"/>
      <c r="R452" s="1"/>
      <c r="S452" s="1"/>
      <c r="T452" s="1"/>
      <c r="U452" s="1"/>
      <c r="V452" s="1"/>
      <c r="W452" s="1"/>
      <c r="X452" s="1"/>
      <c r="Y452" s="1"/>
      <c r="Z452" s="1"/>
      <c r="AA452" s="1"/>
    </row>
    <row r="453" customFormat="false" ht="15.75" hidden="false" customHeight="true" outlineLevel="0" collapsed="false">
      <c r="P453" s="1"/>
      <c r="Q453" s="1"/>
      <c r="R453" s="1"/>
      <c r="S453" s="1"/>
      <c r="T453" s="1"/>
      <c r="U453" s="1"/>
      <c r="V453" s="1"/>
      <c r="W453" s="1"/>
      <c r="X453" s="1"/>
      <c r="Y453" s="1"/>
      <c r="Z453" s="1"/>
      <c r="AA453" s="1"/>
    </row>
    <row r="454" customFormat="false" ht="15.75" hidden="false" customHeight="true" outlineLevel="0" collapsed="false">
      <c r="P454" s="1"/>
      <c r="Q454" s="1"/>
      <c r="R454" s="1"/>
      <c r="S454" s="1"/>
      <c r="T454" s="1"/>
      <c r="U454" s="1"/>
      <c r="V454" s="1"/>
      <c r="W454" s="1"/>
      <c r="X454" s="1"/>
      <c r="Y454" s="1"/>
      <c r="Z454" s="1"/>
      <c r="AA454" s="1"/>
    </row>
    <row r="455" customFormat="false" ht="15.75" hidden="false" customHeight="true" outlineLevel="0" collapsed="false">
      <c r="P455" s="1"/>
      <c r="Q455" s="1"/>
      <c r="R455" s="1"/>
      <c r="S455" s="1"/>
      <c r="T455" s="1"/>
      <c r="U455" s="1"/>
      <c r="V455" s="1"/>
      <c r="W455" s="1"/>
      <c r="X455" s="1"/>
      <c r="Y455" s="1"/>
      <c r="Z455" s="1"/>
      <c r="AA455" s="1"/>
    </row>
    <row r="456" customFormat="false" ht="15.75" hidden="false" customHeight="true" outlineLevel="0" collapsed="false">
      <c r="P456" s="1"/>
      <c r="Q456" s="1"/>
      <c r="R456" s="1"/>
      <c r="S456" s="1"/>
      <c r="T456" s="1"/>
      <c r="U456" s="1"/>
      <c r="V456" s="1"/>
      <c r="W456" s="1"/>
      <c r="X456" s="1"/>
      <c r="Y456" s="1"/>
      <c r="Z456" s="1"/>
      <c r="AA456" s="1"/>
    </row>
    <row r="457" customFormat="false" ht="15.75" hidden="false" customHeight="true" outlineLevel="0" collapsed="false">
      <c r="P457" s="1"/>
      <c r="Q457" s="1"/>
      <c r="R457" s="1"/>
      <c r="S457" s="1"/>
      <c r="T457" s="1"/>
      <c r="U457" s="1"/>
      <c r="V457" s="1"/>
      <c r="W457" s="1"/>
      <c r="X457" s="1"/>
      <c r="Y457" s="1"/>
      <c r="Z457" s="1"/>
      <c r="AA457" s="1"/>
    </row>
    <row r="458" customFormat="false" ht="15.75" hidden="false" customHeight="true" outlineLevel="0" collapsed="false">
      <c r="P458" s="1"/>
      <c r="Q458" s="1"/>
      <c r="R458" s="1"/>
      <c r="S458" s="1"/>
      <c r="T458" s="1"/>
      <c r="U458" s="1"/>
      <c r="V458" s="1"/>
      <c r="W458" s="1"/>
      <c r="X458" s="1"/>
      <c r="Y458" s="1"/>
      <c r="Z458" s="1"/>
      <c r="AA458" s="1"/>
    </row>
    <row r="459" customFormat="false" ht="15.75" hidden="false" customHeight="true" outlineLevel="0" collapsed="false">
      <c r="P459" s="1"/>
      <c r="Q459" s="1"/>
      <c r="R459" s="1"/>
      <c r="S459" s="1"/>
      <c r="T459" s="1"/>
      <c r="U459" s="1"/>
      <c r="V459" s="1"/>
      <c r="W459" s="1"/>
      <c r="X459" s="1"/>
      <c r="Y459" s="1"/>
      <c r="Z459" s="1"/>
      <c r="AA459" s="1"/>
    </row>
    <row r="460" customFormat="false" ht="15.75" hidden="false" customHeight="true" outlineLevel="0" collapsed="false">
      <c r="P460" s="1"/>
      <c r="Q460" s="1"/>
      <c r="R460" s="1"/>
      <c r="S460" s="1"/>
      <c r="T460" s="1"/>
      <c r="U460" s="1"/>
      <c r="V460" s="1"/>
      <c r="W460" s="1"/>
      <c r="X460" s="1"/>
      <c r="Y460" s="1"/>
      <c r="Z460" s="1"/>
      <c r="AA460" s="1"/>
    </row>
    <row r="461" customFormat="false" ht="15.75" hidden="false" customHeight="true" outlineLevel="0" collapsed="false">
      <c r="P461" s="1"/>
      <c r="Q461" s="1"/>
      <c r="R461" s="1"/>
      <c r="S461" s="1"/>
      <c r="T461" s="1"/>
      <c r="U461" s="1"/>
      <c r="V461" s="1"/>
      <c r="W461" s="1"/>
      <c r="X461" s="1"/>
      <c r="Y461" s="1"/>
      <c r="Z461" s="1"/>
      <c r="AA461" s="1"/>
    </row>
    <row r="462" customFormat="false" ht="15.75" hidden="false" customHeight="true" outlineLevel="0" collapsed="false">
      <c r="P462" s="1"/>
      <c r="Q462" s="1"/>
      <c r="R462" s="1"/>
      <c r="S462" s="1"/>
      <c r="T462" s="1"/>
      <c r="U462" s="1"/>
      <c r="V462" s="1"/>
      <c r="W462" s="1"/>
      <c r="X462" s="1"/>
      <c r="Y462" s="1"/>
      <c r="Z462" s="1"/>
      <c r="AA462" s="1"/>
    </row>
    <row r="463" customFormat="false" ht="15.75" hidden="false" customHeight="true" outlineLevel="0" collapsed="false">
      <c r="P463" s="1"/>
      <c r="Q463" s="1"/>
      <c r="R463" s="1"/>
      <c r="S463" s="1"/>
      <c r="T463" s="1"/>
      <c r="U463" s="1"/>
      <c r="V463" s="1"/>
      <c r="W463" s="1"/>
      <c r="X463" s="1"/>
      <c r="Y463" s="1"/>
      <c r="Z463" s="1"/>
      <c r="AA463" s="1"/>
    </row>
    <row r="464" customFormat="false" ht="15.75" hidden="false" customHeight="true" outlineLevel="0" collapsed="false">
      <c r="P464" s="1"/>
      <c r="Q464" s="1"/>
      <c r="R464" s="1"/>
      <c r="S464" s="1"/>
      <c r="T464" s="1"/>
      <c r="U464" s="1"/>
      <c r="V464" s="1"/>
      <c r="W464" s="1"/>
      <c r="X464" s="1"/>
      <c r="Y464" s="1"/>
      <c r="Z464" s="1"/>
      <c r="AA464" s="1"/>
    </row>
    <row r="465" customFormat="false" ht="15.75" hidden="false" customHeight="true" outlineLevel="0" collapsed="false">
      <c r="P465" s="1"/>
      <c r="Q465" s="1"/>
      <c r="R465" s="1"/>
      <c r="S465" s="1"/>
      <c r="T465" s="1"/>
      <c r="U465" s="1"/>
      <c r="V465" s="1"/>
      <c r="W465" s="1"/>
      <c r="X465" s="1"/>
      <c r="Y465" s="1"/>
      <c r="Z465" s="1"/>
      <c r="AA465" s="1"/>
    </row>
    <row r="466" customFormat="false" ht="15.75" hidden="false" customHeight="true" outlineLevel="0" collapsed="false">
      <c r="P466" s="1"/>
      <c r="Q466" s="1"/>
      <c r="R466" s="1"/>
      <c r="S466" s="1"/>
      <c r="T466" s="1"/>
      <c r="U466" s="1"/>
      <c r="V466" s="1"/>
      <c r="W466" s="1"/>
      <c r="X466" s="1"/>
      <c r="Y466" s="1"/>
      <c r="Z466" s="1"/>
      <c r="AA466" s="1"/>
    </row>
    <row r="467" customFormat="false" ht="15.75" hidden="false" customHeight="true" outlineLevel="0" collapsed="false">
      <c r="P467" s="1"/>
      <c r="Q467" s="1"/>
      <c r="R467" s="1"/>
      <c r="S467" s="1"/>
      <c r="T467" s="1"/>
      <c r="U467" s="1"/>
      <c r="V467" s="1"/>
      <c r="W467" s="1"/>
      <c r="X467" s="1"/>
      <c r="Y467" s="1"/>
      <c r="Z467" s="1"/>
      <c r="AA467" s="1"/>
    </row>
    <row r="468" customFormat="false" ht="15.75" hidden="false" customHeight="true" outlineLevel="0" collapsed="false">
      <c r="P468" s="1"/>
      <c r="Q468" s="1"/>
      <c r="R468" s="1"/>
      <c r="S468" s="1"/>
      <c r="T468" s="1"/>
      <c r="U468" s="1"/>
      <c r="V468" s="1"/>
      <c r="W468" s="1"/>
      <c r="X468" s="1"/>
      <c r="Y468" s="1"/>
      <c r="Z468" s="1"/>
      <c r="AA468" s="1"/>
    </row>
    <row r="469" customFormat="false" ht="15.75" hidden="false" customHeight="true" outlineLevel="0" collapsed="false">
      <c r="P469" s="1"/>
      <c r="Q469" s="1"/>
      <c r="R469" s="1"/>
      <c r="S469" s="1"/>
      <c r="T469" s="1"/>
      <c r="U469" s="1"/>
      <c r="V469" s="1"/>
      <c r="W469" s="1"/>
      <c r="X469" s="1"/>
      <c r="Y469" s="1"/>
      <c r="Z469" s="1"/>
      <c r="AA469" s="1"/>
    </row>
    <row r="470" customFormat="false" ht="15.75" hidden="false" customHeight="true" outlineLevel="0" collapsed="false">
      <c r="P470" s="1"/>
      <c r="Q470" s="1"/>
      <c r="R470" s="1"/>
      <c r="S470" s="1"/>
      <c r="T470" s="1"/>
      <c r="U470" s="1"/>
      <c r="V470" s="1"/>
      <c r="W470" s="1"/>
      <c r="X470" s="1"/>
      <c r="Y470" s="1"/>
      <c r="Z470" s="1"/>
      <c r="AA470" s="1"/>
    </row>
    <row r="471" customFormat="false" ht="15.75" hidden="false" customHeight="true" outlineLevel="0" collapsed="false">
      <c r="P471" s="1"/>
      <c r="Q471" s="1"/>
      <c r="R471" s="1"/>
      <c r="S471" s="1"/>
      <c r="T471" s="1"/>
      <c r="U471" s="1"/>
      <c r="V471" s="1"/>
      <c r="W471" s="1"/>
      <c r="X471" s="1"/>
      <c r="Y471" s="1"/>
      <c r="Z471" s="1"/>
      <c r="AA471" s="1"/>
    </row>
    <row r="472" customFormat="false" ht="15.75" hidden="false" customHeight="true" outlineLevel="0" collapsed="false">
      <c r="P472" s="1"/>
      <c r="Q472" s="1"/>
      <c r="R472" s="1"/>
      <c r="S472" s="1"/>
      <c r="T472" s="1"/>
      <c r="U472" s="1"/>
      <c r="V472" s="1"/>
      <c r="W472" s="1"/>
      <c r="X472" s="1"/>
      <c r="Y472" s="1"/>
      <c r="Z472" s="1"/>
      <c r="AA472" s="1"/>
    </row>
    <row r="473" customFormat="false" ht="15.75" hidden="false" customHeight="true" outlineLevel="0" collapsed="false">
      <c r="P473" s="1"/>
      <c r="Q473" s="1"/>
      <c r="R473" s="1"/>
      <c r="S473" s="1"/>
      <c r="T473" s="1"/>
      <c r="U473" s="1"/>
      <c r="V473" s="1"/>
      <c r="W473" s="1"/>
      <c r="X473" s="1"/>
      <c r="Y473" s="1"/>
      <c r="Z473" s="1"/>
      <c r="AA473" s="1"/>
    </row>
    <row r="474" customFormat="false" ht="15.75" hidden="false" customHeight="true" outlineLevel="0" collapsed="false">
      <c r="P474" s="1"/>
      <c r="Q474" s="1"/>
      <c r="R474" s="1"/>
      <c r="S474" s="1"/>
      <c r="T474" s="1"/>
      <c r="U474" s="1"/>
      <c r="V474" s="1"/>
      <c r="W474" s="1"/>
      <c r="X474" s="1"/>
      <c r="Y474" s="1"/>
      <c r="Z474" s="1"/>
      <c r="AA474" s="1"/>
    </row>
    <row r="475" customFormat="false" ht="15.75" hidden="false" customHeight="true" outlineLevel="0" collapsed="false">
      <c r="P475" s="1"/>
      <c r="Q475" s="1"/>
      <c r="R475" s="1"/>
      <c r="S475" s="1"/>
      <c r="T475" s="1"/>
      <c r="U475" s="1"/>
      <c r="V475" s="1"/>
      <c r="W475" s="1"/>
      <c r="X475" s="1"/>
      <c r="Y475" s="1"/>
      <c r="Z475" s="1"/>
      <c r="AA475" s="1"/>
    </row>
    <row r="476" customFormat="false" ht="15.75" hidden="false" customHeight="true" outlineLevel="0" collapsed="false">
      <c r="P476" s="1"/>
      <c r="Q476" s="1"/>
      <c r="R476" s="1"/>
      <c r="S476" s="1"/>
      <c r="T476" s="1"/>
      <c r="U476" s="1"/>
      <c r="V476" s="1"/>
      <c r="W476" s="1"/>
      <c r="X476" s="1"/>
      <c r="Y476" s="1"/>
      <c r="Z476" s="1"/>
      <c r="AA476" s="1"/>
    </row>
    <row r="477" customFormat="false" ht="15.75" hidden="false" customHeight="true" outlineLevel="0" collapsed="false">
      <c r="P477" s="1"/>
      <c r="Q477" s="1"/>
      <c r="R477" s="1"/>
      <c r="S477" s="1"/>
      <c r="T477" s="1"/>
      <c r="U477" s="1"/>
      <c r="V477" s="1"/>
      <c r="W477" s="1"/>
      <c r="X477" s="1"/>
      <c r="Y477" s="1"/>
      <c r="Z477" s="1"/>
      <c r="AA477" s="1"/>
    </row>
    <row r="478" customFormat="false" ht="15.75" hidden="false" customHeight="true" outlineLevel="0" collapsed="false">
      <c r="P478" s="1"/>
      <c r="Q478" s="1"/>
      <c r="R478" s="1"/>
      <c r="S478" s="1"/>
      <c r="T478" s="1"/>
      <c r="U478" s="1"/>
      <c r="V478" s="1"/>
      <c r="W478" s="1"/>
      <c r="X478" s="1"/>
      <c r="Y478" s="1"/>
      <c r="Z478" s="1"/>
      <c r="AA478" s="1"/>
    </row>
    <row r="479" customFormat="false" ht="15.75" hidden="false" customHeight="true" outlineLevel="0" collapsed="false">
      <c r="P479" s="1"/>
      <c r="Q479" s="1"/>
      <c r="R479" s="1"/>
      <c r="S479" s="1"/>
      <c r="T479" s="1"/>
      <c r="U479" s="1"/>
      <c r="V479" s="1"/>
      <c r="W479" s="1"/>
      <c r="X479" s="1"/>
      <c r="Y479" s="1"/>
      <c r="Z479" s="1"/>
      <c r="AA479" s="1"/>
    </row>
    <row r="480" customFormat="false" ht="15.75" hidden="false" customHeight="true" outlineLevel="0" collapsed="false">
      <c r="P480" s="1"/>
      <c r="Q480" s="1"/>
      <c r="R480" s="1"/>
      <c r="S480" s="1"/>
      <c r="T480" s="1"/>
      <c r="U480" s="1"/>
      <c r="V480" s="1"/>
      <c r="W480" s="1"/>
      <c r="X480" s="1"/>
      <c r="Y480" s="1"/>
      <c r="Z480" s="1"/>
      <c r="AA480" s="1"/>
    </row>
    <row r="481" customFormat="false" ht="15.75" hidden="false" customHeight="true" outlineLevel="0" collapsed="false">
      <c r="P481" s="1"/>
      <c r="Q481" s="1"/>
      <c r="R481" s="1"/>
      <c r="S481" s="1"/>
      <c r="T481" s="1"/>
      <c r="U481" s="1"/>
      <c r="V481" s="1"/>
      <c r="W481" s="1"/>
      <c r="X481" s="1"/>
      <c r="Y481" s="1"/>
      <c r="Z481" s="1"/>
      <c r="AA481" s="1"/>
    </row>
    <row r="482" customFormat="false" ht="15.75" hidden="false" customHeight="true" outlineLevel="0" collapsed="false">
      <c r="P482" s="1"/>
      <c r="Q482" s="1"/>
      <c r="R482" s="1"/>
      <c r="S482" s="1"/>
      <c r="T482" s="1"/>
      <c r="U482" s="1"/>
      <c r="V482" s="1"/>
      <c r="W482" s="1"/>
      <c r="X482" s="1"/>
      <c r="Y482" s="1"/>
      <c r="Z482" s="1"/>
      <c r="AA482" s="1"/>
    </row>
    <row r="483" customFormat="false" ht="15.75" hidden="false" customHeight="true" outlineLevel="0" collapsed="false">
      <c r="P483" s="1"/>
      <c r="Q483" s="1"/>
      <c r="R483" s="1"/>
      <c r="S483" s="1"/>
      <c r="T483" s="1"/>
      <c r="U483" s="1"/>
      <c r="V483" s="1"/>
      <c r="W483" s="1"/>
      <c r="X483" s="1"/>
      <c r="Y483" s="1"/>
      <c r="Z483" s="1"/>
      <c r="AA483" s="1"/>
    </row>
    <row r="484" customFormat="false" ht="15.75" hidden="false" customHeight="true" outlineLevel="0" collapsed="false">
      <c r="P484" s="1"/>
      <c r="Q484" s="1"/>
      <c r="R484" s="1"/>
      <c r="S484" s="1"/>
      <c r="T484" s="1"/>
      <c r="U484" s="1"/>
      <c r="V484" s="1"/>
      <c r="W484" s="1"/>
      <c r="X484" s="1"/>
      <c r="Y484" s="1"/>
      <c r="Z484" s="1"/>
      <c r="AA484" s="1"/>
    </row>
    <row r="485" customFormat="false" ht="15.75" hidden="false" customHeight="true" outlineLevel="0" collapsed="false">
      <c r="P485" s="1"/>
      <c r="Q485" s="1"/>
      <c r="R485" s="1"/>
      <c r="S485" s="1"/>
      <c r="T485" s="1"/>
      <c r="U485" s="1"/>
      <c r="V485" s="1"/>
      <c r="W485" s="1"/>
      <c r="X485" s="1"/>
      <c r="Y485" s="1"/>
      <c r="Z485" s="1"/>
      <c r="AA485" s="1"/>
    </row>
    <row r="486" customFormat="false" ht="15.75" hidden="false" customHeight="true" outlineLevel="0" collapsed="false">
      <c r="P486" s="1"/>
      <c r="Q486" s="1"/>
      <c r="R486" s="1"/>
      <c r="S486" s="1"/>
      <c r="T486" s="1"/>
      <c r="U486" s="1"/>
      <c r="V486" s="1"/>
      <c r="W486" s="1"/>
      <c r="X486" s="1"/>
      <c r="Y486" s="1"/>
      <c r="Z486" s="1"/>
      <c r="AA486" s="1"/>
    </row>
    <row r="487" customFormat="false" ht="15.75" hidden="false" customHeight="true" outlineLevel="0" collapsed="false">
      <c r="P487" s="1"/>
      <c r="Q487" s="1"/>
      <c r="R487" s="1"/>
      <c r="S487" s="1"/>
      <c r="T487" s="1"/>
      <c r="U487" s="1"/>
      <c r="V487" s="1"/>
      <c r="W487" s="1"/>
      <c r="X487" s="1"/>
      <c r="Y487" s="1"/>
      <c r="Z487" s="1"/>
      <c r="AA487" s="1"/>
    </row>
    <row r="488" customFormat="false" ht="15.75" hidden="false" customHeight="true" outlineLevel="0" collapsed="false">
      <c r="P488" s="1"/>
      <c r="Q488" s="1"/>
      <c r="R488" s="1"/>
      <c r="S488" s="1"/>
      <c r="T488" s="1"/>
      <c r="U488" s="1"/>
      <c r="V488" s="1"/>
      <c r="W488" s="1"/>
      <c r="X488" s="1"/>
      <c r="Y488" s="1"/>
      <c r="Z488" s="1"/>
      <c r="AA488" s="1"/>
    </row>
    <row r="489" customFormat="false" ht="15.75" hidden="false" customHeight="true" outlineLevel="0" collapsed="false">
      <c r="P489" s="1"/>
      <c r="Q489" s="1"/>
      <c r="R489" s="1"/>
      <c r="S489" s="1"/>
      <c r="T489" s="1"/>
      <c r="U489" s="1"/>
      <c r="V489" s="1"/>
      <c r="W489" s="1"/>
      <c r="X489" s="1"/>
      <c r="Y489" s="1"/>
      <c r="Z489" s="1"/>
      <c r="AA489" s="1"/>
    </row>
    <row r="490" customFormat="false" ht="15.75" hidden="false" customHeight="true" outlineLevel="0" collapsed="false">
      <c r="P490" s="1"/>
      <c r="Q490" s="1"/>
      <c r="R490" s="1"/>
      <c r="S490" s="1"/>
      <c r="T490" s="1"/>
      <c r="U490" s="1"/>
      <c r="V490" s="1"/>
      <c r="W490" s="1"/>
      <c r="X490" s="1"/>
      <c r="Y490" s="1"/>
      <c r="Z490" s="1"/>
      <c r="AA490" s="1"/>
    </row>
    <row r="491" customFormat="false" ht="15.75" hidden="false" customHeight="true" outlineLevel="0" collapsed="false">
      <c r="P491" s="1"/>
      <c r="Q491" s="1"/>
      <c r="R491" s="1"/>
      <c r="S491" s="1"/>
      <c r="T491" s="1"/>
      <c r="U491" s="1"/>
      <c r="V491" s="1"/>
      <c r="W491" s="1"/>
      <c r="X491" s="1"/>
      <c r="Y491" s="1"/>
      <c r="Z491" s="1"/>
      <c r="AA491" s="1"/>
    </row>
    <row r="492" customFormat="false" ht="15.75" hidden="false" customHeight="true" outlineLevel="0" collapsed="false">
      <c r="P492" s="1"/>
      <c r="Q492" s="1"/>
      <c r="R492" s="1"/>
      <c r="S492" s="1"/>
      <c r="T492" s="1"/>
      <c r="U492" s="1"/>
      <c r="V492" s="1"/>
      <c r="W492" s="1"/>
      <c r="X492" s="1"/>
      <c r="Y492" s="1"/>
      <c r="Z492" s="1"/>
      <c r="AA492" s="1"/>
    </row>
    <row r="493" customFormat="false" ht="15.75" hidden="false" customHeight="true" outlineLevel="0" collapsed="false">
      <c r="P493" s="1"/>
      <c r="Q493" s="1"/>
      <c r="R493" s="1"/>
      <c r="S493" s="1"/>
      <c r="T493" s="1"/>
      <c r="U493" s="1"/>
      <c r="V493" s="1"/>
      <c r="W493" s="1"/>
      <c r="X493" s="1"/>
      <c r="Y493" s="1"/>
      <c r="Z493" s="1"/>
      <c r="AA493" s="1"/>
    </row>
    <row r="494" customFormat="false" ht="15.75" hidden="false" customHeight="true" outlineLevel="0" collapsed="false">
      <c r="P494" s="1"/>
      <c r="Q494" s="1"/>
      <c r="R494" s="1"/>
      <c r="S494" s="1"/>
      <c r="T494" s="1"/>
      <c r="U494" s="1"/>
      <c r="V494" s="1"/>
      <c r="W494" s="1"/>
      <c r="X494" s="1"/>
      <c r="Y494" s="1"/>
      <c r="Z494" s="1"/>
      <c r="AA494" s="1"/>
    </row>
    <row r="495" customFormat="false" ht="15.75" hidden="false" customHeight="true" outlineLevel="0" collapsed="false">
      <c r="P495" s="1"/>
      <c r="Q495" s="1"/>
      <c r="R495" s="1"/>
      <c r="S495" s="1"/>
      <c r="T495" s="1"/>
      <c r="U495" s="1"/>
      <c r="V495" s="1"/>
      <c r="W495" s="1"/>
      <c r="X495" s="1"/>
      <c r="Y495" s="1"/>
      <c r="Z495" s="1"/>
      <c r="AA495" s="1"/>
    </row>
    <row r="496" customFormat="false" ht="15.75" hidden="false" customHeight="true" outlineLevel="0" collapsed="false">
      <c r="P496" s="1"/>
      <c r="Q496" s="1"/>
      <c r="R496" s="1"/>
      <c r="S496" s="1"/>
      <c r="T496" s="1"/>
      <c r="U496" s="1"/>
      <c r="V496" s="1"/>
      <c r="W496" s="1"/>
      <c r="X496" s="1"/>
      <c r="Y496" s="1"/>
      <c r="Z496" s="1"/>
      <c r="AA496" s="1"/>
    </row>
    <row r="497" customFormat="false" ht="15.75" hidden="false" customHeight="true" outlineLevel="0" collapsed="false">
      <c r="P497" s="1"/>
      <c r="Q497" s="1"/>
      <c r="R497" s="1"/>
      <c r="S497" s="1"/>
      <c r="T497" s="1"/>
      <c r="U497" s="1"/>
      <c r="V497" s="1"/>
      <c r="W497" s="1"/>
      <c r="X497" s="1"/>
      <c r="Y497" s="1"/>
      <c r="Z497" s="1"/>
      <c r="AA497" s="1"/>
    </row>
    <row r="498" customFormat="false" ht="15.75" hidden="false" customHeight="true" outlineLevel="0" collapsed="false">
      <c r="P498" s="1"/>
      <c r="Q498" s="1"/>
      <c r="R498" s="1"/>
      <c r="S498" s="1"/>
      <c r="T498" s="1"/>
      <c r="U498" s="1"/>
      <c r="V498" s="1"/>
      <c r="W498" s="1"/>
      <c r="X498" s="1"/>
      <c r="Y498" s="1"/>
      <c r="Z498" s="1"/>
      <c r="AA498" s="1"/>
    </row>
    <row r="499" customFormat="false" ht="15.75" hidden="false" customHeight="true" outlineLevel="0" collapsed="false">
      <c r="P499" s="1"/>
      <c r="Q499" s="1"/>
      <c r="R499" s="1"/>
      <c r="S499" s="1"/>
      <c r="T499" s="1"/>
      <c r="U499" s="1"/>
      <c r="V499" s="1"/>
      <c r="W499" s="1"/>
      <c r="X499" s="1"/>
      <c r="Y499" s="1"/>
      <c r="Z499" s="1"/>
      <c r="AA499" s="1"/>
    </row>
    <row r="500" customFormat="false" ht="15.75" hidden="false" customHeight="true" outlineLevel="0" collapsed="false">
      <c r="P500" s="1"/>
      <c r="Q500" s="1"/>
      <c r="R500" s="1"/>
      <c r="S500" s="1"/>
      <c r="T500" s="1"/>
      <c r="U500" s="1"/>
      <c r="V500" s="1"/>
      <c r="W500" s="1"/>
      <c r="X500" s="1"/>
      <c r="Y500" s="1"/>
      <c r="Z500" s="1"/>
      <c r="AA500" s="1"/>
    </row>
    <row r="501" customFormat="false" ht="15.75" hidden="false" customHeight="true" outlineLevel="0" collapsed="false">
      <c r="P501" s="1"/>
      <c r="Q501" s="1"/>
      <c r="R501" s="1"/>
      <c r="S501" s="1"/>
      <c r="T501" s="1"/>
      <c r="U501" s="1"/>
      <c r="V501" s="1"/>
      <c r="W501" s="1"/>
      <c r="X501" s="1"/>
      <c r="Y501" s="1"/>
      <c r="Z501" s="1"/>
      <c r="AA501" s="1"/>
    </row>
    <row r="502" customFormat="false" ht="15.75" hidden="false" customHeight="true" outlineLevel="0" collapsed="false">
      <c r="P502" s="1"/>
      <c r="Q502" s="1"/>
      <c r="R502" s="1"/>
      <c r="S502" s="1"/>
      <c r="T502" s="1"/>
      <c r="U502" s="1"/>
      <c r="V502" s="1"/>
      <c r="W502" s="1"/>
      <c r="X502" s="1"/>
      <c r="Y502" s="1"/>
      <c r="Z502" s="1"/>
      <c r="AA502" s="1"/>
    </row>
    <row r="503" customFormat="false" ht="15.75" hidden="false" customHeight="true" outlineLevel="0" collapsed="false">
      <c r="P503" s="1"/>
      <c r="Q503" s="1"/>
      <c r="R503" s="1"/>
      <c r="S503" s="1"/>
      <c r="T503" s="1"/>
      <c r="U503" s="1"/>
      <c r="V503" s="1"/>
      <c r="W503" s="1"/>
      <c r="X503" s="1"/>
      <c r="Y503" s="1"/>
      <c r="Z503" s="1"/>
      <c r="AA503" s="1"/>
    </row>
    <row r="504" customFormat="false" ht="15.75" hidden="false" customHeight="true" outlineLevel="0" collapsed="false">
      <c r="P504" s="1"/>
      <c r="Q504" s="1"/>
      <c r="R504" s="1"/>
      <c r="S504" s="1"/>
      <c r="T504" s="1"/>
      <c r="U504" s="1"/>
      <c r="V504" s="1"/>
      <c r="W504" s="1"/>
      <c r="X504" s="1"/>
      <c r="Y504" s="1"/>
      <c r="Z504" s="1"/>
      <c r="AA504" s="1"/>
    </row>
    <row r="505" customFormat="false" ht="15.75" hidden="false" customHeight="true" outlineLevel="0" collapsed="false">
      <c r="P505" s="1"/>
      <c r="Q505" s="1"/>
      <c r="R505" s="1"/>
      <c r="S505" s="1"/>
      <c r="T505" s="1"/>
      <c r="U505" s="1"/>
      <c r="V505" s="1"/>
      <c r="W505" s="1"/>
      <c r="X505" s="1"/>
      <c r="Y505" s="1"/>
      <c r="Z505" s="1"/>
      <c r="AA505" s="1"/>
    </row>
    <row r="506" customFormat="false" ht="15.75" hidden="false" customHeight="true" outlineLevel="0" collapsed="false">
      <c r="P506" s="1"/>
      <c r="Q506" s="1"/>
      <c r="R506" s="1"/>
      <c r="S506" s="1"/>
      <c r="T506" s="1"/>
      <c r="U506" s="1"/>
      <c r="V506" s="1"/>
      <c r="W506" s="1"/>
      <c r="X506" s="1"/>
      <c r="Y506" s="1"/>
      <c r="Z506" s="1"/>
      <c r="AA506" s="1"/>
    </row>
    <row r="507" customFormat="false" ht="15.75" hidden="false" customHeight="true" outlineLevel="0" collapsed="false">
      <c r="P507" s="1"/>
      <c r="Q507" s="1"/>
      <c r="R507" s="1"/>
      <c r="S507" s="1"/>
      <c r="T507" s="1"/>
      <c r="U507" s="1"/>
      <c r="V507" s="1"/>
      <c r="W507" s="1"/>
      <c r="X507" s="1"/>
      <c r="Y507" s="1"/>
      <c r="Z507" s="1"/>
      <c r="AA507" s="1"/>
    </row>
    <row r="508" customFormat="false" ht="15.75" hidden="false" customHeight="true" outlineLevel="0" collapsed="false">
      <c r="P508" s="1"/>
      <c r="Q508" s="1"/>
      <c r="R508" s="1"/>
      <c r="S508" s="1"/>
      <c r="T508" s="1"/>
      <c r="U508" s="1"/>
      <c r="V508" s="1"/>
      <c r="W508" s="1"/>
      <c r="X508" s="1"/>
      <c r="Y508" s="1"/>
      <c r="Z508" s="1"/>
      <c r="AA508" s="1"/>
    </row>
    <row r="509" customFormat="false" ht="15.75" hidden="false" customHeight="true" outlineLevel="0" collapsed="false">
      <c r="P509" s="1"/>
      <c r="Q509" s="1"/>
      <c r="R509" s="1"/>
      <c r="S509" s="1"/>
      <c r="T509" s="1"/>
      <c r="U509" s="1"/>
      <c r="V509" s="1"/>
      <c r="W509" s="1"/>
      <c r="X509" s="1"/>
      <c r="Y509" s="1"/>
      <c r="Z509" s="1"/>
      <c r="AA509" s="1"/>
    </row>
    <row r="510" customFormat="false" ht="15.75" hidden="false" customHeight="true" outlineLevel="0" collapsed="false">
      <c r="P510" s="1"/>
      <c r="Q510" s="1"/>
      <c r="R510" s="1"/>
      <c r="S510" s="1"/>
      <c r="T510" s="1"/>
      <c r="U510" s="1"/>
      <c r="V510" s="1"/>
      <c r="W510" s="1"/>
      <c r="X510" s="1"/>
      <c r="Y510" s="1"/>
      <c r="Z510" s="1"/>
      <c r="AA510" s="1"/>
    </row>
    <row r="511" customFormat="false" ht="15.75" hidden="false" customHeight="true" outlineLevel="0" collapsed="false">
      <c r="P511" s="1"/>
      <c r="Q511" s="1"/>
      <c r="R511" s="1"/>
      <c r="S511" s="1"/>
      <c r="T511" s="1"/>
      <c r="U511" s="1"/>
      <c r="V511" s="1"/>
      <c r="W511" s="1"/>
      <c r="X511" s="1"/>
      <c r="Y511" s="1"/>
      <c r="Z511" s="1"/>
      <c r="AA511" s="1"/>
    </row>
    <row r="512" customFormat="false" ht="15.75" hidden="false" customHeight="true" outlineLevel="0" collapsed="false">
      <c r="P512" s="1"/>
      <c r="Q512" s="1"/>
      <c r="R512" s="1"/>
      <c r="S512" s="1"/>
      <c r="T512" s="1"/>
      <c r="U512" s="1"/>
      <c r="V512" s="1"/>
      <c r="W512" s="1"/>
      <c r="X512" s="1"/>
      <c r="Y512" s="1"/>
      <c r="Z512" s="1"/>
      <c r="AA512" s="1"/>
    </row>
    <row r="513" customFormat="false" ht="15.75" hidden="false" customHeight="true" outlineLevel="0" collapsed="false">
      <c r="P513" s="1"/>
      <c r="Q513" s="1"/>
      <c r="R513" s="1"/>
      <c r="S513" s="1"/>
      <c r="T513" s="1"/>
      <c r="U513" s="1"/>
      <c r="V513" s="1"/>
      <c r="W513" s="1"/>
      <c r="X513" s="1"/>
      <c r="Y513" s="1"/>
      <c r="Z513" s="1"/>
      <c r="AA513" s="1"/>
    </row>
    <row r="514" customFormat="false" ht="15.75" hidden="false" customHeight="true" outlineLevel="0" collapsed="false">
      <c r="P514" s="1"/>
      <c r="Q514" s="1"/>
      <c r="R514" s="1"/>
      <c r="S514" s="1"/>
      <c r="T514" s="1"/>
      <c r="U514" s="1"/>
      <c r="V514" s="1"/>
      <c r="W514" s="1"/>
      <c r="X514" s="1"/>
      <c r="Y514" s="1"/>
      <c r="Z514" s="1"/>
      <c r="AA514" s="1"/>
    </row>
    <row r="515" customFormat="false" ht="15.75" hidden="false" customHeight="true" outlineLevel="0" collapsed="false">
      <c r="P515" s="1"/>
      <c r="Q515" s="1"/>
      <c r="R515" s="1"/>
      <c r="S515" s="1"/>
      <c r="T515" s="1"/>
      <c r="U515" s="1"/>
      <c r="V515" s="1"/>
      <c r="W515" s="1"/>
      <c r="X515" s="1"/>
      <c r="Y515" s="1"/>
      <c r="Z515" s="1"/>
      <c r="AA515" s="1"/>
    </row>
    <row r="516" customFormat="false" ht="15.75" hidden="false" customHeight="true" outlineLevel="0" collapsed="false">
      <c r="P516" s="1"/>
      <c r="Q516" s="1"/>
      <c r="R516" s="1"/>
      <c r="S516" s="1"/>
      <c r="T516" s="1"/>
      <c r="U516" s="1"/>
      <c r="V516" s="1"/>
      <c r="W516" s="1"/>
      <c r="X516" s="1"/>
      <c r="Y516" s="1"/>
      <c r="Z516" s="1"/>
      <c r="AA516" s="1"/>
    </row>
    <row r="517" customFormat="false" ht="15.75" hidden="false" customHeight="true" outlineLevel="0" collapsed="false">
      <c r="P517" s="1"/>
      <c r="Q517" s="1"/>
      <c r="R517" s="1"/>
      <c r="S517" s="1"/>
      <c r="T517" s="1"/>
      <c r="U517" s="1"/>
      <c r="V517" s="1"/>
      <c r="W517" s="1"/>
      <c r="X517" s="1"/>
      <c r="Y517" s="1"/>
      <c r="Z517" s="1"/>
      <c r="AA517" s="1"/>
    </row>
    <row r="518" customFormat="false" ht="15.75" hidden="false" customHeight="true" outlineLevel="0" collapsed="false">
      <c r="P518" s="1"/>
      <c r="Q518" s="1"/>
      <c r="R518" s="1"/>
      <c r="S518" s="1"/>
      <c r="T518" s="1"/>
      <c r="U518" s="1"/>
      <c r="V518" s="1"/>
      <c r="W518" s="1"/>
      <c r="X518" s="1"/>
      <c r="Y518" s="1"/>
      <c r="Z518" s="1"/>
      <c r="AA518" s="1"/>
    </row>
    <row r="519" customFormat="false" ht="15.75" hidden="false" customHeight="true" outlineLevel="0" collapsed="false">
      <c r="P519" s="1"/>
      <c r="Q519" s="1"/>
      <c r="R519" s="1"/>
      <c r="S519" s="1"/>
      <c r="T519" s="1"/>
      <c r="U519" s="1"/>
      <c r="V519" s="1"/>
      <c r="W519" s="1"/>
      <c r="X519" s="1"/>
      <c r="Y519" s="1"/>
      <c r="Z519" s="1"/>
      <c r="AA519" s="1"/>
    </row>
    <row r="520" customFormat="false" ht="15.75" hidden="false" customHeight="true" outlineLevel="0" collapsed="false">
      <c r="P520" s="1"/>
      <c r="Q520" s="1"/>
      <c r="R520" s="1"/>
      <c r="S520" s="1"/>
      <c r="T520" s="1"/>
      <c r="U520" s="1"/>
      <c r="V520" s="1"/>
      <c r="W520" s="1"/>
      <c r="X520" s="1"/>
      <c r="Y520" s="1"/>
      <c r="Z520" s="1"/>
      <c r="AA520" s="1"/>
    </row>
    <row r="521" customFormat="false" ht="15.75" hidden="false" customHeight="true" outlineLevel="0" collapsed="false">
      <c r="P521" s="1"/>
      <c r="Q521" s="1"/>
      <c r="R521" s="1"/>
      <c r="S521" s="1"/>
      <c r="T521" s="1"/>
      <c r="U521" s="1"/>
      <c r="V521" s="1"/>
      <c r="W521" s="1"/>
      <c r="X521" s="1"/>
      <c r="Y521" s="1"/>
      <c r="Z521" s="1"/>
      <c r="AA521" s="1"/>
    </row>
    <row r="522" customFormat="false" ht="15.75" hidden="false" customHeight="true" outlineLevel="0" collapsed="false">
      <c r="P522" s="1"/>
      <c r="Q522" s="1"/>
      <c r="R522" s="1"/>
      <c r="S522" s="1"/>
      <c r="T522" s="1"/>
      <c r="U522" s="1"/>
      <c r="V522" s="1"/>
      <c r="W522" s="1"/>
      <c r="X522" s="1"/>
      <c r="Y522" s="1"/>
      <c r="Z522" s="1"/>
      <c r="AA522" s="1"/>
    </row>
    <row r="523" customFormat="false" ht="15.75" hidden="false" customHeight="true" outlineLevel="0" collapsed="false">
      <c r="P523" s="1"/>
      <c r="Q523" s="1"/>
      <c r="R523" s="1"/>
      <c r="S523" s="1"/>
      <c r="T523" s="1"/>
      <c r="U523" s="1"/>
      <c r="V523" s="1"/>
      <c r="W523" s="1"/>
      <c r="X523" s="1"/>
      <c r="Y523" s="1"/>
      <c r="Z523" s="1"/>
      <c r="AA523" s="1"/>
    </row>
    <row r="524" customFormat="false" ht="15.75" hidden="false" customHeight="true" outlineLevel="0" collapsed="false">
      <c r="P524" s="1"/>
      <c r="Q524" s="1"/>
      <c r="R524" s="1"/>
      <c r="S524" s="1"/>
      <c r="T524" s="1"/>
      <c r="U524" s="1"/>
      <c r="V524" s="1"/>
      <c r="W524" s="1"/>
      <c r="X524" s="1"/>
      <c r="Y524" s="1"/>
      <c r="Z524" s="1"/>
      <c r="AA524" s="1"/>
    </row>
    <row r="525" customFormat="false" ht="15.75" hidden="false" customHeight="true" outlineLevel="0" collapsed="false">
      <c r="P525" s="1"/>
      <c r="Q525" s="1"/>
      <c r="R525" s="1"/>
      <c r="S525" s="1"/>
      <c r="T525" s="1"/>
      <c r="U525" s="1"/>
      <c r="V525" s="1"/>
      <c r="W525" s="1"/>
      <c r="X525" s="1"/>
      <c r="Y525" s="1"/>
      <c r="Z525" s="1"/>
      <c r="AA525" s="1"/>
    </row>
    <row r="526" customFormat="false" ht="15.75" hidden="false" customHeight="true" outlineLevel="0" collapsed="false">
      <c r="P526" s="1"/>
      <c r="Q526" s="1"/>
      <c r="R526" s="1"/>
      <c r="S526" s="1"/>
      <c r="T526" s="1"/>
      <c r="U526" s="1"/>
      <c r="V526" s="1"/>
      <c r="W526" s="1"/>
      <c r="X526" s="1"/>
      <c r="Y526" s="1"/>
      <c r="Z526" s="1"/>
      <c r="AA526" s="1"/>
    </row>
    <row r="527" customFormat="false" ht="15.75" hidden="false" customHeight="true" outlineLevel="0" collapsed="false">
      <c r="P527" s="1"/>
      <c r="Q527" s="1"/>
      <c r="R527" s="1"/>
      <c r="S527" s="1"/>
      <c r="T527" s="1"/>
      <c r="U527" s="1"/>
      <c r="V527" s="1"/>
      <c r="W527" s="1"/>
      <c r="X527" s="1"/>
      <c r="Y527" s="1"/>
      <c r="Z527" s="1"/>
      <c r="AA527" s="1"/>
    </row>
    <row r="528" customFormat="false" ht="15.75" hidden="false" customHeight="true" outlineLevel="0" collapsed="false">
      <c r="P528" s="1"/>
      <c r="Q528" s="1"/>
      <c r="R528" s="1"/>
      <c r="S528" s="1"/>
      <c r="T528" s="1"/>
      <c r="U528" s="1"/>
      <c r="V528" s="1"/>
      <c r="W528" s="1"/>
      <c r="X528" s="1"/>
      <c r="Y528" s="1"/>
      <c r="Z528" s="1"/>
      <c r="AA528" s="1"/>
    </row>
    <row r="529" customFormat="false" ht="15.75" hidden="false" customHeight="true" outlineLevel="0" collapsed="false">
      <c r="P529" s="1"/>
      <c r="Q529" s="1"/>
      <c r="R529" s="1"/>
      <c r="S529" s="1"/>
      <c r="T529" s="1"/>
      <c r="U529" s="1"/>
      <c r="V529" s="1"/>
      <c r="W529" s="1"/>
      <c r="X529" s="1"/>
      <c r="Y529" s="1"/>
      <c r="Z529" s="1"/>
      <c r="AA529" s="1"/>
    </row>
    <row r="530" customFormat="false" ht="15.75" hidden="false" customHeight="true" outlineLevel="0" collapsed="false">
      <c r="P530" s="1"/>
      <c r="Q530" s="1"/>
      <c r="R530" s="1"/>
      <c r="S530" s="1"/>
      <c r="T530" s="1"/>
      <c r="U530" s="1"/>
      <c r="V530" s="1"/>
      <c r="W530" s="1"/>
      <c r="X530" s="1"/>
      <c r="Y530" s="1"/>
      <c r="Z530" s="1"/>
      <c r="AA530" s="1"/>
    </row>
    <row r="531" customFormat="false" ht="15.75" hidden="false" customHeight="true" outlineLevel="0" collapsed="false">
      <c r="P531" s="1"/>
      <c r="Q531" s="1"/>
      <c r="R531" s="1"/>
      <c r="S531" s="1"/>
      <c r="T531" s="1"/>
      <c r="U531" s="1"/>
      <c r="V531" s="1"/>
      <c r="W531" s="1"/>
      <c r="X531" s="1"/>
      <c r="Y531" s="1"/>
      <c r="Z531" s="1"/>
      <c r="AA531" s="1"/>
    </row>
    <row r="532" customFormat="false" ht="15.75" hidden="false" customHeight="true" outlineLevel="0" collapsed="false">
      <c r="P532" s="1"/>
      <c r="Q532" s="1"/>
      <c r="R532" s="1"/>
      <c r="S532" s="1"/>
      <c r="T532" s="1"/>
      <c r="U532" s="1"/>
      <c r="V532" s="1"/>
      <c r="W532" s="1"/>
      <c r="X532" s="1"/>
      <c r="Y532" s="1"/>
      <c r="Z532" s="1"/>
      <c r="AA532" s="1"/>
    </row>
    <row r="533" customFormat="false" ht="15.75" hidden="false" customHeight="true" outlineLevel="0" collapsed="false">
      <c r="P533" s="1"/>
      <c r="Q533" s="1"/>
      <c r="R533" s="1"/>
      <c r="S533" s="1"/>
      <c r="T533" s="1"/>
      <c r="U533" s="1"/>
      <c r="V533" s="1"/>
      <c r="W533" s="1"/>
      <c r="X533" s="1"/>
      <c r="Y533" s="1"/>
      <c r="Z533" s="1"/>
      <c r="AA533" s="1"/>
    </row>
    <row r="534" customFormat="false" ht="15.75" hidden="false" customHeight="true" outlineLevel="0" collapsed="false">
      <c r="P534" s="1"/>
      <c r="Q534" s="1"/>
      <c r="R534" s="1"/>
      <c r="S534" s="1"/>
      <c r="T534" s="1"/>
      <c r="U534" s="1"/>
      <c r="V534" s="1"/>
      <c r="W534" s="1"/>
      <c r="X534" s="1"/>
      <c r="Y534" s="1"/>
      <c r="Z534" s="1"/>
      <c r="AA534" s="1"/>
    </row>
    <row r="535" customFormat="false" ht="15.75" hidden="false" customHeight="true" outlineLevel="0" collapsed="false">
      <c r="P535" s="1"/>
      <c r="Q535" s="1"/>
      <c r="R535" s="1"/>
      <c r="S535" s="1"/>
      <c r="T535" s="1"/>
      <c r="U535" s="1"/>
      <c r="V535" s="1"/>
      <c r="W535" s="1"/>
      <c r="X535" s="1"/>
      <c r="Y535" s="1"/>
      <c r="Z535" s="1"/>
      <c r="AA535" s="1"/>
    </row>
    <row r="536" customFormat="false" ht="15.75" hidden="false" customHeight="true" outlineLevel="0" collapsed="false">
      <c r="P536" s="1"/>
      <c r="Q536" s="1"/>
      <c r="R536" s="1"/>
      <c r="S536" s="1"/>
      <c r="T536" s="1"/>
      <c r="U536" s="1"/>
      <c r="V536" s="1"/>
      <c r="W536" s="1"/>
      <c r="X536" s="1"/>
      <c r="Y536" s="1"/>
      <c r="Z536" s="1"/>
      <c r="AA536" s="1"/>
    </row>
    <row r="537" customFormat="false" ht="15.75" hidden="false" customHeight="true" outlineLevel="0" collapsed="false">
      <c r="P537" s="1"/>
      <c r="Q537" s="1"/>
      <c r="R537" s="1"/>
      <c r="S537" s="1"/>
      <c r="T537" s="1"/>
      <c r="U537" s="1"/>
      <c r="V537" s="1"/>
      <c r="W537" s="1"/>
      <c r="X537" s="1"/>
      <c r="Y537" s="1"/>
      <c r="Z537" s="1"/>
      <c r="AA537" s="1"/>
    </row>
    <row r="538" customFormat="false" ht="15.75" hidden="false" customHeight="true" outlineLevel="0" collapsed="false">
      <c r="P538" s="1"/>
      <c r="Q538" s="1"/>
      <c r="R538" s="1"/>
      <c r="S538" s="1"/>
      <c r="T538" s="1"/>
      <c r="U538" s="1"/>
      <c r="V538" s="1"/>
      <c r="W538" s="1"/>
      <c r="X538" s="1"/>
      <c r="Y538" s="1"/>
      <c r="Z538" s="1"/>
      <c r="AA538" s="1"/>
    </row>
    <row r="539" customFormat="false" ht="15.75" hidden="false" customHeight="true" outlineLevel="0" collapsed="false">
      <c r="P539" s="1"/>
      <c r="Q539" s="1"/>
      <c r="R539" s="1"/>
      <c r="S539" s="1"/>
      <c r="T539" s="1"/>
      <c r="U539" s="1"/>
      <c r="V539" s="1"/>
      <c r="W539" s="1"/>
      <c r="X539" s="1"/>
      <c r="Y539" s="1"/>
      <c r="Z539" s="1"/>
      <c r="AA539" s="1"/>
    </row>
    <row r="540" customFormat="false" ht="15.75" hidden="false" customHeight="true" outlineLevel="0" collapsed="false">
      <c r="P540" s="1"/>
      <c r="Q540" s="1"/>
      <c r="R540" s="1"/>
      <c r="S540" s="1"/>
      <c r="T540" s="1"/>
      <c r="U540" s="1"/>
      <c r="V540" s="1"/>
      <c r="W540" s="1"/>
      <c r="X540" s="1"/>
      <c r="Y540" s="1"/>
      <c r="Z540" s="1"/>
      <c r="AA540" s="1"/>
    </row>
    <row r="541" customFormat="false" ht="15.75" hidden="false" customHeight="true" outlineLevel="0" collapsed="false">
      <c r="P541" s="1"/>
      <c r="Q541" s="1"/>
      <c r="R541" s="1"/>
      <c r="S541" s="1"/>
      <c r="T541" s="1"/>
      <c r="U541" s="1"/>
      <c r="V541" s="1"/>
      <c r="W541" s="1"/>
      <c r="X541" s="1"/>
      <c r="Y541" s="1"/>
      <c r="Z541" s="1"/>
      <c r="AA541" s="1"/>
    </row>
    <row r="542" customFormat="false" ht="15.75" hidden="false" customHeight="true" outlineLevel="0" collapsed="false">
      <c r="P542" s="1"/>
      <c r="Q542" s="1"/>
      <c r="R542" s="1"/>
      <c r="S542" s="1"/>
      <c r="T542" s="1"/>
      <c r="U542" s="1"/>
      <c r="V542" s="1"/>
      <c r="W542" s="1"/>
      <c r="X542" s="1"/>
      <c r="Y542" s="1"/>
      <c r="Z542" s="1"/>
      <c r="AA542" s="1"/>
    </row>
    <row r="543" customFormat="false" ht="15.75" hidden="false" customHeight="true" outlineLevel="0" collapsed="false">
      <c r="P543" s="1"/>
      <c r="Q543" s="1"/>
      <c r="R543" s="1"/>
      <c r="S543" s="1"/>
      <c r="T543" s="1"/>
      <c r="U543" s="1"/>
      <c r="V543" s="1"/>
      <c r="W543" s="1"/>
      <c r="X543" s="1"/>
      <c r="Y543" s="1"/>
      <c r="Z543" s="1"/>
      <c r="AA543" s="1"/>
    </row>
    <row r="544" customFormat="false" ht="15.75" hidden="false" customHeight="true" outlineLevel="0" collapsed="false">
      <c r="P544" s="1"/>
      <c r="Q544" s="1"/>
      <c r="R544" s="1"/>
      <c r="S544" s="1"/>
      <c r="T544" s="1"/>
      <c r="U544" s="1"/>
      <c r="V544" s="1"/>
      <c r="W544" s="1"/>
      <c r="X544" s="1"/>
      <c r="Y544" s="1"/>
      <c r="Z544" s="1"/>
      <c r="AA544" s="1"/>
    </row>
    <row r="545" customFormat="false" ht="15.75" hidden="false" customHeight="true" outlineLevel="0" collapsed="false">
      <c r="P545" s="1"/>
      <c r="Q545" s="1"/>
      <c r="R545" s="1"/>
      <c r="S545" s="1"/>
      <c r="T545" s="1"/>
      <c r="U545" s="1"/>
      <c r="V545" s="1"/>
      <c r="W545" s="1"/>
      <c r="X545" s="1"/>
      <c r="Y545" s="1"/>
      <c r="Z545" s="1"/>
      <c r="AA545" s="1"/>
    </row>
    <row r="546" customFormat="false" ht="15.75" hidden="false" customHeight="true" outlineLevel="0" collapsed="false">
      <c r="P546" s="1"/>
      <c r="Q546" s="1"/>
      <c r="R546" s="1"/>
      <c r="S546" s="1"/>
      <c r="T546" s="1"/>
      <c r="U546" s="1"/>
      <c r="V546" s="1"/>
      <c r="W546" s="1"/>
      <c r="X546" s="1"/>
      <c r="Y546" s="1"/>
      <c r="Z546" s="1"/>
      <c r="AA546" s="1"/>
    </row>
    <row r="547" customFormat="false" ht="15.75" hidden="false" customHeight="true" outlineLevel="0" collapsed="false">
      <c r="P547" s="1"/>
      <c r="Q547" s="1"/>
      <c r="R547" s="1"/>
      <c r="S547" s="1"/>
      <c r="T547" s="1"/>
      <c r="U547" s="1"/>
      <c r="V547" s="1"/>
      <c r="W547" s="1"/>
      <c r="X547" s="1"/>
      <c r="Y547" s="1"/>
      <c r="Z547" s="1"/>
      <c r="AA547" s="1"/>
    </row>
    <row r="548" customFormat="false" ht="15.75" hidden="false" customHeight="true" outlineLevel="0" collapsed="false">
      <c r="P548" s="1"/>
      <c r="Q548" s="1"/>
      <c r="R548" s="1"/>
      <c r="S548" s="1"/>
      <c r="T548" s="1"/>
      <c r="U548" s="1"/>
      <c r="V548" s="1"/>
      <c r="W548" s="1"/>
      <c r="X548" s="1"/>
      <c r="Y548" s="1"/>
      <c r="Z548" s="1"/>
      <c r="AA548" s="1"/>
    </row>
    <row r="549" customFormat="false" ht="15.75" hidden="false" customHeight="true" outlineLevel="0" collapsed="false">
      <c r="P549" s="1"/>
      <c r="Q549" s="1"/>
      <c r="R549" s="1"/>
      <c r="S549" s="1"/>
      <c r="T549" s="1"/>
      <c r="U549" s="1"/>
      <c r="V549" s="1"/>
      <c r="W549" s="1"/>
      <c r="X549" s="1"/>
      <c r="Y549" s="1"/>
      <c r="Z549" s="1"/>
      <c r="AA549" s="1"/>
    </row>
    <row r="550" customFormat="false" ht="15.75" hidden="false" customHeight="true" outlineLevel="0" collapsed="false">
      <c r="P550" s="1"/>
      <c r="Q550" s="1"/>
      <c r="R550" s="1"/>
      <c r="S550" s="1"/>
      <c r="T550" s="1"/>
      <c r="U550" s="1"/>
      <c r="V550" s="1"/>
      <c r="W550" s="1"/>
      <c r="X550" s="1"/>
      <c r="Y550" s="1"/>
      <c r="Z550" s="1"/>
      <c r="AA550" s="1"/>
    </row>
    <row r="551" customFormat="false" ht="15.75" hidden="false" customHeight="true" outlineLevel="0" collapsed="false">
      <c r="P551" s="1"/>
      <c r="Q551" s="1"/>
      <c r="R551" s="1"/>
      <c r="S551" s="1"/>
      <c r="T551" s="1"/>
      <c r="U551" s="1"/>
      <c r="V551" s="1"/>
      <c r="W551" s="1"/>
      <c r="X551" s="1"/>
      <c r="Y551" s="1"/>
      <c r="Z551" s="1"/>
      <c r="AA551" s="1"/>
    </row>
    <row r="552" customFormat="false" ht="15.75" hidden="false" customHeight="true" outlineLevel="0" collapsed="false">
      <c r="P552" s="1"/>
      <c r="Q552" s="1"/>
      <c r="R552" s="1"/>
      <c r="S552" s="1"/>
      <c r="T552" s="1"/>
      <c r="U552" s="1"/>
      <c r="V552" s="1"/>
      <c r="W552" s="1"/>
      <c r="X552" s="1"/>
      <c r="Y552" s="1"/>
      <c r="Z552" s="1"/>
      <c r="AA552" s="1"/>
    </row>
    <row r="553" customFormat="false" ht="15.75" hidden="false" customHeight="true" outlineLevel="0" collapsed="false">
      <c r="P553" s="1"/>
      <c r="Q553" s="1"/>
      <c r="R553" s="1"/>
      <c r="S553" s="1"/>
      <c r="T553" s="1"/>
      <c r="U553" s="1"/>
      <c r="V553" s="1"/>
      <c r="W553" s="1"/>
      <c r="X553" s="1"/>
      <c r="Y553" s="1"/>
      <c r="Z553" s="1"/>
      <c r="AA553" s="1"/>
    </row>
    <row r="554" customFormat="false" ht="15.75" hidden="false" customHeight="true" outlineLevel="0" collapsed="false">
      <c r="P554" s="1"/>
      <c r="Q554" s="1"/>
      <c r="R554" s="1"/>
      <c r="S554" s="1"/>
      <c r="T554" s="1"/>
      <c r="U554" s="1"/>
      <c r="V554" s="1"/>
      <c r="W554" s="1"/>
      <c r="X554" s="1"/>
      <c r="Y554" s="1"/>
      <c r="Z554" s="1"/>
      <c r="AA554" s="1"/>
    </row>
    <row r="555" customFormat="false" ht="15.75" hidden="false" customHeight="true" outlineLevel="0" collapsed="false">
      <c r="P555" s="1"/>
      <c r="Q555" s="1"/>
      <c r="R555" s="1"/>
      <c r="S555" s="1"/>
      <c r="T555" s="1"/>
      <c r="U555" s="1"/>
      <c r="V555" s="1"/>
      <c r="W555" s="1"/>
      <c r="X555" s="1"/>
      <c r="Y555" s="1"/>
      <c r="Z555" s="1"/>
      <c r="AA555" s="1"/>
    </row>
    <row r="556" customFormat="false" ht="15.75" hidden="false" customHeight="true" outlineLevel="0" collapsed="false">
      <c r="P556" s="1"/>
      <c r="Q556" s="1"/>
      <c r="R556" s="1"/>
      <c r="S556" s="1"/>
      <c r="T556" s="1"/>
      <c r="U556" s="1"/>
      <c r="V556" s="1"/>
      <c r="W556" s="1"/>
      <c r="X556" s="1"/>
      <c r="Y556" s="1"/>
      <c r="Z556" s="1"/>
      <c r="AA556" s="1"/>
    </row>
    <row r="557" customFormat="false" ht="15.75" hidden="false" customHeight="true" outlineLevel="0" collapsed="false">
      <c r="P557" s="1"/>
      <c r="Q557" s="1"/>
      <c r="R557" s="1"/>
      <c r="S557" s="1"/>
      <c r="T557" s="1"/>
      <c r="U557" s="1"/>
      <c r="V557" s="1"/>
      <c r="W557" s="1"/>
      <c r="X557" s="1"/>
      <c r="Y557" s="1"/>
      <c r="Z557" s="1"/>
      <c r="AA557" s="1"/>
    </row>
    <row r="558" customFormat="false" ht="15.75" hidden="false" customHeight="true" outlineLevel="0" collapsed="false">
      <c r="P558" s="1"/>
      <c r="Q558" s="1"/>
      <c r="R558" s="1"/>
      <c r="S558" s="1"/>
      <c r="T558" s="1"/>
      <c r="U558" s="1"/>
      <c r="V558" s="1"/>
      <c r="W558" s="1"/>
      <c r="X558" s="1"/>
      <c r="Y558" s="1"/>
      <c r="Z558" s="1"/>
      <c r="AA558" s="1"/>
    </row>
    <row r="559" customFormat="false" ht="15.75" hidden="false" customHeight="true" outlineLevel="0" collapsed="false">
      <c r="P559" s="1"/>
      <c r="Q559" s="1"/>
      <c r="R559" s="1"/>
      <c r="S559" s="1"/>
      <c r="T559" s="1"/>
      <c r="U559" s="1"/>
      <c r="V559" s="1"/>
      <c r="W559" s="1"/>
      <c r="X559" s="1"/>
      <c r="Y559" s="1"/>
      <c r="Z559" s="1"/>
      <c r="AA559" s="1"/>
    </row>
    <row r="560" customFormat="false" ht="15.75" hidden="false" customHeight="true" outlineLevel="0" collapsed="false">
      <c r="P560" s="1"/>
      <c r="Q560" s="1"/>
      <c r="R560" s="1"/>
      <c r="S560" s="1"/>
      <c r="T560" s="1"/>
      <c r="U560" s="1"/>
      <c r="V560" s="1"/>
      <c r="W560" s="1"/>
      <c r="X560" s="1"/>
      <c r="Y560" s="1"/>
      <c r="Z560" s="1"/>
      <c r="AA560" s="1"/>
    </row>
    <row r="561" customFormat="false" ht="15.75" hidden="false" customHeight="true" outlineLevel="0" collapsed="false">
      <c r="P561" s="1"/>
      <c r="Q561" s="1"/>
      <c r="R561" s="1"/>
      <c r="S561" s="1"/>
      <c r="T561" s="1"/>
      <c r="U561" s="1"/>
      <c r="V561" s="1"/>
      <c r="W561" s="1"/>
      <c r="X561" s="1"/>
      <c r="Y561" s="1"/>
      <c r="Z561" s="1"/>
      <c r="AA561" s="1"/>
    </row>
    <row r="562" customFormat="false" ht="15.75" hidden="false" customHeight="true" outlineLevel="0" collapsed="false">
      <c r="P562" s="1"/>
      <c r="Q562" s="1"/>
      <c r="R562" s="1"/>
      <c r="S562" s="1"/>
      <c r="T562" s="1"/>
      <c r="U562" s="1"/>
      <c r="V562" s="1"/>
      <c r="W562" s="1"/>
      <c r="X562" s="1"/>
      <c r="Y562" s="1"/>
      <c r="Z562" s="1"/>
      <c r="AA562" s="1"/>
    </row>
    <row r="563" customFormat="false" ht="15.75" hidden="false" customHeight="true" outlineLevel="0" collapsed="false">
      <c r="P563" s="1"/>
      <c r="Q563" s="1"/>
      <c r="R563" s="1"/>
      <c r="S563" s="1"/>
      <c r="T563" s="1"/>
      <c r="U563" s="1"/>
      <c r="V563" s="1"/>
      <c r="W563" s="1"/>
      <c r="X563" s="1"/>
      <c r="Y563" s="1"/>
      <c r="Z563" s="1"/>
      <c r="AA563" s="1"/>
    </row>
    <row r="564" customFormat="false" ht="15.75" hidden="false" customHeight="true" outlineLevel="0" collapsed="false">
      <c r="P564" s="1"/>
      <c r="Q564" s="1"/>
      <c r="R564" s="1"/>
      <c r="S564" s="1"/>
      <c r="T564" s="1"/>
      <c r="U564" s="1"/>
      <c r="V564" s="1"/>
      <c r="W564" s="1"/>
      <c r="X564" s="1"/>
      <c r="Y564" s="1"/>
      <c r="Z564" s="1"/>
      <c r="AA564" s="1"/>
    </row>
    <row r="565" customFormat="false" ht="15.75" hidden="false" customHeight="true" outlineLevel="0" collapsed="false">
      <c r="P565" s="1"/>
      <c r="Q565" s="1"/>
      <c r="R565" s="1"/>
      <c r="S565" s="1"/>
      <c r="T565" s="1"/>
      <c r="U565" s="1"/>
      <c r="V565" s="1"/>
      <c r="W565" s="1"/>
      <c r="X565" s="1"/>
      <c r="Y565" s="1"/>
      <c r="Z565" s="1"/>
      <c r="AA565" s="1"/>
    </row>
    <row r="566" customFormat="false" ht="15.75" hidden="false" customHeight="true" outlineLevel="0" collapsed="false">
      <c r="P566" s="1"/>
      <c r="Q566" s="1"/>
      <c r="R566" s="1"/>
      <c r="S566" s="1"/>
      <c r="T566" s="1"/>
      <c r="U566" s="1"/>
      <c r="V566" s="1"/>
      <c r="W566" s="1"/>
      <c r="X566" s="1"/>
      <c r="Y566" s="1"/>
      <c r="Z566" s="1"/>
      <c r="AA566" s="1"/>
    </row>
    <row r="567" customFormat="false" ht="15.75" hidden="false" customHeight="true" outlineLevel="0" collapsed="false">
      <c r="P567" s="1"/>
      <c r="Q567" s="1"/>
      <c r="R567" s="1"/>
      <c r="S567" s="1"/>
      <c r="T567" s="1"/>
      <c r="U567" s="1"/>
      <c r="V567" s="1"/>
      <c r="W567" s="1"/>
      <c r="X567" s="1"/>
      <c r="Y567" s="1"/>
      <c r="Z567" s="1"/>
      <c r="AA567" s="1"/>
    </row>
    <row r="568" customFormat="false" ht="15.75" hidden="false" customHeight="true" outlineLevel="0" collapsed="false">
      <c r="P568" s="1"/>
      <c r="Q568" s="1"/>
      <c r="R568" s="1"/>
      <c r="S568" s="1"/>
      <c r="T568" s="1"/>
      <c r="U568" s="1"/>
      <c r="V568" s="1"/>
      <c r="W568" s="1"/>
      <c r="X568" s="1"/>
      <c r="Y568" s="1"/>
      <c r="Z568" s="1"/>
      <c r="AA568" s="1"/>
    </row>
    <row r="569" customFormat="false" ht="15.75" hidden="false" customHeight="true" outlineLevel="0" collapsed="false">
      <c r="P569" s="1"/>
      <c r="Q569" s="1"/>
      <c r="R569" s="1"/>
      <c r="S569" s="1"/>
      <c r="T569" s="1"/>
      <c r="U569" s="1"/>
      <c r="V569" s="1"/>
      <c r="W569" s="1"/>
      <c r="X569" s="1"/>
      <c r="Y569" s="1"/>
      <c r="Z569" s="1"/>
      <c r="AA569" s="1"/>
    </row>
    <row r="570" customFormat="false" ht="15.75" hidden="false" customHeight="true" outlineLevel="0" collapsed="false">
      <c r="P570" s="1"/>
      <c r="Q570" s="1"/>
      <c r="R570" s="1"/>
      <c r="S570" s="1"/>
      <c r="T570" s="1"/>
      <c r="U570" s="1"/>
      <c r="V570" s="1"/>
      <c r="W570" s="1"/>
      <c r="X570" s="1"/>
      <c r="Y570" s="1"/>
      <c r="Z570" s="1"/>
      <c r="AA570" s="1"/>
    </row>
    <row r="571" customFormat="false" ht="15.75" hidden="false" customHeight="true" outlineLevel="0" collapsed="false">
      <c r="P571" s="1"/>
      <c r="Q571" s="1"/>
      <c r="R571" s="1"/>
      <c r="S571" s="1"/>
      <c r="T571" s="1"/>
      <c r="U571" s="1"/>
      <c r="V571" s="1"/>
      <c r="W571" s="1"/>
      <c r="X571" s="1"/>
      <c r="Y571" s="1"/>
      <c r="Z571" s="1"/>
      <c r="AA571" s="1"/>
    </row>
    <row r="572" customFormat="false" ht="15.75" hidden="false" customHeight="true" outlineLevel="0" collapsed="false">
      <c r="P572" s="1"/>
      <c r="Q572" s="1"/>
      <c r="R572" s="1"/>
      <c r="S572" s="1"/>
      <c r="T572" s="1"/>
      <c r="U572" s="1"/>
      <c r="V572" s="1"/>
      <c r="W572" s="1"/>
      <c r="X572" s="1"/>
      <c r="Y572" s="1"/>
      <c r="Z572" s="1"/>
      <c r="AA572" s="1"/>
    </row>
    <row r="573" customFormat="false" ht="15.75" hidden="false" customHeight="true" outlineLevel="0" collapsed="false">
      <c r="P573" s="1"/>
      <c r="Q573" s="1"/>
      <c r="R573" s="1"/>
      <c r="S573" s="1"/>
      <c r="T573" s="1"/>
      <c r="U573" s="1"/>
      <c r="V573" s="1"/>
      <c r="W573" s="1"/>
      <c r="X573" s="1"/>
      <c r="Y573" s="1"/>
      <c r="Z573" s="1"/>
      <c r="AA573" s="1"/>
    </row>
    <row r="574" customFormat="false" ht="15.75" hidden="false" customHeight="true" outlineLevel="0" collapsed="false">
      <c r="P574" s="1"/>
      <c r="Q574" s="1"/>
      <c r="R574" s="1"/>
      <c r="S574" s="1"/>
      <c r="T574" s="1"/>
      <c r="U574" s="1"/>
      <c r="V574" s="1"/>
      <c r="W574" s="1"/>
      <c r="X574" s="1"/>
      <c r="Y574" s="1"/>
      <c r="Z574" s="1"/>
      <c r="AA574" s="1"/>
    </row>
    <row r="575" customFormat="false" ht="15.75" hidden="false" customHeight="true" outlineLevel="0" collapsed="false">
      <c r="P575" s="1"/>
      <c r="Q575" s="1"/>
      <c r="R575" s="1"/>
      <c r="S575" s="1"/>
      <c r="T575" s="1"/>
      <c r="U575" s="1"/>
      <c r="V575" s="1"/>
      <c r="W575" s="1"/>
      <c r="X575" s="1"/>
      <c r="Y575" s="1"/>
      <c r="Z575" s="1"/>
      <c r="AA575" s="1"/>
    </row>
    <row r="576" customFormat="false" ht="15.75" hidden="false" customHeight="true" outlineLevel="0" collapsed="false">
      <c r="P576" s="1"/>
      <c r="Q576" s="1"/>
      <c r="R576" s="1"/>
      <c r="S576" s="1"/>
      <c r="T576" s="1"/>
      <c r="U576" s="1"/>
      <c r="V576" s="1"/>
      <c r="W576" s="1"/>
      <c r="X576" s="1"/>
      <c r="Y576" s="1"/>
      <c r="Z576" s="1"/>
      <c r="AA576" s="1"/>
    </row>
    <row r="577" customFormat="false" ht="15.75" hidden="false" customHeight="true" outlineLevel="0" collapsed="false">
      <c r="P577" s="1"/>
      <c r="Q577" s="1"/>
      <c r="R577" s="1"/>
      <c r="S577" s="1"/>
      <c r="T577" s="1"/>
      <c r="U577" s="1"/>
      <c r="V577" s="1"/>
      <c r="W577" s="1"/>
      <c r="X577" s="1"/>
      <c r="Y577" s="1"/>
      <c r="Z577" s="1"/>
      <c r="AA577" s="1"/>
    </row>
    <row r="578" customFormat="false" ht="15.75" hidden="false" customHeight="true" outlineLevel="0" collapsed="false">
      <c r="P578" s="1"/>
      <c r="Q578" s="1"/>
      <c r="R578" s="1"/>
      <c r="S578" s="1"/>
      <c r="T578" s="1"/>
      <c r="U578" s="1"/>
      <c r="V578" s="1"/>
      <c r="W578" s="1"/>
      <c r="X578" s="1"/>
      <c r="Y578" s="1"/>
      <c r="Z578" s="1"/>
      <c r="AA578" s="1"/>
    </row>
    <row r="579" customFormat="false" ht="15.75" hidden="false" customHeight="true" outlineLevel="0" collapsed="false">
      <c r="P579" s="1"/>
      <c r="Q579" s="1"/>
      <c r="R579" s="1"/>
      <c r="S579" s="1"/>
      <c r="T579" s="1"/>
      <c r="U579" s="1"/>
      <c r="V579" s="1"/>
      <c r="W579" s="1"/>
      <c r="X579" s="1"/>
      <c r="Y579" s="1"/>
      <c r="Z579" s="1"/>
      <c r="AA579" s="1"/>
    </row>
    <row r="580" customFormat="false" ht="15.75" hidden="false" customHeight="true" outlineLevel="0" collapsed="false">
      <c r="P580" s="1"/>
      <c r="Q580" s="1"/>
      <c r="R580" s="1"/>
      <c r="S580" s="1"/>
      <c r="T580" s="1"/>
      <c r="U580" s="1"/>
      <c r="V580" s="1"/>
      <c r="W580" s="1"/>
      <c r="X580" s="1"/>
      <c r="Y580" s="1"/>
      <c r="Z580" s="1"/>
      <c r="AA580" s="1"/>
    </row>
    <row r="581" customFormat="false" ht="15.75" hidden="false" customHeight="true" outlineLevel="0" collapsed="false">
      <c r="P581" s="1"/>
      <c r="Q581" s="1"/>
      <c r="R581" s="1"/>
      <c r="S581" s="1"/>
      <c r="T581" s="1"/>
      <c r="U581" s="1"/>
      <c r="V581" s="1"/>
      <c r="W581" s="1"/>
      <c r="X581" s="1"/>
      <c r="Y581" s="1"/>
      <c r="Z581" s="1"/>
      <c r="AA581" s="1"/>
    </row>
    <row r="582" customFormat="false" ht="15.75" hidden="false" customHeight="true" outlineLevel="0" collapsed="false">
      <c r="P582" s="1"/>
      <c r="Q582" s="1"/>
      <c r="R582" s="1"/>
      <c r="S582" s="1"/>
      <c r="T582" s="1"/>
      <c r="U582" s="1"/>
      <c r="V582" s="1"/>
      <c r="W582" s="1"/>
      <c r="X582" s="1"/>
      <c r="Y582" s="1"/>
      <c r="Z582" s="1"/>
      <c r="AA582" s="1"/>
    </row>
    <row r="583" customFormat="false" ht="15.75" hidden="false" customHeight="true" outlineLevel="0" collapsed="false">
      <c r="P583" s="1"/>
      <c r="Q583" s="1"/>
      <c r="R583" s="1"/>
      <c r="S583" s="1"/>
      <c r="T583" s="1"/>
      <c r="U583" s="1"/>
      <c r="V583" s="1"/>
      <c r="W583" s="1"/>
      <c r="X583" s="1"/>
      <c r="Y583" s="1"/>
      <c r="Z583" s="1"/>
      <c r="AA583" s="1"/>
    </row>
    <row r="584" customFormat="false" ht="15.75" hidden="false" customHeight="true" outlineLevel="0" collapsed="false">
      <c r="P584" s="1"/>
      <c r="Q584" s="1"/>
      <c r="R584" s="1"/>
      <c r="S584" s="1"/>
      <c r="T584" s="1"/>
      <c r="U584" s="1"/>
      <c r="V584" s="1"/>
      <c r="W584" s="1"/>
      <c r="X584" s="1"/>
      <c r="Y584" s="1"/>
      <c r="Z584" s="1"/>
      <c r="AA584" s="1"/>
    </row>
    <row r="585" customFormat="false" ht="15.75" hidden="false" customHeight="true" outlineLevel="0" collapsed="false">
      <c r="P585" s="1"/>
      <c r="Q585" s="1"/>
      <c r="R585" s="1"/>
      <c r="S585" s="1"/>
      <c r="T585" s="1"/>
      <c r="U585" s="1"/>
      <c r="V585" s="1"/>
      <c r="W585" s="1"/>
      <c r="X585" s="1"/>
      <c r="Y585" s="1"/>
      <c r="Z585" s="1"/>
      <c r="AA585" s="1"/>
    </row>
    <row r="586" customFormat="false" ht="15.75" hidden="false" customHeight="true" outlineLevel="0" collapsed="false">
      <c r="P586" s="1"/>
      <c r="Q586" s="1"/>
      <c r="R586" s="1"/>
      <c r="S586" s="1"/>
      <c r="T586" s="1"/>
      <c r="U586" s="1"/>
      <c r="V586" s="1"/>
      <c r="W586" s="1"/>
      <c r="X586" s="1"/>
      <c r="Y586" s="1"/>
      <c r="Z586" s="1"/>
      <c r="AA586" s="1"/>
    </row>
    <row r="587" customFormat="false" ht="15.75" hidden="false" customHeight="true" outlineLevel="0" collapsed="false">
      <c r="P587" s="1"/>
      <c r="Q587" s="1"/>
      <c r="R587" s="1"/>
      <c r="S587" s="1"/>
      <c r="T587" s="1"/>
      <c r="U587" s="1"/>
      <c r="V587" s="1"/>
      <c r="W587" s="1"/>
      <c r="X587" s="1"/>
      <c r="Y587" s="1"/>
      <c r="Z587" s="1"/>
      <c r="AA587" s="1"/>
    </row>
    <row r="588" customFormat="false" ht="15.75" hidden="false" customHeight="true" outlineLevel="0" collapsed="false">
      <c r="P588" s="1"/>
      <c r="Q588" s="1"/>
      <c r="R588" s="1"/>
      <c r="S588" s="1"/>
      <c r="T588" s="1"/>
      <c r="U588" s="1"/>
      <c r="V588" s="1"/>
      <c r="W588" s="1"/>
      <c r="X588" s="1"/>
      <c r="Y588" s="1"/>
      <c r="Z588" s="1"/>
      <c r="AA588" s="1"/>
    </row>
    <row r="589" customFormat="false" ht="15.75" hidden="false" customHeight="true" outlineLevel="0" collapsed="false">
      <c r="P589" s="1"/>
      <c r="Q589" s="1"/>
      <c r="R589" s="1"/>
      <c r="S589" s="1"/>
      <c r="T589" s="1"/>
      <c r="U589" s="1"/>
      <c r="V589" s="1"/>
      <c r="W589" s="1"/>
      <c r="X589" s="1"/>
      <c r="Y589" s="1"/>
      <c r="Z589" s="1"/>
      <c r="AA589" s="1"/>
    </row>
    <row r="590" customFormat="false" ht="15.75" hidden="false" customHeight="true" outlineLevel="0" collapsed="false">
      <c r="P590" s="1"/>
      <c r="Q590" s="1"/>
      <c r="R590" s="1"/>
      <c r="S590" s="1"/>
      <c r="T590" s="1"/>
      <c r="U590" s="1"/>
      <c r="V590" s="1"/>
      <c r="W590" s="1"/>
      <c r="X590" s="1"/>
      <c r="Y590" s="1"/>
      <c r="Z590" s="1"/>
      <c r="AA590" s="1"/>
    </row>
    <row r="591" customFormat="false" ht="15.75" hidden="false" customHeight="true" outlineLevel="0" collapsed="false">
      <c r="P591" s="1"/>
      <c r="Q591" s="1"/>
      <c r="R591" s="1"/>
      <c r="S591" s="1"/>
      <c r="T591" s="1"/>
      <c r="U591" s="1"/>
      <c r="V591" s="1"/>
      <c r="W591" s="1"/>
      <c r="X591" s="1"/>
      <c r="Y591" s="1"/>
      <c r="Z591" s="1"/>
      <c r="AA591" s="1"/>
    </row>
    <row r="592" customFormat="false" ht="15.75" hidden="false" customHeight="true" outlineLevel="0" collapsed="false">
      <c r="P592" s="1"/>
      <c r="Q592" s="1"/>
      <c r="R592" s="1"/>
      <c r="S592" s="1"/>
      <c r="T592" s="1"/>
      <c r="U592" s="1"/>
      <c r="V592" s="1"/>
      <c r="W592" s="1"/>
      <c r="X592" s="1"/>
      <c r="Y592" s="1"/>
      <c r="Z592" s="1"/>
      <c r="AA592" s="1"/>
    </row>
    <row r="593" customFormat="false" ht="15.75" hidden="false" customHeight="true" outlineLevel="0" collapsed="false">
      <c r="P593" s="1"/>
      <c r="Q593" s="1"/>
      <c r="R593" s="1"/>
      <c r="S593" s="1"/>
      <c r="T593" s="1"/>
      <c r="U593" s="1"/>
      <c r="V593" s="1"/>
      <c r="W593" s="1"/>
      <c r="X593" s="1"/>
      <c r="Y593" s="1"/>
      <c r="Z593" s="1"/>
      <c r="AA593" s="1"/>
    </row>
    <row r="594" customFormat="false" ht="15.75" hidden="false" customHeight="true" outlineLevel="0" collapsed="false">
      <c r="P594" s="1"/>
      <c r="Q594" s="1"/>
      <c r="R594" s="1"/>
      <c r="S594" s="1"/>
      <c r="T594" s="1"/>
      <c r="U594" s="1"/>
      <c r="V594" s="1"/>
      <c r="W594" s="1"/>
      <c r="X594" s="1"/>
      <c r="Y594" s="1"/>
      <c r="Z594" s="1"/>
      <c r="AA594" s="1"/>
    </row>
    <row r="595" customFormat="false" ht="15.75" hidden="false" customHeight="true" outlineLevel="0" collapsed="false">
      <c r="P595" s="1"/>
      <c r="Q595" s="1"/>
      <c r="R595" s="1"/>
      <c r="S595" s="1"/>
      <c r="T595" s="1"/>
      <c r="U595" s="1"/>
      <c r="V595" s="1"/>
      <c r="W595" s="1"/>
      <c r="X595" s="1"/>
      <c r="Y595" s="1"/>
      <c r="Z595" s="1"/>
      <c r="AA595" s="1"/>
    </row>
    <row r="596" customFormat="false" ht="15.75" hidden="false" customHeight="true" outlineLevel="0" collapsed="false">
      <c r="P596" s="1"/>
      <c r="Q596" s="1"/>
      <c r="R596" s="1"/>
      <c r="S596" s="1"/>
      <c r="T596" s="1"/>
      <c r="U596" s="1"/>
      <c r="V596" s="1"/>
      <c r="W596" s="1"/>
      <c r="X596" s="1"/>
      <c r="Y596" s="1"/>
      <c r="Z596" s="1"/>
      <c r="AA596" s="1"/>
    </row>
    <row r="597" customFormat="false" ht="15.75" hidden="false" customHeight="true" outlineLevel="0" collapsed="false">
      <c r="P597" s="1"/>
      <c r="Q597" s="1"/>
      <c r="R597" s="1"/>
      <c r="S597" s="1"/>
      <c r="T597" s="1"/>
      <c r="U597" s="1"/>
      <c r="V597" s="1"/>
      <c r="W597" s="1"/>
      <c r="X597" s="1"/>
      <c r="Y597" s="1"/>
      <c r="Z597" s="1"/>
      <c r="AA597" s="1"/>
    </row>
    <row r="598" customFormat="false" ht="15.75" hidden="false" customHeight="true" outlineLevel="0" collapsed="false">
      <c r="P598" s="1"/>
      <c r="Q598" s="1"/>
      <c r="R598" s="1"/>
      <c r="S598" s="1"/>
      <c r="T598" s="1"/>
      <c r="U598" s="1"/>
      <c r="V598" s="1"/>
      <c r="W598" s="1"/>
      <c r="X598" s="1"/>
      <c r="Y598" s="1"/>
      <c r="Z598" s="1"/>
      <c r="AA598" s="1"/>
    </row>
    <row r="599" customFormat="false" ht="15.75" hidden="false" customHeight="true" outlineLevel="0" collapsed="false">
      <c r="P599" s="1"/>
      <c r="Q599" s="1"/>
      <c r="R599" s="1"/>
      <c r="S599" s="1"/>
      <c r="T599" s="1"/>
      <c r="U599" s="1"/>
      <c r="V599" s="1"/>
      <c r="W599" s="1"/>
      <c r="X599" s="1"/>
      <c r="Y599" s="1"/>
      <c r="Z599" s="1"/>
      <c r="AA599" s="1"/>
    </row>
    <row r="600" customFormat="false" ht="15.75" hidden="false" customHeight="true" outlineLevel="0" collapsed="false">
      <c r="P600" s="1"/>
      <c r="Q600" s="1"/>
      <c r="R600" s="1"/>
      <c r="S600" s="1"/>
      <c r="T600" s="1"/>
      <c r="U600" s="1"/>
      <c r="V600" s="1"/>
      <c r="W600" s="1"/>
      <c r="X600" s="1"/>
      <c r="Y600" s="1"/>
      <c r="Z600" s="1"/>
      <c r="AA600" s="1"/>
    </row>
    <row r="601" customFormat="false" ht="15.75" hidden="false" customHeight="true" outlineLevel="0" collapsed="false">
      <c r="P601" s="1"/>
      <c r="Q601" s="1"/>
      <c r="R601" s="1"/>
      <c r="S601" s="1"/>
      <c r="T601" s="1"/>
      <c r="U601" s="1"/>
      <c r="V601" s="1"/>
      <c r="W601" s="1"/>
      <c r="X601" s="1"/>
      <c r="Y601" s="1"/>
      <c r="Z601" s="1"/>
      <c r="AA601" s="1"/>
    </row>
    <row r="602" customFormat="false" ht="15.75" hidden="false" customHeight="true" outlineLevel="0" collapsed="false">
      <c r="P602" s="1"/>
      <c r="Q602" s="1"/>
      <c r="R602" s="1"/>
      <c r="S602" s="1"/>
      <c r="T602" s="1"/>
      <c r="U602" s="1"/>
      <c r="V602" s="1"/>
      <c r="W602" s="1"/>
      <c r="X602" s="1"/>
      <c r="Y602" s="1"/>
      <c r="Z602" s="1"/>
      <c r="AA602" s="1"/>
    </row>
    <row r="603" customFormat="false" ht="15.75" hidden="false" customHeight="true" outlineLevel="0" collapsed="false">
      <c r="P603" s="1"/>
      <c r="Q603" s="1"/>
      <c r="R603" s="1"/>
      <c r="S603" s="1"/>
      <c r="T603" s="1"/>
      <c r="U603" s="1"/>
      <c r="V603" s="1"/>
      <c r="W603" s="1"/>
      <c r="X603" s="1"/>
      <c r="Y603" s="1"/>
      <c r="Z603" s="1"/>
      <c r="AA603" s="1"/>
    </row>
    <row r="604" customFormat="false" ht="15.75" hidden="false" customHeight="true" outlineLevel="0" collapsed="false">
      <c r="P604" s="1"/>
      <c r="Q604" s="1"/>
      <c r="R604" s="1"/>
      <c r="S604" s="1"/>
      <c r="T604" s="1"/>
      <c r="U604" s="1"/>
      <c r="V604" s="1"/>
      <c r="W604" s="1"/>
      <c r="X604" s="1"/>
      <c r="Y604" s="1"/>
      <c r="Z604" s="1"/>
      <c r="AA604" s="1"/>
    </row>
    <row r="605" customFormat="false" ht="15.75" hidden="false" customHeight="true" outlineLevel="0" collapsed="false">
      <c r="P605" s="1"/>
      <c r="Q605" s="1"/>
      <c r="R605" s="1"/>
      <c r="S605" s="1"/>
      <c r="T605" s="1"/>
      <c r="U605" s="1"/>
      <c r="V605" s="1"/>
      <c r="W605" s="1"/>
      <c r="X605" s="1"/>
      <c r="Y605" s="1"/>
      <c r="Z605" s="1"/>
      <c r="AA605" s="1"/>
    </row>
    <row r="606" customFormat="false" ht="15.75" hidden="false" customHeight="true" outlineLevel="0" collapsed="false">
      <c r="P606" s="1"/>
      <c r="Q606" s="1"/>
      <c r="R606" s="1"/>
      <c r="S606" s="1"/>
      <c r="T606" s="1"/>
      <c r="U606" s="1"/>
      <c r="V606" s="1"/>
      <c r="W606" s="1"/>
      <c r="X606" s="1"/>
      <c r="Y606" s="1"/>
      <c r="Z606" s="1"/>
      <c r="AA606" s="1"/>
    </row>
    <row r="607" customFormat="false" ht="15.75" hidden="false" customHeight="true" outlineLevel="0" collapsed="false">
      <c r="P607" s="1"/>
      <c r="Q607" s="1"/>
      <c r="R607" s="1"/>
      <c r="S607" s="1"/>
      <c r="T607" s="1"/>
      <c r="U607" s="1"/>
      <c r="V607" s="1"/>
      <c r="W607" s="1"/>
      <c r="X607" s="1"/>
      <c r="Y607" s="1"/>
      <c r="Z607" s="1"/>
      <c r="AA607" s="1"/>
    </row>
    <row r="608" customFormat="false" ht="15.75" hidden="false" customHeight="true" outlineLevel="0" collapsed="false">
      <c r="P608" s="1"/>
      <c r="Q608" s="1"/>
      <c r="R608" s="1"/>
      <c r="S608" s="1"/>
      <c r="T608" s="1"/>
      <c r="U608" s="1"/>
      <c r="V608" s="1"/>
      <c r="W608" s="1"/>
      <c r="X608" s="1"/>
      <c r="Y608" s="1"/>
      <c r="Z608" s="1"/>
      <c r="AA608" s="1"/>
    </row>
    <row r="609" customFormat="false" ht="15.75" hidden="false" customHeight="true" outlineLevel="0" collapsed="false">
      <c r="P609" s="1"/>
      <c r="Q609" s="1"/>
      <c r="R609" s="1"/>
      <c r="S609" s="1"/>
      <c r="T609" s="1"/>
      <c r="U609" s="1"/>
      <c r="V609" s="1"/>
      <c r="W609" s="1"/>
      <c r="X609" s="1"/>
      <c r="Y609" s="1"/>
      <c r="Z609" s="1"/>
      <c r="AA609" s="1"/>
    </row>
    <row r="610" customFormat="false" ht="15.75" hidden="false" customHeight="true" outlineLevel="0" collapsed="false">
      <c r="P610" s="1"/>
      <c r="Q610" s="1"/>
      <c r="R610" s="1"/>
      <c r="S610" s="1"/>
      <c r="T610" s="1"/>
      <c r="U610" s="1"/>
      <c r="V610" s="1"/>
      <c r="W610" s="1"/>
      <c r="X610" s="1"/>
      <c r="Y610" s="1"/>
      <c r="Z610" s="1"/>
      <c r="AA610" s="1"/>
    </row>
    <row r="611" customFormat="false" ht="15.75" hidden="false" customHeight="true" outlineLevel="0" collapsed="false">
      <c r="P611" s="1"/>
      <c r="Q611" s="1"/>
      <c r="R611" s="1"/>
      <c r="S611" s="1"/>
      <c r="T611" s="1"/>
      <c r="U611" s="1"/>
      <c r="V611" s="1"/>
      <c r="W611" s="1"/>
      <c r="X611" s="1"/>
      <c r="Y611" s="1"/>
      <c r="Z611" s="1"/>
      <c r="AA611" s="1"/>
    </row>
    <row r="612" customFormat="false" ht="15.75" hidden="false" customHeight="true" outlineLevel="0" collapsed="false">
      <c r="P612" s="1"/>
      <c r="Q612" s="1"/>
      <c r="R612" s="1"/>
      <c r="S612" s="1"/>
      <c r="T612" s="1"/>
      <c r="U612" s="1"/>
      <c r="V612" s="1"/>
      <c r="W612" s="1"/>
      <c r="X612" s="1"/>
      <c r="Y612" s="1"/>
      <c r="Z612" s="1"/>
      <c r="AA612" s="1"/>
    </row>
    <row r="613" customFormat="false" ht="15.75" hidden="false" customHeight="true" outlineLevel="0" collapsed="false">
      <c r="P613" s="1"/>
      <c r="Q613" s="1"/>
      <c r="R613" s="1"/>
      <c r="S613" s="1"/>
      <c r="T613" s="1"/>
      <c r="U613" s="1"/>
      <c r="V613" s="1"/>
      <c r="W613" s="1"/>
      <c r="X613" s="1"/>
      <c r="Y613" s="1"/>
      <c r="Z613" s="1"/>
      <c r="AA613" s="1"/>
    </row>
    <row r="614" customFormat="false" ht="15.75" hidden="false" customHeight="true" outlineLevel="0" collapsed="false">
      <c r="P614" s="1"/>
      <c r="Q614" s="1"/>
      <c r="R614" s="1"/>
      <c r="S614" s="1"/>
      <c r="T614" s="1"/>
      <c r="U614" s="1"/>
      <c r="V614" s="1"/>
      <c r="W614" s="1"/>
      <c r="X614" s="1"/>
      <c r="Y614" s="1"/>
      <c r="Z614" s="1"/>
      <c r="AA614" s="1"/>
    </row>
    <row r="615" customFormat="false" ht="15.75" hidden="false" customHeight="true" outlineLevel="0" collapsed="false">
      <c r="P615" s="1"/>
      <c r="Q615" s="1"/>
      <c r="R615" s="1"/>
      <c r="S615" s="1"/>
      <c r="T615" s="1"/>
      <c r="U615" s="1"/>
      <c r="V615" s="1"/>
      <c r="W615" s="1"/>
      <c r="X615" s="1"/>
      <c r="Y615" s="1"/>
      <c r="Z615" s="1"/>
      <c r="AA615" s="1"/>
    </row>
    <row r="616" customFormat="false" ht="15.75" hidden="false" customHeight="true" outlineLevel="0" collapsed="false">
      <c r="P616" s="1"/>
      <c r="Q616" s="1"/>
      <c r="R616" s="1"/>
      <c r="S616" s="1"/>
      <c r="T616" s="1"/>
      <c r="U616" s="1"/>
      <c r="V616" s="1"/>
      <c r="W616" s="1"/>
      <c r="X616" s="1"/>
      <c r="Y616" s="1"/>
      <c r="Z616" s="1"/>
      <c r="AA616" s="1"/>
    </row>
    <row r="617" customFormat="false" ht="15.75" hidden="false" customHeight="true" outlineLevel="0" collapsed="false">
      <c r="P617" s="1"/>
      <c r="Q617" s="1"/>
      <c r="R617" s="1"/>
      <c r="S617" s="1"/>
      <c r="T617" s="1"/>
      <c r="U617" s="1"/>
      <c r="V617" s="1"/>
      <c r="W617" s="1"/>
      <c r="X617" s="1"/>
      <c r="Y617" s="1"/>
      <c r="Z617" s="1"/>
      <c r="AA617" s="1"/>
    </row>
    <row r="618" customFormat="false" ht="15.75" hidden="false" customHeight="true" outlineLevel="0" collapsed="false">
      <c r="P618" s="1"/>
      <c r="Q618" s="1"/>
      <c r="R618" s="1"/>
      <c r="S618" s="1"/>
      <c r="T618" s="1"/>
      <c r="U618" s="1"/>
      <c r="V618" s="1"/>
      <c r="W618" s="1"/>
      <c r="X618" s="1"/>
      <c r="Y618" s="1"/>
      <c r="Z618" s="1"/>
      <c r="AA618" s="1"/>
    </row>
    <row r="619" customFormat="false" ht="15.75" hidden="false" customHeight="true" outlineLevel="0" collapsed="false">
      <c r="P619" s="1"/>
      <c r="Q619" s="1"/>
      <c r="R619" s="1"/>
      <c r="S619" s="1"/>
      <c r="T619" s="1"/>
      <c r="U619" s="1"/>
      <c r="V619" s="1"/>
      <c r="W619" s="1"/>
      <c r="X619" s="1"/>
      <c r="Y619" s="1"/>
      <c r="Z619" s="1"/>
      <c r="AA619" s="1"/>
    </row>
    <row r="620" customFormat="false" ht="15.75" hidden="false" customHeight="true" outlineLevel="0" collapsed="false">
      <c r="P620" s="1"/>
      <c r="Q620" s="1"/>
      <c r="R620" s="1"/>
      <c r="S620" s="1"/>
      <c r="T620" s="1"/>
      <c r="U620" s="1"/>
      <c r="V620" s="1"/>
      <c r="W620" s="1"/>
      <c r="X620" s="1"/>
      <c r="Y620" s="1"/>
      <c r="Z620" s="1"/>
      <c r="AA620" s="1"/>
    </row>
    <row r="621" customFormat="false" ht="15.75" hidden="false" customHeight="true" outlineLevel="0" collapsed="false">
      <c r="P621" s="1"/>
      <c r="Q621" s="1"/>
      <c r="R621" s="1"/>
      <c r="S621" s="1"/>
      <c r="T621" s="1"/>
      <c r="U621" s="1"/>
      <c r="V621" s="1"/>
      <c r="W621" s="1"/>
      <c r="X621" s="1"/>
      <c r="Y621" s="1"/>
      <c r="Z621" s="1"/>
      <c r="AA621" s="1"/>
    </row>
    <row r="622" customFormat="false" ht="15.75" hidden="false" customHeight="true" outlineLevel="0" collapsed="false">
      <c r="P622" s="1"/>
      <c r="Q622" s="1"/>
      <c r="R622" s="1"/>
      <c r="S622" s="1"/>
      <c r="T622" s="1"/>
      <c r="U622" s="1"/>
      <c r="V622" s="1"/>
      <c r="W622" s="1"/>
      <c r="X622" s="1"/>
      <c r="Y622" s="1"/>
      <c r="Z622" s="1"/>
      <c r="AA622" s="1"/>
    </row>
    <row r="623" customFormat="false" ht="15.75" hidden="false" customHeight="true" outlineLevel="0" collapsed="false">
      <c r="P623" s="1"/>
      <c r="Q623" s="1"/>
      <c r="R623" s="1"/>
      <c r="S623" s="1"/>
      <c r="T623" s="1"/>
      <c r="U623" s="1"/>
      <c r="V623" s="1"/>
      <c r="W623" s="1"/>
      <c r="X623" s="1"/>
      <c r="Y623" s="1"/>
      <c r="Z623" s="1"/>
      <c r="AA623" s="1"/>
    </row>
    <row r="624" customFormat="false" ht="15.75" hidden="false" customHeight="true" outlineLevel="0" collapsed="false">
      <c r="P624" s="1"/>
      <c r="Q624" s="1"/>
      <c r="R624" s="1"/>
      <c r="S624" s="1"/>
      <c r="T624" s="1"/>
      <c r="U624" s="1"/>
      <c r="V624" s="1"/>
      <c r="W624" s="1"/>
      <c r="X624" s="1"/>
      <c r="Y624" s="1"/>
      <c r="Z624" s="1"/>
      <c r="AA624" s="1"/>
    </row>
    <row r="625" customFormat="false" ht="15.75" hidden="false" customHeight="true" outlineLevel="0" collapsed="false">
      <c r="P625" s="1"/>
      <c r="Q625" s="1"/>
      <c r="R625" s="1"/>
      <c r="S625" s="1"/>
      <c r="T625" s="1"/>
      <c r="U625" s="1"/>
      <c r="V625" s="1"/>
      <c r="W625" s="1"/>
      <c r="X625" s="1"/>
      <c r="Y625" s="1"/>
      <c r="Z625" s="1"/>
      <c r="AA625" s="1"/>
    </row>
    <row r="626" customFormat="false" ht="15.75" hidden="false" customHeight="true" outlineLevel="0" collapsed="false">
      <c r="P626" s="1"/>
      <c r="Q626" s="1"/>
      <c r="R626" s="1"/>
      <c r="S626" s="1"/>
      <c r="T626" s="1"/>
      <c r="U626" s="1"/>
      <c r="V626" s="1"/>
      <c r="W626" s="1"/>
      <c r="X626" s="1"/>
      <c r="Y626" s="1"/>
      <c r="Z626" s="1"/>
      <c r="AA626" s="1"/>
    </row>
    <row r="627" customFormat="false" ht="15.75" hidden="false" customHeight="true" outlineLevel="0" collapsed="false">
      <c r="P627" s="1"/>
      <c r="Q627" s="1"/>
      <c r="R627" s="1"/>
      <c r="S627" s="1"/>
      <c r="T627" s="1"/>
      <c r="U627" s="1"/>
      <c r="V627" s="1"/>
      <c r="W627" s="1"/>
      <c r="X627" s="1"/>
      <c r="Y627" s="1"/>
      <c r="Z627" s="1"/>
      <c r="AA627" s="1"/>
    </row>
    <row r="628" customFormat="false" ht="15.75" hidden="false" customHeight="true" outlineLevel="0" collapsed="false">
      <c r="P628" s="1"/>
      <c r="Q628" s="1"/>
      <c r="R628" s="1"/>
      <c r="S628" s="1"/>
      <c r="T628" s="1"/>
      <c r="U628" s="1"/>
      <c r="V628" s="1"/>
      <c r="W628" s="1"/>
      <c r="X628" s="1"/>
      <c r="Y628" s="1"/>
      <c r="Z628" s="1"/>
      <c r="AA628" s="1"/>
    </row>
    <row r="629" customFormat="false" ht="15.75" hidden="false" customHeight="true" outlineLevel="0" collapsed="false">
      <c r="P629" s="1"/>
      <c r="Q629" s="1"/>
      <c r="R629" s="1"/>
      <c r="S629" s="1"/>
      <c r="T629" s="1"/>
      <c r="U629" s="1"/>
      <c r="V629" s="1"/>
      <c r="W629" s="1"/>
      <c r="X629" s="1"/>
      <c r="Y629" s="1"/>
      <c r="Z629" s="1"/>
      <c r="AA629" s="1"/>
    </row>
    <row r="630" customFormat="false" ht="15.75" hidden="false" customHeight="true" outlineLevel="0" collapsed="false">
      <c r="P630" s="1"/>
      <c r="Q630" s="1"/>
      <c r="R630" s="1"/>
      <c r="S630" s="1"/>
      <c r="T630" s="1"/>
      <c r="U630" s="1"/>
      <c r="V630" s="1"/>
      <c r="W630" s="1"/>
      <c r="X630" s="1"/>
      <c r="Y630" s="1"/>
      <c r="Z630" s="1"/>
      <c r="AA630" s="1"/>
    </row>
    <row r="631" customFormat="false" ht="15.75" hidden="false" customHeight="true" outlineLevel="0" collapsed="false">
      <c r="P631" s="1"/>
      <c r="Q631" s="1"/>
      <c r="R631" s="1"/>
      <c r="S631" s="1"/>
      <c r="T631" s="1"/>
      <c r="U631" s="1"/>
      <c r="V631" s="1"/>
      <c r="W631" s="1"/>
      <c r="X631" s="1"/>
      <c r="Y631" s="1"/>
      <c r="Z631" s="1"/>
      <c r="AA631" s="1"/>
    </row>
    <row r="632" customFormat="false" ht="15.75" hidden="false" customHeight="true" outlineLevel="0" collapsed="false">
      <c r="P632" s="1"/>
      <c r="Q632" s="1"/>
      <c r="R632" s="1"/>
      <c r="S632" s="1"/>
      <c r="T632" s="1"/>
      <c r="U632" s="1"/>
      <c r="V632" s="1"/>
      <c r="W632" s="1"/>
      <c r="X632" s="1"/>
      <c r="Y632" s="1"/>
      <c r="Z632" s="1"/>
      <c r="AA632" s="1"/>
    </row>
    <row r="633" customFormat="false" ht="15.75" hidden="false" customHeight="true" outlineLevel="0" collapsed="false">
      <c r="P633" s="1"/>
      <c r="Q633" s="1"/>
      <c r="R633" s="1"/>
      <c r="S633" s="1"/>
      <c r="T633" s="1"/>
      <c r="U633" s="1"/>
      <c r="V633" s="1"/>
      <c r="W633" s="1"/>
      <c r="X633" s="1"/>
      <c r="Y633" s="1"/>
      <c r="Z633" s="1"/>
      <c r="AA633" s="1"/>
    </row>
    <row r="634" customFormat="false" ht="15.75" hidden="false" customHeight="true" outlineLevel="0" collapsed="false">
      <c r="P634" s="1"/>
      <c r="Q634" s="1"/>
      <c r="R634" s="1"/>
      <c r="S634" s="1"/>
      <c r="T634" s="1"/>
      <c r="U634" s="1"/>
      <c r="V634" s="1"/>
      <c r="W634" s="1"/>
      <c r="X634" s="1"/>
      <c r="Y634" s="1"/>
      <c r="Z634" s="1"/>
      <c r="AA634" s="1"/>
    </row>
    <row r="635" customFormat="false" ht="15.75" hidden="false" customHeight="true" outlineLevel="0" collapsed="false">
      <c r="P635" s="1"/>
      <c r="Q635" s="1"/>
      <c r="R635" s="1"/>
      <c r="S635" s="1"/>
      <c r="T635" s="1"/>
      <c r="U635" s="1"/>
      <c r="V635" s="1"/>
      <c r="W635" s="1"/>
      <c r="X635" s="1"/>
      <c r="Y635" s="1"/>
      <c r="Z635" s="1"/>
      <c r="AA635" s="1"/>
    </row>
    <row r="636" customFormat="false" ht="15.75" hidden="false" customHeight="true" outlineLevel="0" collapsed="false">
      <c r="P636" s="1"/>
      <c r="Q636" s="1"/>
      <c r="R636" s="1"/>
      <c r="S636" s="1"/>
      <c r="T636" s="1"/>
      <c r="U636" s="1"/>
      <c r="V636" s="1"/>
      <c r="W636" s="1"/>
      <c r="X636" s="1"/>
      <c r="Y636" s="1"/>
      <c r="Z636" s="1"/>
      <c r="AA636" s="1"/>
    </row>
    <row r="637" customFormat="false" ht="15.75" hidden="false" customHeight="true" outlineLevel="0" collapsed="false">
      <c r="P637" s="1"/>
      <c r="Q637" s="1"/>
      <c r="R637" s="1"/>
      <c r="S637" s="1"/>
      <c r="T637" s="1"/>
      <c r="U637" s="1"/>
      <c r="V637" s="1"/>
      <c r="W637" s="1"/>
      <c r="X637" s="1"/>
      <c r="Y637" s="1"/>
      <c r="Z637" s="1"/>
      <c r="AA637" s="1"/>
    </row>
    <row r="638" customFormat="false" ht="15.75" hidden="false" customHeight="true" outlineLevel="0" collapsed="false">
      <c r="P638" s="1"/>
      <c r="Q638" s="1"/>
      <c r="R638" s="1"/>
      <c r="S638" s="1"/>
      <c r="T638" s="1"/>
      <c r="U638" s="1"/>
      <c r="V638" s="1"/>
      <c r="W638" s="1"/>
      <c r="X638" s="1"/>
      <c r="Y638" s="1"/>
      <c r="Z638" s="1"/>
      <c r="AA638" s="1"/>
    </row>
    <row r="639" customFormat="false" ht="15.75" hidden="false" customHeight="true" outlineLevel="0" collapsed="false">
      <c r="P639" s="1"/>
      <c r="Q639" s="1"/>
      <c r="R639" s="1"/>
      <c r="S639" s="1"/>
      <c r="T639" s="1"/>
      <c r="U639" s="1"/>
      <c r="V639" s="1"/>
      <c r="W639" s="1"/>
      <c r="X639" s="1"/>
      <c r="Y639" s="1"/>
      <c r="Z639" s="1"/>
      <c r="AA639" s="1"/>
    </row>
    <row r="640" customFormat="false" ht="15.75" hidden="false" customHeight="true" outlineLevel="0" collapsed="false">
      <c r="P640" s="1"/>
      <c r="Q640" s="1"/>
      <c r="R640" s="1"/>
      <c r="S640" s="1"/>
      <c r="T640" s="1"/>
      <c r="U640" s="1"/>
      <c r="V640" s="1"/>
      <c r="W640" s="1"/>
      <c r="X640" s="1"/>
      <c r="Y640" s="1"/>
      <c r="Z640" s="1"/>
      <c r="AA640" s="1"/>
    </row>
    <row r="641" customFormat="false" ht="15.75" hidden="false" customHeight="true" outlineLevel="0" collapsed="false">
      <c r="P641" s="1"/>
      <c r="Q641" s="1"/>
      <c r="R641" s="1"/>
      <c r="S641" s="1"/>
      <c r="T641" s="1"/>
      <c r="U641" s="1"/>
      <c r="V641" s="1"/>
      <c r="W641" s="1"/>
      <c r="X641" s="1"/>
      <c r="Y641" s="1"/>
      <c r="Z641" s="1"/>
      <c r="AA641" s="1"/>
    </row>
    <row r="642" customFormat="false" ht="15.75" hidden="false" customHeight="true" outlineLevel="0" collapsed="false">
      <c r="P642" s="1"/>
      <c r="Q642" s="1"/>
      <c r="R642" s="1"/>
      <c r="S642" s="1"/>
      <c r="T642" s="1"/>
      <c r="U642" s="1"/>
      <c r="V642" s="1"/>
      <c r="W642" s="1"/>
      <c r="X642" s="1"/>
      <c r="Y642" s="1"/>
      <c r="Z642" s="1"/>
      <c r="AA642" s="1"/>
    </row>
    <row r="643" customFormat="false" ht="15.75" hidden="false" customHeight="true" outlineLevel="0" collapsed="false">
      <c r="P643" s="1"/>
      <c r="Q643" s="1"/>
      <c r="R643" s="1"/>
      <c r="S643" s="1"/>
      <c r="T643" s="1"/>
      <c r="U643" s="1"/>
      <c r="V643" s="1"/>
      <c r="W643" s="1"/>
      <c r="X643" s="1"/>
      <c r="Y643" s="1"/>
      <c r="Z643" s="1"/>
      <c r="AA643" s="1"/>
    </row>
    <row r="644" customFormat="false" ht="15.75" hidden="false" customHeight="true" outlineLevel="0" collapsed="false">
      <c r="P644" s="1"/>
      <c r="Q644" s="1"/>
      <c r="R644" s="1"/>
      <c r="S644" s="1"/>
      <c r="T644" s="1"/>
      <c r="U644" s="1"/>
      <c r="V644" s="1"/>
      <c r="W644" s="1"/>
      <c r="X644" s="1"/>
      <c r="Y644" s="1"/>
      <c r="Z644" s="1"/>
      <c r="AA644" s="1"/>
    </row>
    <row r="645" customFormat="false" ht="15.75" hidden="false" customHeight="true" outlineLevel="0" collapsed="false">
      <c r="P645" s="1"/>
      <c r="Q645" s="1"/>
      <c r="R645" s="1"/>
      <c r="S645" s="1"/>
      <c r="T645" s="1"/>
      <c r="U645" s="1"/>
      <c r="V645" s="1"/>
      <c r="W645" s="1"/>
      <c r="X645" s="1"/>
      <c r="Y645" s="1"/>
      <c r="Z645" s="1"/>
      <c r="AA645" s="1"/>
    </row>
    <row r="646" customFormat="false" ht="15.75" hidden="false" customHeight="true" outlineLevel="0" collapsed="false">
      <c r="P646" s="1"/>
      <c r="Q646" s="1"/>
      <c r="R646" s="1"/>
      <c r="S646" s="1"/>
      <c r="T646" s="1"/>
      <c r="U646" s="1"/>
      <c r="V646" s="1"/>
      <c r="W646" s="1"/>
      <c r="X646" s="1"/>
      <c r="Y646" s="1"/>
      <c r="Z646" s="1"/>
      <c r="AA646" s="1"/>
    </row>
    <row r="647" customFormat="false" ht="15.75" hidden="false" customHeight="true" outlineLevel="0" collapsed="false">
      <c r="P647" s="1"/>
      <c r="Q647" s="1"/>
      <c r="R647" s="1"/>
      <c r="S647" s="1"/>
      <c r="T647" s="1"/>
      <c r="U647" s="1"/>
      <c r="V647" s="1"/>
      <c r="W647" s="1"/>
      <c r="X647" s="1"/>
      <c r="Y647" s="1"/>
      <c r="Z647" s="1"/>
      <c r="AA647" s="1"/>
    </row>
    <row r="648" customFormat="false" ht="15.75" hidden="false" customHeight="true" outlineLevel="0" collapsed="false">
      <c r="P648" s="1"/>
      <c r="Q648" s="1"/>
      <c r="R648" s="1"/>
      <c r="S648" s="1"/>
      <c r="T648" s="1"/>
      <c r="U648" s="1"/>
      <c r="V648" s="1"/>
      <c r="W648" s="1"/>
      <c r="X648" s="1"/>
      <c r="Y648" s="1"/>
      <c r="Z648" s="1"/>
      <c r="AA648" s="1"/>
    </row>
    <row r="649" customFormat="false" ht="15.75" hidden="false" customHeight="true" outlineLevel="0" collapsed="false">
      <c r="P649" s="1"/>
      <c r="Q649" s="1"/>
      <c r="R649" s="1"/>
      <c r="S649" s="1"/>
      <c r="T649" s="1"/>
      <c r="U649" s="1"/>
      <c r="V649" s="1"/>
      <c r="W649" s="1"/>
      <c r="X649" s="1"/>
      <c r="Y649" s="1"/>
      <c r="Z649" s="1"/>
      <c r="AA649" s="1"/>
    </row>
    <row r="650" customFormat="false" ht="15.75" hidden="false" customHeight="true" outlineLevel="0" collapsed="false">
      <c r="P650" s="1"/>
      <c r="Q650" s="1"/>
      <c r="R650" s="1"/>
      <c r="S650" s="1"/>
      <c r="T650" s="1"/>
      <c r="U650" s="1"/>
      <c r="V650" s="1"/>
      <c r="W650" s="1"/>
      <c r="X650" s="1"/>
      <c r="Y650" s="1"/>
      <c r="Z650" s="1"/>
      <c r="AA650" s="1"/>
    </row>
    <row r="651" customFormat="false" ht="15.75" hidden="false" customHeight="true" outlineLevel="0" collapsed="false">
      <c r="P651" s="1"/>
      <c r="Q651" s="1"/>
      <c r="R651" s="1"/>
      <c r="S651" s="1"/>
      <c r="T651" s="1"/>
      <c r="U651" s="1"/>
      <c r="V651" s="1"/>
      <c r="W651" s="1"/>
      <c r="X651" s="1"/>
      <c r="Y651" s="1"/>
      <c r="Z651" s="1"/>
      <c r="AA651" s="1"/>
    </row>
    <row r="652" customFormat="false" ht="15.75" hidden="false" customHeight="true" outlineLevel="0" collapsed="false">
      <c r="P652" s="1"/>
      <c r="Q652" s="1"/>
      <c r="R652" s="1"/>
      <c r="S652" s="1"/>
      <c r="T652" s="1"/>
      <c r="U652" s="1"/>
      <c r="V652" s="1"/>
      <c r="W652" s="1"/>
      <c r="X652" s="1"/>
      <c r="Y652" s="1"/>
      <c r="Z652" s="1"/>
      <c r="AA652" s="1"/>
    </row>
    <row r="653" customFormat="false" ht="15.75" hidden="false" customHeight="true" outlineLevel="0" collapsed="false">
      <c r="P653" s="1"/>
      <c r="Q653" s="1"/>
      <c r="R653" s="1"/>
      <c r="S653" s="1"/>
      <c r="T653" s="1"/>
      <c r="U653" s="1"/>
      <c r="V653" s="1"/>
      <c r="W653" s="1"/>
      <c r="X653" s="1"/>
      <c r="Y653" s="1"/>
      <c r="Z653" s="1"/>
      <c r="AA653" s="1"/>
    </row>
    <row r="654" customFormat="false" ht="15.75" hidden="false" customHeight="true" outlineLevel="0" collapsed="false">
      <c r="P654" s="1"/>
      <c r="Q654" s="1"/>
      <c r="R654" s="1"/>
      <c r="S654" s="1"/>
      <c r="T654" s="1"/>
      <c r="U654" s="1"/>
      <c r="V654" s="1"/>
      <c r="W654" s="1"/>
      <c r="X654" s="1"/>
      <c r="Y654" s="1"/>
      <c r="Z654" s="1"/>
      <c r="AA654" s="1"/>
    </row>
    <row r="655" customFormat="false" ht="15.75" hidden="false" customHeight="true" outlineLevel="0" collapsed="false">
      <c r="P655" s="1"/>
      <c r="Q655" s="1"/>
      <c r="R655" s="1"/>
      <c r="S655" s="1"/>
      <c r="T655" s="1"/>
      <c r="U655" s="1"/>
      <c r="V655" s="1"/>
      <c r="W655" s="1"/>
      <c r="X655" s="1"/>
      <c r="Y655" s="1"/>
      <c r="Z655" s="1"/>
      <c r="AA655" s="1"/>
    </row>
    <row r="656" customFormat="false" ht="15.75" hidden="false" customHeight="true" outlineLevel="0" collapsed="false">
      <c r="P656" s="1"/>
      <c r="Q656" s="1"/>
      <c r="R656" s="1"/>
      <c r="S656" s="1"/>
      <c r="T656" s="1"/>
      <c r="U656" s="1"/>
      <c r="V656" s="1"/>
      <c r="W656" s="1"/>
      <c r="X656" s="1"/>
      <c r="Y656" s="1"/>
      <c r="Z656" s="1"/>
      <c r="AA656" s="1"/>
    </row>
    <row r="657" customFormat="false" ht="15.75" hidden="false" customHeight="true" outlineLevel="0" collapsed="false">
      <c r="P657" s="1"/>
      <c r="Q657" s="1"/>
      <c r="R657" s="1"/>
      <c r="S657" s="1"/>
      <c r="T657" s="1"/>
      <c r="U657" s="1"/>
      <c r="V657" s="1"/>
      <c r="W657" s="1"/>
      <c r="X657" s="1"/>
      <c r="Y657" s="1"/>
      <c r="Z657" s="1"/>
      <c r="AA657" s="1"/>
    </row>
    <row r="658" customFormat="false" ht="15.75" hidden="false" customHeight="true" outlineLevel="0" collapsed="false">
      <c r="P658" s="1"/>
      <c r="Q658" s="1"/>
      <c r="R658" s="1"/>
      <c r="S658" s="1"/>
      <c r="T658" s="1"/>
      <c r="U658" s="1"/>
      <c r="V658" s="1"/>
      <c r="W658" s="1"/>
      <c r="X658" s="1"/>
      <c r="Y658" s="1"/>
      <c r="Z658" s="1"/>
      <c r="AA658" s="1"/>
    </row>
    <row r="659" customFormat="false" ht="15.75" hidden="false" customHeight="true" outlineLevel="0" collapsed="false">
      <c r="P659" s="1"/>
      <c r="Q659" s="1"/>
      <c r="R659" s="1"/>
      <c r="S659" s="1"/>
      <c r="T659" s="1"/>
      <c r="U659" s="1"/>
      <c r="V659" s="1"/>
      <c r="W659" s="1"/>
      <c r="X659" s="1"/>
      <c r="Y659" s="1"/>
      <c r="Z659" s="1"/>
      <c r="AA659" s="1"/>
    </row>
    <row r="660" customFormat="false" ht="15.75" hidden="false" customHeight="true" outlineLevel="0" collapsed="false">
      <c r="P660" s="1"/>
      <c r="Q660" s="1"/>
      <c r="R660" s="1"/>
      <c r="S660" s="1"/>
      <c r="T660" s="1"/>
      <c r="U660" s="1"/>
      <c r="V660" s="1"/>
      <c r="W660" s="1"/>
      <c r="X660" s="1"/>
      <c r="Y660" s="1"/>
      <c r="Z660" s="1"/>
      <c r="AA660" s="1"/>
    </row>
    <row r="661" customFormat="false" ht="15.75" hidden="false" customHeight="true" outlineLevel="0" collapsed="false">
      <c r="P661" s="1"/>
      <c r="Q661" s="1"/>
      <c r="R661" s="1"/>
      <c r="S661" s="1"/>
      <c r="T661" s="1"/>
      <c r="U661" s="1"/>
      <c r="V661" s="1"/>
      <c r="W661" s="1"/>
      <c r="X661" s="1"/>
      <c r="Y661" s="1"/>
      <c r="Z661" s="1"/>
      <c r="AA661" s="1"/>
    </row>
    <row r="662" customFormat="false" ht="15.75" hidden="false" customHeight="true" outlineLevel="0" collapsed="false">
      <c r="P662" s="1"/>
      <c r="Q662" s="1"/>
      <c r="R662" s="1"/>
      <c r="S662" s="1"/>
      <c r="T662" s="1"/>
      <c r="U662" s="1"/>
      <c r="V662" s="1"/>
      <c r="W662" s="1"/>
      <c r="X662" s="1"/>
      <c r="Y662" s="1"/>
      <c r="Z662" s="1"/>
      <c r="AA662" s="1"/>
    </row>
    <row r="663" customFormat="false" ht="15.75" hidden="false" customHeight="true" outlineLevel="0" collapsed="false">
      <c r="P663" s="1"/>
      <c r="Q663" s="1"/>
      <c r="R663" s="1"/>
      <c r="S663" s="1"/>
      <c r="T663" s="1"/>
      <c r="U663" s="1"/>
      <c r="V663" s="1"/>
      <c r="W663" s="1"/>
      <c r="X663" s="1"/>
      <c r="Y663" s="1"/>
      <c r="Z663" s="1"/>
      <c r="AA663" s="1"/>
    </row>
    <row r="664" customFormat="false" ht="15.75" hidden="false" customHeight="true" outlineLevel="0" collapsed="false">
      <c r="P664" s="1"/>
      <c r="Q664" s="1"/>
      <c r="R664" s="1"/>
      <c r="S664" s="1"/>
      <c r="T664" s="1"/>
      <c r="U664" s="1"/>
      <c r="V664" s="1"/>
      <c r="W664" s="1"/>
      <c r="X664" s="1"/>
      <c r="Y664" s="1"/>
      <c r="Z664" s="1"/>
      <c r="AA664" s="1"/>
    </row>
    <row r="665" customFormat="false" ht="15.75" hidden="false" customHeight="true" outlineLevel="0" collapsed="false">
      <c r="P665" s="1"/>
      <c r="Q665" s="1"/>
      <c r="R665" s="1"/>
      <c r="S665" s="1"/>
      <c r="T665" s="1"/>
      <c r="U665" s="1"/>
      <c r="V665" s="1"/>
      <c r="W665" s="1"/>
      <c r="X665" s="1"/>
      <c r="Y665" s="1"/>
      <c r="Z665" s="1"/>
      <c r="AA665" s="1"/>
    </row>
    <row r="666" customFormat="false" ht="15.75" hidden="false" customHeight="true" outlineLevel="0" collapsed="false">
      <c r="P666" s="1"/>
      <c r="Q666" s="1"/>
      <c r="R666" s="1"/>
      <c r="S666" s="1"/>
      <c r="T666" s="1"/>
      <c r="U666" s="1"/>
      <c r="V666" s="1"/>
      <c r="W666" s="1"/>
      <c r="X666" s="1"/>
      <c r="Y666" s="1"/>
      <c r="Z666" s="1"/>
      <c r="AA666" s="1"/>
    </row>
    <row r="667" customFormat="false" ht="15.75" hidden="false" customHeight="true" outlineLevel="0" collapsed="false">
      <c r="P667" s="1"/>
      <c r="Q667" s="1"/>
      <c r="R667" s="1"/>
      <c r="S667" s="1"/>
      <c r="T667" s="1"/>
      <c r="U667" s="1"/>
      <c r="V667" s="1"/>
      <c r="W667" s="1"/>
      <c r="X667" s="1"/>
      <c r="Y667" s="1"/>
      <c r="Z667" s="1"/>
      <c r="AA667" s="1"/>
    </row>
    <row r="668" customFormat="false" ht="15.75" hidden="false" customHeight="true" outlineLevel="0" collapsed="false">
      <c r="P668" s="1"/>
      <c r="Q668" s="1"/>
      <c r="R668" s="1"/>
      <c r="S668" s="1"/>
      <c r="T668" s="1"/>
      <c r="U668" s="1"/>
      <c r="V668" s="1"/>
      <c r="W668" s="1"/>
      <c r="X668" s="1"/>
      <c r="Y668" s="1"/>
      <c r="Z668" s="1"/>
      <c r="AA668" s="1"/>
    </row>
    <row r="669" customFormat="false" ht="15.75" hidden="false" customHeight="true" outlineLevel="0" collapsed="false">
      <c r="P669" s="1"/>
      <c r="Q669" s="1"/>
      <c r="R669" s="1"/>
      <c r="S669" s="1"/>
      <c r="T669" s="1"/>
      <c r="U669" s="1"/>
      <c r="V669" s="1"/>
      <c r="W669" s="1"/>
      <c r="X669" s="1"/>
      <c r="Y669" s="1"/>
      <c r="Z669" s="1"/>
      <c r="AA669" s="1"/>
    </row>
    <row r="670" customFormat="false" ht="15.75" hidden="false" customHeight="true" outlineLevel="0" collapsed="false">
      <c r="P670" s="1"/>
      <c r="Q670" s="1"/>
      <c r="R670" s="1"/>
      <c r="S670" s="1"/>
      <c r="T670" s="1"/>
      <c r="U670" s="1"/>
      <c r="V670" s="1"/>
      <c r="W670" s="1"/>
      <c r="X670" s="1"/>
      <c r="Y670" s="1"/>
      <c r="Z670" s="1"/>
      <c r="AA670" s="1"/>
    </row>
    <row r="671" customFormat="false" ht="15.75" hidden="false" customHeight="true" outlineLevel="0" collapsed="false">
      <c r="P671" s="1"/>
      <c r="Q671" s="1"/>
      <c r="R671" s="1"/>
      <c r="S671" s="1"/>
      <c r="T671" s="1"/>
      <c r="U671" s="1"/>
      <c r="V671" s="1"/>
      <c r="W671" s="1"/>
      <c r="X671" s="1"/>
      <c r="Y671" s="1"/>
      <c r="Z671" s="1"/>
      <c r="AA671" s="1"/>
    </row>
    <row r="672" customFormat="false" ht="15.75" hidden="false" customHeight="true" outlineLevel="0" collapsed="false">
      <c r="P672" s="1"/>
      <c r="Q672" s="1"/>
      <c r="R672" s="1"/>
      <c r="S672" s="1"/>
      <c r="T672" s="1"/>
      <c r="U672" s="1"/>
      <c r="V672" s="1"/>
      <c r="W672" s="1"/>
      <c r="X672" s="1"/>
      <c r="Y672" s="1"/>
      <c r="Z672" s="1"/>
      <c r="AA672" s="1"/>
    </row>
    <row r="673" customFormat="false" ht="15.75" hidden="false" customHeight="true" outlineLevel="0" collapsed="false">
      <c r="P673" s="1"/>
      <c r="Q673" s="1"/>
      <c r="R673" s="1"/>
      <c r="S673" s="1"/>
      <c r="T673" s="1"/>
      <c r="U673" s="1"/>
      <c r="V673" s="1"/>
      <c r="W673" s="1"/>
      <c r="X673" s="1"/>
      <c r="Y673" s="1"/>
      <c r="Z673" s="1"/>
      <c r="AA673" s="1"/>
    </row>
    <row r="674" customFormat="false" ht="15.75" hidden="false" customHeight="true" outlineLevel="0" collapsed="false">
      <c r="P674" s="1"/>
      <c r="Q674" s="1"/>
      <c r="R674" s="1"/>
      <c r="S674" s="1"/>
      <c r="T674" s="1"/>
      <c r="U674" s="1"/>
      <c r="V674" s="1"/>
      <c r="W674" s="1"/>
      <c r="X674" s="1"/>
      <c r="Y674" s="1"/>
      <c r="Z674" s="1"/>
      <c r="AA674" s="1"/>
    </row>
    <row r="675" customFormat="false" ht="15.75" hidden="false" customHeight="true" outlineLevel="0" collapsed="false">
      <c r="P675" s="1"/>
      <c r="Q675" s="1"/>
      <c r="R675" s="1"/>
      <c r="S675" s="1"/>
      <c r="T675" s="1"/>
      <c r="U675" s="1"/>
      <c r="V675" s="1"/>
      <c r="W675" s="1"/>
      <c r="X675" s="1"/>
      <c r="Y675" s="1"/>
      <c r="Z675" s="1"/>
      <c r="AA675" s="1"/>
    </row>
    <row r="676" customFormat="false" ht="15.75" hidden="false" customHeight="true" outlineLevel="0" collapsed="false">
      <c r="P676" s="1"/>
      <c r="Q676" s="1"/>
      <c r="R676" s="1"/>
      <c r="S676" s="1"/>
      <c r="T676" s="1"/>
      <c r="U676" s="1"/>
      <c r="V676" s="1"/>
      <c r="W676" s="1"/>
      <c r="X676" s="1"/>
      <c r="Y676" s="1"/>
      <c r="Z676" s="1"/>
      <c r="AA676" s="1"/>
    </row>
    <row r="677" customFormat="false" ht="15.75" hidden="false" customHeight="true" outlineLevel="0" collapsed="false">
      <c r="P677" s="1"/>
      <c r="Q677" s="1"/>
      <c r="R677" s="1"/>
      <c r="S677" s="1"/>
      <c r="T677" s="1"/>
      <c r="U677" s="1"/>
      <c r="V677" s="1"/>
      <c r="W677" s="1"/>
      <c r="X677" s="1"/>
      <c r="Y677" s="1"/>
      <c r="Z677" s="1"/>
      <c r="AA677" s="1"/>
    </row>
    <row r="678" customFormat="false" ht="15.75" hidden="false" customHeight="true" outlineLevel="0" collapsed="false">
      <c r="P678" s="1"/>
      <c r="Q678" s="1"/>
      <c r="R678" s="1"/>
      <c r="S678" s="1"/>
      <c r="T678" s="1"/>
      <c r="U678" s="1"/>
      <c r="V678" s="1"/>
      <c r="W678" s="1"/>
      <c r="X678" s="1"/>
      <c r="Y678" s="1"/>
      <c r="Z678" s="1"/>
      <c r="AA678" s="1"/>
    </row>
    <row r="679" customFormat="false" ht="15.75" hidden="false" customHeight="true" outlineLevel="0" collapsed="false">
      <c r="P679" s="1"/>
      <c r="Q679" s="1"/>
      <c r="R679" s="1"/>
      <c r="S679" s="1"/>
      <c r="T679" s="1"/>
      <c r="U679" s="1"/>
      <c r="V679" s="1"/>
      <c r="W679" s="1"/>
      <c r="X679" s="1"/>
      <c r="Y679" s="1"/>
      <c r="Z679" s="1"/>
      <c r="AA679" s="1"/>
    </row>
    <row r="680" customFormat="false" ht="15.75" hidden="false" customHeight="true" outlineLevel="0" collapsed="false">
      <c r="P680" s="1"/>
      <c r="Q680" s="1"/>
      <c r="R680" s="1"/>
      <c r="S680" s="1"/>
      <c r="T680" s="1"/>
      <c r="U680" s="1"/>
      <c r="V680" s="1"/>
      <c r="W680" s="1"/>
      <c r="X680" s="1"/>
      <c r="Y680" s="1"/>
      <c r="Z680" s="1"/>
      <c r="AA680" s="1"/>
    </row>
    <row r="681" customFormat="false" ht="15.75" hidden="false" customHeight="true" outlineLevel="0" collapsed="false">
      <c r="P681" s="1"/>
      <c r="Q681" s="1"/>
      <c r="R681" s="1"/>
      <c r="S681" s="1"/>
      <c r="T681" s="1"/>
      <c r="U681" s="1"/>
      <c r="V681" s="1"/>
      <c r="W681" s="1"/>
      <c r="X681" s="1"/>
      <c r="Y681" s="1"/>
      <c r="Z681" s="1"/>
      <c r="AA681" s="1"/>
    </row>
    <row r="682" customFormat="false" ht="15.75" hidden="false" customHeight="true" outlineLevel="0" collapsed="false">
      <c r="P682" s="1"/>
      <c r="Q682" s="1"/>
      <c r="R682" s="1"/>
      <c r="S682" s="1"/>
      <c r="T682" s="1"/>
      <c r="U682" s="1"/>
      <c r="V682" s="1"/>
      <c r="W682" s="1"/>
      <c r="X682" s="1"/>
      <c r="Y682" s="1"/>
      <c r="Z682" s="1"/>
      <c r="AA682" s="1"/>
    </row>
    <row r="683" customFormat="false" ht="15.75" hidden="false" customHeight="true" outlineLevel="0" collapsed="false">
      <c r="P683" s="1"/>
      <c r="Q683" s="1"/>
      <c r="R683" s="1"/>
      <c r="S683" s="1"/>
      <c r="T683" s="1"/>
      <c r="U683" s="1"/>
      <c r="V683" s="1"/>
      <c r="W683" s="1"/>
      <c r="X683" s="1"/>
      <c r="Y683" s="1"/>
      <c r="Z683" s="1"/>
      <c r="AA683" s="1"/>
    </row>
    <row r="684" customFormat="false" ht="15.75" hidden="false" customHeight="true" outlineLevel="0" collapsed="false">
      <c r="P684" s="1"/>
      <c r="Q684" s="1"/>
      <c r="R684" s="1"/>
      <c r="S684" s="1"/>
      <c r="T684" s="1"/>
      <c r="U684" s="1"/>
      <c r="V684" s="1"/>
      <c r="W684" s="1"/>
      <c r="X684" s="1"/>
      <c r="Y684" s="1"/>
      <c r="Z684" s="1"/>
      <c r="AA684" s="1"/>
    </row>
    <row r="685" customFormat="false" ht="15.75" hidden="false" customHeight="true" outlineLevel="0" collapsed="false">
      <c r="P685" s="1"/>
      <c r="Q685" s="1"/>
      <c r="R685" s="1"/>
      <c r="S685" s="1"/>
      <c r="T685" s="1"/>
      <c r="U685" s="1"/>
      <c r="V685" s="1"/>
      <c r="W685" s="1"/>
      <c r="X685" s="1"/>
      <c r="Y685" s="1"/>
      <c r="Z685" s="1"/>
      <c r="AA685" s="1"/>
    </row>
    <row r="686" customFormat="false" ht="15.75" hidden="false" customHeight="true" outlineLevel="0" collapsed="false">
      <c r="P686" s="1"/>
      <c r="Q686" s="1"/>
      <c r="R686" s="1"/>
      <c r="S686" s="1"/>
      <c r="T686" s="1"/>
      <c r="U686" s="1"/>
      <c r="V686" s="1"/>
      <c r="W686" s="1"/>
      <c r="X686" s="1"/>
      <c r="Y686" s="1"/>
      <c r="Z686" s="1"/>
      <c r="AA686" s="1"/>
    </row>
    <row r="687" customFormat="false" ht="15.75" hidden="false" customHeight="true" outlineLevel="0" collapsed="false">
      <c r="P687" s="1"/>
      <c r="Q687" s="1"/>
      <c r="R687" s="1"/>
      <c r="S687" s="1"/>
      <c r="T687" s="1"/>
      <c r="U687" s="1"/>
      <c r="V687" s="1"/>
      <c r="W687" s="1"/>
      <c r="X687" s="1"/>
      <c r="Y687" s="1"/>
      <c r="Z687" s="1"/>
      <c r="AA687" s="1"/>
    </row>
    <row r="688" customFormat="false" ht="15.75" hidden="false" customHeight="true" outlineLevel="0" collapsed="false">
      <c r="P688" s="1"/>
      <c r="Q688" s="1"/>
      <c r="R688" s="1"/>
      <c r="S688" s="1"/>
      <c r="T688" s="1"/>
      <c r="U688" s="1"/>
      <c r="V688" s="1"/>
      <c r="W688" s="1"/>
      <c r="X688" s="1"/>
      <c r="Y688" s="1"/>
      <c r="Z688" s="1"/>
      <c r="AA688" s="1"/>
    </row>
    <row r="689" customFormat="false" ht="15.75" hidden="false" customHeight="true" outlineLevel="0" collapsed="false">
      <c r="P689" s="1"/>
      <c r="Q689" s="1"/>
      <c r="R689" s="1"/>
      <c r="S689" s="1"/>
      <c r="T689" s="1"/>
      <c r="U689" s="1"/>
      <c r="V689" s="1"/>
      <c r="W689" s="1"/>
      <c r="X689" s="1"/>
      <c r="Y689" s="1"/>
      <c r="Z689" s="1"/>
      <c r="AA689" s="1"/>
    </row>
    <row r="690" customFormat="false" ht="15.75" hidden="false" customHeight="true" outlineLevel="0" collapsed="false">
      <c r="P690" s="1"/>
      <c r="Q690" s="1"/>
      <c r="R690" s="1"/>
      <c r="S690" s="1"/>
      <c r="T690" s="1"/>
      <c r="U690" s="1"/>
      <c r="V690" s="1"/>
      <c r="W690" s="1"/>
      <c r="X690" s="1"/>
      <c r="Y690" s="1"/>
      <c r="Z690" s="1"/>
      <c r="AA690" s="1"/>
    </row>
    <row r="691" customFormat="false" ht="15.75" hidden="false" customHeight="true" outlineLevel="0" collapsed="false">
      <c r="P691" s="1"/>
      <c r="Q691" s="1"/>
      <c r="R691" s="1"/>
      <c r="S691" s="1"/>
      <c r="T691" s="1"/>
      <c r="U691" s="1"/>
      <c r="V691" s="1"/>
      <c r="W691" s="1"/>
      <c r="X691" s="1"/>
      <c r="Y691" s="1"/>
      <c r="Z691" s="1"/>
      <c r="AA691" s="1"/>
    </row>
    <row r="692" customFormat="false" ht="15.75" hidden="false" customHeight="true" outlineLevel="0" collapsed="false">
      <c r="P692" s="1"/>
      <c r="Q692" s="1"/>
      <c r="R692" s="1"/>
      <c r="S692" s="1"/>
      <c r="T692" s="1"/>
      <c r="U692" s="1"/>
      <c r="V692" s="1"/>
      <c r="W692" s="1"/>
      <c r="X692" s="1"/>
      <c r="Y692" s="1"/>
      <c r="Z692" s="1"/>
      <c r="AA692" s="1"/>
    </row>
    <row r="693" customFormat="false" ht="15.75" hidden="false" customHeight="true" outlineLevel="0" collapsed="false">
      <c r="P693" s="1"/>
      <c r="Q693" s="1"/>
      <c r="R693" s="1"/>
      <c r="S693" s="1"/>
      <c r="T693" s="1"/>
      <c r="U693" s="1"/>
      <c r="V693" s="1"/>
      <c r="W693" s="1"/>
      <c r="X693" s="1"/>
      <c r="Y693" s="1"/>
      <c r="Z693" s="1"/>
      <c r="AA693" s="1"/>
    </row>
    <row r="694" customFormat="false" ht="15.75" hidden="false" customHeight="true" outlineLevel="0" collapsed="false">
      <c r="P694" s="1"/>
      <c r="Q694" s="1"/>
      <c r="R694" s="1"/>
      <c r="S694" s="1"/>
      <c r="T694" s="1"/>
      <c r="U694" s="1"/>
      <c r="V694" s="1"/>
      <c r="W694" s="1"/>
      <c r="X694" s="1"/>
      <c r="Y694" s="1"/>
      <c r="Z694" s="1"/>
      <c r="AA694" s="1"/>
    </row>
    <row r="695" customFormat="false" ht="15.75" hidden="false" customHeight="true" outlineLevel="0" collapsed="false">
      <c r="P695" s="1"/>
      <c r="Q695" s="1"/>
      <c r="R695" s="1"/>
      <c r="S695" s="1"/>
      <c r="T695" s="1"/>
      <c r="U695" s="1"/>
      <c r="V695" s="1"/>
      <c r="W695" s="1"/>
      <c r="X695" s="1"/>
      <c r="Y695" s="1"/>
      <c r="Z695" s="1"/>
      <c r="AA695" s="1"/>
    </row>
    <row r="696" customFormat="false" ht="15.75" hidden="false" customHeight="true" outlineLevel="0" collapsed="false">
      <c r="P696" s="1"/>
      <c r="Q696" s="1"/>
      <c r="R696" s="1"/>
      <c r="S696" s="1"/>
      <c r="T696" s="1"/>
      <c r="U696" s="1"/>
      <c r="V696" s="1"/>
      <c r="W696" s="1"/>
      <c r="X696" s="1"/>
      <c r="Y696" s="1"/>
      <c r="Z696" s="1"/>
      <c r="AA696" s="1"/>
    </row>
    <row r="697" customFormat="false" ht="15.75" hidden="false" customHeight="true" outlineLevel="0" collapsed="false">
      <c r="P697" s="1"/>
      <c r="Q697" s="1"/>
      <c r="R697" s="1"/>
      <c r="S697" s="1"/>
      <c r="T697" s="1"/>
      <c r="U697" s="1"/>
      <c r="V697" s="1"/>
      <c r="W697" s="1"/>
      <c r="X697" s="1"/>
      <c r="Y697" s="1"/>
      <c r="Z697" s="1"/>
      <c r="AA697" s="1"/>
    </row>
    <row r="698" customFormat="false" ht="15.75" hidden="false" customHeight="true" outlineLevel="0" collapsed="false">
      <c r="P698" s="1"/>
      <c r="Q698" s="1"/>
      <c r="R698" s="1"/>
      <c r="S698" s="1"/>
      <c r="T698" s="1"/>
      <c r="U698" s="1"/>
      <c r="V698" s="1"/>
      <c r="W698" s="1"/>
      <c r="X698" s="1"/>
      <c r="Y698" s="1"/>
      <c r="Z698" s="1"/>
      <c r="AA698" s="1"/>
    </row>
    <row r="699" customFormat="false" ht="15.75" hidden="false" customHeight="true" outlineLevel="0" collapsed="false">
      <c r="P699" s="1"/>
      <c r="Q699" s="1"/>
      <c r="R699" s="1"/>
      <c r="S699" s="1"/>
      <c r="T699" s="1"/>
      <c r="U699" s="1"/>
      <c r="V699" s="1"/>
      <c r="W699" s="1"/>
      <c r="X699" s="1"/>
      <c r="Y699" s="1"/>
      <c r="Z699" s="1"/>
      <c r="AA699" s="1"/>
    </row>
    <row r="700" customFormat="false" ht="15.75" hidden="false" customHeight="true" outlineLevel="0" collapsed="false">
      <c r="P700" s="1"/>
      <c r="Q700" s="1"/>
      <c r="R700" s="1"/>
      <c r="S700" s="1"/>
      <c r="T700" s="1"/>
      <c r="U700" s="1"/>
      <c r="V700" s="1"/>
      <c r="W700" s="1"/>
      <c r="X700" s="1"/>
      <c r="Y700" s="1"/>
      <c r="Z700" s="1"/>
      <c r="AA700" s="1"/>
    </row>
    <row r="701" customFormat="false" ht="15.75" hidden="false" customHeight="true" outlineLevel="0" collapsed="false">
      <c r="P701" s="1"/>
      <c r="Q701" s="1"/>
      <c r="R701" s="1"/>
      <c r="S701" s="1"/>
      <c r="T701" s="1"/>
      <c r="U701" s="1"/>
      <c r="V701" s="1"/>
      <c r="W701" s="1"/>
      <c r="X701" s="1"/>
      <c r="Y701" s="1"/>
      <c r="Z701" s="1"/>
      <c r="AA701" s="1"/>
    </row>
    <row r="702" customFormat="false" ht="15.75" hidden="false" customHeight="true" outlineLevel="0" collapsed="false">
      <c r="P702" s="1"/>
      <c r="Q702" s="1"/>
      <c r="R702" s="1"/>
      <c r="S702" s="1"/>
      <c r="T702" s="1"/>
      <c r="U702" s="1"/>
      <c r="V702" s="1"/>
      <c r="W702" s="1"/>
      <c r="X702" s="1"/>
      <c r="Y702" s="1"/>
      <c r="Z702" s="1"/>
      <c r="AA702" s="1"/>
    </row>
    <row r="703" customFormat="false" ht="15.75" hidden="false" customHeight="true" outlineLevel="0" collapsed="false">
      <c r="P703" s="1"/>
      <c r="Q703" s="1"/>
      <c r="R703" s="1"/>
      <c r="S703" s="1"/>
      <c r="T703" s="1"/>
      <c r="U703" s="1"/>
      <c r="V703" s="1"/>
      <c r="W703" s="1"/>
      <c r="X703" s="1"/>
      <c r="Y703" s="1"/>
      <c r="Z703" s="1"/>
      <c r="AA703" s="1"/>
    </row>
    <row r="704" customFormat="false" ht="15.75" hidden="false" customHeight="true" outlineLevel="0" collapsed="false">
      <c r="P704" s="1"/>
      <c r="Q704" s="1"/>
      <c r="R704" s="1"/>
      <c r="S704" s="1"/>
      <c r="T704" s="1"/>
      <c r="U704" s="1"/>
      <c r="V704" s="1"/>
      <c r="W704" s="1"/>
      <c r="X704" s="1"/>
      <c r="Y704" s="1"/>
      <c r="Z704" s="1"/>
      <c r="AA704" s="1"/>
    </row>
    <row r="705" customFormat="false" ht="15.75" hidden="false" customHeight="true" outlineLevel="0" collapsed="false">
      <c r="P705" s="1"/>
      <c r="Q705" s="1"/>
      <c r="R705" s="1"/>
      <c r="S705" s="1"/>
      <c r="T705" s="1"/>
      <c r="U705" s="1"/>
      <c r="V705" s="1"/>
      <c r="W705" s="1"/>
      <c r="X705" s="1"/>
      <c r="Y705" s="1"/>
      <c r="Z705" s="1"/>
      <c r="AA705" s="1"/>
    </row>
    <row r="706" customFormat="false" ht="15.75" hidden="false" customHeight="true" outlineLevel="0" collapsed="false">
      <c r="P706" s="1"/>
      <c r="Q706" s="1"/>
      <c r="R706" s="1"/>
      <c r="S706" s="1"/>
      <c r="T706" s="1"/>
      <c r="U706" s="1"/>
      <c r="V706" s="1"/>
      <c r="W706" s="1"/>
      <c r="X706" s="1"/>
      <c r="Y706" s="1"/>
      <c r="Z706" s="1"/>
      <c r="AA706" s="1"/>
    </row>
    <row r="707" customFormat="false" ht="15.75" hidden="false" customHeight="true" outlineLevel="0" collapsed="false">
      <c r="P707" s="1"/>
      <c r="Q707" s="1"/>
      <c r="R707" s="1"/>
      <c r="S707" s="1"/>
      <c r="T707" s="1"/>
      <c r="U707" s="1"/>
      <c r="V707" s="1"/>
      <c r="W707" s="1"/>
      <c r="X707" s="1"/>
      <c r="Y707" s="1"/>
      <c r="Z707" s="1"/>
      <c r="AA707" s="1"/>
    </row>
    <row r="708" customFormat="false" ht="15.75" hidden="false" customHeight="true" outlineLevel="0" collapsed="false">
      <c r="P708" s="1"/>
      <c r="Q708" s="1"/>
      <c r="R708" s="1"/>
      <c r="S708" s="1"/>
      <c r="T708" s="1"/>
      <c r="U708" s="1"/>
      <c r="V708" s="1"/>
      <c r="W708" s="1"/>
      <c r="X708" s="1"/>
      <c r="Y708" s="1"/>
      <c r="Z708" s="1"/>
      <c r="AA708" s="1"/>
    </row>
    <row r="709" customFormat="false" ht="15.75" hidden="false" customHeight="true" outlineLevel="0" collapsed="false">
      <c r="P709" s="1"/>
      <c r="Q709" s="1"/>
      <c r="R709" s="1"/>
      <c r="S709" s="1"/>
      <c r="T709" s="1"/>
      <c r="U709" s="1"/>
      <c r="V709" s="1"/>
      <c r="W709" s="1"/>
      <c r="X709" s="1"/>
      <c r="Y709" s="1"/>
      <c r="Z709" s="1"/>
      <c r="AA709" s="1"/>
    </row>
    <row r="710" customFormat="false" ht="15.75" hidden="false" customHeight="true" outlineLevel="0" collapsed="false">
      <c r="P710" s="1"/>
      <c r="Q710" s="1"/>
      <c r="R710" s="1"/>
      <c r="S710" s="1"/>
      <c r="T710" s="1"/>
      <c r="U710" s="1"/>
      <c r="V710" s="1"/>
      <c r="W710" s="1"/>
      <c r="X710" s="1"/>
      <c r="Y710" s="1"/>
      <c r="Z710" s="1"/>
      <c r="AA710" s="1"/>
    </row>
    <row r="711" customFormat="false" ht="15.75" hidden="false" customHeight="true" outlineLevel="0" collapsed="false">
      <c r="P711" s="1"/>
      <c r="Q711" s="1"/>
      <c r="R711" s="1"/>
      <c r="S711" s="1"/>
      <c r="T711" s="1"/>
      <c r="U711" s="1"/>
      <c r="V711" s="1"/>
      <c r="W711" s="1"/>
      <c r="X711" s="1"/>
      <c r="Y711" s="1"/>
      <c r="Z711" s="1"/>
      <c r="AA711" s="1"/>
    </row>
    <row r="712" customFormat="false" ht="15.75" hidden="false" customHeight="true" outlineLevel="0" collapsed="false">
      <c r="P712" s="1"/>
      <c r="Q712" s="1"/>
      <c r="R712" s="1"/>
      <c r="S712" s="1"/>
      <c r="T712" s="1"/>
      <c r="U712" s="1"/>
      <c r="V712" s="1"/>
      <c r="W712" s="1"/>
      <c r="X712" s="1"/>
      <c r="Y712" s="1"/>
      <c r="Z712" s="1"/>
      <c r="AA712" s="1"/>
    </row>
    <row r="713" customFormat="false" ht="15.75" hidden="false" customHeight="true" outlineLevel="0" collapsed="false">
      <c r="P713" s="1"/>
      <c r="Q713" s="1"/>
      <c r="R713" s="1"/>
      <c r="S713" s="1"/>
      <c r="T713" s="1"/>
      <c r="U713" s="1"/>
      <c r="V713" s="1"/>
      <c r="W713" s="1"/>
      <c r="X713" s="1"/>
      <c r="Y713" s="1"/>
      <c r="Z713" s="1"/>
      <c r="AA713" s="1"/>
    </row>
    <row r="714" customFormat="false" ht="15.75" hidden="false" customHeight="true" outlineLevel="0" collapsed="false">
      <c r="P714" s="1"/>
      <c r="Q714" s="1"/>
      <c r="R714" s="1"/>
      <c r="S714" s="1"/>
      <c r="T714" s="1"/>
      <c r="U714" s="1"/>
      <c r="V714" s="1"/>
      <c r="W714" s="1"/>
      <c r="X714" s="1"/>
      <c r="Y714" s="1"/>
      <c r="Z714" s="1"/>
      <c r="AA714" s="1"/>
    </row>
    <row r="715" customFormat="false" ht="15.75" hidden="false" customHeight="true" outlineLevel="0" collapsed="false">
      <c r="P715" s="1"/>
      <c r="Q715" s="1"/>
      <c r="R715" s="1"/>
      <c r="S715" s="1"/>
      <c r="T715" s="1"/>
      <c r="U715" s="1"/>
      <c r="V715" s="1"/>
      <c r="W715" s="1"/>
      <c r="X715" s="1"/>
      <c r="Y715" s="1"/>
      <c r="Z715" s="1"/>
      <c r="AA715" s="1"/>
    </row>
    <row r="716" customFormat="false" ht="15.75" hidden="false" customHeight="true" outlineLevel="0" collapsed="false">
      <c r="P716" s="1"/>
      <c r="Q716" s="1"/>
      <c r="R716" s="1"/>
      <c r="S716" s="1"/>
      <c r="T716" s="1"/>
      <c r="U716" s="1"/>
      <c r="V716" s="1"/>
      <c r="W716" s="1"/>
      <c r="X716" s="1"/>
      <c r="Y716" s="1"/>
      <c r="Z716" s="1"/>
      <c r="AA716" s="1"/>
    </row>
    <row r="717" customFormat="false" ht="15.75" hidden="false" customHeight="true" outlineLevel="0" collapsed="false">
      <c r="P717" s="1"/>
      <c r="Q717" s="1"/>
      <c r="R717" s="1"/>
      <c r="S717" s="1"/>
      <c r="T717" s="1"/>
      <c r="U717" s="1"/>
      <c r="V717" s="1"/>
      <c r="W717" s="1"/>
      <c r="X717" s="1"/>
      <c r="Y717" s="1"/>
      <c r="Z717" s="1"/>
      <c r="AA717" s="1"/>
    </row>
    <row r="718" customFormat="false" ht="15.75" hidden="false" customHeight="true" outlineLevel="0" collapsed="false">
      <c r="P718" s="1"/>
      <c r="Q718" s="1"/>
      <c r="R718" s="1"/>
      <c r="S718" s="1"/>
      <c r="T718" s="1"/>
      <c r="U718" s="1"/>
      <c r="V718" s="1"/>
      <c r="W718" s="1"/>
      <c r="X718" s="1"/>
      <c r="Y718" s="1"/>
      <c r="Z718" s="1"/>
      <c r="AA718" s="1"/>
    </row>
    <row r="719" customFormat="false" ht="15.75" hidden="false" customHeight="true" outlineLevel="0" collapsed="false">
      <c r="P719" s="1"/>
      <c r="Q719" s="1"/>
      <c r="R719" s="1"/>
      <c r="S719" s="1"/>
      <c r="T719" s="1"/>
      <c r="U719" s="1"/>
      <c r="V719" s="1"/>
      <c r="W719" s="1"/>
      <c r="X719" s="1"/>
      <c r="Y719" s="1"/>
      <c r="Z719" s="1"/>
      <c r="AA719" s="1"/>
    </row>
    <row r="720" customFormat="false" ht="15.75" hidden="false" customHeight="true" outlineLevel="0" collapsed="false">
      <c r="P720" s="1"/>
      <c r="Q720" s="1"/>
      <c r="R720" s="1"/>
      <c r="S720" s="1"/>
      <c r="T720" s="1"/>
      <c r="U720" s="1"/>
      <c r="V720" s="1"/>
      <c r="W720" s="1"/>
      <c r="X720" s="1"/>
      <c r="Y720" s="1"/>
      <c r="Z720" s="1"/>
      <c r="AA720" s="1"/>
    </row>
    <row r="721" customFormat="false" ht="15.75" hidden="false" customHeight="true" outlineLevel="0" collapsed="false">
      <c r="P721" s="1"/>
      <c r="Q721" s="1"/>
      <c r="R721" s="1"/>
      <c r="S721" s="1"/>
      <c r="T721" s="1"/>
      <c r="U721" s="1"/>
      <c r="V721" s="1"/>
      <c r="W721" s="1"/>
      <c r="X721" s="1"/>
      <c r="Y721" s="1"/>
      <c r="Z721" s="1"/>
      <c r="AA721" s="1"/>
    </row>
    <row r="722" customFormat="false" ht="15.75" hidden="false" customHeight="true" outlineLevel="0" collapsed="false">
      <c r="P722" s="1"/>
      <c r="Q722" s="1"/>
      <c r="R722" s="1"/>
      <c r="S722" s="1"/>
      <c r="T722" s="1"/>
      <c r="U722" s="1"/>
      <c r="V722" s="1"/>
      <c r="W722" s="1"/>
      <c r="X722" s="1"/>
      <c r="Y722" s="1"/>
      <c r="Z722" s="1"/>
      <c r="AA722" s="1"/>
    </row>
    <row r="723" customFormat="false" ht="15.75" hidden="false" customHeight="true" outlineLevel="0" collapsed="false">
      <c r="P723" s="1"/>
      <c r="Q723" s="1"/>
      <c r="R723" s="1"/>
      <c r="S723" s="1"/>
      <c r="T723" s="1"/>
      <c r="U723" s="1"/>
      <c r="V723" s="1"/>
      <c r="W723" s="1"/>
      <c r="X723" s="1"/>
      <c r="Y723" s="1"/>
      <c r="Z723" s="1"/>
      <c r="AA723" s="1"/>
    </row>
    <row r="724" customFormat="false" ht="15.75" hidden="false" customHeight="true" outlineLevel="0" collapsed="false">
      <c r="P724" s="1"/>
      <c r="Q724" s="1"/>
      <c r="R724" s="1"/>
      <c r="S724" s="1"/>
      <c r="T724" s="1"/>
      <c r="U724" s="1"/>
      <c r="V724" s="1"/>
      <c r="W724" s="1"/>
      <c r="X724" s="1"/>
      <c r="Y724" s="1"/>
      <c r="Z724" s="1"/>
      <c r="AA724" s="1"/>
    </row>
    <row r="725" customFormat="false" ht="15.75" hidden="false" customHeight="true" outlineLevel="0" collapsed="false">
      <c r="P725" s="1"/>
      <c r="Q725" s="1"/>
      <c r="R725" s="1"/>
      <c r="S725" s="1"/>
      <c r="T725" s="1"/>
      <c r="U725" s="1"/>
      <c r="V725" s="1"/>
      <c r="W725" s="1"/>
      <c r="X725" s="1"/>
      <c r="Y725" s="1"/>
      <c r="Z725" s="1"/>
      <c r="AA725" s="1"/>
    </row>
    <row r="726" customFormat="false" ht="15.75" hidden="false" customHeight="true" outlineLevel="0" collapsed="false">
      <c r="P726" s="1"/>
      <c r="Q726" s="1"/>
      <c r="R726" s="1"/>
      <c r="S726" s="1"/>
      <c r="T726" s="1"/>
      <c r="U726" s="1"/>
      <c r="V726" s="1"/>
      <c r="W726" s="1"/>
      <c r="X726" s="1"/>
      <c r="Y726" s="1"/>
      <c r="Z726" s="1"/>
      <c r="AA726" s="1"/>
    </row>
    <row r="727" customFormat="false" ht="15.75" hidden="false" customHeight="true" outlineLevel="0" collapsed="false">
      <c r="P727" s="1"/>
      <c r="Q727" s="1"/>
      <c r="R727" s="1"/>
      <c r="S727" s="1"/>
      <c r="T727" s="1"/>
      <c r="U727" s="1"/>
      <c r="V727" s="1"/>
      <c r="W727" s="1"/>
      <c r="X727" s="1"/>
      <c r="Y727" s="1"/>
      <c r="Z727" s="1"/>
      <c r="AA727" s="1"/>
    </row>
    <row r="728" customFormat="false" ht="15.75" hidden="false" customHeight="true" outlineLevel="0" collapsed="false">
      <c r="P728" s="1"/>
      <c r="Q728" s="1"/>
      <c r="R728" s="1"/>
      <c r="S728" s="1"/>
      <c r="T728" s="1"/>
      <c r="U728" s="1"/>
      <c r="V728" s="1"/>
      <c r="W728" s="1"/>
      <c r="X728" s="1"/>
      <c r="Y728" s="1"/>
      <c r="Z728" s="1"/>
      <c r="AA728" s="1"/>
    </row>
    <row r="729" customFormat="false" ht="15.75" hidden="false" customHeight="true" outlineLevel="0" collapsed="false">
      <c r="P729" s="1"/>
      <c r="Q729" s="1"/>
      <c r="R729" s="1"/>
      <c r="S729" s="1"/>
      <c r="T729" s="1"/>
      <c r="U729" s="1"/>
      <c r="V729" s="1"/>
      <c r="W729" s="1"/>
      <c r="X729" s="1"/>
      <c r="Y729" s="1"/>
      <c r="Z729" s="1"/>
      <c r="AA729" s="1"/>
    </row>
    <row r="730" customFormat="false" ht="15.75" hidden="false" customHeight="true" outlineLevel="0" collapsed="false">
      <c r="P730" s="1"/>
      <c r="Q730" s="1"/>
      <c r="R730" s="1"/>
      <c r="S730" s="1"/>
      <c r="T730" s="1"/>
      <c r="U730" s="1"/>
      <c r="V730" s="1"/>
      <c r="W730" s="1"/>
      <c r="X730" s="1"/>
      <c r="Y730" s="1"/>
      <c r="Z730" s="1"/>
      <c r="AA730" s="1"/>
    </row>
    <row r="731" customFormat="false" ht="15.75" hidden="false" customHeight="true" outlineLevel="0" collapsed="false">
      <c r="P731" s="1"/>
      <c r="Q731" s="1"/>
      <c r="R731" s="1"/>
      <c r="S731" s="1"/>
      <c r="T731" s="1"/>
      <c r="U731" s="1"/>
      <c r="V731" s="1"/>
      <c r="W731" s="1"/>
      <c r="X731" s="1"/>
      <c r="Y731" s="1"/>
      <c r="Z731" s="1"/>
      <c r="AA731" s="1"/>
    </row>
    <row r="732" customFormat="false" ht="15.75" hidden="false" customHeight="true" outlineLevel="0" collapsed="false">
      <c r="P732" s="1"/>
      <c r="Q732" s="1"/>
      <c r="R732" s="1"/>
      <c r="S732" s="1"/>
      <c r="T732" s="1"/>
      <c r="U732" s="1"/>
      <c r="V732" s="1"/>
      <c r="W732" s="1"/>
      <c r="X732" s="1"/>
      <c r="Y732" s="1"/>
      <c r="Z732" s="1"/>
      <c r="AA732" s="1"/>
    </row>
    <row r="733" customFormat="false" ht="15.75" hidden="false" customHeight="true" outlineLevel="0" collapsed="false">
      <c r="P733" s="1"/>
      <c r="Q733" s="1"/>
      <c r="R733" s="1"/>
      <c r="S733" s="1"/>
      <c r="T733" s="1"/>
      <c r="U733" s="1"/>
      <c r="V733" s="1"/>
      <c r="W733" s="1"/>
      <c r="X733" s="1"/>
      <c r="Y733" s="1"/>
      <c r="Z733" s="1"/>
      <c r="AA733" s="1"/>
    </row>
    <row r="734" customFormat="false" ht="15.75" hidden="false" customHeight="true" outlineLevel="0" collapsed="false">
      <c r="P734" s="1"/>
      <c r="Q734" s="1"/>
      <c r="R734" s="1"/>
      <c r="S734" s="1"/>
      <c r="T734" s="1"/>
      <c r="U734" s="1"/>
      <c r="V734" s="1"/>
      <c r="W734" s="1"/>
      <c r="X734" s="1"/>
      <c r="Y734" s="1"/>
      <c r="Z734" s="1"/>
      <c r="AA734" s="1"/>
    </row>
    <row r="735" customFormat="false" ht="15.75" hidden="false" customHeight="true" outlineLevel="0" collapsed="false">
      <c r="P735" s="1"/>
      <c r="Q735" s="1"/>
      <c r="R735" s="1"/>
      <c r="S735" s="1"/>
      <c r="T735" s="1"/>
      <c r="U735" s="1"/>
      <c r="V735" s="1"/>
      <c r="W735" s="1"/>
      <c r="X735" s="1"/>
      <c r="Y735" s="1"/>
      <c r="Z735" s="1"/>
      <c r="AA735" s="1"/>
    </row>
    <row r="736" customFormat="false" ht="15.75" hidden="false" customHeight="true" outlineLevel="0" collapsed="false">
      <c r="P736" s="1"/>
      <c r="Q736" s="1"/>
      <c r="R736" s="1"/>
      <c r="S736" s="1"/>
      <c r="T736" s="1"/>
      <c r="U736" s="1"/>
      <c r="V736" s="1"/>
      <c r="W736" s="1"/>
      <c r="X736" s="1"/>
      <c r="Y736" s="1"/>
      <c r="Z736" s="1"/>
      <c r="AA736" s="1"/>
    </row>
    <row r="737" customFormat="false" ht="15.75" hidden="false" customHeight="true" outlineLevel="0" collapsed="false">
      <c r="P737" s="1"/>
      <c r="Q737" s="1"/>
      <c r="R737" s="1"/>
      <c r="S737" s="1"/>
      <c r="T737" s="1"/>
      <c r="U737" s="1"/>
      <c r="V737" s="1"/>
      <c r="W737" s="1"/>
      <c r="X737" s="1"/>
      <c r="Y737" s="1"/>
      <c r="Z737" s="1"/>
      <c r="AA737" s="1"/>
    </row>
    <row r="738" customFormat="false" ht="15.75" hidden="false" customHeight="true" outlineLevel="0" collapsed="false">
      <c r="P738" s="1"/>
      <c r="Q738" s="1"/>
      <c r="R738" s="1"/>
      <c r="S738" s="1"/>
      <c r="T738" s="1"/>
      <c r="U738" s="1"/>
      <c r="V738" s="1"/>
      <c r="W738" s="1"/>
      <c r="X738" s="1"/>
      <c r="Y738" s="1"/>
      <c r="Z738" s="1"/>
      <c r="AA738" s="1"/>
    </row>
    <row r="739" customFormat="false" ht="15.75" hidden="false" customHeight="true" outlineLevel="0" collapsed="false">
      <c r="P739" s="1"/>
      <c r="Q739" s="1"/>
      <c r="R739" s="1"/>
      <c r="S739" s="1"/>
      <c r="T739" s="1"/>
      <c r="U739" s="1"/>
      <c r="V739" s="1"/>
      <c r="W739" s="1"/>
      <c r="X739" s="1"/>
      <c r="Y739" s="1"/>
      <c r="Z739" s="1"/>
      <c r="AA739" s="1"/>
    </row>
    <row r="740" customFormat="false" ht="15.75" hidden="false" customHeight="true" outlineLevel="0" collapsed="false">
      <c r="P740" s="1"/>
      <c r="Q740" s="1"/>
      <c r="R740" s="1"/>
      <c r="S740" s="1"/>
      <c r="T740" s="1"/>
      <c r="U740" s="1"/>
      <c r="V740" s="1"/>
      <c r="W740" s="1"/>
      <c r="X740" s="1"/>
      <c r="Y740" s="1"/>
      <c r="Z740" s="1"/>
      <c r="AA740" s="1"/>
    </row>
    <row r="741" customFormat="false" ht="15.75" hidden="false" customHeight="true" outlineLevel="0" collapsed="false">
      <c r="P741" s="1"/>
      <c r="Q741" s="1"/>
      <c r="R741" s="1"/>
      <c r="S741" s="1"/>
      <c r="T741" s="1"/>
      <c r="U741" s="1"/>
      <c r="V741" s="1"/>
      <c r="W741" s="1"/>
      <c r="X741" s="1"/>
      <c r="Y741" s="1"/>
      <c r="Z741" s="1"/>
      <c r="AA741" s="1"/>
    </row>
    <row r="742" customFormat="false" ht="15.75" hidden="false" customHeight="true" outlineLevel="0" collapsed="false">
      <c r="P742" s="1"/>
      <c r="Q742" s="1"/>
      <c r="R742" s="1"/>
      <c r="S742" s="1"/>
      <c r="T742" s="1"/>
      <c r="U742" s="1"/>
      <c r="V742" s="1"/>
      <c r="W742" s="1"/>
      <c r="X742" s="1"/>
      <c r="Y742" s="1"/>
      <c r="Z742" s="1"/>
      <c r="AA742" s="1"/>
    </row>
    <row r="743" customFormat="false" ht="15.75" hidden="false" customHeight="true" outlineLevel="0" collapsed="false">
      <c r="P743" s="1"/>
      <c r="Q743" s="1"/>
      <c r="R743" s="1"/>
      <c r="S743" s="1"/>
      <c r="T743" s="1"/>
      <c r="U743" s="1"/>
      <c r="V743" s="1"/>
      <c r="W743" s="1"/>
      <c r="X743" s="1"/>
      <c r="Y743" s="1"/>
      <c r="Z743" s="1"/>
      <c r="AA743" s="1"/>
    </row>
    <row r="744" customFormat="false" ht="15.75" hidden="false" customHeight="true" outlineLevel="0" collapsed="false">
      <c r="P744" s="1"/>
      <c r="Q744" s="1"/>
      <c r="R744" s="1"/>
      <c r="S744" s="1"/>
      <c r="T744" s="1"/>
      <c r="U744" s="1"/>
      <c r="V744" s="1"/>
      <c r="W744" s="1"/>
      <c r="X744" s="1"/>
      <c r="Y744" s="1"/>
      <c r="Z744" s="1"/>
      <c r="AA744" s="1"/>
    </row>
    <row r="745" customFormat="false" ht="15.75" hidden="false" customHeight="true" outlineLevel="0" collapsed="false">
      <c r="P745" s="1"/>
      <c r="Q745" s="1"/>
      <c r="R745" s="1"/>
      <c r="S745" s="1"/>
      <c r="T745" s="1"/>
      <c r="U745" s="1"/>
      <c r="V745" s="1"/>
      <c r="W745" s="1"/>
      <c r="X745" s="1"/>
      <c r="Y745" s="1"/>
      <c r="Z745" s="1"/>
      <c r="AA745" s="1"/>
    </row>
    <row r="746" customFormat="false" ht="15.75" hidden="false" customHeight="true" outlineLevel="0" collapsed="false">
      <c r="P746" s="1"/>
      <c r="Q746" s="1"/>
      <c r="R746" s="1"/>
      <c r="S746" s="1"/>
      <c r="T746" s="1"/>
      <c r="U746" s="1"/>
      <c r="V746" s="1"/>
      <c r="W746" s="1"/>
      <c r="X746" s="1"/>
      <c r="Y746" s="1"/>
      <c r="Z746" s="1"/>
      <c r="AA746" s="1"/>
    </row>
    <row r="747" customFormat="false" ht="15.75" hidden="false" customHeight="true" outlineLevel="0" collapsed="false">
      <c r="P747" s="1"/>
      <c r="Q747" s="1"/>
      <c r="R747" s="1"/>
      <c r="S747" s="1"/>
      <c r="T747" s="1"/>
      <c r="U747" s="1"/>
      <c r="V747" s="1"/>
      <c r="W747" s="1"/>
      <c r="X747" s="1"/>
      <c r="Y747" s="1"/>
      <c r="Z747" s="1"/>
      <c r="AA747" s="1"/>
    </row>
    <row r="748" customFormat="false" ht="15.75" hidden="false" customHeight="true" outlineLevel="0" collapsed="false">
      <c r="P748" s="1"/>
      <c r="Q748" s="1"/>
      <c r="R748" s="1"/>
      <c r="S748" s="1"/>
      <c r="T748" s="1"/>
      <c r="U748" s="1"/>
      <c r="V748" s="1"/>
      <c r="W748" s="1"/>
      <c r="X748" s="1"/>
      <c r="Y748" s="1"/>
      <c r="Z748" s="1"/>
      <c r="AA748" s="1"/>
    </row>
    <row r="749" customFormat="false" ht="15.75" hidden="false" customHeight="true" outlineLevel="0" collapsed="false">
      <c r="P749" s="1"/>
      <c r="Q749" s="1"/>
      <c r="R749" s="1"/>
      <c r="S749" s="1"/>
      <c r="T749" s="1"/>
      <c r="U749" s="1"/>
      <c r="V749" s="1"/>
      <c r="W749" s="1"/>
      <c r="X749" s="1"/>
      <c r="Y749" s="1"/>
      <c r="Z749" s="1"/>
      <c r="AA749" s="1"/>
    </row>
    <row r="750" customFormat="false" ht="15.75" hidden="false" customHeight="true" outlineLevel="0" collapsed="false">
      <c r="P750" s="1"/>
      <c r="Q750" s="1"/>
      <c r="R750" s="1"/>
      <c r="S750" s="1"/>
      <c r="T750" s="1"/>
      <c r="U750" s="1"/>
      <c r="V750" s="1"/>
      <c r="W750" s="1"/>
      <c r="X750" s="1"/>
      <c r="Y750" s="1"/>
      <c r="Z750" s="1"/>
      <c r="AA750" s="1"/>
    </row>
    <row r="751" customFormat="false" ht="15.75" hidden="false" customHeight="true" outlineLevel="0" collapsed="false">
      <c r="P751" s="1"/>
      <c r="Q751" s="1"/>
      <c r="R751" s="1"/>
      <c r="S751" s="1"/>
      <c r="T751" s="1"/>
      <c r="U751" s="1"/>
      <c r="V751" s="1"/>
      <c r="W751" s="1"/>
      <c r="X751" s="1"/>
      <c r="Y751" s="1"/>
      <c r="Z751" s="1"/>
      <c r="AA751" s="1"/>
    </row>
    <row r="752" customFormat="false" ht="15.75" hidden="false" customHeight="true" outlineLevel="0" collapsed="false">
      <c r="P752" s="1"/>
      <c r="Q752" s="1"/>
      <c r="R752" s="1"/>
      <c r="S752" s="1"/>
      <c r="T752" s="1"/>
      <c r="U752" s="1"/>
      <c r="V752" s="1"/>
      <c r="W752" s="1"/>
      <c r="X752" s="1"/>
      <c r="Y752" s="1"/>
      <c r="Z752" s="1"/>
      <c r="AA752" s="1"/>
    </row>
    <row r="753" customFormat="false" ht="15.75" hidden="false" customHeight="true" outlineLevel="0" collapsed="false">
      <c r="P753" s="1"/>
      <c r="Q753" s="1"/>
      <c r="R753" s="1"/>
      <c r="S753" s="1"/>
      <c r="T753" s="1"/>
      <c r="U753" s="1"/>
      <c r="V753" s="1"/>
      <c r="W753" s="1"/>
      <c r="X753" s="1"/>
      <c r="Y753" s="1"/>
      <c r="Z753" s="1"/>
      <c r="AA753" s="1"/>
    </row>
    <row r="754" customFormat="false" ht="15.75" hidden="false" customHeight="true" outlineLevel="0" collapsed="false">
      <c r="P754" s="1"/>
      <c r="Q754" s="1"/>
      <c r="R754" s="1"/>
      <c r="S754" s="1"/>
      <c r="T754" s="1"/>
      <c r="U754" s="1"/>
      <c r="V754" s="1"/>
      <c r="W754" s="1"/>
      <c r="X754" s="1"/>
      <c r="Y754" s="1"/>
      <c r="Z754" s="1"/>
      <c r="AA754" s="1"/>
    </row>
    <row r="755" customFormat="false" ht="15.75" hidden="false" customHeight="true" outlineLevel="0" collapsed="false">
      <c r="P755" s="1"/>
      <c r="Q755" s="1"/>
      <c r="R755" s="1"/>
      <c r="S755" s="1"/>
      <c r="T755" s="1"/>
      <c r="U755" s="1"/>
      <c r="V755" s="1"/>
      <c r="W755" s="1"/>
      <c r="X755" s="1"/>
      <c r="Y755" s="1"/>
      <c r="Z755" s="1"/>
      <c r="AA755" s="1"/>
    </row>
    <row r="756" customFormat="false" ht="15.75" hidden="false" customHeight="true" outlineLevel="0" collapsed="false">
      <c r="P756" s="1"/>
      <c r="Q756" s="1"/>
      <c r="R756" s="1"/>
      <c r="S756" s="1"/>
      <c r="T756" s="1"/>
      <c r="U756" s="1"/>
      <c r="V756" s="1"/>
      <c r="W756" s="1"/>
      <c r="X756" s="1"/>
      <c r="Y756" s="1"/>
      <c r="Z756" s="1"/>
      <c r="AA756" s="1"/>
    </row>
    <row r="757" customFormat="false" ht="15.75" hidden="false" customHeight="true" outlineLevel="0" collapsed="false">
      <c r="P757" s="1"/>
      <c r="Q757" s="1"/>
      <c r="R757" s="1"/>
      <c r="S757" s="1"/>
      <c r="T757" s="1"/>
      <c r="U757" s="1"/>
      <c r="V757" s="1"/>
      <c r="W757" s="1"/>
      <c r="X757" s="1"/>
      <c r="Y757" s="1"/>
      <c r="Z757" s="1"/>
      <c r="AA757" s="1"/>
    </row>
    <row r="758" customFormat="false" ht="15.75" hidden="false" customHeight="true" outlineLevel="0" collapsed="false">
      <c r="P758" s="1"/>
      <c r="Q758" s="1"/>
      <c r="R758" s="1"/>
      <c r="S758" s="1"/>
      <c r="T758" s="1"/>
      <c r="U758" s="1"/>
      <c r="V758" s="1"/>
      <c r="W758" s="1"/>
      <c r="X758" s="1"/>
      <c r="Y758" s="1"/>
      <c r="Z758" s="1"/>
      <c r="AA758" s="1"/>
    </row>
    <row r="759" customFormat="false" ht="15.75" hidden="false" customHeight="true" outlineLevel="0" collapsed="false">
      <c r="P759" s="1"/>
      <c r="Q759" s="1"/>
      <c r="R759" s="1"/>
      <c r="S759" s="1"/>
      <c r="T759" s="1"/>
      <c r="U759" s="1"/>
      <c r="V759" s="1"/>
      <c r="W759" s="1"/>
      <c r="X759" s="1"/>
      <c r="Y759" s="1"/>
      <c r="Z759" s="1"/>
      <c r="AA759" s="1"/>
    </row>
    <row r="760" customFormat="false" ht="15.75" hidden="false" customHeight="true" outlineLevel="0" collapsed="false">
      <c r="P760" s="1"/>
      <c r="Q760" s="1"/>
      <c r="R760" s="1"/>
      <c r="S760" s="1"/>
      <c r="T760" s="1"/>
      <c r="U760" s="1"/>
      <c r="V760" s="1"/>
      <c r="W760" s="1"/>
      <c r="X760" s="1"/>
      <c r="Y760" s="1"/>
      <c r="Z760" s="1"/>
      <c r="AA760" s="1"/>
    </row>
    <row r="761" customFormat="false" ht="15.75" hidden="false" customHeight="true" outlineLevel="0" collapsed="false">
      <c r="P761" s="1"/>
      <c r="Q761" s="1"/>
      <c r="R761" s="1"/>
      <c r="S761" s="1"/>
      <c r="T761" s="1"/>
      <c r="U761" s="1"/>
      <c r="V761" s="1"/>
      <c r="W761" s="1"/>
      <c r="X761" s="1"/>
      <c r="Y761" s="1"/>
      <c r="Z761" s="1"/>
      <c r="AA761" s="1"/>
    </row>
    <row r="762" customFormat="false" ht="15.75" hidden="false" customHeight="true" outlineLevel="0" collapsed="false">
      <c r="P762" s="1"/>
      <c r="Q762" s="1"/>
      <c r="R762" s="1"/>
      <c r="S762" s="1"/>
      <c r="T762" s="1"/>
      <c r="U762" s="1"/>
      <c r="V762" s="1"/>
      <c r="W762" s="1"/>
      <c r="X762" s="1"/>
      <c r="Y762" s="1"/>
      <c r="Z762" s="1"/>
      <c r="AA762" s="1"/>
    </row>
    <row r="763" customFormat="false" ht="15.75" hidden="false" customHeight="true" outlineLevel="0" collapsed="false">
      <c r="P763" s="1"/>
      <c r="Q763" s="1"/>
      <c r="R763" s="1"/>
      <c r="S763" s="1"/>
      <c r="T763" s="1"/>
      <c r="U763" s="1"/>
      <c r="V763" s="1"/>
      <c r="W763" s="1"/>
      <c r="X763" s="1"/>
      <c r="Y763" s="1"/>
      <c r="Z763" s="1"/>
      <c r="AA763" s="1"/>
    </row>
    <row r="764" customFormat="false" ht="15.75" hidden="false" customHeight="true" outlineLevel="0" collapsed="false">
      <c r="P764" s="1"/>
      <c r="Q764" s="1"/>
      <c r="R764" s="1"/>
      <c r="S764" s="1"/>
      <c r="T764" s="1"/>
      <c r="U764" s="1"/>
      <c r="V764" s="1"/>
      <c r="W764" s="1"/>
      <c r="X764" s="1"/>
      <c r="Y764" s="1"/>
      <c r="Z764" s="1"/>
      <c r="AA764" s="1"/>
    </row>
    <row r="765" customFormat="false" ht="15.75" hidden="false" customHeight="true" outlineLevel="0" collapsed="false">
      <c r="P765" s="1"/>
      <c r="Q765" s="1"/>
      <c r="R765" s="1"/>
      <c r="S765" s="1"/>
      <c r="T765" s="1"/>
      <c r="U765" s="1"/>
      <c r="V765" s="1"/>
      <c r="W765" s="1"/>
      <c r="X765" s="1"/>
      <c r="Y765" s="1"/>
      <c r="Z765" s="1"/>
      <c r="AA765" s="1"/>
    </row>
    <row r="766" customFormat="false" ht="15.75" hidden="false" customHeight="true" outlineLevel="0" collapsed="false">
      <c r="P766" s="1"/>
      <c r="Q766" s="1"/>
      <c r="R766" s="1"/>
      <c r="S766" s="1"/>
      <c r="T766" s="1"/>
      <c r="U766" s="1"/>
      <c r="V766" s="1"/>
      <c r="W766" s="1"/>
      <c r="X766" s="1"/>
      <c r="Y766" s="1"/>
      <c r="Z766" s="1"/>
      <c r="AA766" s="1"/>
    </row>
    <row r="767" customFormat="false" ht="15.75" hidden="false" customHeight="true" outlineLevel="0" collapsed="false">
      <c r="P767" s="1"/>
      <c r="Q767" s="1"/>
      <c r="R767" s="1"/>
      <c r="S767" s="1"/>
      <c r="T767" s="1"/>
      <c r="U767" s="1"/>
      <c r="V767" s="1"/>
      <c r="W767" s="1"/>
      <c r="X767" s="1"/>
      <c r="Y767" s="1"/>
      <c r="Z767" s="1"/>
      <c r="AA767" s="1"/>
    </row>
    <row r="768" customFormat="false" ht="15.75" hidden="false" customHeight="true" outlineLevel="0" collapsed="false">
      <c r="P768" s="1"/>
      <c r="Q768" s="1"/>
      <c r="R768" s="1"/>
      <c r="S768" s="1"/>
      <c r="T768" s="1"/>
      <c r="U768" s="1"/>
      <c r="V768" s="1"/>
      <c r="W768" s="1"/>
      <c r="X768" s="1"/>
      <c r="Y768" s="1"/>
      <c r="Z768" s="1"/>
      <c r="AA768" s="1"/>
    </row>
    <row r="769" customFormat="false" ht="15.75" hidden="false" customHeight="true" outlineLevel="0" collapsed="false">
      <c r="P769" s="1"/>
      <c r="Q769" s="1"/>
      <c r="R769" s="1"/>
      <c r="S769" s="1"/>
      <c r="T769" s="1"/>
      <c r="U769" s="1"/>
      <c r="V769" s="1"/>
      <c r="W769" s="1"/>
      <c r="X769" s="1"/>
      <c r="Y769" s="1"/>
      <c r="Z769" s="1"/>
      <c r="AA769" s="1"/>
    </row>
    <row r="770" customFormat="false" ht="15.75" hidden="false" customHeight="true" outlineLevel="0" collapsed="false">
      <c r="P770" s="1"/>
      <c r="Q770" s="1"/>
      <c r="R770" s="1"/>
      <c r="S770" s="1"/>
      <c r="T770" s="1"/>
      <c r="U770" s="1"/>
      <c r="V770" s="1"/>
      <c r="W770" s="1"/>
      <c r="X770" s="1"/>
      <c r="Y770" s="1"/>
      <c r="Z770" s="1"/>
      <c r="AA770" s="1"/>
    </row>
    <row r="771" customFormat="false" ht="15.75" hidden="false" customHeight="true" outlineLevel="0" collapsed="false">
      <c r="P771" s="1"/>
      <c r="Q771" s="1"/>
      <c r="R771" s="1"/>
      <c r="S771" s="1"/>
      <c r="T771" s="1"/>
      <c r="U771" s="1"/>
      <c r="V771" s="1"/>
      <c r="W771" s="1"/>
      <c r="X771" s="1"/>
      <c r="Y771" s="1"/>
      <c r="Z771" s="1"/>
      <c r="AA771" s="1"/>
    </row>
    <row r="772" customFormat="false" ht="15.75" hidden="false" customHeight="true" outlineLevel="0" collapsed="false">
      <c r="P772" s="1"/>
      <c r="Q772" s="1"/>
      <c r="R772" s="1"/>
      <c r="S772" s="1"/>
      <c r="T772" s="1"/>
      <c r="U772" s="1"/>
      <c r="V772" s="1"/>
      <c r="W772" s="1"/>
      <c r="X772" s="1"/>
      <c r="Y772" s="1"/>
      <c r="Z772" s="1"/>
      <c r="AA772" s="1"/>
    </row>
    <row r="773" customFormat="false" ht="15.75" hidden="false" customHeight="true" outlineLevel="0" collapsed="false">
      <c r="P773" s="1"/>
      <c r="Q773" s="1"/>
      <c r="R773" s="1"/>
      <c r="S773" s="1"/>
      <c r="T773" s="1"/>
      <c r="U773" s="1"/>
      <c r="V773" s="1"/>
      <c r="W773" s="1"/>
      <c r="X773" s="1"/>
      <c r="Y773" s="1"/>
      <c r="Z773" s="1"/>
      <c r="AA773" s="1"/>
    </row>
    <row r="774" customFormat="false" ht="15.75" hidden="false" customHeight="true" outlineLevel="0" collapsed="false">
      <c r="P774" s="1"/>
      <c r="Q774" s="1"/>
      <c r="R774" s="1"/>
      <c r="S774" s="1"/>
      <c r="T774" s="1"/>
      <c r="U774" s="1"/>
      <c r="V774" s="1"/>
      <c r="W774" s="1"/>
      <c r="X774" s="1"/>
      <c r="Y774" s="1"/>
      <c r="Z774" s="1"/>
      <c r="AA774" s="1"/>
    </row>
    <row r="775" customFormat="false" ht="15.75" hidden="false" customHeight="true" outlineLevel="0" collapsed="false">
      <c r="P775" s="1"/>
      <c r="Q775" s="1"/>
      <c r="R775" s="1"/>
      <c r="S775" s="1"/>
      <c r="T775" s="1"/>
      <c r="U775" s="1"/>
      <c r="V775" s="1"/>
      <c r="W775" s="1"/>
      <c r="X775" s="1"/>
      <c r="Y775" s="1"/>
      <c r="Z775" s="1"/>
      <c r="AA775" s="1"/>
    </row>
    <row r="776" customFormat="false" ht="15.75" hidden="false" customHeight="true" outlineLevel="0" collapsed="false">
      <c r="P776" s="1"/>
      <c r="Q776" s="1"/>
      <c r="R776" s="1"/>
      <c r="S776" s="1"/>
      <c r="T776" s="1"/>
      <c r="U776" s="1"/>
      <c r="V776" s="1"/>
      <c r="W776" s="1"/>
      <c r="X776" s="1"/>
      <c r="Y776" s="1"/>
      <c r="Z776" s="1"/>
      <c r="AA776" s="1"/>
    </row>
    <row r="777" customFormat="false" ht="15.75" hidden="false" customHeight="true" outlineLevel="0" collapsed="false">
      <c r="P777" s="1"/>
      <c r="Q777" s="1"/>
      <c r="R777" s="1"/>
      <c r="S777" s="1"/>
      <c r="T777" s="1"/>
      <c r="U777" s="1"/>
      <c r="V777" s="1"/>
      <c r="W777" s="1"/>
      <c r="X777" s="1"/>
      <c r="Y777" s="1"/>
      <c r="Z777" s="1"/>
      <c r="AA777" s="1"/>
    </row>
    <row r="778" customFormat="false" ht="15.75" hidden="false" customHeight="true" outlineLevel="0" collapsed="false">
      <c r="P778" s="1"/>
      <c r="Q778" s="1"/>
      <c r="R778" s="1"/>
      <c r="S778" s="1"/>
      <c r="T778" s="1"/>
      <c r="U778" s="1"/>
      <c r="V778" s="1"/>
      <c r="W778" s="1"/>
      <c r="X778" s="1"/>
      <c r="Y778" s="1"/>
      <c r="Z778" s="1"/>
      <c r="AA778" s="1"/>
    </row>
    <row r="779" customFormat="false" ht="15.75" hidden="false" customHeight="true" outlineLevel="0" collapsed="false">
      <c r="P779" s="1"/>
      <c r="Q779" s="1"/>
      <c r="R779" s="1"/>
      <c r="S779" s="1"/>
      <c r="T779" s="1"/>
      <c r="U779" s="1"/>
      <c r="V779" s="1"/>
      <c r="W779" s="1"/>
      <c r="X779" s="1"/>
      <c r="Y779" s="1"/>
      <c r="Z779" s="1"/>
      <c r="AA779" s="1"/>
    </row>
    <row r="780" customFormat="false" ht="15.75" hidden="false" customHeight="true" outlineLevel="0" collapsed="false">
      <c r="P780" s="1"/>
      <c r="Q780" s="1"/>
      <c r="R780" s="1"/>
      <c r="S780" s="1"/>
      <c r="T780" s="1"/>
      <c r="U780" s="1"/>
      <c r="V780" s="1"/>
      <c r="W780" s="1"/>
      <c r="X780" s="1"/>
      <c r="Y780" s="1"/>
      <c r="Z780" s="1"/>
      <c r="AA780" s="1"/>
    </row>
    <row r="781" customFormat="false" ht="15.75" hidden="false" customHeight="true" outlineLevel="0" collapsed="false">
      <c r="P781" s="1"/>
      <c r="Q781" s="1"/>
      <c r="R781" s="1"/>
      <c r="S781" s="1"/>
      <c r="T781" s="1"/>
      <c r="U781" s="1"/>
      <c r="V781" s="1"/>
      <c r="W781" s="1"/>
      <c r="X781" s="1"/>
      <c r="Y781" s="1"/>
      <c r="Z781" s="1"/>
      <c r="AA781" s="1"/>
    </row>
    <row r="782" customFormat="false" ht="15.75" hidden="false" customHeight="true" outlineLevel="0" collapsed="false">
      <c r="P782" s="1"/>
      <c r="Q782" s="1"/>
      <c r="R782" s="1"/>
      <c r="S782" s="1"/>
      <c r="T782" s="1"/>
      <c r="U782" s="1"/>
      <c r="V782" s="1"/>
      <c r="W782" s="1"/>
      <c r="X782" s="1"/>
      <c r="Y782" s="1"/>
      <c r="Z782" s="1"/>
      <c r="AA782" s="1"/>
    </row>
    <row r="783" customFormat="false" ht="15.75" hidden="false" customHeight="true" outlineLevel="0" collapsed="false">
      <c r="P783" s="1"/>
      <c r="Q783" s="1"/>
      <c r="R783" s="1"/>
      <c r="S783" s="1"/>
      <c r="T783" s="1"/>
      <c r="U783" s="1"/>
      <c r="V783" s="1"/>
      <c r="W783" s="1"/>
      <c r="X783" s="1"/>
      <c r="Y783" s="1"/>
      <c r="Z783" s="1"/>
      <c r="AA783" s="1"/>
    </row>
    <row r="784" customFormat="false" ht="15.75" hidden="false" customHeight="true" outlineLevel="0" collapsed="false">
      <c r="P784" s="1"/>
      <c r="Q784" s="1"/>
      <c r="R784" s="1"/>
      <c r="S784" s="1"/>
      <c r="T784" s="1"/>
      <c r="U784" s="1"/>
      <c r="V784" s="1"/>
      <c r="W784" s="1"/>
      <c r="X784" s="1"/>
      <c r="Y784" s="1"/>
      <c r="Z784" s="1"/>
      <c r="AA784" s="1"/>
    </row>
    <row r="785" customFormat="false" ht="15.75" hidden="false" customHeight="true" outlineLevel="0" collapsed="false">
      <c r="P785" s="1"/>
      <c r="Q785" s="1"/>
      <c r="R785" s="1"/>
      <c r="S785" s="1"/>
      <c r="T785" s="1"/>
      <c r="U785" s="1"/>
      <c r="V785" s="1"/>
      <c r="W785" s="1"/>
      <c r="X785" s="1"/>
      <c r="Y785" s="1"/>
      <c r="Z785" s="1"/>
      <c r="AA785" s="1"/>
    </row>
    <row r="786" customFormat="false" ht="15.75" hidden="false" customHeight="true" outlineLevel="0" collapsed="false">
      <c r="P786" s="1"/>
      <c r="Q786" s="1"/>
      <c r="R786" s="1"/>
      <c r="S786" s="1"/>
      <c r="T786" s="1"/>
      <c r="U786" s="1"/>
      <c r="V786" s="1"/>
      <c r="W786" s="1"/>
      <c r="X786" s="1"/>
      <c r="Y786" s="1"/>
      <c r="Z786" s="1"/>
      <c r="AA786" s="1"/>
    </row>
    <row r="787" customFormat="false" ht="15.75" hidden="false" customHeight="true" outlineLevel="0" collapsed="false">
      <c r="P787" s="1"/>
      <c r="Q787" s="1"/>
      <c r="R787" s="1"/>
      <c r="S787" s="1"/>
      <c r="T787" s="1"/>
      <c r="U787" s="1"/>
      <c r="V787" s="1"/>
      <c r="W787" s="1"/>
      <c r="X787" s="1"/>
      <c r="Y787" s="1"/>
      <c r="Z787" s="1"/>
      <c r="AA787" s="1"/>
    </row>
    <row r="788" customFormat="false" ht="15.75" hidden="false" customHeight="true" outlineLevel="0" collapsed="false">
      <c r="P788" s="1"/>
      <c r="Q788" s="1"/>
      <c r="R788" s="1"/>
      <c r="S788" s="1"/>
      <c r="T788" s="1"/>
      <c r="U788" s="1"/>
      <c r="V788" s="1"/>
      <c r="W788" s="1"/>
      <c r="X788" s="1"/>
      <c r="Y788" s="1"/>
      <c r="Z788" s="1"/>
      <c r="AA788" s="1"/>
    </row>
    <row r="789" customFormat="false" ht="15.75" hidden="false" customHeight="true" outlineLevel="0" collapsed="false">
      <c r="P789" s="1"/>
      <c r="Q789" s="1"/>
      <c r="R789" s="1"/>
      <c r="S789" s="1"/>
      <c r="T789" s="1"/>
      <c r="U789" s="1"/>
      <c r="V789" s="1"/>
      <c r="W789" s="1"/>
      <c r="X789" s="1"/>
      <c r="Y789" s="1"/>
      <c r="Z789" s="1"/>
      <c r="AA789" s="1"/>
    </row>
    <row r="790" customFormat="false" ht="15.75" hidden="false" customHeight="true" outlineLevel="0" collapsed="false">
      <c r="P790" s="1"/>
      <c r="Q790" s="1"/>
      <c r="R790" s="1"/>
      <c r="S790" s="1"/>
      <c r="T790" s="1"/>
      <c r="U790" s="1"/>
      <c r="V790" s="1"/>
      <c r="W790" s="1"/>
      <c r="X790" s="1"/>
      <c r="Y790" s="1"/>
      <c r="Z790" s="1"/>
      <c r="AA790" s="1"/>
    </row>
    <row r="791" customFormat="false" ht="15.75" hidden="false" customHeight="true" outlineLevel="0" collapsed="false">
      <c r="P791" s="1"/>
      <c r="Q791" s="1"/>
      <c r="R791" s="1"/>
      <c r="S791" s="1"/>
      <c r="T791" s="1"/>
      <c r="U791" s="1"/>
      <c r="V791" s="1"/>
      <c r="W791" s="1"/>
      <c r="X791" s="1"/>
      <c r="Y791" s="1"/>
      <c r="Z791" s="1"/>
      <c r="AA791" s="1"/>
    </row>
    <row r="792" customFormat="false" ht="15.75" hidden="false" customHeight="true" outlineLevel="0" collapsed="false">
      <c r="P792" s="1"/>
      <c r="Q792" s="1"/>
      <c r="R792" s="1"/>
      <c r="S792" s="1"/>
      <c r="T792" s="1"/>
      <c r="U792" s="1"/>
      <c r="V792" s="1"/>
      <c r="W792" s="1"/>
      <c r="X792" s="1"/>
      <c r="Y792" s="1"/>
      <c r="Z792" s="1"/>
      <c r="AA792" s="1"/>
    </row>
    <row r="793" customFormat="false" ht="15.75" hidden="false" customHeight="true" outlineLevel="0" collapsed="false">
      <c r="P793" s="1"/>
      <c r="Q793" s="1"/>
      <c r="R793" s="1"/>
      <c r="S793" s="1"/>
      <c r="T793" s="1"/>
      <c r="U793" s="1"/>
      <c r="V793" s="1"/>
      <c r="W793" s="1"/>
      <c r="X793" s="1"/>
      <c r="Y793" s="1"/>
      <c r="Z793" s="1"/>
      <c r="AA793" s="1"/>
    </row>
    <row r="794" customFormat="false" ht="15.75" hidden="false" customHeight="true" outlineLevel="0" collapsed="false">
      <c r="P794" s="1"/>
      <c r="Q794" s="1"/>
      <c r="R794" s="1"/>
      <c r="S794" s="1"/>
      <c r="T794" s="1"/>
      <c r="U794" s="1"/>
      <c r="V794" s="1"/>
      <c r="W794" s="1"/>
      <c r="X794" s="1"/>
      <c r="Y794" s="1"/>
      <c r="Z794" s="1"/>
      <c r="AA794" s="1"/>
    </row>
    <row r="795" customFormat="false" ht="15.75" hidden="false" customHeight="true" outlineLevel="0" collapsed="false">
      <c r="P795" s="1"/>
      <c r="Q795" s="1"/>
      <c r="R795" s="1"/>
      <c r="S795" s="1"/>
      <c r="T795" s="1"/>
      <c r="U795" s="1"/>
      <c r="V795" s="1"/>
      <c r="W795" s="1"/>
      <c r="X795" s="1"/>
      <c r="Y795" s="1"/>
      <c r="Z795" s="1"/>
      <c r="AA795" s="1"/>
    </row>
    <row r="796" customFormat="false" ht="15.75" hidden="false" customHeight="true" outlineLevel="0" collapsed="false">
      <c r="P796" s="1"/>
      <c r="Q796" s="1"/>
      <c r="R796" s="1"/>
      <c r="S796" s="1"/>
      <c r="T796" s="1"/>
      <c r="U796" s="1"/>
      <c r="V796" s="1"/>
      <c r="W796" s="1"/>
      <c r="X796" s="1"/>
      <c r="Y796" s="1"/>
      <c r="Z796" s="1"/>
      <c r="AA796" s="1"/>
    </row>
    <row r="797" customFormat="false" ht="15.75" hidden="false" customHeight="true" outlineLevel="0" collapsed="false">
      <c r="P797" s="1"/>
      <c r="Q797" s="1"/>
      <c r="R797" s="1"/>
      <c r="S797" s="1"/>
      <c r="T797" s="1"/>
      <c r="U797" s="1"/>
      <c r="V797" s="1"/>
      <c r="W797" s="1"/>
      <c r="X797" s="1"/>
      <c r="Y797" s="1"/>
      <c r="Z797" s="1"/>
      <c r="AA797" s="1"/>
    </row>
    <row r="798" customFormat="false" ht="15.75" hidden="false" customHeight="true" outlineLevel="0" collapsed="false">
      <c r="P798" s="1"/>
      <c r="Q798" s="1"/>
      <c r="R798" s="1"/>
      <c r="S798" s="1"/>
      <c r="T798" s="1"/>
      <c r="U798" s="1"/>
      <c r="V798" s="1"/>
      <c r="W798" s="1"/>
      <c r="X798" s="1"/>
      <c r="Y798" s="1"/>
      <c r="Z798" s="1"/>
      <c r="AA798" s="1"/>
    </row>
    <row r="799" customFormat="false" ht="15.75" hidden="false" customHeight="true" outlineLevel="0" collapsed="false">
      <c r="P799" s="1"/>
      <c r="Q799" s="1"/>
      <c r="R799" s="1"/>
      <c r="S799" s="1"/>
      <c r="T799" s="1"/>
      <c r="U799" s="1"/>
      <c r="V799" s="1"/>
      <c r="W799" s="1"/>
      <c r="X799" s="1"/>
      <c r="Y799" s="1"/>
      <c r="Z799" s="1"/>
      <c r="AA799" s="1"/>
    </row>
    <row r="800" customFormat="false" ht="15.75" hidden="false" customHeight="true" outlineLevel="0" collapsed="false">
      <c r="P800" s="1"/>
      <c r="Q800" s="1"/>
      <c r="R800" s="1"/>
      <c r="S800" s="1"/>
      <c r="T800" s="1"/>
      <c r="U800" s="1"/>
      <c r="V800" s="1"/>
      <c r="W800" s="1"/>
      <c r="X800" s="1"/>
      <c r="Y800" s="1"/>
      <c r="Z800" s="1"/>
      <c r="AA800" s="1"/>
    </row>
    <row r="801" customFormat="false" ht="15.75" hidden="false" customHeight="true" outlineLevel="0" collapsed="false">
      <c r="P801" s="1"/>
      <c r="Q801" s="1"/>
      <c r="R801" s="1"/>
      <c r="S801" s="1"/>
      <c r="T801" s="1"/>
      <c r="U801" s="1"/>
      <c r="V801" s="1"/>
      <c r="W801" s="1"/>
      <c r="X801" s="1"/>
      <c r="Y801" s="1"/>
      <c r="Z801" s="1"/>
      <c r="AA801" s="1"/>
    </row>
    <row r="802" customFormat="false" ht="15.75" hidden="false" customHeight="true" outlineLevel="0" collapsed="false">
      <c r="P802" s="1"/>
      <c r="Q802" s="1"/>
      <c r="R802" s="1"/>
      <c r="S802" s="1"/>
      <c r="T802" s="1"/>
      <c r="U802" s="1"/>
      <c r="V802" s="1"/>
      <c r="W802" s="1"/>
      <c r="X802" s="1"/>
      <c r="Y802" s="1"/>
      <c r="Z802" s="1"/>
      <c r="AA802" s="1"/>
    </row>
    <row r="803" customFormat="false" ht="15.75" hidden="false" customHeight="true" outlineLevel="0" collapsed="false">
      <c r="P803" s="1"/>
      <c r="Q803" s="1"/>
      <c r="R803" s="1"/>
      <c r="S803" s="1"/>
      <c r="T803" s="1"/>
      <c r="U803" s="1"/>
      <c r="V803" s="1"/>
      <c r="W803" s="1"/>
      <c r="X803" s="1"/>
      <c r="Y803" s="1"/>
      <c r="Z803" s="1"/>
      <c r="AA803" s="1"/>
    </row>
    <row r="804" customFormat="false" ht="15.75" hidden="false" customHeight="true" outlineLevel="0" collapsed="false">
      <c r="P804" s="1"/>
      <c r="Q804" s="1"/>
      <c r="R804" s="1"/>
      <c r="S804" s="1"/>
      <c r="T804" s="1"/>
      <c r="U804" s="1"/>
      <c r="V804" s="1"/>
      <c r="W804" s="1"/>
      <c r="X804" s="1"/>
      <c r="Y804" s="1"/>
      <c r="Z804" s="1"/>
      <c r="AA804" s="1"/>
    </row>
    <row r="805" customFormat="false" ht="15.75" hidden="false" customHeight="true" outlineLevel="0" collapsed="false">
      <c r="P805" s="1"/>
      <c r="Q805" s="1"/>
      <c r="R805" s="1"/>
      <c r="S805" s="1"/>
      <c r="T805" s="1"/>
      <c r="U805" s="1"/>
      <c r="V805" s="1"/>
      <c r="W805" s="1"/>
      <c r="X805" s="1"/>
      <c r="Y805" s="1"/>
      <c r="Z805" s="1"/>
      <c r="AA805" s="1"/>
    </row>
    <row r="806" customFormat="false" ht="15.75" hidden="false" customHeight="true" outlineLevel="0" collapsed="false">
      <c r="P806" s="1"/>
      <c r="Q806" s="1"/>
      <c r="R806" s="1"/>
      <c r="S806" s="1"/>
      <c r="T806" s="1"/>
      <c r="U806" s="1"/>
      <c r="V806" s="1"/>
      <c r="W806" s="1"/>
      <c r="X806" s="1"/>
      <c r="Y806" s="1"/>
      <c r="Z806" s="1"/>
      <c r="AA806" s="1"/>
    </row>
    <row r="807" customFormat="false" ht="15.75" hidden="false" customHeight="true" outlineLevel="0" collapsed="false">
      <c r="P807" s="1"/>
      <c r="Q807" s="1"/>
      <c r="R807" s="1"/>
      <c r="S807" s="1"/>
      <c r="T807" s="1"/>
      <c r="U807" s="1"/>
      <c r="V807" s="1"/>
      <c r="W807" s="1"/>
      <c r="X807" s="1"/>
      <c r="Y807" s="1"/>
      <c r="Z807" s="1"/>
      <c r="AA807" s="1"/>
    </row>
    <row r="808" customFormat="false" ht="15.75" hidden="false" customHeight="true" outlineLevel="0" collapsed="false">
      <c r="P808" s="1"/>
      <c r="Q808" s="1"/>
      <c r="R808" s="1"/>
      <c r="S808" s="1"/>
      <c r="T808" s="1"/>
      <c r="U808" s="1"/>
      <c r="V808" s="1"/>
      <c r="W808" s="1"/>
      <c r="X808" s="1"/>
      <c r="Y808" s="1"/>
      <c r="Z808" s="1"/>
      <c r="AA808" s="1"/>
    </row>
    <row r="809" customFormat="false" ht="15.75" hidden="false" customHeight="true" outlineLevel="0" collapsed="false">
      <c r="P809" s="1"/>
      <c r="Q809" s="1"/>
      <c r="R809" s="1"/>
      <c r="S809" s="1"/>
      <c r="T809" s="1"/>
      <c r="U809" s="1"/>
      <c r="V809" s="1"/>
      <c r="W809" s="1"/>
      <c r="X809" s="1"/>
      <c r="Y809" s="1"/>
      <c r="Z809" s="1"/>
      <c r="AA809" s="1"/>
    </row>
    <row r="810" customFormat="false" ht="15.75" hidden="false" customHeight="true" outlineLevel="0" collapsed="false">
      <c r="P810" s="1"/>
      <c r="Q810" s="1"/>
      <c r="R810" s="1"/>
      <c r="S810" s="1"/>
      <c r="T810" s="1"/>
      <c r="U810" s="1"/>
      <c r="V810" s="1"/>
      <c r="W810" s="1"/>
      <c r="X810" s="1"/>
      <c r="Y810" s="1"/>
      <c r="Z810" s="1"/>
      <c r="AA810" s="1"/>
    </row>
    <row r="811" customFormat="false" ht="15.75" hidden="false" customHeight="true" outlineLevel="0" collapsed="false">
      <c r="P811" s="1"/>
      <c r="Q811" s="1"/>
      <c r="R811" s="1"/>
      <c r="S811" s="1"/>
      <c r="T811" s="1"/>
      <c r="U811" s="1"/>
      <c r="V811" s="1"/>
      <c r="W811" s="1"/>
      <c r="X811" s="1"/>
      <c r="Y811" s="1"/>
      <c r="Z811" s="1"/>
      <c r="AA811" s="1"/>
    </row>
    <row r="812" customFormat="false" ht="15.75" hidden="false" customHeight="true" outlineLevel="0" collapsed="false">
      <c r="P812" s="1"/>
      <c r="Q812" s="1"/>
      <c r="R812" s="1"/>
      <c r="S812" s="1"/>
      <c r="T812" s="1"/>
      <c r="U812" s="1"/>
      <c r="V812" s="1"/>
      <c r="W812" s="1"/>
      <c r="X812" s="1"/>
      <c r="Y812" s="1"/>
      <c r="Z812" s="1"/>
      <c r="AA812" s="1"/>
    </row>
    <row r="813" customFormat="false" ht="15.75" hidden="false" customHeight="true" outlineLevel="0" collapsed="false">
      <c r="P813" s="1"/>
      <c r="Q813" s="1"/>
      <c r="R813" s="1"/>
      <c r="S813" s="1"/>
      <c r="T813" s="1"/>
      <c r="U813" s="1"/>
      <c r="V813" s="1"/>
      <c r="W813" s="1"/>
      <c r="X813" s="1"/>
      <c r="Y813" s="1"/>
      <c r="Z813" s="1"/>
      <c r="AA813" s="1"/>
    </row>
    <row r="814" customFormat="false" ht="15.75" hidden="false" customHeight="true" outlineLevel="0" collapsed="false">
      <c r="P814" s="1"/>
      <c r="Q814" s="1"/>
      <c r="R814" s="1"/>
      <c r="S814" s="1"/>
      <c r="T814" s="1"/>
      <c r="U814" s="1"/>
      <c r="V814" s="1"/>
      <c r="W814" s="1"/>
      <c r="X814" s="1"/>
      <c r="Y814" s="1"/>
      <c r="Z814" s="1"/>
      <c r="AA814" s="1"/>
    </row>
    <row r="815" customFormat="false" ht="15.75" hidden="false" customHeight="true" outlineLevel="0" collapsed="false">
      <c r="P815" s="1"/>
      <c r="Q815" s="1"/>
      <c r="R815" s="1"/>
      <c r="S815" s="1"/>
      <c r="T815" s="1"/>
      <c r="U815" s="1"/>
      <c r="V815" s="1"/>
      <c r="W815" s="1"/>
      <c r="X815" s="1"/>
      <c r="Y815" s="1"/>
      <c r="Z815" s="1"/>
      <c r="AA815" s="1"/>
    </row>
    <row r="816" customFormat="false" ht="15.75" hidden="false" customHeight="true" outlineLevel="0" collapsed="false">
      <c r="P816" s="1"/>
      <c r="Q816" s="1"/>
      <c r="R816" s="1"/>
      <c r="S816" s="1"/>
      <c r="T816" s="1"/>
      <c r="U816" s="1"/>
      <c r="V816" s="1"/>
      <c r="W816" s="1"/>
      <c r="X816" s="1"/>
      <c r="Y816" s="1"/>
      <c r="Z816" s="1"/>
      <c r="AA816" s="1"/>
    </row>
    <row r="817" customFormat="false" ht="15.75" hidden="false" customHeight="true" outlineLevel="0" collapsed="false">
      <c r="P817" s="1"/>
      <c r="Q817" s="1"/>
      <c r="R817" s="1"/>
      <c r="S817" s="1"/>
      <c r="T817" s="1"/>
      <c r="U817" s="1"/>
      <c r="V817" s="1"/>
      <c r="W817" s="1"/>
      <c r="X817" s="1"/>
      <c r="Y817" s="1"/>
      <c r="Z817" s="1"/>
      <c r="AA817" s="1"/>
    </row>
    <row r="818" customFormat="false" ht="15.75" hidden="false" customHeight="true" outlineLevel="0" collapsed="false">
      <c r="P818" s="1"/>
      <c r="Q818" s="1"/>
      <c r="R818" s="1"/>
      <c r="S818" s="1"/>
      <c r="T818" s="1"/>
      <c r="U818" s="1"/>
      <c r="V818" s="1"/>
      <c r="W818" s="1"/>
      <c r="X818" s="1"/>
      <c r="Y818" s="1"/>
      <c r="Z818" s="1"/>
      <c r="AA818" s="1"/>
    </row>
    <row r="819" customFormat="false" ht="15.75" hidden="false" customHeight="true" outlineLevel="0" collapsed="false">
      <c r="P819" s="1"/>
      <c r="Q819" s="1"/>
      <c r="R819" s="1"/>
      <c r="S819" s="1"/>
      <c r="T819" s="1"/>
      <c r="U819" s="1"/>
      <c r="V819" s="1"/>
      <c r="W819" s="1"/>
      <c r="X819" s="1"/>
      <c r="Y819" s="1"/>
      <c r="Z819" s="1"/>
      <c r="AA819" s="1"/>
    </row>
    <row r="820" customFormat="false" ht="15.75" hidden="false" customHeight="true" outlineLevel="0" collapsed="false">
      <c r="P820" s="1"/>
      <c r="Q820" s="1"/>
      <c r="R820" s="1"/>
      <c r="S820" s="1"/>
      <c r="T820" s="1"/>
      <c r="U820" s="1"/>
      <c r="V820" s="1"/>
      <c r="W820" s="1"/>
      <c r="X820" s="1"/>
      <c r="Y820" s="1"/>
      <c r="Z820" s="1"/>
      <c r="AA820" s="1"/>
    </row>
    <row r="821" customFormat="false" ht="15.75" hidden="false" customHeight="true" outlineLevel="0" collapsed="false">
      <c r="P821" s="1"/>
      <c r="Q821" s="1"/>
      <c r="R821" s="1"/>
      <c r="S821" s="1"/>
      <c r="T821" s="1"/>
      <c r="U821" s="1"/>
      <c r="V821" s="1"/>
      <c r="W821" s="1"/>
      <c r="X821" s="1"/>
      <c r="Y821" s="1"/>
      <c r="Z821" s="1"/>
      <c r="AA821" s="1"/>
    </row>
    <row r="822" customFormat="false" ht="15.75" hidden="false" customHeight="true" outlineLevel="0" collapsed="false">
      <c r="P822" s="1"/>
      <c r="Q822" s="1"/>
      <c r="R822" s="1"/>
      <c r="S822" s="1"/>
      <c r="T822" s="1"/>
      <c r="U822" s="1"/>
      <c r="V822" s="1"/>
      <c r="W822" s="1"/>
      <c r="X822" s="1"/>
      <c r="Y822" s="1"/>
      <c r="Z822" s="1"/>
      <c r="AA822" s="1"/>
    </row>
    <row r="823" customFormat="false" ht="15.75" hidden="false" customHeight="true" outlineLevel="0" collapsed="false">
      <c r="P823" s="1"/>
      <c r="Q823" s="1"/>
      <c r="R823" s="1"/>
      <c r="S823" s="1"/>
      <c r="T823" s="1"/>
      <c r="U823" s="1"/>
      <c r="V823" s="1"/>
      <c r="W823" s="1"/>
      <c r="X823" s="1"/>
      <c r="Y823" s="1"/>
      <c r="Z823" s="1"/>
      <c r="AA823" s="1"/>
    </row>
    <row r="824" customFormat="false" ht="15.75" hidden="false" customHeight="true" outlineLevel="0" collapsed="false">
      <c r="P824" s="1"/>
      <c r="Q824" s="1"/>
      <c r="R824" s="1"/>
      <c r="S824" s="1"/>
      <c r="T824" s="1"/>
      <c r="U824" s="1"/>
      <c r="V824" s="1"/>
      <c r="W824" s="1"/>
      <c r="X824" s="1"/>
      <c r="Y824" s="1"/>
      <c r="Z824" s="1"/>
      <c r="AA824" s="1"/>
    </row>
    <row r="825" customFormat="false" ht="15.75" hidden="false" customHeight="true" outlineLevel="0" collapsed="false">
      <c r="P825" s="1"/>
      <c r="Q825" s="1"/>
      <c r="R825" s="1"/>
      <c r="S825" s="1"/>
      <c r="T825" s="1"/>
      <c r="U825" s="1"/>
      <c r="V825" s="1"/>
      <c r="W825" s="1"/>
      <c r="X825" s="1"/>
      <c r="Y825" s="1"/>
      <c r="Z825" s="1"/>
      <c r="AA825" s="1"/>
    </row>
    <row r="826" customFormat="false" ht="15.75" hidden="false" customHeight="true" outlineLevel="0" collapsed="false">
      <c r="P826" s="1"/>
      <c r="Q826" s="1"/>
      <c r="R826" s="1"/>
      <c r="S826" s="1"/>
      <c r="T826" s="1"/>
      <c r="U826" s="1"/>
      <c r="V826" s="1"/>
      <c r="W826" s="1"/>
      <c r="X826" s="1"/>
      <c r="Y826" s="1"/>
      <c r="Z826" s="1"/>
      <c r="AA826" s="1"/>
    </row>
    <row r="827" customFormat="false" ht="15.75" hidden="false" customHeight="true" outlineLevel="0" collapsed="false">
      <c r="P827" s="1"/>
      <c r="Q827" s="1"/>
      <c r="R827" s="1"/>
      <c r="S827" s="1"/>
      <c r="T827" s="1"/>
      <c r="U827" s="1"/>
      <c r="V827" s="1"/>
      <c r="W827" s="1"/>
      <c r="X827" s="1"/>
      <c r="Y827" s="1"/>
      <c r="Z827" s="1"/>
      <c r="AA827" s="1"/>
    </row>
    <row r="828" customFormat="false" ht="15.75" hidden="false" customHeight="true" outlineLevel="0" collapsed="false">
      <c r="P828" s="1"/>
      <c r="Q828" s="1"/>
      <c r="R828" s="1"/>
      <c r="S828" s="1"/>
      <c r="T828" s="1"/>
      <c r="U828" s="1"/>
      <c r="V828" s="1"/>
      <c r="W828" s="1"/>
      <c r="X828" s="1"/>
      <c r="Y828" s="1"/>
      <c r="Z828" s="1"/>
      <c r="AA828" s="1"/>
    </row>
    <row r="829" customFormat="false" ht="15.75" hidden="false" customHeight="true" outlineLevel="0" collapsed="false">
      <c r="P829" s="1"/>
      <c r="Q829" s="1"/>
      <c r="R829" s="1"/>
      <c r="S829" s="1"/>
      <c r="T829" s="1"/>
      <c r="U829" s="1"/>
      <c r="V829" s="1"/>
      <c r="W829" s="1"/>
      <c r="X829" s="1"/>
      <c r="Y829" s="1"/>
      <c r="Z829" s="1"/>
      <c r="AA829" s="1"/>
    </row>
    <row r="830" customFormat="false" ht="15.75" hidden="false" customHeight="true" outlineLevel="0" collapsed="false">
      <c r="P830" s="1"/>
      <c r="Q830" s="1"/>
      <c r="R830" s="1"/>
      <c r="S830" s="1"/>
      <c r="T830" s="1"/>
      <c r="U830" s="1"/>
      <c r="V830" s="1"/>
      <c r="W830" s="1"/>
      <c r="X830" s="1"/>
      <c r="Y830" s="1"/>
      <c r="Z830" s="1"/>
      <c r="AA830" s="1"/>
    </row>
    <row r="831" customFormat="false" ht="15.75" hidden="false" customHeight="true" outlineLevel="0" collapsed="false">
      <c r="P831" s="1"/>
      <c r="Q831" s="1"/>
      <c r="R831" s="1"/>
      <c r="S831" s="1"/>
      <c r="T831" s="1"/>
      <c r="U831" s="1"/>
      <c r="V831" s="1"/>
      <c r="W831" s="1"/>
      <c r="X831" s="1"/>
      <c r="Y831" s="1"/>
      <c r="Z831" s="1"/>
      <c r="AA831" s="1"/>
    </row>
    <row r="832" customFormat="false" ht="15.75" hidden="false" customHeight="true" outlineLevel="0" collapsed="false">
      <c r="P832" s="1"/>
      <c r="Q832" s="1"/>
      <c r="R832" s="1"/>
      <c r="S832" s="1"/>
      <c r="T832" s="1"/>
      <c r="U832" s="1"/>
      <c r="V832" s="1"/>
      <c r="W832" s="1"/>
      <c r="X832" s="1"/>
      <c r="Y832" s="1"/>
      <c r="Z832" s="1"/>
      <c r="AA832" s="1"/>
    </row>
    <row r="833" customFormat="false" ht="15.75" hidden="false" customHeight="true" outlineLevel="0" collapsed="false">
      <c r="P833" s="1"/>
      <c r="Q833" s="1"/>
      <c r="R833" s="1"/>
      <c r="S833" s="1"/>
      <c r="T833" s="1"/>
      <c r="U833" s="1"/>
      <c r="V833" s="1"/>
      <c r="W833" s="1"/>
      <c r="X833" s="1"/>
      <c r="Y833" s="1"/>
      <c r="Z833" s="1"/>
      <c r="AA833" s="1"/>
    </row>
    <row r="834" customFormat="false" ht="15.75" hidden="false" customHeight="true" outlineLevel="0" collapsed="false">
      <c r="P834" s="1"/>
      <c r="Q834" s="1"/>
      <c r="R834" s="1"/>
      <c r="S834" s="1"/>
      <c r="T834" s="1"/>
      <c r="U834" s="1"/>
      <c r="V834" s="1"/>
      <c r="W834" s="1"/>
      <c r="X834" s="1"/>
      <c r="Y834" s="1"/>
      <c r="Z834" s="1"/>
      <c r="AA834" s="1"/>
    </row>
    <row r="835" customFormat="false" ht="15.75" hidden="false" customHeight="true" outlineLevel="0" collapsed="false">
      <c r="P835" s="1"/>
      <c r="Q835" s="1"/>
      <c r="R835" s="1"/>
      <c r="S835" s="1"/>
      <c r="T835" s="1"/>
      <c r="U835" s="1"/>
      <c r="V835" s="1"/>
      <c r="W835" s="1"/>
      <c r="X835" s="1"/>
      <c r="Y835" s="1"/>
      <c r="Z835" s="1"/>
      <c r="AA835" s="1"/>
    </row>
    <row r="836" customFormat="false" ht="15.75" hidden="false" customHeight="true" outlineLevel="0" collapsed="false">
      <c r="P836" s="1"/>
      <c r="Q836" s="1"/>
      <c r="R836" s="1"/>
      <c r="S836" s="1"/>
      <c r="T836" s="1"/>
      <c r="U836" s="1"/>
      <c r="V836" s="1"/>
      <c r="W836" s="1"/>
      <c r="X836" s="1"/>
      <c r="Y836" s="1"/>
      <c r="Z836" s="1"/>
      <c r="AA836" s="1"/>
    </row>
    <row r="837" customFormat="false" ht="15.75" hidden="false" customHeight="true" outlineLevel="0" collapsed="false">
      <c r="P837" s="1"/>
      <c r="Q837" s="1"/>
      <c r="R837" s="1"/>
      <c r="S837" s="1"/>
      <c r="T837" s="1"/>
      <c r="U837" s="1"/>
      <c r="V837" s="1"/>
      <c r="W837" s="1"/>
      <c r="X837" s="1"/>
      <c r="Y837" s="1"/>
      <c r="Z837" s="1"/>
      <c r="AA837" s="1"/>
    </row>
    <row r="838" customFormat="false" ht="15.75" hidden="false" customHeight="true" outlineLevel="0" collapsed="false">
      <c r="P838" s="1"/>
      <c r="Q838" s="1"/>
      <c r="R838" s="1"/>
      <c r="S838" s="1"/>
      <c r="T838" s="1"/>
      <c r="U838" s="1"/>
      <c r="V838" s="1"/>
      <c r="W838" s="1"/>
      <c r="X838" s="1"/>
      <c r="Y838" s="1"/>
      <c r="Z838" s="1"/>
      <c r="AA838" s="1"/>
    </row>
    <row r="839" customFormat="false" ht="15.75" hidden="false" customHeight="true" outlineLevel="0" collapsed="false">
      <c r="P839" s="1"/>
      <c r="Q839" s="1"/>
      <c r="R839" s="1"/>
      <c r="S839" s="1"/>
      <c r="T839" s="1"/>
      <c r="U839" s="1"/>
      <c r="V839" s="1"/>
      <c r="W839" s="1"/>
      <c r="X839" s="1"/>
      <c r="Y839" s="1"/>
      <c r="Z839" s="1"/>
      <c r="AA839" s="1"/>
    </row>
    <row r="840" customFormat="false" ht="15.75" hidden="false" customHeight="true" outlineLevel="0" collapsed="false">
      <c r="P840" s="1"/>
      <c r="Q840" s="1"/>
      <c r="R840" s="1"/>
      <c r="S840" s="1"/>
      <c r="T840" s="1"/>
      <c r="U840" s="1"/>
      <c r="V840" s="1"/>
      <c r="W840" s="1"/>
      <c r="X840" s="1"/>
      <c r="Y840" s="1"/>
      <c r="Z840" s="1"/>
      <c r="AA840" s="1"/>
    </row>
    <row r="841" customFormat="false" ht="15.75" hidden="false" customHeight="true" outlineLevel="0" collapsed="false">
      <c r="P841" s="1"/>
      <c r="Q841" s="1"/>
      <c r="R841" s="1"/>
      <c r="S841" s="1"/>
      <c r="T841" s="1"/>
      <c r="U841" s="1"/>
      <c r="V841" s="1"/>
      <c r="W841" s="1"/>
      <c r="X841" s="1"/>
      <c r="Y841" s="1"/>
      <c r="Z841" s="1"/>
      <c r="AA841" s="1"/>
    </row>
    <row r="842" customFormat="false" ht="15.75" hidden="false" customHeight="true" outlineLevel="0" collapsed="false">
      <c r="P842" s="1"/>
      <c r="Q842" s="1"/>
      <c r="R842" s="1"/>
      <c r="S842" s="1"/>
      <c r="T842" s="1"/>
      <c r="U842" s="1"/>
      <c r="V842" s="1"/>
      <c r="W842" s="1"/>
      <c r="X842" s="1"/>
      <c r="Y842" s="1"/>
      <c r="Z842" s="1"/>
      <c r="AA842" s="1"/>
    </row>
    <row r="843" customFormat="false" ht="15.75" hidden="false" customHeight="true" outlineLevel="0" collapsed="false">
      <c r="P843" s="1"/>
      <c r="Q843" s="1"/>
      <c r="R843" s="1"/>
      <c r="S843" s="1"/>
      <c r="T843" s="1"/>
      <c r="U843" s="1"/>
      <c r="V843" s="1"/>
      <c r="W843" s="1"/>
      <c r="X843" s="1"/>
      <c r="Y843" s="1"/>
      <c r="Z843" s="1"/>
      <c r="AA843" s="1"/>
    </row>
    <row r="844" customFormat="false" ht="15.75" hidden="false" customHeight="true" outlineLevel="0" collapsed="false">
      <c r="P844" s="1"/>
      <c r="Q844" s="1"/>
      <c r="R844" s="1"/>
      <c r="S844" s="1"/>
      <c r="T844" s="1"/>
      <c r="U844" s="1"/>
      <c r="V844" s="1"/>
      <c r="W844" s="1"/>
      <c r="X844" s="1"/>
      <c r="Y844" s="1"/>
      <c r="Z844" s="1"/>
      <c r="AA844" s="1"/>
    </row>
    <row r="845" customFormat="false" ht="15.75" hidden="false" customHeight="true" outlineLevel="0" collapsed="false">
      <c r="P845" s="1"/>
      <c r="Q845" s="1"/>
      <c r="R845" s="1"/>
      <c r="S845" s="1"/>
      <c r="T845" s="1"/>
      <c r="U845" s="1"/>
      <c r="V845" s="1"/>
      <c r="W845" s="1"/>
      <c r="X845" s="1"/>
      <c r="Y845" s="1"/>
      <c r="Z845" s="1"/>
      <c r="AA845" s="1"/>
    </row>
    <row r="846" customFormat="false" ht="15.75" hidden="false" customHeight="true" outlineLevel="0" collapsed="false">
      <c r="P846" s="1"/>
      <c r="Q846" s="1"/>
      <c r="R846" s="1"/>
      <c r="S846" s="1"/>
      <c r="T846" s="1"/>
      <c r="U846" s="1"/>
      <c r="V846" s="1"/>
      <c r="W846" s="1"/>
      <c r="X846" s="1"/>
      <c r="Y846" s="1"/>
      <c r="Z846" s="1"/>
      <c r="AA846" s="1"/>
    </row>
    <row r="847" customFormat="false" ht="15.75" hidden="false" customHeight="true" outlineLevel="0" collapsed="false">
      <c r="P847" s="1"/>
      <c r="Q847" s="1"/>
      <c r="R847" s="1"/>
      <c r="S847" s="1"/>
      <c r="T847" s="1"/>
      <c r="U847" s="1"/>
      <c r="V847" s="1"/>
      <c r="W847" s="1"/>
      <c r="X847" s="1"/>
      <c r="Y847" s="1"/>
      <c r="Z847" s="1"/>
      <c r="AA847" s="1"/>
    </row>
    <row r="848" customFormat="false" ht="15.75" hidden="false" customHeight="true" outlineLevel="0" collapsed="false">
      <c r="P848" s="1"/>
      <c r="Q848" s="1"/>
      <c r="R848" s="1"/>
      <c r="S848" s="1"/>
      <c r="T848" s="1"/>
      <c r="U848" s="1"/>
      <c r="V848" s="1"/>
      <c r="W848" s="1"/>
      <c r="X848" s="1"/>
      <c r="Y848" s="1"/>
      <c r="Z848" s="1"/>
      <c r="AA848" s="1"/>
    </row>
    <row r="849" customFormat="false" ht="15.75" hidden="false" customHeight="true" outlineLevel="0" collapsed="false">
      <c r="P849" s="1"/>
      <c r="Q849" s="1"/>
      <c r="R849" s="1"/>
      <c r="S849" s="1"/>
      <c r="T849" s="1"/>
      <c r="U849" s="1"/>
      <c r="V849" s="1"/>
      <c r="W849" s="1"/>
      <c r="X849" s="1"/>
      <c r="Y849" s="1"/>
      <c r="Z849" s="1"/>
      <c r="AA849" s="1"/>
    </row>
    <row r="850" customFormat="false" ht="15.75" hidden="false" customHeight="true" outlineLevel="0" collapsed="false">
      <c r="P850" s="1"/>
      <c r="Q850" s="1"/>
      <c r="R850" s="1"/>
      <c r="S850" s="1"/>
      <c r="T850" s="1"/>
      <c r="U850" s="1"/>
      <c r="V850" s="1"/>
      <c r="W850" s="1"/>
      <c r="X850" s="1"/>
      <c r="Y850" s="1"/>
      <c r="Z850" s="1"/>
      <c r="AA850" s="1"/>
    </row>
    <row r="851" customFormat="false" ht="15.75" hidden="false" customHeight="true" outlineLevel="0" collapsed="false">
      <c r="P851" s="1"/>
      <c r="Q851" s="1"/>
      <c r="R851" s="1"/>
      <c r="S851" s="1"/>
      <c r="T851" s="1"/>
      <c r="U851" s="1"/>
      <c r="V851" s="1"/>
      <c r="W851" s="1"/>
      <c r="X851" s="1"/>
      <c r="Y851" s="1"/>
      <c r="Z851" s="1"/>
      <c r="AA851" s="1"/>
    </row>
    <row r="852" customFormat="false" ht="15.75" hidden="false" customHeight="true" outlineLevel="0" collapsed="false">
      <c r="P852" s="1"/>
      <c r="Q852" s="1"/>
      <c r="R852" s="1"/>
      <c r="S852" s="1"/>
      <c r="T852" s="1"/>
      <c r="U852" s="1"/>
      <c r="V852" s="1"/>
      <c r="W852" s="1"/>
      <c r="X852" s="1"/>
      <c r="Y852" s="1"/>
      <c r="Z852" s="1"/>
      <c r="AA852" s="1"/>
    </row>
    <row r="853" customFormat="false" ht="15.75" hidden="false" customHeight="true" outlineLevel="0" collapsed="false">
      <c r="P853" s="1"/>
      <c r="Q853" s="1"/>
      <c r="R853" s="1"/>
      <c r="S853" s="1"/>
      <c r="T853" s="1"/>
      <c r="U853" s="1"/>
      <c r="V853" s="1"/>
      <c r="W853" s="1"/>
      <c r="X853" s="1"/>
      <c r="Y853" s="1"/>
      <c r="Z853" s="1"/>
      <c r="AA853" s="1"/>
    </row>
    <row r="854" customFormat="false" ht="15.75" hidden="false" customHeight="true" outlineLevel="0" collapsed="false">
      <c r="P854" s="1"/>
      <c r="Q854" s="1"/>
      <c r="R854" s="1"/>
      <c r="S854" s="1"/>
      <c r="T854" s="1"/>
      <c r="U854" s="1"/>
      <c r="V854" s="1"/>
      <c r="W854" s="1"/>
      <c r="X854" s="1"/>
      <c r="Y854" s="1"/>
      <c r="Z854" s="1"/>
      <c r="AA854" s="1"/>
    </row>
    <row r="855" customFormat="false" ht="15.75" hidden="false" customHeight="true" outlineLevel="0" collapsed="false">
      <c r="P855" s="1"/>
      <c r="Q855" s="1"/>
      <c r="R855" s="1"/>
      <c r="S855" s="1"/>
      <c r="T855" s="1"/>
      <c r="U855" s="1"/>
      <c r="V855" s="1"/>
      <c r="W855" s="1"/>
      <c r="X855" s="1"/>
      <c r="Y855" s="1"/>
      <c r="Z855" s="1"/>
      <c r="AA855" s="1"/>
    </row>
    <row r="856" customFormat="false" ht="15.75" hidden="false" customHeight="true" outlineLevel="0" collapsed="false">
      <c r="P856" s="1"/>
      <c r="Q856" s="1"/>
      <c r="R856" s="1"/>
      <c r="S856" s="1"/>
      <c r="T856" s="1"/>
      <c r="U856" s="1"/>
      <c r="V856" s="1"/>
      <c r="W856" s="1"/>
      <c r="X856" s="1"/>
      <c r="Y856" s="1"/>
      <c r="Z856" s="1"/>
      <c r="AA856" s="1"/>
    </row>
    <row r="857" customFormat="false" ht="15.75" hidden="false" customHeight="true" outlineLevel="0" collapsed="false">
      <c r="P857" s="1"/>
      <c r="Q857" s="1"/>
      <c r="R857" s="1"/>
      <c r="S857" s="1"/>
      <c r="T857" s="1"/>
      <c r="U857" s="1"/>
      <c r="V857" s="1"/>
      <c r="W857" s="1"/>
      <c r="X857" s="1"/>
      <c r="Y857" s="1"/>
      <c r="Z857" s="1"/>
      <c r="AA857" s="1"/>
    </row>
    <row r="858" customFormat="false" ht="15.75" hidden="false" customHeight="true" outlineLevel="0" collapsed="false">
      <c r="P858" s="1"/>
      <c r="Q858" s="1"/>
      <c r="R858" s="1"/>
      <c r="S858" s="1"/>
      <c r="T858" s="1"/>
      <c r="U858" s="1"/>
      <c r="V858" s="1"/>
      <c r="W858" s="1"/>
      <c r="X858" s="1"/>
      <c r="Y858" s="1"/>
      <c r="Z858" s="1"/>
      <c r="AA858" s="1"/>
    </row>
    <row r="859" customFormat="false" ht="15.75" hidden="false" customHeight="true" outlineLevel="0" collapsed="false">
      <c r="P859" s="1"/>
      <c r="Q859" s="1"/>
      <c r="R859" s="1"/>
      <c r="S859" s="1"/>
      <c r="T859" s="1"/>
      <c r="U859" s="1"/>
      <c r="V859" s="1"/>
      <c r="W859" s="1"/>
      <c r="X859" s="1"/>
      <c r="Y859" s="1"/>
      <c r="Z859" s="1"/>
      <c r="AA859" s="1"/>
    </row>
    <row r="860" customFormat="false" ht="15.75" hidden="false" customHeight="true" outlineLevel="0" collapsed="false">
      <c r="P860" s="1"/>
      <c r="Q860" s="1"/>
      <c r="R860" s="1"/>
      <c r="S860" s="1"/>
      <c r="T860" s="1"/>
      <c r="U860" s="1"/>
      <c r="V860" s="1"/>
      <c r="W860" s="1"/>
      <c r="X860" s="1"/>
      <c r="Y860" s="1"/>
      <c r="Z860" s="1"/>
      <c r="AA860" s="1"/>
    </row>
    <row r="861" customFormat="false" ht="15.75" hidden="false" customHeight="true" outlineLevel="0" collapsed="false">
      <c r="P861" s="1"/>
      <c r="Q861" s="1"/>
      <c r="R861" s="1"/>
      <c r="S861" s="1"/>
      <c r="T861" s="1"/>
      <c r="U861" s="1"/>
      <c r="V861" s="1"/>
      <c r="W861" s="1"/>
      <c r="X861" s="1"/>
      <c r="Y861" s="1"/>
      <c r="Z861" s="1"/>
      <c r="AA861" s="1"/>
    </row>
    <row r="862" customFormat="false" ht="15.75" hidden="false" customHeight="true" outlineLevel="0" collapsed="false">
      <c r="P862" s="1"/>
      <c r="Q862" s="1"/>
      <c r="R862" s="1"/>
      <c r="S862" s="1"/>
      <c r="T862" s="1"/>
      <c r="U862" s="1"/>
      <c r="V862" s="1"/>
      <c r="W862" s="1"/>
      <c r="X862" s="1"/>
      <c r="Y862" s="1"/>
      <c r="Z862" s="1"/>
      <c r="AA862" s="1"/>
    </row>
    <row r="863" customFormat="false" ht="15.75" hidden="false" customHeight="true" outlineLevel="0" collapsed="false">
      <c r="P863" s="1"/>
      <c r="Q863" s="1"/>
      <c r="R863" s="1"/>
      <c r="S863" s="1"/>
      <c r="T863" s="1"/>
      <c r="U863" s="1"/>
      <c r="V863" s="1"/>
      <c r="W863" s="1"/>
      <c r="X863" s="1"/>
      <c r="Y863" s="1"/>
      <c r="Z863" s="1"/>
      <c r="AA863" s="1"/>
    </row>
    <row r="864" customFormat="false" ht="15.75" hidden="false" customHeight="true" outlineLevel="0" collapsed="false">
      <c r="P864" s="1"/>
      <c r="Q864" s="1"/>
      <c r="R864" s="1"/>
      <c r="S864" s="1"/>
      <c r="T864" s="1"/>
      <c r="U864" s="1"/>
      <c r="V864" s="1"/>
      <c r="W864" s="1"/>
      <c r="X864" s="1"/>
      <c r="Y864" s="1"/>
      <c r="Z864" s="1"/>
      <c r="AA864" s="1"/>
    </row>
    <row r="865" customFormat="false" ht="15.75" hidden="false" customHeight="true" outlineLevel="0" collapsed="false">
      <c r="P865" s="1"/>
      <c r="Q865" s="1"/>
      <c r="R865" s="1"/>
      <c r="S865" s="1"/>
      <c r="T865" s="1"/>
      <c r="U865" s="1"/>
      <c r="V865" s="1"/>
      <c r="W865" s="1"/>
      <c r="X865" s="1"/>
      <c r="Y865" s="1"/>
      <c r="Z865" s="1"/>
      <c r="AA865" s="1"/>
    </row>
    <row r="866" customFormat="false" ht="15.75" hidden="false" customHeight="true" outlineLevel="0" collapsed="false">
      <c r="P866" s="1"/>
      <c r="Q866" s="1"/>
      <c r="R866" s="1"/>
      <c r="S866" s="1"/>
      <c r="T866" s="1"/>
      <c r="U866" s="1"/>
      <c r="V866" s="1"/>
      <c r="W866" s="1"/>
      <c r="X866" s="1"/>
      <c r="Y866" s="1"/>
      <c r="Z866" s="1"/>
      <c r="AA866" s="1"/>
    </row>
    <row r="867" customFormat="false" ht="15.75" hidden="false" customHeight="true" outlineLevel="0" collapsed="false">
      <c r="P867" s="1"/>
      <c r="Q867" s="1"/>
      <c r="R867" s="1"/>
      <c r="S867" s="1"/>
      <c r="T867" s="1"/>
      <c r="U867" s="1"/>
      <c r="V867" s="1"/>
      <c r="W867" s="1"/>
      <c r="X867" s="1"/>
      <c r="Y867" s="1"/>
      <c r="Z867" s="1"/>
      <c r="AA867" s="1"/>
    </row>
    <row r="868" customFormat="false" ht="15.75" hidden="false" customHeight="true" outlineLevel="0" collapsed="false">
      <c r="P868" s="1"/>
      <c r="Q868" s="1"/>
      <c r="R868" s="1"/>
      <c r="S868" s="1"/>
      <c r="T868" s="1"/>
      <c r="U868" s="1"/>
      <c r="V868" s="1"/>
      <c r="W868" s="1"/>
      <c r="X868" s="1"/>
      <c r="Y868" s="1"/>
      <c r="Z868" s="1"/>
      <c r="AA868" s="1"/>
    </row>
    <row r="869" customFormat="false" ht="15.75" hidden="false" customHeight="true" outlineLevel="0" collapsed="false">
      <c r="P869" s="1"/>
      <c r="Q869" s="1"/>
      <c r="R869" s="1"/>
      <c r="S869" s="1"/>
      <c r="T869" s="1"/>
      <c r="U869" s="1"/>
      <c r="V869" s="1"/>
      <c r="W869" s="1"/>
      <c r="X869" s="1"/>
      <c r="Y869" s="1"/>
      <c r="Z869" s="1"/>
      <c r="AA869" s="1"/>
    </row>
    <row r="870" customFormat="false" ht="15.75" hidden="false" customHeight="true" outlineLevel="0" collapsed="false">
      <c r="P870" s="1"/>
      <c r="Q870" s="1"/>
      <c r="R870" s="1"/>
      <c r="S870" s="1"/>
      <c r="T870" s="1"/>
      <c r="U870" s="1"/>
      <c r="V870" s="1"/>
      <c r="W870" s="1"/>
      <c r="X870" s="1"/>
      <c r="Y870" s="1"/>
      <c r="Z870" s="1"/>
      <c r="AA870" s="1"/>
    </row>
    <row r="871" customFormat="false" ht="15.75" hidden="false" customHeight="true" outlineLevel="0" collapsed="false">
      <c r="P871" s="1"/>
      <c r="Q871" s="1"/>
      <c r="R871" s="1"/>
      <c r="S871" s="1"/>
      <c r="T871" s="1"/>
      <c r="U871" s="1"/>
      <c r="V871" s="1"/>
      <c r="W871" s="1"/>
      <c r="X871" s="1"/>
      <c r="Y871" s="1"/>
      <c r="Z871" s="1"/>
      <c r="AA871" s="1"/>
    </row>
    <row r="872" customFormat="false" ht="15.75" hidden="false" customHeight="true" outlineLevel="0" collapsed="false">
      <c r="P872" s="1"/>
      <c r="Q872" s="1"/>
      <c r="R872" s="1"/>
      <c r="S872" s="1"/>
      <c r="T872" s="1"/>
      <c r="U872" s="1"/>
      <c r="V872" s="1"/>
      <c r="W872" s="1"/>
      <c r="X872" s="1"/>
      <c r="Y872" s="1"/>
      <c r="Z872" s="1"/>
      <c r="AA872" s="1"/>
    </row>
    <row r="873" customFormat="false" ht="15.75" hidden="false" customHeight="true" outlineLevel="0" collapsed="false">
      <c r="P873" s="1"/>
      <c r="Q873" s="1"/>
      <c r="R873" s="1"/>
      <c r="S873" s="1"/>
      <c r="T873" s="1"/>
      <c r="U873" s="1"/>
      <c r="V873" s="1"/>
      <c r="W873" s="1"/>
      <c r="X873" s="1"/>
      <c r="Y873" s="1"/>
      <c r="Z873" s="1"/>
      <c r="AA873" s="1"/>
    </row>
    <row r="874" customFormat="false" ht="15.75" hidden="false" customHeight="true" outlineLevel="0" collapsed="false">
      <c r="P874" s="1"/>
      <c r="Q874" s="1"/>
      <c r="R874" s="1"/>
      <c r="S874" s="1"/>
      <c r="T874" s="1"/>
      <c r="U874" s="1"/>
      <c r="V874" s="1"/>
      <c r="W874" s="1"/>
      <c r="X874" s="1"/>
      <c r="Y874" s="1"/>
      <c r="Z874" s="1"/>
      <c r="AA874" s="1"/>
    </row>
    <row r="875" customFormat="false" ht="15.75" hidden="false" customHeight="true" outlineLevel="0" collapsed="false">
      <c r="P875" s="1"/>
      <c r="Q875" s="1"/>
      <c r="R875" s="1"/>
      <c r="S875" s="1"/>
      <c r="T875" s="1"/>
      <c r="U875" s="1"/>
      <c r="V875" s="1"/>
      <c r="W875" s="1"/>
      <c r="X875" s="1"/>
      <c r="Y875" s="1"/>
      <c r="Z875" s="1"/>
      <c r="AA875" s="1"/>
    </row>
    <row r="876" customFormat="false" ht="15.75" hidden="false" customHeight="true" outlineLevel="0" collapsed="false">
      <c r="P876" s="1"/>
      <c r="Q876" s="1"/>
      <c r="R876" s="1"/>
      <c r="S876" s="1"/>
      <c r="T876" s="1"/>
      <c r="U876" s="1"/>
      <c r="V876" s="1"/>
      <c r="W876" s="1"/>
      <c r="X876" s="1"/>
      <c r="Y876" s="1"/>
      <c r="Z876" s="1"/>
      <c r="AA876" s="1"/>
    </row>
    <row r="877" customFormat="false" ht="15.75" hidden="false" customHeight="true" outlineLevel="0" collapsed="false">
      <c r="P877" s="1"/>
      <c r="Q877" s="1"/>
      <c r="R877" s="1"/>
      <c r="S877" s="1"/>
      <c r="T877" s="1"/>
      <c r="U877" s="1"/>
      <c r="V877" s="1"/>
      <c r="W877" s="1"/>
      <c r="X877" s="1"/>
      <c r="Y877" s="1"/>
      <c r="Z877" s="1"/>
      <c r="AA877" s="1"/>
    </row>
    <row r="878" customFormat="false" ht="15.75" hidden="false" customHeight="true" outlineLevel="0" collapsed="false">
      <c r="P878" s="1"/>
      <c r="Q878" s="1"/>
      <c r="R878" s="1"/>
      <c r="S878" s="1"/>
      <c r="T878" s="1"/>
      <c r="U878" s="1"/>
      <c r="V878" s="1"/>
      <c r="W878" s="1"/>
      <c r="X878" s="1"/>
      <c r="Y878" s="1"/>
      <c r="Z878" s="1"/>
      <c r="AA878" s="1"/>
    </row>
    <row r="879" customFormat="false" ht="15.75" hidden="false" customHeight="true" outlineLevel="0" collapsed="false">
      <c r="P879" s="1"/>
      <c r="Q879" s="1"/>
      <c r="R879" s="1"/>
      <c r="S879" s="1"/>
      <c r="T879" s="1"/>
      <c r="U879" s="1"/>
      <c r="V879" s="1"/>
      <c r="W879" s="1"/>
      <c r="X879" s="1"/>
      <c r="Y879" s="1"/>
      <c r="Z879" s="1"/>
      <c r="AA879" s="1"/>
    </row>
    <row r="880" customFormat="false" ht="15.75" hidden="false" customHeight="true" outlineLevel="0" collapsed="false">
      <c r="P880" s="1"/>
      <c r="Q880" s="1"/>
      <c r="R880" s="1"/>
      <c r="S880" s="1"/>
      <c r="T880" s="1"/>
      <c r="U880" s="1"/>
      <c r="V880" s="1"/>
      <c r="W880" s="1"/>
      <c r="X880" s="1"/>
      <c r="Y880" s="1"/>
      <c r="Z880" s="1"/>
      <c r="AA880" s="1"/>
    </row>
    <row r="881" customFormat="false" ht="15.75" hidden="false" customHeight="true" outlineLevel="0" collapsed="false">
      <c r="P881" s="1"/>
      <c r="Q881" s="1"/>
      <c r="R881" s="1"/>
      <c r="S881" s="1"/>
      <c r="T881" s="1"/>
      <c r="U881" s="1"/>
      <c r="V881" s="1"/>
      <c r="W881" s="1"/>
      <c r="X881" s="1"/>
      <c r="Y881" s="1"/>
      <c r="Z881" s="1"/>
      <c r="AA881" s="1"/>
    </row>
    <row r="882" customFormat="false" ht="15.75" hidden="false" customHeight="true" outlineLevel="0" collapsed="false">
      <c r="P882" s="1"/>
      <c r="Q882" s="1"/>
      <c r="R882" s="1"/>
      <c r="S882" s="1"/>
      <c r="T882" s="1"/>
      <c r="U882" s="1"/>
      <c r="V882" s="1"/>
      <c r="W882" s="1"/>
      <c r="X882" s="1"/>
      <c r="Y882" s="1"/>
      <c r="Z882" s="1"/>
      <c r="AA882" s="1"/>
    </row>
    <row r="883" customFormat="false" ht="15.75" hidden="false" customHeight="true" outlineLevel="0" collapsed="false">
      <c r="P883" s="1"/>
      <c r="Q883" s="1"/>
      <c r="R883" s="1"/>
      <c r="S883" s="1"/>
      <c r="T883" s="1"/>
      <c r="U883" s="1"/>
      <c r="V883" s="1"/>
      <c r="W883" s="1"/>
      <c r="X883" s="1"/>
      <c r="Y883" s="1"/>
      <c r="Z883" s="1"/>
      <c r="AA883" s="1"/>
    </row>
    <row r="884" customFormat="false" ht="15.75" hidden="false" customHeight="true" outlineLevel="0" collapsed="false">
      <c r="P884" s="1"/>
      <c r="Q884" s="1"/>
      <c r="R884" s="1"/>
      <c r="S884" s="1"/>
      <c r="T884" s="1"/>
      <c r="U884" s="1"/>
      <c r="V884" s="1"/>
      <c r="W884" s="1"/>
      <c r="X884" s="1"/>
      <c r="Y884" s="1"/>
      <c r="Z884" s="1"/>
      <c r="AA884" s="1"/>
    </row>
    <row r="885" customFormat="false" ht="15.75" hidden="false" customHeight="true" outlineLevel="0" collapsed="false">
      <c r="P885" s="1"/>
      <c r="Q885" s="1"/>
      <c r="R885" s="1"/>
      <c r="S885" s="1"/>
      <c r="T885" s="1"/>
      <c r="U885" s="1"/>
      <c r="V885" s="1"/>
      <c r="W885" s="1"/>
      <c r="X885" s="1"/>
      <c r="Y885" s="1"/>
      <c r="Z885" s="1"/>
      <c r="AA885" s="1"/>
    </row>
    <row r="886" customFormat="false" ht="15.75" hidden="false" customHeight="true" outlineLevel="0" collapsed="false">
      <c r="P886" s="1"/>
      <c r="Q886" s="1"/>
      <c r="R886" s="1"/>
      <c r="S886" s="1"/>
      <c r="T886" s="1"/>
      <c r="U886" s="1"/>
      <c r="V886" s="1"/>
      <c r="W886" s="1"/>
      <c r="X886" s="1"/>
      <c r="Y886" s="1"/>
      <c r="Z886" s="1"/>
      <c r="AA886" s="1"/>
    </row>
    <row r="887" customFormat="false" ht="15.75" hidden="false" customHeight="true" outlineLevel="0" collapsed="false">
      <c r="P887" s="1"/>
      <c r="Q887" s="1"/>
      <c r="R887" s="1"/>
      <c r="S887" s="1"/>
      <c r="T887" s="1"/>
      <c r="U887" s="1"/>
      <c r="V887" s="1"/>
      <c r="W887" s="1"/>
      <c r="X887" s="1"/>
      <c r="Y887" s="1"/>
      <c r="Z887" s="1"/>
      <c r="AA887" s="1"/>
    </row>
    <row r="888" customFormat="false" ht="15.75" hidden="false" customHeight="true" outlineLevel="0" collapsed="false">
      <c r="P888" s="1"/>
      <c r="Q888" s="1"/>
      <c r="R888" s="1"/>
      <c r="S888" s="1"/>
      <c r="T888" s="1"/>
      <c r="U888" s="1"/>
      <c r="V888" s="1"/>
      <c r="W888" s="1"/>
      <c r="X888" s="1"/>
      <c r="Y888" s="1"/>
      <c r="Z888" s="1"/>
      <c r="AA888" s="1"/>
    </row>
    <row r="889" customFormat="false" ht="15.75" hidden="false" customHeight="true" outlineLevel="0" collapsed="false">
      <c r="P889" s="1"/>
      <c r="Q889" s="1"/>
      <c r="R889" s="1"/>
      <c r="S889" s="1"/>
      <c r="T889" s="1"/>
      <c r="U889" s="1"/>
      <c r="V889" s="1"/>
      <c r="W889" s="1"/>
      <c r="X889" s="1"/>
      <c r="Y889" s="1"/>
      <c r="Z889" s="1"/>
      <c r="AA889" s="1"/>
    </row>
    <row r="890" customFormat="false" ht="15.75" hidden="false" customHeight="true" outlineLevel="0" collapsed="false">
      <c r="P890" s="1"/>
      <c r="Q890" s="1"/>
      <c r="R890" s="1"/>
      <c r="S890" s="1"/>
      <c r="T890" s="1"/>
      <c r="U890" s="1"/>
      <c r="V890" s="1"/>
      <c r="W890" s="1"/>
      <c r="X890" s="1"/>
      <c r="Y890" s="1"/>
      <c r="Z890" s="1"/>
      <c r="AA890" s="1"/>
    </row>
    <row r="891" customFormat="false" ht="15.75" hidden="false" customHeight="true" outlineLevel="0" collapsed="false">
      <c r="P891" s="1"/>
      <c r="Q891" s="1"/>
      <c r="R891" s="1"/>
      <c r="S891" s="1"/>
      <c r="T891" s="1"/>
      <c r="U891" s="1"/>
      <c r="V891" s="1"/>
      <c r="W891" s="1"/>
      <c r="X891" s="1"/>
      <c r="Y891" s="1"/>
      <c r="Z891" s="1"/>
      <c r="AA891" s="1"/>
    </row>
    <row r="892" customFormat="false" ht="15.75" hidden="false" customHeight="true" outlineLevel="0" collapsed="false">
      <c r="P892" s="1"/>
      <c r="Q892" s="1"/>
      <c r="R892" s="1"/>
      <c r="S892" s="1"/>
      <c r="T892" s="1"/>
      <c r="U892" s="1"/>
      <c r="V892" s="1"/>
      <c r="W892" s="1"/>
      <c r="X892" s="1"/>
      <c r="Y892" s="1"/>
      <c r="Z892" s="1"/>
      <c r="AA892" s="1"/>
    </row>
    <row r="893" customFormat="false" ht="15.75" hidden="false" customHeight="true" outlineLevel="0" collapsed="false">
      <c r="P893" s="1"/>
      <c r="Q893" s="1"/>
      <c r="R893" s="1"/>
      <c r="S893" s="1"/>
      <c r="T893" s="1"/>
      <c r="U893" s="1"/>
      <c r="V893" s="1"/>
      <c r="W893" s="1"/>
      <c r="X893" s="1"/>
      <c r="Y893" s="1"/>
      <c r="Z893" s="1"/>
      <c r="AA893" s="1"/>
    </row>
    <row r="894" customFormat="false" ht="15.75" hidden="false" customHeight="true" outlineLevel="0" collapsed="false">
      <c r="P894" s="1"/>
      <c r="Q894" s="1"/>
      <c r="R894" s="1"/>
      <c r="S894" s="1"/>
      <c r="T894" s="1"/>
      <c r="U894" s="1"/>
      <c r="V894" s="1"/>
      <c r="W894" s="1"/>
      <c r="X894" s="1"/>
      <c r="Y894" s="1"/>
      <c r="Z894" s="1"/>
      <c r="AA894" s="1"/>
    </row>
    <row r="895" customFormat="false" ht="15.75" hidden="false" customHeight="true" outlineLevel="0" collapsed="false">
      <c r="P895" s="1"/>
      <c r="Q895" s="1"/>
      <c r="R895" s="1"/>
      <c r="S895" s="1"/>
      <c r="T895" s="1"/>
      <c r="U895" s="1"/>
      <c r="V895" s="1"/>
      <c r="W895" s="1"/>
      <c r="X895" s="1"/>
      <c r="Y895" s="1"/>
      <c r="Z895" s="1"/>
      <c r="AA895" s="1"/>
    </row>
    <row r="896" customFormat="false" ht="15.75" hidden="false" customHeight="true" outlineLevel="0" collapsed="false">
      <c r="P896" s="1"/>
      <c r="Q896" s="1"/>
      <c r="R896" s="1"/>
      <c r="S896" s="1"/>
      <c r="T896" s="1"/>
      <c r="U896" s="1"/>
      <c r="V896" s="1"/>
      <c r="W896" s="1"/>
      <c r="X896" s="1"/>
      <c r="Y896" s="1"/>
      <c r="Z896" s="1"/>
      <c r="AA896" s="1"/>
    </row>
    <row r="897" customFormat="false" ht="15.75" hidden="false" customHeight="true" outlineLevel="0" collapsed="false">
      <c r="P897" s="1"/>
      <c r="Q897" s="1"/>
      <c r="R897" s="1"/>
      <c r="S897" s="1"/>
      <c r="T897" s="1"/>
      <c r="U897" s="1"/>
      <c r="V897" s="1"/>
      <c r="W897" s="1"/>
      <c r="X897" s="1"/>
      <c r="Y897" s="1"/>
      <c r="Z897" s="1"/>
      <c r="AA897" s="1"/>
    </row>
    <row r="898" customFormat="false" ht="15.75" hidden="false" customHeight="true" outlineLevel="0" collapsed="false">
      <c r="P898" s="1"/>
      <c r="Q898" s="1"/>
      <c r="R898" s="1"/>
      <c r="S898" s="1"/>
      <c r="T898" s="1"/>
      <c r="U898" s="1"/>
      <c r="V898" s="1"/>
      <c r="W898" s="1"/>
      <c r="X898" s="1"/>
      <c r="Y898" s="1"/>
      <c r="Z898" s="1"/>
      <c r="AA898" s="1"/>
    </row>
    <row r="899" customFormat="false" ht="15.75" hidden="false" customHeight="true" outlineLevel="0" collapsed="false">
      <c r="P899" s="1"/>
      <c r="Q899" s="1"/>
      <c r="R899" s="1"/>
      <c r="S899" s="1"/>
      <c r="T899" s="1"/>
      <c r="U899" s="1"/>
      <c r="V899" s="1"/>
      <c r="W899" s="1"/>
      <c r="X899" s="1"/>
      <c r="Y899" s="1"/>
      <c r="Z899" s="1"/>
      <c r="AA899" s="1"/>
    </row>
    <row r="900" customFormat="false" ht="15.75" hidden="false" customHeight="true" outlineLevel="0" collapsed="false">
      <c r="P900" s="1"/>
      <c r="Q900" s="1"/>
      <c r="R900" s="1"/>
      <c r="S900" s="1"/>
      <c r="T900" s="1"/>
      <c r="U900" s="1"/>
      <c r="V900" s="1"/>
      <c r="W900" s="1"/>
      <c r="X900" s="1"/>
      <c r="Y900" s="1"/>
      <c r="Z900" s="1"/>
      <c r="AA900" s="1"/>
    </row>
    <row r="901" customFormat="false" ht="15.75" hidden="false" customHeight="true" outlineLevel="0" collapsed="false">
      <c r="P901" s="1"/>
      <c r="Q901" s="1"/>
      <c r="R901" s="1"/>
      <c r="S901" s="1"/>
      <c r="T901" s="1"/>
      <c r="U901" s="1"/>
      <c r="V901" s="1"/>
      <c r="W901" s="1"/>
      <c r="X901" s="1"/>
      <c r="Y901" s="1"/>
      <c r="Z901" s="1"/>
      <c r="AA901" s="1"/>
    </row>
    <row r="902" customFormat="false" ht="15.75" hidden="false" customHeight="true" outlineLevel="0" collapsed="false">
      <c r="P902" s="1"/>
      <c r="Q902" s="1"/>
      <c r="R902" s="1"/>
      <c r="S902" s="1"/>
      <c r="T902" s="1"/>
      <c r="U902" s="1"/>
      <c r="V902" s="1"/>
      <c r="W902" s="1"/>
      <c r="X902" s="1"/>
      <c r="Y902" s="1"/>
      <c r="Z902" s="1"/>
      <c r="AA902" s="1"/>
    </row>
    <row r="903" customFormat="false" ht="15.75" hidden="false" customHeight="true" outlineLevel="0" collapsed="false">
      <c r="P903" s="1"/>
      <c r="Q903" s="1"/>
      <c r="R903" s="1"/>
      <c r="S903" s="1"/>
      <c r="T903" s="1"/>
      <c r="U903" s="1"/>
      <c r="V903" s="1"/>
      <c r="W903" s="1"/>
      <c r="X903" s="1"/>
      <c r="Y903" s="1"/>
      <c r="Z903" s="1"/>
      <c r="AA903" s="1"/>
    </row>
    <row r="904" customFormat="false" ht="15.75" hidden="false" customHeight="true" outlineLevel="0" collapsed="false">
      <c r="P904" s="1"/>
      <c r="Q904" s="1"/>
      <c r="R904" s="1"/>
      <c r="S904" s="1"/>
      <c r="T904" s="1"/>
      <c r="U904" s="1"/>
      <c r="V904" s="1"/>
      <c r="W904" s="1"/>
      <c r="X904" s="1"/>
      <c r="Y904" s="1"/>
      <c r="Z904" s="1"/>
      <c r="AA904" s="1"/>
    </row>
    <row r="905" customFormat="false" ht="15.75" hidden="false" customHeight="true" outlineLevel="0" collapsed="false">
      <c r="P905" s="1"/>
      <c r="Q905" s="1"/>
      <c r="R905" s="1"/>
      <c r="S905" s="1"/>
      <c r="T905" s="1"/>
      <c r="U905" s="1"/>
      <c r="V905" s="1"/>
      <c r="W905" s="1"/>
      <c r="X905" s="1"/>
      <c r="Y905" s="1"/>
      <c r="Z905" s="1"/>
      <c r="AA905" s="1"/>
    </row>
    <row r="906" customFormat="false" ht="15.75" hidden="false" customHeight="true" outlineLevel="0" collapsed="false">
      <c r="P906" s="1"/>
      <c r="Q906" s="1"/>
      <c r="R906" s="1"/>
      <c r="S906" s="1"/>
      <c r="T906" s="1"/>
      <c r="U906" s="1"/>
      <c r="V906" s="1"/>
      <c r="W906" s="1"/>
      <c r="X906" s="1"/>
      <c r="Y906" s="1"/>
      <c r="Z906" s="1"/>
      <c r="AA906" s="1"/>
    </row>
    <row r="907" customFormat="false" ht="15.75" hidden="false" customHeight="true" outlineLevel="0" collapsed="false">
      <c r="P907" s="1"/>
      <c r="Q907" s="1"/>
      <c r="R907" s="1"/>
      <c r="S907" s="1"/>
      <c r="T907" s="1"/>
      <c r="U907" s="1"/>
      <c r="V907" s="1"/>
      <c r="W907" s="1"/>
      <c r="X907" s="1"/>
      <c r="Y907" s="1"/>
      <c r="Z907" s="1"/>
      <c r="AA907" s="1"/>
    </row>
    <row r="908" customFormat="false" ht="15.75" hidden="false" customHeight="true" outlineLevel="0" collapsed="false">
      <c r="P908" s="1"/>
      <c r="Q908" s="1"/>
      <c r="R908" s="1"/>
      <c r="S908" s="1"/>
      <c r="T908" s="1"/>
      <c r="U908" s="1"/>
      <c r="V908" s="1"/>
      <c r="W908" s="1"/>
      <c r="X908" s="1"/>
      <c r="Y908" s="1"/>
      <c r="Z908" s="1"/>
      <c r="AA908" s="1"/>
    </row>
    <row r="909" customFormat="false" ht="15.75" hidden="false" customHeight="true" outlineLevel="0" collapsed="false">
      <c r="P909" s="1"/>
      <c r="Q909" s="1"/>
      <c r="R909" s="1"/>
      <c r="S909" s="1"/>
      <c r="T909" s="1"/>
      <c r="U909" s="1"/>
      <c r="V909" s="1"/>
      <c r="W909" s="1"/>
      <c r="X909" s="1"/>
      <c r="Y909" s="1"/>
      <c r="Z909" s="1"/>
      <c r="AA909" s="1"/>
    </row>
    <row r="910" customFormat="false" ht="15.75" hidden="false" customHeight="true" outlineLevel="0" collapsed="false">
      <c r="P910" s="1"/>
      <c r="Q910" s="1"/>
      <c r="R910" s="1"/>
      <c r="S910" s="1"/>
      <c r="T910" s="1"/>
      <c r="U910" s="1"/>
      <c r="V910" s="1"/>
      <c r="W910" s="1"/>
      <c r="X910" s="1"/>
      <c r="Y910" s="1"/>
      <c r="Z910" s="1"/>
      <c r="AA910" s="1"/>
    </row>
    <row r="911" customFormat="false" ht="15.75" hidden="false" customHeight="true" outlineLevel="0" collapsed="false">
      <c r="P911" s="1"/>
      <c r="Q911" s="1"/>
      <c r="R911" s="1"/>
      <c r="S911" s="1"/>
      <c r="T911" s="1"/>
      <c r="U911" s="1"/>
      <c r="V911" s="1"/>
      <c r="W911" s="1"/>
      <c r="X911" s="1"/>
      <c r="Y911" s="1"/>
      <c r="Z911" s="1"/>
      <c r="AA911" s="1"/>
    </row>
    <row r="912" customFormat="false" ht="15.75" hidden="false" customHeight="true" outlineLevel="0" collapsed="false">
      <c r="P912" s="1"/>
      <c r="Q912" s="1"/>
      <c r="R912" s="1"/>
      <c r="S912" s="1"/>
      <c r="T912" s="1"/>
      <c r="U912" s="1"/>
      <c r="V912" s="1"/>
      <c r="W912" s="1"/>
      <c r="X912" s="1"/>
      <c r="Y912" s="1"/>
      <c r="Z912" s="1"/>
      <c r="AA912" s="1"/>
    </row>
    <row r="913" customFormat="false" ht="15.75" hidden="false" customHeight="true" outlineLevel="0" collapsed="false">
      <c r="P913" s="1"/>
      <c r="Q913" s="1"/>
      <c r="R913" s="1"/>
      <c r="S913" s="1"/>
      <c r="T913" s="1"/>
      <c r="U913" s="1"/>
      <c r="V913" s="1"/>
      <c r="W913" s="1"/>
      <c r="X913" s="1"/>
      <c r="Y913" s="1"/>
      <c r="Z913" s="1"/>
      <c r="AA913" s="1"/>
    </row>
    <row r="914" customFormat="false" ht="15.75" hidden="false" customHeight="true" outlineLevel="0" collapsed="false">
      <c r="P914" s="1"/>
      <c r="Q914" s="1"/>
      <c r="R914" s="1"/>
      <c r="S914" s="1"/>
      <c r="T914" s="1"/>
      <c r="U914" s="1"/>
      <c r="V914" s="1"/>
      <c r="W914" s="1"/>
      <c r="X914" s="1"/>
      <c r="Y914" s="1"/>
      <c r="Z914" s="1"/>
      <c r="AA914" s="1"/>
    </row>
    <row r="915" customFormat="false" ht="15.75" hidden="false" customHeight="true" outlineLevel="0" collapsed="false">
      <c r="P915" s="1"/>
      <c r="Q915" s="1"/>
      <c r="R915" s="1"/>
      <c r="S915" s="1"/>
      <c r="T915" s="1"/>
      <c r="U915" s="1"/>
      <c r="V915" s="1"/>
      <c r="W915" s="1"/>
      <c r="X915" s="1"/>
      <c r="Y915" s="1"/>
      <c r="Z915" s="1"/>
      <c r="AA915" s="1"/>
    </row>
    <row r="916" customFormat="false" ht="15.75" hidden="false" customHeight="true" outlineLevel="0" collapsed="false">
      <c r="P916" s="1"/>
      <c r="Q916" s="1"/>
      <c r="R916" s="1"/>
      <c r="S916" s="1"/>
      <c r="T916" s="1"/>
      <c r="U916" s="1"/>
      <c r="V916" s="1"/>
      <c r="W916" s="1"/>
      <c r="X916" s="1"/>
      <c r="Y916" s="1"/>
      <c r="Z916" s="1"/>
      <c r="AA916" s="1"/>
    </row>
    <row r="917" customFormat="false" ht="15.75" hidden="false" customHeight="true" outlineLevel="0" collapsed="false">
      <c r="P917" s="1"/>
      <c r="Q917" s="1"/>
      <c r="R917" s="1"/>
      <c r="S917" s="1"/>
      <c r="T917" s="1"/>
      <c r="U917" s="1"/>
      <c r="V917" s="1"/>
      <c r="W917" s="1"/>
      <c r="X917" s="1"/>
      <c r="Y917" s="1"/>
      <c r="Z917" s="1"/>
      <c r="AA917" s="1"/>
    </row>
    <row r="918" customFormat="false" ht="15.75" hidden="false" customHeight="true" outlineLevel="0" collapsed="false">
      <c r="P918" s="1"/>
      <c r="Q918" s="1"/>
      <c r="R918" s="1"/>
      <c r="S918" s="1"/>
      <c r="T918" s="1"/>
      <c r="U918" s="1"/>
      <c r="V918" s="1"/>
      <c r="W918" s="1"/>
      <c r="X918" s="1"/>
      <c r="Y918" s="1"/>
      <c r="Z918" s="1"/>
      <c r="AA918" s="1"/>
    </row>
    <row r="919" customFormat="false" ht="15.75" hidden="false" customHeight="true" outlineLevel="0" collapsed="false">
      <c r="P919" s="1"/>
      <c r="Q919" s="1"/>
      <c r="R919" s="1"/>
      <c r="S919" s="1"/>
      <c r="T919" s="1"/>
      <c r="U919" s="1"/>
      <c r="V919" s="1"/>
      <c r="W919" s="1"/>
      <c r="X919" s="1"/>
      <c r="Y919" s="1"/>
      <c r="Z919" s="1"/>
      <c r="AA919" s="1"/>
    </row>
    <row r="920" customFormat="false" ht="15.75" hidden="false" customHeight="true" outlineLevel="0" collapsed="false">
      <c r="P920" s="1"/>
      <c r="Q920" s="1"/>
      <c r="R920" s="1"/>
      <c r="S920" s="1"/>
      <c r="T920" s="1"/>
      <c r="U920" s="1"/>
      <c r="V920" s="1"/>
      <c r="W920" s="1"/>
      <c r="X920" s="1"/>
      <c r="Y920" s="1"/>
      <c r="Z920" s="1"/>
      <c r="AA920" s="1"/>
    </row>
    <row r="921" customFormat="false" ht="15.75" hidden="false" customHeight="true" outlineLevel="0" collapsed="false">
      <c r="P921" s="1"/>
      <c r="Q921" s="1"/>
      <c r="R921" s="1"/>
      <c r="S921" s="1"/>
      <c r="T921" s="1"/>
      <c r="U921" s="1"/>
      <c r="V921" s="1"/>
      <c r="W921" s="1"/>
      <c r="X921" s="1"/>
      <c r="Y921" s="1"/>
      <c r="Z921" s="1"/>
      <c r="AA921" s="1"/>
    </row>
    <row r="922" customFormat="false" ht="15.75" hidden="false" customHeight="true" outlineLevel="0" collapsed="false">
      <c r="P922" s="1"/>
      <c r="Q922" s="1"/>
      <c r="R922" s="1"/>
      <c r="S922" s="1"/>
      <c r="T922" s="1"/>
      <c r="U922" s="1"/>
      <c r="V922" s="1"/>
      <c r="W922" s="1"/>
      <c r="X922" s="1"/>
      <c r="Y922" s="1"/>
      <c r="Z922" s="1"/>
      <c r="AA922" s="1"/>
    </row>
    <row r="923" customFormat="false" ht="15.75" hidden="false" customHeight="true" outlineLevel="0" collapsed="false">
      <c r="P923" s="1"/>
      <c r="Q923" s="1"/>
      <c r="R923" s="1"/>
      <c r="S923" s="1"/>
      <c r="T923" s="1"/>
      <c r="U923" s="1"/>
      <c r="V923" s="1"/>
      <c r="W923" s="1"/>
      <c r="X923" s="1"/>
      <c r="Y923" s="1"/>
      <c r="Z923" s="1"/>
      <c r="AA923" s="1"/>
    </row>
    <row r="924" customFormat="false" ht="15.75" hidden="false" customHeight="true" outlineLevel="0" collapsed="false">
      <c r="P924" s="1"/>
      <c r="Q924" s="1"/>
      <c r="R924" s="1"/>
      <c r="S924" s="1"/>
      <c r="T924" s="1"/>
      <c r="U924" s="1"/>
      <c r="V924" s="1"/>
      <c r="W924" s="1"/>
      <c r="X924" s="1"/>
      <c r="Y924" s="1"/>
      <c r="Z924" s="1"/>
      <c r="AA924" s="1"/>
    </row>
    <row r="925" customFormat="false" ht="15.75" hidden="false" customHeight="true" outlineLevel="0" collapsed="false">
      <c r="P925" s="1"/>
      <c r="Q925" s="1"/>
      <c r="R925" s="1"/>
      <c r="S925" s="1"/>
      <c r="T925" s="1"/>
      <c r="U925" s="1"/>
      <c r="V925" s="1"/>
      <c r="W925" s="1"/>
      <c r="X925" s="1"/>
      <c r="Y925" s="1"/>
      <c r="Z925" s="1"/>
      <c r="AA925" s="1"/>
    </row>
    <row r="926" customFormat="false" ht="15.75" hidden="false" customHeight="true" outlineLevel="0" collapsed="false">
      <c r="P926" s="1"/>
      <c r="Q926" s="1"/>
      <c r="R926" s="1"/>
      <c r="S926" s="1"/>
      <c r="T926" s="1"/>
      <c r="U926" s="1"/>
      <c r="V926" s="1"/>
      <c r="W926" s="1"/>
      <c r="X926" s="1"/>
      <c r="Y926" s="1"/>
      <c r="Z926" s="1"/>
      <c r="AA926" s="1"/>
    </row>
    <row r="927" customFormat="false" ht="15.75" hidden="false" customHeight="true" outlineLevel="0" collapsed="false">
      <c r="P927" s="1"/>
      <c r="Q927" s="1"/>
      <c r="R927" s="1"/>
      <c r="S927" s="1"/>
      <c r="T927" s="1"/>
      <c r="U927" s="1"/>
      <c r="V927" s="1"/>
      <c r="W927" s="1"/>
      <c r="X927" s="1"/>
      <c r="Y927" s="1"/>
      <c r="Z927" s="1"/>
      <c r="AA927" s="1"/>
    </row>
    <row r="928" customFormat="false" ht="15.75" hidden="false" customHeight="true" outlineLevel="0" collapsed="false">
      <c r="P928" s="1"/>
      <c r="Q928" s="1"/>
      <c r="R928" s="1"/>
      <c r="S928" s="1"/>
      <c r="T928" s="1"/>
      <c r="U928" s="1"/>
      <c r="V928" s="1"/>
      <c r="W928" s="1"/>
      <c r="X928" s="1"/>
      <c r="Y928" s="1"/>
      <c r="Z928" s="1"/>
      <c r="AA928" s="1"/>
    </row>
    <row r="929" customFormat="false" ht="15.75" hidden="false" customHeight="true" outlineLevel="0" collapsed="false">
      <c r="P929" s="1"/>
      <c r="Q929" s="1"/>
      <c r="R929" s="1"/>
      <c r="S929" s="1"/>
      <c r="T929" s="1"/>
      <c r="U929" s="1"/>
      <c r="V929" s="1"/>
      <c r="W929" s="1"/>
      <c r="X929" s="1"/>
      <c r="Y929" s="1"/>
      <c r="Z929" s="1"/>
      <c r="AA929" s="1"/>
    </row>
    <row r="930" customFormat="false" ht="15.75" hidden="false" customHeight="true" outlineLevel="0" collapsed="false">
      <c r="P930" s="1"/>
      <c r="Q930" s="1"/>
      <c r="R930" s="1"/>
      <c r="S930" s="1"/>
      <c r="T930" s="1"/>
      <c r="U930" s="1"/>
      <c r="V930" s="1"/>
      <c r="W930" s="1"/>
      <c r="X930" s="1"/>
      <c r="Y930" s="1"/>
      <c r="Z930" s="1"/>
      <c r="AA930" s="1"/>
    </row>
    <row r="931" customFormat="false" ht="15.75" hidden="false" customHeight="true" outlineLevel="0" collapsed="false">
      <c r="P931" s="1"/>
      <c r="Q931" s="1"/>
      <c r="R931" s="1"/>
      <c r="S931" s="1"/>
      <c r="T931" s="1"/>
      <c r="U931" s="1"/>
      <c r="V931" s="1"/>
      <c r="W931" s="1"/>
      <c r="X931" s="1"/>
      <c r="Y931" s="1"/>
      <c r="Z931" s="1"/>
      <c r="AA931" s="1"/>
    </row>
    <row r="932" customFormat="false" ht="15.75" hidden="false" customHeight="true" outlineLevel="0" collapsed="false">
      <c r="P932" s="1"/>
      <c r="Q932" s="1"/>
      <c r="R932" s="1"/>
      <c r="S932" s="1"/>
      <c r="T932" s="1"/>
      <c r="U932" s="1"/>
      <c r="V932" s="1"/>
      <c r="W932" s="1"/>
      <c r="X932" s="1"/>
      <c r="Y932" s="1"/>
      <c r="Z932" s="1"/>
      <c r="AA932" s="1"/>
    </row>
    <row r="933" customFormat="false" ht="15.75" hidden="false" customHeight="true" outlineLevel="0" collapsed="false">
      <c r="P933" s="1"/>
      <c r="Q933" s="1"/>
      <c r="R933" s="1"/>
      <c r="S933" s="1"/>
      <c r="T933" s="1"/>
      <c r="U933" s="1"/>
      <c r="V933" s="1"/>
      <c r="W933" s="1"/>
      <c r="X933" s="1"/>
      <c r="Y933" s="1"/>
      <c r="Z933" s="1"/>
      <c r="AA933" s="1"/>
    </row>
    <row r="934" customFormat="false" ht="15.75" hidden="false" customHeight="true" outlineLevel="0" collapsed="false">
      <c r="P934" s="1"/>
      <c r="Q934" s="1"/>
      <c r="R934" s="1"/>
      <c r="S934" s="1"/>
      <c r="T934" s="1"/>
      <c r="U934" s="1"/>
      <c r="V934" s="1"/>
      <c r="W934" s="1"/>
      <c r="X934" s="1"/>
      <c r="Y934" s="1"/>
      <c r="Z934" s="1"/>
      <c r="AA934" s="1"/>
    </row>
    <row r="935" customFormat="false" ht="15.75" hidden="false" customHeight="true" outlineLevel="0" collapsed="false">
      <c r="P935" s="1"/>
      <c r="Q935" s="1"/>
      <c r="R935" s="1"/>
      <c r="S935" s="1"/>
      <c r="T935" s="1"/>
      <c r="U935" s="1"/>
      <c r="V935" s="1"/>
      <c r="W935" s="1"/>
      <c r="X935" s="1"/>
      <c r="Y935" s="1"/>
      <c r="Z935" s="1"/>
      <c r="AA935" s="1"/>
    </row>
    <row r="936" customFormat="false" ht="15.75" hidden="false" customHeight="true" outlineLevel="0" collapsed="false">
      <c r="P936" s="1"/>
      <c r="Q936" s="1"/>
      <c r="R936" s="1"/>
      <c r="S936" s="1"/>
      <c r="T936" s="1"/>
      <c r="U936" s="1"/>
      <c r="V936" s="1"/>
      <c r="W936" s="1"/>
      <c r="X936" s="1"/>
      <c r="Y936" s="1"/>
      <c r="Z936" s="1"/>
      <c r="AA936" s="1"/>
    </row>
    <row r="937" customFormat="false" ht="15.75" hidden="false" customHeight="true" outlineLevel="0" collapsed="false">
      <c r="P937" s="1"/>
      <c r="Q937" s="1"/>
      <c r="R937" s="1"/>
      <c r="S937" s="1"/>
      <c r="T937" s="1"/>
      <c r="U937" s="1"/>
      <c r="V937" s="1"/>
      <c r="W937" s="1"/>
      <c r="X937" s="1"/>
      <c r="Y937" s="1"/>
      <c r="Z937" s="1"/>
      <c r="AA937" s="1"/>
    </row>
    <row r="938" customFormat="false" ht="15.75" hidden="false" customHeight="true" outlineLevel="0" collapsed="false">
      <c r="P938" s="1"/>
      <c r="Q938" s="1"/>
      <c r="R938" s="1"/>
      <c r="S938" s="1"/>
      <c r="T938" s="1"/>
      <c r="U938" s="1"/>
      <c r="V938" s="1"/>
      <c r="W938" s="1"/>
      <c r="X938" s="1"/>
      <c r="Y938" s="1"/>
      <c r="Z938" s="1"/>
      <c r="AA938" s="1"/>
    </row>
    <row r="939" customFormat="false" ht="15.75" hidden="false" customHeight="true" outlineLevel="0" collapsed="false">
      <c r="P939" s="1"/>
      <c r="Q939" s="1"/>
      <c r="R939" s="1"/>
      <c r="S939" s="1"/>
      <c r="T939" s="1"/>
      <c r="U939" s="1"/>
      <c r="V939" s="1"/>
      <c r="W939" s="1"/>
      <c r="X939" s="1"/>
      <c r="Y939" s="1"/>
      <c r="Z939" s="1"/>
      <c r="AA939" s="1"/>
    </row>
    <row r="940" customFormat="false" ht="15.75" hidden="false" customHeight="true" outlineLevel="0" collapsed="false">
      <c r="P940" s="1"/>
      <c r="Q940" s="1"/>
      <c r="R940" s="1"/>
      <c r="S940" s="1"/>
      <c r="T940" s="1"/>
      <c r="U940" s="1"/>
      <c r="V940" s="1"/>
      <c r="W940" s="1"/>
      <c r="X940" s="1"/>
      <c r="Y940" s="1"/>
      <c r="Z940" s="1"/>
      <c r="AA940" s="1"/>
    </row>
    <row r="941" customFormat="false" ht="15.75" hidden="false" customHeight="true" outlineLevel="0" collapsed="false">
      <c r="P941" s="1"/>
      <c r="Q941" s="1"/>
      <c r="R941" s="1"/>
      <c r="S941" s="1"/>
      <c r="T941" s="1"/>
      <c r="U941" s="1"/>
      <c r="V941" s="1"/>
      <c r="W941" s="1"/>
      <c r="X941" s="1"/>
      <c r="Y941" s="1"/>
      <c r="Z941" s="1"/>
      <c r="AA941" s="1"/>
    </row>
    <row r="942" customFormat="false" ht="15.75" hidden="false" customHeight="true" outlineLevel="0" collapsed="false">
      <c r="P942" s="1"/>
      <c r="Q942" s="1"/>
      <c r="R942" s="1"/>
      <c r="S942" s="1"/>
      <c r="T942" s="1"/>
      <c r="U942" s="1"/>
      <c r="V942" s="1"/>
      <c r="W942" s="1"/>
      <c r="X942" s="1"/>
      <c r="Y942" s="1"/>
      <c r="Z942" s="1"/>
      <c r="AA942" s="1"/>
    </row>
    <row r="943" customFormat="false" ht="15.75" hidden="false" customHeight="true" outlineLevel="0" collapsed="false">
      <c r="P943" s="1"/>
      <c r="Q943" s="1"/>
      <c r="R943" s="1"/>
      <c r="S943" s="1"/>
      <c r="T943" s="1"/>
      <c r="U943" s="1"/>
      <c r="V943" s="1"/>
      <c r="W943" s="1"/>
      <c r="X943" s="1"/>
      <c r="Y943" s="1"/>
      <c r="Z943" s="1"/>
      <c r="AA943" s="1"/>
    </row>
    <row r="944" customFormat="false" ht="15.75" hidden="false" customHeight="true" outlineLevel="0" collapsed="false">
      <c r="P944" s="1"/>
      <c r="Q944" s="1"/>
      <c r="R944" s="1"/>
      <c r="S944" s="1"/>
      <c r="T944" s="1"/>
      <c r="U944" s="1"/>
      <c r="V944" s="1"/>
      <c r="W944" s="1"/>
      <c r="X944" s="1"/>
      <c r="Y944" s="1"/>
      <c r="Z944" s="1"/>
      <c r="AA944" s="1"/>
    </row>
    <row r="945" customFormat="false" ht="15.75" hidden="false" customHeight="true" outlineLevel="0" collapsed="false">
      <c r="P945" s="1"/>
      <c r="Q945" s="1"/>
      <c r="R945" s="1"/>
      <c r="S945" s="1"/>
      <c r="T945" s="1"/>
      <c r="U945" s="1"/>
      <c r="V945" s="1"/>
      <c r="W945" s="1"/>
      <c r="X945" s="1"/>
      <c r="Y945" s="1"/>
      <c r="Z945" s="1"/>
      <c r="AA945" s="1"/>
    </row>
    <row r="946" customFormat="false" ht="15.75" hidden="false" customHeight="true" outlineLevel="0" collapsed="false">
      <c r="P946" s="1"/>
      <c r="Q946" s="1"/>
      <c r="R946" s="1"/>
      <c r="S946" s="1"/>
      <c r="T946" s="1"/>
      <c r="U946" s="1"/>
      <c r="V946" s="1"/>
      <c r="W946" s="1"/>
      <c r="X946" s="1"/>
      <c r="Y946" s="1"/>
      <c r="Z946" s="1"/>
      <c r="AA946" s="1"/>
    </row>
    <row r="947" customFormat="false" ht="15.75" hidden="false" customHeight="true" outlineLevel="0" collapsed="false">
      <c r="P947" s="1"/>
      <c r="Q947" s="1"/>
      <c r="R947" s="1"/>
      <c r="S947" s="1"/>
      <c r="T947" s="1"/>
      <c r="U947" s="1"/>
      <c r="V947" s="1"/>
      <c r="W947" s="1"/>
      <c r="X947" s="1"/>
      <c r="Y947" s="1"/>
      <c r="Z947" s="1"/>
      <c r="AA947" s="1"/>
    </row>
    <row r="948" customFormat="false" ht="15.75" hidden="false" customHeight="true" outlineLevel="0" collapsed="false">
      <c r="P948" s="1"/>
      <c r="Q948" s="1"/>
      <c r="R948" s="1"/>
      <c r="S948" s="1"/>
      <c r="T948" s="1"/>
      <c r="U948" s="1"/>
      <c r="V948" s="1"/>
      <c r="W948" s="1"/>
      <c r="X948" s="1"/>
      <c r="Y948" s="1"/>
      <c r="Z948" s="1"/>
      <c r="AA948" s="1"/>
    </row>
    <row r="949" customFormat="false" ht="15.75" hidden="false" customHeight="true" outlineLevel="0" collapsed="false">
      <c r="P949" s="1"/>
      <c r="Q949" s="1"/>
      <c r="R949" s="1"/>
      <c r="S949" s="1"/>
      <c r="T949" s="1"/>
      <c r="U949" s="1"/>
      <c r="V949" s="1"/>
      <c r="W949" s="1"/>
      <c r="X949" s="1"/>
      <c r="Y949" s="1"/>
      <c r="Z949" s="1"/>
      <c r="AA949" s="1"/>
    </row>
    <row r="950" customFormat="false" ht="15.75" hidden="false" customHeight="true" outlineLevel="0" collapsed="false">
      <c r="P950" s="1"/>
      <c r="Q950" s="1"/>
      <c r="R950" s="1"/>
      <c r="S950" s="1"/>
      <c r="T950" s="1"/>
      <c r="U950" s="1"/>
      <c r="V950" s="1"/>
      <c r="W950" s="1"/>
      <c r="X950" s="1"/>
      <c r="Y950" s="1"/>
      <c r="Z950" s="1"/>
      <c r="AA950" s="1"/>
    </row>
    <row r="951" customFormat="false" ht="15.75" hidden="false" customHeight="true" outlineLevel="0" collapsed="false">
      <c r="P951" s="1"/>
      <c r="Q951" s="1"/>
      <c r="R951" s="1"/>
      <c r="S951" s="1"/>
      <c r="T951" s="1"/>
      <c r="U951" s="1"/>
      <c r="V951" s="1"/>
      <c r="W951" s="1"/>
      <c r="X951" s="1"/>
      <c r="Y951" s="1"/>
      <c r="Z951" s="1"/>
      <c r="AA951" s="1"/>
    </row>
    <row r="952" customFormat="false" ht="15.75" hidden="false" customHeight="true" outlineLevel="0" collapsed="false">
      <c r="P952" s="1"/>
      <c r="Q952" s="1"/>
      <c r="R952" s="1"/>
      <c r="S952" s="1"/>
      <c r="T952" s="1"/>
      <c r="U952" s="1"/>
      <c r="V952" s="1"/>
      <c r="W952" s="1"/>
      <c r="X952" s="1"/>
      <c r="Y952" s="1"/>
      <c r="Z952" s="1"/>
      <c r="AA952" s="1"/>
    </row>
    <row r="953" customFormat="false" ht="15.75" hidden="false" customHeight="true" outlineLevel="0" collapsed="false">
      <c r="P953" s="1"/>
      <c r="Q953" s="1"/>
      <c r="R953" s="1"/>
      <c r="S953" s="1"/>
      <c r="T953" s="1"/>
      <c r="U953" s="1"/>
      <c r="V953" s="1"/>
      <c r="W953" s="1"/>
      <c r="X953" s="1"/>
      <c r="Y953" s="1"/>
      <c r="Z953" s="1"/>
      <c r="AA953" s="1"/>
    </row>
    <row r="954" customFormat="false" ht="15.75" hidden="false" customHeight="true" outlineLevel="0" collapsed="false">
      <c r="P954" s="1"/>
      <c r="Q954" s="1"/>
      <c r="R954" s="1"/>
      <c r="S954" s="1"/>
      <c r="T954" s="1"/>
      <c r="U954" s="1"/>
      <c r="V954" s="1"/>
      <c r="W954" s="1"/>
      <c r="X954" s="1"/>
      <c r="Y954" s="1"/>
      <c r="Z954" s="1"/>
      <c r="AA954" s="1"/>
    </row>
    <row r="955" customFormat="false" ht="15.75" hidden="false" customHeight="true" outlineLevel="0" collapsed="false">
      <c r="P955" s="1"/>
      <c r="Q955" s="1"/>
      <c r="R955" s="1"/>
      <c r="S955" s="1"/>
      <c r="T955" s="1"/>
      <c r="U955" s="1"/>
      <c r="V955" s="1"/>
      <c r="W955" s="1"/>
      <c r="X955" s="1"/>
      <c r="Y955" s="1"/>
      <c r="Z955" s="1"/>
      <c r="AA955" s="1"/>
    </row>
    <row r="956" customFormat="false" ht="15.75" hidden="false" customHeight="true" outlineLevel="0" collapsed="false">
      <c r="P956" s="1"/>
      <c r="Q956" s="1"/>
      <c r="R956" s="1"/>
      <c r="S956" s="1"/>
      <c r="T956" s="1"/>
      <c r="U956" s="1"/>
      <c r="V956" s="1"/>
      <c r="W956" s="1"/>
      <c r="X956" s="1"/>
      <c r="Y956" s="1"/>
      <c r="Z956" s="1"/>
      <c r="AA956" s="1"/>
    </row>
    <row r="957" customFormat="false" ht="15.75" hidden="false" customHeight="true" outlineLevel="0" collapsed="false">
      <c r="P957" s="1"/>
      <c r="Q957" s="1"/>
      <c r="R957" s="1"/>
      <c r="S957" s="1"/>
      <c r="T957" s="1"/>
      <c r="U957" s="1"/>
      <c r="V957" s="1"/>
      <c r="W957" s="1"/>
      <c r="X957" s="1"/>
      <c r="Y957" s="1"/>
      <c r="Z957" s="1"/>
      <c r="AA957" s="1"/>
    </row>
    <row r="958" customFormat="false" ht="15.75" hidden="false" customHeight="true" outlineLevel="0" collapsed="false">
      <c r="P958" s="1"/>
      <c r="Q958" s="1"/>
      <c r="R958" s="1"/>
      <c r="S958" s="1"/>
      <c r="T958" s="1"/>
      <c r="U958" s="1"/>
      <c r="V958" s="1"/>
      <c r="W958" s="1"/>
      <c r="X958" s="1"/>
      <c r="Y958" s="1"/>
      <c r="Z958" s="1"/>
      <c r="AA958" s="1"/>
    </row>
    <row r="959" customFormat="false" ht="15.75" hidden="false" customHeight="true" outlineLevel="0" collapsed="false">
      <c r="P959" s="1"/>
      <c r="Q959" s="1"/>
      <c r="R959" s="1"/>
      <c r="S959" s="1"/>
      <c r="T959" s="1"/>
      <c r="U959" s="1"/>
      <c r="V959" s="1"/>
      <c r="W959" s="1"/>
      <c r="X959" s="1"/>
      <c r="Y959" s="1"/>
      <c r="Z959" s="1"/>
      <c r="AA959" s="1"/>
    </row>
    <row r="960" customFormat="false" ht="15.75" hidden="false" customHeight="true" outlineLevel="0" collapsed="false">
      <c r="P960" s="1"/>
      <c r="Q960" s="1"/>
      <c r="R960" s="1"/>
      <c r="S960" s="1"/>
      <c r="T960" s="1"/>
      <c r="U960" s="1"/>
      <c r="V960" s="1"/>
      <c r="W960" s="1"/>
      <c r="X960" s="1"/>
      <c r="Y960" s="1"/>
      <c r="Z960" s="1"/>
      <c r="AA960" s="1"/>
    </row>
    <row r="961" customFormat="false" ht="15.75" hidden="false" customHeight="true" outlineLevel="0" collapsed="false">
      <c r="P961" s="1"/>
      <c r="Q961" s="1"/>
      <c r="R961" s="1"/>
      <c r="S961" s="1"/>
      <c r="T961" s="1"/>
      <c r="U961" s="1"/>
      <c r="V961" s="1"/>
      <c r="W961" s="1"/>
      <c r="X961" s="1"/>
      <c r="Y961" s="1"/>
      <c r="Z961" s="1"/>
      <c r="AA961" s="1"/>
    </row>
    <row r="962" customFormat="false" ht="15.75" hidden="false" customHeight="true" outlineLevel="0" collapsed="false">
      <c r="P962" s="1"/>
      <c r="Q962" s="1"/>
      <c r="R962" s="1"/>
      <c r="S962" s="1"/>
      <c r="T962" s="1"/>
      <c r="U962" s="1"/>
      <c r="V962" s="1"/>
      <c r="W962" s="1"/>
      <c r="X962" s="1"/>
      <c r="Y962" s="1"/>
      <c r="Z962" s="1"/>
      <c r="AA962" s="1"/>
    </row>
    <row r="963" customFormat="false" ht="15.75" hidden="false" customHeight="true" outlineLevel="0" collapsed="false">
      <c r="P963" s="1"/>
      <c r="Q963" s="1"/>
      <c r="R963" s="1"/>
      <c r="S963" s="1"/>
      <c r="T963" s="1"/>
      <c r="U963" s="1"/>
      <c r="V963" s="1"/>
      <c r="W963" s="1"/>
      <c r="X963" s="1"/>
      <c r="Y963" s="1"/>
      <c r="Z963" s="1"/>
      <c r="AA963" s="1"/>
    </row>
    <row r="964" customFormat="false" ht="15.75" hidden="false" customHeight="true" outlineLevel="0" collapsed="false">
      <c r="P964" s="1"/>
      <c r="Q964" s="1"/>
      <c r="R964" s="1"/>
      <c r="S964" s="1"/>
      <c r="T964" s="1"/>
      <c r="U964" s="1"/>
      <c r="V964" s="1"/>
      <c r="W964" s="1"/>
      <c r="X964" s="1"/>
      <c r="Y964" s="1"/>
      <c r="Z964" s="1"/>
      <c r="AA964" s="1"/>
    </row>
    <row r="965" customFormat="false" ht="15.75" hidden="false" customHeight="true" outlineLevel="0" collapsed="false">
      <c r="P965" s="1"/>
      <c r="Q965" s="1"/>
      <c r="R965" s="1"/>
      <c r="S965" s="1"/>
      <c r="T965" s="1"/>
      <c r="U965" s="1"/>
      <c r="V965" s="1"/>
      <c r="W965" s="1"/>
      <c r="X965" s="1"/>
      <c r="Y965" s="1"/>
      <c r="Z965" s="1"/>
      <c r="AA965" s="1"/>
    </row>
    <row r="966" customFormat="false" ht="15.75" hidden="false" customHeight="true" outlineLevel="0" collapsed="false">
      <c r="P966" s="1"/>
      <c r="Q966" s="1"/>
      <c r="R966" s="1"/>
      <c r="S966" s="1"/>
      <c r="T966" s="1"/>
      <c r="U966" s="1"/>
      <c r="V966" s="1"/>
      <c r="W966" s="1"/>
      <c r="X966" s="1"/>
      <c r="Y966" s="1"/>
      <c r="Z966" s="1"/>
      <c r="AA966" s="1"/>
    </row>
    <row r="967" customFormat="false" ht="15.75" hidden="false" customHeight="true" outlineLevel="0" collapsed="false">
      <c r="P967" s="1"/>
      <c r="Q967" s="1"/>
      <c r="R967" s="1"/>
      <c r="S967" s="1"/>
      <c r="T967" s="1"/>
      <c r="U967" s="1"/>
      <c r="V967" s="1"/>
      <c r="W967" s="1"/>
      <c r="X967" s="1"/>
      <c r="Y967" s="1"/>
      <c r="Z967" s="1"/>
      <c r="AA967" s="1"/>
    </row>
    <row r="968" customFormat="false" ht="15.75" hidden="false" customHeight="true" outlineLevel="0" collapsed="false">
      <c r="P968" s="1"/>
      <c r="Q968" s="1"/>
      <c r="R968" s="1"/>
      <c r="S968" s="1"/>
      <c r="T968" s="1"/>
      <c r="U968" s="1"/>
      <c r="V968" s="1"/>
      <c r="W968" s="1"/>
      <c r="X968" s="1"/>
      <c r="Y968" s="1"/>
      <c r="Z968" s="1"/>
      <c r="AA968" s="1"/>
    </row>
    <row r="969" customFormat="false" ht="15.75" hidden="false" customHeight="true" outlineLevel="0" collapsed="false">
      <c r="P969" s="1"/>
      <c r="Q969" s="1"/>
      <c r="R969" s="1"/>
      <c r="S969" s="1"/>
      <c r="T969" s="1"/>
      <c r="U969" s="1"/>
      <c r="V969" s="1"/>
      <c r="W969" s="1"/>
      <c r="X969" s="1"/>
      <c r="Y969" s="1"/>
      <c r="Z969" s="1"/>
      <c r="AA969" s="1"/>
    </row>
    <row r="970" customFormat="false" ht="15.75" hidden="false" customHeight="true" outlineLevel="0" collapsed="false">
      <c r="P970" s="1"/>
      <c r="Q970" s="1"/>
      <c r="R970" s="1"/>
      <c r="S970" s="1"/>
      <c r="T970" s="1"/>
      <c r="U970" s="1"/>
      <c r="V970" s="1"/>
      <c r="W970" s="1"/>
      <c r="X970" s="1"/>
      <c r="Y970" s="1"/>
      <c r="Z970" s="1"/>
      <c r="AA970" s="1"/>
    </row>
    <row r="971" customFormat="false" ht="15.75" hidden="false" customHeight="true" outlineLevel="0" collapsed="false">
      <c r="P971" s="1"/>
      <c r="Q971" s="1"/>
      <c r="R971" s="1"/>
      <c r="S971" s="1"/>
      <c r="T971" s="1"/>
      <c r="U971" s="1"/>
      <c r="V971" s="1"/>
      <c r="W971" s="1"/>
      <c r="X971" s="1"/>
      <c r="Y971" s="1"/>
      <c r="Z971" s="1"/>
      <c r="AA971" s="1"/>
    </row>
    <row r="972" customFormat="false" ht="15.75" hidden="false" customHeight="true" outlineLevel="0" collapsed="false">
      <c r="P972" s="1"/>
      <c r="Q972" s="1"/>
      <c r="R972" s="1"/>
      <c r="S972" s="1"/>
      <c r="T972" s="1"/>
      <c r="U972" s="1"/>
      <c r="V972" s="1"/>
      <c r="W972" s="1"/>
      <c r="X972" s="1"/>
      <c r="Y972" s="1"/>
      <c r="Z972" s="1"/>
      <c r="AA972" s="1"/>
    </row>
    <row r="973" customFormat="false" ht="15.75" hidden="false" customHeight="true" outlineLevel="0" collapsed="false">
      <c r="P973" s="1"/>
      <c r="Q973" s="1"/>
      <c r="R973" s="1"/>
      <c r="S973" s="1"/>
      <c r="T973" s="1"/>
      <c r="U973" s="1"/>
      <c r="V973" s="1"/>
      <c r="W973" s="1"/>
      <c r="X973" s="1"/>
      <c r="Y973" s="1"/>
      <c r="Z973" s="1"/>
      <c r="AA973" s="1"/>
    </row>
    <row r="974" customFormat="false" ht="15.75" hidden="false" customHeight="true" outlineLevel="0" collapsed="false">
      <c r="P974" s="1"/>
      <c r="Q974" s="1"/>
      <c r="R974" s="1"/>
      <c r="S974" s="1"/>
      <c r="T974" s="1"/>
      <c r="U974" s="1"/>
      <c r="V974" s="1"/>
      <c r="W974" s="1"/>
      <c r="X974" s="1"/>
      <c r="Y974" s="1"/>
      <c r="Z974" s="1"/>
      <c r="AA974" s="1"/>
    </row>
    <row r="975" customFormat="false" ht="15.75" hidden="false" customHeight="true" outlineLevel="0" collapsed="false">
      <c r="P975" s="1"/>
      <c r="Q975" s="1"/>
      <c r="R975" s="1"/>
      <c r="S975" s="1"/>
      <c r="T975" s="1"/>
      <c r="U975" s="1"/>
      <c r="V975" s="1"/>
      <c r="W975" s="1"/>
      <c r="X975" s="1"/>
      <c r="Y975" s="1"/>
      <c r="Z975" s="1"/>
      <c r="AA975" s="1"/>
    </row>
    <row r="976" customFormat="false" ht="15.75" hidden="false" customHeight="true" outlineLevel="0" collapsed="false">
      <c r="P976" s="1"/>
      <c r="Q976" s="1"/>
      <c r="R976" s="1"/>
      <c r="S976" s="1"/>
      <c r="T976" s="1"/>
      <c r="U976" s="1"/>
      <c r="V976" s="1"/>
      <c r="W976" s="1"/>
      <c r="X976" s="1"/>
      <c r="Y976" s="1"/>
      <c r="Z976" s="1"/>
      <c r="AA976" s="1"/>
    </row>
    <row r="977" customFormat="false" ht="15.75" hidden="false" customHeight="true" outlineLevel="0" collapsed="false">
      <c r="P977" s="1"/>
      <c r="Q977" s="1"/>
      <c r="R977" s="1"/>
      <c r="S977" s="1"/>
      <c r="T977" s="1"/>
      <c r="U977" s="1"/>
      <c r="V977" s="1"/>
      <c r="W977" s="1"/>
      <c r="X977" s="1"/>
      <c r="Y977" s="1"/>
      <c r="Z977" s="1"/>
      <c r="AA977" s="1"/>
    </row>
    <row r="978" customFormat="false" ht="15.75" hidden="false" customHeight="true" outlineLevel="0" collapsed="false">
      <c r="P978" s="1"/>
      <c r="Q978" s="1"/>
      <c r="R978" s="1"/>
      <c r="S978" s="1"/>
      <c r="T978" s="1"/>
      <c r="U978" s="1"/>
      <c r="V978" s="1"/>
      <c r="W978" s="1"/>
      <c r="X978" s="1"/>
      <c r="Y978" s="1"/>
      <c r="Z978" s="1"/>
      <c r="AA978" s="1"/>
    </row>
    <row r="979" customFormat="false" ht="15.75" hidden="false" customHeight="true" outlineLevel="0" collapsed="false">
      <c r="P979" s="1"/>
      <c r="Q979" s="1"/>
      <c r="R979" s="1"/>
      <c r="S979" s="1"/>
      <c r="T979" s="1"/>
      <c r="U979" s="1"/>
      <c r="V979" s="1"/>
      <c r="W979" s="1"/>
      <c r="X979" s="1"/>
      <c r="Y979" s="1"/>
      <c r="Z979" s="1"/>
      <c r="AA979" s="1"/>
    </row>
    <row r="980" customFormat="false" ht="15.75" hidden="false" customHeight="true" outlineLevel="0" collapsed="false">
      <c r="P980" s="1"/>
      <c r="Q980" s="1"/>
      <c r="R980" s="1"/>
      <c r="S980" s="1"/>
      <c r="T980" s="1"/>
      <c r="U980" s="1"/>
      <c r="V980" s="1"/>
      <c r="W980" s="1"/>
      <c r="X980" s="1"/>
      <c r="Y980" s="1"/>
      <c r="Z980" s="1"/>
      <c r="AA980" s="1"/>
    </row>
    <row r="981" customFormat="false" ht="15.75" hidden="false" customHeight="true" outlineLevel="0" collapsed="false">
      <c r="P981" s="1"/>
      <c r="Q981" s="1"/>
      <c r="R981" s="1"/>
      <c r="S981" s="1"/>
      <c r="T981" s="1"/>
      <c r="U981" s="1"/>
      <c r="V981" s="1"/>
      <c r="W981" s="1"/>
      <c r="X981" s="1"/>
      <c r="Y981" s="1"/>
      <c r="Z981" s="1"/>
      <c r="AA981" s="1"/>
    </row>
    <row r="982" customFormat="false" ht="15.75" hidden="false" customHeight="true" outlineLevel="0" collapsed="false">
      <c r="P982" s="1"/>
      <c r="Q982" s="1"/>
      <c r="R982" s="1"/>
      <c r="S982" s="1"/>
      <c r="T982" s="1"/>
      <c r="U982" s="1"/>
      <c r="V982" s="1"/>
      <c r="W982" s="1"/>
      <c r="X982" s="1"/>
      <c r="Y982" s="1"/>
      <c r="Z982" s="1"/>
      <c r="AA982" s="1"/>
    </row>
    <row r="983" customFormat="false" ht="15.75" hidden="false" customHeight="true" outlineLevel="0" collapsed="false">
      <c r="P983" s="1"/>
      <c r="Q983" s="1"/>
      <c r="R983" s="1"/>
      <c r="S983" s="1"/>
      <c r="T983" s="1"/>
      <c r="U983" s="1"/>
      <c r="V983" s="1"/>
      <c r="W983" s="1"/>
      <c r="X983" s="1"/>
      <c r="Y983" s="1"/>
      <c r="Z983" s="1"/>
      <c r="AA983" s="1"/>
    </row>
    <row r="984" customFormat="false" ht="15.75" hidden="false" customHeight="true" outlineLevel="0" collapsed="false">
      <c r="P984" s="1"/>
      <c r="Q984" s="1"/>
      <c r="R984" s="1"/>
      <c r="S984" s="1"/>
      <c r="T984" s="1"/>
      <c r="U984" s="1"/>
      <c r="V984" s="1"/>
      <c r="W984" s="1"/>
      <c r="X984" s="1"/>
      <c r="Y984" s="1"/>
      <c r="Z984" s="1"/>
      <c r="AA984" s="1"/>
    </row>
    <row r="985" customFormat="false" ht="15.75" hidden="false" customHeight="true" outlineLevel="0" collapsed="false">
      <c r="P985" s="1"/>
      <c r="Q985" s="1"/>
      <c r="R985" s="1"/>
      <c r="S985" s="1"/>
      <c r="T985" s="1"/>
      <c r="U985" s="1"/>
      <c r="V985" s="1"/>
      <c r="W985" s="1"/>
      <c r="X985" s="1"/>
      <c r="Y985" s="1"/>
      <c r="Z985" s="1"/>
      <c r="AA985" s="1"/>
    </row>
    <row r="986" customFormat="false" ht="15.75" hidden="false" customHeight="true" outlineLevel="0" collapsed="false">
      <c r="P986" s="1"/>
      <c r="Q986" s="1"/>
      <c r="R986" s="1"/>
      <c r="S986" s="1"/>
      <c r="T986" s="1"/>
      <c r="U986" s="1"/>
      <c r="V986" s="1"/>
      <c r="W986" s="1"/>
      <c r="X986" s="1"/>
      <c r="Y986" s="1"/>
      <c r="Z986" s="1"/>
      <c r="AA986" s="1"/>
    </row>
    <row r="987" customFormat="false" ht="15.75" hidden="false" customHeight="true" outlineLevel="0" collapsed="false">
      <c r="P987" s="1"/>
      <c r="Q987" s="1"/>
      <c r="R987" s="1"/>
      <c r="S987" s="1"/>
      <c r="T987" s="1"/>
      <c r="U987" s="1"/>
      <c r="V987" s="1"/>
      <c r="W987" s="1"/>
      <c r="X987" s="1"/>
      <c r="Y987" s="1"/>
      <c r="Z987" s="1"/>
      <c r="AA987" s="1"/>
    </row>
    <row r="988" customFormat="false" ht="15.75" hidden="false" customHeight="true" outlineLevel="0" collapsed="false">
      <c r="P988" s="1"/>
      <c r="Q988" s="1"/>
      <c r="R988" s="1"/>
      <c r="S988" s="1"/>
      <c r="T988" s="1"/>
      <c r="U988" s="1"/>
      <c r="V988" s="1"/>
      <c r="W988" s="1"/>
      <c r="X988" s="1"/>
      <c r="Y988" s="1"/>
      <c r="Z988" s="1"/>
      <c r="AA988" s="1"/>
    </row>
    <row r="989" customFormat="false" ht="15.75" hidden="false" customHeight="true" outlineLevel="0" collapsed="false">
      <c r="P989" s="1"/>
      <c r="Q989" s="1"/>
      <c r="R989" s="1"/>
      <c r="S989" s="1"/>
      <c r="T989" s="1"/>
      <c r="U989" s="1"/>
      <c r="V989" s="1"/>
      <c r="W989" s="1"/>
      <c r="X989" s="1"/>
      <c r="Y989" s="1"/>
      <c r="Z989" s="1"/>
      <c r="AA989" s="1"/>
    </row>
    <row r="990" customFormat="false" ht="15.75" hidden="false" customHeight="true" outlineLevel="0" collapsed="false">
      <c r="P990" s="1"/>
      <c r="Q990" s="1"/>
      <c r="R990" s="1"/>
      <c r="S990" s="1"/>
      <c r="T990" s="1"/>
      <c r="U990" s="1"/>
      <c r="V990" s="1"/>
      <c r="W990" s="1"/>
      <c r="X990" s="1"/>
      <c r="Y990" s="1"/>
      <c r="Z990" s="1"/>
      <c r="AA990" s="1"/>
    </row>
    <row r="991" customFormat="false" ht="15.75" hidden="false" customHeight="true" outlineLevel="0" collapsed="false">
      <c r="P991" s="1"/>
      <c r="Q991" s="1"/>
      <c r="R991" s="1"/>
      <c r="S991" s="1"/>
      <c r="T991" s="1"/>
      <c r="U991" s="1"/>
      <c r="V991" s="1"/>
      <c r="W991" s="1"/>
      <c r="X991" s="1"/>
      <c r="Y991" s="1"/>
      <c r="Z991" s="1"/>
      <c r="AA991" s="1"/>
    </row>
    <row r="992" customFormat="false" ht="15.75" hidden="false" customHeight="true" outlineLevel="0" collapsed="false">
      <c r="P992" s="1"/>
      <c r="Q992" s="1"/>
      <c r="R992" s="1"/>
      <c r="S992" s="1"/>
      <c r="T992" s="1"/>
      <c r="U992" s="1"/>
      <c r="V992" s="1"/>
      <c r="W992" s="1"/>
      <c r="X992" s="1"/>
      <c r="Y992" s="1"/>
      <c r="Z992" s="1"/>
      <c r="AA992" s="1"/>
    </row>
    <row r="993" customFormat="false" ht="15.75" hidden="false" customHeight="true" outlineLevel="0" collapsed="false">
      <c r="P993" s="1"/>
      <c r="Q993" s="1"/>
      <c r="R993" s="1"/>
      <c r="S993" s="1"/>
      <c r="T993" s="1"/>
      <c r="U993" s="1"/>
      <c r="V993" s="1"/>
      <c r="W993" s="1"/>
      <c r="X993" s="1"/>
      <c r="Y993" s="1"/>
      <c r="Z993" s="1"/>
      <c r="AA993" s="1"/>
    </row>
    <row r="994" customFormat="false" ht="15.75" hidden="false" customHeight="true" outlineLevel="0" collapsed="false">
      <c r="P994" s="1"/>
      <c r="Q994" s="1"/>
      <c r="R994" s="1"/>
      <c r="S994" s="1"/>
      <c r="T994" s="1"/>
      <c r="U994" s="1"/>
      <c r="V994" s="1"/>
      <c r="W994" s="1"/>
      <c r="X994" s="1"/>
      <c r="Y994" s="1"/>
      <c r="Z994" s="1"/>
      <c r="AA994" s="1"/>
    </row>
    <row r="995" customFormat="false" ht="15.75" hidden="false" customHeight="true" outlineLevel="0" collapsed="false">
      <c r="P995" s="1"/>
      <c r="Q995" s="1"/>
      <c r="R995" s="1"/>
      <c r="S995" s="1"/>
      <c r="T995" s="1"/>
      <c r="U995" s="1"/>
      <c r="V995" s="1"/>
      <c r="W995" s="1"/>
      <c r="X995" s="1"/>
      <c r="Y995" s="1"/>
      <c r="Z995" s="1"/>
      <c r="AA995" s="1"/>
    </row>
    <row r="996" customFormat="false" ht="15.75" hidden="false" customHeight="true" outlineLevel="0" collapsed="false">
      <c r="P996" s="1"/>
      <c r="Q996" s="1"/>
      <c r="R996" s="1"/>
      <c r="S996" s="1"/>
      <c r="T996" s="1"/>
      <c r="U996" s="1"/>
      <c r="V996" s="1"/>
      <c r="W996" s="1"/>
      <c r="X996" s="1"/>
      <c r="Y996" s="1"/>
      <c r="Z996" s="1"/>
      <c r="AA996" s="1"/>
    </row>
    <row r="997" customFormat="false" ht="15.75" hidden="false" customHeight="true" outlineLevel="0" collapsed="false">
      <c r="P997" s="1"/>
      <c r="Q997" s="1"/>
      <c r="R997" s="1"/>
      <c r="S997" s="1"/>
      <c r="T997" s="1"/>
      <c r="U997" s="1"/>
      <c r="V997" s="1"/>
      <c r="W997" s="1"/>
      <c r="X997" s="1"/>
      <c r="Y997" s="1"/>
      <c r="Z997" s="1"/>
      <c r="AA997" s="1"/>
    </row>
    <row r="998" customFormat="false" ht="15.75" hidden="false" customHeight="true" outlineLevel="0" collapsed="false">
      <c r="P998" s="1"/>
      <c r="Q998" s="1"/>
      <c r="R998" s="1"/>
      <c r="S998" s="1"/>
      <c r="T998" s="1"/>
      <c r="U998" s="1"/>
      <c r="V998" s="1"/>
      <c r="W998" s="1"/>
      <c r="X998" s="1"/>
      <c r="Y998" s="1"/>
      <c r="Z998" s="1"/>
      <c r="AA998" s="1"/>
    </row>
    <row r="999" customFormat="false" ht="15.75" hidden="false" customHeight="true" outlineLevel="0" collapsed="false">
      <c r="P999" s="1"/>
      <c r="Q999" s="1"/>
      <c r="R999" s="1"/>
      <c r="S999" s="1"/>
      <c r="T999" s="1"/>
      <c r="U999" s="1"/>
      <c r="V999" s="1"/>
      <c r="W999" s="1"/>
      <c r="X999" s="1"/>
      <c r="Y999" s="1"/>
      <c r="Z999" s="1"/>
      <c r="AA999" s="1"/>
    </row>
    <row r="1000" customFormat="false" ht="15.75" hidden="false" customHeight="true" outlineLevel="0" collapsed="false">
      <c r="P1000" s="1"/>
      <c r="Q1000" s="1"/>
      <c r="R1000" s="1"/>
      <c r="S1000" s="1"/>
      <c r="T1000" s="1"/>
      <c r="U1000" s="1"/>
      <c r="V1000" s="1"/>
      <c r="W1000" s="1"/>
      <c r="X1000" s="1"/>
      <c r="Y1000" s="1"/>
      <c r="Z1000" s="1"/>
      <c r="AA1000" s="1"/>
    </row>
  </sheetData>
  <conditionalFormatting sqref="B8:O14">
    <cfRule type="expression" priority="2" aboveAverage="0" equalAverage="0" bottom="0" percent="0" rank="0" text="" dxfId="13">
      <formula>AND(ISNUMBER(B$15),B8&gt;B$15)</formula>
    </cfRule>
  </conditionalFormatting>
  <dataValidations count="3">
    <dataValidation allowBlank="true" errorStyle="stop" operator="between" showDropDown="false" showErrorMessage="false" showInputMessage="false" sqref="B4" type="decimal">
      <formula1>1</formula1>
      <formula2>5</formula2>
    </dataValidation>
    <dataValidation allowBlank="true" errorStyle="stop" operator="between" showDropDown="false" showErrorMessage="false" showInputMessage="false" sqref="B3" type="list">
      <formula1>Paramètres!$J$6:$J$8</formula1>
      <formula2>0</formula2>
    </dataValidation>
    <dataValidation allowBlank="true" errorStyle="stop" operator="between" showDropDown="false" showErrorMessage="false" showInputMessage="false" sqref="B5" type="decimal">
      <formula1>0</formula1>
      <formula2>30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F5" activeCellId="0" sqref="F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3" min="2" style="1" width="10"/>
    <col collapsed="false" customWidth="true" hidden="false" outlineLevel="0" max="4" min="4" style="1" width="13"/>
    <col collapsed="false" customWidth="true" hidden="false" outlineLevel="0" max="5" min="5" style="1" width="34"/>
    <col collapsed="false" customWidth="true" hidden="false" outlineLevel="0" max="6" min="6" style="1" width="12"/>
    <col collapsed="false" customWidth="true" hidden="false" outlineLevel="0" max="7" min="7" style="1" width="22"/>
    <col collapsed="false" customWidth="true" hidden="false" outlineLevel="0" max="8" min="8" style="1" width="70"/>
    <col collapsed="false" customWidth="true" hidden="false" outlineLevel="0" max="9" min="9" style="1" width="44"/>
    <col collapsed="false" customWidth="true" hidden="false" outlineLevel="0" max="10" min="10" style="1" width="18"/>
    <col collapsed="false" customWidth="true" hidden="false" outlineLevel="0" max="11" min="11" style="1" width="24.29"/>
    <col collapsed="false" customWidth="true" hidden="false" outlineLevel="0" max="13" min="12" style="1" width="18"/>
  </cols>
  <sheetData>
    <row r="1" customFormat="false" ht="17.25" hidden="false" customHeight="true" outlineLevel="0" collapsed="false">
      <c r="A1" s="48" t="s">
        <v>1083</v>
      </c>
      <c r="N1" s="1"/>
      <c r="O1" s="1"/>
      <c r="P1" s="1"/>
      <c r="Q1" s="1"/>
      <c r="R1" s="1"/>
      <c r="S1" s="1"/>
      <c r="T1" s="1"/>
      <c r="U1" s="1"/>
      <c r="V1" s="1"/>
      <c r="W1" s="1"/>
      <c r="X1" s="1"/>
      <c r="Y1" s="1"/>
      <c r="Z1" s="1"/>
    </row>
    <row r="2" customFormat="false" ht="15" hidden="false" customHeight="true" outlineLevel="0" collapsed="false">
      <c r="A2" s="3" t="s">
        <v>1084</v>
      </c>
      <c r="N2" s="1"/>
      <c r="O2" s="1"/>
      <c r="P2" s="1"/>
      <c r="Q2" s="1"/>
      <c r="R2" s="1"/>
      <c r="S2" s="1"/>
      <c r="T2" s="1"/>
      <c r="U2" s="1"/>
      <c r="V2" s="1"/>
      <c r="W2" s="1"/>
      <c r="X2" s="1"/>
      <c r="Y2" s="1"/>
      <c r="Z2" s="1"/>
    </row>
    <row r="3" customFormat="false" ht="15" hidden="false" customHeight="true" outlineLevel="0" collapsed="false">
      <c r="N3" s="1"/>
      <c r="O3" s="1"/>
      <c r="P3" s="1"/>
      <c r="Q3" s="1"/>
      <c r="R3" s="1"/>
      <c r="S3" s="1"/>
      <c r="T3" s="1"/>
      <c r="U3" s="1"/>
      <c r="V3" s="1"/>
      <c r="W3" s="1"/>
      <c r="X3" s="1"/>
      <c r="Y3" s="1"/>
      <c r="Z3" s="1"/>
    </row>
    <row r="4" customFormat="false" ht="31.5" hidden="false" customHeight="true" outlineLevel="0" collapsed="false">
      <c r="A4" s="13" t="s">
        <v>1085</v>
      </c>
      <c r="B4" s="13" t="s">
        <v>74</v>
      </c>
      <c r="C4" s="13" t="s">
        <v>75</v>
      </c>
      <c r="D4" s="13" t="s">
        <v>1064</v>
      </c>
      <c r="E4" s="13" t="s">
        <v>1086</v>
      </c>
      <c r="F4" s="13" t="s">
        <v>81</v>
      </c>
      <c r="G4" s="13" t="s">
        <v>1087</v>
      </c>
      <c r="H4" s="13" t="s">
        <v>97</v>
      </c>
      <c r="I4" s="13" t="s">
        <v>1065</v>
      </c>
      <c r="J4" s="13" t="s">
        <v>1088</v>
      </c>
      <c r="K4" s="13" t="s">
        <v>1089</v>
      </c>
      <c r="L4" s="13" t="s">
        <v>79</v>
      </c>
      <c r="M4" s="13" t="s">
        <v>1061</v>
      </c>
      <c r="N4" s="1"/>
      <c r="O4" s="1"/>
      <c r="P4" s="1"/>
      <c r="Q4" s="1"/>
      <c r="R4" s="1"/>
      <c r="S4" s="1"/>
      <c r="T4" s="1"/>
      <c r="U4" s="1"/>
      <c r="V4" s="1"/>
      <c r="W4" s="1"/>
      <c r="X4" s="1"/>
      <c r="Y4" s="1"/>
      <c r="Z4" s="1"/>
    </row>
    <row r="5" customFormat="false" ht="42" hidden="false" customHeight="true" outlineLevel="0" collapsed="false">
      <c r="A5" s="63" t="str">
        <f aca="false">B5&amp;"|"&amp;C5</f>
        <v>Guerrier|Chapeau</v>
      </c>
      <c r="B5" s="64" t="s">
        <v>27</v>
      </c>
      <c r="C5" s="64" t="s">
        <v>107</v>
      </c>
      <c r="D5" s="64" t="str">
        <f aca="false" t="array" ref="D5:D5">INDEX(Profils!$D$5:$D$34,MATCH(A5,Profils!$A$5:$A$34,0))</f>
        <v>Casque</v>
      </c>
      <c r="E5" s="65" t="s">
        <v>1090</v>
      </c>
      <c r="F5" s="50" t="s">
        <v>1091</v>
      </c>
      <c r="G5" s="65" t="s">
        <v>1092</v>
      </c>
      <c r="H5" s="66" t="s">
        <v>1093</v>
      </c>
      <c r="I5" s="66" t="s">
        <v>1094</v>
      </c>
      <c r="J5" s="22" t="s">
        <v>1095</v>
      </c>
      <c r="K5" s="67" t="s">
        <v>1096</v>
      </c>
      <c r="L5" s="68" t="n">
        <v>1</v>
      </c>
      <c r="M5" s="16" t="n">
        <f aca="false">100-L5</f>
        <v>99</v>
      </c>
      <c r="N5" s="1"/>
      <c r="O5" s="1"/>
      <c r="P5" s="1"/>
      <c r="Q5" s="1"/>
      <c r="R5" s="1"/>
      <c r="S5" s="1"/>
      <c r="T5" s="1"/>
      <c r="U5" s="1"/>
      <c r="V5" s="1"/>
      <c r="W5" s="1"/>
      <c r="X5" s="1"/>
      <c r="Y5" s="1"/>
      <c r="Z5" s="1"/>
    </row>
    <row r="6" customFormat="false" ht="42" hidden="false" customHeight="true" outlineLevel="0" collapsed="false">
      <c r="A6" s="63" t="str">
        <f aca="false">B6&amp;"|"&amp;C6</f>
        <v>Guerrier|Armure</v>
      </c>
      <c r="B6" s="64" t="s">
        <v>27</v>
      </c>
      <c r="C6" s="64" t="s">
        <v>90</v>
      </c>
      <c r="D6" s="64" t="str">
        <f aca="false" t="array" ref="D6:D6">INDEX(Profils!$D$5:$D$34,MATCH(A6,Profils!$A$5:$A$34,0))</f>
        <v>Plastron</v>
      </c>
      <c r="E6" s="65" t="s">
        <v>1097</v>
      </c>
      <c r="F6" s="50" t="s">
        <v>1098</v>
      </c>
      <c r="G6" s="65" t="s">
        <v>1099</v>
      </c>
      <c r="H6" s="66" t="s">
        <v>1100</v>
      </c>
      <c r="I6" s="66" t="s">
        <v>1101</v>
      </c>
      <c r="J6" s="22" t="s">
        <v>1102</v>
      </c>
      <c r="K6" s="67" t="s">
        <v>1103</v>
      </c>
      <c r="L6" s="68" t="n">
        <v>11</v>
      </c>
      <c r="M6" s="16" t="n">
        <f aca="false">100-L6</f>
        <v>89</v>
      </c>
      <c r="N6" s="1"/>
      <c r="O6" s="1"/>
      <c r="P6" s="1"/>
      <c r="Q6" s="1"/>
      <c r="R6" s="1"/>
      <c r="S6" s="1"/>
      <c r="T6" s="1"/>
      <c r="U6" s="1"/>
      <c r="V6" s="1"/>
      <c r="W6" s="1"/>
      <c r="X6" s="1"/>
      <c r="Y6" s="1"/>
      <c r="Z6" s="1"/>
    </row>
    <row r="7" customFormat="false" ht="42" hidden="false" customHeight="true" outlineLevel="0" collapsed="false">
      <c r="A7" s="63" t="str">
        <f aca="false">B7&amp;"|"&amp;C7</f>
        <v>Guerrier|Pantalon</v>
      </c>
      <c r="B7" s="64" t="s">
        <v>27</v>
      </c>
      <c r="C7" s="64" t="s">
        <v>177</v>
      </c>
      <c r="D7" s="64" t="str">
        <f aca="false" t="array" ref="D7:D7">INDEX(Profils!$D$5:$D$34,MATCH(A7,Profils!$A$5:$A$34,0))</f>
        <v>Jambières</v>
      </c>
      <c r="E7" s="65" t="s">
        <v>1104</v>
      </c>
      <c r="F7" s="50" t="s">
        <v>1105</v>
      </c>
      <c r="G7" s="65" t="s">
        <v>1106</v>
      </c>
      <c r="H7" s="66" t="s">
        <v>1107</v>
      </c>
      <c r="I7" s="66" t="s">
        <v>1108</v>
      </c>
      <c r="J7" s="22" t="s">
        <v>1109</v>
      </c>
      <c r="K7" s="67" t="s">
        <v>1110</v>
      </c>
      <c r="L7" s="68" t="n">
        <v>21</v>
      </c>
      <c r="M7" s="16" t="n">
        <f aca="false">100-L7</f>
        <v>79</v>
      </c>
      <c r="N7" s="1"/>
      <c r="O7" s="1"/>
      <c r="P7" s="1"/>
      <c r="Q7" s="1"/>
      <c r="R7" s="1"/>
      <c r="S7" s="1"/>
      <c r="T7" s="1"/>
      <c r="U7" s="1"/>
      <c r="V7" s="1"/>
      <c r="W7" s="1"/>
      <c r="X7" s="1"/>
      <c r="Y7" s="1"/>
      <c r="Z7" s="1"/>
    </row>
    <row r="8" customFormat="false" ht="42" hidden="false" customHeight="true" outlineLevel="0" collapsed="false">
      <c r="A8" s="63" t="str">
        <f aca="false">B8&amp;"|"&amp;C8</f>
        <v>Guerrier|Botte</v>
      </c>
      <c r="B8" s="64" t="s">
        <v>27</v>
      </c>
      <c r="C8" s="64" t="s">
        <v>209</v>
      </c>
      <c r="D8" s="64" t="str">
        <f aca="false" t="array" ref="D8:D8">INDEX(Profils!$D$5:$D$34,MATCH(A8,Profils!$A$5:$A$34,0))</f>
        <v>Brodequins</v>
      </c>
      <c r="E8" s="65" t="s">
        <v>1111</v>
      </c>
      <c r="F8" s="50" t="s">
        <v>1112</v>
      </c>
      <c r="G8" s="65" t="s">
        <v>1113</v>
      </c>
      <c r="H8" s="66" t="s">
        <v>1114</v>
      </c>
      <c r="I8" s="66" t="s">
        <v>1115</v>
      </c>
      <c r="J8" s="22" t="s">
        <v>1116</v>
      </c>
      <c r="K8" s="67" t="s">
        <v>1117</v>
      </c>
      <c r="L8" s="68" t="n">
        <v>61</v>
      </c>
      <c r="M8" s="16" t="n">
        <f aca="false">100-L8</f>
        <v>39</v>
      </c>
      <c r="N8" s="1"/>
      <c r="O8" s="1"/>
      <c r="P8" s="1"/>
      <c r="Q8" s="1"/>
      <c r="R8" s="1"/>
      <c r="S8" s="1"/>
      <c r="T8" s="1"/>
      <c r="U8" s="1"/>
      <c r="V8" s="1"/>
      <c r="W8" s="1"/>
      <c r="X8" s="1"/>
      <c r="Y8" s="1"/>
      <c r="Z8" s="1"/>
    </row>
    <row r="9" customFormat="false" ht="42" hidden="false" customHeight="true" outlineLevel="0" collapsed="false">
      <c r="A9" s="63" t="str">
        <f aca="false">B9&amp;"|"&amp;C9</f>
        <v>Guerrier|Collier</v>
      </c>
      <c r="B9" s="64" t="s">
        <v>27</v>
      </c>
      <c r="C9" s="64" t="s">
        <v>241</v>
      </c>
      <c r="D9" s="64" t="str">
        <f aca="false" t="array" ref="D9:D9">INDEX(Profils!$D$5:$D$34,MATCH(A9,Profils!$A$5:$A$34,0))</f>
        <v>Médaillon</v>
      </c>
      <c r="E9" s="65" t="s">
        <v>1118</v>
      </c>
      <c r="F9" s="50" t="s">
        <v>1091</v>
      </c>
      <c r="G9" s="65" t="s">
        <v>1119</v>
      </c>
      <c r="H9" s="66" t="s">
        <v>1120</v>
      </c>
      <c r="I9" s="66" t="s">
        <v>1121</v>
      </c>
      <c r="J9" s="22" t="s">
        <v>1122</v>
      </c>
      <c r="K9" s="67" t="s">
        <v>1123</v>
      </c>
      <c r="L9" s="68" t="n">
        <v>31</v>
      </c>
      <c r="M9" s="16" t="n">
        <f aca="false">100-L9</f>
        <v>69</v>
      </c>
      <c r="N9" s="1"/>
      <c r="O9" s="1"/>
      <c r="P9" s="1"/>
      <c r="Q9" s="1"/>
      <c r="R9" s="1"/>
      <c r="S9" s="1"/>
      <c r="T9" s="1"/>
      <c r="U9" s="1"/>
      <c r="V9" s="1"/>
      <c r="W9" s="1"/>
      <c r="X9" s="1"/>
      <c r="Y9" s="1"/>
      <c r="Z9" s="1"/>
    </row>
    <row r="10" customFormat="false" ht="42" hidden="false" customHeight="true" outlineLevel="0" collapsed="false">
      <c r="A10" s="63" t="str">
        <f aca="false">B10&amp;"|"&amp;C10</f>
        <v>Guerrier|Anneau 1</v>
      </c>
      <c r="B10" s="64" t="s">
        <v>27</v>
      </c>
      <c r="C10" s="64" t="s">
        <v>273</v>
      </c>
      <c r="D10" s="64" t="str">
        <f aca="false" t="array" ref="D10:D10">INDEX(Profils!$D$5:$D$34,MATCH(A10,Profils!$A$5:$A$34,0))</f>
        <v>Anneau de guerre</v>
      </c>
      <c r="E10" s="65" t="s">
        <v>1124</v>
      </c>
      <c r="F10" s="50" t="s">
        <v>1125</v>
      </c>
      <c r="G10" s="65" t="s">
        <v>1126</v>
      </c>
      <c r="H10" s="66" t="s">
        <v>1127</v>
      </c>
      <c r="I10" s="66" t="s">
        <v>1128</v>
      </c>
      <c r="J10" s="22" t="s">
        <v>1129</v>
      </c>
      <c r="K10" s="67" t="s">
        <v>1130</v>
      </c>
      <c r="L10" s="68" t="n">
        <v>41</v>
      </c>
      <c r="M10" s="16" t="n">
        <f aca="false">100-L10</f>
        <v>59</v>
      </c>
      <c r="N10" s="1"/>
      <c r="O10" s="1"/>
      <c r="P10" s="1"/>
      <c r="Q10" s="1"/>
      <c r="R10" s="1"/>
      <c r="S10" s="1"/>
      <c r="T10" s="1"/>
      <c r="U10" s="1"/>
      <c r="V10" s="1"/>
      <c r="W10" s="1"/>
      <c r="X10" s="1"/>
      <c r="Y10" s="1"/>
      <c r="Z10" s="1"/>
    </row>
    <row r="11" customFormat="false" ht="42" hidden="false" customHeight="true" outlineLevel="0" collapsed="false">
      <c r="A11" s="63" t="str">
        <f aca="false">B11&amp;"|"&amp;C11</f>
        <v>Guerrier|Anneau 2</v>
      </c>
      <c r="B11" s="64" t="s">
        <v>27</v>
      </c>
      <c r="C11" s="64" t="s">
        <v>305</v>
      </c>
      <c r="D11" s="64" t="str">
        <f aca="false" t="array" ref="D11:D11">INDEX(Profils!$D$5:$D$34,MATCH(A11,Profils!$A$5:$A$34,0))</f>
        <v>Chevalière</v>
      </c>
      <c r="E11" s="65" t="s">
        <v>1131</v>
      </c>
      <c r="F11" s="50" t="s">
        <v>1132</v>
      </c>
      <c r="G11" s="65" t="s">
        <v>1133</v>
      </c>
      <c r="H11" s="66" t="s">
        <v>1134</v>
      </c>
      <c r="I11" s="66" t="s">
        <v>1135</v>
      </c>
      <c r="J11" s="22" t="s">
        <v>1136</v>
      </c>
      <c r="K11" s="67" t="s">
        <v>1137</v>
      </c>
      <c r="L11" s="68" t="n">
        <v>51</v>
      </c>
      <c r="M11" s="16" t="n">
        <f aca="false">100-L11</f>
        <v>49</v>
      </c>
      <c r="N11" s="1"/>
      <c r="O11" s="1"/>
      <c r="P11" s="1"/>
      <c r="Q11" s="1"/>
      <c r="R11" s="1"/>
      <c r="S11" s="1"/>
      <c r="T11" s="1"/>
      <c r="U11" s="1"/>
      <c r="V11" s="1"/>
      <c r="W11" s="1"/>
      <c r="X11" s="1"/>
      <c r="Y11" s="1"/>
      <c r="Z11" s="1"/>
    </row>
    <row r="12" customFormat="false" ht="42" hidden="false" customHeight="true" outlineLevel="0" collapsed="false">
      <c r="A12" s="63" t="str">
        <f aca="false">B12&amp;"|"&amp;C12</f>
        <v>Guerrier|Ceinture</v>
      </c>
      <c r="B12" s="64" t="s">
        <v>27</v>
      </c>
      <c r="C12" s="64" t="s">
        <v>337</v>
      </c>
      <c r="D12" s="64" t="str">
        <f aca="false" t="array" ref="D12:D12">INDEX(Profils!$D$5:$D$34,MATCH(A12,Profils!$A$5:$A$34,0))</f>
        <v>Ceinturon</v>
      </c>
      <c r="E12" s="65" t="s">
        <v>1138</v>
      </c>
      <c r="F12" s="50" t="s">
        <v>1139</v>
      </c>
      <c r="G12" s="65" t="s">
        <v>1140</v>
      </c>
      <c r="H12" s="66" t="s">
        <v>1141</v>
      </c>
      <c r="I12" s="66" t="s">
        <v>1142</v>
      </c>
      <c r="J12" s="22" t="s">
        <v>1143</v>
      </c>
      <c r="K12" s="67" t="s">
        <v>1144</v>
      </c>
      <c r="L12" s="68" t="n">
        <v>71</v>
      </c>
      <c r="M12" s="16" t="n">
        <f aca="false">100-L12</f>
        <v>29</v>
      </c>
      <c r="N12" s="1"/>
      <c r="O12" s="1"/>
      <c r="P12" s="1"/>
      <c r="Q12" s="1"/>
      <c r="R12" s="1"/>
      <c r="S12" s="1"/>
      <c r="T12" s="1"/>
      <c r="U12" s="1"/>
      <c r="V12" s="1"/>
      <c r="W12" s="1"/>
      <c r="X12" s="1"/>
      <c r="Y12" s="1"/>
      <c r="Z12" s="1"/>
    </row>
    <row r="13" customFormat="false" ht="42" hidden="false" customHeight="true" outlineLevel="0" collapsed="false">
      <c r="A13" s="63" t="str">
        <f aca="false">B13&amp;"|"&amp;C13</f>
        <v>Guerrier|Arme 1</v>
      </c>
      <c r="B13" s="64" t="s">
        <v>27</v>
      </c>
      <c r="C13" s="64" t="s">
        <v>369</v>
      </c>
      <c r="D13" s="64" t="str">
        <f aca="false" t="array" ref="D13:D13">INDEX(Profils!$D$5:$D$34,MATCH(A13,Profils!$A$5:$A$34,0))</f>
        <v>Épée</v>
      </c>
      <c r="E13" s="65" t="s">
        <v>1145</v>
      </c>
      <c r="F13" s="50" t="s">
        <v>1146</v>
      </c>
      <c r="G13" s="65" t="s">
        <v>1147</v>
      </c>
      <c r="H13" s="66" t="s">
        <v>1148</v>
      </c>
      <c r="I13" s="66" t="s">
        <v>1149</v>
      </c>
      <c r="J13" s="22" t="s">
        <v>1150</v>
      </c>
      <c r="K13" s="67" t="s">
        <v>1151</v>
      </c>
      <c r="L13" s="68" t="n">
        <v>91</v>
      </c>
      <c r="M13" s="16" t="n">
        <f aca="false">100-L13</f>
        <v>9</v>
      </c>
      <c r="N13" s="1"/>
      <c r="O13" s="1"/>
      <c r="P13" s="1"/>
      <c r="Q13" s="1"/>
      <c r="R13" s="1"/>
      <c r="S13" s="1"/>
      <c r="T13" s="1"/>
      <c r="U13" s="1"/>
      <c r="V13" s="1"/>
      <c r="W13" s="1"/>
      <c r="X13" s="1"/>
      <c r="Y13" s="1"/>
      <c r="Z13" s="1"/>
    </row>
    <row r="14" customFormat="false" ht="42" hidden="false" customHeight="true" outlineLevel="0" collapsed="false">
      <c r="A14" s="63" t="str">
        <f aca="false">B14&amp;"|"&amp;C14</f>
        <v>Guerrier|Arme 2</v>
      </c>
      <c r="B14" s="64" t="s">
        <v>27</v>
      </c>
      <c r="C14" s="64" t="s">
        <v>401</v>
      </c>
      <c r="D14" s="64" t="str">
        <f aca="false" t="array" ref="D14:D14">INDEX(Profils!$D$5:$D$34,MATCH(A14,Profils!$A$5:$A$34,0))</f>
        <v>Bouclier</v>
      </c>
      <c r="E14" s="65" t="s">
        <v>1152</v>
      </c>
      <c r="F14" s="50" t="s">
        <v>1153</v>
      </c>
      <c r="G14" s="65" t="s">
        <v>1154</v>
      </c>
      <c r="H14" s="66" t="s">
        <v>1155</v>
      </c>
      <c r="I14" s="66" t="s">
        <v>1094</v>
      </c>
      <c r="J14" s="22" t="s">
        <v>1156</v>
      </c>
      <c r="K14" s="67" t="s">
        <v>1157</v>
      </c>
      <c r="L14" s="68" t="n">
        <v>81</v>
      </c>
      <c r="M14" s="16" t="n">
        <f aca="false">100-L14</f>
        <v>19</v>
      </c>
      <c r="N14" s="1"/>
      <c r="O14" s="1"/>
      <c r="P14" s="1"/>
      <c r="Q14" s="1"/>
      <c r="R14" s="1"/>
      <c r="S14" s="1"/>
      <c r="T14" s="1"/>
      <c r="U14" s="1"/>
      <c r="V14" s="1"/>
      <c r="W14" s="1"/>
      <c r="X14" s="1"/>
      <c r="Y14" s="1"/>
      <c r="Z14" s="1"/>
    </row>
    <row r="15" customFormat="false" ht="42" hidden="false" customHeight="true" outlineLevel="0" collapsed="false">
      <c r="A15" s="63" t="str">
        <f aca="false">B15&amp;"|"&amp;C15</f>
        <v>Mage|Chapeau</v>
      </c>
      <c r="B15" s="64" t="s">
        <v>29</v>
      </c>
      <c r="C15" s="64" t="s">
        <v>107</v>
      </c>
      <c r="D15" s="64" t="str">
        <f aca="false" t="array" ref="D15:D15">INDEX(Profils!$D$5:$D$34,MATCH(A15,Profils!$A$5:$A$34,0))</f>
        <v>Chapeau</v>
      </c>
      <c r="E15" s="65" t="s">
        <v>1158</v>
      </c>
      <c r="F15" s="50" t="s">
        <v>1159</v>
      </c>
      <c r="G15" s="65" t="s">
        <v>1160</v>
      </c>
      <c r="H15" s="66" t="s">
        <v>1161</v>
      </c>
      <c r="I15" s="66" t="s">
        <v>1162</v>
      </c>
      <c r="J15" s="22" t="s">
        <v>1122</v>
      </c>
      <c r="K15" s="67" t="s">
        <v>1123</v>
      </c>
      <c r="L15" s="68" t="n">
        <v>31</v>
      </c>
      <c r="M15" s="16" t="n">
        <f aca="false">100-L15</f>
        <v>69</v>
      </c>
      <c r="N15" s="1"/>
      <c r="O15" s="1"/>
      <c r="P15" s="1"/>
      <c r="Q15" s="1"/>
      <c r="R15" s="1"/>
      <c r="S15" s="1"/>
      <c r="T15" s="1"/>
      <c r="U15" s="1"/>
      <c r="V15" s="1"/>
      <c r="W15" s="1"/>
      <c r="X15" s="1"/>
      <c r="Y15" s="1"/>
      <c r="Z15" s="1"/>
    </row>
    <row r="16" customFormat="false" ht="42" hidden="false" customHeight="true" outlineLevel="0" collapsed="false">
      <c r="A16" s="63" t="str">
        <f aca="false">B16&amp;"|"&amp;C16</f>
        <v>Mage|Armure</v>
      </c>
      <c r="B16" s="64" t="s">
        <v>29</v>
      </c>
      <c r="C16" s="64" t="s">
        <v>90</v>
      </c>
      <c r="D16" s="64" t="str">
        <f aca="false" t="array" ref="D16:D16">INDEX(Profils!$D$5:$D$34,MATCH(A16,Profils!$A$5:$A$34,0))</f>
        <v>Robe</v>
      </c>
      <c r="E16" s="65" t="s">
        <v>1163</v>
      </c>
      <c r="F16" s="50" t="s">
        <v>1112</v>
      </c>
      <c r="G16" s="65" t="s">
        <v>1164</v>
      </c>
      <c r="H16" s="66" t="s">
        <v>1165</v>
      </c>
      <c r="I16" s="66" t="s">
        <v>1166</v>
      </c>
      <c r="J16" s="22" t="s">
        <v>1116</v>
      </c>
      <c r="K16" s="67" t="s">
        <v>1117</v>
      </c>
      <c r="L16" s="68" t="n">
        <v>61</v>
      </c>
      <c r="M16" s="16" t="n">
        <f aca="false">100-L16</f>
        <v>39</v>
      </c>
      <c r="N16" s="1"/>
      <c r="O16" s="1"/>
      <c r="P16" s="1"/>
      <c r="Q16" s="1"/>
      <c r="R16" s="1"/>
      <c r="S16" s="1"/>
      <c r="T16" s="1"/>
      <c r="U16" s="1"/>
      <c r="V16" s="1"/>
      <c r="W16" s="1"/>
      <c r="X16" s="1"/>
      <c r="Y16" s="1"/>
      <c r="Z16" s="1"/>
    </row>
    <row r="17" customFormat="false" ht="42" hidden="false" customHeight="true" outlineLevel="0" collapsed="false">
      <c r="A17" s="63" t="str">
        <f aca="false">B17&amp;"|"&amp;C17</f>
        <v>Mage|Pantalon</v>
      </c>
      <c r="B17" s="64" t="s">
        <v>29</v>
      </c>
      <c r="C17" s="64" t="s">
        <v>177</v>
      </c>
      <c r="D17" s="64" t="str">
        <f aca="false" t="array" ref="D17:D17">INDEX(Profils!$D$5:$D$34,MATCH(A17,Profils!$A$5:$A$34,0))</f>
        <v>Pantalon</v>
      </c>
      <c r="E17" s="65" t="s">
        <v>1167</v>
      </c>
      <c r="F17" s="50" t="s">
        <v>1139</v>
      </c>
      <c r="G17" s="65" t="s">
        <v>1168</v>
      </c>
      <c r="H17" s="66" t="s">
        <v>1169</v>
      </c>
      <c r="I17" s="66" t="s">
        <v>1170</v>
      </c>
      <c r="J17" s="22" t="s">
        <v>1143</v>
      </c>
      <c r="K17" s="67" t="s">
        <v>1144</v>
      </c>
      <c r="L17" s="68" t="n">
        <v>71</v>
      </c>
      <c r="M17" s="16" t="n">
        <f aca="false">100-L17</f>
        <v>29</v>
      </c>
      <c r="N17" s="1"/>
      <c r="O17" s="1"/>
      <c r="P17" s="1"/>
      <c r="Q17" s="1"/>
      <c r="R17" s="1"/>
      <c r="S17" s="1"/>
      <c r="T17" s="1"/>
      <c r="U17" s="1"/>
      <c r="V17" s="1"/>
      <c r="W17" s="1"/>
      <c r="X17" s="1"/>
      <c r="Y17" s="1"/>
      <c r="Z17" s="1"/>
    </row>
    <row r="18" customFormat="false" ht="42" hidden="false" customHeight="true" outlineLevel="0" collapsed="false">
      <c r="A18" s="63" t="str">
        <f aca="false">B18&amp;"|"&amp;C18</f>
        <v>Mage|Botte</v>
      </c>
      <c r="B18" s="64" t="s">
        <v>29</v>
      </c>
      <c r="C18" s="64" t="s">
        <v>209</v>
      </c>
      <c r="D18" s="64" t="str">
        <f aca="false" t="array" ref="D18:D18">INDEX(Profils!$D$5:$D$34,MATCH(A18,Profils!$A$5:$A$34,0))</f>
        <v>Bottines</v>
      </c>
      <c r="E18" s="65" t="s">
        <v>1171</v>
      </c>
      <c r="F18" s="50" t="s">
        <v>1132</v>
      </c>
      <c r="G18" s="65" t="s">
        <v>1172</v>
      </c>
      <c r="H18" s="66" t="s">
        <v>1173</v>
      </c>
      <c r="I18" s="66" t="s">
        <v>1174</v>
      </c>
      <c r="J18" s="22" t="s">
        <v>1136</v>
      </c>
      <c r="K18" s="67" t="s">
        <v>1137</v>
      </c>
      <c r="L18" s="68" t="n">
        <v>51</v>
      </c>
      <c r="M18" s="16" t="n">
        <f aca="false">100-L18</f>
        <v>49</v>
      </c>
      <c r="N18" s="1"/>
      <c r="O18" s="1"/>
      <c r="P18" s="1"/>
      <c r="Q18" s="1"/>
      <c r="R18" s="1"/>
      <c r="S18" s="1"/>
      <c r="T18" s="1"/>
      <c r="U18" s="1"/>
      <c r="V18" s="1"/>
      <c r="W18" s="1"/>
      <c r="X18" s="1"/>
      <c r="Y18" s="1"/>
      <c r="Z18" s="1"/>
    </row>
    <row r="19" customFormat="false" ht="42" hidden="false" customHeight="true" outlineLevel="0" collapsed="false">
      <c r="A19" s="63" t="str">
        <f aca="false">B19&amp;"|"&amp;C19</f>
        <v>Mage|Collier</v>
      </c>
      <c r="B19" s="64" t="s">
        <v>29</v>
      </c>
      <c r="C19" s="64" t="s">
        <v>241</v>
      </c>
      <c r="D19" s="64" t="str">
        <f aca="false" t="array" ref="D19:D19">INDEX(Profils!$D$5:$D$34,MATCH(A19,Profils!$A$5:$A$34,0))</f>
        <v>Amulette</v>
      </c>
      <c r="E19" s="65" t="s">
        <v>1175</v>
      </c>
      <c r="F19" s="50" t="s">
        <v>1146</v>
      </c>
      <c r="G19" s="65" t="s">
        <v>1176</v>
      </c>
      <c r="H19" s="66" t="s">
        <v>1177</v>
      </c>
      <c r="I19" s="66" t="s">
        <v>1178</v>
      </c>
      <c r="J19" s="22" t="s">
        <v>1150</v>
      </c>
      <c r="K19" s="67" t="s">
        <v>1151</v>
      </c>
      <c r="L19" s="68" t="n">
        <v>91</v>
      </c>
      <c r="M19" s="16" t="n">
        <f aca="false">100-L19</f>
        <v>9</v>
      </c>
      <c r="N19" s="1"/>
      <c r="O19" s="1"/>
      <c r="P19" s="1"/>
      <c r="Q19" s="1"/>
      <c r="R19" s="1"/>
      <c r="S19" s="1"/>
      <c r="T19" s="1"/>
      <c r="U19" s="1"/>
      <c r="V19" s="1"/>
      <c r="W19" s="1"/>
      <c r="X19" s="1"/>
      <c r="Y19" s="1"/>
      <c r="Z19" s="1"/>
    </row>
    <row r="20" customFormat="false" ht="42" hidden="false" customHeight="true" outlineLevel="0" collapsed="false">
      <c r="A20" s="63" t="str">
        <f aca="false">B20&amp;"|"&amp;C20</f>
        <v>Mage|Anneau 1</v>
      </c>
      <c r="B20" s="64" t="s">
        <v>29</v>
      </c>
      <c r="C20" s="64" t="s">
        <v>273</v>
      </c>
      <c r="D20" s="64" t="str">
        <f aca="false" t="array" ref="D20:D20">INDEX(Profils!$D$5:$D$34,MATCH(A20,Profils!$A$5:$A$34,0))</f>
        <v>Anneau runique</v>
      </c>
      <c r="E20" s="65" t="s">
        <v>1179</v>
      </c>
      <c r="F20" s="50" t="s">
        <v>1125</v>
      </c>
      <c r="G20" s="65" t="s">
        <v>1180</v>
      </c>
      <c r="H20" s="66" t="s">
        <v>1181</v>
      </c>
      <c r="I20" s="66" t="s">
        <v>1182</v>
      </c>
      <c r="J20" s="22" t="s">
        <v>1129</v>
      </c>
      <c r="K20" s="67" t="s">
        <v>1130</v>
      </c>
      <c r="L20" s="68" t="n">
        <v>41</v>
      </c>
      <c r="M20" s="16" t="n">
        <f aca="false">100-L20</f>
        <v>59</v>
      </c>
      <c r="N20" s="1"/>
      <c r="O20" s="1"/>
      <c r="P20" s="1"/>
      <c r="Q20" s="1"/>
      <c r="R20" s="1"/>
      <c r="S20" s="1"/>
      <c r="T20" s="1"/>
      <c r="U20" s="1"/>
      <c r="V20" s="1"/>
      <c r="W20" s="1"/>
      <c r="X20" s="1"/>
      <c r="Y20" s="1"/>
      <c r="Z20" s="1"/>
    </row>
    <row r="21" customFormat="false" ht="42" hidden="false" customHeight="true" outlineLevel="0" collapsed="false">
      <c r="A21" s="63" t="str">
        <f aca="false">B21&amp;"|"&amp;C21</f>
        <v>Mage|Anneau 2</v>
      </c>
      <c r="B21" s="64" t="s">
        <v>29</v>
      </c>
      <c r="C21" s="64" t="s">
        <v>305</v>
      </c>
      <c r="D21" s="64" t="str">
        <f aca="false" t="array" ref="D21:D21">INDEX(Profils!$D$5:$D$34,MATCH(A21,Profils!$A$5:$A$34,0))</f>
        <v>Sceau</v>
      </c>
      <c r="E21" s="65" t="s">
        <v>1183</v>
      </c>
      <c r="F21" s="50" t="s">
        <v>1098</v>
      </c>
      <c r="G21" s="65" t="s">
        <v>1184</v>
      </c>
      <c r="H21" s="66" t="s">
        <v>1185</v>
      </c>
      <c r="I21" s="66" t="s">
        <v>1186</v>
      </c>
      <c r="J21" s="22" t="s">
        <v>1102</v>
      </c>
      <c r="K21" s="67" t="s">
        <v>1103</v>
      </c>
      <c r="L21" s="68" t="n">
        <v>11</v>
      </c>
      <c r="M21" s="16" t="n">
        <f aca="false">100-L21</f>
        <v>89</v>
      </c>
      <c r="N21" s="1"/>
      <c r="O21" s="1"/>
      <c r="P21" s="1"/>
      <c r="Q21" s="1"/>
      <c r="R21" s="1"/>
      <c r="S21" s="1"/>
      <c r="T21" s="1"/>
      <c r="U21" s="1"/>
      <c r="V21" s="1"/>
      <c r="W21" s="1"/>
      <c r="X21" s="1"/>
      <c r="Y21" s="1"/>
      <c r="Z21" s="1"/>
    </row>
    <row r="22" customFormat="false" ht="42" hidden="false" customHeight="true" outlineLevel="0" collapsed="false">
      <c r="A22" s="63" t="str">
        <f aca="false">B22&amp;"|"&amp;C22</f>
        <v>Mage|Ceinture</v>
      </c>
      <c r="B22" s="64" t="s">
        <v>29</v>
      </c>
      <c r="C22" s="64" t="s">
        <v>337</v>
      </c>
      <c r="D22" s="64" t="str">
        <f aca="false" t="array" ref="D22:D22">INDEX(Profils!$D$5:$D$34,MATCH(A22,Profils!$A$5:$A$34,0))</f>
        <v>Ceinture</v>
      </c>
      <c r="E22" s="65" t="s">
        <v>1187</v>
      </c>
      <c r="F22" s="50" t="s">
        <v>1105</v>
      </c>
      <c r="G22" s="65" t="s">
        <v>1188</v>
      </c>
      <c r="H22" s="66" t="s">
        <v>1189</v>
      </c>
      <c r="I22" s="66" t="s">
        <v>1108</v>
      </c>
      <c r="J22" s="22" t="s">
        <v>1109</v>
      </c>
      <c r="K22" s="67" t="s">
        <v>1110</v>
      </c>
      <c r="L22" s="68" t="n">
        <v>21</v>
      </c>
      <c r="M22" s="16" t="n">
        <f aca="false">100-L22</f>
        <v>79</v>
      </c>
      <c r="N22" s="1"/>
      <c r="O22" s="1"/>
      <c r="P22" s="1"/>
      <c r="Q22" s="1"/>
      <c r="R22" s="1"/>
      <c r="S22" s="1"/>
      <c r="T22" s="1"/>
      <c r="U22" s="1"/>
      <c r="V22" s="1"/>
      <c r="W22" s="1"/>
      <c r="X22" s="1"/>
      <c r="Y22" s="1"/>
      <c r="Z22" s="1"/>
    </row>
    <row r="23" customFormat="false" ht="42" hidden="false" customHeight="true" outlineLevel="0" collapsed="false">
      <c r="A23" s="63" t="str">
        <f aca="false">B23&amp;"|"&amp;C23</f>
        <v>Mage|Arme 1</v>
      </c>
      <c r="B23" s="64" t="s">
        <v>29</v>
      </c>
      <c r="C23" s="64" t="s">
        <v>369</v>
      </c>
      <c r="D23" s="64" t="str">
        <f aca="false" t="array" ref="D23:D23">INDEX(Profils!$D$5:$D$34,MATCH(A23,Profils!$A$5:$A$34,0))</f>
        <v>Bâton</v>
      </c>
      <c r="E23" s="65" t="s">
        <v>1190</v>
      </c>
      <c r="F23" s="50" t="s">
        <v>1091</v>
      </c>
      <c r="G23" s="65" t="s">
        <v>1191</v>
      </c>
      <c r="H23" s="66" t="s">
        <v>1192</v>
      </c>
      <c r="I23" s="66" t="s">
        <v>1193</v>
      </c>
      <c r="J23" s="22" t="s">
        <v>1095</v>
      </c>
      <c r="K23" s="67" t="s">
        <v>1096</v>
      </c>
      <c r="L23" s="68" t="n">
        <v>1</v>
      </c>
      <c r="M23" s="16" t="n">
        <f aca="false">100-L23</f>
        <v>99</v>
      </c>
      <c r="N23" s="1"/>
      <c r="O23" s="1"/>
      <c r="P23" s="1"/>
      <c r="Q23" s="1"/>
      <c r="R23" s="1"/>
      <c r="S23" s="1"/>
      <c r="T23" s="1"/>
      <c r="U23" s="1"/>
      <c r="V23" s="1"/>
      <c r="W23" s="1"/>
      <c r="X23" s="1"/>
      <c r="Y23" s="1"/>
      <c r="Z23" s="1"/>
    </row>
    <row r="24" customFormat="false" ht="42" hidden="false" customHeight="true" outlineLevel="0" collapsed="false">
      <c r="A24" s="63" t="str">
        <f aca="false">B24&amp;"|"&amp;C24</f>
        <v>Mage|Arme 2</v>
      </c>
      <c r="B24" s="64" t="s">
        <v>29</v>
      </c>
      <c r="C24" s="64" t="s">
        <v>401</v>
      </c>
      <c r="D24" s="64" t="str">
        <f aca="false" t="array" ref="D24:D24">INDEX(Profils!$D$5:$D$34,MATCH(A24,Profils!$A$5:$A$34,0))</f>
        <v>Orbe</v>
      </c>
      <c r="E24" s="65" t="s">
        <v>1194</v>
      </c>
      <c r="F24" s="50" t="s">
        <v>1153</v>
      </c>
      <c r="G24" s="65" t="s">
        <v>1195</v>
      </c>
      <c r="H24" s="66" t="s">
        <v>1196</v>
      </c>
      <c r="I24" s="66" t="s">
        <v>1197</v>
      </c>
      <c r="J24" s="22" t="s">
        <v>1156</v>
      </c>
      <c r="K24" s="67" t="s">
        <v>1157</v>
      </c>
      <c r="L24" s="68" t="n">
        <v>81</v>
      </c>
      <c r="M24" s="16" t="n">
        <f aca="false">100-L24</f>
        <v>19</v>
      </c>
      <c r="N24" s="1"/>
      <c r="O24" s="1"/>
      <c r="P24" s="1"/>
      <c r="Q24" s="1"/>
      <c r="R24" s="1"/>
      <c r="S24" s="1"/>
      <c r="T24" s="1"/>
      <c r="U24" s="1"/>
      <c r="V24" s="1"/>
      <c r="W24" s="1"/>
      <c r="X24" s="1"/>
      <c r="Y24" s="1"/>
      <c r="Z24" s="1"/>
    </row>
    <row r="25" customFormat="false" ht="42" hidden="false" customHeight="true" outlineLevel="0" collapsed="false">
      <c r="A25" s="63" t="str">
        <f aca="false">B25&amp;"|"&amp;C25</f>
        <v>Tireur|Chapeau</v>
      </c>
      <c r="B25" s="64" t="s">
        <v>31</v>
      </c>
      <c r="C25" s="64" t="s">
        <v>107</v>
      </c>
      <c r="D25" s="64" t="str">
        <f aca="false" t="array" ref="D25:D25">INDEX(Profils!$D$5:$D$34,MATCH(A25,Profils!$A$5:$A$34,0))</f>
        <v>Capuche</v>
      </c>
      <c r="E25" s="65" t="s">
        <v>1198</v>
      </c>
      <c r="F25" s="50" t="s">
        <v>1153</v>
      </c>
      <c r="G25" s="65" t="s">
        <v>1199</v>
      </c>
      <c r="H25" s="66" t="s">
        <v>1200</v>
      </c>
      <c r="I25" s="66" t="s">
        <v>1170</v>
      </c>
      <c r="J25" s="22" t="s">
        <v>1156</v>
      </c>
      <c r="K25" s="67" t="s">
        <v>1157</v>
      </c>
      <c r="L25" s="68" t="n">
        <v>81</v>
      </c>
      <c r="M25" s="16" t="n">
        <f aca="false">100-L25</f>
        <v>19</v>
      </c>
      <c r="N25" s="1"/>
      <c r="O25" s="1"/>
      <c r="P25" s="1"/>
      <c r="Q25" s="1"/>
      <c r="R25" s="1"/>
      <c r="S25" s="1"/>
      <c r="T25" s="1"/>
      <c r="U25" s="1"/>
      <c r="V25" s="1"/>
      <c r="W25" s="1"/>
      <c r="X25" s="1"/>
      <c r="Y25" s="1"/>
      <c r="Z25" s="1"/>
    </row>
    <row r="26" customFormat="false" ht="42" hidden="false" customHeight="true" outlineLevel="0" collapsed="false">
      <c r="A26" s="63" t="str">
        <f aca="false">B26&amp;"|"&amp;C26</f>
        <v>Tireur|Armure</v>
      </c>
      <c r="B26" s="64" t="s">
        <v>31</v>
      </c>
      <c r="C26" s="64" t="s">
        <v>90</v>
      </c>
      <c r="D26" s="64" t="str">
        <f aca="false" t="array" ref="D26:D26">INDEX(Profils!$D$5:$D$34,MATCH(A26,Profils!$A$5:$A$34,0))</f>
        <v>Veste</v>
      </c>
      <c r="E26" s="65" t="s">
        <v>1201</v>
      </c>
      <c r="F26" s="50" t="s">
        <v>1132</v>
      </c>
      <c r="G26" s="65" t="s">
        <v>1202</v>
      </c>
      <c r="H26" s="66" t="s">
        <v>1203</v>
      </c>
      <c r="I26" s="66" t="s">
        <v>1204</v>
      </c>
      <c r="J26" s="22" t="s">
        <v>1136</v>
      </c>
      <c r="K26" s="67" t="s">
        <v>1137</v>
      </c>
      <c r="L26" s="68" t="n">
        <v>51</v>
      </c>
      <c r="M26" s="16" t="n">
        <f aca="false">100-L26</f>
        <v>49</v>
      </c>
      <c r="N26" s="1"/>
      <c r="O26" s="1"/>
      <c r="P26" s="1"/>
      <c r="Q26" s="1"/>
      <c r="R26" s="1"/>
      <c r="S26" s="1"/>
      <c r="T26" s="1"/>
      <c r="U26" s="1"/>
      <c r="V26" s="1"/>
      <c r="W26" s="1"/>
      <c r="X26" s="1"/>
      <c r="Y26" s="1"/>
      <c r="Z26" s="1"/>
    </row>
    <row r="27" customFormat="false" ht="42" hidden="false" customHeight="true" outlineLevel="0" collapsed="false">
      <c r="A27" s="63" t="str">
        <f aca="false">B27&amp;"|"&amp;C27</f>
        <v>Tireur|Pantalon</v>
      </c>
      <c r="B27" s="64" t="s">
        <v>31</v>
      </c>
      <c r="C27" s="64" t="s">
        <v>177</v>
      </c>
      <c r="D27" s="64" t="str">
        <f aca="false" t="array" ref="D27:D27">INDEX(Profils!$D$5:$D$34,MATCH(A27,Profils!$A$5:$A$34,0))</f>
        <v>Pantalon</v>
      </c>
      <c r="E27" s="65" t="s">
        <v>1205</v>
      </c>
      <c r="F27" s="50" t="s">
        <v>1112</v>
      </c>
      <c r="G27" s="65" t="s">
        <v>1206</v>
      </c>
      <c r="H27" s="66" t="s">
        <v>1207</v>
      </c>
      <c r="I27" s="66" t="s">
        <v>1166</v>
      </c>
      <c r="J27" s="22" t="s">
        <v>1116</v>
      </c>
      <c r="K27" s="67" t="s">
        <v>1117</v>
      </c>
      <c r="L27" s="68" t="n">
        <v>61</v>
      </c>
      <c r="M27" s="16" t="n">
        <f aca="false">100-L27</f>
        <v>39</v>
      </c>
      <c r="N27" s="1"/>
      <c r="O27" s="1"/>
      <c r="P27" s="1"/>
      <c r="Q27" s="1"/>
      <c r="R27" s="1"/>
      <c r="S27" s="1"/>
      <c r="T27" s="1"/>
      <c r="U27" s="1"/>
      <c r="V27" s="1"/>
      <c r="W27" s="1"/>
      <c r="X27" s="1"/>
      <c r="Y27" s="1"/>
      <c r="Z27" s="1"/>
    </row>
    <row r="28" customFormat="false" ht="42" hidden="false" customHeight="true" outlineLevel="0" collapsed="false">
      <c r="A28" s="63" t="str">
        <f aca="false">B28&amp;"|"&amp;C28</f>
        <v>Tireur|Botte</v>
      </c>
      <c r="B28" s="64" t="s">
        <v>31</v>
      </c>
      <c r="C28" s="64" t="s">
        <v>209</v>
      </c>
      <c r="D28" s="64" t="str">
        <f aca="false" t="array" ref="D28:D28">INDEX(Profils!$D$5:$D$34,MATCH(A28,Profils!$A$5:$A$34,0))</f>
        <v>Bottes</v>
      </c>
      <c r="E28" s="65" t="s">
        <v>1208</v>
      </c>
      <c r="F28" s="50" t="s">
        <v>1139</v>
      </c>
      <c r="G28" s="65" t="s">
        <v>1209</v>
      </c>
      <c r="H28" s="66" t="s">
        <v>1210</v>
      </c>
      <c r="I28" s="66" t="s">
        <v>1211</v>
      </c>
      <c r="J28" s="22" t="s">
        <v>1143</v>
      </c>
      <c r="K28" s="67" t="s">
        <v>1144</v>
      </c>
      <c r="L28" s="68" t="n">
        <v>71</v>
      </c>
      <c r="M28" s="16" t="n">
        <f aca="false">100-L28</f>
        <v>29</v>
      </c>
      <c r="N28" s="1"/>
      <c r="O28" s="1"/>
      <c r="P28" s="1"/>
      <c r="Q28" s="1"/>
      <c r="R28" s="1"/>
      <c r="S28" s="1"/>
      <c r="T28" s="1"/>
      <c r="U28" s="1"/>
      <c r="V28" s="1"/>
      <c r="W28" s="1"/>
      <c r="X28" s="1"/>
      <c r="Y28" s="1"/>
      <c r="Z28" s="1"/>
    </row>
    <row r="29" customFormat="false" ht="42" hidden="false" customHeight="true" outlineLevel="0" collapsed="false">
      <c r="A29" s="63" t="str">
        <f aca="false">B29&amp;"|"&amp;C29</f>
        <v>Tireur|Collier</v>
      </c>
      <c r="B29" s="64" t="s">
        <v>31</v>
      </c>
      <c r="C29" s="64" t="s">
        <v>241</v>
      </c>
      <c r="D29" s="64" t="str">
        <f aca="false" t="array" ref="D29:D29">INDEX(Profils!$D$5:$D$34,MATCH(A29,Profils!$A$5:$A$34,0))</f>
        <v>Pendentif</v>
      </c>
      <c r="E29" s="65" t="s">
        <v>1212</v>
      </c>
      <c r="F29" s="50" t="s">
        <v>1098</v>
      </c>
      <c r="G29" s="65" t="s">
        <v>1213</v>
      </c>
      <c r="H29" s="66" t="s">
        <v>1214</v>
      </c>
      <c r="I29" s="66" t="s">
        <v>1215</v>
      </c>
      <c r="J29" s="22" t="s">
        <v>1102</v>
      </c>
      <c r="K29" s="67" t="s">
        <v>1103</v>
      </c>
      <c r="L29" s="68" t="n">
        <v>11</v>
      </c>
      <c r="M29" s="16" t="n">
        <f aca="false">100-L29</f>
        <v>89</v>
      </c>
      <c r="N29" s="1"/>
      <c r="O29" s="1"/>
      <c r="P29" s="1"/>
      <c r="Q29" s="1"/>
      <c r="R29" s="1"/>
      <c r="S29" s="1"/>
      <c r="T29" s="1"/>
      <c r="U29" s="1"/>
      <c r="V29" s="1"/>
      <c r="W29" s="1"/>
      <c r="X29" s="1"/>
      <c r="Y29" s="1"/>
      <c r="Z29" s="1"/>
    </row>
    <row r="30" customFormat="false" ht="42" hidden="false" customHeight="true" outlineLevel="0" collapsed="false">
      <c r="A30" s="63" t="str">
        <f aca="false">B30&amp;"|"&amp;C30</f>
        <v>Tireur|Anneau 1</v>
      </c>
      <c r="B30" s="64" t="s">
        <v>31</v>
      </c>
      <c r="C30" s="64" t="s">
        <v>273</v>
      </c>
      <c r="D30" s="64" t="str">
        <f aca="false" t="array" ref="D30:D30">INDEX(Profils!$D$5:$D$34,MATCH(A30,Profils!$A$5:$A$34,0))</f>
        <v>Anneau de chasseur</v>
      </c>
      <c r="E30" s="65" t="s">
        <v>1216</v>
      </c>
      <c r="F30" s="50" t="s">
        <v>1105</v>
      </c>
      <c r="G30" s="65" t="s">
        <v>1217</v>
      </c>
      <c r="H30" s="66" t="s">
        <v>1218</v>
      </c>
      <c r="I30" s="66" t="s">
        <v>1108</v>
      </c>
      <c r="J30" s="22" t="s">
        <v>1109</v>
      </c>
      <c r="K30" s="67" t="s">
        <v>1110</v>
      </c>
      <c r="L30" s="68" t="n">
        <v>21</v>
      </c>
      <c r="M30" s="16" t="n">
        <f aca="false">100-L30</f>
        <v>79</v>
      </c>
      <c r="N30" s="1"/>
      <c r="O30" s="1"/>
      <c r="P30" s="1"/>
      <c r="Q30" s="1"/>
      <c r="R30" s="1"/>
      <c r="S30" s="1"/>
      <c r="T30" s="1"/>
      <c r="U30" s="1"/>
      <c r="V30" s="1"/>
      <c r="W30" s="1"/>
      <c r="X30" s="1"/>
      <c r="Y30" s="1"/>
      <c r="Z30" s="1"/>
    </row>
    <row r="31" customFormat="false" ht="42" hidden="false" customHeight="true" outlineLevel="0" collapsed="false">
      <c r="A31" s="63" t="str">
        <f aca="false">B31&amp;"|"&amp;C31</f>
        <v>Tireur|Anneau 2</v>
      </c>
      <c r="B31" s="64" t="s">
        <v>31</v>
      </c>
      <c r="C31" s="64" t="s">
        <v>305</v>
      </c>
      <c r="D31" s="64" t="str">
        <f aca="false" t="array" ref="D31:D31">INDEX(Profils!$D$5:$D$34,MATCH(A31,Profils!$A$5:$A$34,0))</f>
        <v>Bague</v>
      </c>
      <c r="E31" s="65" t="s">
        <v>1219</v>
      </c>
      <c r="F31" s="50" t="s">
        <v>1091</v>
      </c>
      <c r="G31" s="65" t="s">
        <v>1220</v>
      </c>
      <c r="H31" s="66" t="s">
        <v>1221</v>
      </c>
      <c r="I31" s="66" t="s">
        <v>1094</v>
      </c>
      <c r="J31" s="22" t="s">
        <v>1095</v>
      </c>
      <c r="K31" s="67" t="s">
        <v>1096</v>
      </c>
      <c r="L31" s="68" t="n">
        <v>1</v>
      </c>
      <c r="M31" s="16" t="n">
        <f aca="false">100-L31</f>
        <v>99</v>
      </c>
      <c r="N31" s="1"/>
      <c r="O31" s="1"/>
      <c r="P31" s="1"/>
      <c r="Q31" s="1"/>
      <c r="R31" s="1"/>
      <c r="S31" s="1"/>
      <c r="T31" s="1"/>
      <c r="U31" s="1"/>
      <c r="V31" s="1"/>
      <c r="W31" s="1"/>
      <c r="X31" s="1"/>
      <c r="Y31" s="1"/>
      <c r="Z31" s="1"/>
    </row>
    <row r="32" customFormat="false" ht="42" hidden="false" customHeight="true" outlineLevel="0" collapsed="false">
      <c r="A32" s="63" t="str">
        <f aca="false">B32&amp;"|"&amp;C32</f>
        <v>Tireur|Ceinture</v>
      </c>
      <c r="B32" s="64" t="s">
        <v>31</v>
      </c>
      <c r="C32" s="64" t="s">
        <v>337</v>
      </c>
      <c r="D32" s="64" t="str">
        <f aca="false" t="array" ref="D32:D32">INDEX(Profils!$D$5:$D$34,MATCH(A32,Profils!$A$5:$A$34,0))</f>
        <v>Ceinture</v>
      </c>
      <c r="E32" s="65" t="s">
        <v>1222</v>
      </c>
      <c r="F32" s="50" t="s">
        <v>1125</v>
      </c>
      <c r="G32" s="65" t="s">
        <v>1223</v>
      </c>
      <c r="H32" s="66" t="s">
        <v>1224</v>
      </c>
      <c r="I32" s="66" t="s">
        <v>1225</v>
      </c>
      <c r="J32" s="22" t="s">
        <v>1129</v>
      </c>
      <c r="K32" s="67" t="s">
        <v>1130</v>
      </c>
      <c r="L32" s="68" t="n">
        <v>41</v>
      </c>
      <c r="M32" s="16" t="n">
        <f aca="false">100-L32</f>
        <v>59</v>
      </c>
      <c r="N32" s="1"/>
      <c r="O32" s="1"/>
      <c r="P32" s="1"/>
      <c r="Q32" s="1"/>
      <c r="R32" s="1"/>
      <c r="S32" s="1"/>
      <c r="T32" s="1"/>
      <c r="U32" s="1"/>
      <c r="V32" s="1"/>
      <c r="W32" s="1"/>
      <c r="X32" s="1"/>
      <c r="Y32" s="1"/>
      <c r="Z32" s="1"/>
    </row>
    <row r="33" customFormat="false" ht="42" hidden="false" customHeight="true" outlineLevel="0" collapsed="false">
      <c r="A33" s="63" t="str">
        <f aca="false">B33&amp;"|"&amp;C33</f>
        <v>Tireur|Arme 1</v>
      </c>
      <c r="B33" s="64" t="s">
        <v>31</v>
      </c>
      <c r="C33" s="64" t="s">
        <v>369</v>
      </c>
      <c r="D33" s="64" t="str">
        <f aca="false" t="array" ref="D33:D33">INDEX(Profils!$D$5:$D$34,MATCH(A33,Profils!$A$5:$A$34,0))</f>
        <v>Arc</v>
      </c>
      <c r="E33" s="65" t="s">
        <v>1226</v>
      </c>
      <c r="F33" s="50" t="s">
        <v>1159</v>
      </c>
      <c r="G33" s="65" t="s">
        <v>1227</v>
      </c>
      <c r="H33" s="66" t="s">
        <v>1228</v>
      </c>
      <c r="I33" s="66" t="s">
        <v>1170</v>
      </c>
      <c r="J33" s="22" t="s">
        <v>1122</v>
      </c>
      <c r="K33" s="67" t="s">
        <v>1123</v>
      </c>
      <c r="L33" s="68" t="n">
        <v>31</v>
      </c>
      <c r="M33" s="16" t="n">
        <f aca="false">100-L33</f>
        <v>69</v>
      </c>
      <c r="N33" s="1"/>
      <c r="O33" s="1"/>
      <c r="P33" s="1"/>
      <c r="Q33" s="1"/>
      <c r="R33" s="1"/>
      <c r="S33" s="1"/>
      <c r="T33" s="1"/>
      <c r="U33" s="1"/>
      <c r="V33" s="1"/>
      <c r="W33" s="1"/>
      <c r="X33" s="1"/>
      <c r="Y33" s="1"/>
      <c r="Z33" s="1"/>
    </row>
    <row r="34" customFormat="false" ht="42" hidden="false" customHeight="true" outlineLevel="0" collapsed="false">
      <c r="A34" s="63" t="str">
        <f aca="false">B34&amp;"|"&amp;C34</f>
        <v>Tireur|Arme 2</v>
      </c>
      <c r="B34" s="64" t="s">
        <v>31</v>
      </c>
      <c r="C34" s="64" t="s">
        <v>401</v>
      </c>
      <c r="D34" s="64" t="str">
        <f aca="false" t="array" ref="D34:D34">INDEX(Profils!$D$5:$D$34,MATCH(A34,Profils!$A$5:$A$34,0))</f>
        <v>Carquois</v>
      </c>
      <c r="E34" s="65" t="s">
        <v>1229</v>
      </c>
      <c r="F34" s="50" t="s">
        <v>1146</v>
      </c>
      <c r="G34" s="65" t="s">
        <v>1230</v>
      </c>
      <c r="H34" s="66" t="s">
        <v>1231</v>
      </c>
      <c r="I34" s="66" t="s">
        <v>1170</v>
      </c>
      <c r="J34" s="22" t="s">
        <v>1150</v>
      </c>
      <c r="K34" s="67" t="s">
        <v>1151</v>
      </c>
      <c r="L34" s="68" t="n">
        <v>91</v>
      </c>
      <c r="M34" s="16" t="n">
        <f aca="false">100-L34</f>
        <v>9</v>
      </c>
      <c r="N34" s="1"/>
      <c r="O34" s="1"/>
      <c r="P34" s="1"/>
      <c r="Q34" s="1"/>
      <c r="R34" s="1"/>
      <c r="S34" s="1"/>
      <c r="T34" s="1"/>
      <c r="U34" s="1"/>
      <c r="V34" s="1"/>
      <c r="W34" s="1"/>
      <c r="X34" s="1"/>
      <c r="Y34" s="1"/>
      <c r="Z34" s="1"/>
    </row>
    <row r="35" customFormat="false" ht="15.75" hidden="false" customHeight="true" outlineLevel="0" collapsed="false">
      <c r="N35" s="1"/>
      <c r="O35" s="1"/>
      <c r="P35" s="1"/>
      <c r="Q35" s="1"/>
      <c r="R35" s="1"/>
      <c r="S35" s="1"/>
      <c r="T35" s="1"/>
      <c r="U35" s="1"/>
      <c r="V35" s="1"/>
      <c r="W35" s="1"/>
      <c r="X35" s="1"/>
      <c r="Y35" s="1"/>
      <c r="Z35" s="1"/>
    </row>
    <row r="36" customFormat="false" ht="15.75" hidden="false" customHeight="true" outlineLevel="0" collapsed="false">
      <c r="A36" s="69" t="s">
        <v>1232</v>
      </c>
      <c r="N36" s="1"/>
      <c r="O36" s="1"/>
      <c r="P36" s="1"/>
      <c r="Q36" s="1"/>
      <c r="R36" s="1"/>
      <c r="S36" s="1"/>
      <c r="T36" s="1"/>
      <c r="U36" s="1"/>
      <c r="V36" s="1"/>
      <c r="W36" s="1"/>
      <c r="X36" s="1"/>
      <c r="Y36" s="1"/>
      <c r="Z36" s="1"/>
    </row>
    <row r="37" customFormat="false" ht="15.75" hidden="false" customHeight="true" outlineLevel="0" collapsed="false">
      <c r="A37" s="69" t="s">
        <v>1233</v>
      </c>
      <c r="N37" s="1"/>
      <c r="O37" s="1"/>
      <c r="P37" s="1"/>
      <c r="Q37" s="1"/>
      <c r="R37" s="1"/>
      <c r="S37" s="1"/>
      <c r="T37" s="1"/>
      <c r="U37" s="1"/>
      <c r="V37" s="1"/>
      <c r="W37" s="1"/>
      <c r="X37" s="1"/>
      <c r="Y37" s="1"/>
      <c r="Z37" s="1"/>
    </row>
    <row r="38" customFormat="false" ht="15.75" hidden="false" customHeight="true" outlineLevel="0" collapsed="false">
      <c r="N38" s="1"/>
      <c r="O38" s="1"/>
      <c r="P38" s="1"/>
      <c r="Q38" s="1"/>
      <c r="R38" s="1"/>
      <c r="S38" s="1"/>
      <c r="T38" s="1"/>
      <c r="U38" s="1"/>
      <c r="V38" s="1"/>
      <c r="W38" s="1"/>
      <c r="X38" s="1"/>
      <c r="Y38" s="1"/>
      <c r="Z38" s="1"/>
    </row>
    <row r="39" customFormat="false" ht="15.75" hidden="false" customHeight="true" outlineLevel="0" collapsed="false">
      <c r="N39" s="1"/>
      <c r="O39" s="1"/>
      <c r="P39" s="1"/>
      <c r="Q39" s="1"/>
      <c r="R39" s="1"/>
      <c r="S39" s="1"/>
      <c r="T39" s="1"/>
      <c r="U39" s="1"/>
      <c r="V39" s="1"/>
      <c r="W39" s="1"/>
      <c r="X39" s="1"/>
      <c r="Y39" s="1"/>
      <c r="Z39" s="1"/>
    </row>
    <row r="40" customFormat="false" ht="15.75" hidden="false" customHeight="true" outlineLevel="0" collapsed="false">
      <c r="N40" s="1"/>
      <c r="O40" s="1"/>
      <c r="P40" s="1"/>
      <c r="Q40" s="1"/>
      <c r="R40" s="1"/>
      <c r="S40" s="1"/>
      <c r="T40" s="1"/>
      <c r="U40" s="1"/>
      <c r="V40" s="1"/>
      <c r="W40" s="1"/>
      <c r="X40" s="1"/>
      <c r="Y40" s="1"/>
      <c r="Z40" s="1"/>
    </row>
    <row r="41" customFormat="false" ht="15.75" hidden="false" customHeight="true" outlineLevel="0" collapsed="false">
      <c r="N41" s="1"/>
      <c r="O41" s="1"/>
      <c r="P41" s="1"/>
      <c r="Q41" s="1"/>
      <c r="R41" s="1"/>
      <c r="S41" s="1"/>
      <c r="T41" s="1"/>
      <c r="U41" s="1"/>
      <c r="V41" s="1"/>
      <c r="W41" s="1"/>
      <c r="X41" s="1"/>
      <c r="Y41" s="1"/>
      <c r="Z41" s="1"/>
    </row>
    <row r="42" customFormat="false" ht="15.75" hidden="false" customHeight="true" outlineLevel="0" collapsed="false">
      <c r="N42" s="1"/>
      <c r="O42" s="1"/>
      <c r="P42" s="1"/>
      <c r="Q42" s="1"/>
      <c r="R42" s="1"/>
      <c r="S42" s="1"/>
      <c r="T42" s="1"/>
      <c r="U42" s="1"/>
      <c r="V42" s="1"/>
      <c r="W42" s="1"/>
      <c r="X42" s="1"/>
      <c r="Y42" s="1"/>
      <c r="Z42" s="1"/>
    </row>
    <row r="43" customFormat="false" ht="15.75" hidden="false" customHeight="true" outlineLevel="0" collapsed="false">
      <c r="N43" s="1"/>
      <c r="O43" s="1"/>
      <c r="P43" s="1"/>
      <c r="Q43" s="1"/>
      <c r="R43" s="1"/>
      <c r="S43" s="1"/>
      <c r="T43" s="1"/>
      <c r="U43" s="1"/>
      <c r="V43" s="1"/>
      <c r="W43" s="1"/>
      <c r="X43" s="1"/>
      <c r="Y43" s="1"/>
      <c r="Z43" s="1"/>
    </row>
    <row r="44" customFormat="false" ht="15.75" hidden="false" customHeight="true" outlineLevel="0" collapsed="false">
      <c r="N44" s="1"/>
      <c r="O44" s="1"/>
      <c r="P44" s="1"/>
      <c r="Q44" s="1"/>
      <c r="R44" s="1"/>
      <c r="S44" s="1"/>
      <c r="T44" s="1"/>
      <c r="U44" s="1"/>
      <c r="V44" s="1"/>
      <c r="W44" s="1"/>
      <c r="X44" s="1"/>
      <c r="Y44" s="1"/>
      <c r="Z44" s="1"/>
    </row>
    <row r="45" customFormat="false" ht="15.75" hidden="false" customHeight="true" outlineLevel="0" collapsed="false">
      <c r="N45" s="1"/>
      <c r="O45" s="1"/>
      <c r="P45" s="1"/>
      <c r="Q45" s="1"/>
      <c r="R45" s="1"/>
      <c r="S45" s="1"/>
      <c r="T45" s="1"/>
      <c r="U45" s="1"/>
      <c r="V45" s="1"/>
      <c r="W45" s="1"/>
      <c r="X45" s="1"/>
      <c r="Y45" s="1"/>
      <c r="Z45" s="1"/>
    </row>
    <row r="46" customFormat="false" ht="15.75" hidden="false" customHeight="true" outlineLevel="0" collapsed="false">
      <c r="N46" s="1"/>
      <c r="O46" s="1"/>
      <c r="P46" s="1"/>
      <c r="Q46" s="1"/>
      <c r="R46" s="1"/>
      <c r="S46" s="1"/>
      <c r="T46" s="1"/>
      <c r="U46" s="1"/>
      <c r="V46" s="1"/>
      <c r="W46" s="1"/>
      <c r="X46" s="1"/>
      <c r="Y46" s="1"/>
      <c r="Z46" s="1"/>
    </row>
    <row r="47" customFormat="false" ht="15.75" hidden="false" customHeight="true" outlineLevel="0" collapsed="false">
      <c r="N47" s="1"/>
      <c r="O47" s="1"/>
      <c r="P47" s="1"/>
      <c r="Q47" s="1"/>
      <c r="R47" s="1"/>
      <c r="S47" s="1"/>
      <c r="T47" s="1"/>
      <c r="U47" s="1"/>
      <c r="V47" s="1"/>
      <c r="W47" s="1"/>
      <c r="X47" s="1"/>
      <c r="Y47" s="1"/>
      <c r="Z47" s="1"/>
    </row>
    <row r="48" customFormat="false" ht="15.75" hidden="false" customHeight="true" outlineLevel="0" collapsed="false">
      <c r="N48" s="1"/>
      <c r="O48" s="1"/>
      <c r="P48" s="1"/>
      <c r="Q48" s="1"/>
      <c r="R48" s="1"/>
      <c r="S48" s="1"/>
      <c r="T48" s="1"/>
      <c r="U48" s="1"/>
      <c r="V48" s="1"/>
      <c r="W48" s="1"/>
      <c r="X48" s="1"/>
      <c r="Y48" s="1"/>
      <c r="Z48" s="1"/>
    </row>
    <row r="49" customFormat="false" ht="15.75" hidden="false" customHeight="true" outlineLevel="0" collapsed="false">
      <c r="N49" s="1"/>
      <c r="O49" s="1"/>
      <c r="P49" s="1"/>
      <c r="Q49" s="1"/>
      <c r="R49" s="1"/>
      <c r="S49" s="1"/>
      <c r="T49" s="1"/>
      <c r="U49" s="1"/>
      <c r="V49" s="1"/>
      <c r="W49" s="1"/>
      <c r="X49" s="1"/>
      <c r="Y49" s="1"/>
      <c r="Z49" s="1"/>
    </row>
    <row r="50" customFormat="false" ht="15.75" hidden="false" customHeight="true" outlineLevel="0" collapsed="false">
      <c r="N50" s="1"/>
      <c r="O50" s="1"/>
      <c r="P50" s="1"/>
      <c r="Q50" s="1"/>
      <c r="R50" s="1"/>
      <c r="S50" s="1"/>
      <c r="T50" s="1"/>
      <c r="U50" s="1"/>
      <c r="V50" s="1"/>
      <c r="W50" s="1"/>
      <c r="X50" s="1"/>
      <c r="Y50" s="1"/>
      <c r="Z50" s="1"/>
    </row>
    <row r="51" customFormat="false" ht="15.75" hidden="false" customHeight="true" outlineLevel="0" collapsed="false">
      <c r="N51" s="1"/>
      <c r="O51" s="1"/>
      <c r="P51" s="1"/>
      <c r="Q51" s="1"/>
      <c r="R51" s="1"/>
      <c r="S51" s="1"/>
      <c r="T51" s="1"/>
      <c r="U51" s="1"/>
      <c r="V51" s="1"/>
      <c r="W51" s="1"/>
      <c r="X51" s="1"/>
      <c r="Y51" s="1"/>
      <c r="Z51" s="1"/>
    </row>
    <row r="52" customFormat="false" ht="15.75" hidden="false" customHeight="true" outlineLevel="0" collapsed="false">
      <c r="N52" s="1"/>
      <c r="O52" s="1"/>
      <c r="P52" s="1"/>
      <c r="Q52" s="1"/>
      <c r="R52" s="1"/>
      <c r="S52" s="1"/>
      <c r="T52" s="1"/>
      <c r="U52" s="1"/>
      <c r="V52" s="1"/>
      <c r="W52" s="1"/>
      <c r="X52" s="1"/>
      <c r="Y52" s="1"/>
      <c r="Z52" s="1"/>
    </row>
    <row r="53" customFormat="false" ht="15.75" hidden="false" customHeight="true" outlineLevel="0" collapsed="false">
      <c r="N53" s="1"/>
      <c r="O53" s="1"/>
      <c r="P53" s="1"/>
      <c r="Q53" s="1"/>
      <c r="R53" s="1"/>
      <c r="S53" s="1"/>
      <c r="T53" s="1"/>
      <c r="U53" s="1"/>
      <c r="V53" s="1"/>
      <c r="W53" s="1"/>
      <c r="X53" s="1"/>
      <c r="Y53" s="1"/>
      <c r="Z53" s="1"/>
    </row>
    <row r="54" customFormat="false" ht="15.75" hidden="false" customHeight="true" outlineLevel="0" collapsed="false">
      <c r="N54" s="1"/>
      <c r="O54" s="1"/>
      <c r="P54" s="1"/>
      <c r="Q54" s="1"/>
      <c r="R54" s="1"/>
      <c r="S54" s="1"/>
      <c r="T54" s="1"/>
      <c r="U54" s="1"/>
      <c r="V54" s="1"/>
      <c r="W54" s="1"/>
      <c r="X54" s="1"/>
      <c r="Y54" s="1"/>
      <c r="Z54" s="1"/>
    </row>
    <row r="55" customFormat="false" ht="15.75" hidden="false" customHeight="true" outlineLevel="0" collapsed="false">
      <c r="N55" s="1"/>
      <c r="O55" s="1"/>
      <c r="P55" s="1"/>
      <c r="Q55" s="1"/>
      <c r="R55" s="1"/>
      <c r="S55" s="1"/>
      <c r="T55" s="1"/>
      <c r="U55" s="1"/>
      <c r="V55" s="1"/>
      <c r="W55" s="1"/>
      <c r="X55" s="1"/>
      <c r="Y55" s="1"/>
      <c r="Z55" s="1"/>
    </row>
    <row r="56" customFormat="false" ht="15.75" hidden="false" customHeight="true" outlineLevel="0" collapsed="false">
      <c r="N56" s="1"/>
      <c r="O56" s="1"/>
      <c r="P56" s="1"/>
      <c r="Q56" s="1"/>
      <c r="R56" s="1"/>
      <c r="S56" s="1"/>
      <c r="T56" s="1"/>
      <c r="U56" s="1"/>
      <c r="V56" s="1"/>
      <c r="W56" s="1"/>
      <c r="X56" s="1"/>
      <c r="Y56" s="1"/>
      <c r="Z56" s="1"/>
    </row>
    <row r="57" customFormat="false" ht="15.75" hidden="false" customHeight="true" outlineLevel="0" collapsed="false">
      <c r="N57" s="1"/>
      <c r="O57" s="1"/>
      <c r="P57" s="1"/>
      <c r="Q57" s="1"/>
      <c r="R57" s="1"/>
      <c r="S57" s="1"/>
      <c r="T57" s="1"/>
      <c r="U57" s="1"/>
      <c r="V57" s="1"/>
      <c r="W57" s="1"/>
      <c r="X57" s="1"/>
      <c r="Y57" s="1"/>
      <c r="Z57" s="1"/>
    </row>
    <row r="58" customFormat="false" ht="15.75" hidden="false" customHeight="true" outlineLevel="0" collapsed="false">
      <c r="N58" s="1"/>
      <c r="O58" s="1"/>
      <c r="P58" s="1"/>
      <c r="Q58" s="1"/>
      <c r="R58" s="1"/>
      <c r="S58" s="1"/>
      <c r="T58" s="1"/>
      <c r="U58" s="1"/>
      <c r="V58" s="1"/>
      <c r="W58" s="1"/>
      <c r="X58" s="1"/>
      <c r="Y58" s="1"/>
      <c r="Z58" s="1"/>
    </row>
    <row r="59" customFormat="false" ht="15.75" hidden="false" customHeight="true" outlineLevel="0" collapsed="false">
      <c r="N59" s="1"/>
      <c r="O59" s="1"/>
      <c r="P59" s="1"/>
      <c r="Q59" s="1"/>
      <c r="R59" s="1"/>
      <c r="S59" s="1"/>
      <c r="T59" s="1"/>
      <c r="U59" s="1"/>
      <c r="V59" s="1"/>
      <c r="W59" s="1"/>
      <c r="X59" s="1"/>
      <c r="Y59" s="1"/>
      <c r="Z59" s="1"/>
    </row>
    <row r="60" customFormat="false" ht="15.75" hidden="false" customHeight="true" outlineLevel="0" collapsed="false">
      <c r="N60" s="1"/>
      <c r="O60" s="1"/>
      <c r="P60" s="1"/>
      <c r="Q60" s="1"/>
      <c r="R60" s="1"/>
      <c r="S60" s="1"/>
      <c r="T60" s="1"/>
      <c r="U60" s="1"/>
      <c r="V60" s="1"/>
      <c r="W60" s="1"/>
      <c r="X60" s="1"/>
      <c r="Y60" s="1"/>
      <c r="Z60" s="1"/>
    </row>
    <row r="61" customFormat="false" ht="15.75" hidden="false" customHeight="true" outlineLevel="0" collapsed="false">
      <c r="N61" s="1"/>
      <c r="O61" s="1"/>
      <c r="P61" s="1"/>
      <c r="Q61" s="1"/>
      <c r="R61" s="1"/>
      <c r="S61" s="1"/>
      <c r="T61" s="1"/>
      <c r="U61" s="1"/>
      <c r="V61" s="1"/>
      <c r="W61" s="1"/>
      <c r="X61" s="1"/>
      <c r="Y61" s="1"/>
      <c r="Z61" s="1"/>
    </row>
    <row r="62" customFormat="false" ht="15.75" hidden="false" customHeight="true" outlineLevel="0" collapsed="false">
      <c r="N62" s="1"/>
      <c r="O62" s="1"/>
      <c r="P62" s="1"/>
      <c r="Q62" s="1"/>
      <c r="R62" s="1"/>
      <c r="S62" s="1"/>
      <c r="T62" s="1"/>
      <c r="U62" s="1"/>
      <c r="V62" s="1"/>
      <c r="W62" s="1"/>
      <c r="X62" s="1"/>
      <c r="Y62" s="1"/>
      <c r="Z62" s="1"/>
    </row>
    <row r="63" customFormat="false" ht="15.75" hidden="false" customHeight="true" outlineLevel="0" collapsed="false">
      <c r="N63" s="1"/>
      <c r="O63" s="1"/>
      <c r="P63" s="1"/>
      <c r="Q63" s="1"/>
      <c r="R63" s="1"/>
      <c r="S63" s="1"/>
      <c r="T63" s="1"/>
      <c r="U63" s="1"/>
      <c r="V63" s="1"/>
      <c r="W63" s="1"/>
      <c r="X63" s="1"/>
      <c r="Y63" s="1"/>
      <c r="Z63" s="1"/>
    </row>
    <row r="64" customFormat="false" ht="15.75" hidden="false" customHeight="true" outlineLevel="0" collapsed="false">
      <c r="N64" s="1"/>
      <c r="O64" s="1"/>
      <c r="P64" s="1"/>
      <c r="Q64" s="1"/>
      <c r="R64" s="1"/>
      <c r="S64" s="1"/>
      <c r="T64" s="1"/>
      <c r="U64" s="1"/>
      <c r="V64" s="1"/>
      <c r="W64" s="1"/>
      <c r="X64" s="1"/>
      <c r="Y64" s="1"/>
      <c r="Z64" s="1"/>
    </row>
    <row r="65" customFormat="false" ht="15.75" hidden="false" customHeight="true" outlineLevel="0" collapsed="false">
      <c r="N65" s="1"/>
      <c r="O65" s="1"/>
      <c r="P65" s="1"/>
      <c r="Q65" s="1"/>
      <c r="R65" s="1"/>
      <c r="S65" s="1"/>
      <c r="T65" s="1"/>
      <c r="U65" s="1"/>
      <c r="V65" s="1"/>
      <c r="W65" s="1"/>
      <c r="X65" s="1"/>
      <c r="Y65" s="1"/>
      <c r="Z65" s="1"/>
    </row>
    <row r="66" customFormat="false" ht="15.75" hidden="false" customHeight="true" outlineLevel="0" collapsed="false">
      <c r="N66" s="1"/>
      <c r="O66" s="1"/>
      <c r="P66" s="1"/>
      <c r="Q66" s="1"/>
      <c r="R66" s="1"/>
      <c r="S66" s="1"/>
      <c r="T66" s="1"/>
      <c r="U66" s="1"/>
      <c r="V66" s="1"/>
      <c r="W66" s="1"/>
      <c r="X66" s="1"/>
      <c r="Y66" s="1"/>
      <c r="Z66" s="1"/>
    </row>
    <row r="67" customFormat="false" ht="15.75" hidden="false" customHeight="true" outlineLevel="0" collapsed="false">
      <c r="N67" s="1"/>
      <c r="O67" s="1"/>
      <c r="P67" s="1"/>
      <c r="Q67" s="1"/>
      <c r="R67" s="1"/>
      <c r="S67" s="1"/>
      <c r="T67" s="1"/>
      <c r="U67" s="1"/>
      <c r="V67" s="1"/>
      <c r="W67" s="1"/>
      <c r="X67" s="1"/>
      <c r="Y67" s="1"/>
      <c r="Z67" s="1"/>
    </row>
    <row r="68" customFormat="false" ht="15.75" hidden="false" customHeight="true" outlineLevel="0" collapsed="false">
      <c r="N68" s="1"/>
      <c r="O68" s="1"/>
      <c r="P68" s="1"/>
      <c r="Q68" s="1"/>
      <c r="R68" s="1"/>
      <c r="S68" s="1"/>
      <c r="T68" s="1"/>
      <c r="U68" s="1"/>
      <c r="V68" s="1"/>
      <c r="W68" s="1"/>
      <c r="X68" s="1"/>
      <c r="Y68" s="1"/>
      <c r="Z68" s="1"/>
    </row>
    <row r="69" customFormat="false" ht="15.75" hidden="false" customHeight="true" outlineLevel="0" collapsed="false">
      <c r="N69" s="1"/>
      <c r="O69" s="1"/>
      <c r="P69" s="1"/>
      <c r="Q69" s="1"/>
      <c r="R69" s="1"/>
      <c r="S69" s="1"/>
      <c r="T69" s="1"/>
      <c r="U69" s="1"/>
      <c r="V69" s="1"/>
      <c r="W69" s="1"/>
      <c r="X69" s="1"/>
      <c r="Y69" s="1"/>
      <c r="Z69" s="1"/>
    </row>
    <row r="70" customFormat="false" ht="15.75" hidden="false" customHeight="true" outlineLevel="0" collapsed="false">
      <c r="N70" s="1"/>
      <c r="O70" s="1"/>
      <c r="P70" s="1"/>
      <c r="Q70" s="1"/>
      <c r="R70" s="1"/>
      <c r="S70" s="1"/>
      <c r="T70" s="1"/>
      <c r="U70" s="1"/>
      <c r="V70" s="1"/>
      <c r="W70" s="1"/>
      <c r="X70" s="1"/>
      <c r="Y70" s="1"/>
      <c r="Z70" s="1"/>
    </row>
    <row r="71" customFormat="false" ht="15.75" hidden="false" customHeight="true" outlineLevel="0" collapsed="false">
      <c r="N71" s="1"/>
      <c r="O71" s="1"/>
      <c r="P71" s="1"/>
      <c r="Q71" s="1"/>
      <c r="R71" s="1"/>
      <c r="S71" s="1"/>
      <c r="T71" s="1"/>
      <c r="U71" s="1"/>
      <c r="V71" s="1"/>
      <c r="W71" s="1"/>
      <c r="X71" s="1"/>
      <c r="Y71" s="1"/>
      <c r="Z71" s="1"/>
    </row>
    <row r="72" customFormat="false" ht="15.75" hidden="false" customHeight="true" outlineLevel="0" collapsed="false">
      <c r="N72" s="1"/>
      <c r="O72" s="1"/>
      <c r="P72" s="1"/>
      <c r="Q72" s="1"/>
      <c r="R72" s="1"/>
      <c r="S72" s="1"/>
      <c r="T72" s="1"/>
      <c r="U72" s="1"/>
      <c r="V72" s="1"/>
      <c r="W72" s="1"/>
      <c r="X72" s="1"/>
      <c r="Y72" s="1"/>
      <c r="Z72" s="1"/>
    </row>
    <row r="73" customFormat="false" ht="15.75" hidden="false" customHeight="true" outlineLevel="0" collapsed="false">
      <c r="N73" s="1"/>
      <c r="O73" s="1"/>
      <c r="P73" s="1"/>
      <c r="Q73" s="1"/>
      <c r="R73" s="1"/>
      <c r="S73" s="1"/>
      <c r="T73" s="1"/>
      <c r="U73" s="1"/>
      <c r="V73" s="1"/>
      <c r="W73" s="1"/>
      <c r="X73" s="1"/>
      <c r="Y73" s="1"/>
      <c r="Z73" s="1"/>
    </row>
    <row r="74" customFormat="false" ht="15.75" hidden="false" customHeight="true" outlineLevel="0" collapsed="false">
      <c r="N74" s="1"/>
      <c r="O74" s="1"/>
      <c r="P74" s="1"/>
      <c r="Q74" s="1"/>
      <c r="R74" s="1"/>
      <c r="S74" s="1"/>
      <c r="T74" s="1"/>
      <c r="U74" s="1"/>
      <c r="V74" s="1"/>
      <c r="W74" s="1"/>
      <c r="X74" s="1"/>
      <c r="Y74" s="1"/>
      <c r="Z74" s="1"/>
    </row>
    <row r="75" customFormat="false" ht="15.75" hidden="false" customHeight="true" outlineLevel="0" collapsed="false">
      <c r="N75" s="1"/>
      <c r="O75" s="1"/>
      <c r="P75" s="1"/>
      <c r="Q75" s="1"/>
      <c r="R75" s="1"/>
      <c r="S75" s="1"/>
      <c r="T75" s="1"/>
      <c r="U75" s="1"/>
      <c r="V75" s="1"/>
      <c r="W75" s="1"/>
      <c r="X75" s="1"/>
      <c r="Y75" s="1"/>
      <c r="Z75" s="1"/>
    </row>
    <row r="76" customFormat="false" ht="15.75" hidden="false" customHeight="true" outlineLevel="0" collapsed="false">
      <c r="N76" s="1"/>
      <c r="O76" s="1"/>
      <c r="P76" s="1"/>
      <c r="Q76" s="1"/>
      <c r="R76" s="1"/>
      <c r="S76" s="1"/>
      <c r="T76" s="1"/>
      <c r="U76" s="1"/>
      <c r="V76" s="1"/>
      <c r="W76" s="1"/>
      <c r="X76" s="1"/>
      <c r="Y76" s="1"/>
      <c r="Z76" s="1"/>
    </row>
    <row r="77" customFormat="false" ht="15.75" hidden="false" customHeight="true" outlineLevel="0" collapsed="false">
      <c r="N77" s="1"/>
      <c r="O77" s="1"/>
      <c r="P77" s="1"/>
      <c r="Q77" s="1"/>
      <c r="R77" s="1"/>
      <c r="S77" s="1"/>
      <c r="T77" s="1"/>
      <c r="U77" s="1"/>
      <c r="V77" s="1"/>
      <c r="W77" s="1"/>
      <c r="X77" s="1"/>
      <c r="Y77" s="1"/>
      <c r="Z77" s="1"/>
    </row>
    <row r="78" customFormat="false" ht="15.75" hidden="false" customHeight="true" outlineLevel="0" collapsed="false">
      <c r="N78" s="1"/>
      <c r="O78" s="1"/>
      <c r="P78" s="1"/>
      <c r="Q78" s="1"/>
      <c r="R78" s="1"/>
      <c r="S78" s="1"/>
      <c r="T78" s="1"/>
      <c r="U78" s="1"/>
      <c r="V78" s="1"/>
      <c r="W78" s="1"/>
      <c r="X78" s="1"/>
      <c r="Y78" s="1"/>
      <c r="Z78" s="1"/>
    </row>
    <row r="79" customFormat="false" ht="15.75" hidden="false" customHeight="true" outlineLevel="0" collapsed="false">
      <c r="N79" s="1"/>
      <c r="O79" s="1"/>
      <c r="P79" s="1"/>
      <c r="Q79" s="1"/>
      <c r="R79" s="1"/>
      <c r="S79" s="1"/>
      <c r="T79" s="1"/>
      <c r="U79" s="1"/>
      <c r="V79" s="1"/>
      <c r="W79" s="1"/>
      <c r="X79" s="1"/>
      <c r="Y79" s="1"/>
      <c r="Z79" s="1"/>
    </row>
    <row r="80" customFormat="false" ht="15.75" hidden="false" customHeight="true" outlineLevel="0" collapsed="false">
      <c r="N80" s="1"/>
      <c r="O80" s="1"/>
      <c r="P80" s="1"/>
      <c r="Q80" s="1"/>
      <c r="R80" s="1"/>
      <c r="S80" s="1"/>
      <c r="T80" s="1"/>
      <c r="U80" s="1"/>
      <c r="V80" s="1"/>
      <c r="W80" s="1"/>
      <c r="X80" s="1"/>
      <c r="Y80" s="1"/>
      <c r="Z80" s="1"/>
    </row>
    <row r="81" customFormat="false" ht="15.75" hidden="false" customHeight="true" outlineLevel="0" collapsed="false">
      <c r="N81" s="1"/>
      <c r="O81" s="1"/>
      <c r="P81" s="1"/>
      <c r="Q81" s="1"/>
      <c r="R81" s="1"/>
      <c r="S81" s="1"/>
      <c r="T81" s="1"/>
      <c r="U81" s="1"/>
      <c r="V81" s="1"/>
      <c r="W81" s="1"/>
      <c r="X81" s="1"/>
      <c r="Y81" s="1"/>
      <c r="Z81" s="1"/>
    </row>
    <row r="82" customFormat="false" ht="15.75" hidden="false" customHeight="true" outlineLevel="0" collapsed="false">
      <c r="N82" s="1"/>
      <c r="O82" s="1"/>
      <c r="P82" s="1"/>
      <c r="Q82" s="1"/>
      <c r="R82" s="1"/>
      <c r="S82" s="1"/>
      <c r="T82" s="1"/>
      <c r="U82" s="1"/>
      <c r="V82" s="1"/>
      <c r="W82" s="1"/>
      <c r="X82" s="1"/>
      <c r="Y82" s="1"/>
      <c r="Z82" s="1"/>
    </row>
    <row r="83" customFormat="false" ht="15.75" hidden="false" customHeight="true" outlineLevel="0" collapsed="false">
      <c r="N83" s="1"/>
      <c r="O83" s="1"/>
      <c r="P83" s="1"/>
      <c r="Q83" s="1"/>
      <c r="R83" s="1"/>
      <c r="S83" s="1"/>
      <c r="T83" s="1"/>
      <c r="U83" s="1"/>
      <c r="V83" s="1"/>
      <c r="W83" s="1"/>
      <c r="X83" s="1"/>
      <c r="Y83" s="1"/>
      <c r="Z83" s="1"/>
    </row>
    <row r="84" customFormat="false" ht="15.75" hidden="false" customHeight="true" outlineLevel="0" collapsed="false">
      <c r="N84" s="1"/>
      <c r="O84" s="1"/>
      <c r="P84" s="1"/>
      <c r="Q84" s="1"/>
      <c r="R84" s="1"/>
      <c r="S84" s="1"/>
      <c r="T84" s="1"/>
      <c r="U84" s="1"/>
      <c r="V84" s="1"/>
      <c r="W84" s="1"/>
      <c r="X84" s="1"/>
      <c r="Y84" s="1"/>
      <c r="Z84" s="1"/>
    </row>
    <row r="85" customFormat="false" ht="15.75" hidden="false" customHeight="true" outlineLevel="0" collapsed="false">
      <c r="N85" s="1"/>
      <c r="O85" s="1"/>
      <c r="P85" s="1"/>
      <c r="Q85" s="1"/>
      <c r="R85" s="1"/>
      <c r="S85" s="1"/>
      <c r="T85" s="1"/>
      <c r="U85" s="1"/>
      <c r="V85" s="1"/>
      <c r="W85" s="1"/>
      <c r="X85" s="1"/>
      <c r="Y85" s="1"/>
      <c r="Z85" s="1"/>
    </row>
    <row r="86" customFormat="false" ht="15.75" hidden="false" customHeight="true" outlineLevel="0" collapsed="false">
      <c r="N86" s="1"/>
      <c r="O86" s="1"/>
      <c r="P86" s="1"/>
      <c r="Q86" s="1"/>
      <c r="R86" s="1"/>
      <c r="S86" s="1"/>
      <c r="T86" s="1"/>
      <c r="U86" s="1"/>
      <c r="V86" s="1"/>
      <c r="W86" s="1"/>
      <c r="X86" s="1"/>
      <c r="Y86" s="1"/>
      <c r="Z86" s="1"/>
    </row>
    <row r="87" customFormat="false" ht="15.75" hidden="false" customHeight="true" outlineLevel="0" collapsed="false">
      <c r="N87" s="1"/>
      <c r="O87" s="1"/>
      <c r="P87" s="1"/>
      <c r="Q87" s="1"/>
      <c r="R87" s="1"/>
      <c r="S87" s="1"/>
      <c r="T87" s="1"/>
      <c r="U87" s="1"/>
      <c r="V87" s="1"/>
      <c r="W87" s="1"/>
      <c r="X87" s="1"/>
      <c r="Y87" s="1"/>
      <c r="Z87" s="1"/>
    </row>
    <row r="88" customFormat="false" ht="15.75" hidden="false" customHeight="true" outlineLevel="0" collapsed="false">
      <c r="N88" s="1"/>
      <c r="O88" s="1"/>
      <c r="P88" s="1"/>
      <c r="Q88" s="1"/>
      <c r="R88" s="1"/>
      <c r="S88" s="1"/>
      <c r="T88" s="1"/>
      <c r="U88" s="1"/>
      <c r="V88" s="1"/>
      <c r="W88" s="1"/>
      <c r="X88" s="1"/>
      <c r="Y88" s="1"/>
      <c r="Z88" s="1"/>
    </row>
    <row r="89" customFormat="false" ht="15.75" hidden="false" customHeight="true" outlineLevel="0" collapsed="false">
      <c r="N89" s="1"/>
      <c r="O89" s="1"/>
      <c r="P89" s="1"/>
      <c r="Q89" s="1"/>
      <c r="R89" s="1"/>
      <c r="S89" s="1"/>
      <c r="T89" s="1"/>
      <c r="U89" s="1"/>
      <c r="V89" s="1"/>
      <c r="W89" s="1"/>
      <c r="X89" s="1"/>
      <c r="Y89" s="1"/>
      <c r="Z89" s="1"/>
    </row>
    <row r="90" customFormat="false" ht="15.75" hidden="false" customHeight="true" outlineLevel="0" collapsed="false">
      <c r="N90" s="1"/>
      <c r="O90" s="1"/>
      <c r="P90" s="1"/>
      <c r="Q90" s="1"/>
      <c r="R90" s="1"/>
      <c r="S90" s="1"/>
      <c r="T90" s="1"/>
      <c r="U90" s="1"/>
      <c r="V90" s="1"/>
      <c r="W90" s="1"/>
      <c r="X90" s="1"/>
      <c r="Y90" s="1"/>
      <c r="Z90" s="1"/>
    </row>
    <row r="91" customFormat="false" ht="15.75" hidden="false" customHeight="true" outlineLevel="0" collapsed="false">
      <c r="N91" s="1"/>
      <c r="O91" s="1"/>
      <c r="P91" s="1"/>
      <c r="Q91" s="1"/>
      <c r="R91" s="1"/>
      <c r="S91" s="1"/>
      <c r="T91" s="1"/>
      <c r="U91" s="1"/>
      <c r="V91" s="1"/>
      <c r="W91" s="1"/>
      <c r="X91" s="1"/>
      <c r="Y91" s="1"/>
      <c r="Z91" s="1"/>
    </row>
    <row r="92" customFormat="false" ht="15.75" hidden="false" customHeight="true" outlineLevel="0" collapsed="false">
      <c r="N92" s="1"/>
      <c r="O92" s="1"/>
      <c r="P92" s="1"/>
      <c r="Q92" s="1"/>
      <c r="R92" s="1"/>
      <c r="S92" s="1"/>
      <c r="T92" s="1"/>
      <c r="U92" s="1"/>
      <c r="V92" s="1"/>
      <c r="W92" s="1"/>
      <c r="X92" s="1"/>
      <c r="Y92" s="1"/>
      <c r="Z92" s="1"/>
    </row>
    <row r="93" customFormat="false" ht="15.75" hidden="false" customHeight="true" outlineLevel="0" collapsed="false">
      <c r="N93" s="1"/>
      <c r="O93" s="1"/>
      <c r="P93" s="1"/>
      <c r="Q93" s="1"/>
      <c r="R93" s="1"/>
      <c r="S93" s="1"/>
      <c r="T93" s="1"/>
      <c r="U93" s="1"/>
      <c r="V93" s="1"/>
      <c r="W93" s="1"/>
      <c r="X93" s="1"/>
      <c r="Y93" s="1"/>
      <c r="Z93" s="1"/>
    </row>
    <row r="94" customFormat="false" ht="15.75" hidden="false" customHeight="true" outlineLevel="0" collapsed="false">
      <c r="N94" s="1"/>
      <c r="O94" s="1"/>
      <c r="P94" s="1"/>
      <c r="Q94" s="1"/>
      <c r="R94" s="1"/>
      <c r="S94" s="1"/>
      <c r="T94" s="1"/>
      <c r="U94" s="1"/>
      <c r="V94" s="1"/>
      <c r="W94" s="1"/>
      <c r="X94" s="1"/>
      <c r="Y94" s="1"/>
      <c r="Z94" s="1"/>
    </row>
    <row r="95" customFormat="false" ht="15.75" hidden="false" customHeight="true" outlineLevel="0" collapsed="false">
      <c r="N95" s="1"/>
      <c r="O95" s="1"/>
      <c r="P95" s="1"/>
      <c r="Q95" s="1"/>
      <c r="R95" s="1"/>
      <c r="S95" s="1"/>
      <c r="T95" s="1"/>
      <c r="U95" s="1"/>
      <c r="V95" s="1"/>
      <c r="W95" s="1"/>
      <c r="X95" s="1"/>
      <c r="Y95" s="1"/>
      <c r="Z95" s="1"/>
    </row>
    <row r="96" customFormat="false" ht="15.75" hidden="false" customHeight="true" outlineLevel="0" collapsed="false">
      <c r="N96" s="1"/>
      <c r="O96" s="1"/>
      <c r="P96" s="1"/>
      <c r="Q96" s="1"/>
      <c r="R96" s="1"/>
      <c r="S96" s="1"/>
      <c r="T96" s="1"/>
      <c r="U96" s="1"/>
      <c r="V96" s="1"/>
      <c r="W96" s="1"/>
      <c r="X96" s="1"/>
      <c r="Y96" s="1"/>
      <c r="Z96" s="1"/>
    </row>
    <row r="97" customFormat="false" ht="15.75" hidden="false" customHeight="true" outlineLevel="0" collapsed="false">
      <c r="N97" s="1"/>
      <c r="O97" s="1"/>
      <c r="P97" s="1"/>
      <c r="Q97" s="1"/>
      <c r="R97" s="1"/>
      <c r="S97" s="1"/>
      <c r="T97" s="1"/>
      <c r="U97" s="1"/>
      <c r="V97" s="1"/>
      <c r="W97" s="1"/>
      <c r="X97" s="1"/>
      <c r="Y97" s="1"/>
      <c r="Z97" s="1"/>
    </row>
    <row r="98" customFormat="false" ht="15.75" hidden="false" customHeight="true" outlineLevel="0" collapsed="false">
      <c r="N98" s="1"/>
      <c r="O98" s="1"/>
      <c r="P98" s="1"/>
      <c r="Q98" s="1"/>
      <c r="R98" s="1"/>
      <c r="S98" s="1"/>
      <c r="T98" s="1"/>
      <c r="U98" s="1"/>
      <c r="V98" s="1"/>
      <c r="W98" s="1"/>
      <c r="X98" s="1"/>
      <c r="Y98" s="1"/>
      <c r="Z98" s="1"/>
    </row>
    <row r="99" customFormat="false" ht="15.75" hidden="false" customHeight="true" outlineLevel="0" collapsed="false">
      <c r="N99" s="1"/>
      <c r="O99" s="1"/>
      <c r="P99" s="1"/>
      <c r="Q99" s="1"/>
      <c r="R99" s="1"/>
      <c r="S99" s="1"/>
      <c r="T99" s="1"/>
      <c r="U99" s="1"/>
      <c r="V99" s="1"/>
      <c r="W99" s="1"/>
      <c r="X99" s="1"/>
      <c r="Y99" s="1"/>
      <c r="Z99" s="1"/>
    </row>
    <row r="100" customFormat="false" ht="15.75" hidden="false" customHeight="true" outlineLevel="0" collapsed="false">
      <c r="N100" s="1"/>
      <c r="O100" s="1"/>
      <c r="P100" s="1"/>
      <c r="Q100" s="1"/>
      <c r="R100" s="1"/>
      <c r="S100" s="1"/>
      <c r="T100" s="1"/>
      <c r="U100" s="1"/>
      <c r="V100" s="1"/>
      <c r="W100" s="1"/>
      <c r="X100" s="1"/>
      <c r="Y100" s="1"/>
      <c r="Z100" s="1"/>
    </row>
    <row r="101" customFormat="false" ht="15.75" hidden="false" customHeight="true" outlineLevel="0" collapsed="false">
      <c r="N101" s="1"/>
      <c r="O101" s="1"/>
      <c r="P101" s="1"/>
      <c r="Q101" s="1"/>
      <c r="R101" s="1"/>
      <c r="S101" s="1"/>
      <c r="T101" s="1"/>
      <c r="U101" s="1"/>
      <c r="V101" s="1"/>
      <c r="W101" s="1"/>
      <c r="X101" s="1"/>
      <c r="Y101" s="1"/>
      <c r="Z101" s="1"/>
    </row>
    <row r="102" customFormat="false" ht="15.75" hidden="false" customHeight="true" outlineLevel="0" collapsed="false">
      <c r="N102" s="1"/>
      <c r="O102" s="1"/>
      <c r="P102" s="1"/>
      <c r="Q102" s="1"/>
      <c r="R102" s="1"/>
      <c r="S102" s="1"/>
      <c r="T102" s="1"/>
      <c r="U102" s="1"/>
      <c r="V102" s="1"/>
      <c r="W102" s="1"/>
      <c r="X102" s="1"/>
      <c r="Y102" s="1"/>
      <c r="Z102" s="1"/>
    </row>
    <row r="103" customFormat="false" ht="15.75" hidden="false" customHeight="true" outlineLevel="0" collapsed="false">
      <c r="N103" s="1"/>
      <c r="O103" s="1"/>
      <c r="P103" s="1"/>
      <c r="Q103" s="1"/>
      <c r="R103" s="1"/>
      <c r="S103" s="1"/>
      <c r="T103" s="1"/>
      <c r="U103" s="1"/>
      <c r="V103" s="1"/>
      <c r="W103" s="1"/>
      <c r="X103" s="1"/>
      <c r="Y103" s="1"/>
      <c r="Z103" s="1"/>
    </row>
    <row r="104" customFormat="false" ht="15.75" hidden="false" customHeight="true" outlineLevel="0" collapsed="false">
      <c r="N104" s="1"/>
      <c r="O104" s="1"/>
      <c r="P104" s="1"/>
      <c r="Q104" s="1"/>
      <c r="R104" s="1"/>
      <c r="S104" s="1"/>
      <c r="T104" s="1"/>
      <c r="U104" s="1"/>
      <c r="V104" s="1"/>
      <c r="W104" s="1"/>
      <c r="X104" s="1"/>
      <c r="Y104" s="1"/>
      <c r="Z104" s="1"/>
    </row>
    <row r="105" customFormat="false" ht="15.75" hidden="false" customHeight="true" outlineLevel="0" collapsed="false">
      <c r="N105" s="1"/>
      <c r="O105" s="1"/>
      <c r="P105" s="1"/>
      <c r="Q105" s="1"/>
      <c r="R105" s="1"/>
      <c r="S105" s="1"/>
      <c r="T105" s="1"/>
      <c r="U105" s="1"/>
      <c r="V105" s="1"/>
      <c r="W105" s="1"/>
      <c r="X105" s="1"/>
      <c r="Y105" s="1"/>
      <c r="Z105" s="1"/>
    </row>
    <row r="106" customFormat="false" ht="15.75" hidden="false" customHeight="true" outlineLevel="0" collapsed="false">
      <c r="N106" s="1"/>
      <c r="O106" s="1"/>
      <c r="P106" s="1"/>
      <c r="Q106" s="1"/>
      <c r="R106" s="1"/>
      <c r="S106" s="1"/>
      <c r="T106" s="1"/>
      <c r="U106" s="1"/>
      <c r="V106" s="1"/>
      <c r="W106" s="1"/>
      <c r="X106" s="1"/>
      <c r="Y106" s="1"/>
      <c r="Z106" s="1"/>
    </row>
    <row r="107" customFormat="false" ht="15.75" hidden="false" customHeight="true" outlineLevel="0" collapsed="false">
      <c r="N107" s="1"/>
      <c r="O107" s="1"/>
      <c r="P107" s="1"/>
      <c r="Q107" s="1"/>
      <c r="R107" s="1"/>
      <c r="S107" s="1"/>
      <c r="T107" s="1"/>
      <c r="U107" s="1"/>
      <c r="V107" s="1"/>
      <c r="W107" s="1"/>
      <c r="X107" s="1"/>
      <c r="Y107" s="1"/>
      <c r="Z107" s="1"/>
    </row>
    <row r="108" customFormat="false" ht="15.75" hidden="false" customHeight="true" outlineLevel="0" collapsed="false">
      <c r="N108" s="1"/>
      <c r="O108" s="1"/>
      <c r="P108" s="1"/>
      <c r="Q108" s="1"/>
      <c r="R108" s="1"/>
      <c r="S108" s="1"/>
      <c r="T108" s="1"/>
      <c r="U108" s="1"/>
      <c r="V108" s="1"/>
      <c r="W108" s="1"/>
      <c r="X108" s="1"/>
      <c r="Y108" s="1"/>
      <c r="Z108" s="1"/>
    </row>
    <row r="109" customFormat="false" ht="15.75" hidden="false" customHeight="true" outlineLevel="0" collapsed="false">
      <c r="N109" s="1"/>
      <c r="O109" s="1"/>
      <c r="P109" s="1"/>
      <c r="Q109" s="1"/>
      <c r="R109" s="1"/>
      <c r="S109" s="1"/>
      <c r="T109" s="1"/>
      <c r="U109" s="1"/>
      <c r="V109" s="1"/>
      <c r="W109" s="1"/>
      <c r="X109" s="1"/>
      <c r="Y109" s="1"/>
      <c r="Z109" s="1"/>
    </row>
    <row r="110" customFormat="false" ht="15.75" hidden="false" customHeight="true" outlineLevel="0" collapsed="false">
      <c r="N110" s="1"/>
      <c r="O110" s="1"/>
      <c r="P110" s="1"/>
      <c r="Q110" s="1"/>
      <c r="R110" s="1"/>
      <c r="S110" s="1"/>
      <c r="T110" s="1"/>
      <c r="U110" s="1"/>
      <c r="V110" s="1"/>
      <c r="W110" s="1"/>
      <c r="X110" s="1"/>
      <c r="Y110" s="1"/>
      <c r="Z110" s="1"/>
    </row>
    <row r="111" customFormat="false" ht="15.75" hidden="false" customHeight="true" outlineLevel="0" collapsed="false">
      <c r="N111" s="1"/>
      <c r="O111" s="1"/>
      <c r="P111" s="1"/>
      <c r="Q111" s="1"/>
      <c r="R111" s="1"/>
      <c r="S111" s="1"/>
      <c r="T111" s="1"/>
      <c r="U111" s="1"/>
      <c r="V111" s="1"/>
      <c r="W111" s="1"/>
      <c r="X111" s="1"/>
      <c r="Y111" s="1"/>
      <c r="Z111" s="1"/>
    </row>
    <row r="112" customFormat="false" ht="15.75" hidden="false" customHeight="true" outlineLevel="0" collapsed="false">
      <c r="N112" s="1"/>
      <c r="O112" s="1"/>
      <c r="P112" s="1"/>
      <c r="Q112" s="1"/>
      <c r="R112" s="1"/>
      <c r="S112" s="1"/>
      <c r="T112" s="1"/>
      <c r="U112" s="1"/>
      <c r="V112" s="1"/>
      <c r="W112" s="1"/>
      <c r="X112" s="1"/>
      <c r="Y112" s="1"/>
      <c r="Z112" s="1"/>
    </row>
    <row r="113" customFormat="false" ht="15.75" hidden="false" customHeight="true" outlineLevel="0" collapsed="false">
      <c r="N113" s="1"/>
      <c r="O113" s="1"/>
      <c r="P113" s="1"/>
      <c r="Q113" s="1"/>
      <c r="R113" s="1"/>
      <c r="S113" s="1"/>
      <c r="T113" s="1"/>
      <c r="U113" s="1"/>
      <c r="V113" s="1"/>
      <c r="W113" s="1"/>
      <c r="X113" s="1"/>
      <c r="Y113" s="1"/>
      <c r="Z113" s="1"/>
    </row>
    <row r="114" customFormat="false" ht="15.75" hidden="false" customHeight="true" outlineLevel="0" collapsed="false">
      <c r="N114" s="1"/>
      <c r="O114" s="1"/>
      <c r="P114" s="1"/>
      <c r="Q114" s="1"/>
      <c r="R114" s="1"/>
      <c r="S114" s="1"/>
      <c r="T114" s="1"/>
      <c r="U114" s="1"/>
      <c r="V114" s="1"/>
      <c r="W114" s="1"/>
      <c r="X114" s="1"/>
      <c r="Y114" s="1"/>
      <c r="Z114" s="1"/>
    </row>
    <row r="115" customFormat="false" ht="15.75" hidden="false" customHeight="true" outlineLevel="0" collapsed="false">
      <c r="N115" s="1"/>
      <c r="O115" s="1"/>
      <c r="P115" s="1"/>
      <c r="Q115" s="1"/>
      <c r="R115" s="1"/>
      <c r="S115" s="1"/>
      <c r="T115" s="1"/>
      <c r="U115" s="1"/>
      <c r="V115" s="1"/>
      <c r="W115" s="1"/>
      <c r="X115" s="1"/>
      <c r="Y115" s="1"/>
      <c r="Z115" s="1"/>
    </row>
    <row r="116" customFormat="false" ht="15.75" hidden="false" customHeight="true" outlineLevel="0" collapsed="false">
      <c r="N116" s="1"/>
      <c r="O116" s="1"/>
      <c r="P116" s="1"/>
      <c r="Q116" s="1"/>
      <c r="R116" s="1"/>
      <c r="S116" s="1"/>
      <c r="T116" s="1"/>
      <c r="U116" s="1"/>
      <c r="V116" s="1"/>
      <c r="W116" s="1"/>
      <c r="X116" s="1"/>
      <c r="Y116" s="1"/>
      <c r="Z116" s="1"/>
    </row>
    <row r="117" customFormat="false" ht="15.75" hidden="false" customHeight="true" outlineLevel="0" collapsed="false">
      <c r="N117" s="1"/>
      <c r="O117" s="1"/>
      <c r="P117" s="1"/>
      <c r="Q117" s="1"/>
      <c r="R117" s="1"/>
      <c r="S117" s="1"/>
      <c r="T117" s="1"/>
      <c r="U117" s="1"/>
      <c r="V117" s="1"/>
      <c r="W117" s="1"/>
      <c r="X117" s="1"/>
      <c r="Y117" s="1"/>
      <c r="Z117" s="1"/>
    </row>
    <row r="118" customFormat="false" ht="15.75" hidden="false" customHeight="true" outlineLevel="0" collapsed="false">
      <c r="N118" s="1"/>
      <c r="O118" s="1"/>
      <c r="P118" s="1"/>
      <c r="Q118" s="1"/>
      <c r="R118" s="1"/>
      <c r="S118" s="1"/>
      <c r="T118" s="1"/>
      <c r="U118" s="1"/>
      <c r="V118" s="1"/>
      <c r="W118" s="1"/>
      <c r="X118" s="1"/>
      <c r="Y118" s="1"/>
      <c r="Z118" s="1"/>
    </row>
    <row r="119" customFormat="false" ht="15.75" hidden="false" customHeight="true" outlineLevel="0" collapsed="false">
      <c r="N119" s="1"/>
      <c r="O119" s="1"/>
      <c r="P119" s="1"/>
      <c r="Q119" s="1"/>
      <c r="R119" s="1"/>
      <c r="S119" s="1"/>
      <c r="T119" s="1"/>
      <c r="U119" s="1"/>
      <c r="V119" s="1"/>
      <c r="W119" s="1"/>
      <c r="X119" s="1"/>
      <c r="Y119" s="1"/>
      <c r="Z119" s="1"/>
    </row>
    <row r="120" customFormat="false" ht="15.75" hidden="false" customHeight="true" outlineLevel="0" collapsed="false">
      <c r="N120" s="1"/>
      <c r="O120" s="1"/>
      <c r="P120" s="1"/>
      <c r="Q120" s="1"/>
      <c r="R120" s="1"/>
      <c r="S120" s="1"/>
      <c r="T120" s="1"/>
      <c r="U120" s="1"/>
      <c r="V120" s="1"/>
      <c r="W120" s="1"/>
      <c r="X120" s="1"/>
      <c r="Y120" s="1"/>
      <c r="Z120" s="1"/>
    </row>
    <row r="121" customFormat="false" ht="15.75" hidden="false" customHeight="true" outlineLevel="0" collapsed="false">
      <c r="N121" s="1"/>
      <c r="O121" s="1"/>
      <c r="P121" s="1"/>
      <c r="Q121" s="1"/>
      <c r="R121" s="1"/>
      <c r="S121" s="1"/>
      <c r="T121" s="1"/>
      <c r="U121" s="1"/>
      <c r="V121" s="1"/>
      <c r="W121" s="1"/>
      <c r="X121" s="1"/>
      <c r="Y121" s="1"/>
      <c r="Z121" s="1"/>
    </row>
    <row r="122" customFormat="false" ht="15.75" hidden="false" customHeight="true" outlineLevel="0" collapsed="false">
      <c r="N122" s="1"/>
      <c r="O122" s="1"/>
      <c r="P122" s="1"/>
      <c r="Q122" s="1"/>
      <c r="R122" s="1"/>
      <c r="S122" s="1"/>
      <c r="T122" s="1"/>
      <c r="U122" s="1"/>
      <c r="V122" s="1"/>
      <c r="W122" s="1"/>
      <c r="X122" s="1"/>
      <c r="Y122" s="1"/>
      <c r="Z122" s="1"/>
    </row>
    <row r="123" customFormat="false" ht="15.75" hidden="false" customHeight="true" outlineLevel="0" collapsed="false">
      <c r="N123" s="1"/>
      <c r="O123" s="1"/>
      <c r="P123" s="1"/>
      <c r="Q123" s="1"/>
      <c r="R123" s="1"/>
      <c r="S123" s="1"/>
      <c r="T123" s="1"/>
      <c r="U123" s="1"/>
      <c r="V123" s="1"/>
      <c r="W123" s="1"/>
      <c r="X123" s="1"/>
      <c r="Y123" s="1"/>
      <c r="Z123" s="1"/>
    </row>
    <row r="124" customFormat="false" ht="15.75" hidden="false" customHeight="true" outlineLevel="0" collapsed="false">
      <c r="N124" s="1"/>
      <c r="O124" s="1"/>
      <c r="P124" s="1"/>
      <c r="Q124" s="1"/>
      <c r="R124" s="1"/>
      <c r="S124" s="1"/>
      <c r="T124" s="1"/>
      <c r="U124" s="1"/>
      <c r="V124" s="1"/>
      <c r="W124" s="1"/>
      <c r="X124" s="1"/>
      <c r="Y124" s="1"/>
      <c r="Z124" s="1"/>
    </row>
    <row r="125" customFormat="false" ht="15.75" hidden="false" customHeight="true" outlineLevel="0" collapsed="false">
      <c r="N125" s="1"/>
      <c r="O125" s="1"/>
      <c r="P125" s="1"/>
      <c r="Q125" s="1"/>
      <c r="R125" s="1"/>
      <c r="S125" s="1"/>
      <c r="T125" s="1"/>
      <c r="U125" s="1"/>
      <c r="V125" s="1"/>
      <c r="W125" s="1"/>
      <c r="X125" s="1"/>
      <c r="Y125" s="1"/>
      <c r="Z125" s="1"/>
    </row>
    <row r="126" customFormat="false" ht="15.75" hidden="false" customHeight="true" outlineLevel="0" collapsed="false">
      <c r="N126" s="1"/>
      <c r="O126" s="1"/>
      <c r="P126" s="1"/>
      <c r="Q126" s="1"/>
      <c r="R126" s="1"/>
      <c r="S126" s="1"/>
      <c r="T126" s="1"/>
      <c r="U126" s="1"/>
      <c r="V126" s="1"/>
      <c r="W126" s="1"/>
      <c r="X126" s="1"/>
      <c r="Y126" s="1"/>
      <c r="Z126" s="1"/>
    </row>
    <row r="127" customFormat="false" ht="15.75" hidden="false" customHeight="true" outlineLevel="0" collapsed="false">
      <c r="N127" s="1"/>
      <c r="O127" s="1"/>
      <c r="P127" s="1"/>
      <c r="Q127" s="1"/>
      <c r="R127" s="1"/>
      <c r="S127" s="1"/>
      <c r="T127" s="1"/>
      <c r="U127" s="1"/>
      <c r="V127" s="1"/>
      <c r="W127" s="1"/>
      <c r="X127" s="1"/>
      <c r="Y127" s="1"/>
      <c r="Z127" s="1"/>
    </row>
    <row r="128" customFormat="false" ht="15.75" hidden="false" customHeight="true" outlineLevel="0" collapsed="false">
      <c r="N128" s="1"/>
      <c r="O128" s="1"/>
      <c r="P128" s="1"/>
      <c r="Q128" s="1"/>
      <c r="R128" s="1"/>
      <c r="S128" s="1"/>
      <c r="T128" s="1"/>
      <c r="U128" s="1"/>
      <c r="V128" s="1"/>
      <c r="W128" s="1"/>
      <c r="X128" s="1"/>
      <c r="Y128" s="1"/>
      <c r="Z128" s="1"/>
    </row>
    <row r="129" customFormat="false" ht="15.75" hidden="false" customHeight="true" outlineLevel="0" collapsed="false">
      <c r="N129" s="1"/>
      <c r="O129" s="1"/>
      <c r="P129" s="1"/>
      <c r="Q129" s="1"/>
      <c r="R129" s="1"/>
      <c r="S129" s="1"/>
      <c r="T129" s="1"/>
      <c r="U129" s="1"/>
      <c r="V129" s="1"/>
      <c r="W129" s="1"/>
      <c r="X129" s="1"/>
      <c r="Y129" s="1"/>
      <c r="Z129" s="1"/>
    </row>
    <row r="130" customFormat="false" ht="15.75" hidden="false" customHeight="true" outlineLevel="0" collapsed="false">
      <c r="N130" s="1"/>
      <c r="O130" s="1"/>
      <c r="P130" s="1"/>
      <c r="Q130" s="1"/>
      <c r="R130" s="1"/>
      <c r="S130" s="1"/>
      <c r="T130" s="1"/>
      <c r="U130" s="1"/>
      <c r="V130" s="1"/>
      <c r="W130" s="1"/>
      <c r="X130" s="1"/>
      <c r="Y130" s="1"/>
      <c r="Z130" s="1"/>
    </row>
    <row r="131" customFormat="false" ht="15.75" hidden="false" customHeight="true" outlineLevel="0" collapsed="false">
      <c r="N131" s="1"/>
      <c r="O131" s="1"/>
      <c r="P131" s="1"/>
      <c r="Q131" s="1"/>
      <c r="R131" s="1"/>
      <c r="S131" s="1"/>
      <c r="T131" s="1"/>
      <c r="U131" s="1"/>
      <c r="V131" s="1"/>
      <c r="W131" s="1"/>
      <c r="X131" s="1"/>
      <c r="Y131" s="1"/>
      <c r="Z131" s="1"/>
    </row>
    <row r="132" customFormat="false" ht="15.75" hidden="false" customHeight="true" outlineLevel="0" collapsed="false">
      <c r="N132" s="1"/>
      <c r="O132" s="1"/>
      <c r="P132" s="1"/>
      <c r="Q132" s="1"/>
      <c r="R132" s="1"/>
      <c r="S132" s="1"/>
      <c r="T132" s="1"/>
      <c r="U132" s="1"/>
      <c r="V132" s="1"/>
      <c r="W132" s="1"/>
      <c r="X132" s="1"/>
      <c r="Y132" s="1"/>
      <c r="Z132" s="1"/>
    </row>
    <row r="133" customFormat="false" ht="15.75" hidden="false" customHeight="true" outlineLevel="0" collapsed="false">
      <c r="N133" s="1"/>
      <c r="O133" s="1"/>
      <c r="P133" s="1"/>
      <c r="Q133" s="1"/>
      <c r="R133" s="1"/>
      <c r="S133" s="1"/>
      <c r="T133" s="1"/>
      <c r="U133" s="1"/>
      <c r="V133" s="1"/>
      <c r="W133" s="1"/>
      <c r="X133" s="1"/>
      <c r="Y133" s="1"/>
      <c r="Z133" s="1"/>
    </row>
    <row r="134" customFormat="false" ht="15.75" hidden="false" customHeight="true" outlineLevel="0" collapsed="false">
      <c r="N134" s="1"/>
      <c r="O134" s="1"/>
      <c r="P134" s="1"/>
      <c r="Q134" s="1"/>
      <c r="R134" s="1"/>
      <c r="S134" s="1"/>
      <c r="T134" s="1"/>
      <c r="U134" s="1"/>
      <c r="V134" s="1"/>
      <c r="W134" s="1"/>
      <c r="X134" s="1"/>
      <c r="Y134" s="1"/>
      <c r="Z134" s="1"/>
    </row>
    <row r="135" customFormat="false" ht="15.75" hidden="false" customHeight="true" outlineLevel="0" collapsed="false">
      <c r="N135" s="1"/>
      <c r="O135" s="1"/>
      <c r="P135" s="1"/>
      <c r="Q135" s="1"/>
      <c r="R135" s="1"/>
      <c r="S135" s="1"/>
      <c r="T135" s="1"/>
      <c r="U135" s="1"/>
      <c r="V135" s="1"/>
      <c r="W135" s="1"/>
      <c r="X135" s="1"/>
      <c r="Y135" s="1"/>
      <c r="Z135" s="1"/>
    </row>
    <row r="136" customFormat="false" ht="15.75" hidden="false" customHeight="true" outlineLevel="0" collapsed="false">
      <c r="N136" s="1"/>
      <c r="O136" s="1"/>
      <c r="P136" s="1"/>
      <c r="Q136" s="1"/>
      <c r="R136" s="1"/>
      <c r="S136" s="1"/>
      <c r="T136" s="1"/>
      <c r="U136" s="1"/>
      <c r="V136" s="1"/>
      <c r="W136" s="1"/>
      <c r="X136" s="1"/>
      <c r="Y136" s="1"/>
      <c r="Z136" s="1"/>
    </row>
    <row r="137" customFormat="false" ht="15.75" hidden="false" customHeight="true" outlineLevel="0" collapsed="false">
      <c r="N137" s="1"/>
      <c r="O137" s="1"/>
      <c r="P137" s="1"/>
      <c r="Q137" s="1"/>
      <c r="R137" s="1"/>
      <c r="S137" s="1"/>
      <c r="T137" s="1"/>
      <c r="U137" s="1"/>
      <c r="V137" s="1"/>
      <c r="W137" s="1"/>
      <c r="X137" s="1"/>
      <c r="Y137" s="1"/>
      <c r="Z137" s="1"/>
    </row>
    <row r="138" customFormat="false" ht="15.75" hidden="false" customHeight="true" outlineLevel="0" collapsed="false">
      <c r="N138" s="1"/>
      <c r="O138" s="1"/>
      <c r="P138" s="1"/>
      <c r="Q138" s="1"/>
      <c r="R138" s="1"/>
      <c r="S138" s="1"/>
      <c r="T138" s="1"/>
      <c r="U138" s="1"/>
      <c r="V138" s="1"/>
      <c r="W138" s="1"/>
      <c r="X138" s="1"/>
      <c r="Y138" s="1"/>
      <c r="Z138" s="1"/>
    </row>
    <row r="139" customFormat="false" ht="15.75" hidden="false" customHeight="true" outlineLevel="0" collapsed="false">
      <c r="N139" s="1"/>
      <c r="O139" s="1"/>
      <c r="P139" s="1"/>
      <c r="Q139" s="1"/>
      <c r="R139" s="1"/>
      <c r="S139" s="1"/>
      <c r="T139" s="1"/>
      <c r="U139" s="1"/>
      <c r="V139" s="1"/>
      <c r="W139" s="1"/>
      <c r="X139" s="1"/>
      <c r="Y139" s="1"/>
      <c r="Z139" s="1"/>
    </row>
    <row r="140" customFormat="false" ht="15.75" hidden="false" customHeight="true" outlineLevel="0" collapsed="false">
      <c r="N140" s="1"/>
      <c r="O140" s="1"/>
      <c r="P140" s="1"/>
      <c r="Q140" s="1"/>
      <c r="R140" s="1"/>
      <c r="S140" s="1"/>
      <c r="T140" s="1"/>
      <c r="U140" s="1"/>
      <c r="V140" s="1"/>
      <c r="W140" s="1"/>
      <c r="X140" s="1"/>
      <c r="Y140" s="1"/>
      <c r="Z140" s="1"/>
    </row>
    <row r="141" customFormat="false" ht="15.75" hidden="false" customHeight="true" outlineLevel="0" collapsed="false">
      <c r="N141" s="1"/>
      <c r="O141" s="1"/>
      <c r="P141" s="1"/>
      <c r="Q141" s="1"/>
      <c r="R141" s="1"/>
      <c r="S141" s="1"/>
      <c r="T141" s="1"/>
      <c r="U141" s="1"/>
      <c r="V141" s="1"/>
      <c r="W141" s="1"/>
      <c r="X141" s="1"/>
      <c r="Y141" s="1"/>
      <c r="Z141" s="1"/>
    </row>
    <row r="142" customFormat="false" ht="15.75" hidden="false" customHeight="true" outlineLevel="0" collapsed="false">
      <c r="N142" s="1"/>
      <c r="O142" s="1"/>
      <c r="P142" s="1"/>
      <c r="Q142" s="1"/>
      <c r="R142" s="1"/>
      <c r="S142" s="1"/>
      <c r="T142" s="1"/>
      <c r="U142" s="1"/>
      <c r="V142" s="1"/>
      <c r="W142" s="1"/>
      <c r="X142" s="1"/>
      <c r="Y142" s="1"/>
      <c r="Z142" s="1"/>
    </row>
    <row r="143" customFormat="false" ht="15.75" hidden="false" customHeight="true" outlineLevel="0" collapsed="false">
      <c r="N143" s="1"/>
      <c r="O143" s="1"/>
      <c r="P143" s="1"/>
      <c r="Q143" s="1"/>
      <c r="R143" s="1"/>
      <c r="S143" s="1"/>
      <c r="T143" s="1"/>
      <c r="U143" s="1"/>
      <c r="V143" s="1"/>
      <c r="W143" s="1"/>
      <c r="X143" s="1"/>
      <c r="Y143" s="1"/>
      <c r="Z143" s="1"/>
    </row>
    <row r="144" customFormat="false" ht="15.75" hidden="false" customHeight="true" outlineLevel="0" collapsed="false">
      <c r="N144" s="1"/>
      <c r="O144" s="1"/>
      <c r="P144" s="1"/>
      <c r="Q144" s="1"/>
      <c r="R144" s="1"/>
      <c r="S144" s="1"/>
      <c r="T144" s="1"/>
      <c r="U144" s="1"/>
      <c r="V144" s="1"/>
      <c r="W144" s="1"/>
      <c r="X144" s="1"/>
      <c r="Y144" s="1"/>
      <c r="Z144" s="1"/>
    </row>
    <row r="145" customFormat="false" ht="15.75" hidden="false" customHeight="true" outlineLevel="0" collapsed="false">
      <c r="N145" s="1"/>
      <c r="O145" s="1"/>
      <c r="P145" s="1"/>
      <c r="Q145" s="1"/>
      <c r="R145" s="1"/>
      <c r="S145" s="1"/>
      <c r="T145" s="1"/>
      <c r="U145" s="1"/>
      <c r="V145" s="1"/>
      <c r="W145" s="1"/>
      <c r="X145" s="1"/>
      <c r="Y145" s="1"/>
      <c r="Z145" s="1"/>
    </row>
    <row r="146" customFormat="false" ht="15.75" hidden="false" customHeight="true" outlineLevel="0" collapsed="false">
      <c r="N146" s="1"/>
      <c r="O146" s="1"/>
      <c r="P146" s="1"/>
      <c r="Q146" s="1"/>
      <c r="R146" s="1"/>
      <c r="S146" s="1"/>
      <c r="T146" s="1"/>
      <c r="U146" s="1"/>
      <c r="V146" s="1"/>
      <c r="W146" s="1"/>
      <c r="X146" s="1"/>
      <c r="Y146" s="1"/>
      <c r="Z146" s="1"/>
    </row>
    <row r="147" customFormat="false" ht="15.75" hidden="false" customHeight="true" outlineLevel="0" collapsed="false">
      <c r="N147" s="1"/>
      <c r="O147" s="1"/>
      <c r="P147" s="1"/>
      <c r="Q147" s="1"/>
      <c r="R147" s="1"/>
      <c r="S147" s="1"/>
      <c r="T147" s="1"/>
      <c r="U147" s="1"/>
      <c r="V147" s="1"/>
      <c r="W147" s="1"/>
      <c r="X147" s="1"/>
      <c r="Y147" s="1"/>
      <c r="Z147" s="1"/>
    </row>
    <row r="148" customFormat="false" ht="15.75" hidden="false" customHeight="true" outlineLevel="0" collapsed="false">
      <c r="N148" s="1"/>
      <c r="O148" s="1"/>
      <c r="P148" s="1"/>
      <c r="Q148" s="1"/>
      <c r="R148" s="1"/>
      <c r="S148" s="1"/>
      <c r="T148" s="1"/>
      <c r="U148" s="1"/>
      <c r="V148" s="1"/>
      <c r="W148" s="1"/>
      <c r="X148" s="1"/>
      <c r="Y148" s="1"/>
      <c r="Z148" s="1"/>
    </row>
    <row r="149" customFormat="false" ht="15.75" hidden="false" customHeight="true" outlineLevel="0" collapsed="false">
      <c r="N149" s="1"/>
      <c r="O149" s="1"/>
      <c r="P149" s="1"/>
      <c r="Q149" s="1"/>
      <c r="R149" s="1"/>
      <c r="S149" s="1"/>
      <c r="T149" s="1"/>
      <c r="U149" s="1"/>
      <c r="V149" s="1"/>
      <c r="W149" s="1"/>
      <c r="X149" s="1"/>
      <c r="Y149" s="1"/>
      <c r="Z149" s="1"/>
    </row>
    <row r="150" customFormat="false" ht="15.75" hidden="false" customHeight="true" outlineLevel="0" collapsed="false">
      <c r="N150" s="1"/>
      <c r="O150" s="1"/>
      <c r="P150" s="1"/>
      <c r="Q150" s="1"/>
      <c r="R150" s="1"/>
      <c r="S150" s="1"/>
      <c r="T150" s="1"/>
      <c r="U150" s="1"/>
      <c r="V150" s="1"/>
      <c r="W150" s="1"/>
      <c r="X150" s="1"/>
      <c r="Y150" s="1"/>
      <c r="Z150" s="1"/>
    </row>
    <row r="151" customFormat="false" ht="15.75" hidden="false" customHeight="true" outlineLevel="0" collapsed="false">
      <c r="N151" s="1"/>
      <c r="O151" s="1"/>
      <c r="P151" s="1"/>
      <c r="Q151" s="1"/>
      <c r="R151" s="1"/>
      <c r="S151" s="1"/>
      <c r="T151" s="1"/>
      <c r="U151" s="1"/>
      <c r="V151" s="1"/>
      <c r="W151" s="1"/>
      <c r="X151" s="1"/>
      <c r="Y151" s="1"/>
      <c r="Z151" s="1"/>
    </row>
    <row r="152" customFormat="false" ht="15.75" hidden="false" customHeight="true" outlineLevel="0" collapsed="false">
      <c r="N152" s="1"/>
      <c r="O152" s="1"/>
      <c r="P152" s="1"/>
      <c r="Q152" s="1"/>
      <c r="R152" s="1"/>
      <c r="S152" s="1"/>
      <c r="T152" s="1"/>
      <c r="U152" s="1"/>
      <c r="V152" s="1"/>
      <c r="W152" s="1"/>
      <c r="X152" s="1"/>
      <c r="Y152" s="1"/>
      <c r="Z152" s="1"/>
    </row>
    <row r="153" customFormat="false" ht="15.75" hidden="false" customHeight="true" outlineLevel="0" collapsed="false">
      <c r="N153" s="1"/>
      <c r="O153" s="1"/>
      <c r="P153" s="1"/>
      <c r="Q153" s="1"/>
      <c r="R153" s="1"/>
      <c r="S153" s="1"/>
      <c r="T153" s="1"/>
      <c r="U153" s="1"/>
      <c r="V153" s="1"/>
      <c r="W153" s="1"/>
      <c r="X153" s="1"/>
      <c r="Y153" s="1"/>
      <c r="Z153" s="1"/>
    </row>
    <row r="154" customFormat="false" ht="15.75" hidden="false" customHeight="true" outlineLevel="0" collapsed="false">
      <c r="N154" s="1"/>
      <c r="O154" s="1"/>
      <c r="P154" s="1"/>
      <c r="Q154" s="1"/>
      <c r="R154" s="1"/>
      <c r="S154" s="1"/>
      <c r="T154" s="1"/>
      <c r="U154" s="1"/>
      <c r="V154" s="1"/>
      <c r="W154" s="1"/>
      <c r="X154" s="1"/>
      <c r="Y154" s="1"/>
      <c r="Z154" s="1"/>
    </row>
    <row r="155" customFormat="false" ht="15.75" hidden="false" customHeight="true" outlineLevel="0" collapsed="false">
      <c r="N155" s="1"/>
      <c r="O155" s="1"/>
      <c r="P155" s="1"/>
      <c r="Q155" s="1"/>
      <c r="R155" s="1"/>
      <c r="S155" s="1"/>
      <c r="T155" s="1"/>
      <c r="U155" s="1"/>
      <c r="V155" s="1"/>
      <c r="W155" s="1"/>
      <c r="X155" s="1"/>
      <c r="Y155" s="1"/>
      <c r="Z155" s="1"/>
    </row>
    <row r="156" customFormat="false" ht="15.75" hidden="false" customHeight="true" outlineLevel="0" collapsed="false">
      <c r="N156" s="1"/>
      <c r="O156" s="1"/>
      <c r="P156" s="1"/>
      <c r="Q156" s="1"/>
      <c r="R156" s="1"/>
      <c r="S156" s="1"/>
      <c r="T156" s="1"/>
      <c r="U156" s="1"/>
      <c r="V156" s="1"/>
      <c r="W156" s="1"/>
      <c r="X156" s="1"/>
      <c r="Y156" s="1"/>
      <c r="Z156" s="1"/>
    </row>
    <row r="157" customFormat="false" ht="15.75" hidden="false" customHeight="true" outlineLevel="0" collapsed="false">
      <c r="N157" s="1"/>
      <c r="O157" s="1"/>
      <c r="P157" s="1"/>
      <c r="Q157" s="1"/>
      <c r="R157" s="1"/>
      <c r="S157" s="1"/>
      <c r="T157" s="1"/>
      <c r="U157" s="1"/>
      <c r="V157" s="1"/>
      <c r="W157" s="1"/>
      <c r="X157" s="1"/>
      <c r="Y157" s="1"/>
      <c r="Z157" s="1"/>
    </row>
    <row r="158" customFormat="false" ht="15.75" hidden="false" customHeight="true" outlineLevel="0" collapsed="false">
      <c r="N158" s="1"/>
      <c r="O158" s="1"/>
      <c r="P158" s="1"/>
      <c r="Q158" s="1"/>
      <c r="R158" s="1"/>
      <c r="S158" s="1"/>
      <c r="T158" s="1"/>
      <c r="U158" s="1"/>
      <c r="V158" s="1"/>
      <c r="W158" s="1"/>
      <c r="X158" s="1"/>
      <c r="Y158" s="1"/>
      <c r="Z158" s="1"/>
    </row>
    <row r="159" customFormat="false" ht="15.75" hidden="false" customHeight="true" outlineLevel="0" collapsed="false">
      <c r="N159" s="1"/>
      <c r="O159" s="1"/>
      <c r="P159" s="1"/>
      <c r="Q159" s="1"/>
      <c r="R159" s="1"/>
      <c r="S159" s="1"/>
      <c r="T159" s="1"/>
      <c r="U159" s="1"/>
      <c r="V159" s="1"/>
      <c r="W159" s="1"/>
      <c r="X159" s="1"/>
      <c r="Y159" s="1"/>
      <c r="Z159" s="1"/>
    </row>
    <row r="160" customFormat="false" ht="15.75" hidden="false" customHeight="true" outlineLevel="0" collapsed="false">
      <c r="N160" s="1"/>
      <c r="O160" s="1"/>
      <c r="P160" s="1"/>
      <c r="Q160" s="1"/>
      <c r="R160" s="1"/>
      <c r="S160" s="1"/>
      <c r="T160" s="1"/>
      <c r="U160" s="1"/>
      <c r="V160" s="1"/>
      <c r="W160" s="1"/>
      <c r="X160" s="1"/>
      <c r="Y160" s="1"/>
      <c r="Z160" s="1"/>
    </row>
    <row r="161" customFormat="false" ht="15.75" hidden="false" customHeight="true" outlineLevel="0" collapsed="false">
      <c r="N161" s="1"/>
      <c r="O161" s="1"/>
      <c r="P161" s="1"/>
      <c r="Q161" s="1"/>
      <c r="R161" s="1"/>
      <c r="S161" s="1"/>
      <c r="T161" s="1"/>
      <c r="U161" s="1"/>
      <c r="V161" s="1"/>
      <c r="W161" s="1"/>
      <c r="X161" s="1"/>
      <c r="Y161" s="1"/>
      <c r="Z161" s="1"/>
    </row>
    <row r="162" customFormat="false" ht="15.75" hidden="false" customHeight="true" outlineLevel="0" collapsed="false">
      <c r="N162" s="1"/>
      <c r="O162" s="1"/>
      <c r="P162" s="1"/>
      <c r="Q162" s="1"/>
      <c r="R162" s="1"/>
      <c r="S162" s="1"/>
      <c r="T162" s="1"/>
      <c r="U162" s="1"/>
      <c r="V162" s="1"/>
      <c r="W162" s="1"/>
      <c r="X162" s="1"/>
      <c r="Y162" s="1"/>
      <c r="Z162" s="1"/>
    </row>
    <row r="163" customFormat="false" ht="15.75" hidden="false" customHeight="true" outlineLevel="0" collapsed="false">
      <c r="N163" s="1"/>
      <c r="O163" s="1"/>
      <c r="P163" s="1"/>
      <c r="Q163" s="1"/>
      <c r="R163" s="1"/>
      <c r="S163" s="1"/>
      <c r="T163" s="1"/>
      <c r="U163" s="1"/>
      <c r="V163" s="1"/>
      <c r="W163" s="1"/>
      <c r="X163" s="1"/>
      <c r="Y163" s="1"/>
      <c r="Z163" s="1"/>
    </row>
    <row r="164" customFormat="false" ht="15.75" hidden="false" customHeight="true" outlineLevel="0" collapsed="false">
      <c r="N164" s="1"/>
      <c r="O164" s="1"/>
      <c r="P164" s="1"/>
      <c r="Q164" s="1"/>
      <c r="R164" s="1"/>
      <c r="S164" s="1"/>
      <c r="T164" s="1"/>
      <c r="U164" s="1"/>
      <c r="V164" s="1"/>
      <c r="W164" s="1"/>
      <c r="X164" s="1"/>
      <c r="Y164" s="1"/>
      <c r="Z164" s="1"/>
    </row>
    <row r="165" customFormat="false" ht="15.75" hidden="false" customHeight="true" outlineLevel="0" collapsed="false">
      <c r="N165" s="1"/>
      <c r="O165" s="1"/>
      <c r="P165" s="1"/>
      <c r="Q165" s="1"/>
      <c r="R165" s="1"/>
      <c r="S165" s="1"/>
      <c r="T165" s="1"/>
      <c r="U165" s="1"/>
      <c r="V165" s="1"/>
      <c r="W165" s="1"/>
      <c r="X165" s="1"/>
      <c r="Y165" s="1"/>
      <c r="Z165" s="1"/>
    </row>
    <row r="166" customFormat="false" ht="15.75" hidden="false" customHeight="true" outlineLevel="0" collapsed="false">
      <c r="N166" s="1"/>
      <c r="O166" s="1"/>
      <c r="P166" s="1"/>
      <c r="Q166" s="1"/>
      <c r="R166" s="1"/>
      <c r="S166" s="1"/>
      <c r="T166" s="1"/>
      <c r="U166" s="1"/>
      <c r="V166" s="1"/>
      <c r="W166" s="1"/>
      <c r="X166" s="1"/>
      <c r="Y166" s="1"/>
      <c r="Z166" s="1"/>
    </row>
    <row r="167" customFormat="false" ht="15.75" hidden="false" customHeight="true" outlineLevel="0" collapsed="false">
      <c r="N167" s="1"/>
      <c r="O167" s="1"/>
      <c r="P167" s="1"/>
      <c r="Q167" s="1"/>
      <c r="R167" s="1"/>
      <c r="S167" s="1"/>
      <c r="T167" s="1"/>
      <c r="U167" s="1"/>
      <c r="V167" s="1"/>
      <c r="W167" s="1"/>
      <c r="X167" s="1"/>
      <c r="Y167" s="1"/>
      <c r="Z167" s="1"/>
    </row>
    <row r="168" customFormat="false" ht="15.75" hidden="false" customHeight="true" outlineLevel="0" collapsed="false">
      <c r="N168" s="1"/>
      <c r="O168" s="1"/>
      <c r="P168" s="1"/>
      <c r="Q168" s="1"/>
      <c r="R168" s="1"/>
      <c r="S168" s="1"/>
      <c r="T168" s="1"/>
      <c r="U168" s="1"/>
      <c r="V168" s="1"/>
      <c r="W168" s="1"/>
      <c r="X168" s="1"/>
      <c r="Y168" s="1"/>
      <c r="Z168" s="1"/>
    </row>
    <row r="169" customFormat="false" ht="15.75" hidden="false" customHeight="true" outlineLevel="0" collapsed="false">
      <c r="N169" s="1"/>
      <c r="O169" s="1"/>
      <c r="P169" s="1"/>
      <c r="Q169" s="1"/>
      <c r="R169" s="1"/>
      <c r="S169" s="1"/>
      <c r="T169" s="1"/>
      <c r="U169" s="1"/>
      <c r="V169" s="1"/>
      <c r="W169" s="1"/>
      <c r="X169" s="1"/>
      <c r="Y169" s="1"/>
      <c r="Z169" s="1"/>
    </row>
    <row r="170" customFormat="false" ht="15.75" hidden="false" customHeight="true" outlineLevel="0" collapsed="false">
      <c r="N170" s="1"/>
      <c r="O170" s="1"/>
      <c r="P170" s="1"/>
      <c r="Q170" s="1"/>
      <c r="R170" s="1"/>
      <c r="S170" s="1"/>
      <c r="T170" s="1"/>
      <c r="U170" s="1"/>
      <c r="V170" s="1"/>
      <c r="W170" s="1"/>
      <c r="X170" s="1"/>
      <c r="Y170" s="1"/>
      <c r="Z170" s="1"/>
    </row>
    <row r="171" customFormat="false" ht="15.75" hidden="false" customHeight="true" outlineLevel="0" collapsed="false">
      <c r="N171" s="1"/>
      <c r="O171" s="1"/>
      <c r="P171" s="1"/>
      <c r="Q171" s="1"/>
      <c r="R171" s="1"/>
      <c r="S171" s="1"/>
      <c r="T171" s="1"/>
      <c r="U171" s="1"/>
      <c r="V171" s="1"/>
      <c r="W171" s="1"/>
      <c r="X171" s="1"/>
      <c r="Y171" s="1"/>
      <c r="Z171" s="1"/>
    </row>
    <row r="172" customFormat="false" ht="15.75" hidden="false" customHeight="true" outlineLevel="0" collapsed="false">
      <c r="N172" s="1"/>
      <c r="O172" s="1"/>
      <c r="P172" s="1"/>
      <c r="Q172" s="1"/>
      <c r="R172" s="1"/>
      <c r="S172" s="1"/>
      <c r="T172" s="1"/>
      <c r="U172" s="1"/>
      <c r="V172" s="1"/>
      <c r="W172" s="1"/>
      <c r="X172" s="1"/>
      <c r="Y172" s="1"/>
      <c r="Z172" s="1"/>
    </row>
    <row r="173" customFormat="false" ht="15.75" hidden="false" customHeight="true" outlineLevel="0" collapsed="false">
      <c r="N173" s="1"/>
      <c r="O173" s="1"/>
      <c r="P173" s="1"/>
      <c r="Q173" s="1"/>
      <c r="R173" s="1"/>
      <c r="S173" s="1"/>
      <c r="T173" s="1"/>
      <c r="U173" s="1"/>
      <c r="V173" s="1"/>
      <c r="W173" s="1"/>
      <c r="X173" s="1"/>
      <c r="Y173" s="1"/>
      <c r="Z173" s="1"/>
    </row>
    <row r="174" customFormat="false" ht="15.75" hidden="false" customHeight="true" outlineLevel="0" collapsed="false">
      <c r="N174" s="1"/>
      <c r="O174" s="1"/>
      <c r="P174" s="1"/>
      <c r="Q174" s="1"/>
      <c r="R174" s="1"/>
      <c r="S174" s="1"/>
      <c r="T174" s="1"/>
      <c r="U174" s="1"/>
      <c r="V174" s="1"/>
      <c r="W174" s="1"/>
      <c r="X174" s="1"/>
      <c r="Y174" s="1"/>
      <c r="Z174" s="1"/>
    </row>
    <row r="175" customFormat="false" ht="15.75" hidden="false" customHeight="true" outlineLevel="0" collapsed="false">
      <c r="N175" s="1"/>
      <c r="O175" s="1"/>
      <c r="P175" s="1"/>
      <c r="Q175" s="1"/>
      <c r="R175" s="1"/>
      <c r="S175" s="1"/>
      <c r="T175" s="1"/>
      <c r="U175" s="1"/>
      <c r="V175" s="1"/>
      <c r="W175" s="1"/>
      <c r="X175" s="1"/>
      <c r="Y175" s="1"/>
      <c r="Z175" s="1"/>
    </row>
    <row r="176" customFormat="false" ht="15.75" hidden="false" customHeight="true" outlineLevel="0" collapsed="false">
      <c r="N176" s="1"/>
      <c r="O176" s="1"/>
      <c r="P176" s="1"/>
      <c r="Q176" s="1"/>
      <c r="R176" s="1"/>
      <c r="S176" s="1"/>
      <c r="T176" s="1"/>
      <c r="U176" s="1"/>
      <c r="V176" s="1"/>
      <c r="W176" s="1"/>
      <c r="X176" s="1"/>
      <c r="Y176" s="1"/>
      <c r="Z176" s="1"/>
    </row>
    <row r="177" customFormat="false" ht="15.75" hidden="false" customHeight="true" outlineLevel="0" collapsed="false">
      <c r="N177" s="1"/>
      <c r="O177" s="1"/>
      <c r="P177" s="1"/>
      <c r="Q177" s="1"/>
      <c r="R177" s="1"/>
      <c r="S177" s="1"/>
      <c r="T177" s="1"/>
      <c r="U177" s="1"/>
      <c r="V177" s="1"/>
      <c r="W177" s="1"/>
      <c r="X177" s="1"/>
      <c r="Y177" s="1"/>
      <c r="Z177" s="1"/>
    </row>
    <row r="178" customFormat="false" ht="15.75" hidden="false" customHeight="true" outlineLevel="0" collapsed="false">
      <c r="N178" s="1"/>
      <c r="O178" s="1"/>
      <c r="P178" s="1"/>
      <c r="Q178" s="1"/>
      <c r="R178" s="1"/>
      <c r="S178" s="1"/>
      <c r="T178" s="1"/>
      <c r="U178" s="1"/>
      <c r="V178" s="1"/>
      <c r="W178" s="1"/>
      <c r="X178" s="1"/>
      <c r="Y178" s="1"/>
      <c r="Z178" s="1"/>
    </row>
    <row r="179" customFormat="false" ht="15.75" hidden="false" customHeight="true" outlineLevel="0" collapsed="false">
      <c r="N179" s="1"/>
      <c r="O179" s="1"/>
      <c r="P179" s="1"/>
      <c r="Q179" s="1"/>
      <c r="R179" s="1"/>
      <c r="S179" s="1"/>
      <c r="T179" s="1"/>
      <c r="U179" s="1"/>
      <c r="V179" s="1"/>
      <c r="W179" s="1"/>
      <c r="X179" s="1"/>
      <c r="Y179" s="1"/>
      <c r="Z179" s="1"/>
    </row>
    <row r="180" customFormat="false" ht="15.75" hidden="false" customHeight="true" outlineLevel="0" collapsed="false">
      <c r="N180" s="1"/>
      <c r="O180" s="1"/>
      <c r="P180" s="1"/>
      <c r="Q180" s="1"/>
      <c r="R180" s="1"/>
      <c r="S180" s="1"/>
      <c r="T180" s="1"/>
      <c r="U180" s="1"/>
      <c r="V180" s="1"/>
      <c r="W180" s="1"/>
      <c r="X180" s="1"/>
      <c r="Y180" s="1"/>
      <c r="Z180" s="1"/>
    </row>
    <row r="181" customFormat="false" ht="15.75" hidden="false" customHeight="true" outlineLevel="0" collapsed="false">
      <c r="N181" s="1"/>
      <c r="O181" s="1"/>
      <c r="P181" s="1"/>
      <c r="Q181" s="1"/>
      <c r="R181" s="1"/>
      <c r="S181" s="1"/>
      <c r="T181" s="1"/>
      <c r="U181" s="1"/>
      <c r="V181" s="1"/>
      <c r="W181" s="1"/>
      <c r="X181" s="1"/>
      <c r="Y181" s="1"/>
      <c r="Z181" s="1"/>
    </row>
    <row r="182" customFormat="false" ht="15.75" hidden="false" customHeight="true" outlineLevel="0" collapsed="false">
      <c r="N182" s="1"/>
      <c r="O182" s="1"/>
      <c r="P182" s="1"/>
      <c r="Q182" s="1"/>
      <c r="R182" s="1"/>
      <c r="S182" s="1"/>
      <c r="T182" s="1"/>
      <c r="U182" s="1"/>
      <c r="V182" s="1"/>
      <c r="W182" s="1"/>
      <c r="X182" s="1"/>
      <c r="Y182" s="1"/>
      <c r="Z182" s="1"/>
    </row>
    <row r="183" customFormat="false" ht="15.75" hidden="false" customHeight="true" outlineLevel="0" collapsed="false">
      <c r="N183" s="1"/>
      <c r="O183" s="1"/>
      <c r="P183" s="1"/>
      <c r="Q183" s="1"/>
      <c r="R183" s="1"/>
      <c r="S183" s="1"/>
      <c r="T183" s="1"/>
      <c r="U183" s="1"/>
      <c r="V183" s="1"/>
      <c r="W183" s="1"/>
      <c r="X183" s="1"/>
      <c r="Y183" s="1"/>
      <c r="Z183" s="1"/>
    </row>
    <row r="184" customFormat="false" ht="15.75" hidden="false" customHeight="true" outlineLevel="0" collapsed="false">
      <c r="N184" s="1"/>
      <c r="O184" s="1"/>
      <c r="P184" s="1"/>
      <c r="Q184" s="1"/>
      <c r="R184" s="1"/>
      <c r="S184" s="1"/>
      <c r="T184" s="1"/>
      <c r="U184" s="1"/>
      <c r="V184" s="1"/>
      <c r="W184" s="1"/>
      <c r="X184" s="1"/>
      <c r="Y184" s="1"/>
      <c r="Z184" s="1"/>
    </row>
    <row r="185" customFormat="false" ht="15.75" hidden="false" customHeight="true" outlineLevel="0" collapsed="false">
      <c r="N185" s="1"/>
      <c r="O185" s="1"/>
      <c r="P185" s="1"/>
      <c r="Q185" s="1"/>
      <c r="R185" s="1"/>
      <c r="S185" s="1"/>
      <c r="T185" s="1"/>
      <c r="U185" s="1"/>
      <c r="V185" s="1"/>
      <c r="W185" s="1"/>
      <c r="X185" s="1"/>
      <c r="Y185" s="1"/>
      <c r="Z185" s="1"/>
    </row>
    <row r="186" customFormat="false" ht="15.75" hidden="false" customHeight="true" outlineLevel="0" collapsed="false">
      <c r="N186" s="1"/>
      <c r="O186" s="1"/>
      <c r="P186" s="1"/>
      <c r="Q186" s="1"/>
      <c r="R186" s="1"/>
      <c r="S186" s="1"/>
      <c r="T186" s="1"/>
      <c r="U186" s="1"/>
      <c r="V186" s="1"/>
      <c r="W186" s="1"/>
      <c r="X186" s="1"/>
      <c r="Y186" s="1"/>
      <c r="Z186" s="1"/>
    </row>
    <row r="187" customFormat="false" ht="15.75" hidden="false" customHeight="true" outlineLevel="0" collapsed="false">
      <c r="N187" s="1"/>
      <c r="O187" s="1"/>
      <c r="P187" s="1"/>
      <c r="Q187" s="1"/>
      <c r="R187" s="1"/>
      <c r="S187" s="1"/>
      <c r="T187" s="1"/>
      <c r="U187" s="1"/>
      <c r="V187" s="1"/>
      <c r="W187" s="1"/>
      <c r="X187" s="1"/>
      <c r="Y187" s="1"/>
      <c r="Z187" s="1"/>
    </row>
    <row r="188" customFormat="false" ht="15.75" hidden="false" customHeight="true" outlineLevel="0" collapsed="false">
      <c r="N188" s="1"/>
      <c r="O188" s="1"/>
      <c r="P188" s="1"/>
      <c r="Q188" s="1"/>
      <c r="R188" s="1"/>
      <c r="S188" s="1"/>
      <c r="T188" s="1"/>
      <c r="U188" s="1"/>
      <c r="V188" s="1"/>
      <c r="W188" s="1"/>
      <c r="X188" s="1"/>
      <c r="Y188" s="1"/>
      <c r="Z188" s="1"/>
    </row>
    <row r="189" customFormat="false" ht="15.75" hidden="false" customHeight="true" outlineLevel="0" collapsed="false">
      <c r="N189" s="1"/>
      <c r="O189" s="1"/>
      <c r="P189" s="1"/>
      <c r="Q189" s="1"/>
      <c r="R189" s="1"/>
      <c r="S189" s="1"/>
      <c r="T189" s="1"/>
      <c r="U189" s="1"/>
      <c r="V189" s="1"/>
      <c r="W189" s="1"/>
      <c r="X189" s="1"/>
      <c r="Y189" s="1"/>
      <c r="Z189" s="1"/>
    </row>
    <row r="190" customFormat="false" ht="15.75" hidden="false" customHeight="true" outlineLevel="0" collapsed="false">
      <c r="N190" s="1"/>
      <c r="O190" s="1"/>
      <c r="P190" s="1"/>
      <c r="Q190" s="1"/>
      <c r="R190" s="1"/>
      <c r="S190" s="1"/>
      <c r="T190" s="1"/>
      <c r="U190" s="1"/>
      <c r="V190" s="1"/>
      <c r="W190" s="1"/>
      <c r="X190" s="1"/>
      <c r="Y190" s="1"/>
      <c r="Z190" s="1"/>
    </row>
    <row r="191" customFormat="false" ht="15.75" hidden="false" customHeight="true" outlineLevel="0" collapsed="false">
      <c r="N191" s="1"/>
      <c r="O191" s="1"/>
      <c r="P191" s="1"/>
      <c r="Q191" s="1"/>
      <c r="R191" s="1"/>
      <c r="S191" s="1"/>
      <c r="T191" s="1"/>
      <c r="U191" s="1"/>
      <c r="V191" s="1"/>
      <c r="W191" s="1"/>
      <c r="X191" s="1"/>
      <c r="Y191" s="1"/>
      <c r="Z191" s="1"/>
    </row>
    <row r="192" customFormat="false" ht="15.75" hidden="false" customHeight="true" outlineLevel="0" collapsed="false">
      <c r="N192" s="1"/>
      <c r="O192" s="1"/>
      <c r="P192" s="1"/>
      <c r="Q192" s="1"/>
      <c r="R192" s="1"/>
      <c r="S192" s="1"/>
      <c r="T192" s="1"/>
      <c r="U192" s="1"/>
      <c r="V192" s="1"/>
      <c r="W192" s="1"/>
      <c r="X192" s="1"/>
      <c r="Y192" s="1"/>
      <c r="Z192" s="1"/>
    </row>
    <row r="193" customFormat="false" ht="15.75" hidden="false" customHeight="true" outlineLevel="0" collapsed="false">
      <c r="N193" s="1"/>
      <c r="O193" s="1"/>
      <c r="P193" s="1"/>
      <c r="Q193" s="1"/>
      <c r="R193" s="1"/>
      <c r="S193" s="1"/>
      <c r="T193" s="1"/>
      <c r="U193" s="1"/>
      <c r="V193" s="1"/>
      <c r="W193" s="1"/>
      <c r="X193" s="1"/>
      <c r="Y193" s="1"/>
      <c r="Z193" s="1"/>
    </row>
    <row r="194" customFormat="false" ht="15.75" hidden="false" customHeight="true" outlineLevel="0" collapsed="false">
      <c r="N194" s="1"/>
      <c r="O194" s="1"/>
      <c r="P194" s="1"/>
      <c r="Q194" s="1"/>
      <c r="R194" s="1"/>
      <c r="S194" s="1"/>
      <c r="T194" s="1"/>
      <c r="U194" s="1"/>
      <c r="V194" s="1"/>
      <c r="W194" s="1"/>
      <c r="X194" s="1"/>
      <c r="Y194" s="1"/>
      <c r="Z194" s="1"/>
    </row>
    <row r="195" customFormat="false" ht="15.75" hidden="false" customHeight="true" outlineLevel="0" collapsed="false">
      <c r="N195" s="1"/>
      <c r="O195" s="1"/>
      <c r="P195" s="1"/>
      <c r="Q195" s="1"/>
      <c r="R195" s="1"/>
      <c r="S195" s="1"/>
      <c r="T195" s="1"/>
      <c r="U195" s="1"/>
      <c r="V195" s="1"/>
      <c r="W195" s="1"/>
      <c r="X195" s="1"/>
      <c r="Y195" s="1"/>
      <c r="Z195" s="1"/>
    </row>
    <row r="196" customFormat="false" ht="15.75" hidden="false" customHeight="true" outlineLevel="0" collapsed="false">
      <c r="N196" s="1"/>
      <c r="O196" s="1"/>
      <c r="P196" s="1"/>
      <c r="Q196" s="1"/>
      <c r="R196" s="1"/>
      <c r="S196" s="1"/>
      <c r="T196" s="1"/>
      <c r="U196" s="1"/>
      <c r="V196" s="1"/>
      <c r="W196" s="1"/>
      <c r="X196" s="1"/>
      <c r="Y196" s="1"/>
      <c r="Z196" s="1"/>
    </row>
    <row r="197" customFormat="false" ht="15.75" hidden="false" customHeight="true" outlineLevel="0" collapsed="false">
      <c r="N197" s="1"/>
      <c r="O197" s="1"/>
      <c r="P197" s="1"/>
      <c r="Q197" s="1"/>
      <c r="R197" s="1"/>
      <c r="S197" s="1"/>
      <c r="T197" s="1"/>
      <c r="U197" s="1"/>
      <c r="V197" s="1"/>
      <c r="W197" s="1"/>
      <c r="X197" s="1"/>
      <c r="Y197" s="1"/>
      <c r="Z197" s="1"/>
    </row>
    <row r="198" customFormat="false" ht="15.75" hidden="false" customHeight="true" outlineLevel="0" collapsed="false">
      <c r="N198" s="1"/>
      <c r="O198" s="1"/>
      <c r="P198" s="1"/>
      <c r="Q198" s="1"/>
      <c r="R198" s="1"/>
      <c r="S198" s="1"/>
      <c r="T198" s="1"/>
      <c r="U198" s="1"/>
      <c r="V198" s="1"/>
      <c r="W198" s="1"/>
      <c r="X198" s="1"/>
      <c r="Y198" s="1"/>
      <c r="Z198" s="1"/>
    </row>
    <row r="199" customFormat="false" ht="15.75" hidden="false" customHeight="true" outlineLevel="0" collapsed="false">
      <c r="N199" s="1"/>
      <c r="O199" s="1"/>
      <c r="P199" s="1"/>
      <c r="Q199" s="1"/>
      <c r="R199" s="1"/>
      <c r="S199" s="1"/>
      <c r="T199" s="1"/>
      <c r="U199" s="1"/>
      <c r="V199" s="1"/>
      <c r="W199" s="1"/>
      <c r="X199" s="1"/>
      <c r="Y199" s="1"/>
      <c r="Z199" s="1"/>
    </row>
    <row r="200" customFormat="false" ht="15.75" hidden="false" customHeight="true" outlineLevel="0" collapsed="false">
      <c r="N200" s="1"/>
      <c r="O200" s="1"/>
      <c r="P200" s="1"/>
      <c r="Q200" s="1"/>
      <c r="R200" s="1"/>
      <c r="S200" s="1"/>
      <c r="T200" s="1"/>
      <c r="U200" s="1"/>
      <c r="V200" s="1"/>
      <c r="W200" s="1"/>
      <c r="X200" s="1"/>
      <c r="Y200" s="1"/>
      <c r="Z200" s="1"/>
    </row>
    <row r="201" customFormat="false" ht="15.75" hidden="false" customHeight="true" outlineLevel="0" collapsed="false">
      <c r="N201" s="1"/>
      <c r="O201" s="1"/>
      <c r="P201" s="1"/>
      <c r="Q201" s="1"/>
      <c r="R201" s="1"/>
      <c r="S201" s="1"/>
      <c r="T201" s="1"/>
      <c r="U201" s="1"/>
      <c r="V201" s="1"/>
      <c r="W201" s="1"/>
      <c r="X201" s="1"/>
      <c r="Y201" s="1"/>
      <c r="Z201" s="1"/>
    </row>
    <row r="202" customFormat="false" ht="15.75" hidden="false" customHeight="true" outlineLevel="0" collapsed="false">
      <c r="N202" s="1"/>
      <c r="O202" s="1"/>
      <c r="P202" s="1"/>
      <c r="Q202" s="1"/>
      <c r="R202" s="1"/>
      <c r="S202" s="1"/>
      <c r="T202" s="1"/>
      <c r="U202" s="1"/>
      <c r="V202" s="1"/>
      <c r="W202" s="1"/>
      <c r="X202" s="1"/>
      <c r="Y202" s="1"/>
      <c r="Z202" s="1"/>
    </row>
    <row r="203" customFormat="false" ht="15.75" hidden="false" customHeight="true" outlineLevel="0" collapsed="false">
      <c r="N203" s="1"/>
      <c r="O203" s="1"/>
      <c r="P203" s="1"/>
      <c r="Q203" s="1"/>
      <c r="R203" s="1"/>
      <c r="S203" s="1"/>
      <c r="T203" s="1"/>
      <c r="U203" s="1"/>
      <c r="V203" s="1"/>
      <c r="W203" s="1"/>
      <c r="X203" s="1"/>
      <c r="Y203" s="1"/>
      <c r="Z203" s="1"/>
    </row>
    <row r="204" customFormat="false" ht="15.75" hidden="false" customHeight="true" outlineLevel="0" collapsed="false">
      <c r="N204" s="1"/>
      <c r="O204" s="1"/>
      <c r="P204" s="1"/>
      <c r="Q204" s="1"/>
      <c r="R204" s="1"/>
      <c r="S204" s="1"/>
      <c r="T204" s="1"/>
      <c r="U204" s="1"/>
      <c r="V204" s="1"/>
      <c r="W204" s="1"/>
      <c r="X204" s="1"/>
      <c r="Y204" s="1"/>
      <c r="Z204" s="1"/>
    </row>
    <row r="205" customFormat="false" ht="15.75" hidden="false" customHeight="true" outlineLevel="0" collapsed="false">
      <c r="N205" s="1"/>
      <c r="O205" s="1"/>
      <c r="P205" s="1"/>
      <c r="Q205" s="1"/>
      <c r="R205" s="1"/>
      <c r="S205" s="1"/>
      <c r="T205" s="1"/>
      <c r="U205" s="1"/>
      <c r="V205" s="1"/>
      <c r="W205" s="1"/>
      <c r="X205" s="1"/>
      <c r="Y205" s="1"/>
      <c r="Z205" s="1"/>
    </row>
    <row r="206" customFormat="false" ht="15.75" hidden="false" customHeight="true" outlineLevel="0" collapsed="false">
      <c r="N206" s="1"/>
      <c r="O206" s="1"/>
      <c r="P206" s="1"/>
      <c r="Q206" s="1"/>
      <c r="R206" s="1"/>
      <c r="S206" s="1"/>
      <c r="T206" s="1"/>
      <c r="U206" s="1"/>
      <c r="V206" s="1"/>
      <c r="W206" s="1"/>
      <c r="X206" s="1"/>
      <c r="Y206" s="1"/>
      <c r="Z206" s="1"/>
    </row>
    <row r="207" customFormat="false" ht="15.75" hidden="false" customHeight="true" outlineLevel="0" collapsed="false">
      <c r="N207" s="1"/>
      <c r="O207" s="1"/>
      <c r="P207" s="1"/>
      <c r="Q207" s="1"/>
      <c r="R207" s="1"/>
      <c r="S207" s="1"/>
      <c r="T207" s="1"/>
      <c r="U207" s="1"/>
      <c r="V207" s="1"/>
      <c r="W207" s="1"/>
      <c r="X207" s="1"/>
      <c r="Y207" s="1"/>
      <c r="Z207" s="1"/>
    </row>
    <row r="208" customFormat="false" ht="15.75" hidden="false" customHeight="true" outlineLevel="0" collapsed="false">
      <c r="N208" s="1"/>
      <c r="O208" s="1"/>
      <c r="P208" s="1"/>
      <c r="Q208" s="1"/>
      <c r="R208" s="1"/>
      <c r="S208" s="1"/>
      <c r="T208" s="1"/>
      <c r="U208" s="1"/>
      <c r="V208" s="1"/>
      <c r="W208" s="1"/>
      <c r="X208" s="1"/>
      <c r="Y208" s="1"/>
      <c r="Z208" s="1"/>
    </row>
    <row r="209" customFormat="false" ht="15.75" hidden="false" customHeight="true" outlineLevel="0" collapsed="false">
      <c r="N209" s="1"/>
      <c r="O209" s="1"/>
      <c r="P209" s="1"/>
      <c r="Q209" s="1"/>
      <c r="R209" s="1"/>
      <c r="S209" s="1"/>
      <c r="T209" s="1"/>
      <c r="U209" s="1"/>
      <c r="V209" s="1"/>
      <c r="W209" s="1"/>
      <c r="X209" s="1"/>
      <c r="Y209" s="1"/>
      <c r="Z209" s="1"/>
    </row>
    <row r="210" customFormat="false" ht="15.75" hidden="false" customHeight="true" outlineLevel="0" collapsed="false">
      <c r="N210" s="1"/>
      <c r="O210" s="1"/>
      <c r="P210" s="1"/>
      <c r="Q210" s="1"/>
      <c r="R210" s="1"/>
      <c r="S210" s="1"/>
      <c r="T210" s="1"/>
      <c r="U210" s="1"/>
      <c r="V210" s="1"/>
      <c r="W210" s="1"/>
      <c r="X210" s="1"/>
      <c r="Y210" s="1"/>
      <c r="Z210" s="1"/>
    </row>
    <row r="211" customFormat="false" ht="15.75" hidden="false" customHeight="true" outlineLevel="0" collapsed="false">
      <c r="N211" s="1"/>
      <c r="O211" s="1"/>
      <c r="P211" s="1"/>
      <c r="Q211" s="1"/>
      <c r="R211" s="1"/>
      <c r="S211" s="1"/>
      <c r="T211" s="1"/>
      <c r="U211" s="1"/>
      <c r="V211" s="1"/>
      <c r="W211" s="1"/>
      <c r="X211" s="1"/>
      <c r="Y211" s="1"/>
      <c r="Z211" s="1"/>
    </row>
    <row r="212" customFormat="false" ht="15.75" hidden="false" customHeight="true" outlineLevel="0" collapsed="false">
      <c r="N212" s="1"/>
      <c r="O212" s="1"/>
      <c r="P212" s="1"/>
      <c r="Q212" s="1"/>
      <c r="R212" s="1"/>
      <c r="S212" s="1"/>
      <c r="T212" s="1"/>
      <c r="U212" s="1"/>
      <c r="V212" s="1"/>
      <c r="W212" s="1"/>
      <c r="X212" s="1"/>
      <c r="Y212" s="1"/>
      <c r="Z212" s="1"/>
    </row>
    <row r="213" customFormat="false" ht="15.75" hidden="false" customHeight="true" outlineLevel="0" collapsed="false">
      <c r="N213" s="1"/>
      <c r="O213" s="1"/>
      <c r="P213" s="1"/>
      <c r="Q213" s="1"/>
      <c r="R213" s="1"/>
      <c r="S213" s="1"/>
      <c r="T213" s="1"/>
      <c r="U213" s="1"/>
      <c r="V213" s="1"/>
      <c r="W213" s="1"/>
      <c r="X213" s="1"/>
      <c r="Y213" s="1"/>
      <c r="Z213" s="1"/>
    </row>
    <row r="214" customFormat="false" ht="15.75" hidden="false" customHeight="true" outlineLevel="0" collapsed="false">
      <c r="N214" s="1"/>
      <c r="O214" s="1"/>
      <c r="P214" s="1"/>
      <c r="Q214" s="1"/>
      <c r="R214" s="1"/>
      <c r="S214" s="1"/>
      <c r="T214" s="1"/>
      <c r="U214" s="1"/>
      <c r="V214" s="1"/>
      <c r="W214" s="1"/>
      <c r="X214" s="1"/>
      <c r="Y214" s="1"/>
      <c r="Z214" s="1"/>
    </row>
    <row r="215" customFormat="false" ht="15.75" hidden="false" customHeight="true" outlineLevel="0" collapsed="false">
      <c r="N215" s="1"/>
      <c r="O215" s="1"/>
      <c r="P215" s="1"/>
      <c r="Q215" s="1"/>
      <c r="R215" s="1"/>
      <c r="S215" s="1"/>
      <c r="T215" s="1"/>
      <c r="U215" s="1"/>
      <c r="V215" s="1"/>
      <c r="W215" s="1"/>
      <c r="X215" s="1"/>
      <c r="Y215" s="1"/>
      <c r="Z215" s="1"/>
    </row>
    <row r="216" customFormat="false" ht="15.75" hidden="false" customHeight="true" outlineLevel="0" collapsed="false">
      <c r="N216" s="1"/>
      <c r="O216" s="1"/>
      <c r="P216" s="1"/>
      <c r="Q216" s="1"/>
      <c r="R216" s="1"/>
      <c r="S216" s="1"/>
      <c r="T216" s="1"/>
      <c r="U216" s="1"/>
      <c r="V216" s="1"/>
      <c r="W216" s="1"/>
      <c r="X216" s="1"/>
      <c r="Y216" s="1"/>
      <c r="Z216" s="1"/>
    </row>
    <row r="217" customFormat="false" ht="15.75" hidden="false" customHeight="true" outlineLevel="0" collapsed="false">
      <c r="N217" s="1"/>
      <c r="O217" s="1"/>
      <c r="P217" s="1"/>
      <c r="Q217" s="1"/>
      <c r="R217" s="1"/>
      <c r="S217" s="1"/>
      <c r="T217" s="1"/>
      <c r="U217" s="1"/>
      <c r="V217" s="1"/>
      <c r="W217" s="1"/>
      <c r="X217" s="1"/>
      <c r="Y217" s="1"/>
      <c r="Z217" s="1"/>
    </row>
    <row r="218" customFormat="false" ht="15.75" hidden="false" customHeight="true" outlineLevel="0" collapsed="false">
      <c r="N218" s="1"/>
      <c r="O218" s="1"/>
      <c r="P218" s="1"/>
      <c r="Q218" s="1"/>
      <c r="R218" s="1"/>
      <c r="S218" s="1"/>
      <c r="T218" s="1"/>
      <c r="U218" s="1"/>
      <c r="V218" s="1"/>
      <c r="W218" s="1"/>
      <c r="X218" s="1"/>
      <c r="Y218" s="1"/>
      <c r="Z218" s="1"/>
    </row>
    <row r="219" customFormat="false" ht="15.75" hidden="false" customHeight="true" outlineLevel="0" collapsed="false">
      <c r="N219" s="1"/>
      <c r="O219" s="1"/>
      <c r="P219" s="1"/>
      <c r="Q219" s="1"/>
      <c r="R219" s="1"/>
      <c r="S219" s="1"/>
      <c r="T219" s="1"/>
      <c r="U219" s="1"/>
      <c r="V219" s="1"/>
      <c r="W219" s="1"/>
      <c r="X219" s="1"/>
      <c r="Y219" s="1"/>
      <c r="Z219" s="1"/>
    </row>
    <row r="220" customFormat="false" ht="15.75" hidden="false" customHeight="true" outlineLevel="0" collapsed="false">
      <c r="N220" s="1"/>
      <c r="O220" s="1"/>
      <c r="P220" s="1"/>
      <c r="Q220" s="1"/>
      <c r="R220" s="1"/>
      <c r="S220" s="1"/>
      <c r="T220" s="1"/>
      <c r="U220" s="1"/>
      <c r="V220" s="1"/>
      <c r="W220" s="1"/>
      <c r="X220" s="1"/>
      <c r="Y220" s="1"/>
      <c r="Z220" s="1"/>
    </row>
    <row r="221" customFormat="false" ht="15.75" hidden="false" customHeight="true" outlineLevel="0" collapsed="false">
      <c r="N221" s="1"/>
      <c r="O221" s="1"/>
      <c r="P221" s="1"/>
      <c r="Q221" s="1"/>
      <c r="R221" s="1"/>
      <c r="S221" s="1"/>
      <c r="T221" s="1"/>
      <c r="U221" s="1"/>
      <c r="V221" s="1"/>
      <c r="W221" s="1"/>
      <c r="X221" s="1"/>
      <c r="Y221" s="1"/>
      <c r="Z221" s="1"/>
    </row>
    <row r="222" customFormat="false" ht="15.75" hidden="false" customHeight="true" outlineLevel="0" collapsed="false">
      <c r="N222" s="1"/>
      <c r="O222" s="1"/>
      <c r="P222" s="1"/>
      <c r="Q222" s="1"/>
      <c r="R222" s="1"/>
      <c r="S222" s="1"/>
      <c r="T222" s="1"/>
      <c r="U222" s="1"/>
      <c r="V222" s="1"/>
      <c r="W222" s="1"/>
      <c r="X222" s="1"/>
      <c r="Y222" s="1"/>
      <c r="Z222" s="1"/>
    </row>
    <row r="223" customFormat="false" ht="15.75" hidden="false" customHeight="true" outlineLevel="0" collapsed="false">
      <c r="N223" s="1"/>
      <c r="O223" s="1"/>
      <c r="P223" s="1"/>
      <c r="Q223" s="1"/>
      <c r="R223" s="1"/>
      <c r="S223" s="1"/>
      <c r="T223" s="1"/>
      <c r="U223" s="1"/>
      <c r="V223" s="1"/>
      <c r="W223" s="1"/>
      <c r="X223" s="1"/>
      <c r="Y223" s="1"/>
      <c r="Z223" s="1"/>
    </row>
    <row r="224" customFormat="false" ht="15.75" hidden="false" customHeight="true" outlineLevel="0" collapsed="false">
      <c r="N224" s="1"/>
      <c r="O224" s="1"/>
      <c r="P224" s="1"/>
      <c r="Q224" s="1"/>
      <c r="R224" s="1"/>
      <c r="S224" s="1"/>
      <c r="T224" s="1"/>
      <c r="U224" s="1"/>
      <c r="V224" s="1"/>
      <c r="W224" s="1"/>
      <c r="X224" s="1"/>
      <c r="Y224" s="1"/>
      <c r="Z224" s="1"/>
    </row>
    <row r="225" customFormat="false" ht="15.75" hidden="false" customHeight="true" outlineLevel="0" collapsed="false">
      <c r="N225" s="1"/>
      <c r="O225" s="1"/>
      <c r="P225" s="1"/>
      <c r="Q225" s="1"/>
      <c r="R225" s="1"/>
      <c r="S225" s="1"/>
      <c r="T225" s="1"/>
      <c r="U225" s="1"/>
      <c r="V225" s="1"/>
      <c r="W225" s="1"/>
      <c r="X225" s="1"/>
      <c r="Y225" s="1"/>
      <c r="Z225" s="1"/>
    </row>
    <row r="226" customFormat="false" ht="15.75" hidden="false" customHeight="true" outlineLevel="0" collapsed="false">
      <c r="N226" s="1"/>
      <c r="O226" s="1"/>
      <c r="P226" s="1"/>
      <c r="Q226" s="1"/>
      <c r="R226" s="1"/>
      <c r="S226" s="1"/>
      <c r="T226" s="1"/>
      <c r="U226" s="1"/>
      <c r="V226" s="1"/>
      <c r="W226" s="1"/>
      <c r="X226" s="1"/>
      <c r="Y226" s="1"/>
      <c r="Z226" s="1"/>
    </row>
    <row r="227" customFormat="false" ht="15.75" hidden="false" customHeight="true" outlineLevel="0" collapsed="false">
      <c r="N227" s="1"/>
      <c r="O227" s="1"/>
      <c r="P227" s="1"/>
      <c r="Q227" s="1"/>
      <c r="R227" s="1"/>
      <c r="S227" s="1"/>
      <c r="T227" s="1"/>
      <c r="U227" s="1"/>
      <c r="V227" s="1"/>
      <c r="W227" s="1"/>
      <c r="X227" s="1"/>
      <c r="Y227" s="1"/>
      <c r="Z227" s="1"/>
    </row>
    <row r="228" customFormat="false" ht="15.75" hidden="false" customHeight="true" outlineLevel="0" collapsed="false">
      <c r="N228" s="1"/>
      <c r="O228" s="1"/>
      <c r="P228" s="1"/>
      <c r="Q228" s="1"/>
      <c r="R228" s="1"/>
      <c r="S228" s="1"/>
      <c r="T228" s="1"/>
      <c r="U228" s="1"/>
      <c r="V228" s="1"/>
      <c r="W228" s="1"/>
      <c r="X228" s="1"/>
      <c r="Y228" s="1"/>
      <c r="Z228" s="1"/>
    </row>
    <row r="229" customFormat="false" ht="15.75" hidden="false" customHeight="true" outlineLevel="0" collapsed="false">
      <c r="N229" s="1"/>
      <c r="O229" s="1"/>
      <c r="P229" s="1"/>
      <c r="Q229" s="1"/>
      <c r="R229" s="1"/>
      <c r="S229" s="1"/>
      <c r="T229" s="1"/>
      <c r="U229" s="1"/>
      <c r="V229" s="1"/>
      <c r="W229" s="1"/>
      <c r="X229" s="1"/>
      <c r="Y229" s="1"/>
      <c r="Z229" s="1"/>
    </row>
    <row r="230" customFormat="false" ht="15.75" hidden="false" customHeight="true" outlineLevel="0" collapsed="false">
      <c r="N230" s="1"/>
      <c r="O230" s="1"/>
      <c r="P230" s="1"/>
      <c r="Q230" s="1"/>
      <c r="R230" s="1"/>
      <c r="S230" s="1"/>
      <c r="T230" s="1"/>
      <c r="U230" s="1"/>
      <c r="V230" s="1"/>
      <c r="W230" s="1"/>
      <c r="X230" s="1"/>
      <c r="Y230" s="1"/>
      <c r="Z230" s="1"/>
    </row>
    <row r="231" customFormat="false" ht="15.75" hidden="false" customHeight="true" outlineLevel="0" collapsed="false">
      <c r="N231" s="1"/>
      <c r="O231" s="1"/>
      <c r="P231" s="1"/>
      <c r="Q231" s="1"/>
      <c r="R231" s="1"/>
      <c r="S231" s="1"/>
      <c r="T231" s="1"/>
      <c r="U231" s="1"/>
      <c r="V231" s="1"/>
      <c r="W231" s="1"/>
      <c r="X231" s="1"/>
      <c r="Y231" s="1"/>
      <c r="Z231" s="1"/>
    </row>
    <row r="232" customFormat="false" ht="15.75" hidden="false" customHeight="true" outlineLevel="0" collapsed="false">
      <c r="N232" s="1"/>
      <c r="O232" s="1"/>
      <c r="P232" s="1"/>
      <c r="Q232" s="1"/>
      <c r="R232" s="1"/>
      <c r="S232" s="1"/>
      <c r="T232" s="1"/>
      <c r="U232" s="1"/>
      <c r="V232" s="1"/>
      <c r="W232" s="1"/>
      <c r="X232" s="1"/>
      <c r="Y232" s="1"/>
      <c r="Z232" s="1"/>
    </row>
    <row r="233" customFormat="false" ht="15.75" hidden="false" customHeight="true" outlineLevel="0" collapsed="false">
      <c r="N233" s="1"/>
      <c r="O233" s="1"/>
      <c r="P233" s="1"/>
      <c r="Q233" s="1"/>
      <c r="R233" s="1"/>
      <c r="S233" s="1"/>
      <c r="T233" s="1"/>
      <c r="U233" s="1"/>
      <c r="V233" s="1"/>
      <c r="W233" s="1"/>
      <c r="X233" s="1"/>
      <c r="Y233" s="1"/>
      <c r="Z233" s="1"/>
    </row>
    <row r="234" customFormat="false" ht="15.75" hidden="false" customHeight="true" outlineLevel="0" collapsed="false">
      <c r="N234" s="1"/>
      <c r="O234" s="1"/>
      <c r="P234" s="1"/>
      <c r="Q234" s="1"/>
      <c r="R234" s="1"/>
      <c r="S234" s="1"/>
      <c r="T234" s="1"/>
      <c r="U234" s="1"/>
      <c r="V234" s="1"/>
      <c r="W234" s="1"/>
      <c r="X234" s="1"/>
      <c r="Y234" s="1"/>
      <c r="Z234" s="1"/>
    </row>
    <row r="235" customFormat="false" ht="15.75" hidden="false" customHeight="true" outlineLevel="0" collapsed="false">
      <c r="N235" s="1"/>
      <c r="O235" s="1"/>
      <c r="P235" s="1"/>
      <c r="Q235" s="1"/>
      <c r="R235" s="1"/>
      <c r="S235" s="1"/>
      <c r="T235" s="1"/>
      <c r="U235" s="1"/>
      <c r="V235" s="1"/>
      <c r="W235" s="1"/>
      <c r="X235" s="1"/>
      <c r="Y235" s="1"/>
      <c r="Z235" s="1"/>
    </row>
    <row r="236" customFormat="false" ht="15.75" hidden="false" customHeight="true" outlineLevel="0" collapsed="false">
      <c r="N236" s="1"/>
      <c r="O236" s="1"/>
      <c r="P236" s="1"/>
      <c r="Q236" s="1"/>
      <c r="R236" s="1"/>
      <c r="S236" s="1"/>
      <c r="T236" s="1"/>
      <c r="U236" s="1"/>
      <c r="V236" s="1"/>
      <c r="W236" s="1"/>
      <c r="X236" s="1"/>
      <c r="Y236" s="1"/>
      <c r="Z236" s="1"/>
    </row>
    <row r="237" customFormat="false" ht="15.75" hidden="false" customHeight="true" outlineLevel="0" collapsed="false">
      <c r="N237" s="1"/>
      <c r="O237" s="1"/>
      <c r="P237" s="1"/>
      <c r="Q237" s="1"/>
      <c r="R237" s="1"/>
      <c r="S237" s="1"/>
      <c r="T237" s="1"/>
      <c r="U237" s="1"/>
      <c r="V237" s="1"/>
      <c r="W237" s="1"/>
      <c r="X237" s="1"/>
      <c r="Y237" s="1"/>
      <c r="Z237" s="1"/>
    </row>
    <row r="238" customFormat="false" ht="15.75" hidden="false" customHeight="true" outlineLevel="0" collapsed="false">
      <c r="N238" s="1"/>
      <c r="O238" s="1"/>
      <c r="P238" s="1"/>
      <c r="Q238" s="1"/>
      <c r="R238" s="1"/>
      <c r="S238" s="1"/>
      <c r="T238" s="1"/>
      <c r="U238" s="1"/>
      <c r="V238" s="1"/>
      <c r="W238" s="1"/>
      <c r="X238" s="1"/>
      <c r="Y238" s="1"/>
      <c r="Z238" s="1"/>
    </row>
    <row r="239" customFormat="false" ht="15.75" hidden="false" customHeight="true" outlineLevel="0" collapsed="false">
      <c r="N239" s="1"/>
      <c r="O239" s="1"/>
      <c r="P239" s="1"/>
      <c r="Q239" s="1"/>
      <c r="R239" s="1"/>
      <c r="S239" s="1"/>
      <c r="T239" s="1"/>
      <c r="U239" s="1"/>
      <c r="V239" s="1"/>
      <c r="W239" s="1"/>
      <c r="X239" s="1"/>
      <c r="Y239" s="1"/>
      <c r="Z239" s="1"/>
    </row>
    <row r="240" customFormat="false" ht="15.75" hidden="false" customHeight="true" outlineLevel="0" collapsed="false">
      <c r="N240" s="1"/>
      <c r="O240" s="1"/>
      <c r="P240" s="1"/>
      <c r="Q240" s="1"/>
      <c r="R240" s="1"/>
      <c r="S240" s="1"/>
      <c r="T240" s="1"/>
      <c r="U240" s="1"/>
      <c r="V240" s="1"/>
      <c r="W240" s="1"/>
      <c r="X240" s="1"/>
      <c r="Y240" s="1"/>
      <c r="Z240" s="1"/>
    </row>
    <row r="241" customFormat="false" ht="15.75" hidden="false" customHeight="true" outlineLevel="0" collapsed="false">
      <c r="N241" s="1"/>
      <c r="O241" s="1"/>
      <c r="P241" s="1"/>
      <c r="Q241" s="1"/>
      <c r="R241" s="1"/>
      <c r="S241" s="1"/>
      <c r="T241" s="1"/>
      <c r="U241" s="1"/>
      <c r="V241" s="1"/>
      <c r="W241" s="1"/>
      <c r="X241" s="1"/>
      <c r="Y241" s="1"/>
      <c r="Z241" s="1"/>
    </row>
    <row r="242" customFormat="false" ht="15.75" hidden="false" customHeight="true" outlineLevel="0" collapsed="false">
      <c r="N242" s="1"/>
      <c r="O242" s="1"/>
      <c r="P242" s="1"/>
      <c r="Q242" s="1"/>
      <c r="R242" s="1"/>
      <c r="S242" s="1"/>
      <c r="T242" s="1"/>
      <c r="U242" s="1"/>
      <c r="V242" s="1"/>
      <c r="W242" s="1"/>
      <c r="X242" s="1"/>
      <c r="Y242" s="1"/>
      <c r="Z242" s="1"/>
    </row>
    <row r="243" customFormat="false" ht="15.75" hidden="false" customHeight="true" outlineLevel="0" collapsed="false">
      <c r="N243" s="1"/>
      <c r="O243" s="1"/>
      <c r="P243" s="1"/>
      <c r="Q243" s="1"/>
      <c r="R243" s="1"/>
      <c r="S243" s="1"/>
      <c r="T243" s="1"/>
      <c r="U243" s="1"/>
      <c r="V243" s="1"/>
      <c r="W243" s="1"/>
      <c r="X243" s="1"/>
      <c r="Y243" s="1"/>
      <c r="Z243" s="1"/>
    </row>
    <row r="244" customFormat="false" ht="15.75" hidden="false" customHeight="true" outlineLevel="0" collapsed="false">
      <c r="N244" s="1"/>
      <c r="O244" s="1"/>
      <c r="P244" s="1"/>
      <c r="Q244" s="1"/>
      <c r="R244" s="1"/>
      <c r="S244" s="1"/>
      <c r="T244" s="1"/>
      <c r="U244" s="1"/>
      <c r="V244" s="1"/>
      <c r="W244" s="1"/>
      <c r="X244" s="1"/>
      <c r="Y244" s="1"/>
      <c r="Z244" s="1"/>
    </row>
    <row r="245" customFormat="false" ht="15.75" hidden="false" customHeight="true" outlineLevel="0" collapsed="false">
      <c r="N245" s="1"/>
      <c r="O245" s="1"/>
      <c r="P245" s="1"/>
      <c r="Q245" s="1"/>
      <c r="R245" s="1"/>
      <c r="S245" s="1"/>
      <c r="T245" s="1"/>
      <c r="U245" s="1"/>
      <c r="V245" s="1"/>
      <c r="W245" s="1"/>
      <c r="X245" s="1"/>
      <c r="Y245" s="1"/>
      <c r="Z245" s="1"/>
    </row>
    <row r="246" customFormat="false" ht="15.75" hidden="false" customHeight="true" outlineLevel="0" collapsed="false">
      <c r="N246" s="1"/>
      <c r="O246" s="1"/>
      <c r="P246" s="1"/>
      <c r="Q246" s="1"/>
      <c r="R246" s="1"/>
      <c r="S246" s="1"/>
      <c r="T246" s="1"/>
      <c r="U246" s="1"/>
      <c r="V246" s="1"/>
      <c r="W246" s="1"/>
      <c r="X246" s="1"/>
      <c r="Y246" s="1"/>
      <c r="Z246" s="1"/>
    </row>
    <row r="247" customFormat="false" ht="15.75" hidden="false" customHeight="true" outlineLevel="0" collapsed="false">
      <c r="N247" s="1"/>
      <c r="O247" s="1"/>
      <c r="P247" s="1"/>
      <c r="Q247" s="1"/>
      <c r="R247" s="1"/>
      <c r="S247" s="1"/>
      <c r="T247" s="1"/>
      <c r="U247" s="1"/>
      <c r="V247" s="1"/>
      <c r="W247" s="1"/>
      <c r="X247" s="1"/>
      <c r="Y247" s="1"/>
      <c r="Z247" s="1"/>
    </row>
    <row r="248" customFormat="false" ht="15.75" hidden="false" customHeight="true" outlineLevel="0" collapsed="false">
      <c r="N248" s="1"/>
      <c r="O248" s="1"/>
      <c r="P248" s="1"/>
      <c r="Q248" s="1"/>
      <c r="R248" s="1"/>
      <c r="S248" s="1"/>
      <c r="T248" s="1"/>
      <c r="U248" s="1"/>
      <c r="V248" s="1"/>
      <c r="W248" s="1"/>
      <c r="X248" s="1"/>
      <c r="Y248" s="1"/>
      <c r="Z248" s="1"/>
    </row>
    <row r="249" customFormat="false" ht="15.75" hidden="false" customHeight="true" outlineLevel="0" collapsed="false">
      <c r="N249" s="1"/>
      <c r="O249" s="1"/>
      <c r="P249" s="1"/>
      <c r="Q249" s="1"/>
      <c r="R249" s="1"/>
      <c r="S249" s="1"/>
      <c r="T249" s="1"/>
      <c r="U249" s="1"/>
      <c r="V249" s="1"/>
      <c r="W249" s="1"/>
      <c r="X249" s="1"/>
      <c r="Y249" s="1"/>
      <c r="Z249" s="1"/>
    </row>
    <row r="250" customFormat="false" ht="15.75" hidden="false" customHeight="true" outlineLevel="0" collapsed="false">
      <c r="N250" s="1"/>
      <c r="O250" s="1"/>
      <c r="P250" s="1"/>
      <c r="Q250" s="1"/>
      <c r="R250" s="1"/>
      <c r="S250" s="1"/>
      <c r="T250" s="1"/>
      <c r="U250" s="1"/>
      <c r="V250" s="1"/>
      <c r="W250" s="1"/>
      <c r="X250" s="1"/>
      <c r="Y250" s="1"/>
      <c r="Z250" s="1"/>
    </row>
    <row r="251" customFormat="false" ht="15.75" hidden="false" customHeight="true" outlineLevel="0" collapsed="false">
      <c r="N251" s="1"/>
      <c r="O251" s="1"/>
      <c r="P251" s="1"/>
      <c r="Q251" s="1"/>
      <c r="R251" s="1"/>
      <c r="S251" s="1"/>
      <c r="T251" s="1"/>
      <c r="U251" s="1"/>
      <c r="V251" s="1"/>
      <c r="W251" s="1"/>
      <c r="X251" s="1"/>
      <c r="Y251" s="1"/>
      <c r="Z251" s="1"/>
    </row>
    <row r="252" customFormat="false" ht="15.75" hidden="false" customHeight="true" outlineLevel="0" collapsed="false">
      <c r="N252" s="1"/>
      <c r="O252" s="1"/>
      <c r="P252" s="1"/>
      <c r="Q252" s="1"/>
      <c r="R252" s="1"/>
      <c r="S252" s="1"/>
      <c r="T252" s="1"/>
      <c r="U252" s="1"/>
      <c r="V252" s="1"/>
      <c r="W252" s="1"/>
      <c r="X252" s="1"/>
      <c r="Y252" s="1"/>
      <c r="Z252" s="1"/>
    </row>
    <row r="253" customFormat="false" ht="15.75" hidden="false" customHeight="true" outlineLevel="0" collapsed="false">
      <c r="N253" s="1"/>
      <c r="O253" s="1"/>
      <c r="P253" s="1"/>
      <c r="Q253" s="1"/>
      <c r="R253" s="1"/>
      <c r="S253" s="1"/>
      <c r="T253" s="1"/>
      <c r="U253" s="1"/>
      <c r="V253" s="1"/>
      <c r="W253" s="1"/>
      <c r="X253" s="1"/>
      <c r="Y253" s="1"/>
      <c r="Z253" s="1"/>
    </row>
    <row r="254" customFormat="false" ht="15.75" hidden="false" customHeight="true" outlineLevel="0" collapsed="false">
      <c r="N254" s="1"/>
      <c r="O254" s="1"/>
      <c r="P254" s="1"/>
      <c r="Q254" s="1"/>
      <c r="R254" s="1"/>
      <c r="S254" s="1"/>
      <c r="T254" s="1"/>
      <c r="U254" s="1"/>
      <c r="V254" s="1"/>
      <c r="W254" s="1"/>
      <c r="X254" s="1"/>
      <c r="Y254" s="1"/>
      <c r="Z254" s="1"/>
    </row>
    <row r="255" customFormat="false" ht="15.75" hidden="false" customHeight="true" outlineLevel="0" collapsed="false">
      <c r="N255" s="1"/>
      <c r="O255" s="1"/>
      <c r="P255" s="1"/>
      <c r="Q255" s="1"/>
      <c r="R255" s="1"/>
      <c r="S255" s="1"/>
      <c r="T255" s="1"/>
      <c r="U255" s="1"/>
      <c r="V255" s="1"/>
      <c r="W255" s="1"/>
      <c r="X255" s="1"/>
      <c r="Y255" s="1"/>
      <c r="Z255" s="1"/>
    </row>
    <row r="256" customFormat="false" ht="15.75" hidden="false" customHeight="true" outlineLevel="0" collapsed="false">
      <c r="N256" s="1"/>
      <c r="O256" s="1"/>
      <c r="P256" s="1"/>
      <c r="Q256" s="1"/>
      <c r="R256" s="1"/>
      <c r="S256" s="1"/>
      <c r="T256" s="1"/>
      <c r="U256" s="1"/>
      <c r="V256" s="1"/>
      <c r="W256" s="1"/>
      <c r="X256" s="1"/>
      <c r="Y256" s="1"/>
      <c r="Z256" s="1"/>
    </row>
    <row r="257" customFormat="false" ht="15.75" hidden="false" customHeight="true" outlineLevel="0" collapsed="false">
      <c r="N257" s="1"/>
      <c r="O257" s="1"/>
      <c r="P257" s="1"/>
      <c r="Q257" s="1"/>
      <c r="R257" s="1"/>
      <c r="S257" s="1"/>
      <c r="T257" s="1"/>
      <c r="U257" s="1"/>
      <c r="V257" s="1"/>
      <c r="W257" s="1"/>
      <c r="X257" s="1"/>
      <c r="Y257" s="1"/>
      <c r="Z257" s="1"/>
    </row>
    <row r="258" customFormat="false" ht="15.75" hidden="false" customHeight="true" outlineLevel="0" collapsed="false">
      <c r="N258" s="1"/>
      <c r="O258" s="1"/>
      <c r="P258" s="1"/>
      <c r="Q258" s="1"/>
      <c r="R258" s="1"/>
      <c r="S258" s="1"/>
      <c r="T258" s="1"/>
      <c r="U258" s="1"/>
      <c r="V258" s="1"/>
      <c r="W258" s="1"/>
      <c r="X258" s="1"/>
      <c r="Y258" s="1"/>
      <c r="Z258" s="1"/>
    </row>
    <row r="259" customFormat="false" ht="15.75" hidden="false" customHeight="true" outlineLevel="0" collapsed="false">
      <c r="N259" s="1"/>
      <c r="O259" s="1"/>
      <c r="P259" s="1"/>
      <c r="Q259" s="1"/>
      <c r="R259" s="1"/>
      <c r="S259" s="1"/>
      <c r="T259" s="1"/>
      <c r="U259" s="1"/>
      <c r="V259" s="1"/>
      <c r="W259" s="1"/>
      <c r="X259" s="1"/>
      <c r="Y259" s="1"/>
      <c r="Z259" s="1"/>
    </row>
    <row r="260" customFormat="false" ht="15.75" hidden="false" customHeight="true" outlineLevel="0" collapsed="false">
      <c r="N260" s="1"/>
      <c r="O260" s="1"/>
      <c r="P260" s="1"/>
      <c r="Q260" s="1"/>
      <c r="R260" s="1"/>
      <c r="S260" s="1"/>
      <c r="T260" s="1"/>
      <c r="U260" s="1"/>
      <c r="V260" s="1"/>
      <c r="W260" s="1"/>
      <c r="X260" s="1"/>
      <c r="Y260" s="1"/>
      <c r="Z260" s="1"/>
    </row>
    <row r="261" customFormat="false" ht="15.75" hidden="false" customHeight="true" outlineLevel="0" collapsed="false">
      <c r="N261" s="1"/>
      <c r="O261" s="1"/>
      <c r="P261" s="1"/>
      <c r="Q261" s="1"/>
      <c r="R261" s="1"/>
      <c r="S261" s="1"/>
      <c r="T261" s="1"/>
      <c r="U261" s="1"/>
      <c r="V261" s="1"/>
      <c r="W261" s="1"/>
      <c r="X261" s="1"/>
      <c r="Y261" s="1"/>
      <c r="Z261" s="1"/>
    </row>
    <row r="262" customFormat="false" ht="15.75" hidden="false" customHeight="true" outlineLevel="0" collapsed="false">
      <c r="N262" s="1"/>
      <c r="O262" s="1"/>
      <c r="P262" s="1"/>
      <c r="Q262" s="1"/>
      <c r="R262" s="1"/>
      <c r="S262" s="1"/>
      <c r="T262" s="1"/>
      <c r="U262" s="1"/>
      <c r="V262" s="1"/>
      <c r="W262" s="1"/>
      <c r="X262" s="1"/>
      <c r="Y262" s="1"/>
      <c r="Z262" s="1"/>
    </row>
    <row r="263" customFormat="false" ht="15.75" hidden="false" customHeight="true" outlineLevel="0" collapsed="false">
      <c r="N263" s="1"/>
      <c r="O263" s="1"/>
      <c r="P263" s="1"/>
      <c r="Q263" s="1"/>
      <c r="R263" s="1"/>
      <c r="S263" s="1"/>
      <c r="T263" s="1"/>
      <c r="U263" s="1"/>
      <c r="V263" s="1"/>
      <c r="W263" s="1"/>
      <c r="X263" s="1"/>
      <c r="Y263" s="1"/>
      <c r="Z263" s="1"/>
    </row>
    <row r="264" customFormat="false" ht="15.75" hidden="false" customHeight="true" outlineLevel="0" collapsed="false">
      <c r="N264" s="1"/>
      <c r="O264" s="1"/>
      <c r="P264" s="1"/>
      <c r="Q264" s="1"/>
      <c r="R264" s="1"/>
      <c r="S264" s="1"/>
      <c r="T264" s="1"/>
      <c r="U264" s="1"/>
      <c r="V264" s="1"/>
      <c r="W264" s="1"/>
      <c r="X264" s="1"/>
      <c r="Y264" s="1"/>
      <c r="Z264" s="1"/>
    </row>
    <row r="265" customFormat="false" ht="15.75" hidden="false" customHeight="true" outlineLevel="0" collapsed="false">
      <c r="N265" s="1"/>
      <c r="O265" s="1"/>
      <c r="P265" s="1"/>
      <c r="Q265" s="1"/>
      <c r="R265" s="1"/>
      <c r="S265" s="1"/>
      <c r="T265" s="1"/>
      <c r="U265" s="1"/>
      <c r="V265" s="1"/>
      <c r="W265" s="1"/>
      <c r="X265" s="1"/>
      <c r="Y265" s="1"/>
      <c r="Z265" s="1"/>
    </row>
    <row r="266" customFormat="false" ht="15.75" hidden="false" customHeight="true" outlineLevel="0" collapsed="false">
      <c r="N266" s="1"/>
      <c r="O266" s="1"/>
      <c r="P266" s="1"/>
      <c r="Q266" s="1"/>
      <c r="R266" s="1"/>
      <c r="S266" s="1"/>
      <c r="T266" s="1"/>
      <c r="U266" s="1"/>
      <c r="V266" s="1"/>
      <c r="W266" s="1"/>
      <c r="X266" s="1"/>
      <c r="Y266" s="1"/>
      <c r="Z266" s="1"/>
    </row>
    <row r="267" customFormat="false" ht="15.75" hidden="false" customHeight="true" outlineLevel="0" collapsed="false">
      <c r="N267" s="1"/>
      <c r="O267" s="1"/>
      <c r="P267" s="1"/>
      <c r="Q267" s="1"/>
      <c r="R267" s="1"/>
      <c r="S267" s="1"/>
      <c r="T267" s="1"/>
      <c r="U267" s="1"/>
      <c r="V267" s="1"/>
      <c r="W267" s="1"/>
      <c r="X267" s="1"/>
      <c r="Y267" s="1"/>
      <c r="Z267" s="1"/>
    </row>
    <row r="268" customFormat="false" ht="15.75" hidden="false" customHeight="true" outlineLevel="0" collapsed="false">
      <c r="N268" s="1"/>
      <c r="O268" s="1"/>
      <c r="P268" s="1"/>
      <c r="Q268" s="1"/>
      <c r="R268" s="1"/>
      <c r="S268" s="1"/>
      <c r="T268" s="1"/>
      <c r="U268" s="1"/>
      <c r="V268" s="1"/>
      <c r="W268" s="1"/>
      <c r="X268" s="1"/>
      <c r="Y268" s="1"/>
      <c r="Z268" s="1"/>
    </row>
    <row r="269" customFormat="false" ht="15.75" hidden="false" customHeight="true" outlineLevel="0" collapsed="false">
      <c r="N269" s="1"/>
      <c r="O269" s="1"/>
      <c r="P269" s="1"/>
      <c r="Q269" s="1"/>
      <c r="R269" s="1"/>
      <c r="S269" s="1"/>
      <c r="T269" s="1"/>
      <c r="U269" s="1"/>
      <c r="V269" s="1"/>
      <c r="W269" s="1"/>
      <c r="X269" s="1"/>
      <c r="Y269" s="1"/>
      <c r="Z269" s="1"/>
    </row>
    <row r="270" customFormat="false" ht="15.75" hidden="false" customHeight="true" outlineLevel="0" collapsed="false">
      <c r="N270" s="1"/>
      <c r="O270" s="1"/>
      <c r="P270" s="1"/>
      <c r="Q270" s="1"/>
      <c r="R270" s="1"/>
      <c r="S270" s="1"/>
      <c r="T270" s="1"/>
      <c r="U270" s="1"/>
      <c r="V270" s="1"/>
      <c r="W270" s="1"/>
      <c r="X270" s="1"/>
      <c r="Y270" s="1"/>
      <c r="Z270" s="1"/>
    </row>
    <row r="271" customFormat="false" ht="15.75" hidden="false" customHeight="true" outlineLevel="0" collapsed="false">
      <c r="N271" s="1"/>
      <c r="O271" s="1"/>
      <c r="P271" s="1"/>
      <c r="Q271" s="1"/>
      <c r="R271" s="1"/>
      <c r="S271" s="1"/>
      <c r="T271" s="1"/>
      <c r="U271" s="1"/>
      <c r="V271" s="1"/>
      <c r="W271" s="1"/>
      <c r="X271" s="1"/>
      <c r="Y271" s="1"/>
      <c r="Z271" s="1"/>
    </row>
    <row r="272" customFormat="false" ht="15.75" hidden="false" customHeight="true" outlineLevel="0" collapsed="false">
      <c r="N272" s="1"/>
      <c r="O272" s="1"/>
      <c r="P272" s="1"/>
      <c r="Q272" s="1"/>
      <c r="R272" s="1"/>
      <c r="S272" s="1"/>
      <c r="T272" s="1"/>
      <c r="U272" s="1"/>
      <c r="V272" s="1"/>
      <c r="W272" s="1"/>
      <c r="X272" s="1"/>
      <c r="Y272" s="1"/>
      <c r="Z272" s="1"/>
    </row>
    <row r="273" customFormat="false" ht="15.75" hidden="false" customHeight="true" outlineLevel="0" collapsed="false">
      <c r="N273" s="1"/>
      <c r="O273" s="1"/>
      <c r="P273" s="1"/>
      <c r="Q273" s="1"/>
      <c r="R273" s="1"/>
      <c r="S273" s="1"/>
      <c r="T273" s="1"/>
      <c r="U273" s="1"/>
      <c r="V273" s="1"/>
      <c r="W273" s="1"/>
      <c r="X273" s="1"/>
      <c r="Y273" s="1"/>
      <c r="Z273" s="1"/>
    </row>
    <row r="274" customFormat="false" ht="15.75" hidden="false" customHeight="true" outlineLevel="0" collapsed="false">
      <c r="N274" s="1"/>
      <c r="O274" s="1"/>
      <c r="P274" s="1"/>
      <c r="Q274" s="1"/>
      <c r="R274" s="1"/>
      <c r="S274" s="1"/>
      <c r="T274" s="1"/>
      <c r="U274" s="1"/>
      <c r="V274" s="1"/>
      <c r="W274" s="1"/>
      <c r="X274" s="1"/>
      <c r="Y274" s="1"/>
      <c r="Z274" s="1"/>
    </row>
    <row r="275" customFormat="false" ht="15.75" hidden="false" customHeight="true" outlineLevel="0" collapsed="false">
      <c r="N275" s="1"/>
      <c r="O275" s="1"/>
      <c r="P275" s="1"/>
      <c r="Q275" s="1"/>
      <c r="R275" s="1"/>
      <c r="S275" s="1"/>
      <c r="T275" s="1"/>
      <c r="U275" s="1"/>
      <c r="V275" s="1"/>
      <c r="W275" s="1"/>
      <c r="X275" s="1"/>
      <c r="Y275" s="1"/>
      <c r="Z275" s="1"/>
    </row>
    <row r="276" customFormat="false" ht="15.75" hidden="false" customHeight="true" outlineLevel="0" collapsed="false">
      <c r="N276" s="1"/>
      <c r="O276" s="1"/>
      <c r="P276" s="1"/>
      <c r="Q276" s="1"/>
      <c r="R276" s="1"/>
      <c r="S276" s="1"/>
      <c r="T276" s="1"/>
      <c r="U276" s="1"/>
      <c r="V276" s="1"/>
      <c r="W276" s="1"/>
      <c r="X276" s="1"/>
      <c r="Y276" s="1"/>
      <c r="Z276" s="1"/>
    </row>
    <row r="277" customFormat="false" ht="15.75" hidden="false" customHeight="true" outlineLevel="0" collapsed="false">
      <c r="N277" s="1"/>
      <c r="O277" s="1"/>
      <c r="P277" s="1"/>
      <c r="Q277" s="1"/>
      <c r="R277" s="1"/>
      <c r="S277" s="1"/>
      <c r="T277" s="1"/>
      <c r="U277" s="1"/>
      <c r="V277" s="1"/>
      <c r="W277" s="1"/>
      <c r="X277" s="1"/>
      <c r="Y277" s="1"/>
      <c r="Z277" s="1"/>
    </row>
    <row r="278" customFormat="false" ht="15.75" hidden="false" customHeight="true" outlineLevel="0" collapsed="false">
      <c r="N278" s="1"/>
      <c r="O278" s="1"/>
      <c r="P278" s="1"/>
      <c r="Q278" s="1"/>
      <c r="R278" s="1"/>
      <c r="S278" s="1"/>
      <c r="T278" s="1"/>
      <c r="U278" s="1"/>
      <c r="V278" s="1"/>
      <c r="W278" s="1"/>
      <c r="X278" s="1"/>
      <c r="Y278" s="1"/>
      <c r="Z278" s="1"/>
    </row>
    <row r="279" customFormat="false" ht="15.75" hidden="false" customHeight="true" outlineLevel="0" collapsed="false">
      <c r="N279" s="1"/>
      <c r="O279" s="1"/>
      <c r="P279" s="1"/>
      <c r="Q279" s="1"/>
      <c r="R279" s="1"/>
      <c r="S279" s="1"/>
      <c r="T279" s="1"/>
      <c r="U279" s="1"/>
      <c r="V279" s="1"/>
      <c r="W279" s="1"/>
      <c r="X279" s="1"/>
      <c r="Y279" s="1"/>
      <c r="Z279" s="1"/>
    </row>
    <row r="280" customFormat="false" ht="15.75" hidden="false" customHeight="true" outlineLevel="0" collapsed="false">
      <c r="N280" s="1"/>
      <c r="O280" s="1"/>
      <c r="P280" s="1"/>
      <c r="Q280" s="1"/>
      <c r="R280" s="1"/>
      <c r="S280" s="1"/>
      <c r="T280" s="1"/>
      <c r="U280" s="1"/>
      <c r="V280" s="1"/>
      <c r="W280" s="1"/>
      <c r="X280" s="1"/>
      <c r="Y280" s="1"/>
      <c r="Z280" s="1"/>
    </row>
    <row r="281" customFormat="false" ht="15.75" hidden="false" customHeight="true" outlineLevel="0" collapsed="false">
      <c r="N281" s="1"/>
      <c r="O281" s="1"/>
      <c r="P281" s="1"/>
      <c r="Q281" s="1"/>
      <c r="R281" s="1"/>
      <c r="S281" s="1"/>
      <c r="T281" s="1"/>
      <c r="U281" s="1"/>
      <c r="V281" s="1"/>
      <c r="W281" s="1"/>
      <c r="X281" s="1"/>
      <c r="Y281" s="1"/>
      <c r="Z281" s="1"/>
    </row>
    <row r="282" customFormat="false" ht="15.75" hidden="false" customHeight="true" outlineLevel="0" collapsed="false">
      <c r="N282" s="1"/>
      <c r="O282" s="1"/>
      <c r="P282" s="1"/>
      <c r="Q282" s="1"/>
      <c r="R282" s="1"/>
      <c r="S282" s="1"/>
      <c r="T282" s="1"/>
      <c r="U282" s="1"/>
      <c r="V282" s="1"/>
      <c r="W282" s="1"/>
      <c r="X282" s="1"/>
      <c r="Y282" s="1"/>
      <c r="Z282" s="1"/>
    </row>
    <row r="283" customFormat="false" ht="15.75" hidden="false" customHeight="true" outlineLevel="0" collapsed="false">
      <c r="N283" s="1"/>
      <c r="O283" s="1"/>
      <c r="P283" s="1"/>
      <c r="Q283" s="1"/>
      <c r="R283" s="1"/>
      <c r="S283" s="1"/>
      <c r="T283" s="1"/>
      <c r="U283" s="1"/>
      <c r="V283" s="1"/>
      <c r="W283" s="1"/>
      <c r="X283" s="1"/>
      <c r="Y283" s="1"/>
      <c r="Z283" s="1"/>
    </row>
    <row r="284" customFormat="false" ht="15.75" hidden="false" customHeight="true" outlineLevel="0" collapsed="false">
      <c r="N284" s="1"/>
      <c r="O284" s="1"/>
      <c r="P284" s="1"/>
      <c r="Q284" s="1"/>
      <c r="R284" s="1"/>
      <c r="S284" s="1"/>
      <c r="T284" s="1"/>
      <c r="U284" s="1"/>
      <c r="V284" s="1"/>
      <c r="W284" s="1"/>
      <c r="X284" s="1"/>
      <c r="Y284" s="1"/>
      <c r="Z284" s="1"/>
    </row>
    <row r="285" customFormat="false" ht="15.75" hidden="false" customHeight="true" outlineLevel="0" collapsed="false">
      <c r="N285" s="1"/>
      <c r="O285" s="1"/>
      <c r="P285" s="1"/>
      <c r="Q285" s="1"/>
      <c r="R285" s="1"/>
      <c r="S285" s="1"/>
      <c r="T285" s="1"/>
      <c r="U285" s="1"/>
      <c r="V285" s="1"/>
      <c r="W285" s="1"/>
      <c r="X285" s="1"/>
      <c r="Y285" s="1"/>
      <c r="Z285" s="1"/>
    </row>
    <row r="286" customFormat="false" ht="15.75" hidden="false" customHeight="true" outlineLevel="0" collapsed="false">
      <c r="N286" s="1"/>
      <c r="O286" s="1"/>
      <c r="P286" s="1"/>
      <c r="Q286" s="1"/>
      <c r="R286" s="1"/>
      <c r="S286" s="1"/>
      <c r="T286" s="1"/>
      <c r="U286" s="1"/>
      <c r="V286" s="1"/>
      <c r="W286" s="1"/>
      <c r="X286" s="1"/>
      <c r="Y286" s="1"/>
      <c r="Z286" s="1"/>
    </row>
    <row r="287" customFormat="false" ht="15.75" hidden="false" customHeight="true" outlineLevel="0" collapsed="false">
      <c r="N287" s="1"/>
      <c r="O287" s="1"/>
      <c r="P287" s="1"/>
      <c r="Q287" s="1"/>
      <c r="R287" s="1"/>
      <c r="S287" s="1"/>
      <c r="T287" s="1"/>
      <c r="U287" s="1"/>
      <c r="V287" s="1"/>
      <c r="W287" s="1"/>
      <c r="X287" s="1"/>
      <c r="Y287" s="1"/>
      <c r="Z287" s="1"/>
    </row>
    <row r="288" customFormat="false" ht="15.75" hidden="false" customHeight="true" outlineLevel="0" collapsed="false">
      <c r="N288" s="1"/>
      <c r="O288" s="1"/>
      <c r="P288" s="1"/>
      <c r="Q288" s="1"/>
      <c r="R288" s="1"/>
      <c r="S288" s="1"/>
      <c r="T288" s="1"/>
      <c r="U288" s="1"/>
      <c r="V288" s="1"/>
      <c r="W288" s="1"/>
      <c r="X288" s="1"/>
      <c r="Y288" s="1"/>
      <c r="Z288" s="1"/>
    </row>
    <row r="289" customFormat="false" ht="15.75" hidden="false" customHeight="true" outlineLevel="0" collapsed="false">
      <c r="N289" s="1"/>
      <c r="O289" s="1"/>
      <c r="P289" s="1"/>
      <c r="Q289" s="1"/>
      <c r="R289" s="1"/>
      <c r="S289" s="1"/>
      <c r="T289" s="1"/>
      <c r="U289" s="1"/>
      <c r="V289" s="1"/>
      <c r="W289" s="1"/>
      <c r="X289" s="1"/>
      <c r="Y289" s="1"/>
      <c r="Z289" s="1"/>
    </row>
    <row r="290" customFormat="false" ht="15.75" hidden="false" customHeight="true" outlineLevel="0" collapsed="false">
      <c r="N290" s="1"/>
      <c r="O290" s="1"/>
      <c r="P290" s="1"/>
      <c r="Q290" s="1"/>
      <c r="R290" s="1"/>
      <c r="S290" s="1"/>
      <c r="T290" s="1"/>
      <c r="U290" s="1"/>
      <c r="V290" s="1"/>
      <c r="W290" s="1"/>
      <c r="X290" s="1"/>
      <c r="Y290" s="1"/>
      <c r="Z290" s="1"/>
    </row>
    <row r="291" customFormat="false" ht="15.75" hidden="false" customHeight="true" outlineLevel="0" collapsed="false">
      <c r="N291" s="1"/>
      <c r="O291" s="1"/>
      <c r="P291" s="1"/>
      <c r="Q291" s="1"/>
      <c r="R291" s="1"/>
      <c r="S291" s="1"/>
      <c r="T291" s="1"/>
      <c r="U291" s="1"/>
      <c r="V291" s="1"/>
      <c r="W291" s="1"/>
      <c r="X291" s="1"/>
      <c r="Y291" s="1"/>
      <c r="Z291" s="1"/>
    </row>
    <row r="292" customFormat="false" ht="15.75" hidden="false" customHeight="true" outlineLevel="0" collapsed="false">
      <c r="N292" s="1"/>
      <c r="O292" s="1"/>
      <c r="P292" s="1"/>
      <c r="Q292" s="1"/>
      <c r="R292" s="1"/>
      <c r="S292" s="1"/>
      <c r="T292" s="1"/>
      <c r="U292" s="1"/>
      <c r="V292" s="1"/>
      <c r="W292" s="1"/>
      <c r="X292" s="1"/>
      <c r="Y292" s="1"/>
      <c r="Z292" s="1"/>
    </row>
    <row r="293" customFormat="false" ht="15.75" hidden="false" customHeight="true" outlineLevel="0" collapsed="false">
      <c r="N293" s="1"/>
      <c r="O293" s="1"/>
      <c r="P293" s="1"/>
      <c r="Q293" s="1"/>
      <c r="R293" s="1"/>
      <c r="S293" s="1"/>
      <c r="T293" s="1"/>
      <c r="U293" s="1"/>
      <c r="V293" s="1"/>
      <c r="W293" s="1"/>
      <c r="X293" s="1"/>
      <c r="Y293" s="1"/>
      <c r="Z293" s="1"/>
    </row>
    <row r="294" customFormat="false" ht="15.75" hidden="false" customHeight="true" outlineLevel="0" collapsed="false">
      <c r="N294" s="1"/>
      <c r="O294" s="1"/>
      <c r="P294" s="1"/>
      <c r="Q294" s="1"/>
      <c r="R294" s="1"/>
      <c r="S294" s="1"/>
      <c r="T294" s="1"/>
      <c r="U294" s="1"/>
      <c r="V294" s="1"/>
      <c r="W294" s="1"/>
      <c r="X294" s="1"/>
      <c r="Y294" s="1"/>
      <c r="Z294" s="1"/>
    </row>
    <row r="295" customFormat="false" ht="15.75" hidden="false" customHeight="true" outlineLevel="0" collapsed="false">
      <c r="N295" s="1"/>
      <c r="O295" s="1"/>
      <c r="P295" s="1"/>
      <c r="Q295" s="1"/>
      <c r="R295" s="1"/>
      <c r="S295" s="1"/>
      <c r="T295" s="1"/>
      <c r="U295" s="1"/>
      <c r="V295" s="1"/>
      <c r="W295" s="1"/>
      <c r="X295" s="1"/>
      <c r="Y295" s="1"/>
      <c r="Z295" s="1"/>
    </row>
    <row r="296" customFormat="false" ht="15.75" hidden="false" customHeight="true" outlineLevel="0" collapsed="false">
      <c r="N296" s="1"/>
      <c r="O296" s="1"/>
      <c r="P296" s="1"/>
      <c r="Q296" s="1"/>
      <c r="R296" s="1"/>
      <c r="S296" s="1"/>
      <c r="T296" s="1"/>
      <c r="U296" s="1"/>
      <c r="V296" s="1"/>
      <c r="W296" s="1"/>
      <c r="X296" s="1"/>
      <c r="Y296" s="1"/>
      <c r="Z296" s="1"/>
    </row>
    <row r="297" customFormat="false" ht="15.75" hidden="false" customHeight="true" outlineLevel="0" collapsed="false">
      <c r="N297" s="1"/>
      <c r="O297" s="1"/>
      <c r="P297" s="1"/>
      <c r="Q297" s="1"/>
      <c r="R297" s="1"/>
      <c r="S297" s="1"/>
      <c r="T297" s="1"/>
      <c r="U297" s="1"/>
      <c r="V297" s="1"/>
      <c r="W297" s="1"/>
      <c r="X297" s="1"/>
      <c r="Y297" s="1"/>
      <c r="Z297" s="1"/>
    </row>
    <row r="298" customFormat="false" ht="15.75" hidden="false" customHeight="true" outlineLevel="0" collapsed="false">
      <c r="N298" s="1"/>
      <c r="O298" s="1"/>
      <c r="P298" s="1"/>
      <c r="Q298" s="1"/>
      <c r="R298" s="1"/>
      <c r="S298" s="1"/>
      <c r="T298" s="1"/>
      <c r="U298" s="1"/>
      <c r="V298" s="1"/>
      <c r="W298" s="1"/>
      <c r="X298" s="1"/>
      <c r="Y298" s="1"/>
      <c r="Z298" s="1"/>
    </row>
    <row r="299" customFormat="false" ht="15.75" hidden="false" customHeight="true" outlineLevel="0" collapsed="false">
      <c r="N299" s="1"/>
      <c r="O299" s="1"/>
      <c r="P299" s="1"/>
      <c r="Q299" s="1"/>
      <c r="R299" s="1"/>
      <c r="S299" s="1"/>
      <c r="T299" s="1"/>
      <c r="U299" s="1"/>
      <c r="V299" s="1"/>
      <c r="W299" s="1"/>
      <c r="X299" s="1"/>
      <c r="Y299" s="1"/>
      <c r="Z299" s="1"/>
    </row>
    <row r="300" customFormat="false" ht="15.75" hidden="false" customHeight="true" outlineLevel="0" collapsed="false">
      <c r="N300" s="1"/>
      <c r="O300" s="1"/>
      <c r="P300" s="1"/>
      <c r="Q300" s="1"/>
      <c r="R300" s="1"/>
      <c r="S300" s="1"/>
      <c r="T300" s="1"/>
      <c r="U300" s="1"/>
      <c r="V300" s="1"/>
      <c r="W300" s="1"/>
      <c r="X300" s="1"/>
      <c r="Y300" s="1"/>
      <c r="Z300" s="1"/>
    </row>
    <row r="301" customFormat="false" ht="15.75" hidden="false" customHeight="true" outlineLevel="0" collapsed="false">
      <c r="N301" s="1"/>
      <c r="O301" s="1"/>
      <c r="P301" s="1"/>
      <c r="Q301" s="1"/>
      <c r="R301" s="1"/>
      <c r="S301" s="1"/>
      <c r="T301" s="1"/>
      <c r="U301" s="1"/>
      <c r="V301" s="1"/>
      <c r="W301" s="1"/>
      <c r="X301" s="1"/>
      <c r="Y301" s="1"/>
      <c r="Z301" s="1"/>
    </row>
    <row r="302" customFormat="false" ht="15.75" hidden="false" customHeight="true" outlineLevel="0" collapsed="false">
      <c r="N302" s="1"/>
      <c r="O302" s="1"/>
      <c r="P302" s="1"/>
      <c r="Q302" s="1"/>
      <c r="R302" s="1"/>
      <c r="S302" s="1"/>
      <c r="T302" s="1"/>
      <c r="U302" s="1"/>
      <c r="V302" s="1"/>
      <c r="W302" s="1"/>
      <c r="X302" s="1"/>
      <c r="Y302" s="1"/>
      <c r="Z302" s="1"/>
    </row>
    <row r="303" customFormat="false" ht="15.75" hidden="false" customHeight="true" outlineLevel="0" collapsed="false">
      <c r="N303" s="1"/>
      <c r="O303" s="1"/>
      <c r="P303" s="1"/>
      <c r="Q303" s="1"/>
      <c r="R303" s="1"/>
      <c r="S303" s="1"/>
      <c r="T303" s="1"/>
      <c r="U303" s="1"/>
      <c r="V303" s="1"/>
      <c r="W303" s="1"/>
      <c r="X303" s="1"/>
      <c r="Y303" s="1"/>
      <c r="Z303" s="1"/>
    </row>
    <row r="304" customFormat="false" ht="15.75" hidden="false" customHeight="true" outlineLevel="0" collapsed="false">
      <c r="N304" s="1"/>
      <c r="O304" s="1"/>
      <c r="P304" s="1"/>
      <c r="Q304" s="1"/>
      <c r="R304" s="1"/>
      <c r="S304" s="1"/>
      <c r="T304" s="1"/>
      <c r="U304" s="1"/>
      <c r="V304" s="1"/>
      <c r="W304" s="1"/>
      <c r="X304" s="1"/>
      <c r="Y304" s="1"/>
      <c r="Z304" s="1"/>
    </row>
    <row r="305" customFormat="false" ht="15.75" hidden="false" customHeight="true" outlineLevel="0" collapsed="false">
      <c r="N305" s="1"/>
      <c r="O305" s="1"/>
      <c r="P305" s="1"/>
      <c r="Q305" s="1"/>
      <c r="R305" s="1"/>
      <c r="S305" s="1"/>
      <c r="T305" s="1"/>
      <c r="U305" s="1"/>
      <c r="V305" s="1"/>
      <c r="W305" s="1"/>
      <c r="X305" s="1"/>
      <c r="Y305" s="1"/>
      <c r="Z305" s="1"/>
    </row>
    <row r="306" customFormat="false" ht="15.75" hidden="false" customHeight="true" outlineLevel="0" collapsed="false">
      <c r="N306" s="1"/>
      <c r="O306" s="1"/>
      <c r="P306" s="1"/>
      <c r="Q306" s="1"/>
      <c r="R306" s="1"/>
      <c r="S306" s="1"/>
      <c r="T306" s="1"/>
      <c r="U306" s="1"/>
      <c r="V306" s="1"/>
      <c r="W306" s="1"/>
      <c r="X306" s="1"/>
      <c r="Y306" s="1"/>
      <c r="Z306" s="1"/>
    </row>
    <row r="307" customFormat="false" ht="15.75" hidden="false" customHeight="true" outlineLevel="0" collapsed="false">
      <c r="N307" s="1"/>
      <c r="O307" s="1"/>
      <c r="P307" s="1"/>
      <c r="Q307" s="1"/>
      <c r="R307" s="1"/>
      <c r="S307" s="1"/>
      <c r="T307" s="1"/>
      <c r="U307" s="1"/>
      <c r="V307" s="1"/>
      <c r="W307" s="1"/>
      <c r="X307" s="1"/>
      <c r="Y307" s="1"/>
      <c r="Z307" s="1"/>
    </row>
    <row r="308" customFormat="false" ht="15.75" hidden="false" customHeight="true" outlineLevel="0" collapsed="false">
      <c r="N308" s="1"/>
      <c r="O308" s="1"/>
      <c r="P308" s="1"/>
      <c r="Q308" s="1"/>
      <c r="R308" s="1"/>
      <c r="S308" s="1"/>
      <c r="T308" s="1"/>
      <c r="U308" s="1"/>
      <c r="V308" s="1"/>
      <c r="W308" s="1"/>
      <c r="X308" s="1"/>
      <c r="Y308" s="1"/>
      <c r="Z308" s="1"/>
    </row>
    <row r="309" customFormat="false" ht="15.75" hidden="false" customHeight="true" outlineLevel="0" collapsed="false">
      <c r="N309" s="1"/>
      <c r="O309" s="1"/>
      <c r="P309" s="1"/>
      <c r="Q309" s="1"/>
      <c r="R309" s="1"/>
      <c r="S309" s="1"/>
      <c r="T309" s="1"/>
      <c r="U309" s="1"/>
      <c r="V309" s="1"/>
      <c r="W309" s="1"/>
      <c r="X309" s="1"/>
      <c r="Y309" s="1"/>
      <c r="Z309" s="1"/>
    </row>
    <row r="310" customFormat="false" ht="15.75" hidden="false" customHeight="true" outlineLevel="0" collapsed="false">
      <c r="N310" s="1"/>
      <c r="O310" s="1"/>
      <c r="P310" s="1"/>
      <c r="Q310" s="1"/>
      <c r="R310" s="1"/>
      <c r="S310" s="1"/>
      <c r="T310" s="1"/>
      <c r="U310" s="1"/>
      <c r="V310" s="1"/>
      <c r="W310" s="1"/>
      <c r="X310" s="1"/>
      <c r="Y310" s="1"/>
      <c r="Z310" s="1"/>
    </row>
    <row r="311" customFormat="false" ht="15.75" hidden="false" customHeight="true" outlineLevel="0" collapsed="false">
      <c r="N311" s="1"/>
      <c r="O311" s="1"/>
      <c r="P311" s="1"/>
      <c r="Q311" s="1"/>
      <c r="R311" s="1"/>
      <c r="S311" s="1"/>
      <c r="T311" s="1"/>
      <c r="U311" s="1"/>
      <c r="V311" s="1"/>
      <c r="W311" s="1"/>
      <c r="X311" s="1"/>
      <c r="Y311" s="1"/>
      <c r="Z311" s="1"/>
    </row>
    <row r="312" customFormat="false" ht="15.75" hidden="false" customHeight="true" outlineLevel="0" collapsed="false">
      <c r="N312" s="1"/>
      <c r="O312" s="1"/>
      <c r="P312" s="1"/>
      <c r="Q312" s="1"/>
      <c r="R312" s="1"/>
      <c r="S312" s="1"/>
      <c r="T312" s="1"/>
      <c r="U312" s="1"/>
      <c r="V312" s="1"/>
      <c r="W312" s="1"/>
      <c r="X312" s="1"/>
      <c r="Y312" s="1"/>
      <c r="Z312" s="1"/>
    </row>
    <row r="313" customFormat="false" ht="15.75" hidden="false" customHeight="true" outlineLevel="0" collapsed="false">
      <c r="N313" s="1"/>
      <c r="O313" s="1"/>
      <c r="P313" s="1"/>
      <c r="Q313" s="1"/>
      <c r="R313" s="1"/>
      <c r="S313" s="1"/>
      <c r="T313" s="1"/>
      <c r="U313" s="1"/>
      <c r="V313" s="1"/>
      <c r="W313" s="1"/>
      <c r="X313" s="1"/>
      <c r="Y313" s="1"/>
      <c r="Z313" s="1"/>
    </row>
    <row r="314" customFormat="false" ht="15.75" hidden="false" customHeight="true" outlineLevel="0" collapsed="false">
      <c r="N314" s="1"/>
      <c r="O314" s="1"/>
      <c r="P314" s="1"/>
      <c r="Q314" s="1"/>
      <c r="R314" s="1"/>
      <c r="S314" s="1"/>
      <c r="T314" s="1"/>
      <c r="U314" s="1"/>
      <c r="V314" s="1"/>
      <c r="W314" s="1"/>
      <c r="X314" s="1"/>
      <c r="Y314" s="1"/>
      <c r="Z314" s="1"/>
    </row>
    <row r="315" customFormat="false" ht="15.75" hidden="false" customHeight="true" outlineLevel="0" collapsed="false">
      <c r="N315" s="1"/>
      <c r="O315" s="1"/>
      <c r="P315" s="1"/>
      <c r="Q315" s="1"/>
      <c r="R315" s="1"/>
      <c r="S315" s="1"/>
      <c r="T315" s="1"/>
      <c r="U315" s="1"/>
      <c r="V315" s="1"/>
      <c r="W315" s="1"/>
      <c r="X315" s="1"/>
      <c r="Y315" s="1"/>
      <c r="Z315" s="1"/>
    </row>
    <row r="316" customFormat="false" ht="15.75" hidden="false" customHeight="true" outlineLevel="0" collapsed="false">
      <c r="N316" s="1"/>
      <c r="O316" s="1"/>
      <c r="P316" s="1"/>
      <c r="Q316" s="1"/>
      <c r="R316" s="1"/>
      <c r="S316" s="1"/>
      <c r="T316" s="1"/>
      <c r="U316" s="1"/>
      <c r="V316" s="1"/>
      <c r="W316" s="1"/>
      <c r="X316" s="1"/>
      <c r="Y316" s="1"/>
      <c r="Z316" s="1"/>
    </row>
    <row r="317" customFormat="false" ht="15.75" hidden="false" customHeight="true" outlineLevel="0" collapsed="false">
      <c r="N317" s="1"/>
      <c r="O317" s="1"/>
      <c r="P317" s="1"/>
      <c r="Q317" s="1"/>
      <c r="R317" s="1"/>
      <c r="S317" s="1"/>
      <c r="T317" s="1"/>
      <c r="U317" s="1"/>
      <c r="V317" s="1"/>
      <c r="W317" s="1"/>
      <c r="X317" s="1"/>
      <c r="Y317" s="1"/>
      <c r="Z317" s="1"/>
    </row>
    <row r="318" customFormat="false" ht="15.75" hidden="false" customHeight="true" outlineLevel="0" collapsed="false">
      <c r="N318" s="1"/>
      <c r="O318" s="1"/>
      <c r="P318" s="1"/>
      <c r="Q318" s="1"/>
      <c r="R318" s="1"/>
      <c r="S318" s="1"/>
      <c r="T318" s="1"/>
      <c r="U318" s="1"/>
      <c r="V318" s="1"/>
      <c r="W318" s="1"/>
      <c r="X318" s="1"/>
      <c r="Y318" s="1"/>
      <c r="Z318" s="1"/>
    </row>
    <row r="319" customFormat="false" ht="15.75" hidden="false" customHeight="true" outlineLevel="0" collapsed="false">
      <c r="N319" s="1"/>
      <c r="O319" s="1"/>
      <c r="P319" s="1"/>
      <c r="Q319" s="1"/>
      <c r="R319" s="1"/>
      <c r="S319" s="1"/>
      <c r="T319" s="1"/>
      <c r="U319" s="1"/>
      <c r="V319" s="1"/>
      <c r="W319" s="1"/>
      <c r="X319" s="1"/>
      <c r="Y319" s="1"/>
      <c r="Z319" s="1"/>
    </row>
    <row r="320" customFormat="false" ht="15.75" hidden="false" customHeight="true" outlineLevel="0" collapsed="false">
      <c r="N320" s="1"/>
      <c r="O320" s="1"/>
      <c r="P320" s="1"/>
      <c r="Q320" s="1"/>
      <c r="R320" s="1"/>
      <c r="S320" s="1"/>
      <c r="T320" s="1"/>
      <c r="U320" s="1"/>
      <c r="V320" s="1"/>
      <c r="W320" s="1"/>
      <c r="X320" s="1"/>
      <c r="Y320" s="1"/>
      <c r="Z320" s="1"/>
    </row>
    <row r="321" customFormat="false" ht="15.75" hidden="false" customHeight="true" outlineLevel="0" collapsed="false">
      <c r="N321" s="1"/>
      <c r="O321" s="1"/>
      <c r="P321" s="1"/>
      <c r="Q321" s="1"/>
      <c r="R321" s="1"/>
      <c r="S321" s="1"/>
      <c r="T321" s="1"/>
      <c r="U321" s="1"/>
      <c r="V321" s="1"/>
      <c r="W321" s="1"/>
      <c r="X321" s="1"/>
      <c r="Y321" s="1"/>
      <c r="Z321" s="1"/>
    </row>
    <row r="322" customFormat="false" ht="15.75" hidden="false" customHeight="true" outlineLevel="0" collapsed="false">
      <c r="N322" s="1"/>
      <c r="O322" s="1"/>
      <c r="P322" s="1"/>
      <c r="Q322" s="1"/>
      <c r="R322" s="1"/>
      <c r="S322" s="1"/>
      <c r="T322" s="1"/>
      <c r="U322" s="1"/>
      <c r="V322" s="1"/>
      <c r="W322" s="1"/>
      <c r="X322" s="1"/>
      <c r="Y322" s="1"/>
      <c r="Z322" s="1"/>
    </row>
    <row r="323" customFormat="false" ht="15.75" hidden="false" customHeight="true" outlineLevel="0" collapsed="false">
      <c r="N323" s="1"/>
      <c r="O323" s="1"/>
      <c r="P323" s="1"/>
      <c r="Q323" s="1"/>
      <c r="R323" s="1"/>
      <c r="S323" s="1"/>
      <c r="T323" s="1"/>
      <c r="U323" s="1"/>
      <c r="V323" s="1"/>
      <c r="W323" s="1"/>
      <c r="X323" s="1"/>
      <c r="Y323" s="1"/>
      <c r="Z323" s="1"/>
    </row>
    <row r="324" customFormat="false" ht="15.75" hidden="false" customHeight="true" outlineLevel="0" collapsed="false">
      <c r="N324" s="1"/>
      <c r="O324" s="1"/>
      <c r="P324" s="1"/>
      <c r="Q324" s="1"/>
      <c r="R324" s="1"/>
      <c r="S324" s="1"/>
      <c r="T324" s="1"/>
      <c r="U324" s="1"/>
      <c r="V324" s="1"/>
      <c r="W324" s="1"/>
      <c r="X324" s="1"/>
      <c r="Y324" s="1"/>
      <c r="Z324" s="1"/>
    </row>
    <row r="325" customFormat="false" ht="15.75" hidden="false" customHeight="true" outlineLevel="0" collapsed="false">
      <c r="N325" s="1"/>
      <c r="O325" s="1"/>
      <c r="P325" s="1"/>
      <c r="Q325" s="1"/>
      <c r="R325" s="1"/>
      <c r="S325" s="1"/>
      <c r="T325" s="1"/>
      <c r="U325" s="1"/>
      <c r="V325" s="1"/>
      <c r="W325" s="1"/>
      <c r="X325" s="1"/>
      <c r="Y325" s="1"/>
      <c r="Z325" s="1"/>
    </row>
    <row r="326" customFormat="false" ht="15.75" hidden="false" customHeight="true" outlineLevel="0" collapsed="false">
      <c r="N326" s="1"/>
      <c r="O326" s="1"/>
      <c r="P326" s="1"/>
      <c r="Q326" s="1"/>
      <c r="R326" s="1"/>
      <c r="S326" s="1"/>
      <c r="T326" s="1"/>
      <c r="U326" s="1"/>
      <c r="V326" s="1"/>
      <c r="W326" s="1"/>
      <c r="X326" s="1"/>
      <c r="Y326" s="1"/>
      <c r="Z326" s="1"/>
    </row>
    <row r="327" customFormat="false" ht="15.75" hidden="false" customHeight="true" outlineLevel="0" collapsed="false">
      <c r="N327" s="1"/>
      <c r="O327" s="1"/>
      <c r="P327" s="1"/>
      <c r="Q327" s="1"/>
      <c r="R327" s="1"/>
      <c r="S327" s="1"/>
      <c r="T327" s="1"/>
      <c r="U327" s="1"/>
      <c r="V327" s="1"/>
      <c r="W327" s="1"/>
      <c r="X327" s="1"/>
      <c r="Y327" s="1"/>
      <c r="Z327" s="1"/>
    </row>
    <row r="328" customFormat="false" ht="15.75" hidden="false" customHeight="true" outlineLevel="0" collapsed="false">
      <c r="N328" s="1"/>
      <c r="O328" s="1"/>
      <c r="P328" s="1"/>
      <c r="Q328" s="1"/>
      <c r="R328" s="1"/>
      <c r="S328" s="1"/>
      <c r="T328" s="1"/>
      <c r="U328" s="1"/>
      <c r="V328" s="1"/>
      <c r="W328" s="1"/>
      <c r="X328" s="1"/>
      <c r="Y328" s="1"/>
      <c r="Z328" s="1"/>
    </row>
    <row r="329" customFormat="false" ht="15.75" hidden="false" customHeight="true" outlineLevel="0" collapsed="false">
      <c r="N329" s="1"/>
      <c r="O329" s="1"/>
      <c r="P329" s="1"/>
      <c r="Q329" s="1"/>
      <c r="R329" s="1"/>
      <c r="S329" s="1"/>
      <c r="T329" s="1"/>
      <c r="U329" s="1"/>
      <c r="V329" s="1"/>
      <c r="W329" s="1"/>
      <c r="X329" s="1"/>
      <c r="Y329" s="1"/>
      <c r="Z329" s="1"/>
    </row>
    <row r="330" customFormat="false" ht="15.75" hidden="false" customHeight="true" outlineLevel="0" collapsed="false">
      <c r="N330" s="1"/>
      <c r="O330" s="1"/>
      <c r="P330" s="1"/>
      <c r="Q330" s="1"/>
      <c r="R330" s="1"/>
      <c r="S330" s="1"/>
      <c r="T330" s="1"/>
      <c r="U330" s="1"/>
      <c r="V330" s="1"/>
      <c r="W330" s="1"/>
      <c r="X330" s="1"/>
      <c r="Y330" s="1"/>
      <c r="Z330" s="1"/>
    </row>
    <row r="331" customFormat="false" ht="15.75" hidden="false" customHeight="true" outlineLevel="0" collapsed="false">
      <c r="N331" s="1"/>
      <c r="O331" s="1"/>
      <c r="P331" s="1"/>
      <c r="Q331" s="1"/>
      <c r="R331" s="1"/>
      <c r="S331" s="1"/>
      <c r="T331" s="1"/>
      <c r="U331" s="1"/>
      <c r="V331" s="1"/>
      <c r="W331" s="1"/>
      <c r="X331" s="1"/>
      <c r="Y331" s="1"/>
      <c r="Z331" s="1"/>
    </row>
    <row r="332" customFormat="false" ht="15.75" hidden="false" customHeight="true" outlineLevel="0" collapsed="false">
      <c r="N332" s="1"/>
      <c r="O332" s="1"/>
      <c r="P332" s="1"/>
      <c r="Q332" s="1"/>
      <c r="R332" s="1"/>
      <c r="S332" s="1"/>
      <c r="T332" s="1"/>
      <c r="U332" s="1"/>
      <c r="V332" s="1"/>
      <c r="W332" s="1"/>
      <c r="X332" s="1"/>
      <c r="Y332" s="1"/>
      <c r="Z332" s="1"/>
    </row>
    <row r="333" customFormat="false" ht="15.75" hidden="false" customHeight="true" outlineLevel="0" collapsed="false">
      <c r="N333" s="1"/>
      <c r="O333" s="1"/>
      <c r="P333" s="1"/>
      <c r="Q333" s="1"/>
      <c r="R333" s="1"/>
      <c r="S333" s="1"/>
      <c r="T333" s="1"/>
      <c r="U333" s="1"/>
      <c r="V333" s="1"/>
      <c r="W333" s="1"/>
      <c r="X333" s="1"/>
      <c r="Y333" s="1"/>
      <c r="Z333" s="1"/>
    </row>
    <row r="334" customFormat="false" ht="15.75" hidden="false" customHeight="true" outlineLevel="0" collapsed="false">
      <c r="N334" s="1"/>
      <c r="O334" s="1"/>
      <c r="P334" s="1"/>
      <c r="Q334" s="1"/>
      <c r="R334" s="1"/>
      <c r="S334" s="1"/>
      <c r="T334" s="1"/>
      <c r="U334" s="1"/>
      <c r="V334" s="1"/>
      <c r="W334" s="1"/>
      <c r="X334" s="1"/>
      <c r="Y334" s="1"/>
      <c r="Z334" s="1"/>
    </row>
    <row r="335" customFormat="false" ht="15.75" hidden="false" customHeight="true" outlineLevel="0" collapsed="false">
      <c r="N335" s="1"/>
      <c r="O335" s="1"/>
      <c r="P335" s="1"/>
      <c r="Q335" s="1"/>
      <c r="R335" s="1"/>
      <c r="S335" s="1"/>
      <c r="T335" s="1"/>
      <c r="U335" s="1"/>
      <c r="V335" s="1"/>
      <c r="W335" s="1"/>
      <c r="X335" s="1"/>
      <c r="Y335" s="1"/>
      <c r="Z335" s="1"/>
    </row>
    <row r="336" customFormat="false" ht="15.75" hidden="false" customHeight="true" outlineLevel="0" collapsed="false">
      <c r="N336" s="1"/>
      <c r="O336" s="1"/>
      <c r="P336" s="1"/>
      <c r="Q336" s="1"/>
      <c r="R336" s="1"/>
      <c r="S336" s="1"/>
      <c r="T336" s="1"/>
      <c r="U336" s="1"/>
      <c r="V336" s="1"/>
      <c r="W336" s="1"/>
      <c r="X336" s="1"/>
      <c r="Y336" s="1"/>
      <c r="Z336" s="1"/>
    </row>
    <row r="337" customFormat="false" ht="15.75" hidden="false" customHeight="true" outlineLevel="0" collapsed="false">
      <c r="N337" s="1"/>
      <c r="O337" s="1"/>
      <c r="P337" s="1"/>
      <c r="Q337" s="1"/>
      <c r="R337" s="1"/>
      <c r="S337" s="1"/>
      <c r="T337" s="1"/>
      <c r="U337" s="1"/>
      <c r="V337" s="1"/>
      <c r="W337" s="1"/>
      <c r="X337" s="1"/>
      <c r="Y337" s="1"/>
      <c r="Z337" s="1"/>
    </row>
    <row r="338" customFormat="false" ht="15.75" hidden="false" customHeight="true" outlineLevel="0" collapsed="false">
      <c r="N338" s="1"/>
      <c r="O338" s="1"/>
      <c r="P338" s="1"/>
      <c r="Q338" s="1"/>
      <c r="R338" s="1"/>
      <c r="S338" s="1"/>
      <c r="T338" s="1"/>
      <c r="U338" s="1"/>
      <c r="V338" s="1"/>
      <c r="W338" s="1"/>
      <c r="X338" s="1"/>
      <c r="Y338" s="1"/>
      <c r="Z338" s="1"/>
    </row>
    <row r="339" customFormat="false" ht="15.75" hidden="false" customHeight="true" outlineLevel="0" collapsed="false">
      <c r="N339" s="1"/>
      <c r="O339" s="1"/>
      <c r="P339" s="1"/>
      <c r="Q339" s="1"/>
      <c r="R339" s="1"/>
      <c r="S339" s="1"/>
      <c r="T339" s="1"/>
      <c r="U339" s="1"/>
      <c r="V339" s="1"/>
      <c r="W339" s="1"/>
      <c r="X339" s="1"/>
      <c r="Y339" s="1"/>
      <c r="Z339" s="1"/>
    </row>
    <row r="340" customFormat="false" ht="15.75" hidden="false" customHeight="true" outlineLevel="0" collapsed="false">
      <c r="N340" s="1"/>
      <c r="O340" s="1"/>
      <c r="P340" s="1"/>
      <c r="Q340" s="1"/>
      <c r="R340" s="1"/>
      <c r="S340" s="1"/>
      <c r="T340" s="1"/>
      <c r="U340" s="1"/>
      <c r="V340" s="1"/>
      <c r="W340" s="1"/>
      <c r="X340" s="1"/>
      <c r="Y340" s="1"/>
      <c r="Z340" s="1"/>
    </row>
    <row r="341" customFormat="false" ht="15.75" hidden="false" customHeight="true" outlineLevel="0" collapsed="false">
      <c r="N341" s="1"/>
      <c r="O341" s="1"/>
      <c r="P341" s="1"/>
      <c r="Q341" s="1"/>
      <c r="R341" s="1"/>
      <c r="S341" s="1"/>
      <c r="T341" s="1"/>
      <c r="U341" s="1"/>
      <c r="V341" s="1"/>
      <c r="W341" s="1"/>
      <c r="X341" s="1"/>
      <c r="Y341" s="1"/>
      <c r="Z341" s="1"/>
    </row>
    <row r="342" customFormat="false" ht="15.75" hidden="false" customHeight="true" outlineLevel="0" collapsed="false">
      <c r="N342" s="1"/>
      <c r="O342" s="1"/>
      <c r="P342" s="1"/>
      <c r="Q342" s="1"/>
      <c r="R342" s="1"/>
      <c r="S342" s="1"/>
      <c r="T342" s="1"/>
      <c r="U342" s="1"/>
      <c r="V342" s="1"/>
      <c r="W342" s="1"/>
      <c r="X342" s="1"/>
      <c r="Y342" s="1"/>
      <c r="Z342" s="1"/>
    </row>
    <row r="343" customFormat="false" ht="15.75" hidden="false" customHeight="true" outlineLevel="0" collapsed="false">
      <c r="N343" s="1"/>
      <c r="O343" s="1"/>
      <c r="P343" s="1"/>
      <c r="Q343" s="1"/>
      <c r="R343" s="1"/>
      <c r="S343" s="1"/>
      <c r="T343" s="1"/>
      <c r="U343" s="1"/>
      <c r="V343" s="1"/>
      <c r="W343" s="1"/>
      <c r="X343" s="1"/>
      <c r="Y343" s="1"/>
      <c r="Z343" s="1"/>
    </row>
    <row r="344" customFormat="false" ht="15.75" hidden="false" customHeight="true" outlineLevel="0" collapsed="false">
      <c r="N344" s="1"/>
      <c r="O344" s="1"/>
      <c r="P344" s="1"/>
      <c r="Q344" s="1"/>
      <c r="R344" s="1"/>
      <c r="S344" s="1"/>
      <c r="T344" s="1"/>
      <c r="U344" s="1"/>
      <c r="V344" s="1"/>
      <c r="W344" s="1"/>
      <c r="X344" s="1"/>
      <c r="Y344" s="1"/>
      <c r="Z344" s="1"/>
    </row>
    <row r="345" customFormat="false" ht="15.75" hidden="false" customHeight="true" outlineLevel="0" collapsed="false">
      <c r="N345" s="1"/>
      <c r="O345" s="1"/>
      <c r="P345" s="1"/>
      <c r="Q345" s="1"/>
      <c r="R345" s="1"/>
      <c r="S345" s="1"/>
      <c r="T345" s="1"/>
      <c r="U345" s="1"/>
      <c r="V345" s="1"/>
      <c r="W345" s="1"/>
      <c r="X345" s="1"/>
      <c r="Y345" s="1"/>
      <c r="Z345" s="1"/>
    </row>
    <row r="346" customFormat="false" ht="15.75" hidden="false" customHeight="true" outlineLevel="0" collapsed="false">
      <c r="N346" s="1"/>
      <c r="O346" s="1"/>
      <c r="P346" s="1"/>
      <c r="Q346" s="1"/>
      <c r="R346" s="1"/>
      <c r="S346" s="1"/>
      <c r="T346" s="1"/>
      <c r="U346" s="1"/>
      <c r="V346" s="1"/>
      <c r="W346" s="1"/>
      <c r="X346" s="1"/>
      <c r="Y346" s="1"/>
      <c r="Z346" s="1"/>
    </row>
    <row r="347" customFormat="false" ht="15.75" hidden="false" customHeight="true" outlineLevel="0" collapsed="false">
      <c r="N347" s="1"/>
      <c r="O347" s="1"/>
      <c r="P347" s="1"/>
      <c r="Q347" s="1"/>
      <c r="R347" s="1"/>
      <c r="S347" s="1"/>
      <c r="T347" s="1"/>
      <c r="U347" s="1"/>
      <c r="V347" s="1"/>
      <c r="W347" s="1"/>
      <c r="X347" s="1"/>
      <c r="Y347" s="1"/>
      <c r="Z347" s="1"/>
    </row>
    <row r="348" customFormat="false" ht="15.75" hidden="false" customHeight="true" outlineLevel="0" collapsed="false">
      <c r="N348" s="1"/>
      <c r="O348" s="1"/>
      <c r="P348" s="1"/>
      <c r="Q348" s="1"/>
      <c r="R348" s="1"/>
      <c r="S348" s="1"/>
      <c r="T348" s="1"/>
      <c r="U348" s="1"/>
      <c r="V348" s="1"/>
      <c r="W348" s="1"/>
      <c r="X348" s="1"/>
      <c r="Y348" s="1"/>
      <c r="Z348" s="1"/>
    </row>
    <row r="349" customFormat="false" ht="15.75" hidden="false" customHeight="true" outlineLevel="0" collapsed="false">
      <c r="N349" s="1"/>
      <c r="O349" s="1"/>
      <c r="P349" s="1"/>
      <c r="Q349" s="1"/>
      <c r="R349" s="1"/>
      <c r="S349" s="1"/>
      <c r="T349" s="1"/>
      <c r="U349" s="1"/>
      <c r="V349" s="1"/>
      <c r="W349" s="1"/>
      <c r="X349" s="1"/>
      <c r="Y349" s="1"/>
      <c r="Z349" s="1"/>
    </row>
    <row r="350" customFormat="false" ht="15.75" hidden="false" customHeight="true" outlineLevel="0" collapsed="false">
      <c r="N350" s="1"/>
      <c r="O350" s="1"/>
      <c r="P350" s="1"/>
      <c r="Q350" s="1"/>
      <c r="R350" s="1"/>
      <c r="S350" s="1"/>
      <c r="T350" s="1"/>
      <c r="U350" s="1"/>
      <c r="V350" s="1"/>
      <c r="W350" s="1"/>
      <c r="X350" s="1"/>
      <c r="Y350" s="1"/>
      <c r="Z350" s="1"/>
    </row>
    <row r="351" customFormat="false" ht="15.75" hidden="false" customHeight="true" outlineLevel="0" collapsed="false">
      <c r="N351" s="1"/>
      <c r="O351" s="1"/>
      <c r="P351" s="1"/>
      <c r="Q351" s="1"/>
      <c r="R351" s="1"/>
      <c r="S351" s="1"/>
      <c r="T351" s="1"/>
      <c r="U351" s="1"/>
      <c r="V351" s="1"/>
      <c r="W351" s="1"/>
      <c r="X351" s="1"/>
      <c r="Y351" s="1"/>
      <c r="Z351" s="1"/>
    </row>
    <row r="352" customFormat="false" ht="15.75" hidden="false" customHeight="true" outlineLevel="0" collapsed="false">
      <c r="N352" s="1"/>
      <c r="O352" s="1"/>
      <c r="P352" s="1"/>
      <c r="Q352" s="1"/>
      <c r="R352" s="1"/>
      <c r="S352" s="1"/>
      <c r="T352" s="1"/>
      <c r="U352" s="1"/>
      <c r="V352" s="1"/>
      <c r="W352" s="1"/>
      <c r="X352" s="1"/>
      <c r="Y352" s="1"/>
      <c r="Z352" s="1"/>
    </row>
    <row r="353" customFormat="false" ht="15.75" hidden="false" customHeight="true" outlineLevel="0" collapsed="false">
      <c r="N353" s="1"/>
      <c r="O353" s="1"/>
      <c r="P353" s="1"/>
      <c r="Q353" s="1"/>
      <c r="R353" s="1"/>
      <c r="S353" s="1"/>
      <c r="T353" s="1"/>
      <c r="U353" s="1"/>
      <c r="V353" s="1"/>
      <c r="W353" s="1"/>
      <c r="X353" s="1"/>
      <c r="Y353" s="1"/>
      <c r="Z353" s="1"/>
    </row>
    <row r="354" customFormat="false" ht="15.75" hidden="false" customHeight="true" outlineLevel="0" collapsed="false">
      <c r="N354" s="1"/>
      <c r="O354" s="1"/>
      <c r="P354" s="1"/>
      <c r="Q354" s="1"/>
      <c r="R354" s="1"/>
      <c r="S354" s="1"/>
      <c r="T354" s="1"/>
      <c r="U354" s="1"/>
      <c r="V354" s="1"/>
      <c r="W354" s="1"/>
      <c r="X354" s="1"/>
      <c r="Y354" s="1"/>
      <c r="Z354" s="1"/>
    </row>
    <row r="355" customFormat="false" ht="15.75" hidden="false" customHeight="true" outlineLevel="0" collapsed="false">
      <c r="N355" s="1"/>
      <c r="O355" s="1"/>
      <c r="P355" s="1"/>
      <c r="Q355" s="1"/>
      <c r="R355" s="1"/>
      <c r="S355" s="1"/>
      <c r="T355" s="1"/>
      <c r="U355" s="1"/>
      <c r="V355" s="1"/>
      <c r="W355" s="1"/>
      <c r="X355" s="1"/>
      <c r="Y355" s="1"/>
      <c r="Z355" s="1"/>
    </row>
    <row r="356" customFormat="false" ht="15.75" hidden="false" customHeight="true" outlineLevel="0" collapsed="false">
      <c r="N356" s="1"/>
      <c r="O356" s="1"/>
      <c r="P356" s="1"/>
      <c r="Q356" s="1"/>
      <c r="R356" s="1"/>
      <c r="S356" s="1"/>
      <c r="T356" s="1"/>
      <c r="U356" s="1"/>
      <c r="V356" s="1"/>
      <c r="W356" s="1"/>
      <c r="X356" s="1"/>
      <c r="Y356" s="1"/>
      <c r="Z356" s="1"/>
    </row>
    <row r="357" customFormat="false" ht="15.75" hidden="false" customHeight="true" outlineLevel="0" collapsed="false">
      <c r="N357" s="1"/>
      <c r="O357" s="1"/>
      <c r="P357" s="1"/>
      <c r="Q357" s="1"/>
      <c r="R357" s="1"/>
      <c r="S357" s="1"/>
      <c r="T357" s="1"/>
      <c r="U357" s="1"/>
      <c r="V357" s="1"/>
      <c r="W357" s="1"/>
      <c r="X357" s="1"/>
      <c r="Y357" s="1"/>
      <c r="Z357" s="1"/>
    </row>
    <row r="358" customFormat="false" ht="15.75" hidden="false" customHeight="true" outlineLevel="0" collapsed="false">
      <c r="N358" s="1"/>
      <c r="O358" s="1"/>
      <c r="P358" s="1"/>
      <c r="Q358" s="1"/>
      <c r="R358" s="1"/>
      <c r="S358" s="1"/>
      <c r="T358" s="1"/>
      <c r="U358" s="1"/>
      <c r="V358" s="1"/>
      <c r="W358" s="1"/>
      <c r="X358" s="1"/>
      <c r="Y358" s="1"/>
      <c r="Z358" s="1"/>
    </row>
    <row r="359" customFormat="false" ht="15.75" hidden="false" customHeight="true" outlineLevel="0" collapsed="false">
      <c r="N359" s="1"/>
      <c r="O359" s="1"/>
      <c r="P359" s="1"/>
      <c r="Q359" s="1"/>
      <c r="R359" s="1"/>
      <c r="S359" s="1"/>
      <c r="T359" s="1"/>
      <c r="U359" s="1"/>
      <c r="V359" s="1"/>
      <c r="W359" s="1"/>
      <c r="X359" s="1"/>
      <c r="Y359" s="1"/>
      <c r="Z359" s="1"/>
    </row>
    <row r="360" customFormat="false" ht="15.75" hidden="false" customHeight="true" outlineLevel="0" collapsed="false">
      <c r="N360" s="1"/>
      <c r="O360" s="1"/>
      <c r="P360" s="1"/>
      <c r="Q360" s="1"/>
      <c r="R360" s="1"/>
      <c r="S360" s="1"/>
      <c r="T360" s="1"/>
      <c r="U360" s="1"/>
      <c r="V360" s="1"/>
      <c r="W360" s="1"/>
      <c r="X360" s="1"/>
      <c r="Y360" s="1"/>
      <c r="Z360" s="1"/>
    </row>
    <row r="361" customFormat="false" ht="15.75" hidden="false" customHeight="true" outlineLevel="0" collapsed="false">
      <c r="N361" s="1"/>
      <c r="O361" s="1"/>
      <c r="P361" s="1"/>
      <c r="Q361" s="1"/>
      <c r="R361" s="1"/>
      <c r="S361" s="1"/>
      <c r="T361" s="1"/>
      <c r="U361" s="1"/>
      <c r="V361" s="1"/>
      <c r="W361" s="1"/>
      <c r="X361" s="1"/>
      <c r="Y361" s="1"/>
      <c r="Z361" s="1"/>
    </row>
    <row r="362" customFormat="false" ht="15.75" hidden="false" customHeight="true" outlineLevel="0" collapsed="false">
      <c r="N362" s="1"/>
      <c r="O362" s="1"/>
      <c r="P362" s="1"/>
      <c r="Q362" s="1"/>
      <c r="R362" s="1"/>
      <c r="S362" s="1"/>
      <c r="T362" s="1"/>
      <c r="U362" s="1"/>
      <c r="V362" s="1"/>
      <c r="W362" s="1"/>
      <c r="X362" s="1"/>
      <c r="Y362" s="1"/>
      <c r="Z362" s="1"/>
    </row>
    <row r="363" customFormat="false" ht="15.75" hidden="false" customHeight="true" outlineLevel="0" collapsed="false">
      <c r="N363" s="1"/>
      <c r="O363" s="1"/>
      <c r="P363" s="1"/>
      <c r="Q363" s="1"/>
      <c r="R363" s="1"/>
      <c r="S363" s="1"/>
      <c r="T363" s="1"/>
      <c r="U363" s="1"/>
      <c r="V363" s="1"/>
      <c r="W363" s="1"/>
      <c r="X363" s="1"/>
      <c r="Y363" s="1"/>
      <c r="Z363" s="1"/>
    </row>
    <row r="364" customFormat="false" ht="15.75" hidden="false" customHeight="true" outlineLevel="0" collapsed="false">
      <c r="N364" s="1"/>
      <c r="O364" s="1"/>
      <c r="P364" s="1"/>
      <c r="Q364" s="1"/>
      <c r="R364" s="1"/>
      <c r="S364" s="1"/>
      <c r="T364" s="1"/>
      <c r="U364" s="1"/>
      <c r="V364" s="1"/>
      <c r="W364" s="1"/>
      <c r="X364" s="1"/>
      <c r="Y364" s="1"/>
      <c r="Z364" s="1"/>
    </row>
    <row r="365" customFormat="false" ht="15.75" hidden="false" customHeight="true" outlineLevel="0" collapsed="false">
      <c r="N365" s="1"/>
      <c r="O365" s="1"/>
      <c r="P365" s="1"/>
      <c r="Q365" s="1"/>
      <c r="R365" s="1"/>
      <c r="S365" s="1"/>
      <c r="T365" s="1"/>
      <c r="U365" s="1"/>
      <c r="V365" s="1"/>
      <c r="W365" s="1"/>
      <c r="X365" s="1"/>
      <c r="Y365" s="1"/>
      <c r="Z365" s="1"/>
    </row>
    <row r="366" customFormat="false" ht="15.75" hidden="false" customHeight="true" outlineLevel="0" collapsed="false">
      <c r="N366" s="1"/>
      <c r="O366" s="1"/>
      <c r="P366" s="1"/>
      <c r="Q366" s="1"/>
      <c r="R366" s="1"/>
      <c r="S366" s="1"/>
      <c r="T366" s="1"/>
      <c r="U366" s="1"/>
      <c r="V366" s="1"/>
      <c r="W366" s="1"/>
      <c r="X366" s="1"/>
      <c r="Y366" s="1"/>
      <c r="Z366" s="1"/>
    </row>
    <row r="367" customFormat="false" ht="15.75" hidden="false" customHeight="true" outlineLevel="0" collapsed="false">
      <c r="N367" s="1"/>
      <c r="O367" s="1"/>
      <c r="P367" s="1"/>
      <c r="Q367" s="1"/>
      <c r="R367" s="1"/>
      <c r="S367" s="1"/>
      <c r="T367" s="1"/>
      <c r="U367" s="1"/>
      <c r="V367" s="1"/>
      <c r="W367" s="1"/>
      <c r="X367" s="1"/>
      <c r="Y367" s="1"/>
      <c r="Z367" s="1"/>
    </row>
    <row r="368" customFormat="false" ht="15.75" hidden="false" customHeight="true" outlineLevel="0" collapsed="false">
      <c r="N368" s="1"/>
      <c r="O368" s="1"/>
      <c r="P368" s="1"/>
      <c r="Q368" s="1"/>
      <c r="R368" s="1"/>
      <c r="S368" s="1"/>
      <c r="T368" s="1"/>
      <c r="U368" s="1"/>
      <c r="V368" s="1"/>
      <c r="W368" s="1"/>
      <c r="X368" s="1"/>
      <c r="Y368" s="1"/>
      <c r="Z368" s="1"/>
    </row>
    <row r="369" customFormat="false" ht="15.75" hidden="false" customHeight="true" outlineLevel="0" collapsed="false">
      <c r="N369" s="1"/>
      <c r="O369" s="1"/>
      <c r="P369" s="1"/>
      <c r="Q369" s="1"/>
      <c r="R369" s="1"/>
      <c r="S369" s="1"/>
      <c r="T369" s="1"/>
      <c r="U369" s="1"/>
      <c r="V369" s="1"/>
      <c r="W369" s="1"/>
      <c r="X369" s="1"/>
      <c r="Y369" s="1"/>
      <c r="Z369" s="1"/>
    </row>
    <row r="370" customFormat="false" ht="15.75" hidden="false" customHeight="true" outlineLevel="0" collapsed="false">
      <c r="N370" s="1"/>
      <c r="O370" s="1"/>
      <c r="P370" s="1"/>
      <c r="Q370" s="1"/>
      <c r="R370" s="1"/>
      <c r="S370" s="1"/>
      <c r="T370" s="1"/>
      <c r="U370" s="1"/>
      <c r="V370" s="1"/>
      <c r="W370" s="1"/>
      <c r="X370" s="1"/>
      <c r="Y370" s="1"/>
      <c r="Z370" s="1"/>
    </row>
    <row r="371" customFormat="false" ht="15.75" hidden="false" customHeight="true" outlineLevel="0" collapsed="false">
      <c r="N371" s="1"/>
      <c r="O371" s="1"/>
      <c r="P371" s="1"/>
      <c r="Q371" s="1"/>
      <c r="R371" s="1"/>
      <c r="S371" s="1"/>
      <c r="T371" s="1"/>
      <c r="U371" s="1"/>
      <c r="V371" s="1"/>
      <c r="W371" s="1"/>
      <c r="X371" s="1"/>
      <c r="Y371" s="1"/>
      <c r="Z371" s="1"/>
    </row>
    <row r="372" customFormat="false" ht="15.75" hidden="false" customHeight="true" outlineLevel="0" collapsed="false">
      <c r="N372" s="1"/>
      <c r="O372" s="1"/>
      <c r="P372" s="1"/>
      <c r="Q372" s="1"/>
      <c r="R372" s="1"/>
      <c r="S372" s="1"/>
      <c r="T372" s="1"/>
      <c r="U372" s="1"/>
      <c r="V372" s="1"/>
      <c r="W372" s="1"/>
      <c r="X372" s="1"/>
      <c r="Y372" s="1"/>
      <c r="Z372" s="1"/>
    </row>
    <row r="373" customFormat="false" ht="15.75" hidden="false" customHeight="true" outlineLevel="0" collapsed="false">
      <c r="N373" s="1"/>
      <c r="O373" s="1"/>
      <c r="P373" s="1"/>
      <c r="Q373" s="1"/>
      <c r="R373" s="1"/>
      <c r="S373" s="1"/>
      <c r="T373" s="1"/>
      <c r="U373" s="1"/>
      <c r="V373" s="1"/>
      <c r="W373" s="1"/>
      <c r="X373" s="1"/>
      <c r="Y373" s="1"/>
      <c r="Z373" s="1"/>
    </row>
    <row r="374" customFormat="false" ht="15.75" hidden="false" customHeight="true" outlineLevel="0" collapsed="false">
      <c r="N374" s="1"/>
      <c r="O374" s="1"/>
      <c r="P374" s="1"/>
      <c r="Q374" s="1"/>
      <c r="R374" s="1"/>
      <c r="S374" s="1"/>
      <c r="T374" s="1"/>
      <c r="U374" s="1"/>
      <c r="V374" s="1"/>
      <c r="W374" s="1"/>
      <c r="X374" s="1"/>
      <c r="Y374" s="1"/>
      <c r="Z374" s="1"/>
    </row>
    <row r="375" customFormat="false" ht="15.75" hidden="false" customHeight="true" outlineLevel="0" collapsed="false">
      <c r="N375" s="1"/>
      <c r="O375" s="1"/>
      <c r="P375" s="1"/>
      <c r="Q375" s="1"/>
      <c r="R375" s="1"/>
      <c r="S375" s="1"/>
      <c r="T375" s="1"/>
      <c r="U375" s="1"/>
      <c r="V375" s="1"/>
      <c r="W375" s="1"/>
      <c r="X375" s="1"/>
      <c r="Y375" s="1"/>
      <c r="Z375" s="1"/>
    </row>
    <row r="376" customFormat="false" ht="15.75" hidden="false" customHeight="true" outlineLevel="0" collapsed="false">
      <c r="N376" s="1"/>
      <c r="O376" s="1"/>
      <c r="P376" s="1"/>
      <c r="Q376" s="1"/>
      <c r="R376" s="1"/>
      <c r="S376" s="1"/>
      <c r="T376" s="1"/>
      <c r="U376" s="1"/>
      <c r="V376" s="1"/>
      <c r="W376" s="1"/>
      <c r="X376" s="1"/>
      <c r="Y376" s="1"/>
      <c r="Z376" s="1"/>
    </row>
    <row r="377" customFormat="false" ht="15.75" hidden="false" customHeight="true" outlineLevel="0" collapsed="false">
      <c r="N377" s="1"/>
      <c r="O377" s="1"/>
      <c r="P377" s="1"/>
      <c r="Q377" s="1"/>
      <c r="R377" s="1"/>
      <c r="S377" s="1"/>
      <c r="T377" s="1"/>
      <c r="U377" s="1"/>
      <c r="V377" s="1"/>
      <c r="W377" s="1"/>
      <c r="X377" s="1"/>
      <c r="Y377" s="1"/>
      <c r="Z377" s="1"/>
    </row>
    <row r="378" customFormat="false" ht="15.75" hidden="false" customHeight="true" outlineLevel="0" collapsed="false">
      <c r="N378" s="1"/>
      <c r="O378" s="1"/>
      <c r="P378" s="1"/>
      <c r="Q378" s="1"/>
      <c r="R378" s="1"/>
      <c r="S378" s="1"/>
      <c r="T378" s="1"/>
      <c r="U378" s="1"/>
      <c r="V378" s="1"/>
      <c r="W378" s="1"/>
      <c r="X378" s="1"/>
      <c r="Y378" s="1"/>
      <c r="Z378" s="1"/>
    </row>
    <row r="379" customFormat="false" ht="15.75" hidden="false" customHeight="true" outlineLevel="0" collapsed="false">
      <c r="N379" s="1"/>
      <c r="O379" s="1"/>
      <c r="P379" s="1"/>
      <c r="Q379" s="1"/>
      <c r="R379" s="1"/>
      <c r="S379" s="1"/>
      <c r="T379" s="1"/>
      <c r="U379" s="1"/>
      <c r="V379" s="1"/>
      <c r="W379" s="1"/>
      <c r="X379" s="1"/>
      <c r="Y379" s="1"/>
      <c r="Z379" s="1"/>
    </row>
    <row r="380" customFormat="false" ht="15.75" hidden="false" customHeight="true" outlineLevel="0" collapsed="false">
      <c r="N380" s="1"/>
      <c r="O380" s="1"/>
      <c r="P380" s="1"/>
      <c r="Q380" s="1"/>
      <c r="R380" s="1"/>
      <c r="S380" s="1"/>
      <c r="T380" s="1"/>
      <c r="U380" s="1"/>
      <c r="V380" s="1"/>
      <c r="W380" s="1"/>
      <c r="X380" s="1"/>
      <c r="Y380" s="1"/>
      <c r="Z380" s="1"/>
    </row>
    <row r="381" customFormat="false" ht="15.75" hidden="false" customHeight="true" outlineLevel="0" collapsed="false">
      <c r="N381" s="1"/>
      <c r="O381" s="1"/>
      <c r="P381" s="1"/>
      <c r="Q381" s="1"/>
      <c r="R381" s="1"/>
      <c r="S381" s="1"/>
      <c r="T381" s="1"/>
      <c r="U381" s="1"/>
      <c r="V381" s="1"/>
      <c r="W381" s="1"/>
      <c r="X381" s="1"/>
      <c r="Y381" s="1"/>
      <c r="Z381" s="1"/>
    </row>
    <row r="382" customFormat="false" ht="15.75" hidden="false" customHeight="true" outlineLevel="0" collapsed="false">
      <c r="N382" s="1"/>
      <c r="O382" s="1"/>
      <c r="P382" s="1"/>
      <c r="Q382" s="1"/>
      <c r="R382" s="1"/>
      <c r="S382" s="1"/>
      <c r="T382" s="1"/>
      <c r="U382" s="1"/>
      <c r="V382" s="1"/>
      <c r="W382" s="1"/>
      <c r="X382" s="1"/>
      <c r="Y382" s="1"/>
      <c r="Z382" s="1"/>
    </row>
    <row r="383" customFormat="false" ht="15.75" hidden="false" customHeight="true" outlineLevel="0" collapsed="false">
      <c r="N383" s="1"/>
      <c r="O383" s="1"/>
      <c r="P383" s="1"/>
      <c r="Q383" s="1"/>
      <c r="R383" s="1"/>
      <c r="S383" s="1"/>
      <c r="T383" s="1"/>
      <c r="U383" s="1"/>
      <c r="V383" s="1"/>
      <c r="W383" s="1"/>
      <c r="X383" s="1"/>
      <c r="Y383" s="1"/>
      <c r="Z383" s="1"/>
    </row>
    <row r="384" customFormat="false" ht="15.75" hidden="false" customHeight="true" outlineLevel="0" collapsed="false">
      <c r="N384" s="1"/>
      <c r="O384" s="1"/>
      <c r="P384" s="1"/>
      <c r="Q384" s="1"/>
      <c r="R384" s="1"/>
      <c r="S384" s="1"/>
      <c r="T384" s="1"/>
      <c r="U384" s="1"/>
      <c r="V384" s="1"/>
      <c r="W384" s="1"/>
      <c r="X384" s="1"/>
      <c r="Y384" s="1"/>
      <c r="Z384" s="1"/>
    </row>
    <row r="385" customFormat="false" ht="15.75" hidden="false" customHeight="true" outlineLevel="0" collapsed="false">
      <c r="N385" s="1"/>
      <c r="O385" s="1"/>
      <c r="P385" s="1"/>
      <c r="Q385" s="1"/>
      <c r="R385" s="1"/>
      <c r="S385" s="1"/>
      <c r="T385" s="1"/>
      <c r="U385" s="1"/>
      <c r="V385" s="1"/>
      <c r="W385" s="1"/>
      <c r="X385" s="1"/>
      <c r="Y385" s="1"/>
      <c r="Z385" s="1"/>
    </row>
    <row r="386" customFormat="false" ht="15.75" hidden="false" customHeight="true" outlineLevel="0" collapsed="false">
      <c r="N386" s="1"/>
      <c r="O386" s="1"/>
      <c r="P386" s="1"/>
      <c r="Q386" s="1"/>
      <c r="R386" s="1"/>
      <c r="S386" s="1"/>
      <c r="T386" s="1"/>
      <c r="U386" s="1"/>
      <c r="V386" s="1"/>
      <c r="W386" s="1"/>
      <c r="X386" s="1"/>
      <c r="Y386" s="1"/>
      <c r="Z386" s="1"/>
    </row>
    <row r="387" customFormat="false" ht="15.75" hidden="false" customHeight="true" outlineLevel="0" collapsed="false">
      <c r="N387" s="1"/>
      <c r="O387" s="1"/>
      <c r="P387" s="1"/>
      <c r="Q387" s="1"/>
      <c r="R387" s="1"/>
      <c r="S387" s="1"/>
      <c r="T387" s="1"/>
      <c r="U387" s="1"/>
      <c r="V387" s="1"/>
      <c r="W387" s="1"/>
      <c r="X387" s="1"/>
      <c r="Y387" s="1"/>
      <c r="Z387" s="1"/>
    </row>
    <row r="388" customFormat="false" ht="15.75" hidden="false" customHeight="true" outlineLevel="0" collapsed="false">
      <c r="N388" s="1"/>
      <c r="O388" s="1"/>
      <c r="P388" s="1"/>
      <c r="Q388" s="1"/>
      <c r="R388" s="1"/>
      <c r="S388" s="1"/>
      <c r="T388" s="1"/>
      <c r="U388" s="1"/>
      <c r="V388" s="1"/>
      <c r="W388" s="1"/>
      <c r="X388" s="1"/>
      <c r="Y388" s="1"/>
      <c r="Z388" s="1"/>
    </row>
    <row r="389" customFormat="false" ht="15.75" hidden="false" customHeight="true" outlineLevel="0" collapsed="false">
      <c r="N389" s="1"/>
      <c r="O389" s="1"/>
      <c r="P389" s="1"/>
      <c r="Q389" s="1"/>
      <c r="R389" s="1"/>
      <c r="S389" s="1"/>
      <c r="T389" s="1"/>
      <c r="U389" s="1"/>
      <c r="V389" s="1"/>
      <c r="W389" s="1"/>
      <c r="X389" s="1"/>
      <c r="Y389" s="1"/>
      <c r="Z389" s="1"/>
    </row>
    <row r="390" customFormat="false" ht="15.75" hidden="false" customHeight="true" outlineLevel="0" collapsed="false">
      <c r="N390" s="1"/>
      <c r="O390" s="1"/>
      <c r="P390" s="1"/>
      <c r="Q390" s="1"/>
      <c r="R390" s="1"/>
      <c r="S390" s="1"/>
      <c r="T390" s="1"/>
      <c r="U390" s="1"/>
      <c r="V390" s="1"/>
      <c r="W390" s="1"/>
      <c r="X390" s="1"/>
      <c r="Y390" s="1"/>
      <c r="Z390" s="1"/>
    </row>
    <row r="391" customFormat="false" ht="15.75" hidden="false" customHeight="true" outlineLevel="0" collapsed="false">
      <c r="N391" s="1"/>
      <c r="O391" s="1"/>
      <c r="P391" s="1"/>
      <c r="Q391" s="1"/>
      <c r="R391" s="1"/>
      <c r="S391" s="1"/>
      <c r="T391" s="1"/>
      <c r="U391" s="1"/>
      <c r="V391" s="1"/>
      <c r="W391" s="1"/>
      <c r="X391" s="1"/>
      <c r="Y391" s="1"/>
      <c r="Z391" s="1"/>
    </row>
    <row r="392" customFormat="false" ht="15.75" hidden="false" customHeight="true" outlineLevel="0" collapsed="false">
      <c r="N392" s="1"/>
      <c r="O392" s="1"/>
      <c r="P392" s="1"/>
      <c r="Q392" s="1"/>
      <c r="R392" s="1"/>
      <c r="S392" s="1"/>
      <c r="T392" s="1"/>
      <c r="U392" s="1"/>
      <c r="V392" s="1"/>
      <c r="W392" s="1"/>
      <c r="X392" s="1"/>
      <c r="Y392" s="1"/>
      <c r="Z392" s="1"/>
    </row>
    <row r="393" customFormat="false" ht="15.75" hidden="false" customHeight="true" outlineLevel="0" collapsed="false">
      <c r="N393" s="1"/>
      <c r="O393" s="1"/>
      <c r="P393" s="1"/>
      <c r="Q393" s="1"/>
      <c r="R393" s="1"/>
      <c r="S393" s="1"/>
      <c r="T393" s="1"/>
      <c r="U393" s="1"/>
      <c r="V393" s="1"/>
      <c r="W393" s="1"/>
      <c r="X393" s="1"/>
      <c r="Y393" s="1"/>
      <c r="Z393" s="1"/>
    </row>
    <row r="394" customFormat="false" ht="15.75" hidden="false" customHeight="true" outlineLevel="0" collapsed="false">
      <c r="N394" s="1"/>
      <c r="O394" s="1"/>
      <c r="P394" s="1"/>
      <c r="Q394" s="1"/>
      <c r="R394" s="1"/>
      <c r="S394" s="1"/>
      <c r="T394" s="1"/>
      <c r="U394" s="1"/>
      <c r="V394" s="1"/>
      <c r="W394" s="1"/>
      <c r="X394" s="1"/>
      <c r="Y394" s="1"/>
      <c r="Z394" s="1"/>
    </row>
    <row r="395" customFormat="false" ht="15.75" hidden="false" customHeight="true" outlineLevel="0" collapsed="false">
      <c r="N395" s="1"/>
      <c r="O395" s="1"/>
      <c r="P395" s="1"/>
      <c r="Q395" s="1"/>
      <c r="R395" s="1"/>
      <c r="S395" s="1"/>
      <c r="T395" s="1"/>
      <c r="U395" s="1"/>
      <c r="V395" s="1"/>
      <c r="W395" s="1"/>
      <c r="X395" s="1"/>
      <c r="Y395" s="1"/>
      <c r="Z395" s="1"/>
    </row>
    <row r="396" customFormat="false" ht="15.75" hidden="false" customHeight="true" outlineLevel="0" collapsed="false">
      <c r="N396" s="1"/>
      <c r="O396" s="1"/>
      <c r="P396" s="1"/>
      <c r="Q396" s="1"/>
      <c r="R396" s="1"/>
      <c r="S396" s="1"/>
      <c r="T396" s="1"/>
      <c r="U396" s="1"/>
      <c r="V396" s="1"/>
      <c r="W396" s="1"/>
      <c r="X396" s="1"/>
      <c r="Y396" s="1"/>
      <c r="Z396" s="1"/>
    </row>
    <row r="397" customFormat="false" ht="15.75" hidden="false" customHeight="true" outlineLevel="0" collapsed="false">
      <c r="N397" s="1"/>
      <c r="O397" s="1"/>
      <c r="P397" s="1"/>
      <c r="Q397" s="1"/>
      <c r="R397" s="1"/>
      <c r="S397" s="1"/>
      <c r="T397" s="1"/>
      <c r="U397" s="1"/>
      <c r="V397" s="1"/>
      <c r="W397" s="1"/>
      <c r="X397" s="1"/>
      <c r="Y397" s="1"/>
      <c r="Z397" s="1"/>
    </row>
    <row r="398" customFormat="false" ht="15.75" hidden="false" customHeight="true" outlineLevel="0" collapsed="false">
      <c r="N398" s="1"/>
      <c r="O398" s="1"/>
      <c r="P398" s="1"/>
      <c r="Q398" s="1"/>
      <c r="R398" s="1"/>
      <c r="S398" s="1"/>
      <c r="T398" s="1"/>
      <c r="U398" s="1"/>
      <c r="V398" s="1"/>
      <c r="W398" s="1"/>
      <c r="X398" s="1"/>
      <c r="Y398" s="1"/>
      <c r="Z398" s="1"/>
    </row>
    <row r="399" customFormat="false" ht="15.75" hidden="false" customHeight="true" outlineLevel="0" collapsed="false">
      <c r="N399" s="1"/>
      <c r="O399" s="1"/>
      <c r="P399" s="1"/>
      <c r="Q399" s="1"/>
      <c r="R399" s="1"/>
      <c r="S399" s="1"/>
      <c r="T399" s="1"/>
      <c r="U399" s="1"/>
      <c r="V399" s="1"/>
      <c r="W399" s="1"/>
      <c r="X399" s="1"/>
      <c r="Y399" s="1"/>
      <c r="Z399" s="1"/>
    </row>
    <row r="400" customFormat="false" ht="15.75" hidden="false" customHeight="true" outlineLevel="0" collapsed="false">
      <c r="N400" s="1"/>
      <c r="O400" s="1"/>
      <c r="P400" s="1"/>
      <c r="Q400" s="1"/>
      <c r="R400" s="1"/>
      <c r="S400" s="1"/>
      <c r="T400" s="1"/>
      <c r="U400" s="1"/>
      <c r="V400" s="1"/>
      <c r="W400" s="1"/>
      <c r="X400" s="1"/>
      <c r="Y400" s="1"/>
      <c r="Z400" s="1"/>
    </row>
    <row r="401" customFormat="false" ht="15.75" hidden="false" customHeight="true" outlineLevel="0" collapsed="false">
      <c r="N401" s="1"/>
      <c r="O401" s="1"/>
      <c r="P401" s="1"/>
      <c r="Q401" s="1"/>
      <c r="R401" s="1"/>
      <c r="S401" s="1"/>
      <c r="T401" s="1"/>
      <c r="U401" s="1"/>
      <c r="V401" s="1"/>
      <c r="W401" s="1"/>
      <c r="X401" s="1"/>
      <c r="Y401" s="1"/>
      <c r="Z401" s="1"/>
    </row>
    <row r="402" customFormat="false" ht="15.75" hidden="false" customHeight="true" outlineLevel="0" collapsed="false">
      <c r="N402" s="1"/>
      <c r="O402" s="1"/>
      <c r="P402" s="1"/>
      <c r="Q402" s="1"/>
      <c r="R402" s="1"/>
      <c r="S402" s="1"/>
      <c r="T402" s="1"/>
      <c r="U402" s="1"/>
      <c r="V402" s="1"/>
      <c r="W402" s="1"/>
      <c r="X402" s="1"/>
      <c r="Y402" s="1"/>
      <c r="Z402" s="1"/>
    </row>
    <row r="403" customFormat="false" ht="15.75" hidden="false" customHeight="true" outlineLevel="0" collapsed="false">
      <c r="N403" s="1"/>
      <c r="O403" s="1"/>
      <c r="P403" s="1"/>
      <c r="Q403" s="1"/>
      <c r="R403" s="1"/>
      <c r="S403" s="1"/>
      <c r="T403" s="1"/>
      <c r="U403" s="1"/>
      <c r="V403" s="1"/>
      <c r="W403" s="1"/>
      <c r="X403" s="1"/>
      <c r="Y403" s="1"/>
      <c r="Z403" s="1"/>
    </row>
    <row r="404" customFormat="false" ht="15.75" hidden="false" customHeight="true" outlineLevel="0" collapsed="false">
      <c r="N404" s="1"/>
      <c r="O404" s="1"/>
      <c r="P404" s="1"/>
      <c r="Q404" s="1"/>
      <c r="R404" s="1"/>
      <c r="S404" s="1"/>
      <c r="T404" s="1"/>
      <c r="U404" s="1"/>
      <c r="V404" s="1"/>
      <c r="W404" s="1"/>
      <c r="X404" s="1"/>
      <c r="Y404" s="1"/>
      <c r="Z404" s="1"/>
    </row>
    <row r="405" customFormat="false" ht="15.75" hidden="false" customHeight="true" outlineLevel="0" collapsed="false">
      <c r="N405" s="1"/>
      <c r="O405" s="1"/>
      <c r="P405" s="1"/>
      <c r="Q405" s="1"/>
      <c r="R405" s="1"/>
      <c r="S405" s="1"/>
      <c r="T405" s="1"/>
      <c r="U405" s="1"/>
      <c r="V405" s="1"/>
      <c r="W405" s="1"/>
      <c r="X405" s="1"/>
      <c r="Y405" s="1"/>
      <c r="Z405" s="1"/>
    </row>
    <row r="406" customFormat="false" ht="15.75" hidden="false" customHeight="true" outlineLevel="0" collapsed="false">
      <c r="N406" s="1"/>
      <c r="O406" s="1"/>
      <c r="P406" s="1"/>
      <c r="Q406" s="1"/>
      <c r="R406" s="1"/>
      <c r="S406" s="1"/>
      <c r="T406" s="1"/>
      <c r="U406" s="1"/>
      <c r="V406" s="1"/>
      <c r="W406" s="1"/>
      <c r="X406" s="1"/>
      <c r="Y406" s="1"/>
      <c r="Z406" s="1"/>
    </row>
    <row r="407" customFormat="false" ht="15.75" hidden="false" customHeight="true" outlineLevel="0" collapsed="false">
      <c r="N407" s="1"/>
      <c r="O407" s="1"/>
      <c r="P407" s="1"/>
      <c r="Q407" s="1"/>
      <c r="R407" s="1"/>
      <c r="S407" s="1"/>
      <c r="T407" s="1"/>
      <c r="U407" s="1"/>
      <c r="V407" s="1"/>
      <c r="W407" s="1"/>
      <c r="X407" s="1"/>
      <c r="Y407" s="1"/>
      <c r="Z407" s="1"/>
    </row>
    <row r="408" customFormat="false" ht="15.75" hidden="false" customHeight="true" outlineLevel="0" collapsed="false">
      <c r="N408" s="1"/>
      <c r="O408" s="1"/>
      <c r="P408" s="1"/>
      <c r="Q408" s="1"/>
      <c r="R408" s="1"/>
      <c r="S408" s="1"/>
      <c r="T408" s="1"/>
      <c r="U408" s="1"/>
      <c r="V408" s="1"/>
      <c r="W408" s="1"/>
      <c r="X408" s="1"/>
      <c r="Y408" s="1"/>
      <c r="Z408" s="1"/>
    </row>
    <row r="409" customFormat="false" ht="15.75" hidden="false" customHeight="true" outlineLevel="0" collapsed="false">
      <c r="N409" s="1"/>
      <c r="O409" s="1"/>
      <c r="P409" s="1"/>
      <c r="Q409" s="1"/>
      <c r="R409" s="1"/>
      <c r="S409" s="1"/>
      <c r="T409" s="1"/>
      <c r="U409" s="1"/>
      <c r="V409" s="1"/>
      <c r="W409" s="1"/>
      <c r="X409" s="1"/>
      <c r="Y409" s="1"/>
      <c r="Z409" s="1"/>
    </row>
    <row r="410" customFormat="false" ht="15.75" hidden="false" customHeight="true" outlineLevel="0" collapsed="false">
      <c r="N410" s="1"/>
      <c r="O410" s="1"/>
      <c r="P410" s="1"/>
      <c r="Q410" s="1"/>
      <c r="R410" s="1"/>
      <c r="S410" s="1"/>
      <c r="T410" s="1"/>
      <c r="U410" s="1"/>
      <c r="V410" s="1"/>
      <c r="W410" s="1"/>
      <c r="X410" s="1"/>
      <c r="Y410" s="1"/>
      <c r="Z410" s="1"/>
    </row>
    <row r="411" customFormat="false" ht="15.75" hidden="false" customHeight="true" outlineLevel="0" collapsed="false">
      <c r="N411" s="1"/>
      <c r="O411" s="1"/>
      <c r="P411" s="1"/>
      <c r="Q411" s="1"/>
      <c r="R411" s="1"/>
      <c r="S411" s="1"/>
      <c r="T411" s="1"/>
      <c r="U411" s="1"/>
      <c r="V411" s="1"/>
      <c r="W411" s="1"/>
      <c r="X411" s="1"/>
      <c r="Y411" s="1"/>
      <c r="Z411" s="1"/>
    </row>
    <row r="412" customFormat="false" ht="15.75" hidden="false" customHeight="true" outlineLevel="0" collapsed="false">
      <c r="N412" s="1"/>
      <c r="O412" s="1"/>
      <c r="P412" s="1"/>
      <c r="Q412" s="1"/>
      <c r="R412" s="1"/>
      <c r="S412" s="1"/>
      <c r="T412" s="1"/>
      <c r="U412" s="1"/>
      <c r="V412" s="1"/>
      <c r="W412" s="1"/>
      <c r="X412" s="1"/>
      <c r="Y412" s="1"/>
      <c r="Z412" s="1"/>
    </row>
    <row r="413" customFormat="false" ht="15.75" hidden="false" customHeight="true" outlineLevel="0" collapsed="false">
      <c r="N413" s="1"/>
      <c r="O413" s="1"/>
      <c r="P413" s="1"/>
      <c r="Q413" s="1"/>
      <c r="R413" s="1"/>
      <c r="S413" s="1"/>
      <c r="T413" s="1"/>
      <c r="U413" s="1"/>
      <c r="V413" s="1"/>
      <c r="W413" s="1"/>
      <c r="X413" s="1"/>
      <c r="Y413" s="1"/>
      <c r="Z413" s="1"/>
    </row>
    <row r="414" customFormat="false" ht="15.75" hidden="false" customHeight="true" outlineLevel="0" collapsed="false">
      <c r="N414" s="1"/>
      <c r="O414" s="1"/>
      <c r="P414" s="1"/>
      <c r="Q414" s="1"/>
      <c r="R414" s="1"/>
      <c r="S414" s="1"/>
      <c r="T414" s="1"/>
      <c r="U414" s="1"/>
      <c r="V414" s="1"/>
      <c r="W414" s="1"/>
      <c r="X414" s="1"/>
      <c r="Y414" s="1"/>
      <c r="Z414" s="1"/>
    </row>
    <row r="415" customFormat="false" ht="15.75" hidden="false" customHeight="true" outlineLevel="0" collapsed="false">
      <c r="N415" s="1"/>
      <c r="O415" s="1"/>
      <c r="P415" s="1"/>
      <c r="Q415" s="1"/>
      <c r="R415" s="1"/>
      <c r="S415" s="1"/>
      <c r="T415" s="1"/>
      <c r="U415" s="1"/>
      <c r="V415" s="1"/>
      <c r="W415" s="1"/>
      <c r="X415" s="1"/>
      <c r="Y415" s="1"/>
      <c r="Z415" s="1"/>
    </row>
    <row r="416" customFormat="false" ht="15.75" hidden="false" customHeight="true" outlineLevel="0" collapsed="false">
      <c r="N416" s="1"/>
      <c r="O416" s="1"/>
      <c r="P416" s="1"/>
      <c r="Q416" s="1"/>
      <c r="R416" s="1"/>
      <c r="S416" s="1"/>
      <c r="T416" s="1"/>
      <c r="U416" s="1"/>
      <c r="V416" s="1"/>
      <c r="W416" s="1"/>
      <c r="X416" s="1"/>
      <c r="Y416" s="1"/>
      <c r="Z416" s="1"/>
    </row>
    <row r="417" customFormat="false" ht="15.75" hidden="false" customHeight="true" outlineLevel="0" collapsed="false">
      <c r="N417" s="1"/>
      <c r="O417" s="1"/>
      <c r="P417" s="1"/>
      <c r="Q417" s="1"/>
      <c r="R417" s="1"/>
      <c r="S417" s="1"/>
      <c r="T417" s="1"/>
      <c r="U417" s="1"/>
      <c r="V417" s="1"/>
      <c r="W417" s="1"/>
      <c r="X417" s="1"/>
      <c r="Y417" s="1"/>
      <c r="Z417" s="1"/>
    </row>
    <row r="418" customFormat="false" ht="15.75" hidden="false" customHeight="true" outlineLevel="0" collapsed="false">
      <c r="N418" s="1"/>
      <c r="O418" s="1"/>
      <c r="P418" s="1"/>
      <c r="Q418" s="1"/>
      <c r="R418" s="1"/>
      <c r="S418" s="1"/>
      <c r="T418" s="1"/>
      <c r="U418" s="1"/>
      <c r="V418" s="1"/>
      <c r="W418" s="1"/>
      <c r="X418" s="1"/>
      <c r="Y418" s="1"/>
      <c r="Z418" s="1"/>
    </row>
    <row r="419" customFormat="false" ht="15.75" hidden="false" customHeight="true" outlineLevel="0" collapsed="false">
      <c r="N419" s="1"/>
      <c r="O419" s="1"/>
      <c r="P419" s="1"/>
      <c r="Q419" s="1"/>
      <c r="R419" s="1"/>
      <c r="S419" s="1"/>
      <c r="T419" s="1"/>
      <c r="U419" s="1"/>
      <c r="V419" s="1"/>
      <c r="W419" s="1"/>
      <c r="X419" s="1"/>
      <c r="Y419" s="1"/>
      <c r="Z419" s="1"/>
    </row>
    <row r="420" customFormat="false" ht="15.75" hidden="false" customHeight="true" outlineLevel="0" collapsed="false">
      <c r="N420" s="1"/>
      <c r="O420" s="1"/>
      <c r="P420" s="1"/>
      <c r="Q420" s="1"/>
      <c r="R420" s="1"/>
      <c r="S420" s="1"/>
      <c r="T420" s="1"/>
      <c r="U420" s="1"/>
      <c r="V420" s="1"/>
      <c r="W420" s="1"/>
      <c r="X420" s="1"/>
      <c r="Y420" s="1"/>
      <c r="Z420" s="1"/>
    </row>
    <row r="421" customFormat="false" ht="15.75" hidden="false" customHeight="true" outlineLevel="0" collapsed="false">
      <c r="N421" s="1"/>
      <c r="O421" s="1"/>
      <c r="P421" s="1"/>
      <c r="Q421" s="1"/>
      <c r="R421" s="1"/>
      <c r="S421" s="1"/>
      <c r="T421" s="1"/>
      <c r="U421" s="1"/>
      <c r="V421" s="1"/>
      <c r="W421" s="1"/>
      <c r="X421" s="1"/>
      <c r="Y421" s="1"/>
      <c r="Z421" s="1"/>
    </row>
    <row r="422" customFormat="false" ht="15.75" hidden="false" customHeight="true" outlineLevel="0" collapsed="false">
      <c r="N422" s="1"/>
      <c r="O422" s="1"/>
      <c r="P422" s="1"/>
      <c r="Q422" s="1"/>
      <c r="R422" s="1"/>
      <c r="S422" s="1"/>
      <c r="T422" s="1"/>
      <c r="U422" s="1"/>
      <c r="V422" s="1"/>
      <c r="W422" s="1"/>
      <c r="X422" s="1"/>
      <c r="Y422" s="1"/>
      <c r="Z422" s="1"/>
    </row>
    <row r="423" customFormat="false" ht="15.75" hidden="false" customHeight="true" outlineLevel="0" collapsed="false">
      <c r="N423" s="1"/>
      <c r="O423" s="1"/>
      <c r="P423" s="1"/>
      <c r="Q423" s="1"/>
      <c r="R423" s="1"/>
      <c r="S423" s="1"/>
      <c r="T423" s="1"/>
      <c r="U423" s="1"/>
      <c r="V423" s="1"/>
      <c r="W423" s="1"/>
      <c r="X423" s="1"/>
      <c r="Y423" s="1"/>
      <c r="Z423" s="1"/>
    </row>
    <row r="424" customFormat="false" ht="15.75" hidden="false" customHeight="true" outlineLevel="0" collapsed="false">
      <c r="N424" s="1"/>
      <c r="O424" s="1"/>
      <c r="P424" s="1"/>
      <c r="Q424" s="1"/>
      <c r="R424" s="1"/>
      <c r="S424" s="1"/>
      <c r="T424" s="1"/>
      <c r="U424" s="1"/>
      <c r="V424" s="1"/>
      <c r="W424" s="1"/>
      <c r="X424" s="1"/>
      <c r="Y424" s="1"/>
      <c r="Z424" s="1"/>
    </row>
    <row r="425" customFormat="false" ht="15.75" hidden="false" customHeight="true" outlineLevel="0" collapsed="false">
      <c r="N425" s="1"/>
      <c r="O425" s="1"/>
      <c r="P425" s="1"/>
      <c r="Q425" s="1"/>
      <c r="R425" s="1"/>
      <c r="S425" s="1"/>
      <c r="T425" s="1"/>
      <c r="U425" s="1"/>
      <c r="V425" s="1"/>
      <c r="W425" s="1"/>
      <c r="X425" s="1"/>
      <c r="Y425" s="1"/>
      <c r="Z425" s="1"/>
    </row>
    <row r="426" customFormat="false" ht="15.75" hidden="false" customHeight="true" outlineLevel="0" collapsed="false">
      <c r="N426" s="1"/>
      <c r="O426" s="1"/>
      <c r="P426" s="1"/>
      <c r="Q426" s="1"/>
      <c r="R426" s="1"/>
      <c r="S426" s="1"/>
      <c r="T426" s="1"/>
      <c r="U426" s="1"/>
      <c r="V426" s="1"/>
      <c r="W426" s="1"/>
      <c r="X426" s="1"/>
      <c r="Y426" s="1"/>
      <c r="Z426" s="1"/>
    </row>
    <row r="427" customFormat="false" ht="15.75" hidden="false" customHeight="true" outlineLevel="0" collapsed="false">
      <c r="N427" s="1"/>
      <c r="O427" s="1"/>
      <c r="P427" s="1"/>
      <c r="Q427" s="1"/>
      <c r="R427" s="1"/>
      <c r="S427" s="1"/>
      <c r="T427" s="1"/>
      <c r="U427" s="1"/>
      <c r="V427" s="1"/>
      <c r="W427" s="1"/>
      <c r="X427" s="1"/>
      <c r="Y427" s="1"/>
      <c r="Z427" s="1"/>
    </row>
    <row r="428" customFormat="false" ht="15.75" hidden="false" customHeight="true" outlineLevel="0" collapsed="false">
      <c r="N428" s="1"/>
      <c r="O428" s="1"/>
      <c r="P428" s="1"/>
      <c r="Q428" s="1"/>
      <c r="R428" s="1"/>
      <c r="S428" s="1"/>
      <c r="T428" s="1"/>
      <c r="U428" s="1"/>
      <c r="V428" s="1"/>
      <c r="W428" s="1"/>
      <c r="X428" s="1"/>
      <c r="Y428" s="1"/>
      <c r="Z428" s="1"/>
    </row>
    <row r="429" customFormat="false" ht="15.75" hidden="false" customHeight="true" outlineLevel="0" collapsed="false">
      <c r="N429" s="1"/>
      <c r="O429" s="1"/>
      <c r="P429" s="1"/>
      <c r="Q429" s="1"/>
      <c r="R429" s="1"/>
      <c r="S429" s="1"/>
      <c r="T429" s="1"/>
      <c r="U429" s="1"/>
      <c r="V429" s="1"/>
      <c r="W429" s="1"/>
      <c r="X429" s="1"/>
      <c r="Y429" s="1"/>
      <c r="Z429" s="1"/>
    </row>
    <row r="430" customFormat="false" ht="15.75" hidden="false" customHeight="true" outlineLevel="0" collapsed="false">
      <c r="N430" s="1"/>
      <c r="O430" s="1"/>
      <c r="P430" s="1"/>
      <c r="Q430" s="1"/>
      <c r="R430" s="1"/>
      <c r="S430" s="1"/>
      <c r="T430" s="1"/>
      <c r="U430" s="1"/>
      <c r="V430" s="1"/>
      <c r="W430" s="1"/>
      <c r="X430" s="1"/>
      <c r="Y430" s="1"/>
      <c r="Z430" s="1"/>
    </row>
    <row r="431" customFormat="false" ht="15.75" hidden="false" customHeight="true" outlineLevel="0" collapsed="false">
      <c r="N431" s="1"/>
      <c r="O431" s="1"/>
      <c r="P431" s="1"/>
      <c r="Q431" s="1"/>
      <c r="R431" s="1"/>
      <c r="S431" s="1"/>
      <c r="T431" s="1"/>
      <c r="U431" s="1"/>
      <c r="V431" s="1"/>
      <c r="W431" s="1"/>
      <c r="X431" s="1"/>
      <c r="Y431" s="1"/>
      <c r="Z431" s="1"/>
    </row>
    <row r="432" customFormat="false" ht="15.75" hidden="false" customHeight="true" outlineLevel="0" collapsed="false">
      <c r="N432" s="1"/>
      <c r="O432" s="1"/>
      <c r="P432" s="1"/>
      <c r="Q432" s="1"/>
      <c r="R432" s="1"/>
      <c r="S432" s="1"/>
      <c r="T432" s="1"/>
      <c r="U432" s="1"/>
      <c r="V432" s="1"/>
      <c r="W432" s="1"/>
      <c r="X432" s="1"/>
      <c r="Y432" s="1"/>
      <c r="Z432" s="1"/>
    </row>
    <row r="433" customFormat="false" ht="15.75" hidden="false" customHeight="true" outlineLevel="0" collapsed="false">
      <c r="N433" s="1"/>
      <c r="O433" s="1"/>
      <c r="P433" s="1"/>
      <c r="Q433" s="1"/>
      <c r="R433" s="1"/>
      <c r="S433" s="1"/>
      <c r="T433" s="1"/>
      <c r="U433" s="1"/>
      <c r="V433" s="1"/>
      <c r="W433" s="1"/>
      <c r="X433" s="1"/>
      <c r="Y433" s="1"/>
      <c r="Z433" s="1"/>
    </row>
    <row r="434" customFormat="false" ht="15.75" hidden="false" customHeight="true" outlineLevel="0" collapsed="false">
      <c r="N434" s="1"/>
      <c r="O434" s="1"/>
      <c r="P434" s="1"/>
      <c r="Q434" s="1"/>
      <c r="R434" s="1"/>
      <c r="S434" s="1"/>
      <c r="T434" s="1"/>
      <c r="U434" s="1"/>
      <c r="V434" s="1"/>
      <c r="W434" s="1"/>
      <c r="X434" s="1"/>
      <c r="Y434" s="1"/>
      <c r="Z434" s="1"/>
    </row>
    <row r="435" customFormat="false" ht="15.75" hidden="false" customHeight="true" outlineLevel="0" collapsed="false">
      <c r="N435" s="1"/>
      <c r="O435" s="1"/>
      <c r="P435" s="1"/>
      <c r="Q435" s="1"/>
      <c r="R435" s="1"/>
      <c r="S435" s="1"/>
      <c r="T435" s="1"/>
      <c r="U435" s="1"/>
      <c r="V435" s="1"/>
      <c r="W435" s="1"/>
      <c r="X435" s="1"/>
      <c r="Y435" s="1"/>
      <c r="Z435" s="1"/>
    </row>
    <row r="436" customFormat="false" ht="15.75" hidden="false" customHeight="true" outlineLevel="0" collapsed="false">
      <c r="N436" s="1"/>
      <c r="O436" s="1"/>
      <c r="P436" s="1"/>
      <c r="Q436" s="1"/>
      <c r="R436" s="1"/>
      <c r="S436" s="1"/>
      <c r="T436" s="1"/>
      <c r="U436" s="1"/>
      <c r="V436" s="1"/>
      <c r="W436" s="1"/>
      <c r="X436" s="1"/>
      <c r="Y436" s="1"/>
      <c r="Z436" s="1"/>
    </row>
    <row r="437" customFormat="false" ht="15.75" hidden="false" customHeight="true" outlineLevel="0" collapsed="false">
      <c r="N437" s="1"/>
      <c r="O437" s="1"/>
      <c r="P437" s="1"/>
      <c r="Q437" s="1"/>
      <c r="R437" s="1"/>
      <c r="S437" s="1"/>
      <c r="T437" s="1"/>
      <c r="U437" s="1"/>
      <c r="V437" s="1"/>
      <c r="W437" s="1"/>
      <c r="X437" s="1"/>
      <c r="Y437" s="1"/>
      <c r="Z437" s="1"/>
    </row>
    <row r="438" customFormat="false" ht="15.75" hidden="false" customHeight="true" outlineLevel="0" collapsed="false">
      <c r="N438" s="1"/>
      <c r="O438" s="1"/>
      <c r="P438" s="1"/>
      <c r="Q438" s="1"/>
      <c r="R438" s="1"/>
      <c r="S438" s="1"/>
      <c r="T438" s="1"/>
      <c r="U438" s="1"/>
      <c r="V438" s="1"/>
      <c r="W438" s="1"/>
      <c r="X438" s="1"/>
      <c r="Y438" s="1"/>
      <c r="Z438" s="1"/>
    </row>
    <row r="439" customFormat="false" ht="15.75" hidden="false" customHeight="true" outlineLevel="0" collapsed="false">
      <c r="N439" s="1"/>
      <c r="O439" s="1"/>
      <c r="P439" s="1"/>
      <c r="Q439" s="1"/>
      <c r="R439" s="1"/>
      <c r="S439" s="1"/>
      <c r="T439" s="1"/>
      <c r="U439" s="1"/>
      <c r="V439" s="1"/>
      <c r="W439" s="1"/>
      <c r="X439" s="1"/>
      <c r="Y439" s="1"/>
      <c r="Z439" s="1"/>
    </row>
    <row r="440" customFormat="false" ht="15.75" hidden="false" customHeight="true" outlineLevel="0" collapsed="false">
      <c r="N440" s="1"/>
      <c r="O440" s="1"/>
      <c r="P440" s="1"/>
      <c r="Q440" s="1"/>
      <c r="R440" s="1"/>
      <c r="S440" s="1"/>
      <c r="T440" s="1"/>
      <c r="U440" s="1"/>
      <c r="V440" s="1"/>
      <c r="W440" s="1"/>
      <c r="X440" s="1"/>
      <c r="Y440" s="1"/>
      <c r="Z440" s="1"/>
    </row>
    <row r="441" customFormat="false" ht="15.75" hidden="false" customHeight="true" outlineLevel="0" collapsed="false">
      <c r="N441" s="1"/>
      <c r="O441" s="1"/>
      <c r="P441" s="1"/>
      <c r="Q441" s="1"/>
      <c r="R441" s="1"/>
      <c r="S441" s="1"/>
      <c r="T441" s="1"/>
      <c r="U441" s="1"/>
      <c r="V441" s="1"/>
      <c r="W441" s="1"/>
      <c r="X441" s="1"/>
      <c r="Y441" s="1"/>
      <c r="Z441" s="1"/>
    </row>
    <row r="442" customFormat="false" ht="15.75" hidden="false" customHeight="true" outlineLevel="0" collapsed="false">
      <c r="N442" s="1"/>
      <c r="O442" s="1"/>
      <c r="P442" s="1"/>
      <c r="Q442" s="1"/>
      <c r="R442" s="1"/>
      <c r="S442" s="1"/>
      <c r="T442" s="1"/>
      <c r="U442" s="1"/>
      <c r="V442" s="1"/>
      <c r="W442" s="1"/>
      <c r="X442" s="1"/>
      <c r="Y442" s="1"/>
      <c r="Z442" s="1"/>
    </row>
    <row r="443" customFormat="false" ht="15.75" hidden="false" customHeight="true" outlineLevel="0" collapsed="false">
      <c r="N443" s="1"/>
      <c r="O443" s="1"/>
      <c r="P443" s="1"/>
      <c r="Q443" s="1"/>
      <c r="R443" s="1"/>
      <c r="S443" s="1"/>
      <c r="T443" s="1"/>
      <c r="U443" s="1"/>
      <c r="V443" s="1"/>
      <c r="W443" s="1"/>
      <c r="X443" s="1"/>
      <c r="Y443" s="1"/>
      <c r="Z443" s="1"/>
    </row>
    <row r="444" customFormat="false" ht="15.75" hidden="false" customHeight="true" outlineLevel="0" collapsed="false">
      <c r="N444" s="1"/>
      <c r="O444" s="1"/>
      <c r="P444" s="1"/>
      <c r="Q444" s="1"/>
      <c r="R444" s="1"/>
      <c r="S444" s="1"/>
      <c r="T444" s="1"/>
      <c r="U444" s="1"/>
      <c r="V444" s="1"/>
      <c r="W444" s="1"/>
      <c r="X444" s="1"/>
      <c r="Y444" s="1"/>
      <c r="Z444" s="1"/>
    </row>
    <row r="445" customFormat="false" ht="15.75" hidden="false" customHeight="true" outlineLevel="0" collapsed="false">
      <c r="N445" s="1"/>
      <c r="O445" s="1"/>
      <c r="P445" s="1"/>
      <c r="Q445" s="1"/>
      <c r="R445" s="1"/>
      <c r="S445" s="1"/>
      <c r="T445" s="1"/>
      <c r="U445" s="1"/>
      <c r="V445" s="1"/>
      <c r="W445" s="1"/>
      <c r="X445" s="1"/>
      <c r="Y445" s="1"/>
      <c r="Z445" s="1"/>
    </row>
    <row r="446" customFormat="false" ht="15.75" hidden="false" customHeight="true" outlineLevel="0" collapsed="false">
      <c r="N446" s="1"/>
      <c r="O446" s="1"/>
      <c r="P446" s="1"/>
      <c r="Q446" s="1"/>
      <c r="R446" s="1"/>
      <c r="S446" s="1"/>
      <c r="T446" s="1"/>
      <c r="U446" s="1"/>
      <c r="V446" s="1"/>
      <c r="W446" s="1"/>
      <c r="X446" s="1"/>
      <c r="Y446" s="1"/>
      <c r="Z446" s="1"/>
    </row>
    <row r="447" customFormat="false" ht="15.75" hidden="false" customHeight="true" outlineLevel="0" collapsed="false">
      <c r="N447" s="1"/>
      <c r="O447" s="1"/>
      <c r="P447" s="1"/>
      <c r="Q447" s="1"/>
      <c r="R447" s="1"/>
      <c r="S447" s="1"/>
      <c r="T447" s="1"/>
      <c r="U447" s="1"/>
      <c r="V447" s="1"/>
      <c r="W447" s="1"/>
      <c r="X447" s="1"/>
      <c r="Y447" s="1"/>
      <c r="Z447" s="1"/>
    </row>
    <row r="448" customFormat="false" ht="15.75" hidden="false" customHeight="true" outlineLevel="0" collapsed="false">
      <c r="N448" s="1"/>
      <c r="O448" s="1"/>
      <c r="P448" s="1"/>
      <c r="Q448" s="1"/>
      <c r="R448" s="1"/>
      <c r="S448" s="1"/>
      <c r="T448" s="1"/>
      <c r="U448" s="1"/>
      <c r="V448" s="1"/>
      <c r="W448" s="1"/>
      <c r="X448" s="1"/>
      <c r="Y448" s="1"/>
      <c r="Z448" s="1"/>
    </row>
    <row r="449" customFormat="false" ht="15.75" hidden="false" customHeight="true" outlineLevel="0" collapsed="false">
      <c r="N449" s="1"/>
      <c r="O449" s="1"/>
      <c r="P449" s="1"/>
      <c r="Q449" s="1"/>
      <c r="R449" s="1"/>
      <c r="S449" s="1"/>
      <c r="T449" s="1"/>
      <c r="U449" s="1"/>
      <c r="V449" s="1"/>
      <c r="W449" s="1"/>
      <c r="X449" s="1"/>
      <c r="Y449" s="1"/>
      <c r="Z449" s="1"/>
    </row>
    <row r="450" customFormat="false" ht="15.75" hidden="false" customHeight="true" outlineLevel="0" collapsed="false">
      <c r="N450" s="1"/>
      <c r="O450" s="1"/>
      <c r="P450" s="1"/>
      <c r="Q450" s="1"/>
      <c r="R450" s="1"/>
      <c r="S450" s="1"/>
      <c r="T450" s="1"/>
      <c r="U450" s="1"/>
      <c r="V450" s="1"/>
      <c r="W450" s="1"/>
      <c r="X450" s="1"/>
      <c r="Y450" s="1"/>
      <c r="Z450" s="1"/>
    </row>
    <row r="451" customFormat="false" ht="15.75" hidden="false" customHeight="true" outlineLevel="0" collapsed="false">
      <c r="N451" s="1"/>
      <c r="O451" s="1"/>
      <c r="P451" s="1"/>
      <c r="Q451" s="1"/>
      <c r="R451" s="1"/>
      <c r="S451" s="1"/>
      <c r="T451" s="1"/>
      <c r="U451" s="1"/>
      <c r="V451" s="1"/>
      <c r="W451" s="1"/>
      <c r="X451" s="1"/>
      <c r="Y451" s="1"/>
      <c r="Z451" s="1"/>
    </row>
    <row r="452" customFormat="false" ht="15.75" hidden="false" customHeight="true" outlineLevel="0" collapsed="false">
      <c r="N452" s="1"/>
      <c r="O452" s="1"/>
      <c r="P452" s="1"/>
      <c r="Q452" s="1"/>
      <c r="R452" s="1"/>
      <c r="S452" s="1"/>
      <c r="T452" s="1"/>
      <c r="U452" s="1"/>
      <c r="V452" s="1"/>
      <c r="W452" s="1"/>
      <c r="X452" s="1"/>
      <c r="Y452" s="1"/>
      <c r="Z452" s="1"/>
    </row>
    <row r="453" customFormat="false" ht="15.75" hidden="false" customHeight="true" outlineLevel="0" collapsed="false">
      <c r="N453" s="1"/>
      <c r="O453" s="1"/>
      <c r="P453" s="1"/>
      <c r="Q453" s="1"/>
      <c r="R453" s="1"/>
      <c r="S453" s="1"/>
      <c r="T453" s="1"/>
      <c r="U453" s="1"/>
      <c r="V453" s="1"/>
      <c r="W453" s="1"/>
      <c r="X453" s="1"/>
      <c r="Y453" s="1"/>
      <c r="Z453" s="1"/>
    </row>
    <row r="454" customFormat="false" ht="15.75" hidden="false" customHeight="true" outlineLevel="0" collapsed="false">
      <c r="N454" s="1"/>
      <c r="O454" s="1"/>
      <c r="P454" s="1"/>
      <c r="Q454" s="1"/>
      <c r="R454" s="1"/>
      <c r="S454" s="1"/>
      <c r="T454" s="1"/>
      <c r="U454" s="1"/>
      <c r="V454" s="1"/>
      <c r="W454" s="1"/>
      <c r="X454" s="1"/>
      <c r="Y454" s="1"/>
      <c r="Z454" s="1"/>
    </row>
    <row r="455" customFormat="false" ht="15.75" hidden="false" customHeight="true" outlineLevel="0" collapsed="false">
      <c r="N455" s="1"/>
      <c r="O455" s="1"/>
      <c r="P455" s="1"/>
      <c r="Q455" s="1"/>
      <c r="R455" s="1"/>
      <c r="S455" s="1"/>
      <c r="T455" s="1"/>
      <c r="U455" s="1"/>
      <c r="V455" s="1"/>
      <c r="W455" s="1"/>
      <c r="X455" s="1"/>
      <c r="Y455" s="1"/>
      <c r="Z455" s="1"/>
    </row>
    <row r="456" customFormat="false" ht="15.75" hidden="false" customHeight="true" outlineLevel="0" collapsed="false">
      <c r="N456" s="1"/>
      <c r="O456" s="1"/>
      <c r="P456" s="1"/>
      <c r="Q456" s="1"/>
      <c r="R456" s="1"/>
      <c r="S456" s="1"/>
      <c r="T456" s="1"/>
      <c r="U456" s="1"/>
      <c r="V456" s="1"/>
      <c r="W456" s="1"/>
      <c r="X456" s="1"/>
      <c r="Y456" s="1"/>
      <c r="Z456" s="1"/>
    </row>
    <row r="457" customFormat="false" ht="15.75" hidden="false" customHeight="true" outlineLevel="0" collapsed="false">
      <c r="N457" s="1"/>
      <c r="O457" s="1"/>
      <c r="P457" s="1"/>
      <c r="Q457" s="1"/>
      <c r="R457" s="1"/>
      <c r="S457" s="1"/>
      <c r="T457" s="1"/>
      <c r="U457" s="1"/>
      <c r="V457" s="1"/>
      <c r="W457" s="1"/>
      <c r="X457" s="1"/>
      <c r="Y457" s="1"/>
      <c r="Z457" s="1"/>
    </row>
    <row r="458" customFormat="false" ht="15.75" hidden="false" customHeight="true" outlineLevel="0" collapsed="false">
      <c r="N458" s="1"/>
      <c r="O458" s="1"/>
      <c r="P458" s="1"/>
      <c r="Q458" s="1"/>
      <c r="R458" s="1"/>
      <c r="S458" s="1"/>
      <c r="T458" s="1"/>
      <c r="U458" s="1"/>
      <c r="V458" s="1"/>
      <c r="W458" s="1"/>
      <c r="X458" s="1"/>
      <c r="Y458" s="1"/>
      <c r="Z458" s="1"/>
    </row>
    <row r="459" customFormat="false" ht="15.75" hidden="false" customHeight="true" outlineLevel="0" collapsed="false">
      <c r="N459" s="1"/>
      <c r="O459" s="1"/>
      <c r="P459" s="1"/>
      <c r="Q459" s="1"/>
      <c r="R459" s="1"/>
      <c r="S459" s="1"/>
      <c r="T459" s="1"/>
      <c r="U459" s="1"/>
      <c r="V459" s="1"/>
      <c r="W459" s="1"/>
      <c r="X459" s="1"/>
      <c r="Y459" s="1"/>
      <c r="Z459" s="1"/>
    </row>
    <row r="460" customFormat="false" ht="15.75" hidden="false" customHeight="true" outlineLevel="0" collapsed="false">
      <c r="N460" s="1"/>
      <c r="O460" s="1"/>
      <c r="P460" s="1"/>
      <c r="Q460" s="1"/>
      <c r="R460" s="1"/>
      <c r="S460" s="1"/>
      <c r="T460" s="1"/>
      <c r="U460" s="1"/>
      <c r="V460" s="1"/>
      <c r="W460" s="1"/>
      <c r="X460" s="1"/>
      <c r="Y460" s="1"/>
      <c r="Z460" s="1"/>
    </row>
    <row r="461" customFormat="false" ht="15.75" hidden="false" customHeight="true" outlineLevel="0" collapsed="false">
      <c r="N461" s="1"/>
      <c r="O461" s="1"/>
      <c r="P461" s="1"/>
      <c r="Q461" s="1"/>
      <c r="R461" s="1"/>
      <c r="S461" s="1"/>
      <c r="T461" s="1"/>
      <c r="U461" s="1"/>
      <c r="V461" s="1"/>
      <c r="W461" s="1"/>
      <c r="X461" s="1"/>
      <c r="Y461" s="1"/>
      <c r="Z461" s="1"/>
    </row>
    <row r="462" customFormat="false" ht="15.75" hidden="false" customHeight="true" outlineLevel="0" collapsed="false">
      <c r="N462" s="1"/>
      <c r="O462" s="1"/>
      <c r="P462" s="1"/>
      <c r="Q462" s="1"/>
      <c r="R462" s="1"/>
      <c r="S462" s="1"/>
      <c r="T462" s="1"/>
      <c r="U462" s="1"/>
      <c r="V462" s="1"/>
      <c r="W462" s="1"/>
      <c r="X462" s="1"/>
      <c r="Y462" s="1"/>
      <c r="Z462" s="1"/>
    </row>
    <row r="463" customFormat="false" ht="15.75" hidden="false" customHeight="true" outlineLevel="0" collapsed="false">
      <c r="N463" s="1"/>
      <c r="O463" s="1"/>
      <c r="P463" s="1"/>
      <c r="Q463" s="1"/>
      <c r="R463" s="1"/>
      <c r="S463" s="1"/>
      <c r="T463" s="1"/>
      <c r="U463" s="1"/>
      <c r="V463" s="1"/>
      <c r="W463" s="1"/>
      <c r="X463" s="1"/>
      <c r="Y463" s="1"/>
      <c r="Z463" s="1"/>
    </row>
    <row r="464" customFormat="false" ht="15.75" hidden="false" customHeight="true" outlineLevel="0" collapsed="false">
      <c r="N464" s="1"/>
      <c r="O464" s="1"/>
      <c r="P464" s="1"/>
      <c r="Q464" s="1"/>
      <c r="R464" s="1"/>
      <c r="S464" s="1"/>
      <c r="T464" s="1"/>
      <c r="U464" s="1"/>
      <c r="V464" s="1"/>
      <c r="W464" s="1"/>
      <c r="X464" s="1"/>
      <c r="Y464" s="1"/>
      <c r="Z464" s="1"/>
    </row>
    <row r="465" customFormat="false" ht="15.75" hidden="false" customHeight="true" outlineLevel="0" collapsed="false">
      <c r="N465" s="1"/>
      <c r="O465" s="1"/>
      <c r="P465" s="1"/>
      <c r="Q465" s="1"/>
      <c r="R465" s="1"/>
      <c r="S465" s="1"/>
      <c r="T465" s="1"/>
      <c r="U465" s="1"/>
      <c r="V465" s="1"/>
      <c r="W465" s="1"/>
      <c r="X465" s="1"/>
      <c r="Y465" s="1"/>
      <c r="Z465" s="1"/>
    </row>
    <row r="466" customFormat="false" ht="15.75" hidden="false" customHeight="true" outlineLevel="0" collapsed="false">
      <c r="N466" s="1"/>
      <c r="O466" s="1"/>
      <c r="P466" s="1"/>
      <c r="Q466" s="1"/>
      <c r="R466" s="1"/>
      <c r="S466" s="1"/>
      <c r="T466" s="1"/>
      <c r="U466" s="1"/>
      <c r="V466" s="1"/>
      <c r="W466" s="1"/>
      <c r="X466" s="1"/>
      <c r="Y466" s="1"/>
      <c r="Z466" s="1"/>
    </row>
    <row r="467" customFormat="false" ht="15.75" hidden="false" customHeight="true" outlineLevel="0" collapsed="false">
      <c r="N467" s="1"/>
      <c r="O467" s="1"/>
      <c r="P467" s="1"/>
      <c r="Q467" s="1"/>
      <c r="R467" s="1"/>
      <c r="S467" s="1"/>
      <c r="T467" s="1"/>
      <c r="U467" s="1"/>
      <c r="V467" s="1"/>
      <c r="W467" s="1"/>
      <c r="X467" s="1"/>
      <c r="Y467" s="1"/>
      <c r="Z467" s="1"/>
    </row>
    <row r="468" customFormat="false" ht="15.75" hidden="false" customHeight="true" outlineLevel="0" collapsed="false">
      <c r="N468" s="1"/>
      <c r="O468" s="1"/>
      <c r="P468" s="1"/>
      <c r="Q468" s="1"/>
      <c r="R468" s="1"/>
      <c r="S468" s="1"/>
      <c r="T468" s="1"/>
      <c r="U468" s="1"/>
      <c r="V468" s="1"/>
      <c r="W468" s="1"/>
      <c r="X468" s="1"/>
      <c r="Y468" s="1"/>
      <c r="Z468" s="1"/>
    </row>
    <row r="469" customFormat="false" ht="15.75" hidden="false" customHeight="true" outlineLevel="0" collapsed="false">
      <c r="N469" s="1"/>
      <c r="O469" s="1"/>
      <c r="P469" s="1"/>
      <c r="Q469" s="1"/>
      <c r="R469" s="1"/>
      <c r="S469" s="1"/>
      <c r="T469" s="1"/>
      <c r="U469" s="1"/>
      <c r="V469" s="1"/>
      <c r="W469" s="1"/>
      <c r="X469" s="1"/>
      <c r="Y469" s="1"/>
      <c r="Z469" s="1"/>
    </row>
    <row r="470" customFormat="false" ht="15.75" hidden="false" customHeight="true" outlineLevel="0" collapsed="false">
      <c r="N470" s="1"/>
      <c r="O470" s="1"/>
      <c r="P470" s="1"/>
      <c r="Q470" s="1"/>
      <c r="R470" s="1"/>
      <c r="S470" s="1"/>
      <c r="T470" s="1"/>
      <c r="U470" s="1"/>
      <c r="V470" s="1"/>
      <c r="W470" s="1"/>
      <c r="X470" s="1"/>
      <c r="Y470" s="1"/>
      <c r="Z470" s="1"/>
    </row>
    <row r="471" customFormat="false" ht="15.75" hidden="false" customHeight="true" outlineLevel="0" collapsed="false">
      <c r="N471" s="1"/>
      <c r="O471" s="1"/>
      <c r="P471" s="1"/>
      <c r="Q471" s="1"/>
      <c r="R471" s="1"/>
      <c r="S471" s="1"/>
      <c r="T471" s="1"/>
      <c r="U471" s="1"/>
      <c r="V471" s="1"/>
      <c r="W471" s="1"/>
      <c r="X471" s="1"/>
      <c r="Y471" s="1"/>
      <c r="Z471" s="1"/>
    </row>
    <row r="472" customFormat="false" ht="15.75" hidden="false" customHeight="true" outlineLevel="0" collapsed="false">
      <c r="N472" s="1"/>
      <c r="O472" s="1"/>
      <c r="P472" s="1"/>
      <c r="Q472" s="1"/>
      <c r="R472" s="1"/>
      <c r="S472" s="1"/>
      <c r="T472" s="1"/>
      <c r="U472" s="1"/>
      <c r="V472" s="1"/>
      <c r="W472" s="1"/>
      <c r="X472" s="1"/>
      <c r="Y472" s="1"/>
      <c r="Z472" s="1"/>
    </row>
    <row r="473" customFormat="false" ht="15.75" hidden="false" customHeight="true" outlineLevel="0" collapsed="false">
      <c r="N473" s="1"/>
      <c r="O473" s="1"/>
      <c r="P473" s="1"/>
      <c r="Q473" s="1"/>
      <c r="R473" s="1"/>
      <c r="S473" s="1"/>
      <c r="T473" s="1"/>
      <c r="U473" s="1"/>
      <c r="V473" s="1"/>
      <c r="W473" s="1"/>
      <c r="X473" s="1"/>
      <c r="Y473" s="1"/>
      <c r="Z473" s="1"/>
    </row>
    <row r="474" customFormat="false" ht="15.75" hidden="false" customHeight="true" outlineLevel="0" collapsed="false">
      <c r="N474" s="1"/>
      <c r="O474" s="1"/>
      <c r="P474" s="1"/>
      <c r="Q474" s="1"/>
      <c r="R474" s="1"/>
      <c r="S474" s="1"/>
      <c r="T474" s="1"/>
      <c r="U474" s="1"/>
      <c r="V474" s="1"/>
      <c r="W474" s="1"/>
      <c r="X474" s="1"/>
      <c r="Y474" s="1"/>
      <c r="Z474" s="1"/>
    </row>
    <row r="475" customFormat="false" ht="15.75" hidden="false" customHeight="true" outlineLevel="0" collapsed="false">
      <c r="N475" s="1"/>
      <c r="O475" s="1"/>
      <c r="P475" s="1"/>
      <c r="Q475" s="1"/>
      <c r="R475" s="1"/>
      <c r="S475" s="1"/>
      <c r="T475" s="1"/>
      <c r="U475" s="1"/>
      <c r="V475" s="1"/>
      <c r="W475" s="1"/>
      <c r="X475" s="1"/>
      <c r="Y475" s="1"/>
      <c r="Z475" s="1"/>
    </row>
    <row r="476" customFormat="false" ht="15.75" hidden="false" customHeight="true" outlineLevel="0" collapsed="false">
      <c r="N476" s="1"/>
      <c r="O476" s="1"/>
      <c r="P476" s="1"/>
      <c r="Q476" s="1"/>
      <c r="R476" s="1"/>
      <c r="S476" s="1"/>
      <c r="T476" s="1"/>
      <c r="U476" s="1"/>
      <c r="V476" s="1"/>
      <c r="W476" s="1"/>
      <c r="X476" s="1"/>
      <c r="Y476" s="1"/>
      <c r="Z476" s="1"/>
    </row>
    <row r="477" customFormat="false" ht="15.75" hidden="false" customHeight="true" outlineLevel="0" collapsed="false">
      <c r="N477" s="1"/>
      <c r="O477" s="1"/>
      <c r="P477" s="1"/>
      <c r="Q477" s="1"/>
      <c r="R477" s="1"/>
      <c r="S477" s="1"/>
      <c r="T477" s="1"/>
      <c r="U477" s="1"/>
      <c r="V477" s="1"/>
      <c r="W477" s="1"/>
      <c r="X477" s="1"/>
      <c r="Y477" s="1"/>
      <c r="Z477" s="1"/>
    </row>
    <row r="478" customFormat="false" ht="15.75" hidden="false" customHeight="true" outlineLevel="0" collapsed="false">
      <c r="N478" s="1"/>
      <c r="O478" s="1"/>
      <c r="P478" s="1"/>
      <c r="Q478" s="1"/>
      <c r="R478" s="1"/>
      <c r="S478" s="1"/>
      <c r="T478" s="1"/>
      <c r="U478" s="1"/>
      <c r="V478" s="1"/>
      <c r="W478" s="1"/>
      <c r="X478" s="1"/>
      <c r="Y478" s="1"/>
      <c r="Z478" s="1"/>
    </row>
    <row r="479" customFormat="false" ht="15.75" hidden="false" customHeight="true" outlineLevel="0" collapsed="false">
      <c r="N479" s="1"/>
      <c r="O479" s="1"/>
      <c r="P479" s="1"/>
      <c r="Q479" s="1"/>
      <c r="R479" s="1"/>
      <c r="S479" s="1"/>
      <c r="T479" s="1"/>
      <c r="U479" s="1"/>
      <c r="V479" s="1"/>
      <c r="W479" s="1"/>
      <c r="X479" s="1"/>
      <c r="Y479" s="1"/>
      <c r="Z479" s="1"/>
    </row>
    <row r="480" customFormat="false" ht="15.75" hidden="false" customHeight="true" outlineLevel="0" collapsed="false">
      <c r="N480" s="1"/>
      <c r="O480" s="1"/>
      <c r="P480" s="1"/>
      <c r="Q480" s="1"/>
      <c r="R480" s="1"/>
      <c r="S480" s="1"/>
      <c r="T480" s="1"/>
      <c r="U480" s="1"/>
      <c r="V480" s="1"/>
      <c r="W480" s="1"/>
      <c r="X480" s="1"/>
      <c r="Y480" s="1"/>
      <c r="Z480" s="1"/>
    </row>
    <row r="481" customFormat="false" ht="15.75" hidden="false" customHeight="true" outlineLevel="0" collapsed="false">
      <c r="N481" s="1"/>
      <c r="O481" s="1"/>
      <c r="P481" s="1"/>
      <c r="Q481" s="1"/>
      <c r="R481" s="1"/>
      <c r="S481" s="1"/>
      <c r="T481" s="1"/>
      <c r="U481" s="1"/>
      <c r="V481" s="1"/>
      <c r="W481" s="1"/>
      <c r="X481" s="1"/>
      <c r="Y481" s="1"/>
      <c r="Z481" s="1"/>
    </row>
    <row r="482" customFormat="false" ht="15.75" hidden="false" customHeight="true" outlineLevel="0" collapsed="false">
      <c r="N482" s="1"/>
      <c r="O482" s="1"/>
      <c r="P482" s="1"/>
      <c r="Q482" s="1"/>
      <c r="R482" s="1"/>
      <c r="S482" s="1"/>
      <c r="T482" s="1"/>
      <c r="U482" s="1"/>
      <c r="V482" s="1"/>
      <c r="W482" s="1"/>
      <c r="X482" s="1"/>
      <c r="Y482" s="1"/>
      <c r="Z482" s="1"/>
    </row>
    <row r="483" customFormat="false" ht="15.75" hidden="false" customHeight="true" outlineLevel="0" collapsed="false">
      <c r="N483" s="1"/>
      <c r="O483" s="1"/>
      <c r="P483" s="1"/>
      <c r="Q483" s="1"/>
      <c r="R483" s="1"/>
      <c r="S483" s="1"/>
      <c r="T483" s="1"/>
      <c r="U483" s="1"/>
      <c r="V483" s="1"/>
      <c r="W483" s="1"/>
      <c r="X483" s="1"/>
      <c r="Y483" s="1"/>
      <c r="Z483" s="1"/>
    </row>
    <row r="484" customFormat="false" ht="15.75" hidden="false" customHeight="true" outlineLevel="0" collapsed="false">
      <c r="N484" s="1"/>
      <c r="O484" s="1"/>
      <c r="P484" s="1"/>
      <c r="Q484" s="1"/>
      <c r="R484" s="1"/>
      <c r="S484" s="1"/>
      <c r="T484" s="1"/>
      <c r="U484" s="1"/>
      <c r="V484" s="1"/>
      <c r="W484" s="1"/>
      <c r="X484" s="1"/>
      <c r="Y484" s="1"/>
      <c r="Z484" s="1"/>
    </row>
    <row r="485" customFormat="false" ht="15.75" hidden="false" customHeight="true" outlineLevel="0" collapsed="false">
      <c r="N485" s="1"/>
      <c r="O485" s="1"/>
      <c r="P485" s="1"/>
      <c r="Q485" s="1"/>
      <c r="R485" s="1"/>
      <c r="S485" s="1"/>
      <c r="T485" s="1"/>
      <c r="U485" s="1"/>
      <c r="V485" s="1"/>
      <c r="W485" s="1"/>
      <c r="X485" s="1"/>
      <c r="Y485" s="1"/>
      <c r="Z485" s="1"/>
    </row>
    <row r="486" customFormat="false" ht="15.75" hidden="false" customHeight="true" outlineLevel="0" collapsed="false">
      <c r="N486" s="1"/>
      <c r="O486" s="1"/>
      <c r="P486" s="1"/>
      <c r="Q486" s="1"/>
      <c r="R486" s="1"/>
      <c r="S486" s="1"/>
      <c r="T486" s="1"/>
      <c r="U486" s="1"/>
      <c r="V486" s="1"/>
      <c r="W486" s="1"/>
      <c r="X486" s="1"/>
      <c r="Y486" s="1"/>
      <c r="Z486" s="1"/>
    </row>
    <row r="487" customFormat="false" ht="15.75" hidden="false" customHeight="true" outlineLevel="0" collapsed="false">
      <c r="N487" s="1"/>
      <c r="O487" s="1"/>
      <c r="P487" s="1"/>
      <c r="Q487" s="1"/>
      <c r="R487" s="1"/>
      <c r="S487" s="1"/>
      <c r="T487" s="1"/>
      <c r="U487" s="1"/>
      <c r="V487" s="1"/>
      <c r="W487" s="1"/>
      <c r="X487" s="1"/>
      <c r="Y487" s="1"/>
      <c r="Z487" s="1"/>
    </row>
    <row r="488" customFormat="false" ht="15.75" hidden="false" customHeight="true" outlineLevel="0" collapsed="false">
      <c r="N488" s="1"/>
      <c r="O488" s="1"/>
      <c r="P488" s="1"/>
      <c r="Q488" s="1"/>
      <c r="R488" s="1"/>
      <c r="S488" s="1"/>
      <c r="T488" s="1"/>
      <c r="U488" s="1"/>
      <c r="V488" s="1"/>
      <c r="W488" s="1"/>
      <c r="X488" s="1"/>
      <c r="Y488" s="1"/>
      <c r="Z488" s="1"/>
    </row>
    <row r="489" customFormat="false" ht="15.75" hidden="false" customHeight="true" outlineLevel="0" collapsed="false">
      <c r="N489" s="1"/>
      <c r="O489" s="1"/>
      <c r="P489" s="1"/>
      <c r="Q489" s="1"/>
      <c r="R489" s="1"/>
      <c r="S489" s="1"/>
      <c r="T489" s="1"/>
      <c r="U489" s="1"/>
      <c r="V489" s="1"/>
      <c r="W489" s="1"/>
      <c r="X489" s="1"/>
      <c r="Y489" s="1"/>
      <c r="Z489" s="1"/>
    </row>
    <row r="490" customFormat="false" ht="15.75" hidden="false" customHeight="true" outlineLevel="0" collapsed="false">
      <c r="N490" s="1"/>
      <c r="O490" s="1"/>
      <c r="P490" s="1"/>
      <c r="Q490" s="1"/>
      <c r="R490" s="1"/>
      <c r="S490" s="1"/>
      <c r="T490" s="1"/>
      <c r="U490" s="1"/>
      <c r="V490" s="1"/>
      <c r="W490" s="1"/>
      <c r="X490" s="1"/>
      <c r="Y490" s="1"/>
      <c r="Z490" s="1"/>
    </row>
    <row r="491" customFormat="false" ht="15.75" hidden="false" customHeight="true" outlineLevel="0" collapsed="false">
      <c r="N491" s="1"/>
      <c r="O491" s="1"/>
      <c r="P491" s="1"/>
      <c r="Q491" s="1"/>
      <c r="R491" s="1"/>
      <c r="S491" s="1"/>
      <c r="T491" s="1"/>
      <c r="U491" s="1"/>
      <c r="V491" s="1"/>
      <c r="W491" s="1"/>
      <c r="X491" s="1"/>
      <c r="Y491" s="1"/>
      <c r="Z491" s="1"/>
    </row>
    <row r="492" customFormat="false" ht="15.75" hidden="false" customHeight="true" outlineLevel="0" collapsed="false">
      <c r="N492" s="1"/>
      <c r="O492" s="1"/>
      <c r="P492" s="1"/>
      <c r="Q492" s="1"/>
      <c r="R492" s="1"/>
      <c r="S492" s="1"/>
      <c r="T492" s="1"/>
      <c r="U492" s="1"/>
      <c r="V492" s="1"/>
      <c r="W492" s="1"/>
      <c r="X492" s="1"/>
      <c r="Y492" s="1"/>
      <c r="Z492" s="1"/>
    </row>
    <row r="493" customFormat="false" ht="15.75" hidden="false" customHeight="true" outlineLevel="0" collapsed="false">
      <c r="N493" s="1"/>
      <c r="O493" s="1"/>
      <c r="P493" s="1"/>
      <c r="Q493" s="1"/>
      <c r="R493" s="1"/>
      <c r="S493" s="1"/>
      <c r="T493" s="1"/>
      <c r="U493" s="1"/>
      <c r="V493" s="1"/>
      <c r="W493" s="1"/>
      <c r="X493" s="1"/>
      <c r="Y493" s="1"/>
      <c r="Z493" s="1"/>
    </row>
    <row r="494" customFormat="false" ht="15.75" hidden="false" customHeight="true" outlineLevel="0" collapsed="false">
      <c r="N494" s="1"/>
      <c r="O494" s="1"/>
      <c r="P494" s="1"/>
      <c r="Q494" s="1"/>
      <c r="R494" s="1"/>
      <c r="S494" s="1"/>
      <c r="T494" s="1"/>
      <c r="U494" s="1"/>
      <c r="V494" s="1"/>
      <c r="W494" s="1"/>
      <c r="X494" s="1"/>
      <c r="Y494" s="1"/>
      <c r="Z494" s="1"/>
    </row>
    <row r="495" customFormat="false" ht="15.75" hidden="false" customHeight="true" outlineLevel="0" collapsed="false">
      <c r="N495" s="1"/>
      <c r="O495" s="1"/>
      <c r="P495" s="1"/>
      <c r="Q495" s="1"/>
      <c r="R495" s="1"/>
      <c r="S495" s="1"/>
      <c r="T495" s="1"/>
      <c r="U495" s="1"/>
      <c r="V495" s="1"/>
      <c r="W495" s="1"/>
      <c r="X495" s="1"/>
      <c r="Y495" s="1"/>
      <c r="Z495" s="1"/>
    </row>
    <row r="496" customFormat="false" ht="15.75" hidden="false" customHeight="true" outlineLevel="0" collapsed="false">
      <c r="N496" s="1"/>
      <c r="O496" s="1"/>
      <c r="P496" s="1"/>
      <c r="Q496" s="1"/>
      <c r="R496" s="1"/>
      <c r="S496" s="1"/>
      <c r="T496" s="1"/>
      <c r="U496" s="1"/>
      <c r="V496" s="1"/>
      <c r="W496" s="1"/>
      <c r="X496" s="1"/>
      <c r="Y496" s="1"/>
      <c r="Z496" s="1"/>
    </row>
    <row r="497" customFormat="false" ht="15.75" hidden="false" customHeight="true" outlineLevel="0" collapsed="false">
      <c r="N497" s="1"/>
      <c r="O497" s="1"/>
      <c r="P497" s="1"/>
      <c r="Q497" s="1"/>
      <c r="R497" s="1"/>
      <c r="S497" s="1"/>
      <c r="T497" s="1"/>
      <c r="U497" s="1"/>
      <c r="V497" s="1"/>
      <c r="W497" s="1"/>
      <c r="X497" s="1"/>
      <c r="Y497" s="1"/>
      <c r="Z497" s="1"/>
    </row>
    <row r="498" customFormat="false" ht="15.75" hidden="false" customHeight="true" outlineLevel="0" collapsed="false">
      <c r="N498" s="1"/>
      <c r="O498" s="1"/>
      <c r="P498" s="1"/>
      <c r="Q498" s="1"/>
      <c r="R498" s="1"/>
      <c r="S498" s="1"/>
      <c r="T498" s="1"/>
      <c r="U498" s="1"/>
      <c r="V498" s="1"/>
      <c r="W498" s="1"/>
      <c r="X498" s="1"/>
      <c r="Y498" s="1"/>
      <c r="Z498" s="1"/>
    </row>
    <row r="499" customFormat="false" ht="15.75" hidden="false" customHeight="true" outlineLevel="0" collapsed="false">
      <c r="N499" s="1"/>
      <c r="O499" s="1"/>
      <c r="P499" s="1"/>
      <c r="Q499" s="1"/>
      <c r="R499" s="1"/>
      <c r="S499" s="1"/>
      <c r="T499" s="1"/>
      <c r="U499" s="1"/>
      <c r="V499" s="1"/>
      <c r="W499" s="1"/>
      <c r="X499" s="1"/>
      <c r="Y499" s="1"/>
      <c r="Z499" s="1"/>
    </row>
    <row r="500" customFormat="false" ht="15.75" hidden="false" customHeight="true" outlineLevel="0" collapsed="false">
      <c r="N500" s="1"/>
      <c r="O500" s="1"/>
      <c r="P500" s="1"/>
      <c r="Q500" s="1"/>
      <c r="R500" s="1"/>
      <c r="S500" s="1"/>
      <c r="T500" s="1"/>
      <c r="U500" s="1"/>
      <c r="V500" s="1"/>
      <c r="W500" s="1"/>
      <c r="X500" s="1"/>
      <c r="Y500" s="1"/>
      <c r="Z500" s="1"/>
    </row>
    <row r="501" customFormat="false" ht="15.75" hidden="false" customHeight="true" outlineLevel="0" collapsed="false">
      <c r="N501" s="1"/>
      <c r="O501" s="1"/>
      <c r="P501" s="1"/>
      <c r="Q501" s="1"/>
      <c r="R501" s="1"/>
      <c r="S501" s="1"/>
      <c r="T501" s="1"/>
      <c r="U501" s="1"/>
      <c r="V501" s="1"/>
      <c r="W501" s="1"/>
      <c r="X501" s="1"/>
      <c r="Y501" s="1"/>
      <c r="Z501" s="1"/>
    </row>
    <row r="502" customFormat="false" ht="15.75" hidden="false" customHeight="true" outlineLevel="0" collapsed="false">
      <c r="N502" s="1"/>
      <c r="O502" s="1"/>
      <c r="P502" s="1"/>
      <c r="Q502" s="1"/>
      <c r="R502" s="1"/>
      <c r="S502" s="1"/>
      <c r="T502" s="1"/>
      <c r="U502" s="1"/>
      <c r="V502" s="1"/>
      <c r="W502" s="1"/>
      <c r="X502" s="1"/>
      <c r="Y502" s="1"/>
      <c r="Z502" s="1"/>
    </row>
    <row r="503" customFormat="false" ht="15.75" hidden="false" customHeight="true" outlineLevel="0" collapsed="false">
      <c r="N503" s="1"/>
      <c r="O503" s="1"/>
      <c r="P503" s="1"/>
      <c r="Q503" s="1"/>
      <c r="R503" s="1"/>
      <c r="S503" s="1"/>
      <c r="T503" s="1"/>
      <c r="U503" s="1"/>
      <c r="V503" s="1"/>
      <c r="W503" s="1"/>
      <c r="X503" s="1"/>
      <c r="Y503" s="1"/>
      <c r="Z503" s="1"/>
    </row>
    <row r="504" customFormat="false" ht="15.75" hidden="false" customHeight="true" outlineLevel="0" collapsed="false">
      <c r="N504" s="1"/>
      <c r="O504" s="1"/>
      <c r="P504" s="1"/>
      <c r="Q504" s="1"/>
      <c r="R504" s="1"/>
      <c r="S504" s="1"/>
      <c r="T504" s="1"/>
      <c r="U504" s="1"/>
      <c r="V504" s="1"/>
      <c r="W504" s="1"/>
      <c r="X504" s="1"/>
      <c r="Y504" s="1"/>
      <c r="Z504" s="1"/>
    </row>
    <row r="505" customFormat="false" ht="15.75" hidden="false" customHeight="true" outlineLevel="0" collapsed="false">
      <c r="N505" s="1"/>
      <c r="O505" s="1"/>
      <c r="P505" s="1"/>
      <c r="Q505" s="1"/>
      <c r="R505" s="1"/>
      <c r="S505" s="1"/>
      <c r="T505" s="1"/>
      <c r="U505" s="1"/>
      <c r="V505" s="1"/>
      <c r="W505" s="1"/>
      <c r="X505" s="1"/>
      <c r="Y505" s="1"/>
      <c r="Z505" s="1"/>
    </row>
    <row r="506" customFormat="false" ht="15.75" hidden="false" customHeight="true" outlineLevel="0" collapsed="false">
      <c r="N506" s="1"/>
      <c r="O506" s="1"/>
      <c r="P506" s="1"/>
      <c r="Q506" s="1"/>
      <c r="R506" s="1"/>
      <c r="S506" s="1"/>
      <c r="T506" s="1"/>
      <c r="U506" s="1"/>
      <c r="V506" s="1"/>
      <c r="W506" s="1"/>
      <c r="X506" s="1"/>
      <c r="Y506" s="1"/>
      <c r="Z506" s="1"/>
    </row>
    <row r="507" customFormat="false" ht="15.75" hidden="false" customHeight="true" outlineLevel="0" collapsed="false">
      <c r="N507" s="1"/>
      <c r="O507" s="1"/>
      <c r="P507" s="1"/>
      <c r="Q507" s="1"/>
      <c r="R507" s="1"/>
      <c r="S507" s="1"/>
      <c r="T507" s="1"/>
      <c r="U507" s="1"/>
      <c r="V507" s="1"/>
      <c r="W507" s="1"/>
      <c r="X507" s="1"/>
      <c r="Y507" s="1"/>
      <c r="Z507" s="1"/>
    </row>
    <row r="508" customFormat="false" ht="15.75" hidden="false" customHeight="true" outlineLevel="0" collapsed="false">
      <c r="N508" s="1"/>
      <c r="O508" s="1"/>
      <c r="P508" s="1"/>
      <c r="Q508" s="1"/>
      <c r="R508" s="1"/>
      <c r="S508" s="1"/>
      <c r="T508" s="1"/>
      <c r="U508" s="1"/>
      <c r="V508" s="1"/>
      <c r="W508" s="1"/>
      <c r="X508" s="1"/>
      <c r="Y508" s="1"/>
      <c r="Z508" s="1"/>
    </row>
    <row r="509" customFormat="false" ht="15.75" hidden="false" customHeight="true" outlineLevel="0" collapsed="false">
      <c r="N509" s="1"/>
      <c r="O509" s="1"/>
      <c r="P509" s="1"/>
      <c r="Q509" s="1"/>
      <c r="R509" s="1"/>
      <c r="S509" s="1"/>
      <c r="T509" s="1"/>
      <c r="U509" s="1"/>
      <c r="V509" s="1"/>
      <c r="W509" s="1"/>
      <c r="X509" s="1"/>
      <c r="Y509" s="1"/>
      <c r="Z509" s="1"/>
    </row>
    <row r="510" customFormat="false" ht="15.75" hidden="false" customHeight="true" outlineLevel="0" collapsed="false">
      <c r="N510" s="1"/>
      <c r="O510" s="1"/>
      <c r="P510" s="1"/>
      <c r="Q510" s="1"/>
      <c r="R510" s="1"/>
      <c r="S510" s="1"/>
      <c r="T510" s="1"/>
      <c r="U510" s="1"/>
      <c r="V510" s="1"/>
      <c r="W510" s="1"/>
      <c r="X510" s="1"/>
      <c r="Y510" s="1"/>
      <c r="Z510" s="1"/>
    </row>
    <row r="511" customFormat="false" ht="15.75" hidden="false" customHeight="true" outlineLevel="0" collapsed="false">
      <c r="N511" s="1"/>
      <c r="O511" s="1"/>
      <c r="P511" s="1"/>
      <c r="Q511" s="1"/>
      <c r="R511" s="1"/>
      <c r="S511" s="1"/>
      <c r="T511" s="1"/>
      <c r="U511" s="1"/>
      <c r="V511" s="1"/>
      <c r="W511" s="1"/>
      <c r="X511" s="1"/>
      <c r="Y511" s="1"/>
      <c r="Z511" s="1"/>
    </row>
    <row r="512" customFormat="false" ht="15.75" hidden="false" customHeight="true" outlineLevel="0" collapsed="false">
      <c r="N512" s="1"/>
      <c r="O512" s="1"/>
      <c r="P512" s="1"/>
      <c r="Q512" s="1"/>
      <c r="R512" s="1"/>
      <c r="S512" s="1"/>
      <c r="T512" s="1"/>
      <c r="U512" s="1"/>
      <c r="V512" s="1"/>
      <c r="W512" s="1"/>
      <c r="X512" s="1"/>
      <c r="Y512" s="1"/>
      <c r="Z512" s="1"/>
    </row>
    <row r="513" customFormat="false" ht="15.75" hidden="false" customHeight="true" outlineLevel="0" collapsed="false">
      <c r="N513" s="1"/>
      <c r="O513" s="1"/>
      <c r="P513" s="1"/>
      <c r="Q513" s="1"/>
      <c r="R513" s="1"/>
      <c r="S513" s="1"/>
      <c r="T513" s="1"/>
      <c r="U513" s="1"/>
      <c r="V513" s="1"/>
      <c r="W513" s="1"/>
      <c r="X513" s="1"/>
      <c r="Y513" s="1"/>
      <c r="Z513" s="1"/>
    </row>
    <row r="514" customFormat="false" ht="15.75" hidden="false" customHeight="true" outlineLevel="0" collapsed="false">
      <c r="N514" s="1"/>
      <c r="O514" s="1"/>
      <c r="P514" s="1"/>
      <c r="Q514" s="1"/>
      <c r="R514" s="1"/>
      <c r="S514" s="1"/>
      <c r="T514" s="1"/>
      <c r="U514" s="1"/>
      <c r="V514" s="1"/>
      <c r="W514" s="1"/>
      <c r="X514" s="1"/>
      <c r="Y514" s="1"/>
      <c r="Z514" s="1"/>
    </row>
    <row r="515" customFormat="false" ht="15.75" hidden="false" customHeight="true" outlineLevel="0" collapsed="false">
      <c r="N515" s="1"/>
      <c r="O515" s="1"/>
      <c r="P515" s="1"/>
      <c r="Q515" s="1"/>
      <c r="R515" s="1"/>
      <c r="S515" s="1"/>
      <c r="T515" s="1"/>
      <c r="U515" s="1"/>
      <c r="V515" s="1"/>
      <c r="W515" s="1"/>
      <c r="X515" s="1"/>
      <c r="Y515" s="1"/>
      <c r="Z515" s="1"/>
    </row>
    <row r="516" customFormat="false" ht="15.75" hidden="false" customHeight="true" outlineLevel="0" collapsed="false">
      <c r="N516" s="1"/>
      <c r="O516" s="1"/>
      <c r="P516" s="1"/>
      <c r="Q516" s="1"/>
      <c r="R516" s="1"/>
      <c r="S516" s="1"/>
      <c r="T516" s="1"/>
      <c r="U516" s="1"/>
      <c r="V516" s="1"/>
      <c r="W516" s="1"/>
      <c r="X516" s="1"/>
      <c r="Y516" s="1"/>
      <c r="Z516" s="1"/>
    </row>
    <row r="517" customFormat="false" ht="15.75" hidden="false" customHeight="true" outlineLevel="0" collapsed="false">
      <c r="N517" s="1"/>
      <c r="O517" s="1"/>
      <c r="P517" s="1"/>
      <c r="Q517" s="1"/>
      <c r="R517" s="1"/>
      <c r="S517" s="1"/>
      <c r="T517" s="1"/>
      <c r="U517" s="1"/>
      <c r="V517" s="1"/>
      <c r="W517" s="1"/>
      <c r="X517" s="1"/>
      <c r="Y517" s="1"/>
      <c r="Z517" s="1"/>
    </row>
    <row r="518" customFormat="false" ht="15.75" hidden="false" customHeight="true" outlineLevel="0" collapsed="false">
      <c r="N518" s="1"/>
      <c r="O518" s="1"/>
      <c r="P518" s="1"/>
      <c r="Q518" s="1"/>
      <c r="R518" s="1"/>
      <c r="S518" s="1"/>
      <c r="T518" s="1"/>
      <c r="U518" s="1"/>
      <c r="V518" s="1"/>
      <c r="W518" s="1"/>
      <c r="X518" s="1"/>
      <c r="Y518" s="1"/>
      <c r="Z518" s="1"/>
    </row>
    <row r="519" customFormat="false" ht="15.75" hidden="false" customHeight="true" outlineLevel="0" collapsed="false">
      <c r="N519" s="1"/>
      <c r="O519" s="1"/>
      <c r="P519" s="1"/>
      <c r="Q519" s="1"/>
      <c r="R519" s="1"/>
      <c r="S519" s="1"/>
      <c r="T519" s="1"/>
      <c r="U519" s="1"/>
      <c r="V519" s="1"/>
      <c r="W519" s="1"/>
      <c r="X519" s="1"/>
      <c r="Y519" s="1"/>
      <c r="Z519" s="1"/>
    </row>
    <row r="520" customFormat="false" ht="15.75" hidden="false" customHeight="true" outlineLevel="0" collapsed="false">
      <c r="N520" s="1"/>
      <c r="O520" s="1"/>
      <c r="P520" s="1"/>
      <c r="Q520" s="1"/>
      <c r="R520" s="1"/>
      <c r="S520" s="1"/>
      <c r="T520" s="1"/>
      <c r="U520" s="1"/>
      <c r="V520" s="1"/>
      <c r="W520" s="1"/>
      <c r="X520" s="1"/>
      <c r="Y520" s="1"/>
      <c r="Z520" s="1"/>
    </row>
    <row r="521" customFormat="false" ht="15.75" hidden="false" customHeight="true" outlineLevel="0" collapsed="false">
      <c r="N521" s="1"/>
      <c r="O521" s="1"/>
      <c r="P521" s="1"/>
      <c r="Q521" s="1"/>
      <c r="R521" s="1"/>
      <c r="S521" s="1"/>
      <c r="T521" s="1"/>
      <c r="U521" s="1"/>
      <c r="V521" s="1"/>
      <c r="W521" s="1"/>
      <c r="X521" s="1"/>
      <c r="Y521" s="1"/>
      <c r="Z521" s="1"/>
    </row>
    <row r="522" customFormat="false" ht="15.75" hidden="false" customHeight="true" outlineLevel="0" collapsed="false">
      <c r="N522" s="1"/>
      <c r="O522" s="1"/>
      <c r="P522" s="1"/>
      <c r="Q522" s="1"/>
      <c r="R522" s="1"/>
      <c r="S522" s="1"/>
      <c r="T522" s="1"/>
      <c r="U522" s="1"/>
      <c r="V522" s="1"/>
      <c r="W522" s="1"/>
      <c r="X522" s="1"/>
      <c r="Y522" s="1"/>
      <c r="Z522" s="1"/>
    </row>
    <row r="523" customFormat="false" ht="15.75" hidden="false" customHeight="true" outlineLevel="0" collapsed="false">
      <c r="N523" s="1"/>
      <c r="O523" s="1"/>
      <c r="P523" s="1"/>
      <c r="Q523" s="1"/>
      <c r="R523" s="1"/>
      <c r="S523" s="1"/>
      <c r="T523" s="1"/>
      <c r="U523" s="1"/>
      <c r="V523" s="1"/>
      <c r="W523" s="1"/>
      <c r="X523" s="1"/>
      <c r="Y523" s="1"/>
      <c r="Z523" s="1"/>
    </row>
    <row r="524" customFormat="false" ht="15.75" hidden="false" customHeight="true" outlineLevel="0" collapsed="false">
      <c r="N524" s="1"/>
      <c r="O524" s="1"/>
      <c r="P524" s="1"/>
      <c r="Q524" s="1"/>
      <c r="R524" s="1"/>
      <c r="S524" s="1"/>
      <c r="T524" s="1"/>
      <c r="U524" s="1"/>
      <c r="V524" s="1"/>
      <c r="W524" s="1"/>
      <c r="X524" s="1"/>
      <c r="Y524" s="1"/>
      <c r="Z524" s="1"/>
    </row>
    <row r="525" customFormat="false" ht="15.75" hidden="false" customHeight="true" outlineLevel="0" collapsed="false">
      <c r="N525" s="1"/>
      <c r="O525" s="1"/>
      <c r="P525" s="1"/>
      <c r="Q525" s="1"/>
      <c r="R525" s="1"/>
      <c r="S525" s="1"/>
      <c r="T525" s="1"/>
      <c r="U525" s="1"/>
      <c r="V525" s="1"/>
      <c r="W525" s="1"/>
      <c r="X525" s="1"/>
      <c r="Y525" s="1"/>
      <c r="Z525" s="1"/>
    </row>
    <row r="526" customFormat="false" ht="15.75" hidden="false" customHeight="true" outlineLevel="0" collapsed="false">
      <c r="N526" s="1"/>
      <c r="O526" s="1"/>
      <c r="P526" s="1"/>
      <c r="Q526" s="1"/>
      <c r="R526" s="1"/>
      <c r="S526" s="1"/>
      <c r="T526" s="1"/>
      <c r="U526" s="1"/>
      <c r="V526" s="1"/>
      <c r="W526" s="1"/>
      <c r="X526" s="1"/>
      <c r="Y526" s="1"/>
      <c r="Z526" s="1"/>
    </row>
    <row r="527" customFormat="false" ht="15.75" hidden="false" customHeight="true" outlineLevel="0" collapsed="false">
      <c r="N527" s="1"/>
      <c r="O527" s="1"/>
      <c r="P527" s="1"/>
      <c r="Q527" s="1"/>
      <c r="R527" s="1"/>
      <c r="S527" s="1"/>
      <c r="T527" s="1"/>
      <c r="U527" s="1"/>
      <c r="V527" s="1"/>
      <c r="W527" s="1"/>
      <c r="X527" s="1"/>
      <c r="Y527" s="1"/>
      <c r="Z527" s="1"/>
    </row>
    <row r="528" customFormat="false" ht="15.75" hidden="false" customHeight="true" outlineLevel="0" collapsed="false">
      <c r="N528" s="1"/>
      <c r="O528" s="1"/>
      <c r="P528" s="1"/>
      <c r="Q528" s="1"/>
      <c r="R528" s="1"/>
      <c r="S528" s="1"/>
      <c r="T528" s="1"/>
      <c r="U528" s="1"/>
      <c r="V528" s="1"/>
      <c r="W528" s="1"/>
      <c r="X528" s="1"/>
      <c r="Y528" s="1"/>
      <c r="Z528" s="1"/>
    </row>
    <row r="529" customFormat="false" ht="15.75" hidden="false" customHeight="true" outlineLevel="0" collapsed="false">
      <c r="N529" s="1"/>
      <c r="O529" s="1"/>
      <c r="P529" s="1"/>
      <c r="Q529" s="1"/>
      <c r="R529" s="1"/>
      <c r="S529" s="1"/>
      <c r="T529" s="1"/>
      <c r="U529" s="1"/>
      <c r="V529" s="1"/>
      <c r="W529" s="1"/>
      <c r="X529" s="1"/>
      <c r="Y529" s="1"/>
      <c r="Z529" s="1"/>
    </row>
    <row r="530" customFormat="false" ht="15.75" hidden="false" customHeight="true" outlineLevel="0" collapsed="false">
      <c r="N530" s="1"/>
      <c r="O530" s="1"/>
      <c r="P530" s="1"/>
      <c r="Q530" s="1"/>
      <c r="R530" s="1"/>
      <c r="S530" s="1"/>
      <c r="T530" s="1"/>
      <c r="U530" s="1"/>
      <c r="V530" s="1"/>
      <c r="W530" s="1"/>
      <c r="X530" s="1"/>
      <c r="Y530" s="1"/>
      <c r="Z530" s="1"/>
    </row>
    <row r="531" customFormat="false" ht="15.75" hidden="false" customHeight="true" outlineLevel="0" collapsed="false">
      <c r="N531" s="1"/>
      <c r="O531" s="1"/>
      <c r="P531" s="1"/>
      <c r="Q531" s="1"/>
      <c r="R531" s="1"/>
      <c r="S531" s="1"/>
      <c r="T531" s="1"/>
      <c r="U531" s="1"/>
      <c r="V531" s="1"/>
      <c r="W531" s="1"/>
      <c r="X531" s="1"/>
      <c r="Y531" s="1"/>
      <c r="Z531" s="1"/>
    </row>
    <row r="532" customFormat="false" ht="15.75" hidden="false" customHeight="true" outlineLevel="0" collapsed="false">
      <c r="N532" s="1"/>
      <c r="O532" s="1"/>
      <c r="P532" s="1"/>
      <c r="Q532" s="1"/>
      <c r="R532" s="1"/>
      <c r="S532" s="1"/>
      <c r="T532" s="1"/>
      <c r="U532" s="1"/>
      <c r="V532" s="1"/>
      <c r="W532" s="1"/>
      <c r="X532" s="1"/>
      <c r="Y532" s="1"/>
      <c r="Z532" s="1"/>
    </row>
    <row r="533" customFormat="false" ht="15.75" hidden="false" customHeight="true" outlineLevel="0" collapsed="false">
      <c r="N533" s="1"/>
      <c r="O533" s="1"/>
      <c r="P533" s="1"/>
      <c r="Q533" s="1"/>
      <c r="R533" s="1"/>
      <c r="S533" s="1"/>
      <c r="T533" s="1"/>
      <c r="U533" s="1"/>
      <c r="V533" s="1"/>
      <c r="W533" s="1"/>
      <c r="X533" s="1"/>
      <c r="Y533" s="1"/>
      <c r="Z533" s="1"/>
    </row>
    <row r="534" customFormat="false" ht="15.75" hidden="false" customHeight="true" outlineLevel="0" collapsed="false">
      <c r="N534" s="1"/>
      <c r="O534" s="1"/>
      <c r="P534" s="1"/>
      <c r="Q534" s="1"/>
      <c r="R534" s="1"/>
      <c r="S534" s="1"/>
      <c r="T534" s="1"/>
      <c r="U534" s="1"/>
      <c r="V534" s="1"/>
      <c r="W534" s="1"/>
      <c r="X534" s="1"/>
      <c r="Y534" s="1"/>
      <c r="Z534" s="1"/>
    </row>
    <row r="535" customFormat="false" ht="15.75" hidden="false" customHeight="true" outlineLevel="0" collapsed="false">
      <c r="N535" s="1"/>
      <c r="O535" s="1"/>
      <c r="P535" s="1"/>
      <c r="Q535" s="1"/>
      <c r="R535" s="1"/>
      <c r="S535" s="1"/>
      <c r="T535" s="1"/>
      <c r="U535" s="1"/>
      <c r="V535" s="1"/>
      <c r="W535" s="1"/>
      <c r="X535" s="1"/>
      <c r="Y535" s="1"/>
      <c r="Z535" s="1"/>
    </row>
    <row r="536" customFormat="false" ht="15.75" hidden="false" customHeight="true" outlineLevel="0" collapsed="false">
      <c r="N536" s="1"/>
      <c r="O536" s="1"/>
      <c r="P536" s="1"/>
      <c r="Q536" s="1"/>
      <c r="R536" s="1"/>
      <c r="S536" s="1"/>
      <c r="T536" s="1"/>
      <c r="U536" s="1"/>
      <c r="V536" s="1"/>
      <c r="W536" s="1"/>
      <c r="X536" s="1"/>
      <c r="Y536" s="1"/>
      <c r="Z536" s="1"/>
    </row>
    <row r="537" customFormat="false" ht="15.75" hidden="false" customHeight="true" outlineLevel="0" collapsed="false">
      <c r="N537" s="1"/>
      <c r="O537" s="1"/>
      <c r="P537" s="1"/>
      <c r="Q537" s="1"/>
      <c r="R537" s="1"/>
      <c r="S537" s="1"/>
      <c r="T537" s="1"/>
      <c r="U537" s="1"/>
      <c r="V537" s="1"/>
      <c r="W537" s="1"/>
      <c r="X537" s="1"/>
      <c r="Y537" s="1"/>
      <c r="Z537" s="1"/>
    </row>
    <row r="538" customFormat="false" ht="15.75" hidden="false" customHeight="true" outlineLevel="0" collapsed="false">
      <c r="N538" s="1"/>
      <c r="O538" s="1"/>
      <c r="P538" s="1"/>
      <c r="Q538" s="1"/>
      <c r="R538" s="1"/>
      <c r="S538" s="1"/>
      <c r="T538" s="1"/>
      <c r="U538" s="1"/>
      <c r="V538" s="1"/>
      <c r="W538" s="1"/>
      <c r="X538" s="1"/>
      <c r="Y538" s="1"/>
      <c r="Z538" s="1"/>
    </row>
    <row r="539" customFormat="false" ht="15.75" hidden="false" customHeight="true" outlineLevel="0" collapsed="false">
      <c r="N539" s="1"/>
      <c r="O539" s="1"/>
      <c r="P539" s="1"/>
      <c r="Q539" s="1"/>
      <c r="R539" s="1"/>
      <c r="S539" s="1"/>
      <c r="T539" s="1"/>
      <c r="U539" s="1"/>
      <c r="V539" s="1"/>
      <c r="W539" s="1"/>
      <c r="X539" s="1"/>
      <c r="Y539" s="1"/>
      <c r="Z539" s="1"/>
    </row>
    <row r="540" customFormat="false" ht="15.75" hidden="false" customHeight="true" outlineLevel="0" collapsed="false">
      <c r="N540" s="1"/>
      <c r="O540" s="1"/>
      <c r="P540" s="1"/>
      <c r="Q540" s="1"/>
      <c r="R540" s="1"/>
      <c r="S540" s="1"/>
      <c r="T540" s="1"/>
      <c r="U540" s="1"/>
      <c r="V540" s="1"/>
      <c r="W540" s="1"/>
      <c r="X540" s="1"/>
      <c r="Y540" s="1"/>
      <c r="Z540" s="1"/>
    </row>
    <row r="541" customFormat="false" ht="15.75" hidden="false" customHeight="true" outlineLevel="0" collapsed="false">
      <c r="N541" s="1"/>
      <c r="O541" s="1"/>
      <c r="P541" s="1"/>
      <c r="Q541" s="1"/>
      <c r="R541" s="1"/>
      <c r="S541" s="1"/>
      <c r="T541" s="1"/>
      <c r="U541" s="1"/>
      <c r="V541" s="1"/>
      <c r="W541" s="1"/>
      <c r="X541" s="1"/>
      <c r="Y541" s="1"/>
      <c r="Z541" s="1"/>
    </row>
    <row r="542" customFormat="false" ht="15.75" hidden="false" customHeight="true" outlineLevel="0" collapsed="false">
      <c r="N542" s="1"/>
      <c r="O542" s="1"/>
      <c r="P542" s="1"/>
      <c r="Q542" s="1"/>
      <c r="R542" s="1"/>
      <c r="S542" s="1"/>
      <c r="T542" s="1"/>
      <c r="U542" s="1"/>
      <c r="V542" s="1"/>
      <c r="W542" s="1"/>
      <c r="X542" s="1"/>
      <c r="Y542" s="1"/>
      <c r="Z542" s="1"/>
    </row>
    <row r="543" customFormat="false" ht="15.75" hidden="false" customHeight="true" outlineLevel="0" collapsed="false">
      <c r="N543" s="1"/>
      <c r="O543" s="1"/>
      <c r="P543" s="1"/>
      <c r="Q543" s="1"/>
      <c r="R543" s="1"/>
      <c r="S543" s="1"/>
      <c r="T543" s="1"/>
      <c r="U543" s="1"/>
      <c r="V543" s="1"/>
      <c r="W543" s="1"/>
      <c r="X543" s="1"/>
      <c r="Y543" s="1"/>
      <c r="Z543" s="1"/>
    </row>
    <row r="544" customFormat="false" ht="15.75" hidden="false" customHeight="true" outlineLevel="0" collapsed="false">
      <c r="N544" s="1"/>
      <c r="O544" s="1"/>
      <c r="P544" s="1"/>
      <c r="Q544" s="1"/>
      <c r="R544" s="1"/>
      <c r="S544" s="1"/>
      <c r="T544" s="1"/>
      <c r="U544" s="1"/>
      <c r="V544" s="1"/>
      <c r="W544" s="1"/>
      <c r="X544" s="1"/>
      <c r="Y544" s="1"/>
      <c r="Z544" s="1"/>
    </row>
    <row r="545" customFormat="false" ht="15.75" hidden="false" customHeight="true" outlineLevel="0" collapsed="false">
      <c r="N545" s="1"/>
      <c r="O545" s="1"/>
      <c r="P545" s="1"/>
      <c r="Q545" s="1"/>
      <c r="R545" s="1"/>
      <c r="S545" s="1"/>
      <c r="T545" s="1"/>
      <c r="U545" s="1"/>
      <c r="V545" s="1"/>
      <c r="W545" s="1"/>
      <c r="X545" s="1"/>
      <c r="Y545" s="1"/>
      <c r="Z545" s="1"/>
    </row>
    <row r="546" customFormat="false" ht="15.75" hidden="false" customHeight="true" outlineLevel="0" collapsed="false">
      <c r="N546" s="1"/>
      <c r="O546" s="1"/>
      <c r="P546" s="1"/>
      <c r="Q546" s="1"/>
      <c r="R546" s="1"/>
      <c r="S546" s="1"/>
      <c r="T546" s="1"/>
      <c r="U546" s="1"/>
      <c r="V546" s="1"/>
      <c r="W546" s="1"/>
      <c r="X546" s="1"/>
      <c r="Y546" s="1"/>
      <c r="Z546" s="1"/>
    </row>
    <row r="547" customFormat="false" ht="15.75" hidden="false" customHeight="true" outlineLevel="0" collapsed="false">
      <c r="N547" s="1"/>
      <c r="O547" s="1"/>
      <c r="P547" s="1"/>
      <c r="Q547" s="1"/>
      <c r="R547" s="1"/>
      <c r="S547" s="1"/>
      <c r="T547" s="1"/>
      <c r="U547" s="1"/>
      <c r="V547" s="1"/>
      <c r="W547" s="1"/>
      <c r="X547" s="1"/>
      <c r="Y547" s="1"/>
      <c r="Z547" s="1"/>
    </row>
    <row r="548" customFormat="false" ht="15.75" hidden="false" customHeight="true" outlineLevel="0" collapsed="false">
      <c r="N548" s="1"/>
      <c r="O548" s="1"/>
      <c r="P548" s="1"/>
      <c r="Q548" s="1"/>
      <c r="R548" s="1"/>
      <c r="S548" s="1"/>
      <c r="T548" s="1"/>
      <c r="U548" s="1"/>
      <c r="V548" s="1"/>
      <c r="W548" s="1"/>
      <c r="X548" s="1"/>
      <c r="Y548" s="1"/>
      <c r="Z548" s="1"/>
    </row>
    <row r="549" customFormat="false" ht="15.75" hidden="false" customHeight="true" outlineLevel="0" collapsed="false">
      <c r="N549" s="1"/>
      <c r="O549" s="1"/>
      <c r="P549" s="1"/>
      <c r="Q549" s="1"/>
      <c r="R549" s="1"/>
      <c r="S549" s="1"/>
      <c r="T549" s="1"/>
      <c r="U549" s="1"/>
      <c r="V549" s="1"/>
      <c r="W549" s="1"/>
      <c r="X549" s="1"/>
      <c r="Y549" s="1"/>
      <c r="Z549" s="1"/>
    </row>
    <row r="550" customFormat="false" ht="15.75" hidden="false" customHeight="true" outlineLevel="0" collapsed="false">
      <c r="N550" s="1"/>
      <c r="O550" s="1"/>
      <c r="P550" s="1"/>
      <c r="Q550" s="1"/>
      <c r="R550" s="1"/>
      <c r="S550" s="1"/>
      <c r="T550" s="1"/>
      <c r="U550" s="1"/>
      <c r="V550" s="1"/>
      <c r="W550" s="1"/>
      <c r="X550" s="1"/>
      <c r="Y550" s="1"/>
      <c r="Z550" s="1"/>
    </row>
    <row r="551" customFormat="false" ht="15.75" hidden="false" customHeight="true" outlineLevel="0" collapsed="false">
      <c r="N551" s="1"/>
      <c r="O551" s="1"/>
      <c r="P551" s="1"/>
      <c r="Q551" s="1"/>
      <c r="R551" s="1"/>
      <c r="S551" s="1"/>
      <c r="T551" s="1"/>
      <c r="U551" s="1"/>
      <c r="V551" s="1"/>
      <c r="W551" s="1"/>
      <c r="X551" s="1"/>
      <c r="Y551" s="1"/>
      <c r="Z551" s="1"/>
    </row>
    <row r="552" customFormat="false" ht="15.75" hidden="false" customHeight="true" outlineLevel="0" collapsed="false">
      <c r="N552" s="1"/>
      <c r="O552" s="1"/>
      <c r="P552" s="1"/>
      <c r="Q552" s="1"/>
      <c r="R552" s="1"/>
      <c r="S552" s="1"/>
      <c r="T552" s="1"/>
      <c r="U552" s="1"/>
      <c r="V552" s="1"/>
      <c r="W552" s="1"/>
      <c r="X552" s="1"/>
      <c r="Y552" s="1"/>
      <c r="Z552" s="1"/>
    </row>
    <row r="553" customFormat="false" ht="15.75" hidden="false" customHeight="true" outlineLevel="0" collapsed="false">
      <c r="N553" s="1"/>
      <c r="O553" s="1"/>
      <c r="P553" s="1"/>
      <c r="Q553" s="1"/>
      <c r="R553" s="1"/>
      <c r="S553" s="1"/>
      <c r="T553" s="1"/>
      <c r="U553" s="1"/>
      <c r="V553" s="1"/>
      <c r="W553" s="1"/>
      <c r="X553" s="1"/>
      <c r="Y553" s="1"/>
      <c r="Z553" s="1"/>
    </row>
    <row r="554" customFormat="false" ht="15.75" hidden="false" customHeight="true" outlineLevel="0" collapsed="false">
      <c r="N554" s="1"/>
      <c r="O554" s="1"/>
      <c r="P554" s="1"/>
      <c r="Q554" s="1"/>
      <c r="R554" s="1"/>
      <c r="S554" s="1"/>
      <c r="T554" s="1"/>
      <c r="U554" s="1"/>
      <c r="V554" s="1"/>
      <c r="W554" s="1"/>
      <c r="X554" s="1"/>
      <c r="Y554" s="1"/>
      <c r="Z554" s="1"/>
    </row>
    <row r="555" customFormat="false" ht="15.75" hidden="false" customHeight="true" outlineLevel="0" collapsed="false">
      <c r="N555" s="1"/>
      <c r="O555" s="1"/>
      <c r="P555" s="1"/>
      <c r="Q555" s="1"/>
      <c r="R555" s="1"/>
      <c r="S555" s="1"/>
      <c r="T555" s="1"/>
      <c r="U555" s="1"/>
      <c r="V555" s="1"/>
      <c r="W555" s="1"/>
      <c r="X555" s="1"/>
      <c r="Y555" s="1"/>
      <c r="Z555" s="1"/>
    </row>
    <row r="556" customFormat="false" ht="15.75" hidden="false" customHeight="true" outlineLevel="0" collapsed="false">
      <c r="N556" s="1"/>
      <c r="O556" s="1"/>
      <c r="P556" s="1"/>
      <c r="Q556" s="1"/>
      <c r="R556" s="1"/>
      <c r="S556" s="1"/>
      <c r="T556" s="1"/>
      <c r="U556" s="1"/>
      <c r="V556" s="1"/>
      <c r="W556" s="1"/>
      <c r="X556" s="1"/>
      <c r="Y556" s="1"/>
      <c r="Z556" s="1"/>
    </row>
    <row r="557" customFormat="false" ht="15.75" hidden="false" customHeight="true" outlineLevel="0" collapsed="false">
      <c r="N557" s="1"/>
      <c r="O557" s="1"/>
      <c r="P557" s="1"/>
      <c r="Q557" s="1"/>
      <c r="R557" s="1"/>
      <c r="S557" s="1"/>
      <c r="T557" s="1"/>
      <c r="U557" s="1"/>
      <c r="V557" s="1"/>
      <c r="W557" s="1"/>
      <c r="X557" s="1"/>
      <c r="Y557" s="1"/>
      <c r="Z557" s="1"/>
    </row>
    <row r="558" customFormat="false" ht="15.75" hidden="false" customHeight="true" outlineLevel="0" collapsed="false">
      <c r="N558" s="1"/>
      <c r="O558" s="1"/>
      <c r="P558" s="1"/>
      <c r="Q558" s="1"/>
      <c r="R558" s="1"/>
      <c r="S558" s="1"/>
      <c r="T558" s="1"/>
      <c r="U558" s="1"/>
      <c r="V558" s="1"/>
      <c r="W558" s="1"/>
      <c r="X558" s="1"/>
      <c r="Y558" s="1"/>
      <c r="Z558" s="1"/>
    </row>
    <row r="559" customFormat="false" ht="15.75" hidden="false" customHeight="true" outlineLevel="0" collapsed="false">
      <c r="N559" s="1"/>
      <c r="O559" s="1"/>
      <c r="P559" s="1"/>
      <c r="Q559" s="1"/>
      <c r="R559" s="1"/>
      <c r="S559" s="1"/>
      <c r="T559" s="1"/>
      <c r="U559" s="1"/>
      <c r="V559" s="1"/>
      <c r="W559" s="1"/>
      <c r="X559" s="1"/>
      <c r="Y559" s="1"/>
      <c r="Z559" s="1"/>
    </row>
    <row r="560" customFormat="false" ht="15.75" hidden="false" customHeight="true" outlineLevel="0" collapsed="false">
      <c r="N560" s="1"/>
      <c r="O560" s="1"/>
      <c r="P560" s="1"/>
      <c r="Q560" s="1"/>
      <c r="R560" s="1"/>
      <c r="S560" s="1"/>
      <c r="T560" s="1"/>
      <c r="U560" s="1"/>
      <c r="V560" s="1"/>
      <c r="W560" s="1"/>
      <c r="X560" s="1"/>
      <c r="Y560" s="1"/>
      <c r="Z560" s="1"/>
    </row>
    <row r="561" customFormat="false" ht="15.75" hidden="false" customHeight="true" outlineLevel="0" collapsed="false">
      <c r="N561" s="1"/>
      <c r="O561" s="1"/>
      <c r="P561" s="1"/>
      <c r="Q561" s="1"/>
      <c r="R561" s="1"/>
      <c r="S561" s="1"/>
      <c r="T561" s="1"/>
      <c r="U561" s="1"/>
      <c r="V561" s="1"/>
      <c r="W561" s="1"/>
      <c r="X561" s="1"/>
      <c r="Y561" s="1"/>
      <c r="Z561" s="1"/>
    </row>
    <row r="562" customFormat="false" ht="15.75" hidden="false" customHeight="true" outlineLevel="0" collapsed="false">
      <c r="N562" s="1"/>
      <c r="O562" s="1"/>
      <c r="P562" s="1"/>
      <c r="Q562" s="1"/>
      <c r="R562" s="1"/>
      <c r="S562" s="1"/>
      <c r="T562" s="1"/>
      <c r="U562" s="1"/>
      <c r="V562" s="1"/>
      <c r="W562" s="1"/>
      <c r="X562" s="1"/>
      <c r="Y562" s="1"/>
      <c r="Z562" s="1"/>
    </row>
    <row r="563" customFormat="false" ht="15.75" hidden="false" customHeight="true" outlineLevel="0" collapsed="false">
      <c r="N563" s="1"/>
      <c r="O563" s="1"/>
      <c r="P563" s="1"/>
      <c r="Q563" s="1"/>
      <c r="R563" s="1"/>
      <c r="S563" s="1"/>
      <c r="T563" s="1"/>
      <c r="U563" s="1"/>
      <c r="V563" s="1"/>
      <c r="W563" s="1"/>
      <c r="X563" s="1"/>
      <c r="Y563" s="1"/>
      <c r="Z563" s="1"/>
    </row>
    <row r="564" customFormat="false" ht="15.75" hidden="false" customHeight="true" outlineLevel="0" collapsed="false">
      <c r="N564" s="1"/>
      <c r="O564" s="1"/>
      <c r="P564" s="1"/>
      <c r="Q564" s="1"/>
      <c r="R564" s="1"/>
      <c r="S564" s="1"/>
      <c r="T564" s="1"/>
      <c r="U564" s="1"/>
      <c r="V564" s="1"/>
      <c r="W564" s="1"/>
      <c r="X564" s="1"/>
      <c r="Y564" s="1"/>
      <c r="Z564" s="1"/>
    </row>
    <row r="565" customFormat="false" ht="15.75" hidden="false" customHeight="true" outlineLevel="0" collapsed="false">
      <c r="N565" s="1"/>
      <c r="O565" s="1"/>
      <c r="P565" s="1"/>
      <c r="Q565" s="1"/>
      <c r="R565" s="1"/>
      <c r="S565" s="1"/>
      <c r="T565" s="1"/>
      <c r="U565" s="1"/>
      <c r="V565" s="1"/>
      <c r="W565" s="1"/>
      <c r="X565" s="1"/>
      <c r="Y565" s="1"/>
      <c r="Z565" s="1"/>
    </row>
    <row r="566" customFormat="false" ht="15.75" hidden="false" customHeight="true" outlineLevel="0" collapsed="false">
      <c r="N566" s="1"/>
      <c r="O566" s="1"/>
      <c r="P566" s="1"/>
      <c r="Q566" s="1"/>
      <c r="R566" s="1"/>
      <c r="S566" s="1"/>
      <c r="T566" s="1"/>
      <c r="U566" s="1"/>
      <c r="V566" s="1"/>
      <c r="W566" s="1"/>
      <c r="X566" s="1"/>
      <c r="Y566" s="1"/>
      <c r="Z566" s="1"/>
    </row>
    <row r="567" customFormat="false" ht="15.75" hidden="false" customHeight="true" outlineLevel="0" collapsed="false">
      <c r="N567" s="1"/>
      <c r="O567" s="1"/>
      <c r="P567" s="1"/>
      <c r="Q567" s="1"/>
      <c r="R567" s="1"/>
      <c r="S567" s="1"/>
      <c r="T567" s="1"/>
      <c r="U567" s="1"/>
      <c r="V567" s="1"/>
      <c r="W567" s="1"/>
      <c r="X567" s="1"/>
      <c r="Y567" s="1"/>
      <c r="Z567" s="1"/>
    </row>
    <row r="568" customFormat="false" ht="15.75" hidden="false" customHeight="true" outlineLevel="0" collapsed="false">
      <c r="N568" s="1"/>
      <c r="O568" s="1"/>
      <c r="P568" s="1"/>
      <c r="Q568" s="1"/>
      <c r="R568" s="1"/>
      <c r="S568" s="1"/>
      <c r="T568" s="1"/>
      <c r="U568" s="1"/>
      <c r="V568" s="1"/>
      <c r="W568" s="1"/>
      <c r="X568" s="1"/>
      <c r="Y568" s="1"/>
      <c r="Z568" s="1"/>
    </row>
    <row r="569" customFormat="false" ht="15.75" hidden="false" customHeight="true" outlineLevel="0" collapsed="false">
      <c r="N569" s="1"/>
      <c r="O569" s="1"/>
      <c r="P569" s="1"/>
      <c r="Q569" s="1"/>
      <c r="R569" s="1"/>
      <c r="S569" s="1"/>
      <c r="T569" s="1"/>
      <c r="U569" s="1"/>
      <c r="V569" s="1"/>
      <c r="W569" s="1"/>
      <c r="X569" s="1"/>
      <c r="Y569" s="1"/>
      <c r="Z569" s="1"/>
    </row>
    <row r="570" customFormat="false" ht="15.75" hidden="false" customHeight="true" outlineLevel="0" collapsed="false">
      <c r="N570" s="1"/>
      <c r="O570" s="1"/>
      <c r="P570" s="1"/>
      <c r="Q570" s="1"/>
      <c r="R570" s="1"/>
      <c r="S570" s="1"/>
      <c r="T570" s="1"/>
      <c r="U570" s="1"/>
      <c r="V570" s="1"/>
      <c r="W570" s="1"/>
      <c r="X570" s="1"/>
      <c r="Y570" s="1"/>
      <c r="Z570" s="1"/>
    </row>
    <row r="571" customFormat="false" ht="15.75" hidden="false" customHeight="true" outlineLevel="0" collapsed="false">
      <c r="N571" s="1"/>
      <c r="O571" s="1"/>
      <c r="P571" s="1"/>
      <c r="Q571" s="1"/>
      <c r="R571" s="1"/>
      <c r="S571" s="1"/>
      <c r="T571" s="1"/>
      <c r="U571" s="1"/>
      <c r="V571" s="1"/>
      <c r="W571" s="1"/>
      <c r="X571" s="1"/>
      <c r="Y571" s="1"/>
      <c r="Z571" s="1"/>
    </row>
    <row r="572" customFormat="false" ht="15.75" hidden="false" customHeight="true" outlineLevel="0" collapsed="false">
      <c r="N572" s="1"/>
      <c r="O572" s="1"/>
      <c r="P572" s="1"/>
      <c r="Q572" s="1"/>
      <c r="R572" s="1"/>
      <c r="S572" s="1"/>
      <c r="T572" s="1"/>
      <c r="U572" s="1"/>
      <c r="V572" s="1"/>
      <c r="W572" s="1"/>
      <c r="X572" s="1"/>
      <c r="Y572" s="1"/>
      <c r="Z572" s="1"/>
    </row>
    <row r="573" customFormat="false" ht="15.75" hidden="false" customHeight="true" outlineLevel="0" collapsed="false">
      <c r="N573" s="1"/>
      <c r="O573" s="1"/>
      <c r="P573" s="1"/>
      <c r="Q573" s="1"/>
      <c r="R573" s="1"/>
      <c r="S573" s="1"/>
      <c r="T573" s="1"/>
      <c r="U573" s="1"/>
      <c r="V573" s="1"/>
      <c r="W573" s="1"/>
      <c r="X573" s="1"/>
      <c r="Y573" s="1"/>
      <c r="Z573" s="1"/>
    </row>
    <row r="574" customFormat="false" ht="15.75" hidden="false" customHeight="true" outlineLevel="0" collapsed="false">
      <c r="N574" s="1"/>
      <c r="O574" s="1"/>
      <c r="P574" s="1"/>
      <c r="Q574" s="1"/>
      <c r="R574" s="1"/>
      <c r="S574" s="1"/>
      <c r="T574" s="1"/>
      <c r="U574" s="1"/>
      <c r="V574" s="1"/>
      <c r="W574" s="1"/>
      <c r="X574" s="1"/>
      <c r="Y574" s="1"/>
      <c r="Z574" s="1"/>
    </row>
    <row r="575" customFormat="false" ht="15.75" hidden="false" customHeight="true" outlineLevel="0" collapsed="false">
      <c r="N575" s="1"/>
      <c r="O575" s="1"/>
      <c r="P575" s="1"/>
      <c r="Q575" s="1"/>
      <c r="R575" s="1"/>
      <c r="S575" s="1"/>
      <c r="T575" s="1"/>
      <c r="U575" s="1"/>
      <c r="V575" s="1"/>
      <c r="W575" s="1"/>
      <c r="X575" s="1"/>
      <c r="Y575" s="1"/>
      <c r="Z575" s="1"/>
    </row>
    <row r="576" customFormat="false" ht="15.75" hidden="false" customHeight="true" outlineLevel="0" collapsed="false">
      <c r="N576" s="1"/>
      <c r="O576" s="1"/>
      <c r="P576" s="1"/>
      <c r="Q576" s="1"/>
      <c r="R576" s="1"/>
      <c r="S576" s="1"/>
      <c r="T576" s="1"/>
      <c r="U576" s="1"/>
      <c r="V576" s="1"/>
      <c r="W576" s="1"/>
      <c r="X576" s="1"/>
      <c r="Y576" s="1"/>
      <c r="Z576" s="1"/>
    </row>
    <row r="577" customFormat="false" ht="15.75" hidden="false" customHeight="true" outlineLevel="0" collapsed="false">
      <c r="N577" s="1"/>
      <c r="O577" s="1"/>
      <c r="P577" s="1"/>
      <c r="Q577" s="1"/>
      <c r="R577" s="1"/>
      <c r="S577" s="1"/>
      <c r="T577" s="1"/>
      <c r="U577" s="1"/>
      <c r="V577" s="1"/>
      <c r="W577" s="1"/>
      <c r="X577" s="1"/>
      <c r="Y577" s="1"/>
      <c r="Z577" s="1"/>
    </row>
    <row r="578" customFormat="false" ht="15.75" hidden="false" customHeight="true" outlineLevel="0" collapsed="false">
      <c r="N578" s="1"/>
      <c r="O578" s="1"/>
      <c r="P578" s="1"/>
      <c r="Q578" s="1"/>
      <c r="R578" s="1"/>
      <c r="S578" s="1"/>
      <c r="T578" s="1"/>
      <c r="U578" s="1"/>
      <c r="V578" s="1"/>
      <c r="W578" s="1"/>
      <c r="X578" s="1"/>
      <c r="Y578" s="1"/>
      <c r="Z578" s="1"/>
    </row>
    <row r="579" customFormat="false" ht="15.75" hidden="false" customHeight="true" outlineLevel="0" collapsed="false">
      <c r="N579" s="1"/>
      <c r="O579" s="1"/>
      <c r="P579" s="1"/>
      <c r="Q579" s="1"/>
      <c r="R579" s="1"/>
      <c r="S579" s="1"/>
      <c r="T579" s="1"/>
      <c r="U579" s="1"/>
      <c r="V579" s="1"/>
      <c r="W579" s="1"/>
      <c r="X579" s="1"/>
      <c r="Y579" s="1"/>
      <c r="Z579" s="1"/>
    </row>
    <row r="580" customFormat="false" ht="15.75" hidden="false" customHeight="true" outlineLevel="0" collapsed="false">
      <c r="N580" s="1"/>
      <c r="O580" s="1"/>
      <c r="P580" s="1"/>
      <c r="Q580" s="1"/>
      <c r="R580" s="1"/>
      <c r="S580" s="1"/>
      <c r="T580" s="1"/>
      <c r="U580" s="1"/>
      <c r="V580" s="1"/>
      <c r="W580" s="1"/>
      <c r="X580" s="1"/>
      <c r="Y580" s="1"/>
      <c r="Z580" s="1"/>
    </row>
    <row r="581" customFormat="false" ht="15.75" hidden="false" customHeight="true" outlineLevel="0" collapsed="false">
      <c r="N581" s="1"/>
      <c r="O581" s="1"/>
      <c r="P581" s="1"/>
      <c r="Q581" s="1"/>
      <c r="R581" s="1"/>
      <c r="S581" s="1"/>
      <c r="T581" s="1"/>
      <c r="U581" s="1"/>
      <c r="V581" s="1"/>
      <c r="W581" s="1"/>
      <c r="X581" s="1"/>
      <c r="Y581" s="1"/>
      <c r="Z581" s="1"/>
    </row>
    <row r="582" customFormat="false" ht="15.75" hidden="false" customHeight="true" outlineLevel="0" collapsed="false">
      <c r="N582" s="1"/>
      <c r="O582" s="1"/>
      <c r="P582" s="1"/>
      <c r="Q582" s="1"/>
      <c r="R582" s="1"/>
      <c r="S582" s="1"/>
      <c r="T582" s="1"/>
      <c r="U582" s="1"/>
      <c r="V582" s="1"/>
      <c r="W582" s="1"/>
      <c r="X582" s="1"/>
      <c r="Y582" s="1"/>
      <c r="Z582" s="1"/>
    </row>
    <row r="583" customFormat="false" ht="15.75" hidden="false" customHeight="true" outlineLevel="0" collapsed="false">
      <c r="N583" s="1"/>
      <c r="O583" s="1"/>
      <c r="P583" s="1"/>
      <c r="Q583" s="1"/>
      <c r="R583" s="1"/>
      <c r="S583" s="1"/>
      <c r="T583" s="1"/>
      <c r="U583" s="1"/>
      <c r="V583" s="1"/>
      <c r="W583" s="1"/>
      <c r="X583" s="1"/>
      <c r="Y583" s="1"/>
      <c r="Z583" s="1"/>
    </row>
    <row r="584" customFormat="false" ht="15.75" hidden="false" customHeight="true" outlineLevel="0" collapsed="false">
      <c r="N584" s="1"/>
      <c r="O584" s="1"/>
      <c r="P584" s="1"/>
      <c r="Q584" s="1"/>
      <c r="R584" s="1"/>
      <c r="S584" s="1"/>
      <c r="T584" s="1"/>
      <c r="U584" s="1"/>
      <c r="V584" s="1"/>
      <c r="W584" s="1"/>
      <c r="X584" s="1"/>
      <c r="Y584" s="1"/>
      <c r="Z584" s="1"/>
    </row>
    <row r="585" customFormat="false" ht="15.75" hidden="false" customHeight="true" outlineLevel="0" collapsed="false">
      <c r="N585" s="1"/>
      <c r="O585" s="1"/>
      <c r="P585" s="1"/>
      <c r="Q585" s="1"/>
      <c r="R585" s="1"/>
      <c r="S585" s="1"/>
      <c r="T585" s="1"/>
      <c r="U585" s="1"/>
      <c r="V585" s="1"/>
      <c r="W585" s="1"/>
      <c r="X585" s="1"/>
      <c r="Y585" s="1"/>
      <c r="Z585" s="1"/>
    </row>
    <row r="586" customFormat="false" ht="15.75" hidden="false" customHeight="true" outlineLevel="0" collapsed="false">
      <c r="N586" s="1"/>
      <c r="O586" s="1"/>
      <c r="P586" s="1"/>
      <c r="Q586" s="1"/>
      <c r="R586" s="1"/>
      <c r="S586" s="1"/>
      <c r="T586" s="1"/>
      <c r="U586" s="1"/>
      <c r="V586" s="1"/>
      <c r="W586" s="1"/>
      <c r="X586" s="1"/>
      <c r="Y586" s="1"/>
      <c r="Z586" s="1"/>
    </row>
    <row r="587" customFormat="false" ht="15.75" hidden="false" customHeight="true" outlineLevel="0" collapsed="false">
      <c r="N587" s="1"/>
      <c r="O587" s="1"/>
      <c r="P587" s="1"/>
      <c r="Q587" s="1"/>
      <c r="R587" s="1"/>
      <c r="S587" s="1"/>
      <c r="T587" s="1"/>
      <c r="U587" s="1"/>
      <c r="V587" s="1"/>
      <c r="W587" s="1"/>
      <c r="X587" s="1"/>
      <c r="Y587" s="1"/>
      <c r="Z587" s="1"/>
    </row>
    <row r="588" customFormat="false" ht="15.75" hidden="false" customHeight="true" outlineLevel="0" collapsed="false">
      <c r="N588" s="1"/>
      <c r="O588" s="1"/>
      <c r="P588" s="1"/>
      <c r="Q588" s="1"/>
      <c r="R588" s="1"/>
      <c r="S588" s="1"/>
      <c r="T588" s="1"/>
      <c r="U588" s="1"/>
      <c r="V588" s="1"/>
      <c r="W588" s="1"/>
      <c r="X588" s="1"/>
      <c r="Y588" s="1"/>
      <c r="Z588" s="1"/>
    </row>
    <row r="589" customFormat="false" ht="15.75" hidden="false" customHeight="true" outlineLevel="0" collapsed="false">
      <c r="N589" s="1"/>
      <c r="O589" s="1"/>
      <c r="P589" s="1"/>
      <c r="Q589" s="1"/>
      <c r="R589" s="1"/>
      <c r="S589" s="1"/>
      <c r="T589" s="1"/>
      <c r="U589" s="1"/>
      <c r="V589" s="1"/>
      <c r="W589" s="1"/>
      <c r="X589" s="1"/>
      <c r="Y589" s="1"/>
      <c r="Z589" s="1"/>
    </row>
    <row r="590" customFormat="false" ht="15.75" hidden="false" customHeight="true" outlineLevel="0" collapsed="false">
      <c r="N590" s="1"/>
      <c r="O590" s="1"/>
      <c r="P590" s="1"/>
      <c r="Q590" s="1"/>
      <c r="R590" s="1"/>
      <c r="S590" s="1"/>
      <c r="T590" s="1"/>
      <c r="U590" s="1"/>
      <c r="V590" s="1"/>
      <c r="W590" s="1"/>
      <c r="X590" s="1"/>
      <c r="Y590" s="1"/>
      <c r="Z590" s="1"/>
    </row>
    <row r="591" customFormat="false" ht="15.75" hidden="false" customHeight="true" outlineLevel="0" collapsed="false">
      <c r="N591" s="1"/>
      <c r="O591" s="1"/>
      <c r="P591" s="1"/>
      <c r="Q591" s="1"/>
      <c r="R591" s="1"/>
      <c r="S591" s="1"/>
      <c r="T591" s="1"/>
      <c r="U591" s="1"/>
      <c r="V591" s="1"/>
      <c r="W591" s="1"/>
      <c r="X591" s="1"/>
      <c r="Y591" s="1"/>
      <c r="Z591" s="1"/>
    </row>
    <row r="592" customFormat="false" ht="15.75" hidden="false" customHeight="true" outlineLevel="0" collapsed="false">
      <c r="N592" s="1"/>
      <c r="O592" s="1"/>
      <c r="P592" s="1"/>
      <c r="Q592" s="1"/>
      <c r="R592" s="1"/>
      <c r="S592" s="1"/>
      <c r="T592" s="1"/>
      <c r="U592" s="1"/>
      <c r="V592" s="1"/>
      <c r="W592" s="1"/>
      <c r="X592" s="1"/>
      <c r="Y592" s="1"/>
      <c r="Z592" s="1"/>
    </row>
    <row r="593" customFormat="false" ht="15.75" hidden="false" customHeight="true" outlineLevel="0" collapsed="false">
      <c r="N593" s="1"/>
      <c r="O593" s="1"/>
      <c r="P593" s="1"/>
      <c r="Q593" s="1"/>
      <c r="R593" s="1"/>
      <c r="S593" s="1"/>
      <c r="T593" s="1"/>
      <c r="U593" s="1"/>
      <c r="V593" s="1"/>
      <c r="W593" s="1"/>
      <c r="X593" s="1"/>
      <c r="Y593" s="1"/>
      <c r="Z593" s="1"/>
    </row>
    <row r="594" customFormat="false" ht="15.75" hidden="false" customHeight="true" outlineLevel="0" collapsed="false">
      <c r="N594" s="1"/>
      <c r="O594" s="1"/>
      <c r="P594" s="1"/>
      <c r="Q594" s="1"/>
      <c r="R594" s="1"/>
      <c r="S594" s="1"/>
      <c r="T594" s="1"/>
      <c r="U594" s="1"/>
      <c r="V594" s="1"/>
      <c r="W594" s="1"/>
      <c r="X594" s="1"/>
      <c r="Y594" s="1"/>
      <c r="Z594" s="1"/>
    </row>
    <row r="595" customFormat="false" ht="15.75" hidden="false" customHeight="true" outlineLevel="0" collapsed="false">
      <c r="N595" s="1"/>
      <c r="O595" s="1"/>
      <c r="P595" s="1"/>
      <c r="Q595" s="1"/>
      <c r="R595" s="1"/>
      <c r="S595" s="1"/>
      <c r="T595" s="1"/>
      <c r="U595" s="1"/>
      <c r="V595" s="1"/>
      <c r="W595" s="1"/>
      <c r="X595" s="1"/>
      <c r="Y595" s="1"/>
      <c r="Z595" s="1"/>
    </row>
    <row r="596" customFormat="false" ht="15.75" hidden="false" customHeight="true" outlineLevel="0" collapsed="false">
      <c r="N596" s="1"/>
      <c r="O596" s="1"/>
      <c r="P596" s="1"/>
      <c r="Q596" s="1"/>
      <c r="R596" s="1"/>
      <c r="S596" s="1"/>
      <c r="T596" s="1"/>
      <c r="U596" s="1"/>
      <c r="V596" s="1"/>
      <c r="W596" s="1"/>
      <c r="X596" s="1"/>
      <c r="Y596" s="1"/>
      <c r="Z596" s="1"/>
    </row>
    <row r="597" customFormat="false" ht="15.75" hidden="false" customHeight="true" outlineLevel="0" collapsed="false">
      <c r="N597" s="1"/>
      <c r="O597" s="1"/>
      <c r="P597" s="1"/>
      <c r="Q597" s="1"/>
      <c r="R597" s="1"/>
      <c r="S597" s="1"/>
      <c r="T597" s="1"/>
      <c r="U597" s="1"/>
      <c r="V597" s="1"/>
      <c r="W597" s="1"/>
      <c r="X597" s="1"/>
      <c r="Y597" s="1"/>
      <c r="Z597" s="1"/>
    </row>
    <row r="598" customFormat="false" ht="15.75" hidden="false" customHeight="true" outlineLevel="0" collapsed="false">
      <c r="N598" s="1"/>
      <c r="O598" s="1"/>
      <c r="P598" s="1"/>
      <c r="Q598" s="1"/>
      <c r="R598" s="1"/>
      <c r="S598" s="1"/>
      <c r="T598" s="1"/>
      <c r="U598" s="1"/>
      <c r="V598" s="1"/>
      <c r="W598" s="1"/>
      <c r="X598" s="1"/>
      <c r="Y598" s="1"/>
      <c r="Z598" s="1"/>
    </row>
    <row r="599" customFormat="false" ht="15.75" hidden="false" customHeight="true" outlineLevel="0" collapsed="false">
      <c r="N599" s="1"/>
      <c r="O599" s="1"/>
      <c r="P599" s="1"/>
      <c r="Q599" s="1"/>
      <c r="R599" s="1"/>
      <c r="S599" s="1"/>
      <c r="T599" s="1"/>
      <c r="U599" s="1"/>
      <c r="V599" s="1"/>
      <c r="W599" s="1"/>
      <c r="X599" s="1"/>
      <c r="Y599" s="1"/>
      <c r="Z599" s="1"/>
    </row>
    <row r="600" customFormat="false" ht="15.75" hidden="false" customHeight="true" outlineLevel="0" collapsed="false">
      <c r="N600" s="1"/>
      <c r="O600" s="1"/>
      <c r="P600" s="1"/>
      <c r="Q600" s="1"/>
      <c r="R600" s="1"/>
      <c r="S600" s="1"/>
      <c r="T600" s="1"/>
      <c r="U600" s="1"/>
      <c r="V600" s="1"/>
      <c r="W600" s="1"/>
      <c r="X600" s="1"/>
      <c r="Y600" s="1"/>
      <c r="Z600" s="1"/>
    </row>
    <row r="601" customFormat="false" ht="15.75" hidden="false" customHeight="true" outlineLevel="0" collapsed="false">
      <c r="N601" s="1"/>
      <c r="O601" s="1"/>
      <c r="P601" s="1"/>
      <c r="Q601" s="1"/>
      <c r="R601" s="1"/>
      <c r="S601" s="1"/>
      <c r="T601" s="1"/>
      <c r="U601" s="1"/>
      <c r="V601" s="1"/>
      <c r="W601" s="1"/>
      <c r="X601" s="1"/>
      <c r="Y601" s="1"/>
      <c r="Z601" s="1"/>
    </row>
    <row r="602" customFormat="false" ht="15.75" hidden="false" customHeight="true" outlineLevel="0" collapsed="false">
      <c r="N602" s="1"/>
      <c r="O602" s="1"/>
      <c r="P602" s="1"/>
      <c r="Q602" s="1"/>
      <c r="R602" s="1"/>
      <c r="S602" s="1"/>
      <c r="T602" s="1"/>
      <c r="U602" s="1"/>
      <c r="V602" s="1"/>
      <c r="W602" s="1"/>
      <c r="X602" s="1"/>
      <c r="Y602" s="1"/>
      <c r="Z602" s="1"/>
    </row>
    <row r="603" customFormat="false" ht="15.75" hidden="false" customHeight="true" outlineLevel="0" collapsed="false">
      <c r="N603" s="1"/>
      <c r="O603" s="1"/>
      <c r="P603" s="1"/>
      <c r="Q603" s="1"/>
      <c r="R603" s="1"/>
      <c r="S603" s="1"/>
      <c r="T603" s="1"/>
      <c r="U603" s="1"/>
      <c r="V603" s="1"/>
      <c r="W603" s="1"/>
      <c r="X603" s="1"/>
      <c r="Y603" s="1"/>
      <c r="Z603" s="1"/>
    </row>
    <row r="604" customFormat="false" ht="15.75" hidden="false" customHeight="true" outlineLevel="0" collapsed="false">
      <c r="N604" s="1"/>
      <c r="O604" s="1"/>
      <c r="P604" s="1"/>
      <c r="Q604" s="1"/>
      <c r="R604" s="1"/>
      <c r="S604" s="1"/>
      <c r="T604" s="1"/>
      <c r="U604" s="1"/>
      <c r="V604" s="1"/>
      <c r="W604" s="1"/>
      <c r="X604" s="1"/>
      <c r="Y604" s="1"/>
      <c r="Z604" s="1"/>
    </row>
    <row r="605" customFormat="false" ht="15.75" hidden="false" customHeight="true" outlineLevel="0" collapsed="false">
      <c r="N605" s="1"/>
      <c r="O605" s="1"/>
      <c r="P605" s="1"/>
      <c r="Q605" s="1"/>
      <c r="R605" s="1"/>
      <c r="S605" s="1"/>
      <c r="T605" s="1"/>
      <c r="U605" s="1"/>
      <c r="V605" s="1"/>
      <c r="W605" s="1"/>
      <c r="X605" s="1"/>
      <c r="Y605" s="1"/>
      <c r="Z605" s="1"/>
    </row>
    <row r="606" customFormat="false" ht="15.75" hidden="false" customHeight="true" outlineLevel="0" collapsed="false">
      <c r="N606" s="1"/>
      <c r="O606" s="1"/>
      <c r="P606" s="1"/>
      <c r="Q606" s="1"/>
      <c r="R606" s="1"/>
      <c r="S606" s="1"/>
      <c r="T606" s="1"/>
      <c r="U606" s="1"/>
      <c r="V606" s="1"/>
      <c r="W606" s="1"/>
      <c r="X606" s="1"/>
      <c r="Y606" s="1"/>
      <c r="Z606" s="1"/>
    </row>
    <row r="607" customFormat="false" ht="15.75" hidden="false" customHeight="true" outlineLevel="0" collapsed="false">
      <c r="N607" s="1"/>
      <c r="O607" s="1"/>
      <c r="P607" s="1"/>
      <c r="Q607" s="1"/>
      <c r="R607" s="1"/>
      <c r="S607" s="1"/>
      <c r="T607" s="1"/>
      <c r="U607" s="1"/>
      <c r="V607" s="1"/>
      <c r="W607" s="1"/>
      <c r="X607" s="1"/>
      <c r="Y607" s="1"/>
      <c r="Z607" s="1"/>
    </row>
    <row r="608" customFormat="false" ht="15.75" hidden="false" customHeight="true" outlineLevel="0" collapsed="false">
      <c r="N608" s="1"/>
      <c r="O608" s="1"/>
      <c r="P608" s="1"/>
      <c r="Q608" s="1"/>
      <c r="R608" s="1"/>
      <c r="S608" s="1"/>
      <c r="T608" s="1"/>
      <c r="U608" s="1"/>
      <c r="V608" s="1"/>
      <c r="W608" s="1"/>
      <c r="X608" s="1"/>
      <c r="Y608" s="1"/>
      <c r="Z608" s="1"/>
    </row>
    <row r="609" customFormat="false" ht="15.75" hidden="false" customHeight="true" outlineLevel="0" collapsed="false">
      <c r="N609" s="1"/>
      <c r="O609" s="1"/>
      <c r="P609" s="1"/>
      <c r="Q609" s="1"/>
      <c r="R609" s="1"/>
      <c r="S609" s="1"/>
      <c r="T609" s="1"/>
      <c r="U609" s="1"/>
      <c r="V609" s="1"/>
      <c r="W609" s="1"/>
      <c r="X609" s="1"/>
      <c r="Y609" s="1"/>
      <c r="Z609" s="1"/>
    </row>
    <row r="610" customFormat="false" ht="15.75" hidden="false" customHeight="true" outlineLevel="0" collapsed="false">
      <c r="N610" s="1"/>
      <c r="O610" s="1"/>
      <c r="P610" s="1"/>
      <c r="Q610" s="1"/>
      <c r="R610" s="1"/>
      <c r="S610" s="1"/>
      <c r="T610" s="1"/>
      <c r="U610" s="1"/>
      <c r="V610" s="1"/>
      <c r="W610" s="1"/>
      <c r="X610" s="1"/>
      <c r="Y610" s="1"/>
      <c r="Z610" s="1"/>
    </row>
    <row r="611" customFormat="false" ht="15.75" hidden="false" customHeight="true" outlineLevel="0" collapsed="false">
      <c r="N611" s="1"/>
      <c r="O611" s="1"/>
      <c r="P611" s="1"/>
      <c r="Q611" s="1"/>
      <c r="R611" s="1"/>
      <c r="S611" s="1"/>
      <c r="T611" s="1"/>
      <c r="U611" s="1"/>
      <c r="V611" s="1"/>
      <c r="W611" s="1"/>
      <c r="X611" s="1"/>
      <c r="Y611" s="1"/>
      <c r="Z611" s="1"/>
    </row>
    <row r="612" customFormat="false" ht="15.75" hidden="false" customHeight="true" outlineLevel="0" collapsed="false">
      <c r="N612" s="1"/>
      <c r="O612" s="1"/>
      <c r="P612" s="1"/>
      <c r="Q612" s="1"/>
      <c r="R612" s="1"/>
      <c r="S612" s="1"/>
      <c r="T612" s="1"/>
      <c r="U612" s="1"/>
      <c r="V612" s="1"/>
      <c r="W612" s="1"/>
      <c r="X612" s="1"/>
      <c r="Y612" s="1"/>
      <c r="Z612" s="1"/>
    </row>
    <row r="613" customFormat="false" ht="15.75" hidden="false" customHeight="true" outlineLevel="0" collapsed="false">
      <c r="N613" s="1"/>
      <c r="O613" s="1"/>
      <c r="P613" s="1"/>
      <c r="Q613" s="1"/>
      <c r="R613" s="1"/>
      <c r="S613" s="1"/>
      <c r="T613" s="1"/>
      <c r="U613" s="1"/>
      <c r="V613" s="1"/>
      <c r="W613" s="1"/>
      <c r="X613" s="1"/>
      <c r="Y613" s="1"/>
      <c r="Z613" s="1"/>
    </row>
    <row r="614" customFormat="false" ht="15.75" hidden="false" customHeight="true" outlineLevel="0" collapsed="false">
      <c r="N614" s="1"/>
      <c r="O614" s="1"/>
      <c r="P614" s="1"/>
      <c r="Q614" s="1"/>
      <c r="R614" s="1"/>
      <c r="S614" s="1"/>
      <c r="T614" s="1"/>
      <c r="U614" s="1"/>
      <c r="V614" s="1"/>
      <c r="W614" s="1"/>
      <c r="X614" s="1"/>
      <c r="Y614" s="1"/>
      <c r="Z614" s="1"/>
    </row>
    <row r="615" customFormat="false" ht="15.75" hidden="false" customHeight="true" outlineLevel="0" collapsed="false">
      <c r="N615" s="1"/>
      <c r="O615" s="1"/>
      <c r="P615" s="1"/>
      <c r="Q615" s="1"/>
      <c r="R615" s="1"/>
      <c r="S615" s="1"/>
      <c r="T615" s="1"/>
      <c r="U615" s="1"/>
      <c r="V615" s="1"/>
      <c r="W615" s="1"/>
      <c r="X615" s="1"/>
      <c r="Y615" s="1"/>
      <c r="Z615" s="1"/>
    </row>
    <row r="616" customFormat="false" ht="15.75" hidden="false" customHeight="true" outlineLevel="0" collapsed="false">
      <c r="N616" s="1"/>
      <c r="O616" s="1"/>
      <c r="P616" s="1"/>
      <c r="Q616" s="1"/>
      <c r="R616" s="1"/>
      <c r="S616" s="1"/>
      <c r="T616" s="1"/>
      <c r="U616" s="1"/>
      <c r="V616" s="1"/>
      <c r="W616" s="1"/>
      <c r="X616" s="1"/>
      <c r="Y616" s="1"/>
      <c r="Z616" s="1"/>
    </row>
    <row r="617" customFormat="false" ht="15.75" hidden="false" customHeight="true" outlineLevel="0" collapsed="false">
      <c r="N617" s="1"/>
      <c r="O617" s="1"/>
      <c r="P617" s="1"/>
      <c r="Q617" s="1"/>
      <c r="R617" s="1"/>
      <c r="S617" s="1"/>
      <c r="T617" s="1"/>
      <c r="U617" s="1"/>
      <c r="V617" s="1"/>
      <c r="W617" s="1"/>
      <c r="X617" s="1"/>
      <c r="Y617" s="1"/>
      <c r="Z617" s="1"/>
    </row>
    <row r="618" customFormat="false" ht="15.75" hidden="false" customHeight="true" outlineLevel="0" collapsed="false">
      <c r="N618" s="1"/>
      <c r="O618" s="1"/>
      <c r="P618" s="1"/>
      <c r="Q618" s="1"/>
      <c r="R618" s="1"/>
      <c r="S618" s="1"/>
      <c r="T618" s="1"/>
      <c r="U618" s="1"/>
      <c r="V618" s="1"/>
      <c r="W618" s="1"/>
      <c r="X618" s="1"/>
      <c r="Y618" s="1"/>
      <c r="Z618" s="1"/>
    </row>
    <row r="619" customFormat="false" ht="15.75" hidden="false" customHeight="true" outlineLevel="0" collapsed="false">
      <c r="N619" s="1"/>
      <c r="O619" s="1"/>
      <c r="P619" s="1"/>
      <c r="Q619" s="1"/>
      <c r="R619" s="1"/>
      <c r="S619" s="1"/>
      <c r="T619" s="1"/>
      <c r="U619" s="1"/>
      <c r="V619" s="1"/>
      <c r="W619" s="1"/>
      <c r="X619" s="1"/>
      <c r="Y619" s="1"/>
      <c r="Z619" s="1"/>
    </row>
    <row r="620" customFormat="false" ht="15.75" hidden="false" customHeight="true" outlineLevel="0" collapsed="false">
      <c r="N620" s="1"/>
      <c r="O620" s="1"/>
      <c r="P620" s="1"/>
      <c r="Q620" s="1"/>
      <c r="R620" s="1"/>
      <c r="S620" s="1"/>
      <c r="T620" s="1"/>
      <c r="U620" s="1"/>
      <c r="V620" s="1"/>
      <c r="W620" s="1"/>
      <c r="X620" s="1"/>
      <c r="Y620" s="1"/>
      <c r="Z620" s="1"/>
    </row>
    <row r="621" customFormat="false" ht="15.75" hidden="false" customHeight="true" outlineLevel="0" collapsed="false">
      <c r="N621" s="1"/>
      <c r="O621" s="1"/>
      <c r="P621" s="1"/>
      <c r="Q621" s="1"/>
      <c r="R621" s="1"/>
      <c r="S621" s="1"/>
      <c r="T621" s="1"/>
      <c r="U621" s="1"/>
      <c r="V621" s="1"/>
      <c r="W621" s="1"/>
      <c r="X621" s="1"/>
      <c r="Y621" s="1"/>
      <c r="Z621" s="1"/>
    </row>
    <row r="622" customFormat="false" ht="15.75" hidden="false" customHeight="true" outlineLevel="0" collapsed="false">
      <c r="N622" s="1"/>
      <c r="O622" s="1"/>
      <c r="P622" s="1"/>
      <c r="Q622" s="1"/>
      <c r="R622" s="1"/>
      <c r="S622" s="1"/>
      <c r="T622" s="1"/>
      <c r="U622" s="1"/>
      <c r="V622" s="1"/>
      <c r="W622" s="1"/>
      <c r="X622" s="1"/>
      <c r="Y622" s="1"/>
      <c r="Z622" s="1"/>
    </row>
    <row r="623" customFormat="false" ht="15.75" hidden="false" customHeight="true" outlineLevel="0" collapsed="false">
      <c r="N623" s="1"/>
      <c r="O623" s="1"/>
      <c r="P623" s="1"/>
      <c r="Q623" s="1"/>
      <c r="R623" s="1"/>
      <c r="S623" s="1"/>
      <c r="T623" s="1"/>
      <c r="U623" s="1"/>
      <c r="V623" s="1"/>
      <c r="W623" s="1"/>
      <c r="X623" s="1"/>
      <c r="Y623" s="1"/>
      <c r="Z623" s="1"/>
    </row>
    <row r="624" customFormat="false" ht="15.75" hidden="false" customHeight="true" outlineLevel="0" collapsed="false">
      <c r="N624" s="1"/>
      <c r="O624" s="1"/>
      <c r="P624" s="1"/>
      <c r="Q624" s="1"/>
      <c r="R624" s="1"/>
      <c r="S624" s="1"/>
      <c r="T624" s="1"/>
      <c r="U624" s="1"/>
      <c r="V624" s="1"/>
      <c r="W624" s="1"/>
      <c r="X624" s="1"/>
      <c r="Y624" s="1"/>
      <c r="Z624" s="1"/>
    </row>
    <row r="625" customFormat="false" ht="15.75" hidden="false" customHeight="true" outlineLevel="0" collapsed="false">
      <c r="N625" s="1"/>
      <c r="O625" s="1"/>
      <c r="P625" s="1"/>
      <c r="Q625" s="1"/>
      <c r="R625" s="1"/>
      <c r="S625" s="1"/>
      <c r="T625" s="1"/>
      <c r="U625" s="1"/>
      <c r="V625" s="1"/>
      <c r="W625" s="1"/>
      <c r="X625" s="1"/>
      <c r="Y625" s="1"/>
      <c r="Z625" s="1"/>
    </row>
    <row r="626" customFormat="false" ht="15.75" hidden="false" customHeight="true" outlineLevel="0" collapsed="false">
      <c r="N626" s="1"/>
      <c r="O626" s="1"/>
      <c r="P626" s="1"/>
      <c r="Q626" s="1"/>
      <c r="R626" s="1"/>
      <c r="S626" s="1"/>
      <c r="T626" s="1"/>
      <c r="U626" s="1"/>
      <c r="V626" s="1"/>
      <c r="W626" s="1"/>
      <c r="X626" s="1"/>
      <c r="Y626" s="1"/>
      <c r="Z626" s="1"/>
    </row>
    <row r="627" customFormat="false" ht="15.75" hidden="false" customHeight="true" outlineLevel="0" collapsed="false">
      <c r="N627" s="1"/>
      <c r="O627" s="1"/>
      <c r="P627" s="1"/>
      <c r="Q627" s="1"/>
      <c r="R627" s="1"/>
      <c r="S627" s="1"/>
      <c r="T627" s="1"/>
      <c r="U627" s="1"/>
      <c r="V627" s="1"/>
      <c r="W627" s="1"/>
      <c r="X627" s="1"/>
      <c r="Y627" s="1"/>
      <c r="Z627" s="1"/>
    </row>
    <row r="628" customFormat="false" ht="15.75" hidden="false" customHeight="true" outlineLevel="0" collapsed="false">
      <c r="N628" s="1"/>
      <c r="O628" s="1"/>
      <c r="P628" s="1"/>
      <c r="Q628" s="1"/>
      <c r="R628" s="1"/>
      <c r="S628" s="1"/>
      <c r="T628" s="1"/>
      <c r="U628" s="1"/>
      <c r="V628" s="1"/>
      <c r="W628" s="1"/>
      <c r="X628" s="1"/>
      <c r="Y628" s="1"/>
      <c r="Z628" s="1"/>
    </row>
    <row r="629" customFormat="false" ht="15.75" hidden="false" customHeight="true" outlineLevel="0" collapsed="false">
      <c r="N629" s="1"/>
      <c r="O629" s="1"/>
      <c r="P629" s="1"/>
      <c r="Q629" s="1"/>
      <c r="R629" s="1"/>
      <c r="S629" s="1"/>
      <c r="T629" s="1"/>
      <c r="U629" s="1"/>
      <c r="V629" s="1"/>
      <c r="W629" s="1"/>
      <c r="X629" s="1"/>
      <c r="Y629" s="1"/>
      <c r="Z629" s="1"/>
    </row>
    <row r="630" customFormat="false" ht="15.75" hidden="false" customHeight="true" outlineLevel="0" collapsed="false">
      <c r="N630" s="1"/>
      <c r="O630" s="1"/>
      <c r="P630" s="1"/>
      <c r="Q630" s="1"/>
      <c r="R630" s="1"/>
      <c r="S630" s="1"/>
      <c r="T630" s="1"/>
      <c r="U630" s="1"/>
      <c r="V630" s="1"/>
      <c r="W630" s="1"/>
      <c r="X630" s="1"/>
      <c r="Y630" s="1"/>
      <c r="Z630" s="1"/>
    </row>
    <row r="631" customFormat="false" ht="15.75" hidden="false" customHeight="true" outlineLevel="0" collapsed="false">
      <c r="N631" s="1"/>
      <c r="O631" s="1"/>
      <c r="P631" s="1"/>
      <c r="Q631" s="1"/>
      <c r="R631" s="1"/>
      <c r="S631" s="1"/>
      <c r="T631" s="1"/>
      <c r="U631" s="1"/>
      <c r="V631" s="1"/>
      <c r="W631" s="1"/>
      <c r="X631" s="1"/>
      <c r="Y631" s="1"/>
      <c r="Z631" s="1"/>
    </row>
    <row r="632" customFormat="false" ht="15.75" hidden="false" customHeight="true" outlineLevel="0" collapsed="false">
      <c r="N632" s="1"/>
      <c r="O632" s="1"/>
      <c r="P632" s="1"/>
      <c r="Q632" s="1"/>
      <c r="R632" s="1"/>
      <c r="S632" s="1"/>
      <c r="T632" s="1"/>
      <c r="U632" s="1"/>
      <c r="V632" s="1"/>
      <c r="W632" s="1"/>
      <c r="X632" s="1"/>
      <c r="Y632" s="1"/>
      <c r="Z632" s="1"/>
    </row>
    <row r="633" customFormat="false" ht="15.75" hidden="false" customHeight="true" outlineLevel="0" collapsed="false">
      <c r="N633" s="1"/>
      <c r="O633" s="1"/>
      <c r="P633" s="1"/>
      <c r="Q633" s="1"/>
      <c r="R633" s="1"/>
      <c r="S633" s="1"/>
      <c r="T633" s="1"/>
      <c r="U633" s="1"/>
      <c r="V633" s="1"/>
      <c r="W633" s="1"/>
      <c r="X633" s="1"/>
      <c r="Y633" s="1"/>
      <c r="Z633" s="1"/>
    </row>
    <row r="634" customFormat="false" ht="15.75" hidden="false" customHeight="true" outlineLevel="0" collapsed="false">
      <c r="N634" s="1"/>
      <c r="O634" s="1"/>
      <c r="P634" s="1"/>
      <c r="Q634" s="1"/>
      <c r="R634" s="1"/>
      <c r="S634" s="1"/>
      <c r="T634" s="1"/>
      <c r="U634" s="1"/>
      <c r="V634" s="1"/>
      <c r="W634" s="1"/>
      <c r="X634" s="1"/>
      <c r="Y634" s="1"/>
      <c r="Z634" s="1"/>
    </row>
    <row r="635" customFormat="false" ht="15.75" hidden="false" customHeight="true" outlineLevel="0" collapsed="false">
      <c r="N635" s="1"/>
      <c r="O635" s="1"/>
      <c r="P635" s="1"/>
      <c r="Q635" s="1"/>
      <c r="R635" s="1"/>
      <c r="S635" s="1"/>
      <c r="T635" s="1"/>
      <c r="U635" s="1"/>
      <c r="V635" s="1"/>
      <c r="W635" s="1"/>
      <c r="X635" s="1"/>
      <c r="Y635" s="1"/>
      <c r="Z635" s="1"/>
    </row>
    <row r="636" customFormat="false" ht="15.75" hidden="false" customHeight="true" outlineLevel="0" collapsed="false">
      <c r="N636" s="1"/>
      <c r="O636" s="1"/>
      <c r="P636" s="1"/>
      <c r="Q636" s="1"/>
      <c r="R636" s="1"/>
      <c r="S636" s="1"/>
      <c r="T636" s="1"/>
      <c r="U636" s="1"/>
      <c r="V636" s="1"/>
      <c r="W636" s="1"/>
      <c r="X636" s="1"/>
      <c r="Y636" s="1"/>
      <c r="Z636" s="1"/>
    </row>
    <row r="637" customFormat="false" ht="15.75" hidden="false" customHeight="true" outlineLevel="0" collapsed="false">
      <c r="N637" s="1"/>
      <c r="O637" s="1"/>
      <c r="P637" s="1"/>
      <c r="Q637" s="1"/>
      <c r="R637" s="1"/>
      <c r="S637" s="1"/>
      <c r="T637" s="1"/>
      <c r="U637" s="1"/>
      <c r="V637" s="1"/>
      <c r="W637" s="1"/>
      <c r="X637" s="1"/>
      <c r="Y637" s="1"/>
      <c r="Z637" s="1"/>
    </row>
    <row r="638" customFormat="false" ht="15.75" hidden="false" customHeight="true" outlineLevel="0" collapsed="false">
      <c r="N638" s="1"/>
      <c r="O638" s="1"/>
      <c r="P638" s="1"/>
      <c r="Q638" s="1"/>
      <c r="R638" s="1"/>
      <c r="S638" s="1"/>
      <c r="T638" s="1"/>
      <c r="U638" s="1"/>
      <c r="V638" s="1"/>
      <c r="W638" s="1"/>
      <c r="X638" s="1"/>
      <c r="Y638" s="1"/>
      <c r="Z638" s="1"/>
    </row>
    <row r="639" customFormat="false" ht="15.75" hidden="false" customHeight="true" outlineLevel="0" collapsed="false">
      <c r="N639" s="1"/>
      <c r="O639" s="1"/>
      <c r="P639" s="1"/>
      <c r="Q639" s="1"/>
      <c r="R639" s="1"/>
      <c r="S639" s="1"/>
      <c r="T639" s="1"/>
      <c r="U639" s="1"/>
      <c r="V639" s="1"/>
      <c r="W639" s="1"/>
      <c r="X639" s="1"/>
      <c r="Y639" s="1"/>
      <c r="Z639" s="1"/>
    </row>
    <row r="640" customFormat="false" ht="15.75" hidden="false" customHeight="true" outlineLevel="0" collapsed="false">
      <c r="N640" s="1"/>
      <c r="O640" s="1"/>
      <c r="P640" s="1"/>
      <c r="Q640" s="1"/>
      <c r="R640" s="1"/>
      <c r="S640" s="1"/>
      <c r="T640" s="1"/>
      <c r="U640" s="1"/>
      <c r="V640" s="1"/>
      <c r="W640" s="1"/>
      <c r="X640" s="1"/>
      <c r="Y640" s="1"/>
      <c r="Z640" s="1"/>
    </row>
    <row r="641" customFormat="false" ht="15.75" hidden="false" customHeight="true" outlineLevel="0" collapsed="false">
      <c r="N641" s="1"/>
      <c r="O641" s="1"/>
      <c r="P641" s="1"/>
      <c r="Q641" s="1"/>
      <c r="R641" s="1"/>
      <c r="S641" s="1"/>
      <c r="T641" s="1"/>
      <c r="U641" s="1"/>
      <c r="V641" s="1"/>
      <c r="W641" s="1"/>
      <c r="X641" s="1"/>
      <c r="Y641" s="1"/>
      <c r="Z641" s="1"/>
    </row>
    <row r="642" customFormat="false" ht="15.75" hidden="false" customHeight="true" outlineLevel="0" collapsed="false">
      <c r="N642" s="1"/>
      <c r="O642" s="1"/>
      <c r="P642" s="1"/>
      <c r="Q642" s="1"/>
      <c r="R642" s="1"/>
      <c r="S642" s="1"/>
      <c r="T642" s="1"/>
      <c r="U642" s="1"/>
      <c r="V642" s="1"/>
      <c r="W642" s="1"/>
      <c r="X642" s="1"/>
      <c r="Y642" s="1"/>
      <c r="Z642" s="1"/>
    </row>
    <row r="643" customFormat="false" ht="15.75" hidden="false" customHeight="true" outlineLevel="0" collapsed="false">
      <c r="N643" s="1"/>
      <c r="O643" s="1"/>
      <c r="P643" s="1"/>
      <c r="Q643" s="1"/>
      <c r="R643" s="1"/>
      <c r="S643" s="1"/>
      <c r="T643" s="1"/>
      <c r="U643" s="1"/>
      <c r="V643" s="1"/>
      <c r="W643" s="1"/>
      <c r="X643" s="1"/>
      <c r="Y643" s="1"/>
      <c r="Z643" s="1"/>
    </row>
    <row r="644" customFormat="false" ht="15.75" hidden="false" customHeight="true" outlineLevel="0" collapsed="false">
      <c r="N644" s="1"/>
      <c r="O644" s="1"/>
      <c r="P644" s="1"/>
      <c r="Q644" s="1"/>
      <c r="R644" s="1"/>
      <c r="S644" s="1"/>
      <c r="T644" s="1"/>
      <c r="U644" s="1"/>
      <c r="V644" s="1"/>
      <c r="W644" s="1"/>
      <c r="X644" s="1"/>
      <c r="Y644" s="1"/>
      <c r="Z644" s="1"/>
    </row>
    <row r="645" customFormat="false" ht="15.75" hidden="false" customHeight="true" outlineLevel="0" collapsed="false">
      <c r="N645" s="1"/>
      <c r="O645" s="1"/>
      <c r="P645" s="1"/>
      <c r="Q645" s="1"/>
      <c r="R645" s="1"/>
      <c r="S645" s="1"/>
      <c r="T645" s="1"/>
      <c r="U645" s="1"/>
      <c r="V645" s="1"/>
      <c r="W645" s="1"/>
      <c r="X645" s="1"/>
      <c r="Y645" s="1"/>
      <c r="Z645" s="1"/>
    </row>
    <row r="646" customFormat="false" ht="15.75" hidden="false" customHeight="true" outlineLevel="0" collapsed="false">
      <c r="N646" s="1"/>
      <c r="O646" s="1"/>
      <c r="P646" s="1"/>
      <c r="Q646" s="1"/>
      <c r="R646" s="1"/>
      <c r="S646" s="1"/>
      <c r="T646" s="1"/>
      <c r="U646" s="1"/>
      <c r="V646" s="1"/>
      <c r="W646" s="1"/>
      <c r="X646" s="1"/>
      <c r="Y646" s="1"/>
      <c r="Z646" s="1"/>
    </row>
    <row r="647" customFormat="false" ht="15.75" hidden="false" customHeight="true" outlineLevel="0" collapsed="false">
      <c r="N647" s="1"/>
      <c r="O647" s="1"/>
      <c r="P647" s="1"/>
      <c r="Q647" s="1"/>
      <c r="R647" s="1"/>
      <c r="S647" s="1"/>
      <c r="T647" s="1"/>
      <c r="U647" s="1"/>
      <c r="V647" s="1"/>
      <c r="W647" s="1"/>
      <c r="X647" s="1"/>
      <c r="Y647" s="1"/>
      <c r="Z647" s="1"/>
    </row>
    <row r="648" customFormat="false" ht="15.75" hidden="false" customHeight="true" outlineLevel="0" collapsed="false">
      <c r="N648" s="1"/>
      <c r="O648" s="1"/>
      <c r="P648" s="1"/>
      <c r="Q648" s="1"/>
      <c r="R648" s="1"/>
      <c r="S648" s="1"/>
      <c r="T648" s="1"/>
      <c r="U648" s="1"/>
      <c r="V648" s="1"/>
      <c r="W648" s="1"/>
      <c r="X648" s="1"/>
      <c r="Y648" s="1"/>
      <c r="Z648" s="1"/>
    </row>
    <row r="649" customFormat="false" ht="15.75" hidden="false" customHeight="true" outlineLevel="0" collapsed="false">
      <c r="N649" s="1"/>
      <c r="O649" s="1"/>
      <c r="P649" s="1"/>
      <c r="Q649" s="1"/>
      <c r="R649" s="1"/>
      <c r="S649" s="1"/>
      <c r="T649" s="1"/>
      <c r="U649" s="1"/>
      <c r="V649" s="1"/>
      <c r="W649" s="1"/>
      <c r="X649" s="1"/>
      <c r="Y649" s="1"/>
      <c r="Z649" s="1"/>
    </row>
    <row r="650" customFormat="false" ht="15.75" hidden="false" customHeight="true" outlineLevel="0" collapsed="false">
      <c r="N650" s="1"/>
      <c r="O650" s="1"/>
      <c r="P650" s="1"/>
      <c r="Q650" s="1"/>
      <c r="R650" s="1"/>
      <c r="S650" s="1"/>
      <c r="T650" s="1"/>
      <c r="U650" s="1"/>
      <c r="V650" s="1"/>
      <c r="W650" s="1"/>
      <c r="X650" s="1"/>
      <c r="Y650" s="1"/>
      <c r="Z650" s="1"/>
    </row>
    <row r="651" customFormat="false" ht="15.75" hidden="false" customHeight="true" outlineLevel="0" collapsed="false">
      <c r="N651" s="1"/>
      <c r="O651" s="1"/>
      <c r="P651" s="1"/>
      <c r="Q651" s="1"/>
      <c r="R651" s="1"/>
      <c r="S651" s="1"/>
      <c r="T651" s="1"/>
      <c r="U651" s="1"/>
      <c r="V651" s="1"/>
      <c r="W651" s="1"/>
      <c r="X651" s="1"/>
      <c r="Y651" s="1"/>
      <c r="Z651" s="1"/>
    </row>
    <row r="652" customFormat="false" ht="15.75" hidden="false" customHeight="true" outlineLevel="0" collapsed="false">
      <c r="N652" s="1"/>
      <c r="O652" s="1"/>
      <c r="P652" s="1"/>
      <c r="Q652" s="1"/>
      <c r="R652" s="1"/>
      <c r="S652" s="1"/>
      <c r="T652" s="1"/>
      <c r="U652" s="1"/>
      <c r="V652" s="1"/>
      <c r="W652" s="1"/>
      <c r="X652" s="1"/>
      <c r="Y652" s="1"/>
      <c r="Z652" s="1"/>
    </row>
    <row r="653" customFormat="false" ht="15.75" hidden="false" customHeight="true" outlineLevel="0" collapsed="false">
      <c r="N653" s="1"/>
      <c r="O653" s="1"/>
      <c r="P653" s="1"/>
      <c r="Q653" s="1"/>
      <c r="R653" s="1"/>
      <c r="S653" s="1"/>
      <c r="T653" s="1"/>
      <c r="U653" s="1"/>
      <c r="V653" s="1"/>
      <c r="W653" s="1"/>
      <c r="X653" s="1"/>
      <c r="Y653" s="1"/>
      <c r="Z653" s="1"/>
    </row>
    <row r="654" customFormat="false" ht="15.75" hidden="false" customHeight="true" outlineLevel="0" collapsed="false">
      <c r="N654" s="1"/>
      <c r="O654" s="1"/>
      <c r="P654" s="1"/>
      <c r="Q654" s="1"/>
      <c r="R654" s="1"/>
      <c r="S654" s="1"/>
      <c r="T654" s="1"/>
      <c r="U654" s="1"/>
      <c r="V654" s="1"/>
      <c r="W654" s="1"/>
      <c r="X654" s="1"/>
      <c r="Y654" s="1"/>
      <c r="Z654" s="1"/>
    </row>
    <row r="655" customFormat="false" ht="15.75" hidden="false" customHeight="true" outlineLevel="0" collapsed="false">
      <c r="N655" s="1"/>
      <c r="O655" s="1"/>
      <c r="P655" s="1"/>
      <c r="Q655" s="1"/>
      <c r="R655" s="1"/>
      <c r="S655" s="1"/>
      <c r="T655" s="1"/>
      <c r="U655" s="1"/>
      <c r="V655" s="1"/>
      <c r="W655" s="1"/>
      <c r="X655" s="1"/>
      <c r="Y655" s="1"/>
      <c r="Z655" s="1"/>
    </row>
    <row r="656" customFormat="false" ht="15.75" hidden="false" customHeight="true" outlineLevel="0" collapsed="false">
      <c r="N656" s="1"/>
      <c r="O656" s="1"/>
      <c r="P656" s="1"/>
      <c r="Q656" s="1"/>
      <c r="R656" s="1"/>
      <c r="S656" s="1"/>
      <c r="T656" s="1"/>
      <c r="U656" s="1"/>
      <c r="V656" s="1"/>
      <c r="W656" s="1"/>
      <c r="X656" s="1"/>
      <c r="Y656" s="1"/>
      <c r="Z656" s="1"/>
    </row>
    <row r="657" customFormat="false" ht="15.75" hidden="false" customHeight="true" outlineLevel="0" collapsed="false">
      <c r="N657" s="1"/>
      <c r="O657" s="1"/>
      <c r="P657" s="1"/>
      <c r="Q657" s="1"/>
      <c r="R657" s="1"/>
      <c r="S657" s="1"/>
      <c r="T657" s="1"/>
      <c r="U657" s="1"/>
      <c r="V657" s="1"/>
      <c r="W657" s="1"/>
      <c r="X657" s="1"/>
      <c r="Y657" s="1"/>
      <c r="Z657" s="1"/>
    </row>
    <row r="658" customFormat="false" ht="15.75" hidden="false" customHeight="true" outlineLevel="0" collapsed="false">
      <c r="N658" s="1"/>
      <c r="O658" s="1"/>
      <c r="P658" s="1"/>
      <c r="Q658" s="1"/>
      <c r="R658" s="1"/>
      <c r="S658" s="1"/>
      <c r="T658" s="1"/>
      <c r="U658" s="1"/>
      <c r="V658" s="1"/>
      <c r="W658" s="1"/>
      <c r="X658" s="1"/>
      <c r="Y658" s="1"/>
      <c r="Z658" s="1"/>
    </row>
    <row r="659" customFormat="false" ht="15.75" hidden="false" customHeight="true" outlineLevel="0" collapsed="false">
      <c r="N659" s="1"/>
      <c r="O659" s="1"/>
      <c r="P659" s="1"/>
      <c r="Q659" s="1"/>
      <c r="R659" s="1"/>
      <c r="S659" s="1"/>
      <c r="T659" s="1"/>
      <c r="U659" s="1"/>
      <c r="V659" s="1"/>
      <c r="W659" s="1"/>
      <c r="X659" s="1"/>
      <c r="Y659" s="1"/>
      <c r="Z659" s="1"/>
    </row>
    <row r="660" customFormat="false" ht="15.75" hidden="false" customHeight="true" outlineLevel="0" collapsed="false">
      <c r="N660" s="1"/>
      <c r="O660" s="1"/>
      <c r="P660" s="1"/>
      <c r="Q660" s="1"/>
      <c r="R660" s="1"/>
      <c r="S660" s="1"/>
      <c r="T660" s="1"/>
      <c r="U660" s="1"/>
      <c r="V660" s="1"/>
      <c r="W660" s="1"/>
      <c r="X660" s="1"/>
      <c r="Y660" s="1"/>
      <c r="Z660" s="1"/>
    </row>
    <row r="661" customFormat="false" ht="15.75" hidden="false" customHeight="true" outlineLevel="0" collapsed="false">
      <c r="N661" s="1"/>
      <c r="O661" s="1"/>
      <c r="P661" s="1"/>
      <c r="Q661" s="1"/>
      <c r="R661" s="1"/>
      <c r="S661" s="1"/>
      <c r="T661" s="1"/>
      <c r="U661" s="1"/>
      <c r="V661" s="1"/>
      <c r="W661" s="1"/>
      <c r="X661" s="1"/>
      <c r="Y661" s="1"/>
      <c r="Z661" s="1"/>
    </row>
    <row r="662" customFormat="false" ht="15.75" hidden="false" customHeight="true" outlineLevel="0" collapsed="false">
      <c r="N662" s="1"/>
      <c r="O662" s="1"/>
      <c r="P662" s="1"/>
      <c r="Q662" s="1"/>
      <c r="R662" s="1"/>
      <c r="S662" s="1"/>
      <c r="T662" s="1"/>
      <c r="U662" s="1"/>
      <c r="V662" s="1"/>
      <c r="W662" s="1"/>
      <c r="X662" s="1"/>
      <c r="Y662" s="1"/>
      <c r="Z662" s="1"/>
    </row>
    <row r="663" customFormat="false" ht="15.75" hidden="false" customHeight="true" outlineLevel="0" collapsed="false">
      <c r="N663" s="1"/>
      <c r="O663" s="1"/>
      <c r="P663" s="1"/>
      <c r="Q663" s="1"/>
      <c r="R663" s="1"/>
      <c r="S663" s="1"/>
      <c r="T663" s="1"/>
      <c r="U663" s="1"/>
      <c r="V663" s="1"/>
      <c r="W663" s="1"/>
      <c r="X663" s="1"/>
      <c r="Y663" s="1"/>
      <c r="Z663" s="1"/>
    </row>
    <row r="664" customFormat="false" ht="15.75" hidden="false" customHeight="true" outlineLevel="0" collapsed="false">
      <c r="N664" s="1"/>
      <c r="O664" s="1"/>
      <c r="P664" s="1"/>
      <c r="Q664" s="1"/>
      <c r="R664" s="1"/>
      <c r="S664" s="1"/>
      <c r="T664" s="1"/>
      <c r="U664" s="1"/>
      <c r="V664" s="1"/>
      <c r="W664" s="1"/>
      <c r="X664" s="1"/>
      <c r="Y664" s="1"/>
      <c r="Z664" s="1"/>
    </row>
    <row r="665" customFormat="false" ht="15.75" hidden="false" customHeight="true" outlineLevel="0" collapsed="false">
      <c r="N665" s="1"/>
      <c r="O665" s="1"/>
      <c r="P665" s="1"/>
      <c r="Q665" s="1"/>
      <c r="R665" s="1"/>
      <c r="S665" s="1"/>
      <c r="T665" s="1"/>
      <c r="U665" s="1"/>
      <c r="V665" s="1"/>
      <c r="W665" s="1"/>
      <c r="X665" s="1"/>
      <c r="Y665" s="1"/>
      <c r="Z665" s="1"/>
    </row>
    <row r="666" customFormat="false" ht="15.75" hidden="false" customHeight="true" outlineLevel="0" collapsed="false">
      <c r="N666" s="1"/>
      <c r="O666" s="1"/>
      <c r="P666" s="1"/>
      <c r="Q666" s="1"/>
      <c r="R666" s="1"/>
      <c r="S666" s="1"/>
      <c r="T666" s="1"/>
      <c r="U666" s="1"/>
      <c r="V666" s="1"/>
      <c r="W666" s="1"/>
      <c r="X666" s="1"/>
      <c r="Y666" s="1"/>
      <c r="Z666" s="1"/>
    </row>
    <row r="667" customFormat="false" ht="15.75" hidden="false" customHeight="true" outlineLevel="0" collapsed="false">
      <c r="N667" s="1"/>
      <c r="O667" s="1"/>
      <c r="P667" s="1"/>
      <c r="Q667" s="1"/>
      <c r="R667" s="1"/>
      <c r="S667" s="1"/>
      <c r="T667" s="1"/>
      <c r="U667" s="1"/>
      <c r="V667" s="1"/>
      <c r="W667" s="1"/>
      <c r="X667" s="1"/>
      <c r="Y667" s="1"/>
      <c r="Z667" s="1"/>
    </row>
    <row r="668" customFormat="false" ht="15.75" hidden="false" customHeight="true" outlineLevel="0" collapsed="false">
      <c r="N668" s="1"/>
      <c r="O668" s="1"/>
      <c r="P668" s="1"/>
      <c r="Q668" s="1"/>
      <c r="R668" s="1"/>
      <c r="S668" s="1"/>
      <c r="T668" s="1"/>
      <c r="U668" s="1"/>
      <c r="V668" s="1"/>
      <c r="W668" s="1"/>
      <c r="X668" s="1"/>
      <c r="Y668" s="1"/>
      <c r="Z668" s="1"/>
    </row>
    <row r="669" customFormat="false" ht="15.75" hidden="false" customHeight="true" outlineLevel="0" collapsed="false">
      <c r="N669" s="1"/>
      <c r="O669" s="1"/>
      <c r="P669" s="1"/>
      <c r="Q669" s="1"/>
      <c r="R669" s="1"/>
      <c r="S669" s="1"/>
      <c r="T669" s="1"/>
      <c r="U669" s="1"/>
      <c r="V669" s="1"/>
      <c r="W669" s="1"/>
      <c r="X669" s="1"/>
      <c r="Y669" s="1"/>
      <c r="Z669" s="1"/>
    </row>
    <row r="670" customFormat="false" ht="15.75" hidden="false" customHeight="true" outlineLevel="0" collapsed="false">
      <c r="N670" s="1"/>
      <c r="O670" s="1"/>
      <c r="P670" s="1"/>
      <c r="Q670" s="1"/>
      <c r="R670" s="1"/>
      <c r="S670" s="1"/>
      <c r="T670" s="1"/>
      <c r="U670" s="1"/>
      <c r="V670" s="1"/>
      <c r="W670" s="1"/>
      <c r="X670" s="1"/>
      <c r="Y670" s="1"/>
      <c r="Z670" s="1"/>
    </row>
    <row r="671" customFormat="false" ht="15.75" hidden="false" customHeight="true" outlineLevel="0" collapsed="false">
      <c r="N671" s="1"/>
      <c r="O671" s="1"/>
      <c r="P671" s="1"/>
      <c r="Q671" s="1"/>
      <c r="R671" s="1"/>
      <c r="S671" s="1"/>
      <c r="T671" s="1"/>
      <c r="U671" s="1"/>
      <c r="V671" s="1"/>
      <c r="W671" s="1"/>
      <c r="X671" s="1"/>
      <c r="Y671" s="1"/>
      <c r="Z671" s="1"/>
    </row>
    <row r="672" customFormat="false" ht="15.75" hidden="false" customHeight="true" outlineLevel="0" collapsed="false">
      <c r="N672" s="1"/>
      <c r="O672" s="1"/>
      <c r="P672" s="1"/>
      <c r="Q672" s="1"/>
      <c r="R672" s="1"/>
      <c r="S672" s="1"/>
      <c r="T672" s="1"/>
      <c r="U672" s="1"/>
      <c r="V672" s="1"/>
      <c r="W672" s="1"/>
      <c r="X672" s="1"/>
      <c r="Y672" s="1"/>
      <c r="Z672" s="1"/>
    </row>
    <row r="673" customFormat="false" ht="15.75" hidden="false" customHeight="true" outlineLevel="0" collapsed="false">
      <c r="N673" s="1"/>
      <c r="O673" s="1"/>
      <c r="P673" s="1"/>
      <c r="Q673" s="1"/>
      <c r="R673" s="1"/>
      <c r="S673" s="1"/>
      <c r="T673" s="1"/>
      <c r="U673" s="1"/>
      <c r="V673" s="1"/>
      <c r="W673" s="1"/>
      <c r="X673" s="1"/>
      <c r="Y673" s="1"/>
      <c r="Z673" s="1"/>
    </row>
    <row r="674" customFormat="false" ht="15.75" hidden="false" customHeight="true" outlineLevel="0" collapsed="false">
      <c r="N674" s="1"/>
      <c r="O674" s="1"/>
      <c r="P674" s="1"/>
      <c r="Q674" s="1"/>
      <c r="R674" s="1"/>
      <c r="S674" s="1"/>
      <c r="T674" s="1"/>
      <c r="U674" s="1"/>
      <c r="V674" s="1"/>
      <c r="W674" s="1"/>
      <c r="X674" s="1"/>
      <c r="Y674" s="1"/>
      <c r="Z674" s="1"/>
    </row>
    <row r="675" customFormat="false" ht="15.75" hidden="false" customHeight="true" outlineLevel="0" collapsed="false">
      <c r="N675" s="1"/>
      <c r="O675" s="1"/>
      <c r="P675" s="1"/>
      <c r="Q675" s="1"/>
      <c r="R675" s="1"/>
      <c r="S675" s="1"/>
      <c r="T675" s="1"/>
      <c r="U675" s="1"/>
      <c r="V675" s="1"/>
      <c r="W675" s="1"/>
      <c r="X675" s="1"/>
      <c r="Y675" s="1"/>
      <c r="Z675" s="1"/>
    </row>
    <row r="676" customFormat="false" ht="15.75" hidden="false" customHeight="true" outlineLevel="0" collapsed="false">
      <c r="N676" s="1"/>
      <c r="O676" s="1"/>
      <c r="P676" s="1"/>
      <c r="Q676" s="1"/>
      <c r="R676" s="1"/>
      <c r="S676" s="1"/>
      <c r="T676" s="1"/>
      <c r="U676" s="1"/>
      <c r="V676" s="1"/>
      <c r="W676" s="1"/>
      <c r="X676" s="1"/>
      <c r="Y676" s="1"/>
      <c r="Z676" s="1"/>
    </row>
    <row r="677" customFormat="false" ht="15.75" hidden="false" customHeight="true" outlineLevel="0" collapsed="false">
      <c r="N677" s="1"/>
      <c r="O677" s="1"/>
      <c r="P677" s="1"/>
      <c r="Q677" s="1"/>
      <c r="R677" s="1"/>
      <c r="S677" s="1"/>
      <c r="T677" s="1"/>
      <c r="U677" s="1"/>
      <c r="V677" s="1"/>
      <c r="W677" s="1"/>
      <c r="X677" s="1"/>
      <c r="Y677" s="1"/>
      <c r="Z677" s="1"/>
    </row>
    <row r="678" customFormat="false" ht="15.75" hidden="false" customHeight="true" outlineLevel="0" collapsed="false">
      <c r="N678" s="1"/>
      <c r="O678" s="1"/>
      <c r="P678" s="1"/>
      <c r="Q678" s="1"/>
      <c r="R678" s="1"/>
      <c r="S678" s="1"/>
      <c r="T678" s="1"/>
      <c r="U678" s="1"/>
      <c r="V678" s="1"/>
      <c r="W678" s="1"/>
      <c r="X678" s="1"/>
      <c r="Y678" s="1"/>
      <c r="Z678" s="1"/>
    </row>
    <row r="679" customFormat="false" ht="15.75" hidden="false" customHeight="true" outlineLevel="0" collapsed="false">
      <c r="N679" s="1"/>
      <c r="O679" s="1"/>
      <c r="P679" s="1"/>
      <c r="Q679" s="1"/>
      <c r="R679" s="1"/>
      <c r="S679" s="1"/>
      <c r="T679" s="1"/>
      <c r="U679" s="1"/>
      <c r="V679" s="1"/>
      <c r="W679" s="1"/>
      <c r="X679" s="1"/>
      <c r="Y679" s="1"/>
      <c r="Z679" s="1"/>
    </row>
    <row r="680" customFormat="false" ht="15.75" hidden="false" customHeight="true" outlineLevel="0" collapsed="false">
      <c r="N680" s="1"/>
      <c r="O680" s="1"/>
      <c r="P680" s="1"/>
      <c r="Q680" s="1"/>
      <c r="R680" s="1"/>
      <c r="S680" s="1"/>
      <c r="T680" s="1"/>
      <c r="U680" s="1"/>
      <c r="V680" s="1"/>
      <c r="W680" s="1"/>
      <c r="X680" s="1"/>
      <c r="Y680" s="1"/>
      <c r="Z680" s="1"/>
    </row>
    <row r="681" customFormat="false" ht="15.75" hidden="false" customHeight="true" outlineLevel="0" collapsed="false">
      <c r="N681" s="1"/>
      <c r="O681" s="1"/>
      <c r="P681" s="1"/>
      <c r="Q681" s="1"/>
      <c r="R681" s="1"/>
      <c r="S681" s="1"/>
      <c r="T681" s="1"/>
      <c r="U681" s="1"/>
      <c r="V681" s="1"/>
      <c r="W681" s="1"/>
      <c r="X681" s="1"/>
      <c r="Y681" s="1"/>
      <c r="Z681" s="1"/>
    </row>
    <row r="682" customFormat="false" ht="15.75" hidden="false" customHeight="true" outlineLevel="0" collapsed="false">
      <c r="N682" s="1"/>
      <c r="O682" s="1"/>
      <c r="P682" s="1"/>
      <c r="Q682" s="1"/>
      <c r="R682" s="1"/>
      <c r="S682" s="1"/>
      <c r="T682" s="1"/>
      <c r="U682" s="1"/>
      <c r="V682" s="1"/>
      <c r="W682" s="1"/>
      <c r="X682" s="1"/>
      <c r="Y682" s="1"/>
      <c r="Z682" s="1"/>
    </row>
    <row r="683" customFormat="false" ht="15.75" hidden="false" customHeight="true" outlineLevel="0" collapsed="false">
      <c r="N683" s="1"/>
      <c r="O683" s="1"/>
      <c r="P683" s="1"/>
      <c r="Q683" s="1"/>
      <c r="R683" s="1"/>
      <c r="S683" s="1"/>
      <c r="T683" s="1"/>
      <c r="U683" s="1"/>
      <c r="V683" s="1"/>
      <c r="W683" s="1"/>
      <c r="X683" s="1"/>
      <c r="Y683" s="1"/>
      <c r="Z683" s="1"/>
    </row>
    <row r="684" customFormat="false" ht="15.75" hidden="false" customHeight="true" outlineLevel="0" collapsed="false">
      <c r="N684" s="1"/>
      <c r="O684" s="1"/>
      <c r="P684" s="1"/>
      <c r="Q684" s="1"/>
      <c r="R684" s="1"/>
      <c r="S684" s="1"/>
      <c r="T684" s="1"/>
      <c r="U684" s="1"/>
      <c r="V684" s="1"/>
      <c r="W684" s="1"/>
      <c r="X684" s="1"/>
      <c r="Y684" s="1"/>
      <c r="Z684" s="1"/>
    </row>
    <row r="685" customFormat="false" ht="15.75" hidden="false" customHeight="true" outlineLevel="0" collapsed="false">
      <c r="N685" s="1"/>
      <c r="O685" s="1"/>
      <c r="P685" s="1"/>
      <c r="Q685" s="1"/>
      <c r="R685" s="1"/>
      <c r="S685" s="1"/>
      <c r="T685" s="1"/>
      <c r="U685" s="1"/>
      <c r="V685" s="1"/>
      <c r="W685" s="1"/>
      <c r="X685" s="1"/>
      <c r="Y685" s="1"/>
      <c r="Z685" s="1"/>
    </row>
    <row r="686" customFormat="false" ht="15.75" hidden="false" customHeight="true" outlineLevel="0" collapsed="false">
      <c r="N686" s="1"/>
      <c r="O686" s="1"/>
      <c r="P686" s="1"/>
      <c r="Q686" s="1"/>
      <c r="R686" s="1"/>
      <c r="S686" s="1"/>
      <c r="T686" s="1"/>
      <c r="U686" s="1"/>
      <c r="V686" s="1"/>
      <c r="W686" s="1"/>
      <c r="X686" s="1"/>
      <c r="Y686" s="1"/>
      <c r="Z686" s="1"/>
    </row>
    <row r="687" customFormat="false" ht="15.75" hidden="false" customHeight="true" outlineLevel="0" collapsed="false">
      <c r="N687" s="1"/>
      <c r="O687" s="1"/>
      <c r="P687" s="1"/>
      <c r="Q687" s="1"/>
      <c r="R687" s="1"/>
      <c r="S687" s="1"/>
      <c r="T687" s="1"/>
      <c r="U687" s="1"/>
      <c r="V687" s="1"/>
      <c r="W687" s="1"/>
      <c r="X687" s="1"/>
      <c r="Y687" s="1"/>
      <c r="Z687" s="1"/>
    </row>
    <row r="688" customFormat="false" ht="15.75" hidden="false" customHeight="true" outlineLevel="0" collapsed="false">
      <c r="N688" s="1"/>
      <c r="O688" s="1"/>
      <c r="P688" s="1"/>
      <c r="Q688" s="1"/>
      <c r="R688" s="1"/>
      <c r="S688" s="1"/>
      <c r="T688" s="1"/>
      <c r="U688" s="1"/>
      <c r="V688" s="1"/>
      <c r="W688" s="1"/>
      <c r="X688" s="1"/>
      <c r="Y688" s="1"/>
      <c r="Z688" s="1"/>
    </row>
    <row r="689" customFormat="false" ht="15.75" hidden="false" customHeight="true" outlineLevel="0" collapsed="false">
      <c r="N689" s="1"/>
      <c r="O689" s="1"/>
      <c r="P689" s="1"/>
      <c r="Q689" s="1"/>
      <c r="R689" s="1"/>
      <c r="S689" s="1"/>
      <c r="T689" s="1"/>
      <c r="U689" s="1"/>
      <c r="V689" s="1"/>
      <c r="W689" s="1"/>
      <c r="X689" s="1"/>
      <c r="Y689" s="1"/>
      <c r="Z689" s="1"/>
    </row>
    <row r="690" customFormat="false" ht="15.75" hidden="false" customHeight="true" outlineLevel="0" collapsed="false">
      <c r="N690" s="1"/>
      <c r="O690" s="1"/>
      <c r="P690" s="1"/>
      <c r="Q690" s="1"/>
      <c r="R690" s="1"/>
      <c r="S690" s="1"/>
      <c r="T690" s="1"/>
      <c r="U690" s="1"/>
      <c r="V690" s="1"/>
      <c r="W690" s="1"/>
      <c r="X690" s="1"/>
      <c r="Y690" s="1"/>
      <c r="Z690" s="1"/>
    </row>
    <row r="691" customFormat="false" ht="15.75" hidden="false" customHeight="true" outlineLevel="0" collapsed="false">
      <c r="N691" s="1"/>
      <c r="O691" s="1"/>
      <c r="P691" s="1"/>
      <c r="Q691" s="1"/>
      <c r="R691" s="1"/>
      <c r="S691" s="1"/>
      <c r="T691" s="1"/>
      <c r="U691" s="1"/>
      <c r="V691" s="1"/>
      <c r="W691" s="1"/>
      <c r="X691" s="1"/>
      <c r="Y691" s="1"/>
      <c r="Z691" s="1"/>
    </row>
    <row r="692" customFormat="false" ht="15.75" hidden="false" customHeight="true" outlineLevel="0" collapsed="false">
      <c r="N692" s="1"/>
      <c r="O692" s="1"/>
      <c r="P692" s="1"/>
      <c r="Q692" s="1"/>
      <c r="R692" s="1"/>
      <c r="S692" s="1"/>
      <c r="T692" s="1"/>
      <c r="U692" s="1"/>
      <c r="V692" s="1"/>
      <c r="W692" s="1"/>
      <c r="X692" s="1"/>
      <c r="Y692" s="1"/>
      <c r="Z692" s="1"/>
    </row>
    <row r="693" customFormat="false" ht="15.75" hidden="false" customHeight="true" outlineLevel="0" collapsed="false">
      <c r="N693" s="1"/>
      <c r="O693" s="1"/>
      <c r="P693" s="1"/>
      <c r="Q693" s="1"/>
      <c r="R693" s="1"/>
      <c r="S693" s="1"/>
      <c r="T693" s="1"/>
      <c r="U693" s="1"/>
      <c r="V693" s="1"/>
      <c r="W693" s="1"/>
      <c r="X693" s="1"/>
      <c r="Y693" s="1"/>
      <c r="Z693" s="1"/>
    </row>
    <row r="694" customFormat="false" ht="15.75" hidden="false" customHeight="true" outlineLevel="0" collapsed="false">
      <c r="N694" s="1"/>
      <c r="O694" s="1"/>
      <c r="P694" s="1"/>
      <c r="Q694" s="1"/>
      <c r="R694" s="1"/>
      <c r="S694" s="1"/>
      <c r="T694" s="1"/>
      <c r="U694" s="1"/>
      <c r="V694" s="1"/>
      <c r="W694" s="1"/>
      <c r="X694" s="1"/>
      <c r="Y694" s="1"/>
      <c r="Z694" s="1"/>
    </row>
    <row r="695" customFormat="false" ht="15.75" hidden="false" customHeight="true" outlineLevel="0" collapsed="false">
      <c r="N695" s="1"/>
      <c r="O695" s="1"/>
      <c r="P695" s="1"/>
      <c r="Q695" s="1"/>
      <c r="R695" s="1"/>
      <c r="S695" s="1"/>
      <c r="T695" s="1"/>
      <c r="U695" s="1"/>
      <c r="V695" s="1"/>
      <c r="W695" s="1"/>
      <c r="X695" s="1"/>
      <c r="Y695" s="1"/>
      <c r="Z695" s="1"/>
    </row>
    <row r="696" customFormat="false" ht="15.75" hidden="false" customHeight="true" outlineLevel="0" collapsed="false">
      <c r="N696" s="1"/>
      <c r="O696" s="1"/>
      <c r="P696" s="1"/>
      <c r="Q696" s="1"/>
      <c r="R696" s="1"/>
      <c r="S696" s="1"/>
      <c r="T696" s="1"/>
      <c r="U696" s="1"/>
      <c r="V696" s="1"/>
      <c r="W696" s="1"/>
      <c r="X696" s="1"/>
      <c r="Y696" s="1"/>
      <c r="Z696" s="1"/>
    </row>
    <row r="697" customFormat="false" ht="15.75" hidden="false" customHeight="true" outlineLevel="0" collapsed="false">
      <c r="N697" s="1"/>
      <c r="O697" s="1"/>
      <c r="P697" s="1"/>
      <c r="Q697" s="1"/>
      <c r="R697" s="1"/>
      <c r="S697" s="1"/>
      <c r="T697" s="1"/>
      <c r="U697" s="1"/>
      <c r="V697" s="1"/>
      <c r="W697" s="1"/>
      <c r="X697" s="1"/>
      <c r="Y697" s="1"/>
      <c r="Z697" s="1"/>
    </row>
    <row r="698" customFormat="false" ht="15.75" hidden="false" customHeight="true" outlineLevel="0" collapsed="false">
      <c r="N698" s="1"/>
      <c r="O698" s="1"/>
      <c r="P698" s="1"/>
      <c r="Q698" s="1"/>
      <c r="R698" s="1"/>
      <c r="S698" s="1"/>
      <c r="T698" s="1"/>
      <c r="U698" s="1"/>
      <c r="V698" s="1"/>
      <c r="W698" s="1"/>
      <c r="X698" s="1"/>
      <c r="Y698" s="1"/>
      <c r="Z698" s="1"/>
    </row>
    <row r="699" customFormat="false" ht="15.75" hidden="false" customHeight="true" outlineLevel="0" collapsed="false">
      <c r="N699" s="1"/>
      <c r="O699" s="1"/>
      <c r="P699" s="1"/>
      <c r="Q699" s="1"/>
      <c r="R699" s="1"/>
      <c r="S699" s="1"/>
      <c r="T699" s="1"/>
      <c r="U699" s="1"/>
      <c r="V699" s="1"/>
      <c r="W699" s="1"/>
      <c r="X699" s="1"/>
      <c r="Y699" s="1"/>
      <c r="Z699" s="1"/>
    </row>
    <row r="700" customFormat="false" ht="15.75" hidden="false" customHeight="true" outlineLevel="0" collapsed="false">
      <c r="N700" s="1"/>
      <c r="O700" s="1"/>
      <c r="P700" s="1"/>
      <c r="Q700" s="1"/>
      <c r="R700" s="1"/>
      <c r="S700" s="1"/>
      <c r="T700" s="1"/>
      <c r="U700" s="1"/>
      <c r="V700" s="1"/>
      <c r="W700" s="1"/>
      <c r="X700" s="1"/>
      <c r="Y700" s="1"/>
      <c r="Z700" s="1"/>
    </row>
    <row r="701" customFormat="false" ht="15.75" hidden="false" customHeight="true" outlineLevel="0" collapsed="false">
      <c r="N701" s="1"/>
      <c r="O701" s="1"/>
      <c r="P701" s="1"/>
      <c r="Q701" s="1"/>
      <c r="R701" s="1"/>
      <c r="S701" s="1"/>
      <c r="T701" s="1"/>
      <c r="U701" s="1"/>
      <c r="V701" s="1"/>
      <c r="W701" s="1"/>
      <c r="X701" s="1"/>
      <c r="Y701" s="1"/>
      <c r="Z701" s="1"/>
    </row>
    <row r="702" customFormat="false" ht="15.75" hidden="false" customHeight="true" outlineLevel="0" collapsed="false">
      <c r="N702" s="1"/>
      <c r="O702" s="1"/>
      <c r="P702" s="1"/>
      <c r="Q702" s="1"/>
      <c r="R702" s="1"/>
      <c r="S702" s="1"/>
      <c r="T702" s="1"/>
      <c r="U702" s="1"/>
      <c r="V702" s="1"/>
      <c r="W702" s="1"/>
      <c r="X702" s="1"/>
      <c r="Y702" s="1"/>
      <c r="Z702" s="1"/>
    </row>
    <row r="703" customFormat="false" ht="15.75" hidden="false" customHeight="true" outlineLevel="0" collapsed="false">
      <c r="N703" s="1"/>
      <c r="O703" s="1"/>
      <c r="P703" s="1"/>
      <c r="Q703" s="1"/>
      <c r="R703" s="1"/>
      <c r="S703" s="1"/>
      <c r="T703" s="1"/>
      <c r="U703" s="1"/>
      <c r="V703" s="1"/>
      <c r="W703" s="1"/>
      <c r="X703" s="1"/>
      <c r="Y703" s="1"/>
      <c r="Z703" s="1"/>
    </row>
    <row r="704" customFormat="false" ht="15.75" hidden="false" customHeight="true" outlineLevel="0" collapsed="false">
      <c r="N704" s="1"/>
      <c r="O704" s="1"/>
      <c r="P704" s="1"/>
      <c r="Q704" s="1"/>
      <c r="R704" s="1"/>
      <c r="S704" s="1"/>
      <c r="T704" s="1"/>
      <c r="U704" s="1"/>
      <c r="V704" s="1"/>
      <c r="W704" s="1"/>
      <c r="X704" s="1"/>
      <c r="Y704" s="1"/>
      <c r="Z704" s="1"/>
    </row>
    <row r="705" customFormat="false" ht="15.75" hidden="false" customHeight="true" outlineLevel="0" collapsed="false">
      <c r="N705" s="1"/>
      <c r="O705" s="1"/>
      <c r="P705" s="1"/>
      <c r="Q705" s="1"/>
      <c r="R705" s="1"/>
      <c r="S705" s="1"/>
      <c r="T705" s="1"/>
      <c r="U705" s="1"/>
      <c r="V705" s="1"/>
      <c r="W705" s="1"/>
      <c r="X705" s="1"/>
      <c r="Y705" s="1"/>
      <c r="Z705" s="1"/>
    </row>
    <row r="706" customFormat="false" ht="15.75" hidden="false" customHeight="true" outlineLevel="0" collapsed="false">
      <c r="N706" s="1"/>
      <c r="O706" s="1"/>
      <c r="P706" s="1"/>
      <c r="Q706" s="1"/>
      <c r="R706" s="1"/>
      <c r="S706" s="1"/>
      <c r="T706" s="1"/>
      <c r="U706" s="1"/>
      <c r="V706" s="1"/>
      <c r="W706" s="1"/>
      <c r="X706" s="1"/>
      <c r="Y706" s="1"/>
      <c r="Z706" s="1"/>
    </row>
    <row r="707" customFormat="false" ht="15.75" hidden="false" customHeight="true" outlineLevel="0" collapsed="false">
      <c r="N707" s="1"/>
      <c r="O707" s="1"/>
      <c r="P707" s="1"/>
      <c r="Q707" s="1"/>
      <c r="R707" s="1"/>
      <c r="S707" s="1"/>
      <c r="T707" s="1"/>
      <c r="U707" s="1"/>
      <c r="V707" s="1"/>
      <c r="W707" s="1"/>
      <c r="X707" s="1"/>
      <c r="Y707" s="1"/>
      <c r="Z707" s="1"/>
    </row>
    <row r="708" customFormat="false" ht="15.75" hidden="false" customHeight="true" outlineLevel="0" collapsed="false">
      <c r="N708" s="1"/>
      <c r="O708" s="1"/>
      <c r="P708" s="1"/>
      <c r="Q708" s="1"/>
      <c r="R708" s="1"/>
      <c r="S708" s="1"/>
      <c r="T708" s="1"/>
      <c r="U708" s="1"/>
      <c r="V708" s="1"/>
      <c r="W708" s="1"/>
      <c r="X708" s="1"/>
      <c r="Y708" s="1"/>
      <c r="Z708" s="1"/>
    </row>
    <row r="709" customFormat="false" ht="15.75" hidden="false" customHeight="true" outlineLevel="0" collapsed="false">
      <c r="N709" s="1"/>
      <c r="O709" s="1"/>
      <c r="P709" s="1"/>
      <c r="Q709" s="1"/>
      <c r="R709" s="1"/>
      <c r="S709" s="1"/>
      <c r="T709" s="1"/>
      <c r="U709" s="1"/>
      <c r="V709" s="1"/>
      <c r="W709" s="1"/>
      <c r="X709" s="1"/>
      <c r="Y709" s="1"/>
      <c r="Z709" s="1"/>
    </row>
    <row r="710" customFormat="false" ht="15.75" hidden="false" customHeight="true" outlineLevel="0" collapsed="false">
      <c r="N710" s="1"/>
      <c r="O710" s="1"/>
      <c r="P710" s="1"/>
      <c r="Q710" s="1"/>
      <c r="R710" s="1"/>
      <c r="S710" s="1"/>
      <c r="T710" s="1"/>
      <c r="U710" s="1"/>
      <c r="V710" s="1"/>
      <c r="W710" s="1"/>
      <c r="X710" s="1"/>
      <c r="Y710" s="1"/>
      <c r="Z710" s="1"/>
    </row>
    <row r="711" customFormat="false" ht="15.75" hidden="false" customHeight="true" outlineLevel="0" collapsed="false">
      <c r="N711" s="1"/>
      <c r="O711" s="1"/>
      <c r="P711" s="1"/>
      <c r="Q711" s="1"/>
      <c r="R711" s="1"/>
      <c r="S711" s="1"/>
      <c r="T711" s="1"/>
      <c r="U711" s="1"/>
      <c r="V711" s="1"/>
      <c r="W711" s="1"/>
      <c r="X711" s="1"/>
      <c r="Y711" s="1"/>
      <c r="Z711" s="1"/>
    </row>
    <row r="712" customFormat="false" ht="15.75" hidden="false" customHeight="true" outlineLevel="0" collapsed="false">
      <c r="N712" s="1"/>
      <c r="O712" s="1"/>
      <c r="P712" s="1"/>
      <c r="Q712" s="1"/>
      <c r="R712" s="1"/>
      <c r="S712" s="1"/>
      <c r="T712" s="1"/>
      <c r="U712" s="1"/>
      <c r="V712" s="1"/>
      <c r="W712" s="1"/>
      <c r="X712" s="1"/>
      <c r="Y712" s="1"/>
      <c r="Z712" s="1"/>
    </row>
    <row r="713" customFormat="false" ht="15.75" hidden="false" customHeight="true" outlineLevel="0" collapsed="false">
      <c r="N713" s="1"/>
      <c r="O713" s="1"/>
      <c r="P713" s="1"/>
      <c r="Q713" s="1"/>
      <c r="R713" s="1"/>
      <c r="S713" s="1"/>
      <c r="T713" s="1"/>
      <c r="U713" s="1"/>
      <c r="V713" s="1"/>
      <c r="W713" s="1"/>
      <c r="X713" s="1"/>
      <c r="Y713" s="1"/>
      <c r="Z713" s="1"/>
    </row>
    <row r="714" customFormat="false" ht="15.75" hidden="false" customHeight="true" outlineLevel="0" collapsed="false">
      <c r="N714" s="1"/>
      <c r="O714" s="1"/>
      <c r="P714" s="1"/>
      <c r="Q714" s="1"/>
      <c r="R714" s="1"/>
      <c r="S714" s="1"/>
      <c r="T714" s="1"/>
      <c r="U714" s="1"/>
      <c r="V714" s="1"/>
      <c r="W714" s="1"/>
      <c r="X714" s="1"/>
      <c r="Y714" s="1"/>
      <c r="Z714" s="1"/>
    </row>
    <row r="715" customFormat="false" ht="15.75" hidden="false" customHeight="true" outlineLevel="0" collapsed="false">
      <c r="N715" s="1"/>
      <c r="O715" s="1"/>
      <c r="P715" s="1"/>
      <c r="Q715" s="1"/>
      <c r="R715" s="1"/>
      <c r="S715" s="1"/>
      <c r="T715" s="1"/>
      <c r="U715" s="1"/>
      <c r="V715" s="1"/>
      <c r="W715" s="1"/>
      <c r="X715" s="1"/>
      <c r="Y715" s="1"/>
      <c r="Z715" s="1"/>
    </row>
    <row r="716" customFormat="false" ht="15.75" hidden="false" customHeight="true" outlineLevel="0" collapsed="false">
      <c r="N716" s="1"/>
      <c r="O716" s="1"/>
      <c r="P716" s="1"/>
      <c r="Q716" s="1"/>
      <c r="R716" s="1"/>
      <c r="S716" s="1"/>
      <c r="T716" s="1"/>
      <c r="U716" s="1"/>
      <c r="V716" s="1"/>
      <c r="W716" s="1"/>
      <c r="X716" s="1"/>
      <c r="Y716" s="1"/>
      <c r="Z716" s="1"/>
    </row>
    <row r="717" customFormat="false" ht="15.75" hidden="false" customHeight="true" outlineLevel="0" collapsed="false">
      <c r="N717" s="1"/>
      <c r="O717" s="1"/>
      <c r="P717" s="1"/>
      <c r="Q717" s="1"/>
      <c r="R717" s="1"/>
      <c r="S717" s="1"/>
      <c r="T717" s="1"/>
      <c r="U717" s="1"/>
      <c r="V717" s="1"/>
      <c r="W717" s="1"/>
      <c r="X717" s="1"/>
      <c r="Y717" s="1"/>
      <c r="Z717" s="1"/>
    </row>
    <row r="718" customFormat="false" ht="15.75" hidden="false" customHeight="true" outlineLevel="0" collapsed="false">
      <c r="N718" s="1"/>
      <c r="O718" s="1"/>
      <c r="P718" s="1"/>
      <c r="Q718" s="1"/>
      <c r="R718" s="1"/>
      <c r="S718" s="1"/>
      <c r="T718" s="1"/>
      <c r="U718" s="1"/>
      <c r="V718" s="1"/>
      <c r="W718" s="1"/>
      <c r="X718" s="1"/>
      <c r="Y718" s="1"/>
      <c r="Z718" s="1"/>
    </row>
    <row r="719" customFormat="false" ht="15.75" hidden="false" customHeight="true" outlineLevel="0" collapsed="false">
      <c r="N719" s="1"/>
      <c r="O719" s="1"/>
      <c r="P719" s="1"/>
      <c r="Q719" s="1"/>
      <c r="R719" s="1"/>
      <c r="S719" s="1"/>
      <c r="T719" s="1"/>
      <c r="U719" s="1"/>
      <c r="V719" s="1"/>
      <c r="W719" s="1"/>
      <c r="X719" s="1"/>
      <c r="Y719" s="1"/>
      <c r="Z719" s="1"/>
    </row>
    <row r="720" customFormat="false" ht="15.75" hidden="false" customHeight="true" outlineLevel="0" collapsed="false">
      <c r="N720" s="1"/>
      <c r="O720" s="1"/>
      <c r="P720" s="1"/>
      <c r="Q720" s="1"/>
      <c r="R720" s="1"/>
      <c r="S720" s="1"/>
      <c r="T720" s="1"/>
      <c r="U720" s="1"/>
      <c r="V720" s="1"/>
      <c r="W720" s="1"/>
      <c r="X720" s="1"/>
      <c r="Y720" s="1"/>
      <c r="Z720" s="1"/>
    </row>
    <row r="721" customFormat="false" ht="15.75" hidden="false" customHeight="true" outlineLevel="0" collapsed="false">
      <c r="N721" s="1"/>
      <c r="O721" s="1"/>
      <c r="P721" s="1"/>
      <c r="Q721" s="1"/>
      <c r="R721" s="1"/>
      <c r="S721" s="1"/>
      <c r="T721" s="1"/>
      <c r="U721" s="1"/>
      <c r="V721" s="1"/>
      <c r="W721" s="1"/>
      <c r="X721" s="1"/>
      <c r="Y721" s="1"/>
      <c r="Z721" s="1"/>
    </row>
    <row r="722" customFormat="false" ht="15.75" hidden="false" customHeight="true" outlineLevel="0" collapsed="false">
      <c r="N722" s="1"/>
      <c r="O722" s="1"/>
      <c r="P722" s="1"/>
      <c r="Q722" s="1"/>
      <c r="R722" s="1"/>
      <c r="S722" s="1"/>
      <c r="T722" s="1"/>
      <c r="U722" s="1"/>
      <c r="V722" s="1"/>
      <c r="W722" s="1"/>
      <c r="X722" s="1"/>
      <c r="Y722" s="1"/>
      <c r="Z722" s="1"/>
    </row>
    <row r="723" customFormat="false" ht="15.75" hidden="false" customHeight="true" outlineLevel="0" collapsed="false">
      <c r="N723" s="1"/>
      <c r="O723" s="1"/>
      <c r="P723" s="1"/>
      <c r="Q723" s="1"/>
      <c r="R723" s="1"/>
      <c r="S723" s="1"/>
      <c r="T723" s="1"/>
      <c r="U723" s="1"/>
      <c r="V723" s="1"/>
      <c r="W723" s="1"/>
      <c r="X723" s="1"/>
      <c r="Y723" s="1"/>
      <c r="Z723" s="1"/>
    </row>
    <row r="724" customFormat="false" ht="15.75" hidden="false" customHeight="true" outlineLevel="0" collapsed="false">
      <c r="N724" s="1"/>
      <c r="O724" s="1"/>
      <c r="P724" s="1"/>
      <c r="Q724" s="1"/>
      <c r="R724" s="1"/>
      <c r="S724" s="1"/>
      <c r="T724" s="1"/>
      <c r="U724" s="1"/>
      <c r="V724" s="1"/>
      <c r="W724" s="1"/>
      <c r="X724" s="1"/>
      <c r="Y724" s="1"/>
      <c r="Z724" s="1"/>
    </row>
    <row r="725" customFormat="false" ht="15.75" hidden="false" customHeight="true" outlineLevel="0" collapsed="false">
      <c r="N725" s="1"/>
      <c r="O725" s="1"/>
      <c r="P725" s="1"/>
      <c r="Q725" s="1"/>
      <c r="R725" s="1"/>
      <c r="S725" s="1"/>
      <c r="T725" s="1"/>
      <c r="U725" s="1"/>
      <c r="V725" s="1"/>
      <c r="W725" s="1"/>
      <c r="X725" s="1"/>
      <c r="Y725" s="1"/>
      <c r="Z725" s="1"/>
    </row>
    <row r="726" customFormat="false" ht="15.75" hidden="false" customHeight="true" outlineLevel="0" collapsed="false">
      <c r="N726" s="1"/>
      <c r="O726" s="1"/>
      <c r="P726" s="1"/>
      <c r="Q726" s="1"/>
      <c r="R726" s="1"/>
      <c r="S726" s="1"/>
      <c r="T726" s="1"/>
      <c r="U726" s="1"/>
      <c r="V726" s="1"/>
      <c r="W726" s="1"/>
      <c r="X726" s="1"/>
      <c r="Y726" s="1"/>
      <c r="Z726" s="1"/>
    </row>
    <row r="727" customFormat="false" ht="15.75" hidden="false" customHeight="true" outlineLevel="0" collapsed="false">
      <c r="N727" s="1"/>
      <c r="O727" s="1"/>
      <c r="P727" s="1"/>
      <c r="Q727" s="1"/>
      <c r="R727" s="1"/>
      <c r="S727" s="1"/>
      <c r="T727" s="1"/>
      <c r="U727" s="1"/>
      <c r="V727" s="1"/>
      <c r="W727" s="1"/>
      <c r="X727" s="1"/>
      <c r="Y727" s="1"/>
      <c r="Z727" s="1"/>
    </row>
    <row r="728" customFormat="false" ht="15.75" hidden="false" customHeight="true" outlineLevel="0" collapsed="false">
      <c r="N728" s="1"/>
      <c r="O728" s="1"/>
      <c r="P728" s="1"/>
      <c r="Q728" s="1"/>
      <c r="R728" s="1"/>
      <c r="S728" s="1"/>
      <c r="T728" s="1"/>
      <c r="U728" s="1"/>
      <c r="V728" s="1"/>
      <c r="W728" s="1"/>
      <c r="X728" s="1"/>
      <c r="Y728" s="1"/>
      <c r="Z728" s="1"/>
    </row>
    <row r="729" customFormat="false" ht="15.75" hidden="false" customHeight="true" outlineLevel="0" collapsed="false">
      <c r="N729" s="1"/>
      <c r="O729" s="1"/>
      <c r="P729" s="1"/>
      <c r="Q729" s="1"/>
      <c r="R729" s="1"/>
      <c r="S729" s="1"/>
      <c r="T729" s="1"/>
      <c r="U729" s="1"/>
      <c r="V729" s="1"/>
      <c r="W729" s="1"/>
      <c r="X729" s="1"/>
      <c r="Y729" s="1"/>
      <c r="Z729" s="1"/>
    </row>
    <row r="730" customFormat="false" ht="15.75" hidden="false" customHeight="true" outlineLevel="0" collapsed="false">
      <c r="N730" s="1"/>
      <c r="O730" s="1"/>
      <c r="P730" s="1"/>
      <c r="Q730" s="1"/>
      <c r="R730" s="1"/>
      <c r="S730" s="1"/>
      <c r="T730" s="1"/>
      <c r="U730" s="1"/>
      <c r="V730" s="1"/>
      <c r="W730" s="1"/>
      <c r="X730" s="1"/>
      <c r="Y730" s="1"/>
      <c r="Z730" s="1"/>
    </row>
    <row r="731" customFormat="false" ht="15.75" hidden="false" customHeight="true" outlineLevel="0" collapsed="false">
      <c r="N731" s="1"/>
      <c r="O731" s="1"/>
      <c r="P731" s="1"/>
      <c r="Q731" s="1"/>
      <c r="R731" s="1"/>
      <c r="S731" s="1"/>
      <c r="T731" s="1"/>
      <c r="U731" s="1"/>
      <c r="V731" s="1"/>
      <c r="W731" s="1"/>
      <c r="X731" s="1"/>
      <c r="Y731" s="1"/>
      <c r="Z731" s="1"/>
    </row>
    <row r="732" customFormat="false" ht="15.75" hidden="false" customHeight="true" outlineLevel="0" collapsed="false">
      <c r="N732" s="1"/>
      <c r="O732" s="1"/>
      <c r="P732" s="1"/>
      <c r="Q732" s="1"/>
      <c r="R732" s="1"/>
      <c r="S732" s="1"/>
      <c r="T732" s="1"/>
      <c r="U732" s="1"/>
      <c r="V732" s="1"/>
      <c r="W732" s="1"/>
      <c r="X732" s="1"/>
      <c r="Y732" s="1"/>
      <c r="Z732" s="1"/>
    </row>
    <row r="733" customFormat="false" ht="15.75" hidden="false" customHeight="true" outlineLevel="0" collapsed="false">
      <c r="N733" s="1"/>
      <c r="O733" s="1"/>
      <c r="P733" s="1"/>
      <c r="Q733" s="1"/>
      <c r="R733" s="1"/>
      <c r="S733" s="1"/>
      <c r="T733" s="1"/>
      <c r="U733" s="1"/>
      <c r="V733" s="1"/>
      <c r="W733" s="1"/>
      <c r="X733" s="1"/>
      <c r="Y733" s="1"/>
      <c r="Z733" s="1"/>
    </row>
    <row r="734" customFormat="false" ht="15.75" hidden="false" customHeight="true" outlineLevel="0" collapsed="false">
      <c r="N734" s="1"/>
      <c r="O734" s="1"/>
      <c r="P734" s="1"/>
      <c r="Q734" s="1"/>
      <c r="R734" s="1"/>
      <c r="S734" s="1"/>
      <c r="T734" s="1"/>
      <c r="U734" s="1"/>
      <c r="V734" s="1"/>
      <c r="W734" s="1"/>
      <c r="X734" s="1"/>
      <c r="Y734" s="1"/>
      <c r="Z734" s="1"/>
    </row>
    <row r="735" customFormat="false" ht="15.75" hidden="false" customHeight="true" outlineLevel="0" collapsed="false">
      <c r="N735" s="1"/>
      <c r="O735" s="1"/>
      <c r="P735" s="1"/>
      <c r="Q735" s="1"/>
      <c r="R735" s="1"/>
      <c r="S735" s="1"/>
      <c r="T735" s="1"/>
      <c r="U735" s="1"/>
      <c r="V735" s="1"/>
      <c r="W735" s="1"/>
      <c r="X735" s="1"/>
      <c r="Y735" s="1"/>
      <c r="Z735" s="1"/>
    </row>
    <row r="736" customFormat="false" ht="15.75" hidden="false" customHeight="true" outlineLevel="0" collapsed="false">
      <c r="N736" s="1"/>
      <c r="O736" s="1"/>
      <c r="P736" s="1"/>
      <c r="Q736" s="1"/>
      <c r="R736" s="1"/>
      <c r="S736" s="1"/>
      <c r="T736" s="1"/>
      <c r="U736" s="1"/>
      <c r="V736" s="1"/>
      <c r="W736" s="1"/>
      <c r="X736" s="1"/>
      <c r="Y736" s="1"/>
      <c r="Z736" s="1"/>
    </row>
    <row r="737" customFormat="false" ht="15.75" hidden="false" customHeight="true" outlineLevel="0" collapsed="false">
      <c r="N737" s="1"/>
      <c r="O737" s="1"/>
      <c r="P737" s="1"/>
      <c r="Q737" s="1"/>
      <c r="R737" s="1"/>
      <c r="S737" s="1"/>
      <c r="T737" s="1"/>
      <c r="U737" s="1"/>
      <c r="V737" s="1"/>
      <c r="W737" s="1"/>
      <c r="X737" s="1"/>
      <c r="Y737" s="1"/>
      <c r="Z737" s="1"/>
    </row>
    <row r="738" customFormat="false" ht="15.75" hidden="false" customHeight="true" outlineLevel="0" collapsed="false">
      <c r="N738" s="1"/>
      <c r="O738" s="1"/>
      <c r="P738" s="1"/>
      <c r="Q738" s="1"/>
      <c r="R738" s="1"/>
      <c r="S738" s="1"/>
      <c r="T738" s="1"/>
      <c r="U738" s="1"/>
      <c r="V738" s="1"/>
      <c r="W738" s="1"/>
      <c r="X738" s="1"/>
      <c r="Y738" s="1"/>
      <c r="Z738" s="1"/>
    </row>
    <row r="739" customFormat="false" ht="15.75" hidden="false" customHeight="true" outlineLevel="0" collapsed="false">
      <c r="N739" s="1"/>
      <c r="O739" s="1"/>
      <c r="P739" s="1"/>
      <c r="Q739" s="1"/>
      <c r="R739" s="1"/>
      <c r="S739" s="1"/>
      <c r="T739" s="1"/>
      <c r="U739" s="1"/>
      <c r="V739" s="1"/>
      <c r="W739" s="1"/>
      <c r="X739" s="1"/>
      <c r="Y739" s="1"/>
      <c r="Z739" s="1"/>
    </row>
    <row r="740" customFormat="false" ht="15.75" hidden="false" customHeight="true" outlineLevel="0" collapsed="false">
      <c r="N740" s="1"/>
      <c r="O740" s="1"/>
      <c r="P740" s="1"/>
      <c r="Q740" s="1"/>
      <c r="R740" s="1"/>
      <c r="S740" s="1"/>
      <c r="T740" s="1"/>
      <c r="U740" s="1"/>
      <c r="V740" s="1"/>
      <c r="W740" s="1"/>
      <c r="X740" s="1"/>
      <c r="Y740" s="1"/>
      <c r="Z740" s="1"/>
    </row>
    <row r="741" customFormat="false" ht="15.75" hidden="false" customHeight="true" outlineLevel="0" collapsed="false">
      <c r="N741" s="1"/>
      <c r="O741" s="1"/>
      <c r="P741" s="1"/>
      <c r="Q741" s="1"/>
      <c r="R741" s="1"/>
      <c r="S741" s="1"/>
      <c r="T741" s="1"/>
      <c r="U741" s="1"/>
      <c r="V741" s="1"/>
      <c r="W741" s="1"/>
      <c r="X741" s="1"/>
      <c r="Y741" s="1"/>
      <c r="Z741" s="1"/>
    </row>
    <row r="742" customFormat="false" ht="15.75" hidden="false" customHeight="true" outlineLevel="0" collapsed="false">
      <c r="N742" s="1"/>
      <c r="O742" s="1"/>
      <c r="P742" s="1"/>
      <c r="Q742" s="1"/>
      <c r="R742" s="1"/>
      <c r="S742" s="1"/>
      <c r="T742" s="1"/>
      <c r="U742" s="1"/>
      <c r="V742" s="1"/>
      <c r="W742" s="1"/>
      <c r="X742" s="1"/>
      <c r="Y742" s="1"/>
      <c r="Z742" s="1"/>
    </row>
    <row r="743" customFormat="false" ht="15.75" hidden="false" customHeight="true" outlineLevel="0" collapsed="false">
      <c r="N743" s="1"/>
      <c r="O743" s="1"/>
      <c r="P743" s="1"/>
      <c r="Q743" s="1"/>
      <c r="R743" s="1"/>
      <c r="S743" s="1"/>
      <c r="T743" s="1"/>
      <c r="U743" s="1"/>
      <c r="V743" s="1"/>
      <c r="W743" s="1"/>
      <c r="X743" s="1"/>
      <c r="Y743" s="1"/>
      <c r="Z743" s="1"/>
    </row>
    <row r="744" customFormat="false" ht="15.75" hidden="false" customHeight="true" outlineLevel="0" collapsed="false">
      <c r="N744" s="1"/>
      <c r="O744" s="1"/>
      <c r="P744" s="1"/>
      <c r="Q744" s="1"/>
      <c r="R744" s="1"/>
      <c r="S744" s="1"/>
      <c r="T744" s="1"/>
      <c r="U744" s="1"/>
      <c r="V744" s="1"/>
      <c r="W744" s="1"/>
      <c r="X744" s="1"/>
      <c r="Y744" s="1"/>
      <c r="Z744" s="1"/>
    </row>
    <row r="745" customFormat="false" ht="15.75" hidden="false" customHeight="true" outlineLevel="0" collapsed="false">
      <c r="N745" s="1"/>
      <c r="O745" s="1"/>
      <c r="P745" s="1"/>
      <c r="Q745" s="1"/>
      <c r="R745" s="1"/>
      <c r="S745" s="1"/>
      <c r="T745" s="1"/>
      <c r="U745" s="1"/>
      <c r="V745" s="1"/>
      <c r="W745" s="1"/>
      <c r="X745" s="1"/>
      <c r="Y745" s="1"/>
      <c r="Z745" s="1"/>
    </row>
    <row r="746" customFormat="false" ht="15.75" hidden="false" customHeight="true" outlineLevel="0" collapsed="false">
      <c r="N746" s="1"/>
      <c r="O746" s="1"/>
      <c r="P746" s="1"/>
      <c r="Q746" s="1"/>
      <c r="R746" s="1"/>
      <c r="S746" s="1"/>
      <c r="T746" s="1"/>
      <c r="U746" s="1"/>
      <c r="V746" s="1"/>
      <c r="W746" s="1"/>
      <c r="X746" s="1"/>
      <c r="Y746" s="1"/>
      <c r="Z746" s="1"/>
    </row>
    <row r="747" customFormat="false" ht="15.75" hidden="false" customHeight="true" outlineLevel="0" collapsed="false">
      <c r="N747" s="1"/>
      <c r="O747" s="1"/>
      <c r="P747" s="1"/>
      <c r="Q747" s="1"/>
      <c r="R747" s="1"/>
      <c r="S747" s="1"/>
      <c r="T747" s="1"/>
      <c r="U747" s="1"/>
      <c r="V747" s="1"/>
      <c r="W747" s="1"/>
      <c r="X747" s="1"/>
      <c r="Y747" s="1"/>
      <c r="Z747" s="1"/>
    </row>
    <row r="748" customFormat="false" ht="15.75" hidden="false" customHeight="true" outlineLevel="0" collapsed="false">
      <c r="N748" s="1"/>
      <c r="O748" s="1"/>
      <c r="P748" s="1"/>
      <c r="Q748" s="1"/>
      <c r="R748" s="1"/>
      <c r="S748" s="1"/>
      <c r="T748" s="1"/>
      <c r="U748" s="1"/>
      <c r="V748" s="1"/>
      <c r="W748" s="1"/>
      <c r="X748" s="1"/>
      <c r="Y748" s="1"/>
      <c r="Z748" s="1"/>
    </row>
    <row r="749" customFormat="false" ht="15.75" hidden="false" customHeight="true" outlineLevel="0" collapsed="false">
      <c r="N749" s="1"/>
      <c r="O749" s="1"/>
      <c r="P749" s="1"/>
      <c r="Q749" s="1"/>
      <c r="R749" s="1"/>
      <c r="S749" s="1"/>
      <c r="T749" s="1"/>
      <c r="U749" s="1"/>
      <c r="V749" s="1"/>
      <c r="W749" s="1"/>
      <c r="X749" s="1"/>
      <c r="Y749" s="1"/>
      <c r="Z749" s="1"/>
    </row>
    <row r="750" customFormat="false" ht="15.75" hidden="false" customHeight="true" outlineLevel="0" collapsed="false">
      <c r="N750" s="1"/>
      <c r="O750" s="1"/>
      <c r="P750" s="1"/>
      <c r="Q750" s="1"/>
      <c r="R750" s="1"/>
      <c r="S750" s="1"/>
      <c r="T750" s="1"/>
      <c r="U750" s="1"/>
      <c r="V750" s="1"/>
      <c r="W750" s="1"/>
      <c r="X750" s="1"/>
      <c r="Y750" s="1"/>
      <c r="Z750" s="1"/>
    </row>
    <row r="751" customFormat="false" ht="15.75" hidden="false" customHeight="true" outlineLevel="0" collapsed="false">
      <c r="N751" s="1"/>
      <c r="O751" s="1"/>
      <c r="P751" s="1"/>
      <c r="Q751" s="1"/>
      <c r="R751" s="1"/>
      <c r="S751" s="1"/>
      <c r="T751" s="1"/>
      <c r="U751" s="1"/>
      <c r="V751" s="1"/>
      <c r="W751" s="1"/>
      <c r="X751" s="1"/>
      <c r="Y751" s="1"/>
      <c r="Z751" s="1"/>
    </row>
    <row r="752" customFormat="false" ht="15.75" hidden="false" customHeight="true" outlineLevel="0" collapsed="false">
      <c r="N752" s="1"/>
      <c r="O752" s="1"/>
      <c r="P752" s="1"/>
      <c r="Q752" s="1"/>
      <c r="R752" s="1"/>
      <c r="S752" s="1"/>
      <c r="T752" s="1"/>
      <c r="U752" s="1"/>
      <c r="V752" s="1"/>
      <c r="W752" s="1"/>
      <c r="X752" s="1"/>
      <c r="Y752" s="1"/>
      <c r="Z752" s="1"/>
    </row>
    <row r="753" customFormat="false" ht="15.75" hidden="false" customHeight="true" outlineLevel="0" collapsed="false">
      <c r="N753" s="1"/>
      <c r="O753" s="1"/>
      <c r="P753" s="1"/>
      <c r="Q753" s="1"/>
      <c r="R753" s="1"/>
      <c r="S753" s="1"/>
      <c r="T753" s="1"/>
      <c r="U753" s="1"/>
      <c r="V753" s="1"/>
      <c r="W753" s="1"/>
      <c r="X753" s="1"/>
      <c r="Y753" s="1"/>
      <c r="Z753" s="1"/>
    </row>
    <row r="754" customFormat="false" ht="15.75" hidden="false" customHeight="true" outlineLevel="0" collapsed="false">
      <c r="N754" s="1"/>
      <c r="O754" s="1"/>
      <c r="P754" s="1"/>
      <c r="Q754" s="1"/>
      <c r="R754" s="1"/>
      <c r="S754" s="1"/>
      <c r="T754" s="1"/>
      <c r="U754" s="1"/>
      <c r="V754" s="1"/>
      <c r="W754" s="1"/>
      <c r="X754" s="1"/>
      <c r="Y754" s="1"/>
      <c r="Z754" s="1"/>
    </row>
    <row r="755" customFormat="false" ht="15.75" hidden="false" customHeight="true" outlineLevel="0" collapsed="false">
      <c r="N755" s="1"/>
      <c r="O755" s="1"/>
      <c r="P755" s="1"/>
      <c r="Q755" s="1"/>
      <c r="R755" s="1"/>
      <c r="S755" s="1"/>
      <c r="T755" s="1"/>
      <c r="U755" s="1"/>
      <c r="V755" s="1"/>
      <c r="W755" s="1"/>
      <c r="X755" s="1"/>
      <c r="Y755" s="1"/>
      <c r="Z755" s="1"/>
    </row>
    <row r="756" customFormat="false" ht="15.75" hidden="false" customHeight="true" outlineLevel="0" collapsed="false">
      <c r="N756" s="1"/>
      <c r="O756" s="1"/>
      <c r="P756" s="1"/>
      <c r="Q756" s="1"/>
      <c r="R756" s="1"/>
      <c r="S756" s="1"/>
      <c r="T756" s="1"/>
      <c r="U756" s="1"/>
      <c r="V756" s="1"/>
      <c r="W756" s="1"/>
      <c r="X756" s="1"/>
      <c r="Y756" s="1"/>
      <c r="Z756" s="1"/>
    </row>
    <row r="757" customFormat="false" ht="15.75" hidden="false" customHeight="true" outlineLevel="0" collapsed="false">
      <c r="N757" s="1"/>
      <c r="O757" s="1"/>
      <c r="P757" s="1"/>
      <c r="Q757" s="1"/>
      <c r="R757" s="1"/>
      <c r="S757" s="1"/>
      <c r="T757" s="1"/>
      <c r="U757" s="1"/>
      <c r="V757" s="1"/>
      <c r="W757" s="1"/>
      <c r="X757" s="1"/>
      <c r="Y757" s="1"/>
      <c r="Z757" s="1"/>
    </row>
    <row r="758" customFormat="false" ht="15.75" hidden="false" customHeight="true" outlineLevel="0" collapsed="false">
      <c r="N758" s="1"/>
      <c r="O758" s="1"/>
      <c r="P758" s="1"/>
      <c r="Q758" s="1"/>
      <c r="R758" s="1"/>
      <c r="S758" s="1"/>
      <c r="T758" s="1"/>
      <c r="U758" s="1"/>
      <c r="V758" s="1"/>
      <c r="W758" s="1"/>
      <c r="X758" s="1"/>
      <c r="Y758" s="1"/>
      <c r="Z758" s="1"/>
    </row>
    <row r="759" customFormat="false" ht="15.75" hidden="false" customHeight="true" outlineLevel="0" collapsed="false">
      <c r="N759" s="1"/>
      <c r="O759" s="1"/>
      <c r="P759" s="1"/>
      <c r="Q759" s="1"/>
      <c r="R759" s="1"/>
      <c r="S759" s="1"/>
      <c r="T759" s="1"/>
      <c r="U759" s="1"/>
      <c r="V759" s="1"/>
      <c r="W759" s="1"/>
      <c r="X759" s="1"/>
      <c r="Y759" s="1"/>
      <c r="Z759" s="1"/>
    </row>
    <row r="760" customFormat="false" ht="15.75" hidden="false" customHeight="true" outlineLevel="0" collapsed="false">
      <c r="N760" s="1"/>
      <c r="O760" s="1"/>
      <c r="P760" s="1"/>
      <c r="Q760" s="1"/>
      <c r="R760" s="1"/>
      <c r="S760" s="1"/>
      <c r="T760" s="1"/>
      <c r="U760" s="1"/>
      <c r="V760" s="1"/>
      <c r="W760" s="1"/>
      <c r="X760" s="1"/>
      <c r="Y760" s="1"/>
      <c r="Z760" s="1"/>
    </row>
    <row r="761" customFormat="false" ht="15.75" hidden="false" customHeight="true" outlineLevel="0" collapsed="false">
      <c r="N761" s="1"/>
      <c r="O761" s="1"/>
      <c r="P761" s="1"/>
      <c r="Q761" s="1"/>
      <c r="R761" s="1"/>
      <c r="S761" s="1"/>
      <c r="T761" s="1"/>
      <c r="U761" s="1"/>
      <c r="V761" s="1"/>
      <c r="W761" s="1"/>
      <c r="X761" s="1"/>
      <c r="Y761" s="1"/>
      <c r="Z761" s="1"/>
    </row>
    <row r="762" customFormat="false" ht="15.75" hidden="false" customHeight="true" outlineLevel="0" collapsed="false">
      <c r="N762" s="1"/>
      <c r="O762" s="1"/>
      <c r="P762" s="1"/>
      <c r="Q762" s="1"/>
      <c r="R762" s="1"/>
      <c r="S762" s="1"/>
      <c r="T762" s="1"/>
      <c r="U762" s="1"/>
      <c r="V762" s="1"/>
      <c r="W762" s="1"/>
      <c r="X762" s="1"/>
      <c r="Y762" s="1"/>
      <c r="Z762" s="1"/>
    </row>
    <row r="763" customFormat="false" ht="15.75" hidden="false" customHeight="true" outlineLevel="0" collapsed="false">
      <c r="N763" s="1"/>
      <c r="O763" s="1"/>
      <c r="P763" s="1"/>
      <c r="Q763" s="1"/>
      <c r="R763" s="1"/>
      <c r="S763" s="1"/>
      <c r="T763" s="1"/>
      <c r="U763" s="1"/>
      <c r="V763" s="1"/>
      <c r="W763" s="1"/>
      <c r="X763" s="1"/>
      <c r="Y763" s="1"/>
      <c r="Z763" s="1"/>
    </row>
    <row r="764" customFormat="false" ht="15.75" hidden="false" customHeight="true" outlineLevel="0" collapsed="false">
      <c r="N764" s="1"/>
      <c r="O764" s="1"/>
      <c r="P764" s="1"/>
      <c r="Q764" s="1"/>
      <c r="R764" s="1"/>
      <c r="S764" s="1"/>
      <c r="T764" s="1"/>
      <c r="U764" s="1"/>
      <c r="V764" s="1"/>
      <c r="W764" s="1"/>
      <c r="X764" s="1"/>
      <c r="Y764" s="1"/>
      <c r="Z764" s="1"/>
    </row>
    <row r="765" customFormat="false" ht="15.75" hidden="false" customHeight="true" outlineLevel="0" collapsed="false">
      <c r="N765" s="1"/>
      <c r="O765" s="1"/>
      <c r="P765" s="1"/>
      <c r="Q765" s="1"/>
      <c r="R765" s="1"/>
      <c r="S765" s="1"/>
      <c r="T765" s="1"/>
      <c r="U765" s="1"/>
      <c r="V765" s="1"/>
      <c r="W765" s="1"/>
      <c r="X765" s="1"/>
      <c r="Y765" s="1"/>
      <c r="Z765" s="1"/>
    </row>
    <row r="766" customFormat="false" ht="15.75" hidden="false" customHeight="true" outlineLevel="0" collapsed="false">
      <c r="N766" s="1"/>
      <c r="O766" s="1"/>
      <c r="P766" s="1"/>
      <c r="Q766" s="1"/>
      <c r="R766" s="1"/>
      <c r="S766" s="1"/>
      <c r="T766" s="1"/>
      <c r="U766" s="1"/>
      <c r="V766" s="1"/>
      <c r="W766" s="1"/>
      <c r="X766" s="1"/>
      <c r="Y766" s="1"/>
      <c r="Z766" s="1"/>
    </row>
    <row r="767" customFormat="false" ht="15.75" hidden="false" customHeight="true" outlineLevel="0" collapsed="false">
      <c r="N767" s="1"/>
      <c r="O767" s="1"/>
      <c r="P767" s="1"/>
      <c r="Q767" s="1"/>
      <c r="R767" s="1"/>
      <c r="S767" s="1"/>
      <c r="T767" s="1"/>
      <c r="U767" s="1"/>
      <c r="V767" s="1"/>
      <c r="W767" s="1"/>
      <c r="X767" s="1"/>
      <c r="Y767" s="1"/>
      <c r="Z767" s="1"/>
    </row>
    <row r="768" customFormat="false" ht="15.75" hidden="false" customHeight="true" outlineLevel="0" collapsed="false">
      <c r="N768" s="1"/>
      <c r="O768" s="1"/>
      <c r="P768" s="1"/>
      <c r="Q768" s="1"/>
      <c r="R768" s="1"/>
      <c r="S768" s="1"/>
      <c r="T768" s="1"/>
      <c r="U768" s="1"/>
      <c r="V768" s="1"/>
      <c r="W768" s="1"/>
      <c r="X768" s="1"/>
      <c r="Y768" s="1"/>
      <c r="Z768" s="1"/>
    </row>
    <row r="769" customFormat="false" ht="15.75" hidden="false" customHeight="true" outlineLevel="0" collapsed="false">
      <c r="N769" s="1"/>
      <c r="O769" s="1"/>
      <c r="P769" s="1"/>
      <c r="Q769" s="1"/>
      <c r="R769" s="1"/>
      <c r="S769" s="1"/>
      <c r="T769" s="1"/>
      <c r="U769" s="1"/>
      <c r="V769" s="1"/>
      <c r="W769" s="1"/>
      <c r="X769" s="1"/>
      <c r="Y769" s="1"/>
      <c r="Z769" s="1"/>
    </row>
    <row r="770" customFormat="false" ht="15.75" hidden="false" customHeight="true" outlineLevel="0" collapsed="false">
      <c r="N770" s="1"/>
      <c r="O770" s="1"/>
      <c r="P770" s="1"/>
      <c r="Q770" s="1"/>
      <c r="R770" s="1"/>
      <c r="S770" s="1"/>
      <c r="T770" s="1"/>
      <c r="U770" s="1"/>
      <c r="V770" s="1"/>
      <c r="W770" s="1"/>
      <c r="X770" s="1"/>
      <c r="Y770" s="1"/>
      <c r="Z770" s="1"/>
    </row>
    <row r="771" customFormat="false" ht="15.75" hidden="false" customHeight="true" outlineLevel="0" collapsed="false">
      <c r="N771" s="1"/>
      <c r="O771" s="1"/>
      <c r="P771" s="1"/>
      <c r="Q771" s="1"/>
      <c r="R771" s="1"/>
      <c r="S771" s="1"/>
      <c r="T771" s="1"/>
      <c r="U771" s="1"/>
      <c r="V771" s="1"/>
      <c r="W771" s="1"/>
      <c r="X771" s="1"/>
      <c r="Y771" s="1"/>
      <c r="Z771" s="1"/>
    </row>
    <row r="772" customFormat="false" ht="15.75" hidden="false" customHeight="true" outlineLevel="0" collapsed="false">
      <c r="N772" s="1"/>
      <c r="O772" s="1"/>
      <c r="P772" s="1"/>
      <c r="Q772" s="1"/>
      <c r="R772" s="1"/>
      <c r="S772" s="1"/>
      <c r="T772" s="1"/>
      <c r="U772" s="1"/>
      <c r="V772" s="1"/>
      <c r="W772" s="1"/>
      <c r="X772" s="1"/>
      <c r="Y772" s="1"/>
      <c r="Z772" s="1"/>
    </row>
    <row r="773" customFormat="false" ht="15.75" hidden="false" customHeight="true" outlineLevel="0" collapsed="false">
      <c r="N773" s="1"/>
      <c r="O773" s="1"/>
      <c r="P773" s="1"/>
      <c r="Q773" s="1"/>
      <c r="R773" s="1"/>
      <c r="S773" s="1"/>
      <c r="T773" s="1"/>
      <c r="U773" s="1"/>
      <c r="V773" s="1"/>
      <c r="W773" s="1"/>
      <c r="X773" s="1"/>
      <c r="Y773" s="1"/>
      <c r="Z773" s="1"/>
    </row>
    <row r="774" customFormat="false" ht="15.75" hidden="false" customHeight="true" outlineLevel="0" collapsed="false">
      <c r="N774" s="1"/>
      <c r="O774" s="1"/>
      <c r="P774" s="1"/>
      <c r="Q774" s="1"/>
      <c r="R774" s="1"/>
      <c r="S774" s="1"/>
      <c r="T774" s="1"/>
      <c r="U774" s="1"/>
      <c r="V774" s="1"/>
      <c r="W774" s="1"/>
      <c r="X774" s="1"/>
      <c r="Y774" s="1"/>
      <c r="Z774" s="1"/>
    </row>
    <row r="775" customFormat="false" ht="15.75" hidden="false" customHeight="true" outlineLevel="0" collapsed="false">
      <c r="N775" s="1"/>
      <c r="O775" s="1"/>
      <c r="P775" s="1"/>
      <c r="Q775" s="1"/>
      <c r="R775" s="1"/>
      <c r="S775" s="1"/>
      <c r="T775" s="1"/>
      <c r="U775" s="1"/>
      <c r="V775" s="1"/>
      <c r="W775" s="1"/>
      <c r="X775" s="1"/>
      <c r="Y775" s="1"/>
      <c r="Z775" s="1"/>
    </row>
    <row r="776" customFormat="false" ht="15.75" hidden="false" customHeight="true" outlineLevel="0" collapsed="false">
      <c r="N776" s="1"/>
      <c r="O776" s="1"/>
      <c r="P776" s="1"/>
      <c r="Q776" s="1"/>
      <c r="R776" s="1"/>
      <c r="S776" s="1"/>
      <c r="T776" s="1"/>
      <c r="U776" s="1"/>
      <c r="V776" s="1"/>
      <c r="W776" s="1"/>
      <c r="X776" s="1"/>
      <c r="Y776" s="1"/>
      <c r="Z776" s="1"/>
    </row>
    <row r="777" customFormat="false" ht="15.75" hidden="false" customHeight="true" outlineLevel="0" collapsed="false">
      <c r="N777" s="1"/>
      <c r="O777" s="1"/>
      <c r="P777" s="1"/>
      <c r="Q777" s="1"/>
      <c r="R777" s="1"/>
      <c r="S777" s="1"/>
      <c r="T777" s="1"/>
      <c r="U777" s="1"/>
      <c r="V777" s="1"/>
      <c r="W777" s="1"/>
      <c r="X777" s="1"/>
      <c r="Y777" s="1"/>
      <c r="Z777" s="1"/>
    </row>
    <row r="778" customFormat="false" ht="15.75" hidden="false" customHeight="true" outlineLevel="0" collapsed="false">
      <c r="N778" s="1"/>
      <c r="O778" s="1"/>
      <c r="P778" s="1"/>
      <c r="Q778" s="1"/>
      <c r="R778" s="1"/>
      <c r="S778" s="1"/>
      <c r="T778" s="1"/>
      <c r="U778" s="1"/>
      <c r="V778" s="1"/>
      <c r="W778" s="1"/>
      <c r="X778" s="1"/>
      <c r="Y778" s="1"/>
      <c r="Z778" s="1"/>
    </row>
    <row r="779" customFormat="false" ht="15.75" hidden="false" customHeight="true" outlineLevel="0" collapsed="false">
      <c r="N779" s="1"/>
      <c r="O779" s="1"/>
      <c r="P779" s="1"/>
      <c r="Q779" s="1"/>
      <c r="R779" s="1"/>
      <c r="S779" s="1"/>
      <c r="T779" s="1"/>
      <c r="U779" s="1"/>
      <c r="V779" s="1"/>
      <c r="W779" s="1"/>
      <c r="X779" s="1"/>
      <c r="Y779" s="1"/>
      <c r="Z779" s="1"/>
    </row>
    <row r="780" customFormat="false" ht="15.75" hidden="false" customHeight="true" outlineLevel="0" collapsed="false">
      <c r="N780" s="1"/>
      <c r="O780" s="1"/>
      <c r="P780" s="1"/>
      <c r="Q780" s="1"/>
      <c r="R780" s="1"/>
      <c r="S780" s="1"/>
      <c r="T780" s="1"/>
      <c r="U780" s="1"/>
      <c r="V780" s="1"/>
      <c r="W780" s="1"/>
      <c r="X780" s="1"/>
      <c r="Y780" s="1"/>
      <c r="Z780" s="1"/>
    </row>
    <row r="781" customFormat="false" ht="15.75" hidden="false" customHeight="true" outlineLevel="0" collapsed="false">
      <c r="N781" s="1"/>
      <c r="O781" s="1"/>
      <c r="P781" s="1"/>
      <c r="Q781" s="1"/>
      <c r="R781" s="1"/>
      <c r="S781" s="1"/>
      <c r="T781" s="1"/>
      <c r="U781" s="1"/>
      <c r="V781" s="1"/>
      <c r="W781" s="1"/>
      <c r="X781" s="1"/>
      <c r="Y781" s="1"/>
      <c r="Z781" s="1"/>
    </row>
    <row r="782" customFormat="false" ht="15.75" hidden="false" customHeight="true" outlineLevel="0" collapsed="false">
      <c r="N782" s="1"/>
      <c r="O782" s="1"/>
      <c r="P782" s="1"/>
      <c r="Q782" s="1"/>
      <c r="R782" s="1"/>
      <c r="S782" s="1"/>
      <c r="T782" s="1"/>
      <c r="U782" s="1"/>
      <c r="V782" s="1"/>
      <c r="W782" s="1"/>
      <c r="X782" s="1"/>
      <c r="Y782" s="1"/>
      <c r="Z782" s="1"/>
    </row>
    <row r="783" customFormat="false" ht="15.75" hidden="false" customHeight="true" outlineLevel="0" collapsed="false">
      <c r="N783" s="1"/>
      <c r="O783" s="1"/>
      <c r="P783" s="1"/>
      <c r="Q783" s="1"/>
      <c r="R783" s="1"/>
      <c r="S783" s="1"/>
      <c r="T783" s="1"/>
      <c r="U783" s="1"/>
      <c r="V783" s="1"/>
      <c r="W783" s="1"/>
      <c r="X783" s="1"/>
      <c r="Y783" s="1"/>
      <c r="Z783" s="1"/>
    </row>
    <row r="784" customFormat="false" ht="15.75" hidden="false" customHeight="true" outlineLevel="0" collapsed="false">
      <c r="N784" s="1"/>
      <c r="O784" s="1"/>
      <c r="P784" s="1"/>
      <c r="Q784" s="1"/>
      <c r="R784" s="1"/>
      <c r="S784" s="1"/>
      <c r="T784" s="1"/>
      <c r="U784" s="1"/>
      <c r="V784" s="1"/>
      <c r="W784" s="1"/>
      <c r="X784" s="1"/>
      <c r="Y784" s="1"/>
      <c r="Z784" s="1"/>
    </row>
    <row r="785" customFormat="false" ht="15.75" hidden="false" customHeight="true" outlineLevel="0" collapsed="false">
      <c r="N785" s="1"/>
      <c r="O785" s="1"/>
      <c r="P785" s="1"/>
      <c r="Q785" s="1"/>
      <c r="R785" s="1"/>
      <c r="S785" s="1"/>
      <c r="T785" s="1"/>
      <c r="U785" s="1"/>
      <c r="V785" s="1"/>
      <c r="W785" s="1"/>
      <c r="X785" s="1"/>
      <c r="Y785" s="1"/>
      <c r="Z785" s="1"/>
    </row>
    <row r="786" customFormat="false" ht="15.75" hidden="false" customHeight="true" outlineLevel="0" collapsed="false">
      <c r="N786" s="1"/>
      <c r="O786" s="1"/>
      <c r="P786" s="1"/>
      <c r="Q786" s="1"/>
      <c r="R786" s="1"/>
      <c r="S786" s="1"/>
      <c r="T786" s="1"/>
      <c r="U786" s="1"/>
      <c r="V786" s="1"/>
      <c r="W786" s="1"/>
      <c r="X786" s="1"/>
      <c r="Y786" s="1"/>
      <c r="Z786" s="1"/>
    </row>
    <row r="787" customFormat="false" ht="15.75" hidden="false" customHeight="true" outlineLevel="0" collapsed="false">
      <c r="N787" s="1"/>
      <c r="O787" s="1"/>
      <c r="P787" s="1"/>
      <c r="Q787" s="1"/>
      <c r="R787" s="1"/>
      <c r="S787" s="1"/>
      <c r="T787" s="1"/>
      <c r="U787" s="1"/>
      <c r="V787" s="1"/>
      <c r="W787" s="1"/>
      <c r="X787" s="1"/>
      <c r="Y787" s="1"/>
      <c r="Z787" s="1"/>
    </row>
    <row r="788" customFormat="false" ht="15.75" hidden="false" customHeight="true" outlineLevel="0" collapsed="false">
      <c r="N788" s="1"/>
      <c r="O788" s="1"/>
      <c r="P788" s="1"/>
      <c r="Q788" s="1"/>
      <c r="R788" s="1"/>
      <c r="S788" s="1"/>
      <c r="T788" s="1"/>
      <c r="U788" s="1"/>
      <c r="V788" s="1"/>
      <c r="W788" s="1"/>
      <c r="X788" s="1"/>
      <c r="Y788" s="1"/>
      <c r="Z788" s="1"/>
    </row>
    <row r="789" customFormat="false" ht="15.75" hidden="false" customHeight="true" outlineLevel="0" collapsed="false">
      <c r="N789" s="1"/>
      <c r="O789" s="1"/>
      <c r="P789" s="1"/>
      <c r="Q789" s="1"/>
      <c r="R789" s="1"/>
      <c r="S789" s="1"/>
      <c r="T789" s="1"/>
      <c r="U789" s="1"/>
      <c r="V789" s="1"/>
      <c r="W789" s="1"/>
      <c r="X789" s="1"/>
      <c r="Y789" s="1"/>
      <c r="Z789" s="1"/>
    </row>
    <row r="790" customFormat="false" ht="15.75" hidden="false" customHeight="true" outlineLevel="0" collapsed="false">
      <c r="N790" s="1"/>
      <c r="O790" s="1"/>
      <c r="P790" s="1"/>
      <c r="Q790" s="1"/>
      <c r="R790" s="1"/>
      <c r="S790" s="1"/>
      <c r="T790" s="1"/>
      <c r="U790" s="1"/>
      <c r="V790" s="1"/>
      <c r="W790" s="1"/>
      <c r="X790" s="1"/>
      <c r="Y790" s="1"/>
      <c r="Z790" s="1"/>
    </row>
    <row r="791" customFormat="false" ht="15.75" hidden="false" customHeight="true" outlineLevel="0" collapsed="false">
      <c r="N791" s="1"/>
      <c r="O791" s="1"/>
      <c r="P791" s="1"/>
      <c r="Q791" s="1"/>
      <c r="R791" s="1"/>
      <c r="S791" s="1"/>
      <c r="T791" s="1"/>
      <c r="U791" s="1"/>
      <c r="V791" s="1"/>
      <c r="W791" s="1"/>
      <c r="X791" s="1"/>
      <c r="Y791" s="1"/>
      <c r="Z791" s="1"/>
    </row>
    <row r="792" customFormat="false" ht="15.75" hidden="false" customHeight="true" outlineLevel="0" collapsed="false">
      <c r="N792" s="1"/>
      <c r="O792" s="1"/>
      <c r="P792" s="1"/>
      <c r="Q792" s="1"/>
      <c r="R792" s="1"/>
      <c r="S792" s="1"/>
      <c r="T792" s="1"/>
      <c r="U792" s="1"/>
      <c r="V792" s="1"/>
      <c r="W792" s="1"/>
      <c r="X792" s="1"/>
      <c r="Y792" s="1"/>
      <c r="Z792" s="1"/>
    </row>
    <row r="793" customFormat="false" ht="15.75" hidden="false" customHeight="true" outlineLevel="0" collapsed="false">
      <c r="N793" s="1"/>
      <c r="O793" s="1"/>
      <c r="P793" s="1"/>
      <c r="Q793" s="1"/>
      <c r="R793" s="1"/>
      <c r="S793" s="1"/>
      <c r="T793" s="1"/>
      <c r="U793" s="1"/>
      <c r="V793" s="1"/>
      <c r="W793" s="1"/>
      <c r="X793" s="1"/>
      <c r="Y793" s="1"/>
      <c r="Z793" s="1"/>
    </row>
    <row r="794" customFormat="false" ht="15.75" hidden="false" customHeight="true" outlineLevel="0" collapsed="false">
      <c r="N794" s="1"/>
      <c r="O794" s="1"/>
      <c r="P794" s="1"/>
      <c r="Q794" s="1"/>
      <c r="R794" s="1"/>
      <c r="S794" s="1"/>
      <c r="T794" s="1"/>
      <c r="U794" s="1"/>
      <c r="V794" s="1"/>
      <c r="W794" s="1"/>
      <c r="X794" s="1"/>
      <c r="Y794" s="1"/>
      <c r="Z794" s="1"/>
    </row>
    <row r="795" customFormat="false" ht="15.75" hidden="false" customHeight="true" outlineLevel="0" collapsed="false">
      <c r="N795" s="1"/>
      <c r="O795" s="1"/>
      <c r="P795" s="1"/>
      <c r="Q795" s="1"/>
      <c r="R795" s="1"/>
      <c r="S795" s="1"/>
      <c r="T795" s="1"/>
      <c r="U795" s="1"/>
      <c r="V795" s="1"/>
      <c r="W795" s="1"/>
      <c r="X795" s="1"/>
      <c r="Y795" s="1"/>
      <c r="Z795" s="1"/>
    </row>
    <row r="796" customFormat="false" ht="15.75" hidden="false" customHeight="true" outlineLevel="0" collapsed="false">
      <c r="N796" s="1"/>
      <c r="O796" s="1"/>
      <c r="P796" s="1"/>
      <c r="Q796" s="1"/>
      <c r="R796" s="1"/>
      <c r="S796" s="1"/>
      <c r="T796" s="1"/>
      <c r="U796" s="1"/>
      <c r="V796" s="1"/>
      <c r="W796" s="1"/>
      <c r="X796" s="1"/>
      <c r="Y796" s="1"/>
      <c r="Z796" s="1"/>
    </row>
    <row r="797" customFormat="false" ht="15.75" hidden="false" customHeight="true" outlineLevel="0" collapsed="false">
      <c r="N797" s="1"/>
      <c r="O797" s="1"/>
      <c r="P797" s="1"/>
      <c r="Q797" s="1"/>
      <c r="R797" s="1"/>
      <c r="S797" s="1"/>
      <c r="T797" s="1"/>
      <c r="U797" s="1"/>
      <c r="V797" s="1"/>
      <c r="W797" s="1"/>
      <c r="X797" s="1"/>
      <c r="Y797" s="1"/>
      <c r="Z797" s="1"/>
    </row>
    <row r="798" customFormat="false" ht="15.75" hidden="false" customHeight="true" outlineLevel="0" collapsed="false">
      <c r="N798" s="1"/>
      <c r="O798" s="1"/>
      <c r="P798" s="1"/>
      <c r="Q798" s="1"/>
      <c r="R798" s="1"/>
      <c r="S798" s="1"/>
      <c r="T798" s="1"/>
      <c r="U798" s="1"/>
      <c r="V798" s="1"/>
      <c r="W798" s="1"/>
      <c r="X798" s="1"/>
      <c r="Y798" s="1"/>
      <c r="Z798" s="1"/>
    </row>
    <row r="799" customFormat="false" ht="15.75" hidden="false" customHeight="true" outlineLevel="0" collapsed="false">
      <c r="N799" s="1"/>
      <c r="O799" s="1"/>
      <c r="P799" s="1"/>
      <c r="Q799" s="1"/>
      <c r="R799" s="1"/>
      <c r="S799" s="1"/>
      <c r="T799" s="1"/>
      <c r="U799" s="1"/>
      <c r="V799" s="1"/>
      <c r="W799" s="1"/>
      <c r="X799" s="1"/>
      <c r="Y799" s="1"/>
      <c r="Z799" s="1"/>
    </row>
    <row r="800" customFormat="false" ht="15.75" hidden="false" customHeight="true" outlineLevel="0" collapsed="false">
      <c r="N800" s="1"/>
      <c r="O800" s="1"/>
      <c r="P800" s="1"/>
      <c r="Q800" s="1"/>
      <c r="R800" s="1"/>
      <c r="S800" s="1"/>
      <c r="T800" s="1"/>
      <c r="U800" s="1"/>
      <c r="V800" s="1"/>
      <c r="W800" s="1"/>
      <c r="X800" s="1"/>
      <c r="Y800" s="1"/>
      <c r="Z800" s="1"/>
    </row>
    <row r="801" customFormat="false" ht="15.75" hidden="false" customHeight="true" outlineLevel="0" collapsed="false">
      <c r="N801" s="1"/>
      <c r="O801" s="1"/>
      <c r="P801" s="1"/>
      <c r="Q801" s="1"/>
      <c r="R801" s="1"/>
      <c r="S801" s="1"/>
      <c r="T801" s="1"/>
      <c r="U801" s="1"/>
      <c r="V801" s="1"/>
      <c r="W801" s="1"/>
      <c r="X801" s="1"/>
      <c r="Y801" s="1"/>
      <c r="Z801" s="1"/>
    </row>
    <row r="802" customFormat="false" ht="15.75" hidden="false" customHeight="true" outlineLevel="0" collapsed="false">
      <c r="N802" s="1"/>
      <c r="O802" s="1"/>
      <c r="P802" s="1"/>
      <c r="Q802" s="1"/>
      <c r="R802" s="1"/>
      <c r="S802" s="1"/>
      <c r="T802" s="1"/>
      <c r="U802" s="1"/>
      <c r="V802" s="1"/>
      <c r="W802" s="1"/>
      <c r="X802" s="1"/>
      <c r="Y802" s="1"/>
      <c r="Z802" s="1"/>
    </row>
    <row r="803" customFormat="false" ht="15.75" hidden="false" customHeight="true" outlineLevel="0" collapsed="false">
      <c r="N803" s="1"/>
      <c r="O803" s="1"/>
      <c r="P803" s="1"/>
      <c r="Q803" s="1"/>
      <c r="R803" s="1"/>
      <c r="S803" s="1"/>
      <c r="T803" s="1"/>
      <c r="U803" s="1"/>
      <c r="V803" s="1"/>
      <c r="W803" s="1"/>
      <c r="X803" s="1"/>
      <c r="Y803" s="1"/>
      <c r="Z803" s="1"/>
    </row>
    <row r="804" customFormat="false" ht="15.75" hidden="false" customHeight="true" outlineLevel="0" collapsed="false">
      <c r="N804" s="1"/>
      <c r="O804" s="1"/>
      <c r="P804" s="1"/>
      <c r="Q804" s="1"/>
      <c r="R804" s="1"/>
      <c r="S804" s="1"/>
      <c r="T804" s="1"/>
      <c r="U804" s="1"/>
      <c r="V804" s="1"/>
      <c r="W804" s="1"/>
      <c r="X804" s="1"/>
      <c r="Y804" s="1"/>
      <c r="Z804" s="1"/>
    </row>
    <row r="805" customFormat="false" ht="15.75" hidden="false" customHeight="true" outlineLevel="0" collapsed="false">
      <c r="N805" s="1"/>
      <c r="O805" s="1"/>
      <c r="P805" s="1"/>
      <c r="Q805" s="1"/>
      <c r="R805" s="1"/>
      <c r="S805" s="1"/>
      <c r="T805" s="1"/>
      <c r="U805" s="1"/>
      <c r="V805" s="1"/>
      <c r="W805" s="1"/>
      <c r="X805" s="1"/>
      <c r="Y805" s="1"/>
      <c r="Z805" s="1"/>
    </row>
    <row r="806" customFormat="false" ht="15.75" hidden="false" customHeight="true" outlineLevel="0" collapsed="false">
      <c r="N806" s="1"/>
      <c r="O806" s="1"/>
      <c r="P806" s="1"/>
      <c r="Q806" s="1"/>
      <c r="R806" s="1"/>
      <c r="S806" s="1"/>
      <c r="T806" s="1"/>
      <c r="U806" s="1"/>
      <c r="V806" s="1"/>
      <c r="W806" s="1"/>
      <c r="X806" s="1"/>
      <c r="Y806" s="1"/>
      <c r="Z806" s="1"/>
    </row>
    <row r="807" customFormat="false" ht="15.75" hidden="false" customHeight="true" outlineLevel="0" collapsed="false">
      <c r="N807" s="1"/>
      <c r="O807" s="1"/>
      <c r="P807" s="1"/>
      <c r="Q807" s="1"/>
      <c r="R807" s="1"/>
      <c r="S807" s="1"/>
      <c r="T807" s="1"/>
      <c r="U807" s="1"/>
      <c r="V807" s="1"/>
      <c r="W807" s="1"/>
      <c r="X807" s="1"/>
      <c r="Y807" s="1"/>
      <c r="Z807" s="1"/>
    </row>
    <row r="808" customFormat="false" ht="15.75" hidden="false" customHeight="true" outlineLevel="0" collapsed="false">
      <c r="N808" s="1"/>
      <c r="O808" s="1"/>
      <c r="P808" s="1"/>
      <c r="Q808" s="1"/>
      <c r="R808" s="1"/>
      <c r="S808" s="1"/>
      <c r="T808" s="1"/>
      <c r="U808" s="1"/>
      <c r="V808" s="1"/>
      <c r="W808" s="1"/>
      <c r="X808" s="1"/>
      <c r="Y808" s="1"/>
      <c r="Z808" s="1"/>
    </row>
    <row r="809" customFormat="false" ht="15.75" hidden="false" customHeight="true" outlineLevel="0" collapsed="false">
      <c r="N809" s="1"/>
      <c r="O809" s="1"/>
      <c r="P809" s="1"/>
      <c r="Q809" s="1"/>
      <c r="R809" s="1"/>
      <c r="S809" s="1"/>
      <c r="T809" s="1"/>
      <c r="U809" s="1"/>
      <c r="V809" s="1"/>
      <c r="W809" s="1"/>
      <c r="X809" s="1"/>
      <c r="Y809" s="1"/>
      <c r="Z809" s="1"/>
    </row>
    <row r="810" customFormat="false" ht="15.75" hidden="false" customHeight="true" outlineLevel="0" collapsed="false">
      <c r="N810" s="1"/>
      <c r="O810" s="1"/>
      <c r="P810" s="1"/>
      <c r="Q810" s="1"/>
      <c r="R810" s="1"/>
      <c r="S810" s="1"/>
      <c r="T810" s="1"/>
      <c r="U810" s="1"/>
      <c r="V810" s="1"/>
      <c r="W810" s="1"/>
      <c r="X810" s="1"/>
      <c r="Y810" s="1"/>
      <c r="Z810" s="1"/>
    </row>
    <row r="811" customFormat="false" ht="15.75" hidden="false" customHeight="true" outlineLevel="0" collapsed="false">
      <c r="N811" s="1"/>
      <c r="O811" s="1"/>
      <c r="P811" s="1"/>
      <c r="Q811" s="1"/>
      <c r="R811" s="1"/>
      <c r="S811" s="1"/>
      <c r="T811" s="1"/>
      <c r="U811" s="1"/>
      <c r="V811" s="1"/>
      <c r="W811" s="1"/>
      <c r="X811" s="1"/>
      <c r="Y811" s="1"/>
      <c r="Z811" s="1"/>
    </row>
    <row r="812" customFormat="false" ht="15.75" hidden="false" customHeight="true" outlineLevel="0" collapsed="false">
      <c r="N812" s="1"/>
      <c r="O812" s="1"/>
      <c r="P812" s="1"/>
      <c r="Q812" s="1"/>
      <c r="R812" s="1"/>
      <c r="S812" s="1"/>
      <c r="T812" s="1"/>
      <c r="U812" s="1"/>
      <c r="V812" s="1"/>
      <c r="W812" s="1"/>
      <c r="X812" s="1"/>
      <c r="Y812" s="1"/>
      <c r="Z812" s="1"/>
    </row>
    <row r="813" customFormat="false" ht="15.75" hidden="false" customHeight="true" outlineLevel="0" collapsed="false">
      <c r="N813" s="1"/>
      <c r="O813" s="1"/>
      <c r="P813" s="1"/>
      <c r="Q813" s="1"/>
      <c r="R813" s="1"/>
      <c r="S813" s="1"/>
      <c r="T813" s="1"/>
      <c r="U813" s="1"/>
      <c r="V813" s="1"/>
      <c r="W813" s="1"/>
      <c r="X813" s="1"/>
      <c r="Y813" s="1"/>
      <c r="Z813" s="1"/>
    </row>
    <row r="814" customFormat="false" ht="15.75" hidden="false" customHeight="true" outlineLevel="0" collapsed="false">
      <c r="N814" s="1"/>
      <c r="O814" s="1"/>
      <c r="P814" s="1"/>
      <c r="Q814" s="1"/>
      <c r="R814" s="1"/>
      <c r="S814" s="1"/>
      <c r="T814" s="1"/>
      <c r="U814" s="1"/>
      <c r="V814" s="1"/>
      <c r="W814" s="1"/>
      <c r="X814" s="1"/>
      <c r="Y814" s="1"/>
      <c r="Z814" s="1"/>
    </row>
    <row r="815" customFormat="false" ht="15.75" hidden="false" customHeight="true" outlineLevel="0" collapsed="false">
      <c r="N815" s="1"/>
      <c r="O815" s="1"/>
      <c r="P815" s="1"/>
      <c r="Q815" s="1"/>
      <c r="R815" s="1"/>
      <c r="S815" s="1"/>
      <c r="T815" s="1"/>
      <c r="U815" s="1"/>
      <c r="V815" s="1"/>
      <c r="W815" s="1"/>
      <c r="X815" s="1"/>
      <c r="Y815" s="1"/>
      <c r="Z815" s="1"/>
    </row>
    <row r="816" customFormat="false" ht="15.75" hidden="false" customHeight="true" outlineLevel="0" collapsed="false">
      <c r="N816" s="1"/>
      <c r="O816" s="1"/>
      <c r="P816" s="1"/>
      <c r="Q816" s="1"/>
      <c r="R816" s="1"/>
      <c r="S816" s="1"/>
      <c r="T816" s="1"/>
      <c r="U816" s="1"/>
      <c r="V816" s="1"/>
      <c r="W816" s="1"/>
      <c r="X816" s="1"/>
      <c r="Y816" s="1"/>
      <c r="Z816" s="1"/>
    </row>
    <row r="817" customFormat="false" ht="15.75" hidden="false" customHeight="true" outlineLevel="0" collapsed="false">
      <c r="N817" s="1"/>
      <c r="O817" s="1"/>
      <c r="P817" s="1"/>
      <c r="Q817" s="1"/>
      <c r="R817" s="1"/>
      <c r="S817" s="1"/>
      <c r="T817" s="1"/>
      <c r="U817" s="1"/>
      <c r="V817" s="1"/>
      <c r="W817" s="1"/>
      <c r="X817" s="1"/>
      <c r="Y817" s="1"/>
      <c r="Z817" s="1"/>
    </row>
    <row r="818" customFormat="false" ht="15.75" hidden="false" customHeight="true" outlineLevel="0" collapsed="false">
      <c r="N818" s="1"/>
      <c r="O818" s="1"/>
      <c r="P818" s="1"/>
      <c r="Q818" s="1"/>
      <c r="R818" s="1"/>
      <c r="S818" s="1"/>
      <c r="T818" s="1"/>
      <c r="U818" s="1"/>
      <c r="V818" s="1"/>
      <c r="W818" s="1"/>
      <c r="X818" s="1"/>
      <c r="Y818" s="1"/>
      <c r="Z818" s="1"/>
    </row>
    <row r="819" customFormat="false" ht="15.75" hidden="false" customHeight="true" outlineLevel="0" collapsed="false">
      <c r="N819" s="1"/>
      <c r="O819" s="1"/>
      <c r="P819" s="1"/>
      <c r="Q819" s="1"/>
      <c r="R819" s="1"/>
      <c r="S819" s="1"/>
      <c r="T819" s="1"/>
      <c r="U819" s="1"/>
      <c r="V819" s="1"/>
      <c r="W819" s="1"/>
      <c r="X819" s="1"/>
      <c r="Y819" s="1"/>
      <c r="Z819" s="1"/>
    </row>
    <row r="820" customFormat="false" ht="15.75" hidden="false" customHeight="true" outlineLevel="0" collapsed="false">
      <c r="N820" s="1"/>
      <c r="O820" s="1"/>
      <c r="P820" s="1"/>
      <c r="Q820" s="1"/>
      <c r="R820" s="1"/>
      <c r="S820" s="1"/>
      <c r="T820" s="1"/>
      <c r="U820" s="1"/>
      <c r="V820" s="1"/>
      <c r="W820" s="1"/>
      <c r="X820" s="1"/>
      <c r="Y820" s="1"/>
      <c r="Z820" s="1"/>
    </row>
    <row r="821" customFormat="false" ht="15.75" hidden="false" customHeight="true" outlineLevel="0" collapsed="false">
      <c r="N821" s="1"/>
      <c r="O821" s="1"/>
      <c r="P821" s="1"/>
      <c r="Q821" s="1"/>
      <c r="R821" s="1"/>
      <c r="S821" s="1"/>
      <c r="T821" s="1"/>
      <c r="U821" s="1"/>
      <c r="V821" s="1"/>
      <c r="W821" s="1"/>
      <c r="X821" s="1"/>
      <c r="Y821" s="1"/>
      <c r="Z821" s="1"/>
    </row>
    <row r="822" customFormat="false" ht="15.75" hidden="false" customHeight="true" outlineLevel="0" collapsed="false">
      <c r="N822" s="1"/>
      <c r="O822" s="1"/>
      <c r="P822" s="1"/>
      <c r="Q822" s="1"/>
      <c r="R822" s="1"/>
      <c r="S822" s="1"/>
      <c r="T822" s="1"/>
      <c r="U822" s="1"/>
      <c r="V822" s="1"/>
      <c r="W822" s="1"/>
      <c r="X822" s="1"/>
      <c r="Y822" s="1"/>
      <c r="Z822" s="1"/>
    </row>
    <row r="823" customFormat="false" ht="15.75" hidden="false" customHeight="true" outlineLevel="0" collapsed="false">
      <c r="N823" s="1"/>
      <c r="O823" s="1"/>
      <c r="P823" s="1"/>
      <c r="Q823" s="1"/>
      <c r="R823" s="1"/>
      <c r="S823" s="1"/>
      <c r="T823" s="1"/>
      <c r="U823" s="1"/>
      <c r="V823" s="1"/>
      <c r="W823" s="1"/>
      <c r="X823" s="1"/>
      <c r="Y823" s="1"/>
      <c r="Z823" s="1"/>
    </row>
    <row r="824" customFormat="false" ht="15.75" hidden="false" customHeight="true" outlineLevel="0" collapsed="false">
      <c r="N824" s="1"/>
      <c r="O824" s="1"/>
      <c r="P824" s="1"/>
      <c r="Q824" s="1"/>
      <c r="R824" s="1"/>
      <c r="S824" s="1"/>
      <c r="T824" s="1"/>
      <c r="U824" s="1"/>
      <c r="V824" s="1"/>
      <c r="W824" s="1"/>
      <c r="X824" s="1"/>
      <c r="Y824" s="1"/>
      <c r="Z824" s="1"/>
    </row>
    <row r="825" customFormat="false" ht="15.75" hidden="false" customHeight="true" outlineLevel="0" collapsed="false">
      <c r="N825" s="1"/>
      <c r="O825" s="1"/>
      <c r="P825" s="1"/>
      <c r="Q825" s="1"/>
      <c r="R825" s="1"/>
      <c r="S825" s="1"/>
      <c r="T825" s="1"/>
      <c r="U825" s="1"/>
      <c r="V825" s="1"/>
      <c r="W825" s="1"/>
      <c r="X825" s="1"/>
      <c r="Y825" s="1"/>
      <c r="Z825" s="1"/>
    </row>
    <row r="826" customFormat="false" ht="15.75" hidden="false" customHeight="true" outlineLevel="0" collapsed="false">
      <c r="N826" s="1"/>
      <c r="O826" s="1"/>
      <c r="P826" s="1"/>
      <c r="Q826" s="1"/>
      <c r="R826" s="1"/>
      <c r="S826" s="1"/>
      <c r="T826" s="1"/>
      <c r="U826" s="1"/>
      <c r="V826" s="1"/>
      <c r="W826" s="1"/>
      <c r="X826" s="1"/>
      <c r="Y826" s="1"/>
      <c r="Z826" s="1"/>
    </row>
    <row r="827" customFormat="false" ht="15.75" hidden="false" customHeight="true" outlineLevel="0" collapsed="false">
      <c r="N827" s="1"/>
      <c r="O827" s="1"/>
      <c r="P827" s="1"/>
      <c r="Q827" s="1"/>
      <c r="R827" s="1"/>
      <c r="S827" s="1"/>
      <c r="T827" s="1"/>
      <c r="U827" s="1"/>
      <c r="V827" s="1"/>
      <c r="W827" s="1"/>
      <c r="X827" s="1"/>
      <c r="Y827" s="1"/>
      <c r="Z827" s="1"/>
    </row>
    <row r="828" customFormat="false" ht="15.75" hidden="false" customHeight="true" outlineLevel="0" collapsed="false">
      <c r="N828" s="1"/>
      <c r="O828" s="1"/>
      <c r="P828" s="1"/>
      <c r="Q828" s="1"/>
      <c r="R828" s="1"/>
      <c r="S828" s="1"/>
      <c r="T828" s="1"/>
      <c r="U828" s="1"/>
      <c r="V828" s="1"/>
      <c r="W828" s="1"/>
      <c r="X828" s="1"/>
      <c r="Y828" s="1"/>
      <c r="Z828" s="1"/>
    </row>
    <row r="829" customFormat="false" ht="15.75" hidden="false" customHeight="true" outlineLevel="0" collapsed="false">
      <c r="N829" s="1"/>
      <c r="O829" s="1"/>
      <c r="P829" s="1"/>
      <c r="Q829" s="1"/>
      <c r="R829" s="1"/>
      <c r="S829" s="1"/>
      <c r="T829" s="1"/>
      <c r="U829" s="1"/>
      <c r="V829" s="1"/>
      <c r="W829" s="1"/>
      <c r="X829" s="1"/>
      <c r="Y829" s="1"/>
      <c r="Z829" s="1"/>
    </row>
    <row r="830" customFormat="false" ht="15.75" hidden="false" customHeight="true" outlineLevel="0" collapsed="false">
      <c r="N830" s="1"/>
      <c r="O830" s="1"/>
      <c r="P830" s="1"/>
      <c r="Q830" s="1"/>
      <c r="R830" s="1"/>
      <c r="S830" s="1"/>
      <c r="T830" s="1"/>
      <c r="U830" s="1"/>
      <c r="V830" s="1"/>
      <c r="W830" s="1"/>
      <c r="X830" s="1"/>
      <c r="Y830" s="1"/>
      <c r="Z830" s="1"/>
    </row>
    <row r="831" customFormat="false" ht="15.75" hidden="false" customHeight="true" outlineLevel="0" collapsed="false">
      <c r="N831" s="1"/>
      <c r="O831" s="1"/>
      <c r="P831" s="1"/>
      <c r="Q831" s="1"/>
      <c r="R831" s="1"/>
      <c r="S831" s="1"/>
      <c r="T831" s="1"/>
      <c r="U831" s="1"/>
      <c r="V831" s="1"/>
      <c r="W831" s="1"/>
      <c r="X831" s="1"/>
      <c r="Y831" s="1"/>
      <c r="Z831" s="1"/>
    </row>
    <row r="832" customFormat="false" ht="15.75" hidden="false" customHeight="true" outlineLevel="0" collapsed="false">
      <c r="N832" s="1"/>
      <c r="O832" s="1"/>
      <c r="P832" s="1"/>
      <c r="Q832" s="1"/>
      <c r="R832" s="1"/>
      <c r="S832" s="1"/>
      <c r="T832" s="1"/>
      <c r="U832" s="1"/>
      <c r="V832" s="1"/>
      <c r="W832" s="1"/>
      <c r="X832" s="1"/>
      <c r="Y832" s="1"/>
      <c r="Z832" s="1"/>
    </row>
    <row r="833" customFormat="false" ht="15.75" hidden="false" customHeight="true" outlineLevel="0" collapsed="false">
      <c r="N833" s="1"/>
      <c r="O833" s="1"/>
      <c r="P833" s="1"/>
      <c r="Q833" s="1"/>
      <c r="R833" s="1"/>
      <c r="S833" s="1"/>
      <c r="T833" s="1"/>
      <c r="U833" s="1"/>
      <c r="V833" s="1"/>
      <c r="W833" s="1"/>
      <c r="X833" s="1"/>
      <c r="Y833" s="1"/>
      <c r="Z833" s="1"/>
    </row>
    <row r="834" customFormat="false" ht="15.75" hidden="false" customHeight="true" outlineLevel="0" collapsed="false">
      <c r="N834" s="1"/>
      <c r="O834" s="1"/>
      <c r="P834" s="1"/>
      <c r="Q834" s="1"/>
      <c r="R834" s="1"/>
      <c r="S834" s="1"/>
      <c r="T834" s="1"/>
      <c r="U834" s="1"/>
      <c r="V834" s="1"/>
      <c r="W834" s="1"/>
      <c r="X834" s="1"/>
      <c r="Y834" s="1"/>
      <c r="Z834" s="1"/>
    </row>
    <row r="835" customFormat="false" ht="15.75" hidden="false" customHeight="true" outlineLevel="0" collapsed="false">
      <c r="N835" s="1"/>
      <c r="O835" s="1"/>
      <c r="P835" s="1"/>
      <c r="Q835" s="1"/>
      <c r="R835" s="1"/>
      <c r="S835" s="1"/>
      <c r="T835" s="1"/>
      <c r="U835" s="1"/>
      <c r="V835" s="1"/>
      <c r="W835" s="1"/>
      <c r="X835" s="1"/>
      <c r="Y835" s="1"/>
      <c r="Z835" s="1"/>
    </row>
    <row r="836" customFormat="false" ht="15.75" hidden="false" customHeight="true" outlineLevel="0" collapsed="false">
      <c r="N836" s="1"/>
      <c r="O836" s="1"/>
      <c r="P836" s="1"/>
      <c r="Q836" s="1"/>
      <c r="R836" s="1"/>
      <c r="S836" s="1"/>
      <c r="T836" s="1"/>
      <c r="U836" s="1"/>
      <c r="V836" s="1"/>
      <c r="W836" s="1"/>
      <c r="X836" s="1"/>
      <c r="Y836" s="1"/>
      <c r="Z836" s="1"/>
    </row>
    <row r="837" customFormat="false" ht="15.75" hidden="false" customHeight="true" outlineLevel="0" collapsed="false">
      <c r="N837" s="1"/>
      <c r="O837" s="1"/>
      <c r="P837" s="1"/>
      <c r="Q837" s="1"/>
      <c r="R837" s="1"/>
      <c r="S837" s="1"/>
      <c r="T837" s="1"/>
      <c r="U837" s="1"/>
      <c r="V837" s="1"/>
      <c r="W837" s="1"/>
      <c r="X837" s="1"/>
      <c r="Y837" s="1"/>
      <c r="Z837" s="1"/>
    </row>
    <row r="838" customFormat="false" ht="15.75" hidden="false" customHeight="true" outlineLevel="0" collapsed="false">
      <c r="N838" s="1"/>
      <c r="O838" s="1"/>
      <c r="P838" s="1"/>
      <c r="Q838" s="1"/>
      <c r="R838" s="1"/>
      <c r="S838" s="1"/>
      <c r="T838" s="1"/>
      <c r="U838" s="1"/>
      <c r="V838" s="1"/>
      <c r="W838" s="1"/>
      <c r="X838" s="1"/>
      <c r="Y838" s="1"/>
      <c r="Z838" s="1"/>
    </row>
    <row r="839" customFormat="false" ht="15.75" hidden="false" customHeight="true" outlineLevel="0" collapsed="false">
      <c r="N839" s="1"/>
      <c r="O839" s="1"/>
      <c r="P839" s="1"/>
      <c r="Q839" s="1"/>
      <c r="R839" s="1"/>
      <c r="S839" s="1"/>
      <c r="T839" s="1"/>
      <c r="U839" s="1"/>
      <c r="V839" s="1"/>
      <c r="W839" s="1"/>
      <c r="X839" s="1"/>
      <c r="Y839" s="1"/>
      <c r="Z839" s="1"/>
    </row>
    <row r="840" customFormat="false" ht="15.75" hidden="false" customHeight="true" outlineLevel="0" collapsed="false">
      <c r="N840" s="1"/>
      <c r="O840" s="1"/>
      <c r="P840" s="1"/>
      <c r="Q840" s="1"/>
      <c r="R840" s="1"/>
      <c r="S840" s="1"/>
      <c r="T840" s="1"/>
      <c r="U840" s="1"/>
      <c r="V840" s="1"/>
      <c r="W840" s="1"/>
      <c r="X840" s="1"/>
      <c r="Y840" s="1"/>
      <c r="Z840" s="1"/>
    </row>
    <row r="841" customFormat="false" ht="15.75" hidden="false" customHeight="true" outlineLevel="0" collapsed="false">
      <c r="N841" s="1"/>
      <c r="O841" s="1"/>
      <c r="P841" s="1"/>
      <c r="Q841" s="1"/>
      <c r="R841" s="1"/>
      <c r="S841" s="1"/>
      <c r="T841" s="1"/>
      <c r="U841" s="1"/>
      <c r="V841" s="1"/>
      <c r="W841" s="1"/>
      <c r="X841" s="1"/>
      <c r="Y841" s="1"/>
      <c r="Z841" s="1"/>
    </row>
    <row r="842" customFormat="false" ht="15.75" hidden="false" customHeight="true" outlineLevel="0" collapsed="false">
      <c r="N842" s="1"/>
      <c r="O842" s="1"/>
      <c r="P842" s="1"/>
      <c r="Q842" s="1"/>
      <c r="R842" s="1"/>
      <c r="S842" s="1"/>
      <c r="T842" s="1"/>
      <c r="U842" s="1"/>
      <c r="V842" s="1"/>
      <c r="W842" s="1"/>
      <c r="X842" s="1"/>
      <c r="Y842" s="1"/>
      <c r="Z842" s="1"/>
    </row>
    <row r="843" customFormat="false" ht="15.75" hidden="false" customHeight="true" outlineLevel="0" collapsed="false">
      <c r="N843" s="1"/>
      <c r="O843" s="1"/>
      <c r="P843" s="1"/>
      <c r="Q843" s="1"/>
      <c r="R843" s="1"/>
      <c r="S843" s="1"/>
      <c r="T843" s="1"/>
      <c r="U843" s="1"/>
      <c r="V843" s="1"/>
      <c r="W843" s="1"/>
      <c r="X843" s="1"/>
      <c r="Y843" s="1"/>
      <c r="Z843" s="1"/>
    </row>
    <row r="844" customFormat="false" ht="15.75" hidden="false" customHeight="true" outlineLevel="0" collapsed="false">
      <c r="N844" s="1"/>
      <c r="O844" s="1"/>
      <c r="P844" s="1"/>
      <c r="Q844" s="1"/>
      <c r="R844" s="1"/>
      <c r="S844" s="1"/>
      <c r="T844" s="1"/>
      <c r="U844" s="1"/>
      <c r="V844" s="1"/>
      <c r="W844" s="1"/>
      <c r="X844" s="1"/>
      <c r="Y844" s="1"/>
      <c r="Z844" s="1"/>
    </row>
    <row r="845" customFormat="false" ht="15.75" hidden="false" customHeight="true" outlineLevel="0" collapsed="false">
      <c r="N845" s="1"/>
      <c r="O845" s="1"/>
      <c r="P845" s="1"/>
      <c r="Q845" s="1"/>
      <c r="R845" s="1"/>
      <c r="S845" s="1"/>
      <c r="T845" s="1"/>
      <c r="U845" s="1"/>
      <c r="V845" s="1"/>
      <c r="W845" s="1"/>
      <c r="X845" s="1"/>
      <c r="Y845" s="1"/>
      <c r="Z845" s="1"/>
    </row>
    <row r="846" customFormat="false" ht="15.75" hidden="false" customHeight="true" outlineLevel="0" collapsed="false">
      <c r="N846" s="1"/>
      <c r="O846" s="1"/>
      <c r="P846" s="1"/>
      <c r="Q846" s="1"/>
      <c r="R846" s="1"/>
      <c r="S846" s="1"/>
      <c r="T846" s="1"/>
      <c r="U846" s="1"/>
      <c r="V846" s="1"/>
      <c r="W846" s="1"/>
      <c r="X846" s="1"/>
      <c r="Y846" s="1"/>
      <c r="Z846" s="1"/>
    </row>
    <row r="847" customFormat="false" ht="15.75" hidden="false" customHeight="true" outlineLevel="0" collapsed="false">
      <c r="N847" s="1"/>
      <c r="O847" s="1"/>
      <c r="P847" s="1"/>
      <c r="Q847" s="1"/>
      <c r="R847" s="1"/>
      <c r="S847" s="1"/>
      <c r="T847" s="1"/>
      <c r="U847" s="1"/>
      <c r="V847" s="1"/>
      <c r="W847" s="1"/>
      <c r="X847" s="1"/>
      <c r="Y847" s="1"/>
      <c r="Z847" s="1"/>
    </row>
    <row r="848" customFormat="false" ht="15.75" hidden="false" customHeight="true" outlineLevel="0" collapsed="false">
      <c r="N848" s="1"/>
      <c r="O848" s="1"/>
      <c r="P848" s="1"/>
      <c r="Q848" s="1"/>
      <c r="R848" s="1"/>
      <c r="S848" s="1"/>
      <c r="T848" s="1"/>
      <c r="U848" s="1"/>
      <c r="V848" s="1"/>
      <c r="W848" s="1"/>
      <c r="X848" s="1"/>
      <c r="Y848" s="1"/>
      <c r="Z848" s="1"/>
    </row>
    <row r="849" customFormat="false" ht="15.75" hidden="false" customHeight="true" outlineLevel="0" collapsed="false">
      <c r="N849" s="1"/>
      <c r="O849" s="1"/>
      <c r="P849" s="1"/>
      <c r="Q849" s="1"/>
      <c r="R849" s="1"/>
      <c r="S849" s="1"/>
      <c r="T849" s="1"/>
      <c r="U849" s="1"/>
      <c r="V849" s="1"/>
      <c r="W849" s="1"/>
      <c r="X849" s="1"/>
      <c r="Y849" s="1"/>
      <c r="Z849" s="1"/>
    </row>
    <row r="850" customFormat="false" ht="15.75" hidden="false" customHeight="true" outlineLevel="0" collapsed="false">
      <c r="N850" s="1"/>
      <c r="O850" s="1"/>
      <c r="P850" s="1"/>
      <c r="Q850" s="1"/>
      <c r="R850" s="1"/>
      <c r="S850" s="1"/>
      <c r="T850" s="1"/>
      <c r="U850" s="1"/>
      <c r="V850" s="1"/>
      <c r="W850" s="1"/>
      <c r="X850" s="1"/>
      <c r="Y850" s="1"/>
      <c r="Z850" s="1"/>
    </row>
    <row r="851" customFormat="false" ht="15.75" hidden="false" customHeight="true" outlineLevel="0" collapsed="false">
      <c r="N851" s="1"/>
      <c r="O851" s="1"/>
      <c r="P851" s="1"/>
      <c r="Q851" s="1"/>
      <c r="R851" s="1"/>
      <c r="S851" s="1"/>
      <c r="T851" s="1"/>
      <c r="U851" s="1"/>
      <c r="V851" s="1"/>
      <c r="W851" s="1"/>
      <c r="X851" s="1"/>
      <c r="Y851" s="1"/>
      <c r="Z851" s="1"/>
    </row>
    <row r="852" customFormat="false" ht="15.75" hidden="false" customHeight="true" outlineLevel="0" collapsed="false">
      <c r="N852" s="1"/>
      <c r="O852" s="1"/>
      <c r="P852" s="1"/>
      <c r="Q852" s="1"/>
      <c r="R852" s="1"/>
      <c r="S852" s="1"/>
      <c r="T852" s="1"/>
      <c r="U852" s="1"/>
      <c r="V852" s="1"/>
      <c r="W852" s="1"/>
      <c r="X852" s="1"/>
      <c r="Y852" s="1"/>
      <c r="Z852" s="1"/>
    </row>
    <row r="853" customFormat="false" ht="15.75" hidden="false" customHeight="true" outlineLevel="0" collapsed="false">
      <c r="N853" s="1"/>
      <c r="O853" s="1"/>
      <c r="P853" s="1"/>
      <c r="Q853" s="1"/>
      <c r="R853" s="1"/>
      <c r="S853" s="1"/>
      <c r="T853" s="1"/>
      <c r="U853" s="1"/>
      <c r="V853" s="1"/>
      <c r="W853" s="1"/>
      <c r="X853" s="1"/>
      <c r="Y853" s="1"/>
      <c r="Z853" s="1"/>
    </row>
    <row r="854" customFormat="false" ht="15.75" hidden="false" customHeight="true" outlineLevel="0" collapsed="false">
      <c r="N854" s="1"/>
      <c r="O854" s="1"/>
      <c r="P854" s="1"/>
      <c r="Q854" s="1"/>
      <c r="R854" s="1"/>
      <c r="S854" s="1"/>
      <c r="T854" s="1"/>
      <c r="U854" s="1"/>
      <c r="V854" s="1"/>
      <c r="W854" s="1"/>
      <c r="X854" s="1"/>
      <c r="Y854" s="1"/>
      <c r="Z854" s="1"/>
    </row>
    <row r="855" customFormat="false" ht="15.75" hidden="false" customHeight="true" outlineLevel="0" collapsed="false">
      <c r="N855" s="1"/>
      <c r="O855" s="1"/>
      <c r="P855" s="1"/>
      <c r="Q855" s="1"/>
      <c r="R855" s="1"/>
      <c r="S855" s="1"/>
      <c r="T855" s="1"/>
      <c r="U855" s="1"/>
      <c r="V855" s="1"/>
      <c r="W855" s="1"/>
      <c r="X855" s="1"/>
      <c r="Y855" s="1"/>
      <c r="Z855" s="1"/>
    </row>
    <row r="856" customFormat="false" ht="15.75" hidden="false" customHeight="true" outlineLevel="0" collapsed="false">
      <c r="N856" s="1"/>
      <c r="O856" s="1"/>
      <c r="P856" s="1"/>
      <c r="Q856" s="1"/>
      <c r="R856" s="1"/>
      <c r="S856" s="1"/>
      <c r="T856" s="1"/>
      <c r="U856" s="1"/>
      <c r="V856" s="1"/>
      <c r="W856" s="1"/>
      <c r="X856" s="1"/>
      <c r="Y856" s="1"/>
      <c r="Z856" s="1"/>
    </row>
    <row r="857" customFormat="false" ht="15.75" hidden="false" customHeight="true" outlineLevel="0" collapsed="false">
      <c r="N857" s="1"/>
      <c r="O857" s="1"/>
      <c r="P857" s="1"/>
      <c r="Q857" s="1"/>
      <c r="R857" s="1"/>
      <c r="S857" s="1"/>
      <c r="T857" s="1"/>
      <c r="U857" s="1"/>
      <c r="V857" s="1"/>
      <c r="W857" s="1"/>
      <c r="X857" s="1"/>
      <c r="Y857" s="1"/>
      <c r="Z857" s="1"/>
    </row>
    <row r="858" customFormat="false" ht="15.75" hidden="false" customHeight="true" outlineLevel="0" collapsed="false">
      <c r="N858" s="1"/>
      <c r="O858" s="1"/>
      <c r="P858" s="1"/>
      <c r="Q858" s="1"/>
      <c r="R858" s="1"/>
      <c r="S858" s="1"/>
      <c r="T858" s="1"/>
      <c r="U858" s="1"/>
      <c r="V858" s="1"/>
      <c r="W858" s="1"/>
      <c r="X858" s="1"/>
      <c r="Y858" s="1"/>
      <c r="Z858" s="1"/>
    </row>
    <row r="859" customFormat="false" ht="15.75" hidden="false" customHeight="true" outlineLevel="0" collapsed="false">
      <c r="N859" s="1"/>
      <c r="O859" s="1"/>
      <c r="P859" s="1"/>
      <c r="Q859" s="1"/>
      <c r="R859" s="1"/>
      <c r="S859" s="1"/>
      <c r="T859" s="1"/>
      <c r="U859" s="1"/>
      <c r="V859" s="1"/>
      <c r="W859" s="1"/>
      <c r="X859" s="1"/>
      <c r="Y859" s="1"/>
      <c r="Z859" s="1"/>
    </row>
    <row r="860" customFormat="false" ht="15.75" hidden="false" customHeight="true" outlineLevel="0" collapsed="false">
      <c r="N860" s="1"/>
      <c r="O860" s="1"/>
      <c r="P860" s="1"/>
      <c r="Q860" s="1"/>
      <c r="R860" s="1"/>
      <c r="S860" s="1"/>
      <c r="T860" s="1"/>
      <c r="U860" s="1"/>
      <c r="V860" s="1"/>
      <c r="W860" s="1"/>
      <c r="X860" s="1"/>
      <c r="Y860" s="1"/>
      <c r="Z860" s="1"/>
    </row>
    <row r="861" customFormat="false" ht="15.75" hidden="false" customHeight="true" outlineLevel="0" collapsed="false">
      <c r="N861" s="1"/>
      <c r="O861" s="1"/>
      <c r="P861" s="1"/>
      <c r="Q861" s="1"/>
      <c r="R861" s="1"/>
      <c r="S861" s="1"/>
      <c r="T861" s="1"/>
      <c r="U861" s="1"/>
      <c r="V861" s="1"/>
      <c r="W861" s="1"/>
      <c r="X861" s="1"/>
      <c r="Y861" s="1"/>
      <c r="Z861" s="1"/>
    </row>
    <row r="862" customFormat="false" ht="15.75" hidden="false" customHeight="true" outlineLevel="0" collapsed="false">
      <c r="N862" s="1"/>
      <c r="O862" s="1"/>
      <c r="P862" s="1"/>
      <c r="Q862" s="1"/>
      <c r="R862" s="1"/>
      <c r="S862" s="1"/>
      <c r="T862" s="1"/>
      <c r="U862" s="1"/>
      <c r="V862" s="1"/>
      <c r="W862" s="1"/>
      <c r="X862" s="1"/>
      <c r="Y862" s="1"/>
      <c r="Z862" s="1"/>
    </row>
    <row r="863" customFormat="false" ht="15.75" hidden="false" customHeight="true" outlineLevel="0" collapsed="false">
      <c r="N863" s="1"/>
      <c r="O863" s="1"/>
      <c r="P863" s="1"/>
      <c r="Q863" s="1"/>
      <c r="R863" s="1"/>
      <c r="S863" s="1"/>
      <c r="T863" s="1"/>
      <c r="U863" s="1"/>
      <c r="V863" s="1"/>
      <c r="W863" s="1"/>
      <c r="X863" s="1"/>
      <c r="Y863" s="1"/>
      <c r="Z863" s="1"/>
    </row>
    <row r="864" customFormat="false" ht="15.75" hidden="false" customHeight="true" outlineLevel="0" collapsed="false">
      <c r="N864" s="1"/>
      <c r="O864" s="1"/>
      <c r="P864" s="1"/>
      <c r="Q864" s="1"/>
      <c r="R864" s="1"/>
      <c r="S864" s="1"/>
      <c r="T864" s="1"/>
      <c r="U864" s="1"/>
      <c r="V864" s="1"/>
      <c r="W864" s="1"/>
      <c r="X864" s="1"/>
      <c r="Y864" s="1"/>
      <c r="Z864" s="1"/>
    </row>
    <row r="865" customFormat="false" ht="15.75" hidden="false" customHeight="true" outlineLevel="0" collapsed="false">
      <c r="N865" s="1"/>
      <c r="O865" s="1"/>
      <c r="P865" s="1"/>
      <c r="Q865" s="1"/>
      <c r="R865" s="1"/>
      <c r="S865" s="1"/>
      <c r="T865" s="1"/>
      <c r="U865" s="1"/>
      <c r="V865" s="1"/>
      <c r="W865" s="1"/>
      <c r="X865" s="1"/>
      <c r="Y865" s="1"/>
      <c r="Z865" s="1"/>
    </row>
    <row r="866" customFormat="false" ht="15.75" hidden="false" customHeight="true" outlineLevel="0" collapsed="false">
      <c r="N866" s="1"/>
      <c r="O866" s="1"/>
      <c r="P866" s="1"/>
      <c r="Q866" s="1"/>
      <c r="R866" s="1"/>
      <c r="S866" s="1"/>
      <c r="T866" s="1"/>
      <c r="U866" s="1"/>
      <c r="V866" s="1"/>
      <c r="W866" s="1"/>
      <c r="X866" s="1"/>
      <c r="Y866" s="1"/>
      <c r="Z866" s="1"/>
    </row>
    <row r="867" customFormat="false" ht="15.75" hidden="false" customHeight="true" outlineLevel="0" collapsed="false">
      <c r="N867" s="1"/>
      <c r="O867" s="1"/>
      <c r="P867" s="1"/>
      <c r="Q867" s="1"/>
      <c r="R867" s="1"/>
      <c r="S867" s="1"/>
      <c r="T867" s="1"/>
      <c r="U867" s="1"/>
      <c r="V867" s="1"/>
      <c r="W867" s="1"/>
      <c r="X867" s="1"/>
      <c r="Y867" s="1"/>
      <c r="Z867" s="1"/>
    </row>
    <row r="868" customFormat="false" ht="15.75" hidden="false" customHeight="true" outlineLevel="0" collapsed="false">
      <c r="N868" s="1"/>
      <c r="O868" s="1"/>
      <c r="P868" s="1"/>
      <c r="Q868" s="1"/>
      <c r="R868" s="1"/>
      <c r="S868" s="1"/>
      <c r="T868" s="1"/>
      <c r="U868" s="1"/>
      <c r="V868" s="1"/>
      <c r="W868" s="1"/>
      <c r="X868" s="1"/>
      <c r="Y868" s="1"/>
      <c r="Z868" s="1"/>
    </row>
    <row r="869" customFormat="false" ht="15.75" hidden="false" customHeight="true" outlineLevel="0" collapsed="false">
      <c r="N869" s="1"/>
      <c r="O869" s="1"/>
      <c r="P869" s="1"/>
      <c r="Q869" s="1"/>
      <c r="R869" s="1"/>
      <c r="S869" s="1"/>
      <c r="T869" s="1"/>
      <c r="U869" s="1"/>
      <c r="V869" s="1"/>
      <c r="W869" s="1"/>
      <c r="X869" s="1"/>
      <c r="Y869" s="1"/>
      <c r="Z869" s="1"/>
    </row>
    <row r="870" customFormat="false" ht="15.75" hidden="false" customHeight="true" outlineLevel="0" collapsed="false">
      <c r="N870" s="1"/>
      <c r="O870" s="1"/>
      <c r="P870" s="1"/>
      <c r="Q870" s="1"/>
      <c r="R870" s="1"/>
      <c r="S870" s="1"/>
      <c r="T870" s="1"/>
      <c r="U870" s="1"/>
      <c r="V870" s="1"/>
      <c r="W870" s="1"/>
      <c r="X870" s="1"/>
      <c r="Y870" s="1"/>
      <c r="Z870" s="1"/>
    </row>
    <row r="871" customFormat="false" ht="15.75" hidden="false" customHeight="true" outlineLevel="0" collapsed="false">
      <c r="N871" s="1"/>
      <c r="O871" s="1"/>
      <c r="P871" s="1"/>
      <c r="Q871" s="1"/>
      <c r="R871" s="1"/>
      <c r="S871" s="1"/>
      <c r="T871" s="1"/>
      <c r="U871" s="1"/>
      <c r="V871" s="1"/>
      <c r="W871" s="1"/>
      <c r="X871" s="1"/>
      <c r="Y871" s="1"/>
      <c r="Z871" s="1"/>
    </row>
    <row r="872" customFormat="false" ht="15.75" hidden="false" customHeight="true" outlineLevel="0" collapsed="false">
      <c r="N872" s="1"/>
      <c r="O872" s="1"/>
      <c r="P872" s="1"/>
      <c r="Q872" s="1"/>
      <c r="R872" s="1"/>
      <c r="S872" s="1"/>
      <c r="T872" s="1"/>
      <c r="U872" s="1"/>
      <c r="V872" s="1"/>
      <c r="W872" s="1"/>
      <c r="X872" s="1"/>
      <c r="Y872" s="1"/>
      <c r="Z872" s="1"/>
    </row>
    <row r="873" customFormat="false" ht="15.75" hidden="false" customHeight="true" outlineLevel="0" collapsed="false">
      <c r="N873" s="1"/>
      <c r="O873" s="1"/>
      <c r="P873" s="1"/>
      <c r="Q873" s="1"/>
      <c r="R873" s="1"/>
      <c r="S873" s="1"/>
      <c r="T873" s="1"/>
      <c r="U873" s="1"/>
      <c r="V873" s="1"/>
      <c r="W873" s="1"/>
      <c r="X873" s="1"/>
      <c r="Y873" s="1"/>
      <c r="Z873" s="1"/>
    </row>
    <row r="874" customFormat="false" ht="15.75" hidden="false" customHeight="true" outlineLevel="0" collapsed="false">
      <c r="N874" s="1"/>
      <c r="O874" s="1"/>
      <c r="P874" s="1"/>
      <c r="Q874" s="1"/>
      <c r="R874" s="1"/>
      <c r="S874" s="1"/>
      <c r="T874" s="1"/>
      <c r="U874" s="1"/>
      <c r="V874" s="1"/>
      <c r="W874" s="1"/>
      <c r="X874" s="1"/>
      <c r="Y874" s="1"/>
      <c r="Z874" s="1"/>
    </row>
    <row r="875" customFormat="false" ht="15.75" hidden="false" customHeight="true" outlineLevel="0" collapsed="false">
      <c r="N875" s="1"/>
      <c r="O875" s="1"/>
      <c r="P875" s="1"/>
      <c r="Q875" s="1"/>
      <c r="R875" s="1"/>
      <c r="S875" s="1"/>
      <c r="T875" s="1"/>
      <c r="U875" s="1"/>
      <c r="V875" s="1"/>
      <c r="W875" s="1"/>
      <c r="X875" s="1"/>
      <c r="Y875" s="1"/>
      <c r="Z875" s="1"/>
    </row>
    <row r="876" customFormat="false" ht="15.75" hidden="false" customHeight="true" outlineLevel="0" collapsed="false">
      <c r="N876" s="1"/>
      <c r="O876" s="1"/>
      <c r="P876" s="1"/>
      <c r="Q876" s="1"/>
      <c r="R876" s="1"/>
      <c r="S876" s="1"/>
      <c r="T876" s="1"/>
      <c r="U876" s="1"/>
      <c r="V876" s="1"/>
      <c r="W876" s="1"/>
      <c r="X876" s="1"/>
      <c r="Y876" s="1"/>
      <c r="Z876" s="1"/>
    </row>
    <row r="877" customFormat="false" ht="15.75" hidden="false" customHeight="true" outlineLevel="0" collapsed="false">
      <c r="N877" s="1"/>
      <c r="O877" s="1"/>
      <c r="P877" s="1"/>
      <c r="Q877" s="1"/>
      <c r="R877" s="1"/>
      <c r="S877" s="1"/>
      <c r="T877" s="1"/>
      <c r="U877" s="1"/>
      <c r="V877" s="1"/>
      <c r="W877" s="1"/>
      <c r="X877" s="1"/>
      <c r="Y877" s="1"/>
      <c r="Z877" s="1"/>
    </row>
    <row r="878" customFormat="false" ht="15.75" hidden="false" customHeight="true" outlineLevel="0" collapsed="false">
      <c r="N878" s="1"/>
      <c r="O878" s="1"/>
      <c r="P878" s="1"/>
      <c r="Q878" s="1"/>
      <c r="R878" s="1"/>
      <c r="S878" s="1"/>
      <c r="T878" s="1"/>
      <c r="U878" s="1"/>
      <c r="V878" s="1"/>
      <c r="W878" s="1"/>
      <c r="X878" s="1"/>
      <c r="Y878" s="1"/>
      <c r="Z878" s="1"/>
    </row>
    <row r="879" customFormat="false" ht="15.75" hidden="false" customHeight="true" outlineLevel="0" collapsed="false">
      <c r="N879" s="1"/>
      <c r="O879" s="1"/>
      <c r="P879" s="1"/>
      <c r="Q879" s="1"/>
      <c r="R879" s="1"/>
      <c r="S879" s="1"/>
      <c r="T879" s="1"/>
      <c r="U879" s="1"/>
      <c r="V879" s="1"/>
      <c r="W879" s="1"/>
      <c r="X879" s="1"/>
      <c r="Y879" s="1"/>
      <c r="Z879" s="1"/>
    </row>
    <row r="880" customFormat="false" ht="15.75" hidden="false" customHeight="true" outlineLevel="0" collapsed="false">
      <c r="N880" s="1"/>
      <c r="O880" s="1"/>
      <c r="P880" s="1"/>
      <c r="Q880" s="1"/>
      <c r="R880" s="1"/>
      <c r="S880" s="1"/>
      <c r="T880" s="1"/>
      <c r="U880" s="1"/>
      <c r="V880" s="1"/>
      <c r="W880" s="1"/>
      <c r="X880" s="1"/>
      <c r="Y880" s="1"/>
      <c r="Z880" s="1"/>
    </row>
    <row r="881" customFormat="false" ht="15.75" hidden="false" customHeight="true" outlineLevel="0" collapsed="false">
      <c r="N881" s="1"/>
      <c r="O881" s="1"/>
      <c r="P881" s="1"/>
      <c r="Q881" s="1"/>
      <c r="R881" s="1"/>
      <c r="S881" s="1"/>
      <c r="T881" s="1"/>
      <c r="U881" s="1"/>
      <c r="V881" s="1"/>
      <c r="W881" s="1"/>
      <c r="X881" s="1"/>
      <c r="Y881" s="1"/>
      <c r="Z881" s="1"/>
    </row>
    <row r="882" customFormat="false" ht="15.75" hidden="false" customHeight="true" outlineLevel="0" collapsed="false">
      <c r="N882" s="1"/>
      <c r="O882" s="1"/>
      <c r="P882" s="1"/>
      <c r="Q882" s="1"/>
      <c r="R882" s="1"/>
      <c r="S882" s="1"/>
      <c r="T882" s="1"/>
      <c r="U882" s="1"/>
      <c r="V882" s="1"/>
      <c r="W882" s="1"/>
      <c r="X882" s="1"/>
      <c r="Y882" s="1"/>
      <c r="Z882" s="1"/>
    </row>
    <row r="883" customFormat="false" ht="15.75" hidden="false" customHeight="true" outlineLevel="0" collapsed="false">
      <c r="N883" s="1"/>
      <c r="O883" s="1"/>
      <c r="P883" s="1"/>
      <c r="Q883" s="1"/>
      <c r="R883" s="1"/>
      <c r="S883" s="1"/>
      <c r="T883" s="1"/>
      <c r="U883" s="1"/>
      <c r="V883" s="1"/>
      <c r="W883" s="1"/>
      <c r="X883" s="1"/>
      <c r="Y883" s="1"/>
      <c r="Z883" s="1"/>
    </row>
    <row r="884" customFormat="false" ht="15.75" hidden="false" customHeight="true" outlineLevel="0" collapsed="false">
      <c r="N884" s="1"/>
      <c r="O884" s="1"/>
      <c r="P884" s="1"/>
      <c r="Q884" s="1"/>
      <c r="R884" s="1"/>
      <c r="S884" s="1"/>
      <c r="T884" s="1"/>
      <c r="U884" s="1"/>
      <c r="V884" s="1"/>
      <c r="W884" s="1"/>
      <c r="X884" s="1"/>
      <c r="Y884" s="1"/>
      <c r="Z884" s="1"/>
    </row>
    <row r="885" customFormat="false" ht="15.75" hidden="false" customHeight="true" outlineLevel="0" collapsed="false">
      <c r="N885" s="1"/>
      <c r="O885" s="1"/>
      <c r="P885" s="1"/>
      <c r="Q885" s="1"/>
      <c r="R885" s="1"/>
      <c r="S885" s="1"/>
      <c r="T885" s="1"/>
      <c r="U885" s="1"/>
      <c r="V885" s="1"/>
      <c r="W885" s="1"/>
      <c r="X885" s="1"/>
      <c r="Y885" s="1"/>
      <c r="Z885" s="1"/>
    </row>
    <row r="886" customFormat="false" ht="15.75" hidden="false" customHeight="true" outlineLevel="0" collapsed="false">
      <c r="N886" s="1"/>
      <c r="O886" s="1"/>
      <c r="P886" s="1"/>
      <c r="Q886" s="1"/>
      <c r="R886" s="1"/>
      <c r="S886" s="1"/>
      <c r="T886" s="1"/>
      <c r="U886" s="1"/>
      <c r="V886" s="1"/>
      <c r="W886" s="1"/>
      <c r="X886" s="1"/>
      <c r="Y886" s="1"/>
      <c r="Z886" s="1"/>
    </row>
    <row r="887" customFormat="false" ht="15.75" hidden="false" customHeight="true" outlineLevel="0" collapsed="false">
      <c r="N887" s="1"/>
      <c r="O887" s="1"/>
      <c r="P887" s="1"/>
      <c r="Q887" s="1"/>
      <c r="R887" s="1"/>
      <c r="S887" s="1"/>
      <c r="T887" s="1"/>
      <c r="U887" s="1"/>
      <c r="V887" s="1"/>
      <c r="W887" s="1"/>
      <c r="X887" s="1"/>
      <c r="Y887" s="1"/>
      <c r="Z887" s="1"/>
    </row>
    <row r="888" customFormat="false" ht="15.75" hidden="false" customHeight="true" outlineLevel="0" collapsed="false">
      <c r="N888" s="1"/>
      <c r="O888" s="1"/>
      <c r="P888" s="1"/>
      <c r="Q888" s="1"/>
      <c r="R888" s="1"/>
      <c r="S888" s="1"/>
      <c r="T888" s="1"/>
      <c r="U888" s="1"/>
      <c r="V888" s="1"/>
      <c r="W888" s="1"/>
      <c r="X888" s="1"/>
      <c r="Y888" s="1"/>
      <c r="Z888" s="1"/>
    </row>
    <row r="889" customFormat="false" ht="15.75" hidden="false" customHeight="true" outlineLevel="0" collapsed="false">
      <c r="N889" s="1"/>
      <c r="O889" s="1"/>
      <c r="P889" s="1"/>
      <c r="Q889" s="1"/>
      <c r="R889" s="1"/>
      <c r="S889" s="1"/>
      <c r="T889" s="1"/>
      <c r="U889" s="1"/>
      <c r="V889" s="1"/>
      <c r="W889" s="1"/>
      <c r="X889" s="1"/>
      <c r="Y889" s="1"/>
      <c r="Z889" s="1"/>
    </row>
    <row r="890" customFormat="false" ht="15.75" hidden="false" customHeight="true" outlineLevel="0" collapsed="false">
      <c r="N890" s="1"/>
      <c r="O890" s="1"/>
      <c r="P890" s="1"/>
      <c r="Q890" s="1"/>
      <c r="R890" s="1"/>
      <c r="S890" s="1"/>
      <c r="T890" s="1"/>
      <c r="U890" s="1"/>
      <c r="V890" s="1"/>
      <c r="W890" s="1"/>
      <c r="X890" s="1"/>
      <c r="Y890" s="1"/>
      <c r="Z890" s="1"/>
    </row>
    <row r="891" customFormat="false" ht="15.75" hidden="false" customHeight="true" outlineLevel="0" collapsed="false">
      <c r="N891" s="1"/>
      <c r="O891" s="1"/>
      <c r="P891" s="1"/>
      <c r="Q891" s="1"/>
      <c r="R891" s="1"/>
      <c r="S891" s="1"/>
      <c r="T891" s="1"/>
      <c r="U891" s="1"/>
      <c r="V891" s="1"/>
      <c r="W891" s="1"/>
      <c r="X891" s="1"/>
      <c r="Y891" s="1"/>
      <c r="Z891" s="1"/>
    </row>
    <row r="892" customFormat="false" ht="15.75" hidden="false" customHeight="true" outlineLevel="0" collapsed="false">
      <c r="N892" s="1"/>
      <c r="O892" s="1"/>
      <c r="P892" s="1"/>
      <c r="Q892" s="1"/>
      <c r="R892" s="1"/>
      <c r="S892" s="1"/>
      <c r="T892" s="1"/>
      <c r="U892" s="1"/>
      <c r="V892" s="1"/>
      <c r="W892" s="1"/>
      <c r="X892" s="1"/>
      <c r="Y892" s="1"/>
      <c r="Z892" s="1"/>
    </row>
    <row r="893" customFormat="false" ht="15.75" hidden="false" customHeight="true" outlineLevel="0" collapsed="false">
      <c r="N893" s="1"/>
      <c r="O893" s="1"/>
      <c r="P893" s="1"/>
      <c r="Q893" s="1"/>
      <c r="R893" s="1"/>
      <c r="S893" s="1"/>
      <c r="T893" s="1"/>
      <c r="U893" s="1"/>
      <c r="V893" s="1"/>
      <c r="W893" s="1"/>
      <c r="X893" s="1"/>
      <c r="Y893" s="1"/>
      <c r="Z893" s="1"/>
    </row>
    <row r="894" customFormat="false" ht="15.75" hidden="false" customHeight="true" outlineLevel="0" collapsed="false">
      <c r="N894" s="1"/>
      <c r="O894" s="1"/>
      <c r="P894" s="1"/>
      <c r="Q894" s="1"/>
      <c r="R894" s="1"/>
      <c r="S894" s="1"/>
      <c r="T894" s="1"/>
      <c r="U894" s="1"/>
      <c r="V894" s="1"/>
      <c r="W894" s="1"/>
      <c r="X894" s="1"/>
      <c r="Y894" s="1"/>
      <c r="Z894" s="1"/>
    </row>
    <row r="895" customFormat="false" ht="15.75" hidden="false" customHeight="true" outlineLevel="0" collapsed="false">
      <c r="N895" s="1"/>
      <c r="O895" s="1"/>
      <c r="P895" s="1"/>
      <c r="Q895" s="1"/>
      <c r="R895" s="1"/>
      <c r="S895" s="1"/>
      <c r="T895" s="1"/>
      <c r="U895" s="1"/>
      <c r="V895" s="1"/>
      <c r="W895" s="1"/>
      <c r="X895" s="1"/>
      <c r="Y895" s="1"/>
      <c r="Z895" s="1"/>
    </row>
    <row r="896" customFormat="false" ht="15.75" hidden="false" customHeight="true" outlineLevel="0" collapsed="false">
      <c r="N896" s="1"/>
      <c r="O896" s="1"/>
      <c r="P896" s="1"/>
      <c r="Q896" s="1"/>
      <c r="R896" s="1"/>
      <c r="S896" s="1"/>
      <c r="T896" s="1"/>
      <c r="U896" s="1"/>
      <c r="V896" s="1"/>
      <c r="W896" s="1"/>
      <c r="X896" s="1"/>
      <c r="Y896" s="1"/>
      <c r="Z896" s="1"/>
    </row>
    <row r="897" customFormat="false" ht="15.75" hidden="false" customHeight="true" outlineLevel="0" collapsed="false">
      <c r="N897" s="1"/>
      <c r="O897" s="1"/>
      <c r="P897" s="1"/>
      <c r="Q897" s="1"/>
      <c r="R897" s="1"/>
      <c r="S897" s="1"/>
      <c r="T897" s="1"/>
      <c r="U897" s="1"/>
      <c r="V897" s="1"/>
      <c r="W897" s="1"/>
      <c r="X897" s="1"/>
      <c r="Y897" s="1"/>
      <c r="Z897" s="1"/>
    </row>
    <row r="898" customFormat="false" ht="15.75" hidden="false" customHeight="true" outlineLevel="0" collapsed="false">
      <c r="N898" s="1"/>
      <c r="O898" s="1"/>
      <c r="P898" s="1"/>
      <c r="Q898" s="1"/>
      <c r="R898" s="1"/>
      <c r="S898" s="1"/>
      <c r="T898" s="1"/>
      <c r="U898" s="1"/>
      <c r="V898" s="1"/>
      <c r="W898" s="1"/>
      <c r="X898" s="1"/>
      <c r="Y898" s="1"/>
      <c r="Z898" s="1"/>
    </row>
    <row r="899" customFormat="false" ht="15.75" hidden="false" customHeight="true" outlineLevel="0" collapsed="false">
      <c r="N899" s="1"/>
      <c r="O899" s="1"/>
      <c r="P899" s="1"/>
      <c r="Q899" s="1"/>
      <c r="R899" s="1"/>
      <c r="S899" s="1"/>
      <c r="T899" s="1"/>
      <c r="U899" s="1"/>
      <c r="V899" s="1"/>
      <c r="W899" s="1"/>
      <c r="X899" s="1"/>
      <c r="Y899" s="1"/>
      <c r="Z899" s="1"/>
    </row>
    <row r="900" customFormat="false" ht="15.75" hidden="false" customHeight="true" outlineLevel="0" collapsed="false">
      <c r="N900" s="1"/>
      <c r="O900" s="1"/>
      <c r="P900" s="1"/>
      <c r="Q900" s="1"/>
      <c r="R900" s="1"/>
      <c r="S900" s="1"/>
      <c r="T900" s="1"/>
      <c r="U900" s="1"/>
      <c r="V900" s="1"/>
      <c r="W900" s="1"/>
      <c r="X900" s="1"/>
      <c r="Y900" s="1"/>
      <c r="Z900" s="1"/>
    </row>
    <row r="901" customFormat="false" ht="15.75" hidden="false" customHeight="true" outlineLevel="0" collapsed="false">
      <c r="N901" s="1"/>
      <c r="O901" s="1"/>
      <c r="P901" s="1"/>
      <c r="Q901" s="1"/>
      <c r="R901" s="1"/>
      <c r="S901" s="1"/>
      <c r="T901" s="1"/>
      <c r="U901" s="1"/>
      <c r="V901" s="1"/>
      <c r="W901" s="1"/>
      <c r="X901" s="1"/>
      <c r="Y901" s="1"/>
      <c r="Z901" s="1"/>
    </row>
    <row r="902" customFormat="false" ht="15.75" hidden="false" customHeight="true" outlineLevel="0" collapsed="false">
      <c r="N902" s="1"/>
      <c r="O902" s="1"/>
      <c r="P902" s="1"/>
      <c r="Q902" s="1"/>
      <c r="R902" s="1"/>
      <c r="S902" s="1"/>
      <c r="T902" s="1"/>
      <c r="U902" s="1"/>
      <c r="V902" s="1"/>
      <c r="W902" s="1"/>
      <c r="X902" s="1"/>
      <c r="Y902" s="1"/>
      <c r="Z902" s="1"/>
    </row>
    <row r="903" customFormat="false" ht="15.75" hidden="false" customHeight="true" outlineLevel="0" collapsed="false">
      <c r="N903" s="1"/>
      <c r="O903" s="1"/>
      <c r="P903" s="1"/>
      <c r="Q903" s="1"/>
      <c r="R903" s="1"/>
      <c r="S903" s="1"/>
      <c r="T903" s="1"/>
      <c r="U903" s="1"/>
      <c r="V903" s="1"/>
      <c r="W903" s="1"/>
      <c r="X903" s="1"/>
      <c r="Y903" s="1"/>
      <c r="Z903" s="1"/>
    </row>
    <row r="904" customFormat="false" ht="15.75" hidden="false" customHeight="true" outlineLevel="0" collapsed="false">
      <c r="N904" s="1"/>
      <c r="O904" s="1"/>
      <c r="P904" s="1"/>
      <c r="Q904" s="1"/>
      <c r="R904" s="1"/>
      <c r="S904" s="1"/>
      <c r="T904" s="1"/>
      <c r="U904" s="1"/>
      <c r="V904" s="1"/>
      <c r="W904" s="1"/>
      <c r="X904" s="1"/>
      <c r="Y904" s="1"/>
      <c r="Z904" s="1"/>
    </row>
    <row r="905" customFormat="false" ht="15.75" hidden="false" customHeight="true" outlineLevel="0" collapsed="false">
      <c r="N905" s="1"/>
      <c r="O905" s="1"/>
      <c r="P905" s="1"/>
      <c r="Q905" s="1"/>
      <c r="R905" s="1"/>
      <c r="S905" s="1"/>
      <c r="T905" s="1"/>
      <c r="U905" s="1"/>
      <c r="V905" s="1"/>
      <c r="W905" s="1"/>
      <c r="X905" s="1"/>
      <c r="Y905" s="1"/>
      <c r="Z905" s="1"/>
    </row>
    <row r="906" customFormat="false" ht="15.75" hidden="false" customHeight="true" outlineLevel="0" collapsed="false">
      <c r="N906" s="1"/>
      <c r="O906" s="1"/>
      <c r="P906" s="1"/>
      <c r="Q906" s="1"/>
      <c r="R906" s="1"/>
      <c r="S906" s="1"/>
      <c r="T906" s="1"/>
      <c r="U906" s="1"/>
      <c r="V906" s="1"/>
      <c r="W906" s="1"/>
      <c r="X906" s="1"/>
      <c r="Y906" s="1"/>
      <c r="Z906" s="1"/>
    </row>
    <row r="907" customFormat="false" ht="15.75" hidden="false" customHeight="true" outlineLevel="0" collapsed="false">
      <c r="N907" s="1"/>
      <c r="O907" s="1"/>
      <c r="P907" s="1"/>
      <c r="Q907" s="1"/>
      <c r="R907" s="1"/>
      <c r="S907" s="1"/>
      <c r="T907" s="1"/>
      <c r="U907" s="1"/>
      <c r="V907" s="1"/>
      <c r="W907" s="1"/>
      <c r="X907" s="1"/>
      <c r="Y907" s="1"/>
      <c r="Z907" s="1"/>
    </row>
    <row r="908" customFormat="false" ht="15.75" hidden="false" customHeight="true" outlineLevel="0" collapsed="false">
      <c r="N908" s="1"/>
      <c r="O908" s="1"/>
      <c r="P908" s="1"/>
      <c r="Q908" s="1"/>
      <c r="R908" s="1"/>
      <c r="S908" s="1"/>
      <c r="T908" s="1"/>
      <c r="U908" s="1"/>
      <c r="V908" s="1"/>
      <c r="W908" s="1"/>
      <c r="X908" s="1"/>
      <c r="Y908" s="1"/>
      <c r="Z908" s="1"/>
    </row>
    <row r="909" customFormat="false" ht="15.75" hidden="false" customHeight="true" outlineLevel="0" collapsed="false">
      <c r="N909" s="1"/>
      <c r="O909" s="1"/>
      <c r="P909" s="1"/>
      <c r="Q909" s="1"/>
      <c r="R909" s="1"/>
      <c r="S909" s="1"/>
      <c r="T909" s="1"/>
      <c r="U909" s="1"/>
      <c r="V909" s="1"/>
      <c r="W909" s="1"/>
      <c r="X909" s="1"/>
      <c r="Y909" s="1"/>
      <c r="Z909" s="1"/>
    </row>
    <row r="910" customFormat="false" ht="15.75" hidden="false" customHeight="true" outlineLevel="0" collapsed="false">
      <c r="N910" s="1"/>
      <c r="O910" s="1"/>
      <c r="P910" s="1"/>
      <c r="Q910" s="1"/>
      <c r="R910" s="1"/>
      <c r="S910" s="1"/>
      <c r="T910" s="1"/>
      <c r="U910" s="1"/>
      <c r="V910" s="1"/>
      <c r="W910" s="1"/>
      <c r="X910" s="1"/>
      <c r="Y910" s="1"/>
      <c r="Z910" s="1"/>
    </row>
    <row r="911" customFormat="false" ht="15.75" hidden="false" customHeight="true" outlineLevel="0" collapsed="false">
      <c r="N911" s="1"/>
      <c r="O911" s="1"/>
      <c r="P911" s="1"/>
      <c r="Q911" s="1"/>
      <c r="R911" s="1"/>
      <c r="S911" s="1"/>
      <c r="T911" s="1"/>
      <c r="U911" s="1"/>
      <c r="V911" s="1"/>
      <c r="W911" s="1"/>
      <c r="X911" s="1"/>
      <c r="Y911" s="1"/>
      <c r="Z911" s="1"/>
    </row>
    <row r="912" customFormat="false" ht="15.75" hidden="false" customHeight="true" outlineLevel="0" collapsed="false">
      <c r="N912" s="1"/>
      <c r="O912" s="1"/>
      <c r="P912" s="1"/>
      <c r="Q912" s="1"/>
      <c r="R912" s="1"/>
      <c r="S912" s="1"/>
      <c r="T912" s="1"/>
      <c r="U912" s="1"/>
      <c r="V912" s="1"/>
      <c r="W912" s="1"/>
      <c r="X912" s="1"/>
      <c r="Y912" s="1"/>
      <c r="Z912" s="1"/>
    </row>
    <row r="913" customFormat="false" ht="15.75" hidden="false" customHeight="true" outlineLevel="0" collapsed="false">
      <c r="N913" s="1"/>
      <c r="O913" s="1"/>
      <c r="P913" s="1"/>
      <c r="Q913" s="1"/>
      <c r="R913" s="1"/>
      <c r="S913" s="1"/>
      <c r="T913" s="1"/>
      <c r="U913" s="1"/>
      <c r="V913" s="1"/>
      <c r="W913" s="1"/>
      <c r="X913" s="1"/>
      <c r="Y913" s="1"/>
      <c r="Z913" s="1"/>
    </row>
    <row r="914" customFormat="false" ht="15.75" hidden="false" customHeight="true" outlineLevel="0" collapsed="false">
      <c r="N914" s="1"/>
      <c r="O914" s="1"/>
      <c r="P914" s="1"/>
      <c r="Q914" s="1"/>
      <c r="R914" s="1"/>
      <c r="S914" s="1"/>
      <c r="T914" s="1"/>
      <c r="U914" s="1"/>
      <c r="V914" s="1"/>
      <c r="W914" s="1"/>
      <c r="X914" s="1"/>
      <c r="Y914" s="1"/>
      <c r="Z914" s="1"/>
    </row>
    <row r="915" customFormat="false" ht="15.75" hidden="false" customHeight="true" outlineLevel="0" collapsed="false">
      <c r="N915" s="1"/>
      <c r="O915" s="1"/>
      <c r="P915" s="1"/>
      <c r="Q915" s="1"/>
      <c r="R915" s="1"/>
      <c r="S915" s="1"/>
      <c r="T915" s="1"/>
      <c r="U915" s="1"/>
      <c r="V915" s="1"/>
      <c r="W915" s="1"/>
      <c r="X915" s="1"/>
      <c r="Y915" s="1"/>
      <c r="Z915" s="1"/>
    </row>
    <row r="916" customFormat="false" ht="15.75" hidden="false" customHeight="true" outlineLevel="0" collapsed="false">
      <c r="N916" s="1"/>
      <c r="O916" s="1"/>
      <c r="P916" s="1"/>
      <c r="Q916" s="1"/>
      <c r="R916" s="1"/>
      <c r="S916" s="1"/>
      <c r="T916" s="1"/>
      <c r="U916" s="1"/>
      <c r="V916" s="1"/>
      <c r="W916" s="1"/>
      <c r="X916" s="1"/>
      <c r="Y916" s="1"/>
      <c r="Z916" s="1"/>
    </row>
    <row r="917" customFormat="false" ht="15.75" hidden="false" customHeight="true" outlineLevel="0" collapsed="false">
      <c r="N917" s="1"/>
      <c r="O917" s="1"/>
      <c r="P917" s="1"/>
      <c r="Q917" s="1"/>
      <c r="R917" s="1"/>
      <c r="S917" s="1"/>
      <c r="T917" s="1"/>
      <c r="U917" s="1"/>
      <c r="V917" s="1"/>
      <c r="W917" s="1"/>
      <c r="X917" s="1"/>
      <c r="Y917" s="1"/>
      <c r="Z917" s="1"/>
    </row>
    <row r="918" customFormat="false" ht="15.75" hidden="false" customHeight="true" outlineLevel="0" collapsed="false">
      <c r="N918" s="1"/>
      <c r="O918" s="1"/>
      <c r="P918" s="1"/>
      <c r="Q918" s="1"/>
      <c r="R918" s="1"/>
      <c r="S918" s="1"/>
      <c r="T918" s="1"/>
      <c r="U918" s="1"/>
      <c r="V918" s="1"/>
      <c r="W918" s="1"/>
      <c r="X918" s="1"/>
      <c r="Y918" s="1"/>
      <c r="Z918" s="1"/>
    </row>
    <row r="919" customFormat="false" ht="15.75" hidden="false" customHeight="true" outlineLevel="0" collapsed="false">
      <c r="N919" s="1"/>
      <c r="O919" s="1"/>
      <c r="P919" s="1"/>
      <c r="Q919" s="1"/>
      <c r="R919" s="1"/>
      <c r="S919" s="1"/>
      <c r="T919" s="1"/>
      <c r="U919" s="1"/>
      <c r="V919" s="1"/>
      <c r="W919" s="1"/>
      <c r="X919" s="1"/>
      <c r="Y919" s="1"/>
      <c r="Z919" s="1"/>
    </row>
    <row r="920" customFormat="false" ht="15.75" hidden="false" customHeight="true" outlineLevel="0" collapsed="false">
      <c r="N920" s="1"/>
      <c r="O920" s="1"/>
      <c r="P920" s="1"/>
      <c r="Q920" s="1"/>
      <c r="R920" s="1"/>
      <c r="S920" s="1"/>
      <c r="T920" s="1"/>
      <c r="U920" s="1"/>
      <c r="V920" s="1"/>
      <c r="W920" s="1"/>
      <c r="X920" s="1"/>
      <c r="Y920" s="1"/>
      <c r="Z920" s="1"/>
    </row>
    <row r="921" customFormat="false" ht="15.75" hidden="false" customHeight="true" outlineLevel="0" collapsed="false">
      <c r="N921" s="1"/>
      <c r="O921" s="1"/>
      <c r="P921" s="1"/>
      <c r="Q921" s="1"/>
      <c r="R921" s="1"/>
      <c r="S921" s="1"/>
      <c r="T921" s="1"/>
      <c r="U921" s="1"/>
      <c r="V921" s="1"/>
      <c r="W921" s="1"/>
      <c r="X921" s="1"/>
      <c r="Y921" s="1"/>
      <c r="Z921" s="1"/>
    </row>
    <row r="922" customFormat="false" ht="15.75" hidden="false" customHeight="true" outlineLevel="0" collapsed="false">
      <c r="N922" s="1"/>
      <c r="O922" s="1"/>
      <c r="P922" s="1"/>
      <c r="Q922" s="1"/>
      <c r="R922" s="1"/>
      <c r="S922" s="1"/>
      <c r="T922" s="1"/>
      <c r="U922" s="1"/>
      <c r="V922" s="1"/>
      <c r="W922" s="1"/>
      <c r="X922" s="1"/>
      <c r="Y922" s="1"/>
      <c r="Z922" s="1"/>
    </row>
    <row r="923" customFormat="false" ht="15.75" hidden="false" customHeight="true" outlineLevel="0" collapsed="false">
      <c r="N923" s="1"/>
      <c r="O923" s="1"/>
      <c r="P923" s="1"/>
      <c r="Q923" s="1"/>
      <c r="R923" s="1"/>
      <c r="S923" s="1"/>
      <c r="T923" s="1"/>
      <c r="U923" s="1"/>
      <c r="V923" s="1"/>
      <c r="W923" s="1"/>
      <c r="X923" s="1"/>
      <c r="Y923" s="1"/>
      <c r="Z923" s="1"/>
    </row>
    <row r="924" customFormat="false" ht="15.75" hidden="false" customHeight="true" outlineLevel="0" collapsed="false">
      <c r="N924" s="1"/>
      <c r="O924" s="1"/>
      <c r="P924" s="1"/>
      <c r="Q924" s="1"/>
      <c r="R924" s="1"/>
      <c r="S924" s="1"/>
      <c r="T924" s="1"/>
      <c r="U924" s="1"/>
      <c r="V924" s="1"/>
      <c r="W924" s="1"/>
      <c r="X924" s="1"/>
      <c r="Y924" s="1"/>
      <c r="Z924" s="1"/>
    </row>
    <row r="925" customFormat="false" ht="15.75" hidden="false" customHeight="true" outlineLevel="0" collapsed="false">
      <c r="N925" s="1"/>
      <c r="O925" s="1"/>
      <c r="P925" s="1"/>
      <c r="Q925" s="1"/>
      <c r="R925" s="1"/>
      <c r="S925" s="1"/>
      <c r="T925" s="1"/>
      <c r="U925" s="1"/>
      <c r="V925" s="1"/>
      <c r="W925" s="1"/>
      <c r="X925" s="1"/>
      <c r="Y925" s="1"/>
      <c r="Z925" s="1"/>
    </row>
    <row r="926" customFormat="false" ht="15.75" hidden="false" customHeight="true" outlineLevel="0" collapsed="false">
      <c r="N926" s="1"/>
      <c r="O926" s="1"/>
      <c r="P926" s="1"/>
      <c r="Q926" s="1"/>
      <c r="R926" s="1"/>
      <c r="S926" s="1"/>
      <c r="T926" s="1"/>
      <c r="U926" s="1"/>
      <c r="V926" s="1"/>
      <c r="W926" s="1"/>
      <c r="X926" s="1"/>
      <c r="Y926" s="1"/>
      <c r="Z926" s="1"/>
    </row>
    <row r="927" customFormat="false" ht="15.75" hidden="false" customHeight="true" outlineLevel="0" collapsed="false">
      <c r="N927" s="1"/>
      <c r="O927" s="1"/>
      <c r="P927" s="1"/>
      <c r="Q927" s="1"/>
      <c r="R927" s="1"/>
      <c r="S927" s="1"/>
      <c r="T927" s="1"/>
      <c r="U927" s="1"/>
      <c r="V927" s="1"/>
      <c r="W927" s="1"/>
      <c r="X927" s="1"/>
      <c r="Y927" s="1"/>
      <c r="Z927" s="1"/>
    </row>
    <row r="928" customFormat="false" ht="15.75" hidden="false" customHeight="true" outlineLevel="0" collapsed="false">
      <c r="N928" s="1"/>
      <c r="O928" s="1"/>
      <c r="P928" s="1"/>
      <c r="Q928" s="1"/>
      <c r="R928" s="1"/>
      <c r="S928" s="1"/>
      <c r="T928" s="1"/>
      <c r="U928" s="1"/>
      <c r="V928" s="1"/>
      <c r="W928" s="1"/>
      <c r="X928" s="1"/>
      <c r="Y928" s="1"/>
      <c r="Z928" s="1"/>
    </row>
    <row r="929" customFormat="false" ht="15.75" hidden="false" customHeight="true" outlineLevel="0" collapsed="false">
      <c r="N929" s="1"/>
      <c r="O929" s="1"/>
      <c r="P929" s="1"/>
      <c r="Q929" s="1"/>
      <c r="R929" s="1"/>
      <c r="S929" s="1"/>
      <c r="T929" s="1"/>
      <c r="U929" s="1"/>
      <c r="V929" s="1"/>
      <c r="W929" s="1"/>
      <c r="X929" s="1"/>
      <c r="Y929" s="1"/>
      <c r="Z929" s="1"/>
    </row>
    <row r="930" customFormat="false" ht="15.75" hidden="false" customHeight="true" outlineLevel="0" collapsed="false">
      <c r="N930" s="1"/>
      <c r="O930" s="1"/>
      <c r="P930" s="1"/>
      <c r="Q930" s="1"/>
      <c r="R930" s="1"/>
      <c r="S930" s="1"/>
      <c r="T930" s="1"/>
      <c r="U930" s="1"/>
      <c r="V930" s="1"/>
      <c r="W930" s="1"/>
      <c r="X930" s="1"/>
      <c r="Y930" s="1"/>
      <c r="Z930" s="1"/>
    </row>
    <row r="931" customFormat="false" ht="15.75" hidden="false" customHeight="true" outlineLevel="0" collapsed="false">
      <c r="N931" s="1"/>
      <c r="O931" s="1"/>
      <c r="P931" s="1"/>
      <c r="Q931" s="1"/>
      <c r="R931" s="1"/>
      <c r="S931" s="1"/>
      <c r="T931" s="1"/>
      <c r="U931" s="1"/>
      <c r="V931" s="1"/>
      <c r="W931" s="1"/>
      <c r="X931" s="1"/>
      <c r="Y931" s="1"/>
      <c r="Z931" s="1"/>
    </row>
    <row r="932" customFormat="false" ht="15.75" hidden="false" customHeight="true" outlineLevel="0" collapsed="false">
      <c r="N932" s="1"/>
      <c r="O932" s="1"/>
      <c r="P932" s="1"/>
      <c r="Q932" s="1"/>
      <c r="R932" s="1"/>
      <c r="S932" s="1"/>
      <c r="T932" s="1"/>
      <c r="U932" s="1"/>
      <c r="V932" s="1"/>
      <c r="W932" s="1"/>
      <c r="X932" s="1"/>
      <c r="Y932" s="1"/>
      <c r="Z932" s="1"/>
    </row>
    <row r="933" customFormat="false" ht="15.75" hidden="false" customHeight="true" outlineLevel="0" collapsed="false">
      <c r="N933" s="1"/>
      <c r="O933" s="1"/>
      <c r="P933" s="1"/>
      <c r="Q933" s="1"/>
      <c r="R933" s="1"/>
      <c r="S933" s="1"/>
      <c r="T933" s="1"/>
      <c r="U933" s="1"/>
      <c r="V933" s="1"/>
      <c r="W933" s="1"/>
      <c r="X933" s="1"/>
      <c r="Y933" s="1"/>
      <c r="Z933" s="1"/>
    </row>
    <row r="934" customFormat="false" ht="15.75" hidden="false" customHeight="true" outlineLevel="0" collapsed="false">
      <c r="N934" s="1"/>
      <c r="O934" s="1"/>
      <c r="P934" s="1"/>
      <c r="Q934" s="1"/>
      <c r="R934" s="1"/>
      <c r="S934" s="1"/>
      <c r="T934" s="1"/>
      <c r="U934" s="1"/>
      <c r="V934" s="1"/>
      <c r="W934" s="1"/>
      <c r="X934" s="1"/>
      <c r="Y934" s="1"/>
      <c r="Z934" s="1"/>
    </row>
    <row r="935" customFormat="false" ht="15.75" hidden="false" customHeight="true" outlineLevel="0" collapsed="false">
      <c r="N935" s="1"/>
      <c r="O935" s="1"/>
      <c r="P935" s="1"/>
      <c r="Q935" s="1"/>
      <c r="R935" s="1"/>
      <c r="S935" s="1"/>
      <c r="T935" s="1"/>
      <c r="U935" s="1"/>
      <c r="V935" s="1"/>
      <c r="W935" s="1"/>
      <c r="X935" s="1"/>
      <c r="Y935" s="1"/>
      <c r="Z935" s="1"/>
    </row>
    <row r="936" customFormat="false" ht="15.75" hidden="false" customHeight="true" outlineLevel="0" collapsed="false">
      <c r="N936" s="1"/>
      <c r="O936" s="1"/>
      <c r="P936" s="1"/>
      <c r="Q936" s="1"/>
      <c r="R936" s="1"/>
      <c r="S936" s="1"/>
      <c r="T936" s="1"/>
      <c r="U936" s="1"/>
      <c r="V936" s="1"/>
      <c r="W936" s="1"/>
      <c r="X936" s="1"/>
      <c r="Y936" s="1"/>
      <c r="Z936" s="1"/>
    </row>
    <row r="937" customFormat="false" ht="15.75" hidden="false" customHeight="true" outlineLevel="0" collapsed="false">
      <c r="N937" s="1"/>
      <c r="O937" s="1"/>
      <c r="P937" s="1"/>
      <c r="Q937" s="1"/>
      <c r="R937" s="1"/>
      <c r="S937" s="1"/>
      <c r="T937" s="1"/>
      <c r="U937" s="1"/>
      <c r="V937" s="1"/>
      <c r="W937" s="1"/>
      <c r="X937" s="1"/>
      <c r="Y937" s="1"/>
      <c r="Z937" s="1"/>
    </row>
    <row r="938" customFormat="false" ht="15.75" hidden="false" customHeight="true" outlineLevel="0" collapsed="false">
      <c r="N938" s="1"/>
      <c r="O938" s="1"/>
      <c r="P938" s="1"/>
      <c r="Q938" s="1"/>
      <c r="R938" s="1"/>
      <c r="S938" s="1"/>
      <c r="T938" s="1"/>
      <c r="U938" s="1"/>
      <c r="V938" s="1"/>
      <c r="W938" s="1"/>
      <c r="X938" s="1"/>
      <c r="Y938" s="1"/>
      <c r="Z938" s="1"/>
    </row>
    <row r="939" customFormat="false" ht="15.75" hidden="false" customHeight="true" outlineLevel="0" collapsed="false">
      <c r="N939" s="1"/>
      <c r="O939" s="1"/>
      <c r="P939" s="1"/>
      <c r="Q939" s="1"/>
      <c r="R939" s="1"/>
      <c r="S939" s="1"/>
      <c r="T939" s="1"/>
      <c r="U939" s="1"/>
      <c r="V939" s="1"/>
      <c r="W939" s="1"/>
      <c r="X939" s="1"/>
      <c r="Y939" s="1"/>
      <c r="Z939" s="1"/>
    </row>
    <row r="940" customFormat="false" ht="15.75" hidden="false" customHeight="true" outlineLevel="0" collapsed="false">
      <c r="N940" s="1"/>
      <c r="O940" s="1"/>
      <c r="P940" s="1"/>
      <c r="Q940" s="1"/>
      <c r="R940" s="1"/>
      <c r="S940" s="1"/>
      <c r="T940" s="1"/>
      <c r="U940" s="1"/>
      <c r="V940" s="1"/>
      <c r="W940" s="1"/>
      <c r="X940" s="1"/>
      <c r="Y940" s="1"/>
      <c r="Z940" s="1"/>
    </row>
    <row r="941" customFormat="false" ht="15.75" hidden="false" customHeight="true" outlineLevel="0" collapsed="false">
      <c r="N941" s="1"/>
      <c r="O941" s="1"/>
      <c r="P941" s="1"/>
      <c r="Q941" s="1"/>
      <c r="R941" s="1"/>
      <c r="S941" s="1"/>
      <c r="T941" s="1"/>
      <c r="U941" s="1"/>
      <c r="V941" s="1"/>
      <c r="W941" s="1"/>
      <c r="X941" s="1"/>
      <c r="Y941" s="1"/>
      <c r="Z941" s="1"/>
    </row>
    <row r="942" customFormat="false" ht="15.75" hidden="false" customHeight="true" outlineLevel="0" collapsed="false">
      <c r="N942" s="1"/>
      <c r="O942" s="1"/>
      <c r="P942" s="1"/>
      <c r="Q942" s="1"/>
      <c r="R942" s="1"/>
      <c r="S942" s="1"/>
      <c r="T942" s="1"/>
      <c r="U942" s="1"/>
      <c r="V942" s="1"/>
      <c r="W942" s="1"/>
      <c r="X942" s="1"/>
      <c r="Y942" s="1"/>
      <c r="Z942" s="1"/>
    </row>
    <row r="943" customFormat="false" ht="15.75" hidden="false" customHeight="true" outlineLevel="0" collapsed="false">
      <c r="N943" s="1"/>
      <c r="O943" s="1"/>
      <c r="P943" s="1"/>
      <c r="Q943" s="1"/>
      <c r="R943" s="1"/>
      <c r="S943" s="1"/>
      <c r="T943" s="1"/>
      <c r="U943" s="1"/>
      <c r="V943" s="1"/>
      <c r="W943" s="1"/>
      <c r="X943" s="1"/>
      <c r="Y943" s="1"/>
      <c r="Z943" s="1"/>
    </row>
    <row r="944" customFormat="false" ht="15.75" hidden="false" customHeight="true" outlineLevel="0" collapsed="false">
      <c r="N944" s="1"/>
      <c r="O944" s="1"/>
      <c r="P944" s="1"/>
      <c r="Q944" s="1"/>
      <c r="R944" s="1"/>
      <c r="S944" s="1"/>
      <c r="T944" s="1"/>
      <c r="U944" s="1"/>
      <c r="V944" s="1"/>
      <c r="W944" s="1"/>
      <c r="X944" s="1"/>
      <c r="Y944" s="1"/>
      <c r="Z944" s="1"/>
    </row>
    <row r="945" customFormat="false" ht="15.75" hidden="false" customHeight="true" outlineLevel="0" collapsed="false">
      <c r="N945" s="1"/>
      <c r="O945" s="1"/>
      <c r="P945" s="1"/>
      <c r="Q945" s="1"/>
      <c r="R945" s="1"/>
      <c r="S945" s="1"/>
      <c r="T945" s="1"/>
      <c r="U945" s="1"/>
      <c r="V945" s="1"/>
      <c r="W945" s="1"/>
      <c r="X945" s="1"/>
      <c r="Y945" s="1"/>
      <c r="Z945" s="1"/>
    </row>
    <row r="946" customFormat="false" ht="15.75" hidden="false" customHeight="true" outlineLevel="0" collapsed="false">
      <c r="N946" s="1"/>
      <c r="O946" s="1"/>
      <c r="P946" s="1"/>
      <c r="Q946" s="1"/>
      <c r="R946" s="1"/>
      <c r="S946" s="1"/>
      <c r="T946" s="1"/>
      <c r="U946" s="1"/>
      <c r="V946" s="1"/>
      <c r="W946" s="1"/>
      <c r="X946" s="1"/>
      <c r="Y946" s="1"/>
      <c r="Z946" s="1"/>
    </row>
    <row r="947" customFormat="false" ht="15.75" hidden="false" customHeight="true" outlineLevel="0" collapsed="false">
      <c r="N947" s="1"/>
      <c r="O947" s="1"/>
      <c r="P947" s="1"/>
      <c r="Q947" s="1"/>
      <c r="R947" s="1"/>
      <c r="S947" s="1"/>
      <c r="T947" s="1"/>
      <c r="U947" s="1"/>
      <c r="V947" s="1"/>
      <c r="W947" s="1"/>
      <c r="X947" s="1"/>
      <c r="Y947" s="1"/>
      <c r="Z947" s="1"/>
    </row>
    <row r="948" customFormat="false" ht="15.75" hidden="false" customHeight="true" outlineLevel="0" collapsed="false">
      <c r="N948" s="1"/>
      <c r="O948" s="1"/>
      <c r="P948" s="1"/>
      <c r="Q948" s="1"/>
      <c r="R948" s="1"/>
      <c r="S948" s="1"/>
      <c r="T948" s="1"/>
      <c r="U948" s="1"/>
      <c r="V948" s="1"/>
      <c r="W948" s="1"/>
      <c r="X948" s="1"/>
      <c r="Y948" s="1"/>
      <c r="Z948" s="1"/>
    </row>
    <row r="949" customFormat="false" ht="15.75" hidden="false" customHeight="true" outlineLevel="0" collapsed="false">
      <c r="N949" s="1"/>
      <c r="O949" s="1"/>
      <c r="P949" s="1"/>
      <c r="Q949" s="1"/>
      <c r="R949" s="1"/>
      <c r="S949" s="1"/>
      <c r="T949" s="1"/>
      <c r="U949" s="1"/>
      <c r="V949" s="1"/>
      <c r="W949" s="1"/>
      <c r="X949" s="1"/>
      <c r="Y949" s="1"/>
      <c r="Z949" s="1"/>
    </row>
    <row r="950" customFormat="false" ht="15.75" hidden="false" customHeight="true" outlineLevel="0" collapsed="false">
      <c r="N950" s="1"/>
      <c r="O950" s="1"/>
      <c r="P950" s="1"/>
      <c r="Q950" s="1"/>
      <c r="R950" s="1"/>
      <c r="S950" s="1"/>
      <c r="T950" s="1"/>
      <c r="U950" s="1"/>
      <c r="V950" s="1"/>
      <c r="W950" s="1"/>
      <c r="X950" s="1"/>
      <c r="Y950" s="1"/>
      <c r="Z950" s="1"/>
    </row>
    <row r="951" customFormat="false" ht="15.75" hidden="false" customHeight="true" outlineLevel="0" collapsed="false">
      <c r="N951" s="1"/>
      <c r="O951" s="1"/>
      <c r="P951" s="1"/>
      <c r="Q951" s="1"/>
      <c r="R951" s="1"/>
      <c r="S951" s="1"/>
      <c r="T951" s="1"/>
      <c r="U951" s="1"/>
      <c r="V951" s="1"/>
      <c r="W951" s="1"/>
      <c r="X951" s="1"/>
      <c r="Y951" s="1"/>
      <c r="Z951" s="1"/>
    </row>
    <row r="952" customFormat="false" ht="15.75" hidden="false" customHeight="true" outlineLevel="0" collapsed="false">
      <c r="N952" s="1"/>
      <c r="O952" s="1"/>
      <c r="P952" s="1"/>
      <c r="Q952" s="1"/>
      <c r="R952" s="1"/>
      <c r="S952" s="1"/>
      <c r="T952" s="1"/>
      <c r="U952" s="1"/>
      <c r="V952" s="1"/>
      <c r="W952" s="1"/>
      <c r="X952" s="1"/>
      <c r="Y952" s="1"/>
      <c r="Z952" s="1"/>
    </row>
    <row r="953" customFormat="false" ht="15.75" hidden="false" customHeight="true" outlineLevel="0" collapsed="false">
      <c r="N953" s="1"/>
      <c r="O953" s="1"/>
      <c r="P953" s="1"/>
      <c r="Q953" s="1"/>
      <c r="R953" s="1"/>
      <c r="S953" s="1"/>
      <c r="T953" s="1"/>
      <c r="U953" s="1"/>
      <c r="V953" s="1"/>
      <c r="W953" s="1"/>
      <c r="X953" s="1"/>
      <c r="Y953" s="1"/>
      <c r="Z953" s="1"/>
    </row>
    <row r="954" customFormat="false" ht="15.75" hidden="false" customHeight="true" outlineLevel="0" collapsed="false">
      <c r="N954" s="1"/>
      <c r="O954" s="1"/>
      <c r="P954" s="1"/>
      <c r="Q954" s="1"/>
      <c r="R954" s="1"/>
      <c r="S954" s="1"/>
      <c r="T954" s="1"/>
      <c r="U954" s="1"/>
      <c r="V954" s="1"/>
      <c r="W954" s="1"/>
      <c r="X954" s="1"/>
      <c r="Y954" s="1"/>
      <c r="Z954" s="1"/>
    </row>
    <row r="955" customFormat="false" ht="15.75" hidden="false" customHeight="true" outlineLevel="0" collapsed="false">
      <c r="N955" s="1"/>
      <c r="O955" s="1"/>
      <c r="P955" s="1"/>
      <c r="Q955" s="1"/>
      <c r="R955" s="1"/>
      <c r="S955" s="1"/>
      <c r="T955" s="1"/>
      <c r="U955" s="1"/>
      <c r="V955" s="1"/>
      <c r="W955" s="1"/>
      <c r="X955" s="1"/>
      <c r="Y955" s="1"/>
      <c r="Z955" s="1"/>
    </row>
    <row r="956" customFormat="false" ht="15.75" hidden="false" customHeight="true" outlineLevel="0" collapsed="false">
      <c r="N956" s="1"/>
      <c r="O956" s="1"/>
      <c r="P956" s="1"/>
      <c r="Q956" s="1"/>
      <c r="R956" s="1"/>
      <c r="S956" s="1"/>
      <c r="T956" s="1"/>
      <c r="U956" s="1"/>
      <c r="V956" s="1"/>
      <c r="W956" s="1"/>
      <c r="X956" s="1"/>
      <c r="Y956" s="1"/>
      <c r="Z956" s="1"/>
    </row>
    <row r="957" customFormat="false" ht="15.75" hidden="false" customHeight="true" outlineLevel="0" collapsed="false">
      <c r="N957" s="1"/>
      <c r="O957" s="1"/>
      <c r="P957" s="1"/>
      <c r="Q957" s="1"/>
      <c r="R957" s="1"/>
      <c r="S957" s="1"/>
      <c r="T957" s="1"/>
      <c r="U957" s="1"/>
      <c r="V957" s="1"/>
      <c r="W957" s="1"/>
      <c r="X957" s="1"/>
      <c r="Y957" s="1"/>
      <c r="Z957" s="1"/>
    </row>
    <row r="958" customFormat="false" ht="15.75" hidden="false" customHeight="true" outlineLevel="0" collapsed="false">
      <c r="N958" s="1"/>
      <c r="O958" s="1"/>
      <c r="P958" s="1"/>
      <c r="Q958" s="1"/>
      <c r="R958" s="1"/>
      <c r="S958" s="1"/>
      <c r="T958" s="1"/>
      <c r="U958" s="1"/>
      <c r="V958" s="1"/>
      <c r="W958" s="1"/>
      <c r="X958" s="1"/>
      <c r="Y958" s="1"/>
      <c r="Z958" s="1"/>
    </row>
    <row r="959" customFormat="false" ht="15.75" hidden="false" customHeight="true" outlineLevel="0" collapsed="false">
      <c r="N959" s="1"/>
      <c r="O959" s="1"/>
      <c r="P959" s="1"/>
      <c r="Q959" s="1"/>
      <c r="R959" s="1"/>
      <c r="S959" s="1"/>
      <c r="T959" s="1"/>
      <c r="U959" s="1"/>
      <c r="V959" s="1"/>
      <c r="W959" s="1"/>
      <c r="X959" s="1"/>
      <c r="Y959" s="1"/>
      <c r="Z959" s="1"/>
    </row>
    <row r="960" customFormat="false" ht="15.75" hidden="false" customHeight="true" outlineLevel="0" collapsed="false">
      <c r="N960" s="1"/>
      <c r="O960" s="1"/>
      <c r="P960" s="1"/>
      <c r="Q960" s="1"/>
      <c r="R960" s="1"/>
      <c r="S960" s="1"/>
      <c r="T960" s="1"/>
      <c r="U960" s="1"/>
      <c r="V960" s="1"/>
      <c r="W960" s="1"/>
      <c r="X960" s="1"/>
      <c r="Y960" s="1"/>
      <c r="Z960" s="1"/>
    </row>
    <row r="961" customFormat="false" ht="15.75" hidden="false" customHeight="true" outlineLevel="0" collapsed="false">
      <c r="N961" s="1"/>
      <c r="O961" s="1"/>
      <c r="P961" s="1"/>
      <c r="Q961" s="1"/>
      <c r="R961" s="1"/>
      <c r="S961" s="1"/>
      <c r="T961" s="1"/>
      <c r="U961" s="1"/>
      <c r="V961" s="1"/>
      <c r="W961" s="1"/>
      <c r="X961" s="1"/>
      <c r="Y961" s="1"/>
      <c r="Z961" s="1"/>
    </row>
    <row r="962" customFormat="false" ht="15.75" hidden="false" customHeight="true" outlineLevel="0" collapsed="false">
      <c r="N962" s="1"/>
      <c r="O962" s="1"/>
      <c r="P962" s="1"/>
      <c r="Q962" s="1"/>
      <c r="R962" s="1"/>
      <c r="S962" s="1"/>
      <c r="T962" s="1"/>
      <c r="U962" s="1"/>
      <c r="V962" s="1"/>
      <c r="W962" s="1"/>
      <c r="X962" s="1"/>
      <c r="Y962" s="1"/>
      <c r="Z962" s="1"/>
    </row>
    <row r="963" customFormat="false" ht="15.75" hidden="false" customHeight="true" outlineLevel="0" collapsed="false">
      <c r="N963" s="1"/>
      <c r="O963" s="1"/>
      <c r="P963" s="1"/>
      <c r="Q963" s="1"/>
      <c r="R963" s="1"/>
      <c r="S963" s="1"/>
      <c r="T963" s="1"/>
      <c r="U963" s="1"/>
      <c r="V963" s="1"/>
      <c r="W963" s="1"/>
      <c r="X963" s="1"/>
      <c r="Y963" s="1"/>
      <c r="Z963" s="1"/>
    </row>
    <row r="964" customFormat="false" ht="15.75" hidden="false" customHeight="true" outlineLevel="0" collapsed="false">
      <c r="N964" s="1"/>
      <c r="O964" s="1"/>
      <c r="P964" s="1"/>
      <c r="Q964" s="1"/>
      <c r="R964" s="1"/>
      <c r="S964" s="1"/>
      <c r="T964" s="1"/>
      <c r="U964" s="1"/>
      <c r="V964" s="1"/>
      <c r="W964" s="1"/>
      <c r="X964" s="1"/>
      <c r="Y964" s="1"/>
      <c r="Z964" s="1"/>
    </row>
    <row r="965" customFormat="false" ht="15.75" hidden="false" customHeight="true" outlineLevel="0" collapsed="false">
      <c r="N965" s="1"/>
      <c r="O965" s="1"/>
      <c r="P965" s="1"/>
      <c r="Q965" s="1"/>
      <c r="R965" s="1"/>
      <c r="S965" s="1"/>
      <c r="T965" s="1"/>
      <c r="U965" s="1"/>
      <c r="V965" s="1"/>
      <c r="W965" s="1"/>
      <c r="X965" s="1"/>
      <c r="Y965" s="1"/>
      <c r="Z965" s="1"/>
    </row>
    <row r="966" customFormat="false" ht="15.75" hidden="false" customHeight="true" outlineLevel="0" collapsed="false">
      <c r="N966" s="1"/>
      <c r="O966" s="1"/>
      <c r="P966" s="1"/>
      <c r="Q966" s="1"/>
      <c r="R966" s="1"/>
      <c r="S966" s="1"/>
      <c r="T966" s="1"/>
      <c r="U966" s="1"/>
      <c r="V966" s="1"/>
      <c r="W966" s="1"/>
      <c r="X966" s="1"/>
      <c r="Y966" s="1"/>
      <c r="Z966" s="1"/>
    </row>
    <row r="967" customFormat="false" ht="15.75" hidden="false" customHeight="true" outlineLevel="0" collapsed="false">
      <c r="N967" s="1"/>
      <c r="O967" s="1"/>
      <c r="P967" s="1"/>
      <c r="Q967" s="1"/>
      <c r="R967" s="1"/>
      <c r="S967" s="1"/>
      <c r="T967" s="1"/>
      <c r="U967" s="1"/>
      <c r="V967" s="1"/>
      <c r="W967" s="1"/>
      <c r="X967" s="1"/>
      <c r="Y967" s="1"/>
      <c r="Z967" s="1"/>
    </row>
    <row r="968" customFormat="false" ht="15.75" hidden="false" customHeight="true" outlineLevel="0" collapsed="false">
      <c r="N968" s="1"/>
      <c r="O968" s="1"/>
      <c r="P968" s="1"/>
      <c r="Q968" s="1"/>
      <c r="R968" s="1"/>
      <c r="S968" s="1"/>
      <c r="T968" s="1"/>
      <c r="U968" s="1"/>
      <c r="V968" s="1"/>
      <c r="W968" s="1"/>
      <c r="X968" s="1"/>
      <c r="Y968" s="1"/>
      <c r="Z968" s="1"/>
    </row>
    <row r="969" customFormat="false" ht="15.75" hidden="false" customHeight="true" outlineLevel="0" collapsed="false">
      <c r="N969" s="1"/>
      <c r="O969" s="1"/>
      <c r="P969" s="1"/>
      <c r="Q969" s="1"/>
      <c r="R969" s="1"/>
      <c r="S969" s="1"/>
      <c r="T969" s="1"/>
      <c r="U969" s="1"/>
      <c r="V969" s="1"/>
      <c r="W969" s="1"/>
      <c r="X969" s="1"/>
      <c r="Y969" s="1"/>
      <c r="Z969" s="1"/>
    </row>
    <row r="970" customFormat="false" ht="15.75" hidden="false" customHeight="true" outlineLevel="0" collapsed="false">
      <c r="N970" s="1"/>
      <c r="O970" s="1"/>
      <c r="P970" s="1"/>
      <c r="Q970" s="1"/>
      <c r="R970" s="1"/>
      <c r="S970" s="1"/>
      <c r="T970" s="1"/>
      <c r="U970" s="1"/>
      <c r="V970" s="1"/>
      <c r="W970" s="1"/>
      <c r="X970" s="1"/>
      <c r="Y970" s="1"/>
      <c r="Z970" s="1"/>
    </row>
    <row r="971" customFormat="false" ht="15.75" hidden="false" customHeight="true" outlineLevel="0" collapsed="false">
      <c r="N971" s="1"/>
      <c r="O971" s="1"/>
      <c r="P971" s="1"/>
      <c r="Q971" s="1"/>
      <c r="R971" s="1"/>
      <c r="S971" s="1"/>
      <c r="T971" s="1"/>
      <c r="U971" s="1"/>
      <c r="V971" s="1"/>
      <c r="W971" s="1"/>
      <c r="X971" s="1"/>
      <c r="Y971" s="1"/>
      <c r="Z971" s="1"/>
    </row>
    <row r="972" customFormat="false" ht="15.75" hidden="false" customHeight="true" outlineLevel="0" collapsed="false">
      <c r="N972" s="1"/>
      <c r="O972" s="1"/>
      <c r="P972" s="1"/>
      <c r="Q972" s="1"/>
      <c r="R972" s="1"/>
      <c r="S972" s="1"/>
      <c r="T972" s="1"/>
      <c r="U972" s="1"/>
      <c r="V972" s="1"/>
      <c r="W972" s="1"/>
      <c r="X972" s="1"/>
      <c r="Y972" s="1"/>
      <c r="Z972" s="1"/>
    </row>
    <row r="973" customFormat="false" ht="15.75" hidden="false" customHeight="true" outlineLevel="0" collapsed="false">
      <c r="N973" s="1"/>
      <c r="O973" s="1"/>
      <c r="P973" s="1"/>
      <c r="Q973" s="1"/>
      <c r="R973" s="1"/>
      <c r="S973" s="1"/>
      <c r="T973" s="1"/>
      <c r="U973" s="1"/>
      <c r="V973" s="1"/>
      <c r="W973" s="1"/>
      <c r="X973" s="1"/>
      <c r="Y973" s="1"/>
      <c r="Z973" s="1"/>
    </row>
    <row r="974" customFormat="false" ht="15.75" hidden="false" customHeight="true" outlineLevel="0" collapsed="false">
      <c r="N974" s="1"/>
      <c r="O974" s="1"/>
      <c r="P974" s="1"/>
      <c r="Q974" s="1"/>
      <c r="R974" s="1"/>
      <c r="S974" s="1"/>
      <c r="T974" s="1"/>
      <c r="U974" s="1"/>
      <c r="V974" s="1"/>
      <c r="W974" s="1"/>
      <c r="X974" s="1"/>
      <c r="Y974" s="1"/>
      <c r="Z974" s="1"/>
    </row>
    <row r="975" customFormat="false" ht="15.75" hidden="false" customHeight="true" outlineLevel="0" collapsed="false">
      <c r="N975" s="1"/>
      <c r="O975" s="1"/>
      <c r="P975" s="1"/>
      <c r="Q975" s="1"/>
      <c r="R975" s="1"/>
      <c r="S975" s="1"/>
      <c r="T975" s="1"/>
      <c r="U975" s="1"/>
      <c r="V975" s="1"/>
      <c r="W975" s="1"/>
      <c r="X975" s="1"/>
      <c r="Y975" s="1"/>
      <c r="Z975" s="1"/>
    </row>
    <row r="976" customFormat="false" ht="15.75" hidden="false" customHeight="true" outlineLevel="0" collapsed="false">
      <c r="N976" s="1"/>
      <c r="O976" s="1"/>
      <c r="P976" s="1"/>
      <c r="Q976" s="1"/>
      <c r="R976" s="1"/>
      <c r="S976" s="1"/>
      <c r="T976" s="1"/>
      <c r="U976" s="1"/>
      <c r="V976" s="1"/>
      <c r="W976" s="1"/>
      <c r="X976" s="1"/>
      <c r="Y976" s="1"/>
      <c r="Z976" s="1"/>
    </row>
    <row r="977" customFormat="false" ht="15.75" hidden="false" customHeight="true" outlineLevel="0" collapsed="false">
      <c r="N977" s="1"/>
      <c r="O977" s="1"/>
      <c r="P977" s="1"/>
      <c r="Q977" s="1"/>
      <c r="R977" s="1"/>
      <c r="S977" s="1"/>
      <c r="T977" s="1"/>
      <c r="U977" s="1"/>
      <c r="V977" s="1"/>
      <c r="W977" s="1"/>
      <c r="X977" s="1"/>
      <c r="Y977" s="1"/>
      <c r="Z977" s="1"/>
    </row>
    <row r="978" customFormat="false" ht="15.75" hidden="false" customHeight="true" outlineLevel="0" collapsed="false">
      <c r="N978" s="1"/>
      <c r="O978" s="1"/>
      <c r="P978" s="1"/>
      <c r="Q978" s="1"/>
      <c r="R978" s="1"/>
      <c r="S978" s="1"/>
      <c r="T978" s="1"/>
      <c r="U978" s="1"/>
      <c r="V978" s="1"/>
      <c r="W978" s="1"/>
      <c r="X978" s="1"/>
      <c r="Y978" s="1"/>
      <c r="Z978" s="1"/>
    </row>
    <row r="979" customFormat="false" ht="15.75" hidden="false" customHeight="true" outlineLevel="0" collapsed="false">
      <c r="N979" s="1"/>
      <c r="O979" s="1"/>
      <c r="P979" s="1"/>
      <c r="Q979" s="1"/>
      <c r="R979" s="1"/>
      <c r="S979" s="1"/>
      <c r="T979" s="1"/>
      <c r="U979" s="1"/>
      <c r="V979" s="1"/>
      <c r="W979" s="1"/>
      <c r="X979" s="1"/>
      <c r="Y979" s="1"/>
      <c r="Z979" s="1"/>
    </row>
    <row r="980" customFormat="false" ht="15.75" hidden="false" customHeight="true" outlineLevel="0" collapsed="false">
      <c r="N980" s="1"/>
      <c r="O980" s="1"/>
      <c r="P980" s="1"/>
      <c r="Q980" s="1"/>
      <c r="R980" s="1"/>
      <c r="S980" s="1"/>
      <c r="T980" s="1"/>
      <c r="U980" s="1"/>
      <c r="V980" s="1"/>
      <c r="W980" s="1"/>
      <c r="X980" s="1"/>
      <c r="Y980" s="1"/>
      <c r="Z980" s="1"/>
    </row>
    <row r="981" customFormat="false" ht="15.75" hidden="false" customHeight="true" outlineLevel="0" collapsed="false">
      <c r="N981" s="1"/>
      <c r="O981" s="1"/>
      <c r="P981" s="1"/>
      <c r="Q981" s="1"/>
      <c r="R981" s="1"/>
      <c r="S981" s="1"/>
      <c r="T981" s="1"/>
      <c r="U981" s="1"/>
      <c r="V981" s="1"/>
      <c r="W981" s="1"/>
      <c r="X981" s="1"/>
      <c r="Y981" s="1"/>
      <c r="Z981" s="1"/>
    </row>
    <row r="982" customFormat="false" ht="15.75" hidden="false" customHeight="true" outlineLevel="0" collapsed="false">
      <c r="N982" s="1"/>
      <c r="O982" s="1"/>
      <c r="P982" s="1"/>
      <c r="Q982" s="1"/>
      <c r="R982" s="1"/>
      <c r="S982" s="1"/>
      <c r="T982" s="1"/>
      <c r="U982" s="1"/>
      <c r="V982" s="1"/>
      <c r="W982" s="1"/>
      <c r="X982" s="1"/>
      <c r="Y982" s="1"/>
      <c r="Z982" s="1"/>
    </row>
    <row r="983" customFormat="false" ht="15.75" hidden="false" customHeight="true" outlineLevel="0" collapsed="false">
      <c r="N983" s="1"/>
      <c r="O983" s="1"/>
      <c r="P983" s="1"/>
      <c r="Q983" s="1"/>
      <c r="R983" s="1"/>
      <c r="S983" s="1"/>
      <c r="T983" s="1"/>
      <c r="U983" s="1"/>
      <c r="V983" s="1"/>
      <c r="W983" s="1"/>
      <c r="X983" s="1"/>
      <c r="Y983" s="1"/>
      <c r="Z983" s="1"/>
    </row>
    <row r="984" customFormat="false" ht="15.75" hidden="false" customHeight="true" outlineLevel="0" collapsed="false">
      <c r="N984" s="1"/>
      <c r="O984" s="1"/>
      <c r="P984" s="1"/>
      <c r="Q984" s="1"/>
      <c r="R984" s="1"/>
      <c r="S984" s="1"/>
      <c r="T984" s="1"/>
      <c r="U984" s="1"/>
      <c r="V984" s="1"/>
      <c r="W984" s="1"/>
      <c r="X984" s="1"/>
      <c r="Y984" s="1"/>
      <c r="Z984" s="1"/>
    </row>
    <row r="985" customFormat="false" ht="15.75" hidden="false" customHeight="true" outlineLevel="0" collapsed="false">
      <c r="N985" s="1"/>
      <c r="O985" s="1"/>
      <c r="P985" s="1"/>
      <c r="Q985" s="1"/>
      <c r="R985" s="1"/>
      <c r="S985" s="1"/>
      <c r="T985" s="1"/>
      <c r="U985" s="1"/>
      <c r="V985" s="1"/>
      <c r="W985" s="1"/>
      <c r="X985" s="1"/>
      <c r="Y985" s="1"/>
      <c r="Z985" s="1"/>
    </row>
    <row r="986" customFormat="false" ht="15.75" hidden="false" customHeight="true" outlineLevel="0" collapsed="false">
      <c r="N986" s="1"/>
      <c r="O986" s="1"/>
      <c r="P986" s="1"/>
      <c r="Q986" s="1"/>
      <c r="R986" s="1"/>
      <c r="S986" s="1"/>
      <c r="T986" s="1"/>
      <c r="U986" s="1"/>
      <c r="V986" s="1"/>
      <c r="W986" s="1"/>
      <c r="X986" s="1"/>
      <c r="Y986" s="1"/>
      <c r="Z986" s="1"/>
    </row>
    <row r="987" customFormat="false" ht="15.75" hidden="false" customHeight="true" outlineLevel="0" collapsed="false">
      <c r="N987" s="1"/>
      <c r="O987" s="1"/>
      <c r="P987" s="1"/>
      <c r="Q987" s="1"/>
      <c r="R987" s="1"/>
      <c r="S987" s="1"/>
      <c r="T987" s="1"/>
      <c r="U987" s="1"/>
      <c r="V987" s="1"/>
      <c r="W987" s="1"/>
      <c r="X987" s="1"/>
      <c r="Y987" s="1"/>
      <c r="Z987" s="1"/>
    </row>
    <row r="988" customFormat="false" ht="15.75" hidden="false" customHeight="true" outlineLevel="0" collapsed="false">
      <c r="N988" s="1"/>
      <c r="O988" s="1"/>
      <c r="P988" s="1"/>
      <c r="Q988" s="1"/>
      <c r="R988" s="1"/>
      <c r="S988" s="1"/>
      <c r="T988" s="1"/>
      <c r="U988" s="1"/>
      <c r="V988" s="1"/>
      <c r="W988" s="1"/>
      <c r="X988" s="1"/>
      <c r="Y988" s="1"/>
      <c r="Z988" s="1"/>
    </row>
    <row r="989" customFormat="false" ht="15.75" hidden="false" customHeight="true" outlineLevel="0" collapsed="false">
      <c r="N989" s="1"/>
      <c r="O989" s="1"/>
      <c r="P989" s="1"/>
      <c r="Q989" s="1"/>
      <c r="R989" s="1"/>
      <c r="S989" s="1"/>
      <c r="T989" s="1"/>
      <c r="U989" s="1"/>
      <c r="V989" s="1"/>
      <c r="W989" s="1"/>
      <c r="X989" s="1"/>
      <c r="Y989" s="1"/>
      <c r="Z989" s="1"/>
    </row>
    <row r="990" customFormat="false" ht="15.75" hidden="false" customHeight="true" outlineLevel="0" collapsed="false">
      <c r="N990" s="1"/>
      <c r="O990" s="1"/>
      <c r="P990" s="1"/>
      <c r="Q990" s="1"/>
      <c r="R990" s="1"/>
      <c r="S990" s="1"/>
      <c r="T990" s="1"/>
      <c r="U990" s="1"/>
      <c r="V990" s="1"/>
      <c r="W990" s="1"/>
      <c r="X990" s="1"/>
      <c r="Y990" s="1"/>
      <c r="Z990" s="1"/>
    </row>
    <row r="991" customFormat="false" ht="15.75" hidden="false" customHeight="true" outlineLevel="0" collapsed="false">
      <c r="N991" s="1"/>
      <c r="O991" s="1"/>
      <c r="P991" s="1"/>
      <c r="Q991" s="1"/>
      <c r="R991" s="1"/>
      <c r="S991" s="1"/>
      <c r="T991" s="1"/>
      <c r="U991" s="1"/>
      <c r="V991" s="1"/>
      <c r="W991" s="1"/>
      <c r="X991" s="1"/>
      <c r="Y991" s="1"/>
      <c r="Z991" s="1"/>
    </row>
    <row r="992" customFormat="false" ht="15.75" hidden="false" customHeight="true" outlineLevel="0" collapsed="false">
      <c r="N992" s="1"/>
      <c r="O992" s="1"/>
      <c r="P992" s="1"/>
      <c r="Q992" s="1"/>
      <c r="R992" s="1"/>
      <c r="S992" s="1"/>
      <c r="T992" s="1"/>
      <c r="U992" s="1"/>
      <c r="V992" s="1"/>
      <c r="W992" s="1"/>
      <c r="X992" s="1"/>
      <c r="Y992" s="1"/>
      <c r="Z992" s="1"/>
    </row>
    <row r="993" customFormat="false" ht="15.75" hidden="false" customHeight="true" outlineLevel="0" collapsed="false">
      <c r="N993" s="1"/>
      <c r="O993" s="1"/>
      <c r="P993" s="1"/>
      <c r="Q993" s="1"/>
      <c r="R993" s="1"/>
      <c r="S993" s="1"/>
      <c r="T993" s="1"/>
      <c r="U993" s="1"/>
      <c r="V993" s="1"/>
      <c r="W993" s="1"/>
      <c r="X993" s="1"/>
      <c r="Y993" s="1"/>
      <c r="Z993" s="1"/>
    </row>
    <row r="994" customFormat="false" ht="15.75" hidden="false" customHeight="true" outlineLevel="0" collapsed="false">
      <c r="N994" s="1"/>
      <c r="O994" s="1"/>
      <c r="P994" s="1"/>
      <c r="Q994" s="1"/>
      <c r="R994" s="1"/>
      <c r="S994" s="1"/>
      <c r="T994" s="1"/>
      <c r="U994" s="1"/>
      <c r="V994" s="1"/>
      <c r="W994" s="1"/>
      <c r="X994" s="1"/>
      <c r="Y994" s="1"/>
      <c r="Z994" s="1"/>
    </row>
    <row r="995" customFormat="false" ht="15.75" hidden="false" customHeight="true" outlineLevel="0" collapsed="false">
      <c r="N995" s="1"/>
      <c r="O995" s="1"/>
      <c r="P995" s="1"/>
      <c r="Q995" s="1"/>
      <c r="R995" s="1"/>
      <c r="S995" s="1"/>
      <c r="T995" s="1"/>
      <c r="U995" s="1"/>
      <c r="V995" s="1"/>
      <c r="W995" s="1"/>
      <c r="X995" s="1"/>
      <c r="Y995" s="1"/>
      <c r="Z995" s="1"/>
    </row>
    <row r="996" customFormat="false" ht="15.75" hidden="false" customHeight="true" outlineLevel="0" collapsed="false">
      <c r="N996" s="1"/>
      <c r="O996" s="1"/>
      <c r="P996" s="1"/>
      <c r="Q996" s="1"/>
      <c r="R996" s="1"/>
      <c r="S996" s="1"/>
      <c r="T996" s="1"/>
      <c r="U996" s="1"/>
      <c r="V996" s="1"/>
      <c r="W996" s="1"/>
      <c r="X996" s="1"/>
      <c r="Y996" s="1"/>
      <c r="Z996" s="1"/>
    </row>
    <row r="997" customFormat="false" ht="15.75" hidden="false" customHeight="true" outlineLevel="0" collapsed="false">
      <c r="N997" s="1"/>
      <c r="O997" s="1"/>
      <c r="P997" s="1"/>
      <c r="Q997" s="1"/>
      <c r="R997" s="1"/>
      <c r="S997" s="1"/>
      <c r="T997" s="1"/>
      <c r="U997" s="1"/>
      <c r="V997" s="1"/>
      <c r="W997" s="1"/>
      <c r="X997" s="1"/>
      <c r="Y997" s="1"/>
      <c r="Z997" s="1"/>
    </row>
    <row r="998" customFormat="false" ht="15.75" hidden="false" customHeight="true" outlineLevel="0" collapsed="false">
      <c r="N998" s="1"/>
      <c r="O998" s="1"/>
      <c r="P998" s="1"/>
      <c r="Q998" s="1"/>
      <c r="R998" s="1"/>
      <c r="S998" s="1"/>
      <c r="T998" s="1"/>
      <c r="U998" s="1"/>
      <c r="V998" s="1"/>
      <c r="W998" s="1"/>
      <c r="X998" s="1"/>
      <c r="Y998" s="1"/>
      <c r="Z998" s="1"/>
    </row>
    <row r="999" customFormat="false" ht="15.75" hidden="false" customHeight="true" outlineLevel="0" collapsed="false">
      <c r="N999" s="1"/>
      <c r="O999" s="1"/>
      <c r="P999" s="1"/>
      <c r="Q999" s="1"/>
      <c r="R999" s="1"/>
      <c r="S999" s="1"/>
      <c r="T999" s="1"/>
      <c r="U999" s="1"/>
      <c r="V999" s="1"/>
      <c r="W999" s="1"/>
      <c r="X999" s="1"/>
      <c r="Y999" s="1"/>
      <c r="Z999" s="1"/>
    </row>
    <row r="1000" customFormat="false" ht="15.75" hidden="false" customHeight="true" outlineLevel="0" collapsed="false">
      <c r="N1000" s="1"/>
      <c r="O1000" s="1"/>
      <c r="P1000" s="1"/>
      <c r="Q1000" s="1"/>
      <c r="R1000" s="1"/>
      <c r="S1000" s="1"/>
      <c r="T1000" s="1"/>
      <c r="U1000" s="1"/>
      <c r="V1000" s="1"/>
      <c r="W1000" s="1"/>
      <c r="X1000" s="1"/>
      <c r="Y1000" s="1"/>
      <c r="Z1000" s="1"/>
    </row>
  </sheetData>
  <autoFilter ref="A4:I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14.43359375" defaultRowHeight="15" zeroHeight="false" outlineLevelRow="0" outlineLevelCol="0"/>
  <cols>
    <col collapsed="false" customWidth="true" hidden="false" outlineLevel="0" max="1" min="1" style="1" width="14"/>
    <col collapsed="false" customWidth="true" hidden="false" outlineLevel="0" max="8" min="2" style="1" width="11"/>
    <col collapsed="false" customWidth="true" hidden="false" outlineLevel="0" max="9" min="9" style="1" width="3"/>
    <col collapsed="false" customWidth="true" hidden="false" outlineLevel="0" max="16" min="10" style="1" width="12"/>
    <col collapsed="false" customWidth="true" hidden="false" outlineLevel="0" max="26" min="17" style="1" width="8.71"/>
  </cols>
  <sheetData>
    <row r="1" customFormat="false" ht="17.25" hidden="false" customHeight="true" outlineLevel="0" collapsed="false">
      <c r="A1" s="8" t="s">
        <v>1234</v>
      </c>
    </row>
    <row r="2" customFormat="false" ht="15" hidden="false" customHeight="true" outlineLevel="0" collapsed="false">
      <c r="A2" s="9" t="s">
        <v>1235</v>
      </c>
    </row>
    <row r="3" customFormat="false" ht="15" hidden="false" customHeight="true" outlineLevel="0" collapsed="false">
      <c r="A3" s="12" t="s">
        <v>1236</v>
      </c>
    </row>
    <row r="5" customFormat="false" ht="31.5" hidden="false" customHeight="true" outlineLevel="0" collapsed="false">
      <c r="A5" s="13" t="s">
        <v>1237</v>
      </c>
      <c r="B5" s="17" t="s">
        <v>108</v>
      </c>
      <c r="C5" s="26" t="s">
        <v>111</v>
      </c>
      <c r="D5" s="27" t="s">
        <v>113</v>
      </c>
      <c r="E5" s="28" t="s">
        <v>115</v>
      </c>
      <c r="F5" s="29" t="s">
        <v>117</v>
      </c>
      <c r="G5" s="30" t="s">
        <v>119</v>
      </c>
      <c r="H5" s="31" t="s">
        <v>38</v>
      </c>
      <c r="I5" s="70"/>
      <c r="J5" s="17" t="s">
        <v>1238</v>
      </c>
      <c r="K5" s="26" t="s">
        <v>1239</v>
      </c>
      <c r="L5" s="27" t="s">
        <v>1240</v>
      </c>
      <c r="M5" s="28" t="s">
        <v>1241</v>
      </c>
      <c r="N5" s="29" t="s">
        <v>1242</v>
      </c>
      <c r="O5" s="30" t="s">
        <v>1243</v>
      </c>
      <c r="P5" s="31" t="s">
        <v>1244</v>
      </c>
    </row>
    <row r="6" customFormat="false" ht="15" hidden="false" customHeight="true" outlineLevel="0" collapsed="false">
      <c r="A6" s="18" t="n">
        <v>1</v>
      </c>
      <c r="B6" s="19" t="n">
        <f aca="false" t="array" ref="B6:B6">ROUND(Paramètres!$B$40*$A6^Paramètres!$B$41*INDEX(Paramètres!$H$6:$H$12,1),0)</f>
        <v>3</v>
      </c>
      <c r="C6" s="19" t="n">
        <f aca="false" t="array" ref="C6:C6">ROUND(Paramètres!$B$40*$A6^Paramètres!$B$41*INDEX(Paramètres!$H$6:$H$12,2),0)</f>
        <v>4</v>
      </c>
      <c r="D6" s="19" t="n">
        <f aca="false" t="array" ref="D6:D6">ROUND(Paramètres!$B$40*$A6^Paramètres!$B$41*INDEX(Paramètres!$H$6:$H$12,3),0)</f>
        <v>4</v>
      </c>
      <c r="E6" s="19" t="n">
        <f aca="false" t="array" ref="E6:E6">ROUND(Paramètres!$B$40*$A6^Paramètres!$B$41*INDEX(Paramètres!$H$6:$H$12,4),0)</f>
        <v>5</v>
      </c>
      <c r="F6" s="19" t="n">
        <f aca="false" t="array" ref="F6:F6">ROUND(Paramètres!$B$40*$A6^Paramètres!$B$41*INDEX(Paramètres!$H$6:$H$12,5),0)</f>
        <v>6</v>
      </c>
      <c r="G6" s="19" t="n">
        <f aca="false" t="array" ref="G6:G6">ROUND(Paramètres!$B$40*$A6^Paramètres!$B$41*INDEX(Paramètres!$H$6:$H$12,6),0)</f>
        <v>8</v>
      </c>
      <c r="H6" s="19" t="n">
        <f aca="false" t="array" ref="H6:H6">ROUND(Paramètres!$B$40*$A6^Paramètres!$B$41*INDEX(Paramètres!$H$6:$H$12,7),0)</f>
        <v>9</v>
      </c>
      <c r="J6" s="19" t="n">
        <f aca="false">SUM(B$6:B6)</f>
        <v>3</v>
      </c>
      <c r="K6" s="19" t="n">
        <f aca="false">SUM(C$6:C6)</f>
        <v>4</v>
      </c>
      <c r="L6" s="19" t="n">
        <f aca="false">SUM(D$6:D6)</f>
        <v>4</v>
      </c>
      <c r="M6" s="19" t="n">
        <f aca="false">SUM(E$6:E6)</f>
        <v>5</v>
      </c>
      <c r="N6" s="19" t="n">
        <f aca="false">SUM(F$6:F6)</f>
        <v>6</v>
      </c>
      <c r="O6" s="19" t="n">
        <f aca="false">SUM(G$6:G6)</f>
        <v>8</v>
      </c>
      <c r="P6" s="19" t="n">
        <f aca="false">SUM(H$6:H6)</f>
        <v>9</v>
      </c>
    </row>
    <row r="7" customFormat="false" ht="15" hidden="false" customHeight="true" outlineLevel="0" collapsed="false">
      <c r="A7" s="18" t="n">
        <v>2</v>
      </c>
      <c r="B7" s="19" t="n">
        <f aca="false" t="array" ref="B7:B7">ROUND(Paramètres!$B$40*$A7^Paramètres!$B$41*INDEX(Paramètres!$H$6:$H$12,1),0)</f>
        <v>7</v>
      </c>
      <c r="C7" s="19" t="n">
        <f aca="false" t="array" ref="C7:C7">ROUND(Paramètres!$B$40*$A7^Paramètres!$B$41*INDEX(Paramètres!$H$6:$H$12,2),0)</f>
        <v>9</v>
      </c>
      <c r="D7" s="19" t="n">
        <f aca="false" t="array" ref="D7:D7">ROUND(Paramètres!$B$40*$A7^Paramètres!$B$41*INDEX(Paramètres!$H$6:$H$12,3),0)</f>
        <v>10</v>
      </c>
      <c r="E7" s="19" t="n">
        <f aca="false" t="array" ref="E7:E7">ROUND(Paramètres!$B$40*$A7^Paramètres!$B$41*INDEX(Paramètres!$H$6:$H$12,4),0)</f>
        <v>12</v>
      </c>
      <c r="F7" s="19" t="n">
        <f aca="false" t="array" ref="F7:F7">ROUND(Paramètres!$B$40*$A7^Paramètres!$B$41*INDEX(Paramètres!$H$6:$H$12,5),0)</f>
        <v>15</v>
      </c>
      <c r="G7" s="19" t="n">
        <f aca="false" t="array" ref="G7:G7">ROUND(Paramètres!$B$40*$A7^Paramètres!$B$41*INDEX(Paramètres!$H$6:$H$12,6),0)</f>
        <v>18</v>
      </c>
      <c r="H7" s="19" t="n">
        <f aca="false" t="array" ref="H7:H7">ROUND(Paramètres!$B$40*$A7^Paramètres!$B$41*INDEX(Paramètres!$H$6:$H$12,7),0)</f>
        <v>21</v>
      </c>
      <c r="J7" s="19" t="n">
        <f aca="false">SUM(B$6:B7)</f>
        <v>10</v>
      </c>
      <c r="K7" s="19" t="n">
        <f aca="false">SUM(C$6:C7)</f>
        <v>13</v>
      </c>
      <c r="L7" s="19" t="n">
        <f aca="false">SUM(D$6:D7)</f>
        <v>14</v>
      </c>
      <c r="M7" s="19" t="n">
        <f aca="false">SUM(E$6:E7)</f>
        <v>17</v>
      </c>
      <c r="N7" s="19" t="n">
        <f aca="false">SUM(F$6:F7)</f>
        <v>21</v>
      </c>
      <c r="O7" s="19" t="n">
        <f aca="false">SUM(G$6:G7)</f>
        <v>26</v>
      </c>
      <c r="P7" s="19" t="n">
        <f aca="false">SUM(H$6:H7)</f>
        <v>30</v>
      </c>
    </row>
    <row r="8" customFormat="false" ht="15" hidden="false" customHeight="true" outlineLevel="0" collapsed="false">
      <c r="A8" s="18" t="n">
        <v>3</v>
      </c>
      <c r="B8" s="19" t="n">
        <f aca="false" t="array" ref="B8:B8">ROUND(Paramètres!$B$40*$A8^Paramètres!$B$41*INDEX(Paramètres!$H$6:$H$12,1),0)</f>
        <v>12</v>
      </c>
      <c r="C8" s="19" t="n">
        <f aca="false" t="array" ref="C8:C8">ROUND(Paramètres!$B$40*$A8^Paramètres!$B$41*INDEX(Paramètres!$H$6:$H$12,2),0)</f>
        <v>14</v>
      </c>
      <c r="D8" s="19" t="n">
        <f aca="false" t="array" ref="D8:D8">ROUND(Paramètres!$B$40*$A8^Paramètres!$B$41*INDEX(Paramètres!$H$6:$H$12,3),0)</f>
        <v>17</v>
      </c>
      <c r="E8" s="19" t="n">
        <f aca="false" t="array" ref="E8:E8">ROUND(Paramètres!$B$40*$A8^Paramètres!$B$41*INDEX(Paramètres!$H$6:$H$12,4),0)</f>
        <v>21</v>
      </c>
      <c r="F8" s="19" t="n">
        <f aca="false" t="array" ref="F8:F8">ROUND(Paramètres!$B$40*$A8^Paramètres!$B$41*INDEX(Paramètres!$H$6:$H$12,5),0)</f>
        <v>25</v>
      </c>
      <c r="G8" s="19" t="n">
        <f aca="false" t="array" ref="G8:G8">ROUND(Paramètres!$B$40*$A8^Paramètres!$B$41*INDEX(Paramètres!$H$6:$H$12,6),0)</f>
        <v>30</v>
      </c>
      <c r="H8" s="19" t="n">
        <f aca="false" t="array" ref="H8:H8">ROUND(Paramètres!$B$40*$A8^Paramètres!$B$41*INDEX(Paramètres!$H$6:$H$12,7),0)</f>
        <v>36</v>
      </c>
      <c r="J8" s="19" t="n">
        <f aca="false">SUM(B$6:B8)</f>
        <v>22</v>
      </c>
      <c r="K8" s="19" t="n">
        <f aca="false">SUM(C$6:C8)</f>
        <v>27</v>
      </c>
      <c r="L8" s="19" t="n">
        <f aca="false">SUM(D$6:D8)</f>
        <v>31</v>
      </c>
      <c r="M8" s="19" t="n">
        <f aca="false">SUM(E$6:E8)</f>
        <v>38</v>
      </c>
      <c r="N8" s="19" t="n">
        <f aca="false">SUM(F$6:F8)</f>
        <v>46</v>
      </c>
      <c r="O8" s="19" t="n">
        <f aca="false">SUM(G$6:G8)</f>
        <v>56</v>
      </c>
      <c r="P8" s="19" t="n">
        <f aca="false">SUM(H$6:H8)</f>
        <v>66</v>
      </c>
    </row>
    <row r="9" customFormat="false" ht="15" hidden="false" customHeight="true" outlineLevel="0" collapsed="false">
      <c r="A9" s="18" t="n">
        <v>4</v>
      </c>
      <c r="B9" s="19" t="n">
        <f aca="false" t="array" ref="B9:B9">ROUND(Paramètres!$B$40*$A9^Paramètres!$B$41*INDEX(Paramètres!$H$6:$H$12,1),0)</f>
        <v>17</v>
      </c>
      <c r="C9" s="19" t="n">
        <f aca="false" t="array" ref="C9:C9">ROUND(Paramètres!$B$40*$A9^Paramètres!$B$41*INDEX(Paramètres!$H$6:$H$12,2),0)</f>
        <v>20</v>
      </c>
      <c r="D9" s="19" t="n">
        <f aca="false" t="array" ref="D9:D9">ROUND(Paramètres!$B$40*$A9^Paramètres!$B$41*INDEX(Paramètres!$H$6:$H$12,3),0)</f>
        <v>25</v>
      </c>
      <c r="E9" s="19" t="n">
        <f aca="false" t="array" ref="E9:E9">ROUND(Paramètres!$B$40*$A9^Paramètres!$B$41*INDEX(Paramètres!$H$6:$H$12,4),0)</f>
        <v>30</v>
      </c>
      <c r="F9" s="19" t="n">
        <f aca="false" t="array" ref="F9:F9">ROUND(Paramètres!$B$40*$A9^Paramètres!$B$41*INDEX(Paramètres!$H$6:$H$12,5),0)</f>
        <v>36</v>
      </c>
      <c r="G9" s="19" t="n">
        <f aca="false" t="array" ref="G9:G9">ROUND(Paramètres!$B$40*$A9^Paramètres!$B$41*INDEX(Paramètres!$H$6:$H$12,6),0)</f>
        <v>42</v>
      </c>
      <c r="H9" s="19" t="n">
        <f aca="false" t="array" ref="H9:H9">ROUND(Paramètres!$B$40*$A9^Paramètres!$B$41*INDEX(Paramètres!$H$6:$H$12,7),0)</f>
        <v>51</v>
      </c>
      <c r="J9" s="19" t="n">
        <f aca="false">SUM(B$6:B9)</f>
        <v>39</v>
      </c>
      <c r="K9" s="19" t="n">
        <f aca="false">SUM(C$6:C9)</f>
        <v>47</v>
      </c>
      <c r="L9" s="19" t="n">
        <f aca="false">SUM(D$6:D9)</f>
        <v>56</v>
      </c>
      <c r="M9" s="19" t="n">
        <f aca="false">SUM(E$6:E9)</f>
        <v>68</v>
      </c>
      <c r="N9" s="19" t="n">
        <f aca="false">SUM(F$6:F9)</f>
        <v>82</v>
      </c>
      <c r="O9" s="19" t="n">
        <f aca="false">SUM(G$6:G9)</f>
        <v>98</v>
      </c>
      <c r="P9" s="19" t="n">
        <f aca="false">SUM(H$6:H9)</f>
        <v>117</v>
      </c>
    </row>
    <row r="10" customFormat="false" ht="15" hidden="false" customHeight="true" outlineLevel="0" collapsed="false">
      <c r="A10" s="18" t="n">
        <v>5</v>
      </c>
      <c r="B10" s="19" t="n">
        <f aca="false" t="array" ref="B10:B10">ROUND(Paramètres!$B$40*$A10^Paramètres!$B$41*INDEX(Paramètres!$H$6:$H$12,1),0)</f>
        <v>22</v>
      </c>
      <c r="C10" s="19" t="n">
        <f aca="false" t="array" ref="C10:C10">ROUND(Paramètres!$B$40*$A10^Paramètres!$B$41*INDEX(Paramètres!$H$6:$H$12,2),0)</f>
        <v>27</v>
      </c>
      <c r="D10" s="19" t="n">
        <f aca="false" t="array" ref="D10:D10">ROUND(Paramètres!$B$40*$A10^Paramètres!$B$41*INDEX(Paramètres!$H$6:$H$12,3),0)</f>
        <v>33</v>
      </c>
      <c r="E10" s="19" t="n">
        <f aca="false" t="array" ref="E10:E10">ROUND(Paramètres!$B$40*$A10^Paramètres!$B$41*INDEX(Paramètres!$H$6:$H$12,4),0)</f>
        <v>39</v>
      </c>
      <c r="F10" s="19" t="n">
        <f aca="false" t="array" ref="F10:F10">ROUND(Paramètres!$B$40*$A10^Paramètres!$B$41*INDEX(Paramètres!$H$6:$H$12,5),0)</f>
        <v>47</v>
      </c>
      <c r="G10" s="19" t="n">
        <f aca="false" t="array" ref="G10:G10">ROUND(Paramètres!$B$40*$A10^Paramètres!$B$41*INDEX(Paramètres!$H$6:$H$12,6),0)</f>
        <v>56</v>
      </c>
      <c r="H10" s="19" t="n">
        <f aca="false" t="array" ref="H10:H10">ROUND(Paramètres!$B$40*$A10^Paramètres!$B$41*INDEX(Paramètres!$H$6:$H$12,7),0)</f>
        <v>67</v>
      </c>
      <c r="J10" s="19" t="n">
        <f aca="false">SUM(B$6:B10)</f>
        <v>61</v>
      </c>
      <c r="K10" s="19" t="n">
        <f aca="false">SUM(C$6:C10)</f>
        <v>74</v>
      </c>
      <c r="L10" s="19" t="n">
        <f aca="false">SUM(D$6:D10)</f>
        <v>89</v>
      </c>
      <c r="M10" s="19" t="n">
        <f aca="false">SUM(E$6:E10)</f>
        <v>107</v>
      </c>
      <c r="N10" s="19" t="n">
        <f aca="false">SUM(F$6:F10)</f>
        <v>129</v>
      </c>
      <c r="O10" s="19" t="n">
        <f aca="false">SUM(G$6:G10)</f>
        <v>154</v>
      </c>
      <c r="P10" s="19" t="n">
        <f aca="false">SUM(H$6:H10)</f>
        <v>184</v>
      </c>
    </row>
    <row r="11" customFormat="false" ht="15" hidden="false" customHeight="true" outlineLevel="0" collapsed="false">
      <c r="A11" s="18" t="n">
        <v>6</v>
      </c>
      <c r="B11" s="19" t="n">
        <f aca="false" t="array" ref="B11:B11">ROUND(Paramètres!$B$40*$A11^Paramètres!$B$41*INDEX(Paramètres!$H$6:$H$12,1),0)</f>
        <v>28</v>
      </c>
      <c r="C11" s="19" t="n">
        <f aca="false" t="array" ref="C11:C11">ROUND(Paramètres!$B$40*$A11^Paramètres!$B$41*INDEX(Paramètres!$H$6:$H$12,2),0)</f>
        <v>34</v>
      </c>
      <c r="D11" s="19" t="n">
        <f aca="false" t="array" ref="D11:D11">ROUND(Paramètres!$B$40*$A11^Paramètres!$B$41*INDEX(Paramètres!$H$6:$H$12,3),0)</f>
        <v>41</v>
      </c>
      <c r="E11" s="19" t="n">
        <f aca="false" t="array" ref="E11:E11">ROUND(Paramètres!$B$40*$A11^Paramètres!$B$41*INDEX(Paramètres!$H$6:$H$12,4),0)</f>
        <v>49</v>
      </c>
      <c r="F11" s="19" t="n">
        <f aca="false" t="array" ref="F11:F11">ROUND(Paramètres!$B$40*$A11^Paramètres!$B$41*INDEX(Paramètres!$H$6:$H$12,5),0)</f>
        <v>59</v>
      </c>
      <c r="G11" s="19" t="n">
        <f aca="false" t="array" ref="G11:G11">ROUND(Paramètres!$B$40*$A11^Paramètres!$B$41*INDEX(Paramètres!$H$6:$H$12,6),0)</f>
        <v>70</v>
      </c>
      <c r="H11" s="19" t="n">
        <f aca="false" t="array" ref="H11:H11">ROUND(Paramètres!$B$40*$A11^Paramètres!$B$41*INDEX(Paramètres!$H$6:$H$12,7),0)</f>
        <v>85</v>
      </c>
      <c r="J11" s="19" t="n">
        <f aca="false">SUM(B$6:B11)</f>
        <v>89</v>
      </c>
      <c r="K11" s="19" t="n">
        <f aca="false">SUM(C$6:C11)</f>
        <v>108</v>
      </c>
      <c r="L11" s="19" t="n">
        <f aca="false">SUM(D$6:D11)</f>
        <v>130</v>
      </c>
      <c r="M11" s="19" t="n">
        <f aca="false">SUM(E$6:E11)</f>
        <v>156</v>
      </c>
      <c r="N11" s="19" t="n">
        <f aca="false">SUM(F$6:F11)</f>
        <v>188</v>
      </c>
      <c r="O11" s="19" t="n">
        <f aca="false">SUM(G$6:G11)</f>
        <v>224</v>
      </c>
      <c r="P11" s="19" t="n">
        <f aca="false">SUM(H$6:H11)</f>
        <v>269</v>
      </c>
    </row>
    <row r="12" customFormat="false" ht="15" hidden="false" customHeight="true" outlineLevel="0" collapsed="false">
      <c r="A12" s="18" t="n">
        <v>7</v>
      </c>
      <c r="B12" s="19" t="n">
        <f aca="false" t="array" ref="B12:B12">ROUND(Paramètres!$B$40*$A12^Paramètres!$B$41*INDEX(Paramètres!$H$6:$H$12,1),0)</f>
        <v>34</v>
      </c>
      <c r="C12" s="19" t="n">
        <f aca="false" t="array" ref="C12:C12">ROUND(Paramètres!$B$40*$A12^Paramètres!$B$41*INDEX(Paramètres!$H$6:$H$12,2),0)</f>
        <v>41</v>
      </c>
      <c r="D12" s="19" t="n">
        <f aca="false" t="array" ref="D12:D12">ROUND(Paramètres!$B$40*$A12^Paramètres!$B$41*INDEX(Paramètres!$H$6:$H$12,3),0)</f>
        <v>50</v>
      </c>
      <c r="E12" s="19" t="n">
        <f aca="false" t="array" ref="E12:E12">ROUND(Paramètres!$B$40*$A12^Paramètres!$B$41*INDEX(Paramètres!$H$6:$H$12,4),0)</f>
        <v>60</v>
      </c>
      <c r="F12" s="19" t="n">
        <f aca="false" t="array" ref="F12:F12">ROUND(Paramètres!$B$40*$A12^Paramètres!$B$41*INDEX(Paramètres!$H$6:$H$12,5),0)</f>
        <v>72</v>
      </c>
      <c r="G12" s="19" t="n">
        <f aca="false" t="array" ref="G12:G12">ROUND(Paramètres!$B$40*$A12^Paramètres!$B$41*INDEX(Paramètres!$H$6:$H$12,6),0)</f>
        <v>85</v>
      </c>
      <c r="H12" s="19" t="n">
        <f aca="false" t="array" ref="H12:H12">ROUND(Paramètres!$B$40*$A12^Paramètres!$B$41*INDEX(Paramètres!$H$6:$H$12,7),0)</f>
        <v>102</v>
      </c>
      <c r="J12" s="19" t="n">
        <f aca="false">SUM(B$6:B12)</f>
        <v>123</v>
      </c>
      <c r="K12" s="19" t="n">
        <f aca="false">SUM(C$6:C12)</f>
        <v>149</v>
      </c>
      <c r="L12" s="19" t="n">
        <f aca="false">SUM(D$6:D12)</f>
        <v>180</v>
      </c>
      <c r="M12" s="19" t="n">
        <f aca="false">SUM(E$6:E12)</f>
        <v>216</v>
      </c>
      <c r="N12" s="19" t="n">
        <f aca="false">SUM(F$6:F12)</f>
        <v>260</v>
      </c>
      <c r="O12" s="19" t="n">
        <f aca="false">SUM(G$6:G12)</f>
        <v>309</v>
      </c>
      <c r="P12" s="19" t="n">
        <f aca="false">SUM(H$6:H12)</f>
        <v>371</v>
      </c>
    </row>
    <row r="13" customFormat="false" ht="15" hidden="false" customHeight="true" outlineLevel="0" collapsed="false">
      <c r="A13" s="18" t="n">
        <v>8</v>
      </c>
      <c r="B13" s="19" t="n">
        <f aca="false" t="array" ref="B13:B13">ROUND(Paramètres!$B$40*$A13^Paramètres!$B$41*INDEX(Paramètres!$H$6:$H$12,1),0)</f>
        <v>40</v>
      </c>
      <c r="C13" s="19" t="n">
        <f aca="false" t="array" ref="C13:C13">ROUND(Paramètres!$B$40*$A13^Paramètres!$B$41*INDEX(Paramètres!$H$6:$H$12,2),0)</f>
        <v>48</v>
      </c>
      <c r="D13" s="19" t="n">
        <f aca="false" t="array" ref="D13:D13">ROUND(Paramètres!$B$40*$A13^Paramètres!$B$41*INDEX(Paramètres!$H$6:$H$12,3),0)</f>
        <v>59</v>
      </c>
      <c r="E13" s="19" t="n">
        <f aca="false" t="array" ref="E13:E13">ROUND(Paramètres!$B$40*$A13^Paramètres!$B$41*INDEX(Paramètres!$H$6:$H$12,4),0)</f>
        <v>71</v>
      </c>
      <c r="F13" s="19" t="n">
        <f aca="false" t="array" ref="F13:F13">ROUND(Paramètres!$B$40*$A13^Paramètres!$B$41*INDEX(Paramètres!$H$6:$H$12,5),0)</f>
        <v>85</v>
      </c>
      <c r="G13" s="19" t="n">
        <f aca="false" t="array" ref="G13:G13">ROUND(Paramètres!$B$40*$A13^Paramètres!$B$41*INDEX(Paramètres!$H$6:$H$12,6),0)</f>
        <v>101</v>
      </c>
      <c r="H13" s="19" t="n">
        <f aca="false" t="array" ref="H13:H13">ROUND(Paramètres!$B$40*$A13^Paramètres!$B$41*INDEX(Paramètres!$H$6:$H$12,7),0)</f>
        <v>121</v>
      </c>
      <c r="J13" s="19" t="n">
        <f aca="false">SUM(B$6:B13)</f>
        <v>163</v>
      </c>
      <c r="K13" s="19" t="n">
        <f aca="false">SUM(C$6:C13)</f>
        <v>197</v>
      </c>
      <c r="L13" s="19" t="n">
        <f aca="false">SUM(D$6:D13)</f>
        <v>239</v>
      </c>
      <c r="M13" s="19" t="n">
        <f aca="false">SUM(E$6:E13)</f>
        <v>287</v>
      </c>
      <c r="N13" s="19" t="n">
        <f aca="false">SUM(F$6:F13)</f>
        <v>345</v>
      </c>
      <c r="O13" s="19" t="n">
        <f aca="false">SUM(G$6:G13)</f>
        <v>410</v>
      </c>
      <c r="P13" s="19" t="n">
        <f aca="false">SUM(H$6:H13)</f>
        <v>492</v>
      </c>
    </row>
    <row r="14" customFormat="false" ht="15" hidden="false" customHeight="true" outlineLevel="0" collapsed="false">
      <c r="A14" s="18" t="n">
        <v>9</v>
      </c>
      <c r="B14" s="19" t="n">
        <f aca="false" t="array" ref="B14:B14">ROUND(Paramètres!$B$40*$A14^Paramètres!$B$41*INDEX(Paramètres!$H$6:$H$12,1),0)</f>
        <v>47</v>
      </c>
      <c r="C14" s="19" t="n">
        <f aca="false" t="array" ref="C14:C14">ROUND(Paramètres!$B$40*$A14^Paramètres!$B$41*INDEX(Paramètres!$H$6:$H$12,2),0)</f>
        <v>56</v>
      </c>
      <c r="D14" s="19" t="n">
        <f aca="false" t="array" ref="D14:D14">ROUND(Paramètres!$B$40*$A14^Paramètres!$B$41*INDEX(Paramètres!$H$6:$H$12,3),0)</f>
        <v>68</v>
      </c>
      <c r="E14" s="19" t="n">
        <f aca="false" t="array" ref="E14:E14">ROUND(Paramètres!$B$40*$A14^Paramètres!$B$41*INDEX(Paramètres!$H$6:$H$12,4),0)</f>
        <v>82</v>
      </c>
      <c r="F14" s="19" t="n">
        <f aca="false" t="array" ref="F14:F14">ROUND(Paramètres!$B$40*$A14^Paramètres!$B$41*INDEX(Paramètres!$H$6:$H$12,5),0)</f>
        <v>98</v>
      </c>
      <c r="G14" s="19" t="n">
        <f aca="false" t="array" ref="G14:G14">ROUND(Paramètres!$B$40*$A14^Paramètres!$B$41*INDEX(Paramètres!$H$6:$H$12,6),0)</f>
        <v>117</v>
      </c>
      <c r="H14" s="19" t="n">
        <f aca="false" t="array" ref="H14:H14">ROUND(Paramètres!$B$40*$A14^Paramètres!$B$41*INDEX(Paramètres!$H$6:$H$12,7),0)</f>
        <v>140</v>
      </c>
      <c r="J14" s="19" t="n">
        <f aca="false">SUM(B$6:B14)</f>
        <v>210</v>
      </c>
      <c r="K14" s="19" t="n">
        <f aca="false">SUM(C$6:C14)</f>
        <v>253</v>
      </c>
      <c r="L14" s="19" t="n">
        <f aca="false">SUM(D$6:D14)</f>
        <v>307</v>
      </c>
      <c r="M14" s="19" t="n">
        <f aca="false">SUM(E$6:E14)</f>
        <v>369</v>
      </c>
      <c r="N14" s="19" t="n">
        <f aca="false">SUM(F$6:F14)</f>
        <v>443</v>
      </c>
      <c r="O14" s="19" t="n">
        <f aca="false">SUM(G$6:G14)</f>
        <v>527</v>
      </c>
      <c r="P14" s="19" t="n">
        <f aca="false">SUM(H$6:H14)</f>
        <v>632</v>
      </c>
    </row>
    <row r="15" customFormat="false" ht="15" hidden="false" customHeight="true" outlineLevel="0" collapsed="false">
      <c r="A15" s="18" t="n">
        <v>10</v>
      </c>
      <c r="B15" s="19" t="n">
        <f aca="false" t="array" ref="B15:B15">ROUND(Paramètres!$B$40*$A15^Paramètres!$B$41*INDEX(Paramètres!$H$6:$H$12,1),0)</f>
        <v>53</v>
      </c>
      <c r="C15" s="19" t="n">
        <f aca="false" t="array" ref="C15:C15">ROUND(Paramètres!$B$40*$A15^Paramètres!$B$41*INDEX(Paramètres!$H$6:$H$12,2),0)</f>
        <v>64</v>
      </c>
      <c r="D15" s="19" t="n">
        <f aca="false" t="array" ref="D15:D15">ROUND(Paramètres!$B$40*$A15^Paramètres!$B$41*INDEX(Paramètres!$H$6:$H$12,3),0)</f>
        <v>77</v>
      </c>
      <c r="E15" s="19" t="n">
        <f aca="false" t="array" ref="E15:E15">ROUND(Paramètres!$B$40*$A15^Paramètres!$B$41*INDEX(Paramètres!$H$6:$H$12,4),0)</f>
        <v>93</v>
      </c>
      <c r="F15" s="19" t="n">
        <f aca="false" t="array" ref="F15:F15">ROUND(Paramètres!$B$40*$A15^Paramètres!$B$41*INDEX(Paramètres!$H$6:$H$12,5),0)</f>
        <v>112</v>
      </c>
      <c r="G15" s="19" t="n">
        <f aca="false" t="array" ref="G15:G15">ROUND(Paramètres!$B$40*$A15^Paramètres!$B$41*INDEX(Paramètres!$H$6:$H$12,6),0)</f>
        <v>133</v>
      </c>
      <c r="H15" s="19" t="n">
        <f aca="false" t="array" ref="H15:H15">ROUND(Paramètres!$B$40*$A15^Paramètres!$B$41*INDEX(Paramètres!$H$6:$H$12,7),0)</f>
        <v>160</v>
      </c>
      <c r="J15" s="19" t="n">
        <f aca="false">SUM(B$6:B15)</f>
        <v>263</v>
      </c>
      <c r="K15" s="19" t="n">
        <f aca="false">SUM(C$6:C15)</f>
        <v>317</v>
      </c>
      <c r="L15" s="19" t="n">
        <f aca="false">SUM(D$6:D15)</f>
        <v>384</v>
      </c>
      <c r="M15" s="19" t="n">
        <f aca="false">SUM(E$6:E15)</f>
        <v>462</v>
      </c>
      <c r="N15" s="19" t="n">
        <f aca="false">SUM(F$6:F15)</f>
        <v>555</v>
      </c>
      <c r="O15" s="19" t="n">
        <f aca="false">SUM(G$6:G15)</f>
        <v>660</v>
      </c>
      <c r="P15" s="19" t="n">
        <f aca="false">SUM(H$6:H15)</f>
        <v>792</v>
      </c>
    </row>
    <row r="16" customFormat="false" ht="15" hidden="false" customHeight="true" outlineLevel="0" collapsed="false">
      <c r="A16" s="18" t="n">
        <v>11</v>
      </c>
      <c r="B16" s="19" t="n">
        <f aca="false" t="array" ref="B16:B16">ROUND(Paramètres!$B$40*$A16^Paramètres!$B$41*INDEX(Paramètres!$H$6:$H$12,1),0)</f>
        <v>60</v>
      </c>
      <c r="C16" s="19" t="n">
        <f aca="false" t="array" ref="C16:C16">ROUND(Paramètres!$B$40*$A16^Paramètres!$B$41*INDEX(Paramètres!$H$6:$H$12,2),0)</f>
        <v>72</v>
      </c>
      <c r="D16" s="19" t="n">
        <f aca="false" t="array" ref="D16:D16">ROUND(Paramètres!$B$40*$A16^Paramètres!$B$41*INDEX(Paramètres!$H$6:$H$12,3),0)</f>
        <v>87</v>
      </c>
      <c r="E16" s="19" t="n">
        <f aca="false" t="array" ref="E16:E16">ROUND(Paramètres!$B$40*$A16^Paramètres!$B$41*INDEX(Paramètres!$H$6:$H$12,4),0)</f>
        <v>105</v>
      </c>
      <c r="F16" s="19" t="n">
        <f aca="false" t="array" ref="F16:F16">ROUND(Paramètres!$B$40*$A16^Paramètres!$B$41*INDEX(Paramètres!$H$6:$H$12,5),0)</f>
        <v>126</v>
      </c>
      <c r="G16" s="19" t="n">
        <f aca="false" t="array" ref="G16:G16">ROUND(Paramètres!$B$40*$A16^Paramètres!$B$41*INDEX(Paramètres!$H$6:$H$12,6),0)</f>
        <v>150</v>
      </c>
      <c r="H16" s="19" t="n">
        <f aca="false" t="array" ref="H16:H16">ROUND(Paramètres!$B$40*$A16^Paramètres!$B$41*INDEX(Paramètres!$H$6:$H$12,7),0)</f>
        <v>180</v>
      </c>
      <c r="J16" s="19" t="n">
        <f aca="false">SUM(B$6:B16)</f>
        <v>323</v>
      </c>
      <c r="K16" s="19" t="n">
        <f aca="false">SUM(C$6:C16)</f>
        <v>389</v>
      </c>
      <c r="L16" s="19" t="n">
        <f aca="false">SUM(D$6:D16)</f>
        <v>471</v>
      </c>
      <c r="M16" s="19" t="n">
        <f aca="false">SUM(E$6:E16)</f>
        <v>567</v>
      </c>
      <c r="N16" s="19" t="n">
        <f aca="false">SUM(F$6:F16)</f>
        <v>681</v>
      </c>
      <c r="O16" s="19" t="n">
        <f aca="false">SUM(G$6:G16)</f>
        <v>810</v>
      </c>
      <c r="P16" s="19" t="n">
        <f aca="false">SUM(H$6:H16)</f>
        <v>972</v>
      </c>
    </row>
    <row r="17" customFormat="false" ht="15" hidden="false" customHeight="true" outlineLevel="0" collapsed="false">
      <c r="A17" s="18" t="n">
        <v>12</v>
      </c>
      <c r="B17" s="19" t="n">
        <f aca="false" t="array" ref="B17:B17">ROUND(Paramètres!$B$40*$A17^Paramètres!$B$41*INDEX(Paramètres!$H$6:$H$12,1),0)</f>
        <v>67</v>
      </c>
      <c r="C17" s="19" t="n">
        <f aca="false" t="array" ref="C17:C17">ROUND(Paramètres!$B$40*$A17^Paramètres!$B$41*INDEX(Paramètres!$H$6:$H$12,2),0)</f>
        <v>80</v>
      </c>
      <c r="D17" s="19" t="n">
        <f aca="false" t="array" ref="D17:D17">ROUND(Paramètres!$B$40*$A17^Paramètres!$B$41*INDEX(Paramètres!$H$6:$H$12,3),0)</f>
        <v>97</v>
      </c>
      <c r="E17" s="19" t="n">
        <f aca="false" t="array" ref="E17:E17">ROUND(Paramètres!$B$40*$A17^Paramètres!$B$41*INDEX(Paramètres!$H$6:$H$12,4),0)</f>
        <v>117</v>
      </c>
      <c r="F17" s="19" t="n">
        <f aca="false" t="array" ref="F17:F17">ROUND(Paramètres!$B$40*$A17^Paramètres!$B$41*INDEX(Paramètres!$H$6:$H$12,5),0)</f>
        <v>141</v>
      </c>
      <c r="G17" s="19" t="n">
        <f aca="false" t="array" ref="G17:G17">ROUND(Paramètres!$B$40*$A17^Paramètres!$B$41*INDEX(Paramètres!$H$6:$H$12,6),0)</f>
        <v>168</v>
      </c>
      <c r="H17" s="19" t="n">
        <f aca="false" t="array" ref="H17:H17">ROUND(Paramètres!$B$40*$A17^Paramètres!$B$41*INDEX(Paramètres!$H$6:$H$12,7),0)</f>
        <v>201</v>
      </c>
      <c r="J17" s="19" t="n">
        <f aca="false">SUM(B$6:B17)</f>
        <v>390</v>
      </c>
      <c r="K17" s="19" t="n">
        <f aca="false">SUM(C$6:C17)</f>
        <v>469</v>
      </c>
      <c r="L17" s="19" t="n">
        <f aca="false">SUM(D$6:D17)</f>
        <v>568</v>
      </c>
      <c r="M17" s="19" t="n">
        <f aca="false">SUM(E$6:E17)</f>
        <v>684</v>
      </c>
      <c r="N17" s="19" t="n">
        <f aca="false">SUM(F$6:F17)</f>
        <v>822</v>
      </c>
      <c r="O17" s="19" t="n">
        <f aca="false">SUM(G$6:G17)</f>
        <v>978</v>
      </c>
      <c r="P17" s="19" t="n">
        <f aca="false">SUM(H$6:H17)</f>
        <v>1173</v>
      </c>
    </row>
    <row r="18" customFormat="false" ht="15" hidden="false" customHeight="true" outlineLevel="0" collapsed="false">
      <c r="A18" s="18" t="n">
        <v>13</v>
      </c>
      <c r="B18" s="19" t="n">
        <f aca="false" t="array" ref="B18:B18">ROUND(Paramètres!$B$40*$A18^Paramètres!$B$41*INDEX(Paramètres!$H$6:$H$12,1),0)</f>
        <v>74</v>
      </c>
      <c r="C18" s="19" t="n">
        <f aca="false" t="array" ref="C18:C18">ROUND(Paramètres!$B$40*$A18^Paramètres!$B$41*INDEX(Paramètres!$H$6:$H$12,2),0)</f>
        <v>89</v>
      </c>
      <c r="D18" s="19" t="n">
        <f aca="false" t="array" ref="D18:D18">ROUND(Paramètres!$B$40*$A18^Paramètres!$B$41*INDEX(Paramètres!$H$6:$H$12,3),0)</f>
        <v>107</v>
      </c>
      <c r="E18" s="19" t="n">
        <f aca="false" t="array" ref="E18:E18">ROUND(Paramètres!$B$40*$A18^Paramètres!$B$41*INDEX(Paramètres!$H$6:$H$12,4),0)</f>
        <v>130</v>
      </c>
      <c r="F18" s="19" t="n">
        <f aca="false" t="array" ref="F18:F18">ROUND(Paramètres!$B$40*$A18^Paramètres!$B$41*INDEX(Paramètres!$H$6:$H$12,5),0)</f>
        <v>156</v>
      </c>
      <c r="G18" s="19" t="n">
        <f aca="false" t="array" ref="G18:G18">ROUND(Paramètres!$B$40*$A18^Paramètres!$B$41*INDEX(Paramètres!$H$6:$H$12,6),0)</f>
        <v>185</v>
      </c>
      <c r="H18" s="19" t="n">
        <f aca="false" t="array" ref="H18:H18">ROUND(Paramètres!$B$40*$A18^Paramètres!$B$41*INDEX(Paramètres!$H$6:$H$12,7),0)</f>
        <v>222</v>
      </c>
      <c r="J18" s="19" t="n">
        <f aca="false">SUM(B$6:B18)</f>
        <v>464</v>
      </c>
      <c r="K18" s="19" t="n">
        <f aca="false">SUM(C$6:C18)</f>
        <v>558</v>
      </c>
      <c r="L18" s="19" t="n">
        <f aca="false">SUM(D$6:D18)</f>
        <v>675</v>
      </c>
      <c r="M18" s="19" t="n">
        <f aca="false">SUM(E$6:E18)</f>
        <v>814</v>
      </c>
      <c r="N18" s="19" t="n">
        <f aca="false">SUM(F$6:F18)</f>
        <v>978</v>
      </c>
      <c r="O18" s="19" t="n">
        <f aca="false">SUM(G$6:G18)</f>
        <v>1163</v>
      </c>
      <c r="P18" s="19" t="n">
        <f aca="false">SUM(H$6:H18)</f>
        <v>1395</v>
      </c>
    </row>
    <row r="19" customFormat="false" ht="15" hidden="false" customHeight="true" outlineLevel="0" collapsed="false">
      <c r="A19" s="18" t="n">
        <v>14</v>
      </c>
      <c r="B19" s="19" t="n">
        <f aca="false" t="array" ref="B19:B19">ROUND(Paramètres!$B$40*$A19^Paramètres!$B$41*INDEX(Paramètres!$H$6:$H$12,1),0)</f>
        <v>81</v>
      </c>
      <c r="C19" s="19" t="n">
        <f aca="false" t="array" ref="C19:C19">ROUND(Paramètres!$B$40*$A19^Paramètres!$B$41*INDEX(Paramètres!$H$6:$H$12,2),0)</f>
        <v>97</v>
      </c>
      <c r="D19" s="19" t="n">
        <f aca="false" t="array" ref="D19:D19">ROUND(Paramètres!$B$40*$A19^Paramètres!$B$41*INDEX(Paramètres!$H$6:$H$12,3),0)</f>
        <v>118</v>
      </c>
      <c r="E19" s="19" t="n">
        <f aca="false" t="array" ref="E19:E19">ROUND(Paramètres!$B$40*$A19^Paramètres!$B$41*INDEX(Paramètres!$H$6:$H$12,4),0)</f>
        <v>142</v>
      </c>
      <c r="F19" s="19" t="n">
        <f aca="false" t="array" ref="F19:F19">ROUND(Paramètres!$B$40*$A19^Paramètres!$B$41*INDEX(Paramètres!$H$6:$H$12,5),0)</f>
        <v>171</v>
      </c>
      <c r="G19" s="19" t="n">
        <f aca="false" t="array" ref="G19:G19">ROUND(Paramètres!$B$40*$A19^Paramètres!$B$41*INDEX(Paramètres!$H$6:$H$12,6),0)</f>
        <v>203</v>
      </c>
      <c r="H19" s="19" t="n">
        <f aca="false" t="array" ref="H19:H19">ROUND(Paramètres!$B$40*$A19^Paramètres!$B$41*INDEX(Paramètres!$H$6:$H$12,7),0)</f>
        <v>244</v>
      </c>
      <c r="J19" s="19" t="n">
        <f aca="false">SUM(B$6:B19)</f>
        <v>545</v>
      </c>
      <c r="K19" s="19" t="n">
        <f aca="false">SUM(C$6:C19)</f>
        <v>655</v>
      </c>
      <c r="L19" s="19" t="n">
        <f aca="false">SUM(D$6:D19)</f>
        <v>793</v>
      </c>
      <c r="M19" s="19" t="n">
        <f aca="false">SUM(E$6:E19)</f>
        <v>956</v>
      </c>
      <c r="N19" s="19" t="n">
        <f aca="false">SUM(F$6:F19)</f>
        <v>1149</v>
      </c>
      <c r="O19" s="19" t="n">
        <f aca="false">SUM(G$6:G19)</f>
        <v>1366</v>
      </c>
      <c r="P19" s="19" t="n">
        <f aca="false">SUM(H$6:H19)</f>
        <v>1639</v>
      </c>
    </row>
    <row r="20" customFormat="false" ht="15" hidden="false" customHeight="true" outlineLevel="0" collapsed="false">
      <c r="A20" s="18" t="n">
        <v>15</v>
      </c>
      <c r="B20" s="19" t="n">
        <f aca="false" t="array" ref="B20:B20">ROUND(Paramètres!$B$40*$A20^Paramètres!$B$41*INDEX(Paramètres!$H$6:$H$12,1),0)</f>
        <v>89</v>
      </c>
      <c r="C20" s="19" t="n">
        <f aca="false" t="array" ref="C20:C20">ROUND(Paramètres!$B$40*$A20^Paramètres!$B$41*INDEX(Paramètres!$H$6:$H$12,2),0)</f>
        <v>106</v>
      </c>
      <c r="D20" s="19" t="n">
        <f aca="false" t="array" ref="D20:D20">ROUND(Paramètres!$B$40*$A20^Paramètres!$B$41*INDEX(Paramètres!$H$6:$H$12,3),0)</f>
        <v>128</v>
      </c>
      <c r="E20" s="19" t="n">
        <f aca="false" t="array" ref="E20:E20">ROUND(Paramètres!$B$40*$A20^Paramètres!$B$41*INDEX(Paramètres!$H$6:$H$12,4),0)</f>
        <v>155</v>
      </c>
      <c r="F20" s="19" t="n">
        <f aca="false" t="array" ref="F20:F20">ROUND(Paramètres!$B$40*$A20^Paramètres!$B$41*INDEX(Paramètres!$H$6:$H$12,5),0)</f>
        <v>186</v>
      </c>
      <c r="G20" s="19" t="n">
        <f aca="false" t="array" ref="G20:G20">ROUND(Paramètres!$B$40*$A20^Paramètres!$B$41*INDEX(Paramètres!$H$6:$H$12,6),0)</f>
        <v>221</v>
      </c>
      <c r="H20" s="19" t="n">
        <f aca="false" t="array" ref="H20:H20">ROUND(Paramètres!$B$40*$A20^Paramètres!$B$41*INDEX(Paramètres!$H$6:$H$12,7),0)</f>
        <v>266</v>
      </c>
      <c r="J20" s="19" t="n">
        <f aca="false">SUM(B$6:B20)</f>
        <v>634</v>
      </c>
      <c r="K20" s="19" t="n">
        <f aca="false">SUM(C$6:C20)</f>
        <v>761</v>
      </c>
      <c r="L20" s="19" t="n">
        <f aca="false">SUM(D$6:D20)</f>
        <v>921</v>
      </c>
      <c r="M20" s="19" t="n">
        <f aca="false">SUM(E$6:E20)</f>
        <v>1111</v>
      </c>
      <c r="N20" s="19" t="n">
        <f aca="false">SUM(F$6:F20)</f>
        <v>1335</v>
      </c>
      <c r="O20" s="19" t="n">
        <f aca="false">SUM(G$6:G20)</f>
        <v>1587</v>
      </c>
      <c r="P20" s="19" t="n">
        <f aca="false">SUM(H$6:H20)</f>
        <v>1905</v>
      </c>
    </row>
    <row r="21" customFormat="false" ht="15.75" hidden="false" customHeight="true" outlineLevel="0" collapsed="false">
      <c r="A21" s="18" t="n">
        <v>16</v>
      </c>
      <c r="B21" s="19" t="n">
        <f aca="false" t="array" ref="B21:B21">ROUND(Paramètres!$B$40*$A21^Paramètres!$B$41*INDEX(Paramètres!$H$6:$H$12,1),0)</f>
        <v>96</v>
      </c>
      <c r="C21" s="19" t="n">
        <f aca="false" t="array" ref="C21:C21">ROUND(Paramètres!$B$40*$A21^Paramètres!$B$41*INDEX(Paramètres!$H$6:$H$12,2),0)</f>
        <v>115</v>
      </c>
      <c r="D21" s="19" t="n">
        <f aca="false" t="array" ref="D21:D21">ROUND(Paramètres!$B$40*$A21^Paramètres!$B$41*INDEX(Paramètres!$H$6:$H$12,3),0)</f>
        <v>139</v>
      </c>
      <c r="E21" s="19" t="n">
        <f aca="false" t="array" ref="E21:E21">ROUND(Paramètres!$B$40*$A21^Paramètres!$B$41*INDEX(Paramètres!$H$6:$H$12,4),0)</f>
        <v>168</v>
      </c>
      <c r="F21" s="19" t="n">
        <f aca="false" t="array" ref="F21:F21">ROUND(Paramètres!$B$40*$A21^Paramètres!$B$41*INDEX(Paramètres!$H$6:$H$12,5),0)</f>
        <v>202</v>
      </c>
      <c r="G21" s="19" t="n">
        <f aca="false" t="array" ref="G21:G21">ROUND(Paramètres!$B$40*$A21^Paramètres!$B$41*INDEX(Paramètres!$H$6:$H$12,6),0)</f>
        <v>240</v>
      </c>
      <c r="H21" s="19" t="n">
        <f aca="false" t="array" ref="H21:H21">ROUND(Paramètres!$B$40*$A21^Paramètres!$B$41*INDEX(Paramètres!$H$6:$H$12,7),0)</f>
        <v>288</v>
      </c>
      <c r="J21" s="19" t="n">
        <f aca="false">SUM(B$6:B21)</f>
        <v>730</v>
      </c>
      <c r="K21" s="19" t="n">
        <f aca="false">SUM(C$6:C21)</f>
        <v>876</v>
      </c>
      <c r="L21" s="19" t="n">
        <f aca="false">SUM(D$6:D21)</f>
        <v>1060</v>
      </c>
      <c r="M21" s="19" t="n">
        <f aca="false">SUM(E$6:E21)</f>
        <v>1279</v>
      </c>
      <c r="N21" s="19" t="n">
        <f aca="false">SUM(F$6:F21)</f>
        <v>1537</v>
      </c>
      <c r="O21" s="19" t="n">
        <f aca="false">SUM(G$6:G21)</f>
        <v>1827</v>
      </c>
      <c r="P21" s="19" t="n">
        <f aca="false">SUM(H$6:H21)</f>
        <v>2193</v>
      </c>
    </row>
    <row r="22" customFormat="false" ht="15.75" hidden="false" customHeight="true" outlineLevel="0" collapsed="false">
      <c r="A22" s="18" t="n">
        <v>17</v>
      </c>
      <c r="B22" s="19" t="n">
        <f aca="false" t="array" ref="B22:B22">ROUND(Paramètres!$B$40*$A22^Paramètres!$B$41*INDEX(Paramètres!$H$6:$H$12,1),0)</f>
        <v>104</v>
      </c>
      <c r="C22" s="19" t="n">
        <f aca="false" t="array" ref="C22:C22">ROUND(Paramètres!$B$40*$A22^Paramètres!$B$41*INDEX(Paramètres!$H$6:$H$12,2),0)</f>
        <v>124</v>
      </c>
      <c r="D22" s="19" t="n">
        <f aca="false" t="array" ref="D22:D22">ROUND(Paramètres!$B$40*$A22^Paramètres!$B$41*INDEX(Paramètres!$H$6:$H$12,3),0)</f>
        <v>150</v>
      </c>
      <c r="E22" s="19" t="n">
        <f aca="false" t="array" ref="E22:E22">ROUND(Paramètres!$B$40*$A22^Paramètres!$B$41*INDEX(Paramètres!$H$6:$H$12,4),0)</f>
        <v>181</v>
      </c>
      <c r="F22" s="19" t="n">
        <f aca="false" t="array" ref="F22:F22">ROUND(Paramètres!$B$40*$A22^Paramètres!$B$41*INDEX(Paramètres!$H$6:$H$12,5),0)</f>
        <v>217</v>
      </c>
      <c r="G22" s="19" t="n">
        <f aca="false" t="array" ref="G22:G22">ROUND(Paramètres!$B$40*$A22^Paramètres!$B$41*INDEX(Paramètres!$H$6:$H$12,6),0)</f>
        <v>259</v>
      </c>
      <c r="H22" s="19" t="n">
        <f aca="false" t="array" ref="H22:H22">ROUND(Paramètres!$B$40*$A22^Paramètres!$B$41*INDEX(Paramètres!$H$6:$H$12,7),0)</f>
        <v>311</v>
      </c>
      <c r="J22" s="19" t="n">
        <f aca="false">SUM(B$6:B22)</f>
        <v>834</v>
      </c>
      <c r="K22" s="19" t="n">
        <f aca="false">SUM(C$6:C22)</f>
        <v>1000</v>
      </c>
      <c r="L22" s="19" t="n">
        <f aca="false">SUM(D$6:D22)</f>
        <v>1210</v>
      </c>
      <c r="M22" s="19" t="n">
        <f aca="false">SUM(E$6:E22)</f>
        <v>1460</v>
      </c>
      <c r="N22" s="19" t="n">
        <f aca="false">SUM(F$6:F22)</f>
        <v>1754</v>
      </c>
      <c r="O22" s="19" t="n">
        <f aca="false">SUM(G$6:G22)</f>
        <v>2086</v>
      </c>
      <c r="P22" s="19" t="n">
        <f aca="false">SUM(H$6:H22)</f>
        <v>2504</v>
      </c>
    </row>
    <row r="23" customFormat="false" ht="15.75" hidden="false" customHeight="true" outlineLevel="0" collapsed="false">
      <c r="A23" s="18" t="n">
        <v>18</v>
      </c>
      <c r="B23" s="19" t="n">
        <f aca="false" t="array" ref="B23:B23">ROUND(Paramètres!$B$40*$A23^Paramètres!$B$41*INDEX(Paramètres!$H$6:$H$12,1),0)</f>
        <v>111</v>
      </c>
      <c r="C23" s="19" t="n">
        <f aca="false" t="array" ref="C23:C23">ROUND(Paramètres!$B$40*$A23^Paramètres!$B$41*INDEX(Paramètres!$H$6:$H$12,2),0)</f>
        <v>133</v>
      </c>
      <c r="D23" s="19" t="n">
        <f aca="false" t="array" ref="D23:D23">ROUND(Paramètres!$B$40*$A23^Paramètres!$B$41*INDEX(Paramètres!$H$6:$H$12,3),0)</f>
        <v>161</v>
      </c>
      <c r="E23" s="19" t="n">
        <f aca="false" t="array" ref="E23:E23">ROUND(Paramètres!$B$40*$A23^Paramètres!$B$41*INDEX(Paramètres!$H$6:$H$12,4),0)</f>
        <v>195</v>
      </c>
      <c r="F23" s="19" t="n">
        <f aca="false" t="array" ref="F23:F23">ROUND(Paramètres!$B$40*$A23^Paramètres!$B$41*INDEX(Paramètres!$H$6:$H$12,5),0)</f>
        <v>234</v>
      </c>
      <c r="G23" s="19" t="n">
        <f aca="false" t="array" ref="G23:G23">ROUND(Paramètres!$B$40*$A23^Paramètres!$B$41*INDEX(Paramètres!$H$6:$H$12,6),0)</f>
        <v>278</v>
      </c>
      <c r="H23" s="19" t="n">
        <f aca="false" t="array" ref="H23:H23">ROUND(Paramètres!$B$40*$A23^Paramètres!$B$41*INDEX(Paramètres!$H$6:$H$12,7),0)</f>
        <v>334</v>
      </c>
      <c r="J23" s="19" t="n">
        <f aca="false">SUM(B$6:B23)</f>
        <v>945</v>
      </c>
      <c r="K23" s="19" t="n">
        <f aca="false">SUM(C$6:C23)</f>
        <v>1133</v>
      </c>
      <c r="L23" s="19" t="n">
        <f aca="false">SUM(D$6:D23)</f>
        <v>1371</v>
      </c>
      <c r="M23" s="19" t="n">
        <f aca="false">SUM(E$6:E23)</f>
        <v>1655</v>
      </c>
      <c r="N23" s="19" t="n">
        <f aca="false">SUM(F$6:F23)</f>
        <v>1988</v>
      </c>
      <c r="O23" s="19" t="n">
        <f aca="false">SUM(G$6:G23)</f>
        <v>2364</v>
      </c>
      <c r="P23" s="19" t="n">
        <f aca="false">SUM(H$6:H23)</f>
        <v>2838</v>
      </c>
    </row>
    <row r="24" customFormat="false" ht="15.75" hidden="false" customHeight="true" outlineLevel="0" collapsed="false">
      <c r="A24" s="18" t="n">
        <v>19</v>
      </c>
      <c r="B24" s="19" t="n">
        <f aca="false" t="array" ref="B24:B24">ROUND(Paramètres!$B$40*$A24^Paramètres!$B$41*INDEX(Paramètres!$H$6:$H$12,1),0)</f>
        <v>119</v>
      </c>
      <c r="C24" s="19" t="n">
        <f aca="false" t="array" ref="C24:C24">ROUND(Paramètres!$B$40*$A24^Paramètres!$B$41*INDEX(Paramètres!$H$6:$H$12,2),0)</f>
        <v>143</v>
      </c>
      <c r="D24" s="19" t="n">
        <f aca="false" t="array" ref="D24:D24">ROUND(Paramètres!$B$40*$A24^Paramètres!$B$41*INDEX(Paramètres!$H$6:$H$12,3),0)</f>
        <v>173</v>
      </c>
      <c r="E24" s="19" t="n">
        <f aca="false" t="array" ref="E24:E24">ROUND(Paramètres!$B$40*$A24^Paramètres!$B$41*INDEX(Paramètres!$H$6:$H$12,4),0)</f>
        <v>208</v>
      </c>
      <c r="F24" s="19" t="n">
        <f aca="false" t="array" ref="F24:F24">ROUND(Paramètres!$B$40*$A24^Paramètres!$B$41*INDEX(Paramètres!$H$6:$H$12,5),0)</f>
        <v>250</v>
      </c>
      <c r="G24" s="19" t="n">
        <f aca="false" t="array" ref="G24:G24">ROUND(Paramètres!$B$40*$A24^Paramètres!$B$41*INDEX(Paramètres!$H$6:$H$12,6),0)</f>
        <v>298</v>
      </c>
      <c r="H24" s="19" t="n">
        <f aca="false" t="array" ref="H24:H24">ROUND(Paramètres!$B$40*$A24^Paramètres!$B$41*INDEX(Paramètres!$H$6:$H$12,7),0)</f>
        <v>357</v>
      </c>
      <c r="J24" s="19" t="n">
        <f aca="false">SUM(B$6:B24)</f>
        <v>1064</v>
      </c>
      <c r="K24" s="19" t="n">
        <f aca="false">SUM(C$6:C24)</f>
        <v>1276</v>
      </c>
      <c r="L24" s="19" t="n">
        <f aca="false">SUM(D$6:D24)</f>
        <v>1544</v>
      </c>
      <c r="M24" s="19" t="n">
        <f aca="false">SUM(E$6:E24)</f>
        <v>1863</v>
      </c>
      <c r="N24" s="19" t="n">
        <f aca="false">SUM(F$6:F24)</f>
        <v>2238</v>
      </c>
      <c r="O24" s="19" t="n">
        <f aca="false">SUM(G$6:G24)</f>
        <v>2662</v>
      </c>
      <c r="P24" s="19" t="n">
        <f aca="false">SUM(H$6:H24)</f>
        <v>3195</v>
      </c>
    </row>
    <row r="25" customFormat="false" ht="15.75" hidden="false" customHeight="true" outlineLevel="0" collapsed="false">
      <c r="A25" s="18" t="n">
        <v>20</v>
      </c>
      <c r="B25" s="19" t="n">
        <f aca="false" t="array" ref="B25:B25">ROUND(Paramètres!$B$40*$A25^Paramètres!$B$41*INDEX(Paramètres!$H$6:$H$12,1),0)</f>
        <v>127</v>
      </c>
      <c r="C25" s="19" t="n">
        <f aca="false" t="array" ref="C25:C25">ROUND(Paramètres!$B$40*$A25^Paramètres!$B$41*INDEX(Paramètres!$H$6:$H$12,2),0)</f>
        <v>152</v>
      </c>
      <c r="D25" s="19" t="n">
        <f aca="false" t="array" ref="D25:D25">ROUND(Paramètres!$B$40*$A25^Paramètres!$B$41*INDEX(Paramètres!$H$6:$H$12,3),0)</f>
        <v>184</v>
      </c>
      <c r="E25" s="19" t="n">
        <f aca="false" t="array" ref="E25:E25">ROUND(Paramètres!$B$40*$A25^Paramètres!$B$41*INDEX(Paramètres!$H$6:$H$12,4),0)</f>
        <v>222</v>
      </c>
      <c r="F25" s="19" t="n">
        <f aca="false" t="array" ref="F25:F25">ROUND(Paramètres!$B$40*$A25^Paramètres!$B$41*INDEX(Paramètres!$H$6:$H$12,5),0)</f>
        <v>266</v>
      </c>
      <c r="G25" s="19" t="n">
        <f aca="false" t="array" ref="G25:G25">ROUND(Paramètres!$B$40*$A25^Paramètres!$B$41*INDEX(Paramètres!$H$6:$H$12,6),0)</f>
        <v>317</v>
      </c>
      <c r="H25" s="19" t="n">
        <f aca="false" t="array" ref="H25:H25">ROUND(Paramètres!$B$40*$A25^Paramètres!$B$41*INDEX(Paramètres!$H$6:$H$12,7),0)</f>
        <v>381</v>
      </c>
      <c r="J25" s="19" t="n">
        <f aca="false">SUM(B$6:B25)</f>
        <v>1191</v>
      </c>
      <c r="K25" s="19" t="n">
        <f aca="false">SUM(C$6:C25)</f>
        <v>1428</v>
      </c>
      <c r="L25" s="19" t="n">
        <f aca="false">SUM(D$6:D25)</f>
        <v>1728</v>
      </c>
      <c r="M25" s="19" t="n">
        <f aca="false">SUM(E$6:E25)</f>
        <v>2085</v>
      </c>
      <c r="N25" s="19" t="n">
        <f aca="false">SUM(F$6:F25)</f>
        <v>2504</v>
      </c>
      <c r="O25" s="19" t="n">
        <f aca="false">SUM(G$6:G25)</f>
        <v>2979</v>
      </c>
      <c r="P25" s="19" t="n">
        <f aca="false">SUM(H$6:H25)</f>
        <v>3576</v>
      </c>
    </row>
    <row r="26" customFormat="false" ht="15.75" hidden="false" customHeight="true" outlineLevel="0" collapsed="false">
      <c r="A26" s="18" t="n">
        <v>21</v>
      </c>
      <c r="B26" s="19" t="n">
        <f aca="false" t="array" ref="B26:B26">ROUND(Paramètres!$B$40*$A26^Paramètres!$B$41*INDEX(Paramètres!$H$6:$H$12,1),0)</f>
        <v>135</v>
      </c>
      <c r="C26" s="19" t="n">
        <f aca="false" t="array" ref="C26:C26">ROUND(Paramètres!$B$40*$A26^Paramètres!$B$41*INDEX(Paramètres!$H$6:$H$12,2),0)</f>
        <v>162</v>
      </c>
      <c r="D26" s="19" t="n">
        <f aca="false" t="array" ref="D26:D26">ROUND(Paramètres!$B$40*$A26^Paramètres!$B$41*INDEX(Paramètres!$H$6:$H$12,3),0)</f>
        <v>196</v>
      </c>
      <c r="E26" s="19" t="n">
        <f aca="false" t="array" ref="E26:E26">ROUND(Paramètres!$B$40*$A26^Paramètres!$B$41*INDEX(Paramètres!$H$6:$H$12,4),0)</f>
        <v>236</v>
      </c>
      <c r="F26" s="19" t="n">
        <f aca="false" t="array" ref="F26:F26">ROUND(Paramètres!$B$40*$A26^Paramètres!$B$41*INDEX(Paramètres!$H$6:$H$12,5),0)</f>
        <v>283</v>
      </c>
      <c r="G26" s="19" t="n">
        <f aca="false" t="array" ref="G26:G26">ROUND(Paramètres!$B$40*$A26^Paramètres!$B$41*INDEX(Paramètres!$H$6:$H$12,6),0)</f>
        <v>337</v>
      </c>
      <c r="H26" s="19" t="n">
        <f aca="false" t="array" ref="H26:H26">ROUND(Paramètres!$B$40*$A26^Paramètres!$B$41*INDEX(Paramètres!$H$6:$H$12,7),0)</f>
        <v>405</v>
      </c>
      <c r="J26" s="19" t="n">
        <f aca="false">SUM(B$6:B26)</f>
        <v>1326</v>
      </c>
      <c r="K26" s="19" t="n">
        <f aca="false">SUM(C$6:C26)</f>
        <v>1590</v>
      </c>
      <c r="L26" s="19" t="n">
        <f aca="false">SUM(D$6:D26)</f>
        <v>1924</v>
      </c>
      <c r="M26" s="19" t="n">
        <f aca="false">SUM(E$6:E26)</f>
        <v>2321</v>
      </c>
      <c r="N26" s="19" t="n">
        <f aca="false">SUM(F$6:F26)</f>
        <v>2787</v>
      </c>
      <c r="O26" s="19" t="n">
        <f aca="false">SUM(G$6:G26)</f>
        <v>3316</v>
      </c>
      <c r="P26" s="19" t="n">
        <f aca="false">SUM(H$6:H26)</f>
        <v>3981</v>
      </c>
    </row>
    <row r="27" customFormat="false" ht="15.75" hidden="false" customHeight="true" outlineLevel="0" collapsed="false">
      <c r="A27" s="18" t="n">
        <v>22</v>
      </c>
      <c r="B27" s="19" t="n">
        <f aca="false" t="array" ref="B27:B27">ROUND(Paramètres!$B$40*$A27^Paramètres!$B$41*INDEX(Paramètres!$H$6:$H$12,1),0)</f>
        <v>143</v>
      </c>
      <c r="C27" s="19" t="n">
        <f aca="false" t="array" ref="C27:C27">ROUND(Paramètres!$B$40*$A27^Paramètres!$B$41*INDEX(Paramètres!$H$6:$H$12,2),0)</f>
        <v>172</v>
      </c>
      <c r="D27" s="19" t="n">
        <f aca="false" t="array" ref="D27:D27">ROUND(Paramètres!$B$40*$A27^Paramètres!$B$41*INDEX(Paramètres!$H$6:$H$12,3),0)</f>
        <v>207</v>
      </c>
      <c r="E27" s="19" t="n">
        <f aca="false" t="array" ref="E27:E27">ROUND(Paramètres!$B$40*$A27^Paramètres!$B$41*INDEX(Paramètres!$H$6:$H$12,4),0)</f>
        <v>250</v>
      </c>
      <c r="F27" s="19" t="n">
        <f aca="false" t="array" ref="F27:F27">ROUND(Paramètres!$B$40*$A27^Paramètres!$B$41*INDEX(Paramètres!$H$6:$H$12,5),0)</f>
        <v>300</v>
      </c>
      <c r="G27" s="19" t="n">
        <f aca="false" t="array" ref="G27:G27">ROUND(Paramètres!$B$40*$A27^Paramètres!$B$41*INDEX(Paramètres!$H$6:$H$12,6),0)</f>
        <v>357</v>
      </c>
      <c r="H27" s="19" t="n">
        <f aca="false" t="array" ref="H27:H27">ROUND(Paramètres!$B$40*$A27^Paramètres!$B$41*INDEX(Paramètres!$H$6:$H$12,7),0)</f>
        <v>429</v>
      </c>
      <c r="J27" s="19" t="n">
        <f aca="false">SUM(B$6:B27)</f>
        <v>1469</v>
      </c>
      <c r="K27" s="19" t="n">
        <f aca="false">SUM(C$6:C27)</f>
        <v>1762</v>
      </c>
      <c r="L27" s="19" t="n">
        <f aca="false">SUM(D$6:D27)</f>
        <v>2131</v>
      </c>
      <c r="M27" s="19" t="n">
        <f aca="false">SUM(E$6:E27)</f>
        <v>2571</v>
      </c>
      <c r="N27" s="19" t="n">
        <f aca="false">SUM(F$6:F27)</f>
        <v>3087</v>
      </c>
      <c r="O27" s="19" t="n">
        <f aca="false">SUM(G$6:G27)</f>
        <v>3673</v>
      </c>
      <c r="P27" s="19" t="n">
        <f aca="false">SUM(H$6:H27)</f>
        <v>4410</v>
      </c>
    </row>
    <row r="28" customFormat="false" ht="15.75" hidden="false" customHeight="true" outlineLevel="0" collapsed="false">
      <c r="A28" s="18" t="n">
        <v>23</v>
      </c>
      <c r="B28" s="19" t="n">
        <f aca="false" t="array" ref="B28:B28">ROUND(Paramètres!$B$40*$A28^Paramètres!$B$41*INDEX(Paramètres!$H$6:$H$12,1),0)</f>
        <v>151</v>
      </c>
      <c r="C28" s="19" t="n">
        <f aca="false" t="array" ref="C28:C28">ROUND(Paramètres!$B$40*$A28^Paramètres!$B$41*INDEX(Paramètres!$H$6:$H$12,2),0)</f>
        <v>181</v>
      </c>
      <c r="D28" s="19" t="n">
        <f aca="false" t="array" ref="D28:D28">ROUND(Paramètres!$B$40*$A28^Paramètres!$B$41*INDEX(Paramètres!$H$6:$H$12,3),0)</f>
        <v>219</v>
      </c>
      <c r="E28" s="19" t="n">
        <f aca="false" t="array" ref="E28:E28">ROUND(Paramètres!$B$40*$A28^Paramètres!$B$41*INDEX(Paramètres!$H$6:$H$12,4),0)</f>
        <v>264</v>
      </c>
      <c r="F28" s="19" t="n">
        <f aca="false" t="array" ref="F28:F28">ROUND(Paramètres!$B$40*$A28^Paramètres!$B$41*INDEX(Paramètres!$H$6:$H$12,5),0)</f>
        <v>317</v>
      </c>
      <c r="G28" s="19" t="n">
        <f aca="false" t="array" ref="G28:G28">ROUND(Paramètres!$B$40*$A28^Paramètres!$B$41*INDEX(Paramètres!$H$6:$H$12,6),0)</f>
        <v>378</v>
      </c>
      <c r="H28" s="19" t="n">
        <f aca="false" t="array" ref="H28:H28">ROUND(Paramètres!$B$40*$A28^Paramètres!$B$41*INDEX(Paramètres!$H$6:$H$12,7),0)</f>
        <v>453</v>
      </c>
      <c r="J28" s="19" t="n">
        <f aca="false">SUM(B$6:B28)</f>
        <v>1620</v>
      </c>
      <c r="K28" s="19" t="n">
        <f aca="false">SUM(C$6:C28)</f>
        <v>1943</v>
      </c>
      <c r="L28" s="19" t="n">
        <f aca="false">SUM(D$6:D28)</f>
        <v>2350</v>
      </c>
      <c r="M28" s="19" t="n">
        <f aca="false">SUM(E$6:E28)</f>
        <v>2835</v>
      </c>
      <c r="N28" s="19" t="n">
        <f aca="false">SUM(F$6:F28)</f>
        <v>3404</v>
      </c>
      <c r="O28" s="19" t="n">
        <f aca="false">SUM(G$6:G28)</f>
        <v>4051</v>
      </c>
      <c r="P28" s="19" t="n">
        <f aca="false">SUM(H$6:H28)</f>
        <v>4863</v>
      </c>
    </row>
    <row r="29" customFormat="false" ht="15.75" hidden="false" customHeight="true" outlineLevel="0" collapsed="false">
      <c r="A29" s="18" t="n">
        <v>24</v>
      </c>
      <c r="B29" s="19" t="n">
        <f aca="false" t="array" ref="B29:B29">ROUND(Paramètres!$B$40*$A29^Paramètres!$B$41*INDEX(Paramètres!$H$6:$H$12,1),0)</f>
        <v>159</v>
      </c>
      <c r="C29" s="19" t="n">
        <f aca="false" t="array" ref="C29:C29">ROUND(Paramètres!$B$40*$A29^Paramètres!$B$41*INDEX(Paramètres!$H$6:$H$12,2),0)</f>
        <v>191</v>
      </c>
      <c r="D29" s="19" t="n">
        <f aca="false" t="array" ref="D29:D29">ROUND(Paramètres!$B$40*$A29^Paramètres!$B$41*INDEX(Paramètres!$H$6:$H$12,3),0)</f>
        <v>231</v>
      </c>
      <c r="E29" s="19" t="n">
        <f aca="false" t="array" ref="E29:E29">ROUND(Paramètres!$B$40*$A29^Paramètres!$B$41*INDEX(Paramètres!$H$6:$H$12,4),0)</f>
        <v>279</v>
      </c>
      <c r="F29" s="19" t="n">
        <f aca="false" t="array" ref="F29:F29">ROUND(Paramètres!$B$40*$A29^Paramètres!$B$41*INDEX(Paramètres!$H$6:$H$12,5),0)</f>
        <v>335</v>
      </c>
      <c r="G29" s="19" t="n">
        <f aca="false" t="array" ref="G29:G29">ROUND(Paramètres!$B$40*$A29^Paramètres!$B$41*INDEX(Paramètres!$H$6:$H$12,6),0)</f>
        <v>398</v>
      </c>
      <c r="H29" s="19" t="n">
        <f aca="false" t="array" ref="H29:H29">ROUND(Paramètres!$B$40*$A29^Paramètres!$B$41*INDEX(Paramètres!$H$6:$H$12,7),0)</f>
        <v>478</v>
      </c>
      <c r="J29" s="19" t="n">
        <f aca="false">SUM(B$6:B29)</f>
        <v>1779</v>
      </c>
      <c r="K29" s="19" t="n">
        <f aca="false">SUM(C$6:C29)</f>
        <v>2134</v>
      </c>
      <c r="L29" s="19" t="n">
        <f aca="false">SUM(D$6:D29)</f>
        <v>2581</v>
      </c>
      <c r="M29" s="19" t="n">
        <f aca="false">SUM(E$6:E29)</f>
        <v>3114</v>
      </c>
      <c r="N29" s="19" t="n">
        <f aca="false">SUM(F$6:F29)</f>
        <v>3739</v>
      </c>
      <c r="O29" s="19" t="n">
        <f aca="false">SUM(G$6:G29)</f>
        <v>4449</v>
      </c>
      <c r="P29" s="19" t="n">
        <f aca="false">SUM(H$6:H29)</f>
        <v>5341</v>
      </c>
    </row>
    <row r="30" customFormat="false" ht="15.75" hidden="false" customHeight="true" outlineLevel="0" collapsed="false">
      <c r="A30" s="18" t="n">
        <v>25</v>
      </c>
      <c r="B30" s="19" t="n">
        <f aca="false" t="array" ref="B30:B30">ROUND(Paramètres!$B$40*$A30^Paramètres!$B$41*INDEX(Paramètres!$H$6:$H$12,1),0)</f>
        <v>168</v>
      </c>
      <c r="C30" s="19" t="n">
        <f aca="false" t="array" ref="C30:C30">ROUND(Paramètres!$B$40*$A30^Paramètres!$B$41*INDEX(Paramètres!$H$6:$H$12,2),0)</f>
        <v>201</v>
      </c>
      <c r="D30" s="19" t="n">
        <f aca="false" t="array" ref="D30:D30">ROUND(Paramètres!$B$40*$A30^Paramètres!$B$41*INDEX(Paramètres!$H$6:$H$12,3),0)</f>
        <v>243</v>
      </c>
      <c r="E30" s="19" t="n">
        <f aca="false" t="array" ref="E30:E30">ROUND(Paramètres!$B$40*$A30^Paramètres!$B$41*INDEX(Paramètres!$H$6:$H$12,4),0)</f>
        <v>293</v>
      </c>
      <c r="F30" s="19" t="n">
        <f aca="false" t="array" ref="F30:F30">ROUND(Paramètres!$B$40*$A30^Paramètres!$B$41*INDEX(Paramètres!$H$6:$H$12,5),0)</f>
        <v>352</v>
      </c>
      <c r="G30" s="19" t="n">
        <f aca="false" t="array" ref="G30:G30">ROUND(Paramètres!$B$40*$A30^Paramètres!$B$41*INDEX(Paramètres!$H$6:$H$12,6),0)</f>
        <v>419</v>
      </c>
      <c r="H30" s="19" t="n">
        <f aca="false" t="array" ref="H30:H30">ROUND(Paramètres!$B$40*$A30^Paramètres!$B$41*INDEX(Paramètres!$H$6:$H$12,7),0)</f>
        <v>503</v>
      </c>
      <c r="J30" s="19" t="n">
        <f aca="false">SUM(B$6:B30)</f>
        <v>1947</v>
      </c>
      <c r="K30" s="19" t="n">
        <f aca="false">SUM(C$6:C30)</f>
        <v>2335</v>
      </c>
      <c r="L30" s="19" t="n">
        <f aca="false">SUM(D$6:D30)</f>
        <v>2824</v>
      </c>
      <c r="M30" s="19" t="n">
        <f aca="false">SUM(E$6:E30)</f>
        <v>3407</v>
      </c>
      <c r="N30" s="19" t="n">
        <f aca="false">SUM(F$6:F30)</f>
        <v>4091</v>
      </c>
      <c r="O30" s="19" t="n">
        <f aca="false">SUM(G$6:G30)</f>
        <v>4868</v>
      </c>
      <c r="P30" s="19" t="n">
        <f aca="false">SUM(H$6:H30)</f>
        <v>5844</v>
      </c>
    </row>
    <row r="31" customFormat="false" ht="15.75" hidden="false" customHeight="true" outlineLevel="0" collapsed="false">
      <c r="A31" s="18" t="n">
        <v>26</v>
      </c>
      <c r="B31" s="19" t="n">
        <f aca="false" t="array" ref="B31:B31">ROUND(Paramètres!$B$40*$A31^Paramètres!$B$41*INDEX(Paramètres!$H$6:$H$12,1),0)</f>
        <v>176</v>
      </c>
      <c r="C31" s="19" t="n">
        <f aca="false" t="array" ref="C31:C31">ROUND(Paramètres!$B$40*$A31^Paramètres!$B$41*INDEX(Paramètres!$H$6:$H$12,2),0)</f>
        <v>211</v>
      </c>
      <c r="D31" s="19" t="n">
        <f aca="false" t="array" ref="D31:D31">ROUND(Paramètres!$B$40*$A31^Paramètres!$B$41*INDEX(Paramètres!$H$6:$H$12,3),0)</f>
        <v>255</v>
      </c>
      <c r="E31" s="19" t="n">
        <f aca="false" t="array" ref="E31:E31">ROUND(Paramètres!$B$40*$A31^Paramètres!$B$41*INDEX(Paramètres!$H$6:$H$12,4),0)</f>
        <v>308</v>
      </c>
      <c r="F31" s="19" t="n">
        <f aca="false" t="array" ref="F31:F31">ROUND(Paramètres!$B$40*$A31^Paramètres!$B$41*INDEX(Paramètres!$H$6:$H$12,5),0)</f>
        <v>370</v>
      </c>
      <c r="G31" s="19" t="n">
        <f aca="false" t="array" ref="G31:G31">ROUND(Paramètres!$B$40*$A31^Paramètres!$B$41*INDEX(Paramètres!$H$6:$H$12,6),0)</f>
        <v>440</v>
      </c>
      <c r="H31" s="19" t="n">
        <f aca="false" t="array" ref="H31:H31">ROUND(Paramètres!$B$40*$A31^Paramètres!$B$41*INDEX(Paramètres!$H$6:$H$12,7),0)</f>
        <v>528</v>
      </c>
      <c r="J31" s="19" t="n">
        <f aca="false">SUM(B$6:B31)</f>
        <v>2123</v>
      </c>
      <c r="K31" s="19" t="n">
        <f aca="false">SUM(C$6:C31)</f>
        <v>2546</v>
      </c>
      <c r="L31" s="19" t="n">
        <f aca="false">SUM(D$6:D31)</f>
        <v>3079</v>
      </c>
      <c r="M31" s="19" t="n">
        <f aca="false">SUM(E$6:E31)</f>
        <v>3715</v>
      </c>
      <c r="N31" s="19" t="n">
        <f aca="false">SUM(F$6:F31)</f>
        <v>4461</v>
      </c>
      <c r="O31" s="19" t="n">
        <f aca="false">SUM(G$6:G31)</f>
        <v>5308</v>
      </c>
      <c r="P31" s="19" t="n">
        <f aca="false">SUM(H$6:H31)</f>
        <v>6372</v>
      </c>
    </row>
    <row r="32" customFormat="false" ht="15.75" hidden="false" customHeight="true" outlineLevel="0" collapsed="false">
      <c r="A32" s="18" t="n">
        <v>27</v>
      </c>
      <c r="B32" s="19" t="n">
        <f aca="false" t="array" ref="B32:B32">ROUND(Paramètres!$B$40*$A32^Paramètres!$B$41*INDEX(Paramètres!$H$6:$H$12,1),0)</f>
        <v>185</v>
      </c>
      <c r="C32" s="19" t="n">
        <f aca="false" t="array" ref="C32:C32">ROUND(Paramètres!$B$40*$A32^Paramètres!$B$41*INDEX(Paramètres!$H$6:$H$12,2),0)</f>
        <v>222</v>
      </c>
      <c r="D32" s="19" t="n">
        <f aca="false" t="array" ref="D32:D32">ROUND(Paramètres!$B$40*$A32^Paramètres!$B$41*INDEX(Paramètres!$H$6:$H$12,3),0)</f>
        <v>268</v>
      </c>
      <c r="E32" s="19" t="n">
        <f aca="false" t="array" ref="E32:E32">ROUND(Paramètres!$B$40*$A32^Paramètres!$B$41*INDEX(Paramètres!$H$6:$H$12,4),0)</f>
        <v>323</v>
      </c>
      <c r="F32" s="19" t="n">
        <f aca="false" t="array" ref="F32:F32">ROUND(Paramètres!$B$40*$A32^Paramètres!$B$41*INDEX(Paramètres!$H$6:$H$12,5),0)</f>
        <v>388</v>
      </c>
      <c r="G32" s="19" t="n">
        <f aca="false" t="array" ref="G32:G32">ROUND(Paramètres!$B$40*$A32^Paramètres!$B$41*INDEX(Paramètres!$H$6:$H$12,6),0)</f>
        <v>462</v>
      </c>
      <c r="H32" s="19" t="n">
        <f aca="false" t="array" ref="H32:H32">ROUND(Paramètres!$B$40*$A32^Paramètres!$B$41*INDEX(Paramètres!$H$6:$H$12,7),0)</f>
        <v>554</v>
      </c>
      <c r="J32" s="19" t="n">
        <f aca="false">SUM(B$6:B32)</f>
        <v>2308</v>
      </c>
      <c r="K32" s="19" t="n">
        <f aca="false">SUM(C$6:C32)</f>
        <v>2768</v>
      </c>
      <c r="L32" s="19" t="n">
        <f aca="false">SUM(D$6:D32)</f>
        <v>3347</v>
      </c>
      <c r="M32" s="19" t="n">
        <f aca="false">SUM(E$6:E32)</f>
        <v>4038</v>
      </c>
      <c r="N32" s="19" t="n">
        <f aca="false">SUM(F$6:F32)</f>
        <v>4849</v>
      </c>
      <c r="O32" s="19" t="n">
        <f aca="false">SUM(G$6:G32)</f>
        <v>5770</v>
      </c>
      <c r="P32" s="19" t="n">
        <f aca="false">SUM(H$6:H32)</f>
        <v>6926</v>
      </c>
    </row>
    <row r="33" customFormat="false" ht="15.75" hidden="false" customHeight="true" outlineLevel="0" collapsed="false">
      <c r="A33" s="18" t="n">
        <v>28</v>
      </c>
      <c r="B33" s="19" t="n">
        <f aca="false" t="array" ref="B33:B33">ROUND(Paramètres!$B$40*$A33^Paramètres!$B$41*INDEX(Paramètres!$H$6:$H$12,1),0)</f>
        <v>193</v>
      </c>
      <c r="C33" s="19" t="n">
        <f aca="false" t="array" ref="C33:C33">ROUND(Paramètres!$B$40*$A33^Paramètres!$B$41*INDEX(Paramètres!$H$6:$H$12,2),0)</f>
        <v>232</v>
      </c>
      <c r="D33" s="19" t="n">
        <f aca="false" t="array" ref="D33:D33">ROUND(Paramètres!$B$40*$A33^Paramètres!$B$41*INDEX(Paramètres!$H$6:$H$12,3),0)</f>
        <v>280</v>
      </c>
      <c r="E33" s="19" t="n">
        <f aca="false" t="array" ref="E33:E33">ROUND(Paramètres!$B$40*$A33^Paramètres!$B$41*INDEX(Paramètres!$H$6:$H$12,4),0)</f>
        <v>338</v>
      </c>
      <c r="F33" s="19" t="n">
        <f aca="false" t="array" ref="F33:F33">ROUND(Paramètres!$B$40*$A33^Paramètres!$B$41*INDEX(Paramètres!$H$6:$H$12,5),0)</f>
        <v>406</v>
      </c>
      <c r="G33" s="19" t="n">
        <f aca="false" t="array" ref="G33:G33">ROUND(Paramètres!$B$40*$A33^Paramètres!$B$41*INDEX(Paramètres!$H$6:$H$12,6),0)</f>
        <v>483</v>
      </c>
      <c r="H33" s="19" t="n">
        <f aca="false" t="array" ref="H33:H33">ROUND(Paramètres!$B$40*$A33^Paramètres!$B$41*INDEX(Paramètres!$H$6:$H$12,7),0)</f>
        <v>580</v>
      </c>
      <c r="J33" s="19" t="n">
        <f aca="false">SUM(B$6:B33)</f>
        <v>2501</v>
      </c>
      <c r="K33" s="19" t="n">
        <f aca="false">SUM(C$6:C33)</f>
        <v>3000</v>
      </c>
      <c r="L33" s="19" t="n">
        <f aca="false">SUM(D$6:D33)</f>
        <v>3627</v>
      </c>
      <c r="M33" s="19" t="n">
        <f aca="false">SUM(E$6:E33)</f>
        <v>4376</v>
      </c>
      <c r="N33" s="19" t="n">
        <f aca="false">SUM(F$6:F33)</f>
        <v>5255</v>
      </c>
      <c r="O33" s="19" t="n">
        <f aca="false">SUM(G$6:G33)</f>
        <v>6253</v>
      </c>
      <c r="P33" s="19" t="n">
        <f aca="false">SUM(H$6:H33)</f>
        <v>7506</v>
      </c>
    </row>
    <row r="34" customFormat="false" ht="15.75" hidden="false" customHeight="true" outlineLevel="0" collapsed="false">
      <c r="A34" s="18" t="n">
        <v>29</v>
      </c>
      <c r="B34" s="19" t="n">
        <f aca="false" t="array" ref="B34:B34">ROUND(Paramètres!$B$40*$A34^Paramètres!$B$41*INDEX(Paramètres!$H$6:$H$12,1),0)</f>
        <v>202</v>
      </c>
      <c r="C34" s="19" t="n">
        <f aca="false" t="array" ref="C34:C34">ROUND(Paramètres!$B$40*$A34^Paramètres!$B$41*INDEX(Paramètres!$H$6:$H$12,2),0)</f>
        <v>242</v>
      </c>
      <c r="D34" s="19" t="n">
        <f aca="false" t="array" ref="D34:D34">ROUND(Paramètres!$B$40*$A34^Paramètres!$B$41*INDEX(Paramètres!$H$6:$H$12,3),0)</f>
        <v>293</v>
      </c>
      <c r="E34" s="19" t="n">
        <f aca="false" t="array" ref="E34:E34">ROUND(Paramètres!$B$40*$A34^Paramètres!$B$41*INDEX(Paramètres!$H$6:$H$12,4),0)</f>
        <v>353</v>
      </c>
      <c r="F34" s="19" t="n">
        <f aca="false" t="array" ref="F34:F34">ROUND(Paramètres!$B$40*$A34^Paramètres!$B$41*INDEX(Paramètres!$H$6:$H$12,5),0)</f>
        <v>424</v>
      </c>
      <c r="G34" s="19" t="n">
        <f aca="false" t="array" ref="G34:G34">ROUND(Paramètres!$B$40*$A34^Paramètres!$B$41*INDEX(Paramètres!$H$6:$H$12,6),0)</f>
        <v>505</v>
      </c>
      <c r="H34" s="19" t="n">
        <f aca="false" t="array" ref="H34:H34">ROUND(Paramètres!$B$40*$A34^Paramètres!$B$41*INDEX(Paramètres!$H$6:$H$12,7),0)</f>
        <v>606</v>
      </c>
      <c r="J34" s="19" t="n">
        <f aca="false">SUM(B$6:B34)</f>
        <v>2703</v>
      </c>
      <c r="K34" s="19" t="n">
        <f aca="false">SUM(C$6:C34)</f>
        <v>3242</v>
      </c>
      <c r="L34" s="19" t="n">
        <f aca="false">SUM(D$6:D34)</f>
        <v>3920</v>
      </c>
      <c r="M34" s="19" t="n">
        <f aca="false">SUM(E$6:E34)</f>
        <v>4729</v>
      </c>
      <c r="N34" s="19" t="n">
        <f aca="false">SUM(F$6:F34)</f>
        <v>5679</v>
      </c>
      <c r="O34" s="19" t="n">
        <f aca="false">SUM(G$6:G34)</f>
        <v>6758</v>
      </c>
      <c r="P34" s="19" t="n">
        <f aca="false">SUM(H$6:H34)</f>
        <v>8112</v>
      </c>
    </row>
    <row r="35" customFormat="false" ht="15.75" hidden="false" customHeight="true" outlineLevel="0" collapsed="false">
      <c r="A35" s="18" t="n">
        <v>30</v>
      </c>
      <c r="B35" s="19" t="n">
        <f aca="false" t="array" ref="B35:B35">ROUND(Paramètres!$B$40*$A35^Paramètres!$B$41*INDEX(Paramètres!$H$6:$H$12,1),0)</f>
        <v>211</v>
      </c>
      <c r="C35" s="19" t="n">
        <f aca="false" t="array" ref="C35:C35">ROUND(Paramètres!$B$40*$A35^Paramètres!$B$41*INDEX(Paramètres!$H$6:$H$12,2),0)</f>
        <v>253</v>
      </c>
      <c r="D35" s="19" t="n">
        <f aca="false" t="array" ref="D35:D35">ROUND(Paramètres!$B$40*$A35^Paramètres!$B$41*INDEX(Paramètres!$H$6:$H$12,3),0)</f>
        <v>305</v>
      </c>
      <c r="E35" s="19" t="n">
        <f aca="false" t="array" ref="E35:E35">ROUND(Paramètres!$B$40*$A35^Paramètres!$B$41*INDEX(Paramètres!$H$6:$H$12,4),0)</f>
        <v>369</v>
      </c>
      <c r="F35" s="19" t="n">
        <f aca="false" t="array" ref="F35:F35">ROUND(Paramètres!$B$40*$A35^Paramètres!$B$41*INDEX(Paramètres!$H$6:$H$12,5),0)</f>
        <v>442</v>
      </c>
      <c r="G35" s="19" t="n">
        <f aca="false" t="array" ref="G35:G35">ROUND(Paramètres!$B$40*$A35^Paramètres!$B$41*INDEX(Paramètres!$H$6:$H$12,6),0)</f>
        <v>527</v>
      </c>
      <c r="H35" s="19" t="n">
        <f aca="false" t="array" ref="H35:H35">ROUND(Paramètres!$B$40*$A35^Paramètres!$B$41*INDEX(Paramètres!$H$6:$H$12,7),0)</f>
        <v>632</v>
      </c>
      <c r="J35" s="19" t="n">
        <f aca="false">SUM(B$6:B35)</f>
        <v>2914</v>
      </c>
      <c r="K35" s="19" t="n">
        <f aca="false">SUM(C$6:C35)</f>
        <v>3495</v>
      </c>
      <c r="L35" s="19" t="n">
        <f aca="false">SUM(D$6:D35)</f>
        <v>4225</v>
      </c>
      <c r="M35" s="19" t="n">
        <f aca="false">SUM(E$6:E35)</f>
        <v>5098</v>
      </c>
      <c r="N35" s="19" t="n">
        <f aca="false">SUM(F$6:F35)</f>
        <v>6121</v>
      </c>
      <c r="O35" s="19" t="n">
        <f aca="false">SUM(G$6:G35)</f>
        <v>7285</v>
      </c>
      <c r="P35" s="19" t="n">
        <f aca="false">SUM(H$6:H35)</f>
        <v>8744</v>
      </c>
    </row>
    <row r="36" customFormat="false" ht="15.75" hidden="false" customHeight="true" outlineLevel="0" collapsed="false">
      <c r="A36" s="18" t="n">
        <v>31</v>
      </c>
      <c r="B36" s="19" t="n">
        <f aca="false" t="array" ref="B36:B36">ROUND(Paramètres!$B$40*$A36^Paramètres!$B$41*INDEX(Paramètres!$H$6:$H$12,1),0)</f>
        <v>219</v>
      </c>
      <c r="C36" s="19" t="n">
        <f aca="false" t="array" ref="C36:C36">ROUND(Paramètres!$B$40*$A36^Paramètres!$B$41*INDEX(Paramètres!$H$6:$H$12,2),0)</f>
        <v>263</v>
      </c>
      <c r="D36" s="19" t="n">
        <f aca="false" t="array" ref="D36:D36">ROUND(Paramètres!$B$40*$A36^Paramètres!$B$41*INDEX(Paramètres!$H$6:$H$12,3),0)</f>
        <v>318</v>
      </c>
      <c r="E36" s="19" t="n">
        <f aca="false" t="array" ref="E36:E36">ROUND(Paramètres!$B$40*$A36^Paramètres!$B$41*INDEX(Paramètres!$H$6:$H$12,4),0)</f>
        <v>384</v>
      </c>
      <c r="F36" s="19" t="n">
        <f aca="false" t="array" ref="F36:F36">ROUND(Paramètres!$B$40*$A36^Paramètres!$B$41*INDEX(Paramètres!$H$6:$H$12,5),0)</f>
        <v>461</v>
      </c>
      <c r="G36" s="19" t="n">
        <f aca="false" t="array" ref="G36:G36">ROUND(Paramètres!$B$40*$A36^Paramètres!$B$41*INDEX(Paramètres!$H$6:$H$12,6),0)</f>
        <v>549</v>
      </c>
      <c r="H36" s="19" t="n">
        <f aca="false" t="array" ref="H36:H36">ROUND(Paramètres!$B$40*$A36^Paramètres!$B$41*INDEX(Paramètres!$H$6:$H$12,7),0)</f>
        <v>658</v>
      </c>
      <c r="J36" s="19" t="n">
        <f aca="false">SUM(B$6:B36)</f>
        <v>3133</v>
      </c>
      <c r="K36" s="19" t="n">
        <f aca="false">SUM(C$6:C36)</f>
        <v>3758</v>
      </c>
      <c r="L36" s="19" t="n">
        <f aca="false">SUM(D$6:D36)</f>
        <v>4543</v>
      </c>
      <c r="M36" s="19" t="n">
        <f aca="false">SUM(E$6:E36)</f>
        <v>5482</v>
      </c>
      <c r="N36" s="19" t="n">
        <f aca="false">SUM(F$6:F36)</f>
        <v>6582</v>
      </c>
      <c r="O36" s="19" t="n">
        <f aca="false">SUM(G$6:G36)</f>
        <v>7834</v>
      </c>
      <c r="P36" s="19" t="n">
        <f aca="false">SUM(H$6:H36)</f>
        <v>9402</v>
      </c>
    </row>
    <row r="37" customFormat="false" ht="15.75" hidden="false" customHeight="true" outlineLevel="0" collapsed="false">
      <c r="A37" s="18" t="n">
        <v>32</v>
      </c>
      <c r="B37" s="19" t="n">
        <f aca="false" t="array" ref="B37:B37">ROUND(Paramètres!$B$40*$A37^Paramètres!$B$41*INDEX(Paramètres!$H$6:$H$12,1),0)</f>
        <v>228</v>
      </c>
      <c r="C37" s="19" t="n">
        <f aca="false" t="array" ref="C37:C37">ROUND(Paramètres!$B$40*$A37^Paramètres!$B$41*INDEX(Paramètres!$H$6:$H$12,2),0)</f>
        <v>274</v>
      </c>
      <c r="D37" s="19" t="n">
        <f aca="false" t="array" ref="D37:D37">ROUND(Paramètres!$B$40*$A37^Paramètres!$B$41*INDEX(Paramètres!$H$6:$H$12,3),0)</f>
        <v>331</v>
      </c>
      <c r="E37" s="19" t="n">
        <f aca="false" t="array" ref="E37:E37">ROUND(Paramètres!$B$40*$A37^Paramètres!$B$41*INDEX(Paramètres!$H$6:$H$12,4),0)</f>
        <v>400</v>
      </c>
      <c r="F37" s="19" t="n">
        <f aca="false" t="array" ref="F37:F37">ROUND(Paramètres!$B$40*$A37^Paramètres!$B$41*INDEX(Paramètres!$H$6:$H$12,5),0)</f>
        <v>479</v>
      </c>
      <c r="G37" s="19" t="n">
        <f aca="false" t="array" ref="G37:G37">ROUND(Paramètres!$B$40*$A37^Paramètres!$B$41*INDEX(Paramètres!$H$6:$H$12,6),0)</f>
        <v>571</v>
      </c>
      <c r="H37" s="19" t="n">
        <f aca="false" t="array" ref="H37:H37">ROUND(Paramètres!$B$40*$A37^Paramètres!$B$41*INDEX(Paramètres!$H$6:$H$12,7),0)</f>
        <v>685</v>
      </c>
      <c r="J37" s="19" t="n">
        <f aca="false">SUM(B$6:B37)</f>
        <v>3361</v>
      </c>
      <c r="K37" s="19" t="n">
        <f aca="false">SUM(C$6:C37)</f>
        <v>4032</v>
      </c>
      <c r="L37" s="19" t="n">
        <f aca="false">SUM(D$6:D37)</f>
        <v>4874</v>
      </c>
      <c r="M37" s="19" t="n">
        <f aca="false">SUM(E$6:E37)</f>
        <v>5882</v>
      </c>
      <c r="N37" s="19" t="n">
        <f aca="false">SUM(F$6:F37)</f>
        <v>7061</v>
      </c>
      <c r="O37" s="19" t="n">
        <f aca="false">SUM(G$6:G37)</f>
        <v>8405</v>
      </c>
      <c r="P37" s="19" t="n">
        <f aca="false">SUM(H$6:H37)</f>
        <v>10087</v>
      </c>
    </row>
    <row r="38" customFormat="false" ht="15.75" hidden="false" customHeight="true" outlineLevel="0" collapsed="false">
      <c r="A38" s="18" t="n">
        <v>33</v>
      </c>
      <c r="B38" s="19" t="n">
        <f aca="false" t="array" ref="B38:B38">ROUND(Paramètres!$B$40*$A38^Paramètres!$B$41*INDEX(Paramètres!$H$6:$H$12,1),0)</f>
        <v>237</v>
      </c>
      <c r="C38" s="19" t="n">
        <f aca="false" t="array" ref="C38:C38">ROUND(Paramètres!$B$40*$A38^Paramètres!$B$41*INDEX(Paramètres!$H$6:$H$12,2),0)</f>
        <v>285</v>
      </c>
      <c r="D38" s="19" t="n">
        <f aca="false" t="array" ref="D38:D38">ROUND(Paramètres!$B$40*$A38^Paramètres!$B$41*INDEX(Paramètres!$H$6:$H$12,3),0)</f>
        <v>344</v>
      </c>
      <c r="E38" s="19" t="n">
        <f aca="false" t="array" ref="E38:E38">ROUND(Paramètres!$B$40*$A38^Paramètres!$B$41*INDEX(Paramètres!$H$6:$H$12,4),0)</f>
        <v>415</v>
      </c>
      <c r="F38" s="19" t="n">
        <f aca="false" t="array" ref="F38:F38">ROUND(Paramètres!$B$40*$A38^Paramètres!$B$41*INDEX(Paramètres!$H$6:$H$12,5),0)</f>
        <v>498</v>
      </c>
      <c r="G38" s="19" t="n">
        <f aca="false" t="array" ref="G38:G38">ROUND(Paramètres!$B$40*$A38^Paramètres!$B$41*INDEX(Paramètres!$H$6:$H$12,6),0)</f>
        <v>593</v>
      </c>
      <c r="H38" s="19" t="n">
        <f aca="false" t="array" ref="H38:H38">ROUND(Paramètres!$B$40*$A38^Paramètres!$B$41*INDEX(Paramètres!$H$6:$H$12,7),0)</f>
        <v>712</v>
      </c>
      <c r="J38" s="19" t="n">
        <f aca="false">SUM(B$6:B38)</f>
        <v>3598</v>
      </c>
      <c r="K38" s="19" t="n">
        <f aca="false">SUM(C$6:C38)</f>
        <v>4317</v>
      </c>
      <c r="L38" s="19" t="n">
        <f aca="false">SUM(D$6:D38)</f>
        <v>5218</v>
      </c>
      <c r="M38" s="19" t="n">
        <f aca="false">SUM(E$6:E38)</f>
        <v>6297</v>
      </c>
      <c r="N38" s="19" t="n">
        <f aca="false">SUM(F$6:F38)</f>
        <v>7559</v>
      </c>
      <c r="O38" s="19" t="n">
        <f aca="false">SUM(G$6:G38)</f>
        <v>8998</v>
      </c>
      <c r="P38" s="19" t="n">
        <f aca="false">SUM(H$6:H38)</f>
        <v>10799</v>
      </c>
    </row>
    <row r="39" customFormat="false" ht="15.75" hidden="false" customHeight="true" outlineLevel="0" collapsed="false">
      <c r="A39" s="18" t="n">
        <v>34</v>
      </c>
      <c r="B39" s="19" t="n">
        <f aca="false" t="array" ref="B39:B39">ROUND(Paramètres!$B$40*$A39^Paramètres!$B$41*INDEX(Paramètres!$H$6:$H$12,1),0)</f>
        <v>246</v>
      </c>
      <c r="C39" s="19" t="n">
        <f aca="false" t="array" ref="C39:C39">ROUND(Paramètres!$B$40*$A39^Paramètres!$B$41*INDEX(Paramètres!$H$6:$H$12,2),0)</f>
        <v>296</v>
      </c>
      <c r="D39" s="19" t="n">
        <f aca="false" t="array" ref="D39:D39">ROUND(Paramètres!$B$40*$A39^Paramètres!$B$41*INDEX(Paramètres!$H$6:$H$12,3),0)</f>
        <v>357</v>
      </c>
      <c r="E39" s="19" t="n">
        <f aca="false" t="array" ref="E39:E39">ROUND(Paramètres!$B$40*$A39^Paramètres!$B$41*INDEX(Paramètres!$H$6:$H$12,4),0)</f>
        <v>431</v>
      </c>
      <c r="F39" s="19" t="n">
        <f aca="false" t="array" ref="F39:F39">ROUND(Paramètres!$B$40*$A39^Paramètres!$B$41*INDEX(Paramètres!$H$6:$H$12,5),0)</f>
        <v>517</v>
      </c>
      <c r="G39" s="19" t="n">
        <f aca="false" t="array" ref="G39:G39">ROUND(Paramètres!$B$40*$A39^Paramètres!$B$41*INDEX(Paramètres!$H$6:$H$12,6),0)</f>
        <v>616</v>
      </c>
      <c r="H39" s="19" t="n">
        <f aca="false" t="array" ref="H39:H39">ROUND(Paramètres!$B$40*$A39^Paramètres!$B$41*INDEX(Paramètres!$H$6:$H$12,7),0)</f>
        <v>739</v>
      </c>
      <c r="J39" s="19" t="n">
        <f aca="false">SUM(B$6:B39)</f>
        <v>3844</v>
      </c>
      <c r="K39" s="19" t="n">
        <f aca="false">SUM(C$6:C39)</f>
        <v>4613</v>
      </c>
      <c r="L39" s="19" t="n">
        <f aca="false">SUM(D$6:D39)</f>
        <v>5575</v>
      </c>
      <c r="M39" s="19" t="n">
        <f aca="false">SUM(E$6:E39)</f>
        <v>6728</v>
      </c>
      <c r="N39" s="19" t="n">
        <f aca="false">SUM(F$6:F39)</f>
        <v>8076</v>
      </c>
      <c r="O39" s="19" t="n">
        <f aca="false">SUM(G$6:G39)</f>
        <v>9614</v>
      </c>
      <c r="P39" s="19" t="n">
        <f aca="false">SUM(H$6:H39)</f>
        <v>11538</v>
      </c>
    </row>
    <row r="40" customFormat="false" ht="15.75" hidden="false" customHeight="true" outlineLevel="0" collapsed="false">
      <c r="A40" s="18" t="n">
        <v>35</v>
      </c>
      <c r="B40" s="19" t="n">
        <f aca="false" t="array" ref="B40:B40">ROUND(Paramètres!$B$40*$A40^Paramètres!$B$41*INDEX(Paramètres!$H$6:$H$12,1),0)</f>
        <v>255</v>
      </c>
      <c r="C40" s="19" t="n">
        <f aca="false" t="array" ref="C40:C40">ROUND(Paramètres!$B$40*$A40^Paramètres!$B$41*INDEX(Paramètres!$H$6:$H$12,2),0)</f>
        <v>306</v>
      </c>
      <c r="D40" s="19" t="n">
        <f aca="false" t="array" ref="D40:D40">ROUND(Paramètres!$B$40*$A40^Paramètres!$B$41*INDEX(Paramètres!$H$6:$H$12,3),0)</f>
        <v>370</v>
      </c>
      <c r="E40" s="19" t="n">
        <f aca="false" t="array" ref="E40:E40">ROUND(Paramètres!$B$40*$A40^Paramètres!$B$41*INDEX(Paramètres!$H$6:$H$12,4),0)</f>
        <v>447</v>
      </c>
      <c r="F40" s="19" t="n">
        <f aca="false" t="array" ref="F40:F40">ROUND(Paramètres!$B$40*$A40^Paramètres!$B$41*INDEX(Paramètres!$H$6:$H$12,5),0)</f>
        <v>536</v>
      </c>
      <c r="G40" s="19" t="n">
        <f aca="false" t="array" ref="G40:G40">ROUND(Paramètres!$B$40*$A40^Paramètres!$B$41*INDEX(Paramètres!$H$6:$H$12,6),0)</f>
        <v>638</v>
      </c>
      <c r="H40" s="19" t="n">
        <f aca="false" t="array" ref="H40:H40">ROUND(Paramètres!$B$40*$A40^Paramètres!$B$41*INDEX(Paramètres!$H$6:$H$12,7),0)</f>
        <v>766</v>
      </c>
      <c r="J40" s="19" t="n">
        <f aca="false">SUM(B$6:B40)</f>
        <v>4099</v>
      </c>
      <c r="K40" s="19" t="n">
        <f aca="false">SUM(C$6:C40)</f>
        <v>4919</v>
      </c>
      <c r="L40" s="19" t="n">
        <f aca="false">SUM(D$6:D40)</f>
        <v>5945</v>
      </c>
      <c r="M40" s="19" t="n">
        <f aca="false">SUM(E$6:E40)</f>
        <v>7175</v>
      </c>
      <c r="N40" s="19" t="n">
        <f aca="false">SUM(F$6:F40)</f>
        <v>8612</v>
      </c>
      <c r="O40" s="19" t="n">
        <f aca="false">SUM(G$6:G40)</f>
        <v>10252</v>
      </c>
      <c r="P40" s="19" t="n">
        <f aca="false">SUM(H$6:H40)</f>
        <v>12304</v>
      </c>
    </row>
    <row r="41" customFormat="false" ht="15.75" hidden="false" customHeight="true" outlineLevel="0" collapsed="false">
      <c r="A41" s="18" t="n">
        <v>36</v>
      </c>
      <c r="B41" s="19" t="n">
        <f aca="false" t="array" ref="B41:B41">ROUND(Paramètres!$B$40*$A41^Paramètres!$B$41*INDEX(Paramètres!$H$6:$H$12,1),0)</f>
        <v>265</v>
      </c>
      <c r="C41" s="19" t="n">
        <f aca="false" t="array" ref="C41:C41">ROUND(Paramètres!$B$40*$A41^Paramètres!$B$41*INDEX(Paramètres!$H$6:$H$12,2),0)</f>
        <v>317</v>
      </c>
      <c r="D41" s="19" t="n">
        <f aca="false" t="array" ref="D41:D41">ROUND(Paramètres!$B$40*$A41^Paramètres!$B$41*INDEX(Paramètres!$H$6:$H$12,3),0)</f>
        <v>384</v>
      </c>
      <c r="E41" s="19" t="n">
        <f aca="false" t="array" ref="E41:E41">ROUND(Paramètres!$B$40*$A41^Paramètres!$B$41*INDEX(Paramètres!$H$6:$H$12,4),0)</f>
        <v>463</v>
      </c>
      <c r="F41" s="19" t="n">
        <f aca="false" t="array" ref="F41:F41">ROUND(Paramètres!$B$40*$A41^Paramètres!$B$41*INDEX(Paramètres!$H$6:$H$12,5),0)</f>
        <v>556</v>
      </c>
      <c r="G41" s="19" t="n">
        <f aca="false" t="array" ref="G41:G41">ROUND(Paramètres!$B$40*$A41^Paramètres!$B$41*INDEX(Paramètres!$H$6:$H$12,6),0)</f>
        <v>661</v>
      </c>
      <c r="H41" s="19" t="n">
        <f aca="false" t="array" ref="H41:H41">ROUND(Paramètres!$B$40*$A41^Paramètres!$B$41*INDEX(Paramètres!$H$6:$H$12,7),0)</f>
        <v>794</v>
      </c>
      <c r="J41" s="19" t="n">
        <f aca="false">SUM(B$6:B41)</f>
        <v>4364</v>
      </c>
      <c r="K41" s="19" t="n">
        <f aca="false">SUM(C$6:C41)</f>
        <v>5236</v>
      </c>
      <c r="L41" s="19" t="n">
        <f aca="false">SUM(D$6:D41)</f>
        <v>6329</v>
      </c>
      <c r="M41" s="19" t="n">
        <f aca="false">SUM(E$6:E41)</f>
        <v>7638</v>
      </c>
      <c r="N41" s="19" t="n">
        <f aca="false">SUM(F$6:F41)</f>
        <v>9168</v>
      </c>
      <c r="O41" s="19" t="n">
        <f aca="false">SUM(G$6:G41)</f>
        <v>10913</v>
      </c>
      <c r="P41" s="19" t="n">
        <f aca="false">SUM(H$6:H41)</f>
        <v>13098</v>
      </c>
    </row>
    <row r="42" customFormat="false" ht="15.75" hidden="false" customHeight="true" outlineLevel="0" collapsed="false">
      <c r="A42" s="18" t="n">
        <v>37</v>
      </c>
      <c r="B42" s="19" t="n">
        <f aca="false" t="array" ref="B42:B42">ROUND(Paramètres!$B$40*$A42^Paramètres!$B$41*INDEX(Paramètres!$H$6:$H$12,1),0)</f>
        <v>274</v>
      </c>
      <c r="C42" s="19" t="n">
        <f aca="false" t="array" ref="C42:C42">ROUND(Paramètres!$B$40*$A42^Paramètres!$B$41*INDEX(Paramètres!$H$6:$H$12,2),0)</f>
        <v>329</v>
      </c>
      <c r="D42" s="19" t="n">
        <f aca="false" t="array" ref="D42:D42">ROUND(Paramètres!$B$40*$A42^Paramètres!$B$41*INDEX(Paramètres!$H$6:$H$12,3),0)</f>
        <v>397</v>
      </c>
      <c r="E42" s="19" t="n">
        <f aca="false" t="array" ref="E42:E42">ROUND(Paramètres!$B$40*$A42^Paramètres!$B$41*INDEX(Paramètres!$H$6:$H$12,4),0)</f>
        <v>479</v>
      </c>
      <c r="F42" s="19" t="n">
        <f aca="false" t="array" ref="F42:F42">ROUND(Paramètres!$B$40*$A42^Paramètres!$B$41*INDEX(Paramètres!$H$6:$H$12,5),0)</f>
        <v>575</v>
      </c>
      <c r="G42" s="19" t="n">
        <f aca="false" t="array" ref="G42:G42">ROUND(Paramètres!$B$40*$A42^Paramètres!$B$41*INDEX(Paramètres!$H$6:$H$12,6),0)</f>
        <v>684</v>
      </c>
      <c r="H42" s="19" t="n">
        <f aca="false" t="array" ref="H42:H42">ROUND(Paramètres!$B$40*$A42^Paramètres!$B$41*INDEX(Paramètres!$H$6:$H$12,7),0)</f>
        <v>821</v>
      </c>
      <c r="J42" s="19" t="n">
        <f aca="false">SUM(B$6:B42)</f>
        <v>4638</v>
      </c>
      <c r="K42" s="19" t="n">
        <f aca="false">SUM(C$6:C42)</f>
        <v>5565</v>
      </c>
      <c r="L42" s="19" t="n">
        <f aca="false">SUM(D$6:D42)</f>
        <v>6726</v>
      </c>
      <c r="M42" s="19" t="n">
        <f aca="false">SUM(E$6:E42)</f>
        <v>8117</v>
      </c>
      <c r="N42" s="19" t="n">
        <f aca="false">SUM(F$6:F42)</f>
        <v>9743</v>
      </c>
      <c r="O42" s="19" t="n">
        <f aca="false">SUM(G$6:G42)</f>
        <v>11597</v>
      </c>
      <c r="P42" s="19" t="n">
        <f aca="false">SUM(H$6:H42)</f>
        <v>13919</v>
      </c>
    </row>
    <row r="43" customFormat="false" ht="15.75" hidden="false" customHeight="true" outlineLevel="0" collapsed="false">
      <c r="A43" s="18" t="n">
        <v>38</v>
      </c>
      <c r="B43" s="19" t="n">
        <f aca="false" t="array" ref="B43:B43">ROUND(Paramètres!$B$40*$A43^Paramètres!$B$41*INDEX(Paramètres!$H$6:$H$12,1),0)</f>
        <v>283</v>
      </c>
      <c r="C43" s="19" t="n">
        <f aca="false" t="array" ref="C43:C43">ROUND(Paramètres!$B$40*$A43^Paramètres!$B$41*INDEX(Paramètres!$H$6:$H$12,2),0)</f>
        <v>340</v>
      </c>
      <c r="D43" s="19" t="n">
        <f aca="false" t="array" ref="D43:D43">ROUND(Paramètres!$B$40*$A43^Paramètres!$B$41*INDEX(Paramètres!$H$6:$H$12,3),0)</f>
        <v>410</v>
      </c>
      <c r="E43" s="19" t="n">
        <f aca="false" t="array" ref="E43:E43">ROUND(Paramètres!$B$40*$A43^Paramètres!$B$41*INDEX(Paramètres!$H$6:$H$12,4),0)</f>
        <v>495</v>
      </c>
      <c r="F43" s="19" t="n">
        <f aca="false" t="array" ref="F43:F43">ROUND(Paramètres!$B$40*$A43^Paramètres!$B$41*INDEX(Paramètres!$H$6:$H$12,5),0)</f>
        <v>594</v>
      </c>
      <c r="G43" s="19" t="n">
        <f aca="false" t="array" ref="G43:G43">ROUND(Paramètres!$B$40*$A43^Paramètres!$B$41*INDEX(Paramètres!$H$6:$H$12,6),0)</f>
        <v>708</v>
      </c>
      <c r="H43" s="19" t="n">
        <f aca="false" t="array" ref="H43:H43">ROUND(Paramètres!$B$40*$A43^Paramètres!$B$41*INDEX(Paramètres!$H$6:$H$12,7),0)</f>
        <v>849</v>
      </c>
      <c r="J43" s="19" t="n">
        <f aca="false">SUM(B$6:B43)</f>
        <v>4921</v>
      </c>
      <c r="K43" s="19" t="n">
        <f aca="false">SUM(C$6:C43)</f>
        <v>5905</v>
      </c>
      <c r="L43" s="19" t="n">
        <f aca="false">SUM(D$6:D43)</f>
        <v>7136</v>
      </c>
      <c r="M43" s="19" t="n">
        <f aca="false">SUM(E$6:E43)</f>
        <v>8612</v>
      </c>
      <c r="N43" s="19" t="n">
        <f aca="false">SUM(F$6:F43)</f>
        <v>10337</v>
      </c>
      <c r="O43" s="19" t="n">
        <f aca="false">SUM(G$6:G43)</f>
        <v>12305</v>
      </c>
      <c r="P43" s="19" t="n">
        <f aca="false">SUM(H$6:H43)</f>
        <v>14768</v>
      </c>
    </row>
    <row r="44" customFormat="false" ht="15.75" hidden="false" customHeight="true" outlineLevel="0" collapsed="false">
      <c r="A44" s="18" t="n">
        <v>39</v>
      </c>
      <c r="B44" s="19" t="n">
        <f aca="false" t="array" ref="B44:B44">ROUND(Paramètres!$B$40*$A44^Paramètres!$B$41*INDEX(Paramètres!$H$6:$H$12,1),0)</f>
        <v>292</v>
      </c>
      <c r="C44" s="19" t="n">
        <f aca="false" t="array" ref="C44:C44">ROUND(Paramètres!$B$40*$A44^Paramètres!$B$41*INDEX(Paramètres!$H$6:$H$12,2),0)</f>
        <v>351</v>
      </c>
      <c r="D44" s="19" t="n">
        <f aca="false" t="array" ref="D44:D44">ROUND(Paramètres!$B$40*$A44^Paramètres!$B$41*INDEX(Paramètres!$H$6:$H$12,3),0)</f>
        <v>424</v>
      </c>
      <c r="E44" s="19" t="n">
        <f aca="false" t="array" ref="E44:E44">ROUND(Paramètres!$B$40*$A44^Paramètres!$B$41*INDEX(Paramètres!$H$6:$H$12,4),0)</f>
        <v>512</v>
      </c>
      <c r="F44" s="19" t="n">
        <f aca="false" t="array" ref="F44:F44">ROUND(Paramètres!$B$40*$A44^Paramètres!$B$41*INDEX(Paramètres!$H$6:$H$12,5),0)</f>
        <v>614</v>
      </c>
      <c r="G44" s="19" t="n">
        <f aca="false" t="array" ref="G44:G44">ROUND(Paramètres!$B$40*$A44^Paramètres!$B$41*INDEX(Paramètres!$H$6:$H$12,6),0)</f>
        <v>731</v>
      </c>
      <c r="H44" s="19" t="n">
        <f aca="false" t="array" ref="H44:H44">ROUND(Paramètres!$B$40*$A44^Paramètres!$B$41*INDEX(Paramètres!$H$6:$H$12,7),0)</f>
        <v>877</v>
      </c>
      <c r="J44" s="19" t="n">
        <f aca="false">SUM(B$6:B44)</f>
        <v>5213</v>
      </c>
      <c r="K44" s="19" t="n">
        <f aca="false">SUM(C$6:C44)</f>
        <v>6256</v>
      </c>
      <c r="L44" s="19" t="n">
        <f aca="false">SUM(D$6:D44)</f>
        <v>7560</v>
      </c>
      <c r="M44" s="19" t="n">
        <f aca="false">SUM(E$6:E44)</f>
        <v>9124</v>
      </c>
      <c r="N44" s="19" t="n">
        <f aca="false">SUM(F$6:F44)</f>
        <v>10951</v>
      </c>
      <c r="O44" s="19" t="n">
        <f aca="false">SUM(G$6:G44)</f>
        <v>13036</v>
      </c>
      <c r="P44" s="19" t="n">
        <f aca="false">SUM(H$6:H44)</f>
        <v>15645</v>
      </c>
    </row>
    <row r="45" customFormat="false" ht="15.75" hidden="false" customHeight="true" outlineLevel="0" collapsed="false">
      <c r="A45" s="18" t="n">
        <v>40</v>
      </c>
      <c r="B45" s="19" t="n">
        <f aca="false" t="array" ref="B45:B45">ROUND(Paramètres!$B$40*$A45^Paramètres!$B$41*INDEX(Paramètres!$H$6:$H$12,1),0)</f>
        <v>302</v>
      </c>
      <c r="C45" s="19" t="n">
        <f aca="false" t="array" ref="C45:C45">ROUND(Paramètres!$B$40*$A45^Paramètres!$B$41*INDEX(Paramètres!$H$6:$H$12,2),0)</f>
        <v>362</v>
      </c>
      <c r="D45" s="19" t="n">
        <f aca="false" t="array" ref="D45:D45">ROUND(Paramètres!$B$40*$A45^Paramètres!$B$41*INDEX(Paramètres!$H$6:$H$12,3),0)</f>
        <v>438</v>
      </c>
      <c r="E45" s="19" t="n">
        <f aca="false" t="array" ref="E45:E45">ROUND(Paramètres!$B$40*$A45^Paramètres!$B$41*INDEX(Paramètres!$H$6:$H$12,4),0)</f>
        <v>528</v>
      </c>
      <c r="F45" s="19" t="n">
        <f aca="false" t="array" ref="F45:F45">ROUND(Paramètres!$B$40*$A45^Paramètres!$B$41*INDEX(Paramètres!$H$6:$H$12,5),0)</f>
        <v>634</v>
      </c>
      <c r="G45" s="19" t="n">
        <f aca="false" t="array" ref="G45:G45">ROUND(Paramètres!$B$40*$A45^Paramètres!$B$41*INDEX(Paramètres!$H$6:$H$12,6),0)</f>
        <v>754</v>
      </c>
      <c r="H45" s="19" t="n">
        <f aca="false" t="array" ref="H45:H45">ROUND(Paramètres!$B$40*$A45^Paramètres!$B$41*INDEX(Paramètres!$H$6:$H$12,7),0)</f>
        <v>905</v>
      </c>
      <c r="J45" s="19" t="n">
        <f aca="false">SUM(B$6:B45)</f>
        <v>5515</v>
      </c>
      <c r="K45" s="19" t="n">
        <f aca="false">SUM(C$6:C45)</f>
        <v>6618</v>
      </c>
      <c r="L45" s="19" t="n">
        <f aca="false">SUM(D$6:D45)</f>
        <v>7998</v>
      </c>
      <c r="M45" s="19" t="n">
        <f aca="false">SUM(E$6:E45)</f>
        <v>9652</v>
      </c>
      <c r="N45" s="19" t="n">
        <f aca="false">SUM(F$6:F45)</f>
        <v>11585</v>
      </c>
      <c r="O45" s="19" t="n">
        <f aca="false">SUM(G$6:G45)</f>
        <v>13790</v>
      </c>
      <c r="P45" s="19" t="n">
        <f aca="false">SUM(H$6:H45)</f>
        <v>16550</v>
      </c>
    </row>
    <row r="46" customFormat="false" ht="15.75" hidden="false" customHeight="true" outlineLevel="0" collapsed="false">
      <c r="A46" s="18" t="n">
        <v>41</v>
      </c>
      <c r="B46" s="19" t="n">
        <f aca="false" t="array" ref="B46:B46">ROUND(Paramètres!$B$40*$A46^Paramètres!$B$41*INDEX(Paramètres!$H$6:$H$12,1),0)</f>
        <v>311</v>
      </c>
      <c r="C46" s="19" t="n">
        <f aca="false" t="array" ref="C46:C46">ROUND(Paramètres!$B$40*$A46^Paramètres!$B$41*INDEX(Paramètres!$H$6:$H$12,2),0)</f>
        <v>373</v>
      </c>
      <c r="D46" s="19" t="n">
        <f aca="false" t="array" ref="D46:D46">ROUND(Paramètres!$B$40*$A46^Paramètres!$B$41*INDEX(Paramètres!$H$6:$H$12,3),0)</f>
        <v>451</v>
      </c>
      <c r="E46" s="19" t="n">
        <f aca="false" t="array" ref="E46:E46">ROUND(Paramètres!$B$40*$A46^Paramètres!$B$41*INDEX(Paramètres!$H$6:$H$12,4),0)</f>
        <v>545</v>
      </c>
      <c r="F46" s="19" t="n">
        <f aca="false" t="array" ref="F46:F46">ROUND(Paramètres!$B$40*$A46^Paramètres!$B$41*INDEX(Paramètres!$H$6:$H$12,5),0)</f>
        <v>654</v>
      </c>
      <c r="G46" s="19" t="n">
        <f aca="false" t="array" ref="G46:G46">ROUND(Paramètres!$B$40*$A46^Paramètres!$B$41*INDEX(Paramètres!$H$6:$H$12,6),0)</f>
        <v>778</v>
      </c>
      <c r="H46" s="19" t="n">
        <f aca="false" t="array" ref="H46:H46">ROUND(Paramètres!$B$40*$A46^Paramètres!$B$41*INDEX(Paramètres!$H$6:$H$12,7),0)</f>
        <v>934</v>
      </c>
      <c r="J46" s="19" t="n">
        <f aca="false">SUM(B$6:B46)</f>
        <v>5826</v>
      </c>
      <c r="K46" s="19" t="n">
        <f aca="false">SUM(C$6:C46)</f>
        <v>6991</v>
      </c>
      <c r="L46" s="19" t="n">
        <f aca="false">SUM(D$6:D46)</f>
        <v>8449</v>
      </c>
      <c r="M46" s="19" t="n">
        <f aca="false">SUM(E$6:E46)</f>
        <v>10197</v>
      </c>
      <c r="N46" s="19" t="n">
        <f aca="false">SUM(F$6:F46)</f>
        <v>12239</v>
      </c>
      <c r="O46" s="19" t="n">
        <f aca="false">SUM(G$6:G46)</f>
        <v>14568</v>
      </c>
      <c r="P46" s="19" t="n">
        <f aca="false">SUM(H$6:H46)</f>
        <v>17484</v>
      </c>
    </row>
    <row r="47" customFormat="false" ht="15.75" hidden="false" customHeight="true" outlineLevel="0" collapsed="false">
      <c r="A47" s="18" t="n">
        <v>42</v>
      </c>
      <c r="B47" s="19" t="n">
        <f aca="false" t="array" ref="B47:B47">ROUND(Paramètres!$B$40*$A47^Paramètres!$B$41*INDEX(Paramètres!$H$6:$H$12,1),0)</f>
        <v>321</v>
      </c>
      <c r="C47" s="19" t="n">
        <f aca="false" t="array" ref="C47:C47">ROUND(Paramètres!$B$40*$A47^Paramètres!$B$41*INDEX(Paramètres!$H$6:$H$12,2),0)</f>
        <v>385</v>
      </c>
      <c r="D47" s="19" t="n">
        <f aca="false" t="array" ref="D47:D47">ROUND(Paramètres!$B$40*$A47^Paramètres!$B$41*INDEX(Paramètres!$H$6:$H$12,3),0)</f>
        <v>465</v>
      </c>
      <c r="E47" s="19" t="n">
        <f aca="false" t="array" ref="E47:E47">ROUND(Paramètres!$B$40*$A47^Paramètres!$B$41*INDEX(Paramètres!$H$6:$H$12,4),0)</f>
        <v>561</v>
      </c>
      <c r="F47" s="19" t="n">
        <f aca="false" t="array" ref="F47:F47">ROUND(Paramètres!$B$40*$A47^Paramètres!$B$41*INDEX(Paramètres!$H$6:$H$12,5),0)</f>
        <v>674</v>
      </c>
      <c r="G47" s="19" t="n">
        <f aca="false" t="array" ref="G47:G47">ROUND(Paramètres!$B$40*$A47^Paramètres!$B$41*INDEX(Paramètres!$H$6:$H$12,6),0)</f>
        <v>802</v>
      </c>
      <c r="H47" s="19" t="n">
        <f aca="false" t="array" ref="H47:H47">ROUND(Paramètres!$B$40*$A47^Paramètres!$B$41*INDEX(Paramètres!$H$6:$H$12,7),0)</f>
        <v>962</v>
      </c>
      <c r="J47" s="19" t="n">
        <f aca="false">SUM(B$6:B47)</f>
        <v>6147</v>
      </c>
      <c r="K47" s="19" t="n">
        <f aca="false">SUM(C$6:C47)</f>
        <v>7376</v>
      </c>
      <c r="L47" s="19" t="n">
        <f aca="false">SUM(D$6:D47)</f>
        <v>8914</v>
      </c>
      <c r="M47" s="19" t="n">
        <f aca="false">SUM(E$6:E47)</f>
        <v>10758</v>
      </c>
      <c r="N47" s="19" t="n">
        <f aca="false">SUM(F$6:F47)</f>
        <v>12913</v>
      </c>
      <c r="O47" s="19" t="n">
        <f aca="false">SUM(G$6:G47)</f>
        <v>15370</v>
      </c>
      <c r="P47" s="19" t="n">
        <f aca="false">SUM(H$6:H47)</f>
        <v>18446</v>
      </c>
    </row>
    <row r="48" customFormat="false" ht="15.75" hidden="false" customHeight="true" outlineLevel="0" collapsed="false">
      <c r="A48" s="18" t="n">
        <v>43</v>
      </c>
      <c r="B48" s="19" t="n">
        <f aca="false" t="array" ref="B48:B48">ROUND(Paramètres!$B$40*$A48^Paramètres!$B$41*INDEX(Paramètres!$H$6:$H$12,1),0)</f>
        <v>330</v>
      </c>
      <c r="C48" s="19" t="n">
        <f aca="false" t="array" ref="C48:C48">ROUND(Paramètres!$B$40*$A48^Paramètres!$B$41*INDEX(Paramètres!$H$6:$H$12,2),0)</f>
        <v>396</v>
      </c>
      <c r="D48" s="19" t="n">
        <f aca="false" t="array" ref="D48:D48">ROUND(Paramètres!$B$40*$A48^Paramètres!$B$41*INDEX(Paramètres!$H$6:$H$12,3),0)</f>
        <v>479</v>
      </c>
      <c r="E48" s="19" t="n">
        <f aca="false" t="array" ref="E48:E48">ROUND(Paramètres!$B$40*$A48^Paramètres!$B$41*INDEX(Paramètres!$H$6:$H$12,4),0)</f>
        <v>578</v>
      </c>
      <c r="F48" s="19" t="n">
        <f aca="false" t="array" ref="F48:F48">ROUND(Paramètres!$B$40*$A48^Paramètres!$B$41*INDEX(Paramètres!$H$6:$H$12,5),0)</f>
        <v>694</v>
      </c>
      <c r="G48" s="19" t="n">
        <f aca="false" t="array" ref="G48:G48">ROUND(Paramètres!$B$40*$A48^Paramètres!$B$41*INDEX(Paramètres!$H$6:$H$12,6),0)</f>
        <v>826</v>
      </c>
      <c r="H48" s="19" t="n">
        <f aca="false" t="array" ref="H48:H48">ROUND(Paramètres!$B$40*$A48^Paramètres!$B$41*INDEX(Paramètres!$H$6:$H$12,7),0)</f>
        <v>991</v>
      </c>
      <c r="J48" s="19" t="n">
        <f aca="false">SUM(B$6:B48)</f>
        <v>6477</v>
      </c>
      <c r="K48" s="19" t="n">
        <f aca="false">SUM(C$6:C48)</f>
        <v>7772</v>
      </c>
      <c r="L48" s="19" t="n">
        <f aca="false">SUM(D$6:D48)</f>
        <v>9393</v>
      </c>
      <c r="M48" s="19" t="n">
        <f aca="false">SUM(E$6:E48)</f>
        <v>11336</v>
      </c>
      <c r="N48" s="19" t="n">
        <f aca="false">SUM(F$6:F48)</f>
        <v>13607</v>
      </c>
      <c r="O48" s="19" t="n">
        <f aca="false">SUM(G$6:G48)</f>
        <v>16196</v>
      </c>
      <c r="P48" s="19" t="n">
        <f aca="false">SUM(H$6:H48)</f>
        <v>19437</v>
      </c>
    </row>
    <row r="49" customFormat="false" ht="15.75" hidden="false" customHeight="true" outlineLevel="0" collapsed="false">
      <c r="A49" s="18" t="n">
        <v>44</v>
      </c>
      <c r="B49" s="19" t="n">
        <f aca="false" t="array" ref="B49:B49">ROUND(Paramètres!$B$40*$A49^Paramètres!$B$41*INDEX(Paramètres!$H$6:$H$12,1),0)</f>
        <v>340</v>
      </c>
      <c r="C49" s="19" t="n">
        <f aca="false" t="array" ref="C49:C49">ROUND(Paramètres!$B$40*$A49^Paramètres!$B$41*INDEX(Paramètres!$H$6:$H$12,2),0)</f>
        <v>408</v>
      </c>
      <c r="D49" s="19" t="n">
        <f aca="false" t="array" ref="D49:D49">ROUND(Paramètres!$B$40*$A49^Paramètres!$B$41*INDEX(Paramètres!$H$6:$H$12,3),0)</f>
        <v>493</v>
      </c>
      <c r="E49" s="19" t="n">
        <f aca="false" t="array" ref="E49:E49">ROUND(Paramètres!$B$40*$A49^Paramètres!$B$41*INDEX(Paramètres!$H$6:$H$12,4),0)</f>
        <v>595</v>
      </c>
      <c r="F49" s="19" t="n">
        <f aca="false" t="array" ref="F49:F49">ROUND(Paramètres!$B$40*$A49^Paramètres!$B$41*INDEX(Paramètres!$H$6:$H$12,5),0)</f>
        <v>714</v>
      </c>
      <c r="G49" s="19" t="n">
        <f aca="false" t="array" ref="G49:G49">ROUND(Paramètres!$B$40*$A49^Paramètres!$B$41*INDEX(Paramètres!$H$6:$H$12,6),0)</f>
        <v>850</v>
      </c>
      <c r="H49" s="19" t="n">
        <f aca="false" t="array" ref="H49:H49">ROUND(Paramètres!$B$40*$A49^Paramètres!$B$41*INDEX(Paramètres!$H$6:$H$12,7),0)</f>
        <v>1020</v>
      </c>
      <c r="J49" s="19" t="n">
        <f aca="false">SUM(B$6:B49)</f>
        <v>6817</v>
      </c>
      <c r="K49" s="19" t="n">
        <f aca="false">SUM(C$6:C49)</f>
        <v>8180</v>
      </c>
      <c r="L49" s="19" t="n">
        <f aca="false">SUM(D$6:D49)</f>
        <v>9886</v>
      </c>
      <c r="M49" s="19" t="n">
        <f aca="false">SUM(E$6:E49)</f>
        <v>11931</v>
      </c>
      <c r="N49" s="19" t="n">
        <f aca="false">SUM(F$6:F49)</f>
        <v>14321</v>
      </c>
      <c r="O49" s="19" t="n">
        <f aca="false">SUM(G$6:G49)</f>
        <v>17046</v>
      </c>
      <c r="P49" s="19" t="n">
        <f aca="false">SUM(H$6:H49)</f>
        <v>20457</v>
      </c>
    </row>
    <row r="50" customFormat="false" ht="15.75" hidden="false" customHeight="true" outlineLevel="0" collapsed="false">
      <c r="A50" s="18" t="n">
        <v>45</v>
      </c>
      <c r="B50" s="19" t="n">
        <f aca="false" t="array" ref="B50:B50">ROUND(Paramètres!$B$40*$A50^Paramètres!$B$41*INDEX(Paramètres!$H$6:$H$12,1),0)</f>
        <v>350</v>
      </c>
      <c r="C50" s="19" t="n">
        <f aca="false" t="array" ref="C50:C50">ROUND(Paramètres!$B$40*$A50^Paramètres!$B$41*INDEX(Paramètres!$H$6:$H$12,2),0)</f>
        <v>420</v>
      </c>
      <c r="D50" s="19" t="n">
        <f aca="false" t="array" ref="D50:D50">ROUND(Paramètres!$B$40*$A50^Paramètres!$B$41*INDEX(Paramètres!$H$6:$H$12,3),0)</f>
        <v>507</v>
      </c>
      <c r="E50" s="19" t="n">
        <f aca="false" t="array" ref="E50:E50">ROUND(Paramètres!$B$40*$A50^Paramètres!$B$41*INDEX(Paramètres!$H$6:$H$12,4),0)</f>
        <v>612</v>
      </c>
      <c r="F50" s="19" t="n">
        <f aca="false" t="array" ref="F50:F50">ROUND(Paramètres!$B$40*$A50^Paramètres!$B$41*INDEX(Paramètres!$H$6:$H$12,5),0)</f>
        <v>734</v>
      </c>
      <c r="G50" s="19" t="n">
        <f aca="false" t="array" ref="G50:G50">ROUND(Paramètres!$B$40*$A50^Paramètres!$B$41*INDEX(Paramètres!$H$6:$H$12,6),0)</f>
        <v>874</v>
      </c>
      <c r="H50" s="19" t="n">
        <f aca="false" t="array" ref="H50:H50">ROUND(Paramètres!$B$40*$A50^Paramètres!$B$41*INDEX(Paramètres!$H$6:$H$12,7),0)</f>
        <v>1049</v>
      </c>
      <c r="J50" s="19" t="n">
        <f aca="false">SUM(B$6:B50)</f>
        <v>7167</v>
      </c>
      <c r="K50" s="19" t="n">
        <f aca="false">SUM(C$6:C50)</f>
        <v>8600</v>
      </c>
      <c r="L50" s="19" t="n">
        <f aca="false">SUM(D$6:D50)</f>
        <v>10393</v>
      </c>
      <c r="M50" s="19" t="n">
        <f aca="false">SUM(E$6:E50)</f>
        <v>12543</v>
      </c>
      <c r="N50" s="19" t="n">
        <f aca="false">SUM(F$6:F50)</f>
        <v>15055</v>
      </c>
      <c r="O50" s="19" t="n">
        <f aca="false">SUM(G$6:G50)</f>
        <v>17920</v>
      </c>
      <c r="P50" s="19" t="n">
        <f aca="false">SUM(H$6:H50)</f>
        <v>21506</v>
      </c>
    </row>
    <row r="51" customFormat="false" ht="15.75" hidden="false" customHeight="true" outlineLevel="0" collapsed="false">
      <c r="A51" s="18" t="n">
        <v>46</v>
      </c>
      <c r="B51" s="19" t="n">
        <f aca="false" t="array" ref="B51:B51">ROUND(Paramètres!$B$40*$A51^Paramètres!$B$41*INDEX(Paramètres!$H$6:$H$12,1),0)</f>
        <v>359</v>
      </c>
      <c r="C51" s="19" t="n">
        <f aca="false" t="array" ref="C51:C51">ROUND(Paramètres!$B$40*$A51^Paramètres!$B$41*INDEX(Paramètres!$H$6:$H$12,2),0)</f>
        <v>431</v>
      </c>
      <c r="D51" s="19" t="n">
        <f aca="false" t="array" ref="D51:D51">ROUND(Paramètres!$B$40*$A51^Paramètres!$B$41*INDEX(Paramètres!$H$6:$H$12,3),0)</f>
        <v>521</v>
      </c>
      <c r="E51" s="19" t="n">
        <f aca="false" t="array" ref="E51:E51">ROUND(Paramètres!$B$40*$A51^Paramètres!$B$41*INDEX(Paramètres!$H$6:$H$12,4),0)</f>
        <v>629</v>
      </c>
      <c r="F51" s="19" t="n">
        <f aca="false" t="array" ref="F51:F51">ROUND(Paramètres!$B$40*$A51^Paramètres!$B$41*INDEX(Paramètres!$H$6:$H$12,5),0)</f>
        <v>755</v>
      </c>
      <c r="G51" s="19" t="n">
        <f aca="false" t="array" ref="G51:G51">ROUND(Paramètres!$B$40*$A51^Paramètres!$B$41*INDEX(Paramètres!$H$6:$H$12,6),0)</f>
        <v>898</v>
      </c>
      <c r="H51" s="19" t="n">
        <f aca="false" t="array" ref="H51:H51">ROUND(Paramètres!$B$40*$A51^Paramètres!$B$41*INDEX(Paramètres!$H$6:$H$12,7),0)</f>
        <v>1078</v>
      </c>
      <c r="J51" s="19" t="n">
        <f aca="false">SUM(B$6:B51)</f>
        <v>7526</v>
      </c>
      <c r="K51" s="19" t="n">
        <f aca="false">SUM(C$6:C51)</f>
        <v>9031</v>
      </c>
      <c r="L51" s="19" t="n">
        <f aca="false">SUM(D$6:D51)</f>
        <v>10914</v>
      </c>
      <c r="M51" s="19" t="n">
        <f aca="false">SUM(E$6:E51)</f>
        <v>13172</v>
      </c>
      <c r="N51" s="19" t="n">
        <f aca="false">SUM(F$6:F51)</f>
        <v>15810</v>
      </c>
      <c r="O51" s="19" t="n">
        <f aca="false">SUM(G$6:G51)</f>
        <v>18818</v>
      </c>
      <c r="P51" s="19" t="n">
        <f aca="false">SUM(H$6:H51)</f>
        <v>22584</v>
      </c>
    </row>
    <row r="52" customFormat="false" ht="15.75" hidden="false" customHeight="true" outlineLevel="0" collapsed="false">
      <c r="A52" s="18" t="n">
        <v>47</v>
      </c>
      <c r="B52" s="19" t="n">
        <f aca="false" t="array" ref="B52:B52">ROUND(Paramètres!$B$40*$A52^Paramètres!$B$41*INDEX(Paramètres!$H$6:$H$12,1),0)</f>
        <v>369</v>
      </c>
      <c r="C52" s="19" t="n">
        <f aca="false" t="array" ref="C52:C52">ROUND(Paramètres!$B$40*$A52^Paramètres!$B$41*INDEX(Paramètres!$H$6:$H$12,2),0)</f>
        <v>443</v>
      </c>
      <c r="D52" s="19" t="n">
        <f aca="false" t="array" ref="D52:D52">ROUND(Paramètres!$B$40*$A52^Paramètres!$B$41*INDEX(Paramètres!$H$6:$H$12,3),0)</f>
        <v>535</v>
      </c>
      <c r="E52" s="19" t="n">
        <f aca="false" t="array" ref="E52:E52">ROUND(Paramètres!$B$40*$A52^Paramètres!$B$41*INDEX(Paramètres!$H$6:$H$12,4),0)</f>
        <v>646</v>
      </c>
      <c r="F52" s="19" t="n">
        <f aca="false" t="array" ref="F52:F52">ROUND(Paramètres!$B$40*$A52^Paramètres!$B$41*INDEX(Paramètres!$H$6:$H$12,5),0)</f>
        <v>775</v>
      </c>
      <c r="G52" s="19" t="n">
        <f aca="false" t="array" ref="G52:G52">ROUND(Paramètres!$B$40*$A52^Paramètres!$B$41*INDEX(Paramètres!$H$6:$H$12,6),0)</f>
        <v>923</v>
      </c>
      <c r="H52" s="19" t="n">
        <f aca="false" t="array" ref="H52:H52">ROUND(Paramètres!$B$40*$A52^Paramètres!$B$41*INDEX(Paramètres!$H$6:$H$12,7),0)</f>
        <v>1108</v>
      </c>
      <c r="J52" s="19" t="n">
        <f aca="false">SUM(B$6:B52)</f>
        <v>7895</v>
      </c>
      <c r="K52" s="19" t="n">
        <f aca="false">SUM(C$6:C52)</f>
        <v>9474</v>
      </c>
      <c r="L52" s="19" t="n">
        <f aca="false">SUM(D$6:D52)</f>
        <v>11449</v>
      </c>
      <c r="M52" s="19" t="n">
        <f aca="false">SUM(E$6:E52)</f>
        <v>13818</v>
      </c>
      <c r="N52" s="19" t="n">
        <f aca="false">SUM(F$6:F52)</f>
        <v>16585</v>
      </c>
      <c r="O52" s="19" t="n">
        <f aca="false">SUM(G$6:G52)</f>
        <v>19741</v>
      </c>
      <c r="P52" s="19" t="n">
        <f aca="false">SUM(H$6:H52)</f>
        <v>23692</v>
      </c>
    </row>
    <row r="53" customFormat="false" ht="15.75" hidden="false" customHeight="true" outlineLevel="0" collapsed="false">
      <c r="A53" s="18" t="n">
        <v>48</v>
      </c>
      <c r="B53" s="19" t="n">
        <f aca="false" t="array" ref="B53:B53">ROUND(Paramètres!$B$40*$A53^Paramètres!$B$41*INDEX(Paramètres!$H$6:$H$12,1),0)</f>
        <v>379</v>
      </c>
      <c r="C53" s="19" t="n">
        <f aca="false" t="array" ref="C53:C53">ROUND(Paramètres!$B$40*$A53^Paramètres!$B$41*INDEX(Paramètres!$H$6:$H$12,2),0)</f>
        <v>455</v>
      </c>
      <c r="D53" s="19" t="n">
        <f aca="false" t="array" ref="D53:D53">ROUND(Paramètres!$B$40*$A53^Paramètres!$B$41*INDEX(Paramètres!$H$6:$H$12,3),0)</f>
        <v>550</v>
      </c>
      <c r="E53" s="19" t="n">
        <f aca="false" t="array" ref="E53:E53">ROUND(Paramètres!$B$40*$A53^Paramètres!$B$41*INDEX(Paramètres!$H$6:$H$12,4),0)</f>
        <v>663</v>
      </c>
      <c r="F53" s="19" t="n">
        <f aca="false" t="array" ref="F53:F53">ROUND(Paramètres!$B$40*$A53^Paramètres!$B$41*INDEX(Paramètres!$H$6:$H$12,5),0)</f>
        <v>796</v>
      </c>
      <c r="G53" s="19" t="n">
        <f aca="false" t="array" ref="G53:G53">ROUND(Paramètres!$B$40*$A53^Paramètres!$B$41*INDEX(Paramètres!$H$6:$H$12,6),0)</f>
        <v>948</v>
      </c>
      <c r="H53" s="19" t="n">
        <f aca="false" t="array" ref="H53:H53">ROUND(Paramètres!$B$40*$A53^Paramètres!$B$41*INDEX(Paramètres!$H$6:$H$12,7),0)</f>
        <v>1137</v>
      </c>
      <c r="J53" s="19" t="n">
        <f aca="false">SUM(B$6:B53)</f>
        <v>8274</v>
      </c>
      <c r="K53" s="19" t="n">
        <f aca="false">SUM(C$6:C53)</f>
        <v>9929</v>
      </c>
      <c r="L53" s="19" t="n">
        <f aca="false">SUM(D$6:D53)</f>
        <v>11999</v>
      </c>
      <c r="M53" s="19" t="n">
        <f aca="false">SUM(E$6:E53)</f>
        <v>14481</v>
      </c>
      <c r="N53" s="19" t="n">
        <f aca="false">SUM(F$6:F53)</f>
        <v>17381</v>
      </c>
      <c r="O53" s="19" t="n">
        <f aca="false">SUM(G$6:G53)</f>
        <v>20689</v>
      </c>
      <c r="P53" s="19" t="n">
        <f aca="false">SUM(H$6:H53)</f>
        <v>24829</v>
      </c>
    </row>
    <row r="54" customFormat="false" ht="15.75" hidden="false" customHeight="true" outlineLevel="0" collapsed="false">
      <c r="A54" s="18" t="n">
        <v>49</v>
      </c>
      <c r="B54" s="19" t="n">
        <f aca="false" t="array" ref="B54:B54">ROUND(Paramètres!$B$40*$A54^Paramètres!$B$41*INDEX(Paramètres!$H$6:$H$12,1),0)</f>
        <v>389</v>
      </c>
      <c r="C54" s="19" t="n">
        <f aca="false" t="array" ref="C54:C54">ROUND(Paramètres!$B$40*$A54^Paramètres!$B$41*INDEX(Paramètres!$H$6:$H$12,2),0)</f>
        <v>467</v>
      </c>
      <c r="D54" s="19" t="n">
        <f aca="false" t="array" ref="D54:D54">ROUND(Paramètres!$B$40*$A54^Paramètres!$B$41*INDEX(Paramètres!$H$6:$H$12,3),0)</f>
        <v>564</v>
      </c>
      <c r="E54" s="19" t="n">
        <f aca="false" t="array" ref="E54:E54">ROUND(Paramètres!$B$40*$A54^Paramètres!$B$41*INDEX(Paramètres!$H$6:$H$12,4),0)</f>
        <v>681</v>
      </c>
      <c r="F54" s="19" t="n">
        <f aca="false" t="array" ref="F54:F54">ROUND(Paramètres!$B$40*$A54^Paramètres!$B$41*INDEX(Paramètres!$H$6:$H$12,5),0)</f>
        <v>817</v>
      </c>
      <c r="G54" s="19" t="n">
        <f aca="false" t="array" ref="G54:G54">ROUND(Paramètres!$B$40*$A54^Paramètres!$B$41*INDEX(Paramètres!$H$6:$H$12,6),0)</f>
        <v>972</v>
      </c>
      <c r="H54" s="19" t="n">
        <f aca="false" t="array" ref="H54:H54">ROUND(Paramètres!$B$40*$A54^Paramètres!$B$41*INDEX(Paramètres!$H$6:$H$12,7),0)</f>
        <v>1167</v>
      </c>
      <c r="J54" s="19" t="n">
        <f aca="false">SUM(B$6:B54)</f>
        <v>8663</v>
      </c>
      <c r="K54" s="19" t="n">
        <f aca="false">SUM(C$6:C54)</f>
        <v>10396</v>
      </c>
      <c r="L54" s="19" t="n">
        <f aca="false">SUM(D$6:D54)</f>
        <v>12563</v>
      </c>
      <c r="M54" s="19" t="n">
        <f aca="false">SUM(E$6:E54)</f>
        <v>15162</v>
      </c>
      <c r="N54" s="19" t="n">
        <f aca="false">SUM(F$6:F54)</f>
        <v>18198</v>
      </c>
      <c r="O54" s="19" t="n">
        <f aca="false">SUM(G$6:G54)</f>
        <v>21661</v>
      </c>
      <c r="P54" s="19" t="n">
        <f aca="false">SUM(H$6:H54)</f>
        <v>25996</v>
      </c>
    </row>
    <row r="55" customFormat="false" ht="15.75" hidden="false" customHeight="true" outlineLevel="0" collapsed="false">
      <c r="A55" s="18" t="n">
        <v>50</v>
      </c>
      <c r="B55" s="19" t="n">
        <f aca="false" t="array" ref="B55:B55">ROUND(Paramètres!$B$40*$A55^Paramètres!$B$41*INDEX(Paramètres!$H$6:$H$12,1),0)</f>
        <v>399</v>
      </c>
      <c r="C55" s="19" t="n">
        <f aca="false" t="array" ref="C55:C55">ROUND(Paramètres!$B$40*$A55^Paramètres!$B$41*INDEX(Paramètres!$H$6:$H$12,2),0)</f>
        <v>479</v>
      </c>
      <c r="D55" s="19" t="n">
        <f aca="false" t="array" ref="D55:D55">ROUND(Paramètres!$B$40*$A55^Paramètres!$B$41*INDEX(Paramètres!$H$6:$H$12,3),0)</f>
        <v>578</v>
      </c>
      <c r="E55" s="19" t="n">
        <f aca="false" t="array" ref="E55:E55">ROUND(Paramètres!$B$40*$A55^Paramètres!$B$41*INDEX(Paramètres!$H$6:$H$12,4),0)</f>
        <v>698</v>
      </c>
      <c r="F55" s="19" t="n">
        <f aca="false" t="array" ref="F55:F55">ROUND(Paramètres!$B$40*$A55^Paramètres!$B$41*INDEX(Paramètres!$H$6:$H$12,5),0)</f>
        <v>838</v>
      </c>
      <c r="G55" s="19" t="n">
        <f aca="false" t="array" ref="G55:G55">ROUND(Paramètres!$B$40*$A55^Paramètres!$B$41*INDEX(Paramètres!$H$6:$H$12,6),0)</f>
        <v>997</v>
      </c>
      <c r="H55" s="19" t="n">
        <f aca="false" t="array" ref="H55:H55">ROUND(Paramètres!$B$40*$A55^Paramètres!$B$41*INDEX(Paramètres!$H$6:$H$12,7),0)</f>
        <v>1197</v>
      </c>
      <c r="J55" s="19" t="n">
        <f aca="false">SUM(B$6:B55)</f>
        <v>9062</v>
      </c>
      <c r="K55" s="19" t="n">
        <f aca="false">SUM(C$6:C55)</f>
        <v>10875</v>
      </c>
      <c r="L55" s="19" t="n">
        <f aca="false">SUM(D$6:D55)</f>
        <v>13141</v>
      </c>
      <c r="M55" s="19" t="n">
        <f aca="false">SUM(E$6:E55)</f>
        <v>15860</v>
      </c>
      <c r="N55" s="19" t="n">
        <f aca="false">SUM(F$6:F55)</f>
        <v>19036</v>
      </c>
      <c r="O55" s="19" t="n">
        <f aca="false">SUM(G$6:G55)</f>
        <v>22658</v>
      </c>
      <c r="P55" s="19" t="n">
        <f aca="false">SUM(H$6:H55)</f>
        <v>27193</v>
      </c>
    </row>
    <row r="56" customFormat="false" ht="15.75" hidden="false" customHeight="true" outlineLevel="0" collapsed="false">
      <c r="A56" s="18" t="n">
        <v>51</v>
      </c>
      <c r="B56" s="19" t="n">
        <f aca="false" t="array" ref="B56:B56">ROUND(Paramètres!$B$40*$A56^Paramètres!$B$41*INDEX(Paramètres!$H$6:$H$12,1),0)</f>
        <v>409</v>
      </c>
      <c r="C56" s="19" t="n">
        <f aca="false" t="array" ref="C56:C56">ROUND(Paramètres!$B$40*$A56^Paramètres!$B$41*INDEX(Paramètres!$H$6:$H$12,2),0)</f>
        <v>491</v>
      </c>
      <c r="D56" s="19" t="n">
        <f aca="false" t="array" ref="D56:D56">ROUND(Paramètres!$B$40*$A56^Paramètres!$B$41*INDEX(Paramètres!$H$6:$H$12,3),0)</f>
        <v>593</v>
      </c>
      <c r="E56" s="19" t="n">
        <f aca="false" t="array" ref="E56:E56">ROUND(Paramètres!$B$40*$A56^Paramètres!$B$41*INDEX(Paramètres!$H$6:$H$12,4),0)</f>
        <v>716</v>
      </c>
      <c r="F56" s="19" t="n">
        <f aca="false" t="array" ref="F56:F56">ROUND(Paramètres!$B$40*$A56^Paramètres!$B$41*INDEX(Paramètres!$H$6:$H$12,5),0)</f>
        <v>859</v>
      </c>
      <c r="G56" s="19" t="n">
        <f aca="false" t="array" ref="G56:G56">ROUND(Paramètres!$B$40*$A56^Paramètres!$B$41*INDEX(Paramètres!$H$6:$H$12,6),0)</f>
        <v>1022</v>
      </c>
      <c r="H56" s="19" t="n">
        <f aca="false" t="array" ref="H56:H56">ROUND(Paramètres!$B$40*$A56^Paramètres!$B$41*INDEX(Paramètres!$H$6:$H$12,7),0)</f>
        <v>1227</v>
      </c>
      <c r="J56" s="19" t="n">
        <f aca="false">SUM(B$6:B56)</f>
        <v>9471</v>
      </c>
      <c r="K56" s="19" t="n">
        <f aca="false">SUM(C$6:C56)</f>
        <v>11366</v>
      </c>
      <c r="L56" s="19" t="n">
        <f aca="false">SUM(D$6:D56)</f>
        <v>13734</v>
      </c>
      <c r="M56" s="19" t="n">
        <f aca="false">SUM(E$6:E56)</f>
        <v>16576</v>
      </c>
      <c r="N56" s="19" t="n">
        <f aca="false">SUM(F$6:F56)</f>
        <v>19895</v>
      </c>
      <c r="O56" s="19" t="n">
        <f aca="false">SUM(G$6:G56)</f>
        <v>23680</v>
      </c>
      <c r="P56" s="19" t="n">
        <f aca="false">SUM(H$6:H56)</f>
        <v>28420</v>
      </c>
    </row>
    <row r="57" customFormat="false" ht="15.75" hidden="false" customHeight="true" outlineLevel="0" collapsed="false">
      <c r="A57" s="18" t="n">
        <v>52</v>
      </c>
      <c r="B57" s="19" t="n">
        <f aca="false" t="array" ref="B57:B57">ROUND(Paramètres!$B$40*$A57^Paramètres!$B$41*INDEX(Paramètres!$H$6:$H$12,1),0)</f>
        <v>419</v>
      </c>
      <c r="C57" s="19" t="n">
        <f aca="false" t="array" ref="C57:C57">ROUND(Paramètres!$B$40*$A57^Paramètres!$B$41*INDEX(Paramètres!$H$6:$H$12,2),0)</f>
        <v>503</v>
      </c>
      <c r="D57" s="19" t="n">
        <f aca="false" t="array" ref="D57:D57">ROUND(Paramètres!$B$40*$A57^Paramètres!$B$41*INDEX(Paramètres!$H$6:$H$12,3),0)</f>
        <v>607</v>
      </c>
      <c r="E57" s="19" t="n">
        <f aca="false" t="array" ref="E57:E57">ROUND(Paramètres!$B$40*$A57^Paramètres!$B$41*INDEX(Paramètres!$H$6:$H$12,4),0)</f>
        <v>733</v>
      </c>
      <c r="F57" s="19" t="n">
        <f aca="false" t="array" ref="F57:F57">ROUND(Paramètres!$B$40*$A57^Paramètres!$B$41*INDEX(Paramètres!$H$6:$H$12,5),0)</f>
        <v>880</v>
      </c>
      <c r="G57" s="19" t="n">
        <f aca="false" t="array" ref="G57:G57">ROUND(Paramètres!$B$40*$A57^Paramètres!$B$41*INDEX(Paramètres!$H$6:$H$12,6),0)</f>
        <v>1047</v>
      </c>
      <c r="H57" s="19" t="n">
        <f aca="false" t="array" ref="H57:H57">ROUND(Paramètres!$B$40*$A57^Paramètres!$B$41*INDEX(Paramètres!$H$6:$H$12,7),0)</f>
        <v>1257</v>
      </c>
      <c r="J57" s="19" t="n">
        <f aca="false">SUM(B$6:B57)</f>
        <v>9890</v>
      </c>
      <c r="K57" s="19" t="n">
        <f aca="false">SUM(C$6:C57)</f>
        <v>11869</v>
      </c>
      <c r="L57" s="19" t="n">
        <f aca="false">SUM(D$6:D57)</f>
        <v>14341</v>
      </c>
      <c r="M57" s="19" t="n">
        <f aca="false">SUM(E$6:E57)</f>
        <v>17309</v>
      </c>
      <c r="N57" s="19" t="n">
        <f aca="false">SUM(F$6:F57)</f>
        <v>20775</v>
      </c>
      <c r="O57" s="19" t="n">
        <f aca="false">SUM(G$6:G57)</f>
        <v>24727</v>
      </c>
      <c r="P57" s="19" t="n">
        <f aca="false">SUM(H$6:H57)</f>
        <v>29677</v>
      </c>
    </row>
    <row r="58" customFormat="false" ht="15.75" hidden="false" customHeight="true" outlineLevel="0" collapsed="false">
      <c r="A58" s="18" t="n">
        <v>53</v>
      </c>
      <c r="B58" s="19" t="n">
        <f aca="false" t="array" ref="B58:B58">ROUND(Paramètres!$B$40*$A58^Paramètres!$B$41*INDEX(Paramètres!$H$6:$H$12,1),0)</f>
        <v>429</v>
      </c>
      <c r="C58" s="19" t="n">
        <f aca="false" t="array" ref="C58:C58">ROUND(Paramètres!$B$40*$A58^Paramètres!$B$41*INDEX(Paramètres!$H$6:$H$12,2),0)</f>
        <v>515</v>
      </c>
      <c r="D58" s="19" t="n">
        <f aca="false" t="array" ref="D58:D58">ROUND(Paramètres!$B$40*$A58^Paramètres!$B$41*INDEX(Paramètres!$H$6:$H$12,3),0)</f>
        <v>622</v>
      </c>
      <c r="E58" s="19" t="n">
        <f aca="false" t="array" ref="E58:E58">ROUND(Paramètres!$B$40*$A58^Paramètres!$B$41*INDEX(Paramètres!$H$6:$H$12,4),0)</f>
        <v>751</v>
      </c>
      <c r="F58" s="19" t="n">
        <f aca="false" t="array" ref="F58:F58">ROUND(Paramètres!$B$40*$A58^Paramètres!$B$41*INDEX(Paramètres!$H$6:$H$12,5),0)</f>
        <v>901</v>
      </c>
      <c r="G58" s="19" t="n">
        <f aca="false" t="array" ref="G58:G58">ROUND(Paramètres!$B$40*$A58^Paramètres!$B$41*INDEX(Paramètres!$H$6:$H$12,6),0)</f>
        <v>1073</v>
      </c>
      <c r="H58" s="19" t="n">
        <f aca="false" t="array" ref="H58:H58">ROUND(Paramètres!$B$40*$A58^Paramètres!$B$41*INDEX(Paramètres!$H$6:$H$12,7),0)</f>
        <v>1287</v>
      </c>
      <c r="J58" s="19" t="n">
        <f aca="false">SUM(B$6:B58)</f>
        <v>10319</v>
      </c>
      <c r="K58" s="19" t="n">
        <f aca="false">SUM(C$6:C58)</f>
        <v>12384</v>
      </c>
      <c r="L58" s="19" t="n">
        <f aca="false">SUM(D$6:D58)</f>
        <v>14963</v>
      </c>
      <c r="M58" s="19" t="n">
        <f aca="false">SUM(E$6:E58)</f>
        <v>18060</v>
      </c>
      <c r="N58" s="19" t="n">
        <f aca="false">SUM(F$6:F58)</f>
        <v>21676</v>
      </c>
      <c r="O58" s="19" t="n">
        <f aca="false">SUM(G$6:G58)</f>
        <v>25800</v>
      </c>
      <c r="P58" s="19" t="n">
        <f aca="false">SUM(H$6:H58)</f>
        <v>30964</v>
      </c>
    </row>
    <row r="59" customFormat="false" ht="15.75" hidden="false" customHeight="true" outlineLevel="0" collapsed="false">
      <c r="A59" s="18" t="n">
        <v>54</v>
      </c>
      <c r="B59" s="19" t="n">
        <f aca="false" t="array" ref="B59:B59">ROUND(Paramètres!$B$40*$A59^Paramètres!$B$41*INDEX(Paramètres!$H$6:$H$12,1),0)</f>
        <v>439</v>
      </c>
      <c r="C59" s="19" t="n">
        <f aca="false" t="array" ref="C59:C59">ROUND(Paramètres!$B$40*$A59^Paramètres!$B$41*INDEX(Paramètres!$H$6:$H$12,2),0)</f>
        <v>527</v>
      </c>
      <c r="D59" s="19" t="n">
        <f aca="false" t="array" ref="D59:D59">ROUND(Paramètres!$B$40*$A59^Paramètres!$B$41*INDEX(Paramètres!$H$6:$H$12,3),0)</f>
        <v>637</v>
      </c>
      <c r="E59" s="19" t="n">
        <f aca="false" t="array" ref="E59:E59">ROUND(Paramètres!$B$40*$A59^Paramètres!$B$41*INDEX(Paramètres!$H$6:$H$12,4),0)</f>
        <v>769</v>
      </c>
      <c r="F59" s="19" t="n">
        <f aca="false" t="array" ref="F59:F59">ROUND(Paramètres!$B$40*$A59^Paramètres!$B$41*INDEX(Paramètres!$H$6:$H$12,5),0)</f>
        <v>922</v>
      </c>
      <c r="G59" s="19" t="n">
        <f aca="false" t="array" ref="G59:G59">ROUND(Paramètres!$B$40*$A59^Paramètres!$B$41*INDEX(Paramètres!$H$6:$H$12,6),0)</f>
        <v>1098</v>
      </c>
      <c r="H59" s="19" t="n">
        <f aca="false" t="array" ref="H59:H59">ROUND(Paramètres!$B$40*$A59^Paramètres!$B$41*INDEX(Paramètres!$H$6:$H$12,7),0)</f>
        <v>1317</v>
      </c>
      <c r="J59" s="19" t="n">
        <f aca="false">SUM(B$6:B59)</f>
        <v>10758</v>
      </c>
      <c r="K59" s="19" t="n">
        <f aca="false">SUM(C$6:C59)</f>
        <v>12911</v>
      </c>
      <c r="L59" s="19" t="n">
        <f aca="false">SUM(D$6:D59)</f>
        <v>15600</v>
      </c>
      <c r="M59" s="19" t="n">
        <f aca="false">SUM(E$6:E59)</f>
        <v>18829</v>
      </c>
      <c r="N59" s="19" t="n">
        <f aca="false">SUM(F$6:F59)</f>
        <v>22598</v>
      </c>
      <c r="O59" s="19" t="n">
        <f aca="false">SUM(G$6:G59)</f>
        <v>26898</v>
      </c>
      <c r="P59" s="19" t="n">
        <f aca="false">SUM(H$6:H59)</f>
        <v>32281</v>
      </c>
    </row>
    <row r="60" customFormat="false" ht="15.75" hidden="false" customHeight="true" outlineLevel="0" collapsed="false">
      <c r="A60" s="18" t="n">
        <v>55</v>
      </c>
      <c r="B60" s="19" t="n">
        <f aca="false" t="array" ref="B60:B60">ROUND(Paramètres!$B$40*$A60^Paramètres!$B$41*INDEX(Paramètres!$H$6:$H$12,1),0)</f>
        <v>449</v>
      </c>
      <c r="C60" s="19" t="n">
        <f aca="false" t="array" ref="C60:C60">ROUND(Paramètres!$B$40*$A60^Paramètres!$B$41*INDEX(Paramètres!$H$6:$H$12,2),0)</f>
        <v>539</v>
      </c>
      <c r="D60" s="19" t="n">
        <f aca="false" t="array" ref="D60:D60">ROUND(Paramètres!$B$40*$A60^Paramètres!$B$41*INDEX(Paramètres!$H$6:$H$12,3),0)</f>
        <v>652</v>
      </c>
      <c r="E60" s="19" t="n">
        <f aca="false" t="array" ref="E60:E60">ROUND(Paramètres!$B$40*$A60^Paramètres!$B$41*INDEX(Paramètres!$H$6:$H$12,4),0)</f>
        <v>786</v>
      </c>
      <c r="F60" s="19" t="n">
        <f aca="false" t="array" ref="F60:F60">ROUND(Paramètres!$B$40*$A60^Paramètres!$B$41*INDEX(Paramètres!$H$6:$H$12,5),0)</f>
        <v>944</v>
      </c>
      <c r="G60" s="19" t="n">
        <f aca="false" t="array" ref="G60:G60">ROUND(Paramètres!$B$40*$A60^Paramètres!$B$41*INDEX(Paramètres!$H$6:$H$12,6),0)</f>
        <v>1123</v>
      </c>
      <c r="H60" s="19" t="n">
        <f aca="false" t="array" ref="H60:H60">ROUND(Paramètres!$B$40*$A60^Paramètres!$B$41*INDEX(Paramètres!$H$6:$H$12,7),0)</f>
        <v>1348</v>
      </c>
      <c r="J60" s="19" t="n">
        <f aca="false">SUM(B$6:B60)</f>
        <v>11207</v>
      </c>
      <c r="K60" s="19" t="n">
        <f aca="false">SUM(C$6:C60)</f>
        <v>13450</v>
      </c>
      <c r="L60" s="19" t="n">
        <f aca="false">SUM(D$6:D60)</f>
        <v>16252</v>
      </c>
      <c r="M60" s="19" t="n">
        <f aca="false">SUM(E$6:E60)</f>
        <v>19615</v>
      </c>
      <c r="N60" s="19" t="n">
        <f aca="false">SUM(F$6:F60)</f>
        <v>23542</v>
      </c>
      <c r="O60" s="19" t="n">
        <f aca="false">SUM(G$6:G60)</f>
        <v>28021</v>
      </c>
      <c r="P60" s="19" t="n">
        <f aca="false">SUM(H$6:H60)</f>
        <v>33629</v>
      </c>
    </row>
    <row r="61" customFormat="false" ht="15.75" hidden="false" customHeight="true" outlineLevel="0" collapsed="false">
      <c r="A61" s="18" t="n">
        <v>56</v>
      </c>
      <c r="B61" s="19" t="n">
        <f aca="false" t="array" ref="B61:B61">ROUND(Paramètres!$B$40*$A61^Paramètres!$B$41*INDEX(Paramètres!$H$6:$H$12,1),0)</f>
        <v>460</v>
      </c>
      <c r="C61" s="19" t="n">
        <f aca="false" t="array" ref="C61:C61">ROUND(Paramètres!$B$40*$A61^Paramètres!$B$41*INDEX(Paramètres!$H$6:$H$12,2),0)</f>
        <v>551</v>
      </c>
      <c r="D61" s="19" t="n">
        <f aca="false" t="array" ref="D61:D61">ROUND(Paramètres!$B$40*$A61^Paramètres!$B$41*INDEX(Paramètres!$H$6:$H$12,3),0)</f>
        <v>666</v>
      </c>
      <c r="E61" s="19" t="n">
        <f aca="false" t="array" ref="E61:E61">ROUND(Paramètres!$B$40*$A61^Paramètres!$B$41*INDEX(Paramètres!$H$6:$H$12,4),0)</f>
        <v>804</v>
      </c>
      <c r="F61" s="19" t="n">
        <f aca="false" t="array" ref="F61:F61">ROUND(Paramètres!$B$40*$A61^Paramètres!$B$41*INDEX(Paramètres!$H$6:$H$12,5),0)</f>
        <v>965</v>
      </c>
      <c r="G61" s="19" t="n">
        <f aca="false" t="array" ref="G61:G61">ROUND(Paramètres!$B$40*$A61^Paramètres!$B$41*INDEX(Paramètres!$H$6:$H$12,6),0)</f>
        <v>1149</v>
      </c>
      <c r="H61" s="19" t="n">
        <f aca="false" t="array" ref="H61:H61">ROUND(Paramètres!$B$40*$A61^Paramètres!$B$41*INDEX(Paramètres!$H$6:$H$12,7),0)</f>
        <v>1379</v>
      </c>
      <c r="J61" s="19" t="n">
        <f aca="false">SUM(B$6:B61)</f>
        <v>11667</v>
      </c>
      <c r="K61" s="19" t="n">
        <f aca="false">SUM(C$6:C61)</f>
        <v>14001</v>
      </c>
      <c r="L61" s="19" t="n">
        <f aca="false">SUM(D$6:D61)</f>
        <v>16918</v>
      </c>
      <c r="M61" s="19" t="n">
        <f aca="false">SUM(E$6:E61)</f>
        <v>20419</v>
      </c>
      <c r="N61" s="19" t="n">
        <f aca="false">SUM(F$6:F61)</f>
        <v>24507</v>
      </c>
      <c r="O61" s="19" t="n">
        <f aca="false">SUM(G$6:G61)</f>
        <v>29170</v>
      </c>
      <c r="P61" s="19" t="n">
        <f aca="false">SUM(H$6:H61)</f>
        <v>35008</v>
      </c>
    </row>
    <row r="62" customFormat="false" ht="15.75" hidden="false" customHeight="true" outlineLevel="0" collapsed="false">
      <c r="A62" s="18" t="n">
        <v>57</v>
      </c>
      <c r="B62" s="19" t="n">
        <f aca="false" t="array" ref="B62:B62">ROUND(Paramètres!$B$40*$A62^Paramètres!$B$41*INDEX(Paramètres!$H$6:$H$12,1),0)</f>
        <v>470</v>
      </c>
      <c r="C62" s="19" t="n">
        <f aca="false" t="array" ref="C62:C62">ROUND(Paramètres!$B$40*$A62^Paramètres!$B$41*INDEX(Paramètres!$H$6:$H$12,2),0)</f>
        <v>564</v>
      </c>
      <c r="D62" s="19" t="n">
        <f aca="false" t="array" ref="D62:D62">ROUND(Paramètres!$B$40*$A62^Paramètres!$B$41*INDEX(Paramètres!$H$6:$H$12,3),0)</f>
        <v>681</v>
      </c>
      <c r="E62" s="19" t="n">
        <f aca="false" t="array" ref="E62:E62">ROUND(Paramètres!$B$40*$A62^Paramètres!$B$41*INDEX(Paramètres!$H$6:$H$12,4),0)</f>
        <v>822</v>
      </c>
      <c r="F62" s="19" t="n">
        <f aca="false" t="array" ref="F62:F62">ROUND(Paramètres!$B$40*$A62^Paramètres!$B$41*INDEX(Paramètres!$H$6:$H$12,5),0)</f>
        <v>987</v>
      </c>
      <c r="G62" s="19" t="n">
        <f aca="false" t="array" ref="G62:G62">ROUND(Paramètres!$B$40*$A62^Paramètres!$B$41*INDEX(Paramètres!$H$6:$H$12,6),0)</f>
        <v>1175</v>
      </c>
      <c r="H62" s="19" t="n">
        <f aca="false" t="array" ref="H62:H62">ROUND(Paramètres!$B$40*$A62^Paramètres!$B$41*INDEX(Paramètres!$H$6:$H$12,7),0)</f>
        <v>1410</v>
      </c>
      <c r="J62" s="19" t="n">
        <f aca="false">SUM(B$6:B62)</f>
        <v>12137</v>
      </c>
      <c r="K62" s="19" t="n">
        <f aca="false">SUM(C$6:C62)</f>
        <v>14565</v>
      </c>
      <c r="L62" s="19" t="n">
        <f aca="false">SUM(D$6:D62)</f>
        <v>17599</v>
      </c>
      <c r="M62" s="19" t="n">
        <f aca="false">SUM(E$6:E62)</f>
        <v>21241</v>
      </c>
      <c r="N62" s="19" t="n">
        <f aca="false">SUM(F$6:F62)</f>
        <v>25494</v>
      </c>
      <c r="O62" s="19" t="n">
        <f aca="false">SUM(G$6:G62)</f>
        <v>30345</v>
      </c>
      <c r="P62" s="19" t="n">
        <f aca="false">SUM(H$6:H62)</f>
        <v>36418</v>
      </c>
    </row>
    <row r="63" customFormat="false" ht="15.75" hidden="false" customHeight="true" outlineLevel="0" collapsed="false">
      <c r="A63" s="18" t="n">
        <v>58</v>
      </c>
      <c r="B63" s="19" t="n">
        <f aca="false" t="array" ref="B63:B63">ROUND(Paramètres!$B$40*$A63^Paramètres!$B$41*INDEX(Paramètres!$H$6:$H$12,1),0)</f>
        <v>480</v>
      </c>
      <c r="C63" s="19" t="n">
        <f aca="false" t="array" ref="C63:C63">ROUND(Paramètres!$B$40*$A63^Paramètres!$B$41*INDEX(Paramètres!$H$6:$H$12,2),0)</f>
        <v>576</v>
      </c>
      <c r="D63" s="19" t="n">
        <f aca="false" t="array" ref="D63:D63">ROUND(Paramètres!$B$40*$A63^Paramètres!$B$41*INDEX(Paramètres!$H$6:$H$12,3),0)</f>
        <v>696</v>
      </c>
      <c r="E63" s="19" t="n">
        <f aca="false" t="array" ref="E63:E63">ROUND(Paramètres!$B$40*$A63^Paramètres!$B$41*INDEX(Paramètres!$H$6:$H$12,4),0)</f>
        <v>840</v>
      </c>
      <c r="F63" s="19" t="n">
        <f aca="false" t="array" ref="F63:F63">ROUND(Paramètres!$B$40*$A63^Paramètres!$B$41*INDEX(Paramètres!$H$6:$H$12,5),0)</f>
        <v>1008</v>
      </c>
      <c r="G63" s="19" t="n">
        <f aca="false" t="array" ref="G63:G63">ROUND(Paramètres!$B$40*$A63^Paramètres!$B$41*INDEX(Paramètres!$H$6:$H$12,6),0)</f>
        <v>1200</v>
      </c>
      <c r="H63" s="19" t="n">
        <f aca="false" t="array" ref="H63:H63">ROUND(Paramètres!$B$40*$A63^Paramètres!$B$41*INDEX(Paramètres!$H$6:$H$12,7),0)</f>
        <v>1441</v>
      </c>
      <c r="J63" s="19" t="n">
        <f aca="false">SUM(B$6:B63)</f>
        <v>12617</v>
      </c>
      <c r="K63" s="19" t="n">
        <f aca="false">SUM(C$6:C63)</f>
        <v>15141</v>
      </c>
      <c r="L63" s="19" t="n">
        <f aca="false">SUM(D$6:D63)</f>
        <v>18295</v>
      </c>
      <c r="M63" s="19" t="n">
        <f aca="false">SUM(E$6:E63)</f>
        <v>22081</v>
      </c>
      <c r="N63" s="19" t="n">
        <f aca="false">SUM(F$6:F63)</f>
        <v>26502</v>
      </c>
      <c r="O63" s="19" t="n">
        <f aca="false">SUM(G$6:G63)</f>
        <v>31545</v>
      </c>
      <c r="P63" s="19" t="n">
        <f aca="false">SUM(H$6:H63)</f>
        <v>37859</v>
      </c>
    </row>
    <row r="64" customFormat="false" ht="15.75" hidden="false" customHeight="true" outlineLevel="0" collapsed="false">
      <c r="A64" s="18" t="n">
        <v>59</v>
      </c>
      <c r="B64" s="19" t="n">
        <f aca="false" t="array" ref="B64:B64">ROUND(Paramètres!$B$40*$A64^Paramètres!$B$41*INDEX(Paramètres!$H$6:$H$12,1),0)</f>
        <v>491</v>
      </c>
      <c r="C64" s="19" t="n">
        <f aca="false" t="array" ref="C64:C64">ROUND(Paramètres!$B$40*$A64^Paramètres!$B$41*INDEX(Paramètres!$H$6:$H$12,2),0)</f>
        <v>589</v>
      </c>
      <c r="D64" s="19" t="n">
        <f aca="false" t="array" ref="D64:D64">ROUND(Paramètres!$B$40*$A64^Paramètres!$B$41*INDEX(Paramètres!$H$6:$H$12,3),0)</f>
        <v>711</v>
      </c>
      <c r="E64" s="19" t="n">
        <f aca="false" t="array" ref="E64:E64">ROUND(Paramètres!$B$40*$A64^Paramètres!$B$41*INDEX(Paramètres!$H$6:$H$12,4),0)</f>
        <v>858</v>
      </c>
      <c r="F64" s="19" t="n">
        <f aca="false" t="array" ref="F64:F64">ROUND(Paramètres!$B$40*$A64^Paramètres!$B$41*INDEX(Paramètres!$H$6:$H$12,5),0)</f>
        <v>1030</v>
      </c>
      <c r="G64" s="19" t="n">
        <f aca="false" t="array" ref="G64:G64">ROUND(Paramètres!$B$40*$A64^Paramètres!$B$41*INDEX(Paramètres!$H$6:$H$12,6),0)</f>
        <v>1226</v>
      </c>
      <c r="H64" s="19" t="n">
        <f aca="false" t="array" ref="H64:H64">ROUND(Paramètres!$B$40*$A64^Paramètres!$B$41*INDEX(Paramètres!$H$6:$H$12,7),0)</f>
        <v>1472</v>
      </c>
      <c r="J64" s="19" t="n">
        <f aca="false">SUM(B$6:B64)</f>
        <v>13108</v>
      </c>
      <c r="K64" s="19" t="n">
        <f aca="false">SUM(C$6:C64)</f>
        <v>15730</v>
      </c>
      <c r="L64" s="19" t="n">
        <f aca="false">SUM(D$6:D64)</f>
        <v>19006</v>
      </c>
      <c r="M64" s="19" t="n">
        <f aca="false">SUM(E$6:E64)</f>
        <v>22939</v>
      </c>
      <c r="N64" s="19" t="n">
        <f aca="false">SUM(F$6:F64)</f>
        <v>27532</v>
      </c>
      <c r="O64" s="19" t="n">
        <f aca="false">SUM(G$6:G64)</f>
        <v>32771</v>
      </c>
      <c r="P64" s="19" t="n">
        <f aca="false">SUM(H$6:H64)</f>
        <v>39331</v>
      </c>
    </row>
    <row r="65" customFormat="false" ht="15.75" hidden="false" customHeight="true" outlineLevel="0" collapsed="false">
      <c r="A65" s="18" t="n">
        <v>60</v>
      </c>
      <c r="B65" s="19" t="n">
        <f aca="false" t="array" ref="B65:B65">ROUND(Paramètres!$B$40*$A65^Paramètres!$B$41*INDEX(Paramètres!$H$6:$H$12,1),0)</f>
        <v>501</v>
      </c>
      <c r="C65" s="19" t="n">
        <f aca="false" t="array" ref="C65:C65">ROUND(Paramètres!$B$40*$A65^Paramètres!$B$41*INDEX(Paramètres!$H$6:$H$12,2),0)</f>
        <v>601</v>
      </c>
      <c r="D65" s="19" t="n">
        <f aca="false" t="array" ref="D65:D65">ROUND(Paramètres!$B$40*$A65^Paramètres!$B$41*INDEX(Paramètres!$H$6:$H$12,3),0)</f>
        <v>726</v>
      </c>
      <c r="E65" s="19" t="n">
        <f aca="false" t="array" ref="E65:E65">ROUND(Paramètres!$B$40*$A65^Paramètres!$B$41*INDEX(Paramètres!$H$6:$H$12,4),0)</f>
        <v>877</v>
      </c>
      <c r="F65" s="19" t="n">
        <f aca="false" t="array" ref="F65:F65">ROUND(Paramètres!$B$40*$A65^Paramètres!$B$41*INDEX(Paramètres!$H$6:$H$12,5),0)</f>
        <v>1052</v>
      </c>
      <c r="G65" s="19" t="n">
        <f aca="false" t="array" ref="G65:G65">ROUND(Paramètres!$B$40*$A65^Paramètres!$B$41*INDEX(Paramètres!$H$6:$H$12,6),0)</f>
        <v>1252</v>
      </c>
      <c r="H65" s="19" t="n">
        <f aca="false" t="array" ref="H65:H65">ROUND(Paramètres!$B$40*$A65^Paramètres!$B$41*INDEX(Paramètres!$H$6:$H$12,7),0)</f>
        <v>1503</v>
      </c>
      <c r="J65" s="19" t="n">
        <f aca="false">SUM(B$6:B65)</f>
        <v>13609</v>
      </c>
      <c r="K65" s="19" t="n">
        <f aca="false">SUM(C$6:C65)</f>
        <v>16331</v>
      </c>
      <c r="L65" s="19" t="n">
        <f aca="false">SUM(D$6:D65)</f>
        <v>19732</v>
      </c>
      <c r="M65" s="19" t="n">
        <f aca="false">SUM(E$6:E65)</f>
        <v>23816</v>
      </c>
      <c r="N65" s="19" t="n">
        <f aca="false">SUM(F$6:F65)</f>
        <v>28584</v>
      </c>
      <c r="O65" s="19" t="n">
        <f aca="false">SUM(G$6:G65)</f>
        <v>34023</v>
      </c>
      <c r="P65" s="19" t="n">
        <f aca="false">SUM(H$6:H65)</f>
        <v>40834</v>
      </c>
    </row>
    <row r="66" customFormat="false" ht="15.75" hidden="false" customHeight="true" outlineLevel="0" collapsed="false">
      <c r="A66" s="18" t="n">
        <v>61</v>
      </c>
      <c r="B66" s="19" t="n">
        <f aca="false" t="array" ref="B66:B66">ROUND(Paramètres!$B$40*$A66^Paramètres!$B$41*INDEX(Paramètres!$H$6:$H$12,1),0)</f>
        <v>511</v>
      </c>
      <c r="C66" s="19" t="n">
        <f aca="false" t="array" ref="C66:C66">ROUND(Paramètres!$B$40*$A66^Paramètres!$B$41*INDEX(Paramètres!$H$6:$H$12,2),0)</f>
        <v>614</v>
      </c>
      <c r="D66" s="19" t="n">
        <f aca="false" t="array" ref="D66:D66">ROUND(Paramètres!$B$40*$A66^Paramètres!$B$41*INDEX(Paramètres!$H$6:$H$12,3),0)</f>
        <v>742</v>
      </c>
      <c r="E66" s="19" t="n">
        <f aca="false" t="array" ref="E66:E66">ROUND(Paramètres!$B$40*$A66^Paramètres!$B$41*INDEX(Paramètres!$H$6:$H$12,4),0)</f>
        <v>895</v>
      </c>
      <c r="F66" s="19" t="n">
        <f aca="false" t="array" ref="F66:F66">ROUND(Paramètres!$B$40*$A66^Paramètres!$B$41*INDEX(Paramètres!$H$6:$H$12,5),0)</f>
        <v>1074</v>
      </c>
      <c r="G66" s="19" t="n">
        <f aca="false" t="array" ref="G66:G66">ROUND(Paramètres!$B$40*$A66^Paramètres!$B$41*INDEX(Paramètres!$H$6:$H$12,6),0)</f>
        <v>1279</v>
      </c>
      <c r="H66" s="19" t="n">
        <f aca="false" t="array" ref="H66:H66">ROUND(Paramètres!$B$40*$A66^Paramètres!$B$41*INDEX(Paramètres!$H$6:$H$12,7),0)</f>
        <v>1534</v>
      </c>
      <c r="J66" s="19" t="n">
        <f aca="false">SUM(B$6:B66)</f>
        <v>14120</v>
      </c>
      <c r="K66" s="19" t="n">
        <f aca="false">SUM(C$6:C66)</f>
        <v>16945</v>
      </c>
      <c r="L66" s="19" t="n">
        <f aca="false">SUM(D$6:D66)</f>
        <v>20474</v>
      </c>
      <c r="M66" s="19" t="n">
        <f aca="false">SUM(E$6:E66)</f>
        <v>24711</v>
      </c>
      <c r="N66" s="19" t="n">
        <f aca="false">SUM(F$6:F66)</f>
        <v>29658</v>
      </c>
      <c r="O66" s="19" t="n">
        <f aca="false">SUM(G$6:G66)</f>
        <v>35302</v>
      </c>
      <c r="P66" s="19" t="n">
        <f aca="false">SUM(H$6:H66)</f>
        <v>42368</v>
      </c>
    </row>
    <row r="67" customFormat="false" ht="15.75" hidden="false" customHeight="true" outlineLevel="0" collapsed="false">
      <c r="A67" s="18" t="n">
        <v>62</v>
      </c>
      <c r="B67" s="19" t="n">
        <f aca="false" t="array" ref="B67:B67">ROUND(Paramètres!$B$40*$A67^Paramètres!$B$41*INDEX(Paramètres!$H$6:$H$12,1),0)</f>
        <v>522</v>
      </c>
      <c r="C67" s="19" t="n">
        <f aca="false" t="array" ref="C67:C67">ROUND(Paramètres!$B$40*$A67^Paramètres!$B$41*INDEX(Paramètres!$H$6:$H$12,2),0)</f>
        <v>626</v>
      </c>
      <c r="D67" s="19" t="n">
        <f aca="false" t="array" ref="D67:D67">ROUND(Paramètres!$B$40*$A67^Paramètres!$B$41*INDEX(Paramètres!$H$6:$H$12,3),0)</f>
        <v>757</v>
      </c>
      <c r="E67" s="19" t="n">
        <f aca="false" t="array" ref="E67:E67">ROUND(Paramètres!$B$40*$A67^Paramètres!$B$41*INDEX(Paramètres!$H$6:$H$12,4),0)</f>
        <v>913</v>
      </c>
      <c r="F67" s="19" t="n">
        <f aca="false" t="array" ref="F67:F67">ROUND(Paramètres!$B$40*$A67^Paramètres!$B$41*INDEX(Paramètres!$H$6:$H$12,5),0)</f>
        <v>1096</v>
      </c>
      <c r="G67" s="19" t="n">
        <f aca="false" t="array" ref="G67:G67">ROUND(Paramètres!$B$40*$A67^Paramètres!$B$41*INDEX(Paramètres!$H$6:$H$12,6),0)</f>
        <v>1305</v>
      </c>
      <c r="H67" s="19" t="n">
        <f aca="false" t="array" ref="H67:H67">ROUND(Paramètres!$B$40*$A67^Paramètres!$B$41*INDEX(Paramètres!$H$6:$H$12,7),0)</f>
        <v>1566</v>
      </c>
      <c r="J67" s="19" t="n">
        <f aca="false">SUM(B$6:B67)</f>
        <v>14642</v>
      </c>
      <c r="K67" s="19" t="n">
        <f aca="false">SUM(C$6:C67)</f>
        <v>17571</v>
      </c>
      <c r="L67" s="19" t="n">
        <f aca="false">SUM(D$6:D67)</f>
        <v>21231</v>
      </c>
      <c r="M67" s="19" t="n">
        <f aca="false">SUM(E$6:E67)</f>
        <v>25624</v>
      </c>
      <c r="N67" s="19" t="n">
        <f aca="false">SUM(F$6:F67)</f>
        <v>30754</v>
      </c>
      <c r="O67" s="19" t="n">
        <f aca="false">SUM(G$6:G67)</f>
        <v>36607</v>
      </c>
      <c r="P67" s="19" t="n">
        <f aca="false">SUM(H$6:H67)</f>
        <v>43934</v>
      </c>
    </row>
    <row r="68" customFormat="false" ht="15.75" hidden="false" customHeight="true" outlineLevel="0" collapsed="false">
      <c r="A68" s="18" t="n">
        <v>63</v>
      </c>
      <c r="B68" s="19" t="n">
        <f aca="false" t="array" ref="B68:B68">ROUND(Paramètres!$B$40*$A68^Paramètres!$B$41*INDEX(Paramètres!$H$6:$H$12,1),0)</f>
        <v>532</v>
      </c>
      <c r="C68" s="19" t="n">
        <f aca="false" t="array" ref="C68:C68">ROUND(Paramètres!$B$40*$A68^Paramètres!$B$41*INDEX(Paramètres!$H$6:$H$12,2),0)</f>
        <v>639</v>
      </c>
      <c r="D68" s="19" t="n">
        <f aca="false" t="array" ref="D68:D68">ROUND(Paramètres!$B$40*$A68^Paramètres!$B$41*INDEX(Paramètres!$H$6:$H$12,3),0)</f>
        <v>772</v>
      </c>
      <c r="E68" s="19" t="n">
        <f aca="false" t="array" ref="E68:E68">ROUND(Paramètres!$B$40*$A68^Paramètres!$B$41*INDEX(Paramètres!$H$6:$H$12,4),0)</f>
        <v>932</v>
      </c>
      <c r="F68" s="19" t="n">
        <f aca="false" t="array" ref="F68:F68">ROUND(Paramètres!$B$40*$A68^Paramètres!$B$41*INDEX(Paramètres!$H$6:$H$12,5),0)</f>
        <v>1118</v>
      </c>
      <c r="G68" s="19" t="n">
        <f aca="false" t="array" ref="G68:G68">ROUND(Paramètres!$B$40*$A68^Paramètres!$B$41*INDEX(Paramètres!$H$6:$H$12,6),0)</f>
        <v>1331</v>
      </c>
      <c r="H68" s="19" t="n">
        <f aca="false" t="array" ref="H68:H68">ROUND(Paramètres!$B$40*$A68^Paramètres!$B$41*INDEX(Paramètres!$H$6:$H$12,7),0)</f>
        <v>1597</v>
      </c>
      <c r="J68" s="19" t="n">
        <f aca="false">SUM(B$6:B68)</f>
        <v>15174</v>
      </c>
      <c r="K68" s="19" t="n">
        <f aca="false">SUM(C$6:C68)</f>
        <v>18210</v>
      </c>
      <c r="L68" s="19" t="n">
        <f aca="false">SUM(D$6:D68)</f>
        <v>22003</v>
      </c>
      <c r="M68" s="19" t="n">
        <f aca="false">SUM(E$6:E68)</f>
        <v>26556</v>
      </c>
      <c r="N68" s="19" t="n">
        <f aca="false">SUM(F$6:F68)</f>
        <v>31872</v>
      </c>
      <c r="O68" s="19" t="n">
        <f aca="false">SUM(G$6:G68)</f>
        <v>37938</v>
      </c>
      <c r="P68" s="19" t="n">
        <f aca="false">SUM(H$6:H68)</f>
        <v>45531</v>
      </c>
    </row>
    <row r="69" customFormat="false" ht="15.75" hidden="false" customHeight="true" outlineLevel="0" collapsed="false">
      <c r="A69" s="18" t="n">
        <v>64</v>
      </c>
      <c r="B69" s="19" t="n">
        <f aca="false" t="array" ref="B69:B69">ROUND(Paramètres!$B$40*$A69^Paramètres!$B$41*INDEX(Paramètres!$H$6:$H$12,1),0)</f>
        <v>543</v>
      </c>
      <c r="C69" s="19" t="n">
        <f aca="false" t="array" ref="C69:C69">ROUND(Paramètres!$B$40*$A69^Paramètres!$B$41*INDEX(Paramètres!$H$6:$H$12,2),0)</f>
        <v>652</v>
      </c>
      <c r="D69" s="19" t="n">
        <f aca="false" t="array" ref="D69:D69">ROUND(Paramètres!$B$40*$A69^Paramètres!$B$41*INDEX(Paramètres!$H$6:$H$12,3),0)</f>
        <v>787</v>
      </c>
      <c r="E69" s="19" t="n">
        <f aca="false" t="array" ref="E69:E69">ROUND(Paramètres!$B$40*$A69^Paramètres!$B$41*INDEX(Paramètres!$H$6:$H$12,4),0)</f>
        <v>950</v>
      </c>
      <c r="F69" s="19" t="n">
        <f aca="false" t="array" ref="F69:F69">ROUND(Paramètres!$B$40*$A69^Paramètres!$B$41*INDEX(Paramètres!$H$6:$H$12,5),0)</f>
        <v>1140</v>
      </c>
      <c r="G69" s="19" t="n">
        <f aca="false" t="array" ref="G69:G69">ROUND(Paramètres!$B$40*$A69^Paramètres!$B$41*INDEX(Paramètres!$H$6:$H$12,6),0)</f>
        <v>1358</v>
      </c>
      <c r="H69" s="19" t="n">
        <f aca="false" t="array" ref="H69:H69">ROUND(Paramètres!$B$40*$A69^Paramètres!$B$41*INDEX(Paramètres!$H$6:$H$12,7),0)</f>
        <v>1629</v>
      </c>
      <c r="J69" s="19" t="n">
        <f aca="false">SUM(B$6:B69)</f>
        <v>15717</v>
      </c>
      <c r="K69" s="19" t="n">
        <f aca="false">SUM(C$6:C69)</f>
        <v>18862</v>
      </c>
      <c r="L69" s="19" t="n">
        <f aca="false">SUM(D$6:D69)</f>
        <v>22790</v>
      </c>
      <c r="M69" s="19" t="n">
        <f aca="false">SUM(E$6:E69)</f>
        <v>27506</v>
      </c>
      <c r="N69" s="19" t="n">
        <f aca="false">SUM(F$6:F69)</f>
        <v>33012</v>
      </c>
      <c r="O69" s="19" t="n">
        <f aca="false">SUM(G$6:G69)</f>
        <v>39296</v>
      </c>
      <c r="P69" s="19" t="n">
        <f aca="false">SUM(H$6:H69)</f>
        <v>47160</v>
      </c>
    </row>
    <row r="70" customFormat="false" ht="15.75" hidden="false" customHeight="true" outlineLevel="0" collapsed="false">
      <c r="A70" s="18" t="n">
        <v>65</v>
      </c>
      <c r="B70" s="19" t="n">
        <f aca="false" t="array" ref="B70:B70">ROUND(Paramètres!$B$40*$A70^Paramètres!$B$41*INDEX(Paramètres!$H$6:$H$12,1),0)</f>
        <v>554</v>
      </c>
      <c r="C70" s="19" t="n">
        <f aca="false" t="array" ref="C70:C70">ROUND(Paramètres!$B$40*$A70^Paramètres!$B$41*INDEX(Paramètres!$H$6:$H$12,2),0)</f>
        <v>664</v>
      </c>
      <c r="D70" s="19" t="n">
        <f aca="false" t="array" ref="D70:D70">ROUND(Paramètres!$B$40*$A70^Paramètres!$B$41*INDEX(Paramètres!$H$6:$H$12,3),0)</f>
        <v>803</v>
      </c>
      <c r="E70" s="19" t="n">
        <f aca="false" t="array" ref="E70:E70">ROUND(Paramètres!$B$40*$A70^Paramètres!$B$41*INDEX(Paramètres!$H$6:$H$12,4),0)</f>
        <v>969</v>
      </c>
      <c r="F70" s="19" t="n">
        <f aca="false" t="array" ref="F70:F70">ROUND(Paramètres!$B$40*$A70^Paramètres!$B$41*INDEX(Paramètres!$H$6:$H$12,5),0)</f>
        <v>1163</v>
      </c>
      <c r="G70" s="19" t="n">
        <f aca="false" t="array" ref="G70:G70">ROUND(Paramètres!$B$40*$A70^Paramètres!$B$41*INDEX(Paramètres!$H$6:$H$12,6),0)</f>
        <v>1384</v>
      </c>
      <c r="H70" s="19" t="n">
        <f aca="false" t="array" ref="H70:H70">ROUND(Paramètres!$B$40*$A70^Paramètres!$B$41*INDEX(Paramètres!$H$6:$H$12,7),0)</f>
        <v>1661</v>
      </c>
      <c r="J70" s="19" t="n">
        <f aca="false">SUM(B$6:B70)</f>
        <v>16271</v>
      </c>
      <c r="K70" s="19" t="n">
        <f aca="false">SUM(C$6:C70)</f>
        <v>19526</v>
      </c>
      <c r="L70" s="19" t="n">
        <f aca="false">SUM(D$6:D70)</f>
        <v>23593</v>
      </c>
      <c r="M70" s="19" t="n">
        <f aca="false">SUM(E$6:E70)</f>
        <v>28475</v>
      </c>
      <c r="N70" s="19" t="n">
        <f aca="false">SUM(F$6:F70)</f>
        <v>34175</v>
      </c>
      <c r="O70" s="19" t="n">
        <f aca="false">SUM(G$6:G70)</f>
        <v>40680</v>
      </c>
      <c r="P70" s="19" t="n">
        <f aca="false">SUM(H$6:H70)</f>
        <v>48821</v>
      </c>
    </row>
    <row r="71" customFormat="false" ht="15.75" hidden="false" customHeight="true" outlineLevel="0" collapsed="false">
      <c r="A71" s="18" t="n">
        <v>66</v>
      </c>
      <c r="B71" s="19" t="n">
        <f aca="false" t="array" ref="B71:B71">ROUND(Paramètres!$B$40*$A71^Paramètres!$B$41*INDEX(Paramètres!$H$6:$H$12,1),0)</f>
        <v>564</v>
      </c>
      <c r="C71" s="19" t="n">
        <f aca="false" t="array" ref="C71:C71">ROUND(Paramètres!$B$40*$A71^Paramètres!$B$41*INDEX(Paramètres!$H$6:$H$12,2),0)</f>
        <v>677</v>
      </c>
      <c r="D71" s="19" t="n">
        <f aca="false" t="array" ref="D71:D71">ROUND(Paramètres!$B$40*$A71^Paramètres!$B$41*INDEX(Paramètres!$H$6:$H$12,3),0)</f>
        <v>818</v>
      </c>
      <c r="E71" s="19" t="n">
        <f aca="false" t="array" ref="E71:E71">ROUND(Paramètres!$B$40*$A71^Paramètres!$B$41*INDEX(Paramètres!$H$6:$H$12,4),0)</f>
        <v>988</v>
      </c>
      <c r="F71" s="19" t="n">
        <f aca="false" t="array" ref="F71:F71">ROUND(Paramètres!$B$40*$A71^Paramètres!$B$41*INDEX(Paramètres!$H$6:$H$12,5),0)</f>
        <v>1185</v>
      </c>
      <c r="G71" s="19" t="n">
        <f aca="false" t="array" ref="G71:G71">ROUND(Paramètres!$B$40*$A71^Paramètres!$B$41*INDEX(Paramètres!$H$6:$H$12,6),0)</f>
        <v>1411</v>
      </c>
      <c r="H71" s="19" t="n">
        <f aca="false" t="array" ref="H71:H71">ROUND(Paramètres!$B$40*$A71^Paramètres!$B$41*INDEX(Paramètres!$H$6:$H$12,7),0)</f>
        <v>1693</v>
      </c>
      <c r="J71" s="19" t="n">
        <f aca="false">SUM(B$6:B71)</f>
        <v>16835</v>
      </c>
      <c r="K71" s="19" t="n">
        <f aca="false">SUM(C$6:C71)</f>
        <v>20203</v>
      </c>
      <c r="L71" s="19" t="n">
        <f aca="false">SUM(D$6:D71)</f>
        <v>24411</v>
      </c>
      <c r="M71" s="19" t="n">
        <f aca="false">SUM(E$6:E71)</f>
        <v>29463</v>
      </c>
      <c r="N71" s="19" t="n">
        <f aca="false">SUM(F$6:F71)</f>
        <v>35360</v>
      </c>
      <c r="O71" s="19" t="n">
        <f aca="false">SUM(G$6:G71)</f>
        <v>42091</v>
      </c>
      <c r="P71" s="19" t="n">
        <f aca="false">SUM(H$6:H71)</f>
        <v>50514</v>
      </c>
    </row>
    <row r="72" customFormat="false" ht="15.75" hidden="false" customHeight="true" outlineLevel="0" collapsed="false">
      <c r="A72" s="18" t="n">
        <v>67</v>
      </c>
      <c r="B72" s="19" t="n">
        <f aca="false" t="array" ref="B72:B72">ROUND(Paramètres!$B$40*$A72^Paramètres!$B$41*INDEX(Paramètres!$H$6:$H$12,1),0)</f>
        <v>575</v>
      </c>
      <c r="C72" s="19" t="n">
        <f aca="false" t="array" ref="C72:C72">ROUND(Paramètres!$B$40*$A72^Paramètres!$B$41*INDEX(Paramètres!$H$6:$H$12,2),0)</f>
        <v>690</v>
      </c>
      <c r="D72" s="19" t="n">
        <f aca="false" t="array" ref="D72:D72">ROUND(Paramètres!$B$40*$A72^Paramètres!$B$41*INDEX(Paramètres!$H$6:$H$12,3),0)</f>
        <v>834</v>
      </c>
      <c r="E72" s="19" t="n">
        <f aca="false" t="array" ref="E72:E72">ROUND(Paramètres!$B$40*$A72^Paramètres!$B$41*INDEX(Paramètres!$H$6:$H$12,4),0)</f>
        <v>1006</v>
      </c>
      <c r="F72" s="19" t="n">
        <f aca="false" t="array" ref="F72:F72">ROUND(Paramètres!$B$40*$A72^Paramètres!$B$41*INDEX(Paramètres!$H$6:$H$12,5),0)</f>
        <v>1208</v>
      </c>
      <c r="G72" s="19" t="n">
        <f aca="false" t="array" ref="G72:G72">ROUND(Paramètres!$B$40*$A72^Paramètres!$B$41*INDEX(Paramètres!$H$6:$H$12,6),0)</f>
        <v>1438</v>
      </c>
      <c r="H72" s="19" t="n">
        <f aca="false" t="array" ref="H72:H72">ROUND(Paramètres!$B$40*$A72^Paramètres!$B$41*INDEX(Paramètres!$H$6:$H$12,7),0)</f>
        <v>1725</v>
      </c>
      <c r="J72" s="19" t="n">
        <f aca="false">SUM(B$6:B72)</f>
        <v>17410</v>
      </c>
      <c r="K72" s="19" t="n">
        <f aca="false">SUM(C$6:C72)</f>
        <v>20893</v>
      </c>
      <c r="L72" s="19" t="n">
        <f aca="false">SUM(D$6:D72)</f>
        <v>25245</v>
      </c>
      <c r="M72" s="19" t="n">
        <f aca="false">SUM(E$6:E72)</f>
        <v>30469</v>
      </c>
      <c r="N72" s="19" t="n">
        <f aca="false">SUM(F$6:F72)</f>
        <v>36568</v>
      </c>
      <c r="O72" s="19" t="n">
        <f aca="false">SUM(G$6:G72)</f>
        <v>43529</v>
      </c>
      <c r="P72" s="19" t="n">
        <f aca="false">SUM(H$6:H72)</f>
        <v>52239</v>
      </c>
    </row>
    <row r="73" customFormat="false" ht="15.75" hidden="false" customHeight="true" outlineLevel="0" collapsed="false">
      <c r="A73" s="18" t="n">
        <v>68</v>
      </c>
      <c r="B73" s="19" t="n">
        <f aca="false" t="array" ref="B73:B73">ROUND(Paramètres!$B$40*$A73^Paramètres!$B$41*INDEX(Paramètres!$H$6:$H$12,1),0)</f>
        <v>586</v>
      </c>
      <c r="C73" s="19" t="n">
        <f aca="false" t="array" ref="C73:C73">ROUND(Paramètres!$B$40*$A73^Paramètres!$B$41*INDEX(Paramètres!$H$6:$H$12,2),0)</f>
        <v>703</v>
      </c>
      <c r="D73" s="19" t="n">
        <f aca="false" t="array" ref="D73:D73">ROUND(Paramètres!$B$40*$A73^Paramètres!$B$41*INDEX(Paramètres!$H$6:$H$12,3),0)</f>
        <v>849</v>
      </c>
      <c r="E73" s="19" t="n">
        <f aca="false" t="array" ref="E73:E73">ROUND(Paramètres!$B$40*$A73^Paramètres!$B$41*INDEX(Paramètres!$H$6:$H$12,4),0)</f>
        <v>1025</v>
      </c>
      <c r="F73" s="19" t="n">
        <f aca="false" t="array" ref="F73:F73">ROUND(Paramètres!$B$40*$A73^Paramètres!$B$41*INDEX(Paramètres!$H$6:$H$12,5),0)</f>
        <v>1230</v>
      </c>
      <c r="G73" s="19" t="n">
        <f aca="false" t="array" ref="G73:G73">ROUND(Paramètres!$B$40*$A73^Paramètres!$B$41*INDEX(Paramètres!$H$6:$H$12,6),0)</f>
        <v>1465</v>
      </c>
      <c r="H73" s="19" t="n">
        <f aca="false" t="array" ref="H73:H73">ROUND(Paramètres!$B$40*$A73^Paramètres!$B$41*INDEX(Paramètres!$H$6:$H$12,7),0)</f>
        <v>1757</v>
      </c>
      <c r="J73" s="19" t="n">
        <f aca="false">SUM(B$6:B73)</f>
        <v>17996</v>
      </c>
      <c r="K73" s="19" t="n">
        <f aca="false">SUM(C$6:C73)</f>
        <v>21596</v>
      </c>
      <c r="L73" s="19" t="n">
        <f aca="false">SUM(D$6:D73)</f>
        <v>26094</v>
      </c>
      <c r="M73" s="19" t="n">
        <f aca="false">SUM(E$6:E73)</f>
        <v>31494</v>
      </c>
      <c r="N73" s="19" t="n">
        <f aca="false">SUM(F$6:F73)</f>
        <v>37798</v>
      </c>
      <c r="O73" s="19" t="n">
        <f aca="false">SUM(G$6:G73)</f>
        <v>44994</v>
      </c>
      <c r="P73" s="19" t="n">
        <f aca="false">SUM(H$6:H73)</f>
        <v>53996</v>
      </c>
    </row>
    <row r="74" customFormat="false" ht="15.75" hidden="false" customHeight="true" outlineLevel="0" collapsed="false">
      <c r="A74" s="18" t="n">
        <v>69</v>
      </c>
      <c r="B74" s="19" t="n">
        <f aca="false" t="array" ref="B74:B74">ROUND(Paramètres!$B$40*$A74^Paramètres!$B$41*INDEX(Paramètres!$H$6:$H$12,1),0)</f>
        <v>597</v>
      </c>
      <c r="C74" s="19" t="n">
        <f aca="false" t="array" ref="C74:C74">ROUND(Paramètres!$B$40*$A74^Paramètres!$B$41*INDEX(Paramètres!$H$6:$H$12,2),0)</f>
        <v>716</v>
      </c>
      <c r="D74" s="19" t="n">
        <f aca="false" t="array" ref="D74:D74">ROUND(Paramètres!$B$40*$A74^Paramètres!$B$41*INDEX(Paramètres!$H$6:$H$12,3),0)</f>
        <v>865</v>
      </c>
      <c r="E74" s="19" t="n">
        <f aca="false" t="array" ref="E74:E74">ROUND(Paramètres!$B$40*$A74^Paramètres!$B$41*INDEX(Paramètres!$H$6:$H$12,4),0)</f>
        <v>1044</v>
      </c>
      <c r="F74" s="19" t="n">
        <f aca="false" t="array" ref="F74:F74">ROUND(Paramètres!$B$40*$A74^Paramètres!$B$41*INDEX(Paramètres!$H$6:$H$12,5),0)</f>
        <v>1253</v>
      </c>
      <c r="G74" s="19" t="n">
        <f aca="false" t="array" ref="G74:G74">ROUND(Paramètres!$B$40*$A74^Paramètres!$B$41*INDEX(Paramètres!$H$6:$H$12,6),0)</f>
        <v>1491</v>
      </c>
      <c r="H74" s="19" t="n">
        <f aca="false" t="array" ref="H74:H74">ROUND(Paramètres!$B$40*$A74^Paramètres!$B$41*INDEX(Paramètres!$H$6:$H$12,7),0)</f>
        <v>1790</v>
      </c>
      <c r="J74" s="19" t="n">
        <f aca="false">SUM(B$6:B74)</f>
        <v>18593</v>
      </c>
      <c r="K74" s="19" t="n">
        <f aca="false">SUM(C$6:C74)</f>
        <v>22312</v>
      </c>
      <c r="L74" s="19" t="n">
        <f aca="false">SUM(D$6:D74)</f>
        <v>26959</v>
      </c>
      <c r="M74" s="19" t="n">
        <f aca="false">SUM(E$6:E74)</f>
        <v>32538</v>
      </c>
      <c r="N74" s="19" t="n">
        <f aca="false">SUM(F$6:F74)</f>
        <v>39051</v>
      </c>
      <c r="O74" s="19" t="n">
        <f aca="false">SUM(G$6:G74)</f>
        <v>46485</v>
      </c>
      <c r="P74" s="19" t="n">
        <f aca="false">SUM(H$6:H74)</f>
        <v>55786</v>
      </c>
    </row>
    <row r="75" customFormat="false" ht="15.75" hidden="false" customHeight="true" outlineLevel="0" collapsed="false">
      <c r="A75" s="18" t="n">
        <v>70</v>
      </c>
      <c r="B75" s="19" t="n">
        <f aca="false" t="array" ref="B75:B75">ROUND(Paramètres!$B$40*$A75^Paramètres!$B$41*INDEX(Paramètres!$H$6:$H$12,1),0)</f>
        <v>607</v>
      </c>
      <c r="C75" s="19" t="n">
        <f aca="false" t="array" ref="C75:C75">ROUND(Paramètres!$B$40*$A75^Paramètres!$B$41*INDEX(Paramètres!$H$6:$H$12,2),0)</f>
        <v>729</v>
      </c>
      <c r="D75" s="19" t="n">
        <f aca="false" t="array" ref="D75:D75">ROUND(Paramètres!$B$40*$A75^Paramètres!$B$41*INDEX(Paramètres!$H$6:$H$12,3),0)</f>
        <v>881</v>
      </c>
      <c r="E75" s="19" t="n">
        <f aca="false" t="array" ref="E75:E75">ROUND(Paramètres!$B$40*$A75^Paramètres!$B$41*INDEX(Paramètres!$H$6:$H$12,4),0)</f>
        <v>1063</v>
      </c>
      <c r="F75" s="19" t="n">
        <f aca="false" t="array" ref="F75:F75">ROUND(Paramètres!$B$40*$A75^Paramètres!$B$41*INDEX(Paramètres!$H$6:$H$12,5),0)</f>
        <v>1276</v>
      </c>
      <c r="G75" s="19" t="n">
        <f aca="false" t="array" ref="G75:G75">ROUND(Paramètres!$B$40*$A75^Paramètres!$B$41*INDEX(Paramètres!$H$6:$H$12,6),0)</f>
        <v>1519</v>
      </c>
      <c r="H75" s="19" t="n">
        <f aca="false" t="array" ref="H75:H75">ROUND(Paramètres!$B$40*$A75^Paramètres!$B$41*INDEX(Paramètres!$H$6:$H$12,7),0)</f>
        <v>1822</v>
      </c>
      <c r="J75" s="19" t="n">
        <f aca="false">SUM(B$6:B75)</f>
        <v>19200</v>
      </c>
      <c r="K75" s="19" t="n">
        <f aca="false">SUM(C$6:C75)</f>
        <v>23041</v>
      </c>
      <c r="L75" s="19" t="n">
        <f aca="false">SUM(D$6:D75)</f>
        <v>27840</v>
      </c>
      <c r="M75" s="19" t="n">
        <f aca="false">SUM(E$6:E75)</f>
        <v>33601</v>
      </c>
      <c r="N75" s="19" t="n">
        <f aca="false">SUM(F$6:F75)</f>
        <v>40327</v>
      </c>
      <c r="O75" s="19" t="n">
        <f aca="false">SUM(G$6:G75)</f>
        <v>48004</v>
      </c>
      <c r="P75" s="19" t="n">
        <f aca="false">SUM(H$6:H75)</f>
        <v>57608</v>
      </c>
    </row>
    <row r="76" customFormat="false" ht="15.75" hidden="false" customHeight="true" outlineLevel="0" collapsed="false">
      <c r="A76" s="18" t="n">
        <v>71</v>
      </c>
      <c r="B76" s="19" t="n">
        <f aca="false" t="array" ref="B76:B76">ROUND(Paramètres!$B$40*$A76^Paramètres!$B$41*INDEX(Paramètres!$H$6:$H$12,1),0)</f>
        <v>618</v>
      </c>
      <c r="C76" s="19" t="n">
        <f aca="false" t="array" ref="C76:C76">ROUND(Paramètres!$B$40*$A76^Paramètres!$B$41*INDEX(Paramètres!$H$6:$H$12,2),0)</f>
        <v>742</v>
      </c>
      <c r="D76" s="19" t="n">
        <f aca="false" t="array" ref="D76:D76">ROUND(Paramètres!$B$40*$A76^Paramètres!$B$41*INDEX(Paramètres!$H$6:$H$12,3),0)</f>
        <v>897</v>
      </c>
      <c r="E76" s="19" t="n">
        <f aca="false" t="array" ref="E76:E76">ROUND(Paramètres!$B$40*$A76^Paramètres!$B$41*INDEX(Paramètres!$H$6:$H$12,4),0)</f>
        <v>1082</v>
      </c>
      <c r="F76" s="19" t="n">
        <f aca="false" t="array" ref="F76:F76">ROUND(Paramètres!$B$40*$A76^Paramètres!$B$41*INDEX(Paramètres!$H$6:$H$12,5),0)</f>
        <v>1298</v>
      </c>
      <c r="G76" s="19" t="n">
        <f aca="false" t="array" ref="G76:G76">ROUND(Paramètres!$B$40*$A76^Paramètres!$B$41*INDEX(Paramètres!$H$6:$H$12,6),0)</f>
        <v>1546</v>
      </c>
      <c r="H76" s="19" t="n">
        <f aca="false" t="array" ref="H76:H76">ROUND(Paramètres!$B$40*$A76^Paramètres!$B$41*INDEX(Paramètres!$H$6:$H$12,7),0)</f>
        <v>1855</v>
      </c>
      <c r="J76" s="19" t="n">
        <f aca="false">SUM(B$6:B76)</f>
        <v>19818</v>
      </c>
      <c r="K76" s="19" t="n">
        <f aca="false">SUM(C$6:C76)</f>
        <v>23783</v>
      </c>
      <c r="L76" s="19" t="n">
        <f aca="false">SUM(D$6:D76)</f>
        <v>28737</v>
      </c>
      <c r="M76" s="19" t="n">
        <f aca="false">SUM(E$6:E76)</f>
        <v>34683</v>
      </c>
      <c r="N76" s="19" t="n">
        <f aca="false">SUM(F$6:F76)</f>
        <v>41625</v>
      </c>
      <c r="O76" s="19" t="n">
        <f aca="false">SUM(G$6:G76)</f>
        <v>49550</v>
      </c>
      <c r="P76" s="19" t="n">
        <f aca="false">SUM(H$6:H76)</f>
        <v>59463</v>
      </c>
    </row>
    <row r="77" customFormat="false" ht="15.75" hidden="false" customHeight="true" outlineLevel="0" collapsed="false">
      <c r="A77" s="18" t="n">
        <v>72</v>
      </c>
      <c r="B77" s="19" t="n">
        <f aca="false" t="array" ref="B77:B77">ROUND(Paramètres!$B$40*$A77^Paramètres!$B$41*INDEX(Paramètres!$H$6:$H$12,1),0)</f>
        <v>629</v>
      </c>
      <c r="C77" s="19" t="n">
        <f aca="false" t="array" ref="C77:C77">ROUND(Paramètres!$B$40*$A77^Paramètres!$B$41*INDEX(Paramètres!$H$6:$H$12,2),0)</f>
        <v>755</v>
      </c>
      <c r="D77" s="19" t="n">
        <f aca="false" t="array" ref="D77:D77">ROUND(Paramètres!$B$40*$A77^Paramètres!$B$41*INDEX(Paramètres!$H$6:$H$12,3),0)</f>
        <v>912</v>
      </c>
      <c r="E77" s="19" t="n">
        <f aca="false" t="array" ref="E77:E77">ROUND(Paramètres!$B$40*$A77^Paramètres!$B$41*INDEX(Paramètres!$H$6:$H$12,4),0)</f>
        <v>1101</v>
      </c>
      <c r="F77" s="19" t="n">
        <f aca="false" t="array" ref="F77:F77">ROUND(Paramètres!$B$40*$A77^Paramètres!$B$41*INDEX(Paramètres!$H$6:$H$12,5),0)</f>
        <v>1321</v>
      </c>
      <c r="G77" s="19" t="n">
        <f aca="false" t="array" ref="G77:G77">ROUND(Paramètres!$B$40*$A77^Paramètres!$B$41*INDEX(Paramètres!$H$6:$H$12,6),0)</f>
        <v>1573</v>
      </c>
      <c r="H77" s="19" t="n">
        <f aca="false" t="array" ref="H77:H77">ROUND(Paramètres!$B$40*$A77^Paramètres!$B$41*INDEX(Paramètres!$H$6:$H$12,7),0)</f>
        <v>1888</v>
      </c>
      <c r="J77" s="19" t="n">
        <f aca="false">SUM(B$6:B77)</f>
        <v>20447</v>
      </c>
      <c r="K77" s="19" t="n">
        <f aca="false">SUM(C$6:C77)</f>
        <v>24538</v>
      </c>
      <c r="L77" s="19" t="n">
        <f aca="false">SUM(D$6:D77)</f>
        <v>29649</v>
      </c>
      <c r="M77" s="19" t="n">
        <f aca="false">SUM(E$6:E77)</f>
        <v>35784</v>
      </c>
      <c r="N77" s="19" t="n">
        <f aca="false">SUM(F$6:F77)</f>
        <v>42946</v>
      </c>
      <c r="O77" s="19" t="n">
        <f aca="false">SUM(G$6:G77)</f>
        <v>51123</v>
      </c>
      <c r="P77" s="19" t="n">
        <f aca="false">SUM(H$6:H77)</f>
        <v>61351</v>
      </c>
    </row>
    <row r="78" customFormat="false" ht="15.75" hidden="false" customHeight="true" outlineLevel="0" collapsed="false">
      <c r="A78" s="18" t="n">
        <v>73</v>
      </c>
      <c r="B78" s="19" t="n">
        <f aca="false" t="array" ref="B78:B78">ROUND(Paramètres!$B$40*$A78^Paramètres!$B$41*INDEX(Paramètres!$H$6:$H$12,1),0)</f>
        <v>640</v>
      </c>
      <c r="C78" s="19" t="n">
        <f aca="false" t="array" ref="C78:C78">ROUND(Paramètres!$B$40*$A78^Paramètres!$B$41*INDEX(Paramètres!$H$6:$H$12,2),0)</f>
        <v>768</v>
      </c>
      <c r="D78" s="19" t="n">
        <f aca="false" t="array" ref="D78:D78">ROUND(Paramètres!$B$40*$A78^Paramètres!$B$41*INDEX(Paramètres!$H$6:$H$12,3),0)</f>
        <v>928</v>
      </c>
      <c r="E78" s="19" t="n">
        <f aca="false" t="array" ref="E78:E78">ROUND(Paramètres!$B$40*$A78^Paramètres!$B$41*INDEX(Paramètres!$H$6:$H$12,4),0)</f>
        <v>1120</v>
      </c>
      <c r="F78" s="19" t="n">
        <f aca="false" t="array" ref="F78:F78">ROUND(Paramètres!$B$40*$A78^Paramètres!$B$41*INDEX(Paramètres!$H$6:$H$12,5),0)</f>
        <v>1344</v>
      </c>
      <c r="G78" s="19" t="n">
        <f aca="false" t="array" ref="G78:G78">ROUND(Paramètres!$B$40*$A78^Paramètres!$B$41*INDEX(Paramètres!$H$6:$H$12,6),0)</f>
        <v>1600</v>
      </c>
      <c r="H78" s="19" t="n">
        <f aca="false" t="array" ref="H78:H78">ROUND(Paramètres!$B$40*$A78^Paramètres!$B$41*INDEX(Paramètres!$H$6:$H$12,7),0)</f>
        <v>1920</v>
      </c>
      <c r="J78" s="19" t="n">
        <f aca="false">SUM(B$6:B78)</f>
        <v>21087</v>
      </c>
      <c r="K78" s="19" t="n">
        <f aca="false">SUM(C$6:C78)</f>
        <v>25306</v>
      </c>
      <c r="L78" s="19" t="n">
        <f aca="false">SUM(D$6:D78)</f>
        <v>30577</v>
      </c>
      <c r="M78" s="19" t="n">
        <f aca="false">SUM(E$6:E78)</f>
        <v>36904</v>
      </c>
      <c r="N78" s="19" t="n">
        <f aca="false">SUM(F$6:F78)</f>
        <v>44290</v>
      </c>
      <c r="O78" s="19" t="n">
        <f aca="false">SUM(G$6:G78)</f>
        <v>52723</v>
      </c>
      <c r="P78" s="19" t="n">
        <f aca="false">SUM(H$6:H78)</f>
        <v>63271</v>
      </c>
    </row>
    <row r="79" customFormat="false" ht="15.75" hidden="false" customHeight="true" outlineLevel="0" collapsed="false">
      <c r="A79" s="18" t="n">
        <v>74</v>
      </c>
      <c r="B79" s="19" t="n">
        <f aca="false" t="array" ref="B79:B79">ROUND(Paramètres!$B$40*$A79^Paramètres!$B$41*INDEX(Paramètres!$H$6:$H$12,1),0)</f>
        <v>651</v>
      </c>
      <c r="C79" s="19" t="n">
        <f aca="false" t="array" ref="C79:C79">ROUND(Paramètres!$B$40*$A79^Paramètres!$B$41*INDEX(Paramètres!$H$6:$H$12,2),0)</f>
        <v>781</v>
      </c>
      <c r="D79" s="19" t="n">
        <f aca="false" t="array" ref="D79:D79">ROUND(Paramètres!$B$40*$A79^Paramètres!$B$41*INDEX(Paramètres!$H$6:$H$12,3),0)</f>
        <v>944</v>
      </c>
      <c r="E79" s="19" t="n">
        <f aca="false" t="array" ref="E79:E79">ROUND(Paramètres!$B$40*$A79^Paramètres!$B$41*INDEX(Paramètres!$H$6:$H$12,4),0)</f>
        <v>1139</v>
      </c>
      <c r="F79" s="19" t="n">
        <f aca="false" t="array" ref="F79:F79">ROUND(Paramètres!$B$40*$A79^Paramètres!$B$41*INDEX(Paramètres!$H$6:$H$12,5),0)</f>
        <v>1367</v>
      </c>
      <c r="G79" s="19" t="n">
        <f aca="false" t="array" ref="G79:G79">ROUND(Paramètres!$B$40*$A79^Paramètres!$B$41*INDEX(Paramètres!$H$6:$H$12,6),0)</f>
        <v>1628</v>
      </c>
      <c r="H79" s="19" t="n">
        <f aca="false" t="array" ref="H79:H79">ROUND(Paramètres!$B$40*$A79^Paramètres!$B$41*INDEX(Paramètres!$H$6:$H$12,7),0)</f>
        <v>1953</v>
      </c>
      <c r="J79" s="19" t="n">
        <f aca="false">SUM(B$6:B79)</f>
        <v>21738</v>
      </c>
      <c r="K79" s="19" t="n">
        <f aca="false">SUM(C$6:C79)</f>
        <v>26087</v>
      </c>
      <c r="L79" s="19" t="n">
        <f aca="false">SUM(D$6:D79)</f>
        <v>31521</v>
      </c>
      <c r="M79" s="19" t="n">
        <f aca="false">SUM(E$6:E79)</f>
        <v>38043</v>
      </c>
      <c r="N79" s="19" t="n">
        <f aca="false">SUM(F$6:F79)</f>
        <v>45657</v>
      </c>
      <c r="O79" s="19" t="n">
        <f aca="false">SUM(G$6:G79)</f>
        <v>54351</v>
      </c>
      <c r="P79" s="19" t="n">
        <f aca="false">SUM(H$6:H79)</f>
        <v>65224</v>
      </c>
    </row>
    <row r="80" customFormat="false" ht="15.75" hidden="false" customHeight="true" outlineLevel="0" collapsed="false">
      <c r="A80" s="18" t="n">
        <v>75</v>
      </c>
      <c r="B80" s="19" t="n">
        <f aca="false" t="array" ref="B80:B80">ROUND(Paramètres!$B$40*$A80^Paramètres!$B$41*INDEX(Paramètres!$H$6:$H$12,1),0)</f>
        <v>662</v>
      </c>
      <c r="C80" s="19" t="n">
        <f aca="false" t="array" ref="C80:C80">ROUND(Paramètres!$B$40*$A80^Paramètres!$B$41*INDEX(Paramètres!$H$6:$H$12,2),0)</f>
        <v>795</v>
      </c>
      <c r="D80" s="19" t="n">
        <f aca="false" t="array" ref="D80:D80">ROUND(Paramètres!$B$40*$A80^Paramètres!$B$41*INDEX(Paramètres!$H$6:$H$12,3),0)</f>
        <v>960</v>
      </c>
      <c r="E80" s="19" t="n">
        <f aca="false" t="array" ref="E80:E80">ROUND(Paramètres!$B$40*$A80^Paramètres!$B$41*INDEX(Paramètres!$H$6:$H$12,4),0)</f>
        <v>1159</v>
      </c>
      <c r="F80" s="19" t="n">
        <f aca="false" t="array" ref="F80:F80">ROUND(Paramètres!$B$40*$A80^Paramètres!$B$41*INDEX(Paramètres!$H$6:$H$12,5),0)</f>
        <v>1390</v>
      </c>
      <c r="G80" s="19" t="n">
        <f aca="false" t="array" ref="G80:G80">ROUND(Paramètres!$B$40*$A80^Paramètres!$B$41*INDEX(Paramètres!$H$6:$H$12,6),0)</f>
        <v>1655</v>
      </c>
      <c r="H80" s="19" t="n">
        <f aca="false" t="array" ref="H80:H80">ROUND(Paramètres!$B$40*$A80^Paramètres!$B$41*INDEX(Paramètres!$H$6:$H$12,7),0)</f>
        <v>1986</v>
      </c>
      <c r="J80" s="19" t="n">
        <f aca="false">SUM(B$6:B80)</f>
        <v>22400</v>
      </c>
      <c r="K80" s="19" t="n">
        <f aca="false">SUM(C$6:C80)</f>
        <v>26882</v>
      </c>
      <c r="L80" s="19" t="n">
        <f aca="false">SUM(D$6:D80)</f>
        <v>32481</v>
      </c>
      <c r="M80" s="19" t="n">
        <f aca="false">SUM(E$6:E80)</f>
        <v>39202</v>
      </c>
      <c r="N80" s="19" t="n">
        <f aca="false">SUM(F$6:F80)</f>
        <v>47047</v>
      </c>
      <c r="O80" s="19" t="n">
        <f aca="false">SUM(G$6:G80)</f>
        <v>56006</v>
      </c>
      <c r="P80" s="19" t="n">
        <f aca="false">SUM(H$6:H80)</f>
        <v>67210</v>
      </c>
    </row>
    <row r="81" customFormat="false" ht="15.75" hidden="false" customHeight="true" outlineLevel="0" collapsed="false">
      <c r="A81" s="18" t="n">
        <v>76</v>
      </c>
      <c r="B81" s="19" t="n">
        <f aca="false" t="array" ref="B81:B81">ROUND(Paramètres!$B$40*$A81^Paramètres!$B$41*INDEX(Paramètres!$H$6:$H$12,1),0)</f>
        <v>673</v>
      </c>
      <c r="C81" s="19" t="n">
        <f aca="false" t="array" ref="C81:C81">ROUND(Paramètres!$B$40*$A81^Paramètres!$B$41*INDEX(Paramètres!$H$6:$H$12,2),0)</f>
        <v>808</v>
      </c>
      <c r="D81" s="19" t="n">
        <f aca="false" t="array" ref="D81:D81">ROUND(Paramètres!$B$40*$A81^Paramètres!$B$41*INDEX(Paramètres!$H$6:$H$12,3),0)</f>
        <v>976</v>
      </c>
      <c r="E81" s="19" t="n">
        <f aca="false" t="array" ref="E81:E81">ROUND(Paramètres!$B$40*$A81^Paramètres!$B$41*INDEX(Paramètres!$H$6:$H$12,4),0)</f>
        <v>1178</v>
      </c>
      <c r="F81" s="19" t="n">
        <f aca="false" t="array" ref="F81:F81">ROUND(Paramètres!$B$40*$A81^Paramètres!$B$41*INDEX(Paramètres!$H$6:$H$12,5),0)</f>
        <v>1414</v>
      </c>
      <c r="G81" s="19" t="n">
        <f aca="false" t="array" ref="G81:G81">ROUND(Paramètres!$B$40*$A81^Paramètres!$B$41*INDEX(Paramètres!$H$6:$H$12,6),0)</f>
        <v>1683</v>
      </c>
      <c r="H81" s="19" t="n">
        <f aca="false" t="array" ref="H81:H81">ROUND(Paramètres!$B$40*$A81^Paramètres!$B$41*INDEX(Paramètres!$H$6:$H$12,7),0)</f>
        <v>2020</v>
      </c>
      <c r="J81" s="19" t="n">
        <f aca="false">SUM(B$6:B81)</f>
        <v>23073</v>
      </c>
      <c r="K81" s="19" t="n">
        <f aca="false">SUM(C$6:C81)</f>
        <v>27690</v>
      </c>
      <c r="L81" s="19" t="n">
        <f aca="false">SUM(D$6:D81)</f>
        <v>33457</v>
      </c>
      <c r="M81" s="19" t="n">
        <f aca="false">SUM(E$6:E81)</f>
        <v>40380</v>
      </c>
      <c r="N81" s="19" t="n">
        <f aca="false">SUM(F$6:F81)</f>
        <v>48461</v>
      </c>
      <c r="O81" s="19" t="n">
        <f aca="false">SUM(G$6:G81)</f>
        <v>57689</v>
      </c>
      <c r="P81" s="19" t="n">
        <f aca="false">SUM(H$6:H81)</f>
        <v>69230</v>
      </c>
    </row>
    <row r="82" customFormat="false" ht="15.75" hidden="false" customHeight="true" outlineLevel="0" collapsed="false">
      <c r="A82" s="18" t="n">
        <v>77</v>
      </c>
      <c r="B82" s="19" t="n">
        <f aca="false" t="array" ref="B82:B82">ROUND(Paramètres!$B$40*$A82^Paramètres!$B$41*INDEX(Paramètres!$H$6:$H$12,1),0)</f>
        <v>684</v>
      </c>
      <c r="C82" s="19" t="n">
        <f aca="false" t="array" ref="C82:C82">ROUND(Paramètres!$B$40*$A82^Paramètres!$B$41*INDEX(Paramètres!$H$6:$H$12,2),0)</f>
        <v>821</v>
      </c>
      <c r="D82" s="19" t="n">
        <f aca="false" t="array" ref="D82:D82">ROUND(Paramètres!$B$40*$A82^Paramètres!$B$41*INDEX(Paramètres!$H$6:$H$12,3),0)</f>
        <v>992</v>
      </c>
      <c r="E82" s="19" t="n">
        <f aca="false" t="array" ref="E82:E82">ROUND(Paramètres!$B$40*$A82^Paramètres!$B$41*INDEX(Paramètres!$H$6:$H$12,4),0)</f>
        <v>1197</v>
      </c>
      <c r="F82" s="19" t="n">
        <f aca="false" t="array" ref="F82:F82">ROUND(Paramètres!$B$40*$A82^Paramètres!$B$41*INDEX(Paramètres!$H$6:$H$12,5),0)</f>
        <v>1437</v>
      </c>
      <c r="G82" s="19" t="n">
        <f aca="false" t="array" ref="G82:G82">ROUND(Paramètres!$B$40*$A82^Paramètres!$B$41*INDEX(Paramètres!$H$6:$H$12,6),0)</f>
        <v>1711</v>
      </c>
      <c r="H82" s="19" t="n">
        <f aca="false" t="array" ref="H82:H82">ROUND(Paramètres!$B$40*$A82^Paramètres!$B$41*INDEX(Paramètres!$H$6:$H$12,7),0)</f>
        <v>2053</v>
      </c>
      <c r="J82" s="19" t="n">
        <f aca="false">SUM(B$6:B82)</f>
        <v>23757</v>
      </c>
      <c r="K82" s="19" t="n">
        <f aca="false">SUM(C$6:C82)</f>
        <v>28511</v>
      </c>
      <c r="L82" s="19" t="n">
        <f aca="false">SUM(D$6:D82)</f>
        <v>34449</v>
      </c>
      <c r="M82" s="19" t="n">
        <f aca="false">SUM(E$6:E82)</f>
        <v>41577</v>
      </c>
      <c r="N82" s="19" t="n">
        <f aca="false">SUM(F$6:F82)</f>
        <v>49898</v>
      </c>
      <c r="O82" s="19" t="n">
        <f aca="false">SUM(G$6:G82)</f>
        <v>59400</v>
      </c>
      <c r="P82" s="19" t="n">
        <f aca="false">SUM(H$6:H82)</f>
        <v>71283</v>
      </c>
    </row>
    <row r="83" customFormat="false" ht="15.75" hidden="false" customHeight="true" outlineLevel="0" collapsed="false">
      <c r="A83" s="18" t="n">
        <v>78</v>
      </c>
      <c r="B83" s="19" t="n">
        <f aca="false" t="array" ref="B83:B83">ROUND(Paramètres!$B$40*$A83^Paramètres!$B$41*INDEX(Paramètres!$H$6:$H$12,1),0)</f>
        <v>695</v>
      </c>
      <c r="C83" s="19" t="n">
        <f aca="false" t="array" ref="C83:C83">ROUND(Paramètres!$B$40*$A83^Paramètres!$B$41*INDEX(Paramètres!$H$6:$H$12,2),0)</f>
        <v>834</v>
      </c>
      <c r="D83" s="19" t="n">
        <f aca="false" t="array" ref="D83:D83">ROUND(Paramètres!$B$40*$A83^Paramètres!$B$41*INDEX(Paramètres!$H$6:$H$12,3),0)</f>
        <v>1008</v>
      </c>
      <c r="E83" s="19" t="n">
        <f aca="false" t="array" ref="E83:E83">ROUND(Paramètres!$B$40*$A83^Paramètres!$B$41*INDEX(Paramètres!$H$6:$H$12,4),0)</f>
        <v>1217</v>
      </c>
      <c r="F83" s="19" t="n">
        <f aca="false" t="array" ref="F83:F83">ROUND(Paramètres!$B$40*$A83^Paramètres!$B$41*INDEX(Paramètres!$H$6:$H$12,5),0)</f>
        <v>1460</v>
      </c>
      <c r="G83" s="19" t="n">
        <f aca="false" t="array" ref="G83:G83">ROUND(Paramètres!$B$40*$A83^Paramètres!$B$41*INDEX(Paramètres!$H$6:$H$12,6),0)</f>
        <v>1739</v>
      </c>
      <c r="H83" s="19" t="n">
        <f aca="false" t="array" ref="H83:H83">ROUND(Paramètres!$B$40*$A83^Paramètres!$B$41*INDEX(Paramètres!$H$6:$H$12,7),0)</f>
        <v>2086</v>
      </c>
      <c r="J83" s="19" t="n">
        <f aca="false">SUM(B$6:B83)</f>
        <v>24452</v>
      </c>
      <c r="K83" s="19" t="n">
        <f aca="false">SUM(C$6:C83)</f>
        <v>29345</v>
      </c>
      <c r="L83" s="19" t="n">
        <f aca="false">SUM(D$6:D83)</f>
        <v>35457</v>
      </c>
      <c r="M83" s="19" t="n">
        <f aca="false">SUM(E$6:E83)</f>
        <v>42794</v>
      </c>
      <c r="N83" s="19" t="n">
        <f aca="false">SUM(F$6:F83)</f>
        <v>51358</v>
      </c>
      <c r="O83" s="19" t="n">
        <f aca="false">SUM(G$6:G83)</f>
        <v>61139</v>
      </c>
      <c r="P83" s="19" t="n">
        <f aca="false">SUM(H$6:H83)</f>
        <v>73369</v>
      </c>
    </row>
    <row r="84" customFormat="false" ht="15.75" hidden="false" customHeight="true" outlineLevel="0" collapsed="false">
      <c r="A84" s="18" t="n">
        <v>79</v>
      </c>
      <c r="B84" s="19" t="n">
        <f aca="false" t="array" ref="B84:B84">ROUND(Paramètres!$B$40*$A84^Paramètres!$B$41*INDEX(Paramètres!$H$6:$H$12,1),0)</f>
        <v>707</v>
      </c>
      <c r="C84" s="19" t="n">
        <f aca="false" t="array" ref="C84:C84">ROUND(Paramètres!$B$40*$A84^Paramètres!$B$41*INDEX(Paramètres!$H$6:$H$12,2),0)</f>
        <v>848</v>
      </c>
      <c r="D84" s="19" t="n">
        <f aca="false" t="array" ref="D84:D84">ROUND(Paramètres!$B$40*$A84^Paramètres!$B$41*INDEX(Paramètres!$H$6:$H$12,3),0)</f>
        <v>1025</v>
      </c>
      <c r="E84" s="19" t="n">
        <f aca="false" t="array" ref="E84:E84">ROUND(Paramètres!$B$40*$A84^Paramètres!$B$41*INDEX(Paramètres!$H$6:$H$12,4),0)</f>
        <v>1236</v>
      </c>
      <c r="F84" s="19" t="n">
        <f aca="false" t="array" ref="F84:F84">ROUND(Paramètres!$B$40*$A84^Paramètres!$B$41*INDEX(Paramètres!$H$6:$H$12,5),0)</f>
        <v>1484</v>
      </c>
      <c r="G84" s="19" t="n">
        <f aca="false" t="array" ref="G84:G84">ROUND(Paramètres!$B$40*$A84^Paramètres!$B$41*INDEX(Paramètres!$H$6:$H$12,6),0)</f>
        <v>1766</v>
      </c>
      <c r="H84" s="19" t="n">
        <f aca="false" t="array" ref="H84:H84">ROUND(Paramètres!$B$40*$A84^Paramètres!$B$41*INDEX(Paramètres!$H$6:$H$12,7),0)</f>
        <v>2120</v>
      </c>
      <c r="J84" s="19" t="n">
        <f aca="false">SUM(B$6:B84)</f>
        <v>25159</v>
      </c>
      <c r="K84" s="19" t="n">
        <f aca="false">SUM(C$6:C84)</f>
        <v>30193</v>
      </c>
      <c r="L84" s="19" t="n">
        <f aca="false">SUM(D$6:D84)</f>
        <v>36482</v>
      </c>
      <c r="M84" s="19" t="n">
        <f aca="false">SUM(E$6:E84)</f>
        <v>44030</v>
      </c>
      <c r="N84" s="19" t="n">
        <f aca="false">SUM(F$6:F84)</f>
        <v>52842</v>
      </c>
      <c r="O84" s="19" t="n">
        <f aca="false">SUM(G$6:G84)</f>
        <v>62905</v>
      </c>
      <c r="P84" s="19" t="n">
        <f aca="false">SUM(H$6:H84)</f>
        <v>75489</v>
      </c>
    </row>
    <row r="85" customFormat="false" ht="15.75" hidden="false" customHeight="true" outlineLevel="0" collapsed="false">
      <c r="A85" s="18" t="n">
        <v>80</v>
      </c>
      <c r="B85" s="19" t="n">
        <f aca="false" t="array" ref="B85:B85">ROUND(Paramètres!$B$40*$A85^Paramètres!$B$41*INDEX(Paramètres!$H$6:$H$12,1),0)</f>
        <v>718</v>
      </c>
      <c r="C85" s="19" t="n">
        <f aca="false" t="array" ref="C85:C85">ROUND(Paramètres!$B$40*$A85^Paramètres!$B$41*INDEX(Paramètres!$H$6:$H$12,2),0)</f>
        <v>861</v>
      </c>
      <c r="D85" s="19" t="n">
        <f aca="false" t="array" ref="D85:D85">ROUND(Paramètres!$B$40*$A85^Paramètres!$B$41*INDEX(Paramètres!$H$6:$H$12,3),0)</f>
        <v>1041</v>
      </c>
      <c r="E85" s="19" t="n">
        <f aca="false" t="array" ref="E85:E85">ROUND(Paramètres!$B$40*$A85^Paramètres!$B$41*INDEX(Paramètres!$H$6:$H$12,4),0)</f>
        <v>1256</v>
      </c>
      <c r="F85" s="19" t="n">
        <f aca="false" t="array" ref="F85:F85">ROUND(Paramètres!$B$40*$A85^Paramètres!$B$41*INDEX(Paramètres!$H$6:$H$12,5),0)</f>
        <v>1507</v>
      </c>
      <c r="G85" s="19" t="n">
        <f aca="false" t="array" ref="G85:G85">ROUND(Paramètres!$B$40*$A85^Paramètres!$B$41*INDEX(Paramètres!$H$6:$H$12,6),0)</f>
        <v>1794</v>
      </c>
      <c r="H85" s="19" t="n">
        <f aca="false" t="array" ref="H85:H85">ROUND(Paramètres!$B$40*$A85^Paramètres!$B$41*INDEX(Paramètres!$H$6:$H$12,7),0)</f>
        <v>2153</v>
      </c>
      <c r="J85" s="19" t="n">
        <f aca="false">SUM(B$6:B85)</f>
        <v>25877</v>
      </c>
      <c r="K85" s="19" t="n">
        <f aca="false">SUM(C$6:C85)</f>
        <v>31054</v>
      </c>
      <c r="L85" s="19" t="n">
        <f aca="false">SUM(D$6:D85)</f>
        <v>37523</v>
      </c>
      <c r="M85" s="19" t="n">
        <f aca="false">SUM(E$6:E85)</f>
        <v>45286</v>
      </c>
      <c r="N85" s="19" t="n">
        <f aca="false">SUM(F$6:F85)</f>
        <v>54349</v>
      </c>
      <c r="O85" s="19" t="n">
        <f aca="false">SUM(G$6:G85)</f>
        <v>64699</v>
      </c>
      <c r="P85" s="19" t="n">
        <f aca="false">SUM(H$6:H85)</f>
        <v>77642</v>
      </c>
    </row>
    <row r="86" customFormat="false" ht="15.75" hidden="false" customHeight="true" outlineLevel="0" collapsed="false">
      <c r="A86" s="18" t="n">
        <v>81</v>
      </c>
      <c r="B86" s="19" t="n">
        <f aca="false" t="array" ref="B86:B86">ROUND(Paramètres!$B$40*$A86^Paramètres!$B$41*INDEX(Paramètres!$H$6:$H$12,1),0)</f>
        <v>729</v>
      </c>
      <c r="C86" s="19" t="n">
        <f aca="false" t="array" ref="C86:C86">ROUND(Paramètres!$B$40*$A86^Paramètres!$B$41*INDEX(Paramètres!$H$6:$H$12,2),0)</f>
        <v>875</v>
      </c>
      <c r="D86" s="19" t="n">
        <f aca="false" t="array" ref="D86:D86">ROUND(Paramètres!$B$40*$A86^Paramètres!$B$41*INDEX(Paramètres!$H$6:$H$12,3),0)</f>
        <v>1057</v>
      </c>
      <c r="E86" s="19" t="n">
        <f aca="false" t="array" ref="E86:E86">ROUND(Paramètres!$B$40*$A86^Paramètres!$B$41*INDEX(Paramètres!$H$6:$H$12,4),0)</f>
        <v>1276</v>
      </c>
      <c r="F86" s="19" t="n">
        <f aca="false" t="array" ref="F86:F86">ROUND(Paramètres!$B$40*$A86^Paramètres!$B$41*INDEX(Paramètres!$H$6:$H$12,5),0)</f>
        <v>1531</v>
      </c>
      <c r="G86" s="19" t="n">
        <f aca="false" t="array" ref="G86:G86">ROUND(Paramètres!$B$40*$A86^Paramètres!$B$41*INDEX(Paramètres!$H$6:$H$12,6),0)</f>
        <v>1823</v>
      </c>
      <c r="H86" s="19" t="n">
        <f aca="false" t="array" ref="H86:H86">ROUND(Paramètres!$B$40*$A86^Paramètres!$B$41*INDEX(Paramètres!$H$6:$H$12,7),0)</f>
        <v>2187</v>
      </c>
      <c r="J86" s="19" t="n">
        <f aca="false">SUM(B$6:B86)</f>
        <v>26606</v>
      </c>
      <c r="K86" s="19" t="n">
        <f aca="false">SUM(C$6:C86)</f>
        <v>31929</v>
      </c>
      <c r="L86" s="19" t="n">
        <f aca="false">SUM(D$6:D86)</f>
        <v>38580</v>
      </c>
      <c r="M86" s="19" t="n">
        <f aca="false">SUM(E$6:E86)</f>
        <v>46562</v>
      </c>
      <c r="N86" s="19" t="n">
        <f aca="false">SUM(F$6:F86)</f>
        <v>55880</v>
      </c>
      <c r="O86" s="19" t="n">
        <f aca="false">SUM(G$6:G86)</f>
        <v>66522</v>
      </c>
      <c r="P86" s="19" t="n">
        <f aca="false">SUM(H$6:H86)</f>
        <v>79829</v>
      </c>
    </row>
    <row r="87" customFormat="false" ht="15.75" hidden="false" customHeight="true" outlineLevel="0" collapsed="false">
      <c r="A87" s="18" t="n">
        <v>82</v>
      </c>
      <c r="B87" s="19" t="n">
        <f aca="false" t="array" ref="B87:B87">ROUND(Paramètres!$B$40*$A87^Paramètres!$B$41*INDEX(Paramètres!$H$6:$H$12,1),0)</f>
        <v>740</v>
      </c>
      <c r="C87" s="19" t="n">
        <f aca="false" t="array" ref="C87:C87">ROUND(Paramètres!$B$40*$A87^Paramètres!$B$41*INDEX(Paramètres!$H$6:$H$12,2),0)</f>
        <v>888</v>
      </c>
      <c r="D87" s="19" t="n">
        <f aca="false" t="array" ref="D87:D87">ROUND(Paramètres!$B$40*$A87^Paramètres!$B$41*INDEX(Paramètres!$H$6:$H$12,3),0)</f>
        <v>1073</v>
      </c>
      <c r="E87" s="19" t="n">
        <f aca="false" t="array" ref="E87:E87">ROUND(Paramètres!$B$40*$A87^Paramètres!$B$41*INDEX(Paramètres!$H$6:$H$12,4),0)</f>
        <v>1295</v>
      </c>
      <c r="F87" s="19" t="n">
        <f aca="false" t="array" ref="F87:F87">ROUND(Paramètres!$B$40*$A87^Paramètres!$B$41*INDEX(Paramètres!$H$6:$H$12,5),0)</f>
        <v>1555</v>
      </c>
      <c r="G87" s="19" t="n">
        <f aca="false" t="array" ref="G87:G87">ROUND(Paramètres!$B$40*$A87^Paramètres!$B$41*INDEX(Paramètres!$H$6:$H$12,6),0)</f>
        <v>1851</v>
      </c>
      <c r="H87" s="19" t="n">
        <f aca="false" t="array" ref="H87:H87">ROUND(Paramètres!$B$40*$A87^Paramètres!$B$41*INDEX(Paramètres!$H$6:$H$12,7),0)</f>
        <v>2221</v>
      </c>
      <c r="J87" s="19" t="n">
        <f aca="false">SUM(B$6:B87)</f>
        <v>27346</v>
      </c>
      <c r="K87" s="19" t="n">
        <f aca="false">SUM(C$6:C87)</f>
        <v>32817</v>
      </c>
      <c r="L87" s="19" t="n">
        <f aca="false">SUM(D$6:D87)</f>
        <v>39653</v>
      </c>
      <c r="M87" s="19" t="n">
        <f aca="false">SUM(E$6:E87)</f>
        <v>47857</v>
      </c>
      <c r="N87" s="19" t="n">
        <f aca="false">SUM(F$6:F87)</f>
        <v>57435</v>
      </c>
      <c r="O87" s="19" t="n">
        <f aca="false">SUM(G$6:G87)</f>
        <v>68373</v>
      </c>
      <c r="P87" s="19" t="n">
        <f aca="false">SUM(H$6:H87)</f>
        <v>82050</v>
      </c>
    </row>
    <row r="88" customFormat="false" ht="15.75" hidden="false" customHeight="true" outlineLevel="0" collapsed="false">
      <c r="A88" s="18" t="n">
        <v>83</v>
      </c>
      <c r="B88" s="19" t="n">
        <f aca="false" t="array" ref="B88:B88">ROUND(Paramètres!$B$40*$A88^Paramètres!$B$41*INDEX(Paramètres!$H$6:$H$12,1),0)</f>
        <v>752</v>
      </c>
      <c r="C88" s="19" t="n">
        <f aca="false" t="array" ref="C88:C88">ROUND(Paramètres!$B$40*$A88^Paramètres!$B$41*INDEX(Paramètres!$H$6:$H$12,2),0)</f>
        <v>902</v>
      </c>
      <c r="D88" s="19" t="n">
        <f aca="false" t="array" ref="D88:D88">ROUND(Paramètres!$B$40*$A88^Paramètres!$B$41*INDEX(Paramètres!$H$6:$H$12,3),0)</f>
        <v>1090</v>
      </c>
      <c r="E88" s="19" t="n">
        <f aca="false" t="array" ref="E88:E88">ROUND(Paramètres!$B$40*$A88^Paramètres!$B$41*INDEX(Paramètres!$H$6:$H$12,4),0)</f>
        <v>1315</v>
      </c>
      <c r="F88" s="19" t="n">
        <f aca="false" t="array" ref="F88:F88">ROUND(Paramètres!$B$40*$A88^Paramètres!$B$41*INDEX(Paramètres!$H$6:$H$12,5),0)</f>
        <v>1578</v>
      </c>
      <c r="G88" s="19" t="n">
        <f aca="false" t="array" ref="G88:G88">ROUND(Paramètres!$B$40*$A88^Paramètres!$B$41*INDEX(Paramètres!$H$6:$H$12,6),0)</f>
        <v>1879</v>
      </c>
      <c r="H88" s="19" t="n">
        <f aca="false" t="array" ref="H88:H88">ROUND(Paramètres!$B$40*$A88^Paramètres!$B$41*INDEX(Paramètres!$H$6:$H$12,7),0)</f>
        <v>2255</v>
      </c>
      <c r="J88" s="19" t="n">
        <f aca="false">SUM(B$6:B88)</f>
        <v>28098</v>
      </c>
      <c r="K88" s="19" t="n">
        <f aca="false">SUM(C$6:C88)</f>
        <v>33719</v>
      </c>
      <c r="L88" s="19" t="n">
        <f aca="false">SUM(D$6:D88)</f>
        <v>40743</v>
      </c>
      <c r="M88" s="19" t="n">
        <f aca="false">SUM(E$6:E88)</f>
        <v>49172</v>
      </c>
      <c r="N88" s="19" t="n">
        <f aca="false">SUM(F$6:F88)</f>
        <v>59013</v>
      </c>
      <c r="O88" s="19" t="n">
        <f aca="false">SUM(G$6:G88)</f>
        <v>70252</v>
      </c>
      <c r="P88" s="19" t="n">
        <f aca="false">SUM(H$6:H88)</f>
        <v>84305</v>
      </c>
    </row>
    <row r="89" customFormat="false" ht="15.75" hidden="false" customHeight="true" outlineLevel="0" collapsed="false">
      <c r="A89" s="18" t="n">
        <v>84</v>
      </c>
      <c r="B89" s="19" t="n">
        <f aca="false" t="array" ref="B89:B89">ROUND(Paramètres!$B$40*$A89^Paramètres!$B$41*INDEX(Paramètres!$H$6:$H$12,1),0)</f>
        <v>763</v>
      </c>
      <c r="C89" s="19" t="n">
        <f aca="false" t="array" ref="C89:C89">ROUND(Paramètres!$B$40*$A89^Paramètres!$B$41*INDEX(Paramètres!$H$6:$H$12,2),0)</f>
        <v>915</v>
      </c>
      <c r="D89" s="19" t="n">
        <f aca="false" t="array" ref="D89:D89">ROUND(Paramètres!$B$40*$A89^Paramètres!$B$41*INDEX(Paramètres!$H$6:$H$12,3),0)</f>
        <v>1106</v>
      </c>
      <c r="E89" s="19" t="n">
        <f aca="false" t="array" ref="E89:E89">ROUND(Paramètres!$B$40*$A89^Paramètres!$B$41*INDEX(Paramètres!$H$6:$H$12,4),0)</f>
        <v>1335</v>
      </c>
      <c r="F89" s="19" t="n">
        <f aca="false" t="array" ref="F89:F89">ROUND(Paramètres!$B$40*$A89^Paramètres!$B$41*INDEX(Paramètres!$H$6:$H$12,5),0)</f>
        <v>1602</v>
      </c>
      <c r="G89" s="19" t="n">
        <f aca="false" t="array" ref="G89:G89">ROUND(Paramètres!$B$40*$A89^Paramètres!$B$41*INDEX(Paramètres!$H$6:$H$12,6),0)</f>
        <v>1907</v>
      </c>
      <c r="H89" s="19" t="n">
        <f aca="false" t="array" ref="H89:H89">ROUND(Paramètres!$B$40*$A89^Paramètres!$B$41*INDEX(Paramètres!$H$6:$H$12,7),0)</f>
        <v>2289</v>
      </c>
      <c r="J89" s="19" t="n">
        <f aca="false">SUM(B$6:B89)</f>
        <v>28861</v>
      </c>
      <c r="K89" s="19" t="n">
        <f aca="false">SUM(C$6:C89)</f>
        <v>34634</v>
      </c>
      <c r="L89" s="19" t="n">
        <f aca="false">SUM(D$6:D89)</f>
        <v>41849</v>
      </c>
      <c r="M89" s="19" t="n">
        <f aca="false">SUM(E$6:E89)</f>
        <v>50507</v>
      </c>
      <c r="N89" s="19" t="n">
        <f aca="false">SUM(F$6:F89)</f>
        <v>60615</v>
      </c>
      <c r="O89" s="19" t="n">
        <f aca="false">SUM(G$6:G89)</f>
        <v>72159</v>
      </c>
      <c r="P89" s="19" t="n">
        <f aca="false">SUM(H$6:H89)</f>
        <v>86594</v>
      </c>
    </row>
    <row r="90" customFormat="false" ht="15.75" hidden="false" customHeight="true" outlineLevel="0" collapsed="false">
      <c r="A90" s="18" t="n">
        <v>85</v>
      </c>
      <c r="B90" s="19" t="n">
        <f aca="false" t="array" ref="B90:B90">ROUND(Paramètres!$B$40*$A90^Paramètres!$B$41*INDEX(Paramètres!$H$6:$H$12,1),0)</f>
        <v>774</v>
      </c>
      <c r="C90" s="19" t="n">
        <f aca="false" t="array" ref="C90:C90">ROUND(Paramètres!$B$40*$A90^Paramètres!$B$41*INDEX(Paramètres!$H$6:$H$12,2),0)</f>
        <v>929</v>
      </c>
      <c r="D90" s="19" t="n">
        <f aca="false" t="array" ref="D90:D90">ROUND(Paramètres!$B$40*$A90^Paramètres!$B$41*INDEX(Paramètres!$H$6:$H$12,3),0)</f>
        <v>1123</v>
      </c>
      <c r="E90" s="19" t="n">
        <f aca="false" t="array" ref="E90:E90">ROUND(Paramètres!$B$40*$A90^Paramètres!$B$41*INDEX(Paramètres!$H$6:$H$12,4),0)</f>
        <v>1355</v>
      </c>
      <c r="F90" s="19" t="n">
        <f aca="false" t="array" ref="F90:F90">ROUND(Paramètres!$B$40*$A90^Paramètres!$B$41*INDEX(Paramètres!$H$6:$H$12,5),0)</f>
        <v>1626</v>
      </c>
      <c r="G90" s="19" t="n">
        <f aca="false" t="array" ref="G90:G90">ROUND(Paramètres!$B$40*$A90^Paramètres!$B$41*INDEX(Paramètres!$H$6:$H$12,6),0)</f>
        <v>1936</v>
      </c>
      <c r="H90" s="19" t="n">
        <f aca="false" t="array" ref="H90:H90">ROUND(Paramètres!$B$40*$A90^Paramètres!$B$41*INDEX(Paramètres!$H$6:$H$12,7),0)</f>
        <v>2323</v>
      </c>
      <c r="J90" s="19" t="n">
        <f aca="false">SUM(B$6:B90)</f>
        <v>29635</v>
      </c>
      <c r="K90" s="19" t="n">
        <f aca="false">SUM(C$6:C90)</f>
        <v>35563</v>
      </c>
      <c r="L90" s="19" t="n">
        <f aca="false">SUM(D$6:D90)</f>
        <v>42972</v>
      </c>
      <c r="M90" s="19" t="n">
        <f aca="false">SUM(E$6:E90)</f>
        <v>51862</v>
      </c>
      <c r="N90" s="19" t="n">
        <f aca="false">SUM(F$6:F90)</f>
        <v>62241</v>
      </c>
      <c r="O90" s="19" t="n">
        <f aca="false">SUM(G$6:G90)</f>
        <v>74095</v>
      </c>
      <c r="P90" s="19" t="n">
        <f aca="false">SUM(H$6:H90)</f>
        <v>88917</v>
      </c>
    </row>
    <row r="91" customFormat="false" ht="15.75" hidden="false" customHeight="true" outlineLevel="0" collapsed="false">
      <c r="A91" s="18" t="n">
        <v>86</v>
      </c>
      <c r="B91" s="19" t="n">
        <f aca="false" t="array" ref="B91:B91">ROUND(Paramètres!$B$40*$A91^Paramètres!$B$41*INDEX(Paramètres!$H$6:$H$12,1),0)</f>
        <v>786</v>
      </c>
      <c r="C91" s="19" t="n">
        <f aca="false" t="array" ref="C91:C91">ROUND(Paramètres!$B$40*$A91^Paramètres!$B$41*INDEX(Paramètres!$H$6:$H$12,2),0)</f>
        <v>943</v>
      </c>
      <c r="D91" s="19" t="n">
        <f aca="false" t="array" ref="D91:D91">ROUND(Paramètres!$B$40*$A91^Paramètres!$B$41*INDEX(Paramètres!$H$6:$H$12,3),0)</f>
        <v>1139</v>
      </c>
      <c r="E91" s="19" t="n">
        <f aca="false" t="array" ref="E91:E91">ROUND(Paramètres!$B$40*$A91^Paramètres!$B$41*INDEX(Paramètres!$H$6:$H$12,4),0)</f>
        <v>1375</v>
      </c>
      <c r="F91" s="19" t="n">
        <f aca="false" t="array" ref="F91:F91">ROUND(Paramètres!$B$40*$A91^Paramètres!$B$41*INDEX(Paramètres!$H$6:$H$12,5),0)</f>
        <v>1650</v>
      </c>
      <c r="G91" s="19" t="n">
        <f aca="false" t="array" ref="G91:G91">ROUND(Paramètres!$B$40*$A91^Paramètres!$B$41*INDEX(Paramètres!$H$6:$H$12,6),0)</f>
        <v>1964</v>
      </c>
      <c r="H91" s="19" t="n">
        <f aca="false" t="array" ref="H91:H91">ROUND(Paramètres!$B$40*$A91^Paramètres!$B$41*INDEX(Paramètres!$H$6:$H$12,7),0)</f>
        <v>2357</v>
      </c>
      <c r="J91" s="19" t="n">
        <f aca="false">SUM(B$6:B91)</f>
        <v>30421</v>
      </c>
      <c r="K91" s="19" t="n">
        <f aca="false">SUM(C$6:C91)</f>
        <v>36506</v>
      </c>
      <c r="L91" s="19" t="n">
        <f aca="false">SUM(D$6:D91)</f>
        <v>44111</v>
      </c>
      <c r="M91" s="19" t="n">
        <f aca="false">SUM(E$6:E91)</f>
        <v>53237</v>
      </c>
      <c r="N91" s="19" t="n">
        <f aca="false">SUM(F$6:F91)</f>
        <v>63891</v>
      </c>
      <c r="O91" s="19" t="n">
        <f aca="false">SUM(G$6:G91)</f>
        <v>76059</v>
      </c>
      <c r="P91" s="19" t="n">
        <f aca="false">SUM(H$6:H91)</f>
        <v>91274</v>
      </c>
    </row>
    <row r="92" customFormat="false" ht="15.75" hidden="false" customHeight="true" outlineLevel="0" collapsed="false">
      <c r="A92" s="18" t="n">
        <v>87</v>
      </c>
      <c r="B92" s="19" t="n">
        <f aca="false" t="array" ref="B92:B92">ROUND(Paramètres!$B$40*$A92^Paramètres!$B$41*INDEX(Paramètres!$H$6:$H$12,1),0)</f>
        <v>797</v>
      </c>
      <c r="C92" s="19" t="n">
        <f aca="false" t="array" ref="C92:C92">ROUND(Paramètres!$B$40*$A92^Paramètres!$B$41*INDEX(Paramètres!$H$6:$H$12,2),0)</f>
        <v>957</v>
      </c>
      <c r="D92" s="19" t="n">
        <f aca="false" t="array" ref="D92:D92">ROUND(Paramètres!$B$40*$A92^Paramètres!$B$41*INDEX(Paramètres!$H$6:$H$12,3),0)</f>
        <v>1156</v>
      </c>
      <c r="E92" s="19" t="n">
        <f aca="false" t="array" ref="E92:E92">ROUND(Paramètres!$B$40*$A92^Paramètres!$B$41*INDEX(Paramètres!$H$6:$H$12,4),0)</f>
        <v>1395</v>
      </c>
      <c r="F92" s="19" t="n">
        <f aca="false" t="array" ref="F92:F92">ROUND(Paramètres!$B$40*$A92^Paramètres!$B$41*INDEX(Paramètres!$H$6:$H$12,5),0)</f>
        <v>1674</v>
      </c>
      <c r="G92" s="19" t="n">
        <f aca="false" t="array" ref="G92:G92">ROUND(Paramètres!$B$40*$A92^Paramètres!$B$41*INDEX(Paramètres!$H$6:$H$12,6),0)</f>
        <v>1993</v>
      </c>
      <c r="H92" s="19" t="n">
        <f aca="false" t="array" ref="H92:H92">ROUND(Paramètres!$B$40*$A92^Paramètres!$B$41*INDEX(Paramètres!$H$6:$H$12,7),0)</f>
        <v>2391</v>
      </c>
      <c r="J92" s="19" t="n">
        <f aca="false">SUM(B$6:B92)</f>
        <v>31218</v>
      </c>
      <c r="K92" s="19" t="n">
        <f aca="false">SUM(C$6:C92)</f>
        <v>37463</v>
      </c>
      <c r="L92" s="19" t="n">
        <f aca="false">SUM(D$6:D92)</f>
        <v>45267</v>
      </c>
      <c r="M92" s="19" t="n">
        <f aca="false">SUM(E$6:E92)</f>
        <v>54632</v>
      </c>
      <c r="N92" s="19" t="n">
        <f aca="false">SUM(F$6:F92)</f>
        <v>65565</v>
      </c>
      <c r="O92" s="19" t="n">
        <f aca="false">SUM(G$6:G92)</f>
        <v>78052</v>
      </c>
      <c r="P92" s="19" t="n">
        <f aca="false">SUM(H$6:H92)</f>
        <v>93665</v>
      </c>
    </row>
    <row r="93" customFormat="false" ht="15.75" hidden="false" customHeight="true" outlineLevel="0" collapsed="false">
      <c r="A93" s="18" t="n">
        <v>88</v>
      </c>
      <c r="B93" s="19" t="n">
        <f aca="false" t="array" ref="B93:B93">ROUND(Paramètres!$B$40*$A93^Paramètres!$B$41*INDEX(Paramètres!$H$6:$H$12,1),0)</f>
        <v>809</v>
      </c>
      <c r="C93" s="19" t="n">
        <f aca="false" t="array" ref="C93:C93">ROUND(Paramètres!$B$40*$A93^Paramètres!$B$41*INDEX(Paramètres!$H$6:$H$12,2),0)</f>
        <v>970</v>
      </c>
      <c r="D93" s="19" t="n">
        <f aca="false" t="array" ref="D93:D93">ROUND(Paramètres!$B$40*$A93^Paramètres!$B$41*INDEX(Paramètres!$H$6:$H$12,3),0)</f>
        <v>1172</v>
      </c>
      <c r="E93" s="19" t="n">
        <f aca="false" t="array" ref="E93:E93">ROUND(Paramètres!$B$40*$A93^Paramètres!$B$41*INDEX(Paramètres!$H$6:$H$12,4),0)</f>
        <v>1415</v>
      </c>
      <c r="F93" s="19" t="n">
        <f aca="false" t="array" ref="F93:F93">ROUND(Paramètres!$B$40*$A93^Paramètres!$B$41*INDEX(Paramètres!$H$6:$H$12,5),0)</f>
        <v>1698</v>
      </c>
      <c r="G93" s="19" t="n">
        <f aca="false" t="array" ref="G93:G93">ROUND(Paramètres!$B$40*$A93^Paramètres!$B$41*INDEX(Paramètres!$H$6:$H$12,6),0)</f>
        <v>2021</v>
      </c>
      <c r="H93" s="19" t="n">
        <f aca="false" t="array" ref="H93:H93">ROUND(Paramètres!$B$40*$A93^Paramètres!$B$41*INDEX(Paramètres!$H$6:$H$12,7),0)</f>
        <v>2426</v>
      </c>
      <c r="J93" s="19" t="n">
        <f aca="false">SUM(B$6:B93)</f>
        <v>32027</v>
      </c>
      <c r="K93" s="19" t="n">
        <f aca="false">SUM(C$6:C93)</f>
        <v>38433</v>
      </c>
      <c r="L93" s="19" t="n">
        <f aca="false">SUM(D$6:D93)</f>
        <v>46439</v>
      </c>
      <c r="M93" s="19" t="n">
        <f aca="false">SUM(E$6:E93)</f>
        <v>56047</v>
      </c>
      <c r="N93" s="19" t="n">
        <f aca="false">SUM(F$6:F93)</f>
        <v>67263</v>
      </c>
      <c r="O93" s="19" t="n">
        <f aca="false">SUM(G$6:G93)</f>
        <v>80073</v>
      </c>
      <c r="P93" s="19" t="n">
        <f aca="false">SUM(H$6:H93)</f>
        <v>96091</v>
      </c>
    </row>
    <row r="94" customFormat="false" ht="15.75" hidden="false" customHeight="true" outlineLevel="0" collapsed="false">
      <c r="A94" s="18" t="n">
        <v>89</v>
      </c>
      <c r="B94" s="19" t="n">
        <f aca="false" t="array" ref="B94:B94">ROUND(Paramètres!$B$40*$A94^Paramètres!$B$41*INDEX(Paramètres!$H$6:$H$12,1),0)</f>
        <v>820</v>
      </c>
      <c r="C94" s="19" t="n">
        <f aca="false" t="array" ref="C94:C94">ROUND(Paramètres!$B$40*$A94^Paramètres!$B$41*INDEX(Paramètres!$H$6:$H$12,2),0)</f>
        <v>984</v>
      </c>
      <c r="D94" s="19" t="n">
        <f aca="false" t="array" ref="D94:D94">ROUND(Paramètres!$B$40*$A94^Paramètres!$B$41*INDEX(Paramètres!$H$6:$H$12,3),0)</f>
        <v>1189</v>
      </c>
      <c r="E94" s="19" t="n">
        <f aca="false" t="array" ref="E94:E94">ROUND(Paramètres!$B$40*$A94^Paramètres!$B$41*INDEX(Paramètres!$H$6:$H$12,4),0)</f>
        <v>1435</v>
      </c>
      <c r="F94" s="19" t="n">
        <f aca="false" t="array" ref="F94:F94">ROUND(Paramètres!$B$40*$A94^Paramètres!$B$41*INDEX(Paramètres!$H$6:$H$12,5),0)</f>
        <v>1722</v>
      </c>
      <c r="G94" s="19" t="n">
        <f aca="false" t="array" ref="G94:G94">ROUND(Paramètres!$B$40*$A94^Paramètres!$B$41*INDEX(Paramètres!$H$6:$H$12,6),0)</f>
        <v>2050</v>
      </c>
      <c r="H94" s="19" t="n">
        <f aca="false" t="array" ref="H94:H94">ROUND(Paramètres!$B$40*$A94^Paramètres!$B$41*INDEX(Paramètres!$H$6:$H$12,7),0)</f>
        <v>2460</v>
      </c>
      <c r="J94" s="19" t="n">
        <f aca="false">SUM(B$6:B94)</f>
        <v>32847</v>
      </c>
      <c r="K94" s="19" t="n">
        <f aca="false">SUM(C$6:C94)</f>
        <v>39417</v>
      </c>
      <c r="L94" s="19" t="n">
        <f aca="false">SUM(D$6:D94)</f>
        <v>47628</v>
      </c>
      <c r="M94" s="19" t="n">
        <f aca="false">SUM(E$6:E94)</f>
        <v>57482</v>
      </c>
      <c r="N94" s="19" t="n">
        <f aca="false">SUM(F$6:F94)</f>
        <v>68985</v>
      </c>
      <c r="O94" s="19" t="n">
        <f aca="false">SUM(G$6:G94)</f>
        <v>82123</v>
      </c>
      <c r="P94" s="19" t="n">
        <f aca="false">SUM(H$6:H94)</f>
        <v>98551</v>
      </c>
    </row>
    <row r="95" customFormat="false" ht="15.75" hidden="false" customHeight="true" outlineLevel="0" collapsed="false">
      <c r="A95" s="18" t="n">
        <v>90</v>
      </c>
      <c r="B95" s="19" t="n">
        <f aca="false" t="array" ref="B95:B95">ROUND(Paramètres!$B$40*$A95^Paramètres!$B$41*INDEX(Paramètres!$H$6:$H$12,1),0)</f>
        <v>832</v>
      </c>
      <c r="C95" s="19" t="n">
        <f aca="false" t="array" ref="C95:C95">ROUND(Paramètres!$B$40*$A95^Paramètres!$B$41*INDEX(Paramètres!$H$6:$H$12,2),0)</f>
        <v>998</v>
      </c>
      <c r="D95" s="19" t="n">
        <f aca="false" t="array" ref="D95:D95">ROUND(Paramètres!$B$40*$A95^Paramètres!$B$41*INDEX(Paramètres!$H$6:$H$12,3),0)</f>
        <v>1206</v>
      </c>
      <c r="E95" s="19" t="n">
        <f aca="false" t="array" ref="E95:E95">ROUND(Paramètres!$B$40*$A95^Paramètres!$B$41*INDEX(Paramètres!$H$6:$H$12,4),0)</f>
        <v>1455</v>
      </c>
      <c r="F95" s="19" t="n">
        <f aca="false" t="array" ref="F95:F95">ROUND(Paramètres!$B$40*$A95^Paramètres!$B$41*INDEX(Paramètres!$H$6:$H$12,5),0)</f>
        <v>1746</v>
      </c>
      <c r="G95" s="19" t="n">
        <f aca="false" t="array" ref="G95:G95">ROUND(Paramètres!$B$40*$A95^Paramètres!$B$41*INDEX(Paramètres!$H$6:$H$12,6),0)</f>
        <v>2079</v>
      </c>
      <c r="H95" s="19" t="n">
        <f aca="false" t="array" ref="H95:H95">ROUND(Paramètres!$B$40*$A95^Paramètres!$B$41*INDEX(Paramètres!$H$6:$H$12,7),0)</f>
        <v>2495</v>
      </c>
      <c r="J95" s="19" t="n">
        <f aca="false">SUM(B$6:B95)</f>
        <v>33679</v>
      </c>
      <c r="K95" s="19" t="n">
        <f aca="false">SUM(C$6:C95)</f>
        <v>40415</v>
      </c>
      <c r="L95" s="19" t="n">
        <f aca="false">SUM(D$6:D95)</f>
        <v>48834</v>
      </c>
      <c r="M95" s="19" t="n">
        <f aca="false">SUM(E$6:E95)</f>
        <v>58937</v>
      </c>
      <c r="N95" s="19" t="n">
        <f aca="false">SUM(F$6:F95)</f>
        <v>70731</v>
      </c>
      <c r="O95" s="19" t="n">
        <f aca="false">SUM(G$6:G95)</f>
        <v>84202</v>
      </c>
      <c r="P95" s="19" t="n">
        <f aca="false">SUM(H$6:H95)</f>
        <v>101046</v>
      </c>
    </row>
    <row r="96" customFormat="false" ht="15.75" hidden="false" customHeight="true" outlineLevel="0" collapsed="false">
      <c r="A96" s="18" t="n">
        <v>91</v>
      </c>
      <c r="B96" s="19" t="n">
        <f aca="false" t="array" ref="B96:B96">ROUND(Paramètres!$B$40*$A96^Paramètres!$B$41*INDEX(Paramètres!$H$6:$H$12,1),0)</f>
        <v>843</v>
      </c>
      <c r="C96" s="19" t="n">
        <f aca="false" t="array" ref="C96:C96">ROUND(Paramètres!$B$40*$A96^Paramètres!$B$41*INDEX(Paramètres!$H$6:$H$12,2),0)</f>
        <v>1012</v>
      </c>
      <c r="D96" s="19" t="n">
        <f aca="false" t="array" ref="D96:D96">ROUND(Paramètres!$B$40*$A96^Paramètres!$B$41*INDEX(Paramètres!$H$6:$H$12,3),0)</f>
        <v>1223</v>
      </c>
      <c r="E96" s="19" t="n">
        <f aca="false" t="array" ref="E96:E96">ROUND(Paramètres!$B$40*$A96^Paramètres!$B$41*INDEX(Paramètres!$H$6:$H$12,4),0)</f>
        <v>1476</v>
      </c>
      <c r="F96" s="19" t="n">
        <f aca="false" t="array" ref="F96:F96">ROUND(Paramètres!$B$40*$A96^Paramètres!$B$41*INDEX(Paramètres!$H$6:$H$12,5),0)</f>
        <v>1771</v>
      </c>
      <c r="G96" s="19" t="n">
        <f aca="false" t="array" ref="G96:G96">ROUND(Paramètres!$B$40*$A96^Paramètres!$B$41*INDEX(Paramètres!$H$6:$H$12,6),0)</f>
        <v>2108</v>
      </c>
      <c r="H96" s="19" t="n">
        <f aca="false" t="array" ref="H96:H96">ROUND(Paramètres!$B$40*$A96^Paramètres!$B$41*INDEX(Paramètres!$H$6:$H$12,7),0)</f>
        <v>2530</v>
      </c>
      <c r="J96" s="19" t="n">
        <f aca="false">SUM(B$6:B96)</f>
        <v>34522</v>
      </c>
      <c r="K96" s="19" t="n">
        <f aca="false">SUM(C$6:C96)</f>
        <v>41427</v>
      </c>
      <c r="L96" s="19" t="n">
        <f aca="false">SUM(D$6:D96)</f>
        <v>50057</v>
      </c>
      <c r="M96" s="19" t="n">
        <f aca="false">SUM(E$6:E96)</f>
        <v>60413</v>
      </c>
      <c r="N96" s="19" t="n">
        <f aca="false">SUM(F$6:F96)</f>
        <v>72502</v>
      </c>
      <c r="O96" s="19" t="n">
        <f aca="false">SUM(G$6:G96)</f>
        <v>86310</v>
      </c>
      <c r="P96" s="19" t="n">
        <f aca="false">SUM(H$6:H96)</f>
        <v>103576</v>
      </c>
    </row>
    <row r="97" customFormat="false" ht="15.75" hidden="false" customHeight="true" outlineLevel="0" collapsed="false">
      <c r="A97" s="18" t="n">
        <v>92</v>
      </c>
      <c r="B97" s="19" t="n">
        <f aca="false" t="array" ref="B97:B97">ROUND(Paramètres!$B$40*$A97^Paramètres!$B$41*INDEX(Paramètres!$H$6:$H$12,1),0)</f>
        <v>855</v>
      </c>
      <c r="C97" s="19" t="n">
        <f aca="false" t="array" ref="C97:C97">ROUND(Paramètres!$B$40*$A97^Paramètres!$B$41*INDEX(Paramètres!$H$6:$H$12,2),0)</f>
        <v>1026</v>
      </c>
      <c r="D97" s="19" t="n">
        <f aca="false" t="array" ref="D97:D97">ROUND(Paramètres!$B$40*$A97^Paramètres!$B$41*INDEX(Paramètres!$H$6:$H$12,3),0)</f>
        <v>1239</v>
      </c>
      <c r="E97" s="19" t="n">
        <f aca="false" t="array" ref="E97:E97">ROUND(Paramètres!$B$40*$A97^Paramètres!$B$41*INDEX(Paramètres!$H$6:$H$12,4),0)</f>
        <v>1496</v>
      </c>
      <c r="F97" s="19" t="n">
        <f aca="false" t="array" ref="F97:F97">ROUND(Paramètres!$B$40*$A97^Paramètres!$B$41*INDEX(Paramètres!$H$6:$H$12,5),0)</f>
        <v>1795</v>
      </c>
      <c r="G97" s="19" t="n">
        <f aca="false" t="array" ref="G97:G97">ROUND(Paramètres!$B$40*$A97^Paramètres!$B$41*INDEX(Paramètres!$H$6:$H$12,6),0)</f>
        <v>2137</v>
      </c>
      <c r="H97" s="19" t="n">
        <f aca="false" t="array" ref="H97:H97">ROUND(Paramètres!$B$40*$A97^Paramètres!$B$41*INDEX(Paramètres!$H$6:$H$12,7),0)</f>
        <v>2564</v>
      </c>
      <c r="J97" s="19" t="n">
        <f aca="false">SUM(B$6:B97)</f>
        <v>35377</v>
      </c>
      <c r="K97" s="19" t="n">
        <f aca="false">SUM(C$6:C97)</f>
        <v>42453</v>
      </c>
      <c r="L97" s="19" t="n">
        <f aca="false">SUM(D$6:D97)</f>
        <v>51296</v>
      </c>
      <c r="M97" s="19" t="n">
        <f aca="false">SUM(E$6:E97)</f>
        <v>61909</v>
      </c>
      <c r="N97" s="19" t="n">
        <f aca="false">SUM(F$6:F97)</f>
        <v>74297</v>
      </c>
      <c r="O97" s="19" t="n">
        <f aca="false">SUM(G$6:G97)</f>
        <v>88447</v>
      </c>
      <c r="P97" s="19" t="n">
        <f aca="false">SUM(H$6:H97)</f>
        <v>106140</v>
      </c>
    </row>
    <row r="98" customFormat="false" ht="15.75" hidden="false" customHeight="true" outlineLevel="0" collapsed="false">
      <c r="A98" s="18" t="n">
        <v>93</v>
      </c>
      <c r="B98" s="19" t="n">
        <f aca="false" t="array" ref="B98:B98">ROUND(Paramètres!$B$40*$A98^Paramètres!$B$41*INDEX(Paramètres!$H$6:$H$12,1),0)</f>
        <v>866</v>
      </c>
      <c r="C98" s="19" t="n">
        <f aca="false" t="array" ref="C98:C98">ROUND(Paramètres!$B$40*$A98^Paramètres!$B$41*INDEX(Paramètres!$H$6:$H$12,2),0)</f>
        <v>1040</v>
      </c>
      <c r="D98" s="19" t="n">
        <f aca="false" t="array" ref="D98:D98">ROUND(Paramètres!$B$40*$A98^Paramètres!$B$41*INDEX(Paramètres!$H$6:$H$12,3),0)</f>
        <v>1256</v>
      </c>
      <c r="E98" s="19" t="n">
        <f aca="false" t="array" ref="E98:E98">ROUND(Paramètres!$B$40*$A98^Paramètres!$B$41*INDEX(Paramètres!$H$6:$H$12,4),0)</f>
        <v>1516</v>
      </c>
      <c r="F98" s="19" t="n">
        <f aca="false" t="array" ref="F98:F98">ROUND(Paramètres!$B$40*$A98^Paramètres!$B$41*INDEX(Paramètres!$H$6:$H$12,5),0)</f>
        <v>1819</v>
      </c>
      <c r="G98" s="19" t="n">
        <f aca="false" t="array" ref="G98:G98">ROUND(Paramètres!$B$40*$A98^Paramètres!$B$41*INDEX(Paramètres!$H$6:$H$12,6),0)</f>
        <v>2166</v>
      </c>
      <c r="H98" s="19" t="n">
        <f aca="false" t="array" ref="H98:H98">ROUND(Paramètres!$B$40*$A98^Paramètres!$B$41*INDEX(Paramètres!$H$6:$H$12,7),0)</f>
        <v>2599</v>
      </c>
      <c r="J98" s="19" t="n">
        <f aca="false">SUM(B$6:B98)</f>
        <v>36243</v>
      </c>
      <c r="K98" s="19" t="n">
        <f aca="false">SUM(C$6:C98)</f>
        <v>43493</v>
      </c>
      <c r="L98" s="19" t="n">
        <f aca="false">SUM(D$6:D98)</f>
        <v>52552</v>
      </c>
      <c r="M98" s="19" t="n">
        <f aca="false">SUM(E$6:E98)</f>
        <v>63425</v>
      </c>
      <c r="N98" s="19" t="n">
        <f aca="false">SUM(F$6:F98)</f>
        <v>76116</v>
      </c>
      <c r="O98" s="19" t="n">
        <f aca="false">SUM(G$6:G98)</f>
        <v>90613</v>
      </c>
      <c r="P98" s="19" t="n">
        <f aca="false">SUM(H$6:H98)</f>
        <v>108739</v>
      </c>
    </row>
    <row r="99" customFormat="false" ht="15.75" hidden="false" customHeight="true" outlineLevel="0" collapsed="false">
      <c r="A99" s="18" t="n">
        <v>94</v>
      </c>
      <c r="B99" s="19" t="n">
        <f aca="false" t="array" ref="B99:B99">ROUND(Paramètres!$B$40*$A99^Paramètres!$B$41*INDEX(Paramètres!$H$6:$H$12,1),0)</f>
        <v>878</v>
      </c>
      <c r="C99" s="19" t="n">
        <f aca="false" t="array" ref="C99:C99">ROUND(Paramètres!$B$40*$A99^Paramètres!$B$41*INDEX(Paramètres!$H$6:$H$12,2),0)</f>
        <v>1054</v>
      </c>
      <c r="D99" s="19" t="n">
        <f aca="false" t="array" ref="D99:D99">ROUND(Paramètres!$B$40*$A99^Paramètres!$B$41*INDEX(Paramètres!$H$6:$H$12,3),0)</f>
        <v>1273</v>
      </c>
      <c r="E99" s="19" t="n">
        <f aca="false" t="array" ref="E99:E99">ROUND(Paramètres!$B$40*$A99^Paramètres!$B$41*INDEX(Paramètres!$H$6:$H$12,4),0)</f>
        <v>1537</v>
      </c>
      <c r="F99" s="19" t="n">
        <f aca="false" t="array" ref="F99:F99">ROUND(Paramètres!$B$40*$A99^Paramètres!$B$41*INDEX(Paramètres!$H$6:$H$12,5),0)</f>
        <v>1844</v>
      </c>
      <c r="G99" s="19" t="n">
        <f aca="false" t="array" ref="G99:G99">ROUND(Paramètres!$B$40*$A99^Paramètres!$B$41*INDEX(Paramètres!$H$6:$H$12,6),0)</f>
        <v>2195</v>
      </c>
      <c r="H99" s="19" t="n">
        <f aca="false" t="array" ref="H99:H99">ROUND(Paramètres!$B$40*$A99^Paramètres!$B$41*INDEX(Paramètres!$H$6:$H$12,7),0)</f>
        <v>2634</v>
      </c>
      <c r="J99" s="19" t="n">
        <f aca="false">SUM(B$6:B99)</f>
        <v>37121</v>
      </c>
      <c r="K99" s="19" t="n">
        <f aca="false">SUM(C$6:C99)</f>
        <v>44547</v>
      </c>
      <c r="L99" s="19" t="n">
        <f aca="false">SUM(D$6:D99)</f>
        <v>53825</v>
      </c>
      <c r="M99" s="19" t="n">
        <f aca="false">SUM(E$6:E99)</f>
        <v>64962</v>
      </c>
      <c r="N99" s="19" t="n">
        <f aca="false">SUM(F$6:F99)</f>
        <v>77960</v>
      </c>
      <c r="O99" s="19" t="n">
        <f aca="false">SUM(G$6:G99)</f>
        <v>92808</v>
      </c>
      <c r="P99" s="19" t="n">
        <f aca="false">SUM(H$6:H99)</f>
        <v>111373</v>
      </c>
    </row>
    <row r="100" customFormat="false" ht="15.75" hidden="false" customHeight="true" outlineLevel="0" collapsed="false">
      <c r="A100" s="18" t="n">
        <v>95</v>
      </c>
      <c r="B100" s="19" t="n">
        <f aca="false" t="array" ref="B100:B100">ROUND(Paramètres!$B$40*$A100^Paramètres!$B$41*INDEX(Paramètres!$H$6:$H$12,1),0)</f>
        <v>890</v>
      </c>
      <c r="C100" s="19" t="n">
        <f aca="false" t="array" ref="C100:C100">ROUND(Paramètres!$B$40*$A100^Paramètres!$B$41*INDEX(Paramètres!$H$6:$H$12,2),0)</f>
        <v>1068</v>
      </c>
      <c r="D100" s="19" t="n">
        <f aca="false" t="array" ref="D100:D100">ROUND(Paramètres!$B$40*$A100^Paramètres!$B$41*INDEX(Paramètres!$H$6:$H$12,3),0)</f>
        <v>1290</v>
      </c>
      <c r="E100" s="19" t="n">
        <f aca="false" t="array" ref="E100:E100">ROUND(Paramètres!$B$40*$A100^Paramètres!$B$41*INDEX(Paramètres!$H$6:$H$12,4),0)</f>
        <v>1557</v>
      </c>
      <c r="F100" s="19" t="n">
        <f aca="false" t="array" ref="F100:F100">ROUND(Paramètres!$B$40*$A100^Paramètres!$B$41*INDEX(Paramètres!$H$6:$H$12,5),0)</f>
        <v>1869</v>
      </c>
      <c r="G100" s="19" t="n">
        <f aca="false" t="array" ref="G100:G100">ROUND(Paramètres!$B$40*$A100^Paramètres!$B$41*INDEX(Paramètres!$H$6:$H$12,6),0)</f>
        <v>2224</v>
      </c>
      <c r="H100" s="19" t="n">
        <f aca="false" t="array" ref="H100:H100">ROUND(Paramètres!$B$40*$A100^Paramètres!$B$41*INDEX(Paramètres!$H$6:$H$12,7),0)</f>
        <v>2669</v>
      </c>
      <c r="J100" s="19" t="n">
        <f aca="false">SUM(B$6:B100)</f>
        <v>38011</v>
      </c>
      <c r="K100" s="19" t="n">
        <f aca="false">SUM(C$6:C100)</f>
        <v>45615</v>
      </c>
      <c r="L100" s="19" t="n">
        <f aca="false">SUM(D$6:D100)</f>
        <v>55115</v>
      </c>
      <c r="M100" s="19" t="n">
        <f aca="false">SUM(E$6:E100)</f>
        <v>66519</v>
      </c>
      <c r="N100" s="19" t="n">
        <f aca="false">SUM(F$6:F100)</f>
        <v>79829</v>
      </c>
      <c r="O100" s="19" t="n">
        <f aca="false">SUM(G$6:G100)</f>
        <v>95032</v>
      </c>
      <c r="P100" s="19" t="n">
        <f aca="false">SUM(H$6:H100)</f>
        <v>114042</v>
      </c>
    </row>
    <row r="101" customFormat="false" ht="15.75" hidden="false" customHeight="true" outlineLevel="0" collapsed="false">
      <c r="A101" s="18" t="n">
        <v>96</v>
      </c>
      <c r="B101" s="19" t="n">
        <f aca="false" t="array" ref="B101:B101">ROUND(Paramètres!$B$40*$A101^Paramètres!$B$41*INDEX(Paramètres!$H$6:$H$12,1),0)</f>
        <v>901</v>
      </c>
      <c r="C101" s="19" t="n">
        <f aca="false" t="array" ref="C101:C101">ROUND(Paramètres!$B$40*$A101^Paramètres!$B$41*INDEX(Paramètres!$H$6:$H$12,2),0)</f>
        <v>1082</v>
      </c>
      <c r="D101" s="19" t="n">
        <f aca="false" t="array" ref="D101:D101">ROUND(Paramètres!$B$40*$A101^Paramètres!$B$41*INDEX(Paramètres!$H$6:$H$12,3),0)</f>
        <v>1307</v>
      </c>
      <c r="E101" s="19" t="n">
        <f aca="false" t="array" ref="E101:E101">ROUND(Paramètres!$B$40*$A101^Paramètres!$B$41*INDEX(Paramètres!$H$6:$H$12,4),0)</f>
        <v>1578</v>
      </c>
      <c r="F101" s="19" t="n">
        <f aca="false" t="array" ref="F101:F101">ROUND(Paramètres!$B$40*$A101^Paramètres!$B$41*INDEX(Paramètres!$H$6:$H$12,5),0)</f>
        <v>1893</v>
      </c>
      <c r="G101" s="19" t="n">
        <f aca="false" t="array" ref="G101:G101">ROUND(Paramètres!$B$40*$A101^Paramètres!$B$41*INDEX(Paramètres!$H$6:$H$12,6),0)</f>
        <v>2254</v>
      </c>
      <c r="H101" s="19" t="n">
        <f aca="false" t="array" ref="H101:H101">ROUND(Paramètres!$B$40*$A101^Paramètres!$B$41*INDEX(Paramètres!$H$6:$H$12,7),0)</f>
        <v>2704</v>
      </c>
      <c r="J101" s="19" t="n">
        <f aca="false">SUM(B$6:B101)</f>
        <v>38912</v>
      </c>
      <c r="K101" s="19" t="n">
        <f aca="false">SUM(C$6:C101)</f>
        <v>46697</v>
      </c>
      <c r="L101" s="19" t="n">
        <f aca="false">SUM(D$6:D101)</f>
        <v>56422</v>
      </c>
      <c r="M101" s="19" t="n">
        <f aca="false">SUM(E$6:E101)</f>
        <v>68097</v>
      </c>
      <c r="N101" s="19" t="n">
        <f aca="false">SUM(F$6:F101)</f>
        <v>81722</v>
      </c>
      <c r="O101" s="19" t="n">
        <f aca="false">SUM(G$6:G101)</f>
        <v>97286</v>
      </c>
      <c r="P101" s="19" t="n">
        <f aca="false">SUM(H$6:H101)</f>
        <v>116746</v>
      </c>
    </row>
    <row r="102" customFormat="false" ht="15.75" hidden="false" customHeight="true" outlineLevel="0" collapsed="false">
      <c r="A102" s="18" t="n">
        <v>97</v>
      </c>
      <c r="B102" s="19" t="n">
        <f aca="false" t="array" ref="B102:B102">ROUND(Paramètres!$B$40*$A102^Paramètres!$B$41*INDEX(Paramètres!$H$6:$H$12,1),0)</f>
        <v>913</v>
      </c>
      <c r="C102" s="19" t="n">
        <f aca="false" t="array" ref="C102:C102">ROUND(Paramètres!$B$40*$A102^Paramètres!$B$41*INDEX(Paramètres!$H$6:$H$12,2),0)</f>
        <v>1096</v>
      </c>
      <c r="D102" s="19" t="n">
        <f aca="false" t="array" ref="D102:D102">ROUND(Paramètres!$B$40*$A102^Paramètres!$B$41*INDEX(Paramètres!$H$6:$H$12,3),0)</f>
        <v>1324</v>
      </c>
      <c r="E102" s="19" t="n">
        <f aca="false" t="array" ref="E102:E102">ROUND(Paramètres!$B$40*$A102^Paramètres!$B$41*INDEX(Paramètres!$H$6:$H$12,4),0)</f>
        <v>1598</v>
      </c>
      <c r="F102" s="19" t="n">
        <f aca="false" t="array" ref="F102:F102">ROUND(Paramètres!$B$40*$A102^Paramètres!$B$41*INDEX(Paramètres!$H$6:$H$12,5),0)</f>
        <v>1918</v>
      </c>
      <c r="G102" s="19" t="n">
        <f aca="false" t="array" ref="G102:G102">ROUND(Paramètres!$B$40*$A102^Paramètres!$B$41*INDEX(Paramètres!$H$6:$H$12,6),0)</f>
        <v>2283</v>
      </c>
      <c r="H102" s="19" t="n">
        <f aca="false" t="array" ref="H102:H102">ROUND(Paramètres!$B$40*$A102^Paramètres!$B$41*INDEX(Paramètres!$H$6:$H$12,7),0)</f>
        <v>2740</v>
      </c>
      <c r="J102" s="19" t="n">
        <f aca="false">SUM(B$6:B102)</f>
        <v>39825</v>
      </c>
      <c r="K102" s="19" t="n">
        <f aca="false">SUM(C$6:C102)</f>
        <v>47793</v>
      </c>
      <c r="L102" s="19" t="n">
        <f aca="false">SUM(D$6:D102)</f>
        <v>57746</v>
      </c>
      <c r="M102" s="19" t="n">
        <f aca="false">SUM(E$6:E102)</f>
        <v>69695</v>
      </c>
      <c r="N102" s="19" t="n">
        <f aca="false">SUM(F$6:F102)</f>
        <v>83640</v>
      </c>
      <c r="O102" s="19" t="n">
        <f aca="false">SUM(G$6:G102)</f>
        <v>99569</v>
      </c>
      <c r="P102" s="19" t="n">
        <f aca="false">SUM(H$6:H102)</f>
        <v>119486</v>
      </c>
    </row>
    <row r="103" customFormat="false" ht="15.75" hidden="false" customHeight="true" outlineLevel="0" collapsed="false">
      <c r="A103" s="18" t="n">
        <v>98</v>
      </c>
      <c r="B103" s="19" t="n">
        <f aca="false" t="array" ref="B103:B103">ROUND(Paramètres!$B$40*$A103^Paramètres!$B$41*INDEX(Paramètres!$H$6:$H$12,1),0)</f>
        <v>925</v>
      </c>
      <c r="C103" s="19" t="n">
        <f aca="false" t="array" ref="C103:C103">ROUND(Paramètres!$B$40*$A103^Paramètres!$B$41*INDEX(Paramètres!$H$6:$H$12,2),0)</f>
        <v>1110</v>
      </c>
      <c r="D103" s="19" t="n">
        <f aca="false" t="array" ref="D103:D103">ROUND(Paramètres!$B$40*$A103^Paramètres!$B$41*INDEX(Paramètres!$H$6:$H$12,3),0)</f>
        <v>1341</v>
      </c>
      <c r="E103" s="19" t="n">
        <f aca="false" t="array" ref="E103:E103">ROUND(Paramètres!$B$40*$A103^Paramètres!$B$41*INDEX(Paramètres!$H$6:$H$12,4),0)</f>
        <v>1619</v>
      </c>
      <c r="F103" s="19" t="n">
        <f aca="false" t="array" ref="F103:F103">ROUND(Paramètres!$B$40*$A103^Paramètres!$B$41*INDEX(Paramètres!$H$6:$H$12,5),0)</f>
        <v>1943</v>
      </c>
      <c r="G103" s="19" t="n">
        <f aca="false" t="array" ref="G103:G103">ROUND(Paramètres!$B$40*$A103^Paramètres!$B$41*INDEX(Paramètres!$H$6:$H$12,6),0)</f>
        <v>2313</v>
      </c>
      <c r="H103" s="19" t="n">
        <f aca="false" t="array" ref="H103:H103">ROUND(Paramètres!$B$40*$A103^Paramètres!$B$41*INDEX(Paramètres!$H$6:$H$12,7),0)</f>
        <v>2775</v>
      </c>
      <c r="J103" s="19" t="n">
        <f aca="false">SUM(B$6:B103)</f>
        <v>40750</v>
      </c>
      <c r="K103" s="19" t="n">
        <f aca="false">SUM(C$6:C103)</f>
        <v>48903</v>
      </c>
      <c r="L103" s="19" t="n">
        <f aca="false">SUM(D$6:D103)</f>
        <v>59087</v>
      </c>
      <c r="M103" s="19" t="n">
        <f aca="false">SUM(E$6:E103)</f>
        <v>71314</v>
      </c>
      <c r="N103" s="19" t="n">
        <f aca="false">SUM(F$6:F103)</f>
        <v>85583</v>
      </c>
      <c r="O103" s="19" t="n">
        <f aca="false">SUM(G$6:G103)</f>
        <v>101882</v>
      </c>
      <c r="P103" s="19" t="n">
        <f aca="false">SUM(H$6:H103)</f>
        <v>122261</v>
      </c>
    </row>
    <row r="104" customFormat="false" ht="15.75" hidden="false" customHeight="true" outlineLevel="0" collapsed="false">
      <c r="A104" s="18" t="n">
        <v>99</v>
      </c>
      <c r="B104" s="19" t="n">
        <f aca="false" t="array" ref="B104:B104">ROUND(Paramètres!$B$40*$A104^Paramètres!$B$41*INDEX(Paramètres!$H$6:$H$12,1),0)</f>
        <v>937</v>
      </c>
      <c r="C104" s="19" t="n">
        <f aca="false" t="array" ref="C104:C104">ROUND(Paramètres!$B$40*$A104^Paramètres!$B$41*INDEX(Paramètres!$H$6:$H$12,2),0)</f>
        <v>1124</v>
      </c>
      <c r="D104" s="19" t="n">
        <f aca="false" t="array" ref="D104:D104">ROUND(Paramètres!$B$40*$A104^Paramètres!$B$41*INDEX(Paramètres!$H$6:$H$12,3),0)</f>
        <v>1358</v>
      </c>
      <c r="E104" s="19" t="n">
        <f aca="false" t="array" ref="E104:E104">ROUND(Paramètres!$B$40*$A104^Paramètres!$B$41*INDEX(Paramètres!$H$6:$H$12,4),0)</f>
        <v>1639</v>
      </c>
      <c r="F104" s="19" t="n">
        <f aca="false" t="array" ref="F104:F104">ROUND(Paramètres!$B$40*$A104^Paramètres!$B$41*INDEX(Paramètres!$H$6:$H$12,5),0)</f>
        <v>1967</v>
      </c>
      <c r="G104" s="19" t="n">
        <f aca="false" t="array" ref="G104:G104">ROUND(Paramètres!$B$40*$A104^Paramètres!$B$41*INDEX(Paramètres!$H$6:$H$12,6),0)</f>
        <v>2342</v>
      </c>
      <c r="H104" s="19" t="n">
        <f aca="false" t="array" ref="H104:H104">ROUND(Paramètres!$B$40*$A104^Paramètres!$B$41*INDEX(Paramètres!$H$6:$H$12,7),0)</f>
        <v>2811</v>
      </c>
      <c r="J104" s="19" t="n">
        <f aca="false">SUM(B$6:B104)</f>
        <v>41687</v>
      </c>
      <c r="K104" s="19" t="n">
        <f aca="false">SUM(C$6:C104)</f>
        <v>50027</v>
      </c>
      <c r="L104" s="19" t="n">
        <f aca="false">SUM(D$6:D104)</f>
        <v>60445</v>
      </c>
      <c r="M104" s="19" t="n">
        <f aca="false">SUM(E$6:E104)</f>
        <v>72953</v>
      </c>
      <c r="N104" s="19" t="n">
        <f aca="false">SUM(F$6:F104)</f>
        <v>87550</v>
      </c>
      <c r="O104" s="19" t="n">
        <f aca="false">SUM(G$6:G104)</f>
        <v>104224</v>
      </c>
      <c r="P104" s="19" t="n">
        <f aca="false">SUM(H$6:H104)</f>
        <v>125072</v>
      </c>
    </row>
    <row r="105" customFormat="false" ht="15.75" hidden="false" customHeight="true" outlineLevel="0" collapsed="false"/>
    <row r="106" customFormat="false" ht="15.75" hidden="false" customHeight="true" outlineLevel="0" collapsed="false">
      <c r="A106" s="12" t="s">
        <v>1245</v>
      </c>
    </row>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F5" activeCellId="0" sqref="F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3" min="2" style="1" width="10"/>
    <col collapsed="false" customWidth="true" hidden="false" outlineLevel="0" max="4" min="4" style="1" width="18.57"/>
    <col collapsed="false" customWidth="true" hidden="false" outlineLevel="0" max="5" min="5" style="1" width="20"/>
    <col collapsed="false" customWidth="true" hidden="false" outlineLevel="0" max="19" min="6" style="1" width="11"/>
    <col collapsed="false" customWidth="true" hidden="false" outlineLevel="0" max="20" min="20" style="1" width="3"/>
    <col collapsed="false" customWidth="true" hidden="false" outlineLevel="0" max="34" min="21" style="1" width="11"/>
  </cols>
  <sheetData>
    <row r="1" customFormat="false" ht="17.25" hidden="false" customHeight="true" outlineLevel="0" collapsed="false">
      <c r="A1" s="48" t="s">
        <v>1246</v>
      </c>
    </row>
    <row r="2" customFormat="false" ht="15" hidden="false" customHeight="true" outlineLevel="0" collapsed="false">
      <c r="A2" s="3" t="s">
        <v>1247</v>
      </c>
    </row>
    <row r="3" customFormat="false" ht="15" hidden="false" customHeight="true" outlineLevel="0" collapsed="false">
      <c r="F3" s="71" t="s">
        <v>1248</v>
      </c>
      <c r="G3" s="71"/>
      <c r="H3" s="71"/>
      <c r="I3" s="71"/>
      <c r="J3" s="71"/>
      <c r="K3" s="71"/>
      <c r="L3" s="71"/>
      <c r="M3" s="71"/>
      <c r="N3" s="71"/>
      <c r="O3" s="71"/>
      <c r="P3" s="71"/>
      <c r="Q3" s="71"/>
      <c r="R3" s="71"/>
      <c r="S3" s="71"/>
      <c r="U3" s="71" t="s">
        <v>1249</v>
      </c>
      <c r="V3" s="71"/>
      <c r="W3" s="71"/>
      <c r="X3" s="71"/>
      <c r="Y3" s="71"/>
      <c r="Z3" s="71"/>
      <c r="AA3" s="71"/>
      <c r="AB3" s="71"/>
      <c r="AC3" s="71"/>
      <c r="AD3" s="71"/>
      <c r="AE3" s="71"/>
      <c r="AF3" s="71"/>
      <c r="AG3" s="71"/>
      <c r="AH3" s="71"/>
    </row>
    <row r="4" customFormat="false" ht="43.5" hidden="false" customHeight="true" outlineLevel="0" collapsed="false">
      <c r="A4" s="13" t="s">
        <v>1085</v>
      </c>
      <c r="B4" s="13" t="s">
        <v>74</v>
      </c>
      <c r="C4" s="13" t="s">
        <v>75</v>
      </c>
      <c r="D4" s="13" t="s">
        <v>1064</v>
      </c>
      <c r="E4" s="13" t="s">
        <v>1250</v>
      </c>
      <c r="F4" s="13" t="s">
        <v>82</v>
      </c>
      <c r="G4" s="13" t="s">
        <v>83</v>
      </c>
      <c r="H4" s="13" t="s">
        <v>84</v>
      </c>
      <c r="I4" s="13" t="s">
        <v>85</v>
      </c>
      <c r="J4" s="13" t="s">
        <v>86</v>
      </c>
      <c r="K4" s="13" t="s">
        <v>67</v>
      </c>
      <c r="L4" s="13" t="s">
        <v>87</v>
      </c>
      <c r="M4" s="13" t="s">
        <v>88</v>
      </c>
      <c r="N4" s="13" t="s">
        <v>89</v>
      </c>
      <c r="O4" s="13" t="s">
        <v>90</v>
      </c>
      <c r="P4" s="13" t="s">
        <v>91</v>
      </c>
      <c r="Q4" s="13" t="s">
        <v>92</v>
      </c>
      <c r="R4" s="13" t="s">
        <v>93</v>
      </c>
      <c r="S4" s="13" t="s">
        <v>94</v>
      </c>
      <c r="U4" s="13" t="s">
        <v>82</v>
      </c>
      <c r="V4" s="13" t="s">
        <v>83</v>
      </c>
      <c r="W4" s="13" t="s">
        <v>84</v>
      </c>
      <c r="X4" s="13" t="s">
        <v>85</v>
      </c>
      <c r="Y4" s="13" t="s">
        <v>86</v>
      </c>
      <c r="Z4" s="13" t="s">
        <v>67</v>
      </c>
      <c r="AA4" s="13" t="s">
        <v>87</v>
      </c>
      <c r="AB4" s="13" t="s">
        <v>88</v>
      </c>
      <c r="AC4" s="13" t="s">
        <v>89</v>
      </c>
      <c r="AD4" s="13" t="s">
        <v>90</v>
      </c>
      <c r="AE4" s="13" t="s">
        <v>91</v>
      </c>
      <c r="AF4" s="13" t="s">
        <v>92</v>
      </c>
      <c r="AG4" s="13" t="s">
        <v>93</v>
      </c>
      <c r="AH4" s="13" t="s">
        <v>94</v>
      </c>
    </row>
    <row r="5" customFormat="false" ht="15" hidden="false" customHeight="true" outlineLevel="0" collapsed="false">
      <c r="A5" s="63" t="str">
        <f aca="false">B5&amp;"|"&amp;C5</f>
        <v>Guerrier|Chapeau</v>
      </c>
      <c r="B5" s="64" t="s">
        <v>27</v>
      </c>
      <c r="C5" s="64" t="s">
        <v>107</v>
      </c>
      <c r="D5" s="50" t="s">
        <v>1251</v>
      </c>
      <c r="E5" s="64" t="s">
        <v>1252</v>
      </c>
      <c r="F5" s="72" t="n">
        <v>1.6</v>
      </c>
      <c r="G5" s="72" t="n">
        <v>0.5</v>
      </c>
      <c r="H5" s="72" t="n">
        <v>1.2</v>
      </c>
      <c r="I5" s="72" t="n">
        <v>0</v>
      </c>
      <c r="J5" s="72" t="n">
        <v>0</v>
      </c>
      <c r="K5" s="72" t="n">
        <v>0</v>
      </c>
      <c r="L5" s="72" t="n">
        <v>0.4</v>
      </c>
      <c r="M5" s="72" t="n">
        <v>0</v>
      </c>
      <c r="N5" s="72" t="n">
        <v>0</v>
      </c>
      <c r="O5" s="72" t="n">
        <v>1.2</v>
      </c>
      <c r="P5" s="72" t="n">
        <v>0</v>
      </c>
      <c r="Q5" s="72" t="n">
        <v>0.6</v>
      </c>
      <c r="R5" s="72" t="n">
        <v>0</v>
      </c>
      <c r="S5" s="72" t="n">
        <v>1</v>
      </c>
      <c r="U5" s="73" t="n">
        <f aca="false">IF(F5=0,0,SUMPRODUCT(--($F5:$S5&gt;F5))+1)</f>
        <v>1</v>
      </c>
      <c r="V5" s="73" t="n">
        <f aca="false">IF(G5=0,0,SUMPRODUCT(--($F5:$S5&gt;G5))+SUMPRODUCT(--($F5:F5=G5))+1)</f>
        <v>6</v>
      </c>
      <c r="W5" s="73" t="n">
        <f aca="false">IF(H5=0,0,SUMPRODUCT(--($F5:$S5&gt;H5))+SUMPRODUCT(--($F5:G5=H5))+1)</f>
        <v>2</v>
      </c>
      <c r="X5" s="73" t="n">
        <f aca="false">IF(I5=0,0,SUMPRODUCT(--($F5:$S5&gt;I5))+SUMPRODUCT(--($F5:H5=I5))+1)</f>
        <v>0</v>
      </c>
      <c r="Y5" s="73" t="n">
        <f aca="false">IF(J5=0,0,SUMPRODUCT(--($F5:$S5&gt;J5))+SUMPRODUCT(--($F5:I5=J5))+1)</f>
        <v>0</v>
      </c>
      <c r="Z5" s="73" t="n">
        <f aca="false">IF(K5=0,0,SUMPRODUCT(--($F5:$S5&gt;K5))+SUMPRODUCT(--($F5:J5=K5))+1)</f>
        <v>0</v>
      </c>
      <c r="AA5" s="73" t="n">
        <f aca="false">IF(L5=0,0,SUMPRODUCT(--($F5:$S5&gt;L5))+SUMPRODUCT(--($F5:K5=L5))+1)</f>
        <v>7</v>
      </c>
      <c r="AB5" s="73" t="n">
        <f aca="false">IF(M5=0,0,SUMPRODUCT(--($F5:$S5&gt;M5))+SUMPRODUCT(--($F5:L5=M5))+1)</f>
        <v>0</v>
      </c>
      <c r="AC5" s="73" t="n">
        <f aca="false">IF(N5=0,0,SUMPRODUCT(--($F5:$S5&gt;N5))+SUMPRODUCT(--($F5:M5=N5))+1)</f>
        <v>0</v>
      </c>
      <c r="AD5" s="73" t="n">
        <f aca="false">IF(O5=0,0,SUMPRODUCT(--($F5:$S5&gt;O5))+SUMPRODUCT(--($F5:N5=O5))+1)</f>
        <v>3</v>
      </c>
      <c r="AE5" s="73" t="n">
        <f aca="false">IF(P5=0,0,SUMPRODUCT(--($F5:$S5&gt;P5))+SUMPRODUCT(--($F5:O5=P5))+1)</f>
        <v>0</v>
      </c>
      <c r="AF5" s="73" t="n">
        <f aca="false">IF(Q5=0,0,SUMPRODUCT(--($F5:$S5&gt;Q5))+SUMPRODUCT(--($F5:P5=Q5))+1)</f>
        <v>5</v>
      </c>
      <c r="AG5" s="73" t="n">
        <f aca="false">IF(R5=0,0,SUMPRODUCT(--($F5:$S5&gt;R5))+SUMPRODUCT(--($F5:Q5=R5))+1)</f>
        <v>0</v>
      </c>
      <c r="AH5" s="73" t="n">
        <f aca="false">IF(S5=0,0,SUMPRODUCT(--($F5:$S5&gt;S5))+SUMPRODUCT(--($F5:R5=S5))+1)</f>
        <v>4</v>
      </c>
    </row>
    <row r="6" customFormat="false" ht="15" hidden="false" customHeight="true" outlineLevel="0" collapsed="false">
      <c r="A6" s="63" t="str">
        <f aca="false">B6&amp;"|"&amp;C6</f>
        <v>Guerrier|Armure</v>
      </c>
      <c r="B6" s="64" t="s">
        <v>27</v>
      </c>
      <c r="C6" s="64" t="s">
        <v>90</v>
      </c>
      <c r="D6" s="50" t="s">
        <v>1253</v>
      </c>
      <c r="E6" s="64" t="s">
        <v>1252</v>
      </c>
      <c r="F6" s="72" t="n">
        <v>2.4</v>
      </c>
      <c r="G6" s="72" t="n">
        <v>0.8</v>
      </c>
      <c r="H6" s="72" t="n">
        <v>1.8</v>
      </c>
      <c r="I6" s="72" t="n">
        <v>0</v>
      </c>
      <c r="J6" s="72" t="n">
        <v>0.3</v>
      </c>
      <c r="K6" s="72" t="n">
        <v>0</v>
      </c>
      <c r="L6" s="72" t="n">
        <v>0</v>
      </c>
      <c r="M6" s="72" t="n">
        <v>0</v>
      </c>
      <c r="N6" s="72" t="n">
        <v>0</v>
      </c>
      <c r="O6" s="72" t="n">
        <v>2.2</v>
      </c>
      <c r="P6" s="72" t="n">
        <v>0</v>
      </c>
      <c r="Q6" s="72" t="n">
        <v>0.8</v>
      </c>
      <c r="R6" s="72" t="n">
        <v>0</v>
      </c>
      <c r="S6" s="72" t="n">
        <v>0.6</v>
      </c>
      <c r="U6" s="73" t="n">
        <f aca="false">IF(F6=0,0,SUMPRODUCT(--($F6:$S6&gt;F6))+1)</f>
        <v>1</v>
      </c>
      <c r="V6" s="73" t="n">
        <f aca="false">IF(G6=0,0,SUMPRODUCT(--($F6:$S6&gt;G6))+SUMPRODUCT(--($F6:F6=G6))+1)</f>
        <v>4</v>
      </c>
      <c r="W6" s="73" t="n">
        <f aca="false">IF(H6=0,0,SUMPRODUCT(--($F6:$S6&gt;H6))+SUMPRODUCT(--($F6:G6=H6))+1)</f>
        <v>3</v>
      </c>
      <c r="X6" s="73" t="n">
        <f aca="false">IF(I6=0,0,SUMPRODUCT(--($F6:$S6&gt;I6))+SUMPRODUCT(--($F6:H6=I6))+1)</f>
        <v>0</v>
      </c>
      <c r="Y6" s="73" t="n">
        <f aca="false">IF(J6=0,0,SUMPRODUCT(--($F6:$S6&gt;J6))+SUMPRODUCT(--($F6:I6=J6))+1)</f>
        <v>7</v>
      </c>
      <c r="Z6" s="73" t="n">
        <f aca="false">IF(K6=0,0,SUMPRODUCT(--($F6:$S6&gt;K6))+SUMPRODUCT(--($F6:J6=K6))+1)</f>
        <v>0</v>
      </c>
      <c r="AA6" s="73" t="n">
        <f aca="false">IF(L6=0,0,SUMPRODUCT(--($F6:$S6&gt;L6))+SUMPRODUCT(--($F6:K6=L6))+1)</f>
        <v>0</v>
      </c>
      <c r="AB6" s="73" t="n">
        <f aca="false">IF(M6=0,0,SUMPRODUCT(--($F6:$S6&gt;M6))+SUMPRODUCT(--($F6:L6=M6))+1)</f>
        <v>0</v>
      </c>
      <c r="AC6" s="73" t="n">
        <f aca="false">IF(N6=0,0,SUMPRODUCT(--($F6:$S6&gt;N6))+SUMPRODUCT(--($F6:M6=N6))+1)</f>
        <v>0</v>
      </c>
      <c r="AD6" s="73" t="n">
        <f aca="false">IF(O6=0,0,SUMPRODUCT(--($F6:$S6&gt;O6))+SUMPRODUCT(--($F6:N6=O6))+1)</f>
        <v>2</v>
      </c>
      <c r="AE6" s="73" t="n">
        <f aca="false">IF(P6=0,0,SUMPRODUCT(--($F6:$S6&gt;P6))+SUMPRODUCT(--($F6:O6=P6))+1)</f>
        <v>0</v>
      </c>
      <c r="AF6" s="73" t="n">
        <f aca="false">IF(Q6=0,0,SUMPRODUCT(--($F6:$S6&gt;Q6))+SUMPRODUCT(--($F6:P6=Q6))+1)</f>
        <v>5</v>
      </c>
      <c r="AG6" s="73" t="n">
        <f aca="false">IF(R6=0,0,SUMPRODUCT(--($F6:$S6&gt;R6))+SUMPRODUCT(--($F6:Q6=R6))+1)</f>
        <v>0</v>
      </c>
      <c r="AH6" s="73" t="n">
        <f aca="false">IF(S6=0,0,SUMPRODUCT(--($F6:$S6&gt;S6))+SUMPRODUCT(--($F6:R6=S6))+1)</f>
        <v>6</v>
      </c>
    </row>
    <row r="7" customFormat="false" ht="15" hidden="false" customHeight="true" outlineLevel="0" collapsed="false">
      <c r="A7" s="63" t="str">
        <f aca="false">B7&amp;"|"&amp;C7</f>
        <v>Guerrier|Pantalon</v>
      </c>
      <c r="B7" s="64" t="s">
        <v>27</v>
      </c>
      <c r="C7" s="64" t="s">
        <v>177</v>
      </c>
      <c r="D7" s="50" t="s">
        <v>1254</v>
      </c>
      <c r="E7" s="64" t="s">
        <v>1252</v>
      </c>
      <c r="F7" s="72" t="n">
        <v>2</v>
      </c>
      <c r="G7" s="72" t="n">
        <v>0.7</v>
      </c>
      <c r="H7" s="72" t="n">
        <v>1.4</v>
      </c>
      <c r="I7" s="72" t="n">
        <v>0</v>
      </c>
      <c r="J7" s="72" t="n">
        <v>0.6</v>
      </c>
      <c r="K7" s="72" t="n">
        <v>0</v>
      </c>
      <c r="L7" s="72" t="n">
        <v>0</v>
      </c>
      <c r="M7" s="72" t="n">
        <v>0</v>
      </c>
      <c r="N7" s="72" t="n">
        <v>0</v>
      </c>
      <c r="O7" s="72" t="n">
        <v>1.6</v>
      </c>
      <c r="P7" s="72" t="n">
        <v>0</v>
      </c>
      <c r="Q7" s="72" t="n">
        <v>0.6</v>
      </c>
      <c r="R7" s="72" t="n">
        <v>0</v>
      </c>
      <c r="S7" s="72" t="n">
        <v>0.5</v>
      </c>
      <c r="U7" s="73" t="n">
        <f aca="false">IF(F7=0,0,SUMPRODUCT(--($F7:$S7&gt;F7))+1)</f>
        <v>1</v>
      </c>
      <c r="V7" s="73" t="n">
        <f aca="false">IF(G7=0,0,SUMPRODUCT(--($F7:$S7&gt;G7))+SUMPRODUCT(--($F7:F7=G7))+1)</f>
        <v>4</v>
      </c>
      <c r="W7" s="73" t="n">
        <f aca="false">IF(H7=0,0,SUMPRODUCT(--($F7:$S7&gt;H7))+SUMPRODUCT(--($F7:G7=H7))+1)</f>
        <v>3</v>
      </c>
      <c r="X7" s="73" t="n">
        <f aca="false">IF(I7=0,0,SUMPRODUCT(--($F7:$S7&gt;I7))+SUMPRODUCT(--($F7:H7=I7))+1)</f>
        <v>0</v>
      </c>
      <c r="Y7" s="73" t="n">
        <f aca="false">IF(J7=0,0,SUMPRODUCT(--($F7:$S7&gt;J7))+SUMPRODUCT(--($F7:I7=J7))+1)</f>
        <v>5</v>
      </c>
      <c r="Z7" s="73" t="n">
        <f aca="false">IF(K7=0,0,SUMPRODUCT(--($F7:$S7&gt;K7))+SUMPRODUCT(--($F7:J7=K7))+1)</f>
        <v>0</v>
      </c>
      <c r="AA7" s="73" t="n">
        <f aca="false">IF(L7=0,0,SUMPRODUCT(--($F7:$S7&gt;L7))+SUMPRODUCT(--($F7:K7=L7))+1)</f>
        <v>0</v>
      </c>
      <c r="AB7" s="73" t="n">
        <f aca="false">IF(M7=0,0,SUMPRODUCT(--($F7:$S7&gt;M7))+SUMPRODUCT(--($F7:L7=M7))+1)</f>
        <v>0</v>
      </c>
      <c r="AC7" s="73" t="n">
        <f aca="false">IF(N7=0,0,SUMPRODUCT(--($F7:$S7&gt;N7))+SUMPRODUCT(--($F7:M7=N7))+1)</f>
        <v>0</v>
      </c>
      <c r="AD7" s="73" t="n">
        <f aca="false">IF(O7=0,0,SUMPRODUCT(--($F7:$S7&gt;O7))+SUMPRODUCT(--($F7:N7=O7))+1)</f>
        <v>2</v>
      </c>
      <c r="AE7" s="73" t="n">
        <f aca="false">IF(P7=0,0,SUMPRODUCT(--($F7:$S7&gt;P7))+SUMPRODUCT(--($F7:O7=P7))+1)</f>
        <v>0</v>
      </c>
      <c r="AF7" s="73" t="n">
        <f aca="false">IF(Q7=0,0,SUMPRODUCT(--($F7:$S7&gt;Q7))+SUMPRODUCT(--($F7:P7=Q7))+1)</f>
        <v>6</v>
      </c>
      <c r="AG7" s="73" t="n">
        <f aca="false">IF(R7=0,0,SUMPRODUCT(--($F7:$S7&gt;R7))+SUMPRODUCT(--($F7:Q7=R7))+1)</f>
        <v>0</v>
      </c>
      <c r="AH7" s="73" t="n">
        <f aca="false">IF(S7=0,0,SUMPRODUCT(--($F7:$S7&gt;S7))+SUMPRODUCT(--($F7:R7=S7))+1)</f>
        <v>7</v>
      </c>
    </row>
    <row r="8" customFormat="false" ht="15" hidden="false" customHeight="true" outlineLevel="0" collapsed="false">
      <c r="A8" s="63" t="str">
        <f aca="false">B8&amp;"|"&amp;C8</f>
        <v>Guerrier|Botte</v>
      </c>
      <c r="B8" s="64" t="s">
        <v>27</v>
      </c>
      <c r="C8" s="64" t="s">
        <v>209</v>
      </c>
      <c r="D8" s="50" t="s">
        <v>1255</v>
      </c>
      <c r="E8" s="64" t="s">
        <v>1252</v>
      </c>
      <c r="F8" s="72" t="n">
        <v>1.4</v>
      </c>
      <c r="G8" s="72" t="n">
        <v>0.5</v>
      </c>
      <c r="H8" s="72" t="n">
        <v>1</v>
      </c>
      <c r="I8" s="72" t="n">
        <v>0</v>
      </c>
      <c r="J8" s="72" t="n">
        <v>1.2</v>
      </c>
      <c r="K8" s="72" t="n">
        <v>1.1</v>
      </c>
      <c r="L8" s="72" t="n">
        <v>0.4</v>
      </c>
      <c r="M8" s="72" t="n">
        <v>0</v>
      </c>
      <c r="N8" s="72" t="n">
        <v>0</v>
      </c>
      <c r="O8" s="72" t="n">
        <v>1</v>
      </c>
      <c r="P8" s="72" t="n">
        <v>0</v>
      </c>
      <c r="Q8" s="72" t="n">
        <v>0.5</v>
      </c>
      <c r="R8" s="72" t="n">
        <v>0</v>
      </c>
      <c r="S8" s="72" t="n">
        <v>0</v>
      </c>
      <c r="U8" s="73" t="n">
        <f aca="false">IF(F8=0,0,SUMPRODUCT(--($F8:$S8&gt;F8))+1)</f>
        <v>1</v>
      </c>
      <c r="V8" s="73" t="n">
        <f aca="false">IF(G8=0,0,SUMPRODUCT(--($F8:$S8&gt;G8))+SUMPRODUCT(--($F8:F8=G8))+1)</f>
        <v>6</v>
      </c>
      <c r="W8" s="73" t="n">
        <f aca="false">IF(H8=0,0,SUMPRODUCT(--($F8:$S8&gt;H8))+SUMPRODUCT(--($F8:G8=H8))+1)</f>
        <v>4</v>
      </c>
      <c r="X8" s="73" t="n">
        <f aca="false">IF(I8=0,0,SUMPRODUCT(--($F8:$S8&gt;I8))+SUMPRODUCT(--($F8:H8=I8))+1)</f>
        <v>0</v>
      </c>
      <c r="Y8" s="73" t="n">
        <f aca="false">IF(J8=0,0,SUMPRODUCT(--($F8:$S8&gt;J8))+SUMPRODUCT(--($F8:I8=J8))+1)</f>
        <v>2</v>
      </c>
      <c r="Z8" s="73" t="n">
        <f aca="false">IF(K8=0,0,SUMPRODUCT(--($F8:$S8&gt;K8))+SUMPRODUCT(--($F8:J8=K8))+1)</f>
        <v>3</v>
      </c>
      <c r="AA8" s="73" t="n">
        <f aca="false">IF(L8=0,0,SUMPRODUCT(--($F8:$S8&gt;L8))+SUMPRODUCT(--($F8:K8=L8))+1)</f>
        <v>8</v>
      </c>
      <c r="AB8" s="73" t="n">
        <f aca="false">IF(M8=0,0,SUMPRODUCT(--($F8:$S8&gt;M8))+SUMPRODUCT(--($F8:L8=M8))+1)</f>
        <v>0</v>
      </c>
      <c r="AC8" s="73" t="n">
        <f aca="false">IF(N8=0,0,SUMPRODUCT(--($F8:$S8&gt;N8))+SUMPRODUCT(--($F8:M8=N8))+1)</f>
        <v>0</v>
      </c>
      <c r="AD8" s="73" t="n">
        <f aca="false">IF(O8=0,0,SUMPRODUCT(--($F8:$S8&gt;O8))+SUMPRODUCT(--($F8:N8=O8))+1)</f>
        <v>5</v>
      </c>
      <c r="AE8" s="73" t="n">
        <f aca="false">IF(P8=0,0,SUMPRODUCT(--($F8:$S8&gt;P8))+SUMPRODUCT(--($F8:O8=P8))+1)</f>
        <v>0</v>
      </c>
      <c r="AF8" s="73" t="n">
        <f aca="false">IF(Q8=0,0,SUMPRODUCT(--($F8:$S8&gt;Q8))+SUMPRODUCT(--($F8:P8=Q8))+1)</f>
        <v>7</v>
      </c>
      <c r="AG8" s="73" t="n">
        <f aca="false">IF(R8=0,0,SUMPRODUCT(--($F8:$S8&gt;R8))+SUMPRODUCT(--($F8:Q8=R8))+1)</f>
        <v>0</v>
      </c>
      <c r="AH8" s="73" t="n">
        <f aca="false">IF(S8=0,0,SUMPRODUCT(--($F8:$S8&gt;S8))+SUMPRODUCT(--($F8:R8=S8))+1)</f>
        <v>0</v>
      </c>
    </row>
    <row r="9" customFormat="false" ht="15" hidden="false" customHeight="true" outlineLevel="0" collapsed="false">
      <c r="A9" s="63" t="str">
        <f aca="false">B9&amp;"|"&amp;C9</f>
        <v>Guerrier|Collier</v>
      </c>
      <c r="B9" s="64" t="s">
        <v>27</v>
      </c>
      <c r="C9" s="64" t="s">
        <v>241</v>
      </c>
      <c r="D9" s="50" t="s">
        <v>1256</v>
      </c>
      <c r="E9" s="64" t="s">
        <v>1257</v>
      </c>
      <c r="F9" s="72" t="n">
        <v>1.4</v>
      </c>
      <c r="G9" s="72" t="n">
        <v>0.8</v>
      </c>
      <c r="H9" s="72" t="n">
        <v>1</v>
      </c>
      <c r="I9" s="72" t="n">
        <v>0</v>
      </c>
      <c r="J9" s="72" t="n">
        <v>0.5</v>
      </c>
      <c r="K9" s="72" t="n">
        <v>0</v>
      </c>
      <c r="L9" s="72" t="n">
        <v>0</v>
      </c>
      <c r="M9" s="72" t="n">
        <v>0</v>
      </c>
      <c r="N9" s="72" t="n">
        <v>0.4</v>
      </c>
      <c r="O9" s="72" t="n">
        <v>0</v>
      </c>
      <c r="P9" s="72" t="n">
        <v>0</v>
      </c>
      <c r="Q9" s="72" t="n">
        <v>1</v>
      </c>
      <c r="R9" s="72" t="n">
        <v>0</v>
      </c>
      <c r="S9" s="72" t="n">
        <v>0.8</v>
      </c>
      <c r="U9" s="73" t="n">
        <f aca="false">IF(F9=0,0,SUMPRODUCT(--($F9:$S9&gt;F9))+1)</f>
        <v>1</v>
      </c>
      <c r="V9" s="73" t="n">
        <f aca="false">IF(G9=0,0,SUMPRODUCT(--($F9:$S9&gt;G9))+SUMPRODUCT(--($F9:F9=G9))+1)</f>
        <v>4</v>
      </c>
      <c r="W9" s="73" t="n">
        <f aca="false">IF(H9=0,0,SUMPRODUCT(--($F9:$S9&gt;H9))+SUMPRODUCT(--($F9:G9=H9))+1)</f>
        <v>2</v>
      </c>
      <c r="X9" s="73" t="n">
        <f aca="false">IF(I9=0,0,SUMPRODUCT(--($F9:$S9&gt;I9))+SUMPRODUCT(--($F9:H9=I9))+1)</f>
        <v>0</v>
      </c>
      <c r="Y9" s="73" t="n">
        <f aca="false">IF(J9=0,0,SUMPRODUCT(--($F9:$S9&gt;J9))+SUMPRODUCT(--($F9:I9=J9))+1)</f>
        <v>6</v>
      </c>
      <c r="Z9" s="73" t="n">
        <f aca="false">IF(K9=0,0,SUMPRODUCT(--($F9:$S9&gt;K9))+SUMPRODUCT(--($F9:J9=K9))+1)</f>
        <v>0</v>
      </c>
      <c r="AA9" s="73" t="n">
        <f aca="false">IF(L9=0,0,SUMPRODUCT(--($F9:$S9&gt;L9))+SUMPRODUCT(--($F9:K9=L9))+1)</f>
        <v>0</v>
      </c>
      <c r="AB9" s="73" t="n">
        <f aca="false">IF(M9=0,0,SUMPRODUCT(--($F9:$S9&gt;M9))+SUMPRODUCT(--($F9:L9=M9))+1)</f>
        <v>0</v>
      </c>
      <c r="AC9" s="73" t="n">
        <f aca="false">IF(N9=0,0,SUMPRODUCT(--($F9:$S9&gt;N9))+SUMPRODUCT(--($F9:M9=N9))+1)</f>
        <v>7</v>
      </c>
      <c r="AD9" s="73" t="n">
        <f aca="false">IF(O9=0,0,SUMPRODUCT(--($F9:$S9&gt;O9))+SUMPRODUCT(--($F9:N9=O9))+1)</f>
        <v>0</v>
      </c>
      <c r="AE9" s="73" t="n">
        <f aca="false">IF(P9=0,0,SUMPRODUCT(--($F9:$S9&gt;P9))+SUMPRODUCT(--($F9:O9=P9))+1)</f>
        <v>0</v>
      </c>
      <c r="AF9" s="73" t="n">
        <f aca="false">IF(Q9=0,0,SUMPRODUCT(--($F9:$S9&gt;Q9))+SUMPRODUCT(--($F9:P9=Q9))+1)</f>
        <v>3</v>
      </c>
      <c r="AG9" s="73" t="n">
        <f aca="false">IF(R9=0,0,SUMPRODUCT(--($F9:$S9&gt;R9))+SUMPRODUCT(--($F9:Q9=R9))+1)</f>
        <v>0</v>
      </c>
      <c r="AH9" s="73" t="n">
        <f aca="false">IF(S9=0,0,SUMPRODUCT(--($F9:$S9&gt;S9))+SUMPRODUCT(--($F9:R9=S9))+1)</f>
        <v>5</v>
      </c>
    </row>
    <row r="10" customFormat="false" ht="15" hidden="false" customHeight="true" outlineLevel="0" collapsed="false">
      <c r="A10" s="63" t="str">
        <f aca="false">B10&amp;"|"&amp;C10</f>
        <v>Guerrier|Anneau 1</v>
      </c>
      <c r="B10" s="64" t="s">
        <v>27</v>
      </c>
      <c r="C10" s="64" t="s">
        <v>273</v>
      </c>
      <c r="D10" s="50" t="s">
        <v>1258</v>
      </c>
      <c r="E10" s="64" t="s">
        <v>1257</v>
      </c>
      <c r="F10" s="72" t="n">
        <v>0.8</v>
      </c>
      <c r="G10" s="72" t="n">
        <v>1</v>
      </c>
      <c r="H10" s="72" t="n">
        <v>0</v>
      </c>
      <c r="I10" s="72" t="n">
        <v>0</v>
      </c>
      <c r="J10" s="72" t="n">
        <v>0.4</v>
      </c>
      <c r="K10" s="72" t="n">
        <v>0</v>
      </c>
      <c r="L10" s="72" t="n">
        <v>0.8</v>
      </c>
      <c r="M10" s="72" t="n">
        <v>0.9</v>
      </c>
      <c r="N10" s="72" t="n">
        <v>0.9</v>
      </c>
      <c r="O10" s="72" t="n">
        <v>0</v>
      </c>
      <c r="P10" s="72" t="n">
        <v>0.7</v>
      </c>
      <c r="Q10" s="72" t="n">
        <v>0</v>
      </c>
      <c r="R10" s="72" t="n">
        <v>0</v>
      </c>
      <c r="S10" s="72" t="n">
        <v>0</v>
      </c>
      <c r="U10" s="73" t="n">
        <f aca="false">IF(F10=0,0,SUMPRODUCT(--($F10:$S10&gt;F10))+1)</f>
        <v>4</v>
      </c>
      <c r="V10" s="73" t="n">
        <f aca="false">IF(G10=0,0,SUMPRODUCT(--($F10:$S10&gt;G10))+SUMPRODUCT(--($F10:F10=G10))+1)</f>
        <v>1</v>
      </c>
      <c r="W10" s="73" t="n">
        <f aca="false">IF(H10=0,0,SUMPRODUCT(--($F10:$S10&gt;H10))+SUMPRODUCT(--($F10:G10=H10))+1)</f>
        <v>0</v>
      </c>
      <c r="X10" s="73" t="n">
        <f aca="false">IF(I10=0,0,SUMPRODUCT(--($F10:$S10&gt;I10))+SUMPRODUCT(--($F10:H10=I10))+1)</f>
        <v>0</v>
      </c>
      <c r="Y10" s="73" t="n">
        <f aca="false">IF(J10=0,0,SUMPRODUCT(--($F10:$S10&gt;J10))+SUMPRODUCT(--($F10:I10=J10))+1)</f>
        <v>7</v>
      </c>
      <c r="Z10" s="73" t="n">
        <f aca="false">IF(K10=0,0,SUMPRODUCT(--($F10:$S10&gt;K10))+SUMPRODUCT(--($F10:J10=K10))+1)</f>
        <v>0</v>
      </c>
      <c r="AA10" s="73" t="n">
        <f aca="false">IF(L10=0,0,SUMPRODUCT(--($F10:$S10&gt;L10))+SUMPRODUCT(--($F10:K10=L10))+1)</f>
        <v>5</v>
      </c>
      <c r="AB10" s="73" t="n">
        <f aca="false">IF(M10=0,0,SUMPRODUCT(--($F10:$S10&gt;M10))+SUMPRODUCT(--($F10:L10=M10))+1)</f>
        <v>2</v>
      </c>
      <c r="AC10" s="73" t="n">
        <f aca="false">IF(N10=0,0,SUMPRODUCT(--($F10:$S10&gt;N10))+SUMPRODUCT(--($F10:M10=N10))+1)</f>
        <v>3</v>
      </c>
      <c r="AD10" s="73" t="n">
        <f aca="false">IF(O10=0,0,SUMPRODUCT(--($F10:$S10&gt;O10))+SUMPRODUCT(--($F10:N10=O10))+1)</f>
        <v>0</v>
      </c>
      <c r="AE10" s="73" t="n">
        <f aca="false">IF(P10=0,0,SUMPRODUCT(--($F10:$S10&gt;P10))+SUMPRODUCT(--($F10:O10=P10))+1)</f>
        <v>6</v>
      </c>
      <c r="AF10" s="73" t="n">
        <f aca="false">IF(Q10=0,0,SUMPRODUCT(--($F10:$S10&gt;Q10))+SUMPRODUCT(--($F10:P10=Q10))+1)</f>
        <v>0</v>
      </c>
      <c r="AG10" s="73" t="n">
        <f aca="false">IF(R10=0,0,SUMPRODUCT(--($F10:$S10&gt;R10))+SUMPRODUCT(--($F10:Q10=R10))+1)</f>
        <v>0</v>
      </c>
      <c r="AH10" s="73" t="n">
        <f aca="false">IF(S10=0,0,SUMPRODUCT(--($F10:$S10&gt;S10))+SUMPRODUCT(--($F10:R10=S10))+1)</f>
        <v>0</v>
      </c>
    </row>
    <row r="11" customFormat="false" ht="15" hidden="false" customHeight="true" outlineLevel="0" collapsed="false">
      <c r="A11" s="63" t="str">
        <f aca="false">B11&amp;"|"&amp;C11</f>
        <v>Guerrier|Anneau 2</v>
      </c>
      <c r="B11" s="64" t="s">
        <v>27</v>
      </c>
      <c r="C11" s="64" t="s">
        <v>305</v>
      </c>
      <c r="D11" s="50" t="s">
        <v>1259</v>
      </c>
      <c r="E11" s="64" t="s">
        <v>1257</v>
      </c>
      <c r="F11" s="72" t="n">
        <v>1.2</v>
      </c>
      <c r="G11" s="72" t="n">
        <v>0.5</v>
      </c>
      <c r="H11" s="72" t="n">
        <v>1</v>
      </c>
      <c r="I11" s="72" t="n">
        <v>0</v>
      </c>
      <c r="J11" s="72" t="n">
        <v>0.4</v>
      </c>
      <c r="K11" s="72" t="n">
        <v>0.7</v>
      </c>
      <c r="L11" s="72" t="n">
        <v>0</v>
      </c>
      <c r="M11" s="72" t="n">
        <v>0</v>
      </c>
      <c r="N11" s="72" t="n">
        <v>0</v>
      </c>
      <c r="O11" s="72" t="n">
        <v>0.6</v>
      </c>
      <c r="P11" s="72" t="n">
        <v>0</v>
      </c>
      <c r="Q11" s="72" t="n">
        <v>0.9</v>
      </c>
      <c r="R11" s="72" t="n">
        <v>0</v>
      </c>
      <c r="S11" s="72" t="n">
        <v>0.9</v>
      </c>
      <c r="U11" s="73" t="n">
        <f aca="false">IF(F11=0,0,SUMPRODUCT(--($F11:$S11&gt;F11))+1)</f>
        <v>1</v>
      </c>
      <c r="V11" s="73" t="n">
        <f aca="false">IF(G11=0,0,SUMPRODUCT(--($F11:$S11&gt;G11))+SUMPRODUCT(--($F11:F11=G11))+1)</f>
        <v>7</v>
      </c>
      <c r="W11" s="73" t="n">
        <f aca="false">IF(H11=0,0,SUMPRODUCT(--($F11:$S11&gt;H11))+SUMPRODUCT(--($F11:G11=H11))+1)</f>
        <v>2</v>
      </c>
      <c r="X11" s="73" t="n">
        <f aca="false">IF(I11=0,0,SUMPRODUCT(--($F11:$S11&gt;I11))+SUMPRODUCT(--($F11:H11=I11))+1)</f>
        <v>0</v>
      </c>
      <c r="Y11" s="73" t="n">
        <f aca="false">IF(J11=0,0,SUMPRODUCT(--($F11:$S11&gt;J11))+SUMPRODUCT(--($F11:I11=J11))+1)</f>
        <v>8</v>
      </c>
      <c r="Z11" s="73" t="n">
        <f aca="false">IF(K11=0,0,SUMPRODUCT(--($F11:$S11&gt;K11))+SUMPRODUCT(--($F11:J11=K11))+1)</f>
        <v>5</v>
      </c>
      <c r="AA11" s="73" t="n">
        <f aca="false">IF(L11=0,0,SUMPRODUCT(--($F11:$S11&gt;L11))+SUMPRODUCT(--($F11:K11=L11))+1)</f>
        <v>0</v>
      </c>
      <c r="AB11" s="73" t="n">
        <f aca="false">IF(M11=0,0,SUMPRODUCT(--($F11:$S11&gt;M11))+SUMPRODUCT(--($F11:L11=M11))+1)</f>
        <v>0</v>
      </c>
      <c r="AC11" s="73" t="n">
        <f aca="false">IF(N11=0,0,SUMPRODUCT(--($F11:$S11&gt;N11))+SUMPRODUCT(--($F11:M11=N11))+1)</f>
        <v>0</v>
      </c>
      <c r="AD11" s="73" t="n">
        <f aca="false">IF(O11=0,0,SUMPRODUCT(--($F11:$S11&gt;O11))+SUMPRODUCT(--($F11:N11=O11))+1)</f>
        <v>6</v>
      </c>
      <c r="AE11" s="73" t="n">
        <f aca="false">IF(P11=0,0,SUMPRODUCT(--($F11:$S11&gt;P11))+SUMPRODUCT(--($F11:O11=P11))+1)</f>
        <v>0</v>
      </c>
      <c r="AF11" s="73" t="n">
        <f aca="false">IF(Q11=0,0,SUMPRODUCT(--($F11:$S11&gt;Q11))+SUMPRODUCT(--($F11:P11=Q11))+1)</f>
        <v>3</v>
      </c>
      <c r="AG11" s="73" t="n">
        <f aca="false">IF(R11=0,0,SUMPRODUCT(--($F11:$S11&gt;R11))+SUMPRODUCT(--($F11:Q11=R11))+1)</f>
        <v>0</v>
      </c>
      <c r="AH11" s="73" t="n">
        <f aca="false">IF(S11=0,0,SUMPRODUCT(--($F11:$S11&gt;S11))+SUMPRODUCT(--($F11:R11=S11))+1)</f>
        <v>4</v>
      </c>
    </row>
    <row r="12" customFormat="false" ht="15" hidden="false" customHeight="true" outlineLevel="0" collapsed="false">
      <c r="A12" s="63" t="str">
        <f aca="false">B12&amp;"|"&amp;C12</f>
        <v>Guerrier|Ceinture</v>
      </c>
      <c r="B12" s="64" t="s">
        <v>27</v>
      </c>
      <c r="C12" s="64" t="s">
        <v>337</v>
      </c>
      <c r="D12" s="50" t="s">
        <v>1260</v>
      </c>
      <c r="E12" s="64" t="s">
        <v>1252</v>
      </c>
      <c r="F12" s="72" t="n">
        <v>1.2</v>
      </c>
      <c r="G12" s="72" t="n">
        <v>1</v>
      </c>
      <c r="H12" s="72" t="n">
        <v>0.9</v>
      </c>
      <c r="I12" s="72" t="n">
        <v>0</v>
      </c>
      <c r="J12" s="72" t="n">
        <v>0</v>
      </c>
      <c r="K12" s="72" t="n">
        <v>0.5</v>
      </c>
      <c r="L12" s="72" t="n">
        <v>0.4</v>
      </c>
      <c r="M12" s="72" t="n">
        <v>0</v>
      </c>
      <c r="N12" s="72" t="n">
        <v>0</v>
      </c>
      <c r="O12" s="72" t="n">
        <v>0.8</v>
      </c>
      <c r="P12" s="72" t="n">
        <v>0.6</v>
      </c>
      <c r="Q12" s="72" t="n">
        <v>0</v>
      </c>
      <c r="R12" s="72" t="n">
        <v>0</v>
      </c>
      <c r="S12" s="72" t="n">
        <v>0.6</v>
      </c>
      <c r="U12" s="73" t="n">
        <f aca="false">IF(F12=0,0,SUMPRODUCT(--($F12:$S12&gt;F12))+1)</f>
        <v>1</v>
      </c>
      <c r="V12" s="73" t="n">
        <f aca="false">IF(G12=0,0,SUMPRODUCT(--($F12:$S12&gt;G12))+SUMPRODUCT(--($F12:F12=G12))+1)</f>
        <v>2</v>
      </c>
      <c r="W12" s="73" t="n">
        <f aca="false">IF(H12=0,0,SUMPRODUCT(--($F12:$S12&gt;H12))+SUMPRODUCT(--($F12:G12=H12))+1)</f>
        <v>3</v>
      </c>
      <c r="X12" s="73" t="n">
        <f aca="false">IF(I12=0,0,SUMPRODUCT(--($F12:$S12&gt;I12))+SUMPRODUCT(--($F12:H12=I12))+1)</f>
        <v>0</v>
      </c>
      <c r="Y12" s="73" t="n">
        <f aca="false">IF(J12=0,0,SUMPRODUCT(--($F12:$S12&gt;J12))+SUMPRODUCT(--($F12:I12=J12))+1)</f>
        <v>0</v>
      </c>
      <c r="Z12" s="73" t="n">
        <f aca="false">IF(K12=0,0,SUMPRODUCT(--($F12:$S12&gt;K12))+SUMPRODUCT(--($F12:J12=K12))+1)</f>
        <v>7</v>
      </c>
      <c r="AA12" s="73" t="n">
        <f aca="false">IF(L12=0,0,SUMPRODUCT(--($F12:$S12&gt;L12))+SUMPRODUCT(--($F12:K12=L12))+1)</f>
        <v>8</v>
      </c>
      <c r="AB12" s="73" t="n">
        <f aca="false">IF(M12=0,0,SUMPRODUCT(--($F12:$S12&gt;M12))+SUMPRODUCT(--($F12:L12=M12))+1)</f>
        <v>0</v>
      </c>
      <c r="AC12" s="73" t="n">
        <f aca="false">IF(N12=0,0,SUMPRODUCT(--($F12:$S12&gt;N12))+SUMPRODUCT(--($F12:M12=N12))+1)</f>
        <v>0</v>
      </c>
      <c r="AD12" s="73" t="n">
        <f aca="false">IF(O12=0,0,SUMPRODUCT(--($F12:$S12&gt;O12))+SUMPRODUCT(--($F12:N12=O12))+1)</f>
        <v>4</v>
      </c>
      <c r="AE12" s="73" t="n">
        <f aca="false">IF(P12=0,0,SUMPRODUCT(--($F12:$S12&gt;P12))+SUMPRODUCT(--($F12:O12=P12))+1)</f>
        <v>5</v>
      </c>
      <c r="AF12" s="73" t="n">
        <f aca="false">IF(Q12=0,0,SUMPRODUCT(--($F12:$S12&gt;Q12))+SUMPRODUCT(--($F12:P12=Q12))+1)</f>
        <v>0</v>
      </c>
      <c r="AG12" s="73" t="n">
        <f aca="false">IF(R12=0,0,SUMPRODUCT(--($F12:$S12&gt;R12))+SUMPRODUCT(--($F12:Q12=R12))+1)</f>
        <v>0</v>
      </c>
      <c r="AH12" s="73" t="n">
        <f aca="false">IF(S12=0,0,SUMPRODUCT(--($F12:$S12&gt;S12))+SUMPRODUCT(--($F12:R12=S12))+1)</f>
        <v>6</v>
      </c>
    </row>
    <row r="13" customFormat="false" ht="15" hidden="false" customHeight="true" outlineLevel="0" collapsed="false">
      <c r="A13" s="63" t="str">
        <f aca="false">B13&amp;"|"&amp;C13</f>
        <v>Guerrier|Arme 1</v>
      </c>
      <c r="B13" s="64" t="s">
        <v>27</v>
      </c>
      <c r="C13" s="64" t="s">
        <v>369</v>
      </c>
      <c r="D13" s="50" t="s">
        <v>1261</v>
      </c>
      <c r="E13" s="64" t="s">
        <v>1262</v>
      </c>
      <c r="F13" s="72" t="n">
        <v>0.8</v>
      </c>
      <c r="G13" s="72" t="n">
        <v>3.2</v>
      </c>
      <c r="H13" s="72" t="n">
        <v>0</v>
      </c>
      <c r="I13" s="72" t="n">
        <v>0</v>
      </c>
      <c r="J13" s="72" t="n">
        <v>0.6</v>
      </c>
      <c r="K13" s="72" t="n">
        <v>0</v>
      </c>
      <c r="L13" s="72" t="n">
        <v>1.6</v>
      </c>
      <c r="M13" s="72" t="n">
        <v>1.4</v>
      </c>
      <c r="N13" s="72" t="n">
        <v>1.5</v>
      </c>
      <c r="O13" s="72" t="n">
        <v>0</v>
      </c>
      <c r="P13" s="72" t="n">
        <v>1.4</v>
      </c>
      <c r="Q13" s="72" t="n">
        <v>0</v>
      </c>
      <c r="R13" s="72" t="n">
        <v>0</v>
      </c>
      <c r="S13" s="72" t="n">
        <v>0</v>
      </c>
      <c r="U13" s="73" t="n">
        <f aca="false">IF(F13=0,0,SUMPRODUCT(--($F13:$S13&gt;F13))+1)</f>
        <v>6</v>
      </c>
      <c r="V13" s="73" t="n">
        <f aca="false">IF(G13=0,0,SUMPRODUCT(--($F13:$S13&gt;G13))+SUMPRODUCT(--($F13:F13=G13))+1)</f>
        <v>1</v>
      </c>
      <c r="W13" s="73" t="n">
        <f aca="false">IF(H13=0,0,SUMPRODUCT(--($F13:$S13&gt;H13))+SUMPRODUCT(--($F13:G13=H13))+1)</f>
        <v>0</v>
      </c>
      <c r="X13" s="73" t="n">
        <f aca="false">IF(I13=0,0,SUMPRODUCT(--($F13:$S13&gt;I13))+SUMPRODUCT(--($F13:H13=I13))+1)</f>
        <v>0</v>
      </c>
      <c r="Y13" s="73" t="n">
        <f aca="false">IF(J13=0,0,SUMPRODUCT(--($F13:$S13&gt;J13))+SUMPRODUCT(--($F13:I13=J13))+1)</f>
        <v>7</v>
      </c>
      <c r="Z13" s="73" t="n">
        <f aca="false">IF(K13=0,0,SUMPRODUCT(--($F13:$S13&gt;K13))+SUMPRODUCT(--($F13:J13=K13))+1)</f>
        <v>0</v>
      </c>
      <c r="AA13" s="73" t="n">
        <f aca="false">IF(L13=0,0,SUMPRODUCT(--($F13:$S13&gt;L13))+SUMPRODUCT(--($F13:K13=L13))+1)</f>
        <v>2</v>
      </c>
      <c r="AB13" s="73" t="n">
        <f aca="false">IF(M13=0,0,SUMPRODUCT(--($F13:$S13&gt;M13))+SUMPRODUCT(--($F13:L13=M13))+1)</f>
        <v>4</v>
      </c>
      <c r="AC13" s="73" t="n">
        <f aca="false">IF(N13=0,0,SUMPRODUCT(--($F13:$S13&gt;N13))+SUMPRODUCT(--($F13:M13=N13))+1)</f>
        <v>3</v>
      </c>
      <c r="AD13" s="73" t="n">
        <f aca="false">IF(O13=0,0,SUMPRODUCT(--($F13:$S13&gt;O13))+SUMPRODUCT(--($F13:N13=O13))+1)</f>
        <v>0</v>
      </c>
      <c r="AE13" s="73" t="n">
        <f aca="false">IF(P13=0,0,SUMPRODUCT(--($F13:$S13&gt;P13))+SUMPRODUCT(--($F13:O13=P13))+1)</f>
        <v>5</v>
      </c>
      <c r="AF13" s="73" t="n">
        <f aca="false">IF(Q13=0,0,SUMPRODUCT(--($F13:$S13&gt;Q13))+SUMPRODUCT(--($F13:P13=Q13))+1)</f>
        <v>0</v>
      </c>
      <c r="AG13" s="73" t="n">
        <f aca="false">IF(R13=0,0,SUMPRODUCT(--($F13:$S13&gt;R13))+SUMPRODUCT(--($F13:Q13=R13))+1)</f>
        <v>0</v>
      </c>
      <c r="AH13" s="73" t="n">
        <f aca="false">IF(S13=0,0,SUMPRODUCT(--($F13:$S13&gt;S13))+SUMPRODUCT(--($F13:R13=S13))+1)</f>
        <v>0</v>
      </c>
    </row>
    <row r="14" customFormat="false" ht="15" hidden="false" customHeight="true" outlineLevel="0" collapsed="false">
      <c r="A14" s="63" t="str">
        <f aca="false">B14&amp;"|"&amp;C14</f>
        <v>Guerrier|Arme 2</v>
      </c>
      <c r="B14" s="64" t="s">
        <v>27</v>
      </c>
      <c r="C14" s="64" t="s">
        <v>401</v>
      </c>
      <c r="D14" s="50" t="s">
        <v>1263</v>
      </c>
      <c r="E14" s="64" t="s">
        <v>1262</v>
      </c>
      <c r="F14" s="72" t="n">
        <v>1.6</v>
      </c>
      <c r="G14" s="72" t="n">
        <v>0.6</v>
      </c>
      <c r="H14" s="72" t="n">
        <v>2.4</v>
      </c>
      <c r="I14" s="72" t="n">
        <v>0</v>
      </c>
      <c r="J14" s="72" t="n">
        <v>0</v>
      </c>
      <c r="K14" s="72" t="n">
        <v>0</v>
      </c>
      <c r="L14" s="72" t="n">
        <v>0.3</v>
      </c>
      <c r="M14" s="72" t="n">
        <v>0</v>
      </c>
      <c r="N14" s="72" t="n">
        <v>0</v>
      </c>
      <c r="O14" s="72" t="n">
        <v>2.2</v>
      </c>
      <c r="P14" s="72" t="n">
        <v>0</v>
      </c>
      <c r="Q14" s="72" t="n">
        <v>1.2</v>
      </c>
      <c r="R14" s="72" t="n">
        <v>0</v>
      </c>
      <c r="S14" s="72" t="n">
        <v>1.2</v>
      </c>
      <c r="U14" s="73" t="n">
        <f aca="false">IF(F14=0,0,SUMPRODUCT(--($F14:$S14&gt;F14))+1)</f>
        <v>3</v>
      </c>
      <c r="V14" s="73" t="n">
        <f aca="false">IF(G14=0,0,SUMPRODUCT(--($F14:$S14&gt;G14))+SUMPRODUCT(--($F14:F14=G14))+1)</f>
        <v>6</v>
      </c>
      <c r="W14" s="73" t="n">
        <f aca="false">IF(H14=0,0,SUMPRODUCT(--($F14:$S14&gt;H14))+SUMPRODUCT(--($F14:G14=H14))+1)</f>
        <v>1</v>
      </c>
      <c r="X14" s="73" t="n">
        <f aca="false">IF(I14=0,0,SUMPRODUCT(--($F14:$S14&gt;I14))+SUMPRODUCT(--($F14:H14=I14))+1)</f>
        <v>0</v>
      </c>
      <c r="Y14" s="73" t="n">
        <f aca="false">IF(J14=0,0,SUMPRODUCT(--($F14:$S14&gt;J14))+SUMPRODUCT(--($F14:I14=J14))+1)</f>
        <v>0</v>
      </c>
      <c r="Z14" s="73" t="n">
        <f aca="false">IF(K14=0,0,SUMPRODUCT(--($F14:$S14&gt;K14))+SUMPRODUCT(--($F14:J14=K14))+1)</f>
        <v>0</v>
      </c>
      <c r="AA14" s="73" t="n">
        <f aca="false">IF(L14=0,0,SUMPRODUCT(--($F14:$S14&gt;L14))+SUMPRODUCT(--($F14:K14=L14))+1)</f>
        <v>7</v>
      </c>
      <c r="AB14" s="73" t="n">
        <f aca="false">IF(M14=0,0,SUMPRODUCT(--($F14:$S14&gt;M14))+SUMPRODUCT(--($F14:L14=M14))+1)</f>
        <v>0</v>
      </c>
      <c r="AC14" s="73" t="n">
        <f aca="false">IF(N14=0,0,SUMPRODUCT(--($F14:$S14&gt;N14))+SUMPRODUCT(--($F14:M14=N14))+1)</f>
        <v>0</v>
      </c>
      <c r="AD14" s="73" t="n">
        <f aca="false">IF(O14=0,0,SUMPRODUCT(--($F14:$S14&gt;O14))+SUMPRODUCT(--($F14:N14=O14))+1)</f>
        <v>2</v>
      </c>
      <c r="AE14" s="73" t="n">
        <f aca="false">IF(P14=0,0,SUMPRODUCT(--($F14:$S14&gt;P14))+SUMPRODUCT(--($F14:O14=P14))+1)</f>
        <v>0</v>
      </c>
      <c r="AF14" s="73" t="n">
        <f aca="false">IF(Q14=0,0,SUMPRODUCT(--($F14:$S14&gt;Q14))+SUMPRODUCT(--($F14:P14=Q14))+1)</f>
        <v>4</v>
      </c>
      <c r="AG14" s="73" t="n">
        <f aca="false">IF(R14=0,0,SUMPRODUCT(--($F14:$S14&gt;R14))+SUMPRODUCT(--($F14:Q14=R14))+1)</f>
        <v>0</v>
      </c>
      <c r="AH14" s="73" t="n">
        <f aca="false">IF(S14=0,0,SUMPRODUCT(--($F14:$S14&gt;S14))+SUMPRODUCT(--($F14:R14=S14))+1)</f>
        <v>5</v>
      </c>
    </row>
    <row r="15" customFormat="false" ht="15" hidden="false" customHeight="true" outlineLevel="0" collapsed="false">
      <c r="A15" s="63" t="str">
        <f aca="false">B15&amp;"|"&amp;C15</f>
        <v>Mage|Chapeau</v>
      </c>
      <c r="B15" s="64" t="s">
        <v>29</v>
      </c>
      <c r="C15" s="64" t="s">
        <v>107</v>
      </c>
      <c r="D15" s="50" t="s">
        <v>107</v>
      </c>
      <c r="E15" s="64" t="s">
        <v>1264</v>
      </c>
      <c r="F15" s="72" t="n">
        <v>1.2</v>
      </c>
      <c r="G15" s="72" t="n">
        <v>0</v>
      </c>
      <c r="H15" s="72" t="n">
        <v>0</v>
      </c>
      <c r="I15" s="72" t="n">
        <v>1</v>
      </c>
      <c r="J15" s="72" t="n">
        <v>0.6</v>
      </c>
      <c r="K15" s="72" t="n">
        <v>0</v>
      </c>
      <c r="L15" s="72" t="n">
        <v>0.5</v>
      </c>
      <c r="M15" s="72" t="n">
        <v>0</v>
      </c>
      <c r="N15" s="72" t="n">
        <v>0</v>
      </c>
      <c r="O15" s="72" t="n">
        <v>0.4</v>
      </c>
      <c r="P15" s="72" t="n">
        <v>0</v>
      </c>
      <c r="Q15" s="72" t="n">
        <v>0.8</v>
      </c>
      <c r="R15" s="72" t="n">
        <v>0.8</v>
      </c>
      <c r="S15" s="72" t="n">
        <v>1</v>
      </c>
      <c r="U15" s="73" t="n">
        <f aca="false">IF(F15=0,0,SUMPRODUCT(--($F15:$S15&gt;F15))+1)</f>
        <v>1</v>
      </c>
      <c r="V15" s="73" t="n">
        <f aca="false">IF(G15=0,0,SUMPRODUCT(--($F15:$S15&gt;G15))+SUMPRODUCT(--($F15:F15=G15))+1)</f>
        <v>0</v>
      </c>
      <c r="W15" s="73" t="n">
        <f aca="false">IF(H15=0,0,SUMPRODUCT(--($F15:$S15&gt;H15))+SUMPRODUCT(--($F15:G15=H15))+1)</f>
        <v>0</v>
      </c>
      <c r="X15" s="73" t="n">
        <f aca="false">IF(I15=0,0,SUMPRODUCT(--($F15:$S15&gt;I15))+SUMPRODUCT(--($F15:H15=I15))+1)</f>
        <v>2</v>
      </c>
      <c r="Y15" s="73" t="n">
        <f aca="false">IF(J15=0,0,SUMPRODUCT(--($F15:$S15&gt;J15))+SUMPRODUCT(--($F15:I15=J15))+1)</f>
        <v>6</v>
      </c>
      <c r="Z15" s="73" t="n">
        <f aca="false">IF(K15=0,0,SUMPRODUCT(--($F15:$S15&gt;K15))+SUMPRODUCT(--($F15:J15=K15))+1)</f>
        <v>0</v>
      </c>
      <c r="AA15" s="73" t="n">
        <f aca="false">IF(L15=0,0,SUMPRODUCT(--($F15:$S15&gt;L15))+SUMPRODUCT(--($F15:K15=L15))+1)</f>
        <v>7</v>
      </c>
      <c r="AB15" s="73" t="n">
        <f aca="false">IF(M15=0,0,SUMPRODUCT(--($F15:$S15&gt;M15))+SUMPRODUCT(--($F15:L15=M15))+1)</f>
        <v>0</v>
      </c>
      <c r="AC15" s="73" t="n">
        <f aca="false">IF(N15=0,0,SUMPRODUCT(--($F15:$S15&gt;N15))+SUMPRODUCT(--($F15:M15=N15))+1)</f>
        <v>0</v>
      </c>
      <c r="AD15" s="73" t="n">
        <f aca="false">IF(O15=0,0,SUMPRODUCT(--($F15:$S15&gt;O15))+SUMPRODUCT(--($F15:N15=O15))+1)</f>
        <v>8</v>
      </c>
      <c r="AE15" s="73" t="n">
        <f aca="false">IF(P15=0,0,SUMPRODUCT(--($F15:$S15&gt;P15))+SUMPRODUCT(--($F15:O15=P15))+1)</f>
        <v>0</v>
      </c>
      <c r="AF15" s="73" t="n">
        <f aca="false">IF(Q15=0,0,SUMPRODUCT(--($F15:$S15&gt;Q15))+SUMPRODUCT(--($F15:P15=Q15))+1)</f>
        <v>4</v>
      </c>
      <c r="AG15" s="73" t="n">
        <f aca="false">IF(R15=0,0,SUMPRODUCT(--($F15:$S15&gt;R15))+SUMPRODUCT(--($F15:Q15=R15))+1)</f>
        <v>5</v>
      </c>
      <c r="AH15" s="73" t="n">
        <f aca="false">IF(S15=0,0,SUMPRODUCT(--($F15:$S15&gt;S15))+SUMPRODUCT(--($F15:R15=S15))+1)</f>
        <v>3</v>
      </c>
    </row>
    <row r="16" customFormat="false" ht="15" hidden="false" customHeight="true" outlineLevel="0" collapsed="false">
      <c r="A16" s="63" t="str">
        <f aca="false">B16&amp;"|"&amp;C16</f>
        <v>Mage|Armure</v>
      </c>
      <c r="B16" s="64" t="s">
        <v>29</v>
      </c>
      <c r="C16" s="64" t="s">
        <v>90</v>
      </c>
      <c r="D16" s="50" t="s">
        <v>1265</v>
      </c>
      <c r="E16" s="64" t="s">
        <v>1264</v>
      </c>
      <c r="F16" s="72" t="n">
        <v>2</v>
      </c>
      <c r="G16" s="72" t="n">
        <v>0</v>
      </c>
      <c r="H16" s="72" t="n">
        <v>0.6</v>
      </c>
      <c r="I16" s="72" t="n">
        <v>1.4</v>
      </c>
      <c r="J16" s="72" t="n">
        <v>0.7</v>
      </c>
      <c r="K16" s="72" t="n">
        <v>0</v>
      </c>
      <c r="L16" s="72" t="n">
        <v>0</v>
      </c>
      <c r="M16" s="72" t="n">
        <v>0</v>
      </c>
      <c r="N16" s="72" t="n">
        <v>0</v>
      </c>
      <c r="O16" s="72" t="n">
        <v>0.9</v>
      </c>
      <c r="P16" s="72" t="n">
        <v>0</v>
      </c>
      <c r="Q16" s="72" t="n">
        <v>1.4</v>
      </c>
      <c r="R16" s="72" t="n">
        <v>0</v>
      </c>
      <c r="S16" s="72" t="n">
        <v>1</v>
      </c>
      <c r="U16" s="73" t="n">
        <f aca="false">IF(F16=0,0,SUMPRODUCT(--($F16:$S16&gt;F16))+1)</f>
        <v>1</v>
      </c>
      <c r="V16" s="73" t="n">
        <f aca="false">IF(G16=0,0,SUMPRODUCT(--($F16:$S16&gt;G16))+SUMPRODUCT(--($F16:F16=G16))+1)</f>
        <v>0</v>
      </c>
      <c r="W16" s="73" t="n">
        <f aca="false">IF(H16=0,0,SUMPRODUCT(--($F16:$S16&gt;H16))+SUMPRODUCT(--($F16:G16=H16))+1)</f>
        <v>7</v>
      </c>
      <c r="X16" s="73" t="n">
        <f aca="false">IF(I16=0,0,SUMPRODUCT(--($F16:$S16&gt;I16))+SUMPRODUCT(--($F16:H16=I16))+1)</f>
        <v>2</v>
      </c>
      <c r="Y16" s="73" t="n">
        <f aca="false">IF(J16=0,0,SUMPRODUCT(--($F16:$S16&gt;J16))+SUMPRODUCT(--($F16:I16=J16))+1)</f>
        <v>6</v>
      </c>
      <c r="Z16" s="73" t="n">
        <f aca="false">IF(K16=0,0,SUMPRODUCT(--($F16:$S16&gt;K16))+SUMPRODUCT(--($F16:J16=K16))+1)</f>
        <v>0</v>
      </c>
      <c r="AA16" s="73" t="n">
        <f aca="false">IF(L16=0,0,SUMPRODUCT(--($F16:$S16&gt;L16))+SUMPRODUCT(--($F16:K16=L16))+1)</f>
        <v>0</v>
      </c>
      <c r="AB16" s="73" t="n">
        <f aca="false">IF(M16=0,0,SUMPRODUCT(--($F16:$S16&gt;M16))+SUMPRODUCT(--($F16:L16=M16))+1)</f>
        <v>0</v>
      </c>
      <c r="AC16" s="73" t="n">
        <f aca="false">IF(N16=0,0,SUMPRODUCT(--($F16:$S16&gt;N16))+SUMPRODUCT(--($F16:M16=N16))+1)</f>
        <v>0</v>
      </c>
      <c r="AD16" s="73" t="n">
        <f aca="false">IF(O16=0,0,SUMPRODUCT(--($F16:$S16&gt;O16))+SUMPRODUCT(--($F16:N16=O16))+1)</f>
        <v>5</v>
      </c>
      <c r="AE16" s="73" t="n">
        <f aca="false">IF(P16=0,0,SUMPRODUCT(--($F16:$S16&gt;P16))+SUMPRODUCT(--($F16:O16=P16))+1)</f>
        <v>0</v>
      </c>
      <c r="AF16" s="73" t="n">
        <f aca="false">IF(Q16=0,0,SUMPRODUCT(--($F16:$S16&gt;Q16))+SUMPRODUCT(--($F16:P16=Q16))+1)</f>
        <v>3</v>
      </c>
      <c r="AG16" s="73" t="n">
        <f aca="false">IF(R16=0,0,SUMPRODUCT(--($F16:$S16&gt;R16))+SUMPRODUCT(--($F16:Q16=R16))+1)</f>
        <v>0</v>
      </c>
      <c r="AH16" s="73" t="n">
        <f aca="false">IF(S16=0,0,SUMPRODUCT(--($F16:$S16&gt;S16))+SUMPRODUCT(--($F16:R16=S16))+1)</f>
        <v>4</v>
      </c>
    </row>
    <row r="17" customFormat="false" ht="15" hidden="false" customHeight="true" outlineLevel="0" collapsed="false">
      <c r="A17" s="63" t="str">
        <f aca="false">B17&amp;"|"&amp;C17</f>
        <v>Mage|Pantalon</v>
      </c>
      <c r="B17" s="64" t="s">
        <v>29</v>
      </c>
      <c r="C17" s="64" t="s">
        <v>177</v>
      </c>
      <c r="D17" s="50" t="s">
        <v>177</v>
      </c>
      <c r="E17" s="64" t="s">
        <v>1264</v>
      </c>
      <c r="F17" s="72" t="n">
        <v>1.7</v>
      </c>
      <c r="G17" s="72" t="n">
        <v>0</v>
      </c>
      <c r="H17" s="72" t="n">
        <v>0.5</v>
      </c>
      <c r="I17" s="72" t="n">
        <v>1.1</v>
      </c>
      <c r="J17" s="72" t="n">
        <v>0.8</v>
      </c>
      <c r="K17" s="72" t="n">
        <v>0</v>
      </c>
      <c r="L17" s="72" t="n">
        <v>0</v>
      </c>
      <c r="M17" s="72" t="n">
        <v>0</v>
      </c>
      <c r="N17" s="72" t="n">
        <v>0</v>
      </c>
      <c r="O17" s="72" t="n">
        <v>0.7</v>
      </c>
      <c r="P17" s="72" t="n">
        <v>0</v>
      </c>
      <c r="Q17" s="72" t="n">
        <v>0.9</v>
      </c>
      <c r="R17" s="72" t="n">
        <v>0.5</v>
      </c>
      <c r="S17" s="72" t="n">
        <v>0</v>
      </c>
      <c r="U17" s="73" t="n">
        <f aca="false">IF(F17=0,0,SUMPRODUCT(--($F17:$S17&gt;F17))+1)</f>
        <v>1</v>
      </c>
      <c r="V17" s="73" t="n">
        <f aca="false">IF(G17=0,0,SUMPRODUCT(--($F17:$S17&gt;G17))+SUMPRODUCT(--($F17:F17=G17))+1)</f>
        <v>0</v>
      </c>
      <c r="W17" s="73" t="n">
        <f aca="false">IF(H17=0,0,SUMPRODUCT(--($F17:$S17&gt;H17))+SUMPRODUCT(--($F17:G17=H17))+1)</f>
        <v>6</v>
      </c>
      <c r="X17" s="73" t="n">
        <f aca="false">IF(I17=0,0,SUMPRODUCT(--($F17:$S17&gt;I17))+SUMPRODUCT(--($F17:H17=I17))+1)</f>
        <v>2</v>
      </c>
      <c r="Y17" s="73" t="n">
        <f aca="false">IF(J17=0,0,SUMPRODUCT(--($F17:$S17&gt;J17))+SUMPRODUCT(--($F17:I17=J17))+1)</f>
        <v>4</v>
      </c>
      <c r="Z17" s="73" t="n">
        <f aca="false">IF(K17=0,0,SUMPRODUCT(--($F17:$S17&gt;K17))+SUMPRODUCT(--($F17:J17=K17))+1)</f>
        <v>0</v>
      </c>
      <c r="AA17" s="73" t="n">
        <f aca="false">IF(L17=0,0,SUMPRODUCT(--($F17:$S17&gt;L17))+SUMPRODUCT(--($F17:K17=L17))+1)</f>
        <v>0</v>
      </c>
      <c r="AB17" s="73" t="n">
        <f aca="false">IF(M17=0,0,SUMPRODUCT(--($F17:$S17&gt;M17))+SUMPRODUCT(--($F17:L17=M17))+1)</f>
        <v>0</v>
      </c>
      <c r="AC17" s="73" t="n">
        <f aca="false">IF(N17=0,0,SUMPRODUCT(--($F17:$S17&gt;N17))+SUMPRODUCT(--($F17:M17=N17))+1)</f>
        <v>0</v>
      </c>
      <c r="AD17" s="73" t="n">
        <f aca="false">IF(O17=0,0,SUMPRODUCT(--($F17:$S17&gt;O17))+SUMPRODUCT(--($F17:N17=O17))+1)</f>
        <v>5</v>
      </c>
      <c r="AE17" s="73" t="n">
        <f aca="false">IF(P17=0,0,SUMPRODUCT(--($F17:$S17&gt;P17))+SUMPRODUCT(--($F17:O17=P17))+1)</f>
        <v>0</v>
      </c>
      <c r="AF17" s="73" t="n">
        <f aca="false">IF(Q17=0,0,SUMPRODUCT(--($F17:$S17&gt;Q17))+SUMPRODUCT(--($F17:P17=Q17))+1)</f>
        <v>3</v>
      </c>
      <c r="AG17" s="73" t="n">
        <f aca="false">IF(R17=0,0,SUMPRODUCT(--($F17:$S17&gt;R17))+SUMPRODUCT(--($F17:Q17=R17))+1)</f>
        <v>7</v>
      </c>
      <c r="AH17" s="73" t="n">
        <f aca="false">IF(S17=0,0,SUMPRODUCT(--($F17:$S17&gt;S17))+SUMPRODUCT(--($F17:R17=S17))+1)</f>
        <v>0</v>
      </c>
    </row>
    <row r="18" customFormat="false" ht="15" hidden="false" customHeight="true" outlineLevel="0" collapsed="false">
      <c r="A18" s="63" t="str">
        <f aca="false">B18&amp;"|"&amp;C18</f>
        <v>Mage|Botte</v>
      </c>
      <c r="B18" s="64" t="s">
        <v>29</v>
      </c>
      <c r="C18" s="64" t="s">
        <v>209</v>
      </c>
      <c r="D18" s="50" t="s">
        <v>1266</v>
      </c>
      <c r="E18" s="64" t="s">
        <v>1264</v>
      </c>
      <c r="F18" s="72" t="n">
        <v>1.2</v>
      </c>
      <c r="G18" s="72" t="n">
        <v>0</v>
      </c>
      <c r="H18" s="72" t="n">
        <v>0.4</v>
      </c>
      <c r="I18" s="72" t="n">
        <v>0.8</v>
      </c>
      <c r="J18" s="72" t="n">
        <v>1.3</v>
      </c>
      <c r="K18" s="72" t="n">
        <v>1.1</v>
      </c>
      <c r="L18" s="72" t="n">
        <v>0.6</v>
      </c>
      <c r="M18" s="72" t="n">
        <v>0</v>
      </c>
      <c r="N18" s="72" t="n">
        <v>0</v>
      </c>
      <c r="O18" s="72" t="n">
        <v>0.5</v>
      </c>
      <c r="P18" s="72" t="n">
        <v>0</v>
      </c>
      <c r="Q18" s="72" t="n">
        <v>0.6</v>
      </c>
      <c r="R18" s="72" t="n">
        <v>0</v>
      </c>
      <c r="S18" s="72" t="n">
        <v>0</v>
      </c>
      <c r="U18" s="73" t="n">
        <f aca="false">IF(F18=0,0,SUMPRODUCT(--($F18:$S18&gt;F18))+1)</f>
        <v>2</v>
      </c>
      <c r="V18" s="73" t="n">
        <f aca="false">IF(G18=0,0,SUMPRODUCT(--($F18:$S18&gt;G18))+SUMPRODUCT(--($F18:F18=G18))+1)</f>
        <v>0</v>
      </c>
      <c r="W18" s="73" t="n">
        <f aca="false">IF(H18=0,0,SUMPRODUCT(--($F18:$S18&gt;H18))+SUMPRODUCT(--($F18:G18=H18))+1)</f>
        <v>8</v>
      </c>
      <c r="X18" s="73" t="n">
        <f aca="false">IF(I18=0,0,SUMPRODUCT(--($F18:$S18&gt;I18))+SUMPRODUCT(--($F18:H18=I18))+1)</f>
        <v>4</v>
      </c>
      <c r="Y18" s="73" t="n">
        <f aca="false">IF(J18=0,0,SUMPRODUCT(--($F18:$S18&gt;J18))+SUMPRODUCT(--($F18:I18=J18))+1)</f>
        <v>1</v>
      </c>
      <c r="Z18" s="73" t="n">
        <f aca="false">IF(K18=0,0,SUMPRODUCT(--($F18:$S18&gt;K18))+SUMPRODUCT(--($F18:J18=K18))+1)</f>
        <v>3</v>
      </c>
      <c r="AA18" s="73" t="n">
        <f aca="false">IF(L18=0,0,SUMPRODUCT(--($F18:$S18&gt;L18))+SUMPRODUCT(--($F18:K18=L18))+1)</f>
        <v>5</v>
      </c>
      <c r="AB18" s="73" t="n">
        <f aca="false">IF(M18=0,0,SUMPRODUCT(--($F18:$S18&gt;M18))+SUMPRODUCT(--($F18:L18=M18))+1)</f>
        <v>0</v>
      </c>
      <c r="AC18" s="73" t="n">
        <f aca="false">IF(N18=0,0,SUMPRODUCT(--($F18:$S18&gt;N18))+SUMPRODUCT(--($F18:M18=N18))+1)</f>
        <v>0</v>
      </c>
      <c r="AD18" s="73" t="n">
        <f aca="false">IF(O18=0,0,SUMPRODUCT(--($F18:$S18&gt;O18))+SUMPRODUCT(--($F18:N18=O18))+1)</f>
        <v>7</v>
      </c>
      <c r="AE18" s="73" t="n">
        <f aca="false">IF(P18=0,0,SUMPRODUCT(--($F18:$S18&gt;P18))+SUMPRODUCT(--($F18:O18=P18))+1)</f>
        <v>0</v>
      </c>
      <c r="AF18" s="73" t="n">
        <f aca="false">IF(Q18=0,0,SUMPRODUCT(--($F18:$S18&gt;Q18))+SUMPRODUCT(--($F18:P18=Q18))+1)</f>
        <v>6</v>
      </c>
      <c r="AG18" s="73" t="n">
        <f aca="false">IF(R18=0,0,SUMPRODUCT(--($F18:$S18&gt;R18))+SUMPRODUCT(--($F18:Q18=R18))+1)</f>
        <v>0</v>
      </c>
      <c r="AH18" s="73" t="n">
        <f aca="false">IF(S18=0,0,SUMPRODUCT(--($F18:$S18&gt;S18))+SUMPRODUCT(--($F18:R18=S18))+1)</f>
        <v>0</v>
      </c>
    </row>
    <row r="19" customFormat="false" ht="15" hidden="false" customHeight="true" outlineLevel="0" collapsed="false">
      <c r="A19" s="63" t="str">
        <f aca="false">B19&amp;"|"&amp;C19</f>
        <v>Mage|Collier</v>
      </c>
      <c r="B19" s="64" t="s">
        <v>29</v>
      </c>
      <c r="C19" s="64" t="s">
        <v>241</v>
      </c>
      <c r="D19" s="50" t="s">
        <v>1267</v>
      </c>
      <c r="E19" s="64" t="s">
        <v>1257</v>
      </c>
      <c r="F19" s="72" t="n">
        <v>1.2</v>
      </c>
      <c r="G19" s="72" t="n">
        <v>0</v>
      </c>
      <c r="H19" s="72" t="n">
        <v>0</v>
      </c>
      <c r="I19" s="72" t="n">
        <v>1.1</v>
      </c>
      <c r="J19" s="72" t="n">
        <v>0</v>
      </c>
      <c r="K19" s="72" t="n">
        <v>0.6</v>
      </c>
      <c r="L19" s="72" t="n">
        <v>0.4</v>
      </c>
      <c r="M19" s="72" t="n">
        <v>0.6</v>
      </c>
      <c r="N19" s="72" t="n">
        <v>0</v>
      </c>
      <c r="O19" s="72" t="n">
        <v>0</v>
      </c>
      <c r="P19" s="72" t="n">
        <v>0</v>
      </c>
      <c r="Q19" s="72" t="n">
        <v>1</v>
      </c>
      <c r="R19" s="72" t="n">
        <v>1</v>
      </c>
      <c r="S19" s="72" t="n">
        <v>0.8</v>
      </c>
      <c r="U19" s="73" t="n">
        <f aca="false">IF(F19=0,0,SUMPRODUCT(--($F19:$S19&gt;F19))+1)</f>
        <v>1</v>
      </c>
      <c r="V19" s="73" t="n">
        <f aca="false">IF(G19=0,0,SUMPRODUCT(--($F19:$S19&gt;G19))+SUMPRODUCT(--($F19:F19=G19))+1)</f>
        <v>0</v>
      </c>
      <c r="W19" s="73" t="n">
        <f aca="false">IF(H19=0,0,SUMPRODUCT(--($F19:$S19&gt;H19))+SUMPRODUCT(--($F19:G19=H19))+1)</f>
        <v>0</v>
      </c>
      <c r="X19" s="73" t="n">
        <f aca="false">IF(I19=0,0,SUMPRODUCT(--($F19:$S19&gt;I19))+SUMPRODUCT(--($F19:H19=I19))+1)</f>
        <v>2</v>
      </c>
      <c r="Y19" s="73" t="n">
        <f aca="false">IF(J19=0,0,SUMPRODUCT(--($F19:$S19&gt;J19))+SUMPRODUCT(--($F19:I19=J19))+1)</f>
        <v>0</v>
      </c>
      <c r="Z19" s="73" t="n">
        <f aca="false">IF(K19=0,0,SUMPRODUCT(--($F19:$S19&gt;K19))+SUMPRODUCT(--($F19:J19=K19))+1)</f>
        <v>6</v>
      </c>
      <c r="AA19" s="73" t="n">
        <f aca="false">IF(L19=0,0,SUMPRODUCT(--($F19:$S19&gt;L19))+SUMPRODUCT(--($F19:K19=L19))+1)</f>
        <v>8</v>
      </c>
      <c r="AB19" s="73" t="n">
        <f aca="false">IF(M19=0,0,SUMPRODUCT(--($F19:$S19&gt;M19))+SUMPRODUCT(--($F19:L19=M19))+1)</f>
        <v>7</v>
      </c>
      <c r="AC19" s="73" t="n">
        <f aca="false">IF(N19=0,0,SUMPRODUCT(--($F19:$S19&gt;N19))+SUMPRODUCT(--($F19:M19=N19))+1)</f>
        <v>0</v>
      </c>
      <c r="AD19" s="73" t="n">
        <f aca="false">IF(O19=0,0,SUMPRODUCT(--($F19:$S19&gt;O19))+SUMPRODUCT(--($F19:N19=O19))+1)</f>
        <v>0</v>
      </c>
      <c r="AE19" s="73" t="n">
        <f aca="false">IF(P19=0,0,SUMPRODUCT(--($F19:$S19&gt;P19))+SUMPRODUCT(--($F19:O19=P19))+1)</f>
        <v>0</v>
      </c>
      <c r="AF19" s="73" t="n">
        <f aca="false">IF(Q19=0,0,SUMPRODUCT(--($F19:$S19&gt;Q19))+SUMPRODUCT(--($F19:P19=Q19))+1)</f>
        <v>3</v>
      </c>
      <c r="AG19" s="73" t="n">
        <f aca="false">IF(R19=0,0,SUMPRODUCT(--($F19:$S19&gt;R19))+SUMPRODUCT(--($F19:Q19=R19))+1)</f>
        <v>4</v>
      </c>
      <c r="AH19" s="73" t="n">
        <f aca="false">IF(S19=0,0,SUMPRODUCT(--($F19:$S19&gt;S19))+SUMPRODUCT(--($F19:R19=S19))+1)</f>
        <v>5</v>
      </c>
    </row>
    <row r="20" customFormat="false" ht="15" hidden="false" customHeight="true" outlineLevel="0" collapsed="false">
      <c r="A20" s="63" t="str">
        <f aca="false">B20&amp;"|"&amp;C20</f>
        <v>Mage|Anneau 1</v>
      </c>
      <c r="B20" s="64" t="s">
        <v>29</v>
      </c>
      <c r="C20" s="64" t="s">
        <v>273</v>
      </c>
      <c r="D20" s="50" t="s">
        <v>1268</v>
      </c>
      <c r="E20" s="64" t="s">
        <v>1257</v>
      </c>
      <c r="F20" s="72" t="n">
        <v>0.6</v>
      </c>
      <c r="G20" s="72" t="n">
        <v>0</v>
      </c>
      <c r="H20" s="72" t="n">
        <v>0</v>
      </c>
      <c r="I20" s="72" t="n">
        <v>0.8</v>
      </c>
      <c r="J20" s="72" t="n">
        <v>0.6</v>
      </c>
      <c r="K20" s="72" t="n">
        <v>0</v>
      </c>
      <c r="L20" s="72" t="n">
        <v>0.8</v>
      </c>
      <c r="M20" s="72" t="n">
        <v>1</v>
      </c>
      <c r="N20" s="72" t="n">
        <v>1</v>
      </c>
      <c r="O20" s="72" t="n">
        <v>0</v>
      </c>
      <c r="P20" s="72" t="n">
        <v>1</v>
      </c>
      <c r="Q20" s="72" t="n">
        <v>0</v>
      </c>
      <c r="R20" s="72" t="n">
        <v>0.5</v>
      </c>
      <c r="S20" s="72" t="n">
        <v>0</v>
      </c>
      <c r="U20" s="73" t="n">
        <f aca="false">IF(F20=0,0,SUMPRODUCT(--($F20:$S20&gt;F20))+1)</f>
        <v>6</v>
      </c>
      <c r="V20" s="73" t="n">
        <f aca="false">IF(G20=0,0,SUMPRODUCT(--($F20:$S20&gt;G20))+SUMPRODUCT(--($F20:F20=G20))+1)</f>
        <v>0</v>
      </c>
      <c r="W20" s="73" t="n">
        <f aca="false">IF(H20=0,0,SUMPRODUCT(--($F20:$S20&gt;H20))+SUMPRODUCT(--($F20:G20=H20))+1)</f>
        <v>0</v>
      </c>
      <c r="X20" s="73" t="n">
        <f aca="false">IF(I20=0,0,SUMPRODUCT(--($F20:$S20&gt;I20))+SUMPRODUCT(--($F20:H20=I20))+1)</f>
        <v>4</v>
      </c>
      <c r="Y20" s="73" t="n">
        <f aca="false">IF(J20=0,0,SUMPRODUCT(--($F20:$S20&gt;J20))+SUMPRODUCT(--($F20:I20=J20))+1)</f>
        <v>7</v>
      </c>
      <c r="Z20" s="73" t="n">
        <f aca="false">IF(K20=0,0,SUMPRODUCT(--($F20:$S20&gt;K20))+SUMPRODUCT(--($F20:J20=K20))+1)</f>
        <v>0</v>
      </c>
      <c r="AA20" s="73" t="n">
        <f aca="false">IF(L20=0,0,SUMPRODUCT(--($F20:$S20&gt;L20))+SUMPRODUCT(--($F20:K20=L20))+1)</f>
        <v>5</v>
      </c>
      <c r="AB20" s="73" t="n">
        <f aca="false">IF(M20=0,0,SUMPRODUCT(--($F20:$S20&gt;M20))+SUMPRODUCT(--($F20:L20=M20))+1)</f>
        <v>1</v>
      </c>
      <c r="AC20" s="73" t="n">
        <f aca="false">IF(N20=0,0,SUMPRODUCT(--($F20:$S20&gt;N20))+SUMPRODUCT(--($F20:M20=N20))+1)</f>
        <v>2</v>
      </c>
      <c r="AD20" s="73" t="n">
        <f aca="false">IF(O20=0,0,SUMPRODUCT(--($F20:$S20&gt;O20))+SUMPRODUCT(--($F20:N20=O20))+1)</f>
        <v>0</v>
      </c>
      <c r="AE20" s="73" t="n">
        <f aca="false">IF(P20=0,0,SUMPRODUCT(--($F20:$S20&gt;P20))+SUMPRODUCT(--($F20:O20=P20))+1)</f>
        <v>3</v>
      </c>
      <c r="AF20" s="73" t="n">
        <f aca="false">IF(Q20=0,0,SUMPRODUCT(--($F20:$S20&gt;Q20))+SUMPRODUCT(--($F20:P20=Q20))+1)</f>
        <v>0</v>
      </c>
      <c r="AG20" s="73" t="n">
        <f aca="false">IF(R20=0,0,SUMPRODUCT(--($F20:$S20&gt;R20))+SUMPRODUCT(--($F20:Q20=R20))+1)</f>
        <v>8</v>
      </c>
      <c r="AH20" s="73" t="n">
        <f aca="false">IF(S20=0,0,SUMPRODUCT(--($F20:$S20&gt;S20))+SUMPRODUCT(--($F20:R20=S20))+1)</f>
        <v>0</v>
      </c>
    </row>
    <row r="21" customFormat="false" ht="15.75" hidden="false" customHeight="true" outlineLevel="0" collapsed="false">
      <c r="A21" s="63" t="str">
        <f aca="false">B21&amp;"|"&amp;C21</f>
        <v>Mage|Anneau 2</v>
      </c>
      <c r="B21" s="64" t="s">
        <v>29</v>
      </c>
      <c r="C21" s="64" t="s">
        <v>305</v>
      </c>
      <c r="D21" s="50" t="s">
        <v>1269</v>
      </c>
      <c r="E21" s="64" t="s">
        <v>1257</v>
      </c>
      <c r="F21" s="72" t="n">
        <v>1</v>
      </c>
      <c r="G21" s="72" t="n">
        <v>0</v>
      </c>
      <c r="H21" s="72" t="n">
        <v>0.5</v>
      </c>
      <c r="I21" s="72" t="n">
        <v>0.6</v>
      </c>
      <c r="J21" s="72" t="n">
        <v>0.6</v>
      </c>
      <c r="K21" s="72" t="n">
        <v>0.7</v>
      </c>
      <c r="L21" s="72" t="n">
        <v>0</v>
      </c>
      <c r="M21" s="72" t="n">
        <v>0</v>
      </c>
      <c r="N21" s="72" t="n">
        <v>0</v>
      </c>
      <c r="O21" s="72" t="n">
        <v>0</v>
      </c>
      <c r="P21" s="72" t="n">
        <v>0</v>
      </c>
      <c r="Q21" s="72" t="n">
        <v>1</v>
      </c>
      <c r="R21" s="72" t="n">
        <v>0.8</v>
      </c>
      <c r="S21" s="72" t="n">
        <v>1</v>
      </c>
      <c r="U21" s="73" t="n">
        <f aca="false">IF(F21=0,0,SUMPRODUCT(--($F21:$S21&gt;F21))+1)</f>
        <v>1</v>
      </c>
      <c r="V21" s="73" t="n">
        <f aca="false">IF(G21=0,0,SUMPRODUCT(--($F21:$S21&gt;G21))+SUMPRODUCT(--($F21:F21=G21))+1)</f>
        <v>0</v>
      </c>
      <c r="W21" s="73" t="n">
        <f aca="false">IF(H21=0,0,SUMPRODUCT(--($F21:$S21&gt;H21))+SUMPRODUCT(--($F21:G21=H21))+1)</f>
        <v>8</v>
      </c>
      <c r="X21" s="73" t="n">
        <f aca="false">IF(I21=0,0,SUMPRODUCT(--($F21:$S21&gt;I21))+SUMPRODUCT(--($F21:H21=I21))+1)</f>
        <v>6</v>
      </c>
      <c r="Y21" s="73" t="n">
        <f aca="false">IF(J21=0,0,SUMPRODUCT(--($F21:$S21&gt;J21))+SUMPRODUCT(--($F21:I21=J21))+1)</f>
        <v>7</v>
      </c>
      <c r="Z21" s="73" t="n">
        <f aca="false">IF(K21=0,0,SUMPRODUCT(--($F21:$S21&gt;K21))+SUMPRODUCT(--($F21:J21=K21))+1)</f>
        <v>5</v>
      </c>
      <c r="AA21" s="73" t="n">
        <f aca="false">IF(L21=0,0,SUMPRODUCT(--($F21:$S21&gt;L21))+SUMPRODUCT(--($F21:K21=L21))+1)</f>
        <v>0</v>
      </c>
      <c r="AB21" s="73" t="n">
        <f aca="false">IF(M21=0,0,SUMPRODUCT(--($F21:$S21&gt;M21))+SUMPRODUCT(--($F21:L21=M21))+1)</f>
        <v>0</v>
      </c>
      <c r="AC21" s="73" t="n">
        <f aca="false">IF(N21=0,0,SUMPRODUCT(--($F21:$S21&gt;N21))+SUMPRODUCT(--($F21:M21=N21))+1)</f>
        <v>0</v>
      </c>
      <c r="AD21" s="73" t="n">
        <f aca="false">IF(O21=0,0,SUMPRODUCT(--($F21:$S21&gt;O21))+SUMPRODUCT(--($F21:N21=O21))+1)</f>
        <v>0</v>
      </c>
      <c r="AE21" s="73" t="n">
        <f aca="false">IF(P21=0,0,SUMPRODUCT(--($F21:$S21&gt;P21))+SUMPRODUCT(--($F21:O21=P21))+1)</f>
        <v>0</v>
      </c>
      <c r="AF21" s="73" t="n">
        <f aca="false">IF(Q21=0,0,SUMPRODUCT(--($F21:$S21&gt;Q21))+SUMPRODUCT(--($F21:P21=Q21))+1)</f>
        <v>2</v>
      </c>
      <c r="AG21" s="73" t="n">
        <f aca="false">IF(R21=0,0,SUMPRODUCT(--($F21:$S21&gt;R21))+SUMPRODUCT(--($F21:Q21=R21))+1)</f>
        <v>4</v>
      </c>
      <c r="AH21" s="73" t="n">
        <f aca="false">IF(S21=0,0,SUMPRODUCT(--($F21:$S21&gt;S21))+SUMPRODUCT(--($F21:R21=S21))+1)</f>
        <v>3</v>
      </c>
    </row>
    <row r="22" customFormat="false" ht="15.75" hidden="false" customHeight="true" outlineLevel="0" collapsed="false">
      <c r="A22" s="63" t="str">
        <f aca="false">B22&amp;"|"&amp;C22</f>
        <v>Mage|Ceinture</v>
      </c>
      <c r="B22" s="64" t="s">
        <v>29</v>
      </c>
      <c r="C22" s="64" t="s">
        <v>337</v>
      </c>
      <c r="D22" s="50" t="s">
        <v>337</v>
      </c>
      <c r="E22" s="64" t="s">
        <v>1264</v>
      </c>
      <c r="F22" s="72" t="n">
        <v>0.9</v>
      </c>
      <c r="G22" s="72" t="n">
        <v>0</v>
      </c>
      <c r="H22" s="72" t="n">
        <v>0</v>
      </c>
      <c r="I22" s="72" t="n">
        <v>0.8</v>
      </c>
      <c r="J22" s="72" t="n">
        <v>0.5</v>
      </c>
      <c r="K22" s="72" t="n">
        <v>0</v>
      </c>
      <c r="L22" s="72" t="n">
        <v>0</v>
      </c>
      <c r="M22" s="72" t="n">
        <v>0.5</v>
      </c>
      <c r="N22" s="72" t="n">
        <v>0</v>
      </c>
      <c r="O22" s="72" t="n">
        <v>0</v>
      </c>
      <c r="P22" s="72" t="n">
        <v>0.7</v>
      </c>
      <c r="Q22" s="72" t="n">
        <v>0</v>
      </c>
      <c r="R22" s="72" t="n">
        <v>0.8</v>
      </c>
      <c r="S22" s="72" t="n">
        <v>0.7</v>
      </c>
      <c r="U22" s="73" t="n">
        <f aca="false">IF(F22=0,0,SUMPRODUCT(--($F22:$S22&gt;F22))+1)</f>
        <v>1</v>
      </c>
      <c r="V22" s="73" t="n">
        <f aca="false">IF(G22=0,0,SUMPRODUCT(--($F22:$S22&gt;G22))+SUMPRODUCT(--($F22:F22=G22))+1)</f>
        <v>0</v>
      </c>
      <c r="W22" s="73" t="n">
        <f aca="false">IF(H22=0,0,SUMPRODUCT(--($F22:$S22&gt;H22))+SUMPRODUCT(--($F22:G22=H22))+1)</f>
        <v>0</v>
      </c>
      <c r="X22" s="73" t="n">
        <f aca="false">IF(I22=0,0,SUMPRODUCT(--($F22:$S22&gt;I22))+SUMPRODUCT(--($F22:H22=I22))+1)</f>
        <v>2</v>
      </c>
      <c r="Y22" s="73" t="n">
        <f aca="false">IF(J22=0,0,SUMPRODUCT(--($F22:$S22&gt;J22))+SUMPRODUCT(--($F22:I22=J22))+1)</f>
        <v>6</v>
      </c>
      <c r="Z22" s="73" t="n">
        <f aca="false">IF(K22=0,0,SUMPRODUCT(--($F22:$S22&gt;K22))+SUMPRODUCT(--($F22:J22=K22))+1)</f>
        <v>0</v>
      </c>
      <c r="AA22" s="73" t="n">
        <f aca="false">IF(L22=0,0,SUMPRODUCT(--($F22:$S22&gt;L22))+SUMPRODUCT(--($F22:K22=L22))+1)</f>
        <v>0</v>
      </c>
      <c r="AB22" s="73" t="n">
        <f aca="false">IF(M22=0,0,SUMPRODUCT(--($F22:$S22&gt;M22))+SUMPRODUCT(--($F22:L22=M22))+1)</f>
        <v>7</v>
      </c>
      <c r="AC22" s="73" t="n">
        <f aca="false">IF(N22=0,0,SUMPRODUCT(--($F22:$S22&gt;N22))+SUMPRODUCT(--($F22:M22=N22))+1)</f>
        <v>0</v>
      </c>
      <c r="AD22" s="73" t="n">
        <f aca="false">IF(O22=0,0,SUMPRODUCT(--($F22:$S22&gt;O22))+SUMPRODUCT(--($F22:N22=O22))+1)</f>
        <v>0</v>
      </c>
      <c r="AE22" s="73" t="n">
        <f aca="false">IF(P22=0,0,SUMPRODUCT(--($F22:$S22&gt;P22))+SUMPRODUCT(--($F22:O22=P22))+1)</f>
        <v>4</v>
      </c>
      <c r="AF22" s="73" t="n">
        <f aca="false">IF(Q22=0,0,SUMPRODUCT(--($F22:$S22&gt;Q22))+SUMPRODUCT(--($F22:P22=Q22))+1)</f>
        <v>0</v>
      </c>
      <c r="AG22" s="73" t="n">
        <f aca="false">IF(R22=0,0,SUMPRODUCT(--($F22:$S22&gt;R22))+SUMPRODUCT(--($F22:Q22=R22))+1)</f>
        <v>3</v>
      </c>
      <c r="AH22" s="73" t="n">
        <f aca="false">IF(S22=0,0,SUMPRODUCT(--($F22:$S22&gt;S22))+SUMPRODUCT(--($F22:R22=S22))+1)</f>
        <v>5</v>
      </c>
    </row>
    <row r="23" customFormat="false" ht="15.75" hidden="false" customHeight="true" outlineLevel="0" collapsed="false">
      <c r="A23" s="63" t="str">
        <f aca="false">B23&amp;"|"&amp;C23</f>
        <v>Mage|Arme 1</v>
      </c>
      <c r="B23" s="64" t="s">
        <v>29</v>
      </c>
      <c r="C23" s="64" t="s">
        <v>369</v>
      </c>
      <c r="D23" s="50" t="s">
        <v>1270</v>
      </c>
      <c r="E23" s="64" t="s">
        <v>1271</v>
      </c>
      <c r="F23" s="72" t="n">
        <v>0.8</v>
      </c>
      <c r="G23" s="72" t="n">
        <v>0</v>
      </c>
      <c r="H23" s="72" t="n">
        <v>0</v>
      </c>
      <c r="I23" s="72" t="n">
        <v>2.4</v>
      </c>
      <c r="J23" s="72" t="n">
        <v>0.6</v>
      </c>
      <c r="K23" s="72" t="n">
        <v>0</v>
      </c>
      <c r="L23" s="72" t="n">
        <v>1.2</v>
      </c>
      <c r="M23" s="72" t="n">
        <v>1.6</v>
      </c>
      <c r="N23" s="72" t="n">
        <v>1.6</v>
      </c>
      <c r="O23" s="72" t="n">
        <v>0</v>
      </c>
      <c r="P23" s="72" t="n">
        <v>1.8</v>
      </c>
      <c r="Q23" s="72" t="n">
        <v>0</v>
      </c>
      <c r="R23" s="72" t="n">
        <v>1</v>
      </c>
      <c r="S23" s="72" t="n">
        <v>0</v>
      </c>
      <c r="U23" s="73" t="n">
        <f aca="false">IF(F23=0,0,SUMPRODUCT(--($F23:$S23&gt;F23))+1)</f>
        <v>7</v>
      </c>
      <c r="V23" s="73" t="n">
        <f aca="false">IF(G23=0,0,SUMPRODUCT(--($F23:$S23&gt;G23))+SUMPRODUCT(--($F23:F23=G23))+1)</f>
        <v>0</v>
      </c>
      <c r="W23" s="73" t="n">
        <f aca="false">IF(H23=0,0,SUMPRODUCT(--($F23:$S23&gt;H23))+SUMPRODUCT(--($F23:G23=H23))+1)</f>
        <v>0</v>
      </c>
      <c r="X23" s="73" t="n">
        <f aca="false">IF(I23=0,0,SUMPRODUCT(--($F23:$S23&gt;I23))+SUMPRODUCT(--($F23:H23=I23))+1)</f>
        <v>1</v>
      </c>
      <c r="Y23" s="73" t="n">
        <f aca="false">IF(J23=0,0,SUMPRODUCT(--($F23:$S23&gt;J23))+SUMPRODUCT(--($F23:I23=J23))+1)</f>
        <v>8</v>
      </c>
      <c r="Z23" s="73" t="n">
        <f aca="false">IF(K23=0,0,SUMPRODUCT(--($F23:$S23&gt;K23))+SUMPRODUCT(--($F23:J23=K23))+1)</f>
        <v>0</v>
      </c>
      <c r="AA23" s="73" t="n">
        <f aca="false">IF(L23=0,0,SUMPRODUCT(--($F23:$S23&gt;L23))+SUMPRODUCT(--($F23:K23=L23))+1)</f>
        <v>5</v>
      </c>
      <c r="AB23" s="73" t="n">
        <f aca="false">IF(M23=0,0,SUMPRODUCT(--($F23:$S23&gt;M23))+SUMPRODUCT(--($F23:L23=M23))+1)</f>
        <v>3</v>
      </c>
      <c r="AC23" s="73" t="n">
        <f aca="false">IF(N23=0,0,SUMPRODUCT(--($F23:$S23&gt;N23))+SUMPRODUCT(--($F23:M23=N23))+1)</f>
        <v>4</v>
      </c>
      <c r="AD23" s="73" t="n">
        <f aca="false">IF(O23=0,0,SUMPRODUCT(--($F23:$S23&gt;O23))+SUMPRODUCT(--($F23:N23=O23))+1)</f>
        <v>0</v>
      </c>
      <c r="AE23" s="73" t="n">
        <f aca="false">IF(P23=0,0,SUMPRODUCT(--($F23:$S23&gt;P23))+SUMPRODUCT(--($F23:O23=P23))+1)</f>
        <v>2</v>
      </c>
      <c r="AF23" s="73" t="n">
        <f aca="false">IF(Q23=0,0,SUMPRODUCT(--($F23:$S23&gt;Q23))+SUMPRODUCT(--($F23:P23=Q23))+1)</f>
        <v>0</v>
      </c>
      <c r="AG23" s="73" t="n">
        <f aca="false">IF(R23=0,0,SUMPRODUCT(--($F23:$S23&gt;R23))+SUMPRODUCT(--($F23:Q23=R23))+1)</f>
        <v>6</v>
      </c>
      <c r="AH23" s="73" t="n">
        <f aca="false">IF(S23=0,0,SUMPRODUCT(--($F23:$S23&gt;S23))+SUMPRODUCT(--($F23:R23=S23))+1)</f>
        <v>0</v>
      </c>
    </row>
    <row r="24" customFormat="false" ht="15.75" hidden="false" customHeight="true" outlineLevel="0" collapsed="false">
      <c r="A24" s="63" t="str">
        <f aca="false">B24&amp;"|"&amp;C24</f>
        <v>Mage|Arme 2</v>
      </c>
      <c r="B24" s="64" t="s">
        <v>29</v>
      </c>
      <c r="C24" s="64" t="s">
        <v>401</v>
      </c>
      <c r="D24" s="50" t="s">
        <v>1272</v>
      </c>
      <c r="E24" s="64" t="s">
        <v>1273</v>
      </c>
      <c r="F24" s="72" t="n">
        <v>1</v>
      </c>
      <c r="G24" s="72" t="n">
        <v>0</v>
      </c>
      <c r="H24" s="72" t="n">
        <v>0</v>
      </c>
      <c r="I24" s="72" t="n">
        <v>1.5</v>
      </c>
      <c r="J24" s="72" t="n">
        <v>0</v>
      </c>
      <c r="K24" s="72" t="n">
        <v>0</v>
      </c>
      <c r="L24" s="72" t="n">
        <v>0</v>
      </c>
      <c r="M24" s="72" t="n">
        <v>0.8</v>
      </c>
      <c r="N24" s="72" t="n">
        <v>0.9</v>
      </c>
      <c r="O24" s="72" t="n">
        <v>0</v>
      </c>
      <c r="P24" s="72" t="n">
        <v>0</v>
      </c>
      <c r="Q24" s="72" t="n">
        <v>1.4</v>
      </c>
      <c r="R24" s="72" t="n">
        <v>1.6</v>
      </c>
      <c r="S24" s="72" t="n">
        <v>1</v>
      </c>
      <c r="U24" s="73" t="n">
        <f aca="false">IF(F24=0,0,SUMPRODUCT(--($F24:$S24&gt;F24))+1)</f>
        <v>4</v>
      </c>
      <c r="V24" s="73" t="n">
        <f aca="false">IF(G24=0,0,SUMPRODUCT(--($F24:$S24&gt;G24))+SUMPRODUCT(--($F24:F24=G24))+1)</f>
        <v>0</v>
      </c>
      <c r="W24" s="73" t="n">
        <f aca="false">IF(H24=0,0,SUMPRODUCT(--($F24:$S24&gt;H24))+SUMPRODUCT(--($F24:G24=H24))+1)</f>
        <v>0</v>
      </c>
      <c r="X24" s="73" t="n">
        <f aca="false">IF(I24=0,0,SUMPRODUCT(--($F24:$S24&gt;I24))+SUMPRODUCT(--($F24:H24=I24))+1)</f>
        <v>2</v>
      </c>
      <c r="Y24" s="73" t="n">
        <f aca="false">IF(J24=0,0,SUMPRODUCT(--($F24:$S24&gt;J24))+SUMPRODUCT(--($F24:I24=J24))+1)</f>
        <v>0</v>
      </c>
      <c r="Z24" s="73" t="n">
        <f aca="false">IF(K24=0,0,SUMPRODUCT(--($F24:$S24&gt;K24))+SUMPRODUCT(--($F24:J24=K24))+1)</f>
        <v>0</v>
      </c>
      <c r="AA24" s="73" t="n">
        <f aca="false">IF(L24=0,0,SUMPRODUCT(--($F24:$S24&gt;L24))+SUMPRODUCT(--($F24:K24=L24))+1)</f>
        <v>0</v>
      </c>
      <c r="AB24" s="73" t="n">
        <f aca="false">IF(M24=0,0,SUMPRODUCT(--($F24:$S24&gt;M24))+SUMPRODUCT(--($F24:L24=M24))+1)</f>
        <v>7</v>
      </c>
      <c r="AC24" s="73" t="n">
        <f aca="false">IF(N24=0,0,SUMPRODUCT(--($F24:$S24&gt;N24))+SUMPRODUCT(--($F24:M24=N24))+1)</f>
        <v>6</v>
      </c>
      <c r="AD24" s="73" t="n">
        <f aca="false">IF(O24=0,0,SUMPRODUCT(--($F24:$S24&gt;O24))+SUMPRODUCT(--($F24:N24=O24))+1)</f>
        <v>0</v>
      </c>
      <c r="AE24" s="73" t="n">
        <f aca="false">IF(P24=0,0,SUMPRODUCT(--($F24:$S24&gt;P24))+SUMPRODUCT(--($F24:O24=P24))+1)</f>
        <v>0</v>
      </c>
      <c r="AF24" s="73" t="n">
        <f aca="false">IF(Q24=0,0,SUMPRODUCT(--($F24:$S24&gt;Q24))+SUMPRODUCT(--($F24:P24=Q24))+1)</f>
        <v>3</v>
      </c>
      <c r="AG24" s="73" t="n">
        <f aca="false">IF(R24=0,0,SUMPRODUCT(--($F24:$S24&gt;R24))+SUMPRODUCT(--($F24:Q24=R24))+1)</f>
        <v>1</v>
      </c>
      <c r="AH24" s="73" t="n">
        <f aca="false">IF(S24=0,0,SUMPRODUCT(--($F24:$S24&gt;S24))+SUMPRODUCT(--($F24:R24=S24))+1)</f>
        <v>5</v>
      </c>
    </row>
    <row r="25" customFormat="false" ht="15.75" hidden="false" customHeight="true" outlineLevel="0" collapsed="false">
      <c r="A25" s="63" t="str">
        <f aca="false">B25&amp;"|"&amp;C25</f>
        <v>Tireur|Chapeau</v>
      </c>
      <c r="B25" s="64" t="s">
        <v>31</v>
      </c>
      <c r="C25" s="64" t="s">
        <v>107</v>
      </c>
      <c r="D25" s="50" t="s">
        <v>1274</v>
      </c>
      <c r="E25" s="64" t="s">
        <v>1275</v>
      </c>
      <c r="F25" s="72" t="n">
        <v>1</v>
      </c>
      <c r="G25" s="72" t="n">
        <v>0</v>
      </c>
      <c r="H25" s="72" t="n">
        <v>0.6</v>
      </c>
      <c r="I25" s="72" t="n">
        <v>0</v>
      </c>
      <c r="J25" s="72" t="n">
        <v>1.2</v>
      </c>
      <c r="K25" s="72" t="n">
        <v>0.6</v>
      </c>
      <c r="L25" s="72" t="n">
        <v>1.2</v>
      </c>
      <c r="M25" s="72" t="n">
        <v>0.8</v>
      </c>
      <c r="N25" s="72" t="n">
        <v>0</v>
      </c>
      <c r="O25" s="72" t="n">
        <v>0.6</v>
      </c>
      <c r="P25" s="72" t="n">
        <v>0</v>
      </c>
      <c r="Q25" s="72" t="n">
        <v>0</v>
      </c>
      <c r="R25" s="72" t="n">
        <v>0</v>
      </c>
      <c r="S25" s="72" t="n">
        <v>0.7</v>
      </c>
      <c r="U25" s="73" t="n">
        <f aca="false">IF(F25=0,0,SUMPRODUCT(--($F25:$S25&gt;F25))+1)</f>
        <v>3</v>
      </c>
      <c r="V25" s="73" t="n">
        <f aca="false">IF(G25=0,0,SUMPRODUCT(--($F25:$S25&gt;G25))+SUMPRODUCT(--($F25:F25=G25))+1)</f>
        <v>0</v>
      </c>
      <c r="W25" s="73" t="n">
        <f aca="false">IF(H25=0,0,SUMPRODUCT(--($F25:$S25&gt;H25))+SUMPRODUCT(--($F25:G25=H25))+1)</f>
        <v>6</v>
      </c>
      <c r="X25" s="73" t="n">
        <f aca="false">IF(I25=0,0,SUMPRODUCT(--($F25:$S25&gt;I25))+SUMPRODUCT(--($F25:H25=I25))+1)</f>
        <v>0</v>
      </c>
      <c r="Y25" s="73" t="n">
        <f aca="false">IF(J25=0,0,SUMPRODUCT(--($F25:$S25&gt;J25))+SUMPRODUCT(--($F25:I25=J25))+1)</f>
        <v>1</v>
      </c>
      <c r="Z25" s="73" t="n">
        <f aca="false">IF(K25=0,0,SUMPRODUCT(--($F25:$S25&gt;K25))+SUMPRODUCT(--($F25:J25=K25))+1)</f>
        <v>7</v>
      </c>
      <c r="AA25" s="73" t="n">
        <f aca="false">IF(L25=0,0,SUMPRODUCT(--($F25:$S25&gt;L25))+SUMPRODUCT(--($F25:K25=L25))+1)</f>
        <v>2</v>
      </c>
      <c r="AB25" s="73" t="n">
        <f aca="false">IF(M25=0,0,SUMPRODUCT(--($F25:$S25&gt;M25))+SUMPRODUCT(--($F25:L25=M25))+1)</f>
        <v>4</v>
      </c>
      <c r="AC25" s="73" t="n">
        <f aca="false">IF(N25=0,0,SUMPRODUCT(--($F25:$S25&gt;N25))+SUMPRODUCT(--($F25:M25=N25))+1)</f>
        <v>0</v>
      </c>
      <c r="AD25" s="73" t="n">
        <f aca="false">IF(O25=0,0,SUMPRODUCT(--($F25:$S25&gt;O25))+SUMPRODUCT(--($F25:N25=O25))+1)</f>
        <v>8</v>
      </c>
      <c r="AE25" s="73" t="n">
        <f aca="false">IF(P25=0,0,SUMPRODUCT(--($F25:$S25&gt;P25))+SUMPRODUCT(--($F25:O25=P25))+1)</f>
        <v>0</v>
      </c>
      <c r="AF25" s="73" t="n">
        <f aca="false">IF(Q25=0,0,SUMPRODUCT(--($F25:$S25&gt;Q25))+SUMPRODUCT(--($F25:P25=Q25))+1)</f>
        <v>0</v>
      </c>
      <c r="AG25" s="73" t="n">
        <f aca="false">IF(R25=0,0,SUMPRODUCT(--($F25:$S25&gt;R25))+SUMPRODUCT(--($F25:Q25=R25))+1)</f>
        <v>0</v>
      </c>
      <c r="AH25" s="73" t="n">
        <f aca="false">IF(S25=0,0,SUMPRODUCT(--($F25:$S25&gt;S25))+SUMPRODUCT(--($F25:R25=S25))+1)</f>
        <v>5</v>
      </c>
    </row>
    <row r="26" customFormat="false" ht="15.75" hidden="false" customHeight="true" outlineLevel="0" collapsed="false">
      <c r="A26" s="63" t="str">
        <f aca="false">B26&amp;"|"&amp;C26</f>
        <v>Tireur|Armure</v>
      </c>
      <c r="B26" s="64" t="s">
        <v>31</v>
      </c>
      <c r="C26" s="64" t="s">
        <v>90</v>
      </c>
      <c r="D26" s="50" t="s">
        <v>1276</v>
      </c>
      <c r="E26" s="64" t="s">
        <v>1275</v>
      </c>
      <c r="F26" s="72" t="n">
        <v>1.6</v>
      </c>
      <c r="G26" s="72" t="n">
        <v>0.6</v>
      </c>
      <c r="H26" s="72" t="n">
        <v>1</v>
      </c>
      <c r="I26" s="72" t="n">
        <v>0</v>
      </c>
      <c r="J26" s="72" t="n">
        <v>1.6</v>
      </c>
      <c r="K26" s="72" t="n">
        <v>0</v>
      </c>
      <c r="L26" s="72" t="n">
        <v>0.8</v>
      </c>
      <c r="M26" s="72" t="n">
        <v>0</v>
      </c>
      <c r="N26" s="72" t="n">
        <v>0</v>
      </c>
      <c r="O26" s="72" t="n">
        <v>1.4</v>
      </c>
      <c r="P26" s="72" t="n">
        <v>0</v>
      </c>
      <c r="Q26" s="72" t="n">
        <v>0.6</v>
      </c>
      <c r="R26" s="72" t="n">
        <v>0</v>
      </c>
      <c r="S26" s="72" t="n">
        <v>0</v>
      </c>
      <c r="U26" s="73" t="n">
        <f aca="false">IF(F26=0,0,SUMPRODUCT(--($F26:$S26&gt;F26))+1)</f>
        <v>1</v>
      </c>
      <c r="V26" s="73" t="n">
        <f aca="false">IF(G26=0,0,SUMPRODUCT(--($F26:$S26&gt;G26))+SUMPRODUCT(--($F26:F26=G26))+1)</f>
        <v>6</v>
      </c>
      <c r="W26" s="73" t="n">
        <f aca="false">IF(H26=0,0,SUMPRODUCT(--($F26:$S26&gt;H26))+SUMPRODUCT(--($F26:G26=H26))+1)</f>
        <v>4</v>
      </c>
      <c r="X26" s="73" t="n">
        <f aca="false">IF(I26=0,0,SUMPRODUCT(--($F26:$S26&gt;I26))+SUMPRODUCT(--($F26:H26=I26))+1)</f>
        <v>0</v>
      </c>
      <c r="Y26" s="73" t="n">
        <f aca="false">IF(J26=0,0,SUMPRODUCT(--($F26:$S26&gt;J26))+SUMPRODUCT(--($F26:I26=J26))+1)</f>
        <v>2</v>
      </c>
      <c r="Z26" s="73" t="n">
        <f aca="false">IF(K26=0,0,SUMPRODUCT(--($F26:$S26&gt;K26))+SUMPRODUCT(--($F26:J26=K26))+1)</f>
        <v>0</v>
      </c>
      <c r="AA26" s="73" t="n">
        <f aca="false">IF(L26=0,0,SUMPRODUCT(--($F26:$S26&gt;L26))+SUMPRODUCT(--($F26:K26=L26))+1)</f>
        <v>5</v>
      </c>
      <c r="AB26" s="73" t="n">
        <f aca="false">IF(M26=0,0,SUMPRODUCT(--($F26:$S26&gt;M26))+SUMPRODUCT(--($F26:L26=M26))+1)</f>
        <v>0</v>
      </c>
      <c r="AC26" s="73" t="n">
        <f aca="false">IF(N26=0,0,SUMPRODUCT(--($F26:$S26&gt;N26))+SUMPRODUCT(--($F26:M26=N26))+1)</f>
        <v>0</v>
      </c>
      <c r="AD26" s="73" t="n">
        <f aca="false">IF(O26=0,0,SUMPRODUCT(--($F26:$S26&gt;O26))+SUMPRODUCT(--($F26:N26=O26))+1)</f>
        <v>3</v>
      </c>
      <c r="AE26" s="73" t="n">
        <f aca="false">IF(P26=0,0,SUMPRODUCT(--($F26:$S26&gt;P26))+SUMPRODUCT(--($F26:O26=P26))+1)</f>
        <v>0</v>
      </c>
      <c r="AF26" s="73" t="n">
        <f aca="false">IF(Q26=0,0,SUMPRODUCT(--($F26:$S26&gt;Q26))+SUMPRODUCT(--($F26:P26=Q26))+1)</f>
        <v>7</v>
      </c>
      <c r="AG26" s="73" t="n">
        <f aca="false">IF(R26=0,0,SUMPRODUCT(--($F26:$S26&gt;R26))+SUMPRODUCT(--($F26:Q26=R26))+1)</f>
        <v>0</v>
      </c>
      <c r="AH26" s="73" t="n">
        <f aca="false">IF(S26=0,0,SUMPRODUCT(--($F26:$S26&gt;S26))+SUMPRODUCT(--($F26:R26=S26))+1)</f>
        <v>0</v>
      </c>
    </row>
    <row r="27" customFormat="false" ht="15.75" hidden="false" customHeight="true" outlineLevel="0" collapsed="false">
      <c r="A27" s="63" t="str">
        <f aca="false">B27&amp;"|"&amp;C27</f>
        <v>Tireur|Pantalon</v>
      </c>
      <c r="B27" s="64" t="s">
        <v>31</v>
      </c>
      <c r="C27" s="64" t="s">
        <v>177</v>
      </c>
      <c r="D27" s="50" t="s">
        <v>177</v>
      </c>
      <c r="E27" s="64" t="s">
        <v>1275</v>
      </c>
      <c r="F27" s="72" t="n">
        <v>1.5</v>
      </c>
      <c r="G27" s="72" t="n">
        <v>0.5</v>
      </c>
      <c r="H27" s="72" t="n">
        <v>0.8</v>
      </c>
      <c r="I27" s="72" t="n">
        <v>0</v>
      </c>
      <c r="J27" s="72" t="n">
        <v>1.4</v>
      </c>
      <c r="K27" s="72" t="n">
        <v>0</v>
      </c>
      <c r="L27" s="72" t="n">
        <v>0.7</v>
      </c>
      <c r="M27" s="72" t="n">
        <v>0</v>
      </c>
      <c r="N27" s="72" t="n">
        <v>0</v>
      </c>
      <c r="O27" s="72" t="n">
        <v>1</v>
      </c>
      <c r="P27" s="72" t="n">
        <v>0</v>
      </c>
      <c r="Q27" s="72" t="n">
        <v>0.5</v>
      </c>
      <c r="R27" s="72" t="n">
        <v>0</v>
      </c>
      <c r="S27" s="72" t="n">
        <v>0</v>
      </c>
      <c r="U27" s="73" t="n">
        <f aca="false">IF(F27=0,0,SUMPRODUCT(--($F27:$S27&gt;F27))+1)</f>
        <v>1</v>
      </c>
      <c r="V27" s="73" t="n">
        <f aca="false">IF(G27=0,0,SUMPRODUCT(--($F27:$S27&gt;G27))+SUMPRODUCT(--($F27:F27=G27))+1)</f>
        <v>6</v>
      </c>
      <c r="W27" s="73" t="n">
        <f aca="false">IF(H27=0,0,SUMPRODUCT(--($F27:$S27&gt;H27))+SUMPRODUCT(--($F27:G27=H27))+1)</f>
        <v>4</v>
      </c>
      <c r="X27" s="73" t="n">
        <f aca="false">IF(I27=0,0,SUMPRODUCT(--($F27:$S27&gt;I27))+SUMPRODUCT(--($F27:H27=I27))+1)</f>
        <v>0</v>
      </c>
      <c r="Y27" s="73" t="n">
        <f aca="false">IF(J27=0,0,SUMPRODUCT(--($F27:$S27&gt;J27))+SUMPRODUCT(--($F27:I27=J27))+1)</f>
        <v>2</v>
      </c>
      <c r="Z27" s="73" t="n">
        <f aca="false">IF(K27=0,0,SUMPRODUCT(--($F27:$S27&gt;K27))+SUMPRODUCT(--($F27:J27=K27))+1)</f>
        <v>0</v>
      </c>
      <c r="AA27" s="73" t="n">
        <f aca="false">IF(L27=0,0,SUMPRODUCT(--($F27:$S27&gt;L27))+SUMPRODUCT(--($F27:K27=L27))+1)</f>
        <v>5</v>
      </c>
      <c r="AB27" s="73" t="n">
        <f aca="false">IF(M27=0,0,SUMPRODUCT(--($F27:$S27&gt;M27))+SUMPRODUCT(--($F27:L27=M27))+1)</f>
        <v>0</v>
      </c>
      <c r="AC27" s="73" t="n">
        <f aca="false">IF(N27=0,0,SUMPRODUCT(--($F27:$S27&gt;N27))+SUMPRODUCT(--($F27:M27=N27))+1)</f>
        <v>0</v>
      </c>
      <c r="AD27" s="73" t="n">
        <f aca="false">IF(O27=0,0,SUMPRODUCT(--($F27:$S27&gt;O27))+SUMPRODUCT(--($F27:N27=O27))+1)</f>
        <v>3</v>
      </c>
      <c r="AE27" s="73" t="n">
        <f aca="false">IF(P27=0,0,SUMPRODUCT(--($F27:$S27&gt;P27))+SUMPRODUCT(--($F27:O27=P27))+1)</f>
        <v>0</v>
      </c>
      <c r="AF27" s="73" t="n">
        <f aca="false">IF(Q27=0,0,SUMPRODUCT(--($F27:$S27&gt;Q27))+SUMPRODUCT(--($F27:P27=Q27))+1)</f>
        <v>7</v>
      </c>
      <c r="AG27" s="73" t="n">
        <f aca="false">IF(R27=0,0,SUMPRODUCT(--($F27:$S27&gt;R27))+SUMPRODUCT(--($F27:Q27=R27))+1)</f>
        <v>0</v>
      </c>
      <c r="AH27" s="73" t="n">
        <f aca="false">IF(S27=0,0,SUMPRODUCT(--($F27:$S27&gt;S27))+SUMPRODUCT(--($F27:R27=S27))+1)</f>
        <v>0</v>
      </c>
    </row>
    <row r="28" customFormat="false" ht="15.75" hidden="false" customHeight="true" outlineLevel="0" collapsed="false">
      <c r="A28" s="63" t="str">
        <f aca="false">B28&amp;"|"&amp;C28</f>
        <v>Tireur|Botte</v>
      </c>
      <c r="B28" s="64" t="s">
        <v>31</v>
      </c>
      <c r="C28" s="64" t="s">
        <v>209</v>
      </c>
      <c r="D28" s="50" t="s">
        <v>1277</v>
      </c>
      <c r="E28" s="64" t="s">
        <v>1275</v>
      </c>
      <c r="F28" s="72" t="n">
        <v>1.1</v>
      </c>
      <c r="G28" s="72" t="n">
        <v>0</v>
      </c>
      <c r="H28" s="72" t="n">
        <v>0.6</v>
      </c>
      <c r="I28" s="72" t="n">
        <v>0</v>
      </c>
      <c r="J28" s="72" t="n">
        <v>1.8</v>
      </c>
      <c r="K28" s="72" t="n">
        <v>1.4</v>
      </c>
      <c r="L28" s="72" t="n">
        <v>0.8</v>
      </c>
      <c r="M28" s="72" t="n">
        <v>0.5</v>
      </c>
      <c r="N28" s="72" t="n">
        <v>0</v>
      </c>
      <c r="O28" s="72" t="n">
        <v>0.7</v>
      </c>
      <c r="P28" s="72" t="n">
        <v>0</v>
      </c>
      <c r="Q28" s="72" t="n">
        <v>0.5</v>
      </c>
      <c r="R28" s="72" t="n">
        <v>0</v>
      </c>
      <c r="S28" s="72" t="n">
        <v>0</v>
      </c>
      <c r="U28" s="73" t="n">
        <f aca="false">IF(F28=0,0,SUMPRODUCT(--($F28:$S28&gt;F28))+1)</f>
        <v>3</v>
      </c>
      <c r="V28" s="73" t="n">
        <f aca="false">IF(G28=0,0,SUMPRODUCT(--($F28:$S28&gt;G28))+SUMPRODUCT(--($F28:F28=G28))+1)</f>
        <v>0</v>
      </c>
      <c r="W28" s="73" t="n">
        <f aca="false">IF(H28=0,0,SUMPRODUCT(--($F28:$S28&gt;H28))+SUMPRODUCT(--($F28:G28=H28))+1)</f>
        <v>6</v>
      </c>
      <c r="X28" s="73" t="n">
        <f aca="false">IF(I28=0,0,SUMPRODUCT(--($F28:$S28&gt;I28))+SUMPRODUCT(--($F28:H28=I28))+1)</f>
        <v>0</v>
      </c>
      <c r="Y28" s="73" t="n">
        <f aca="false">IF(J28=0,0,SUMPRODUCT(--($F28:$S28&gt;J28))+SUMPRODUCT(--($F28:I28=J28))+1)</f>
        <v>1</v>
      </c>
      <c r="Z28" s="73" t="n">
        <f aca="false">IF(K28=0,0,SUMPRODUCT(--($F28:$S28&gt;K28))+SUMPRODUCT(--($F28:J28=K28))+1)</f>
        <v>2</v>
      </c>
      <c r="AA28" s="73" t="n">
        <f aca="false">IF(L28=0,0,SUMPRODUCT(--($F28:$S28&gt;L28))+SUMPRODUCT(--($F28:K28=L28))+1)</f>
        <v>4</v>
      </c>
      <c r="AB28" s="73" t="n">
        <f aca="false">IF(M28=0,0,SUMPRODUCT(--($F28:$S28&gt;M28))+SUMPRODUCT(--($F28:L28=M28))+1)</f>
        <v>7</v>
      </c>
      <c r="AC28" s="73" t="n">
        <f aca="false">IF(N28=0,0,SUMPRODUCT(--($F28:$S28&gt;N28))+SUMPRODUCT(--($F28:M28=N28))+1)</f>
        <v>0</v>
      </c>
      <c r="AD28" s="73" t="n">
        <f aca="false">IF(O28=0,0,SUMPRODUCT(--($F28:$S28&gt;O28))+SUMPRODUCT(--($F28:N28=O28))+1)</f>
        <v>5</v>
      </c>
      <c r="AE28" s="73" t="n">
        <f aca="false">IF(P28=0,0,SUMPRODUCT(--($F28:$S28&gt;P28))+SUMPRODUCT(--($F28:O28=P28))+1)</f>
        <v>0</v>
      </c>
      <c r="AF28" s="73" t="n">
        <f aca="false">IF(Q28=0,0,SUMPRODUCT(--($F28:$S28&gt;Q28))+SUMPRODUCT(--($F28:P28=Q28))+1)</f>
        <v>8</v>
      </c>
      <c r="AG28" s="73" t="n">
        <f aca="false">IF(R28=0,0,SUMPRODUCT(--($F28:$S28&gt;R28))+SUMPRODUCT(--($F28:Q28=R28))+1)</f>
        <v>0</v>
      </c>
      <c r="AH28" s="73" t="n">
        <f aca="false">IF(S28=0,0,SUMPRODUCT(--($F28:$S28&gt;S28))+SUMPRODUCT(--($F28:R28=S28))+1)</f>
        <v>0</v>
      </c>
    </row>
    <row r="29" customFormat="false" ht="15.75" hidden="false" customHeight="true" outlineLevel="0" collapsed="false">
      <c r="A29" s="63" t="str">
        <f aca="false">B29&amp;"|"&amp;C29</f>
        <v>Tireur|Collier</v>
      </c>
      <c r="B29" s="64" t="s">
        <v>31</v>
      </c>
      <c r="C29" s="64" t="s">
        <v>241</v>
      </c>
      <c r="D29" s="50" t="s">
        <v>1278</v>
      </c>
      <c r="E29" s="64" t="s">
        <v>1257</v>
      </c>
      <c r="F29" s="72" t="n">
        <v>0.8</v>
      </c>
      <c r="G29" s="72" t="n">
        <v>0</v>
      </c>
      <c r="H29" s="72" t="n">
        <v>0</v>
      </c>
      <c r="I29" s="72" t="n">
        <v>0</v>
      </c>
      <c r="J29" s="72" t="n">
        <v>1.2</v>
      </c>
      <c r="K29" s="72" t="n">
        <v>0</v>
      </c>
      <c r="L29" s="72" t="n">
        <v>0.9</v>
      </c>
      <c r="M29" s="72" t="n">
        <v>1</v>
      </c>
      <c r="N29" s="72" t="n">
        <v>1</v>
      </c>
      <c r="O29" s="72" t="n">
        <v>0</v>
      </c>
      <c r="P29" s="72" t="n">
        <v>0</v>
      </c>
      <c r="Q29" s="72" t="n">
        <v>0.7</v>
      </c>
      <c r="R29" s="72" t="n">
        <v>0</v>
      </c>
      <c r="S29" s="72" t="n">
        <v>0.5</v>
      </c>
      <c r="U29" s="73" t="n">
        <f aca="false">IF(F29=0,0,SUMPRODUCT(--($F29:$S29&gt;F29))+1)</f>
        <v>5</v>
      </c>
      <c r="V29" s="73" t="n">
        <f aca="false">IF(G29=0,0,SUMPRODUCT(--($F29:$S29&gt;G29))+SUMPRODUCT(--($F29:F29=G29))+1)</f>
        <v>0</v>
      </c>
      <c r="W29" s="73" t="n">
        <f aca="false">IF(H29=0,0,SUMPRODUCT(--($F29:$S29&gt;H29))+SUMPRODUCT(--($F29:G29=H29))+1)</f>
        <v>0</v>
      </c>
      <c r="X29" s="73" t="n">
        <f aca="false">IF(I29=0,0,SUMPRODUCT(--($F29:$S29&gt;I29))+SUMPRODUCT(--($F29:H29=I29))+1)</f>
        <v>0</v>
      </c>
      <c r="Y29" s="73" t="n">
        <f aca="false">IF(J29=0,0,SUMPRODUCT(--($F29:$S29&gt;J29))+SUMPRODUCT(--($F29:I29=J29))+1)</f>
        <v>1</v>
      </c>
      <c r="Z29" s="73" t="n">
        <f aca="false">IF(K29=0,0,SUMPRODUCT(--($F29:$S29&gt;K29))+SUMPRODUCT(--($F29:J29=K29))+1)</f>
        <v>0</v>
      </c>
      <c r="AA29" s="73" t="n">
        <f aca="false">IF(L29=0,0,SUMPRODUCT(--($F29:$S29&gt;L29))+SUMPRODUCT(--($F29:K29=L29))+1)</f>
        <v>4</v>
      </c>
      <c r="AB29" s="73" t="n">
        <f aca="false">IF(M29=0,0,SUMPRODUCT(--($F29:$S29&gt;M29))+SUMPRODUCT(--($F29:L29=M29))+1)</f>
        <v>2</v>
      </c>
      <c r="AC29" s="73" t="n">
        <f aca="false">IF(N29=0,0,SUMPRODUCT(--($F29:$S29&gt;N29))+SUMPRODUCT(--($F29:M29=N29))+1)</f>
        <v>3</v>
      </c>
      <c r="AD29" s="73" t="n">
        <f aca="false">IF(O29=0,0,SUMPRODUCT(--($F29:$S29&gt;O29))+SUMPRODUCT(--($F29:N29=O29))+1)</f>
        <v>0</v>
      </c>
      <c r="AE29" s="73" t="n">
        <f aca="false">IF(P29=0,0,SUMPRODUCT(--($F29:$S29&gt;P29))+SUMPRODUCT(--($F29:O29=P29))+1)</f>
        <v>0</v>
      </c>
      <c r="AF29" s="73" t="n">
        <f aca="false">IF(Q29=0,0,SUMPRODUCT(--($F29:$S29&gt;Q29))+SUMPRODUCT(--($F29:P29=Q29))+1)</f>
        <v>6</v>
      </c>
      <c r="AG29" s="73" t="n">
        <f aca="false">IF(R29=0,0,SUMPRODUCT(--($F29:$S29&gt;R29))+SUMPRODUCT(--($F29:Q29=R29))+1)</f>
        <v>0</v>
      </c>
      <c r="AH29" s="73" t="n">
        <f aca="false">IF(S29=0,0,SUMPRODUCT(--($F29:$S29&gt;S29))+SUMPRODUCT(--($F29:R29=S29))+1)</f>
        <v>7</v>
      </c>
    </row>
    <row r="30" customFormat="false" ht="15.75" hidden="false" customHeight="true" outlineLevel="0" collapsed="false">
      <c r="A30" s="63" t="str">
        <f aca="false">B30&amp;"|"&amp;C30</f>
        <v>Tireur|Anneau 1</v>
      </c>
      <c r="B30" s="64" t="s">
        <v>31</v>
      </c>
      <c r="C30" s="64" t="s">
        <v>273</v>
      </c>
      <c r="D30" s="50" t="s">
        <v>1279</v>
      </c>
      <c r="E30" s="64" t="s">
        <v>1257</v>
      </c>
      <c r="F30" s="72" t="n">
        <v>0.6</v>
      </c>
      <c r="G30" s="72" t="n">
        <v>0.5</v>
      </c>
      <c r="H30" s="72" t="n">
        <v>0</v>
      </c>
      <c r="I30" s="72" t="n">
        <v>0</v>
      </c>
      <c r="J30" s="72" t="n">
        <v>0.9</v>
      </c>
      <c r="K30" s="72" t="n">
        <v>0</v>
      </c>
      <c r="L30" s="72" t="n">
        <v>1</v>
      </c>
      <c r="M30" s="72" t="n">
        <v>1.2</v>
      </c>
      <c r="N30" s="72" t="n">
        <v>1.2</v>
      </c>
      <c r="O30" s="72" t="n">
        <v>0</v>
      </c>
      <c r="P30" s="72" t="n">
        <v>1</v>
      </c>
      <c r="Q30" s="72" t="n">
        <v>0</v>
      </c>
      <c r="R30" s="72" t="n">
        <v>0</v>
      </c>
      <c r="S30" s="72" t="n">
        <v>0</v>
      </c>
      <c r="U30" s="73" t="n">
        <f aca="false">IF(F30=0,0,SUMPRODUCT(--($F30:$S30&gt;F30))+1)</f>
        <v>6</v>
      </c>
      <c r="V30" s="73" t="n">
        <f aca="false">IF(G30=0,0,SUMPRODUCT(--($F30:$S30&gt;G30))+SUMPRODUCT(--($F30:F30=G30))+1)</f>
        <v>7</v>
      </c>
      <c r="W30" s="73" t="n">
        <f aca="false">IF(H30=0,0,SUMPRODUCT(--($F30:$S30&gt;H30))+SUMPRODUCT(--($F30:G30=H30))+1)</f>
        <v>0</v>
      </c>
      <c r="X30" s="73" t="n">
        <f aca="false">IF(I30=0,0,SUMPRODUCT(--($F30:$S30&gt;I30))+SUMPRODUCT(--($F30:H30=I30))+1)</f>
        <v>0</v>
      </c>
      <c r="Y30" s="73" t="n">
        <f aca="false">IF(J30=0,0,SUMPRODUCT(--($F30:$S30&gt;J30))+SUMPRODUCT(--($F30:I30=J30))+1)</f>
        <v>5</v>
      </c>
      <c r="Z30" s="73" t="n">
        <f aca="false">IF(K30=0,0,SUMPRODUCT(--($F30:$S30&gt;K30))+SUMPRODUCT(--($F30:J30=K30))+1)</f>
        <v>0</v>
      </c>
      <c r="AA30" s="73" t="n">
        <f aca="false">IF(L30=0,0,SUMPRODUCT(--($F30:$S30&gt;L30))+SUMPRODUCT(--($F30:K30=L30))+1)</f>
        <v>3</v>
      </c>
      <c r="AB30" s="73" t="n">
        <f aca="false">IF(M30=0,0,SUMPRODUCT(--($F30:$S30&gt;M30))+SUMPRODUCT(--($F30:L30=M30))+1)</f>
        <v>1</v>
      </c>
      <c r="AC30" s="73" t="n">
        <f aca="false">IF(N30=0,0,SUMPRODUCT(--($F30:$S30&gt;N30))+SUMPRODUCT(--($F30:M30=N30))+1)</f>
        <v>2</v>
      </c>
      <c r="AD30" s="73" t="n">
        <f aca="false">IF(O30=0,0,SUMPRODUCT(--($F30:$S30&gt;O30))+SUMPRODUCT(--($F30:N30=O30))+1)</f>
        <v>0</v>
      </c>
      <c r="AE30" s="73" t="n">
        <f aca="false">IF(P30=0,0,SUMPRODUCT(--($F30:$S30&gt;P30))+SUMPRODUCT(--($F30:O30=P30))+1)</f>
        <v>4</v>
      </c>
      <c r="AF30" s="73" t="n">
        <f aca="false">IF(Q30=0,0,SUMPRODUCT(--($F30:$S30&gt;Q30))+SUMPRODUCT(--($F30:P30=Q30))+1)</f>
        <v>0</v>
      </c>
      <c r="AG30" s="73" t="n">
        <f aca="false">IF(R30=0,0,SUMPRODUCT(--($F30:$S30&gt;R30))+SUMPRODUCT(--($F30:Q30=R30))+1)</f>
        <v>0</v>
      </c>
      <c r="AH30" s="73" t="n">
        <f aca="false">IF(S30=0,0,SUMPRODUCT(--($F30:$S30&gt;S30))+SUMPRODUCT(--($F30:R30=S30))+1)</f>
        <v>0</v>
      </c>
    </row>
    <row r="31" customFormat="false" ht="15.75" hidden="false" customHeight="true" outlineLevel="0" collapsed="false">
      <c r="A31" s="63" t="str">
        <f aca="false">B31&amp;"|"&amp;C31</f>
        <v>Tireur|Anneau 2</v>
      </c>
      <c r="B31" s="64" t="s">
        <v>31</v>
      </c>
      <c r="C31" s="64" t="s">
        <v>305</v>
      </c>
      <c r="D31" s="50" t="s">
        <v>1280</v>
      </c>
      <c r="E31" s="64" t="s">
        <v>1257</v>
      </c>
      <c r="F31" s="72" t="n">
        <v>1</v>
      </c>
      <c r="G31" s="72" t="n">
        <v>0</v>
      </c>
      <c r="H31" s="72" t="n">
        <v>0.6</v>
      </c>
      <c r="I31" s="72" t="n">
        <v>0</v>
      </c>
      <c r="J31" s="72" t="n">
        <v>0.9</v>
      </c>
      <c r="K31" s="72" t="n">
        <v>0.8</v>
      </c>
      <c r="L31" s="72" t="n">
        <v>0.5</v>
      </c>
      <c r="M31" s="72" t="n">
        <v>0</v>
      </c>
      <c r="N31" s="72" t="n">
        <v>0</v>
      </c>
      <c r="O31" s="72" t="n">
        <v>0.4</v>
      </c>
      <c r="P31" s="72" t="n">
        <v>0</v>
      </c>
      <c r="Q31" s="72" t="n">
        <v>0.8</v>
      </c>
      <c r="R31" s="72" t="n">
        <v>0</v>
      </c>
      <c r="S31" s="72" t="n">
        <v>0.8</v>
      </c>
      <c r="U31" s="73" t="n">
        <f aca="false">IF(F31=0,0,SUMPRODUCT(--($F31:$S31&gt;F31))+1)</f>
        <v>1</v>
      </c>
      <c r="V31" s="73" t="n">
        <f aca="false">IF(G31=0,0,SUMPRODUCT(--($F31:$S31&gt;G31))+SUMPRODUCT(--($F31:F31=G31))+1)</f>
        <v>0</v>
      </c>
      <c r="W31" s="73" t="n">
        <f aca="false">IF(H31=0,0,SUMPRODUCT(--($F31:$S31&gt;H31))+SUMPRODUCT(--($F31:G31=H31))+1)</f>
        <v>6</v>
      </c>
      <c r="X31" s="73" t="n">
        <f aca="false">IF(I31=0,0,SUMPRODUCT(--($F31:$S31&gt;I31))+SUMPRODUCT(--($F31:H31=I31))+1)</f>
        <v>0</v>
      </c>
      <c r="Y31" s="73" t="n">
        <f aca="false">IF(J31=0,0,SUMPRODUCT(--($F31:$S31&gt;J31))+SUMPRODUCT(--($F31:I31=J31))+1)</f>
        <v>2</v>
      </c>
      <c r="Z31" s="73" t="n">
        <f aca="false">IF(K31=0,0,SUMPRODUCT(--($F31:$S31&gt;K31))+SUMPRODUCT(--($F31:J31=K31))+1)</f>
        <v>3</v>
      </c>
      <c r="AA31" s="73" t="n">
        <f aca="false">IF(L31=0,0,SUMPRODUCT(--($F31:$S31&gt;L31))+SUMPRODUCT(--($F31:K31=L31))+1)</f>
        <v>7</v>
      </c>
      <c r="AB31" s="73" t="n">
        <f aca="false">IF(M31=0,0,SUMPRODUCT(--($F31:$S31&gt;M31))+SUMPRODUCT(--($F31:L31=M31))+1)</f>
        <v>0</v>
      </c>
      <c r="AC31" s="73" t="n">
        <f aca="false">IF(N31=0,0,SUMPRODUCT(--($F31:$S31&gt;N31))+SUMPRODUCT(--($F31:M31=N31))+1)</f>
        <v>0</v>
      </c>
      <c r="AD31" s="73" t="n">
        <f aca="false">IF(O31=0,0,SUMPRODUCT(--($F31:$S31&gt;O31))+SUMPRODUCT(--($F31:N31=O31))+1)</f>
        <v>8</v>
      </c>
      <c r="AE31" s="73" t="n">
        <f aca="false">IF(P31=0,0,SUMPRODUCT(--($F31:$S31&gt;P31))+SUMPRODUCT(--($F31:O31=P31))+1)</f>
        <v>0</v>
      </c>
      <c r="AF31" s="73" t="n">
        <f aca="false">IF(Q31=0,0,SUMPRODUCT(--($F31:$S31&gt;Q31))+SUMPRODUCT(--($F31:P31=Q31))+1)</f>
        <v>4</v>
      </c>
      <c r="AG31" s="73" t="n">
        <f aca="false">IF(R31=0,0,SUMPRODUCT(--($F31:$S31&gt;R31))+SUMPRODUCT(--($F31:Q31=R31))+1)</f>
        <v>0</v>
      </c>
      <c r="AH31" s="73" t="n">
        <f aca="false">IF(S31=0,0,SUMPRODUCT(--($F31:$S31&gt;S31))+SUMPRODUCT(--($F31:R31=S31))+1)</f>
        <v>5</v>
      </c>
    </row>
    <row r="32" customFormat="false" ht="15.75" hidden="false" customHeight="true" outlineLevel="0" collapsed="false">
      <c r="A32" s="63" t="str">
        <f aca="false">B32&amp;"|"&amp;C32</f>
        <v>Tireur|Ceinture</v>
      </c>
      <c r="B32" s="64" t="s">
        <v>31</v>
      </c>
      <c r="C32" s="64" t="s">
        <v>337</v>
      </c>
      <c r="D32" s="50" t="s">
        <v>337</v>
      </c>
      <c r="E32" s="64" t="s">
        <v>1275</v>
      </c>
      <c r="F32" s="72" t="n">
        <v>0.9</v>
      </c>
      <c r="G32" s="72" t="n">
        <v>0</v>
      </c>
      <c r="H32" s="72" t="n">
        <v>0</v>
      </c>
      <c r="I32" s="72" t="n">
        <v>0</v>
      </c>
      <c r="J32" s="72" t="n">
        <v>1</v>
      </c>
      <c r="K32" s="72" t="n">
        <v>0</v>
      </c>
      <c r="L32" s="72" t="n">
        <v>1</v>
      </c>
      <c r="M32" s="72" t="n">
        <v>0.8</v>
      </c>
      <c r="N32" s="72" t="n">
        <v>0.8</v>
      </c>
      <c r="O32" s="72" t="n">
        <v>0</v>
      </c>
      <c r="P32" s="72" t="n">
        <v>0.6</v>
      </c>
      <c r="Q32" s="72" t="n">
        <v>0</v>
      </c>
      <c r="R32" s="72" t="n">
        <v>0</v>
      </c>
      <c r="S32" s="72" t="n">
        <v>0.5</v>
      </c>
      <c r="U32" s="73" t="n">
        <f aca="false">IF(F32=0,0,SUMPRODUCT(--($F32:$S32&gt;F32))+1)</f>
        <v>3</v>
      </c>
      <c r="V32" s="73" t="n">
        <f aca="false">IF(G32=0,0,SUMPRODUCT(--($F32:$S32&gt;G32))+SUMPRODUCT(--($F32:F32=G32))+1)</f>
        <v>0</v>
      </c>
      <c r="W32" s="73" t="n">
        <f aca="false">IF(H32=0,0,SUMPRODUCT(--($F32:$S32&gt;H32))+SUMPRODUCT(--($F32:G32=H32))+1)</f>
        <v>0</v>
      </c>
      <c r="X32" s="73" t="n">
        <f aca="false">IF(I32=0,0,SUMPRODUCT(--($F32:$S32&gt;I32))+SUMPRODUCT(--($F32:H32=I32))+1)</f>
        <v>0</v>
      </c>
      <c r="Y32" s="73" t="n">
        <f aca="false">IF(J32=0,0,SUMPRODUCT(--($F32:$S32&gt;J32))+SUMPRODUCT(--($F32:I32=J32))+1)</f>
        <v>1</v>
      </c>
      <c r="Z32" s="73" t="n">
        <f aca="false">IF(K32=0,0,SUMPRODUCT(--($F32:$S32&gt;K32))+SUMPRODUCT(--($F32:J32=K32))+1)</f>
        <v>0</v>
      </c>
      <c r="AA32" s="73" t="n">
        <f aca="false">IF(L32=0,0,SUMPRODUCT(--($F32:$S32&gt;L32))+SUMPRODUCT(--($F32:K32=L32))+1)</f>
        <v>2</v>
      </c>
      <c r="AB32" s="73" t="n">
        <f aca="false">IF(M32=0,0,SUMPRODUCT(--($F32:$S32&gt;M32))+SUMPRODUCT(--($F32:L32=M32))+1)</f>
        <v>4</v>
      </c>
      <c r="AC32" s="73" t="n">
        <f aca="false">IF(N32=0,0,SUMPRODUCT(--($F32:$S32&gt;N32))+SUMPRODUCT(--($F32:M32=N32))+1)</f>
        <v>5</v>
      </c>
      <c r="AD32" s="73" t="n">
        <f aca="false">IF(O32=0,0,SUMPRODUCT(--($F32:$S32&gt;O32))+SUMPRODUCT(--($F32:N32=O32))+1)</f>
        <v>0</v>
      </c>
      <c r="AE32" s="73" t="n">
        <f aca="false">IF(P32=0,0,SUMPRODUCT(--($F32:$S32&gt;P32))+SUMPRODUCT(--($F32:O32=P32))+1)</f>
        <v>6</v>
      </c>
      <c r="AF32" s="73" t="n">
        <f aca="false">IF(Q32=0,0,SUMPRODUCT(--($F32:$S32&gt;Q32))+SUMPRODUCT(--($F32:P32=Q32))+1)</f>
        <v>0</v>
      </c>
      <c r="AG32" s="73" t="n">
        <f aca="false">IF(R32=0,0,SUMPRODUCT(--($F32:$S32&gt;R32))+SUMPRODUCT(--($F32:Q32=R32))+1)</f>
        <v>0</v>
      </c>
      <c r="AH32" s="73" t="n">
        <f aca="false">IF(S32=0,0,SUMPRODUCT(--($F32:$S32&gt;S32))+SUMPRODUCT(--($F32:R32=S32))+1)</f>
        <v>7</v>
      </c>
    </row>
    <row r="33" customFormat="false" ht="15.75" hidden="false" customHeight="true" outlineLevel="0" collapsed="false">
      <c r="A33" s="63" t="str">
        <f aca="false">B33&amp;"|"&amp;C33</f>
        <v>Tireur|Arme 1</v>
      </c>
      <c r="B33" s="64" t="s">
        <v>31</v>
      </c>
      <c r="C33" s="64" t="s">
        <v>369</v>
      </c>
      <c r="D33" s="50" t="s">
        <v>1281</v>
      </c>
      <c r="E33" s="64" t="s">
        <v>1282</v>
      </c>
      <c r="F33" s="72" t="n">
        <v>0.6</v>
      </c>
      <c r="G33" s="72" t="n">
        <v>2.2</v>
      </c>
      <c r="H33" s="72" t="n">
        <v>0</v>
      </c>
      <c r="I33" s="72" t="n">
        <v>0</v>
      </c>
      <c r="J33" s="72" t="n">
        <v>2</v>
      </c>
      <c r="K33" s="72" t="n">
        <v>0</v>
      </c>
      <c r="L33" s="72" t="n">
        <v>1.8</v>
      </c>
      <c r="M33" s="72" t="n">
        <v>1.8</v>
      </c>
      <c r="N33" s="72" t="n">
        <v>1.8</v>
      </c>
      <c r="O33" s="72" t="n">
        <v>0</v>
      </c>
      <c r="P33" s="72" t="n">
        <v>1.8</v>
      </c>
      <c r="Q33" s="72" t="n">
        <v>0</v>
      </c>
      <c r="R33" s="72" t="n">
        <v>0</v>
      </c>
      <c r="S33" s="72" t="n">
        <v>0</v>
      </c>
      <c r="U33" s="73" t="n">
        <f aca="false">IF(F33=0,0,SUMPRODUCT(--($F33:$S33&gt;F33))+1)</f>
        <v>7</v>
      </c>
      <c r="V33" s="73" t="n">
        <f aca="false">IF(G33=0,0,SUMPRODUCT(--($F33:$S33&gt;G33))+SUMPRODUCT(--($F33:F33=G33))+1)</f>
        <v>1</v>
      </c>
      <c r="W33" s="73" t="n">
        <f aca="false">IF(H33=0,0,SUMPRODUCT(--($F33:$S33&gt;H33))+SUMPRODUCT(--($F33:G33=H33))+1)</f>
        <v>0</v>
      </c>
      <c r="X33" s="73" t="n">
        <f aca="false">IF(I33=0,0,SUMPRODUCT(--($F33:$S33&gt;I33))+SUMPRODUCT(--($F33:H33=I33))+1)</f>
        <v>0</v>
      </c>
      <c r="Y33" s="73" t="n">
        <f aca="false">IF(J33=0,0,SUMPRODUCT(--($F33:$S33&gt;J33))+SUMPRODUCT(--($F33:I33=J33))+1)</f>
        <v>2</v>
      </c>
      <c r="Z33" s="73" t="n">
        <f aca="false">IF(K33=0,0,SUMPRODUCT(--($F33:$S33&gt;K33))+SUMPRODUCT(--($F33:J33=K33))+1)</f>
        <v>0</v>
      </c>
      <c r="AA33" s="73" t="n">
        <f aca="false">IF(L33=0,0,SUMPRODUCT(--($F33:$S33&gt;L33))+SUMPRODUCT(--($F33:K33=L33))+1)</f>
        <v>3</v>
      </c>
      <c r="AB33" s="73" t="n">
        <f aca="false">IF(M33=0,0,SUMPRODUCT(--($F33:$S33&gt;M33))+SUMPRODUCT(--($F33:L33=M33))+1)</f>
        <v>4</v>
      </c>
      <c r="AC33" s="73" t="n">
        <f aca="false">IF(N33=0,0,SUMPRODUCT(--($F33:$S33&gt;N33))+SUMPRODUCT(--($F33:M33=N33))+1)</f>
        <v>5</v>
      </c>
      <c r="AD33" s="73" t="n">
        <f aca="false">IF(O33=0,0,SUMPRODUCT(--($F33:$S33&gt;O33))+SUMPRODUCT(--($F33:N33=O33))+1)</f>
        <v>0</v>
      </c>
      <c r="AE33" s="73" t="n">
        <f aca="false">IF(P33=0,0,SUMPRODUCT(--($F33:$S33&gt;P33))+SUMPRODUCT(--($F33:O33=P33))+1)</f>
        <v>6</v>
      </c>
      <c r="AF33" s="73" t="n">
        <f aca="false">IF(Q33=0,0,SUMPRODUCT(--($F33:$S33&gt;Q33))+SUMPRODUCT(--($F33:P33=Q33))+1)</f>
        <v>0</v>
      </c>
      <c r="AG33" s="73" t="n">
        <f aca="false">IF(R33=0,0,SUMPRODUCT(--($F33:$S33&gt;R33))+SUMPRODUCT(--($F33:Q33=R33))+1)</f>
        <v>0</v>
      </c>
      <c r="AH33" s="73" t="n">
        <f aca="false">IF(S33=0,0,SUMPRODUCT(--($F33:$S33&gt;S33))+SUMPRODUCT(--($F33:R33=S33))+1)</f>
        <v>0</v>
      </c>
    </row>
    <row r="34" customFormat="false" ht="15.75" hidden="false" customHeight="true" outlineLevel="0" collapsed="false">
      <c r="A34" s="63" t="str">
        <f aca="false">B34&amp;"|"&amp;C34</f>
        <v>Tireur|Arme 2</v>
      </c>
      <c r="B34" s="64" t="s">
        <v>31</v>
      </c>
      <c r="C34" s="64" t="s">
        <v>401</v>
      </c>
      <c r="D34" s="50" t="s">
        <v>1283</v>
      </c>
      <c r="E34" s="64" t="s">
        <v>1275</v>
      </c>
      <c r="F34" s="72" t="n">
        <v>0.6</v>
      </c>
      <c r="G34" s="72" t="n">
        <v>0.9</v>
      </c>
      <c r="H34" s="72" t="n">
        <v>0</v>
      </c>
      <c r="I34" s="72" t="n">
        <v>0</v>
      </c>
      <c r="J34" s="72" t="n">
        <v>1.4</v>
      </c>
      <c r="K34" s="72" t="n">
        <v>1</v>
      </c>
      <c r="L34" s="72" t="n">
        <v>1.6</v>
      </c>
      <c r="M34" s="72" t="n">
        <v>1.4</v>
      </c>
      <c r="N34" s="72" t="n">
        <v>1.6</v>
      </c>
      <c r="O34" s="72" t="n">
        <v>0</v>
      </c>
      <c r="P34" s="72" t="n">
        <v>1.4</v>
      </c>
      <c r="Q34" s="72" t="n">
        <v>0</v>
      </c>
      <c r="R34" s="72" t="n">
        <v>0</v>
      </c>
      <c r="S34" s="72" t="n">
        <v>0</v>
      </c>
      <c r="U34" s="73" t="n">
        <f aca="false">IF(F34=0,0,SUMPRODUCT(--($F34:$S34&gt;F34))+1)</f>
        <v>8</v>
      </c>
      <c r="V34" s="73" t="n">
        <f aca="false">IF(G34=0,0,SUMPRODUCT(--($F34:$S34&gt;G34))+SUMPRODUCT(--($F34:F34=G34))+1)</f>
        <v>7</v>
      </c>
      <c r="W34" s="73" t="n">
        <f aca="false">IF(H34=0,0,SUMPRODUCT(--($F34:$S34&gt;H34))+SUMPRODUCT(--($F34:G34=H34))+1)</f>
        <v>0</v>
      </c>
      <c r="X34" s="73" t="n">
        <f aca="false">IF(I34=0,0,SUMPRODUCT(--($F34:$S34&gt;I34))+SUMPRODUCT(--($F34:H34=I34))+1)</f>
        <v>0</v>
      </c>
      <c r="Y34" s="73" t="n">
        <f aca="false">IF(J34=0,0,SUMPRODUCT(--($F34:$S34&gt;J34))+SUMPRODUCT(--($F34:I34=J34))+1)</f>
        <v>3</v>
      </c>
      <c r="Z34" s="73" t="n">
        <f aca="false">IF(K34=0,0,SUMPRODUCT(--($F34:$S34&gt;K34))+SUMPRODUCT(--($F34:J34=K34))+1)</f>
        <v>6</v>
      </c>
      <c r="AA34" s="73" t="n">
        <f aca="false">IF(L34=0,0,SUMPRODUCT(--($F34:$S34&gt;L34))+SUMPRODUCT(--($F34:K34=L34))+1)</f>
        <v>1</v>
      </c>
      <c r="AB34" s="73" t="n">
        <f aca="false">IF(M34=0,0,SUMPRODUCT(--($F34:$S34&gt;M34))+SUMPRODUCT(--($F34:L34=M34))+1)</f>
        <v>4</v>
      </c>
      <c r="AC34" s="73" t="n">
        <f aca="false">IF(N34=0,0,SUMPRODUCT(--($F34:$S34&gt;N34))+SUMPRODUCT(--($F34:M34=N34))+1)</f>
        <v>2</v>
      </c>
      <c r="AD34" s="73" t="n">
        <f aca="false">IF(O34=0,0,SUMPRODUCT(--($F34:$S34&gt;O34))+SUMPRODUCT(--($F34:N34=O34))+1)</f>
        <v>0</v>
      </c>
      <c r="AE34" s="73" t="n">
        <f aca="false">IF(P34=0,0,SUMPRODUCT(--($F34:$S34&gt;P34))+SUMPRODUCT(--($F34:O34=P34))+1)</f>
        <v>5</v>
      </c>
      <c r="AF34" s="73" t="n">
        <f aca="false">IF(Q34=0,0,SUMPRODUCT(--($F34:$S34&gt;Q34))+SUMPRODUCT(--($F34:P34=Q34))+1)</f>
        <v>0</v>
      </c>
      <c r="AG34" s="73" t="n">
        <f aca="false">IF(R34=0,0,SUMPRODUCT(--($F34:$S34&gt;R34))+SUMPRODUCT(--($F34:Q34=R34))+1)</f>
        <v>0</v>
      </c>
      <c r="AH34" s="73" t="n">
        <f aca="false">IF(S34=0,0,SUMPRODUCT(--($F34:$S34&gt;S34))+SUMPRODUCT(--($F34:R34=S34))+1)</f>
        <v>0</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F3:S3"/>
    <mergeCell ref="U3:A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18"/>
    <col collapsed="false" customWidth="true" hidden="false" outlineLevel="0" max="4" min="4" style="1" width="16"/>
    <col collapsed="false" customWidth="true" hidden="false" outlineLevel="0" max="5" min="5" style="1" width="18"/>
    <col collapsed="false" customWidth="true" hidden="false" outlineLevel="0" max="6" min="6" style="1" width="26"/>
    <col collapsed="false" customWidth="true" hidden="false" outlineLevel="0" max="7" min="7" style="1" width="52"/>
    <col collapsed="false" customWidth="true" hidden="false" outlineLevel="0" max="26" min="8" style="1" width="8.71"/>
  </cols>
  <sheetData>
    <row r="1" customFormat="false" ht="17.25" hidden="false" customHeight="true" outlineLevel="0" collapsed="false">
      <c r="A1" s="8" t="s">
        <v>1284</v>
      </c>
    </row>
    <row r="2" customFormat="false" ht="15" hidden="false" customHeight="true" outlineLevel="0" collapsed="false">
      <c r="A2" s="9" t="s">
        <v>1285</v>
      </c>
    </row>
    <row r="4" customFormat="false" ht="31.5" hidden="false" customHeight="true" outlineLevel="0" collapsed="false">
      <c r="A4" s="13" t="s">
        <v>1286</v>
      </c>
      <c r="B4" s="13" t="s">
        <v>1287</v>
      </c>
      <c r="C4" s="13" t="s">
        <v>1288</v>
      </c>
      <c r="D4" s="13" t="s">
        <v>1289</v>
      </c>
      <c r="E4" s="13" t="s">
        <v>1290</v>
      </c>
      <c r="F4" s="13" t="s">
        <v>1291</v>
      </c>
      <c r="G4" s="13" t="s">
        <v>1292</v>
      </c>
    </row>
    <row r="5" customFormat="false" ht="15" hidden="false" customHeight="true" outlineLevel="0" collapsed="false">
      <c r="A5" s="10" t="s">
        <v>1262</v>
      </c>
      <c r="B5" s="11" t="s">
        <v>1293</v>
      </c>
      <c r="C5" s="11" t="s">
        <v>1294</v>
      </c>
      <c r="D5" s="11" t="s">
        <v>1295</v>
      </c>
      <c r="E5" s="11" t="s">
        <v>1296</v>
      </c>
      <c r="F5" s="11" t="s">
        <v>1297</v>
      </c>
      <c r="G5" s="22" t="s">
        <v>1298</v>
      </c>
    </row>
    <row r="6" customFormat="false" ht="15" hidden="false" customHeight="true" outlineLevel="0" collapsed="false">
      <c r="A6" s="10" t="s">
        <v>1252</v>
      </c>
      <c r="B6" s="11" t="s">
        <v>1299</v>
      </c>
      <c r="C6" s="11" t="s">
        <v>1294</v>
      </c>
      <c r="D6" s="11" t="s">
        <v>1295</v>
      </c>
      <c r="E6" s="11" t="s">
        <v>1296</v>
      </c>
      <c r="F6" s="11" t="s">
        <v>1297</v>
      </c>
      <c r="G6" s="22" t="s">
        <v>1300</v>
      </c>
    </row>
    <row r="7" customFormat="false" ht="15" hidden="false" customHeight="true" outlineLevel="0" collapsed="false">
      <c r="A7" s="10" t="s">
        <v>1264</v>
      </c>
      <c r="B7" s="11" t="s">
        <v>1301</v>
      </c>
      <c r="C7" s="11" t="s">
        <v>1302</v>
      </c>
      <c r="D7" s="11" t="s">
        <v>1303</v>
      </c>
      <c r="E7" s="11" t="s">
        <v>1304</v>
      </c>
      <c r="F7" s="11" t="s">
        <v>1305</v>
      </c>
      <c r="G7" s="22" t="s">
        <v>1306</v>
      </c>
    </row>
    <row r="8" customFormat="false" ht="15" hidden="false" customHeight="true" outlineLevel="0" collapsed="false">
      <c r="A8" s="10" t="s">
        <v>1271</v>
      </c>
      <c r="B8" s="11" t="s">
        <v>1293</v>
      </c>
      <c r="C8" s="11" t="s">
        <v>1307</v>
      </c>
      <c r="D8" s="11" t="s">
        <v>1308</v>
      </c>
      <c r="E8" s="11" t="s">
        <v>1309</v>
      </c>
      <c r="F8" s="11" t="s">
        <v>1310</v>
      </c>
      <c r="G8" s="22" t="s">
        <v>1270</v>
      </c>
    </row>
    <row r="9" customFormat="false" ht="15" hidden="false" customHeight="true" outlineLevel="0" collapsed="false">
      <c r="A9" s="10" t="s">
        <v>1273</v>
      </c>
      <c r="B9" s="11" t="s">
        <v>1311</v>
      </c>
      <c r="C9" s="11" t="s">
        <v>1312</v>
      </c>
      <c r="D9" s="11" t="s">
        <v>1313</v>
      </c>
      <c r="E9" s="11" t="s">
        <v>1314</v>
      </c>
      <c r="F9" s="11" t="s">
        <v>1315</v>
      </c>
      <c r="G9" s="22" t="s">
        <v>1272</v>
      </c>
    </row>
    <row r="10" customFormat="false" ht="15" hidden="false" customHeight="true" outlineLevel="0" collapsed="false">
      <c r="A10" s="10" t="s">
        <v>1282</v>
      </c>
      <c r="B10" s="11" t="s">
        <v>1293</v>
      </c>
      <c r="C10" s="11" t="s">
        <v>1316</v>
      </c>
      <c r="D10" s="11" t="s">
        <v>1317</v>
      </c>
      <c r="E10" s="11" t="s">
        <v>1308</v>
      </c>
      <c r="F10" s="11" t="s">
        <v>1318</v>
      </c>
      <c r="G10" s="22" t="s">
        <v>1281</v>
      </c>
    </row>
    <row r="11" customFormat="false" ht="15" hidden="false" customHeight="true" outlineLevel="0" collapsed="false">
      <c r="A11" s="10" t="s">
        <v>1275</v>
      </c>
      <c r="B11" s="11" t="s">
        <v>1319</v>
      </c>
      <c r="C11" s="11" t="s">
        <v>1299</v>
      </c>
      <c r="D11" s="11" t="s">
        <v>1320</v>
      </c>
      <c r="E11" s="11" t="s">
        <v>1321</v>
      </c>
      <c r="F11" s="11" t="s">
        <v>1322</v>
      </c>
      <c r="G11" s="22" t="s">
        <v>1323</v>
      </c>
    </row>
    <row r="12" customFormat="false" ht="15" hidden="false" customHeight="true" outlineLevel="0" collapsed="false">
      <c r="A12" s="10" t="s">
        <v>1257</v>
      </c>
      <c r="B12" s="11" t="s">
        <v>1324</v>
      </c>
      <c r="C12" s="11" t="s">
        <v>1325</v>
      </c>
      <c r="D12" s="11" t="s">
        <v>1326</v>
      </c>
      <c r="E12" s="11" t="s">
        <v>1327</v>
      </c>
      <c r="F12" s="11" t="s">
        <v>1328</v>
      </c>
      <c r="G12" s="22" t="s">
        <v>1329</v>
      </c>
    </row>
    <row r="14" customFormat="false" ht="15" hidden="false" customHeight="true" outlineLevel="0" collapsed="false">
      <c r="A14" s="74" t="s">
        <v>1330</v>
      </c>
    </row>
    <row r="15" customFormat="false" ht="31.5" hidden="false" customHeight="true" outlineLevel="0" collapsed="false">
      <c r="A15" s="13" t="s">
        <v>76</v>
      </c>
      <c r="B15" s="13" t="s">
        <v>1331</v>
      </c>
      <c r="C15" s="13" t="s">
        <v>1061</v>
      </c>
      <c r="D15" s="13" t="s">
        <v>1332</v>
      </c>
      <c r="E15" s="13" t="s">
        <v>1333</v>
      </c>
      <c r="F15" s="13" t="s">
        <v>1334</v>
      </c>
    </row>
    <row r="16" customFormat="false" ht="15" hidden="false" customHeight="true" outlineLevel="0" collapsed="false">
      <c r="A16" s="75" t="n">
        <v>1</v>
      </c>
      <c r="B16" s="68" t="n">
        <v>1</v>
      </c>
      <c r="C16" s="68" t="n">
        <v>19</v>
      </c>
      <c r="D16" s="16" t="n">
        <f aca="false">B16+C16</f>
        <v>20</v>
      </c>
      <c r="E16" s="68" t="n">
        <v>1</v>
      </c>
      <c r="F16" s="22" t="str">
        <f aca="false">"Épée en "&amp;B5&amp;" : niv. "&amp;B16&amp;" → "&amp;D16</f>
        <v>Épée en bois : niv. 1 → 20</v>
      </c>
    </row>
    <row r="17" customFormat="false" ht="15" hidden="false" customHeight="true" outlineLevel="0" collapsed="false">
      <c r="A17" s="75" t="n">
        <v>2</v>
      </c>
      <c r="B17" s="68" t="n">
        <v>15</v>
      </c>
      <c r="C17" s="68" t="n">
        <v>20</v>
      </c>
      <c r="D17" s="16" t="n">
        <f aca="false">B17+C17</f>
        <v>35</v>
      </c>
      <c r="E17" s="68" t="n">
        <v>15</v>
      </c>
      <c r="F17" s="22" t="str">
        <f aca="false">"Épée en "&amp;C5&amp;" : niv. "&amp;B17&amp;" → "&amp;D17</f>
        <v>Épée en fer : niv. 15 → 35</v>
      </c>
    </row>
    <row r="18" customFormat="false" ht="15" hidden="false" customHeight="true" outlineLevel="0" collapsed="false">
      <c r="A18" s="75" t="n">
        <v>3</v>
      </c>
      <c r="B18" s="68" t="n">
        <v>30</v>
      </c>
      <c r="C18" s="68" t="n">
        <v>25</v>
      </c>
      <c r="D18" s="16" t="n">
        <f aca="false">B18+C18</f>
        <v>55</v>
      </c>
      <c r="E18" s="68" t="n">
        <v>30</v>
      </c>
      <c r="F18" s="22" t="str">
        <f aca="false">"Épée en "&amp;D5&amp;" : niv. "&amp;B18&amp;" → "&amp;D18</f>
        <v>Épée en acier : niv. 30 → 55</v>
      </c>
    </row>
    <row r="19" customFormat="false" ht="15" hidden="false" customHeight="true" outlineLevel="0" collapsed="false">
      <c r="A19" s="75" t="n">
        <v>4</v>
      </c>
      <c r="B19" s="68" t="n">
        <v>50</v>
      </c>
      <c r="C19" s="68" t="n">
        <v>25</v>
      </c>
      <c r="D19" s="16" t="n">
        <f aca="false">B19+C19</f>
        <v>75</v>
      </c>
      <c r="E19" s="68" t="n">
        <v>50</v>
      </c>
      <c r="F19" s="22" t="str">
        <f aca="false">"Épée en "&amp;E5&amp;" : niv. "&amp;B19&amp;" → "&amp;D19</f>
        <v>Épée en mithril : niv. 50 → 75</v>
      </c>
    </row>
    <row r="20" customFormat="false" ht="15" hidden="false" customHeight="true" outlineLevel="0" collapsed="false">
      <c r="A20" s="75" t="n">
        <v>5</v>
      </c>
      <c r="B20" s="68" t="n">
        <v>70</v>
      </c>
      <c r="C20" s="68" t="n">
        <v>30</v>
      </c>
      <c r="D20" s="16" t="n">
        <f aca="false">B20+C20</f>
        <v>100</v>
      </c>
      <c r="E20" s="68" t="n">
        <v>70</v>
      </c>
      <c r="F20" s="22" t="str">
        <f aca="false">"Épée en "&amp;F5&amp;" : niv. "&amp;B20&amp;" → "&amp;D20</f>
        <v>Épée en adamantite : niv. 70 → 100</v>
      </c>
    </row>
    <row r="21" customFormat="false" ht="15.75" hidden="false" customHeight="true" outlineLevel="0" collapsed="false">
      <c r="A21" s="12" t="s">
        <v>1335</v>
      </c>
    </row>
    <row r="22" customFormat="false" ht="15.75" hidden="false" customHeight="true" outlineLevel="0" collapsed="false"/>
    <row r="23" customFormat="false" ht="15.75" hidden="false" customHeight="true" outlineLevel="0" collapsed="false">
      <c r="A23" s="74" t="s">
        <v>1336</v>
      </c>
    </row>
    <row r="24" customFormat="false" ht="31.5" hidden="false" customHeight="true" outlineLevel="0" collapsed="false">
      <c r="A24" s="13" t="s">
        <v>77</v>
      </c>
      <c r="B24" s="13" t="s">
        <v>76</v>
      </c>
      <c r="C24" s="13" t="s">
        <v>1337</v>
      </c>
      <c r="D24" s="13" t="s">
        <v>1338</v>
      </c>
      <c r="E24" s="13" t="s">
        <v>1339</v>
      </c>
    </row>
    <row r="25" customFormat="false" ht="15.75" hidden="false" customHeight="true" outlineLevel="0" collapsed="false">
      <c r="A25" s="10" t="s">
        <v>1293</v>
      </c>
      <c r="B25" s="15" t="n">
        <v>1</v>
      </c>
      <c r="C25" s="11" t="s">
        <v>1340</v>
      </c>
      <c r="D25" s="11" t="s">
        <v>1341</v>
      </c>
      <c r="E25" s="15" t="s">
        <v>1342</v>
      </c>
    </row>
    <row r="26" customFormat="false" ht="15.75" hidden="false" customHeight="true" outlineLevel="0" collapsed="false">
      <c r="A26" s="10" t="s">
        <v>1299</v>
      </c>
      <c r="B26" s="15" t="n">
        <v>1</v>
      </c>
      <c r="C26" s="11" t="s">
        <v>1343</v>
      </c>
      <c r="D26" s="11" t="s">
        <v>1341</v>
      </c>
      <c r="E26" s="15" t="s">
        <v>1342</v>
      </c>
    </row>
    <row r="27" customFormat="false" ht="15.75" hidden="false" customHeight="true" outlineLevel="0" collapsed="false">
      <c r="A27" s="10" t="s">
        <v>1301</v>
      </c>
      <c r="B27" s="15" t="n">
        <v>1</v>
      </c>
      <c r="C27" s="11" t="s">
        <v>1344</v>
      </c>
      <c r="D27" s="11" t="s">
        <v>1341</v>
      </c>
      <c r="E27" s="15" t="s">
        <v>1342</v>
      </c>
    </row>
    <row r="28" customFormat="false" ht="15.75" hidden="false" customHeight="true" outlineLevel="0" collapsed="false">
      <c r="A28" s="10" t="s">
        <v>1319</v>
      </c>
      <c r="B28" s="15" t="n">
        <v>1</v>
      </c>
      <c r="C28" s="11" t="s">
        <v>1345</v>
      </c>
      <c r="D28" s="11" t="s">
        <v>1341</v>
      </c>
      <c r="E28" s="15" t="s">
        <v>1342</v>
      </c>
    </row>
    <row r="29" customFormat="false" ht="15.75" hidden="false" customHeight="true" outlineLevel="0" collapsed="false">
      <c r="A29" s="10" t="s">
        <v>1311</v>
      </c>
      <c r="B29" s="15" t="n">
        <v>1</v>
      </c>
      <c r="C29" s="11" t="s">
        <v>1345</v>
      </c>
      <c r="D29" s="11" t="s">
        <v>1341</v>
      </c>
      <c r="E29" s="15" t="s">
        <v>1342</v>
      </c>
    </row>
    <row r="30" customFormat="false" ht="15.75" hidden="false" customHeight="true" outlineLevel="0" collapsed="false">
      <c r="A30" s="10" t="s">
        <v>1324</v>
      </c>
      <c r="B30" s="15" t="n">
        <v>1</v>
      </c>
      <c r="C30" s="11" t="s">
        <v>1345</v>
      </c>
      <c r="D30" s="11" t="s">
        <v>1341</v>
      </c>
      <c r="E30" s="15" t="s">
        <v>1342</v>
      </c>
    </row>
    <row r="31" customFormat="false" ht="15.75" hidden="false" customHeight="true" outlineLevel="0" collapsed="false">
      <c r="A31" s="10" t="s">
        <v>1294</v>
      </c>
      <c r="B31" s="15" t="n">
        <v>2</v>
      </c>
      <c r="C31" s="11" t="s">
        <v>1346</v>
      </c>
      <c r="D31" s="11" t="n">
        <v>15</v>
      </c>
      <c r="E31" s="15" t="s">
        <v>1342</v>
      </c>
    </row>
    <row r="32" customFormat="false" ht="15.75" hidden="false" customHeight="true" outlineLevel="0" collapsed="false">
      <c r="A32" s="10" t="s">
        <v>1302</v>
      </c>
      <c r="B32" s="15" t="n">
        <v>2</v>
      </c>
      <c r="C32" s="11" t="s">
        <v>1344</v>
      </c>
      <c r="D32" s="11" t="n">
        <v>15</v>
      </c>
      <c r="E32" s="15" t="s">
        <v>1342</v>
      </c>
    </row>
    <row r="33" customFormat="false" ht="15.75" hidden="false" customHeight="true" outlineLevel="0" collapsed="false">
      <c r="A33" s="10" t="s">
        <v>1307</v>
      </c>
      <c r="B33" s="15" t="n">
        <v>2</v>
      </c>
      <c r="C33" s="11" t="s">
        <v>1340</v>
      </c>
      <c r="D33" s="11" t="n">
        <v>15</v>
      </c>
      <c r="E33" s="15" t="s">
        <v>1342</v>
      </c>
    </row>
    <row r="34" customFormat="false" ht="15.75" hidden="false" customHeight="true" outlineLevel="0" collapsed="false">
      <c r="A34" s="10" t="s">
        <v>1316</v>
      </c>
      <c r="B34" s="15" t="n">
        <v>2</v>
      </c>
      <c r="C34" s="11" t="s">
        <v>1340</v>
      </c>
      <c r="D34" s="11" t="n">
        <v>15</v>
      </c>
      <c r="E34" s="15" t="s">
        <v>1342</v>
      </c>
    </row>
    <row r="35" customFormat="false" ht="15.75" hidden="false" customHeight="true" outlineLevel="0" collapsed="false">
      <c r="A35" s="10" t="s">
        <v>1312</v>
      </c>
      <c r="B35" s="15" t="n">
        <v>2</v>
      </c>
      <c r="C35" s="11" t="s">
        <v>1346</v>
      </c>
      <c r="D35" s="11" t="n">
        <v>15</v>
      </c>
      <c r="E35" s="15" t="s">
        <v>1342</v>
      </c>
    </row>
    <row r="36" customFormat="false" ht="15.75" hidden="false" customHeight="true" outlineLevel="0" collapsed="false">
      <c r="A36" s="10" t="s">
        <v>1325</v>
      </c>
      <c r="B36" s="15" t="n">
        <v>2</v>
      </c>
      <c r="C36" s="11" t="s">
        <v>1346</v>
      </c>
      <c r="D36" s="11" t="n">
        <v>15</v>
      </c>
      <c r="E36" s="15" t="s">
        <v>1342</v>
      </c>
    </row>
    <row r="37" customFormat="false" ht="15.75" hidden="false" customHeight="true" outlineLevel="0" collapsed="false">
      <c r="A37" s="10" t="s">
        <v>1295</v>
      </c>
      <c r="B37" s="15" t="n">
        <v>3</v>
      </c>
      <c r="C37" s="11" t="s">
        <v>1346</v>
      </c>
      <c r="D37" s="11" t="n">
        <v>30</v>
      </c>
      <c r="E37" s="15" t="s">
        <v>1342</v>
      </c>
    </row>
    <row r="38" customFormat="false" ht="15.75" hidden="false" customHeight="true" outlineLevel="0" collapsed="false">
      <c r="A38" s="10" t="s">
        <v>1320</v>
      </c>
      <c r="B38" s="15" t="n">
        <v>3</v>
      </c>
      <c r="C38" s="11" t="s">
        <v>1343</v>
      </c>
      <c r="D38" s="11" t="n">
        <v>30</v>
      </c>
      <c r="E38" s="15" t="s">
        <v>1342</v>
      </c>
    </row>
    <row r="39" customFormat="false" ht="15.75" hidden="false" customHeight="true" outlineLevel="0" collapsed="false">
      <c r="A39" s="10" t="s">
        <v>1303</v>
      </c>
      <c r="B39" s="15" t="n">
        <v>3</v>
      </c>
      <c r="C39" s="11" t="s">
        <v>1344</v>
      </c>
      <c r="D39" s="11" t="n">
        <v>30</v>
      </c>
      <c r="E39" s="15" t="s">
        <v>1342</v>
      </c>
    </row>
    <row r="40" customFormat="false" ht="15.75" hidden="false" customHeight="true" outlineLevel="0" collapsed="false">
      <c r="A40" s="10" t="s">
        <v>1308</v>
      </c>
      <c r="B40" s="15" t="n">
        <v>3</v>
      </c>
      <c r="C40" s="11" t="s">
        <v>1340</v>
      </c>
      <c r="D40" s="11" t="n">
        <v>30</v>
      </c>
      <c r="E40" s="15" t="s">
        <v>1342</v>
      </c>
    </row>
    <row r="41" customFormat="false" ht="15.75" hidden="false" customHeight="true" outlineLevel="0" collapsed="false">
      <c r="A41" s="10" t="s">
        <v>1317</v>
      </c>
      <c r="B41" s="15" t="n">
        <v>3</v>
      </c>
      <c r="C41" s="11" t="s">
        <v>1340</v>
      </c>
      <c r="D41" s="11" t="n">
        <v>30</v>
      </c>
      <c r="E41" s="15" t="s">
        <v>1342</v>
      </c>
    </row>
    <row r="42" customFormat="false" ht="15.75" hidden="false" customHeight="true" outlineLevel="0" collapsed="false">
      <c r="A42" s="10" t="s">
        <v>1313</v>
      </c>
      <c r="B42" s="15" t="n">
        <v>3</v>
      </c>
      <c r="C42" s="11" t="s">
        <v>1346</v>
      </c>
      <c r="D42" s="11" t="n">
        <v>30</v>
      </c>
      <c r="E42" s="15" t="s">
        <v>1342</v>
      </c>
    </row>
    <row r="43" customFormat="false" ht="15.75" hidden="false" customHeight="true" outlineLevel="0" collapsed="false">
      <c r="A43" s="10" t="s">
        <v>1326</v>
      </c>
      <c r="B43" s="15" t="n">
        <v>3</v>
      </c>
      <c r="C43" s="11" t="s">
        <v>1346</v>
      </c>
      <c r="D43" s="11" t="n">
        <v>30</v>
      </c>
      <c r="E43" s="15" t="s">
        <v>1342</v>
      </c>
    </row>
    <row r="44" customFormat="false" ht="15.75" hidden="false" customHeight="true" outlineLevel="0" collapsed="false">
      <c r="A44" s="10" t="s">
        <v>1296</v>
      </c>
      <c r="B44" s="15" t="n">
        <v>4</v>
      </c>
      <c r="C44" s="11" t="s">
        <v>1346</v>
      </c>
      <c r="D44" s="11" t="n">
        <v>50</v>
      </c>
      <c r="E44" s="15" t="s">
        <v>1342</v>
      </c>
    </row>
    <row r="45" customFormat="false" ht="15.75" hidden="false" customHeight="true" outlineLevel="0" collapsed="false">
      <c r="A45" s="10" t="s">
        <v>1321</v>
      </c>
      <c r="B45" s="15" t="n">
        <v>4</v>
      </c>
      <c r="C45" s="11" t="s">
        <v>1343</v>
      </c>
      <c r="D45" s="11" t="n">
        <v>50</v>
      </c>
      <c r="E45" s="15" t="s">
        <v>1342</v>
      </c>
    </row>
    <row r="46" customFormat="false" ht="15.75" hidden="false" customHeight="true" outlineLevel="0" collapsed="false">
      <c r="A46" s="10" t="s">
        <v>1304</v>
      </c>
      <c r="B46" s="15" t="n">
        <v>4</v>
      </c>
      <c r="C46" s="11" t="s">
        <v>1344</v>
      </c>
      <c r="D46" s="11" t="n">
        <v>50</v>
      </c>
      <c r="E46" s="15" t="s">
        <v>1342</v>
      </c>
    </row>
    <row r="47" customFormat="false" ht="15.75" hidden="false" customHeight="true" outlineLevel="0" collapsed="false">
      <c r="A47" s="10" t="s">
        <v>1309</v>
      </c>
      <c r="B47" s="15" t="n">
        <v>4</v>
      </c>
      <c r="C47" s="11" t="s">
        <v>1346</v>
      </c>
      <c r="D47" s="11" t="n">
        <v>50</v>
      </c>
      <c r="E47" s="15" t="s">
        <v>1342</v>
      </c>
    </row>
    <row r="48" customFormat="false" ht="15.75" hidden="false" customHeight="true" outlineLevel="0" collapsed="false">
      <c r="A48" s="10" t="s">
        <v>1314</v>
      </c>
      <c r="B48" s="15" t="n">
        <v>4</v>
      </c>
      <c r="C48" s="11" t="s">
        <v>1346</v>
      </c>
      <c r="D48" s="11" t="n">
        <v>50</v>
      </c>
      <c r="E48" s="15" t="s">
        <v>1342</v>
      </c>
    </row>
    <row r="49" customFormat="false" ht="15.75" hidden="false" customHeight="true" outlineLevel="0" collapsed="false">
      <c r="A49" s="10" t="s">
        <v>1327</v>
      </c>
      <c r="B49" s="15" t="n">
        <v>4</v>
      </c>
      <c r="C49" s="11" t="s">
        <v>1346</v>
      </c>
      <c r="D49" s="11" t="n">
        <v>50</v>
      </c>
      <c r="E49" s="15" t="s">
        <v>1342</v>
      </c>
    </row>
    <row r="50" customFormat="false" ht="15.75" hidden="false" customHeight="true" outlineLevel="0" collapsed="false">
      <c r="A50" s="10" t="s">
        <v>1297</v>
      </c>
      <c r="B50" s="15" t="n">
        <v>5</v>
      </c>
      <c r="C50" s="11" t="s">
        <v>1346</v>
      </c>
      <c r="D50" s="11" t="n">
        <v>70</v>
      </c>
      <c r="E50" s="15" t="s">
        <v>1342</v>
      </c>
    </row>
    <row r="51" customFormat="false" ht="15.75" hidden="false" customHeight="true" outlineLevel="0" collapsed="false">
      <c r="A51" s="10" t="s">
        <v>1322</v>
      </c>
      <c r="B51" s="15" t="n">
        <v>5</v>
      </c>
      <c r="C51" s="11" t="s">
        <v>1343</v>
      </c>
      <c r="D51" s="11" t="n">
        <v>70</v>
      </c>
      <c r="E51" s="15" t="s">
        <v>1342</v>
      </c>
    </row>
    <row r="52" customFormat="false" ht="15.75" hidden="false" customHeight="true" outlineLevel="0" collapsed="false">
      <c r="A52" s="10" t="s">
        <v>1305</v>
      </c>
      <c r="B52" s="15" t="n">
        <v>5</v>
      </c>
      <c r="C52" s="11" t="s">
        <v>1344</v>
      </c>
      <c r="D52" s="11" t="n">
        <v>70</v>
      </c>
      <c r="E52" s="15" t="s">
        <v>1342</v>
      </c>
    </row>
    <row r="53" customFormat="false" ht="15.75" hidden="false" customHeight="true" outlineLevel="0" collapsed="false">
      <c r="A53" s="10" t="s">
        <v>1310</v>
      </c>
      <c r="B53" s="15" t="n">
        <v>5</v>
      </c>
      <c r="C53" s="11" t="s">
        <v>1347</v>
      </c>
      <c r="D53" s="11" t="n">
        <v>85</v>
      </c>
      <c r="E53" s="15" t="s">
        <v>1342</v>
      </c>
    </row>
    <row r="54" customFormat="false" ht="15.75" hidden="false" customHeight="true" outlineLevel="0" collapsed="false">
      <c r="A54" s="10" t="s">
        <v>1315</v>
      </c>
      <c r="B54" s="15" t="n">
        <v>5</v>
      </c>
      <c r="C54" s="11" t="s">
        <v>1346</v>
      </c>
      <c r="D54" s="11" t="n">
        <v>70</v>
      </c>
      <c r="E54" s="15" t="s">
        <v>1342</v>
      </c>
    </row>
    <row r="55" customFormat="false" ht="15.75" hidden="false" customHeight="true" outlineLevel="0" collapsed="false">
      <c r="A55" s="10" t="s">
        <v>1318</v>
      </c>
      <c r="B55" s="15" t="n">
        <v>5</v>
      </c>
      <c r="C55" s="11" t="s">
        <v>1343</v>
      </c>
      <c r="D55" s="11" t="n">
        <v>70</v>
      </c>
      <c r="E55" s="15" t="s">
        <v>1342</v>
      </c>
    </row>
    <row r="56" customFormat="false" ht="15.75" hidden="false" customHeight="true" outlineLevel="0" collapsed="false">
      <c r="A56" s="10" t="s">
        <v>1328</v>
      </c>
      <c r="B56" s="15" t="n">
        <v>5</v>
      </c>
      <c r="C56" s="11" t="s">
        <v>1346</v>
      </c>
      <c r="D56" s="11" t="n">
        <v>70</v>
      </c>
      <c r="E56" s="15" t="s">
        <v>1342</v>
      </c>
    </row>
    <row r="57" customFormat="false" ht="15.75" hidden="false" customHeight="true" outlineLevel="0" collapsed="false">
      <c r="A57" s="12" t="s">
        <v>1348</v>
      </c>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34"/>
    <col collapsed="false" customWidth="true" hidden="false" outlineLevel="0" max="2" min="2" style="1" width="22"/>
    <col collapsed="false" customWidth="true" hidden="false" outlineLevel="0" max="3" min="3" style="1" width="24"/>
    <col collapsed="false" customWidth="true" hidden="false" outlineLevel="0" max="4" min="4" style="1" width="16"/>
    <col collapsed="false" customWidth="true" hidden="false" outlineLevel="0" max="5" min="5" style="1" width="20"/>
    <col collapsed="false" customWidth="true" hidden="false" outlineLevel="0" max="6" min="6" style="1" width="13"/>
    <col collapsed="false" customWidth="true" hidden="false" outlineLevel="0" max="7" min="7" style="1" width="40"/>
    <col collapsed="false" customWidth="true" hidden="false" outlineLevel="0" max="8" min="8" style="1" width="70"/>
    <col collapsed="false" customWidth="true" hidden="false" outlineLevel="0" max="9" min="9" style="1" width="3"/>
    <col collapsed="false" customWidth="true" hidden="false" outlineLevel="0" max="11" min="10" style="1" width="12"/>
  </cols>
  <sheetData>
    <row r="1" customFormat="false" ht="17.25" hidden="false" customHeight="true" outlineLevel="0" collapsed="false">
      <c r="A1" s="48" t="s">
        <v>1349</v>
      </c>
      <c r="L1" s="1"/>
      <c r="M1" s="1"/>
      <c r="N1" s="1"/>
      <c r="O1" s="1"/>
      <c r="P1" s="1"/>
      <c r="Q1" s="1"/>
      <c r="R1" s="1"/>
      <c r="S1" s="1"/>
      <c r="T1" s="1"/>
      <c r="U1" s="1"/>
      <c r="V1" s="1"/>
      <c r="W1" s="1"/>
      <c r="X1" s="1"/>
      <c r="Y1" s="1"/>
      <c r="Z1" s="1"/>
    </row>
    <row r="2" customFormat="false" ht="15" hidden="false" customHeight="true" outlineLevel="0" collapsed="false">
      <c r="A2" s="3" t="s">
        <v>1350</v>
      </c>
      <c r="L2" s="1"/>
      <c r="M2" s="1"/>
      <c r="N2" s="1"/>
      <c r="O2" s="1"/>
      <c r="P2" s="1"/>
      <c r="Q2" s="1"/>
      <c r="R2" s="1"/>
      <c r="S2" s="1"/>
      <c r="T2" s="1"/>
      <c r="U2" s="1"/>
      <c r="V2" s="1"/>
      <c r="W2" s="1"/>
      <c r="X2" s="1"/>
      <c r="Y2" s="1"/>
      <c r="Z2" s="1"/>
    </row>
    <row r="3" customFormat="false" ht="15" hidden="false" customHeight="true" outlineLevel="0" collapsed="false">
      <c r="L3" s="1"/>
      <c r="M3" s="1"/>
      <c r="N3" s="1"/>
      <c r="O3" s="1"/>
      <c r="P3" s="1"/>
      <c r="Q3" s="1"/>
      <c r="R3" s="1"/>
      <c r="S3" s="1"/>
      <c r="T3" s="1"/>
      <c r="U3" s="1"/>
      <c r="V3" s="1"/>
      <c r="W3" s="1"/>
      <c r="X3" s="1"/>
      <c r="Y3" s="1"/>
      <c r="Z3" s="1"/>
    </row>
    <row r="4" customFormat="false" ht="15" hidden="false" customHeight="true" outlineLevel="0" collapsed="false">
      <c r="A4" s="76" t="s">
        <v>1351</v>
      </c>
      <c r="L4" s="1"/>
      <c r="M4" s="1"/>
      <c r="N4" s="1"/>
      <c r="O4" s="1"/>
      <c r="P4" s="1"/>
      <c r="Q4" s="1"/>
      <c r="R4" s="1"/>
      <c r="S4" s="1"/>
      <c r="T4" s="1"/>
      <c r="U4" s="1"/>
      <c r="V4" s="1"/>
      <c r="W4" s="1"/>
      <c r="X4" s="1"/>
      <c r="Y4" s="1"/>
      <c r="Z4" s="1"/>
    </row>
    <row r="5" customFormat="false" ht="31.5" hidden="false" customHeight="true" outlineLevel="0" collapsed="false">
      <c r="A5" s="13" t="s">
        <v>36</v>
      </c>
      <c r="B5" s="13" t="s">
        <v>1352</v>
      </c>
      <c r="C5" s="13" t="s">
        <v>1353</v>
      </c>
      <c r="D5" s="13" t="s">
        <v>1059</v>
      </c>
      <c r="E5" s="13" t="s">
        <v>96</v>
      </c>
      <c r="F5" s="13" t="s">
        <v>1354</v>
      </c>
      <c r="G5" s="13" t="s">
        <v>1355</v>
      </c>
      <c r="H5" s="13" t="s">
        <v>1356</v>
      </c>
      <c r="J5" s="13" t="s">
        <v>1357</v>
      </c>
      <c r="K5" s="13" t="s">
        <v>5</v>
      </c>
      <c r="L5" s="1"/>
      <c r="M5" s="1"/>
      <c r="N5" s="1"/>
      <c r="O5" s="1"/>
      <c r="P5" s="1"/>
      <c r="Q5" s="1"/>
      <c r="R5" s="1"/>
      <c r="S5" s="1"/>
      <c r="T5" s="1"/>
      <c r="U5" s="1"/>
      <c r="V5" s="1"/>
      <c r="W5" s="1"/>
      <c r="X5" s="1"/>
      <c r="Y5" s="1"/>
      <c r="Z5" s="1"/>
    </row>
    <row r="6" customFormat="false" ht="15" hidden="false" customHeight="true" outlineLevel="0" collapsed="false">
      <c r="A6" s="52" t="s">
        <v>108</v>
      </c>
      <c r="B6" s="64" t="n">
        <v>1</v>
      </c>
      <c r="C6" s="77" t="n">
        <v>1</v>
      </c>
      <c r="D6" s="51" t="n">
        <v>2</v>
      </c>
      <c r="E6" s="50" t="s">
        <v>1358</v>
      </c>
      <c r="F6" s="64" t="s">
        <v>1359</v>
      </c>
      <c r="G6" s="67" t="s">
        <v>1360</v>
      </c>
      <c r="H6" s="78" t="n">
        <v>1</v>
      </c>
      <c r="J6" s="64" t="s">
        <v>27</v>
      </c>
      <c r="K6" s="64" t="s">
        <v>107</v>
      </c>
      <c r="L6" s="1"/>
      <c r="M6" s="1"/>
      <c r="N6" s="1"/>
      <c r="O6" s="1"/>
      <c r="P6" s="1"/>
      <c r="Q6" s="1"/>
      <c r="R6" s="1"/>
      <c r="S6" s="1"/>
      <c r="T6" s="1"/>
      <c r="U6" s="1"/>
      <c r="V6" s="1"/>
      <c r="W6" s="1"/>
      <c r="X6" s="1"/>
      <c r="Y6" s="1"/>
      <c r="Z6" s="1"/>
    </row>
    <row r="7" customFormat="false" ht="15" hidden="false" customHeight="true" outlineLevel="0" collapsed="false">
      <c r="A7" s="55" t="s">
        <v>111</v>
      </c>
      <c r="B7" s="64" t="n">
        <v>2</v>
      </c>
      <c r="C7" s="77" t="n">
        <v>1.2</v>
      </c>
      <c r="D7" s="51" t="n">
        <v>3</v>
      </c>
      <c r="E7" s="50" t="s">
        <v>1358</v>
      </c>
      <c r="F7" s="64" t="s">
        <v>1359</v>
      </c>
      <c r="G7" s="67" t="s">
        <v>1360</v>
      </c>
      <c r="H7" s="78" t="n">
        <v>1.2</v>
      </c>
      <c r="J7" s="64" t="s">
        <v>29</v>
      </c>
      <c r="K7" s="64" t="s">
        <v>90</v>
      </c>
      <c r="L7" s="1"/>
      <c r="M7" s="1"/>
      <c r="N7" s="1"/>
      <c r="O7" s="1"/>
      <c r="P7" s="1"/>
      <c r="Q7" s="1"/>
      <c r="R7" s="1"/>
      <c r="S7" s="1"/>
      <c r="T7" s="1"/>
      <c r="U7" s="1"/>
      <c r="V7" s="1"/>
      <c r="W7" s="1"/>
      <c r="X7" s="1"/>
      <c r="Y7" s="1"/>
      <c r="Z7" s="1"/>
    </row>
    <row r="8" customFormat="false" ht="23.25" hidden="false" customHeight="true" outlineLevel="0" collapsed="false">
      <c r="A8" s="56" t="s">
        <v>113</v>
      </c>
      <c r="B8" s="64" t="n">
        <v>3</v>
      </c>
      <c r="C8" s="77" t="n">
        <v>1.45</v>
      </c>
      <c r="D8" s="51" t="n">
        <v>4</v>
      </c>
      <c r="E8" s="50" t="s">
        <v>1358</v>
      </c>
      <c r="F8" s="64" t="s">
        <v>1359</v>
      </c>
      <c r="G8" s="67" t="s">
        <v>1361</v>
      </c>
      <c r="H8" s="78" t="n">
        <v>1.45</v>
      </c>
      <c r="J8" s="64" t="s">
        <v>31</v>
      </c>
      <c r="K8" s="64" t="s">
        <v>177</v>
      </c>
      <c r="L8" s="1"/>
      <c r="M8" s="1"/>
      <c r="N8" s="1"/>
      <c r="O8" s="1"/>
      <c r="P8" s="1"/>
      <c r="Q8" s="1"/>
      <c r="R8" s="1"/>
      <c r="S8" s="1"/>
      <c r="T8" s="1"/>
      <c r="U8" s="1"/>
      <c r="V8" s="1"/>
      <c r="W8" s="1"/>
      <c r="X8" s="1"/>
      <c r="Y8" s="1"/>
      <c r="Z8" s="1"/>
    </row>
    <row r="9" customFormat="false" ht="23.25" hidden="false" customHeight="true" outlineLevel="0" collapsed="false">
      <c r="A9" s="57" t="s">
        <v>115</v>
      </c>
      <c r="B9" s="64" t="n">
        <v>4</v>
      </c>
      <c r="C9" s="77" t="n">
        <v>1.75</v>
      </c>
      <c r="D9" s="51" t="n">
        <v>5</v>
      </c>
      <c r="E9" s="50" t="s">
        <v>1358</v>
      </c>
      <c r="F9" s="64" t="s">
        <v>1359</v>
      </c>
      <c r="G9" s="67" t="s">
        <v>1362</v>
      </c>
      <c r="H9" s="78" t="n">
        <v>1.75</v>
      </c>
      <c r="K9" s="64" t="s">
        <v>209</v>
      </c>
      <c r="L9" s="1"/>
      <c r="M9" s="1"/>
      <c r="N9" s="1"/>
      <c r="O9" s="1"/>
      <c r="P9" s="1"/>
      <c r="Q9" s="1"/>
      <c r="R9" s="1"/>
      <c r="S9" s="1"/>
      <c r="T9" s="1"/>
      <c r="U9" s="1"/>
      <c r="V9" s="1"/>
      <c r="W9" s="1"/>
      <c r="X9" s="1"/>
      <c r="Y9" s="1"/>
      <c r="Z9" s="1"/>
    </row>
    <row r="10" customFormat="false" ht="23.25" hidden="false" customHeight="true" outlineLevel="0" collapsed="false">
      <c r="A10" s="58" t="s">
        <v>117</v>
      </c>
      <c r="B10" s="64" t="n">
        <v>5</v>
      </c>
      <c r="C10" s="77" t="n">
        <v>2.1</v>
      </c>
      <c r="D10" s="51" t="n">
        <v>6</v>
      </c>
      <c r="E10" s="50" t="s">
        <v>1358</v>
      </c>
      <c r="F10" s="64" t="s">
        <v>1359</v>
      </c>
      <c r="G10" s="67" t="s">
        <v>1363</v>
      </c>
      <c r="H10" s="78" t="n">
        <v>2.1</v>
      </c>
      <c r="K10" s="64" t="s">
        <v>241</v>
      </c>
      <c r="L10" s="1"/>
      <c r="M10" s="1"/>
      <c r="N10" s="1"/>
      <c r="O10" s="1"/>
      <c r="P10" s="1"/>
      <c r="Q10" s="1"/>
      <c r="R10" s="1"/>
      <c r="S10" s="1"/>
      <c r="T10" s="1"/>
      <c r="U10" s="1"/>
      <c r="V10" s="1"/>
      <c r="W10" s="1"/>
      <c r="X10" s="1"/>
      <c r="Y10" s="1"/>
      <c r="Z10" s="1"/>
    </row>
    <row r="11" customFormat="false" ht="23.25" hidden="false" customHeight="true" outlineLevel="0" collapsed="false">
      <c r="A11" s="59" t="s">
        <v>119</v>
      </c>
      <c r="B11" s="64" t="n">
        <v>6</v>
      </c>
      <c r="C11" s="77" t="n">
        <v>2.4</v>
      </c>
      <c r="D11" s="51" t="n">
        <v>7</v>
      </c>
      <c r="E11" s="50" t="s">
        <v>1358</v>
      </c>
      <c r="F11" s="64" t="s">
        <v>1359</v>
      </c>
      <c r="G11" s="67" t="s">
        <v>1364</v>
      </c>
      <c r="H11" s="78" t="n">
        <v>2.5</v>
      </c>
      <c r="K11" s="64" t="s">
        <v>273</v>
      </c>
      <c r="L11" s="1"/>
      <c r="M11" s="1"/>
      <c r="N11" s="1"/>
      <c r="O11" s="1"/>
      <c r="P11" s="1"/>
      <c r="Q11" s="1"/>
      <c r="R11" s="1"/>
      <c r="S11" s="1"/>
      <c r="T11" s="1"/>
      <c r="U11" s="1"/>
      <c r="V11" s="1"/>
      <c r="W11" s="1"/>
      <c r="X11" s="1"/>
      <c r="Y11" s="1"/>
      <c r="Z11" s="1"/>
    </row>
    <row r="12" customFormat="false" ht="23.25" hidden="false" customHeight="true" outlineLevel="0" collapsed="false">
      <c r="A12" s="60" t="s">
        <v>38</v>
      </c>
      <c r="B12" s="64" t="n">
        <v>7</v>
      </c>
      <c r="C12" s="77" t="n">
        <v>2.5</v>
      </c>
      <c r="D12" s="51" t="n">
        <v>7</v>
      </c>
      <c r="E12" s="50" t="s">
        <v>1342</v>
      </c>
      <c r="F12" s="64" t="s">
        <v>1086</v>
      </c>
      <c r="G12" s="67" t="s">
        <v>1365</v>
      </c>
      <c r="H12" s="78" t="n">
        <v>3</v>
      </c>
      <c r="K12" s="64" t="s">
        <v>305</v>
      </c>
      <c r="L12" s="1"/>
      <c r="M12" s="1"/>
      <c r="N12" s="1"/>
      <c r="O12" s="1"/>
      <c r="P12" s="1"/>
      <c r="Q12" s="1"/>
      <c r="R12" s="1"/>
      <c r="S12" s="1"/>
      <c r="T12" s="1"/>
      <c r="U12" s="1"/>
      <c r="V12" s="1"/>
      <c r="W12" s="1"/>
      <c r="X12" s="1"/>
      <c r="Y12" s="1"/>
      <c r="Z12" s="1"/>
    </row>
    <row r="13" customFormat="false" ht="15" hidden="false" customHeight="true" outlineLevel="0" collapsed="false">
      <c r="A13" s="76" t="s">
        <v>1366</v>
      </c>
      <c r="K13" s="64" t="s">
        <v>337</v>
      </c>
      <c r="L13" s="1"/>
      <c r="M13" s="1"/>
      <c r="N13" s="1"/>
      <c r="O13" s="1"/>
      <c r="P13" s="1"/>
      <c r="Q13" s="1"/>
      <c r="R13" s="1"/>
      <c r="S13" s="1"/>
      <c r="T13" s="1"/>
      <c r="U13" s="1"/>
      <c r="V13" s="1"/>
      <c r="W13" s="1"/>
      <c r="X13" s="1"/>
      <c r="Y13" s="1"/>
      <c r="Z13" s="1"/>
    </row>
    <row r="14" customFormat="false" ht="15" hidden="false" customHeight="true" outlineLevel="0" collapsed="false">
      <c r="A14" s="79" t="s">
        <v>1367</v>
      </c>
      <c r="B14" s="51" t="n">
        <v>1</v>
      </c>
      <c r="K14" s="64" t="s">
        <v>369</v>
      </c>
      <c r="L14" s="1"/>
      <c r="M14" s="1"/>
      <c r="N14" s="1"/>
      <c r="O14" s="1"/>
      <c r="P14" s="1"/>
      <c r="Q14" s="1"/>
      <c r="R14" s="1"/>
      <c r="S14" s="1"/>
      <c r="T14" s="1"/>
      <c r="U14" s="1"/>
      <c r="V14" s="1"/>
      <c r="W14" s="1"/>
      <c r="X14" s="1"/>
      <c r="Y14" s="1"/>
      <c r="Z14" s="1"/>
    </row>
    <row r="15" customFormat="false" ht="15" hidden="false" customHeight="true" outlineLevel="0" collapsed="false">
      <c r="A15" s="79" t="s">
        <v>1368</v>
      </c>
      <c r="B15" s="51" t="n">
        <v>100</v>
      </c>
      <c r="K15" s="64" t="s">
        <v>401</v>
      </c>
      <c r="L15" s="1"/>
      <c r="M15" s="1"/>
      <c r="N15" s="1"/>
      <c r="O15" s="1"/>
      <c r="P15" s="1"/>
      <c r="Q15" s="1"/>
      <c r="R15" s="1"/>
      <c r="S15" s="1"/>
      <c r="T15" s="1"/>
      <c r="U15" s="1"/>
      <c r="V15" s="1"/>
      <c r="W15" s="1"/>
      <c r="X15" s="1"/>
      <c r="Y15" s="1"/>
      <c r="Z15" s="1"/>
    </row>
    <row r="16" customFormat="false" ht="15" hidden="false" customHeight="true" outlineLevel="0" collapsed="false">
      <c r="A16" s="79" t="s">
        <v>1369</v>
      </c>
      <c r="B16" s="80" t="n">
        <v>0.05</v>
      </c>
      <c r="L16" s="1"/>
      <c r="M16" s="1"/>
      <c r="N16" s="1"/>
      <c r="O16" s="1"/>
      <c r="P16" s="1"/>
      <c r="Q16" s="1"/>
      <c r="R16" s="1"/>
      <c r="S16" s="1"/>
      <c r="T16" s="1"/>
      <c r="U16" s="1"/>
      <c r="V16" s="1"/>
      <c r="W16" s="1"/>
      <c r="X16" s="1"/>
      <c r="Y16" s="1"/>
      <c r="Z16" s="1"/>
    </row>
    <row r="17" customFormat="false" ht="15" hidden="false" customHeight="true" outlineLevel="0" collapsed="false">
      <c r="A17" s="79" t="s">
        <v>1370</v>
      </c>
      <c r="B17" s="77" t="n">
        <v>1.2</v>
      </c>
      <c r="L17" s="1"/>
      <c r="M17" s="1"/>
      <c r="N17" s="1"/>
      <c r="O17" s="1"/>
      <c r="P17" s="1"/>
      <c r="Q17" s="1"/>
      <c r="R17" s="1"/>
      <c r="S17" s="1"/>
      <c r="T17" s="1"/>
      <c r="U17" s="1"/>
      <c r="V17" s="1"/>
      <c r="W17" s="1"/>
      <c r="X17" s="1"/>
      <c r="Y17" s="1"/>
      <c r="Z17" s="1"/>
    </row>
    <row r="18" customFormat="false" ht="15" hidden="false" customHeight="true" outlineLevel="0" collapsed="false">
      <c r="A18" s="81" t="s">
        <v>1371</v>
      </c>
      <c r="L18" s="1"/>
      <c r="M18" s="1"/>
      <c r="N18" s="1"/>
      <c r="O18" s="1"/>
      <c r="P18" s="1"/>
      <c r="Q18" s="1"/>
      <c r="R18" s="1"/>
      <c r="S18" s="1"/>
      <c r="T18" s="1"/>
      <c r="U18" s="1"/>
      <c r="V18" s="1"/>
      <c r="W18" s="1"/>
      <c r="X18" s="1"/>
      <c r="Y18" s="1"/>
      <c r="Z18" s="1"/>
    </row>
    <row r="19" customFormat="false" ht="15" hidden="false" customHeight="true" outlineLevel="0" collapsed="false">
      <c r="A19" s="81" t="s">
        <v>1372</v>
      </c>
      <c r="L19" s="1"/>
      <c r="M19" s="1"/>
      <c r="N19" s="1"/>
      <c r="O19" s="1"/>
      <c r="P19" s="1"/>
      <c r="Q19" s="1"/>
      <c r="R19" s="1"/>
      <c r="S19" s="1"/>
      <c r="T19" s="1"/>
      <c r="U19" s="1"/>
      <c r="V19" s="1"/>
      <c r="W19" s="1"/>
      <c r="X19" s="1"/>
      <c r="Y19" s="1"/>
      <c r="Z19" s="1"/>
    </row>
    <row r="20" customFormat="false" ht="15" hidden="false" customHeight="true" outlineLevel="0" collapsed="false">
      <c r="A20" s="76" t="s">
        <v>1373</v>
      </c>
      <c r="L20" s="1"/>
      <c r="M20" s="1"/>
      <c r="N20" s="1"/>
      <c r="O20" s="1"/>
      <c r="P20" s="1"/>
      <c r="Q20" s="1"/>
      <c r="R20" s="1"/>
      <c r="S20" s="1"/>
      <c r="T20" s="1"/>
      <c r="U20" s="1"/>
      <c r="V20" s="1"/>
      <c r="W20" s="1"/>
      <c r="X20" s="1"/>
      <c r="Y20" s="1"/>
      <c r="Z20" s="1"/>
    </row>
    <row r="21" customFormat="false" ht="43.5" hidden="false" customHeight="true" outlineLevel="0" collapsed="false">
      <c r="A21" s="13" t="s">
        <v>1067</v>
      </c>
      <c r="B21" s="13" t="s">
        <v>1072</v>
      </c>
      <c r="C21" s="13" t="s">
        <v>18</v>
      </c>
      <c r="D21" s="13" t="s">
        <v>1374</v>
      </c>
      <c r="E21" s="13" t="s">
        <v>1375</v>
      </c>
      <c r="F21" s="13" t="s">
        <v>1376</v>
      </c>
      <c r="G21" s="13" t="s">
        <v>1377</v>
      </c>
      <c r="H21" s="13" t="s">
        <v>1378</v>
      </c>
      <c r="L21" s="1"/>
      <c r="M21" s="1"/>
      <c r="N21" s="1"/>
      <c r="O21" s="1"/>
      <c r="P21" s="1"/>
      <c r="Q21" s="1"/>
      <c r="R21" s="1"/>
      <c r="S21" s="1"/>
      <c r="T21" s="1"/>
      <c r="U21" s="1"/>
      <c r="V21" s="1"/>
      <c r="W21" s="1"/>
      <c r="X21" s="1"/>
      <c r="Y21" s="1"/>
      <c r="Z21" s="1"/>
    </row>
    <row r="22" customFormat="false" ht="15.75" hidden="false" customHeight="true" outlineLevel="0" collapsed="false">
      <c r="A22" s="49" t="s">
        <v>82</v>
      </c>
      <c r="B22" s="64" t="s">
        <v>1379</v>
      </c>
      <c r="C22" s="64" t="s">
        <v>1380</v>
      </c>
      <c r="D22" s="64" t="s">
        <v>1381</v>
      </c>
      <c r="E22" s="51" t="n">
        <v>25</v>
      </c>
      <c r="F22" s="64" t="n">
        <v>0</v>
      </c>
      <c r="G22" s="79"/>
      <c r="H22" s="79" t="s">
        <v>1382</v>
      </c>
      <c r="L22" s="1"/>
      <c r="M22" s="1"/>
      <c r="N22" s="1"/>
      <c r="O22" s="1"/>
      <c r="P22" s="1"/>
      <c r="Q22" s="1"/>
      <c r="R22" s="1"/>
      <c r="S22" s="1"/>
      <c r="T22" s="1"/>
      <c r="U22" s="1"/>
      <c r="V22" s="1"/>
      <c r="W22" s="1"/>
      <c r="X22" s="1"/>
      <c r="Y22" s="1"/>
      <c r="Z22" s="1"/>
    </row>
    <row r="23" customFormat="false" ht="15.75" hidden="false" customHeight="true" outlineLevel="0" collapsed="false">
      <c r="A23" s="49" t="s">
        <v>83</v>
      </c>
      <c r="B23" s="64" t="s">
        <v>1379</v>
      </c>
      <c r="C23" s="64" t="s">
        <v>1380</v>
      </c>
      <c r="D23" s="64" t="s">
        <v>1381</v>
      </c>
      <c r="E23" s="51" t="n">
        <v>15</v>
      </c>
      <c r="F23" s="64" t="n">
        <v>0</v>
      </c>
      <c r="G23" s="79"/>
      <c r="H23" s="79" t="s">
        <v>1383</v>
      </c>
      <c r="L23" s="1"/>
      <c r="M23" s="1"/>
      <c r="N23" s="1"/>
      <c r="O23" s="1"/>
      <c r="P23" s="1"/>
      <c r="Q23" s="1"/>
      <c r="R23" s="1"/>
      <c r="S23" s="1"/>
      <c r="T23" s="1"/>
      <c r="U23" s="1"/>
      <c r="V23" s="1"/>
      <c r="W23" s="1"/>
      <c r="X23" s="1"/>
      <c r="Y23" s="1"/>
      <c r="Z23" s="1"/>
    </row>
    <row r="24" customFormat="false" ht="15.75" hidden="false" customHeight="true" outlineLevel="0" collapsed="false">
      <c r="A24" s="49" t="s">
        <v>84</v>
      </c>
      <c r="B24" s="64" t="s">
        <v>1379</v>
      </c>
      <c r="C24" s="64" t="s">
        <v>1380</v>
      </c>
      <c r="D24" s="64" t="s">
        <v>1381</v>
      </c>
      <c r="E24" s="51" t="n">
        <v>15</v>
      </c>
      <c r="F24" s="64" t="n">
        <v>0</v>
      </c>
      <c r="G24" s="79"/>
      <c r="H24" s="79" t="s">
        <v>1384</v>
      </c>
      <c r="L24" s="1"/>
      <c r="M24" s="1"/>
      <c r="N24" s="1"/>
      <c r="O24" s="1"/>
      <c r="P24" s="1"/>
      <c r="Q24" s="1"/>
      <c r="R24" s="1"/>
      <c r="S24" s="1"/>
      <c r="T24" s="1"/>
      <c r="U24" s="1"/>
      <c r="V24" s="1"/>
      <c r="W24" s="1"/>
      <c r="X24" s="1"/>
      <c r="Y24" s="1"/>
      <c r="Z24" s="1"/>
    </row>
    <row r="25" customFormat="false" ht="15.75" hidden="false" customHeight="true" outlineLevel="0" collapsed="false">
      <c r="A25" s="49" t="s">
        <v>85</v>
      </c>
      <c r="B25" s="64" t="s">
        <v>1379</v>
      </c>
      <c r="C25" s="64" t="s">
        <v>1380</v>
      </c>
      <c r="D25" s="64" t="s">
        <v>1381</v>
      </c>
      <c r="E25" s="51" t="n">
        <v>15</v>
      </c>
      <c r="F25" s="64" t="n">
        <v>0</v>
      </c>
      <c r="G25" s="79"/>
      <c r="H25" s="79" t="s">
        <v>1385</v>
      </c>
      <c r="L25" s="1"/>
      <c r="M25" s="1"/>
      <c r="N25" s="1"/>
      <c r="O25" s="1"/>
      <c r="P25" s="1"/>
      <c r="Q25" s="1"/>
      <c r="R25" s="1"/>
      <c r="S25" s="1"/>
      <c r="T25" s="1"/>
      <c r="U25" s="1"/>
      <c r="V25" s="1"/>
      <c r="W25" s="1"/>
      <c r="X25" s="1"/>
      <c r="Y25" s="1"/>
      <c r="Z25" s="1"/>
    </row>
    <row r="26" customFormat="false" ht="15.75" hidden="false" customHeight="true" outlineLevel="0" collapsed="false">
      <c r="A26" s="49" t="s">
        <v>86</v>
      </c>
      <c r="B26" s="64" t="s">
        <v>1379</v>
      </c>
      <c r="C26" s="64" t="s">
        <v>1380</v>
      </c>
      <c r="D26" s="64" t="s">
        <v>1381</v>
      </c>
      <c r="E26" s="51" t="n">
        <v>12</v>
      </c>
      <c r="F26" s="64" t="n">
        <v>0</v>
      </c>
      <c r="G26" s="79"/>
      <c r="H26" s="79" t="s">
        <v>1386</v>
      </c>
      <c r="L26" s="1"/>
      <c r="M26" s="1"/>
      <c r="N26" s="1"/>
      <c r="O26" s="1"/>
      <c r="P26" s="1"/>
      <c r="Q26" s="1"/>
      <c r="R26" s="1"/>
      <c r="S26" s="1"/>
      <c r="T26" s="1"/>
      <c r="U26" s="1"/>
      <c r="V26" s="1"/>
      <c r="W26" s="1"/>
      <c r="X26" s="1"/>
      <c r="Y26" s="1"/>
      <c r="Z26" s="1"/>
    </row>
    <row r="27" customFormat="false" ht="15.75" hidden="false" customHeight="true" outlineLevel="0" collapsed="false">
      <c r="A27" s="49" t="s">
        <v>67</v>
      </c>
      <c r="B27" s="64" t="s">
        <v>1379</v>
      </c>
      <c r="C27" s="64" t="s">
        <v>1380</v>
      </c>
      <c r="D27" s="64" t="s">
        <v>1381</v>
      </c>
      <c r="E27" s="51" t="n">
        <v>10</v>
      </c>
      <c r="F27" s="64" t="n">
        <v>0</v>
      </c>
      <c r="G27" s="79"/>
      <c r="H27" s="79" t="s">
        <v>1387</v>
      </c>
      <c r="L27" s="1"/>
      <c r="M27" s="1"/>
      <c r="N27" s="1"/>
      <c r="O27" s="1"/>
      <c r="P27" s="1"/>
      <c r="Q27" s="1"/>
      <c r="R27" s="1"/>
      <c r="S27" s="1"/>
      <c r="T27" s="1"/>
      <c r="U27" s="1"/>
      <c r="V27" s="1"/>
      <c r="W27" s="1"/>
      <c r="X27" s="1"/>
      <c r="Y27" s="1"/>
      <c r="Z27" s="1"/>
    </row>
    <row r="28" customFormat="false" ht="15.75" hidden="false" customHeight="true" outlineLevel="0" collapsed="false">
      <c r="A28" s="49" t="s">
        <v>87</v>
      </c>
      <c r="B28" s="64" t="s">
        <v>1388</v>
      </c>
      <c r="C28" s="64" t="s">
        <v>1389</v>
      </c>
      <c r="D28" s="64" t="s">
        <v>1390</v>
      </c>
      <c r="E28" s="82" t="n">
        <v>0.015</v>
      </c>
      <c r="F28" s="64" t="n">
        <v>3</v>
      </c>
      <c r="G28" s="80" t="n">
        <v>0.4</v>
      </c>
      <c r="H28" s="79" t="s">
        <v>1391</v>
      </c>
      <c r="L28" s="1"/>
      <c r="M28" s="1"/>
      <c r="N28" s="1"/>
      <c r="O28" s="1"/>
      <c r="P28" s="1"/>
      <c r="Q28" s="1"/>
      <c r="R28" s="1"/>
      <c r="S28" s="1"/>
      <c r="T28" s="1"/>
      <c r="U28" s="1"/>
      <c r="V28" s="1"/>
      <c r="W28" s="1"/>
      <c r="X28" s="1"/>
      <c r="Y28" s="1"/>
      <c r="Z28" s="1"/>
    </row>
    <row r="29" customFormat="false" ht="15.75" hidden="false" customHeight="true" outlineLevel="0" collapsed="false">
      <c r="A29" s="49" t="s">
        <v>88</v>
      </c>
      <c r="B29" s="64" t="s">
        <v>1388</v>
      </c>
      <c r="C29" s="64" t="s">
        <v>1389</v>
      </c>
      <c r="D29" s="64" t="s">
        <v>1390</v>
      </c>
      <c r="E29" s="82" t="n">
        <v>0.012</v>
      </c>
      <c r="F29" s="64" t="n">
        <v>3</v>
      </c>
      <c r="G29" s="80" t="n">
        <v>0.3</v>
      </c>
      <c r="H29" s="79" t="s">
        <v>1392</v>
      </c>
      <c r="L29" s="1"/>
      <c r="M29" s="1"/>
      <c r="N29" s="1"/>
      <c r="O29" s="1"/>
      <c r="P29" s="1"/>
      <c r="Q29" s="1"/>
      <c r="R29" s="1"/>
      <c r="S29" s="1"/>
      <c r="T29" s="1"/>
      <c r="U29" s="1"/>
      <c r="V29" s="1"/>
      <c r="W29" s="1"/>
      <c r="X29" s="1"/>
      <c r="Y29" s="1"/>
      <c r="Z29" s="1"/>
    </row>
    <row r="30" customFormat="false" ht="15.75" hidden="false" customHeight="true" outlineLevel="0" collapsed="false">
      <c r="A30" s="49" t="s">
        <v>89</v>
      </c>
      <c r="B30" s="64" t="s">
        <v>1388</v>
      </c>
      <c r="C30" s="64" t="s">
        <v>1389</v>
      </c>
      <c r="D30" s="64" t="s">
        <v>1390</v>
      </c>
      <c r="E30" s="82" t="n">
        <v>0.03</v>
      </c>
      <c r="F30" s="64" t="n">
        <v>3</v>
      </c>
      <c r="G30" s="80" t="n">
        <v>1</v>
      </c>
      <c r="H30" s="79" t="s">
        <v>1393</v>
      </c>
      <c r="L30" s="1"/>
      <c r="M30" s="1"/>
      <c r="N30" s="1"/>
      <c r="O30" s="1"/>
      <c r="P30" s="1"/>
      <c r="Q30" s="1"/>
      <c r="R30" s="1"/>
      <c r="S30" s="1"/>
      <c r="T30" s="1"/>
      <c r="U30" s="1"/>
      <c r="V30" s="1"/>
      <c r="W30" s="1"/>
      <c r="X30" s="1"/>
      <c r="Y30" s="1"/>
      <c r="Z30" s="1"/>
    </row>
    <row r="31" customFormat="false" ht="15.75" hidden="false" customHeight="true" outlineLevel="0" collapsed="false">
      <c r="A31" s="49" t="s">
        <v>90</v>
      </c>
      <c r="B31" s="64" t="s">
        <v>1388</v>
      </c>
      <c r="C31" s="64" t="s">
        <v>1389</v>
      </c>
      <c r="D31" s="64" t="s">
        <v>1381</v>
      </c>
      <c r="E31" s="51" t="n">
        <v>20</v>
      </c>
      <c r="F31" s="64" t="n">
        <v>0</v>
      </c>
      <c r="G31" s="79"/>
      <c r="H31" s="79" t="s">
        <v>1394</v>
      </c>
      <c r="L31" s="1"/>
      <c r="M31" s="1"/>
      <c r="N31" s="1"/>
      <c r="O31" s="1"/>
      <c r="P31" s="1"/>
      <c r="Q31" s="1"/>
      <c r="R31" s="1"/>
      <c r="S31" s="1"/>
      <c r="T31" s="1"/>
      <c r="U31" s="1"/>
      <c r="V31" s="1"/>
      <c r="W31" s="1"/>
      <c r="X31" s="1"/>
      <c r="Y31" s="1"/>
      <c r="Z31" s="1"/>
    </row>
    <row r="32" customFormat="false" ht="15.75" hidden="false" customHeight="true" outlineLevel="0" collapsed="false">
      <c r="A32" s="49" t="s">
        <v>91</v>
      </c>
      <c r="B32" s="64" t="s">
        <v>1388</v>
      </c>
      <c r="C32" s="64" t="s">
        <v>1389</v>
      </c>
      <c r="D32" s="64" t="s">
        <v>1390</v>
      </c>
      <c r="E32" s="82" t="n">
        <v>0.015</v>
      </c>
      <c r="F32" s="64" t="n">
        <v>3</v>
      </c>
      <c r="G32" s="80" t="n">
        <v>0.35</v>
      </c>
      <c r="H32" s="79" t="s">
        <v>1395</v>
      </c>
      <c r="L32" s="1"/>
      <c r="M32" s="1"/>
      <c r="N32" s="1"/>
      <c r="O32" s="1"/>
      <c r="P32" s="1"/>
      <c r="Q32" s="1"/>
      <c r="R32" s="1"/>
      <c r="S32" s="1"/>
      <c r="T32" s="1"/>
      <c r="U32" s="1"/>
      <c r="V32" s="1"/>
      <c r="W32" s="1"/>
      <c r="X32" s="1"/>
      <c r="Y32" s="1"/>
      <c r="Z32" s="1"/>
    </row>
    <row r="33" customFormat="false" ht="15.75" hidden="false" customHeight="true" outlineLevel="0" collapsed="false">
      <c r="A33" s="49" t="s">
        <v>92</v>
      </c>
      <c r="B33" s="64" t="s">
        <v>1396</v>
      </c>
      <c r="C33" s="64" t="s">
        <v>1389</v>
      </c>
      <c r="D33" s="64" t="s">
        <v>1390</v>
      </c>
      <c r="E33" s="82" t="n">
        <v>0.015</v>
      </c>
      <c r="F33" s="64" t="n">
        <v>3</v>
      </c>
      <c r="G33" s="80" t="n">
        <v>0.3</v>
      </c>
      <c r="H33" s="79" t="s">
        <v>1397</v>
      </c>
      <c r="L33" s="1"/>
      <c r="M33" s="1"/>
      <c r="N33" s="1"/>
      <c r="O33" s="1"/>
      <c r="P33" s="1"/>
      <c r="Q33" s="1"/>
      <c r="R33" s="1"/>
      <c r="S33" s="1"/>
      <c r="T33" s="1"/>
      <c r="U33" s="1"/>
      <c r="V33" s="1"/>
      <c r="W33" s="1"/>
      <c r="X33" s="1"/>
      <c r="Y33" s="1"/>
      <c r="Z33" s="1"/>
    </row>
    <row r="34" customFormat="false" ht="15.75" hidden="false" customHeight="true" outlineLevel="0" collapsed="false">
      <c r="A34" s="49" t="s">
        <v>93</v>
      </c>
      <c r="B34" s="64" t="s">
        <v>1396</v>
      </c>
      <c r="C34" s="64" t="s">
        <v>1389</v>
      </c>
      <c r="D34" s="64" t="s">
        <v>1390</v>
      </c>
      <c r="E34" s="82" t="n">
        <v>0.02</v>
      </c>
      <c r="F34" s="64" t="n">
        <v>3</v>
      </c>
      <c r="G34" s="80" t="n">
        <v>0.4</v>
      </c>
      <c r="H34" s="79" t="s">
        <v>1398</v>
      </c>
      <c r="L34" s="1"/>
      <c r="M34" s="1"/>
      <c r="N34" s="1"/>
      <c r="O34" s="1"/>
      <c r="P34" s="1"/>
      <c r="Q34" s="1"/>
      <c r="R34" s="1"/>
      <c r="S34" s="1"/>
      <c r="T34" s="1"/>
      <c r="U34" s="1"/>
      <c r="V34" s="1"/>
      <c r="W34" s="1"/>
      <c r="X34" s="1"/>
      <c r="Y34" s="1"/>
      <c r="Z34" s="1"/>
    </row>
    <row r="35" customFormat="false" ht="15.75" hidden="false" customHeight="true" outlineLevel="0" collapsed="false">
      <c r="A35" s="49" t="s">
        <v>94</v>
      </c>
      <c r="B35" s="64" t="s">
        <v>1396</v>
      </c>
      <c r="C35" s="64" t="s">
        <v>1389</v>
      </c>
      <c r="D35" s="64" t="s">
        <v>1390</v>
      </c>
      <c r="E35" s="82" t="n">
        <v>0.015</v>
      </c>
      <c r="F35" s="64" t="n">
        <v>3</v>
      </c>
      <c r="G35" s="80" t="n">
        <v>0.3</v>
      </c>
      <c r="H35" s="79" t="s">
        <v>1399</v>
      </c>
      <c r="L35" s="1"/>
      <c r="M35" s="1"/>
      <c r="N35" s="1"/>
      <c r="O35" s="1"/>
      <c r="P35" s="1"/>
      <c r="Q35" s="1"/>
      <c r="R35" s="1"/>
      <c r="S35" s="1"/>
      <c r="T35" s="1"/>
      <c r="U35" s="1"/>
      <c r="V35" s="1"/>
      <c r="W35" s="1"/>
      <c r="X35" s="1"/>
      <c r="Y35" s="1"/>
      <c r="Z35" s="1"/>
    </row>
    <row r="36" customFormat="false" ht="15.75" hidden="false" customHeight="true" outlineLevel="0" collapsed="false">
      <c r="A36" s="81" t="s">
        <v>1400</v>
      </c>
      <c r="L36" s="1"/>
      <c r="M36" s="1"/>
      <c r="N36" s="1"/>
      <c r="O36" s="1"/>
      <c r="P36" s="1"/>
      <c r="Q36" s="1"/>
      <c r="R36" s="1"/>
      <c r="S36" s="1"/>
      <c r="T36" s="1"/>
      <c r="U36" s="1"/>
      <c r="V36" s="1"/>
      <c r="W36" s="1"/>
      <c r="X36" s="1"/>
      <c r="Y36" s="1"/>
      <c r="Z36" s="1"/>
    </row>
    <row r="37" customFormat="false" ht="15.75" hidden="false" customHeight="true" outlineLevel="0" collapsed="false">
      <c r="A37" s="81" t="s">
        <v>1401</v>
      </c>
      <c r="L37" s="1"/>
      <c r="M37" s="1"/>
      <c r="N37" s="1"/>
      <c r="O37" s="1"/>
      <c r="P37" s="1"/>
      <c r="Q37" s="1"/>
      <c r="R37" s="1"/>
      <c r="S37" s="1"/>
      <c r="T37" s="1"/>
      <c r="U37" s="1"/>
      <c r="V37" s="1"/>
      <c r="W37" s="1"/>
      <c r="X37" s="1"/>
      <c r="Y37" s="1"/>
      <c r="Z37" s="1"/>
    </row>
    <row r="38" customFormat="false" ht="15.75" hidden="false" customHeight="true" outlineLevel="0" collapsed="false">
      <c r="L38" s="1"/>
      <c r="M38" s="1"/>
      <c r="N38" s="1"/>
      <c r="O38" s="1"/>
      <c r="P38" s="1"/>
      <c r="Q38" s="1"/>
      <c r="R38" s="1"/>
      <c r="S38" s="1"/>
      <c r="T38" s="1"/>
      <c r="U38" s="1"/>
      <c r="V38" s="1"/>
      <c r="W38" s="1"/>
      <c r="X38" s="1"/>
      <c r="Y38" s="1"/>
      <c r="Z38" s="1"/>
    </row>
    <row r="39" customFormat="false" ht="15.75" hidden="false" customHeight="true" outlineLevel="0" collapsed="false">
      <c r="A39" s="74" t="s">
        <v>1402</v>
      </c>
      <c r="L39" s="1"/>
      <c r="M39" s="1"/>
      <c r="N39" s="1"/>
      <c r="O39" s="1"/>
      <c r="P39" s="1"/>
      <c r="Q39" s="1"/>
      <c r="R39" s="1"/>
      <c r="S39" s="1"/>
      <c r="T39" s="1"/>
      <c r="U39" s="1"/>
      <c r="V39" s="1"/>
      <c r="W39" s="1"/>
      <c r="X39" s="1"/>
      <c r="Y39" s="1"/>
      <c r="Z39" s="1"/>
    </row>
    <row r="40" customFormat="false" ht="15.75" hidden="false" customHeight="true" outlineLevel="0" collapsed="false">
      <c r="A40" s="22" t="s">
        <v>1403</v>
      </c>
      <c r="B40" s="68" t="n">
        <v>3</v>
      </c>
      <c r="L40" s="1"/>
      <c r="M40" s="1"/>
      <c r="N40" s="1"/>
      <c r="O40" s="1"/>
      <c r="P40" s="1"/>
      <c r="Q40" s="1"/>
      <c r="R40" s="1"/>
      <c r="S40" s="1"/>
      <c r="T40" s="1"/>
      <c r="U40" s="1"/>
      <c r="V40" s="1"/>
      <c r="W40" s="1"/>
      <c r="X40" s="1"/>
      <c r="Y40" s="1"/>
      <c r="Z40" s="1"/>
    </row>
    <row r="41" customFormat="false" ht="15.75" hidden="false" customHeight="true" outlineLevel="0" collapsed="false">
      <c r="A41" s="22" t="s">
        <v>1404</v>
      </c>
      <c r="B41" s="78" t="n">
        <v>1.25</v>
      </c>
      <c r="L41" s="1"/>
      <c r="M41" s="1"/>
      <c r="N41" s="1"/>
      <c r="O41" s="1"/>
      <c r="P41" s="1"/>
      <c r="Q41" s="1"/>
      <c r="R41" s="1"/>
      <c r="S41" s="1"/>
      <c r="T41" s="1"/>
      <c r="U41" s="1"/>
      <c r="V41" s="1"/>
      <c r="W41" s="1"/>
      <c r="X41" s="1"/>
      <c r="Y41" s="1"/>
      <c r="Z41" s="1"/>
    </row>
    <row r="42" customFormat="false" ht="15.75" hidden="false" customHeight="true" outlineLevel="0" collapsed="false">
      <c r="A42" s="12" t="s">
        <v>1405</v>
      </c>
      <c r="L42" s="1"/>
      <c r="M42" s="1"/>
      <c r="N42" s="1"/>
      <c r="O42" s="1"/>
      <c r="P42" s="1"/>
      <c r="Q42" s="1"/>
      <c r="R42" s="1"/>
      <c r="S42" s="1"/>
      <c r="T42" s="1"/>
      <c r="U42" s="1"/>
      <c r="V42" s="1"/>
      <c r="W42" s="1"/>
      <c r="X42" s="1"/>
      <c r="Y42" s="1"/>
      <c r="Z42" s="1"/>
    </row>
    <row r="43" customFormat="false" ht="15.75" hidden="false" customHeight="true" outlineLevel="0" collapsed="false">
      <c r="A43" s="12" t="s">
        <v>1406</v>
      </c>
      <c r="L43" s="1"/>
      <c r="M43" s="1"/>
      <c r="N43" s="1"/>
      <c r="O43" s="1"/>
      <c r="P43" s="1"/>
      <c r="Q43" s="1"/>
      <c r="R43" s="1"/>
      <c r="S43" s="1"/>
      <c r="T43" s="1"/>
      <c r="U43" s="1"/>
      <c r="V43" s="1"/>
      <c r="W43" s="1"/>
      <c r="X43" s="1"/>
      <c r="Y43" s="1"/>
      <c r="Z43" s="1"/>
    </row>
    <row r="44" customFormat="false" ht="15.75" hidden="false" customHeight="true" outlineLevel="0" collapsed="false">
      <c r="L44" s="1"/>
      <c r="M44" s="1"/>
      <c r="N44" s="1"/>
      <c r="O44" s="1"/>
      <c r="P44" s="1"/>
      <c r="Q44" s="1"/>
      <c r="R44" s="1"/>
      <c r="S44" s="1"/>
      <c r="T44" s="1"/>
      <c r="U44" s="1"/>
      <c r="V44" s="1"/>
      <c r="W44" s="1"/>
      <c r="X44" s="1"/>
      <c r="Y44" s="1"/>
      <c r="Z44" s="1"/>
    </row>
    <row r="45" customFormat="false" ht="15.75" hidden="false" customHeight="true" outlineLevel="0" collapsed="false">
      <c r="L45" s="1"/>
      <c r="M45" s="1"/>
      <c r="N45" s="1"/>
      <c r="O45" s="1"/>
      <c r="P45" s="1"/>
      <c r="Q45" s="1"/>
      <c r="R45" s="1"/>
      <c r="S45" s="1"/>
      <c r="T45" s="1"/>
      <c r="U45" s="1"/>
      <c r="V45" s="1"/>
      <c r="W45" s="1"/>
      <c r="X45" s="1"/>
      <c r="Y45" s="1"/>
      <c r="Z45" s="1"/>
    </row>
    <row r="46" customFormat="false" ht="15.75" hidden="false" customHeight="true" outlineLevel="0" collapsed="false">
      <c r="L46" s="1"/>
      <c r="M46" s="1"/>
      <c r="N46" s="1"/>
      <c r="O46" s="1"/>
      <c r="P46" s="1"/>
      <c r="Q46" s="1"/>
      <c r="R46" s="1"/>
      <c r="S46" s="1"/>
      <c r="T46" s="1"/>
      <c r="U46" s="1"/>
      <c r="V46" s="1"/>
      <c r="W46" s="1"/>
      <c r="X46" s="1"/>
      <c r="Y46" s="1"/>
      <c r="Z46" s="1"/>
    </row>
    <row r="47" customFormat="false" ht="15.75" hidden="false" customHeight="true" outlineLevel="0" collapsed="false">
      <c r="L47" s="1"/>
      <c r="M47" s="1"/>
      <c r="N47" s="1"/>
      <c r="O47" s="1"/>
      <c r="P47" s="1"/>
      <c r="Q47" s="1"/>
      <c r="R47" s="1"/>
      <c r="S47" s="1"/>
      <c r="T47" s="1"/>
      <c r="U47" s="1"/>
      <c r="V47" s="1"/>
      <c r="W47" s="1"/>
      <c r="X47" s="1"/>
      <c r="Y47" s="1"/>
      <c r="Z47" s="1"/>
    </row>
    <row r="48" customFormat="false" ht="15.75" hidden="false" customHeight="true" outlineLevel="0" collapsed="false">
      <c r="L48" s="1"/>
      <c r="M48" s="1"/>
      <c r="N48" s="1"/>
      <c r="O48" s="1"/>
      <c r="P48" s="1"/>
      <c r="Q48" s="1"/>
      <c r="R48" s="1"/>
      <c r="S48" s="1"/>
      <c r="T48" s="1"/>
      <c r="U48" s="1"/>
      <c r="V48" s="1"/>
      <c r="W48" s="1"/>
      <c r="X48" s="1"/>
      <c r="Y48" s="1"/>
      <c r="Z48" s="1"/>
    </row>
    <row r="49" customFormat="false" ht="15.75" hidden="false" customHeight="true" outlineLevel="0" collapsed="false">
      <c r="L49" s="1"/>
      <c r="M49" s="1"/>
      <c r="N49" s="1"/>
      <c r="O49" s="1"/>
      <c r="P49" s="1"/>
      <c r="Q49" s="1"/>
      <c r="R49" s="1"/>
      <c r="S49" s="1"/>
      <c r="T49" s="1"/>
      <c r="U49" s="1"/>
      <c r="V49" s="1"/>
      <c r="W49" s="1"/>
      <c r="X49" s="1"/>
      <c r="Y49" s="1"/>
      <c r="Z49" s="1"/>
    </row>
    <row r="50" customFormat="false" ht="15.75" hidden="false" customHeight="true" outlineLevel="0" collapsed="false">
      <c r="L50" s="1"/>
      <c r="M50" s="1"/>
      <c r="N50" s="1"/>
      <c r="O50" s="1"/>
      <c r="P50" s="1"/>
      <c r="Q50" s="1"/>
      <c r="R50" s="1"/>
      <c r="S50" s="1"/>
      <c r="T50" s="1"/>
      <c r="U50" s="1"/>
      <c r="V50" s="1"/>
      <c r="W50" s="1"/>
      <c r="X50" s="1"/>
      <c r="Y50" s="1"/>
      <c r="Z50" s="1"/>
    </row>
    <row r="51" customFormat="false" ht="15.75" hidden="false" customHeight="true" outlineLevel="0" collapsed="false">
      <c r="L51" s="1"/>
      <c r="M51" s="1"/>
      <c r="N51" s="1"/>
      <c r="O51" s="1"/>
      <c r="P51" s="1"/>
      <c r="Q51" s="1"/>
      <c r="R51" s="1"/>
      <c r="S51" s="1"/>
      <c r="T51" s="1"/>
      <c r="U51" s="1"/>
      <c r="V51" s="1"/>
      <c r="W51" s="1"/>
      <c r="X51" s="1"/>
      <c r="Y51" s="1"/>
      <c r="Z51" s="1"/>
    </row>
    <row r="52" customFormat="false" ht="15.75" hidden="false" customHeight="true" outlineLevel="0" collapsed="false">
      <c r="L52" s="1"/>
      <c r="M52" s="1"/>
      <c r="N52" s="1"/>
      <c r="O52" s="1"/>
      <c r="P52" s="1"/>
      <c r="Q52" s="1"/>
      <c r="R52" s="1"/>
      <c r="S52" s="1"/>
      <c r="T52" s="1"/>
      <c r="U52" s="1"/>
      <c r="V52" s="1"/>
      <c r="W52" s="1"/>
      <c r="X52" s="1"/>
      <c r="Y52" s="1"/>
      <c r="Z52" s="1"/>
    </row>
    <row r="53" customFormat="false" ht="15.75" hidden="false" customHeight="true" outlineLevel="0" collapsed="false">
      <c r="L53" s="1"/>
      <c r="M53" s="1"/>
      <c r="N53" s="1"/>
      <c r="O53" s="1"/>
      <c r="P53" s="1"/>
      <c r="Q53" s="1"/>
      <c r="R53" s="1"/>
      <c r="S53" s="1"/>
      <c r="T53" s="1"/>
      <c r="U53" s="1"/>
      <c r="V53" s="1"/>
      <c r="W53" s="1"/>
      <c r="X53" s="1"/>
      <c r="Y53" s="1"/>
      <c r="Z53" s="1"/>
    </row>
    <row r="54" customFormat="false" ht="15.75" hidden="false" customHeight="true" outlineLevel="0" collapsed="false">
      <c r="L54" s="1"/>
      <c r="M54" s="1"/>
      <c r="N54" s="1"/>
      <c r="O54" s="1"/>
      <c r="P54" s="1"/>
      <c r="Q54" s="1"/>
      <c r="R54" s="1"/>
      <c r="S54" s="1"/>
      <c r="T54" s="1"/>
      <c r="U54" s="1"/>
      <c r="V54" s="1"/>
      <c r="W54" s="1"/>
      <c r="X54" s="1"/>
      <c r="Y54" s="1"/>
      <c r="Z54" s="1"/>
    </row>
    <row r="55" customFormat="false" ht="15.75" hidden="false" customHeight="true" outlineLevel="0" collapsed="false">
      <c r="L55" s="1"/>
      <c r="M55" s="1"/>
      <c r="N55" s="1"/>
      <c r="O55" s="1"/>
      <c r="P55" s="1"/>
      <c r="Q55" s="1"/>
      <c r="R55" s="1"/>
      <c r="S55" s="1"/>
      <c r="T55" s="1"/>
      <c r="U55" s="1"/>
      <c r="V55" s="1"/>
      <c r="W55" s="1"/>
      <c r="X55" s="1"/>
      <c r="Y55" s="1"/>
      <c r="Z55" s="1"/>
    </row>
    <row r="56" customFormat="false" ht="15.75" hidden="false" customHeight="true" outlineLevel="0" collapsed="false">
      <c r="L56" s="1"/>
      <c r="M56" s="1"/>
      <c r="N56" s="1"/>
      <c r="O56" s="1"/>
      <c r="P56" s="1"/>
      <c r="Q56" s="1"/>
      <c r="R56" s="1"/>
      <c r="S56" s="1"/>
      <c r="T56" s="1"/>
      <c r="U56" s="1"/>
      <c r="V56" s="1"/>
      <c r="W56" s="1"/>
      <c r="X56" s="1"/>
      <c r="Y56" s="1"/>
      <c r="Z56" s="1"/>
    </row>
    <row r="57" customFormat="false" ht="15.75" hidden="false" customHeight="true" outlineLevel="0" collapsed="false">
      <c r="L57" s="1"/>
      <c r="M57" s="1"/>
      <c r="N57" s="1"/>
      <c r="O57" s="1"/>
      <c r="P57" s="1"/>
      <c r="Q57" s="1"/>
      <c r="R57" s="1"/>
      <c r="S57" s="1"/>
      <c r="T57" s="1"/>
      <c r="U57" s="1"/>
      <c r="V57" s="1"/>
      <c r="W57" s="1"/>
      <c r="X57" s="1"/>
      <c r="Y57" s="1"/>
      <c r="Z57" s="1"/>
    </row>
    <row r="58" customFormat="false" ht="15.75" hidden="false" customHeight="true" outlineLevel="0" collapsed="false">
      <c r="L58" s="1"/>
      <c r="M58" s="1"/>
      <c r="N58" s="1"/>
      <c r="O58" s="1"/>
      <c r="P58" s="1"/>
      <c r="Q58" s="1"/>
      <c r="R58" s="1"/>
      <c r="S58" s="1"/>
      <c r="T58" s="1"/>
      <c r="U58" s="1"/>
      <c r="V58" s="1"/>
      <c r="W58" s="1"/>
      <c r="X58" s="1"/>
      <c r="Y58" s="1"/>
      <c r="Z58" s="1"/>
    </row>
    <row r="59" customFormat="false" ht="15.75" hidden="false" customHeight="true" outlineLevel="0" collapsed="false">
      <c r="L59" s="1"/>
      <c r="M59" s="1"/>
      <c r="N59" s="1"/>
      <c r="O59" s="1"/>
      <c r="P59" s="1"/>
      <c r="Q59" s="1"/>
      <c r="R59" s="1"/>
      <c r="S59" s="1"/>
      <c r="T59" s="1"/>
      <c r="U59" s="1"/>
      <c r="V59" s="1"/>
      <c r="W59" s="1"/>
      <c r="X59" s="1"/>
      <c r="Y59" s="1"/>
      <c r="Z59" s="1"/>
    </row>
    <row r="60" customFormat="false" ht="15.75" hidden="false" customHeight="true" outlineLevel="0" collapsed="false">
      <c r="L60" s="1"/>
      <c r="M60" s="1"/>
      <c r="N60" s="1"/>
      <c r="O60" s="1"/>
      <c r="P60" s="1"/>
      <c r="Q60" s="1"/>
      <c r="R60" s="1"/>
      <c r="S60" s="1"/>
      <c r="T60" s="1"/>
      <c r="U60" s="1"/>
      <c r="V60" s="1"/>
      <c r="W60" s="1"/>
      <c r="X60" s="1"/>
      <c r="Y60" s="1"/>
      <c r="Z60" s="1"/>
    </row>
    <row r="61" customFormat="false" ht="15.75" hidden="false" customHeight="true" outlineLevel="0" collapsed="false">
      <c r="L61" s="1"/>
      <c r="M61" s="1"/>
      <c r="N61" s="1"/>
      <c r="O61" s="1"/>
      <c r="P61" s="1"/>
      <c r="Q61" s="1"/>
      <c r="R61" s="1"/>
      <c r="S61" s="1"/>
      <c r="T61" s="1"/>
      <c r="U61" s="1"/>
      <c r="V61" s="1"/>
      <c r="W61" s="1"/>
      <c r="X61" s="1"/>
      <c r="Y61" s="1"/>
      <c r="Z61" s="1"/>
    </row>
    <row r="62" customFormat="false" ht="15.75" hidden="false" customHeight="true" outlineLevel="0" collapsed="false">
      <c r="L62" s="1"/>
      <c r="M62" s="1"/>
      <c r="N62" s="1"/>
      <c r="O62" s="1"/>
      <c r="P62" s="1"/>
      <c r="Q62" s="1"/>
      <c r="R62" s="1"/>
      <c r="S62" s="1"/>
      <c r="T62" s="1"/>
      <c r="U62" s="1"/>
      <c r="V62" s="1"/>
      <c r="W62" s="1"/>
      <c r="X62" s="1"/>
      <c r="Y62" s="1"/>
      <c r="Z62" s="1"/>
    </row>
    <row r="63" customFormat="false" ht="15.75" hidden="false" customHeight="true" outlineLevel="0" collapsed="false">
      <c r="L63" s="1"/>
      <c r="M63" s="1"/>
      <c r="N63" s="1"/>
      <c r="O63" s="1"/>
      <c r="P63" s="1"/>
      <c r="Q63" s="1"/>
      <c r="R63" s="1"/>
      <c r="S63" s="1"/>
      <c r="T63" s="1"/>
      <c r="U63" s="1"/>
      <c r="V63" s="1"/>
      <c r="W63" s="1"/>
      <c r="X63" s="1"/>
      <c r="Y63" s="1"/>
      <c r="Z63" s="1"/>
    </row>
    <row r="64" customFormat="false" ht="15.75" hidden="false" customHeight="true" outlineLevel="0" collapsed="false">
      <c r="L64" s="1"/>
      <c r="M64" s="1"/>
      <c r="N64" s="1"/>
      <c r="O64" s="1"/>
      <c r="P64" s="1"/>
      <c r="Q64" s="1"/>
      <c r="R64" s="1"/>
      <c r="S64" s="1"/>
      <c r="T64" s="1"/>
      <c r="U64" s="1"/>
      <c r="V64" s="1"/>
      <c r="W64" s="1"/>
      <c r="X64" s="1"/>
      <c r="Y64" s="1"/>
      <c r="Z64" s="1"/>
    </row>
    <row r="65" customFormat="false" ht="15.75" hidden="false" customHeight="true" outlineLevel="0" collapsed="false">
      <c r="L65" s="1"/>
      <c r="M65" s="1"/>
      <c r="N65" s="1"/>
      <c r="O65" s="1"/>
      <c r="P65" s="1"/>
      <c r="Q65" s="1"/>
      <c r="R65" s="1"/>
      <c r="S65" s="1"/>
      <c r="T65" s="1"/>
      <c r="U65" s="1"/>
      <c r="V65" s="1"/>
      <c r="W65" s="1"/>
      <c r="X65" s="1"/>
      <c r="Y65" s="1"/>
      <c r="Z65" s="1"/>
    </row>
    <row r="66" customFormat="false" ht="15.75" hidden="false" customHeight="true" outlineLevel="0" collapsed="false">
      <c r="L66" s="1"/>
      <c r="M66" s="1"/>
      <c r="N66" s="1"/>
      <c r="O66" s="1"/>
      <c r="P66" s="1"/>
      <c r="Q66" s="1"/>
      <c r="R66" s="1"/>
      <c r="S66" s="1"/>
      <c r="T66" s="1"/>
      <c r="U66" s="1"/>
      <c r="V66" s="1"/>
      <c r="W66" s="1"/>
      <c r="X66" s="1"/>
      <c r="Y66" s="1"/>
      <c r="Z66" s="1"/>
    </row>
    <row r="67" customFormat="false" ht="15.75" hidden="false" customHeight="true" outlineLevel="0" collapsed="false">
      <c r="L67" s="1"/>
      <c r="M67" s="1"/>
      <c r="N67" s="1"/>
      <c r="O67" s="1"/>
      <c r="P67" s="1"/>
      <c r="Q67" s="1"/>
      <c r="R67" s="1"/>
      <c r="S67" s="1"/>
      <c r="T67" s="1"/>
      <c r="U67" s="1"/>
      <c r="V67" s="1"/>
      <c r="W67" s="1"/>
      <c r="X67" s="1"/>
      <c r="Y67" s="1"/>
      <c r="Z67" s="1"/>
    </row>
    <row r="68" customFormat="false" ht="15.75" hidden="false" customHeight="true" outlineLevel="0" collapsed="false">
      <c r="L68" s="1"/>
      <c r="M68" s="1"/>
      <c r="N68" s="1"/>
      <c r="O68" s="1"/>
      <c r="P68" s="1"/>
      <c r="Q68" s="1"/>
      <c r="R68" s="1"/>
      <c r="S68" s="1"/>
      <c r="T68" s="1"/>
      <c r="U68" s="1"/>
      <c r="V68" s="1"/>
      <c r="W68" s="1"/>
      <c r="X68" s="1"/>
      <c r="Y68" s="1"/>
      <c r="Z68" s="1"/>
    </row>
    <row r="69" customFormat="false" ht="15.75" hidden="false" customHeight="true" outlineLevel="0" collapsed="false">
      <c r="L69" s="1"/>
      <c r="M69" s="1"/>
      <c r="N69" s="1"/>
      <c r="O69" s="1"/>
      <c r="P69" s="1"/>
      <c r="Q69" s="1"/>
      <c r="R69" s="1"/>
      <c r="S69" s="1"/>
      <c r="T69" s="1"/>
      <c r="U69" s="1"/>
      <c r="V69" s="1"/>
      <c r="W69" s="1"/>
      <c r="X69" s="1"/>
      <c r="Y69" s="1"/>
      <c r="Z69" s="1"/>
    </row>
    <row r="70" customFormat="false" ht="15.75" hidden="false" customHeight="true" outlineLevel="0" collapsed="false">
      <c r="L70" s="1"/>
      <c r="M70" s="1"/>
      <c r="N70" s="1"/>
      <c r="O70" s="1"/>
      <c r="P70" s="1"/>
      <c r="Q70" s="1"/>
      <c r="R70" s="1"/>
      <c r="S70" s="1"/>
      <c r="T70" s="1"/>
      <c r="U70" s="1"/>
      <c r="V70" s="1"/>
      <c r="W70" s="1"/>
      <c r="X70" s="1"/>
      <c r="Y70" s="1"/>
      <c r="Z70" s="1"/>
    </row>
    <row r="71" customFormat="false" ht="15.75" hidden="false" customHeight="true" outlineLevel="0" collapsed="false">
      <c r="L71" s="1"/>
      <c r="M71" s="1"/>
      <c r="N71" s="1"/>
      <c r="O71" s="1"/>
      <c r="P71" s="1"/>
      <c r="Q71" s="1"/>
      <c r="R71" s="1"/>
      <c r="S71" s="1"/>
      <c r="T71" s="1"/>
      <c r="U71" s="1"/>
      <c r="V71" s="1"/>
      <c r="W71" s="1"/>
      <c r="X71" s="1"/>
      <c r="Y71" s="1"/>
      <c r="Z71" s="1"/>
    </row>
    <row r="72" customFormat="false" ht="15.75" hidden="false" customHeight="true" outlineLevel="0" collapsed="false">
      <c r="L72" s="1"/>
      <c r="M72" s="1"/>
      <c r="N72" s="1"/>
      <c r="O72" s="1"/>
      <c r="P72" s="1"/>
      <c r="Q72" s="1"/>
      <c r="R72" s="1"/>
      <c r="S72" s="1"/>
      <c r="T72" s="1"/>
      <c r="U72" s="1"/>
      <c r="V72" s="1"/>
      <c r="W72" s="1"/>
      <c r="X72" s="1"/>
      <c r="Y72" s="1"/>
      <c r="Z72" s="1"/>
    </row>
    <row r="73" customFormat="false" ht="15.75" hidden="false" customHeight="true" outlineLevel="0" collapsed="false">
      <c r="L73" s="1"/>
      <c r="M73" s="1"/>
      <c r="N73" s="1"/>
      <c r="O73" s="1"/>
      <c r="P73" s="1"/>
      <c r="Q73" s="1"/>
      <c r="R73" s="1"/>
      <c r="S73" s="1"/>
      <c r="T73" s="1"/>
      <c r="U73" s="1"/>
      <c r="V73" s="1"/>
      <c r="W73" s="1"/>
      <c r="X73" s="1"/>
      <c r="Y73" s="1"/>
      <c r="Z73" s="1"/>
    </row>
    <row r="74" customFormat="false" ht="15.75" hidden="false" customHeight="true" outlineLevel="0" collapsed="false">
      <c r="L74" s="1"/>
      <c r="M74" s="1"/>
      <c r="N74" s="1"/>
      <c r="O74" s="1"/>
      <c r="P74" s="1"/>
      <c r="Q74" s="1"/>
      <c r="R74" s="1"/>
      <c r="S74" s="1"/>
      <c r="T74" s="1"/>
      <c r="U74" s="1"/>
      <c r="V74" s="1"/>
      <c r="W74" s="1"/>
      <c r="X74" s="1"/>
      <c r="Y74" s="1"/>
      <c r="Z74" s="1"/>
    </row>
    <row r="75" customFormat="false" ht="15.75" hidden="false" customHeight="true" outlineLevel="0" collapsed="false">
      <c r="L75" s="1"/>
      <c r="M75" s="1"/>
      <c r="N75" s="1"/>
      <c r="O75" s="1"/>
      <c r="P75" s="1"/>
      <c r="Q75" s="1"/>
      <c r="R75" s="1"/>
      <c r="S75" s="1"/>
      <c r="T75" s="1"/>
      <c r="U75" s="1"/>
      <c r="V75" s="1"/>
      <c r="W75" s="1"/>
      <c r="X75" s="1"/>
      <c r="Y75" s="1"/>
      <c r="Z75" s="1"/>
    </row>
    <row r="76" customFormat="false" ht="15.75" hidden="false" customHeight="true" outlineLevel="0" collapsed="false">
      <c r="L76" s="1"/>
      <c r="M76" s="1"/>
      <c r="N76" s="1"/>
      <c r="O76" s="1"/>
      <c r="P76" s="1"/>
      <c r="Q76" s="1"/>
      <c r="R76" s="1"/>
      <c r="S76" s="1"/>
      <c r="T76" s="1"/>
      <c r="U76" s="1"/>
      <c r="V76" s="1"/>
      <c r="W76" s="1"/>
      <c r="X76" s="1"/>
      <c r="Y76" s="1"/>
      <c r="Z76" s="1"/>
    </row>
    <row r="77" customFormat="false" ht="15.75" hidden="false" customHeight="true" outlineLevel="0" collapsed="false">
      <c r="L77" s="1"/>
      <c r="M77" s="1"/>
      <c r="N77" s="1"/>
      <c r="O77" s="1"/>
      <c r="P77" s="1"/>
      <c r="Q77" s="1"/>
      <c r="R77" s="1"/>
      <c r="S77" s="1"/>
      <c r="T77" s="1"/>
      <c r="U77" s="1"/>
      <c r="V77" s="1"/>
      <c r="W77" s="1"/>
      <c r="X77" s="1"/>
      <c r="Y77" s="1"/>
      <c r="Z77" s="1"/>
    </row>
    <row r="78" customFormat="false" ht="15.75" hidden="false" customHeight="true" outlineLevel="0" collapsed="false">
      <c r="L78" s="1"/>
      <c r="M78" s="1"/>
      <c r="N78" s="1"/>
      <c r="O78" s="1"/>
      <c r="P78" s="1"/>
      <c r="Q78" s="1"/>
      <c r="R78" s="1"/>
      <c r="S78" s="1"/>
      <c r="T78" s="1"/>
      <c r="U78" s="1"/>
      <c r="V78" s="1"/>
      <c r="W78" s="1"/>
      <c r="X78" s="1"/>
      <c r="Y78" s="1"/>
      <c r="Z78" s="1"/>
    </row>
    <row r="79" customFormat="false" ht="15.75" hidden="false" customHeight="true" outlineLevel="0" collapsed="false">
      <c r="L79" s="1"/>
      <c r="M79" s="1"/>
      <c r="N79" s="1"/>
      <c r="O79" s="1"/>
      <c r="P79" s="1"/>
      <c r="Q79" s="1"/>
      <c r="R79" s="1"/>
      <c r="S79" s="1"/>
      <c r="T79" s="1"/>
      <c r="U79" s="1"/>
      <c r="V79" s="1"/>
      <c r="W79" s="1"/>
      <c r="X79" s="1"/>
      <c r="Y79" s="1"/>
      <c r="Z79" s="1"/>
    </row>
    <row r="80" customFormat="false" ht="15.75" hidden="false" customHeight="true" outlineLevel="0" collapsed="false">
      <c r="L80" s="1"/>
      <c r="M80" s="1"/>
      <c r="N80" s="1"/>
      <c r="O80" s="1"/>
      <c r="P80" s="1"/>
      <c r="Q80" s="1"/>
      <c r="R80" s="1"/>
      <c r="S80" s="1"/>
      <c r="T80" s="1"/>
      <c r="U80" s="1"/>
      <c r="V80" s="1"/>
      <c r="W80" s="1"/>
      <c r="X80" s="1"/>
      <c r="Y80" s="1"/>
      <c r="Z80" s="1"/>
    </row>
    <row r="81" customFormat="false" ht="15.75" hidden="false" customHeight="true" outlineLevel="0" collapsed="false">
      <c r="L81" s="1"/>
      <c r="M81" s="1"/>
      <c r="N81" s="1"/>
      <c r="O81" s="1"/>
      <c r="P81" s="1"/>
      <c r="Q81" s="1"/>
      <c r="R81" s="1"/>
      <c r="S81" s="1"/>
      <c r="T81" s="1"/>
      <c r="U81" s="1"/>
      <c r="V81" s="1"/>
      <c r="W81" s="1"/>
      <c r="X81" s="1"/>
      <c r="Y81" s="1"/>
      <c r="Z81" s="1"/>
    </row>
    <row r="82" customFormat="false" ht="15.75" hidden="false" customHeight="true" outlineLevel="0" collapsed="false">
      <c r="L82" s="1"/>
      <c r="M82" s="1"/>
      <c r="N82" s="1"/>
      <c r="O82" s="1"/>
      <c r="P82" s="1"/>
      <c r="Q82" s="1"/>
      <c r="R82" s="1"/>
      <c r="S82" s="1"/>
      <c r="T82" s="1"/>
      <c r="U82" s="1"/>
      <c r="V82" s="1"/>
      <c r="W82" s="1"/>
      <c r="X82" s="1"/>
      <c r="Y82" s="1"/>
      <c r="Z82" s="1"/>
    </row>
    <row r="83" customFormat="false" ht="15.75" hidden="false" customHeight="true" outlineLevel="0" collapsed="false">
      <c r="L83" s="1"/>
      <c r="M83" s="1"/>
      <c r="N83" s="1"/>
      <c r="O83" s="1"/>
      <c r="P83" s="1"/>
      <c r="Q83" s="1"/>
      <c r="R83" s="1"/>
      <c r="S83" s="1"/>
      <c r="T83" s="1"/>
      <c r="U83" s="1"/>
      <c r="V83" s="1"/>
      <c r="W83" s="1"/>
      <c r="X83" s="1"/>
      <c r="Y83" s="1"/>
      <c r="Z83" s="1"/>
    </row>
    <row r="84" customFormat="false" ht="15.75" hidden="false" customHeight="true" outlineLevel="0" collapsed="false">
      <c r="L84" s="1"/>
      <c r="M84" s="1"/>
      <c r="N84" s="1"/>
      <c r="O84" s="1"/>
      <c r="P84" s="1"/>
      <c r="Q84" s="1"/>
      <c r="R84" s="1"/>
      <c r="S84" s="1"/>
      <c r="T84" s="1"/>
      <c r="U84" s="1"/>
      <c r="V84" s="1"/>
      <c r="W84" s="1"/>
      <c r="X84" s="1"/>
      <c r="Y84" s="1"/>
      <c r="Z84" s="1"/>
    </row>
    <row r="85" customFormat="false" ht="15.75" hidden="false" customHeight="true" outlineLevel="0" collapsed="false">
      <c r="L85" s="1"/>
      <c r="M85" s="1"/>
      <c r="N85" s="1"/>
      <c r="O85" s="1"/>
      <c r="P85" s="1"/>
      <c r="Q85" s="1"/>
      <c r="R85" s="1"/>
      <c r="S85" s="1"/>
      <c r="T85" s="1"/>
      <c r="U85" s="1"/>
      <c r="V85" s="1"/>
      <c r="W85" s="1"/>
      <c r="X85" s="1"/>
      <c r="Y85" s="1"/>
      <c r="Z85" s="1"/>
    </row>
    <row r="86" customFormat="false" ht="15.75" hidden="false" customHeight="true" outlineLevel="0" collapsed="false">
      <c r="L86" s="1"/>
      <c r="M86" s="1"/>
      <c r="N86" s="1"/>
      <c r="O86" s="1"/>
      <c r="P86" s="1"/>
      <c r="Q86" s="1"/>
      <c r="R86" s="1"/>
      <c r="S86" s="1"/>
      <c r="T86" s="1"/>
      <c r="U86" s="1"/>
      <c r="V86" s="1"/>
      <c r="W86" s="1"/>
      <c r="X86" s="1"/>
      <c r="Y86" s="1"/>
      <c r="Z86" s="1"/>
    </row>
    <row r="87" customFormat="false" ht="15.75" hidden="false" customHeight="true" outlineLevel="0" collapsed="false">
      <c r="L87" s="1"/>
      <c r="M87" s="1"/>
      <c r="N87" s="1"/>
      <c r="O87" s="1"/>
      <c r="P87" s="1"/>
      <c r="Q87" s="1"/>
      <c r="R87" s="1"/>
      <c r="S87" s="1"/>
      <c r="T87" s="1"/>
      <c r="U87" s="1"/>
      <c r="V87" s="1"/>
      <c r="W87" s="1"/>
      <c r="X87" s="1"/>
      <c r="Y87" s="1"/>
      <c r="Z87" s="1"/>
    </row>
    <row r="88" customFormat="false" ht="15.75" hidden="false" customHeight="true" outlineLevel="0" collapsed="false">
      <c r="L88" s="1"/>
      <c r="M88" s="1"/>
      <c r="N88" s="1"/>
      <c r="O88" s="1"/>
      <c r="P88" s="1"/>
      <c r="Q88" s="1"/>
      <c r="R88" s="1"/>
      <c r="S88" s="1"/>
      <c r="T88" s="1"/>
      <c r="U88" s="1"/>
      <c r="V88" s="1"/>
      <c r="W88" s="1"/>
      <c r="X88" s="1"/>
      <c r="Y88" s="1"/>
      <c r="Z88" s="1"/>
    </row>
    <row r="89" customFormat="false" ht="15.75" hidden="false" customHeight="true" outlineLevel="0" collapsed="false">
      <c r="L89" s="1"/>
      <c r="M89" s="1"/>
      <c r="N89" s="1"/>
      <c r="O89" s="1"/>
      <c r="P89" s="1"/>
      <c r="Q89" s="1"/>
      <c r="R89" s="1"/>
      <c r="S89" s="1"/>
      <c r="T89" s="1"/>
      <c r="U89" s="1"/>
      <c r="V89" s="1"/>
      <c r="W89" s="1"/>
      <c r="X89" s="1"/>
      <c r="Y89" s="1"/>
      <c r="Z89" s="1"/>
    </row>
    <row r="90" customFormat="false" ht="15.75" hidden="false" customHeight="true" outlineLevel="0" collapsed="false">
      <c r="L90" s="1"/>
      <c r="M90" s="1"/>
      <c r="N90" s="1"/>
      <c r="O90" s="1"/>
      <c r="P90" s="1"/>
      <c r="Q90" s="1"/>
      <c r="R90" s="1"/>
      <c r="S90" s="1"/>
      <c r="T90" s="1"/>
      <c r="U90" s="1"/>
      <c r="V90" s="1"/>
      <c r="W90" s="1"/>
      <c r="X90" s="1"/>
      <c r="Y90" s="1"/>
      <c r="Z90" s="1"/>
    </row>
    <row r="91" customFormat="false" ht="15.75" hidden="false" customHeight="true" outlineLevel="0" collapsed="false">
      <c r="L91" s="1"/>
      <c r="M91" s="1"/>
      <c r="N91" s="1"/>
      <c r="O91" s="1"/>
      <c r="P91" s="1"/>
      <c r="Q91" s="1"/>
      <c r="R91" s="1"/>
      <c r="S91" s="1"/>
      <c r="T91" s="1"/>
      <c r="U91" s="1"/>
      <c r="V91" s="1"/>
      <c r="W91" s="1"/>
      <c r="X91" s="1"/>
      <c r="Y91" s="1"/>
      <c r="Z91" s="1"/>
    </row>
    <row r="92" customFormat="false" ht="15.75" hidden="false" customHeight="true" outlineLevel="0" collapsed="false">
      <c r="L92" s="1"/>
      <c r="M92" s="1"/>
      <c r="N92" s="1"/>
      <c r="O92" s="1"/>
      <c r="P92" s="1"/>
      <c r="Q92" s="1"/>
      <c r="R92" s="1"/>
      <c r="S92" s="1"/>
      <c r="T92" s="1"/>
      <c r="U92" s="1"/>
      <c r="V92" s="1"/>
      <c r="W92" s="1"/>
      <c r="X92" s="1"/>
      <c r="Y92" s="1"/>
      <c r="Z92" s="1"/>
    </row>
    <row r="93" customFormat="false" ht="15.75" hidden="false" customHeight="true" outlineLevel="0" collapsed="false">
      <c r="L93" s="1"/>
      <c r="M93" s="1"/>
      <c r="N93" s="1"/>
      <c r="O93" s="1"/>
      <c r="P93" s="1"/>
      <c r="Q93" s="1"/>
      <c r="R93" s="1"/>
      <c r="S93" s="1"/>
      <c r="T93" s="1"/>
      <c r="U93" s="1"/>
      <c r="V93" s="1"/>
      <c r="W93" s="1"/>
      <c r="X93" s="1"/>
      <c r="Y93" s="1"/>
      <c r="Z93" s="1"/>
    </row>
    <row r="94" customFormat="false" ht="15.75" hidden="false" customHeight="true" outlineLevel="0" collapsed="false">
      <c r="L94" s="1"/>
      <c r="M94" s="1"/>
      <c r="N94" s="1"/>
      <c r="O94" s="1"/>
      <c r="P94" s="1"/>
      <c r="Q94" s="1"/>
      <c r="R94" s="1"/>
      <c r="S94" s="1"/>
      <c r="T94" s="1"/>
      <c r="U94" s="1"/>
      <c r="V94" s="1"/>
      <c r="W94" s="1"/>
      <c r="X94" s="1"/>
      <c r="Y94" s="1"/>
      <c r="Z94" s="1"/>
    </row>
    <row r="95" customFormat="false" ht="15.75" hidden="false" customHeight="true" outlineLevel="0" collapsed="false">
      <c r="L95" s="1"/>
      <c r="M95" s="1"/>
      <c r="N95" s="1"/>
      <c r="O95" s="1"/>
      <c r="P95" s="1"/>
      <c r="Q95" s="1"/>
      <c r="R95" s="1"/>
      <c r="S95" s="1"/>
      <c r="T95" s="1"/>
      <c r="U95" s="1"/>
      <c r="V95" s="1"/>
      <c r="W95" s="1"/>
      <c r="X95" s="1"/>
      <c r="Y95" s="1"/>
      <c r="Z95" s="1"/>
    </row>
    <row r="96" customFormat="false" ht="15.75" hidden="false" customHeight="true" outlineLevel="0" collapsed="false">
      <c r="L96" s="1"/>
      <c r="M96" s="1"/>
      <c r="N96" s="1"/>
      <c r="O96" s="1"/>
      <c r="P96" s="1"/>
      <c r="Q96" s="1"/>
      <c r="R96" s="1"/>
      <c r="S96" s="1"/>
      <c r="T96" s="1"/>
      <c r="U96" s="1"/>
      <c r="V96" s="1"/>
      <c r="W96" s="1"/>
      <c r="X96" s="1"/>
      <c r="Y96" s="1"/>
      <c r="Z96" s="1"/>
    </row>
    <row r="97" customFormat="false" ht="15.75" hidden="false" customHeight="true" outlineLevel="0" collapsed="false">
      <c r="L97" s="1"/>
      <c r="M97" s="1"/>
      <c r="N97" s="1"/>
      <c r="O97" s="1"/>
      <c r="P97" s="1"/>
      <c r="Q97" s="1"/>
      <c r="R97" s="1"/>
      <c r="S97" s="1"/>
      <c r="T97" s="1"/>
      <c r="U97" s="1"/>
      <c r="V97" s="1"/>
      <c r="W97" s="1"/>
      <c r="X97" s="1"/>
      <c r="Y97" s="1"/>
      <c r="Z97" s="1"/>
    </row>
    <row r="98" customFormat="false" ht="15.75" hidden="false" customHeight="true" outlineLevel="0" collapsed="false">
      <c r="L98" s="1"/>
      <c r="M98" s="1"/>
      <c r="N98" s="1"/>
      <c r="O98" s="1"/>
      <c r="P98" s="1"/>
      <c r="Q98" s="1"/>
      <c r="R98" s="1"/>
      <c r="S98" s="1"/>
      <c r="T98" s="1"/>
      <c r="U98" s="1"/>
      <c r="V98" s="1"/>
      <c r="W98" s="1"/>
      <c r="X98" s="1"/>
      <c r="Y98" s="1"/>
      <c r="Z98" s="1"/>
    </row>
    <row r="99" customFormat="false" ht="15.75" hidden="false" customHeight="true" outlineLevel="0" collapsed="false">
      <c r="L99" s="1"/>
      <c r="M99" s="1"/>
      <c r="N99" s="1"/>
      <c r="O99" s="1"/>
      <c r="P99" s="1"/>
      <c r="Q99" s="1"/>
      <c r="R99" s="1"/>
      <c r="S99" s="1"/>
      <c r="T99" s="1"/>
      <c r="U99" s="1"/>
      <c r="V99" s="1"/>
      <c r="W99" s="1"/>
      <c r="X99" s="1"/>
      <c r="Y99" s="1"/>
      <c r="Z99" s="1"/>
    </row>
    <row r="100" customFormat="false" ht="15.75" hidden="false" customHeight="true" outlineLevel="0" collapsed="false">
      <c r="L100" s="1"/>
      <c r="M100" s="1"/>
      <c r="N100" s="1"/>
      <c r="O100" s="1"/>
      <c r="P100" s="1"/>
      <c r="Q100" s="1"/>
      <c r="R100" s="1"/>
      <c r="S100" s="1"/>
      <c r="T100" s="1"/>
      <c r="U100" s="1"/>
      <c r="V100" s="1"/>
      <c r="W100" s="1"/>
      <c r="X100" s="1"/>
      <c r="Y100" s="1"/>
      <c r="Z100" s="1"/>
    </row>
    <row r="101" customFormat="false" ht="15.75" hidden="false" customHeight="true" outlineLevel="0" collapsed="false">
      <c r="L101" s="1"/>
      <c r="M101" s="1"/>
      <c r="N101" s="1"/>
      <c r="O101" s="1"/>
      <c r="P101" s="1"/>
      <c r="Q101" s="1"/>
      <c r="R101" s="1"/>
      <c r="S101" s="1"/>
      <c r="T101" s="1"/>
      <c r="U101" s="1"/>
      <c r="V101" s="1"/>
      <c r="W101" s="1"/>
      <c r="X101" s="1"/>
      <c r="Y101" s="1"/>
      <c r="Z101" s="1"/>
    </row>
    <row r="102" customFormat="false" ht="15.75" hidden="false" customHeight="true" outlineLevel="0" collapsed="false">
      <c r="L102" s="1"/>
      <c r="M102" s="1"/>
      <c r="N102" s="1"/>
      <c r="O102" s="1"/>
      <c r="P102" s="1"/>
      <c r="Q102" s="1"/>
      <c r="R102" s="1"/>
      <c r="S102" s="1"/>
      <c r="T102" s="1"/>
      <c r="U102" s="1"/>
      <c r="V102" s="1"/>
      <c r="W102" s="1"/>
      <c r="X102" s="1"/>
      <c r="Y102" s="1"/>
      <c r="Z102" s="1"/>
    </row>
    <row r="103" customFormat="false" ht="15.75" hidden="false" customHeight="true" outlineLevel="0" collapsed="false">
      <c r="L103" s="1"/>
      <c r="M103" s="1"/>
      <c r="N103" s="1"/>
      <c r="O103" s="1"/>
      <c r="P103" s="1"/>
      <c r="Q103" s="1"/>
      <c r="R103" s="1"/>
      <c r="S103" s="1"/>
      <c r="T103" s="1"/>
      <c r="U103" s="1"/>
      <c r="V103" s="1"/>
      <c r="W103" s="1"/>
      <c r="X103" s="1"/>
      <c r="Y103" s="1"/>
      <c r="Z103" s="1"/>
    </row>
    <row r="104" customFormat="false" ht="15.75" hidden="false" customHeight="true" outlineLevel="0" collapsed="false">
      <c r="L104" s="1"/>
      <c r="M104" s="1"/>
      <c r="N104" s="1"/>
      <c r="O104" s="1"/>
      <c r="P104" s="1"/>
      <c r="Q104" s="1"/>
      <c r="R104" s="1"/>
      <c r="S104" s="1"/>
      <c r="T104" s="1"/>
      <c r="U104" s="1"/>
      <c r="V104" s="1"/>
      <c r="W104" s="1"/>
      <c r="X104" s="1"/>
      <c r="Y104" s="1"/>
      <c r="Z104" s="1"/>
    </row>
    <row r="105" customFormat="false" ht="15.75" hidden="false" customHeight="true" outlineLevel="0" collapsed="false">
      <c r="L105" s="1"/>
      <c r="M105" s="1"/>
      <c r="N105" s="1"/>
      <c r="O105" s="1"/>
      <c r="P105" s="1"/>
      <c r="Q105" s="1"/>
      <c r="R105" s="1"/>
      <c r="S105" s="1"/>
      <c r="T105" s="1"/>
      <c r="U105" s="1"/>
      <c r="V105" s="1"/>
      <c r="W105" s="1"/>
      <c r="X105" s="1"/>
      <c r="Y105" s="1"/>
      <c r="Z105" s="1"/>
    </row>
    <row r="106" customFormat="false" ht="15.75" hidden="false" customHeight="true" outlineLevel="0" collapsed="false">
      <c r="L106" s="1"/>
      <c r="M106" s="1"/>
      <c r="N106" s="1"/>
      <c r="O106" s="1"/>
      <c r="P106" s="1"/>
      <c r="Q106" s="1"/>
      <c r="R106" s="1"/>
      <c r="S106" s="1"/>
      <c r="T106" s="1"/>
      <c r="U106" s="1"/>
      <c r="V106" s="1"/>
      <c r="W106" s="1"/>
      <c r="X106" s="1"/>
      <c r="Y106" s="1"/>
      <c r="Z106" s="1"/>
    </row>
    <row r="107" customFormat="false" ht="15.75" hidden="false" customHeight="true" outlineLevel="0" collapsed="false">
      <c r="L107" s="1"/>
      <c r="M107" s="1"/>
      <c r="N107" s="1"/>
      <c r="O107" s="1"/>
      <c r="P107" s="1"/>
      <c r="Q107" s="1"/>
      <c r="R107" s="1"/>
      <c r="S107" s="1"/>
      <c r="T107" s="1"/>
      <c r="U107" s="1"/>
      <c r="V107" s="1"/>
      <c r="W107" s="1"/>
      <c r="X107" s="1"/>
      <c r="Y107" s="1"/>
      <c r="Z107" s="1"/>
    </row>
    <row r="108" customFormat="false" ht="15.75" hidden="false" customHeight="true" outlineLevel="0" collapsed="false">
      <c r="L108" s="1"/>
      <c r="M108" s="1"/>
      <c r="N108" s="1"/>
      <c r="O108" s="1"/>
      <c r="P108" s="1"/>
      <c r="Q108" s="1"/>
      <c r="R108" s="1"/>
      <c r="S108" s="1"/>
      <c r="T108" s="1"/>
      <c r="U108" s="1"/>
      <c r="V108" s="1"/>
      <c r="W108" s="1"/>
      <c r="X108" s="1"/>
      <c r="Y108" s="1"/>
      <c r="Z108" s="1"/>
    </row>
    <row r="109" customFormat="false" ht="15.75" hidden="false" customHeight="true" outlineLevel="0" collapsed="false">
      <c r="L109" s="1"/>
      <c r="M109" s="1"/>
      <c r="N109" s="1"/>
      <c r="O109" s="1"/>
      <c r="P109" s="1"/>
      <c r="Q109" s="1"/>
      <c r="R109" s="1"/>
      <c r="S109" s="1"/>
      <c r="T109" s="1"/>
      <c r="U109" s="1"/>
      <c r="V109" s="1"/>
      <c r="W109" s="1"/>
      <c r="X109" s="1"/>
      <c r="Y109" s="1"/>
      <c r="Z109" s="1"/>
    </row>
    <row r="110" customFormat="false" ht="15.75" hidden="false" customHeight="true" outlineLevel="0" collapsed="false">
      <c r="L110" s="1"/>
      <c r="M110" s="1"/>
      <c r="N110" s="1"/>
      <c r="O110" s="1"/>
      <c r="P110" s="1"/>
      <c r="Q110" s="1"/>
      <c r="R110" s="1"/>
      <c r="S110" s="1"/>
      <c r="T110" s="1"/>
      <c r="U110" s="1"/>
      <c r="V110" s="1"/>
      <c r="W110" s="1"/>
      <c r="X110" s="1"/>
      <c r="Y110" s="1"/>
      <c r="Z110" s="1"/>
    </row>
    <row r="111" customFormat="false" ht="15.75" hidden="false" customHeight="true" outlineLevel="0" collapsed="false">
      <c r="L111" s="1"/>
      <c r="M111" s="1"/>
      <c r="N111" s="1"/>
      <c r="O111" s="1"/>
      <c r="P111" s="1"/>
      <c r="Q111" s="1"/>
      <c r="R111" s="1"/>
      <c r="S111" s="1"/>
      <c r="T111" s="1"/>
      <c r="U111" s="1"/>
      <c r="V111" s="1"/>
      <c r="W111" s="1"/>
      <c r="X111" s="1"/>
      <c r="Y111" s="1"/>
      <c r="Z111" s="1"/>
    </row>
    <row r="112" customFormat="false" ht="15.75" hidden="false" customHeight="true" outlineLevel="0" collapsed="false">
      <c r="L112" s="1"/>
      <c r="M112" s="1"/>
      <c r="N112" s="1"/>
      <c r="O112" s="1"/>
      <c r="P112" s="1"/>
      <c r="Q112" s="1"/>
      <c r="R112" s="1"/>
      <c r="S112" s="1"/>
      <c r="T112" s="1"/>
      <c r="U112" s="1"/>
      <c r="V112" s="1"/>
      <c r="W112" s="1"/>
      <c r="X112" s="1"/>
      <c r="Y112" s="1"/>
      <c r="Z112" s="1"/>
    </row>
    <row r="113" customFormat="false" ht="15.75" hidden="false" customHeight="true" outlineLevel="0" collapsed="false">
      <c r="L113" s="1"/>
      <c r="M113" s="1"/>
      <c r="N113" s="1"/>
      <c r="O113" s="1"/>
      <c r="P113" s="1"/>
      <c r="Q113" s="1"/>
      <c r="R113" s="1"/>
      <c r="S113" s="1"/>
      <c r="T113" s="1"/>
      <c r="U113" s="1"/>
      <c r="V113" s="1"/>
      <c r="W113" s="1"/>
      <c r="X113" s="1"/>
      <c r="Y113" s="1"/>
      <c r="Z113" s="1"/>
    </row>
    <row r="114" customFormat="false" ht="15.75" hidden="false" customHeight="true" outlineLevel="0" collapsed="false">
      <c r="L114" s="1"/>
      <c r="M114" s="1"/>
      <c r="N114" s="1"/>
      <c r="O114" s="1"/>
      <c r="P114" s="1"/>
      <c r="Q114" s="1"/>
      <c r="R114" s="1"/>
      <c r="S114" s="1"/>
      <c r="T114" s="1"/>
      <c r="U114" s="1"/>
      <c r="V114" s="1"/>
      <c r="W114" s="1"/>
      <c r="X114" s="1"/>
      <c r="Y114" s="1"/>
      <c r="Z114" s="1"/>
    </row>
    <row r="115" customFormat="false" ht="15.75" hidden="false" customHeight="true" outlineLevel="0" collapsed="false">
      <c r="L115" s="1"/>
      <c r="M115" s="1"/>
      <c r="N115" s="1"/>
      <c r="O115" s="1"/>
      <c r="P115" s="1"/>
      <c r="Q115" s="1"/>
      <c r="R115" s="1"/>
      <c r="S115" s="1"/>
      <c r="T115" s="1"/>
      <c r="U115" s="1"/>
      <c r="V115" s="1"/>
      <c r="W115" s="1"/>
      <c r="X115" s="1"/>
      <c r="Y115" s="1"/>
      <c r="Z115" s="1"/>
    </row>
    <row r="116" customFormat="false" ht="15.75" hidden="false" customHeight="true" outlineLevel="0" collapsed="false">
      <c r="L116" s="1"/>
      <c r="M116" s="1"/>
      <c r="N116" s="1"/>
      <c r="O116" s="1"/>
      <c r="P116" s="1"/>
      <c r="Q116" s="1"/>
      <c r="R116" s="1"/>
      <c r="S116" s="1"/>
      <c r="T116" s="1"/>
      <c r="U116" s="1"/>
      <c r="V116" s="1"/>
      <c r="W116" s="1"/>
      <c r="X116" s="1"/>
      <c r="Y116" s="1"/>
      <c r="Z116" s="1"/>
    </row>
    <row r="117" customFormat="false" ht="15.75" hidden="false" customHeight="true" outlineLevel="0" collapsed="false">
      <c r="L117" s="1"/>
      <c r="M117" s="1"/>
      <c r="N117" s="1"/>
      <c r="O117" s="1"/>
      <c r="P117" s="1"/>
      <c r="Q117" s="1"/>
      <c r="R117" s="1"/>
      <c r="S117" s="1"/>
      <c r="T117" s="1"/>
      <c r="U117" s="1"/>
      <c r="V117" s="1"/>
      <c r="W117" s="1"/>
      <c r="X117" s="1"/>
      <c r="Y117" s="1"/>
      <c r="Z117" s="1"/>
    </row>
    <row r="118" customFormat="false" ht="15.75" hidden="false" customHeight="true" outlineLevel="0" collapsed="false">
      <c r="L118" s="1"/>
      <c r="M118" s="1"/>
      <c r="N118" s="1"/>
      <c r="O118" s="1"/>
      <c r="P118" s="1"/>
      <c r="Q118" s="1"/>
      <c r="R118" s="1"/>
      <c r="S118" s="1"/>
      <c r="T118" s="1"/>
      <c r="U118" s="1"/>
      <c r="V118" s="1"/>
      <c r="W118" s="1"/>
      <c r="X118" s="1"/>
      <c r="Y118" s="1"/>
      <c r="Z118" s="1"/>
    </row>
    <row r="119" customFormat="false" ht="15.75" hidden="false" customHeight="true" outlineLevel="0" collapsed="false">
      <c r="L119" s="1"/>
      <c r="M119" s="1"/>
      <c r="N119" s="1"/>
      <c r="O119" s="1"/>
      <c r="P119" s="1"/>
      <c r="Q119" s="1"/>
      <c r="R119" s="1"/>
      <c r="S119" s="1"/>
      <c r="T119" s="1"/>
      <c r="U119" s="1"/>
      <c r="V119" s="1"/>
      <c r="W119" s="1"/>
      <c r="X119" s="1"/>
      <c r="Y119" s="1"/>
      <c r="Z119" s="1"/>
    </row>
    <row r="120" customFormat="false" ht="15.75" hidden="false" customHeight="true" outlineLevel="0" collapsed="false">
      <c r="L120" s="1"/>
      <c r="M120" s="1"/>
      <c r="N120" s="1"/>
      <c r="O120" s="1"/>
      <c r="P120" s="1"/>
      <c r="Q120" s="1"/>
      <c r="R120" s="1"/>
      <c r="S120" s="1"/>
      <c r="T120" s="1"/>
      <c r="U120" s="1"/>
      <c r="V120" s="1"/>
      <c r="W120" s="1"/>
      <c r="X120" s="1"/>
      <c r="Y120" s="1"/>
      <c r="Z120" s="1"/>
    </row>
    <row r="121" customFormat="false" ht="15.75" hidden="false" customHeight="true" outlineLevel="0" collapsed="false">
      <c r="L121" s="1"/>
      <c r="M121" s="1"/>
      <c r="N121" s="1"/>
      <c r="O121" s="1"/>
      <c r="P121" s="1"/>
      <c r="Q121" s="1"/>
      <c r="R121" s="1"/>
      <c r="S121" s="1"/>
      <c r="T121" s="1"/>
      <c r="U121" s="1"/>
      <c r="V121" s="1"/>
      <c r="W121" s="1"/>
      <c r="X121" s="1"/>
      <c r="Y121" s="1"/>
      <c r="Z121" s="1"/>
    </row>
    <row r="122" customFormat="false" ht="15.75" hidden="false" customHeight="true" outlineLevel="0" collapsed="false">
      <c r="L122" s="1"/>
      <c r="M122" s="1"/>
      <c r="N122" s="1"/>
      <c r="O122" s="1"/>
      <c r="P122" s="1"/>
      <c r="Q122" s="1"/>
      <c r="R122" s="1"/>
      <c r="S122" s="1"/>
      <c r="T122" s="1"/>
      <c r="U122" s="1"/>
      <c r="V122" s="1"/>
      <c r="W122" s="1"/>
      <c r="X122" s="1"/>
      <c r="Y122" s="1"/>
      <c r="Z122" s="1"/>
    </row>
    <row r="123" customFormat="false" ht="15.75" hidden="false" customHeight="true" outlineLevel="0" collapsed="false">
      <c r="L123" s="1"/>
      <c r="M123" s="1"/>
      <c r="N123" s="1"/>
      <c r="O123" s="1"/>
      <c r="P123" s="1"/>
      <c r="Q123" s="1"/>
      <c r="R123" s="1"/>
      <c r="S123" s="1"/>
      <c r="T123" s="1"/>
      <c r="U123" s="1"/>
      <c r="V123" s="1"/>
      <c r="W123" s="1"/>
      <c r="X123" s="1"/>
      <c r="Y123" s="1"/>
      <c r="Z123" s="1"/>
    </row>
    <row r="124" customFormat="false" ht="15.75" hidden="false" customHeight="true" outlineLevel="0" collapsed="false">
      <c r="L124" s="1"/>
      <c r="M124" s="1"/>
      <c r="N124" s="1"/>
      <c r="O124" s="1"/>
      <c r="P124" s="1"/>
      <c r="Q124" s="1"/>
      <c r="R124" s="1"/>
      <c r="S124" s="1"/>
      <c r="T124" s="1"/>
      <c r="U124" s="1"/>
      <c r="V124" s="1"/>
      <c r="W124" s="1"/>
      <c r="X124" s="1"/>
      <c r="Y124" s="1"/>
      <c r="Z124" s="1"/>
    </row>
    <row r="125" customFormat="false" ht="15.75" hidden="false" customHeight="true" outlineLevel="0" collapsed="false">
      <c r="L125" s="1"/>
      <c r="M125" s="1"/>
      <c r="N125" s="1"/>
      <c r="O125" s="1"/>
      <c r="P125" s="1"/>
      <c r="Q125" s="1"/>
      <c r="R125" s="1"/>
      <c r="S125" s="1"/>
      <c r="T125" s="1"/>
      <c r="U125" s="1"/>
      <c r="V125" s="1"/>
      <c r="W125" s="1"/>
      <c r="X125" s="1"/>
      <c r="Y125" s="1"/>
      <c r="Z125" s="1"/>
    </row>
    <row r="126" customFormat="false" ht="15.75" hidden="false" customHeight="true" outlineLevel="0" collapsed="false">
      <c r="L126" s="1"/>
      <c r="M126" s="1"/>
      <c r="N126" s="1"/>
      <c r="O126" s="1"/>
      <c r="P126" s="1"/>
      <c r="Q126" s="1"/>
      <c r="R126" s="1"/>
      <c r="S126" s="1"/>
      <c r="T126" s="1"/>
      <c r="U126" s="1"/>
      <c r="V126" s="1"/>
      <c r="W126" s="1"/>
      <c r="X126" s="1"/>
      <c r="Y126" s="1"/>
      <c r="Z126" s="1"/>
    </row>
    <row r="127" customFormat="false" ht="15.75" hidden="false" customHeight="true" outlineLevel="0" collapsed="false">
      <c r="L127" s="1"/>
      <c r="M127" s="1"/>
      <c r="N127" s="1"/>
      <c r="O127" s="1"/>
      <c r="P127" s="1"/>
      <c r="Q127" s="1"/>
      <c r="R127" s="1"/>
      <c r="S127" s="1"/>
      <c r="T127" s="1"/>
      <c r="U127" s="1"/>
      <c r="V127" s="1"/>
      <c r="W127" s="1"/>
      <c r="X127" s="1"/>
      <c r="Y127" s="1"/>
      <c r="Z127" s="1"/>
    </row>
    <row r="128" customFormat="false" ht="15.75" hidden="false" customHeight="true" outlineLevel="0" collapsed="false">
      <c r="L128" s="1"/>
      <c r="M128" s="1"/>
      <c r="N128" s="1"/>
      <c r="O128" s="1"/>
      <c r="P128" s="1"/>
      <c r="Q128" s="1"/>
      <c r="R128" s="1"/>
      <c r="S128" s="1"/>
      <c r="T128" s="1"/>
      <c r="U128" s="1"/>
      <c r="V128" s="1"/>
      <c r="W128" s="1"/>
      <c r="X128" s="1"/>
      <c r="Y128" s="1"/>
      <c r="Z128" s="1"/>
    </row>
    <row r="129" customFormat="false" ht="15.75" hidden="false" customHeight="true" outlineLevel="0" collapsed="false">
      <c r="L129" s="1"/>
      <c r="M129" s="1"/>
      <c r="N129" s="1"/>
      <c r="O129" s="1"/>
      <c r="P129" s="1"/>
      <c r="Q129" s="1"/>
      <c r="R129" s="1"/>
      <c r="S129" s="1"/>
      <c r="T129" s="1"/>
      <c r="U129" s="1"/>
      <c r="V129" s="1"/>
      <c r="W129" s="1"/>
      <c r="X129" s="1"/>
      <c r="Y129" s="1"/>
      <c r="Z129" s="1"/>
    </row>
    <row r="130" customFormat="false" ht="15.75" hidden="false" customHeight="true" outlineLevel="0" collapsed="false">
      <c r="L130" s="1"/>
      <c r="M130" s="1"/>
      <c r="N130" s="1"/>
      <c r="O130" s="1"/>
      <c r="P130" s="1"/>
      <c r="Q130" s="1"/>
      <c r="R130" s="1"/>
      <c r="S130" s="1"/>
      <c r="T130" s="1"/>
      <c r="U130" s="1"/>
      <c r="V130" s="1"/>
      <c r="W130" s="1"/>
      <c r="X130" s="1"/>
      <c r="Y130" s="1"/>
      <c r="Z130" s="1"/>
    </row>
    <row r="131" customFormat="false" ht="15.75" hidden="false" customHeight="true" outlineLevel="0" collapsed="false">
      <c r="L131" s="1"/>
      <c r="M131" s="1"/>
      <c r="N131" s="1"/>
      <c r="O131" s="1"/>
      <c r="P131" s="1"/>
      <c r="Q131" s="1"/>
      <c r="R131" s="1"/>
      <c r="S131" s="1"/>
      <c r="T131" s="1"/>
      <c r="U131" s="1"/>
      <c r="V131" s="1"/>
      <c r="W131" s="1"/>
      <c r="X131" s="1"/>
      <c r="Y131" s="1"/>
      <c r="Z131" s="1"/>
    </row>
    <row r="132" customFormat="false" ht="15.75" hidden="false" customHeight="true" outlineLevel="0" collapsed="false">
      <c r="L132" s="1"/>
      <c r="M132" s="1"/>
      <c r="N132" s="1"/>
      <c r="O132" s="1"/>
      <c r="P132" s="1"/>
      <c r="Q132" s="1"/>
      <c r="R132" s="1"/>
      <c r="S132" s="1"/>
      <c r="T132" s="1"/>
      <c r="U132" s="1"/>
      <c r="V132" s="1"/>
      <c r="W132" s="1"/>
      <c r="X132" s="1"/>
      <c r="Y132" s="1"/>
      <c r="Z132" s="1"/>
    </row>
    <row r="133" customFormat="false" ht="15.75" hidden="false" customHeight="true" outlineLevel="0" collapsed="false">
      <c r="L133" s="1"/>
      <c r="M133" s="1"/>
      <c r="N133" s="1"/>
      <c r="O133" s="1"/>
      <c r="P133" s="1"/>
      <c r="Q133" s="1"/>
      <c r="R133" s="1"/>
      <c r="S133" s="1"/>
      <c r="T133" s="1"/>
      <c r="U133" s="1"/>
      <c r="V133" s="1"/>
      <c r="W133" s="1"/>
      <c r="X133" s="1"/>
      <c r="Y133" s="1"/>
      <c r="Z133" s="1"/>
    </row>
    <row r="134" customFormat="false" ht="15.75" hidden="false" customHeight="true" outlineLevel="0" collapsed="false">
      <c r="L134" s="1"/>
      <c r="M134" s="1"/>
      <c r="N134" s="1"/>
      <c r="O134" s="1"/>
      <c r="P134" s="1"/>
      <c r="Q134" s="1"/>
      <c r="R134" s="1"/>
      <c r="S134" s="1"/>
      <c r="T134" s="1"/>
      <c r="U134" s="1"/>
      <c r="V134" s="1"/>
      <c r="W134" s="1"/>
      <c r="X134" s="1"/>
      <c r="Y134" s="1"/>
      <c r="Z134" s="1"/>
    </row>
    <row r="135" customFormat="false" ht="15.75" hidden="false" customHeight="true" outlineLevel="0" collapsed="false">
      <c r="L135" s="1"/>
      <c r="M135" s="1"/>
      <c r="N135" s="1"/>
      <c r="O135" s="1"/>
      <c r="P135" s="1"/>
      <c r="Q135" s="1"/>
      <c r="R135" s="1"/>
      <c r="S135" s="1"/>
      <c r="T135" s="1"/>
      <c r="U135" s="1"/>
      <c r="V135" s="1"/>
      <c r="W135" s="1"/>
      <c r="X135" s="1"/>
      <c r="Y135" s="1"/>
      <c r="Z135" s="1"/>
    </row>
    <row r="136" customFormat="false" ht="15.75" hidden="false" customHeight="true" outlineLevel="0" collapsed="false">
      <c r="L136" s="1"/>
      <c r="M136" s="1"/>
      <c r="N136" s="1"/>
      <c r="O136" s="1"/>
      <c r="P136" s="1"/>
      <c r="Q136" s="1"/>
      <c r="R136" s="1"/>
      <c r="S136" s="1"/>
      <c r="T136" s="1"/>
      <c r="U136" s="1"/>
      <c r="V136" s="1"/>
      <c r="W136" s="1"/>
      <c r="X136" s="1"/>
      <c r="Y136" s="1"/>
      <c r="Z136" s="1"/>
    </row>
    <row r="137" customFormat="false" ht="15.75" hidden="false" customHeight="true" outlineLevel="0" collapsed="false">
      <c r="L137" s="1"/>
      <c r="M137" s="1"/>
      <c r="N137" s="1"/>
      <c r="O137" s="1"/>
      <c r="P137" s="1"/>
      <c r="Q137" s="1"/>
      <c r="R137" s="1"/>
      <c r="S137" s="1"/>
      <c r="T137" s="1"/>
      <c r="U137" s="1"/>
      <c r="V137" s="1"/>
      <c r="W137" s="1"/>
      <c r="X137" s="1"/>
      <c r="Y137" s="1"/>
      <c r="Z137" s="1"/>
    </row>
    <row r="138" customFormat="false" ht="15.75" hidden="false" customHeight="true" outlineLevel="0" collapsed="false">
      <c r="L138" s="1"/>
      <c r="M138" s="1"/>
      <c r="N138" s="1"/>
      <c r="O138" s="1"/>
      <c r="P138" s="1"/>
      <c r="Q138" s="1"/>
      <c r="R138" s="1"/>
      <c r="S138" s="1"/>
      <c r="T138" s="1"/>
      <c r="U138" s="1"/>
      <c r="V138" s="1"/>
      <c r="W138" s="1"/>
      <c r="X138" s="1"/>
      <c r="Y138" s="1"/>
      <c r="Z138" s="1"/>
    </row>
    <row r="139" customFormat="false" ht="15.75" hidden="false" customHeight="true" outlineLevel="0" collapsed="false">
      <c r="L139" s="1"/>
      <c r="M139" s="1"/>
      <c r="N139" s="1"/>
      <c r="O139" s="1"/>
      <c r="P139" s="1"/>
      <c r="Q139" s="1"/>
      <c r="R139" s="1"/>
      <c r="S139" s="1"/>
      <c r="T139" s="1"/>
      <c r="U139" s="1"/>
      <c r="V139" s="1"/>
      <c r="W139" s="1"/>
      <c r="X139" s="1"/>
      <c r="Y139" s="1"/>
      <c r="Z139" s="1"/>
    </row>
    <row r="140" customFormat="false" ht="15.75" hidden="false" customHeight="true" outlineLevel="0" collapsed="false">
      <c r="L140" s="1"/>
      <c r="M140" s="1"/>
      <c r="N140" s="1"/>
      <c r="O140" s="1"/>
      <c r="P140" s="1"/>
      <c r="Q140" s="1"/>
      <c r="R140" s="1"/>
      <c r="S140" s="1"/>
      <c r="T140" s="1"/>
      <c r="U140" s="1"/>
      <c r="V140" s="1"/>
      <c r="W140" s="1"/>
      <c r="X140" s="1"/>
      <c r="Y140" s="1"/>
      <c r="Z140" s="1"/>
    </row>
    <row r="141" customFormat="false" ht="15.75" hidden="false" customHeight="true" outlineLevel="0" collapsed="false">
      <c r="L141" s="1"/>
      <c r="M141" s="1"/>
      <c r="N141" s="1"/>
      <c r="O141" s="1"/>
      <c r="P141" s="1"/>
      <c r="Q141" s="1"/>
      <c r="R141" s="1"/>
      <c r="S141" s="1"/>
      <c r="T141" s="1"/>
      <c r="U141" s="1"/>
      <c r="V141" s="1"/>
      <c r="W141" s="1"/>
      <c r="X141" s="1"/>
      <c r="Y141" s="1"/>
      <c r="Z141" s="1"/>
    </row>
    <row r="142" customFormat="false" ht="15.75" hidden="false" customHeight="true" outlineLevel="0" collapsed="false">
      <c r="L142" s="1"/>
      <c r="M142" s="1"/>
      <c r="N142" s="1"/>
      <c r="O142" s="1"/>
      <c r="P142" s="1"/>
      <c r="Q142" s="1"/>
      <c r="R142" s="1"/>
      <c r="S142" s="1"/>
      <c r="T142" s="1"/>
      <c r="U142" s="1"/>
      <c r="V142" s="1"/>
      <c r="W142" s="1"/>
      <c r="X142" s="1"/>
      <c r="Y142" s="1"/>
      <c r="Z142" s="1"/>
    </row>
    <row r="143" customFormat="false" ht="15.75" hidden="false" customHeight="true" outlineLevel="0" collapsed="false">
      <c r="L143" s="1"/>
      <c r="M143" s="1"/>
      <c r="N143" s="1"/>
      <c r="O143" s="1"/>
      <c r="P143" s="1"/>
      <c r="Q143" s="1"/>
      <c r="R143" s="1"/>
      <c r="S143" s="1"/>
      <c r="T143" s="1"/>
      <c r="U143" s="1"/>
      <c r="V143" s="1"/>
      <c r="W143" s="1"/>
      <c r="X143" s="1"/>
      <c r="Y143" s="1"/>
      <c r="Z143" s="1"/>
    </row>
    <row r="144" customFormat="false" ht="15.75" hidden="false" customHeight="true" outlineLevel="0" collapsed="false">
      <c r="L144" s="1"/>
      <c r="M144" s="1"/>
      <c r="N144" s="1"/>
      <c r="O144" s="1"/>
      <c r="P144" s="1"/>
      <c r="Q144" s="1"/>
      <c r="R144" s="1"/>
      <c r="S144" s="1"/>
      <c r="T144" s="1"/>
      <c r="U144" s="1"/>
      <c r="V144" s="1"/>
      <c r="W144" s="1"/>
      <c r="X144" s="1"/>
      <c r="Y144" s="1"/>
      <c r="Z144" s="1"/>
    </row>
    <row r="145" customFormat="false" ht="15.75" hidden="false" customHeight="true" outlineLevel="0" collapsed="false">
      <c r="L145" s="1"/>
      <c r="M145" s="1"/>
      <c r="N145" s="1"/>
      <c r="O145" s="1"/>
      <c r="P145" s="1"/>
      <c r="Q145" s="1"/>
      <c r="R145" s="1"/>
      <c r="S145" s="1"/>
      <c r="T145" s="1"/>
      <c r="U145" s="1"/>
      <c r="V145" s="1"/>
      <c r="W145" s="1"/>
      <c r="X145" s="1"/>
      <c r="Y145" s="1"/>
      <c r="Z145" s="1"/>
    </row>
    <row r="146" customFormat="false" ht="15.75" hidden="false" customHeight="true" outlineLevel="0" collapsed="false">
      <c r="L146" s="1"/>
      <c r="M146" s="1"/>
      <c r="N146" s="1"/>
      <c r="O146" s="1"/>
      <c r="P146" s="1"/>
      <c r="Q146" s="1"/>
      <c r="R146" s="1"/>
      <c r="S146" s="1"/>
      <c r="T146" s="1"/>
      <c r="U146" s="1"/>
      <c r="V146" s="1"/>
      <c r="W146" s="1"/>
      <c r="X146" s="1"/>
      <c r="Y146" s="1"/>
      <c r="Z146" s="1"/>
    </row>
    <row r="147" customFormat="false" ht="15.75" hidden="false" customHeight="true" outlineLevel="0" collapsed="false">
      <c r="L147" s="1"/>
      <c r="M147" s="1"/>
      <c r="N147" s="1"/>
      <c r="O147" s="1"/>
      <c r="P147" s="1"/>
      <c r="Q147" s="1"/>
      <c r="R147" s="1"/>
      <c r="S147" s="1"/>
      <c r="T147" s="1"/>
      <c r="U147" s="1"/>
      <c r="V147" s="1"/>
      <c r="W147" s="1"/>
      <c r="X147" s="1"/>
      <c r="Y147" s="1"/>
      <c r="Z147" s="1"/>
    </row>
    <row r="148" customFormat="false" ht="15.75" hidden="false" customHeight="true" outlineLevel="0" collapsed="false">
      <c r="L148" s="1"/>
      <c r="M148" s="1"/>
      <c r="N148" s="1"/>
      <c r="O148" s="1"/>
      <c r="P148" s="1"/>
      <c r="Q148" s="1"/>
      <c r="R148" s="1"/>
      <c r="S148" s="1"/>
      <c r="T148" s="1"/>
      <c r="U148" s="1"/>
      <c r="V148" s="1"/>
      <c r="W148" s="1"/>
      <c r="X148" s="1"/>
      <c r="Y148" s="1"/>
      <c r="Z148" s="1"/>
    </row>
    <row r="149" customFormat="false" ht="15.75" hidden="false" customHeight="true" outlineLevel="0" collapsed="false">
      <c r="L149" s="1"/>
      <c r="M149" s="1"/>
      <c r="N149" s="1"/>
      <c r="O149" s="1"/>
      <c r="P149" s="1"/>
      <c r="Q149" s="1"/>
      <c r="R149" s="1"/>
      <c r="S149" s="1"/>
      <c r="T149" s="1"/>
      <c r="U149" s="1"/>
      <c r="V149" s="1"/>
      <c r="W149" s="1"/>
      <c r="X149" s="1"/>
      <c r="Y149" s="1"/>
      <c r="Z149" s="1"/>
    </row>
    <row r="150" customFormat="false" ht="15.75" hidden="false" customHeight="true" outlineLevel="0" collapsed="false">
      <c r="L150" s="1"/>
      <c r="M150" s="1"/>
      <c r="N150" s="1"/>
      <c r="O150" s="1"/>
      <c r="P150" s="1"/>
      <c r="Q150" s="1"/>
      <c r="R150" s="1"/>
      <c r="S150" s="1"/>
      <c r="T150" s="1"/>
      <c r="U150" s="1"/>
      <c r="V150" s="1"/>
      <c r="W150" s="1"/>
      <c r="X150" s="1"/>
      <c r="Y150" s="1"/>
      <c r="Z150" s="1"/>
    </row>
    <row r="151" customFormat="false" ht="15.75" hidden="false" customHeight="true" outlineLevel="0" collapsed="false">
      <c r="L151" s="1"/>
      <c r="M151" s="1"/>
      <c r="N151" s="1"/>
      <c r="O151" s="1"/>
      <c r="P151" s="1"/>
      <c r="Q151" s="1"/>
      <c r="R151" s="1"/>
      <c r="S151" s="1"/>
      <c r="T151" s="1"/>
      <c r="U151" s="1"/>
      <c r="V151" s="1"/>
      <c r="W151" s="1"/>
      <c r="X151" s="1"/>
      <c r="Y151" s="1"/>
      <c r="Z151" s="1"/>
    </row>
    <row r="152" customFormat="false" ht="15.75" hidden="false" customHeight="true" outlineLevel="0" collapsed="false">
      <c r="L152" s="1"/>
      <c r="M152" s="1"/>
      <c r="N152" s="1"/>
      <c r="O152" s="1"/>
      <c r="P152" s="1"/>
      <c r="Q152" s="1"/>
      <c r="R152" s="1"/>
      <c r="S152" s="1"/>
      <c r="T152" s="1"/>
      <c r="U152" s="1"/>
      <c r="V152" s="1"/>
      <c r="W152" s="1"/>
      <c r="X152" s="1"/>
      <c r="Y152" s="1"/>
      <c r="Z152" s="1"/>
    </row>
    <row r="153" customFormat="false" ht="15.75" hidden="false" customHeight="true" outlineLevel="0" collapsed="false">
      <c r="L153" s="1"/>
      <c r="M153" s="1"/>
      <c r="N153" s="1"/>
      <c r="O153" s="1"/>
      <c r="P153" s="1"/>
      <c r="Q153" s="1"/>
      <c r="R153" s="1"/>
      <c r="S153" s="1"/>
      <c r="T153" s="1"/>
      <c r="U153" s="1"/>
      <c r="V153" s="1"/>
      <c r="W153" s="1"/>
      <c r="X153" s="1"/>
      <c r="Y153" s="1"/>
      <c r="Z153" s="1"/>
    </row>
    <row r="154" customFormat="false" ht="15.75" hidden="false" customHeight="true" outlineLevel="0" collapsed="false">
      <c r="L154" s="1"/>
      <c r="M154" s="1"/>
      <c r="N154" s="1"/>
      <c r="O154" s="1"/>
      <c r="P154" s="1"/>
      <c r="Q154" s="1"/>
      <c r="R154" s="1"/>
      <c r="S154" s="1"/>
      <c r="T154" s="1"/>
      <c r="U154" s="1"/>
      <c r="V154" s="1"/>
      <c r="W154" s="1"/>
      <c r="X154" s="1"/>
      <c r="Y154" s="1"/>
      <c r="Z154" s="1"/>
    </row>
    <row r="155" customFormat="false" ht="15.75" hidden="false" customHeight="true" outlineLevel="0" collapsed="false">
      <c r="L155" s="1"/>
      <c r="M155" s="1"/>
      <c r="N155" s="1"/>
      <c r="O155" s="1"/>
      <c r="P155" s="1"/>
      <c r="Q155" s="1"/>
      <c r="R155" s="1"/>
      <c r="S155" s="1"/>
      <c r="T155" s="1"/>
      <c r="U155" s="1"/>
      <c r="V155" s="1"/>
      <c r="W155" s="1"/>
      <c r="X155" s="1"/>
      <c r="Y155" s="1"/>
      <c r="Z155" s="1"/>
    </row>
    <row r="156" customFormat="false" ht="15.75" hidden="false" customHeight="true" outlineLevel="0" collapsed="false">
      <c r="L156" s="1"/>
      <c r="M156" s="1"/>
      <c r="N156" s="1"/>
      <c r="O156" s="1"/>
      <c r="P156" s="1"/>
      <c r="Q156" s="1"/>
      <c r="R156" s="1"/>
      <c r="S156" s="1"/>
      <c r="T156" s="1"/>
      <c r="U156" s="1"/>
      <c r="V156" s="1"/>
      <c r="W156" s="1"/>
      <c r="X156" s="1"/>
      <c r="Y156" s="1"/>
      <c r="Z156" s="1"/>
    </row>
    <row r="157" customFormat="false" ht="15.75" hidden="false" customHeight="true" outlineLevel="0" collapsed="false">
      <c r="L157" s="1"/>
      <c r="M157" s="1"/>
      <c r="N157" s="1"/>
      <c r="O157" s="1"/>
      <c r="P157" s="1"/>
      <c r="Q157" s="1"/>
      <c r="R157" s="1"/>
      <c r="S157" s="1"/>
      <c r="T157" s="1"/>
      <c r="U157" s="1"/>
      <c r="V157" s="1"/>
      <c r="W157" s="1"/>
      <c r="X157" s="1"/>
      <c r="Y157" s="1"/>
      <c r="Z157" s="1"/>
    </row>
    <row r="158" customFormat="false" ht="15.75" hidden="false" customHeight="true" outlineLevel="0" collapsed="false">
      <c r="L158" s="1"/>
      <c r="M158" s="1"/>
      <c r="N158" s="1"/>
      <c r="O158" s="1"/>
      <c r="P158" s="1"/>
      <c r="Q158" s="1"/>
      <c r="R158" s="1"/>
      <c r="S158" s="1"/>
      <c r="T158" s="1"/>
      <c r="U158" s="1"/>
      <c r="V158" s="1"/>
      <c r="W158" s="1"/>
      <c r="X158" s="1"/>
      <c r="Y158" s="1"/>
      <c r="Z158" s="1"/>
    </row>
    <row r="159" customFormat="false" ht="15.75" hidden="false" customHeight="true" outlineLevel="0" collapsed="false">
      <c r="L159" s="1"/>
      <c r="M159" s="1"/>
      <c r="N159" s="1"/>
      <c r="O159" s="1"/>
      <c r="P159" s="1"/>
      <c r="Q159" s="1"/>
      <c r="R159" s="1"/>
      <c r="S159" s="1"/>
      <c r="T159" s="1"/>
      <c r="U159" s="1"/>
      <c r="V159" s="1"/>
      <c r="W159" s="1"/>
      <c r="X159" s="1"/>
      <c r="Y159" s="1"/>
      <c r="Z159" s="1"/>
    </row>
    <row r="160" customFormat="false" ht="15.75" hidden="false" customHeight="true" outlineLevel="0" collapsed="false">
      <c r="L160" s="1"/>
      <c r="M160" s="1"/>
      <c r="N160" s="1"/>
      <c r="O160" s="1"/>
      <c r="P160" s="1"/>
      <c r="Q160" s="1"/>
      <c r="R160" s="1"/>
      <c r="S160" s="1"/>
      <c r="T160" s="1"/>
      <c r="U160" s="1"/>
      <c r="V160" s="1"/>
      <c r="W160" s="1"/>
      <c r="X160" s="1"/>
      <c r="Y160" s="1"/>
      <c r="Z160" s="1"/>
    </row>
    <row r="161" customFormat="false" ht="15.75" hidden="false" customHeight="true" outlineLevel="0" collapsed="false">
      <c r="L161" s="1"/>
      <c r="M161" s="1"/>
      <c r="N161" s="1"/>
      <c r="O161" s="1"/>
      <c r="P161" s="1"/>
      <c r="Q161" s="1"/>
      <c r="R161" s="1"/>
      <c r="S161" s="1"/>
      <c r="T161" s="1"/>
      <c r="U161" s="1"/>
      <c r="V161" s="1"/>
      <c r="W161" s="1"/>
      <c r="X161" s="1"/>
      <c r="Y161" s="1"/>
      <c r="Z161" s="1"/>
    </row>
    <row r="162" customFormat="false" ht="15.75" hidden="false" customHeight="true" outlineLevel="0" collapsed="false">
      <c r="L162" s="1"/>
      <c r="M162" s="1"/>
      <c r="N162" s="1"/>
      <c r="O162" s="1"/>
      <c r="P162" s="1"/>
      <c r="Q162" s="1"/>
      <c r="R162" s="1"/>
      <c r="S162" s="1"/>
      <c r="T162" s="1"/>
      <c r="U162" s="1"/>
      <c r="V162" s="1"/>
      <c r="W162" s="1"/>
      <c r="X162" s="1"/>
      <c r="Y162" s="1"/>
      <c r="Z162" s="1"/>
    </row>
    <row r="163" customFormat="false" ht="15.75" hidden="false" customHeight="true" outlineLevel="0" collapsed="false">
      <c r="L163" s="1"/>
      <c r="M163" s="1"/>
      <c r="N163" s="1"/>
      <c r="O163" s="1"/>
      <c r="P163" s="1"/>
      <c r="Q163" s="1"/>
      <c r="R163" s="1"/>
      <c r="S163" s="1"/>
      <c r="T163" s="1"/>
      <c r="U163" s="1"/>
      <c r="V163" s="1"/>
      <c r="W163" s="1"/>
      <c r="X163" s="1"/>
      <c r="Y163" s="1"/>
      <c r="Z163" s="1"/>
    </row>
    <row r="164" customFormat="false" ht="15.75" hidden="false" customHeight="true" outlineLevel="0" collapsed="false">
      <c r="L164" s="1"/>
      <c r="M164" s="1"/>
      <c r="N164" s="1"/>
      <c r="O164" s="1"/>
      <c r="P164" s="1"/>
      <c r="Q164" s="1"/>
      <c r="R164" s="1"/>
      <c r="S164" s="1"/>
      <c r="T164" s="1"/>
      <c r="U164" s="1"/>
      <c r="V164" s="1"/>
      <c r="W164" s="1"/>
      <c r="X164" s="1"/>
      <c r="Y164" s="1"/>
      <c r="Z164" s="1"/>
    </row>
    <row r="165" customFormat="false" ht="15.75" hidden="false" customHeight="true" outlineLevel="0" collapsed="false">
      <c r="L165" s="1"/>
      <c r="M165" s="1"/>
      <c r="N165" s="1"/>
      <c r="O165" s="1"/>
      <c r="P165" s="1"/>
      <c r="Q165" s="1"/>
      <c r="R165" s="1"/>
      <c r="S165" s="1"/>
      <c r="T165" s="1"/>
      <c r="U165" s="1"/>
      <c r="V165" s="1"/>
      <c r="W165" s="1"/>
      <c r="X165" s="1"/>
      <c r="Y165" s="1"/>
      <c r="Z165" s="1"/>
    </row>
    <row r="166" customFormat="false" ht="15.75" hidden="false" customHeight="true" outlineLevel="0" collapsed="false">
      <c r="L166" s="1"/>
      <c r="M166" s="1"/>
      <c r="N166" s="1"/>
      <c r="O166" s="1"/>
      <c r="P166" s="1"/>
      <c r="Q166" s="1"/>
      <c r="R166" s="1"/>
      <c r="S166" s="1"/>
      <c r="T166" s="1"/>
      <c r="U166" s="1"/>
      <c r="V166" s="1"/>
      <c r="W166" s="1"/>
      <c r="X166" s="1"/>
      <c r="Y166" s="1"/>
      <c r="Z166" s="1"/>
    </row>
    <row r="167" customFormat="false" ht="15.75" hidden="false" customHeight="true" outlineLevel="0" collapsed="false">
      <c r="L167" s="1"/>
      <c r="M167" s="1"/>
      <c r="N167" s="1"/>
      <c r="O167" s="1"/>
      <c r="P167" s="1"/>
      <c r="Q167" s="1"/>
      <c r="R167" s="1"/>
      <c r="S167" s="1"/>
      <c r="T167" s="1"/>
      <c r="U167" s="1"/>
      <c r="V167" s="1"/>
      <c r="W167" s="1"/>
      <c r="X167" s="1"/>
      <c r="Y167" s="1"/>
      <c r="Z167" s="1"/>
    </row>
    <row r="168" customFormat="false" ht="15.75" hidden="false" customHeight="true" outlineLevel="0" collapsed="false">
      <c r="L168" s="1"/>
      <c r="M168" s="1"/>
      <c r="N168" s="1"/>
      <c r="O168" s="1"/>
      <c r="P168" s="1"/>
      <c r="Q168" s="1"/>
      <c r="R168" s="1"/>
      <c r="S168" s="1"/>
      <c r="T168" s="1"/>
      <c r="U168" s="1"/>
      <c r="V168" s="1"/>
      <c r="W168" s="1"/>
      <c r="X168" s="1"/>
      <c r="Y168" s="1"/>
      <c r="Z168" s="1"/>
    </row>
    <row r="169" customFormat="false" ht="15.75" hidden="false" customHeight="true" outlineLevel="0" collapsed="false">
      <c r="L169" s="1"/>
      <c r="M169" s="1"/>
      <c r="N169" s="1"/>
      <c r="O169" s="1"/>
      <c r="P169" s="1"/>
      <c r="Q169" s="1"/>
      <c r="R169" s="1"/>
      <c r="S169" s="1"/>
      <c r="T169" s="1"/>
      <c r="U169" s="1"/>
      <c r="V169" s="1"/>
      <c r="W169" s="1"/>
      <c r="X169" s="1"/>
      <c r="Y169" s="1"/>
      <c r="Z169" s="1"/>
    </row>
    <row r="170" customFormat="false" ht="15.75" hidden="false" customHeight="true" outlineLevel="0" collapsed="false">
      <c r="L170" s="1"/>
      <c r="M170" s="1"/>
      <c r="N170" s="1"/>
      <c r="O170" s="1"/>
      <c r="P170" s="1"/>
      <c r="Q170" s="1"/>
      <c r="R170" s="1"/>
      <c r="S170" s="1"/>
      <c r="T170" s="1"/>
      <c r="U170" s="1"/>
      <c r="V170" s="1"/>
      <c r="W170" s="1"/>
      <c r="X170" s="1"/>
      <c r="Y170" s="1"/>
      <c r="Z170" s="1"/>
    </row>
    <row r="171" customFormat="false" ht="15.75" hidden="false" customHeight="true" outlineLevel="0" collapsed="false">
      <c r="L171" s="1"/>
      <c r="M171" s="1"/>
      <c r="N171" s="1"/>
      <c r="O171" s="1"/>
      <c r="P171" s="1"/>
      <c r="Q171" s="1"/>
      <c r="R171" s="1"/>
      <c r="S171" s="1"/>
      <c r="T171" s="1"/>
      <c r="U171" s="1"/>
      <c r="V171" s="1"/>
      <c r="W171" s="1"/>
      <c r="X171" s="1"/>
      <c r="Y171" s="1"/>
      <c r="Z171" s="1"/>
    </row>
    <row r="172" customFormat="false" ht="15.75" hidden="false" customHeight="true" outlineLevel="0" collapsed="false">
      <c r="L172" s="1"/>
      <c r="M172" s="1"/>
      <c r="N172" s="1"/>
      <c r="O172" s="1"/>
      <c r="P172" s="1"/>
      <c r="Q172" s="1"/>
      <c r="R172" s="1"/>
      <c r="S172" s="1"/>
      <c r="T172" s="1"/>
      <c r="U172" s="1"/>
      <c r="V172" s="1"/>
      <c r="W172" s="1"/>
      <c r="X172" s="1"/>
      <c r="Y172" s="1"/>
      <c r="Z172" s="1"/>
    </row>
    <row r="173" customFormat="false" ht="15.75" hidden="false" customHeight="true" outlineLevel="0" collapsed="false">
      <c r="L173" s="1"/>
      <c r="M173" s="1"/>
      <c r="N173" s="1"/>
      <c r="O173" s="1"/>
      <c r="P173" s="1"/>
      <c r="Q173" s="1"/>
      <c r="R173" s="1"/>
      <c r="S173" s="1"/>
      <c r="T173" s="1"/>
      <c r="U173" s="1"/>
      <c r="V173" s="1"/>
      <c r="W173" s="1"/>
      <c r="X173" s="1"/>
      <c r="Y173" s="1"/>
      <c r="Z173" s="1"/>
    </row>
    <row r="174" customFormat="false" ht="15.75" hidden="false" customHeight="true" outlineLevel="0" collapsed="false">
      <c r="L174" s="1"/>
      <c r="M174" s="1"/>
      <c r="N174" s="1"/>
      <c r="O174" s="1"/>
      <c r="P174" s="1"/>
      <c r="Q174" s="1"/>
      <c r="R174" s="1"/>
      <c r="S174" s="1"/>
      <c r="T174" s="1"/>
      <c r="U174" s="1"/>
      <c r="V174" s="1"/>
      <c r="W174" s="1"/>
      <c r="X174" s="1"/>
      <c r="Y174" s="1"/>
      <c r="Z174" s="1"/>
    </row>
    <row r="175" customFormat="false" ht="15.75" hidden="false" customHeight="true" outlineLevel="0" collapsed="false">
      <c r="L175" s="1"/>
      <c r="M175" s="1"/>
      <c r="N175" s="1"/>
      <c r="O175" s="1"/>
      <c r="P175" s="1"/>
      <c r="Q175" s="1"/>
      <c r="R175" s="1"/>
      <c r="S175" s="1"/>
      <c r="T175" s="1"/>
      <c r="U175" s="1"/>
      <c r="V175" s="1"/>
      <c r="W175" s="1"/>
      <c r="X175" s="1"/>
      <c r="Y175" s="1"/>
      <c r="Z175" s="1"/>
    </row>
    <row r="176" customFormat="false" ht="15.75" hidden="false" customHeight="true" outlineLevel="0" collapsed="false">
      <c r="L176" s="1"/>
      <c r="M176" s="1"/>
      <c r="N176" s="1"/>
      <c r="O176" s="1"/>
      <c r="P176" s="1"/>
      <c r="Q176" s="1"/>
      <c r="R176" s="1"/>
      <c r="S176" s="1"/>
      <c r="T176" s="1"/>
      <c r="U176" s="1"/>
      <c r="V176" s="1"/>
      <c r="W176" s="1"/>
      <c r="X176" s="1"/>
      <c r="Y176" s="1"/>
      <c r="Z176" s="1"/>
    </row>
    <row r="177" customFormat="false" ht="15.75" hidden="false" customHeight="true" outlineLevel="0" collapsed="false">
      <c r="L177" s="1"/>
      <c r="M177" s="1"/>
      <c r="N177" s="1"/>
      <c r="O177" s="1"/>
      <c r="P177" s="1"/>
      <c r="Q177" s="1"/>
      <c r="R177" s="1"/>
      <c r="S177" s="1"/>
      <c r="T177" s="1"/>
      <c r="U177" s="1"/>
      <c r="V177" s="1"/>
      <c r="W177" s="1"/>
      <c r="X177" s="1"/>
      <c r="Y177" s="1"/>
      <c r="Z177" s="1"/>
    </row>
    <row r="178" customFormat="false" ht="15.75" hidden="false" customHeight="true" outlineLevel="0" collapsed="false">
      <c r="L178" s="1"/>
      <c r="M178" s="1"/>
      <c r="N178" s="1"/>
      <c r="O178" s="1"/>
      <c r="P178" s="1"/>
      <c r="Q178" s="1"/>
      <c r="R178" s="1"/>
      <c r="S178" s="1"/>
      <c r="T178" s="1"/>
      <c r="U178" s="1"/>
      <c r="V178" s="1"/>
      <c r="W178" s="1"/>
      <c r="X178" s="1"/>
      <c r="Y178" s="1"/>
      <c r="Z178" s="1"/>
    </row>
    <row r="179" customFormat="false" ht="15.75" hidden="false" customHeight="true" outlineLevel="0" collapsed="false">
      <c r="L179" s="1"/>
      <c r="M179" s="1"/>
      <c r="N179" s="1"/>
      <c r="O179" s="1"/>
      <c r="P179" s="1"/>
      <c r="Q179" s="1"/>
      <c r="R179" s="1"/>
      <c r="S179" s="1"/>
      <c r="T179" s="1"/>
      <c r="U179" s="1"/>
      <c r="V179" s="1"/>
      <c r="W179" s="1"/>
      <c r="X179" s="1"/>
      <c r="Y179" s="1"/>
      <c r="Z179" s="1"/>
    </row>
    <row r="180" customFormat="false" ht="15.75" hidden="false" customHeight="true" outlineLevel="0" collapsed="false">
      <c r="L180" s="1"/>
      <c r="M180" s="1"/>
      <c r="N180" s="1"/>
      <c r="O180" s="1"/>
      <c r="P180" s="1"/>
      <c r="Q180" s="1"/>
      <c r="R180" s="1"/>
      <c r="S180" s="1"/>
      <c r="T180" s="1"/>
      <c r="U180" s="1"/>
      <c r="V180" s="1"/>
      <c r="W180" s="1"/>
      <c r="X180" s="1"/>
      <c r="Y180" s="1"/>
      <c r="Z180" s="1"/>
    </row>
    <row r="181" customFormat="false" ht="15.75" hidden="false" customHeight="true" outlineLevel="0" collapsed="false">
      <c r="L181" s="1"/>
      <c r="M181" s="1"/>
      <c r="N181" s="1"/>
      <c r="O181" s="1"/>
      <c r="P181" s="1"/>
      <c r="Q181" s="1"/>
      <c r="R181" s="1"/>
      <c r="S181" s="1"/>
      <c r="T181" s="1"/>
      <c r="U181" s="1"/>
      <c r="V181" s="1"/>
      <c r="W181" s="1"/>
      <c r="X181" s="1"/>
      <c r="Y181" s="1"/>
      <c r="Z181" s="1"/>
    </row>
    <row r="182" customFormat="false" ht="15.75" hidden="false" customHeight="true" outlineLevel="0" collapsed="false">
      <c r="L182" s="1"/>
      <c r="M182" s="1"/>
      <c r="N182" s="1"/>
      <c r="O182" s="1"/>
      <c r="P182" s="1"/>
      <c r="Q182" s="1"/>
      <c r="R182" s="1"/>
      <c r="S182" s="1"/>
      <c r="T182" s="1"/>
      <c r="U182" s="1"/>
      <c r="V182" s="1"/>
      <c r="W182" s="1"/>
      <c r="X182" s="1"/>
      <c r="Y182" s="1"/>
      <c r="Z182" s="1"/>
    </row>
    <row r="183" customFormat="false" ht="15.75" hidden="false" customHeight="true" outlineLevel="0" collapsed="false">
      <c r="L183" s="1"/>
      <c r="M183" s="1"/>
      <c r="N183" s="1"/>
      <c r="O183" s="1"/>
      <c r="P183" s="1"/>
      <c r="Q183" s="1"/>
      <c r="R183" s="1"/>
      <c r="S183" s="1"/>
      <c r="T183" s="1"/>
      <c r="U183" s="1"/>
      <c r="V183" s="1"/>
      <c r="W183" s="1"/>
      <c r="X183" s="1"/>
      <c r="Y183" s="1"/>
      <c r="Z183" s="1"/>
    </row>
    <row r="184" customFormat="false" ht="15.75" hidden="false" customHeight="true" outlineLevel="0" collapsed="false">
      <c r="L184" s="1"/>
      <c r="M184" s="1"/>
      <c r="N184" s="1"/>
      <c r="O184" s="1"/>
      <c r="P184" s="1"/>
      <c r="Q184" s="1"/>
      <c r="R184" s="1"/>
      <c r="S184" s="1"/>
      <c r="T184" s="1"/>
      <c r="U184" s="1"/>
      <c r="V184" s="1"/>
      <c r="W184" s="1"/>
      <c r="X184" s="1"/>
      <c r="Y184" s="1"/>
      <c r="Z184" s="1"/>
    </row>
    <row r="185" customFormat="false" ht="15.75" hidden="false" customHeight="true" outlineLevel="0" collapsed="false">
      <c r="L185" s="1"/>
      <c r="M185" s="1"/>
      <c r="N185" s="1"/>
      <c r="O185" s="1"/>
      <c r="P185" s="1"/>
      <c r="Q185" s="1"/>
      <c r="R185" s="1"/>
      <c r="S185" s="1"/>
      <c r="T185" s="1"/>
      <c r="U185" s="1"/>
      <c r="V185" s="1"/>
      <c r="W185" s="1"/>
      <c r="X185" s="1"/>
      <c r="Y185" s="1"/>
      <c r="Z185" s="1"/>
    </row>
    <row r="186" customFormat="false" ht="15.75" hidden="false" customHeight="true" outlineLevel="0" collapsed="false">
      <c r="L186" s="1"/>
      <c r="M186" s="1"/>
      <c r="N186" s="1"/>
      <c r="O186" s="1"/>
      <c r="P186" s="1"/>
      <c r="Q186" s="1"/>
      <c r="R186" s="1"/>
      <c r="S186" s="1"/>
      <c r="T186" s="1"/>
      <c r="U186" s="1"/>
      <c r="V186" s="1"/>
      <c r="W186" s="1"/>
      <c r="X186" s="1"/>
      <c r="Y186" s="1"/>
      <c r="Z186" s="1"/>
    </row>
    <row r="187" customFormat="false" ht="15.75" hidden="false" customHeight="true" outlineLevel="0" collapsed="false">
      <c r="L187" s="1"/>
      <c r="M187" s="1"/>
      <c r="N187" s="1"/>
      <c r="O187" s="1"/>
      <c r="P187" s="1"/>
      <c r="Q187" s="1"/>
      <c r="R187" s="1"/>
      <c r="S187" s="1"/>
      <c r="T187" s="1"/>
      <c r="U187" s="1"/>
      <c r="V187" s="1"/>
      <c r="W187" s="1"/>
      <c r="X187" s="1"/>
      <c r="Y187" s="1"/>
      <c r="Z187" s="1"/>
    </row>
    <row r="188" customFormat="false" ht="15.75" hidden="false" customHeight="true" outlineLevel="0" collapsed="false">
      <c r="L188" s="1"/>
      <c r="M188" s="1"/>
      <c r="N188" s="1"/>
      <c r="O188" s="1"/>
      <c r="P188" s="1"/>
      <c r="Q188" s="1"/>
      <c r="R188" s="1"/>
      <c r="S188" s="1"/>
      <c r="T188" s="1"/>
      <c r="U188" s="1"/>
      <c r="V188" s="1"/>
      <c r="W188" s="1"/>
      <c r="X188" s="1"/>
      <c r="Y188" s="1"/>
      <c r="Z188" s="1"/>
    </row>
    <row r="189" customFormat="false" ht="15.75" hidden="false" customHeight="true" outlineLevel="0" collapsed="false">
      <c r="L189" s="1"/>
      <c r="M189" s="1"/>
      <c r="N189" s="1"/>
      <c r="O189" s="1"/>
      <c r="P189" s="1"/>
      <c r="Q189" s="1"/>
      <c r="R189" s="1"/>
      <c r="S189" s="1"/>
      <c r="T189" s="1"/>
      <c r="U189" s="1"/>
      <c r="V189" s="1"/>
      <c r="W189" s="1"/>
      <c r="X189" s="1"/>
      <c r="Y189" s="1"/>
      <c r="Z189" s="1"/>
    </row>
    <row r="190" customFormat="false" ht="15.75" hidden="false" customHeight="true" outlineLevel="0" collapsed="false">
      <c r="L190" s="1"/>
      <c r="M190" s="1"/>
      <c r="N190" s="1"/>
      <c r="O190" s="1"/>
      <c r="P190" s="1"/>
      <c r="Q190" s="1"/>
      <c r="R190" s="1"/>
      <c r="S190" s="1"/>
      <c r="T190" s="1"/>
      <c r="U190" s="1"/>
      <c r="V190" s="1"/>
      <c r="W190" s="1"/>
      <c r="X190" s="1"/>
      <c r="Y190" s="1"/>
      <c r="Z190" s="1"/>
    </row>
    <row r="191" customFormat="false" ht="15.75" hidden="false" customHeight="true" outlineLevel="0" collapsed="false">
      <c r="L191" s="1"/>
      <c r="M191" s="1"/>
      <c r="N191" s="1"/>
      <c r="O191" s="1"/>
      <c r="P191" s="1"/>
      <c r="Q191" s="1"/>
      <c r="R191" s="1"/>
      <c r="S191" s="1"/>
      <c r="T191" s="1"/>
      <c r="U191" s="1"/>
      <c r="V191" s="1"/>
      <c r="W191" s="1"/>
      <c r="X191" s="1"/>
      <c r="Y191" s="1"/>
      <c r="Z191" s="1"/>
    </row>
    <row r="192" customFormat="false" ht="15.75" hidden="false" customHeight="true" outlineLevel="0" collapsed="false">
      <c r="L192" s="1"/>
      <c r="M192" s="1"/>
      <c r="N192" s="1"/>
      <c r="O192" s="1"/>
      <c r="P192" s="1"/>
      <c r="Q192" s="1"/>
      <c r="R192" s="1"/>
      <c r="S192" s="1"/>
      <c r="T192" s="1"/>
      <c r="U192" s="1"/>
      <c r="V192" s="1"/>
      <c r="W192" s="1"/>
      <c r="X192" s="1"/>
      <c r="Y192" s="1"/>
      <c r="Z192" s="1"/>
    </row>
    <row r="193" customFormat="false" ht="15.75" hidden="false" customHeight="true" outlineLevel="0" collapsed="false">
      <c r="L193" s="1"/>
      <c r="M193" s="1"/>
      <c r="N193" s="1"/>
      <c r="O193" s="1"/>
      <c r="P193" s="1"/>
      <c r="Q193" s="1"/>
      <c r="R193" s="1"/>
      <c r="S193" s="1"/>
      <c r="T193" s="1"/>
      <c r="U193" s="1"/>
      <c r="V193" s="1"/>
      <c r="W193" s="1"/>
      <c r="X193" s="1"/>
      <c r="Y193" s="1"/>
      <c r="Z193" s="1"/>
    </row>
    <row r="194" customFormat="false" ht="15.75" hidden="false" customHeight="true" outlineLevel="0" collapsed="false">
      <c r="L194" s="1"/>
      <c r="M194" s="1"/>
      <c r="N194" s="1"/>
      <c r="O194" s="1"/>
      <c r="P194" s="1"/>
      <c r="Q194" s="1"/>
      <c r="R194" s="1"/>
      <c r="S194" s="1"/>
      <c r="T194" s="1"/>
      <c r="U194" s="1"/>
      <c r="V194" s="1"/>
      <c r="W194" s="1"/>
      <c r="X194" s="1"/>
      <c r="Y194" s="1"/>
      <c r="Z194" s="1"/>
    </row>
    <row r="195" customFormat="false" ht="15.75" hidden="false" customHeight="true" outlineLevel="0" collapsed="false">
      <c r="L195" s="1"/>
      <c r="M195" s="1"/>
      <c r="N195" s="1"/>
      <c r="O195" s="1"/>
      <c r="P195" s="1"/>
      <c r="Q195" s="1"/>
      <c r="R195" s="1"/>
      <c r="S195" s="1"/>
      <c r="T195" s="1"/>
      <c r="U195" s="1"/>
      <c r="V195" s="1"/>
      <c r="W195" s="1"/>
      <c r="X195" s="1"/>
      <c r="Y195" s="1"/>
      <c r="Z195" s="1"/>
    </row>
    <row r="196" customFormat="false" ht="15.75" hidden="false" customHeight="true" outlineLevel="0" collapsed="false">
      <c r="L196" s="1"/>
      <c r="M196" s="1"/>
      <c r="N196" s="1"/>
      <c r="O196" s="1"/>
      <c r="P196" s="1"/>
      <c r="Q196" s="1"/>
      <c r="R196" s="1"/>
      <c r="S196" s="1"/>
      <c r="T196" s="1"/>
      <c r="U196" s="1"/>
      <c r="V196" s="1"/>
      <c r="W196" s="1"/>
      <c r="X196" s="1"/>
      <c r="Y196" s="1"/>
      <c r="Z196" s="1"/>
    </row>
    <row r="197" customFormat="false" ht="15.75" hidden="false" customHeight="true" outlineLevel="0" collapsed="false">
      <c r="L197" s="1"/>
      <c r="M197" s="1"/>
      <c r="N197" s="1"/>
      <c r="O197" s="1"/>
      <c r="P197" s="1"/>
      <c r="Q197" s="1"/>
      <c r="R197" s="1"/>
      <c r="S197" s="1"/>
      <c r="T197" s="1"/>
      <c r="U197" s="1"/>
      <c r="V197" s="1"/>
      <c r="W197" s="1"/>
      <c r="X197" s="1"/>
      <c r="Y197" s="1"/>
      <c r="Z197" s="1"/>
    </row>
    <row r="198" customFormat="false" ht="15.75" hidden="false" customHeight="true" outlineLevel="0" collapsed="false">
      <c r="L198" s="1"/>
      <c r="M198" s="1"/>
      <c r="N198" s="1"/>
      <c r="O198" s="1"/>
      <c r="P198" s="1"/>
      <c r="Q198" s="1"/>
      <c r="R198" s="1"/>
      <c r="S198" s="1"/>
      <c r="T198" s="1"/>
      <c r="U198" s="1"/>
      <c r="V198" s="1"/>
      <c r="W198" s="1"/>
      <c r="X198" s="1"/>
      <c r="Y198" s="1"/>
      <c r="Z198" s="1"/>
    </row>
    <row r="199" customFormat="false" ht="15.75" hidden="false" customHeight="true" outlineLevel="0" collapsed="false">
      <c r="L199" s="1"/>
      <c r="M199" s="1"/>
      <c r="N199" s="1"/>
      <c r="O199" s="1"/>
      <c r="P199" s="1"/>
      <c r="Q199" s="1"/>
      <c r="R199" s="1"/>
      <c r="S199" s="1"/>
      <c r="T199" s="1"/>
      <c r="U199" s="1"/>
      <c r="V199" s="1"/>
      <c r="W199" s="1"/>
      <c r="X199" s="1"/>
      <c r="Y199" s="1"/>
      <c r="Z199" s="1"/>
    </row>
    <row r="200" customFormat="false" ht="15.75" hidden="false" customHeight="true" outlineLevel="0" collapsed="false">
      <c r="L200" s="1"/>
      <c r="M200" s="1"/>
      <c r="N200" s="1"/>
      <c r="O200" s="1"/>
      <c r="P200" s="1"/>
      <c r="Q200" s="1"/>
      <c r="R200" s="1"/>
      <c r="S200" s="1"/>
      <c r="T200" s="1"/>
      <c r="U200" s="1"/>
      <c r="V200" s="1"/>
      <c r="W200" s="1"/>
      <c r="X200" s="1"/>
      <c r="Y200" s="1"/>
      <c r="Z200" s="1"/>
    </row>
    <row r="201" customFormat="false" ht="15.75" hidden="false" customHeight="true" outlineLevel="0" collapsed="false">
      <c r="L201" s="1"/>
      <c r="M201" s="1"/>
      <c r="N201" s="1"/>
      <c r="O201" s="1"/>
      <c r="P201" s="1"/>
      <c r="Q201" s="1"/>
      <c r="R201" s="1"/>
      <c r="S201" s="1"/>
      <c r="T201" s="1"/>
      <c r="U201" s="1"/>
      <c r="V201" s="1"/>
      <c r="W201" s="1"/>
      <c r="X201" s="1"/>
      <c r="Y201" s="1"/>
      <c r="Z201" s="1"/>
    </row>
    <row r="202" customFormat="false" ht="15.75" hidden="false" customHeight="true" outlineLevel="0" collapsed="false">
      <c r="L202" s="1"/>
      <c r="M202" s="1"/>
      <c r="N202" s="1"/>
      <c r="O202" s="1"/>
      <c r="P202" s="1"/>
      <c r="Q202" s="1"/>
      <c r="R202" s="1"/>
      <c r="S202" s="1"/>
      <c r="T202" s="1"/>
      <c r="U202" s="1"/>
      <c r="V202" s="1"/>
      <c r="W202" s="1"/>
      <c r="X202" s="1"/>
      <c r="Y202" s="1"/>
      <c r="Z202" s="1"/>
    </row>
    <row r="203" customFormat="false" ht="15.75" hidden="false" customHeight="true" outlineLevel="0" collapsed="false">
      <c r="L203" s="1"/>
      <c r="M203" s="1"/>
      <c r="N203" s="1"/>
      <c r="O203" s="1"/>
      <c r="P203" s="1"/>
      <c r="Q203" s="1"/>
      <c r="R203" s="1"/>
      <c r="S203" s="1"/>
      <c r="T203" s="1"/>
      <c r="U203" s="1"/>
      <c r="V203" s="1"/>
      <c r="W203" s="1"/>
      <c r="X203" s="1"/>
      <c r="Y203" s="1"/>
      <c r="Z203" s="1"/>
    </row>
    <row r="204" customFormat="false" ht="15.75" hidden="false" customHeight="true" outlineLevel="0" collapsed="false">
      <c r="L204" s="1"/>
      <c r="M204" s="1"/>
      <c r="N204" s="1"/>
      <c r="O204" s="1"/>
      <c r="P204" s="1"/>
      <c r="Q204" s="1"/>
      <c r="R204" s="1"/>
      <c r="S204" s="1"/>
      <c r="T204" s="1"/>
      <c r="U204" s="1"/>
      <c r="V204" s="1"/>
      <c r="W204" s="1"/>
      <c r="X204" s="1"/>
      <c r="Y204" s="1"/>
      <c r="Z204" s="1"/>
    </row>
    <row r="205" customFormat="false" ht="15.75" hidden="false" customHeight="true" outlineLevel="0" collapsed="false">
      <c r="L205" s="1"/>
      <c r="M205" s="1"/>
      <c r="N205" s="1"/>
      <c r="O205" s="1"/>
      <c r="P205" s="1"/>
      <c r="Q205" s="1"/>
      <c r="R205" s="1"/>
      <c r="S205" s="1"/>
      <c r="T205" s="1"/>
      <c r="U205" s="1"/>
      <c r="V205" s="1"/>
      <c r="W205" s="1"/>
      <c r="X205" s="1"/>
      <c r="Y205" s="1"/>
      <c r="Z205" s="1"/>
    </row>
    <row r="206" customFormat="false" ht="15.75" hidden="false" customHeight="true" outlineLevel="0" collapsed="false">
      <c r="L206" s="1"/>
      <c r="M206" s="1"/>
      <c r="N206" s="1"/>
      <c r="O206" s="1"/>
      <c r="P206" s="1"/>
      <c r="Q206" s="1"/>
      <c r="R206" s="1"/>
      <c r="S206" s="1"/>
      <c r="T206" s="1"/>
      <c r="U206" s="1"/>
      <c r="V206" s="1"/>
      <c r="W206" s="1"/>
      <c r="X206" s="1"/>
      <c r="Y206" s="1"/>
      <c r="Z206" s="1"/>
    </row>
    <row r="207" customFormat="false" ht="15.75" hidden="false" customHeight="true" outlineLevel="0" collapsed="false">
      <c r="L207" s="1"/>
      <c r="M207" s="1"/>
      <c r="N207" s="1"/>
      <c r="O207" s="1"/>
      <c r="P207" s="1"/>
      <c r="Q207" s="1"/>
      <c r="R207" s="1"/>
      <c r="S207" s="1"/>
      <c r="T207" s="1"/>
      <c r="U207" s="1"/>
      <c r="V207" s="1"/>
      <c r="W207" s="1"/>
      <c r="X207" s="1"/>
      <c r="Y207" s="1"/>
      <c r="Z207" s="1"/>
    </row>
    <row r="208" customFormat="false" ht="15.75" hidden="false" customHeight="true" outlineLevel="0" collapsed="false">
      <c r="L208" s="1"/>
      <c r="M208" s="1"/>
      <c r="N208" s="1"/>
      <c r="O208" s="1"/>
      <c r="P208" s="1"/>
      <c r="Q208" s="1"/>
      <c r="R208" s="1"/>
      <c r="S208" s="1"/>
      <c r="T208" s="1"/>
      <c r="U208" s="1"/>
      <c r="V208" s="1"/>
      <c r="W208" s="1"/>
      <c r="X208" s="1"/>
      <c r="Y208" s="1"/>
      <c r="Z208" s="1"/>
    </row>
    <row r="209" customFormat="false" ht="15.75" hidden="false" customHeight="true" outlineLevel="0" collapsed="false">
      <c r="L209" s="1"/>
      <c r="M209" s="1"/>
      <c r="N209" s="1"/>
      <c r="O209" s="1"/>
      <c r="P209" s="1"/>
      <c r="Q209" s="1"/>
      <c r="R209" s="1"/>
      <c r="S209" s="1"/>
      <c r="T209" s="1"/>
      <c r="U209" s="1"/>
      <c r="V209" s="1"/>
      <c r="W209" s="1"/>
      <c r="X209" s="1"/>
      <c r="Y209" s="1"/>
      <c r="Z209" s="1"/>
    </row>
    <row r="210" customFormat="false" ht="15.75" hidden="false" customHeight="true" outlineLevel="0" collapsed="false">
      <c r="L210" s="1"/>
      <c r="M210" s="1"/>
      <c r="N210" s="1"/>
      <c r="O210" s="1"/>
      <c r="P210" s="1"/>
      <c r="Q210" s="1"/>
      <c r="R210" s="1"/>
      <c r="S210" s="1"/>
      <c r="T210" s="1"/>
      <c r="U210" s="1"/>
      <c r="V210" s="1"/>
      <c r="W210" s="1"/>
      <c r="X210" s="1"/>
      <c r="Y210" s="1"/>
      <c r="Z210" s="1"/>
    </row>
    <row r="211" customFormat="false" ht="15.75" hidden="false" customHeight="true" outlineLevel="0" collapsed="false">
      <c r="L211" s="1"/>
      <c r="M211" s="1"/>
      <c r="N211" s="1"/>
      <c r="O211" s="1"/>
      <c r="P211" s="1"/>
      <c r="Q211" s="1"/>
      <c r="R211" s="1"/>
      <c r="S211" s="1"/>
      <c r="T211" s="1"/>
      <c r="U211" s="1"/>
      <c r="V211" s="1"/>
      <c r="W211" s="1"/>
      <c r="X211" s="1"/>
      <c r="Y211" s="1"/>
      <c r="Z211" s="1"/>
    </row>
    <row r="212" customFormat="false" ht="15.75" hidden="false" customHeight="true" outlineLevel="0" collapsed="false">
      <c r="L212" s="1"/>
      <c r="M212" s="1"/>
      <c r="N212" s="1"/>
      <c r="O212" s="1"/>
      <c r="P212" s="1"/>
      <c r="Q212" s="1"/>
      <c r="R212" s="1"/>
      <c r="S212" s="1"/>
      <c r="T212" s="1"/>
      <c r="U212" s="1"/>
      <c r="V212" s="1"/>
      <c r="W212" s="1"/>
      <c r="X212" s="1"/>
      <c r="Y212" s="1"/>
      <c r="Z212" s="1"/>
    </row>
    <row r="213" customFormat="false" ht="15.75" hidden="false" customHeight="true" outlineLevel="0" collapsed="false">
      <c r="L213" s="1"/>
      <c r="M213" s="1"/>
      <c r="N213" s="1"/>
      <c r="O213" s="1"/>
      <c r="P213" s="1"/>
      <c r="Q213" s="1"/>
      <c r="R213" s="1"/>
      <c r="S213" s="1"/>
      <c r="T213" s="1"/>
      <c r="U213" s="1"/>
      <c r="V213" s="1"/>
      <c r="W213" s="1"/>
      <c r="X213" s="1"/>
      <c r="Y213" s="1"/>
      <c r="Z213" s="1"/>
    </row>
    <row r="214" customFormat="false" ht="15.75" hidden="false" customHeight="true" outlineLevel="0" collapsed="false">
      <c r="L214" s="1"/>
      <c r="M214" s="1"/>
      <c r="N214" s="1"/>
      <c r="O214" s="1"/>
      <c r="P214" s="1"/>
      <c r="Q214" s="1"/>
      <c r="R214" s="1"/>
      <c r="S214" s="1"/>
      <c r="T214" s="1"/>
      <c r="U214" s="1"/>
      <c r="V214" s="1"/>
      <c r="W214" s="1"/>
      <c r="X214" s="1"/>
      <c r="Y214" s="1"/>
      <c r="Z214" s="1"/>
    </row>
    <row r="215" customFormat="false" ht="15.75" hidden="false" customHeight="true" outlineLevel="0" collapsed="false">
      <c r="L215" s="1"/>
      <c r="M215" s="1"/>
      <c r="N215" s="1"/>
      <c r="O215" s="1"/>
      <c r="P215" s="1"/>
      <c r="Q215" s="1"/>
      <c r="R215" s="1"/>
      <c r="S215" s="1"/>
      <c r="T215" s="1"/>
      <c r="U215" s="1"/>
      <c r="V215" s="1"/>
      <c r="W215" s="1"/>
      <c r="X215" s="1"/>
      <c r="Y215" s="1"/>
      <c r="Z215" s="1"/>
    </row>
    <row r="216" customFormat="false" ht="15.75" hidden="false" customHeight="true" outlineLevel="0" collapsed="false">
      <c r="L216" s="1"/>
      <c r="M216" s="1"/>
      <c r="N216" s="1"/>
      <c r="O216" s="1"/>
      <c r="P216" s="1"/>
      <c r="Q216" s="1"/>
      <c r="R216" s="1"/>
      <c r="S216" s="1"/>
      <c r="T216" s="1"/>
      <c r="U216" s="1"/>
      <c r="V216" s="1"/>
      <c r="W216" s="1"/>
      <c r="X216" s="1"/>
      <c r="Y216" s="1"/>
      <c r="Z216" s="1"/>
    </row>
    <row r="217" customFormat="false" ht="15.75" hidden="false" customHeight="true" outlineLevel="0" collapsed="false">
      <c r="L217" s="1"/>
      <c r="M217" s="1"/>
      <c r="N217" s="1"/>
      <c r="O217" s="1"/>
      <c r="P217" s="1"/>
      <c r="Q217" s="1"/>
      <c r="R217" s="1"/>
      <c r="S217" s="1"/>
      <c r="T217" s="1"/>
      <c r="U217" s="1"/>
      <c r="V217" s="1"/>
      <c r="W217" s="1"/>
      <c r="X217" s="1"/>
      <c r="Y217" s="1"/>
      <c r="Z217" s="1"/>
    </row>
    <row r="218" customFormat="false" ht="15.75" hidden="false" customHeight="true" outlineLevel="0" collapsed="false">
      <c r="L218" s="1"/>
      <c r="M218" s="1"/>
      <c r="N218" s="1"/>
      <c r="O218" s="1"/>
      <c r="P218" s="1"/>
      <c r="Q218" s="1"/>
      <c r="R218" s="1"/>
      <c r="S218" s="1"/>
      <c r="T218" s="1"/>
      <c r="U218" s="1"/>
      <c r="V218" s="1"/>
      <c r="W218" s="1"/>
      <c r="X218" s="1"/>
      <c r="Y218" s="1"/>
      <c r="Z218" s="1"/>
    </row>
    <row r="219" customFormat="false" ht="15.75" hidden="false" customHeight="true" outlineLevel="0" collapsed="false">
      <c r="L219" s="1"/>
      <c r="M219" s="1"/>
      <c r="N219" s="1"/>
      <c r="O219" s="1"/>
      <c r="P219" s="1"/>
      <c r="Q219" s="1"/>
      <c r="R219" s="1"/>
      <c r="S219" s="1"/>
      <c r="T219" s="1"/>
      <c r="U219" s="1"/>
      <c r="V219" s="1"/>
      <c r="W219" s="1"/>
      <c r="X219" s="1"/>
      <c r="Y219" s="1"/>
      <c r="Z219" s="1"/>
    </row>
    <row r="220" customFormat="false" ht="15.75" hidden="false" customHeight="true" outlineLevel="0" collapsed="false">
      <c r="L220" s="1"/>
      <c r="M220" s="1"/>
      <c r="N220" s="1"/>
      <c r="O220" s="1"/>
      <c r="P220" s="1"/>
      <c r="Q220" s="1"/>
      <c r="R220" s="1"/>
      <c r="S220" s="1"/>
      <c r="T220" s="1"/>
      <c r="U220" s="1"/>
      <c r="V220" s="1"/>
      <c r="W220" s="1"/>
      <c r="X220" s="1"/>
      <c r="Y220" s="1"/>
      <c r="Z220" s="1"/>
    </row>
    <row r="221" customFormat="false" ht="15.75" hidden="false" customHeight="true" outlineLevel="0" collapsed="false">
      <c r="L221" s="1"/>
      <c r="M221" s="1"/>
      <c r="N221" s="1"/>
      <c r="O221" s="1"/>
      <c r="P221" s="1"/>
      <c r="Q221" s="1"/>
      <c r="R221" s="1"/>
      <c r="S221" s="1"/>
      <c r="T221" s="1"/>
      <c r="U221" s="1"/>
      <c r="V221" s="1"/>
      <c r="W221" s="1"/>
      <c r="X221" s="1"/>
      <c r="Y221" s="1"/>
      <c r="Z221" s="1"/>
    </row>
    <row r="222" customFormat="false" ht="15.75" hidden="false" customHeight="true" outlineLevel="0" collapsed="false">
      <c r="L222" s="1"/>
      <c r="M222" s="1"/>
      <c r="N222" s="1"/>
      <c r="O222" s="1"/>
      <c r="P222" s="1"/>
      <c r="Q222" s="1"/>
      <c r="R222" s="1"/>
      <c r="S222" s="1"/>
      <c r="T222" s="1"/>
      <c r="U222" s="1"/>
      <c r="V222" s="1"/>
      <c r="W222" s="1"/>
      <c r="X222" s="1"/>
      <c r="Y222" s="1"/>
      <c r="Z222" s="1"/>
    </row>
    <row r="223" customFormat="false" ht="15.75" hidden="false" customHeight="true" outlineLevel="0" collapsed="false">
      <c r="L223" s="1"/>
      <c r="M223" s="1"/>
      <c r="N223" s="1"/>
      <c r="O223" s="1"/>
      <c r="P223" s="1"/>
      <c r="Q223" s="1"/>
      <c r="R223" s="1"/>
      <c r="S223" s="1"/>
      <c r="T223" s="1"/>
      <c r="U223" s="1"/>
      <c r="V223" s="1"/>
      <c r="W223" s="1"/>
      <c r="X223" s="1"/>
      <c r="Y223" s="1"/>
      <c r="Z223" s="1"/>
    </row>
    <row r="224" customFormat="false" ht="15.75" hidden="false" customHeight="true" outlineLevel="0" collapsed="false">
      <c r="L224" s="1"/>
      <c r="M224" s="1"/>
      <c r="N224" s="1"/>
      <c r="O224" s="1"/>
      <c r="P224" s="1"/>
      <c r="Q224" s="1"/>
      <c r="R224" s="1"/>
      <c r="S224" s="1"/>
      <c r="T224" s="1"/>
      <c r="U224" s="1"/>
      <c r="V224" s="1"/>
      <c r="W224" s="1"/>
      <c r="X224" s="1"/>
      <c r="Y224" s="1"/>
      <c r="Z224" s="1"/>
    </row>
    <row r="225" customFormat="false" ht="15.75" hidden="false" customHeight="true" outlineLevel="0" collapsed="false">
      <c r="L225" s="1"/>
      <c r="M225" s="1"/>
      <c r="N225" s="1"/>
      <c r="O225" s="1"/>
      <c r="P225" s="1"/>
      <c r="Q225" s="1"/>
      <c r="R225" s="1"/>
      <c r="S225" s="1"/>
      <c r="T225" s="1"/>
      <c r="U225" s="1"/>
      <c r="V225" s="1"/>
      <c r="W225" s="1"/>
      <c r="X225" s="1"/>
      <c r="Y225" s="1"/>
      <c r="Z225" s="1"/>
    </row>
    <row r="226" customFormat="false" ht="15.75" hidden="false" customHeight="true" outlineLevel="0" collapsed="false">
      <c r="L226" s="1"/>
      <c r="M226" s="1"/>
      <c r="N226" s="1"/>
      <c r="O226" s="1"/>
      <c r="P226" s="1"/>
      <c r="Q226" s="1"/>
      <c r="R226" s="1"/>
      <c r="S226" s="1"/>
      <c r="T226" s="1"/>
      <c r="U226" s="1"/>
      <c r="V226" s="1"/>
      <c r="W226" s="1"/>
      <c r="X226" s="1"/>
      <c r="Y226" s="1"/>
      <c r="Z226" s="1"/>
    </row>
    <row r="227" customFormat="false" ht="15.75" hidden="false" customHeight="true" outlineLevel="0" collapsed="false">
      <c r="L227" s="1"/>
      <c r="M227" s="1"/>
      <c r="N227" s="1"/>
      <c r="O227" s="1"/>
      <c r="P227" s="1"/>
      <c r="Q227" s="1"/>
      <c r="R227" s="1"/>
      <c r="S227" s="1"/>
      <c r="T227" s="1"/>
      <c r="U227" s="1"/>
      <c r="V227" s="1"/>
      <c r="W227" s="1"/>
      <c r="X227" s="1"/>
      <c r="Y227" s="1"/>
      <c r="Z227" s="1"/>
    </row>
    <row r="228" customFormat="false" ht="15.75" hidden="false" customHeight="true" outlineLevel="0" collapsed="false">
      <c r="L228" s="1"/>
      <c r="M228" s="1"/>
      <c r="N228" s="1"/>
      <c r="O228" s="1"/>
      <c r="P228" s="1"/>
      <c r="Q228" s="1"/>
      <c r="R228" s="1"/>
      <c r="S228" s="1"/>
      <c r="T228" s="1"/>
      <c r="U228" s="1"/>
      <c r="V228" s="1"/>
      <c r="W228" s="1"/>
      <c r="X228" s="1"/>
      <c r="Y228" s="1"/>
      <c r="Z228" s="1"/>
    </row>
    <row r="229" customFormat="false" ht="15.75" hidden="false" customHeight="true" outlineLevel="0" collapsed="false">
      <c r="L229" s="1"/>
      <c r="M229" s="1"/>
      <c r="N229" s="1"/>
      <c r="O229" s="1"/>
      <c r="P229" s="1"/>
      <c r="Q229" s="1"/>
      <c r="R229" s="1"/>
      <c r="S229" s="1"/>
      <c r="T229" s="1"/>
      <c r="U229" s="1"/>
      <c r="V229" s="1"/>
      <c r="W229" s="1"/>
      <c r="X229" s="1"/>
      <c r="Y229" s="1"/>
      <c r="Z229" s="1"/>
    </row>
    <row r="230" customFormat="false" ht="15.75" hidden="false" customHeight="true" outlineLevel="0" collapsed="false">
      <c r="L230" s="1"/>
      <c r="M230" s="1"/>
      <c r="N230" s="1"/>
      <c r="O230" s="1"/>
      <c r="P230" s="1"/>
      <c r="Q230" s="1"/>
      <c r="R230" s="1"/>
      <c r="S230" s="1"/>
      <c r="T230" s="1"/>
      <c r="U230" s="1"/>
      <c r="V230" s="1"/>
      <c r="W230" s="1"/>
      <c r="X230" s="1"/>
      <c r="Y230" s="1"/>
      <c r="Z230" s="1"/>
    </row>
    <row r="231" customFormat="false" ht="15.75" hidden="false" customHeight="true" outlineLevel="0" collapsed="false">
      <c r="L231" s="1"/>
      <c r="M231" s="1"/>
      <c r="N231" s="1"/>
      <c r="O231" s="1"/>
      <c r="P231" s="1"/>
      <c r="Q231" s="1"/>
      <c r="R231" s="1"/>
      <c r="S231" s="1"/>
      <c r="T231" s="1"/>
      <c r="U231" s="1"/>
      <c r="V231" s="1"/>
      <c r="W231" s="1"/>
      <c r="X231" s="1"/>
      <c r="Y231" s="1"/>
      <c r="Z231" s="1"/>
    </row>
    <row r="232" customFormat="false" ht="15.75" hidden="false" customHeight="true" outlineLevel="0" collapsed="false">
      <c r="L232" s="1"/>
      <c r="M232" s="1"/>
      <c r="N232" s="1"/>
      <c r="O232" s="1"/>
      <c r="P232" s="1"/>
      <c r="Q232" s="1"/>
      <c r="R232" s="1"/>
      <c r="S232" s="1"/>
      <c r="T232" s="1"/>
      <c r="U232" s="1"/>
      <c r="V232" s="1"/>
      <c r="W232" s="1"/>
      <c r="X232" s="1"/>
      <c r="Y232" s="1"/>
      <c r="Z232" s="1"/>
    </row>
    <row r="233" customFormat="false" ht="15.75" hidden="false" customHeight="true" outlineLevel="0" collapsed="false">
      <c r="L233" s="1"/>
      <c r="M233" s="1"/>
      <c r="N233" s="1"/>
      <c r="O233" s="1"/>
      <c r="P233" s="1"/>
      <c r="Q233" s="1"/>
      <c r="R233" s="1"/>
      <c r="S233" s="1"/>
      <c r="T233" s="1"/>
      <c r="U233" s="1"/>
      <c r="V233" s="1"/>
      <c r="W233" s="1"/>
      <c r="X233" s="1"/>
      <c r="Y233" s="1"/>
      <c r="Z233" s="1"/>
    </row>
    <row r="234" customFormat="false" ht="15.75" hidden="false" customHeight="true" outlineLevel="0" collapsed="false">
      <c r="L234" s="1"/>
      <c r="M234" s="1"/>
      <c r="N234" s="1"/>
      <c r="O234" s="1"/>
      <c r="P234" s="1"/>
      <c r="Q234" s="1"/>
      <c r="R234" s="1"/>
      <c r="S234" s="1"/>
      <c r="T234" s="1"/>
      <c r="U234" s="1"/>
      <c r="V234" s="1"/>
      <c r="W234" s="1"/>
      <c r="X234" s="1"/>
      <c r="Y234" s="1"/>
      <c r="Z234" s="1"/>
    </row>
    <row r="235" customFormat="false" ht="15.75" hidden="false" customHeight="true" outlineLevel="0" collapsed="false">
      <c r="L235" s="1"/>
      <c r="M235" s="1"/>
      <c r="N235" s="1"/>
      <c r="O235" s="1"/>
      <c r="P235" s="1"/>
      <c r="Q235" s="1"/>
      <c r="R235" s="1"/>
      <c r="S235" s="1"/>
      <c r="T235" s="1"/>
      <c r="U235" s="1"/>
      <c r="V235" s="1"/>
      <c r="W235" s="1"/>
      <c r="X235" s="1"/>
      <c r="Y235" s="1"/>
      <c r="Z235" s="1"/>
    </row>
    <row r="236" customFormat="false" ht="15.75" hidden="false" customHeight="true" outlineLevel="0" collapsed="false">
      <c r="L236" s="1"/>
      <c r="M236" s="1"/>
      <c r="N236" s="1"/>
      <c r="O236" s="1"/>
      <c r="P236" s="1"/>
      <c r="Q236" s="1"/>
      <c r="R236" s="1"/>
      <c r="S236" s="1"/>
      <c r="T236" s="1"/>
      <c r="U236" s="1"/>
      <c r="V236" s="1"/>
      <c r="W236" s="1"/>
      <c r="X236" s="1"/>
      <c r="Y236" s="1"/>
      <c r="Z236" s="1"/>
    </row>
    <row r="237" customFormat="false" ht="15.75" hidden="false" customHeight="true" outlineLevel="0" collapsed="false">
      <c r="L237" s="1"/>
      <c r="M237" s="1"/>
      <c r="N237" s="1"/>
      <c r="O237" s="1"/>
      <c r="P237" s="1"/>
      <c r="Q237" s="1"/>
      <c r="R237" s="1"/>
      <c r="S237" s="1"/>
      <c r="T237" s="1"/>
      <c r="U237" s="1"/>
      <c r="V237" s="1"/>
      <c r="W237" s="1"/>
      <c r="X237" s="1"/>
      <c r="Y237" s="1"/>
      <c r="Z237" s="1"/>
    </row>
    <row r="238" customFormat="false" ht="15.75" hidden="false" customHeight="true" outlineLevel="0" collapsed="false">
      <c r="L238" s="1"/>
      <c r="M238" s="1"/>
      <c r="N238" s="1"/>
      <c r="O238" s="1"/>
      <c r="P238" s="1"/>
      <c r="Q238" s="1"/>
      <c r="R238" s="1"/>
      <c r="S238" s="1"/>
      <c r="T238" s="1"/>
      <c r="U238" s="1"/>
      <c r="V238" s="1"/>
      <c r="W238" s="1"/>
      <c r="X238" s="1"/>
      <c r="Y238" s="1"/>
      <c r="Z238" s="1"/>
    </row>
    <row r="239" customFormat="false" ht="15.75" hidden="false" customHeight="true" outlineLevel="0" collapsed="false">
      <c r="L239" s="1"/>
      <c r="M239" s="1"/>
      <c r="N239" s="1"/>
      <c r="O239" s="1"/>
      <c r="P239" s="1"/>
      <c r="Q239" s="1"/>
      <c r="R239" s="1"/>
      <c r="S239" s="1"/>
      <c r="T239" s="1"/>
      <c r="U239" s="1"/>
      <c r="V239" s="1"/>
      <c r="W239" s="1"/>
      <c r="X239" s="1"/>
      <c r="Y239" s="1"/>
      <c r="Z239" s="1"/>
    </row>
    <row r="240" customFormat="false" ht="15.75" hidden="false" customHeight="true" outlineLevel="0" collapsed="false">
      <c r="L240" s="1"/>
      <c r="M240" s="1"/>
      <c r="N240" s="1"/>
      <c r="O240" s="1"/>
      <c r="P240" s="1"/>
      <c r="Q240" s="1"/>
      <c r="R240" s="1"/>
      <c r="S240" s="1"/>
      <c r="T240" s="1"/>
      <c r="U240" s="1"/>
      <c r="V240" s="1"/>
      <c r="W240" s="1"/>
      <c r="X240" s="1"/>
      <c r="Y240" s="1"/>
      <c r="Z240" s="1"/>
    </row>
    <row r="241" customFormat="false" ht="15.75" hidden="false" customHeight="true" outlineLevel="0" collapsed="false">
      <c r="L241" s="1"/>
      <c r="M241" s="1"/>
      <c r="N241" s="1"/>
      <c r="O241" s="1"/>
      <c r="P241" s="1"/>
      <c r="Q241" s="1"/>
      <c r="R241" s="1"/>
      <c r="S241" s="1"/>
      <c r="T241" s="1"/>
      <c r="U241" s="1"/>
      <c r="V241" s="1"/>
      <c r="W241" s="1"/>
      <c r="X241" s="1"/>
      <c r="Y241" s="1"/>
      <c r="Z241" s="1"/>
    </row>
    <row r="242" customFormat="false" ht="15.75" hidden="false" customHeight="true" outlineLevel="0" collapsed="false">
      <c r="L242" s="1"/>
      <c r="M242" s="1"/>
      <c r="N242" s="1"/>
      <c r="O242" s="1"/>
      <c r="P242" s="1"/>
      <c r="Q242" s="1"/>
      <c r="R242" s="1"/>
      <c r="S242" s="1"/>
      <c r="T242" s="1"/>
      <c r="U242" s="1"/>
      <c r="V242" s="1"/>
      <c r="W242" s="1"/>
      <c r="X242" s="1"/>
      <c r="Y242" s="1"/>
      <c r="Z242" s="1"/>
    </row>
    <row r="243" customFormat="false" ht="15.75" hidden="false" customHeight="true" outlineLevel="0" collapsed="false">
      <c r="L243" s="1"/>
      <c r="M243" s="1"/>
      <c r="N243" s="1"/>
      <c r="O243" s="1"/>
      <c r="P243" s="1"/>
      <c r="Q243" s="1"/>
      <c r="R243" s="1"/>
      <c r="S243" s="1"/>
      <c r="T243" s="1"/>
      <c r="U243" s="1"/>
      <c r="V243" s="1"/>
      <c r="W243" s="1"/>
      <c r="X243" s="1"/>
      <c r="Y243" s="1"/>
      <c r="Z243" s="1"/>
    </row>
    <row r="244" customFormat="false" ht="15.75" hidden="false" customHeight="true" outlineLevel="0" collapsed="false">
      <c r="L244" s="1"/>
      <c r="M244" s="1"/>
      <c r="N244" s="1"/>
      <c r="O244" s="1"/>
      <c r="P244" s="1"/>
      <c r="Q244" s="1"/>
      <c r="R244" s="1"/>
      <c r="S244" s="1"/>
      <c r="T244" s="1"/>
      <c r="U244" s="1"/>
      <c r="V244" s="1"/>
      <c r="W244" s="1"/>
      <c r="X244" s="1"/>
      <c r="Y244" s="1"/>
      <c r="Z244" s="1"/>
    </row>
    <row r="245" customFormat="false" ht="15.75" hidden="false" customHeight="true" outlineLevel="0" collapsed="false">
      <c r="L245" s="1"/>
      <c r="M245" s="1"/>
      <c r="N245" s="1"/>
      <c r="O245" s="1"/>
      <c r="P245" s="1"/>
      <c r="Q245" s="1"/>
      <c r="R245" s="1"/>
      <c r="S245" s="1"/>
      <c r="T245" s="1"/>
      <c r="U245" s="1"/>
      <c r="V245" s="1"/>
      <c r="W245" s="1"/>
      <c r="X245" s="1"/>
      <c r="Y245" s="1"/>
      <c r="Z245" s="1"/>
    </row>
    <row r="246" customFormat="false" ht="15.75" hidden="false" customHeight="true" outlineLevel="0" collapsed="false">
      <c r="L246" s="1"/>
      <c r="M246" s="1"/>
      <c r="N246" s="1"/>
      <c r="O246" s="1"/>
      <c r="P246" s="1"/>
      <c r="Q246" s="1"/>
      <c r="R246" s="1"/>
      <c r="S246" s="1"/>
      <c r="T246" s="1"/>
      <c r="U246" s="1"/>
      <c r="V246" s="1"/>
      <c r="W246" s="1"/>
      <c r="X246" s="1"/>
      <c r="Y246" s="1"/>
      <c r="Z246" s="1"/>
    </row>
    <row r="247" customFormat="false" ht="15.75" hidden="false" customHeight="true" outlineLevel="0" collapsed="false">
      <c r="L247" s="1"/>
      <c r="M247" s="1"/>
      <c r="N247" s="1"/>
      <c r="O247" s="1"/>
      <c r="P247" s="1"/>
      <c r="Q247" s="1"/>
      <c r="R247" s="1"/>
      <c r="S247" s="1"/>
      <c r="T247" s="1"/>
      <c r="U247" s="1"/>
      <c r="V247" s="1"/>
      <c r="W247" s="1"/>
      <c r="X247" s="1"/>
      <c r="Y247" s="1"/>
      <c r="Z247" s="1"/>
    </row>
    <row r="248" customFormat="false" ht="15.75" hidden="false" customHeight="true" outlineLevel="0" collapsed="false">
      <c r="L248" s="1"/>
      <c r="M248" s="1"/>
      <c r="N248" s="1"/>
      <c r="O248" s="1"/>
      <c r="P248" s="1"/>
      <c r="Q248" s="1"/>
      <c r="R248" s="1"/>
      <c r="S248" s="1"/>
      <c r="T248" s="1"/>
      <c r="U248" s="1"/>
      <c r="V248" s="1"/>
      <c r="W248" s="1"/>
      <c r="X248" s="1"/>
      <c r="Y248" s="1"/>
      <c r="Z248" s="1"/>
    </row>
    <row r="249" customFormat="false" ht="15.75" hidden="false" customHeight="true" outlineLevel="0" collapsed="false">
      <c r="L249" s="1"/>
      <c r="M249" s="1"/>
      <c r="N249" s="1"/>
      <c r="O249" s="1"/>
      <c r="P249" s="1"/>
      <c r="Q249" s="1"/>
      <c r="R249" s="1"/>
      <c r="S249" s="1"/>
      <c r="T249" s="1"/>
      <c r="U249" s="1"/>
      <c r="V249" s="1"/>
      <c r="W249" s="1"/>
      <c r="X249" s="1"/>
      <c r="Y249" s="1"/>
      <c r="Z249" s="1"/>
    </row>
    <row r="250" customFormat="false" ht="15.75" hidden="false" customHeight="true" outlineLevel="0" collapsed="false">
      <c r="L250" s="1"/>
      <c r="M250" s="1"/>
      <c r="N250" s="1"/>
      <c r="O250" s="1"/>
      <c r="P250" s="1"/>
      <c r="Q250" s="1"/>
      <c r="R250" s="1"/>
      <c r="S250" s="1"/>
      <c r="T250" s="1"/>
      <c r="U250" s="1"/>
      <c r="V250" s="1"/>
      <c r="W250" s="1"/>
      <c r="X250" s="1"/>
      <c r="Y250" s="1"/>
      <c r="Z250" s="1"/>
    </row>
    <row r="251" customFormat="false" ht="15.75" hidden="false" customHeight="true" outlineLevel="0" collapsed="false">
      <c r="L251" s="1"/>
      <c r="M251" s="1"/>
      <c r="N251" s="1"/>
      <c r="O251" s="1"/>
      <c r="P251" s="1"/>
      <c r="Q251" s="1"/>
      <c r="R251" s="1"/>
      <c r="S251" s="1"/>
      <c r="T251" s="1"/>
      <c r="U251" s="1"/>
      <c r="V251" s="1"/>
      <c r="W251" s="1"/>
      <c r="X251" s="1"/>
      <c r="Y251" s="1"/>
      <c r="Z251" s="1"/>
    </row>
    <row r="252" customFormat="false" ht="15.75" hidden="false" customHeight="true" outlineLevel="0" collapsed="false">
      <c r="L252" s="1"/>
      <c r="M252" s="1"/>
      <c r="N252" s="1"/>
      <c r="O252" s="1"/>
      <c r="P252" s="1"/>
      <c r="Q252" s="1"/>
      <c r="R252" s="1"/>
      <c r="S252" s="1"/>
      <c r="T252" s="1"/>
      <c r="U252" s="1"/>
      <c r="V252" s="1"/>
      <c r="W252" s="1"/>
      <c r="X252" s="1"/>
      <c r="Y252" s="1"/>
      <c r="Z252" s="1"/>
    </row>
    <row r="253" customFormat="false" ht="15.75" hidden="false" customHeight="true" outlineLevel="0" collapsed="false">
      <c r="L253" s="1"/>
      <c r="M253" s="1"/>
      <c r="N253" s="1"/>
      <c r="O253" s="1"/>
      <c r="P253" s="1"/>
      <c r="Q253" s="1"/>
      <c r="R253" s="1"/>
      <c r="S253" s="1"/>
      <c r="T253" s="1"/>
      <c r="U253" s="1"/>
      <c r="V253" s="1"/>
      <c r="W253" s="1"/>
      <c r="X253" s="1"/>
      <c r="Y253" s="1"/>
      <c r="Z253" s="1"/>
    </row>
    <row r="254" customFormat="false" ht="15.75" hidden="false" customHeight="true" outlineLevel="0" collapsed="false">
      <c r="L254" s="1"/>
      <c r="M254" s="1"/>
      <c r="N254" s="1"/>
      <c r="O254" s="1"/>
      <c r="P254" s="1"/>
      <c r="Q254" s="1"/>
      <c r="R254" s="1"/>
      <c r="S254" s="1"/>
      <c r="T254" s="1"/>
      <c r="U254" s="1"/>
      <c r="V254" s="1"/>
      <c r="W254" s="1"/>
      <c r="X254" s="1"/>
      <c r="Y254" s="1"/>
      <c r="Z254" s="1"/>
    </row>
    <row r="255" customFormat="false" ht="15.75" hidden="false" customHeight="true" outlineLevel="0" collapsed="false">
      <c r="L255" s="1"/>
      <c r="M255" s="1"/>
      <c r="N255" s="1"/>
      <c r="O255" s="1"/>
      <c r="P255" s="1"/>
      <c r="Q255" s="1"/>
      <c r="R255" s="1"/>
      <c r="S255" s="1"/>
      <c r="T255" s="1"/>
      <c r="U255" s="1"/>
      <c r="V255" s="1"/>
      <c r="W255" s="1"/>
      <c r="X255" s="1"/>
      <c r="Y255" s="1"/>
      <c r="Z255" s="1"/>
    </row>
    <row r="256" customFormat="false" ht="15.75" hidden="false" customHeight="true" outlineLevel="0" collapsed="false">
      <c r="L256" s="1"/>
      <c r="M256" s="1"/>
      <c r="N256" s="1"/>
      <c r="O256" s="1"/>
      <c r="P256" s="1"/>
      <c r="Q256" s="1"/>
      <c r="R256" s="1"/>
      <c r="S256" s="1"/>
      <c r="T256" s="1"/>
      <c r="U256" s="1"/>
      <c r="V256" s="1"/>
      <c r="W256" s="1"/>
      <c r="X256" s="1"/>
      <c r="Y256" s="1"/>
      <c r="Z256" s="1"/>
    </row>
    <row r="257" customFormat="false" ht="15.75" hidden="false" customHeight="true" outlineLevel="0" collapsed="false">
      <c r="L257" s="1"/>
      <c r="M257" s="1"/>
      <c r="N257" s="1"/>
      <c r="O257" s="1"/>
      <c r="P257" s="1"/>
      <c r="Q257" s="1"/>
      <c r="R257" s="1"/>
      <c r="S257" s="1"/>
      <c r="T257" s="1"/>
      <c r="U257" s="1"/>
      <c r="V257" s="1"/>
      <c r="W257" s="1"/>
      <c r="X257" s="1"/>
      <c r="Y257" s="1"/>
      <c r="Z257" s="1"/>
    </row>
    <row r="258" customFormat="false" ht="15.75" hidden="false" customHeight="true" outlineLevel="0" collapsed="false">
      <c r="L258" s="1"/>
      <c r="M258" s="1"/>
      <c r="N258" s="1"/>
      <c r="O258" s="1"/>
      <c r="P258" s="1"/>
      <c r="Q258" s="1"/>
      <c r="R258" s="1"/>
      <c r="S258" s="1"/>
      <c r="T258" s="1"/>
      <c r="U258" s="1"/>
      <c r="V258" s="1"/>
      <c r="W258" s="1"/>
      <c r="X258" s="1"/>
      <c r="Y258" s="1"/>
      <c r="Z258" s="1"/>
    </row>
    <row r="259" customFormat="false" ht="15.75" hidden="false" customHeight="true" outlineLevel="0" collapsed="false">
      <c r="L259" s="1"/>
      <c r="M259" s="1"/>
      <c r="N259" s="1"/>
      <c r="O259" s="1"/>
      <c r="P259" s="1"/>
      <c r="Q259" s="1"/>
      <c r="R259" s="1"/>
      <c r="S259" s="1"/>
      <c r="T259" s="1"/>
      <c r="U259" s="1"/>
      <c r="V259" s="1"/>
      <c r="W259" s="1"/>
      <c r="X259" s="1"/>
      <c r="Y259" s="1"/>
      <c r="Z259" s="1"/>
    </row>
    <row r="260" customFormat="false" ht="15.75" hidden="false" customHeight="true" outlineLevel="0" collapsed="false">
      <c r="L260" s="1"/>
      <c r="M260" s="1"/>
      <c r="N260" s="1"/>
      <c r="O260" s="1"/>
      <c r="P260" s="1"/>
      <c r="Q260" s="1"/>
      <c r="R260" s="1"/>
      <c r="S260" s="1"/>
      <c r="T260" s="1"/>
      <c r="U260" s="1"/>
      <c r="V260" s="1"/>
      <c r="W260" s="1"/>
      <c r="X260" s="1"/>
      <c r="Y260" s="1"/>
      <c r="Z260" s="1"/>
    </row>
    <row r="261" customFormat="false" ht="15.75" hidden="false" customHeight="true" outlineLevel="0" collapsed="false">
      <c r="L261" s="1"/>
      <c r="M261" s="1"/>
      <c r="N261" s="1"/>
      <c r="O261" s="1"/>
      <c r="P261" s="1"/>
      <c r="Q261" s="1"/>
      <c r="R261" s="1"/>
      <c r="S261" s="1"/>
      <c r="T261" s="1"/>
      <c r="U261" s="1"/>
      <c r="V261" s="1"/>
      <c r="W261" s="1"/>
      <c r="X261" s="1"/>
      <c r="Y261" s="1"/>
      <c r="Z261" s="1"/>
    </row>
    <row r="262" customFormat="false" ht="15.75" hidden="false" customHeight="true" outlineLevel="0" collapsed="false">
      <c r="L262" s="1"/>
      <c r="M262" s="1"/>
      <c r="N262" s="1"/>
      <c r="O262" s="1"/>
      <c r="P262" s="1"/>
      <c r="Q262" s="1"/>
      <c r="R262" s="1"/>
      <c r="S262" s="1"/>
      <c r="T262" s="1"/>
      <c r="U262" s="1"/>
      <c r="V262" s="1"/>
      <c r="W262" s="1"/>
      <c r="X262" s="1"/>
      <c r="Y262" s="1"/>
      <c r="Z262" s="1"/>
    </row>
    <row r="263" customFormat="false" ht="15.75" hidden="false" customHeight="true" outlineLevel="0" collapsed="false">
      <c r="L263" s="1"/>
      <c r="M263" s="1"/>
      <c r="N263" s="1"/>
      <c r="O263" s="1"/>
      <c r="P263" s="1"/>
      <c r="Q263" s="1"/>
      <c r="R263" s="1"/>
      <c r="S263" s="1"/>
      <c r="T263" s="1"/>
      <c r="U263" s="1"/>
      <c r="V263" s="1"/>
      <c r="W263" s="1"/>
      <c r="X263" s="1"/>
      <c r="Y263" s="1"/>
      <c r="Z263" s="1"/>
    </row>
    <row r="264" customFormat="false" ht="15.75" hidden="false" customHeight="true" outlineLevel="0" collapsed="false">
      <c r="L264" s="1"/>
      <c r="M264" s="1"/>
      <c r="N264" s="1"/>
      <c r="O264" s="1"/>
      <c r="P264" s="1"/>
      <c r="Q264" s="1"/>
      <c r="R264" s="1"/>
      <c r="S264" s="1"/>
      <c r="T264" s="1"/>
      <c r="U264" s="1"/>
      <c r="V264" s="1"/>
      <c r="W264" s="1"/>
      <c r="X264" s="1"/>
      <c r="Y264" s="1"/>
      <c r="Z264" s="1"/>
    </row>
    <row r="265" customFormat="false" ht="15.75" hidden="false" customHeight="true" outlineLevel="0" collapsed="false">
      <c r="L265" s="1"/>
      <c r="M265" s="1"/>
      <c r="N265" s="1"/>
      <c r="O265" s="1"/>
      <c r="P265" s="1"/>
      <c r="Q265" s="1"/>
      <c r="R265" s="1"/>
      <c r="S265" s="1"/>
      <c r="T265" s="1"/>
      <c r="U265" s="1"/>
      <c r="V265" s="1"/>
      <c r="W265" s="1"/>
      <c r="X265" s="1"/>
      <c r="Y265" s="1"/>
      <c r="Z265" s="1"/>
    </row>
    <row r="266" customFormat="false" ht="15.75" hidden="false" customHeight="true" outlineLevel="0" collapsed="false">
      <c r="L266" s="1"/>
      <c r="M266" s="1"/>
      <c r="N266" s="1"/>
      <c r="O266" s="1"/>
      <c r="P266" s="1"/>
      <c r="Q266" s="1"/>
      <c r="R266" s="1"/>
      <c r="S266" s="1"/>
      <c r="T266" s="1"/>
      <c r="U266" s="1"/>
      <c r="V266" s="1"/>
      <c r="W266" s="1"/>
      <c r="X266" s="1"/>
      <c r="Y266" s="1"/>
      <c r="Z266" s="1"/>
    </row>
    <row r="267" customFormat="false" ht="15.75" hidden="false" customHeight="true" outlineLevel="0" collapsed="false">
      <c r="L267" s="1"/>
      <c r="M267" s="1"/>
      <c r="N267" s="1"/>
      <c r="O267" s="1"/>
      <c r="P267" s="1"/>
      <c r="Q267" s="1"/>
      <c r="R267" s="1"/>
      <c r="S267" s="1"/>
      <c r="T267" s="1"/>
      <c r="U267" s="1"/>
      <c r="V267" s="1"/>
      <c r="W267" s="1"/>
      <c r="X267" s="1"/>
      <c r="Y267" s="1"/>
      <c r="Z267" s="1"/>
    </row>
    <row r="268" customFormat="false" ht="15.75" hidden="false" customHeight="true" outlineLevel="0" collapsed="false">
      <c r="L268" s="1"/>
      <c r="M268" s="1"/>
      <c r="N268" s="1"/>
      <c r="O268" s="1"/>
      <c r="P268" s="1"/>
      <c r="Q268" s="1"/>
      <c r="R268" s="1"/>
      <c r="S268" s="1"/>
      <c r="T268" s="1"/>
      <c r="U268" s="1"/>
      <c r="V268" s="1"/>
      <c r="W268" s="1"/>
      <c r="X268" s="1"/>
      <c r="Y268" s="1"/>
      <c r="Z268" s="1"/>
    </row>
    <row r="269" customFormat="false" ht="15.75" hidden="false" customHeight="true" outlineLevel="0" collapsed="false">
      <c r="L269" s="1"/>
      <c r="M269" s="1"/>
      <c r="N269" s="1"/>
      <c r="O269" s="1"/>
      <c r="P269" s="1"/>
      <c r="Q269" s="1"/>
      <c r="R269" s="1"/>
      <c r="S269" s="1"/>
      <c r="T269" s="1"/>
      <c r="U269" s="1"/>
      <c r="V269" s="1"/>
      <c r="W269" s="1"/>
      <c r="X269" s="1"/>
      <c r="Y269" s="1"/>
      <c r="Z269" s="1"/>
    </row>
    <row r="270" customFormat="false" ht="15.75" hidden="false" customHeight="true" outlineLevel="0" collapsed="false">
      <c r="L270" s="1"/>
      <c r="M270" s="1"/>
      <c r="N270" s="1"/>
      <c r="O270" s="1"/>
      <c r="P270" s="1"/>
      <c r="Q270" s="1"/>
      <c r="R270" s="1"/>
      <c r="S270" s="1"/>
      <c r="T270" s="1"/>
      <c r="U270" s="1"/>
      <c r="V270" s="1"/>
      <c r="W270" s="1"/>
      <c r="X270" s="1"/>
      <c r="Y270" s="1"/>
      <c r="Z270" s="1"/>
    </row>
    <row r="271" customFormat="false" ht="15.75" hidden="false" customHeight="true" outlineLevel="0" collapsed="false">
      <c r="L271" s="1"/>
      <c r="M271" s="1"/>
      <c r="N271" s="1"/>
      <c r="O271" s="1"/>
      <c r="P271" s="1"/>
      <c r="Q271" s="1"/>
      <c r="R271" s="1"/>
      <c r="S271" s="1"/>
      <c r="T271" s="1"/>
      <c r="U271" s="1"/>
      <c r="V271" s="1"/>
      <c r="W271" s="1"/>
      <c r="X271" s="1"/>
      <c r="Y271" s="1"/>
      <c r="Z271" s="1"/>
    </row>
    <row r="272" customFormat="false" ht="15.75" hidden="false" customHeight="true" outlineLevel="0" collapsed="false">
      <c r="L272" s="1"/>
      <c r="M272" s="1"/>
      <c r="N272" s="1"/>
      <c r="O272" s="1"/>
      <c r="P272" s="1"/>
      <c r="Q272" s="1"/>
      <c r="R272" s="1"/>
      <c r="S272" s="1"/>
      <c r="T272" s="1"/>
      <c r="U272" s="1"/>
      <c r="V272" s="1"/>
      <c r="W272" s="1"/>
      <c r="X272" s="1"/>
      <c r="Y272" s="1"/>
      <c r="Z272" s="1"/>
    </row>
    <row r="273" customFormat="false" ht="15.75" hidden="false" customHeight="true" outlineLevel="0" collapsed="false">
      <c r="L273" s="1"/>
      <c r="M273" s="1"/>
      <c r="N273" s="1"/>
      <c r="O273" s="1"/>
      <c r="P273" s="1"/>
      <c r="Q273" s="1"/>
      <c r="R273" s="1"/>
      <c r="S273" s="1"/>
      <c r="T273" s="1"/>
      <c r="U273" s="1"/>
      <c r="V273" s="1"/>
      <c r="W273" s="1"/>
      <c r="X273" s="1"/>
      <c r="Y273" s="1"/>
      <c r="Z273" s="1"/>
    </row>
    <row r="274" customFormat="false" ht="15.75" hidden="false" customHeight="true" outlineLevel="0" collapsed="false">
      <c r="L274" s="1"/>
      <c r="M274" s="1"/>
      <c r="N274" s="1"/>
      <c r="O274" s="1"/>
      <c r="P274" s="1"/>
      <c r="Q274" s="1"/>
      <c r="R274" s="1"/>
      <c r="S274" s="1"/>
      <c r="T274" s="1"/>
      <c r="U274" s="1"/>
      <c r="V274" s="1"/>
      <c r="W274" s="1"/>
      <c r="X274" s="1"/>
      <c r="Y274" s="1"/>
      <c r="Z274" s="1"/>
    </row>
    <row r="275" customFormat="false" ht="15.75" hidden="false" customHeight="true" outlineLevel="0" collapsed="false">
      <c r="L275" s="1"/>
      <c r="M275" s="1"/>
      <c r="N275" s="1"/>
      <c r="O275" s="1"/>
      <c r="P275" s="1"/>
      <c r="Q275" s="1"/>
      <c r="R275" s="1"/>
      <c r="S275" s="1"/>
      <c r="T275" s="1"/>
      <c r="U275" s="1"/>
      <c r="V275" s="1"/>
      <c r="W275" s="1"/>
      <c r="X275" s="1"/>
      <c r="Y275" s="1"/>
      <c r="Z275" s="1"/>
    </row>
    <row r="276" customFormat="false" ht="15.75" hidden="false" customHeight="true" outlineLevel="0" collapsed="false">
      <c r="L276" s="1"/>
      <c r="M276" s="1"/>
      <c r="N276" s="1"/>
      <c r="O276" s="1"/>
      <c r="P276" s="1"/>
      <c r="Q276" s="1"/>
      <c r="R276" s="1"/>
      <c r="S276" s="1"/>
      <c r="T276" s="1"/>
      <c r="U276" s="1"/>
      <c r="V276" s="1"/>
      <c r="W276" s="1"/>
      <c r="X276" s="1"/>
      <c r="Y276" s="1"/>
      <c r="Z276" s="1"/>
    </row>
    <row r="277" customFormat="false" ht="15.75" hidden="false" customHeight="true" outlineLevel="0" collapsed="false">
      <c r="L277" s="1"/>
      <c r="M277" s="1"/>
      <c r="N277" s="1"/>
      <c r="O277" s="1"/>
      <c r="P277" s="1"/>
      <c r="Q277" s="1"/>
      <c r="R277" s="1"/>
      <c r="S277" s="1"/>
      <c r="T277" s="1"/>
      <c r="U277" s="1"/>
      <c r="V277" s="1"/>
      <c r="W277" s="1"/>
      <c r="X277" s="1"/>
      <c r="Y277" s="1"/>
      <c r="Z277" s="1"/>
    </row>
    <row r="278" customFormat="false" ht="15.75" hidden="false" customHeight="true" outlineLevel="0" collapsed="false">
      <c r="L278" s="1"/>
      <c r="M278" s="1"/>
      <c r="N278" s="1"/>
      <c r="O278" s="1"/>
      <c r="P278" s="1"/>
      <c r="Q278" s="1"/>
      <c r="R278" s="1"/>
      <c r="S278" s="1"/>
      <c r="T278" s="1"/>
      <c r="U278" s="1"/>
      <c r="V278" s="1"/>
      <c r="W278" s="1"/>
      <c r="X278" s="1"/>
      <c r="Y278" s="1"/>
      <c r="Z278" s="1"/>
    </row>
    <row r="279" customFormat="false" ht="15.75" hidden="false" customHeight="true" outlineLevel="0" collapsed="false">
      <c r="L279" s="1"/>
      <c r="M279" s="1"/>
      <c r="N279" s="1"/>
      <c r="O279" s="1"/>
      <c r="P279" s="1"/>
      <c r="Q279" s="1"/>
      <c r="R279" s="1"/>
      <c r="S279" s="1"/>
      <c r="T279" s="1"/>
      <c r="U279" s="1"/>
      <c r="V279" s="1"/>
      <c r="W279" s="1"/>
      <c r="X279" s="1"/>
      <c r="Y279" s="1"/>
      <c r="Z279" s="1"/>
    </row>
    <row r="280" customFormat="false" ht="15.75" hidden="false" customHeight="true" outlineLevel="0" collapsed="false">
      <c r="L280" s="1"/>
      <c r="M280" s="1"/>
      <c r="N280" s="1"/>
      <c r="O280" s="1"/>
      <c r="P280" s="1"/>
      <c r="Q280" s="1"/>
      <c r="R280" s="1"/>
      <c r="S280" s="1"/>
      <c r="T280" s="1"/>
      <c r="U280" s="1"/>
      <c r="V280" s="1"/>
      <c r="W280" s="1"/>
      <c r="X280" s="1"/>
      <c r="Y280" s="1"/>
      <c r="Z280" s="1"/>
    </row>
    <row r="281" customFormat="false" ht="15.75" hidden="false" customHeight="true" outlineLevel="0" collapsed="false">
      <c r="L281" s="1"/>
      <c r="M281" s="1"/>
      <c r="N281" s="1"/>
      <c r="O281" s="1"/>
      <c r="P281" s="1"/>
      <c r="Q281" s="1"/>
      <c r="R281" s="1"/>
      <c r="S281" s="1"/>
      <c r="T281" s="1"/>
      <c r="U281" s="1"/>
      <c r="V281" s="1"/>
      <c r="W281" s="1"/>
      <c r="X281" s="1"/>
      <c r="Y281" s="1"/>
      <c r="Z281" s="1"/>
    </row>
    <row r="282" customFormat="false" ht="15.75" hidden="false" customHeight="true" outlineLevel="0" collapsed="false">
      <c r="L282" s="1"/>
      <c r="M282" s="1"/>
      <c r="N282" s="1"/>
      <c r="O282" s="1"/>
      <c r="P282" s="1"/>
      <c r="Q282" s="1"/>
      <c r="R282" s="1"/>
      <c r="S282" s="1"/>
      <c r="T282" s="1"/>
      <c r="U282" s="1"/>
      <c r="V282" s="1"/>
      <c r="W282" s="1"/>
      <c r="X282" s="1"/>
      <c r="Y282" s="1"/>
      <c r="Z282" s="1"/>
    </row>
    <row r="283" customFormat="false" ht="15.75" hidden="false" customHeight="true" outlineLevel="0" collapsed="false">
      <c r="L283" s="1"/>
      <c r="M283" s="1"/>
      <c r="N283" s="1"/>
      <c r="O283" s="1"/>
      <c r="P283" s="1"/>
      <c r="Q283" s="1"/>
      <c r="R283" s="1"/>
      <c r="S283" s="1"/>
      <c r="T283" s="1"/>
      <c r="U283" s="1"/>
      <c r="V283" s="1"/>
      <c r="W283" s="1"/>
      <c r="X283" s="1"/>
      <c r="Y283" s="1"/>
      <c r="Z283" s="1"/>
    </row>
    <row r="284" customFormat="false" ht="15.75" hidden="false" customHeight="true" outlineLevel="0" collapsed="false">
      <c r="L284" s="1"/>
      <c r="M284" s="1"/>
      <c r="N284" s="1"/>
      <c r="O284" s="1"/>
      <c r="P284" s="1"/>
      <c r="Q284" s="1"/>
      <c r="R284" s="1"/>
      <c r="S284" s="1"/>
      <c r="T284" s="1"/>
      <c r="U284" s="1"/>
      <c r="V284" s="1"/>
      <c r="W284" s="1"/>
      <c r="X284" s="1"/>
      <c r="Y284" s="1"/>
      <c r="Z284" s="1"/>
    </row>
    <row r="285" customFormat="false" ht="15.75" hidden="false" customHeight="true" outlineLevel="0" collapsed="false">
      <c r="L285" s="1"/>
      <c r="M285" s="1"/>
      <c r="N285" s="1"/>
      <c r="O285" s="1"/>
      <c r="P285" s="1"/>
      <c r="Q285" s="1"/>
      <c r="R285" s="1"/>
      <c r="S285" s="1"/>
      <c r="T285" s="1"/>
      <c r="U285" s="1"/>
      <c r="V285" s="1"/>
      <c r="W285" s="1"/>
      <c r="X285" s="1"/>
      <c r="Y285" s="1"/>
      <c r="Z285" s="1"/>
    </row>
    <row r="286" customFormat="false" ht="15.75" hidden="false" customHeight="true" outlineLevel="0" collapsed="false">
      <c r="L286" s="1"/>
      <c r="M286" s="1"/>
      <c r="N286" s="1"/>
      <c r="O286" s="1"/>
      <c r="P286" s="1"/>
      <c r="Q286" s="1"/>
      <c r="R286" s="1"/>
      <c r="S286" s="1"/>
      <c r="T286" s="1"/>
      <c r="U286" s="1"/>
      <c r="V286" s="1"/>
      <c r="W286" s="1"/>
      <c r="X286" s="1"/>
      <c r="Y286" s="1"/>
      <c r="Z286" s="1"/>
    </row>
    <row r="287" customFormat="false" ht="15.75" hidden="false" customHeight="true" outlineLevel="0" collapsed="false">
      <c r="L287" s="1"/>
      <c r="M287" s="1"/>
      <c r="N287" s="1"/>
      <c r="O287" s="1"/>
      <c r="P287" s="1"/>
      <c r="Q287" s="1"/>
      <c r="R287" s="1"/>
      <c r="S287" s="1"/>
      <c r="T287" s="1"/>
      <c r="U287" s="1"/>
      <c r="V287" s="1"/>
      <c r="W287" s="1"/>
      <c r="X287" s="1"/>
      <c r="Y287" s="1"/>
      <c r="Z287" s="1"/>
    </row>
    <row r="288" customFormat="false" ht="15.75" hidden="false" customHeight="true" outlineLevel="0" collapsed="false">
      <c r="L288" s="1"/>
      <c r="M288" s="1"/>
      <c r="N288" s="1"/>
      <c r="O288" s="1"/>
      <c r="P288" s="1"/>
      <c r="Q288" s="1"/>
      <c r="R288" s="1"/>
      <c r="S288" s="1"/>
      <c r="T288" s="1"/>
      <c r="U288" s="1"/>
      <c r="V288" s="1"/>
      <c r="W288" s="1"/>
      <c r="X288" s="1"/>
      <c r="Y288" s="1"/>
      <c r="Z288" s="1"/>
    </row>
    <row r="289" customFormat="false" ht="15.75" hidden="false" customHeight="true" outlineLevel="0" collapsed="false">
      <c r="L289" s="1"/>
      <c r="M289" s="1"/>
      <c r="N289" s="1"/>
      <c r="O289" s="1"/>
      <c r="P289" s="1"/>
      <c r="Q289" s="1"/>
      <c r="R289" s="1"/>
      <c r="S289" s="1"/>
      <c r="T289" s="1"/>
      <c r="U289" s="1"/>
      <c r="V289" s="1"/>
      <c r="W289" s="1"/>
      <c r="X289" s="1"/>
      <c r="Y289" s="1"/>
      <c r="Z289" s="1"/>
    </row>
    <row r="290" customFormat="false" ht="15.75" hidden="false" customHeight="true" outlineLevel="0" collapsed="false">
      <c r="L290" s="1"/>
      <c r="M290" s="1"/>
      <c r="N290" s="1"/>
      <c r="O290" s="1"/>
      <c r="P290" s="1"/>
      <c r="Q290" s="1"/>
      <c r="R290" s="1"/>
      <c r="S290" s="1"/>
      <c r="T290" s="1"/>
      <c r="U290" s="1"/>
      <c r="V290" s="1"/>
      <c r="W290" s="1"/>
      <c r="X290" s="1"/>
      <c r="Y290" s="1"/>
      <c r="Z290" s="1"/>
    </row>
    <row r="291" customFormat="false" ht="15.75" hidden="false" customHeight="true" outlineLevel="0" collapsed="false">
      <c r="L291" s="1"/>
      <c r="M291" s="1"/>
      <c r="N291" s="1"/>
      <c r="O291" s="1"/>
      <c r="P291" s="1"/>
      <c r="Q291" s="1"/>
      <c r="R291" s="1"/>
      <c r="S291" s="1"/>
      <c r="T291" s="1"/>
      <c r="U291" s="1"/>
      <c r="V291" s="1"/>
      <c r="W291" s="1"/>
      <c r="X291" s="1"/>
      <c r="Y291" s="1"/>
      <c r="Z291" s="1"/>
    </row>
    <row r="292" customFormat="false" ht="15.75" hidden="false" customHeight="true" outlineLevel="0" collapsed="false">
      <c r="L292" s="1"/>
      <c r="M292" s="1"/>
      <c r="N292" s="1"/>
      <c r="O292" s="1"/>
      <c r="P292" s="1"/>
      <c r="Q292" s="1"/>
      <c r="R292" s="1"/>
      <c r="S292" s="1"/>
      <c r="T292" s="1"/>
      <c r="U292" s="1"/>
      <c r="V292" s="1"/>
      <c r="W292" s="1"/>
      <c r="X292" s="1"/>
      <c r="Y292" s="1"/>
      <c r="Z292" s="1"/>
    </row>
    <row r="293" customFormat="false" ht="15.75" hidden="false" customHeight="true" outlineLevel="0" collapsed="false">
      <c r="L293" s="1"/>
      <c r="M293" s="1"/>
      <c r="N293" s="1"/>
      <c r="O293" s="1"/>
      <c r="P293" s="1"/>
      <c r="Q293" s="1"/>
      <c r="R293" s="1"/>
      <c r="S293" s="1"/>
      <c r="T293" s="1"/>
      <c r="U293" s="1"/>
      <c r="V293" s="1"/>
      <c r="W293" s="1"/>
      <c r="X293" s="1"/>
      <c r="Y293" s="1"/>
      <c r="Z293" s="1"/>
    </row>
    <row r="294" customFormat="false" ht="15.75" hidden="false" customHeight="true" outlineLevel="0" collapsed="false">
      <c r="L294" s="1"/>
      <c r="M294" s="1"/>
      <c r="N294" s="1"/>
      <c r="O294" s="1"/>
      <c r="P294" s="1"/>
      <c r="Q294" s="1"/>
      <c r="R294" s="1"/>
      <c r="S294" s="1"/>
      <c r="T294" s="1"/>
      <c r="U294" s="1"/>
      <c r="V294" s="1"/>
      <c r="W294" s="1"/>
      <c r="X294" s="1"/>
      <c r="Y294" s="1"/>
      <c r="Z294" s="1"/>
    </row>
    <row r="295" customFormat="false" ht="15.75" hidden="false" customHeight="true" outlineLevel="0" collapsed="false">
      <c r="L295" s="1"/>
      <c r="M295" s="1"/>
      <c r="N295" s="1"/>
      <c r="O295" s="1"/>
      <c r="P295" s="1"/>
      <c r="Q295" s="1"/>
      <c r="R295" s="1"/>
      <c r="S295" s="1"/>
      <c r="T295" s="1"/>
      <c r="U295" s="1"/>
      <c r="V295" s="1"/>
      <c r="W295" s="1"/>
      <c r="X295" s="1"/>
      <c r="Y295" s="1"/>
      <c r="Z295" s="1"/>
    </row>
    <row r="296" customFormat="false" ht="15.75" hidden="false" customHeight="true" outlineLevel="0" collapsed="false">
      <c r="L296" s="1"/>
      <c r="M296" s="1"/>
      <c r="N296" s="1"/>
      <c r="O296" s="1"/>
      <c r="P296" s="1"/>
      <c r="Q296" s="1"/>
      <c r="R296" s="1"/>
      <c r="S296" s="1"/>
      <c r="T296" s="1"/>
      <c r="U296" s="1"/>
      <c r="V296" s="1"/>
      <c r="W296" s="1"/>
      <c r="X296" s="1"/>
      <c r="Y296" s="1"/>
      <c r="Z296" s="1"/>
    </row>
    <row r="297" customFormat="false" ht="15.75" hidden="false" customHeight="true" outlineLevel="0" collapsed="false">
      <c r="L297" s="1"/>
      <c r="M297" s="1"/>
      <c r="N297" s="1"/>
      <c r="O297" s="1"/>
      <c r="P297" s="1"/>
      <c r="Q297" s="1"/>
      <c r="R297" s="1"/>
      <c r="S297" s="1"/>
      <c r="T297" s="1"/>
      <c r="U297" s="1"/>
      <c r="V297" s="1"/>
      <c r="W297" s="1"/>
      <c r="X297" s="1"/>
      <c r="Y297" s="1"/>
      <c r="Z297" s="1"/>
    </row>
    <row r="298" customFormat="false" ht="15.75" hidden="false" customHeight="true" outlineLevel="0" collapsed="false">
      <c r="L298" s="1"/>
      <c r="M298" s="1"/>
      <c r="N298" s="1"/>
      <c r="O298" s="1"/>
      <c r="P298" s="1"/>
      <c r="Q298" s="1"/>
      <c r="R298" s="1"/>
      <c r="S298" s="1"/>
      <c r="T298" s="1"/>
      <c r="U298" s="1"/>
      <c r="V298" s="1"/>
      <c r="W298" s="1"/>
      <c r="X298" s="1"/>
      <c r="Y298" s="1"/>
      <c r="Z298" s="1"/>
    </row>
    <row r="299" customFormat="false" ht="15.75" hidden="false" customHeight="true" outlineLevel="0" collapsed="false">
      <c r="L299" s="1"/>
      <c r="M299" s="1"/>
      <c r="N299" s="1"/>
      <c r="O299" s="1"/>
      <c r="P299" s="1"/>
      <c r="Q299" s="1"/>
      <c r="R299" s="1"/>
      <c r="S299" s="1"/>
      <c r="T299" s="1"/>
      <c r="U299" s="1"/>
      <c r="V299" s="1"/>
      <c r="W299" s="1"/>
      <c r="X299" s="1"/>
      <c r="Y299" s="1"/>
      <c r="Z299" s="1"/>
    </row>
    <row r="300" customFormat="false" ht="15.75" hidden="false" customHeight="true" outlineLevel="0" collapsed="false">
      <c r="L300" s="1"/>
      <c r="M300" s="1"/>
      <c r="N300" s="1"/>
      <c r="O300" s="1"/>
      <c r="P300" s="1"/>
      <c r="Q300" s="1"/>
      <c r="R300" s="1"/>
      <c r="S300" s="1"/>
      <c r="T300" s="1"/>
      <c r="U300" s="1"/>
      <c r="V300" s="1"/>
      <c r="W300" s="1"/>
      <c r="X300" s="1"/>
      <c r="Y300" s="1"/>
      <c r="Z300" s="1"/>
    </row>
    <row r="301" customFormat="false" ht="15.75" hidden="false" customHeight="true" outlineLevel="0" collapsed="false">
      <c r="L301" s="1"/>
      <c r="M301" s="1"/>
      <c r="N301" s="1"/>
      <c r="O301" s="1"/>
      <c r="P301" s="1"/>
      <c r="Q301" s="1"/>
      <c r="R301" s="1"/>
      <c r="S301" s="1"/>
      <c r="T301" s="1"/>
      <c r="U301" s="1"/>
      <c r="V301" s="1"/>
      <c r="W301" s="1"/>
      <c r="X301" s="1"/>
      <c r="Y301" s="1"/>
      <c r="Z301" s="1"/>
    </row>
    <row r="302" customFormat="false" ht="15.75" hidden="false" customHeight="true" outlineLevel="0" collapsed="false">
      <c r="L302" s="1"/>
      <c r="M302" s="1"/>
      <c r="N302" s="1"/>
      <c r="O302" s="1"/>
      <c r="P302" s="1"/>
      <c r="Q302" s="1"/>
      <c r="R302" s="1"/>
      <c r="S302" s="1"/>
      <c r="T302" s="1"/>
      <c r="U302" s="1"/>
      <c r="V302" s="1"/>
      <c r="W302" s="1"/>
      <c r="X302" s="1"/>
      <c r="Y302" s="1"/>
      <c r="Z302" s="1"/>
    </row>
    <row r="303" customFormat="false" ht="15.75" hidden="false" customHeight="true" outlineLevel="0" collapsed="false">
      <c r="L303" s="1"/>
      <c r="M303" s="1"/>
      <c r="N303" s="1"/>
      <c r="O303" s="1"/>
      <c r="P303" s="1"/>
      <c r="Q303" s="1"/>
      <c r="R303" s="1"/>
      <c r="S303" s="1"/>
      <c r="T303" s="1"/>
      <c r="U303" s="1"/>
      <c r="V303" s="1"/>
      <c r="W303" s="1"/>
      <c r="X303" s="1"/>
      <c r="Y303" s="1"/>
      <c r="Z303" s="1"/>
    </row>
    <row r="304" customFormat="false" ht="15.75" hidden="false" customHeight="true" outlineLevel="0" collapsed="false">
      <c r="L304" s="1"/>
      <c r="M304" s="1"/>
      <c r="N304" s="1"/>
      <c r="O304" s="1"/>
      <c r="P304" s="1"/>
      <c r="Q304" s="1"/>
      <c r="R304" s="1"/>
      <c r="S304" s="1"/>
      <c r="T304" s="1"/>
      <c r="U304" s="1"/>
      <c r="V304" s="1"/>
      <c r="W304" s="1"/>
      <c r="X304" s="1"/>
      <c r="Y304" s="1"/>
      <c r="Z304" s="1"/>
    </row>
    <row r="305" customFormat="false" ht="15.75" hidden="false" customHeight="true" outlineLevel="0" collapsed="false">
      <c r="L305" s="1"/>
      <c r="M305" s="1"/>
      <c r="N305" s="1"/>
      <c r="O305" s="1"/>
      <c r="P305" s="1"/>
      <c r="Q305" s="1"/>
      <c r="R305" s="1"/>
      <c r="S305" s="1"/>
      <c r="T305" s="1"/>
      <c r="U305" s="1"/>
      <c r="V305" s="1"/>
      <c r="W305" s="1"/>
      <c r="X305" s="1"/>
      <c r="Y305" s="1"/>
      <c r="Z305" s="1"/>
    </row>
    <row r="306" customFormat="false" ht="15.75" hidden="false" customHeight="true" outlineLevel="0" collapsed="false">
      <c r="L306" s="1"/>
      <c r="M306" s="1"/>
      <c r="N306" s="1"/>
      <c r="O306" s="1"/>
      <c r="P306" s="1"/>
      <c r="Q306" s="1"/>
      <c r="R306" s="1"/>
      <c r="S306" s="1"/>
      <c r="T306" s="1"/>
      <c r="U306" s="1"/>
      <c r="V306" s="1"/>
      <c r="W306" s="1"/>
      <c r="X306" s="1"/>
      <c r="Y306" s="1"/>
      <c r="Z306" s="1"/>
    </row>
    <row r="307" customFormat="false" ht="15.75" hidden="false" customHeight="true" outlineLevel="0" collapsed="false">
      <c r="L307" s="1"/>
      <c r="M307" s="1"/>
      <c r="N307" s="1"/>
      <c r="O307" s="1"/>
      <c r="P307" s="1"/>
      <c r="Q307" s="1"/>
      <c r="R307" s="1"/>
      <c r="S307" s="1"/>
      <c r="T307" s="1"/>
      <c r="U307" s="1"/>
      <c r="V307" s="1"/>
      <c r="W307" s="1"/>
      <c r="X307" s="1"/>
      <c r="Y307" s="1"/>
      <c r="Z307" s="1"/>
    </row>
    <row r="308" customFormat="false" ht="15.75" hidden="false" customHeight="true" outlineLevel="0" collapsed="false">
      <c r="L308" s="1"/>
      <c r="M308" s="1"/>
      <c r="N308" s="1"/>
      <c r="O308" s="1"/>
      <c r="P308" s="1"/>
      <c r="Q308" s="1"/>
      <c r="R308" s="1"/>
      <c r="S308" s="1"/>
      <c r="T308" s="1"/>
      <c r="U308" s="1"/>
      <c r="V308" s="1"/>
      <c r="W308" s="1"/>
      <c r="X308" s="1"/>
      <c r="Y308" s="1"/>
      <c r="Z308" s="1"/>
    </row>
    <row r="309" customFormat="false" ht="15.75" hidden="false" customHeight="true" outlineLevel="0" collapsed="false">
      <c r="L309" s="1"/>
      <c r="M309" s="1"/>
      <c r="N309" s="1"/>
      <c r="O309" s="1"/>
      <c r="P309" s="1"/>
      <c r="Q309" s="1"/>
      <c r="R309" s="1"/>
      <c r="S309" s="1"/>
      <c r="T309" s="1"/>
      <c r="U309" s="1"/>
      <c r="V309" s="1"/>
      <c r="W309" s="1"/>
      <c r="X309" s="1"/>
      <c r="Y309" s="1"/>
      <c r="Z309" s="1"/>
    </row>
    <row r="310" customFormat="false" ht="15.75" hidden="false" customHeight="true" outlineLevel="0" collapsed="false">
      <c r="L310" s="1"/>
      <c r="M310" s="1"/>
      <c r="N310" s="1"/>
      <c r="O310" s="1"/>
      <c r="P310" s="1"/>
      <c r="Q310" s="1"/>
      <c r="R310" s="1"/>
      <c r="S310" s="1"/>
      <c r="T310" s="1"/>
      <c r="U310" s="1"/>
      <c r="V310" s="1"/>
      <c r="W310" s="1"/>
      <c r="X310" s="1"/>
      <c r="Y310" s="1"/>
      <c r="Z310" s="1"/>
    </row>
    <row r="311" customFormat="false" ht="15.75" hidden="false" customHeight="true" outlineLevel="0" collapsed="false">
      <c r="L311" s="1"/>
      <c r="M311" s="1"/>
      <c r="N311" s="1"/>
      <c r="O311" s="1"/>
      <c r="P311" s="1"/>
      <c r="Q311" s="1"/>
      <c r="R311" s="1"/>
      <c r="S311" s="1"/>
      <c r="T311" s="1"/>
      <c r="U311" s="1"/>
      <c r="V311" s="1"/>
      <c r="W311" s="1"/>
      <c r="X311" s="1"/>
      <c r="Y311" s="1"/>
      <c r="Z311" s="1"/>
    </row>
    <row r="312" customFormat="false" ht="15.75" hidden="false" customHeight="true" outlineLevel="0" collapsed="false">
      <c r="L312" s="1"/>
      <c r="M312" s="1"/>
      <c r="N312" s="1"/>
      <c r="O312" s="1"/>
      <c r="P312" s="1"/>
      <c r="Q312" s="1"/>
      <c r="R312" s="1"/>
      <c r="S312" s="1"/>
      <c r="T312" s="1"/>
      <c r="U312" s="1"/>
      <c r="V312" s="1"/>
      <c r="W312" s="1"/>
      <c r="X312" s="1"/>
      <c r="Y312" s="1"/>
      <c r="Z312" s="1"/>
    </row>
    <row r="313" customFormat="false" ht="15.75" hidden="false" customHeight="true" outlineLevel="0" collapsed="false">
      <c r="L313" s="1"/>
      <c r="M313" s="1"/>
      <c r="N313" s="1"/>
      <c r="O313" s="1"/>
      <c r="P313" s="1"/>
      <c r="Q313" s="1"/>
      <c r="R313" s="1"/>
      <c r="S313" s="1"/>
      <c r="T313" s="1"/>
      <c r="U313" s="1"/>
      <c r="V313" s="1"/>
      <c r="W313" s="1"/>
      <c r="X313" s="1"/>
      <c r="Y313" s="1"/>
      <c r="Z313" s="1"/>
    </row>
    <row r="314" customFormat="false" ht="15.75" hidden="false" customHeight="true" outlineLevel="0" collapsed="false">
      <c r="L314" s="1"/>
      <c r="M314" s="1"/>
      <c r="N314" s="1"/>
      <c r="O314" s="1"/>
      <c r="P314" s="1"/>
      <c r="Q314" s="1"/>
      <c r="R314" s="1"/>
      <c r="S314" s="1"/>
      <c r="T314" s="1"/>
      <c r="U314" s="1"/>
      <c r="V314" s="1"/>
      <c r="W314" s="1"/>
      <c r="X314" s="1"/>
      <c r="Y314" s="1"/>
      <c r="Z314" s="1"/>
    </row>
    <row r="315" customFormat="false" ht="15.75" hidden="false" customHeight="true" outlineLevel="0" collapsed="false">
      <c r="L315" s="1"/>
      <c r="M315" s="1"/>
      <c r="N315" s="1"/>
      <c r="O315" s="1"/>
      <c r="P315" s="1"/>
      <c r="Q315" s="1"/>
      <c r="R315" s="1"/>
      <c r="S315" s="1"/>
      <c r="T315" s="1"/>
      <c r="U315" s="1"/>
      <c r="V315" s="1"/>
      <c r="W315" s="1"/>
      <c r="X315" s="1"/>
      <c r="Y315" s="1"/>
      <c r="Z315" s="1"/>
    </row>
    <row r="316" customFormat="false" ht="15.75" hidden="false" customHeight="true" outlineLevel="0" collapsed="false">
      <c r="L316" s="1"/>
      <c r="M316" s="1"/>
      <c r="N316" s="1"/>
      <c r="O316" s="1"/>
      <c r="P316" s="1"/>
      <c r="Q316" s="1"/>
      <c r="R316" s="1"/>
      <c r="S316" s="1"/>
      <c r="T316" s="1"/>
      <c r="U316" s="1"/>
      <c r="V316" s="1"/>
      <c r="W316" s="1"/>
      <c r="X316" s="1"/>
      <c r="Y316" s="1"/>
      <c r="Z316" s="1"/>
    </row>
    <row r="317" customFormat="false" ht="15.75" hidden="false" customHeight="true" outlineLevel="0" collapsed="false">
      <c r="L317" s="1"/>
      <c r="M317" s="1"/>
      <c r="N317" s="1"/>
      <c r="O317" s="1"/>
      <c r="P317" s="1"/>
      <c r="Q317" s="1"/>
      <c r="R317" s="1"/>
      <c r="S317" s="1"/>
      <c r="T317" s="1"/>
      <c r="U317" s="1"/>
      <c r="V317" s="1"/>
      <c r="W317" s="1"/>
      <c r="X317" s="1"/>
      <c r="Y317" s="1"/>
      <c r="Z317" s="1"/>
    </row>
    <row r="318" customFormat="false" ht="15.75" hidden="false" customHeight="true" outlineLevel="0" collapsed="false">
      <c r="L318" s="1"/>
      <c r="M318" s="1"/>
      <c r="N318" s="1"/>
      <c r="O318" s="1"/>
      <c r="P318" s="1"/>
      <c r="Q318" s="1"/>
      <c r="R318" s="1"/>
      <c r="S318" s="1"/>
      <c r="T318" s="1"/>
      <c r="U318" s="1"/>
      <c r="V318" s="1"/>
      <c r="W318" s="1"/>
      <c r="X318" s="1"/>
      <c r="Y318" s="1"/>
      <c r="Z318" s="1"/>
    </row>
    <row r="319" customFormat="false" ht="15.75" hidden="false" customHeight="true" outlineLevel="0" collapsed="false">
      <c r="L319" s="1"/>
      <c r="M319" s="1"/>
      <c r="N319" s="1"/>
      <c r="O319" s="1"/>
      <c r="P319" s="1"/>
      <c r="Q319" s="1"/>
      <c r="R319" s="1"/>
      <c r="S319" s="1"/>
      <c r="T319" s="1"/>
      <c r="U319" s="1"/>
      <c r="V319" s="1"/>
      <c r="W319" s="1"/>
      <c r="X319" s="1"/>
      <c r="Y319" s="1"/>
      <c r="Z319" s="1"/>
    </row>
    <row r="320" customFormat="false" ht="15.75" hidden="false" customHeight="true" outlineLevel="0" collapsed="false">
      <c r="L320" s="1"/>
      <c r="M320" s="1"/>
      <c r="N320" s="1"/>
      <c r="O320" s="1"/>
      <c r="P320" s="1"/>
      <c r="Q320" s="1"/>
      <c r="R320" s="1"/>
      <c r="S320" s="1"/>
      <c r="T320" s="1"/>
      <c r="U320" s="1"/>
      <c r="V320" s="1"/>
      <c r="W320" s="1"/>
      <c r="X320" s="1"/>
      <c r="Y320" s="1"/>
      <c r="Z320" s="1"/>
    </row>
    <row r="321" customFormat="false" ht="15.75" hidden="false" customHeight="true" outlineLevel="0" collapsed="false">
      <c r="L321" s="1"/>
      <c r="M321" s="1"/>
      <c r="N321" s="1"/>
      <c r="O321" s="1"/>
      <c r="P321" s="1"/>
      <c r="Q321" s="1"/>
      <c r="R321" s="1"/>
      <c r="S321" s="1"/>
      <c r="T321" s="1"/>
      <c r="U321" s="1"/>
      <c r="V321" s="1"/>
      <c r="W321" s="1"/>
      <c r="X321" s="1"/>
      <c r="Y321" s="1"/>
      <c r="Z321" s="1"/>
    </row>
    <row r="322" customFormat="false" ht="15.75" hidden="false" customHeight="true" outlineLevel="0" collapsed="false">
      <c r="L322" s="1"/>
      <c r="M322" s="1"/>
      <c r="N322" s="1"/>
      <c r="O322" s="1"/>
      <c r="P322" s="1"/>
      <c r="Q322" s="1"/>
      <c r="R322" s="1"/>
      <c r="S322" s="1"/>
      <c r="T322" s="1"/>
      <c r="U322" s="1"/>
      <c r="V322" s="1"/>
      <c r="W322" s="1"/>
      <c r="X322" s="1"/>
      <c r="Y322" s="1"/>
      <c r="Z322" s="1"/>
    </row>
    <row r="323" customFormat="false" ht="15.75" hidden="false" customHeight="true" outlineLevel="0" collapsed="false">
      <c r="L323" s="1"/>
      <c r="M323" s="1"/>
      <c r="N323" s="1"/>
      <c r="O323" s="1"/>
      <c r="P323" s="1"/>
      <c r="Q323" s="1"/>
      <c r="R323" s="1"/>
      <c r="S323" s="1"/>
      <c r="T323" s="1"/>
      <c r="U323" s="1"/>
      <c r="V323" s="1"/>
      <c r="W323" s="1"/>
      <c r="X323" s="1"/>
      <c r="Y323" s="1"/>
      <c r="Z323" s="1"/>
    </row>
    <row r="324" customFormat="false" ht="15.75" hidden="false" customHeight="true" outlineLevel="0" collapsed="false">
      <c r="L324" s="1"/>
      <c r="M324" s="1"/>
      <c r="N324" s="1"/>
      <c r="O324" s="1"/>
      <c r="P324" s="1"/>
      <c r="Q324" s="1"/>
      <c r="R324" s="1"/>
      <c r="S324" s="1"/>
      <c r="T324" s="1"/>
      <c r="U324" s="1"/>
      <c r="V324" s="1"/>
      <c r="W324" s="1"/>
      <c r="X324" s="1"/>
      <c r="Y324" s="1"/>
      <c r="Z324" s="1"/>
    </row>
    <row r="325" customFormat="false" ht="15.75" hidden="false" customHeight="true" outlineLevel="0" collapsed="false">
      <c r="L325" s="1"/>
      <c r="M325" s="1"/>
      <c r="N325" s="1"/>
      <c r="O325" s="1"/>
      <c r="P325" s="1"/>
      <c r="Q325" s="1"/>
      <c r="R325" s="1"/>
      <c r="S325" s="1"/>
      <c r="T325" s="1"/>
      <c r="U325" s="1"/>
      <c r="V325" s="1"/>
      <c r="W325" s="1"/>
      <c r="X325" s="1"/>
      <c r="Y325" s="1"/>
      <c r="Z325" s="1"/>
    </row>
    <row r="326" customFormat="false" ht="15.75" hidden="false" customHeight="true" outlineLevel="0" collapsed="false">
      <c r="L326" s="1"/>
      <c r="M326" s="1"/>
      <c r="N326" s="1"/>
      <c r="O326" s="1"/>
      <c r="P326" s="1"/>
      <c r="Q326" s="1"/>
      <c r="R326" s="1"/>
      <c r="S326" s="1"/>
      <c r="T326" s="1"/>
      <c r="U326" s="1"/>
      <c r="V326" s="1"/>
      <c r="W326" s="1"/>
      <c r="X326" s="1"/>
      <c r="Y326" s="1"/>
      <c r="Z326" s="1"/>
    </row>
    <row r="327" customFormat="false" ht="15.75" hidden="false" customHeight="true" outlineLevel="0" collapsed="false">
      <c r="L327" s="1"/>
      <c r="M327" s="1"/>
      <c r="N327" s="1"/>
      <c r="O327" s="1"/>
      <c r="P327" s="1"/>
      <c r="Q327" s="1"/>
      <c r="R327" s="1"/>
      <c r="S327" s="1"/>
      <c r="T327" s="1"/>
      <c r="U327" s="1"/>
      <c r="V327" s="1"/>
      <c r="W327" s="1"/>
      <c r="X327" s="1"/>
      <c r="Y327" s="1"/>
      <c r="Z327" s="1"/>
    </row>
    <row r="328" customFormat="false" ht="15.75" hidden="false" customHeight="true" outlineLevel="0" collapsed="false">
      <c r="L328" s="1"/>
      <c r="M328" s="1"/>
      <c r="N328" s="1"/>
      <c r="O328" s="1"/>
      <c r="P328" s="1"/>
      <c r="Q328" s="1"/>
      <c r="R328" s="1"/>
      <c r="S328" s="1"/>
      <c r="T328" s="1"/>
      <c r="U328" s="1"/>
      <c r="V328" s="1"/>
      <c r="W328" s="1"/>
      <c r="X328" s="1"/>
      <c r="Y328" s="1"/>
      <c r="Z328" s="1"/>
    </row>
    <row r="329" customFormat="false" ht="15.75" hidden="false" customHeight="true" outlineLevel="0" collapsed="false">
      <c r="L329" s="1"/>
      <c r="M329" s="1"/>
      <c r="N329" s="1"/>
      <c r="O329" s="1"/>
      <c r="P329" s="1"/>
      <c r="Q329" s="1"/>
      <c r="R329" s="1"/>
      <c r="S329" s="1"/>
      <c r="T329" s="1"/>
      <c r="U329" s="1"/>
      <c r="V329" s="1"/>
      <c r="W329" s="1"/>
      <c r="X329" s="1"/>
      <c r="Y329" s="1"/>
      <c r="Z329" s="1"/>
    </row>
    <row r="330" customFormat="false" ht="15.75" hidden="false" customHeight="true" outlineLevel="0" collapsed="false">
      <c r="L330" s="1"/>
      <c r="M330" s="1"/>
      <c r="N330" s="1"/>
      <c r="O330" s="1"/>
      <c r="P330" s="1"/>
      <c r="Q330" s="1"/>
      <c r="R330" s="1"/>
      <c r="S330" s="1"/>
      <c r="T330" s="1"/>
      <c r="U330" s="1"/>
      <c r="V330" s="1"/>
      <c r="W330" s="1"/>
      <c r="X330" s="1"/>
      <c r="Y330" s="1"/>
      <c r="Z330" s="1"/>
    </row>
    <row r="331" customFormat="false" ht="15.75" hidden="false" customHeight="true" outlineLevel="0" collapsed="false">
      <c r="L331" s="1"/>
      <c r="M331" s="1"/>
      <c r="N331" s="1"/>
      <c r="O331" s="1"/>
      <c r="P331" s="1"/>
      <c r="Q331" s="1"/>
      <c r="R331" s="1"/>
      <c r="S331" s="1"/>
      <c r="T331" s="1"/>
      <c r="U331" s="1"/>
      <c r="V331" s="1"/>
      <c r="W331" s="1"/>
      <c r="X331" s="1"/>
      <c r="Y331" s="1"/>
      <c r="Z331" s="1"/>
    </row>
    <row r="332" customFormat="false" ht="15.75" hidden="false" customHeight="true" outlineLevel="0" collapsed="false">
      <c r="L332" s="1"/>
      <c r="M332" s="1"/>
      <c r="N332" s="1"/>
      <c r="O332" s="1"/>
      <c r="P332" s="1"/>
      <c r="Q332" s="1"/>
      <c r="R332" s="1"/>
      <c r="S332" s="1"/>
      <c r="T332" s="1"/>
      <c r="U332" s="1"/>
      <c r="V332" s="1"/>
      <c r="W332" s="1"/>
      <c r="X332" s="1"/>
      <c r="Y332" s="1"/>
      <c r="Z332" s="1"/>
    </row>
    <row r="333" customFormat="false" ht="15.75" hidden="false" customHeight="true" outlineLevel="0" collapsed="false">
      <c r="L333" s="1"/>
      <c r="M333" s="1"/>
      <c r="N333" s="1"/>
      <c r="O333" s="1"/>
      <c r="P333" s="1"/>
      <c r="Q333" s="1"/>
      <c r="R333" s="1"/>
      <c r="S333" s="1"/>
      <c r="T333" s="1"/>
      <c r="U333" s="1"/>
      <c r="V333" s="1"/>
      <c r="W333" s="1"/>
      <c r="X333" s="1"/>
      <c r="Y333" s="1"/>
      <c r="Z333" s="1"/>
    </row>
    <row r="334" customFormat="false" ht="15.75" hidden="false" customHeight="true" outlineLevel="0" collapsed="false">
      <c r="L334" s="1"/>
      <c r="M334" s="1"/>
      <c r="N334" s="1"/>
      <c r="O334" s="1"/>
      <c r="P334" s="1"/>
      <c r="Q334" s="1"/>
      <c r="R334" s="1"/>
      <c r="S334" s="1"/>
      <c r="T334" s="1"/>
      <c r="U334" s="1"/>
      <c r="V334" s="1"/>
      <c r="W334" s="1"/>
      <c r="X334" s="1"/>
      <c r="Y334" s="1"/>
      <c r="Z334" s="1"/>
    </row>
    <row r="335" customFormat="false" ht="15.75" hidden="false" customHeight="true" outlineLevel="0" collapsed="false">
      <c r="L335" s="1"/>
      <c r="M335" s="1"/>
      <c r="N335" s="1"/>
      <c r="O335" s="1"/>
      <c r="P335" s="1"/>
      <c r="Q335" s="1"/>
      <c r="R335" s="1"/>
      <c r="S335" s="1"/>
      <c r="T335" s="1"/>
      <c r="U335" s="1"/>
      <c r="V335" s="1"/>
      <c r="W335" s="1"/>
      <c r="X335" s="1"/>
      <c r="Y335" s="1"/>
      <c r="Z335" s="1"/>
    </row>
    <row r="336" customFormat="false" ht="15.75" hidden="false" customHeight="true" outlineLevel="0" collapsed="false">
      <c r="L336" s="1"/>
      <c r="M336" s="1"/>
      <c r="N336" s="1"/>
      <c r="O336" s="1"/>
      <c r="P336" s="1"/>
      <c r="Q336" s="1"/>
      <c r="R336" s="1"/>
      <c r="S336" s="1"/>
      <c r="T336" s="1"/>
      <c r="U336" s="1"/>
      <c r="V336" s="1"/>
      <c r="W336" s="1"/>
      <c r="X336" s="1"/>
      <c r="Y336" s="1"/>
      <c r="Z336" s="1"/>
    </row>
    <row r="337" customFormat="false" ht="15.75" hidden="false" customHeight="true" outlineLevel="0" collapsed="false">
      <c r="L337" s="1"/>
      <c r="M337" s="1"/>
      <c r="N337" s="1"/>
      <c r="O337" s="1"/>
      <c r="P337" s="1"/>
      <c r="Q337" s="1"/>
      <c r="R337" s="1"/>
      <c r="S337" s="1"/>
      <c r="T337" s="1"/>
      <c r="U337" s="1"/>
      <c r="V337" s="1"/>
      <c r="W337" s="1"/>
      <c r="X337" s="1"/>
      <c r="Y337" s="1"/>
      <c r="Z337" s="1"/>
    </row>
    <row r="338" customFormat="false" ht="15.75" hidden="false" customHeight="true" outlineLevel="0" collapsed="false">
      <c r="L338" s="1"/>
      <c r="M338" s="1"/>
      <c r="N338" s="1"/>
      <c r="O338" s="1"/>
      <c r="P338" s="1"/>
      <c r="Q338" s="1"/>
      <c r="R338" s="1"/>
      <c r="S338" s="1"/>
      <c r="T338" s="1"/>
      <c r="U338" s="1"/>
      <c r="V338" s="1"/>
      <c r="W338" s="1"/>
      <c r="X338" s="1"/>
      <c r="Y338" s="1"/>
      <c r="Z338" s="1"/>
    </row>
    <row r="339" customFormat="false" ht="15.75" hidden="false" customHeight="true" outlineLevel="0" collapsed="false">
      <c r="L339" s="1"/>
      <c r="M339" s="1"/>
      <c r="N339" s="1"/>
      <c r="O339" s="1"/>
      <c r="P339" s="1"/>
      <c r="Q339" s="1"/>
      <c r="R339" s="1"/>
      <c r="S339" s="1"/>
      <c r="T339" s="1"/>
      <c r="U339" s="1"/>
      <c r="V339" s="1"/>
      <c r="W339" s="1"/>
      <c r="X339" s="1"/>
      <c r="Y339" s="1"/>
      <c r="Z339" s="1"/>
    </row>
    <row r="340" customFormat="false" ht="15.75" hidden="false" customHeight="true" outlineLevel="0" collapsed="false">
      <c r="L340" s="1"/>
      <c r="M340" s="1"/>
      <c r="N340" s="1"/>
      <c r="O340" s="1"/>
      <c r="P340" s="1"/>
      <c r="Q340" s="1"/>
      <c r="R340" s="1"/>
      <c r="S340" s="1"/>
      <c r="T340" s="1"/>
      <c r="U340" s="1"/>
      <c r="V340" s="1"/>
      <c r="W340" s="1"/>
      <c r="X340" s="1"/>
      <c r="Y340" s="1"/>
      <c r="Z340" s="1"/>
    </row>
    <row r="341" customFormat="false" ht="15.75" hidden="false" customHeight="true" outlineLevel="0" collapsed="false">
      <c r="L341" s="1"/>
      <c r="M341" s="1"/>
      <c r="N341" s="1"/>
      <c r="O341" s="1"/>
      <c r="P341" s="1"/>
      <c r="Q341" s="1"/>
      <c r="R341" s="1"/>
      <c r="S341" s="1"/>
      <c r="T341" s="1"/>
      <c r="U341" s="1"/>
      <c r="V341" s="1"/>
      <c r="W341" s="1"/>
      <c r="X341" s="1"/>
      <c r="Y341" s="1"/>
      <c r="Z341" s="1"/>
    </row>
    <row r="342" customFormat="false" ht="15.75" hidden="false" customHeight="true" outlineLevel="0" collapsed="false">
      <c r="L342" s="1"/>
      <c r="M342" s="1"/>
      <c r="N342" s="1"/>
      <c r="O342" s="1"/>
      <c r="P342" s="1"/>
      <c r="Q342" s="1"/>
      <c r="R342" s="1"/>
      <c r="S342" s="1"/>
      <c r="T342" s="1"/>
      <c r="U342" s="1"/>
      <c r="V342" s="1"/>
      <c r="W342" s="1"/>
      <c r="X342" s="1"/>
      <c r="Y342" s="1"/>
      <c r="Z342" s="1"/>
    </row>
    <row r="343" customFormat="false" ht="15.75" hidden="false" customHeight="true" outlineLevel="0" collapsed="false">
      <c r="L343" s="1"/>
      <c r="M343" s="1"/>
      <c r="N343" s="1"/>
      <c r="O343" s="1"/>
      <c r="P343" s="1"/>
      <c r="Q343" s="1"/>
      <c r="R343" s="1"/>
      <c r="S343" s="1"/>
      <c r="T343" s="1"/>
      <c r="U343" s="1"/>
      <c r="V343" s="1"/>
      <c r="W343" s="1"/>
      <c r="X343" s="1"/>
      <c r="Y343" s="1"/>
      <c r="Z343" s="1"/>
    </row>
    <row r="344" customFormat="false" ht="15.75" hidden="false" customHeight="true" outlineLevel="0" collapsed="false">
      <c r="L344" s="1"/>
      <c r="M344" s="1"/>
      <c r="N344" s="1"/>
      <c r="O344" s="1"/>
      <c r="P344" s="1"/>
      <c r="Q344" s="1"/>
      <c r="R344" s="1"/>
      <c r="S344" s="1"/>
      <c r="T344" s="1"/>
      <c r="U344" s="1"/>
      <c r="V344" s="1"/>
      <c r="W344" s="1"/>
      <c r="X344" s="1"/>
      <c r="Y344" s="1"/>
      <c r="Z344" s="1"/>
    </row>
    <row r="345" customFormat="false" ht="15.75" hidden="false" customHeight="true" outlineLevel="0" collapsed="false">
      <c r="L345" s="1"/>
      <c r="M345" s="1"/>
      <c r="N345" s="1"/>
      <c r="O345" s="1"/>
      <c r="P345" s="1"/>
      <c r="Q345" s="1"/>
      <c r="R345" s="1"/>
      <c r="S345" s="1"/>
      <c r="T345" s="1"/>
      <c r="U345" s="1"/>
      <c r="V345" s="1"/>
      <c r="W345" s="1"/>
      <c r="X345" s="1"/>
      <c r="Y345" s="1"/>
      <c r="Z345" s="1"/>
    </row>
    <row r="346" customFormat="false" ht="15.75" hidden="false" customHeight="true" outlineLevel="0" collapsed="false">
      <c r="L346" s="1"/>
      <c r="M346" s="1"/>
      <c r="N346" s="1"/>
      <c r="O346" s="1"/>
      <c r="P346" s="1"/>
      <c r="Q346" s="1"/>
      <c r="R346" s="1"/>
      <c r="S346" s="1"/>
      <c r="T346" s="1"/>
      <c r="U346" s="1"/>
      <c r="V346" s="1"/>
      <c r="W346" s="1"/>
      <c r="X346" s="1"/>
      <c r="Y346" s="1"/>
      <c r="Z346" s="1"/>
    </row>
    <row r="347" customFormat="false" ht="15.75" hidden="false" customHeight="true" outlineLevel="0" collapsed="false">
      <c r="L347" s="1"/>
      <c r="M347" s="1"/>
      <c r="N347" s="1"/>
      <c r="O347" s="1"/>
      <c r="P347" s="1"/>
      <c r="Q347" s="1"/>
      <c r="R347" s="1"/>
      <c r="S347" s="1"/>
      <c r="T347" s="1"/>
      <c r="U347" s="1"/>
      <c r="V347" s="1"/>
      <c r="W347" s="1"/>
      <c r="X347" s="1"/>
      <c r="Y347" s="1"/>
      <c r="Z347" s="1"/>
    </row>
    <row r="348" customFormat="false" ht="15.75" hidden="false" customHeight="true" outlineLevel="0" collapsed="false">
      <c r="L348" s="1"/>
      <c r="M348" s="1"/>
      <c r="N348" s="1"/>
      <c r="O348" s="1"/>
      <c r="P348" s="1"/>
      <c r="Q348" s="1"/>
      <c r="R348" s="1"/>
      <c r="S348" s="1"/>
      <c r="T348" s="1"/>
      <c r="U348" s="1"/>
      <c r="V348" s="1"/>
      <c r="W348" s="1"/>
      <c r="X348" s="1"/>
      <c r="Y348" s="1"/>
      <c r="Z348" s="1"/>
    </row>
    <row r="349" customFormat="false" ht="15.75" hidden="false" customHeight="true" outlineLevel="0" collapsed="false">
      <c r="L349" s="1"/>
      <c r="M349" s="1"/>
      <c r="N349" s="1"/>
      <c r="O349" s="1"/>
      <c r="P349" s="1"/>
      <c r="Q349" s="1"/>
      <c r="R349" s="1"/>
      <c r="S349" s="1"/>
      <c r="T349" s="1"/>
      <c r="U349" s="1"/>
      <c r="V349" s="1"/>
      <c r="W349" s="1"/>
      <c r="X349" s="1"/>
      <c r="Y349" s="1"/>
      <c r="Z349" s="1"/>
    </row>
    <row r="350" customFormat="false" ht="15.75" hidden="false" customHeight="true" outlineLevel="0" collapsed="false">
      <c r="L350" s="1"/>
      <c r="M350" s="1"/>
      <c r="N350" s="1"/>
      <c r="O350" s="1"/>
      <c r="P350" s="1"/>
      <c r="Q350" s="1"/>
      <c r="R350" s="1"/>
      <c r="S350" s="1"/>
      <c r="T350" s="1"/>
      <c r="U350" s="1"/>
      <c r="V350" s="1"/>
      <c r="W350" s="1"/>
      <c r="X350" s="1"/>
      <c r="Y350" s="1"/>
      <c r="Z350" s="1"/>
    </row>
    <row r="351" customFormat="false" ht="15.75" hidden="false" customHeight="true" outlineLevel="0" collapsed="false">
      <c r="L351" s="1"/>
      <c r="M351" s="1"/>
      <c r="N351" s="1"/>
      <c r="O351" s="1"/>
      <c r="P351" s="1"/>
      <c r="Q351" s="1"/>
      <c r="R351" s="1"/>
      <c r="S351" s="1"/>
      <c r="T351" s="1"/>
      <c r="U351" s="1"/>
      <c r="V351" s="1"/>
      <c r="W351" s="1"/>
      <c r="X351" s="1"/>
      <c r="Y351" s="1"/>
      <c r="Z351" s="1"/>
    </row>
    <row r="352" customFormat="false" ht="15.75" hidden="false" customHeight="true" outlineLevel="0" collapsed="false">
      <c r="L352" s="1"/>
      <c r="M352" s="1"/>
      <c r="N352" s="1"/>
      <c r="O352" s="1"/>
      <c r="P352" s="1"/>
      <c r="Q352" s="1"/>
      <c r="R352" s="1"/>
      <c r="S352" s="1"/>
      <c r="T352" s="1"/>
      <c r="U352" s="1"/>
      <c r="V352" s="1"/>
      <c r="W352" s="1"/>
      <c r="X352" s="1"/>
      <c r="Y352" s="1"/>
      <c r="Z352" s="1"/>
    </row>
    <row r="353" customFormat="false" ht="15.75" hidden="false" customHeight="true" outlineLevel="0" collapsed="false">
      <c r="L353" s="1"/>
      <c r="M353" s="1"/>
      <c r="N353" s="1"/>
      <c r="O353" s="1"/>
      <c r="P353" s="1"/>
      <c r="Q353" s="1"/>
      <c r="R353" s="1"/>
      <c r="S353" s="1"/>
      <c r="T353" s="1"/>
      <c r="U353" s="1"/>
      <c r="V353" s="1"/>
      <c r="W353" s="1"/>
      <c r="X353" s="1"/>
      <c r="Y353" s="1"/>
      <c r="Z353" s="1"/>
    </row>
    <row r="354" customFormat="false" ht="15.75" hidden="false" customHeight="true" outlineLevel="0" collapsed="false">
      <c r="L354" s="1"/>
      <c r="M354" s="1"/>
      <c r="N354" s="1"/>
      <c r="O354" s="1"/>
      <c r="P354" s="1"/>
      <c r="Q354" s="1"/>
      <c r="R354" s="1"/>
      <c r="S354" s="1"/>
      <c r="T354" s="1"/>
      <c r="U354" s="1"/>
      <c r="V354" s="1"/>
      <c r="W354" s="1"/>
      <c r="X354" s="1"/>
      <c r="Y354" s="1"/>
      <c r="Z354" s="1"/>
    </row>
    <row r="355" customFormat="false" ht="15.75" hidden="false" customHeight="true" outlineLevel="0" collapsed="false">
      <c r="L355" s="1"/>
      <c r="M355" s="1"/>
      <c r="N355" s="1"/>
      <c r="O355" s="1"/>
      <c r="P355" s="1"/>
      <c r="Q355" s="1"/>
      <c r="R355" s="1"/>
      <c r="S355" s="1"/>
      <c r="T355" s="1"/>
      <c r="U355" s="1"/>
      <c r="V355" s="1"/>
      <c r="W355" s="1"/>
      <c r="X355" s="1"/>
      <c r="Y355" s="1"/>
      <c r="Z355" s="1"/>
    </row>
    <row r="356" customFormat="false" ht="15.75" hidden="false" customHeight="true" outlineLevel="0" collapsed="false">
      <c r="L356" s="1"/>
      <c r="M356" s="1"/>
      <c r="N356" s="1"/>
      <c r="O356" s="1"/>
      <c r="P356" s="1"/>
      <c r="Q356" s="1"/>
      <c r="R356" s="1"/>
      <c r="S356" s="1"/>
      <c r="T356" s="1"/>
      <c r="U356" s="1"/>
      <c r="V356" s="1"/>
      <c r="W356" s="1"/>
      <c r="X356" s="1"/>
      <c r="Y356" s="1"/>
      <c r="Z356" s="1"/>
    </row>
    <row r="357" customFormat="false" ht="15.75" hidden="false" customHeight="true" outlineLevel="0" collapsed="false">
      <c r="L357" s="1"/>
      <c r="M357" s="1"/>
      <c r="N357" s="1"/>
      <c r="O357" s="1"/>
      <c r="P357" s="1"/>
      <c r="Q357" s="1"/>
      <c r="R357" s="1"/>
      <c r="S357" s="1"/>
      <c r="T357" s="1"/>
      <c r="U357" s="1"/>
      <c r="V357" s="1"/>
      <c r="W357" s="1"/>
      <c r="X357" s="1"/>
      <c r="Y357" s="1"/>
      <c r="Z357" s="1"/>
    </row>
    <row r="358" customFormat="false" ht="15.75" hidden="false" customHeight="true" outlineLevel="0" collapsed="false">
      <c r="L358" s="1"/>
      <c r="M358" s="1"/>
      <c r="N358" s="1"/>
      <c r="O358" s="1"/>
      <c r="P358" s="1"/>
      <c r="Q358" s="1"/>
      <c r="R358" s="1"/>
      <c r="S358" s="1"/>
      <c r="T358" s="1"/>
      <c r="U358" s="1"/>
      <c r="V358" s="1"/>
      <c r="W358" s="1"/>
      <c r="X358" s="1"/>
      <c r="Y358" s="1"/>
      <c r="Z358" s="1"/>
    </row>
    <row r="359" customFormat="false" ht="15.75" hidden="false" customHeight="true" outlineLevel="0" collapsed="false">
      <c r="L359" s="1"/>
      <c r="M359" s="1"/>
      <c r="N359" s="1"/>
      <c r="O359" s="1"/>
      <c r="P359" s="1"/>
      <c r="Q359" s="1"/>
      <c r="R359" s="1"/>
      <c r="S359" s="1"/>
      <c r="T359" s="1"/>
      <c r="U359" s="1"/>
      <c r="V359" s="1"/>
      <c r="W359" s="1"/>
      <c r="X359" s="1"/>
      <c r="Y359" s="1"/>
      <c r="Z359" s="1"/>
    </row>
    <row r="360" customFormat="false" ht="15.75" hidden="false" customHeight="true" outlineLevel="0" collapsed="false">
      <c r="L360" s="1"/>
      <c r="M360" s="1"/>
      <c r="N360" s="1"/>
      <c r="O360" s="1"/>
      <c r="P360" s="1"/>
      <c r="Q360" s="1"/>
      <c r="R360" s="1"/>
      <c r="S360" s="1"/>
      <c r="T360" s="1"/>
      <c r="U360" s="1"/>
      <c r="V360" s="1"/>
      <c r="W360" s="1"/>
      <c r="X360" s="1"/>
      <c r="Y360" s="1"/>
      <c r="Z360" s="1"/>
    </row>
    <row r="361" customFormat="false" ht="15.75" hidden="false" customHeight="true" outlineLevel="0" collapsed="false">
      <c r="L361" s="1"/>
      <c r="M361" s="1"/>
      <c r="N361" s="1"/>
      <c r="O361" s="1"/>
      <c r="P361" s="1"/>
      <c r="Q361" s="1"/>
      <c r="R361" s="1"/>
      <c r="S361" s="1"/>
      <c r="T361" s="1"/>
      <c r="U361" s="1"/>
      <c r="V361" s="1"/>
      <c r="W361" s="1"/>
      <c r="X361" s="1"/>
      <c r="Y361" s="1"/>
      <c r="Z361" s="1"/>
    </row>
    <row r="362" customFormat="false" ht="15.75" hidden="false" customHeight="true" outlineLevel="0" collapsed="false">
      <c r="L362" s="1"/>
      <c r="M362" s="1"/>
      <c r="N362" s="1"/>
      <c r="O362" s="1"/>
      <c r="P362" s="1"/>
      <c r="Q362" s="1"/>
      <c r="R362" s="1"/>
      <c r="S362" s="1"/>
      <c r="T362" s="1"/>
      <c r="U362" s="1"/>
      <c r="V362" s="1"/>
      <c r="W362" s="1"/>
      <c r="X362" s="1"/>
      <c r="Y362" s="1"/>
      <c r="Z362" s="1"/>
    </row>
    <row r="363" customFormat="false" ht="15.75" hidden="false" customHeight="true" outlineLevel="0" collapsed="false">
      <c r="L363" s="1"/>
      <c r="M363" s="1"/>
      <c r="N363" s="1"/>
      <c r="O363" s="1"/>
      <c r="P363" s="1"/>
      <c r="Q363" s="1"/>
      <c r="R363" s="1"/>
      <c r="S363" s="1"/>
      <c r="T363" s="1"/>
      <c r="U363" s="1"/>
      <c r="V363" s="1"/>
      <c r="W363" s="1"/>
      <c r="X363" s="1"/>
      <c r="Y363" s="1"/>
      <c r="Z363" s="1"/>
    </row>
    <row r="364" customFormat="false" ht="15.75" hidden="false" customHeight="true" outlineLevel="0" collapsed="false">
      <c r="L364" s="1"/>
      <c r="M364" s="1"/>
      <c r="N364" s="1"/>
      <c r="O364" s="1"/>
      <c r="P364" s="1"/>
      <c r="Q364" s="1"/>
      <c r="R364" s="1"/>
      <c r="S364" s="1"/>
      <c r="T364" s="1"/>
      <c r="U364" s="1"/>
      <c r="V364" s="1"/>
      <c r="W364" s="1"/>
      <c r="X364" s="1"/>
      <c r="Y364" s="1"/>
      <c r="Z364" s="1"/>
    </row>
    <row r="365" customFormat="false" ht="15.75" hidden="false" customHeight="true" outlineLevel="0" collapsed="false">
      <c r="L365" s="1"/>
      <c r="M365" s="1"/>
      <c r="N365" s="1"/>
      <c r="O365" s="1"/>
      <c r="P365" s="1"/>
      <c r="Q365" s="1"/>
      <c r="R365" s="1"/>
      <c r="S365" s="1"/>
      <c r="T365" s="1"/>
      <c r="U365" s="1"/>
      <c r="V365" s="1"/>
      <c r="W365" s="1"/>
      <c r="X365" s="1"/>
      <c r="Y365" s="1"/>
      <c r="Z365" s="1"/>
    </row>
    <row r="366" customFormat="false" ht="15.75" hidden="false" customHeight="true" outlineLevel="0" collapsed="false">
      <c r="L366" s="1"/>
      <c r="M366" s="1"/>
      <c r="N366" s="1"/>
      <c r="O366" s="1"/>
      <c r="P366" s="1"/>
      <c r="Q366" s="1"/>
      <c r="R366" s="1"/>
      <c r="S366" s="1"/>
      <c r="T366" s="1"/>
      <c r="U366" s="1"/>
      <c r="V366" s="1"/>
      <c r="W366" s="1"/>
      <c r="X366" s="1"/>
      <c r="Y366" s="1"/>
      <c r="Z366" s="1"/>
    </row>
    <row r="367" customFormat="false" ht="15.75" hidden="false" customHeight="true" outlineLevel="0" collapsed="false">
      <c r="L367" s="1"/>
      <c r="M367" s="1"/>
      <c r="N367" s="1"/>
      <c r="O367" s="1"/>
      <c r="P367" s="1"/>
      <c r="Q367" s="1"/>
      <c r="R367" s="1"/>
      <c r="S367" s="1"/>
      <c r="T367" s="1"/>
      <c r="U367" s="1"/>
      <c r="V367" s="1"/>
      <c r="W367" s="1"/>
      <c r="X367" s="1"/>
      <c r="Y367" s="1"/>
      <c r="Z367" s="1"/>
    </row>
    <row r="368" customFormat="false" ht="15.75" hidden="false" customHeight="true" outlineLevel="0" collapsed="false">
      <c r="L368" s="1"/>
      <c r="M368" s="1"/>
      <c r="N368" s="1"/>
      <c r="O368" s="1"/>
      <c r="P368" s="1"/>
      <c r="Q368" s="1"/>
      <c r="R368" s="1"/>
      <c r="S368" s="1"/>
      <c r="T368" s="1"/>
      <c r="U368" s="1"/>
      <c r="V368" s="1"/>
      <c r="W368" s="1"/>
      <c r="X368" s="1"/>
      <c r="Y368" s="1"/>
      <c r="Z368" s="1"/>
    </row>
    <row r="369" customFormat="false" ht="15.75" hidden="false" customHeight="true" outlineLevel="0" collapsed="false">
      <c r="L369" s="1"/>
      <c r="M369" s="1"/>
      <c r="N369" s="1"/>
      <c r="O369" s="1"/>
      <c r="P369" s="1"/>
      <c r="Q369" s="1"/>
      <c r="R369" s="1"/>
      <c r="S369" s="1"/>
      <c r="T369" s="1"/>
      <c r="U369" s="1"/>
      <c r="V369" s="1"/>
      <c r="W369" s="1"/>
      <c r="X369" s="1"/>
      <c r="Y369" s="1"/>
      <c r="Z369" s="1"/>
    </row>
    <row r="370" customFormat="false" ht="15.75" hidden="false" customHeight="true" outlineLevel="0" collapsed="false">
      <c r="L370" s="1"/>
      <c r="M370" s="1"/>
      <c r="N370" s="1"/>
      <c r="O370" s="1"/>
      <c r="P370" s="1"/>
      <c r="Q370" s="1"/>
      <c r="R370" s="1"/>
      <c r="S370" s="1"/>
      <c r="T370" s="1"/>
      <c r="U370" s="1"/>
      <c r="V370" s="1"/>
      <c r="W370" s="1"/>
      <c r="X370" s="1"/>
      <c r="Y370" s="1"/>
      <c r="Z370" s="1"/>
    </row>
    <row r="371" customFormat="false" ht="15.75" hidden="false" customHeight="true" outlineLevel="0" collapsed="false">
      <c r="L371" s="1"/>
      <c r="M371" s="1"/>
      <c r="N371" s="1"/>
      <c r="O371" s="1"/>
      <c r="P371" s="1"/>
      <c r="Q371" s="1"/>
      <c r="R371" s="1"/>
      <c r="S371" s="1"/>
      <c r="T371" s="1"/>
      <c r="U371" s="1"/>
      <c r="V371" s="1"/>
      <c r="W371" s="1"/>
      <c r="X371" s="1"/>
      <c r="Y371" s="1"/>
      <c r="Z371" s="1"/>
    </row>
    <row r="372" customFormat="false" ht="15.75" hidden="false" customHeight="true" outlineLevel="0" collapsed="false">
      <c r="L372" s="1"/>
      <c r="M372" s="1"/>
      <c r="N372" s="1"/>
      <c r="O372" s="1"/>
      <c r="P372" s="1"/>
      <c r="Q372" s="1"/>
      <c r="R372" s="1"/>
      <c r="S372" s="1"/>
      <c r="T372" s="1"/>
      <c r="U372" s="1"/>
      <c r="V372" s="1"/>
      <c r="W372" s="1"/>
      <c r="X372" s="1"/>
      <c r="Y372" s="1"/>
      <c r="Z372" s="1"/>
    </row>
    <row r="373" customFormat="false" ht="15.75" hidden="false" customHeight="true" outlineLevel="0" collapsed="false">
      <c r="L373" s="1"/>
      <c r="M373" s="1"/>
      <c r="N373" s="1"/>
      <c r="O373" s="1"/>
      <c r="P373" s="1"/>
      <c r="Q373" s="1"/>
      <c r="R373" s="1"/>
      <c r="S373" s="1"/>
      <c r="T373" s="1"/>
      <c r="U373" s="1"/>
      <c r="V373" s="1"/>
      <c r="W373" s="1"/>
      <c r="X373" s="1"/>
      <c r="Y373" s="1"/>
      <c r="Z373" s="1"/>
    </row>
    <row r="374" customFormat="false" ht="15.75" hidden="false" customHeight="true" outlineLevel="0" collapsed="false">
      <c r="L374" s="1"/>
      <c r="M374" s="1"/>
      <c r="N374" s="1"/>
      <c r="O374" s="1"/>
      <c r="P374" s="1"/>
      <c r="Q374" s="1"/>
      <c r="R374" s="1"/>
      <c r="S374" s="1"/>
      <c r="T374" s="1"/>
      <c r="U374" s="1"/>
      <c r="V374" s="1"/>
      <c r="W374" s="1"/>
      <c r="X374" s="1"/>
      <c r="Y374" s="1"/>
      <c r="Z374" s="1"/>
    </row>
    <row r="375" customFormat="false" ht="15.75" hidden="false" customHeight="true" outlineLevel="0" collapsed="false">
      <c r="L375" s="1"/>
      <c r="M375" s="1"/>
      <c r="N375" s="1"/>
      <c r="O375" s="1"/>
      <c r="P375" s="1"/>
      <c r="Q375" s="1"/>
      <c r="R375" s="1"/>
      <c r="S375" s="1"/>
      <c r="T375" s="1"/>
      <c r="U375" s="1"/>
      <c r="V375" s="1"/>
      <c r="W375" s="1"/>
      <c r="X375" s="1"/>
      <c r="Y375" s="1"/>
      <c r="Z375" s="1"/>
    </row>
    <row r="376" customFormat="false" ht="15.75" hidden="false" customHeight="true" outlineLevel="0" collapsed="false">
      <c r="L376" s="1"/>
      <c r="M376" s="1"/>
      <c r="N376" s="1"/>
      <c r="O376" s="1"/>
      <c r="P376" s="1"/>
      <c r="Q376" s="1"/>
      <c r="R376" s="1"/>
      <c r="S376" s="1"/>
      <c r="T376" s="1"/>
      <c r="U376" s="1"/>
      <c r="V376" s="1"/>
      <c r="W376" s="1"/>
      <c r="X376" s="1"/>
      <c r="Y376" s="1"/>
      <c r="Z376" s="1"/>
    </row>
    <row r="377" customFormat="false" ht="15.75" hidden="false" customHeight="true" outlineLevel="0" collapsed="false">
      <c r="L377" s="1"/>
      <c r="M377" s="1"/>
      <c r="N377" s="1"/>
      <c r="O377" s="1"/>
      <c r="P377" s="1"/>
      <c r="Q377" s="1"/>
      <c r="R377" s="1"/>
      <c r="S377" s="1"/>
      <c r="T377" s="1"/>
      <c r="U377" s="1"/>
      <c r="V377" s="1"/>
      <c r="W377" s="1"/>
      <c r="X377" s="1"/>
      <c r="Y377" s="1"/>
      <c r="Z377" s="1"/>
    </row>
    <row r="378" customFormat="false" ht="15.75" hidden="false" customHeight="true" outlineLevel="0" collapsed="false">
      <c r="L378" s="1"/>
      <c r="M378" s="1"/>
      <c r="N378" s="1"/>
      <c r="O378" s="1"/>
      <c r="P378" s="1"/>
      <c r="Q378" s="1"/>
      <c r="R378" s="1"/>
      <c r="S378" s="1"/>
      <c r="T378" s="1"/>
      <c r="U378" s="1"/>
      <c r="V378" s="1"/>
      <c r="W378" s="1"/>
      <c r="X378" s="1"/>
      <c r="Y378" s="1"/>
      <c r="Z378" s="1"/>
    </row>
    <row r="379" customFormat="false" ht="15.75" hidden="false" customHeight="true" outlineLevel="0" collapsed="false">
      <c r="L379" s="1"/>
      <c r="M379" s="1"/>
      <c r="N379" s="1"/>
      <c r="O379" s="1"/>
      <c r="P379" s="1"/>
      <c r="Q379" s="1"/>
      <c r="R379" s="1"/>
      <c r="S379" s="1"/>
      <c r="T379" s="1"/>
      <c r="U379" s="1"/>
      <c r="V379" s="1"/>
      <c r="W379" s="1"/>
      <c r="X379" s="1"/>
      <c r="Y379" s="1"/>
      <c r="Z379" s="1"/>
    </row>
    <row r="380" customFormat="false" ht="15.75" hidden="false" customHeight="true" outlineLevel="0" collapsed="false">
      <c r="L380" s="1"/>
      <c r="M380" s="1"/>
      <c r="N380" s="1"/>
      <c r="O380" s="1"/>
      <c r="P380" s="1"/>
      <c r="Q380" s="1"/>
      <c r="R380" s="1"/>
      <c r="S380" s="1"/>
      <c r="T380" s="1"/>
      <c r="U380" s="1"/>
      <c r="V380" s="1"/>
      <c r="W380" s="1"/>
      <c r="X380" s="1"/>
      <c r="Y380" s="1"/>
      <c r="Z380" s="1"/>
    </row>
    <row r="381" customFormat="false" ht="15.75" hidden="false" customHeight="true" outlineLevel="0" collapsed="false">
      <c r="L381" s="1"/>
      <c r="M381" s="1"/>
      <c r="N381" s="1"/>
      <c r="O381" s="1"/>
      <c r="P381" s="1"/>
      <c r="Q381" s="1"/>
      <c r="R381" s="1"/>
      <c r="S381" s="1"/>
      <c r="T381" s="1"/>
      <c r="U381" s="1"/>
      <c r="V381" s="1"/>
      <c r="W381" s="1"/>
      <c r="X381" s="1"/>
      <c r="Y381" s="1"/>
      <c r="Z381" s="1"/>
    </row>
    <row r="382" customFormat="false" ht="15.75" hidden="false" customHeight="true" outlineLevel="0" collapsed="false">
      <c r="L382" s="1"/>
      <c r="M382" s="1"/>
      <c r="N382" s="1"/>
      <c r="O382" s="1"/>
      <c r="P382" s="1"/>
      <c r="Q382" s="1"/>
      <c r="R382" s="1"/>
      <c r="S382" s="1"/>
      <c r="T382" s="1"/>
      <c r="U382" s="1"/>
      <c r="V382" s="1"/>
      <c r="W382" s="1"/>
      <c r="X382" s="1"/>
      <c r="Y382" s="1"/>
      <c r="Z382" s="1"/>
    </row>
    <row r="383" customFormat="false" ht="15.75" hidden="false" customHeight="true" outlineLevel="0" collapsed="false">
      <c r="L383" s="1"/>
      <c r="M383" s="1"/>
      <c r="N383" s="1"/>
      <c r="O383" s="1"/>
      <c r="P383" s="1"/>
      <c r="Q383" s="1"/>
      <c r="R383" s="1"/>
      <c r="S383" s="1"/>
      <c r="T383" s="1"/>
      <c r="U383" s="1"/>
      <c r="V383" s="1"/>
      <c r="W383" s="1"/>
      <c r="X383" s="1"/>
      <c r="Y383" s="1"/>
      <c r="Z383" s="1"/>
    </row>
    <row r="384" customFormat="false" ht="15.75" hidden="false" customHeight="true" outlineLevel="0" collapsed="false">
      <c r="L384" s="1"/>
      <c r="M384" s="1"/>
      <c r="N384" s="1"/>
      <c r="O384" s="1"/>
      <c r="P384" s="1"/>
      <c r="Q384" s="1"/>
      <c r="R384" s="1"/>
      <c r="S384" s="1"/>
      <c r="T384" s="1"/>
      <c r="U384" s="1"/>
      <c r="V384" s="1"/>
      <c r="W384" s="1"/>
      <c r="X384" s="1"/>
      <c r="Y384" s="1"/>
      <c r="Z384" s="1"/>
    </row>
    <row r="385" customFormat="false" ht="15.75" hidden="false" customHeight="true" outlineLevel="0" collapsed="false">
      <c r="L385" s="1"/>
      <c r="M385" s="1"/>
      <c r="N385" s="1"/>
      <c r="O385" s="1"/>
      <c r="P385" s="1"/>
      <c r="Q385" s="1"/>
      <c r="R385" s="1"/>
      <c r="S385" s="1"/>
      <c r="T385" s="1"/>
      <c r="U385" s="1"/>
      <c r="V385" s="1"/>
      <c r="W385" s="1"/>
      <c r="X385" s="1"/>
      <c r="Y385" s="1"/>
      <c r="Z385" s="1"/>
    </row>
    <row r="386" customFormat="false" ht="15.75" hidden="false" customHeight="true" outlineLevel="0" collapsed="false">
      <c r="L386" s="1"/>
      <c r="M386" s="1"/>
      <c r="N386" s="1"/>
      <c r="O386" s="1"/>
      <c r="P386" s="1"/>
      <c r="Q386" s="1"/>
      <c r="R386" s="1"/>
      <c r="S386" s="1"/>
      <c r="T386" s="1"/>
      <c r="U386" s="1"/>
      <c r="V386" s="1"/>
      <c r="W386" s="1"/>
      <c r="X386" s="1"/>
      <c r="Y386" s="1"/>
      <c r="Z386" s="1"/>
    </row>
    <row r="387" customFormat="false" ht="15.75" hidden="false" customHeight="true" outlineLevel="0" collapsed="false">
      <c r="L387" s="1"/>
      <c r="M387" s="1"/>
      <c r="N387" s="1"/>
      <c r="O387" s="1"/>
      <c r="P387" s="1"/>
      <c r="Q387" s="1"/>
      <c r="R387" s="1"/>
      <c r="S387" s="1"/>
      <c r="T387" s="1"/>
      <c r="U387" s="1"/>
      <c r="V387" s="1"/>
      <c r="W387" s="1"/>
      <c r="X387" s="1"/>
      <c r="Y387" s="1"/>
      <c r="Z387" s="1"/>
    </row>
    <row r="388" customFormat="false" ht="15.75" hidden="false" customHeight="true" outlineLevel="0" collapsed="false">
      <c r="L388" s="1"/>
      <c r="M388" s="1"/>
      <c r="N388" s="1"/>
      <c r="O388" s="1"/>
      <c r="P388" s="1"/>
      <c r="Q388" s="1"/>
      <c r="R388" s="1"/>
      <c r="S388" s="1"/>
      <c r="T388" s="1"/>
      <c r="U388" s="1"/>
      <c r="V388" s="1"/>
      <c r="W388" s="1"/>
      <c r="X388" s="1"/>
      <c r="Y388" s="1"/>
      <c r="Z388" s="1"/>
    </row>
    <row r="389" customFormat="false" ht="15.75" hidden="false" customHeight="true" outlineLevel="0" collapsed="false">
      <c r="L389" s="1"/>
      <c r="M389" s="1"/>
      <c r="N389" s="1"/>
      <c r="O389" s="1"/>
      <c r="P389" s="1"/>
      <c r="Q389" s="1"/>
      <c r="R389" s="1"/>
      <c r="S389" s="1"/>
      <c r="T389" s="1"/>
      <c r="U389" s="1"/>
      <c r="V389" s="1"/>
      <c r="W389" s="1"/>
      <c r="X389" s="1"/>
      <c r="Y389" s="1"/>
      <c r="Z389" s="1"/>
    </row>
    <row r="390" customFormat="false" ht="15.75" hidden="false" customHeight="true" outlineLevel="0" collapsed="false">
      <c r="L390" s="1"/>
      <c r="M390" s="1"/>
      <c r="N390" s="1"/>
      <c r="O390" s="1"/>
      <c r="P390" s="1"/>
      <c r="Q390" s="1"/>
      <c r="R390" s="1"/>
      <c r="S390" s="1"/>
      <c r="T390" s="1"/>
      <c r="U390" s="1"/>
      <c r="V390" s="1"/>
      <c r="W390" s="1"/>
      <c r="X390" s="1"/>
      <c r="Y390" s="1"/>
      <c r="Z390" s="1"/>
    </row>
    <row r="391" customFormat="false" ht="15.75" hidden="false" customHeight="true" outlineLevel="0" collapsed="false">
      <c r="L391" s="1"/>
      <c r="M391" s="1"/>
      <c r="N391" s="1"/>
      <c r="O391" s="1"/>
      <c r="P391" s="1"/>
      <c r="Q391" s="1"/>
      <c r="R391" s="1"/>
      <c r="S391" s="1"/>
      <c r="T391" s="1"/>
      <c r="U391" s="1"/>
      <c r="V391" s="1"/>
      <c r="W391" s="1"/>
      <c r="X391" s="1"/>
      <c r="Y391" s="1"/>
      <c r="Z391" s="1"/>
    </row>
    <row r="392" customFormat="false" ht="15.75" hidden="false" customHeight="true" outlineLevel="0" collapsed="false">
      <c r="L392" s="1"/>
      <c r="M392" s="1"/>
      <c r="N392" s="1"/>
      <c r="O392" s="1"/>
      <c r="P392" s="1"/>
      <c r="Q392" s="1"/>
      <c r="R392" s="1"/>
      <c r="S392" s="1"/>
      <c r="T392" s="1"/>
      <c r="U392" s="1"/>
      <c r="V392" s="1"/>
      <c r="W392" s="1"/>
      <c r="X392" s="1"/>
      <c r="Y392" s="1"/>
      <c r="Z392" s="1"/>
    </row>
    <row r="393" customFormat="false" ht="15.75" hidden="false" customHeight="true" outlineLevel="0" collapsed="false">
      <c r="L393" s="1"/>
      <c r="M393" s="1"/>
      <c r="N393" s="1"/>
      <c r="O393" s="1"/>
      <c r="P393" s="1"/>
      <c r="Q393" s="1"/>
      <c r="R393" s="1"/>
      <c r="S393" s="1"/>
      <c r="T393" s="1"/>
      <c r="U393" s="1"/>
      <c r="V393" s="1"/>
      <c r="W393" s="1"/>
      <c r="X393" s="1"/>
      <c r="Y393" s="1"/>
      <c r="Z393" s="1"/>
    </row>
    <row r="394" customFormat="false" ht="15.75" hidden="false" customHeight="true" outlineLevel="0" collapsed="false">
      <c r="L394" s="1"/>
      <c r="M394" s="1"/>
      <c r="N394" s="1"/>
      <c r="O394" s="1"/>
      <c r="P394" s="1"/>
      <c r="Q394" s="1"/>
      <c r="R394" s="1"/>
      <c r="S394" s="1"/>
      <c r="T394" s="1"/>
      <c r="U394" s="1"/>
      <c r="V394" s="1"/>
      <c r="W394" s="1"/>
      <c r="X394" s="1"/>
      <c r="Y394" s="1"/>
      <c r="Z394" s="1"/>
    </row>
    <row r="395" customFormat="false" ht="15.75" hidden="false" customHeight="true" outlineLevel="0" collapsed="false">
      <c r="L395" s="1"/>
      <c r="M395" s="1"/>
      <c r="N395" s="1"/>
      <c r="O395" s="1"/>
      <c r="P395" s="1"/>
      <c r="Q395" s="1"/>
      <c r="R395" s="1"/>
      <c r="S395" s="1"/>
      <c r="T395" s="1"/>
      <c r="U395" s="1"/>
      <c r="V395" s="1"/>
      <c r="W395" s="1"/>
      <c r="X395" s="1"/>
      <c r="Y395" s="1"/>
      <c r="Z395" s="1"/>
    </row>
    <row r="396" customFormat="false" ht="15.75" hidden="false" customHeight="true" outlineLevel="0" collapsed="false">
      <c r="L396" s="1"/>
      <c r="M396" s="1"/>
      <c r="N396" s="1"/>
      <c r="O396" s="1"/>
      <c r="P396" s="1"/>
      <c r="Q396" s="1"/>
      <c r="R396" s="1"/>
      <c r="S396" s="1"/>
      <c r="T396" s="1"/>
      <c r="U396" s="1"/>
      <c r="V396" s="1"/>
      <c r="W396" s="1"/>
      <c r="X396" s="1"/>
      <c r="Y396" s="1"/>
      <c r="Z396" s="1"/>
    </row>
    <row r="397" customFormat="false" ht="15.75" hidden="false" customHeight="true" outlineLevel="0" collapsed="false">
      <c r="L397" s="1"/>
      <c r="M397" s="1"/>
      <c r="N397" s="1"/>
      <c r="O397" s="1"/>
      <c r="P397" s="1"/>
      <c r="Q397" s="1"/>
      <c r="R397" s="1"/>
      <c r="S397" s="1"/>
      <c r="T397" s="1"/>
      <c r="U397" s="1"/>
      <c r="V397" s="1"/>
      <c r="W397" s="1"/>
      <c r="X397" s="1"/>
      <c r="Y397" s="1"/>
      <c r="Z397" s="1"/>
    </row>
    <row r="398" customFormat="false" ht="15.75" hidden="false" customHeight="true" outlineLevel="0" collapsed="false">
      <c r="L398" s="1"/>
      <c r="M398" s="1"/>
      <c r="N398" s="1"/>
      <c r="O398" s="1"/>
      <c r="P398" s="1"/>
      <c r="Q398" s="1"/>
      <c r="R398" s="1"/>
      <c r="S398" s="1"/>
      <c r="T398" s="1"/>
      <c r="U398" s="1"/>
      <c r="V398" s="1"/>
      <c r="W398" s="1"/>
      <c r="X398" s="1"/>
      <c r="Y398" s="1"/>
      <c r="Z398" s="1"/>
    </row>
    <row r="399" customFormat="false" ht="15.75" hidden="false" customHeight="true" outlineLevel="0" collapsed="false">
      <c r="L399" s="1"/>
      <c r="M399" s="1"/>
      <c r="N399" s="1"/>
      <c r="O399" s="1"/>
      <c r="P399" s="1"/>
      <c r="Q399" s="1"/>
      <c r="R399" s="1"/>
      <c r="S399" s="1"/>
      <c r="T399" s="1"/>
      <c r="U399" s="1"/>
      <c r="V399" s="1"/>
      <c r="W399" s="1"/>
      <c r="X399" s="1"/>
      <c r="Y399" s="1"/>
      <c r="Z399" s="1"/>
    </row>
    <row r="400" customFormat="false" ht="15.75" hidden="false" customHeight="true" outlineLevel="0" collapsed="false">
      <c r="L400" s="1"/>
      <c r="M400" s="1"/>
      <c r="N400" s="1"/>
      <c r="O400" s="1"/>
      <c r="P400" s="1"/>
      <c r="Q400" s="1"/>
      <c r="R400" s="1"/>
      <c r="S400" s="1"/>
      <c r="T400" s="1"/>
      <c r="U400" s="1"/>
      <c r="V400" s="1"/>
      <c r="W400" s="1"/>
      <c r="X400" s="1"/>
      <c r="Y400" s="1"/>
      <c r="Z400" s="1"/>
    </row>
    <row r="401" customFormat="false" ht="15.75" hidden="false" customHeight="true" outlineLevel="0" collapsed="false">
      <c r="L401" s="1"/>
      <c r="M401" s="1"/>
      <c r="N401" s="1"/>
      <c r="O401" s="1"/>
      <c r="P401" s="1"/>
      <c r="Q401" s="1"/>
      <c r="R401" s="1"/>
      <c r="S401" s="1"/>
      <c r="T401" s="1"/>
      <c r="U401" s="1"/>
      <c r="V401" s="1"/>
      <c r="W401" s="1"/>
      <c r="X401" s="1"/>
      <c r="Y401" s="1"/>
      <c r="Z401" s="1"/>
    </row>
    <row r="402" customFormat="false" ht="15.75" hidden="false" customHeight="true" outlineLevel="0" collapsed="false">
      <c r="L402" s="1"/>
      <c r="M402" s="1"/>
      <c r="N402" s="1"/>
      <c r="O402" s="1"/>
      <c r="P402" s="1"/>
      <c r="Q402" s="1"/>
      <c r="R402" s="1"/>
      <c r="S402" s="1"/>
      <c r="T402" s="1"/>
      <c r="U402" s="1"/>
      <c r="V402" s="1"/>
      <c r="W402" s="1"/>
      <c r="X402" s="1"/>
      <c r="Y402" s="1"/>
      <c r="Z402" s="1"/>
    </row>
    <row r="403" customFormat="false" ht="15.75" hidden="false" customHeight="true" outlineLevel="0" collapsed="false">
      <c r="L403" s="1"/>
      <c r="M403" s="1"/>
      <c r="N403" s="1"/>
      <c r="O403" s="1"/>
      <c r="P403" s="1"/>
      <c r="Q403" s="1"/>
      <c r="R403" s="1"/>
      <c r="S403" s="1"/>
      <c r="T403" s="1"/>
      <c r="U403" s="1"/>
      <c r="V403" s="1"/>
      <c r="W403" s="1"/>
      <c r="X403" s="1"/>
      <c r="Y403" s="1"/>
      <c r="Z403" s="1"/>
    </row>
    <row r="404" customFormat="false" ht="15.75" hidden="false" customHeight="true" outlineLevel="0" collapsed="false">
      <c r="L404" s="1"/>
      <c r="M404" s="1"/>
      <c r="N404" s="1"/>
      <c r="O404" s="1"/>
      <c r="P404" s="1"/>
      <c r="Q404" s="1"/>
      <c r="R404" s="1"/>
      <c r="S404" s="1"/>
      <c r="T404" s="1"/>
      <c r="U404" s="1"/>
      <c r="V404" s="1"/>
      <c r="W404" s="1"/>
      <c r="X404" s="1"/>
      <c r="Y404" s="1"/>
      <c r="Z404" s="1"/>
    </row>
    <row r="405" customFormat="false" ht="15.75" hidden="false" customHeight="true" outlineLevel="0" collapsed="false">
      <c r="L405" s="1"/>
      <c r="M405" s="1"/>
      <c r="N405" s="1"/>
      <c r="O405" s="1"/>
      <c r="P405" s="1"/>
      <c r="Q405" s="1"/>
      <c r="R405" s="1"/>
      <c r="S405" s="1"/>
      <c r="T405" s="1"/>
      <c r="U405" s="1"/>
      <c r="V405" s="1"/>
      <c r="W405" s="1"/>
      <c r="X405" s="1"/>
      <c r="Y405" s="1"/>
      <c r="Z405" s="1"/>
    </row>
    <row r="406" customFormat="false" ht="15.75" hidden="false" customHeight="true" outlineLevel="0" collapsed="false">
      <c r="L406" s="1"/>
      <c r="M406" s="1"/>
      <c r="N406" s="1"/>
      <c r="O406" s="1"/>
      <c r="P406" s="1"/>
      <c r="Q406" s="1"/>
      <c r="R406" s="1"/>
      <c r="S406" s="1"/>
      <c r="T406" s="1"/>
      <c r="U406" s="1"/>
      <c r="V406" s="1"/>
      <c r="W406" s="1"/>
      <c r="X406" s="1"/>
      <c r="Y406" s="1"/>
      <c r="Z406" s="1"/>
    </row>
    <row r="407" customFormat="false" ht="15.75" hidden="false" customHeight="true" outlineLevel="0" collapsed="false">
      <c r="L407" s="1"/>
      <c r="M407" s="1"/>
      <c r="N407" s="1"/>
      <c r="O407" s="1"/>
      <c r="P407" s="1"/>
      <c r="Q407" s="1"/>
      <c r="R407" s="1"/>
      <c r="S407" s="1"/>
      <c r="T407" s="1"/>
      <c r="U407" s="1"/>
      <c r="V407" s="1"/>
      <c r="W407" s="1"/>
      <c r="X407" s="1"/>
      <c r="Y407" s="1"/>
      <c r="Z407" s="1"/>
    </row>
    <row r="408" customFormat="false" ht="15.75" hidden="false" customHeight="true" outlineLevel="0" collapsed="false">
      <c r="L408" s="1"/>
      <c r="M408" s="1"/>
      <c r="N408" s="1"/>
      <c r="O408" s="1"/>
      <c r="P408" s="1"/>
      <c r="Q408" s="1"/>
      <c r="R408" s="1"/>
      <c r="S408" s="1"/>
      <c r="T408" s="1"/>
      <c r="U408" s="1"/>
      <c r="V408" s="1"/>
      <c r="W408" s="1"/>
      <c r="X408" s="1"/>
      <c r="Y408" s="1"/>
      <c r="Z408" s="1"/>
    </row>
    <row r="409" customFormat="false" ht="15.75" hidden="false" customHeight="true" outlineLevel="0" collapsed="false">
      <c r="L409" s="1"/>
      <c r="M409" s="1"/>
      <c r="N409" s="1"/>
      <c r="O409" s="1"/>
      <c r="P409" s="1"/>
      <c r="Q409" s="1"/>
      <c r="R409" s="1"/>
      <c r="S409" s="1"/>
      <c r="T409" s="1"/>
      <c r="U409" s="1"/>
      <c r="V409" s="1"/>
      <c r="W409" s="1"/>
      <c r="X409" s="1"/>
      <c r="Y409" s="1"/>
      <c r="Z409" s="1"/>
    </row>
    <row r="410" customFormat="false" ht="15.75" hidden="false" customHeight="true" outlineLevel="0" collapsed="false">
      <c r="L410" s="1"/>
      <c r="M410" s="1"/>
      <c r="N410" s="1"/>
      <c r="O410" s="1"/>
      <c r="P410" s="1"/>
      <c r="Q410" s="1"/>
      <c r="R410" s="1"/>
      <c r="S410" s="1"/>
      <c r="T410" s="1"/>
      <c r="U410" s="1"/>
      <c r="V410" s="1"/>
      <c r="W410" s="1"/>
      <c r="X410" s="1"/>
      <c r="Y410" s="1"/>
      <c r="Z410" s="1"/>
    </row>
    <row r="411" customFormat="false" ht="15.75" hidden="false" customHeight="true" outlineLevel="0" collapsed="false">
      <c r="L411" s="1"/>
      <c r="M411" s="1"/>
      <c r="N411" s="1"/>
      <c r="O411" s="1"/>
      <c r="P411" s="1"/>
      <c r="Q411" s="1"/>
      <c r="R411" s="1"/>
      <c r="S411" s="1"/>
      <c r="T411" s="1"/>
      <c r="U411" s="1"/>
      <c r="V411" s="1"/>
      <c r="W411" s="1"/>
      <c r="X411" s="1"/>
      <c r="Y411" s="1"/>
      <c r="Z411" s="1"/>
    </row>
    <row r="412" customFormat="false" ht="15.75" hidden="false" customHeight="true" outlineLevel="0" collapsed="false">
      <c r="L412" s="1"/>
      <c r="M412" s="1"/>
      <c r="N412" s="1"/>
      <c r="O412" s="1"/>
      <c r="P412" s="1"/>
      <c r="Q412" s="1"/>
      <c r="R412" s="1"/>
      <c r="S412" s="1"/>
      <c r="T412" s="1"/>
      <c r="U412" s="1"/>
      <c r="V412" s="1"/>
      <c r="W412" s="1"/>
      <c r="X412" s="1"/>
      <c r="Y412" s="1"/>
      <c r="Z412" s="1"/>
    </row>
    <row r="413" customFormat="false" ht="15.75" hidden="false" customHeight="true" outlineLevel="0" collapsed="false">
      <c r="L413" s="1"/>
      <c r="M413" s="1"/>
      <c r="N413" s="1"/>
      <c r="O413" s="1"/>
      <c r="P413" s="1"/>
      <c r="Q413" s="1"/>
      <c r="R413" s="1"/>
      <c r="S413" s="1"/>
      <c r="T413" s="1"/>
      <c r="U413" s="1"/>
      <c r="V413" s="1"/>
      <c r="W413" s="1"/>
      <c r="X413" s="1"/>
      <c r="Y413" s="1"/>
      <c r="Z413" s="1"/>
    </row>
    <row r="414" customFormat="false" ht="15.75" hidden="false" customHeight="true" outlineLevel="0" collapsed="false">
      <c r="L414" s="1"/>
      <c r="M414" s="1"/>
      <c r="N414" s="1"/>
      <c r="O414" s="1"/>
      <c r="P414" s="1"/>
      <c r="Q414" s="1"/>
      <c r="R414" s="1"/>
      <c r="S414" s="1"/>
      <c r="T414" s="1"/>
      <c r="U414" s="1"/>
      <c r="V414" s="1"/>
      <c r="W414" s="1"/>
      <c r="X414" s="1"/>
      <c r="Y414" s="1"/>
      <c r="Z414" s="1"/>
    </row>
    <row r="415" customFormat="false" ht="15.75" hidden="false" customHeight="true" outlineLevel="0" collapsed="false">
      <c r="L415" s="1"/>
      <c r="M415" s="1"/>
      <c r="N415" s="1"/>
      <c r="O415" s="1"/>
      <c r="P415" s="1"/>
      <c r="Q415" s="1"/>
      <c r="R415" s="1"/>
      <c r="S415" s="1"/>
      <c r="T415" s="1"/>
      <c r="U415" s="1"/>
      <c r="V415" s="1"/>
      <c r="W415" s="1"/>
      <c r="X415" s="1"/>
      <c r="Y415" s="1"/>
      <c r="Z415" s="1"/>
    </row>
    <row r="416" customFormat="false" ht="15.75" hidden="false" customHeight="true" outlineLevel="0" collapsed="false">
      <c r="L416" s="1"/>
      <c r="M416" s="1"/>
      <c r="N416" s="1"/>
      <c r="O416" s="1"/>
      <c r="P416" s="1"/>
      <c r="Q416" s="1"/>
      <c r="R416" s="1"/>
      <c r="S416" s="1"/>
      <c r="T416" s="1"/>
      <c r="U416" s="1"/>
      <c r="V416" s="1"/>
      <c r="W416" s="1"/>
      <c r="X416" s="1"/>
      <c r="Y416" s="1"/>
      <c r="Z416" s="1"/>
    </row>
    <row r="417" customFormat="false" ht="15.75" hidden="false" customHeight="true" outlineLevel="0" collapsed="false">
      <c r="L417" s="1"/>
      <c r="M417" s="1"/>
      <c r="N417" s="1"/>
      <c r="O417" s="1"/>
      <c r="P417" s="1"/>
      <c r="Q417" s="1"/>
      <c r="R417" s="1"/>
      <c r="S417" s="1"/>
      <c r="T417" s="1"/>
      <c r="U417" s="1"/>
      <c r="V417" s="1"/>
      <c r="W417" s="1"/>
      <c r="X417" s="1"/>
      <c r="Y417" s="1"/>
      <c r="Z417" s="1"/>
    </row>
    <row r="418" customFormat="false" ht="15.75" hidden="false" customHeight="true" outlineLevel="0" collapsed="false">
      <c r="L418" s="1"/>
      <c r="M418" s="1"/>
      <c r="N418" s="1"/>
      <c r="O418" s="1"/>
      <c r="P418" s="1"/>
      <c r="Q418" s="1"/>
      <c r="R418" s="1"/>
      <c r="S418" s="1"/>
      <c r="T418" s="1"/>
      <c r="U418" s="1"/>
      <c r="V418" s="1"/>
      <c r="W418" s="1"/>
      <c r="X418" s="1"/>
      <c r="Y418" s="1"/>
      <c r="Z418" s="1"/>
    </row>
    <row r="419" customFormat="false" ht="15.75" hidden="false" customHeight="true" outlineLevel="0" collapsed="false">
      <c r="L419" s="1"/>
      <c r="M419" s="1"/>
      <c r="N419" s="1"/>
      <c r="O419" s="1"/>
      <c r="P419" s="1"/>
      <c r="Q419" s="1"/>
      <c r="R419" s="1"/>
      <c r="S419" s="1"/>
      <c r="T419" s="1"/>
      <c r="U419" s="1"/>
      <c r="V419" s="1"/>
      <c r="W419" s="1"/>
      <c r="X419" s="1"/>
      <c r="Y419" s="1"/>
      <c r="Z419" s="1"/>
    </row>
    <row r="420" customFormat="false" ht="15.75" hidden="false" customHeight="true" outlineLevel="0" collapsed="false">
      <c r="L420" s="1"/>
      <c r="M420" s="1"/>
      <c r="N420" s="1"/>
      <c r="O420" s="1"/>
      <c r="P420" s="1"/>
      <c r="Q420" s="1"/>
      <c r="R420" s="1"/>
      <c r="S420" s="1"/>
      <c r="T420" s="1"/>
      <c r="U420" s="1"/>
      <c r="V420" s="1"/>
      <c r="W420" s="1"/>
      <c r="X420" s="1"/>
      <c r="Y420" s="1"/>
      <c r="Z420" s="1"/>
    </row>
    <row r="421" customFormat="false" ht="15.75" hidden="false" customHeight="true" outlineLevel="0" collapsed="false">
      <c r="L421" s="1"/>
      <c r="M421" s="1"/>
      <c r="N421" s="1"/>
      <c r="O421" s="1"/>
      <c r="P421" s="1"/>
      <c r="Q421" s="1"/>
      <c r="R421" s="1"/>
      <c r="S421" s="1"/>
      <c r="T421" s="1"/>
      <c r="U421" s="1"/>
      <c r="V421" s="1"/>
      <c r="W421" s="1"/>
      <c r="X421" s="1"/>
      <c r="Y421" s="1"/>
      <c r="Z421" s="1"/>
    </row>
    <row r="422" customFormat="false" ht="15.75" hidden="false" customHeight="true" outlineLevel="0" collapsed="false">
      <c r="L422" s="1"/>
      <c r="M422" s="1"/>
      <c r="N422" s="1"/>
      <c r="O422" s="1"/>
      <c r="P422" s="1"/>
      <c r="Q422" s="1"/>
      <c r="R422" s="1"/>
      <c r="S422" s="1"/>
      <c r="T422" s="1"/>
      <c r="U422" s="1"/>
      <c r="V422" s="1"/>
      <c r="W422" s="1"/>
      <c r="X422" s="1"/>
      <c r="Y422" s="1"/>
      <c r="Z422" s="1"/>
    </row>
    <row r="423" customFormat="false" ht="15.75" hidden="false" customHeight="true" outlineLevel="0" collapsed="false">
      <c r="L423" s="1"/>
      <c r="M423" s="1"/>
      <c r="N423" s="1"/>
      <c r="O423" s="1"/>
      <c r="P423" s="1"/>
      <c r="Q423" s="1"/>
      <c r="R423" s="1"/>
      <c r="S423" s="1"/>
      <c r="T423" s="1"/>
      <c r="U423" s="1"/>
      <c r="V423" s="1"/>
      <c r="W423" s="1"/>
      <c r="X423" s="1"/>
      <c r="Y423" s="1"/>
      <c r="Z423" s="1"/>
    </row>
    <row r="424" customFormat="false" ht="15.75" hidden="false" customHeight="true" outlineLevel="0" collapsed="false">
      <c r="L424" s="1"/>
      <c r="M424" s="1"/>
      <c r="N424" s="1"/>
      <c r="O424" s="1"/>
      <c r="P424" s="1"/>
      <c r="Q424" s="1"/>
      <c r="R424" s="1"/>
      <c r="S424" s="1"/>
      <c r="T424" s="1"/>
      <c r="U424" s="1"/>
      <c r="V424" s="1"/>
      <c r="W424" s="1"/>
      <c r="X424" s="1"/>
      <c r="Y424" s="1"/>
      <c r="Z424" s="1"/>
    </row>
    <row r="425" customFormat="false" ht="15.75" hidden="false" customHeight="true" outlineLevel="0" collapsed="false">
      <c r="L425" s="1"/>
      <c r="M425" s="1"/>
      <c r="N425" s="1"/>
      <c r="O425" s="1"/>
      <c r="P425" s="1"/>
      <c r="Q425" s="1"/>
      <c r="R425" s="1"/>
      <c r="S425" s="1"/>
      <c r="T425" s="1"/>
      <c r="U425" s="1"/>
      <c r="V425" s="1"/>
      <c r="W425" s="1"/>
      <c r="X425" s="1"/>
      <c r="Y425" s="1"/>
      <c r="Z425" s="1"/>
    </row>
    <row r="426" customFormat="false" ht="15.75" hidden="false" customHeight="true" outlineLevel="0" collapsed="false">
      <c r="L426" s="1"/>
      <c r="M426" s="1"/>
      <c r="N426" s="1"/>
      <c r="O426" s="1"/>
      <c r="P426" s="1"/>
      <c r="Q426" s="1"/>
      <c r="R426" s="1"/>
      <c r="S426" s="1"/>
      <c r="T426" s="1"/>
      <c r="U426" s="1"/>
      <c r="V426" s="1"/>
      <c r="W426" s="1"/>
      <c r="X426" s="1"/>
      <c r="Y426" s="1"/>
      <c r="Z426" s="1"/>
    </row>
    <row r="427" customFormat="false" ht="15.75" hidden="false" customHeight="true" outlineLevel="0" collapsed="false">
      <c r="L427" s="1"/>
      <c r="M427" s="1"/>
      <c r="N427" s="1"/>
      <c r="O427" s="1"/>
      <c r="P427" s="1"/>
      <c r="Q427" s="1"/>
      <c r="R427" s="1"/>
      <c r="S427" s="1"/>
      <c r="T427" s="1"/>
      <c r="U427" s="1"/>
      <c r="V427" s="1"/>
      <c r="W427" s="1"/>
      <c r="X427" s="1"/>
      <c r="Y427" s="1"/>
      <c r="Z427" s="1"/>
    </row>
    <row r="428" customFormat="false" ht="15.75" hidden="false" customHeight="true" outlineLevel="0" collapsed="false">
      <c r="L428" s="1"/>
      <c r="M428" s="1"/>
      <c r="N428" s="1"/>
      <c r="O428" s="1"/>
      <c r="P428" s="1"/>
      <c r="Q428" s="1"/>
      <c r="R428" s="1"/>
      <c r="S428" s="1"/>
      <c r="T428" s="1"/>
      <c r="U428" s="1"/>
      <c r="V428" s="1"/>
      <c r="W428" s="1"/>
      <c r="X428" s="1"/>
      <c r="Y428" s="1"/>
      <c r="Z428" s="1"/>
    </row>
    <row r="429" customFormat="false" ht="15.75" hidden="false" customHeight="true" outlineLevel="0" collapsed="false">
      <c r="L429" s="1"/>
      <c r="M429" s="1"/>
      <c r="N429" s="1"/>
      <c r="O429" s="1"/>
      <c r="P429" s="1"/>
      <c r="Q429" s="1"/>
      <c r="R429" s="1"/>
      <c r="S429" s="1"/>
      <c r="T429" s="1"/>
      <c r="U429" s="1"/>
      <c r="V429" s="1"/>
      <c r="W429" s="1"/>
      <c r="X429" s="1"/>
      <c r="Y429" s="1"/>
      <c r="Z429" s="1"/>
    </row>
    <row r="430" customFormat="false" ht="15.75" hidden="false" customHeight="true" outlineLevel="0" collapsed="false">
      <c r="L430" s="1"/>
      <c r="M430" s="1"/>
      <c r="N430" s="1"/>
      <c r="O430" s="1"/>
      <c r="P430" s="1"/>
      <c r="Q430" s="1"/>
      <c r="R430" s="1"/>
      <c r="S430" s="1"/>
      <c r="T430" s="1"/>
      <c r="U430" s="1"/>
      <c r="V430" s="1"/>
      <c r="W430" s="1"/>
      <c r="X430" s="1"/>
      <c r="Y430" s="1"/>
      <c r="Z430" s="1"/>
    </row>
    <row r="431" customFormat="false" ht="15.75" hidden="false" customHeight="true" outlineLevel="0" collapsed="false">
      <c r="L431" s="1"/>
      <c r="M431" s="1"/>
      <c r="N431" s="1"/>
      <c r="O431" s="1"/>
      <c r="P431" s="1"/>
      <c r="Q431" s="1"/>
      <c r="R431" s="1"/>
      <c r="S431" s="1"/>
      <c r="T431" s="1"/>
      <c r="U431" s="1"/>
      <c r="V431" s="1"/>
      <c r="W431" s="1"/>
      <c r="X431" s="1"/>
      <c r="Y431" s="1"/>
      <c r="Z431" s="1"/>
    </row>
    <row r="432" customFormat="false" ht="15.75" hidden="false" customHeight="true" outlineLevel="0" collapsed="false">
      <c r="L432" s="1"/>
      <c r="M432" s="1"/>
      <c r="N432" s="1"/>
      <c r="O432" s="1"/>
      <c r="P432" s="1"/>
      <c r="Q432" s="1"/>
      <c r="R432" s="1"/>
      <c r="S432" s="1"/>
      <c r="T432" s="1"/>
      <c r="U432" s="1"/>
      <c r="V432" s="1"/>
      <c r="W432" s="1"/>
      <c r="X432" s="1"/>
      <c r="Y432" s="1"/>
      <c r="Z432" s="1"/>
    </row>
    <row r="433" customFormat="false" ht="15.75" hidden="false" customHeight="true" outlineLevel="0" collapsed="false">
      <c r="L433" s="1"/>
      <c r="M433" s="1"/>
      <c r="N433" s="1"/>
      <c r="O433" s="1"/>
      <c r="P433" s="1"/>
      <c r="Q433" s="1"/>
      <c r="R433" s="1"/>
      <c r="S433" s="1"/>
      <c r="T433" s="1"/>
      <c r="U433" s="1"/>
      <c r="V433" s="1"/>
      <c r="W433" s="1"/>
      <c r="X433" s="1"/>
      <c r="Y433" s="1"/>
      <c r="Z433" s="1"/>
    </row>
    <row r="434" customFormat="false" ht="15.75" hidden="false" customHeight="true" outlineLevel="0" collapsed="false">
      <c r="L434" s="1"/>
      <c r="M434" s="1"/>
      <c r="N434" s="1"/>
      <c r="O434" s="1"/>
      <c r="P434" s="1"/>
      <c r="Q434" s="1"/>
      <c r="R434" s="1"/>
      <c r="S434" s="1"/>
      <c r="T434" s="1"/>
      <c r="U434" s="1"/>
      <c r="V434" s="1"/>
      <c r="W434" s="1"/>
      <c r="X434" s="1"/>
      <c r="Y434" s="1"/>
      <c r="Z434" s="1"/>
    </row>
    <row r="435" customFormat="false" ht="15.75" hidden="false" customHeight="true" outlineLevel="0" collapsed="false">
      <c r="L435" s="1"/>
      <c r="M435" s="1"/>
      <c r="N435" s="1"/>
      <c r="O435" s="1"/>
      <c r="P435" s="1"/>
      <c r="Q435" s="1"/>
      <c r="R435" s="1"/>
      <c r="S435" s="1"/>
      <c r="T435" s="1"/>
      <c r="U435" s="1"/>
      <c r="V435" s="1"/>
      <c r="W435" s="1"/>
      <c r="X435" s="1"/>
      <c r="Y435" s="1"/>
      <c r="Z435" s="1"/>
    </row>
    <row r="436" customFormat="false" ht="15.75" hidden="false" customHeight="true" outlineLevel="0" collapsed="false">
      <c r="L436" s="1"/>
      <c r="M436" s="1"/>
      <c r="N436" s="1"/>
      <c r="O436" s="1"/>
      <c r="P436" s="1"/>
      <c r="Q436" s="1"/>
      <c r="R436" s="1"/>
      <c r="S436" s="1"/>
      <c r="T436" s="1"/>
      <c r="U436" s="1"/>
      <c r="V436" s="1"/>
      <c r="W436" s="1"/>
      <c r="X436" s="1"/>
      <c r="Y436" s="1"/>
      <c r="Z436" s="1"/>
    </row>
    <row r="437" customFormat="false" ht="15.75" hidden="false" customHeight="true" outlineLevel="0" collapsed="false">
      <c r="L437" s="1"/>
      <c r="M437" s="1"/>
      <c r="N437" s="1"/>
      <c r="O437" s="1"/>
      <c r="P437" s="1"/>
      <c r="Q437" s="1"/>
      <c r="R437" s="1"/>
      <c r="S437" s="1"/>
      <c r="T437" s="1"/>
      <c r="U437" s="1"/>
      <c r="V437" s="1"/>
      <c r="W437" s="1"/>
      <c r="X437" s="1"/>
      <c r="Y437" s="1"/>
      <c r="Z437" s="1"/>
    </row>
    <row r="438" customFormat="false" ht="15.75" hidden="false" customHeight="true" outlineLevel="0" collapsed="false">
      <c r="L438" s="1"/>
      <c r="M438" s="1"/>
      <c r="N438" s="1"/>
      <c r="O438" s="1"/>
      <c r="P438" s="1"/>
      <c r="Q438" s="1"/>
      <c r="R438" s="1"/>
      <c r="S438" s="1"/>
      <c r="T438" s="1"/>
      <c r="U438" s="1"/>
      <c r="V438" s="1"/>
      <c r="W438" s="1"/>
      <c r="X438" s="1"/>
      <c r="Y438" s="1"/>
      <c r="Z438" s="1"/>
    </row>
    <row r="439" customFormat="false" ht="15.75" hidden="false" customHeight="true" outlineLevel="0" collapsed="false">
      <c r="L439" s="1"/>
      <c r="M439" s="1"/>
      <c r="N439" s="1"/>
      <c r="O439" s="1"/>
      <c r="P439" s="1"/>
      <c r="Q439" s="1"/>
      <c r="R439" s="1"/>
      <c r="S439" s="1"/>
      <c r="T439" s="1"/>
      <c r="U439" s="1"/>
      <c r="V439" s="1"/>
      <c r="W439" s="1"/>
      <c r="X439" s="1"/>
      <c r="Y439" s="1"/>
      <c r="Z439" s="1"/>
    </row>
    <row r="440" customFormat="false" ht="15.75" hidden="false" customHeight="true" outlineLevel="0" collapsed="false">
      <c r="L440" s="1"/>
      <c r="M440" s="1"/>
      <c r="N440" s="1"/>
      <c r="O440" s="1"/>
      <c r="P440" s="1"/>
      <c r="Q440" s="1"/>
      <c r="R440" s="1"/>
      <c r="S440" s="1"/>
      <c r="T440" s="1"/>
      <c r="U440" s="1"/>
      <c r="V440" s="1"/>
      <c r="W440" s="1"/>
      <c r="X440" s="1"/>
      <c r="Y440" s="1"/>
      <c r="Z440" s="1"/>
    </row>
    <row r="441" customFormat="false" ht="15.75" hidden="false" customHeight="true" outlineLevel="0" collapsed="false">
      <c r="L441" s="1"/>
      <c r="M441" s="1"/>
      <c r="N441" s="1"/>
      <c r="O441" s="1"/>
      <c r="P441" s="1"/>
      <c r="Q441" s="1"/>
      <c r="R441" s="1"/>
      <c r="S441" s="1"/>
      <c r="T441" s="1"/>
      <c r="U441" s="1"/>
      <c r="V441" s="1"/>
      <c r="W441" s="1"/>
      <c r="X441" s="1"/>
      <c r="Y441" s="1"/>
      <c r="Z441" s="1"/>
    </row>
    <row r="442" customFormat="false" ht="15.75" hidden="false" customHeight="true" outlineLevel="0" collapsed="false">
      <c r="L442" s="1"/>
      <c r="M442" s="1"/>
      <c r="N442" s="1"/>
      <c r="O442" s="1"/>
      <c r="P442" s="1"/>
      <c r="Q442" s="1"/>
      <c r="R442" s="1"/>
      <c r="S442" s="1"/>
      <c r="T442" s="1"/>
      <c r="U442" s="1"/>
      <c r="V442" s="1"/>
      <c r="W442" s="1"/>
      <c r="X442" s="1"/>
      <c r="Y442" s="1"/>
      <c r="Z442" s="1"/>
    </row>
    <row r="443" customFormat="false" ht="15.75" hidden="false" customHeight="true" outlineLevel="0" collapsed="false">
      <c r="L443" s="1"/>
      <c r="M443" s="1"/>
      <c r="N443" s="1"/>
      <c r="O443" s="1"/>
      <c r="P443" s="1"/>
      <c r="Q443" s="1"/>
      <c r="R443" s="1"/>
      <c r="S443" s="1"/>
      <c r="T443" s="1"/>
      <c r="U443" s="1"/>
      <c r="V443" s="1"/>
      <c r="W443" s="1"/>
      <c r="X443" s="1"/>
      <c r="Y443" s="1"/>
      <c r="Z443" s="1"/>
    </row>
    <row r="444" customFormat="false" ht="15.75" hidden="false" customHeight="true" outlineLevel="0" collapsed="false">
      <c r="L444" s="1"/>
      <c r="M444" s="1"/>
      <c r="N444" s="1"/>
      <c r="O444" s="1"/>
      <c r="P444" s="1"/>
      <c r="Q444" s="1"/>
      <c r="R444" s="1"/>
      <c r="S444" s="1"/>
      <c r="T444" s="1"/>
      <c r="U444" s="1"/>
      <c r="V444" s="1"/>
      <c r="W444" s="1"/>
      <c r="X444" s="1"/>
      <c r="Y444" s="1"/>
      <c r="Z444" s="1"/>
    </row>
    <row r="445" customFormat="false" ht="15.75" hidden="false" customHeight="true" outlineLevel="0" collapsed="false">
      <c r="L445" s="1"/>
      <c r="M445" s="1"/>
      <c r="N445" s="1"/>
      <c r="O445" s="1"/>
      <c r="P445" s="1"/>
      <c r="Q445" s="1"/>
      <c r="R445" s="1"/>
      <c r="S445" s="1"/>
      <c r="T445" s="1"/>
      <c r="U445" s="1"/>
      <c r="V445" s="1"/>
      <c r="W445" s="1"/>
      <c r="X445" s="1"/>
      <c r="Y445" s="1"/>
      <c r="Z445" s="1"/>
    </row>
    <row r="446" customFormat="false" ht="15.75" hidden="false" customHeight="true" outlineLevel="0" collapsed="false">
      <c r="L446" s="1"/>
      <c r="M446" s="1"/>
      <c r="N446" s="1"/>
      <c r="O446" s="1"/>
      <c r="P446" s="1"/>
      <c r="Q446" s="1"/>
      <c r="R446" s="1"/>
      <c r="S446" s="1"/>
      <c r="T446" s="1"/>
      <c r="U446" s="1"/>
      <c r="V446" s="1"/>
      <c r="W446" s="1"/>
      <c r="X446" s="1"/>
      <c r="Y446" s="1"/>
      <c r="Z446" s="1"/>
    </row>
    <row r="447" customFormat="false" ht="15.75" hidden="false" customHeight="true" outlineLevel="0" collapsed="false">
      <c r="L447" s="1"/>
      <c r="M447" s="1"/>
      <c r="N447" s="1"/>
      <c r="O447" s="1"/>
      <c r="P447" s="1"/>
      <c r="Q447" s="1"/>
      <c r="R447" s="1"/>
      <c r="S447" s="1"/>
      <c r="T447" s="1"/>
      <c r="U447" s="1"/>
      <c r="V447" s="1"/>
      <c r="W447" s="1"/>
      <c r="X447" s="1"/>
      <c r="Y447" s="1"/>
      <c r="Z447" s="1"/>
    </row>
    <row r="448" customFormat="false" ht="15.75" hidden="false" customHeight="true" outlineLevel="0" collapsed="false">
      <c r="L448" s="1"/>
      <c r="M448" s="1"/>
      <c r="N448" s="1"/>
      <c r="O448" s="1"/>
      <c r="P448" s="1"/>
      <c r="Q448" s="1"/>
      <c r="R448" s="1"/>
      <c r="S448" s="1"/>
      <c r="T448" s="1"/>
      <c r="U448" s="1"/>
      <c r="V448" s="1"/>
      <c r="W448" s="1"/>
      <c r="X448" s="1"/>
      <c r="Y448" s="1"/>
      <c r="Z448" s="1"/>
    </row>
    <row r="449" customFormat="false" ht="15.75" hidden="false" customHeight="true" outlineLevel="0" collapsed="false">
      <c r="L449" s="1"/>
      <c r="M449" s="1"/>
      <c r="N449" s="1"/>
      <c r="O449" s="1"/>
      <c r="P449" s="1"/>
      <c r="Q449" s="1"/>
      <c r="R449" s="1"/>
      <c r="S449" s="1"/>
      <c r="T449" s="1"/>
      <c r="U449" s="1"/>
      <c r="V449" s="1"/>
      <c r="W449" s="1"/>
      <c r="X449" s="1"/>
      <c r="Y449" s="1"/>
      <c r="Z449" s="1"/>
    </row>
    <row r="450" customFormat="false" ht="15.75" hidden="false" customHeight="true" outlineLevel="0" collapsed="false">
      <c r="L450" s="1"/>
      <c r="M450" s="1"/>
      <c r="N450" s="1"/>
      <c r="O450" s="1"/>
      <c r="P450" s="1"/>
      <c r="Q450" s="1"/>
      <c r="R450" s="1"/>
      <c r="S450" s="1"/>
      <c r="T450" s="1"/>
      <c r="U450" s="1"/>
      <c r="V450" s="1"/>
      <c r="W450" s="1"/>
      <c r="X450" s="1"/>
      <c r="Y450" s="1"/>
      <c r="Z450" s="1"/>
    </row>
    <row r="451" customFormat="false" ht="15.75" hidden="false" customHeight="true" outlineLevel="0" collapsed="false">
      <c r="L451" s="1"/>
      <c r="M451" s="1"/>
      <c r="N451" s="1"/>
      <c r="O451" s="1"/>
      <c r="P451" s="1"/>
      <c r="Q451" s="1"/>
      <c r="R451" s="1"/>
      <c r="S451" s="1"/>
      <c r="T451" s="1"/>
      <c r="U451" s="1"/>
      <c r="V451" s="1"/>
      <c r="W451" s="1"/>
      <c r="X451" s="1"/>
      <c r="Y451" s="1"/>
      <c r="Z451" s="1"/>
    </row>
    <row r="452" customFormat="false" ht="15.75" hidden="false" customHeight="true" outlineLevel="0" collapsed="false">
      <c r="L452" s="1"/>
      <c r="M452" s="1"/>
      <c r="N452" s="1"/>
      <c r="O452" s="1"/>
      <c r="P452" s="1"/>
      <c r="Q452" s="1"/>
      <c r="R452" s="1"/>
      <c r="S452" s="1"/>
      <c r="T452" s="1"/>
      <c r="U452" s="1"/>
      <c r="V452" s="1"/>
      <c r="W452" s="1"/>
      <c r="X452" s="1"/>
      <c r="Y452" s="1"/>
      <c r="Z452" s="1"/>
    </row>
    <row r="453" customFormat="false" ht="15.75" hidden="false" customHeight="true" outlineLevel="0" collapsed="false">
      <c r="L453" s="1"/>
      <c r="M453" s="1"/>
      <c r="N453" s="1"/>
      <c r="O453" s="1"/>
      <c r="P453" s="1"/>
      <c r="Q453" s="1"/>
      <c r="R453" s="1"/>
      <c r="S453" s="1"/>
      <c r="T453" s="1"/>
      <c r="U453" s="1"/>
      <c r="V453" s="1"/>
      <c r="W453" s="1"/>
      <c r="X453" s="1"/>
      <c r="Y453" s="1"/>
      <c r="Z453" s="1"/>
    </row>
    <row r="454" customFormat="false" ht="15.75" hidden="false" customHeight="true" outlineLevel="0" collapsed="false">
      <c r="L454" s="1"/>
      <c r="M454" s="1"/>
      <c r="N454" s="1"/>
      <c r="O454" s="1"/>
      <c r="P454" s="1"/>
      <c r="Q454" s="1"/>
      <c r="R454" s="1"/>
      <c r="S454" s="1"/>
      <c r="T454" s="1"/>
      <c r="U454" s="1"/>
      <c r="V454" s="1"/>
      <c r="W454" s="1"/>
      <c r="X454" s="1"/>
      <c r="Y454" s="1"/>
      <c r="Z454" s="1"/>
    </row>
    <row r="455" customFormat="false" ht="15.75" hidden="false" customHeight="true" outlineLevel="0" collapsed="false">
      <c r="L455" s="1"/>
      <c r="M455" s="1"/>
      <c r="N455" s="1"/>
      <c r="O455" s="1"/>
      <c r="P455" s="1"/>
      <c r="Q455" s="1"/>
      <c r="R455" s="1"/>
      <c r="S455" s="1"/>
      <c r="T455" s="1"/>
      <c r="U455" s="1"/>
      <c r="V455" s="1"/>
      <c r="W455" s="1"/>
      <c r="X455" s="1"/>
      <c r="Y455" s="1"/>
      <c r="Z455" s="1"/>
    </row>
    <row r="456" customFormat="false" ht="15.75" hidden="false" customHeight="true" outlineLevel="0" collapsed="false">
      <c r="L456" s="1"/>
      <c r="M456" s="1"/>
      <c r="N456" s="1"/>
      <c r="O456" s="1"/>
      <c r="P456" s="1"/>
      <c r="Q456" s="1"/>
      <c r="R456" s="1"/>
      <c r="S456" s="1"/>
      <c r="T456" s="1"/>
      <c r="U456" s="1"/>
      <c r="V456" s="1"/>
      <c r="W456" s="1"/>
      <c r="X456" s="1"/>
      <c r="Y456" s="1"/>
      <c r="Z456" s="1"/>
    </row>
    <row r="457" customFormat="false" ht="15.75" hidden="false" customHeight="true" outlineLevel="0" collapsed="false">
      <c r="L457" s="1"/>
      <c r="M457" s="1"/>
      <c r="N457" s="1"/>
      <c r="O457" s="1"/>
      <c r="P457" s="1"/>
      <c r="Q457" s="1"/>
      <c r="R457" s="1"/>
      <c r="S457" s="1"/>
      <c r="T457" s="1"/>
      <c r="U457" s="1"/>
      <c r="V457" s="1"/>
      <c r="W457" s="1"/>
      <c r="X457" s="1"/>
      <c r="Y457" s="1"/>
      <c r="Z457" s="1"/>
    </row>
    <row r="458" customFormat="false" ht="15.75" hidden="false" customHeight="true" outlineLevel="0" collapsed="false">
      <c r="L458" s="1"/>
      <c r="M458" s="1"/>
      <c r="N458" s="1"/>
      <c r="O458" s="1"/>
      <c r="P458" s="1"/>
      <c r="Q458" s="1"/>
      <c r="R458" s="1"/>
      <c r="S458" s="1"/>
      <c r="T458" s="1"/>
      <c r="U458" s="1"/>
      <c r="V458" s="1"/>
      <c r="W458" s="1"/>
      <c r="X458" s="1"/>
      <c r="Y458" s="1"/>
      <c r="Z458" s="1"/>
    </row>
    <row r="459" customFormat="false" ht="15.75" hidden="false" customHeight="true" outlineLevel="0" collapsed="false">
      <c r="L459" s="1"/>
      <c r="M459" s="1"/>
      <c r="N459" s="1"/>
      <c r="O459" s="1"/>
      <c r="P459" s="1"/>
      <c r="Q459" s="1"/>
      <c r="R459" s="1"/>
      <c r="S459" s="1"/>
      <c r="T459" s="1"/>
      <c r="U459" s="1"/>
      <c r="V459" s="1"/>
      <c r="W459" s="1"/>
      <c r="X459" s="1"/>
      <c r="Y459" s="1"/>
      <c r="Z459" s="1"/>
    </row>
    <row r="460" customFormat="false" ht="15.75" hidden="false" customHeight="true" outlineLevel="0" collapsed="false">
      <c r="L460" s="1"/>
      <c r="M460" s="1"/>
      <c r="N460" s="1"/>
      <c r="O460" s="1"/>
      <c r="P460" s="1"/>
      <c r="Q460" s="1"/>
      <c r="R460" s="1"/>
      <c r="S460" s="1"/>
      <c r="T460" s="1"/>
      <c r="U460" s="1"/>
      <c r="V460" s="1"/>
      <c r="W460" s="1"/>
      <c r="X460" s="1"/>
      <c r="Y460" s="1"/>
      <c r="Z460" s="1"/>
    </row>
    <row r="461" customFormat="false" ht="15.75" hidden="false" customHeight="true" outlineLevel="0" collapsed="false">
      <c r="L461" s="1"/>
      <c r="M461" s="1"/>
      <c r="N461" s="1"/>
      <c r="O461" s="1"/>
      <c r="P461" s="1"/>
      <c r="Q461" s="1"/>
      <c r="R461" s="1"/>
      <c r="S461" s="1"/>
      <c r="T461" s="1"/>
      <c r="U461" s="1"/>
      <c r="V461" s="1"/>
      <c r="W461" s="1"/>
      <c r="X461" s="1"/>
      <c r="Y461" s="1"/>
      <c r="Z461" s="1"/>
    </row>
    <row r="462" customFormat="false" ht="15.75" hidden="false" customHeight="true" outlineLevel="0" collapsed="false">
      <c r="L462" s="1"/>
      <c r="M462" s="1"/>
      <c r="N462" s="1"/>
      <c r="O462" s="1"/>
      <c r="P462" s="1"/>
      <c r="Q462" s="1"/>
      <c r="R462" s="1"/>
      <c r="S462" s="1"/>
      <c r="T462" s="1"/>
      <c r="U462" s="1"/>
      <c r="V462" s="1"/>
      <c r="W462" s="1"/>
      <c r="X462" s="1"/>
      <c r="Y462" s="1"/>
      <c r="Z462" s="1"/>
    </row>
    <row r="463" customFormat="false" ht="15.75" hidden="false" customHeight="true" outlineLevel="0" collapsed="false">
      <c r="L463" s="1"/>
      <c r="M463" s="1"/>
      <c r="N463" s="1"/>
      <c r="O463" s="1"/>
      <c r="P463" s="1"/>
      <c r="Q463" s="1"/>
      <c r="R463" s="1"/>
      <c r="S463" s="1"/>
      <c r="T463" s="1"/>
      <c r="U463" s="1"/>
      <c r="V463" s="1"/>
      <c r="W463" s="1"/>
      <c r="X463" s="1"/>
      <c r="Y463" s="1"/>
      <c r="Z463" s="1"/>
    </row>
    <row r="464" customFormat="false" ht="15.75" hidden="false" customHeight="true" outlineLevel="0" collapsed="false">
      <c r="L464" s="1"/>
      <c r="M464" s="1"/>
      <c r="N464" s="1"/>
      <c r="O464" s="1"/>
      <c r="P464" s="1"/>
      <c r="Q464" s="1"/>
      <c r="R464" s="1"/>
      <c r="S464" s="1"/>
      <c r="T464" s="1"/>
      <c r="U464" s="1"/>
      <c r="V464" s="1"/>
      <c r="W464" s="1"/>
      <c r="X464" s="1"/>
      <c r="Y464" s="1"/>
      <c r="Z464" s="1"/>
    </row>
    <row r="465" customFormat="false" ht="15.75" hidden="false" customHeight="true" outlineLevel="0" collapsed="false">
      <c r="L465" s="1"/>
      <c r="M465" s="1"/>
      <c r="N465" s="1"/>
      <c r="O465" s="1"/>
      <c r="P465" s="1"/>
      <c r="Q465" s="1"/>
      <c r="R465" s="1"/>
      <c r="S465" s="1"/>
      <c r="T465" s="1"/>
      <c r="U465" s="1"/>
      <c r="V465" s="1"/>
      <c r="W465" s="1"/>
      <c r="X465" s="1"/>
      <c r="Y465" s="1"/>
      <c r="Z465" s="1"/>
    </row>
    <row r="466" customFormat="false" ht="15.75" hidden="false" customHeight="true" outlineLevel="0" collapsed="false">
      <c r="L466" s="1"/>
      <c r="M466" s="1"/>
      <c r="N466" s="1"/>
      <c r="O466" s="1"/>
      <c r="P466" s="1"/>
      <c r="Q466" s="1"/>
      <c r="R466" s="1"/>
      <c r="S466" s="1"/>
      <c r="T466" s="1"/>
      <c r="U466" s="1"/>
      <c r="V466" s="1"/>
      <c r="W466" s="1"/>
      <c r="X466" s="1"/>
      <c r="Y466" s="1"/>
      <c r="Z466" s="1"/>
    </row>
    <row r="467" customFormat="false" ht="15.75" hidden="false" customHeight="true" outlineLevel="0" collapsed="false">
      <c r="L467" s="1"/>
      <c r="M467" s="1"/>
      <c r="N467" s="1"/>
      <c r="O467" s="1"/>
      <c r="P467" s="1"/>
      <c r="Q467" s="1"/>
      <c r="R467" s="1"/>
      <c r="S467" s="1"/>
      <c r="T467" s="1"/>
      <c r="U467" s="1"/>
      <c r="V467" s="1"/>
      <c r="W467" s="1"/>
      <c r="X467" s="1"/>
      <c r="Y467" s="1"/>
      <c r="Z467" s="1"/>
    </row>
    <row r="468" customFormat="false" ht="15.75" hidden="false" customHeight="true" outlineLevel="0" collapsed="false">
      <c r="L468" s="1"/>
      <c r="M468" s="1"/>
      <c r="N468" s="1"/>
      <c r="O468" s="1"/>
      <c r="P468" s="1"/>
      <c r="Q468" s="1"/>
      <c r="R468" s="1"/>
      <c r="S468" s="1"/>
      <c r="T468" s="1"/>
      <c r="U468" s="1"/>
      <c r="V468" s="1"/>
      <c r="W468" s="1"/>
      <c r="X468" s="1"/>
      <c r="Y468" s="1"/>
      <c r="Z468" s="1"/>
    </row>
    <row r="469" customFormat="false" ht="15.75" hidden="false" customHeight="true" outlineLevel="0" collapsed="false">
      <c r="L469" s="1"/>
      <c r="M469" s="1"/>
      <c r="N469" s="1"/>
      <c r="O469" s="1"/>
      <c r="P469" s="1"/>
      <c r="Q469" s="1"/>
      <c r="R469" s="1"/>
      <c r="S469" s="1"/>
      <c r="T469" s="1"/>
      <c r="U469" s="1"/>
      <c r="V469" s="1"/>
      <c r="W469" s="1"/>
      <c r="X469" s="1"/>
      <c r="Y469" s="1"/>
      <c r="Z469" s="1"/>
    </row>
    <row r="470" customFormat="false" ht="15.75" hidden="false" customHeight="true" outlineLevel="0" collapsed="false">
      <c r="L470" s="1"/>
      <c r="M470" s="1"/>
      <c r="N470" s="1"/>
      <c r="O470" s="1"/>
      <c r="P470" s="1"/>
      <c r="Q470" s="1"/>
      <c r="R470" s="1"/>
      <c r="S470" s="1"/>
      <c r="T470" s="1"/>
      <c r="U470" s="1"/>
      <c r="V470" s="1"/>
      <c r="W470" s="1"/>
      <c r="X470" s="1"/>
      <c r="Y470" s="1"/>
      <c r="Z470" s="1"/>
    </row>
    <row r="471" customFormat="false" ht="15.75" hidden="false" customHeight="true" outlineLevel="0" collapsed="false">
      <c r="L471" s="1"/>
      <c r="M471" s="1"/>
      <c r="N471" s="1"/>
      <c r="O471" s="1"/>
      <c r="P471" s="1"/>
      <c r="Q471" s="1"/>
      <c r="R471" s="1"/>
      <c r="S471" s="1"/>
      <c r="T471" s="1"/>
      <c r="U471" s="1"/>
      <c r="V471" s="1"/>
      <c r="W471" s="1"/>
      <c r="X471" s="1"/>
      <c r="Y471" s="1"/>
      <c r="Z471" s="1"/>
    </row>
    <row r="472" customFormat="false" ht="15.75" hidden="false" customHeight="true" outlineLevel="0" collapsed="false">
      <c r="L472" s="1"/>
      <c r="M472" s="1"/>
      <c r="N472" s="1"/>
      <c r="O472" s="1"/>
      <c r="P472" s="1"/>
      <c r="Q472" s="1"/>
      <c r="R472" s="1"/>
      <c r="S472" s="1"/>
      <c r="T472" s="1"/>
      <c r="U472" s="1"/>
      <c r="V472" s="1"/>
      <c r="W472" s="1"/>
      <c r="X472" s="1"/>
      <c r="Y472" s="1"/>
      <c r="Z472" s="1"/>
    </row>
    <row r="473" customFormat="false" ht="15.75" hidden="false" customHeight="true" outlineLevel="0" collapsed="false">
      <c r="L473" s="1"/>
      <c r="M473" s="1"/>
      <c r="N473" s="1"/>
      <c r="O473" s="1"/>
      <c r="P473" s="1"/>
      <c r="Q473" s="1"/>
      <c r="R473" s="1"/>
      <c r="S473" s="1"/>
      <c r="T473" s="1"/>
      <c r="U473" s="1"/>
      <c r="V473" s="1"/>
      <c r="W473" s="1"/>
      <c r="X473" s="1"/>
      <c r="Y473" s="1"/>
      <c r="Z473" s="1"/>
    </row>
    <row r="474" customFormat="false" ht="15.75" hidden="false" customHeight="true" outlineLevel="0" collapsed="false">
      <c r="L474" s="1"/>
      <c r="M474" s="1"/>
      <c r="N474" s="1"/>
      <c r="O474" s="1"/>
      <c r="P474" s="1"/>
      <c r="Q474" s="1"/>
      <c r="R474" s="1"/>
      <c r="S474" s="1"/>
      <c r="T474" s="1"/>
      <c r="U474" s="1"/>
      <c r="V474" s="1"/>
      <c r="W474" s="1"/>
      <c r="X474" s="1"/>
      <c r="Y474" s="1"/>
      <c r="Z474" s="1"/>
    </row>
    <row r="475" customFormat="false" ht="15.75" hidden="false" customHeight="true" outlineLevel="0" collapsed="false">
      <c r="L475" s="1"/>
      <c r="M475" s="1"/>
      <c r="N475" s="1"/>
      <c r="O475" s="1"/>
      <c r="P475" s="1"/>
      <c r="Q475" s="1"/>
      <c r="R475" s="1"/>
      <c r="S475" s="1"/>
      <c r="T475" s="1"/>
      <c r="U475" s="1"/>
      <c r="V475" s="1"/>
      <c r="W475" s="1"/>
      <c r="X475" s="1"/>
      <c r="Y475" s="1"/>
      <c r="Z475" s="1"/>
    </row>
    <row r="476" customFormat="false" ht="15.75" hidden="false" customHeight="true" outlineLevel="0" collapsed="false">
      <c r="L476" s="1"/>
      <c r="M476" s="1"/>
      <c r="N476" s="1"/>
      <c r="O476" s="1"/>
      <c r="P476" s="1"/>
      <c r="Q476" s="1"/>
      <c r="R476" s="1"/>
      <c r="S476" s="1"/>
      <c r="T476" s="1"/>
      <c r="U476" s="1"/>
      <c r="V476" s="1"/>
      <c r="W476" s="1"/>
      <c r="X476" s="1"/>
      <c r="Y476" s="1"/>
      <c r="Z476" s="1"/>
    </row>
    <row r="477" customFormat="false" ht="15.75" hidden="false" customHeight="true" outlineLevel="0" collapsed="false">
      <c r="L477" s="1"/>
      <c r="M477" s="1"/>
      <c r="N477" s="1"/>
      <c r="O477" s="1"/>
      <c r="P477" s="1"/>
      <c r="Q477" s="1"/>
      <c r="R477" s="1"/>
      <c r="S477" s="1"/>
      <c r="T477" s="1"/>
      <c r="U477" s="1"/>
      <c r="V477" s="1"/>
      <c r="W477" s="1"/>
      <c r="X477" s="1"/>
      <c r="Y477" s="1"/>
      <c r="Z477" s="1"/>
    </row>
    <row r="478" customFormat="false" ht="15.75" hidden="false" customHeight="true" outlineLevel="0" collapsed="false">
      <c r="L478" s="1"/>
      <c r="M478" s="1"/>
      <c r="N478" s="1"/>
      <c r="O478" s="1"/>
      <c r="P478" s="1"/>
      <c r="Q478" s="1"/>
      <c r="R478" s="1"/>
      <c r="S478" s="1"/>
      <c r="T478" s="1"/>
      <c r="U478" s="1"/>
      <c r="V478" s="1"/>
      <c r="W478" s="1"/>
      <c r="X478" s="1"/>
      <c r="Y478" s="1"/>
      <c r="Z478" s="1"/>
    </row>
    <row r="479" customFormat="false" ht="15.75" hidden="false" customHeight="true" outlineLevel="0" collapsed="false">
      <c r="L479" s="1"/>
      <c r="M479" s="1"/>
      <c r="N479" s="1"/>
      <c r="O479" s="1"/>
      <c r="P479" s="1"/>
      <c r="Q479" s="1"/>
      <c r="R479" s="1"/>
      <c r="S479" s="1"/>
      <c r="T479" s="1"/>
      <c r="U479" s="1"/>
      <c r="V479" s="1"/>
      <c r="W479" s="1"/>
      <c r="X479" s="1"/>
      <c r="Y479" s="1"/>
      <c r="Z479" s="1"/>
    </row>
    <row r="480" customFormat="false" ht="15.75" hidden="false" customHeight="true" outlineLevel="0" collapsed="false">
      <c r="L480" s="1"/>
      <c r="M480" s="1"/>
      <c r="N480" s="1"/>
      <c r="O480" s="1"/>
      <c r="P480" s="1"/>
      <c r="Q480" s="1"/>
      <c r="R480" s="1"/>
      <c r="S480" s="1"/>
      <c r="T480" s="1"/>
      <c r="U480" s="1"/>
      <c r="V480" s="1"/>
      <c r="W480" s="1"/>
      <c r="X480" s="1"/>
      <c r="Y480" s="1"/>
      <c r="Z480" s="1"/>
    </row>
    <row r="481" customFormat="false" ht="15.75" hidden="false" customHeight="true" outlineLevel="0" collapsed="false">
      <c r="L481" s="1"/>
      <c r="M481" s="1"/>
      <c r="N481" s="1"/>
      <c r="O481" s="1"/>
      <c r="P481" s="1"/>
      <c r="Q481" s="1"/>
      <c r="R481" s="1"/>
      <c r="S481" s="1"/>
      <c r="T481" s="1"/>
      <c r="U481" s="1"/>
      <c r="V481" s="1"/>
      <c r="W481" s="1"/>
      <c r="X481" s="1"/>
      <c r="Y481" s="1"/>
      <c r="Z481" s="1"/>
    </row>
    <row r="482" customFormat="false" ht="15.75" hidden="false" customHeight="true" outlineLevel="0" collapsed="false">
      <c r="L482" s="1"/>
      <c r="M482" s="1"/>
      <c r="N482" s="1"/>
      <c r="O482" s="1"/>
      <c r="P482" s="1"/>
      <c r="Q482" s="1"/>
      <c r="R482" s="1"/>
      <c r="S482" s="1"/>
      <c r="T482" s="1"/>
      <c r="U482" s="1"/>
      <c r="V482" s="1"/>
      <c r="W482" s="1"/>
      <c r="X482" s="1"/>
      <c r="Y482" s="1"/>
      <c r="Z482" s="1"/>
    </row>
    <row r="483" customFormat="false" ht="15.75" hidden="false" customHeight="true" outlineLevel="0" collapsed="false">
      <c r="L483" s="1"/>
      <c r="M483" s="1"/>
      <c r="N483" s="1"/>
      <c r="O483" s="1"/>
      <c r="P483" s="1"/>
      <c r="Q483" s="1"/>
      <c r="R483" s="1"/>
      <c r="S483" s="1"/>
      <c r="T483" s="1"/>
      <c r="U483" s="1"/>
      <c r="V483" s="1"/>
      <c r="W483" s="1"/>
      <c r="X483" s="1"/>
      <c r="Y483" s="1"/>
      <c r="Z483" s="1"/>
    </row>
    <row r="484" customFormat="false" ht="15.75" hidden="false" customHeight="true" outlineLevel="0" collapsed="false">
      <c r="L484" s="1"/>
      <c r="M484" s="1"/>
      <c r="N484" s="1"/>
      <c r="O484" s="1"/>
      <c r="P484" s="1"/>
      <c r="Q484" s="1"/>
      <c r="R484" s="1"/>
      <c r="S484" s="1"/>
      <c r="T484" s="1"/>
      <c r="U484" s="1"/>
      <c r="V484" s="1"/>
      <c r="W484" s="1"/>
      <c r="X484" s="1"/>
      <c r="Y484" s="1"/>
      <c r="Z484" s="1"/>
    </row>
    <row r="485" customFormat="false" ht="15.75" hidden="false" customHeight="true" outlineLevel="0" collapsed="false">
      <c r="L485" s="1"/>
      <c r="M485" s="1"/>
      <c r="N485" s="1"/>
      <c r="O485" s="1"/>
      <c r="P485" s="1"/>
      <c r="Q485" s="1"/>
      <c r="R485" s="1"/>
      <c r="S485" s="1"/>
      <c r="T485" s="1"/>
      <c r="U485" s="1"/>
      <c r="V485" s="1"/>
      <c r="W485" s="1"/>
      <c r="X485" s="1"/>
      <c r="Y485" s="1"/>
      <c r="Z485" s="1"/>
    </row>
    <row r="486" customFormat="false" ht="15.75" hidden="false" customHeight="true" outlineLevel="0" collapsed="false">
      <c r="L486" s="1"/>
      <c r="M486" s="1"/>
      <c r="N486" s="1"/>
      <c r="O486" s="1"/>
      <c r="P486" s="1"/>
      <c r="Q486" s="1"/>
      <c r="R486" s="1"/>
      <c r="S486" s="1"/>
      <c r="T486" s="1"/>
      <c r="U486" s="1"/>
      <c r="V486" s="1"/>
      <c r="W486" s="1"/>
      <c r="X486" s="1"/>
      <c r="Y486" s="1"/>
      <c r="Z486" s="1"/>
    </row>
    <row r="487" customFormat="false" ht="15.75" hidden="false" customHeight="true" outlineLevel="0" collapsed="false">
      <c r="L487" s="1"/>
      <c r="M487" s="1"/>
      <c r="N487" s="1"/>
      <c r="O487" s="1"/>
      <c r="P487" s="1"/>
      <c r="Q487" s="1"/>
      <c r="R487" s="1"/>
      <c r="S487" s="1"/>
      <c r="T487" s="1"/>
      <c r="U487" s="1"/>
      <c r="V487" s="1"/>
      <c r="W487" s="1"/>
      <c r="X487" s="1"/>
      <c r="Y487" s="1"/>
      <c r="Z487" s="1"/>
    </row>
    <row r="488" customFormat="false" ht="15.75" hidden="false" customHeight="true" outlineLevel="0" collapsed="false">
      <c r="L488" s="1"/>
      <c r="M488" s="1"/>
      <c r="N488" s="1"/>
      <c r="O488" s="1"/>
      <c r="P488" s="1"/>
      <c r="Q488" s="1"/>
      <c r="R488" s="1"/>
      <c r="S488" s="1"/>
      <c r="T488" s="1"/>
      <c r="U488" s="1"/>
      <c r="V488" s="1"/>
      <c r="W488" s="1"/>
      <c r="X488" s="1"/>
      <c r="Y488" s="1"/>
      <c r="Z488" s="1"/>
    </row>
    <row r="489" customFormat="false" ht="15.75" hidden="false" customHeight="true" outlineLevel="0" collapsed="false">
      <c r="L489" s="1"/>
      <c r="M489" s="1"/>
      <c r="N489" s="1"/>
      <c r="O489" s="1"/>
      <c r="P489" s="1"/>
      <c r="Q489" s="1"/>
      <c r="R489" s="1"/>
      <c r="S489" s="1"/>
      <c r="T489" s="1"/>
      <c r="U489" s="1"/>
      <c r="V489" s="1"/>
      <c r="W489" s="1"/>
      <c r="X489" s="1"/>
      <c r="Y489" s="1"/>
      <c r="Z489" s="1"/>
    </row>
    <row r="490" customFormat="false" ht="15.75" hidden="false" customHeight="true" outlineLevel="0" collapsed="false">
      <c r="L490" s="1"/>
      <c r="M490" s="1"/>
      <c r="N490" s="1"/>
      <c r="O490" s="1"/>
      <c r="P490" s="1"/>
      <c r="Q490" s="1"/>
      <c r="R490" s="1"/>
      <c r="S490" s="1"/>
      <c r="T490" s="1"/>
      <c r="U490" s="1"/>
      <c r="V490" s="1"/>
      <c r="W490" s="1"/>
      <c r="X490" s="1"/>
      <c r="Y490" s="1"/>
      <c r="Z490" s="1"/>
    </row>
    <row r="491" customFormat="false" ht="15.75" hidden="false" customHeight="true" outlineLevel="0" collapsed="false">
      <c r="L491" s="1"/>
      <c r="M491" s="1"/>
      <c r="N491" s="1"/>
      <c r="O491" s="1"/>
      <c r="P491" s="1"/>
      <c r="Q491" s="1"/>
      <c r="R491" s="1"/>
      <c r="S491" s="1"/>
      <c r="T491" s="1"/>
      <c r="U491" s="1"/>
      <c r="V491" s="1"/>
      <c r="W491" s="1"/>
      <c r="X491" s="1"/>
      <c r="Y491" s="1"/>
      <c r="Z491" s="1"/>
    </row>
    <row r="492" customFormat="false" ht="15.75" hidden="false" customHeight="true" outlineLevel="0" collapsed="false">
      <c r="L492" s="1"/>
      <c r="M492" s="1"/>
      <c r="N492" s="1"/>
      <c r="O492" s="1"/>
      <c r="P492" s="1"/>
      <c r="Q492" s="1"/>
      <c r="R492" s="1"/>
      <c r="S492" s="1"/>
      <c r="T492" s="1"/>
      <c r="U492" s="1"/>
      <c r="V492" s="1"/>
      <c r="W492" s="1"/>
      <c r="X492" s="1"/>
      <c r="Y492" s="1"/>
      <c r="Z492" s="1"/>
    </row>
    <row r="493" customFormat="false" ht="15.75" hidden="false" customHeight="true" outlineLevel="0" collapsed="false">
      <c r="L493" s="1"/>
      <c r="M493" s="1"/>
      <c r="N493" s="1"/>
      <c r="O493" s="1"/>
      <c r="P493" s="1"/>
      <c r="Q493" s="1"/>
      <c r="R493" s="1"/>
      <c r="S493" s="1"/>
      <c r="T493" s="1"/>
      <c r="U493" s="1"/>
      <c r="V493" s="1"/>
      <c r="W493" s="1"/>
      <c r="X493" s="1"/>
      <c r="Y493" s="1"/>
      <c r="Z493" s="1"/>
    </row>
    <row r="494" customFormat="false" ht="15.75" hidden="false" customHeight="true" outlineLevel="0" collapsed="false">
      <c r="L494" s="1"/>
      <c r="M494" s="1"/>
      <c r="N494" s="1"/>
      <c r="O494" s="1"/>
      <c r="P494" s="1"/>
      <c r="Q494" s="1"/>
      <c r="R494" s="1"/>
      <c r="S494" s="1"/>
      <c r="T494" s="1"/>
      <c r="U494" s="1"/>
      <c r="V494" s="1"/>
      <c r="W494" s="1"/>
      <c r="X494" s="1"/>
      <c r="Y494" s="1"/>
      <c r="Z494" s="1"/>
    </row>
    <row r="495" customFormat="false" ht="15.75" hidden="false" customHeight="true" outlineLevel="0" collapsed="false">
      <c r="L495" s="1"/>
      <c r="M495" s="1"/>
      <c r="N495" s="1"/>
      <c r="O495" s="1"/>
      <c r="P495" s="1"/>
      <c r="Q495" s="1"/>
      <c r="R495" s="1"/>
      <c r="S495" s="1"/>
      <c r="T495" s="1"/>
      <c r="U495" s="1"/>
      <c r="V495" s="1"/>
      <c r="W495" s="1"/>
      <c r="X495" s="1"/>
      <c r="Y495" s="1"/>
      <c r="Z495" s="1"/>
    </row>
    <row r="496" customFormat="false" ht="15.75" hidden="false" customHeight="true" outlineLevel="0" collapsed="false">
      <c r="L496" s="1"/>
      <c r="M496" s="1"/>
      <c r="N496" s="1"/>
      <c r="O496" s="1"/>
      <c r="P496" s="1"/>
      <c r="Q496" s="1"/>
      <c r="R496" s="1"/>
      <c r="S496" s="1"/>
      <c r="T496" s="1"/>
      <c r="U496" s="1"/>
      <c r="V496" s="1"/>
      <c r="W496" s="1"/>
      <c r="X496" s="1"/>
      <c r="Y496" s="1"/>
      <c r="Z496" s="1"/>
    </row>
    <row r="497" customFormat="false" ht="15.75" hidden="false" customHeight="true" outlineLevel="0" collapsed="false">
      <c r="L497" s="1"/>
      <c r="M497" s="1"/>
      <c r="N497" s="1"/>
      <c r="O497" s="1"/>
      <c r="P497" s="1"/>
      <c r="Q497" s="1"/>
      <c r="R497" s="1"/>
      <c r="S497" s="1"/>
      <c r="T497" s="1"/>
      <c r="U497" s="1"/>
      <c r="V497" s="1"/>
      <c r="W497" s="1"/>
      <c r="X497" s="1"/>
      <c r="Y497" s="1"/>
      <c r="Z497" s="1"/>
    </row>
    <row r="498" customFormat="false" ht="15.75" hidden="false" customHeight="true" outlineLevel="0" collapsed="false">
      <c r="L498" s="1"/>
      <c r="M498" s="1"/>
      <c r="N498" s="1"/>
      <c r="O498" s="1"/>
      <c r="P498" s="1"/>
      <c r="Q498" s="1"/>
      <c r="R498" s="1"/>
      <c r="S498" s="1"/>
      <c r="T498" s="1"/>
      <c r="U498" s="1"/>
      <c r="V498" s="1"/>
      <c r="W498" s="1"/>
      <c r="X498" s="1"/>
      <c r="Y498" s="1"/>
      <c r="Z498" s="1"/>
    </row>
    <row r="499" customFormat="false" ht="15.75" hidden="false" customHeight="true" outlineLevel="0" collapsed="false">
      <c r="L499" s="1"/>
      <c r="M499" s="1"/>
      <c r="N499" s="1"/>
      <c r="O499" s="1"/>
      <c r="P499" s="1"/>
      <c r="Q499" s="1"/>
      <c r="R499" s="1"/>
      <c r="S499" s="1"/>
      <c r="T499" s="1"/>
      <c r="U499" s="1"/>
      <c r="V499" s="1"/>
      <c r="W499" s="1"/>
      <c r="X499" s="1"/>
      <c r="Y499" s="1"/>
      <c r="Z499" s="1"/>
    </row>
    <row r="500" customFormat="false" ht="15.75" hidden="false" customHeight="true" outlineLevel="0" collapsed="false">
      <c r="L500" s="1"/>
      <c r="M500" s="1"/>
      <c r="N500" s="1"/>
      <c r="O500" s="1"/>
      <c r="P500" s="1"/>
      <c r="Q500" s="1"/>
      <c r="R500" s="1"/>
      <c r="S500" s="1"/>
      <c r="T500" s="1"/>
      <c r="U500" s="1"/>
      <c r="V500" s="1"/>
      <c r="W500" s="1"/>
      <c r="X500" s="1"/>
      <c r="Y500" s="1"/>
      <c r="Z500" s="1"/>
    </row>
    <row r="501" customFormat="false" ht="15.75" hidden="false" customHeight="true" outlineLevel="0" collapsed="false">
      <c r="L501" s="1"/>
      <c r="M501" s="1"/>
      <c r="N501" s="1"/>
      <c r="O501" s="1"/>
      <c r="P501" s="1"/>
      <c r="Q501" s="1"/>
      <c r="R501" s="1"/>
      <c r="S501" s="1"/>
      <c r="T501" s="1"/>
      <c r="U501" s="1"/>
      <c r="V501" s="1"/>
      <c r="W501" s="1"/>
      <c r="X501" s="1"/>
      <c r="Y501" s="1"/>
      <c r="Z501" s="1"/>
    </row>
    <row r="502" customFormat="false" ht="15.75" hidden="false" customHeight="true" outlineLevel="0" collapsed="false">
      <c r="L502" s="1"/>
      <c r="M502" s="1"/>
      <c r="N502" s="1"/>
      <c r="O502" s="1"/>
      <c r="P502" s="1"/>
      <c r="Q502" s="1"/>
      <c r="R502" s="1"/>
      <c r="S502" s="1"/>
      <c r="T502" s="1"/>
      <c r="U502" s="1"/>
      <c r="V502" s="1"/>
      <c r="W502" s="1"/>
      <c r="X502" s="1"/>
      <c r="Y502" s="1"/>
      <c r="Z502" s="1"/>
    </row>
    <row r="503" customFormat="false" ht="15.75" hidden="false" customHeight="true" outlineLevel="0" collapsed="false">
      <c r="L503" s="1"/>
      <c r="M503" s="1"/>
      <c r="N503" s="1"/>
      <c r="O503" s="1"/>
      <c r="P503" s="1"/>
      <c r="Q503" s="1"/>
      <c r="R503" s="1"/>
      <c r="S503" s="1"/>
      <c r="T503" s="1"/>
      <c r="U503" s="1"/>
      <c r="V503" s="1"/>
      <c r="W503" s="1"/>
      <c r="X503" s="1"/>
      <c r="Y503" s="1"/>
      <c r="Z503" s="1"/>
    </row>
    <row r="504" customFormat="false" ht="15.75" hidden="false" customHeight="true" outlineLevel="0" collapsed="false">
      <c r="L504" s="1"/>
      <c r="M504" s="1"/>
      <c r="N504" s="1"/>
      <c r="O504" s="1"/>
      <c r="P504" s="1"/>
      <c r="Q504" s="1"/>
      <c r="R504" s="1"/>
      <c r="S504" s="1"/>
      <c r="T504" s="1"/>
      <c r="U504" s="1"/>
      <c r="V504" s="1"/>
      <c r="W504" s="1"/>
      <c r="X504" s="1"/>
      <c r="Y504" s="1"/>
      <c r="Z504" s="1"/>
    </row>
    <row r="505" customFormat="false" ht="15.75" hidden="false" customHeight="true" outlineLevel="0" collapsed="false">
      <c r="L505" s="1"/>
      <c r="M505" s="1"/>
      <c r="N505" s="1"/>
      <c r="O505" s="1"/>
      <c r="P505" s="1"/>
      <c r="Q505" s="1"/>
      <c r="R505" s="1"/>
      <c r="S505" s="1"/>
      <c r="T505" s="1"/>
      <c r="U505" s="1"/>
      <c r="V505" s="1"/>
      <c r="W505" s="1"/>
      <c r="X505" s="1"/>
      <c r="Y505" s="1"/>
      <c r="Z505" s="1"/>
    </row>
    <row r="506" customFormat="false" ht="15.75" hidden="false" customHeight="true" outlineLevel="0" collapsed="false">
      <c r="L506" s="1"/>
      <c r="M506" s="1"/>
      <c r="N506" s="1"/>
      <c r="O506" s="1"/>
      <c r="P506" s="1"/>
      <c r="Q506" s="1"/>
      <c r="R506" s="1"/>
      <c r="S506" s="1"/>
      <c r="T506" s="1"/>
      <c r="U506" s="1"/>
      <c r="V506" s="1"/>
      <c r="W506" s="1"/>
      <c r="X506" s="1"/>
      <c r="Y506" s="1"/>
      <c r="Z506" s="1"/>
    </row>
    <row r="507" customFormat="false" ht="15.75" hidden="false" customHeight="true" outlineLevel="0" collapsed="false">
      <c r="L507" s="1"/>
      <c r="M507" s="1"/>
      <c r="N507" s="1"/>
      <c r="O507" s="1"/>
      <c r="P507" s="1"/>
      <c r="Q507" s="1"/>
      <c r="R507" s="1"/>
      <c r="S507" s="1"/>
      <c r="T507" s="1"/>
      <c r="U507" s="1"/>
      <c r="V507" s="1"/>
      <c r="W507" s="1"/>
      <c r="X507" s="1"/>
      <c r="Y507" s="1"/>
      <c r="Z507" s="1"/>
    </row>
    <row r="508" customFormat="false" ht="15.75" hidden="false" customHeight="true" outlineLevel="0" collapsed="false">
      <c r="L508" s="1"/>
      <c r="M508" s="1"/>
      <c r="N508" s="1"/>
      <c r="O508" s="1"/>
      <c r="P508" s="1"/>
      <c r="Q508" s="1"/>
      <c r="R508" s="1"/>
      <c r="S508" s="1"/>
      <c r="T508" s="1"/>
      <c r="U508" s="1"/>
      <c r="V508" s="1"/>
      <c r="W508" s="1"/>
      <c r="X508" s="1"/>
      <c r="Y508" s="1"/>
      <c r="Z508" s="1"/>
    </row>
    <row r="509" customFormat="false" ht="15.75" hidden="false" customHeight="true" outlineLevel="0" collapsed="false">
      <c r="L509" s="1"/>
      <c r="M509" s="1"/>
      <c r="N509" s="1"/>
      <c r="O509" s="1"/>
      <c r="P509" s="1"/>
      <c r="Q509" s="1"/>
      <c r="R509" s="1"/>
      <c r="S509" s="1"/>
      <c r="T509" s="1"/>
      <c r="U509" s="1"/>
      <c r="V509" s="1"/>
      <c r="W509" s="1"/>
      <c r="X509" s="1"/>
      <c r="Y509" s="1"/>
      <c r="Z509" s="1"/>
    </row>
    <row r="510" customFormat="false" ht="15.75" hidden="false" customHeight="true" outlineLevel="0" collapsed="false">
      <c r="L510" s="1"/>
      <c r="M510" s="1"/>
      <c r="N510" s="1"/>
      <c r="O510" s="1"/>
      <c r="P510" s="1"/>
      <c r="Q510" s="1"/>
      <c r="R510" s="1"/>
      <c r="S510" s="1"/>
      <c r="T510" s="1"/>
      <c r="U510" s="1"/>
      <c r="V510" s="1"/>
      <c r="W510" s="1"/>
      <c r="X510" s="1"/>
      <c r="Y510" s="1"/>
      <c r="Z510" s="1"/>
    </row>
    <row r="511" customFormat="false" ht="15.75" hidden="false" customHeight="true" outlineLevel="0" collapsed="false">
      <c r="L511" s="1"/>
      <c r="M511" s="1"/>
      <c r="N511" s="1"/>
      <c r="O511" s="1"/>
      <c r="P511" s="1"/>
      <c r="Q511" s="1"/>
      <c r="R511" s="1"/>
      <c r="S511" s="1"/>
      <c r="T511" s="1"/>
      <c r="U511" s="1"/>
      <c r="V511" s="1"/>
      <c r="W511" s="1"/>
      <c r="X511" s="1"/>
      <c r="Y511" s="1"/>
      <c r="Z511" s="1"/>
    </row>
    <row r="512" customFormat="false" ht="15.75" hidden="false" customHeight="true" outlineLevel="0" collapsed="false">
      <c r="L512" s="1"/>
      <c r="M512" s="1"/>
      <c r="N512" s="1"/>
      <c r="O512" s="1"/>
      <c r="P512" s="1"/>
      <c r="Q512" s="1"/>
      <c r="R512" s="1"/>
      <c r="S512" s="1"/>
      <c r="T512" s="1"/>
      <c r="U512" s="1"/>
      <c r="V512" s="1"/>
      <c r="W512" s="1"/>
      <c r="X512" s="1"/>
      <c r="Y512" s="1"/>
      <c r="Z512" s="1"/>
    </row>
    <row r="513" customFormat="false" ht="15.75" hidden="false" customHeight="true" outlineLevel="0" collapsed="false">
      <c r="L513" s="1"/>
      <c r="M513" s="1"/>
      <c r="N513" s="1"/>
      <c r="O513" s="1"/>
      <c r="P513" s="1"/>
      <c r="Q513" s="1"/>
      <c r="R513" s="1"/>
      <c r="S513" s="1"/>
      <c r="T513" s="1"/>
      <c r="U513" s="1"/>
      <c r="V513" s="1"/>
      <c r="W513" s="1"/>
      <c r="X513" s="1"/>
      <c r="Y513" s="1"/>
      <c r="Z513" s="1"/>
    </row>
    <row r="514" customFormat="false" ht="15.75" hidden="false" customHeight="true" outlineLevel="0" collapsed="false">
      <c r="L514" s="1"/>
      <c r="M514" s="1"/>
      <c r="N514" s="1"/>
      <c r="O514" s="1"/>
      <c r="P514" s="1"/>
      <c r="Q514" s="1"/>
      <c r="R514" s="1"/>
      <c r="S514" s="1"/>
      <c r="T514" s="1"/>
      <c r="U514" s="1"/>
      <c r="V514" s="1"/>
      <c r="W514" s="1"/>
      <c r="X514" s="1"/>
      <c r="Y514" s="1"/>
      <c r="Z514" s="1"/>
    </row>
    <row r="515" customFormat="false" ht="15.75" hidden="false" customHeight="true" outlineLevel="0" collapsed="false">
      <c r="L515" s="1"/>
      <c r="M515" s="1"/>
      <c r="N515" s="1"/>
      <c r="O515" s="1"/>
      <c r="P515" s="1"/>
      <c r="Q515" s="1"/>
      <c r="R515" s="1"/>
      <c r="S515" s="1"/>
      <c r="T515" s="1"/>
      <c r="U515" s="1"/>
      <c r="V515" s="1"/>
      <c r="W515" s="1"/>
      <c r="X515" s="1"/>
      <c r="Y515" s="1"/>
      <c r="Z515" s="1"/>
    </row>
    <row r="516" customFormat="false" ht="15.75" hidden="false" customHeight="true" outlineLevel="0" collapsed="false">
      <c r="L516" s="1"/>
      <c r="M516" s="1"/>
      <c r="N516" s="1"/>
      <c r="O516" s="1"/>
      <c r="P516" s="1"/>
      <c r="Q516" s="1"/>
      <c r="R516" s="1"/>
      <c r="S516" s="1"/>
      <c r="T516" s="1"/>
      <c r="U516" s="1"/>
      <c r="V516" s="1"/>
      <c r="W516" s="1"/>
      <c r="X516" s="1"/>
      <c r="Y516" s="1"/>
      <c r="Z516" s="1"/>
    </row>
    <row r="517" customFormat="false" ht="15.75" hidden="false" customHeight="true" outlineLevel="0" collapsed="false">
      <c r="L517" s="1"/>
      <c r="M517" s="1"/>
      <c r="N517" s="1"/>
      <c r="O517" s="1"/>
      <c r="P517" s="1"/>
      <c r="Q517" s="1"/>
      <c r="R517" s="1"/>
      <c r="S517" s="1"/>
      <c r="T517" s="1"/>
      <c r="U517" s="1"/>
      <c r="V517" s="1"/>
      <c r="W517" s="1"/>
      <c r="X517" s="1"/>
      <c r="Y517" s="1"/>
      <c r="Z517" s="1"/>
    </row>
    <row r="518" customFormat="false" ht="15.75" hidden="false" customHeight="true" outlineLevel="0" collapsed="false">
      <c r="L518" s="1"/>
      <c r="M518" s="1"/>
      <c r="N518" s="1"/>
      <c r="O518" s="1"/>
      <c r="P518" s="1"/>
      <c r="Q518" s="1"/>
      <c r="R518" s="1"/>
      <c r="S518" s="1"/>
      <c r="T518" s="1"/>
      <c r="U518" s="1"/>
      <c r="V518" s="1"/>
      <c r="W518" s="1"/>
      <c r="X518" s="1"/>
      <c r="Y518" s="1"/>
      <c r="Z518" s="1"/>
    </row>
    <row r="519" customFormat="false" ht="15.75" hidden="false" customHeight="true" outlineLevel="0" collapsed="false">
      <c r="L519" s="1"/>
      <c r="M519" s="1"/>
      <c r="N519" s="1"/>
      <c r="O519" s="1"/>
      <c r="P519" s="1"/>
      <c r="Q519" s="1"/>
      <c r="R519" s="1"/>
      <c r="S519" s="1"/>
      <c r="T519" s="1"/>
      <c r="U519" s="1"/>
      <c r="V519" s="1"/>
      <c r="W519" s="1"/>
      <c r="X519" s="1"/>
      <c r="Y519" s="1"/>
      <c r="Z519" s="1"/>
    </row>
    <row r="520" customFormat="false" ht="15.75" hidden="false" customHeight="true" outlineLevel="0" collapsed="false">
      <c r="L520" s="1"/>
      <c r="M520" s="1"/>
      <c r="N520" s="1"/>
      <c r="O520" s="1"/>
      <c r="P520" s="1"/>
      <c r="Q520" s="1"/>
      <c r="R520" s="1"/>
      <c r="S520" s="1"/>
      <c r="T520" s="1"/>
      <c r="U520" s="1"/>
      <c r="V520" s="1"/>
      <c r="W520" s="1"/>
      <c r="X520" s="1"/>
      <c r="Y520" s="1"/>
      <c r="Z520" s="1"/>
    </row>
    <row r="521" customFormat="false" ht="15.75" hidden="false" customHeight="true" outlineLevel="0" collapsed="false">
      <c r="L521" s="1"/>
      <c r="M521" s="1"/>
      <c r="N521" s="1"/>
      <c r="O521" s="1"/>
      <c r="P521" s="1"/>
      <c r="Q521" s="1"/>
      <c r="R521" s="1"/>
      <c r="S521" s="1"/>
      <c r="T521" s="1"/>
      <c r="U521" s="1"/>
      <c r="V521" s="1"/>
      <c r="W521" s="1"/>
      <c r="X521" s="1"/>
      <c r="Y521" s="1"/>
      <c r="Z521" s="1"/>
    </row>
    <row r="522" customFormat="false" ht="15.75" hidden="false" customHeight="true" outlineLevel="0" collapsed="false">
      <c r="L522" s="1"/>
      <c r="M522" s="1"/>
      <c r="N522" s="1"/>
      <c r="O522" s="1"/>
      <c r="P522" s="1"/>
      <c r="Q522" s="1"/>
      <c r="R522" s="1"/>
      <c r="S522" s="1"/>
      <c r="T522" s="1"/>
      <c r="U522" s="1"/>
      <c r="V522" s="1"/>
      <c r="W522" s="1"/>
      <c r="X522" s="1"/>
      <c r="Y522" s="1"/>
      <c r="Z522" s="1"/>
    </row>
    <row r="523" customFormat="false" ht="15.75" hidden="false" customHeight="true" outlineLevel="0" collapsed="false">
      <c r="L523" s="1"/>
      <c r="M523" s="1"/>
      <c r="N523" s="1"/>
      <c r="O523" s="1"/>
      <c r="P523" s="1"/>
      <c r="Q523" s="1"/>
      <c r="R523" s="1"/>
      <c r="S523" s="1"/>
      <c r="T523" s="1"/>
      <c r="U523" s="1"/>
      <c r="V523" s="1"/>
      <c r="W523" s="1"/>
      <c r="X523" s="1"/>
      <c r="Y523" s="1"/>
      <c r="Z523" s="1"/>
    </row>
    <row r="524" customFormat="false" ht="15.75" hidden="false" customHeight="true" outlineLevel="0" collapsed="false">
      <c r="L524" s="1"/>
      <c r="M524" s="1"/>
      <c r="N524" s="1"/>
      <c r="O524" s="1"/>
      <c r="P524" s="1"/>
      <c r="Q524" s="1"/>
      <c r="R524" s="1"/>
      <c r="S524" s="1"/>
      <c r="T524" s="1"/>
      <c r="U524" s="1"/>
      <c r="V524" s="1"/>
      <c r="W524" s="1"/>
      <c r="X524" s="1"/>
      <c r="Y524" s="1"/>
      <c r="Z524" s="1"/>
    </row>
    <row r="525" customFormat="false" ht="15.75" hidden="false" customHeight="true" outlineLevel="0" collapsed="false">
      <c r="L525" s="1"/>
      <c r="M525" s="1"/>
      <c r="N525" s="1"/>
      <c r="O525" s="1"/>
      <c r="P525" s="1"/>
      <c r="Q525" s="1"/>
      <c r="R525" s="1"/>
      <c r="S525" s="1"/>
      <c r="T525" s="1"/>
      <c r="U525" s="1"/>
      <c r="V525" s="1"/>
      <c r="W525" s="1"/>
      <c r="X525" s="1"/>
      <c r="Y525" s="1"/>
      <c r="Z525" s="1"/>
    </row>
    <row r="526" customFormat="false" ht="15.75" hidden="false" customHeight="true" outlineLevel="0" collapsed="false">
      <c r="L526" s="1"/>
      <c r="M526" s="1"/>
      <c r="N526" s="1"/>
      <c r="O526" s="1"/>
      <c r="P526" s="1"/>
      <c r="Q526" s="1"/>
      <c r="R526" s="1"/>
      <c r="S526" s="1"/>
      <c r="T526" s="1"/>
      <c r="U526" s="1"/>
      <c r="V526" s="1"/>
      <c r="W526" s="1"/>
      <c r="X526" s="1"/>
      <c r="Y526" s="1"/>
      <c r="Z526" s="1"/>
    </row>
    <row r="527" customFormat="false" ht="15.75" hidden="false" customHeight="true" outlineLevel="0" collapsed="false">
      <c r="L527" s="1"/>
      <c r="M527" s="1"/>
      <c r="N527" s="1"/>
      <c r="O527" s="1"/>
      <c r="P527" s="1"/>
      <c r="Q527" s="1"/>
      <c r="R527" s="1"/>
      <c r="S527" s="1"/>
      <c r="T527" s="1"/>
      <c r="U527" s="1"/>
      <c r="V527" s="1"/>
      <c r="W527" s="1"/>
      <c r="X527" s="1"/>
      <c r="Y527" s="1"/>
      <c r="Z527" s="1"/>
    </row>
    <row r="528" customFormat="false" ht="15.75" hidden="false" customHeight="true" outlineLevel="0" collapsed="false">
      <c r="L528" s="1"/>
      <c r="M528" s="1"/>
      <c r="N528" s="1"/>
      <c r="O528" s="1"/>
      <c r="P528" s="1"/>
      <c r="Q528" s="1"/>
      <c r="R528" s="1"/>
      <c r="S528" s="1"/>
      <c r="T528" s="1"/>
      <c r="U528" s="1"/>
      <c r="V528" s="1"/>
      <c r="W528" s="1"/>
      <c r="X528" s="1"/>
      <c r="Y528" s="1"/>
      <c r="Z528" s="1"/>
    </row>
    <row r="529" customFormat="false" ht="15.75" hidden="false" customHeight="true" outlineLevel="0" collapsed="false">
      <c r="L529" s="1"/>
      <c r="M529" s="1"/>
      <c r="N529" s="1"/>
      <c r="O529" s="1"/>
      <c r="P529" s="1"/>
      <c r="Q529" s="1"/>
      <c r="R529" s="1"/>
      <c r="S529" s="1"/>
      <c r="T529" s="1"/>
      <c r="U529" s="1"/>
      <c r="V529" s="1"/>
      <c r="W529" s="1"/>
      <c r="X529" s="1"/>
      <c r="Y529" s="1"/>
      <c r="Z529" s="1"/>
    </row>
    <row r="530" customFormat="false" ht="15.75" hidden="false" customHeight="true" outlineLevel="0" collapsed="false">
      <c r="L530" s="1"/>
      <c r="M530" s="1"/>
      <c r="N530" s="1"/>
      <c r="O530" s="1"/>
      <c r="P530" s="1"/>
      <c r="Q530" s="1"/>
      <c r="R530" s="1"/>
      <c r="S530" s="1"/>
      <c r="T530" s="1"/>
      <c r="U530" s="1"/>
      <c r="V530" s="1"/>
      <c r="W530" s="1"/>
      <c r="X530" s="1"/>
      <c r="Y530" s="1"/>
      <c r="Z530" s="1"/>
    </row>
    <row r="531" customFormat="false" ht="15.75" hidden="false" customHeight="true" outlineLevel="0" collapsed="false">
      <c r="L531" s="1"/>
      <c r="M531" s="1"/>
      <c r="N531" s="1"/>
      <c r="O531" s="1"/>
      <c r="P531" s="1"/>
      <c r="Q531" s="1"/>
      <c r="R531" s="1"/>
      <c r="S531" s="1"/>
      <c r="T531" s="1"/>
      <c r="U531" s="1"/>
      <c r="V531" s="1"/>
      <c r="W531" s="1"/>
      <c r="X531" s="1"/>
      <c r="Y531" s="1"/>
      <c r="Z531" s="1"/>
    </row>
    <row r="532" customFormat="false" ht="15.75" hidden="false" customHeight="true" outlineLevel="0" collapsed="false">
      <c r="L532" s="1"/>
      <c r="M532" s="1"/>
      <c r="N532" s="1"/>
      <c r="O532" s="1"/>
      <c r="P532" s="1"/>
      <c r="Q532" s="1"/>
      <c r="R532" s="1"/>
      <c r="S532" s="1"/>
      <c r="T532" s="1"/>
      <c r="U532" s="1"/>
      <c r="V532" s="1"/>
      <c r="W532" s="1"/>
      <c r="X532" s="1"/>
      <c r="Y532" s="1"/>
      <c r="Z532" s="1"/>
    </row>
    <row r="533" customFormat="false" ht="15.75" hidden="false" customHeight="true" outlineLevel="0" collapsed="false">
      <c r="L533" s="1"/>
      <c r="M533" s="1"/>
      <c r="N533" s="1"/>
      <c r="O533" s="1"/>
      <c r="P533" s="1"/>
      <c r="Q533" s="1"/>
      <c r="R533" s="1"/>
      <c r="S533" s="1"/>
      <c r="T533" s="1"/>
      <c r="U533" s="1"/>
      <c r="V533" s="1"/>
      <c r="W533" s="1"/>
      <c r="X533" s="1"/>
      <c r="Y533" s="1"/>
      <c r="Z533" s="1"/>
    </row>
    <row r="534" customFormat="false" ht="15.75" hidden="false" customHeight="true" outlineLevel="0" collapsed="false">
      <c r="L534" s="1"/>
      <c r="M534" s="1"/>
      <c r="N534" s="1"/>
      <c r="O534" s="1"/>
      <c r="P534" s="1"/>
      <c r="Q534" s="1"/>
      <c r="R534" s="1"/>
      <c r="S534" s="1"/>
      <c r="T534" s="1"/>
      <c r="U534" s="1"/>
      <c r="V534" s="1"/>
      <c r="W534" s="1"/>
      <c r="X534" s="1"/>
      <c r="Y534" s="1"/>
      <c r="Z534" s="1"/>
    </row>
    <row r="535" customFormat="false" ht="15.75" hidden="false" customHeight="true" outlineLevel="0" collapsed="false">
      <c r="L535" s="1"/>
      <c r="M535" s="1"/>
      <c r="N535" s="1"/>
      <c r="O535" s="1"/>
      <c r="P535" s="1"/>
      <c r="Q535" s="1"/>
      <c r="R535" s="1"/>
      <c r="S535" s="1"/>
      <c r="T535" s="1"/>
      <c r="U535" s="1"/>
      <c r="V535" s="1"/>
      <c r="W535" s="1"/>
      <c r="X535" s="1"/>
      <c r="Y535" s="1"/>
      <c r="Z535" s="1"/>
    </row>
    <row r="536" customFormat="false" ht="15.75" hidden="false" customHeight="true" outlineLevel="0" collapsed="false">
      <c r="L536" s="1"/>
      <c r="M536" s="1"/>
      <c r="N536" s="1"/>
      <c r="O536" s="1"/>
      <c r="P536" s="1"/>
      <c r="Q536" s="1"/>
      <c r="R536" s="1"/>
      <c r="S536" s="1"/>
      <c r="T536" s="1"/>
      <c r="U536" s="1"/>
      <c r="V536" s="1"/>
      <c r="W536" s="1"/>
      <c r="X536" s="1"/>
      <c r="Y536" s="1"/>
      <c r="Z536" s="1"/>
    </row>
    <row r="537" customFormat="false" ht="15.75" hidden="false" customHeight="true" outlineLevel="0" collapsed="false">
      <c r="L537" s="1"/>
      <c r="M537" s="1"/>
      <c r="N537" s="1"/>
      <c r="O537" s="1"/>
      <c r="P537" s="1"/>
      <c r="Q537" s="1"/>
      <c r="R537" s="1"/>
      <c r="S537" s="1"/>
      <c r="T537" s="1"/>
      <c r="U537" s="1"/>
      <c r="V537" s="1"/>
      <c r="W537" s="1"/>
      <c r="X537" s="1"/>
      <c r="Y537" s="1"/>
      <c r="Z537" s="1"/>
    </row>
    <row r="538" customFormat="false" ht="15.75" hidden="false" customHeight="true" outlineLevel="0" collapsed="false">
      <c r="L538" s="1"/>
      <c r="M538" s="1"/>
      <c r="N538" s="1"/>
      <c r="O538" s="1"/>
      <c r="P538" s="1"/>
      <c r="Q538" s="1"/>
      <c r="R538" s="1"/>
      <c r="S538" s="1"/>
      <c r="T538" s="1"/>
      <c r="U538" s="1"/>
      <c r="V538" s="1"/>
      <c r="W538" s="1"/>
      <c r="X538" s="1"/>
      <c r="Y538" s="1"/>
      <c r="Z538" s="1"/>
    </row>
    <row r="539" customFormat="false" ht="15.75" hidden="false" customHeight="true" outlineLevel="0" collapsed="false">
      <c r="L539" s="1"/>
      <c r="M539" s="1"/>
      <c r="N539" s="1"/>
      <c r="O539" s="1"/>
      <c r="P539" s="1"/>
      <c r="Q539" s="1"/>
      <c r="R539" s="1"/>
      <c r="S539" s="1"/>
      <c r="T539" s="1"/>
      <c r="U539" s="1"/>
      <c r="V539" s="1"/>
      <c r="W539" s="1"/>
      <c r="X539" s="1"/>
      <c r="Y539" s="1"/>
      <c r="Z539" s="1"/>
    </row>
    <row r="540" customFormat="false" ht="15.75" hidden="false" customHeight="true" outlineLevel="0" collapsed="false">
      <c r="L540" s="1"/>
      <c r="M540" s="1"/>
      <c r="N540" s="1"/>
      <c r="O540" s="1"/>
      <c r="P540" s="1"/>
      <c r="Q540" s="1"/>
      <c r="R540" s="1"/>
      <c r="S540" s="1"/>
      <c r="T540" s="1"/>
      <c r="U540" s="1"/>
      <c r="V540" s="1"/>
      <c r="W540" s="1"/>
      <c r="X540" s="1"/>
      <c r="Y540" s="1"/>
      <c r="Z540" s="1"/>
    </row>
    <row r="541" customFormat="false" ht="15.75" hidden="false" customHeight="true" outlineLevel="0" collapsed="false">
      <c r="L541" s="1"/>
      <c r="M541" s="1"/>
      <c r="N541" s="1"/>
      <c r="O541" s="1"/>
      <c r="P541" s="1"/>
      <c r="Q541" s="1"/>
      <c r="R541" s="1"/>
      <c r="S541" s="1"/>
      <c r="T541" s="1"/>
      <c r="U541" s="1"/>
      <c r="V541" s="1"/>
      <c r="W541" s="1"/>
      <c r="X541" s="1"/>
      <c r="Y541" s="1"/>
      <c r="Z541" s="1"/>
    </row>
    <row r="542" customFormat="false" ht="15.75" hidden="false" customHeight="true" outlineLevel="0" collapsed="false">
      <c r="L542" s="1"/>
      <c r="M542" s="1"/>
      <c r="N542" s="1"/>
      <c r="O542" s="1"/>
      <c r="P542" s="1"/>
      <c r="Q542" s="1"/>
      <c r="R542" s="1"/>
      <c r="S542" s="1"/>
      <c r="T542" s="1"/>
      <c r="U542" s="1"/>
      <c r="V542" s="1"/>
      <c r="W542" s="1"/>
      <c r="X542" s="1"/>
      <c r="Y542" s="1"/>
      <c r="Z542" s="1"/>
    </row>
    <row r="543" customFormat="false" ht="15.75" hidden="false" customHeight="true" outlineLevel="0" collapsed="false">
      <c r="L543" s="1"/>
      <c r="M543" s="1"/>
      <c r="N543" s="1"/>
      <c r="O543" s="1"/>
      <c r="P543" s="1"/>
      <c r="Q543" s="1"/>
      <c r="R543" s="1"/>
      <c r="S543" s="1"/>
      <c r="T543" s="1"/>
      <c r="U543" s="1"/>
      <c r="V543" s="1"/>
      <c r="W543" s="1"/>
      <c r="X543" s="1"/>
      <c r="Y543" s="1"/>
      <c r="Z543" s="1"/>
    </row>
    <row r="544" customFormat="false" ht="15.75" hidden="false" customHeight="true" outlineLevel="0" collapsed="false">
      <c r="L544" s="1"/>
      <c r="M544" s="1"/>
      <c r="N544" s="1"/>
      <c r="O544" s="1"/>
      <c r="P544" s="1"/>
      <c r="Q544" s="1"/>
      <c r="R544" s="1"/>
      <c r="S544" s="1"/>
      <c r="T544" s="1"/>
      <c r="U544" s="1"/>
      <c r="V544" s="1"/>
      <c r="W544" s="1"/>
      <c r="X544" s="1"/>
      <c r="Y544" s="1"/>
      <c r="Z544" s="1"/>
    </row>
    <row r="545" customFormat="false" ht="15.75" hidden="false" customHeight="true" outlineLevel="0" collapsed="false">
      <c r="L545" s="1"/>
      <c r="M545" s="1"/>
      <c r="N545" s="1"/>
      <c r="O545" s="1"/>
      <c r="P545" s="1"/>
      <c r="Q545" s="1"/>
      <c r="R545" s="1"/>
      <c r="S545" s="1"/>
      <c r="T545" s="1"/>
      <c r="U545" s="1"/>
      <c r="V545" s="1"/>
      <c r="W545" s="1"/>
      <c r="X545" s="1"/>
      <c r="Y545" s="1"/>
      <c r="Z545" s="1"/>
    </row>
    <row r="546" customFormat="false" ht="15.75" hidden="false" customHeight="true" outlineLevel="0" collapsed="false">
      <c r="L546" s="1"/>
      <c r="M546" s="1"/>
      <c r="N546" s="1"/>
      <c r="O546" s="1"/>
      <c r="P546" s="1"/>
      <c r="Q546" s="1"/>
      <c r="R546" s="1"/>
      <c r="S546" s="1"/>
      <c r="T546" s="1"/>
      <c r="U546" s="1"/>
      <c r="V546" s="1"/>
      <c r="W546" s="1"/>
      <c r="X546" s="1"/>
      <c r="Y546" s="1"/>
      <c r="Z546" s="1"/>
    </row>
    <row r="547" customFormat="false" ht="15.75" hidden="false" customHeight="true" outlineLevel="0" collapsed="false">
      <c r="L547" s="1"/>
      <c r="M547" s="1"/>
      <c r="N547" s="1"/>
      <c r="O547" s="1"/>
      <c r="P547" s="1"/>
      <c r="Q547" s="1"/>
      <c r="R547" s="1"/>
      <c r="S547" s="1"/>
      <c r="T547" s="1"/>
      <c r="U547" s="1"/>
      <c r="V547" s="1"/>
      <c r="W547" s="1"/>
      <c r="X547" s="1"/>
      <c r="Y547" s="1"/>
      <c r="Z547" s="1"/>
    </row>
    <row r="548" customFormat="false" ht="15.75" hidden="false" customHeight="true" outlineLevel="0" collapsed="false">
      <c r="L548" s="1"/>
      <c r="M548" s="1"/>
      <c r="N548" s="1"/>
      <c r="O548" s="1"/>
      <c r="P548" s="1"/>
      <c r="Q548" s="1"/>
      <c r="R548" s="1"/>
      <c r="S548" s="1"/>
      <c r="T548" s="1"/>
      <c r="U548" s="1"/>
      <c r="V548" s="1"/>
      <c r="W548" s="1"/>
      <c r="X548" s="1"/>
      <c r="Y548" s="1"/>
      <c r="Z548" s="1"/>
    </row>
    <row r="549" customFormat="false" ht="15.75" hidden="false" customHeight="true" outlineLevel="0" collapsed="false">
      <c r="L549" s="1"/>
      <c r="M549" s="1"/>
      <c r="N549" s="1"/>
      <c r="O549" s="1"/>
      <c r="P549" s="1"/>
      <c r="Q549" s="1"/>
      <c r="R549" s="1"/>
      <c r="S549" s="1"/>
      <c r="T549" s="1"/>
      <c r="U549" s="1"/>
      <c r="V549" s="1"/>
      <c r="W549" s="1"/>
      <c r="X549" s="1"/>
      <c r="Y549" s="1"/>
      <c r="Z549" s="1"/>
    </row>
    <row r="550" customFormat="false" ht="15.75" hidden="false" customHeight="true" outlineLevel="0" collapsed="false">
      <c r="L550" s="1"/>
      <c r="M550" s="1"/>
      <c r="N550" s="1"/>
      <c r="O550" s="1"/>
      <c r="P550" s="1"/>
      <c r="Q550" s="1"/>
      <c r="R550" s="1"/>
      <c r="S550" s="1"/>
      <c r="T550" s="1"/>
      <c r="U550" s="1"/>
      <c r="V550" s="1"/>
      <c r="W550" s="1"/>
      <c r="X550" s="1"/>
      <c r="Y550" s="1"/>
      <c r="Z550" s="1"/>
    </row>
    <row r="551" customFormat="false" ht="15.75" hidden="false" customHeight="true" outlineLevel="0" collapsed="false">
      <c r="L551" s="1"/>
      <c r="M551" s="1"/>
      <c r="N551" s="1"/>
      <c r="O551" s="1"/>
      <c r="P551" s="1"/>
      <c r="Q551" s="1"/>
      <c r="R551" s="1"/>
      <c r="S551" s="1"/>
      <c r="T551" s="1"/>
      <c r="U551" s="1"/>
      <c r="V551" s="1"/>
      <c r="W551" s="1"/>
      <c r="X551" s="1"/>
      <c r="Y551" s="1"/>
      <c r="Z551" s="1"/>
    </row>
    <row r="552" customFormat="false" ht="15.75" hidden="false" customHeight="true" outlineLevel="0" collapsed="false">
      <c r="L552" s="1"/>
      <c r="M552" s="1"/>
      <c r="N552" s="1"/>
      <c r="O552" s="1"/>
      <c r="P552" s="1"/>
      <c r="Q552" s="1"/>
      <c r="R552" s="1"/>
      <c r="S552" s="1"/>
      <c r="T552" s="1"/>
      <c r="U552" s="1"/>
      <c r="V552" s="1"/>
      <c r="W552" s="1"/>
      <c r="X552" s="1"/>
      <c r="Y552" s="1"/>
      <c r="Z552" s="1"/>
    </row>
    <row r="553" customFormat="false" ht="15.75" hidden="false" customHeight="true" outlineLevel="0" collapsed="false">
      <c r="L553" s="1"/>
      <c r="M553" s="1"/>
      <c r="N553" s="1"/>
      <c r="O553" s="1"/>
      <c r="P553" s="1"/>
      <c r="Q553" s="1"/>
      <c r="R553" s="1"/>
      <c r="S553" s="1"/>
      <c r="T553" s="1"/>
      <c r="U553" s="1"/>
      <c r="V553" s="1"/>
      <c r="W553" s="1"/>
      <c r="X553" s="1"/>
      <c r="Y553" s="1"/>
      <c r="Z553" s="1"/>
    </row>
    <row r="554" customFormat="false" ht="15.75" hidden="false" customHeight="true" outlineLevel="0" collapsed="false">
      <c r="L554" s="1"/>
      <c r="M554" s="1"/>
      <c r="N554" s="1"/>
      <c r="O554" s="1"/>
      <c r="P554" s="1"/>
      <c r="Q554" s="1"/>
      <c r="R554" s="1"/>
      <c r="S554" s="1"/>
      <c r="T554" s="1"/>
      <c r="U554" s="1"/>
      <c r="V554" s="1"/>
      <c r="W554" s="1"/>
      <c r="X554" s="1"/>
      <c r="Y554" s="1"/>
      <c r="Z554" s="1"/>
    </row>
    <row r="555" customFormat="false" ht="15.75" hidden="false" customHeight="true" outlineLevel="0" collapsed="false">
      <c r="L555" s="1"/>
      <c r="M555" s="1"/>
      <c r="N555" s="1"/>
      <c r="O555" s="1"/>
      <c r="P555" s="1"/>
      <c r="Q555" s="1"/>
      <c r="R555" s="1"/>
      <c r="S555" s="1"/>
      <c r="T555" s="1"/>
      <c r="U555" s="1"/>
      <c r="V555" s="1"/>
      <c r="W555" s="1"/>
      <c r="X555" s="1"/>
      <c r="Y555" s="1"/>
      <c r="Z555" s="1"/>
    </row>
    <row r="556" customFormat="false" ht="15.75" hidden="false" customHeight="true" outlineLevel="0" collapsed="false">
      <c r="L556" s="1"/>
      <c r="M556" s="1"/>
      <c r="N556" s="1"/>
      <c r="O556" s="1"/>
      <c r="P556" s="1"/>
      <c r="Q556" s="1"/>
      <c r="R556" s="1"/>
      <c r="S556" s="1"/>
      <c r="T556" s="1"/>
      <c r="U556" s="1"/>
      <c r="V556" s="1"/>
      <c r="W556" s="1"/>
      <c r="X556" s="1"/>
      <c r="Y556" s="1"/>
      <c r="Z556" s="1"/>
    </row>
    <row r="557" customFormat="false" ht="15.75" hidden="false" customHeight="true" outlineLevel="0" collapsed="false">
      <c r="L557" s="1"/>
      <c r="M557" s="1"/>
      <c r="N557" s="1"/>
      <c r="O557" s="1"/>
      <c r="P557" s="1"/>
      <c r="Q557" s="1"/>
      <c r="R557" s="1"/>
      <c r="S557" s="1"/>
      <c r="T557" s="1"/>
      <c r="U557" s="1"/>
      <c r="V557" s="1"/>
      <c r="W557" s="1"/>
      <c r="X557" s="1"/>
      <c r="Y557" s="1"/>
      <c r="Z557" s="1"/>
    </row>
    <row r="558" customFormat="false" ht="15.75" hidden="false" customHeight="true" outlineLevel="0" collapsed="false">
      <c r="L558" s="1"/>
      <c r="M558" s="1"/>
      <c r="N558" s="1"/>
      <c r="O558" s="1"/>
      <c r="P558" s="1"/>
      <c r="Q558" s="1"/>
      <c r="R558" s="1"/>
      <c r="S558" s="1"/>
      <c r="T558" s="1"/>
      <c r="U558" s="1"/>
      <c r="V558" s="1"/>
      <c r="W558" s="1"/>
      <c r="X558" s="1"/>
      <c r="Y558" s="1"/>
      <c r="Z558" s="1"/>
    </row>
    <row r="559" customFormat="false" ht="15.75" hidden="false" customHeight="true" outlineLevel="0" collapsed="false">
      <c r="L559" s="1"/>
      <c r="M559" s="1"/>
      <c r="N559" s="1"/>
      <c r="O559" s="1"/>
      <c r="P559" s="1"/>
      <c r="Q559" s="1"/>
      <c r="R559" s="1"/>
      <c r="S559" s="1"/>
      <c r="T559" s="1"/>
      <c r="U559" s="1"/>
      <c r="V559" s="1"/>
      <c r="W559" s="1"/>
      <c r="X559" s="1"/>
      <c r="Y559" s="1"/>
      <c r="Z559" s="1"/>
    </row>
    <row r="560" customFormat="false" ht="15.75" hidden="false" customHeight="true" outlineLevel="0" collapsed="false">
      <c r="L560" s="1"/>
      <c r="M560" s="1"/>
      <c r="N560" s="1"/>
      <c r="O560" s="1"/>
      <c r="P560" s="1"/>
      <c r="Q560" s="1"/>
      <c r="R560" s="1"/>
      <c r="S560" s="1"/>
      <c r="T560" s="1"/>
      <c r="U560" s="1"/>
      <c r="V560" s="1"/>
      <c r="W560" s="1"/>
      <c r="X560" s="1"/>
      <c r="Y560" s="1"/>
      <c r="Z560" s="1"/>
    </row>
    <row r="561" customFormat="false" ht="15.75" hidden="false" customHeight="true" outlineLevel="0" collapsed="false">
      <c r="L561" s="1"/>
      <c r="M561" s="1"/>
      <c r="N561" s="1"/>
      <c r="O561" s="1"/>
      <c r="P561" s="1"/>
      <c r="Q561" s="1"/>
      <c r="R561" s="1"/>
      <c r="S561" s="1"/>
      <c r="T561" s="1"/>
      <c r="U561" s="1"/>
      <c r="V561" s="1"/>
      <c r="W561" s="1"/>
      <c r="X561" s="1"/>
      <c r="Y561" s="1"/>
      <c r="Z561" s="1"/>
    </row>
    <row r="562" customFormat="false" ht="15.75" hidden="false" customHeight="true" outlineLevel="0" collapsed="false">
      <c r="L562" s="1"/>
      <c r="M562" s="1"/>
      <c r="N562" s="1"/>
      <c r="O562" s="1"/>
      <c r="P562" s="1"/>
      <c r="Q562" s="1"/>
      <c r="R562" s="1"/>
      <c r="S562" s="1"/>
      <c r="T562" s="1"/>
      <c r="U562" s="1"/>
      <c r="V562" s="1"/>
      <c r="W562" s="1"/>
      <c r="X562" s="1"/>
      <c r="Y562" s="1"/>
      <c r="Z562" s="1"/>
    </row>
    <row r="563" customFormat="false" ht="15.75" hidden="false" customHeight="true" outlineLevel="0" collapsed="false">
      <c r="L563" s="1"/>
      <c r="M563" s="1"/>
      <c r="N563" s="1"/>
      <c r="O563" s="1"/>
      <c r="P563" s="1"/>
      <c r="Q563" s="1"/>
      <c r="R563" s="1"/>
      <c r="S563" s="1"/>
      <c r="T563" s="1"/>
      <c r="U563" s="1"/>
      <c r="V563" s="1"/>
      <c r="W563" s="1"/>
      <c r="X563" s="1"/>
      <c r="Y563" s="1"/>
      <c r="Z563" s="1"/>
    </row>
    <row r="564" customFormat="false" ht="15.75" hidden="false" customHeight="true" outlineLevel="0" collapsed="false">
      <c r="L564" s="1"/>
      <c r="M564" s="1"/>
      <c r="N564" s="1"/>
      <c r="O564" s="1"/>
      <c r="P564" s="1"/>
      <c r="Q564" s="1"/>
      <c r="R564" s="1"/>
      <c r="S564" s="1"/>
      <c r="T564" s="1"/>
      <c r="U564" s="1"/>
      <c r="V564" s="1"/>
      <c r="W564" s="1"/>
      <c r="X564" s="1"/>
      <c r="Y564" s="1"/>
      <c r="Z564" s="1"/>
    </row>
    <row r="565" customFormat="false" ht="15.75" hidden="false" customHeight="true" outlineLevel="0" collapsed="false">
      <c r="L565" s="1"/>
      <c r="M565" s="1"/>
      <c r="N565" s="1"/>
      <c r="O565" s="1"/>
      <c r="P565" s="1"/>
      <c r="Q565" s="1"/>
      <c r="R565" s="1"/>
      <c r="S565" s="1"/>
      <c r="T565" s="1"/>
      <c r="U565" s="1"/>
      <c r="V565" s="1"/>
      <c r="W565" s="1"/>
      <c r="X565" s="1"/>
      <c r="Y565" s="1"/>
      <c r="Z565" s="1"/>
    </row>
    <row r="566" customFormat="false" ht="15.75" hidden="false" customHeight="true" outlineLevel="0" collapsed="false">
      <c r="L566" s="1"/>
      <c r="M566" s="1"/>
      <c r="N566" s="1"/>
      <c r="O566" s="1"/>
      <c r="P566" s="1"/>
      <c r="Q566" s="1"/>
      <c r="R566" s="1"/>
      <c r="S566" s="1"/>
      <c r="T566" s="1"/>
      <c r="U566" s="1"/>
      <c r="V566" s="1"/>
      <c r="W566" s="1"/>
      <c r="X566" s="1"/>
      <c r="Y566" s="1"/>
      <c r="Z566" s="1"/>
    </row>
    <row r="567" customFormat="false" ht="15.75" hidden="false" customHeight="true" outlineLevel="0" collapsed="false">
      <c r="L567" s="1"/>
      <c r="M567" s="1"/>
      <c r="N567" s="1"/>
      <c r="O567" s="1"/>
      <c r="P567" s="1"/>
      <c r="Q567" s="1"/>
      <c r="R567" s="1"/>
      <c r="S567" s="1"/>
      <c r="T567" s="1"/>
      <c r="U567" s="1"/>
      <c r="V567" s="1"/>
      <c r="W567" s="1"/>
      <c r="X567" s="1"/>
      <c r="Y567" s="1"/>
      <c r="Z567" s="1"/>
    </row>
    <row r="568" customFormat="false" ht="15.75" hidden="false" customHeight="true" outlineLevel="0" collapsed="false">
      <c r="L568" s="1"/>
      <c r="M568" s="1"/>
      <c r="N568" s="1"/>
      <c r="O568" s="1"/>
      <c r="P568" s="1"/>
      <c r="Q568" s="1"/>
      <c r="R568" s="1"/>
      <c r="S568" s="1"/>
      <c r="T568" s="1"/>
      <c r="U568" s="1"/>
      <c r="V568" s="1"/>
      <c r="W568" s="1"/>
      <c r="X568" s="1"/>
      <c r="Y568" s="1"/>
      <c r="Z568" s="1"/>
    </row>
    <row r="569" customFormat="false" ht="15.75" hidden="false" customHeight="true" outlineLevel="0" collapsed="false">
      <c r="L569" s="1"/>
      <c r="M569" s="1"/>
      <c r="N569" s="1"/>
      <c r="O569" s="1"/>
      <c r="P569" s="1"/>
      <c r="Q569" s="1"/>
      <c r="R569" s="1"/>
      <c r="S569" s="1"/>
      <c r="T569" s="1"/>
      <c r="U569" s="1"/>
      <c r="V569" s="1"/>
      <c r="W569" s="1"/>
      <c r="X569" s="1"/>
      <c r="Y569" s="1"/>
      <c r="Z569" s="1"/>
    </row>
    <row r="570" customFormat="false" ht="15.75" hidden="false" customHeight="true" outlineLevel="0" collapsed="false">
      <c r="L570" s="1"/>
      <c r="M570" s="1"/>
      <c r="N570" s="1"/>
      <c r="O570" s="1"/>
      <c r="P570" s="1"/>
      <c r="Q570" s="1"/>
      <c r="R570" s="1"/>
      <c r="S570" s="1"/>
      <c r="T570" s="1"/>
      <c r="U570" s="1"/>
      <c r="V570" s="1"/>
      <c r="W570" s="1"/>
      <c r="X570" s="1"/>
      <c r="Y570" s="1"/>
      <c r="Z570" s="1"/>
    </row>
    <row r="571" customFormat="false" ht="15.75" hidden="false" customHeight="true" outlineLevel="0" collapsed="false">
      <c r="L571" s="1"/>
      <c r="M571" s="1"/>
      <c r="N571" s="1"/>
      <c r="O571" s="1"/>
      <c r="P571" s="1"/>
      <c r="Q571" s="1"/>
      <c r="R571" s="1"/>
      <c r="S571" s="1"/>
      <c r="T571" s="1"/>
      <c r="U571" s="1"/>
      <c r="V571" s="1"/>
      <c r="W571" s="1"/>
      <c r="X571" s="1"/>
      <c r="Y571" s="1"/>
      <c r="Z571" s="1"/>
    </row>
    <row r="572" customFormat="false" ht="15.75" hidden="false" customHeight="true" outlineLevel="0" collapsed="false">
      <c r="L572" s="1"/>
      <c r="M572" s="1"/>
      <c r="N572" s="1"/>
      <c r="O572" s="1"/>
      <c r="P572" s="1"/>
      <c r="Q572" s="1"/>
      <c r="R572" s="1"/>
      <c r="S572" s="1"/>
      <c r="T572" s="1"/>
      <c r="U572" s="1"/>
      <c r="V572" s="1"/>
      <c r="W572" s="1"/>
      <c r="X572" s="1"/>
      <c r="Y572" s="1"/>
      <c r="Z572" s="1"/>
    </row>
    <row r="573" customFormat="false" ht="15.75" hidden="false" customHeight="true" outlineLevel="0" collapsed="false">
      <c r="L573" s="1"/>
      <c r="M573" s="1"/>
      <c r="N573" s="1"/>
      <c r="O573" s="1"/>
      <c r="P573" s="1"/>
      <c r="Q573" s="1"/>
      <c r="R573" s="1"/>
      <c r="S573" s="1"/>
      <c r="T573" s="1"/>
      <c r="U573" s="1"/>
      <c r="V573" s="1"/>
      <c r="W573" s="1"/>
      <c r="X573" s="1"/>
      <c r="Y573" s="1"/>
      <c r="Z573" s="1"/>
    </row>
    <row r="574" customFormat="false" ht="15.75" hidden="false" customHeight="true" outlineLevel="0" collapsed="false">
      <c r="L574" s="1"/>
      <c r="M574" s="1"/>
      <c r="N574" s="1"/>
      <c r="O574" s="1"/>
      <c r="P574" s="1"/>
      <c r="Q574" s="1"/>
      <c r="R574" s="1"/>
      <c r="S574" s="1"/>
      <c r="T574" s="1"/>
      <c r="U574" s="1"/>
      <c r="V574" s="1"/>
      <c r="W574" s="1"/>
      <c r="X574" s="1"/>
      <c r="Y574" s="1"/>
      <c r="Z574" s="1"/>
    </row>
    <row r="575" customFormat="false" ht="15.75" hidden="false" customHeight="true" outlineLevel="0" collapsed="false">
      <c r="L575" s="1"/>
      <c r="M575" s="1"/>
      <c r="N575" s="1"/>
      <c r="O575" s="1"/>
      <c r="P575" s="1"/>
      <c r="Q575" s="1"/>
      <c r="R575" s="1"/>
      <c r="S575" s="1"/>
      <c r="T575" s="1"/>
      <c r="U575" s="1"/>
      <c r="V575" s="1"/>
      <c r="W575" s="1"/>
      <c r="X575" s="1"/>
      <c r="Y575" s="1"/>
      <c r="Z575" s="1"/>
    </row>
    <row r="576" customFormat="false" ht="15.75" hidden="false" customHeight="true" outlineLevel="0" collapsed="false">
      <c r="L576" s="1"/>
      <c r="M576" s="1"/>
      <c r="N576" s="1"/>
      <c r="O576" s="1"/>
      <c r="P576" s="1"/>
      <c r="Q576" s="1"/>
      <c r="R576" s="1"/>
      <c r="S576" s="1"/>
      <c r="T576" s="1"/>
      <c r="U576" s="1"/>
      <c r="V576" s="1"/>
      <c r="W576" s="1"/>
      <c r="X576" s="1"/>
      <c r="Y576" s="1"/>
      <c r="Z576" s="1"/>
    </row>
    <row r="577" customFormat="false" ht="15.75" hidden="false" customHeight="true" outlineLevel="0" collapsed="false">
      <c r="L577" s="1"/>
      <c r="M577" s="1"/>
      <c r="N577" s="1"/>
      <c r="O577" s="1"/>
      <c r="P577" s="1"/>
      <c r="Q577" s="1"/>
      <c r="R577" s="1"/>
      <c r="S577" s="1"/>
      <c r="T577" s="1"/>
      <c r="U577" s="1"/>
      <c r="V577" s="1"/>
      <c r="W577" s="1"/>
      <c r="X577" s="1"/>
      <c r="Y577" s="1"/>
      <c r="Z577" s="1"/>
    </row>
    <row r="578" customFormat="false" ht="15.75" hidden="false" customHeight="true" outlineLevel="0" collapsed="false">
      <c r="L578" s="1"/>
      <c r="M578" s="1"/>
      <c r="N578" s="1"/>
      <c r="O578" s="1"/>
      <c r="P578" s="1"/>
      <c r="Q578" s="1"/>
      <c r="R578" s="1"/>
      <c r="S578" s="1"/>
      <c r="T578" s="1"/>
      <c r="U578" s="1"/>
      <c r="V578" s="1"/>
      <c r="W578" s="1"/>
      <c r="X578" s="1"/>
      <c r="Y578" s="1"/>
      <c r="Z578" s="1"/>
    </row>
    <row r="579" customFormat="false" ht="15.75" hidden="false" customHeight="true" outlineLevel="0" collapsed="false">
      <c r="L579" s="1"/>
      <c r="M579" s="1"/>
      <c r="N579" s="1"/>
      <c r="O579" s="1"/>
      <c r="P579" s="1"/>
      <c r="Q579" s="1"/>
      <c r="R579" s="1"/>
      <c r="S579" s="1"/>
      <c r="T579" s="1"/>
      <c r="U579" s="1"/>
      <c r="V579" s="1"/>
      <c r="W579" s="1"/>
      <c r="X579" s="1"/>
      <c r="Y579" s="1"/>
      <c r="Z579" s="1"/>
    </row>
    <row r="580" customFormat="false" ht="15.75" hidden="false" customHeight="true" outlineLevel="0" collapsed="false">
      <c r="L580" s="1"/>
      <c r="M580" s="1"/>
      <c r="N580" s="1"/>
      <c r="O580" s="1"/>
      <c r="P580" s="1"/>
      <c r="Q580" s="1"/>
      <c r="R580" s="1"/>
      <c r="S580" s="1"/>
      <c r="T580" s="1"/>
      <c r="U580" s="1"/>
      <c r="V580" s="1"/>
      <c r="W580" s="1"/>
      <c r="X580" s="1"/>
      <c r="Y580" s="1"/>
      <c r="Z580" s="1"/>
    </row>
    <row r="581" customFormat="false" ht="15.75" hidden="false" customHeight="true" outlineLevel="0" collapsed="false">
      <c r="L581" s="1"/>
      <c r="M581" s="1"/>
      <c r="N581" s="1"/>
      <c r="O581" s="1"/>
      <c r="P581" s="1"/>
      <c r="Q581" s="1"/>
      <c r="R581" s="1"/>
      <c r="S581" s="1"/>
      <c r="T581" s="1"/>
      <c r="U581" s="1"/>
      <c r="V581" s="1"/>
      <c r="W581" s="1"/>
      <c r="X581" s="1"/>
      <c r="Y581" s="1"/>
      <c r="Z581" s="1"/>
    </row>
    <row r="582" customFormat="false" ht="15.75" hidden="false" customHeight="true" outlineLevel="0" collapsed="false">
      <c r="L582" s="1"/>
      <c r="M582" s="1"/>
      <c r="N582" s="1"/>
      <c r="O582" s="1"/>
      <c r="P582" s="1"/>
      <c r="Q582" s="1"/>
      <c r="R582" s="1"/>
      <c r="S582" s="1"/>
      <c r="T582" s="1"/>
      <c r="U582" s="1"/>
      <c r="V582" s="1"/>
      <c r="W582" s="1"/>
      <c r="X582" s="1"/>
      <c r="Y582" s="1"/>
      <c r="Z582" s="1"/>
    </row>
    <row r="583" customFormat="false" ht="15.75" hidden="false" customHeight="true" outlineLevel="0" collapsed="false">
      <c r="L583" s="1"/>
      <c r="M583" s="1"/>
      <c r="N583" s="1"/>
      <c r="O583" s="1"/>
      <c r="P583" s="1"/>
      <c r="Q583" s="1"/>
      <c r="R583" s="1"/>
      <c r="S583" s="1"/>
      <c r="T583" s="1"/>
      <c r="U583" s="1"/>
      <c r="V583" s="1"/>
      <c r="W583" s="1"/>
      <c r="X583" s="1"/>
      <c r="Y583" s="1"/>
      <c r="Z583" s="1"/>
    </row>
    <row r="584" customFormat="false" ht="15.75" hidden="false" customHeight="true" outlineLevel="0" collapsed="false">
      <c r="L584" s="1"/>
      <c r="M584" s="1"/>
      <c r="N584" s="1"/>
      <c r="O584" s="1"/>
      <c r="P584" s="1"/>
      <c r="Q584" s="1"/>
      <c r="R584" s="1"/>
      <c r="S584" s="1"/>
      <c r="T584" s="1"/>
      <c r="U584" s="1"/>
      <c r="V584" s="1"/>
      <c r="W584" s="1"/>
      <c r="X584" s="1"/>
      <c r="Y584" s="1"/>
      <c r="Z584" s="1"/>
    </row>
    <row r="585" customFormat="false" ht="15.75" hidden="false" customHeight="true" outlineLevel="0" collapsed="false">
      <c r="L585" s="1"/>
      <c r="M585" s="1"/>
      <c r="N585" s="1"/>
      <c r="O585" s="1"/>
      <c r="P585" s="1"/>
      <c r="Q585" s="1"/>
      <c r="R585" s="1"/>
      <c r="S585" s="1"/>
      <c r="T585" s="1"/>
      <c r="U585" s="1"/>
      <c r="V585" s="1"/>
      <c r="W585" s="1"/>
      <c r="X585" s="1"/>
      <c r="Y585" s="1"/>
      <c r="Z585" s="1"/>
    </row>
    <row r="586" customFormat="false" ht="15.75" hidden="false" customHeight="true" outlineLevel="0" collapsed="false">
      <c r="L586" s="1"/>
      <c r="M586" s="1"/>
      <c r="N586" s="1"/>
      <c r="O586" s="1"/>
      <c r="P586" s="1"/>
      <c r="Q586" s="1"/>
      <c r="R586" s="1"/>
      <c r="S586" s="1"/>
      <c r="T586" s="1"/>
      <c r="U586" s="1"/>
      <c r="V586" s="1"/>
      <c r="W586" s="1"/>
      <c r="X586" s="1"/>
      <c r="Y586" s="1"/>
      <c r="Z586" s="1"/>
    </row>
    <row r="587" customFormat="false" ht="15.75" hidden="false" customHeight="true" outlineLevel="0" collapsed="false">
      <c r="L587" s="1"/>
      <c r="M587" s="1"/>
      <c r="N587" s="1"/>
      <c r="O587" s="1"/>
      <c r="P587" s="1"/>
      <c r="Q587" s="1"/>
      <c r="R587" s="1"/>
      <c r="S587" s="1"/>
      <c r="T587" s="1"/>
      <c r="U587" s="1"/>
      <c r="V587" s="1"/>
      <c r="W587" s="1"/>
      <c r="X587" s="1"/>
      <c r="Y587" s="1"/>
      <c r="Z587" s="1"/>
    </row>
    <row r="588" customFormat="false" ht="15.75" hidden="false" customHeight="true" outlineLevel="0" collapsed="false">
      <c r="L588" s="1"/>
      <c r="M588" s="1"/>
      <c r="N588" s="1"/>
      <c r="O588" s="1"/>
      <c r="P588" s="1"/>
      <c r="Q588" s="1"/>
      <c r="R588" s="1"/>
      <c r="S588" s="1"/>
      <c r="T588" s="1"/>
      <c r="U588" s="1"/>
      <c r="V588" s="1"/>
      <c r="W588" s="1"/>
      <c r="X588" s="1"/>
      <c r="Y588" s="1"/>
      <c r="Z588" s="1"/>
    </row>
    <row r="589" customFormat="false" ht="15.75" hidden="false" customHeight="true" outlineLevel="0" collapsed="false">
      <c r="L589" s="1"/>
      <c r="M589" s="1"/>
      <c r="N589" s="1"/>
      <c r="O589" s="1"/>
      <c r="P589" s="1"/>
      <c r="Q589" s="1"/>
      <c r="R589" s="1"/>
      <c r="S589" s="1"/>
      <c r="T589" s="1"/>
      <c r="U589" s="1"/>
      <c r="V589" s="1"/>
      <c r="W589" s="1"/>
      <c r="X589" s="1"/>
      <c r="Y589" s="1"/>
      <c r="Z589" s="1"/>
    </row>
    <row r="590" customFormat="false" ht="15.75" hidden="false" customHeight="true" outlineLevel="0" collapsed="false">
      <c r="L590" s="1"/>
      <c r="M590" s="1"/>
      <c r="N590" s="1"/>
      <c r="O590" s="1"/>
      <c r="P590" s="1"/>
      <c r="Q590" s="1"/>
      <c r="R590" s="1"/>
      <c r="S590" s="1"/>
      <c r="T590" s="1"/>
      <c r="U590" s="1"/>
      <c r="V590" s="1"/>
      <c r="W590" s="1"/>
      <c r="X590" s="1"/>
      <c r="Y590" s="1"/>
      <c r="Z590" s="1"/>
    </row>
    <row r="591" customFormat="false" ht="15.75" hidden="false" customHeight="true" outlineLevel="0" collapsed="false">
      <c r="L591" s="1"/>
      <c r="M591" s="1"/>
      <c r="N591" s="1"/>
      <c r="O591" s="1"/>
      <c r="P591" s="1"/>
      <c r="Q591" s="1"/>
      <c r="R591" s="1"/>
      <c r="S591" s="1"/>
      <c r="T591" s="1"/>
      <c r="U591" s="1"/>
      <c r="V591" s="1"/>
      <c r="W591" s="1"/>
      <c r="X591" s="1"/>
      <c r="Y591" s="1"/>
      <c r="Z591" s="1"/>
    </row>
    <row r="592" customFormat="false" ht="15.75" hidden="false" customHeight="true" outlineLevel="0" collapsed="false">
      <c r="L592" s="1"/>
      <c r="M592" s="1"/>
      <c r="N592" s="1"/>
      <c r="O592" s="1"/>
      <c r="P592" s="1"/>
      <c r="Q592" s="1"/>
      <c r="R592" s="1"/>
      <c r="S592" s="1"/>
      <c r="T592" s="1"/>
      <c r="U592" s="1"/>
      <c r="V592" s="1"/>
      <c r="W592" s="1"/>
      <c r="X592" s="1"/>
      <c r="Y592" s="1"/>
      <c r="Z592" s="1"/>
    </row>
    <row r="593" customFormat="false" ht="15.75" hidden="false" customHeight="true" outlineLevel="0" collapsed="false">
      <c r="L593" s="1"/>
      <c r="M593" s="1"/>
      <c r="N593" s="1"/>
      <c r="O593" s="1"/>
      <c r="P593" s="1"/>
      <c r="Q593" s="1"/>
      <c r="R593" s="1"/>
      <c r="S593" s="1"/>
      <c r="T593" s="1"/>
      <c r="U593" s="1"/>
      <c r="V593" s="1"/>
      <c r="W593" s="1"/>
      <c r="X593" s="1"/>
      <c r="Y593" s="1"/>
      <c r="Z593" s="1"/>
    </row>
    <row r="594" customFormat="false" ht="15.75" hidden="false" customHeight="true" outlineLevel="0" collapsed="false">
      <c r="L594" s="1"/>
      <c r="M594" s="1"/>
      <c r="N594" s="1"/>
      <c r="O594" s="1"/>
      <c r="P594" s="1"/>
      <c r="Q594" s="1"/>
      <c r="R594" s="1"/>
      <c r="S594" s="1"/>
      <c r="T594" s="1"/>
      <c r="U594" s="1"/>
      <c r="V594" s="1"/>
      <c r="W594" s="1"/>
      <c r="X594" s="1"/>
      <c r="Y594" s="1"/>
      <c r="Z594" s="1"/>
    </row>
    <row r="595" customFormat="false" ht="15.75" hidden="false" customHeight="true" outlineLevel="0" collapsed="false">
      <c r="L595" s="1"/>
      <c r="M595" s="1"/>
      <c r="N595" s="1"/>
      <c r="O595" s="1"/>
      <c r="P595" s="1"/>
      <c r="Q595" s="1"/>
      <c r="R595" s="1"/>
      <c r="S595" s="1"/>
      <c r="T595" s="1"/>
      <c r="U595" s="1"/>
      <c r="V595" s="1"/>
      <c r="W595" s="1"/>
      <c r="X595" s="1"/>
      <c r="Y595" s="1"/>
      <c r="Z595" s="1"/>
    </row>
    <row r="596" customFormat="false" ht="15.75" hidden="false" customHeight="true" outlineLevel="0" collapsed="false">
      <c r="L596" s="1"/>
      <c r="M596" s="1"/>
      <c r="N596" s="1"/>
      <c r="O596" s="1"/>
      <c r="P596" s="1"/>
      <c r="Q596" s="1"/>
      <c r="R596" s="1"/>
      <c r="S596" s="1"/>
      <c r="T596" s="1"/>
      <c r="U596" s="1"/>
      <c r="V596" s="1"/>
      <c r="W596" s="1"/>
      <c r="X596" s="1"/>
      <c r="Y596" s="1"/>
      <c r="Z596" s="1"/>
    </row>
    <row r="597" customFormat="false" ht="15.75" hidden="false" customHeight="true" outlineLevel="0" collapsed="false">
      <c r="L597" s="1"/>
      <c r="M597" s="1"/>
      <c r="N597" s="1"/>
      <c r="O597" s="1"/>
      <c r="P597" s="1"/>
      <c r="Q597" s="1"/>
      <c r="R597" s="1"/>
      <c r="S597" s="1"/>
      <c r="T597" s="1"/>
      <c r="U597" s="1"/>
      <c r="V597" s="1"/>
      <c r="W597" s="1"/>
      <c r="X597" s="1"/>
      <c r="Y597" s="1"/>
      <c r="Z597" s="1"/>
    </row>
    <row r="598" customFormat="false" ht="15.75" hidden="false" customHeight="true" outlineLevel="0" collapsed="false">
      <c r="L598" s="1"/>
      <c r="M598" s="1"/>
      <c r="N598" s="1"/>
      <c r="O598" s="1"/>
      <c r="P598" s="1"/>
      <c r="Q598" s="1"/>
      <c r="R598" s="1"/>
      <c r="S598" s="1"/>
      <c r="T598" s="1"/>
      <c r="U598" s="1"/>
      <c r="V598" s="1"/>
      <c r="W598" s="1"/>
      <c r="X598" s="1"/>
      <c r="Y598" s="1"/>
      <c r="Z598" s="1"/>
    </row>
    <row r="599" customFormat="false" ht="15.75" hidden="false" customHeight="true" outlineLevel="0" collapsed="false">
      <c r="L599" s="1"/>
      <c r="M599" s="1"/>
      <c r="N599" s="1"/>
      <c r="O599" s="1"/>
      <c r="P599" s="1"/>
      <c r="Q599" s="1"/>
      <c r="R599" s="1"/>
      <c r="S599" s="1"/>
      <c r="T599" s="1"/>
      <c r="U599" s="1"/>
      <c r="V599" s="1"/>
      <c r="W599" s="1"/>
      <c r="X599" s="1"/>
      <c r="Y599" s="1"/>
      <c r="Z599" s="1"/>
    </row>
    <row r="600" customFormat="false" ht="15.75" hidden="false" customHeight="true" outlineLevel="0" collapsed="false">
      <c r="L600" s="1"/>
      <c r="M600" s="1"/>
      <c r="N600" s="1"/>
      <c r="O600" s="1"/>
      <c r="P600" s="1"/>
      <c r="Q600" s="1"/>
      <c r="R600" s="1"/>
      <c r="S600" s="1"/>
      <c r="T600" s="1"/>
      <c r="U600" s="1"/>
      <c r="V600" s="1"/>
      <c r="W600" s="1"/>
      <c r="X600" s="1"/>
      <c r="Y600" s="1"/>
      <c r="Z600" s="1"/>
    </row>
    <row r="601" customFormat="false" ht="15.75" hidden="false" customHeight="true" outlineLevel="0" collapsed="false">
      <c r="L601" s="1"/>
      <c r="M601" s="1"/>
      <c r="N601" s="1"/>
      <c r="O601" s="1"/>
      <c r="P601" s="1"/>
      <c r="Q601" s="1"/>
      <c r="R601" s="1"/>
      <c r="S601" s="1"/>
      <c r="T601" s="1"/>
      <c r="U601" s="1"/>
      <c r="V601" s="1"/>
      <c r="W601" s="1"/>
      <c r="X601" s="1"/>
      <c r="Y601" s="1"/>
      <c r="Z601" s="1"/>
    </row>
    <row r="602" customFormat="false" ht="15.75" hidden="false" customHeight="true" outlineLevel="0" collapsed="false">
      <c r="L602" s="1"/>
      <c r="M602" s="1"/>
      <c r="N602" s="1"/>
      <c r="O602" s="1"/>
      <c r="P602" s="1"/>
      <c r="Q602" s="1"/>
      <c r="R602" s="1"/>
      <c r="S602" s="1"/>
      <c r="T602" s="1"/>
      <c r="U602" s="1"/>
      <c r="V602" s="1"/>
      <c r="W602" s="1"/>
      <c r="X602" s="1"/>
      <c r="Y602" s="1"/>
      <c r="Z602" s="1"/>
    </row>
    <row r="603" customFormat="false" ht="15.75" hidden="false" customHeight="true" outlineLevel="0" collapsed="false">
      <c r="L603" s="1"/>
      <c r="M603" s="1"/>
      <c r="N603" s="1"/>
      <c r="O603" s="1"/>
      <c r="P603" s="1"/>
      <c r="Q603" s="1"/>
      <c r="R603" s="1"/>
      <c r="S603" s="1"/>
      <c r="T603" s="1"/>
      <c r="U603" s="1"/>
      <c r="V603" s="1"/>
      <c r="W603" s="1"/>
      <c r="X603" s="1"/>
      <c r="Y603" s="1"/>
      <c r="Z603" s="1"/>
    </row>
    <row r="604" customFormat="false" ht="15.75" hidden="false" customHeight="true" outlineLevel="0" collapsed="false">
      <c r="L604" s="1"/>
      <c r="M604" s="1"/>
      <c r="N604" s="1"/>
      <c r="O604" s="1"/>
      <c r="P604" s="1"/>
      <c r="Q604" s="1"/>
      <c r="R604" s="1"/>
      <c r="S604" s="1"/>
      <c r="T604" s="1"/>
      <c r="U604" s="1"/>
      <c r="V604" s="1"/>
      <c r="W604" s="1"/>
      <c r="X604" s="1"/>
      <c r="Y604" s="1"/>
      <c r="Z604" s="1"/>
    </row>
    <row r="605" customFormat="false" ht="15.75" hidden="false" customHeight="true" outlineLevel="0" collapsed="false">
      <c r="L605" s="1"/>
      <c r="M605" s="1"/>
      <c r="N605" s="1"/>
      <c r="O605" s="1"/>
      <c r="P605" s="1"/>
      <c r="Q605" s="1"/>
      <c r="R605" s="1"/>
      <c r="S605" s="1"/>
      <c r="T605" s="1"/>
      <c r="U605" s="1"/>
      <c r="V605" s="1"/>
      <c r="W605" s="1"/>
      <c r="X605" s="1"/>
      <c r="Y605" s="1"/>
      <c r="Z605" s="1"/>
    </row>
    <row r="606" customFormat="false" ht="15.75" hidden="false" customHeight="true" outlineLevel="0" collapsed="false">
      <c r="L606" s="1"/>
      <c r="M606" s="1"/>
      <c r="N606" s="1"/>
      <c r="O606" s="1"/>
      <c r="P606" s="1"/>
      <c r="Q606" s="1"/>
      <c r="R606" s="1"/>
      <c r="S606" s="1"/>
      <c r="T606" s="1"/>
      <c r="U606" s="1"/>
      <c r="V606" s="1"/>
      <c r="W606" s="1"/>
      <c r="X606" s="1"/>
      <c r="Y606" s="1"/>
      <c r="Z606" s="1"/>
    </row>
    <row r="607" customFormat="false" ht="15.75" hidden="false" customHeight="true" outlineLevel="0" collapsed="false">
      <c r="L607" s="1"/>
      <c r="M607" s="1"/>
      <c r="N607" s="1"/>
      <c r="O607" s="1"/>
      <c r="P607" s="1"/>
      <c r="Q607" s="1"/>
      <c r="R607" s="1"/>
      <c r="S607" s="1"/>
      <c r="T607" s="1"/>
      <c r="U607" s="1"/>
      <c r="V607" s="1"/>
      <c r="W607" s="1"/>
      <c r="X607" s="1"/>
      <c r="Y607" s="1"/>
      <c r="Z607" s="1"/>
    </row>
    <row r="608" customFormat="false" ht="15.75" hidden="false" customHeight="true" outlineLevel="0" collapsed="false">
      <c r="L608" s="1"/>
      <c r="M608" s="1"/>
      <c r="N608" s="1"/>
      <c r="O608" s="1"/>
      <c r="P608" s="1"/>
      <c r="Q608" s="1"/>
      <c r="R608" s="1"/>
      <c r="S608" s="1"/>
      <c r="T608" s="1"/>
      <c r="U608" s="1"/>
      <c r="V608" s="1"/>
      <c r="W608" s="1"/>
      <c r="X608" s="1"/>
      <c r="Y608" s="1"/>
      <c r="Z608" s="1"/>
    </row>
    <row r="609" customFormat="false" ht="15.75" hidden="false" customHeight="true" outlineLevel="0" collapsed="false">
      <c r="L609" s="1"/>
      <c r="M609" s="1"/>
      <c r="N609" s="1"/>
      <c r="O609" s="1"/>
      <c r="P609" s="1"/>
      <c r="Q609" s="1"/>
      <c r="R609" s="1"/>
      <c r="S609" s="1"/>
      <c r="T609" s="1"/>
      <c r="U609" s="1"/>
      <c r="V609" s="1"/>
      <c r="W609" s="1"/>
      <c r="X609" s="1"/>
      <c r="Y609" s="1"/>
      <c r="Z609" s="1"/>
    </row>
    <row r="610" customFormat="false" ht="15.75" hidden="false" customHeight="true" outlineLevel="0" collapsed="false">
      <c r="L610" s="1"/>
      <c r="M610" s="1"/>
      <c r="N610" s="1"/>
      <c r="O610" s="1"/>
      <c r="P610" s="1"/>
      <c r="Q610" s="1"/>
      <c r="R610" s="1"/>
      <c r="S610" s="1"/>
      <c r="T610" s="1"/>
      <c r="U610" s="1"/>
      <c r="V610" s="1"/>
      <c r="W610" s="1"/>
      <c r="X610" s="1"/>
      <c r="Y610" s="1"/>
      <c r="Z610" s="1"/>
    </row>
    <row r="611" customFormat="false" ht="15.75" hidden="false" customHeight="true" outlineLevel="0" collapsed="false">
      <c r="L611" s="1"/>
      <c r="M611" s="1"/>
      <c r="N611" s="1"/>
      <c r="O611" s="1"/>
      <c r="P611" s="1"/>
      <c r="Q611" s="1"/>
      <c r="R611" s="1"/>
      <c r="S611" s="1"/>
      <c r="T611" s="1"/>
      <c r="U611" s="1"/>
      <c r="V611" s="1"/>
      <c r="W611" s="1"/>
      <c r="X611" s="1"/>
      <c r="Y611" s="1"/>
      <c r="Z611" s="1"/>
    </row>
    <row r="612" customFormat="false" ht="15.75" hidden="false" customHeight="true" outlineLevel="0" collapsed="false">
      <c r="L612" s="1"/>
      <c r="M612" s="1"/>
      <c r="N612" s="1"/>
      <c r="O612" s="1"/>
      <c r="P612" s="1"/>
      <c r="Q612" s="1"/>
      <c r="R612" s="1"/>
      <c r="S612" s="1"/>
      <c r="T612" s="1"/>
      <c r="U612" s="1"/>
      <c r="V612" s="1"/>
      <c r="W612" s="1"/>
      <c r="X612" s="1"/>
      <c r="Y612" s="1"/>
      <c r="Z612" s="1"/>
    </row>
    <row r="613" customFormat="false" ht="15.75" hidden="false" customHeight="true" outlineLevel="0" collapsed="false">
      <c r="L613" s="1"/>
      <c r="M613" s="1"/>
      <c r="N613" s="1"/>
      <c r="O613" s="1"/>
      <c r="P613" s="1"/>
      <c r="Q613" s="1"/>
      <c r="R613" s="1"/>
      <c r="S613" s="1"/>
      <c r="T613" s="1"/>
      <c r="U613" s="1"/>
      <c r="V613" s="1"/>
      <c r="W613" s="1"/>
      <c r="X613" s="1"/>
      <c r="Y613" s="1"/>
      <c r="Z613" s="1"/>
    </row>
    <row r="614" customFormat="false" ht="15.75" hidden="false" customHeight="true" outlineLevel="0" collapsed="false">
      <c r="L614" s="1"/>
      <c r="M614" s="1"/>
      <c r="N614" s="1"/>
      <c r="O614" s="1"/>
      <c r="P614" s="1"/>
      <c r="Q614" s="1"/>
      <c r="R614" s="1"/>
      <c r="S614" s="1"/>
      <c r="T614" s="1"/>
      <c r="U614" s="1"/>
      <c r="V614" s="1"/>
      <c r="W614" s="1"/>
      <c r="X614" s="1"/>
      <c r="Y614" s="1"/>
      <c r="Z614" s="1"/>
    </row>
    <row r="615" customFormat="false" ht="15.75" hidden="false" customHeight="true" outlineLevel="0" collapsed="false">
      <c r="L615" s="1"/>
      <c r="M615" s="1"/>
      <c r="N615" s="1"/>
      <c r="O615" s="1"/>
      <c r="P615" s="1"/>
      <c r="Q615" s="1"/>
      <c r="R615" s="1"/>
      <c r="S615" s="1"/>
      <c r="T615" s="1"/>
      <c r="U615" s="1"/>
      <c r="V615" s="1"/>
      <c r="W615" s="1"/>
      <c r="X615" s="1"/>
      <c r="Y615" s="1"/>
      <c r="Z615" s="1"/>
    </row>
    <row r="616" customFormat="false" ht="15.75" hidden="false" customHeight="true" outlineLevel="0" collapsed="false">
      <c r="L616" s="1"/>
      <c r="M616" s="1"/>
      <c r="N616" s="1"/>
      <c r="O616" s="1"/>
      <c r="P616" s="1"/>
      <c r="Q616" s="1"/>
      <c r="R616" s="1"/>
      <c r="S616" s="1"/>
      <c r="T616" s="1"/>
      <c r="U616" s="1"/>
      <c r="V616" s="1"/>
      <c r="W616" s="1"/>
      <c r="X616" s="1"/>
      <c r="Y616" s="1"/>
      <c r="Z616" s="1"/>
    </row>
    <row r="617" customFormat="false" ht="15.75" hidden="false" customHeight="true" outlineLevel="0" collapsed="false">
      <c r="L617" s="1"/>
      <c r="M617" s="1"/>
      <c r="N617" s="1"/>
      <c r="O617" s="1"/>
      <c r="P617" s="1"/>
      <c r="Q617" s="1"/>
      <c r="R617" s="1"/>
      <c r="S617" s="1"/>
      <c r="T617" s="1"/>
      <c r="U617" s="1"/>
      <c r="V617" s="1"/>
      <c r="W617" s="1"/>
      <c r="X617" s="1"/>
      <c r="Y617" s="1"/>
      <c r="Z617" s="1"/>
    </row>
    <row r="618" customFormat="false" ht="15.75" hidden="false" customHeight="true" outlineLevel="0" collapsed="false">
      <c r="L618" s="1"/>
      <c r="M618" s="1"/>
      <c r="N618" s="1"/>
      <c r="O618" s="1"/>
      <c r="P618" s="1"/>
      <c r="Q618" s="1"/>
      <c r="R618" s="1"/>
      <c r="S618" s="1"/>
      <c r="T618" s="1"/>
      <c r="U618" s="1"/>
      <c r="V618" s="1"/>
      <c r="W618" s="1"/>
      <c r="X618" s="1"/>
      <c r="Y618" s="1"/>
      <c r="Z618" s="1"/>
    </row>
    <row r="619" customFormat="false" ht="15.75" hidden="false" customHeight="true" outlineLevel="0" collapsed="false">
      <c r="L619" s="1"/>
      <c r="M619" s="1"/>
      <c r="N619" s="1"/>
      <c r="O619" s="1"/>
      <c r="P619" s="1"/>
      <c r="Q619" s="1"/>
      <c r="R619" s="1"/>
      <c r="S619" s="1"/>
      <c r="T619" s="1"/>
      <c r="U619" s="1"/>
      <c r="V619" s="1"/>
      <c r="W619" s="1"/>
      <c r="X619" s="1"/>
      <c r="Y619" s="1"/>
      <c r="Z619" s="1"/>
    </row>
    <row r="620" customFormat="false" ht="15.75" hidden="false" customHeight="true" outlineLevel="0" collapsed="false">
      <c r="L620" s="1"/>
      <c r="M620" s="1"/>
      <c r="N620" s="1"/>
      <c r="O620" s="1"/>
      <c r="P620" s="1"/>
      <c r="Q620" s="1"/>
      <c r="R620" s="1"/>
      <c r="S620" s="1"/>
      <c r="T620" s="1"/>
      <c r="U620" s="1"/>
      <c r="V620" s="1"/>
      <c r="W620" s="1"/>
      <c r="X620" s="1"/>
      <c r="Y620" s="1"/>
      <c r="Z620" s="1"/>
    </row>
    <row r="621" customFormat="false" ht="15.75" hidden="false" customHeight="true" outlineLevel="0" collapsed="false">
      <c r="L621" s="1"/>
      <c r="M621" s="1"/>
      <c r="N621" s="1"/>
      <c r="O621" s="1"/>
      <c r="P621" s="1"/>
      <c r="Q621" s="1"/>
      <c r="R621" s="1"/>
      <c r="S621" s="1"/>
      <c r="T621" s="1"/>
      <c r="U621" s="1"/>
      <c r="V621" s="1"/>
      <c r="W621" s="1"/>
      <c r="X621" s="1"/>
      <c r="Y621" s="1"/>
      <c r="Z621" s="1"/>
    </row>
    <row r="622" customFormat="false" ht="15.75" hidden="false" customHeight="true" outlineLevel="0" collapsed="false">
      <c r="L622" s="1"/>
      <c r="M622" s="1"/>
      <c r="N622" s="1"/>
      <c r="O622" s="1"/>
      <c r="P622" s="1"/>
      <c r="Q622" s="1"/>
      <c r="R622" s="1"/>
      <c r="S622" s="1"/>
      <c r="T622" s="1"/>
      <c r="U622" s="1"/>
      <c r="V622" s="1"/>
      <c r="W622" s="1"/>
      <c r="X622" s="1"/>
      <c r="Y622" s="1"/>
      <c r="Z622" s="1"/>
    </row>
    <row r="623" customFormat="false" ht="15.75" hidden="false" customHeight="true" outlineLevel="0" collapsed="false">
      <c r="L623" s="1"/>
      <c r="M623" s="1"/>
      <c r="N623" s="1"/>
      <c r="O623" s="1"/>
      <c r="P623" s="1"/>
      <c r="Q623" s="1"/>
      <c r="R623" s="1"/>
      <c r="S623" s="1"/>
      <c r="T623" s="1"/>
      <c r="U623" s="1"/>
      <c r="V623" s="1"/>
      <c r="W623" s="1"/>
      <c r="X623" s="1"/>
      <c r="Y623" s="1"/>
      <c r="Z623" s="1"/>
    </row>
    <row r="624" customFormat="false" ht="15.75" hidden="false" customHeight="true" outlineLevel="0" collapsed="false">
      <c r="L624" s="1"/>
      <c r="M624" s="1"/>
      <c r="N624" s="1"/>
      <c r="O624" s="1"/>
      <c r="P624" s="1"/>
      <c r="Q624" s="1"/>
      <c r="R624" s="1"/>
      <c r="S624" s="1"/>
      <c r="T624" s="1"/>
      <c r="U624" s="1"/>
      <c r="V624" s="1"/>
      <c r="W624" s="1"/>
      <c r="X624" s="1"/>
      <c r="Y624" s="1"/>
      <c r="Z624" s="1"/>
    </row>
    <row r="625" customFormat="false" ht="15.75" hidden="false" customHeight="true" outlineLevel="0" collapsed="false">
      <c r="L625" s="1"/>
      <c r="M625" s="1"/>
      <c r="N625" s="1"/>
      <c r="O625" s="1"/>
      <c r="P625" s="1"/>
      <c r="Q625" s="1"/>
      <c r="R625" s="1"/>
      <c r="S625" s="1"/>
      <c r="T625" s="1"/>
      <c r="U625" s="1"/>
      <c r="V625" s="1"/>
      <c r="W625" s="1"/>
      <c r="X625" s="1"/>
      <c r="Y625" s="1"/>
      <c r="Z625" s="1"/>
    </row>
    <row r="626" customFormat="false" ht="15.75" hidden="false" customHeight="true" outlineLevel="0" collapsed="false">
      <c r="L626" s="1"/>
      <c r="M626" s="1"/>
      <c r="N626" s="1"/>
      <c r="O626" s="1"/>
      <c r="P626" s="1"/>
      <c r="Q626" s="1"/>
      <c r="R626" s="1"/>
      <c r="S626" s="1"/>
      <c r="T626" s="1"/>
      <c r="U626" s="1"/>
      <c r="V626" s="1"/>
      <c r="W626" s="1"/>
      <c r="X626" s="1"/>
      <c r="Y626" s="1"/>
      <c r="Z626" s="1"/>
    </row>
    <row r="627" customFormat="false" ht="15.75" hidden="false" customHeight="true" outlineLevel="0" collapsed="false">
      <c r="L627" s="1"/>
      <c r="M627" s="1"/>
      <c r="N627" s="1"/>
      <c r="O627" s="1"/>
      <c r="P627" s="1"/>
      <c r="Q627" s="1"/>
      <c r="R627" s="1"/>
      <c r="S627" s="1"/>
      <c r="T627" s="1"/>
      <c r="U627" s="1"/>
      <c r="V627" s="1"/>
      <c r="W627" s="1"/>
      <c r="X627" s="1"/>
      <c r="Y627" s="1"/>
      <c r="Z627" s="1"/>
    </row>
    <row r="628" customFormat="false" ht="15.75" hidden="false" customHeight="true" outlineLevel="0" collapsed="false">
      <c r="L628" s="1"/>
      <c r="M628" s="1"/>
      <c r="N628" s="1"/>
      <c r="O628" s="1"/>
      <c r="P628" s="1"/>
      <c r="Q628" s="1"/>
      <c r="R628" s="1"/>
      <c r="S628" s="1"/>
      <c r="T628" s="1"/>
      <c r="U628" s="1"/>
      <c r="V628" s="1"/>
      <c r="W628" s="1"/>
      <c r="X628" s="1"/>
      <c r="Y628" s="1"/>
      <c r="Z628" s="1"/>
    </row>
    <row r="629" customFormat="false" ht="15.75" hidden="false" customHeight="true" outlineLevel="0" collapsed="false">
      <c r="L629" s="1"/>
      <c r="M629" s="1"/>
      <c r="N629" s="1"/>
      <c r="O629" s="1"/>
      <c r="P629" s="1"/>
      <c r="Q629" s="1"/>
      <c r="R629" s="1"/>
      <c r="S629" s="1"/>
      <c r="T629" s="1"/>
      <c r="U629" s="1"/>
      <c r="V629" s="1"/>
      <c r="W629" s="1"/>
      <c r="X629" s="1"/>
      <c r="Y629" s="1"/>
      <c r="Z629" s="1"/>
    </row>
    <row r="630" customFormat="false" ht="15.75" hidden="false" customHeight="true" outlineLevel="0" collapsed="false">
      <c r="L630" s="1"/>
      <c r="M630" s="1"/>
      <c r="N630" s="1"/>
      <c r="O630" s="1"/>
      <c r="P630" s="1"/>
      <c r="Q630" s="1"/>
      <c r="R630" s="1"/>
      <c r="S630" s="1"/>
      <c r="T630" s="1"/>
      <c r="U630" s="1"/>
      <c r="V630" s="1"/>
      <c r="W630" s="1"/>
      <c r="X630" s="1"/>
      <c r="Y630" s="1"/>
      <c r="Z630" s="1"/>
    </row>
    <row r="631" customFormat="false" ht="15.75" hidden="false" customHeight="true" outlineLevel="0" collapsed="false">
      <c r="L631" s="1"/>
      <c r="M631" s="1"/>
      <c r="N631" s="1"/>
      <c r="O631" s="1"/>
      <c r="P631" s="1"/>
      <c r="Q631" s="1"/>
      <c r="R631" s="1"/>
      <c r="S631" s="1"/>
      <c r="T631" s="1"/>
      <c r="U631" s="1"/>
      <c r="V631" s="1"/>
      <c r="W631" s="1"/>
      <c r="X631" s="1"/>
      <c r="Y631" s="1"/>
      <c r="Z631" s="1"/>
    </row>
    <row r="632" customFormat="false" ht="15.75" hidden="false" customHeight="true" outlineLevel="0" collapsed="false">
      <c r="L632" s="1"/>
      <c r="M632" s="1"/>
      <c r="N632" s="1"/>
      <c r="O632" s="1"/>
      <c r="P632" s="1"/>
      <c r="Q632" s="1"/>
      <c r="R632" s="1"/>
      <c r="S632" s="1"/>
      <c r="T632" s="1"/>
      <c r="U632" s="1"/>
      <c r="V632" s="1"/>
      <c r="W632" s="1"/>
      <c r="X632" s="1"/>
      <c r="Y632" s="1"/>
      <c r="Z632" s="1"/>
    </row>
    <row r="633" customFormat="false" ht="15.75" hidden="false" customHeight="true" outlineLevel="0" collapsed="false">
      <c r="L633" s="1"/>
      <c r="M633" s="1"/>
      <c r="N633" s="1"/>
      <c r="O633" s="1"/>
      <c r="P633" s="1"/>
      <c r="Q633" s="1"/>
      <c r="R633" s="1"/>
      <c r="S633" s="1"/>
      <c r="T633" s="1"/>
      <c r="U633" s="1"/>
      <c r="V633" s="1"/>
      <c r="W633" s="1"/>
      <c r="X633" s="1"/>
      <c r="Y633" s="1"/>
      <c r="Z633" s="1"/>
    </row>
    <row r="634" customFormat="false" ht="15.75" hidden="false" customHeight="true" outlineLevel="0" collapsed="false">
      <c r="L634" s="1"/>
      <c r="M634" s="1"/>
      <c r="N634" s="1"/>
      <c r="O634" s="1"/>
      <c r="P634" s="1"/>
      <c r="Q634" s="1"/>
      <c r="R634" s="1"/>
      <c r="S634" s="1"/>
      <c r="T634" s="1"/>
      <c r="U634" s="1"/>
      <c r="V634" s="1"/>
      <c r="W634" s="1"/>
      <c r="X634" s="1"/>
      <c r="Y634" s="1"/>
      <c r="Z634" s="1"/>
    </row>
    <row r="635" customFormat="false" ht="15.75" hidden="false" customHeight="true" outlineLevel="0" collapsed="false">
      <c r="L635" s="1"/>
      <c r="M635" s="1"/>
      <c r="N635" s="1"/>
      <c r="O635" s="1"/>
      <c r="P635" s="1"/>
      <c r="Q635" s="1"/>
      <c r="R635" s="1"/>
      <c r="S635" s="1"/>
      <c r="T635" s="1"/>
      <c r="U635" s="1"/>
      <c r="V635" s="1"/>
      <c r="W635" s="1"/>
      <c r="X635" s="1"/>
      <c r="Y635" s="1"/>
      <c r="Z635" s="1"/>
    </row>
    <row r="636" customFormat="false" ht="15.75" hidden="false" customHeight="true" outlineLevel="0" collapsed="false">
      <c r="L636" s="1"/>
      <c r="M636" s="1"/>
      <c r="N636" s="1"/>
      <c r="O636" s="1"/>
      <c r="P636" s="1"/>
      <c r="Q636" s="1"/>
      <c r="R636" s="1"/>
      <c r="S636" s="1"/>
      <c r="T636" s="1"/>
      <c r="U636" s="1"/>
      <c r="V636" s="1"/>
      <c r="W636" s="1"/>
      <c r="X636" s="1"/>
      <c r="Y636" s="1"/>
      <c r="Z636" s="1"/>
    </row>
    <row r="637" customFormat="false" ht="15.75" hidden="false" customHeight="true" outlineLevel="0" collapsed="false">
      <c r="L637" s="1"/>
      <c r="M637" s="1"/>
      <c r="N637" s="1"/>
      <c r="O637" s="1"/>
      <c r="P637" s="1"/>
      <c r="Q637" s="1"/>
      <c r="R637" s="1"/>
      <c r="S637" s="1"/>
      <c r="T637" s="1"/>
      <c r="U637" s="1"/>
      <c r="V637" s="1"/>
      <c r="W637" s="1"/>
      <c r="X637" s="1"/>
      <c r="Y637" s="1"/>
      <c r="Z637" s="1"/>
    </row>
    <row r="638" customFormat="false" ht="15.75" hidden="false" customHeight="true" outlineLevel="0" collapsed="false">
      <c r="L638" s="1"/>
      <c r="M638" s="1"/>
      <c r="N638" s="1"/>
      <c r="O638" s="1"/>
      <c r="P638" s="1"/>
      <c r="Q638" s="1"/>
      <c r="R638" s="1"/>
      <c r="S638" s="1"/>
      <c r="T638" s="1"/>
      <c r="U638" s="1"/>
      <c r="V638" s="1"/>
      <c r="W638" s="1"/>
      <c r="X638" s="1"/>
      <c r="Y638" s="1"/>
      <c r="Z638" s="1"/>
    </row>
    <row r="639" customFormat="false" ht="15.75" hidden="false" customHeight="true" outlineLevel="0" collapsed="false">
      <c r="L639" s="1"/>
      <c r="M639" s="1"/>
      <c r="N639" s="1"/>
      <c r="O639" s="1"/>
      <c r="P639" s="1"/>
      <c r="Q639" s="1"/>
      <c r="R639" s="1"/>
      <c r="S639" s="1"/>
      <c r="T639" s="1"/>
      <c r="U639" s="1"/>
      <c r="V639" s="1"/>
      <c r="W639" s="1"/>
      <c r="X639" s="1"/>
      <c r="Y639" s="1"/>
      <c r="Z639" s="1"/>
    </row>
    <row r="640" customFormat="false" ht="15.75" hidden="false" customHeight="true" outlineLevel="0" collapsed="false">
      <c r="L640" s="1"/>
      <c r="M640" s="1"/>
      <c r="N640" s="1"/>
      <c r="O640" s="1"/>
      <c r="P640" s="1"/>
      <c r="Q640" s="1"/>
      <c r="R640" s="1"/>
      <c r="S640" s="1"/>
      <c r="T640" s="1"/>
      <c r="U640" s="1"/>
      <c r="V640" s="1"/>
      <c r="W640" s="1"/>
      <c r="X640" s="1"/>
      <c r="Y640" s="1"/>
      <c r="Z640" s="1"/>
    </row>
    <row r="641" customFormat="false" ht="15.75" hidden="false" customHeight="true" outlineLevel="0" collapsed="false">
      <c r="L641" s="1"/>
      <c r="M641" s="1"/>
      <c r="N641" s="1"/>
      <c r="O641" s="1"/>
      <c r="P641" s="1"/>
      <c r="Q641" s="1"/>
      <c r="R641" s="1"/>
      <c r="S641" s="1"/>
      <c r="T641" s="1"/>
      <c r="U641" s="1"/>
      <c r="V641" s="1"/>
      <c r="W641" s="1"/>
      <c r="X641" s="1"/>
      <c r="Y641" s="1"/>
      <c r="Z641" s="1"/>
    </row>
    <row r="642" customFormat="false" ht="15.75" hidden="false" customHeight="true" outlineLevel="0" collapsed="false">
      <c r="L642" s="1"/>
      <c r="M642" s="1"/>
      <c r="N642" s="1"/>
      <c r="O642" s="1"/>
      <c r="P642" s="1"/>
      <c r="Q642" s="1"/>
      <c r="R642" s="1"/>
      <c r="S642" s="1"/>
      <c r="T642" s="1"/>
      <c r="U642" s="1"/>
      <c r="V642" s="1"/>
      <c r="W642" s="1"/>
      <c r="X642" s="1"/>
      <c r="Y642" s="1"/>
      <c r="Z642" s="1"/>
    </row>
    <row r="643" customFormat="false" ht="15.75" hidden="false" customHeight="true" outlineLevel="0" collapsed="false">
      <c r="L643" s="1"/>
      <c r="M643" s="1"/>
      <c r="N643" s="1"/>
      <c r="O643" s="1"/>
      <c r="P643" s="1"/>
      <c r="Q643" s="1"/>
      <c r="R643" s="1"/>
      <c r="S643" s="1"/>
      <c r="T643" s="1"/>
      <c r="U643" s="1"/>
      <c r="V643" s="1"/>
      <c r="W643" s="1"/>
      <c r="X643" s="1"/>
      <c r="Y643" s="1"/>
      <c r="Z643" s="1"/>
    </row>
    <row r="644" customFormat="false" ht="15.75" hidden="false" customHeight="true" outlineLevel="0" collapsed="false">
      <c r="L644" s="1"/>
      <c r="M644" s="1"/>
      <c r="N644" s="1"/>
      <c r="O644" s="1"/>
      <c r="P644" s="1"/>
      <c r="Q644" s="1"/>
      <c r="R644" s="1"/>
      <c r="S644" s="1"/>
      <c r="T644" s="1"/>
      <c r="U644" s="1"/>
      <c r="V644" s="1"/>
      <c r="W644" s="1"/>
      <c r="X644" s="1"/>
      <c r="Y644" s="1"/>
      <c r="Z644" s="1"/>
    </row>
    <row r="645" customFormat="false" ht="15.75" hidden="false" customHeight="true" outlineLevel="0" collapsed="false">
      <c r="L645" s="1"/>
      <c r="M645" s="1"/>
      <c r="N645" s="1"/>
      <c r="O645" s="1"/>
      <c r="P645" s="1"/>
      <c r="Q645" s="1"/>
      <c r="R645" s="1"/>
      <c r="S645" s="1"/>
      <c r="T645" s="1"/>
      <c r="U645" s="1"/>
      <c r="V645" s="1"/>
      <c r="W645" s="1"/>
      <c r="X645" s="1"/>
      <c r="Y645" s="1"/>
      <c r="Z645" s="1"/>
    </row>
    <row r="646" customFormat="false" ht="15.75" hidden="false" customHeight="true" outlineLevel="0" collapsed="false">
      <c r="L646" s="1"/>
      <c r="M646" s="1"/>
      <c r="N646" s="1"/>
      <c r="O646" s="1"/>
      <c r="P646" s="1"/>
      <c r="Q646" s="1"/>
      <c r="R646" s="1"/>
      <c r="S646" s="1"/>
      <c r="T646" s="1"/>
      <c r="U646" s="1"/>
      <c r="V646" s="1"/>
      <c r="W646" s="1"/>
      <c r="X646" s="1"/>
      <c r="Y646" s="1"/>
      <c r="Z646" s="1"/>
    </row>
    <row r="647" customFormat="false" ht="15.75" hidden="false" customHeight="true" outlineLevel="0" collapsed="false">
      <c r="L647" s="1"/>
      <c r="M647" s="1"/>
      <c r="N647" s="1"/>
      <c r="O647" s="1"/>
      <c r="P647" s="1"/>
      <c r="Q647" s="1"/>
      <c r="R647" s="1"/>
      <c r="S647" s="1"/>
      <c r="T647" s="1"/>
      <c r="U647" s="1"/>
      <c r="V647" s="1"/>
      <c r="W647" s="1"/>
      <c r="X647" s="1"/>
      <c r="Y647" s="1"/>
      <c r="Z647" s="1"/>
    </row>
    <row r="648" customFormat="false" ht="15.75" hidden="false" customHeight="true" outlineLevel="0" collapsed="false">
      <c r="L648" s="1"/>
      <c r="M648" s="1"/>
      <c r="N648" s="1"/>
      <c r="O648" s="1"/>
      <c r="P648" s="1"/>
      <c r="Q648" s="1"/>
      <c r="R648" s="1"/>
      <c r="S648" s="1"/>
      <c r="T648" s="1"/>
      <c r="U648" s="1"/>
      <c r="V648" s="1"/>
      <c r="W648" s="1"/>
      <c r="X648" s="1"/>
      <c r="Y648" s="1"/>
      <c r="Z648" s="1"/>
    </row>
    <row r="649" customFormat="false" ht="15.75" hidden="false" customHeight="true" outlineLevel="0" collapsed="false">
      <c r="L649" s="1"/>
      <c r="M649" s="1"/>
      <c r="N649" s="1"/>
      <c r="O649" s="1"/>
      <c r="P649" s="1"/>
      <c r="Q649" s="1"/>
      <c r="R649" s="1"/>
      <c r="S649" s="1"/>
      <c r="T649" s="1"/>
      <c r="U649" s="1"/>
      <c r="V649" s="1"/>
      <c r="W649" s="1"/>
      <c r="X649" s="1"/>
      <c r="Y649" s="1"/>
      <c r="Z649" s="1"/>
    </row>
    <row r="650" customFormat="false" ht="15.75" hidden="false" customHeight="true" outlineLevel="0" collapsed="false">
      <c r="L650" s="1"/>
      <c r="M650" s="1"/>
      <c r="N650" s="1"/>
      <c r="O650" s="1"/>
      <c r="P650" s="1"/>
      <c r="Q650" s="1"/>
      <c r="R650" s="1"/>
      <c r="S650" s="1"/>
      <c r="T650" s="1"/>
      <c r="U650" s="1"/>
      <c r="V650" s="1"/>
      <c r="W650" s="1"/>
      <c r="X650" s="1"/>
      <c r="Y650" s="1"/>
      <c r="Z650" s="1"/>
    </row>
    <row r="651" customFormat="false" ht="15.75" hidden="false" customHeight="true" outlineLevel="0" collapsed="false">
      <c r="L651" s="1"/>
      <c r="M651" s="1"/>
      <c r="N651" s="1"/>
      <c r="O651" s="1"/>
      <c r="P651" s="1"/>
      <c r="Q651" s="1"/>
      <c r="R651" s="1"/>
      <c r="S651" s="1"/>
      <c r="T651" s="1"/>
      <c r="U651" s="1"/>
      <c r="V651" s="1"/>
      <c r="W651" s="1"/>
      <c r="X651" s="1"/>
      <c r="Y651" s="1"/>
      <c r="Z651" s="1"/>
    </row>
    <row r="652" customFormat="false" ht="15.75" hidden="false" customHeight="true" outlineLevel="0" collapsed="false">
      <c r="L652" s="1"/>
      <c r="M652" s="1"/>
      <c r="N652" s="1"/>
      <c r="O652" s="1"/>
      <c r="P652" s="1"/>
      <c r="Q652" s="1"/>
      <c r="R652" s="1"/>
      <c r="S652" s="1"/>
      <c r="T652" s="1"/>
      <c r="U652" s="1"/>
      <c r="V652" s="1"/>
      <c r="W652" s="1"/>
      <c r="X652" s="1"/>
      <c r="Y652" s="1"/>
      <c r="Z652" s="1"/>
    </row>
    <row r="653" customFormat="false" ht="15.75" hidden="false" customHeight="true" outlineLevel="0" collapsed="false">
      <c r="L653" s="1"/>
      <c r="M653" s="1"/>
      <c r="N653" s="1"/>
      <c r="O653" s="1"/>
      <c r="P653" s="1"/>
      <c r="Q653" s="1"/>
      <c r="R653" s="1"/>
      <c r="S653" s="1"/>
      <c r="T653" s="1"/>
      <c r="U653" s="1"/>
      <c r="V653" s="1"/>
      <c r="W653" s="1"/>
      <c r="X653" s="1"/>
      <c r="Y653" s="1"/>
      <c r="Z653" s="1"/>
    </row>
    <row r="654" customFormat="false" ht="15.75" hidden="false" customHeight="true" outlineLevel="0" collapsed="false">
      <c r="L654" s="1"/>
      <c r="M654" s="1"/>
      <c r="N654" s="1"/>
      <c r="O654" s="1"/>
      <c r="P654" s="1"/>
      <c r="Q654" s="1"/>
      <c r="R654" s="1"/>
      <c r="S654" s="1"/>
      <c r="T654" s="1"/>
      <c r="U654" s="1"/>
      <c r="V654" s="1"/>
      <c r="W654" s="1"/>
      <c r="X654" s="1"/>
      <c r="Y654" s="1"/>
      <c r="Z654" s="1"/>
    </row>
    <row r="655" customFormat="false" ht="15.75" hidden="false" customHeight="true" outlineLevel="0" collapsed="false">
      <c r="L655" s="1"/>
      <c r="M655" s="1"/>
      <c r="N655" s="1"/>
      <c r="O655" s="1"/>
      <c r="P655" s="1"/>
      <c r="Q655" s="1"/>
      <c r="R655" s="1"/>
      <c r="S655" s="1"/>
      <c r="T655" s="1"/>
      <c r="U655" s="1"/>
      <c r="V655" s="1"/>
      <c r="W655" s="1"/>
      <c r="X655" s="1"/>
      <c r="Y655" s="1"/>
      <c r="Z655" s="1"/>
    </row>
    <row r="656" customFormat="false" ht="15.75" hidden="false" customHeight="true" outlineLevel="0" collapsed="false">
      <c r="L656" s="1"/>
      <c r="M656" s="1"/>
      <c r="N656" s="1"/>
      <c r="O656" s="1"/>
      <c r="P656" s="1"/>
      <c r="Q656" s="1"/>
      <c r="R656" s="1"/>
      <c r="S656" s="1"/>
      <c r="T656" s="1"/>
      <c r="U656" s="1"/>
      <c r="V656" s="1"/>
      <c r="W656" s="1"/>
      <c r="X656" s="1"/>
      <c r="Y656" s="1"/>
      <c r="Z656" s="1"/>
    </row>
    <row r="657" customFormat="false" ht="15.75" hidden="false" customHeight="true" outlineLevel="0" collapsed="false">
      <c r="L657" s="1"/>
      <c r="M657" s="1"/>
      <c r="N657" s="1"/>
      <c r="O657" s="1"/>
      <c r="P657" s="1"/>
      <c r="Q657" s="1"/>
      <c r="R657" s="1"/>
      <c r="S657" s="1"/>
      <c r="T657" s="1"/>
      <c r="U657" s="1"/>
      <c r="V657" s="1"/>
      <c r="W657" s="1"/>
      <c r="X657" s="1"/>
      <c r="Y657" s="1"/>
      <c r="Z657" s="1"/>
    </row>
    <row r="658" customFormat="false" ht="15.75" hidden="false" customHeight="true" outlineLevel="0" collapsed="false">
      <c r="L658" s="1"/>
      <c r="M658" s="1"/>
      <c r="N658" s="1"/>
      <c r="O658" s="1"/>
      <c r="P658" s="1"/>
      <c r="Q658" s="1"/>
      <c r="R658" s="1"/>
      <c r="S658" s="1"/>
      <c r="T658" s="1"/>
      <c r="U658" s="1"/>
      <c r="V658" s="1"/>
      <c r="W658" s="1"/>
      <c r="X658" s="1"/>
      <c r="Y658" s="1"/>
      <c r="Z658" s="1"/>
    </row>
    <row r="659" customFormat="false" ht="15.75" hidden="false" customHeight="true" outlineLevel="0" collapsed="false">
      <c r="L659" s="1"/>
      <c r="M659" s="1"/>
      <c r="N659" s="1"/>
      <c r="O659" s="1"/>
      <c r="P659" s="1"/>
      <c r="Q659" s="1"/>
      <c r="R659" s="1"/>
      <c r="S659" s="1"/>
      <c r="T659" s="1"/>
      <c r="U659" s="1"/>
      <c r="V659" s="1"/>
      <c r="W659" s="1"/>
      <c r="X659" s="1"/>
      <c r="Y659" s="1"/>
      <c r="Z659" s="1"/>
    </row>
    <row r="660" customFormat="false" ht="15.75" hidden="false" customHeight="true" outlineLevel="0" collapsed="false">
      <c r="L660" s="1"/>
      <c r="M660" s="1"/>
      <c r="N660" s="1"/>
      <c r="O660" s="1"/>
      <c r="P660" s="1"/>
      <c r="Q660" s="1"/>
      <c r="R660" s="1"/>
      <c r="S660" s="1"/>
      <c r="T660" s="1"/>
      <c r="U660" s="1"/>
      <c r="V660" s="1"/>
      <c r="W660" s="1"/>
      <c r="X660" s="1"/>
      <c r="Y660" s="1"/>
      <c r="Z660" s="1"/>
    </row>
    <row r="661" customFormat="false" ht="15.75" hidden="false" customHeight="true" outlineLevel="0" collapsed="false">
      <c r="L661" s="1"/>
      <c r="M661" s="1"/>
      <c r="N661" s="1"/>
      <c r="O661" s="1"/>
      <c r="P661" s="1"/>
      <c r="Q661" s="1"/>
      <c r="R661" s="1"/>
      <c r="S661" s="1"/>
      <c r="T661" s="1"/>
      <c r="U661" s="1"/>
      <c r="V661" s="1"/>
      <c r="W661" s="1"/>
      <c r="X661" s="1"/>
      <c r="Y661" s="1"/>
      <c r="Z661" s="1"/>
    </row>
    <row r="662" customFormat="false" ht="15.75" hidden="false" customHeight="true" outlineLevel="0" collapsed="false">
      <c r="L662" s="1"/>
      <c r="M662" s="1"/>
      <c r="N662" s="1"/>
      <c r="O662" s="1"/>
      <c r="P662" s="1"/>
      <c r="Q662" s="1"/>
      <c r="R662" s="1"/>
      <c r="S662" s="1"/>
      <c r="T662" s="1"/>
      <c r="U662" s="1"/>
      <c r="V662" s="1"/>
      <c r="W662" s="1"/>
      <c r="X662" s="1"/>
      <c r="Y662" s="1"/>
      <c r="Z662" s="1"/>
    </row>
    <row r="663" customFormat="false" ht="15.75" hidden="false" customHeight="true" outlineLevel="0" collapsed="false">
      <c r="L663" s="1"/>
      <c r="M663" s="1"/>
      <c r="N663" s="1"/>
      <c r="O663" s="1"/>
      <c r="P663" s="1"/>
      <c r="Q663" s="1"/>
      <c r="R663" s="1"/>
      <c r="S663" s="1"/>
      <c r="T663" s="1"/>
      <c r="U663" s="1"/>
      <c r="V663" s="1"/>
      <c r="W663" s="1"/>
      <c r="X663" s="1"/>
      <c r="Y663" s="1"/>
      <c r="Z663" s="1"/>
    </row>
    <row r="664" customFormat="false" ht="15.75" hidden="false" customHeight="true" outlineLevel="0" collapsed="false">
      <c r="L664" s="1"/>
      <c r="M664" s="1"/>
      <c r="N664" s="1"/>
      <c r="O664" s="1"/>
      <c r="P664" s="1"/>
      <c r="Q664" s="1"/>
      <c r="R664" s="1"/>
      <c r="S664" s="1"/>
      <c r="T664" s="1"/>
      <c r="U664" s="1"/>
      <c r="V664" s="1"/>
      <c r="W664" s="1"/>
      <c r="X664" s="1"/>
      <c r="Y664" s="1"/>
      <c r="Z664" s="1"/>
    </row>
    <row r="665" customFormat="false" ht="15.75" hidden="false" customHeight="true" outlineLevel="0" collapsed="false">
      <c r="L665" s="1"/>
      <c r="M665" s="1"/>
      <c r="N665" s="1"/>
      <c r="O665" s="1"/>
      <c r="P665" s="1"/>
      <c r="Q665" s="1"/>
      <c r="R665" s="1"/>
      <c r="S665" s="1"/>
      <c r="T665" s="1"/>
      <c r="U665" s="1"/>
      <c r="V665" s="1"/>
      <c r="W665" s="1"/>
      <c r="X665" s="1"/>
      <c r="Y665" s="1"/>
      <c r="Z665" s="1"/>
    </row>
    <row r="666" customFormat="false" ht="15.75" hidden="false" customHeight="true" outlineLevel="0" collapsed="false">
      <c r="L666" s="1"/>
      <c r="M666" s="1"/>
      <c r="N666" s="1"/>
      <c r="O666" s="1"/>
      <c r="P666" s="1"/>
      <c r="Q666" s="1"/>
      <c r="R666" s="1"/>
      <c r="S666" s="1"/>
      <c r="T666" s="1"/>
      <c r="U666" s="1"/>
      <c r="V666" s="1"/>
      <c r="W666" s="1"/>
      <c r="X666" s="1"/>
      <c r="Y666" s="1"/>
      <c r="Z666" s="1"/>
    </row>
    <row r="667" customFormat="false" ht="15.75" hidden="false" customHeight="true" outlineLevel="0" collapsed="false">
      <c r="L667" s="1"/>
      <c r="M667" s="1"/>
      <c r="N667" s="1"/>
      <c r="O667" s="1"/>
      <c r="P667" s="1"/>
      <c r="Q667" s="1"/>
      <c r="R667" s="1"/>
      <c r="S667" s="1"/>
      <c r="T667" s="1"/>
      <c r="U667" s="1"/>
      <c r="V667" s="1"/>
      <c r="W667" s="1"/>
      <c r="X667" s="1"/>
      <c r="Y667" s="1"/>
      <c r="Z667" s="1"/>
    </row>
    <row r="668" customFormat="false" ht="15.75" hidden="false" customHeight="true" outlineLevel="0" collapsed="false">
      <c r="L668" s="1"/>
      <c r="M668" s="1"/>
      <c r="N668" s="1"/>
      <c r="O668" s="1"/>
      <c r="P668" s="1"/>
      <c r="Q668" s="1"/>
      <c r="R668" s="1"/>
      <c r="S668" s="1"/>
      <c r="T668" s="1"/>
      <c r="U668" s="1"/>
      <c r="V668" s="1"/>
      <c r="W668" s="1"/>
      <c r="X668" s="1"/>
      <c r="Y668" s="1"/>
      <c r="Z668" s="1"/>
    </row>
    <row r="669" customFormat="false" ht="15.75" hidden="false" customHeight="true" outlineLevel="0" collapsed="false">
      <c r="L669" s="1"/>
      <c r="M669" s="1"/>
      <c r="N669" s="1"/>
      <c r="O669" s="1"/>
      <c r="P669" s="1"/>
      <c r="Q669" s="1"/>
      <c r="R669" s="1"/>
      <c r="S669" s="1"/>
      <c r="T669" s="1"/>
      <c r="U669" s="1"/>
      <c r="V669" s="1"/>
      <c r="W669" s="1"/>
      <c r="X669" s="1"/>
      <c r="Y669" s="1"/>
      <c r="Z669" s="1"/>
    </row>
    <row r="670" customFormat="false" ht="15.75" hidden="false" customHeight="true" outlineLevel="0" collapsed="false">
      <c r="L670" s="1"/>
      <c r="M670" s="1"/>
      <c r="N670" s="1"/>
      <c r="O670" s="1"/>
      <c r="P670" s="1"/>
      <c r="Q670" s="1"/>
      <c r="R670" s="1"/>
      <c r="S670" s="1"/>
      <c r="T670" s="1"/>
      <c r="U670" s="1"/>
      <c r="V670" s="1"/>
      <c r="W670" s="1"/>
      <c r="X670" s="1"/>
      <c r="Y670" s="1"/>
      <c r="Z670" s="1"/>
    </row>
    <row r="671" customFormat="false" ht="15.75" hidden="false" customHeight="true" outlineLevel="0" collapsed="false">
      <c r="L671" s="1"/>
      <c r="M671" s="1"/>
      <c r="N671" s="1"/>
      <c r="O671" s="1"/>
      <c r="P671" s="1"/>
      <c r="Q671" s="1"/>
      <c r="R671" s="1"/>
      <c r="S671" s="1"/>
      <c r="T671" s="1"/>
      <c r="U671" s="1"/>
      <c r="V671" s="1"/>
      <c r="W671" s="1"/>
      <c r="X671" s="1"/>
      <c r="Y671" s="1"/>
      <c r="Z671" s="1"/>
    </row>
    <row r="672" customFormat="false" ht="15.75" hidden="false" customHeight="true" outlineLevel="0" collapsed="false">
      <c r="L672" s="1"/>
      <c r="M672" s="1"/>
      <c r="N672" s="1"/>
      <c r="O672" s="1"/>
      <c r="P672" s="1"/>
      <c r="Q672" s="1"/>
      <c r="R672" s="1"/>
      <c r="S672" s="1"/>
      <c r="T672" s="1"/>
      <c r="U672" s="1"/>
      <c r="V672" s="1"/>
      <c r="W672" s="1"/>
      <c r="X672" s="1"/>
      <c r="Y672" s="1"/>
      <c r="Z672" s="1"/>
    </row>
    <row r="673" customFormat="false" ht="15.75" hidden="false" customHeight="true" outlineLevel="0" collapsed="false">
      <c r="L673" s="1"/>
      <c r="M673" s="1"/>
      <c r="N673" s="1"/>
      <c r="O673" s="1"/>
      <c r="P673" s="1"/>
      <c r="Q673" s="1"/>
      <c r="R673" s="1"/>
      <c r="S673" s="1"/>
      <c r="T673" s="1"/>
      <c r="U673" s="1"/>
      <c r="V673" s="1"/>
      <c r="W673" s="1"/>
      <c r="X673" s="1"/>
      <c r="Y673" s="1"/>
      <c r="Z673" s="1"/>
    </row>
    <row r="674" customFormat="false" ht="15.75" hidden="false" customHeight="true" outlineLevel="0" collapsed="false">
      <c r="L674" s="1"/>
      <c r="M674" s="1"/>
      <c r="N674" s="1"/>
      <c r="O674" s="1"/>
      <c r="P674" s="1"/>
      <c r="Q674" s="1"/>
      <c r="R674" s="1"/>
      <c r="S674" s="1"/>
      <c r="T674" s="1"/>
      <c r="U674" s="1"/>
      <c r="V674" s="1"/>
      <c r="W674" s="1"/>
      <c r="X674" s="1"/>
      <c r="Y674" s="1"/>
      <c r="Z674" s="1"/>
    </row>
    <row r="675" customFormat="false" ht="15.75" hidden="false" customHeight="true" outlineLevel="0" collapsed="false">
      <c r="L675" s="1"/>
      <c r="M675" s="1"/>
      <c r="N675" s="1"/>
      <c r="O675" s="1"/>
      <c r="P675" s="1"/>
      <c r="Q675" s="1"/>
      <c r="R675" s="1"/>
      <c r="S675" s="1"/>
      <c r="T675" s="1"/>
      <c r="U675" s="1"/>
      <c r="V675" s="1"/>
      <c r="W675" s="1"/>
      <c r="X675" s="1"/>
      <c r="Y675" s="1"/>
      <c r="Z675" s="1"/>
    </row>
    <row r="676" customFormat="false" ht="15.75" hidden="false" customHeight="true" outlineLevel="0" collapsed="false">
      <c r="L676" s="1"/>
      <c r="M676" s="1"/>
      <c r="N676" s="1"/>
      <c r="O676" s="1"/>
      <c r="P676" s="1"/>
      <c r="Q676" s="1"/>
      <c r="R676" s="1"/>
      <c r="S676" s="1"/>
      <c r="T676" s="1"/>
      <c r="U676" s="1"/>
      <c r="V676" s="1"/>
      <c r="W676" s="1"/>
      <c r="X676" s="1"/>
      <c r="Y676" s="1"/>
      <c r="Z676" s="1"/>
    </row>
    <row r="677" customFormat="false" ht="15.75" hidden="false" customHeight="true" outlineLevel="0" collapsed="false">
      <c r="L677" s="1"/>
      <c r="M677" s="1"/>
      <c r="N677" s="1"/>
      <c r="O677" s="1"/>
      <c r="P677" s="1"/>
      <c r="Q677" s="1"/>
      <c r="R677" s="1"/>
      <c r="S677" s="1"/>
      <c r="T677" s="1"/>
      <c r="U677" s="1"/>
      <c r="V677" s="1"/>
      <c r="W677" s="1"/>
      <c r="X677" s="1"/>
      <c r="Y677" s="1"/>
      <c r="Z677" s="1"/>
    </row>
    <row r="678" customFormat="false" ht="15.75" hidden="false" customHeight="true" outlineLevel="0" collapsed="false">
      <c r="L678" s="1"/>
      <c r="M678" s="1"/>
      <c r="N678" s="1"/>
      <c r="O678" s="1"/>
      <c r="P678" s="1"/>
      <c r="Q678" s="1"/>
      <c r="R678" s="1"/>
      <c r="S678" s="1"/>
      <c r="T678" s="1"/>
      <c r="U678" s="1"/>
      <c r="V678" s="1"/>
      <c r="W678" s="1"/>
      <c r="X678" s="1"/>
      <c r="Y678" s="1"/>
      <c r="Z678" s="1"/>
    </row>
    <row r="679" customFormat="false" ht="15.75" hidden="false" customHeight="true" outlineLevel="0" collapsed="false">
      <c r="L679" s="1"/>
      <c r="M679" s="1"/>
      <c r="N679" s="1"/>
      <c r="O679" s="1"/>
      <c r="P679" s="1"/>
      <c r="Q679" s="1"/>
      <c r="R679" s="1"/>
      <c r="S679" s="1"/>
      <c r="T679" s="1"/>
      <c r="U679" s="1"/>
      <c r="V679" s="1"/>
      <c r="W679" s="1"/>
      <c r="X679" s="1"/>
      <c r="Y679" s="1"/>
      <c r="Z679" s="1"/>
    </row>
    <row r="680" customFormat="false" ht="15.75" hidden="false" customHeight="true" outlineLevel="0" collapsed="false">
      <c r="L680" s="1"/>
      <c r="M680" s="1"/>
      <c r="N680" s="1"/>
      <c r="O680" s="1"/>
      <c r="P680" s="1"/>
      <c r="Q680" s="1"/>
      <c r="R680" s="1"/>
      <c r="S680" s="1"/>
      <c r="T680" s="1"/>
      <c r="U680" s="1"/>
      <c r="V680" s="1"/>
      <c r="W680" s="1"/>
      <c r="X680" s="1"/>
      <c r="Y680" s="1"/>
      <c r="Z680" s="1"/>
    </row>
    <row r="681" customFormat="false" ht="15.75" hidden="false" customHeight="true" outlineLevel="0" collapsed="false">
      <c r="L681" s="1"/>
      <c r="M681" s="1"/>
      <c r="N681" s="1"/>
      <c r="O681" s="1"/>
      <c r="P681" s="1"/>
      <c r="Q681" s="1"/>
      <c r="R681" s="1"/>
      <c r="S681" s="1"/>
      <c r="T681" s="1"/>
      <c r="U681" s="1"/>
      <c r="V681" s="1"/>
      <c r="W681" s="1"/>
      <c r="X681" s="1"/>
      <c r="Y681" s="1"/>
      <c r="Z681" s="1"/>
    </row>
    <row r="682" customFormat="false" ht="15.75" hidden="false" customHeight="true" outlineLevel="0" collapsed="false">
      <c r="L682" s="1"/>
      <c r="M682" s="1"/>
      <c r="N682" s="1"/>
      <c r="O682" s="1"/>
      <c r="P682" s="1"/>
      <c r="Q682" s="1"/>
      <c r="R682" s="1"/>
      <c r="S682" s="1"/>
      <c r="T682" s="1"/>
      <c r="U682" s="1"/>
      <c r="V682" s="1"/>
      <c r="W682" s="1"/>
      <c r="X682" s="1"/>
      <c r="Y682" s="1"/>
      <c r="Z682" s="1"/>
    </row>
    <row r="683" customFormat="false" ht="15.75" hidden="false" customHeight="true" outlineLevel="0" collapsed="false">
      <c r="L683" s="1"/>
      <c r="M683" s="1"/>
      <c r="N683" s="1"/>
      <c r="O683" s="1"/>
      <c r="P683" s="1"/>
      <c r="Q683" s="1"/>
      <c r="R683" s="1"/>
      <c r="S683" s="1"/>
      <c r="T683" s="1"/>
      <c r="U683" s="1"/>
      <c r="V683" s="1"/>
      <c r="W683" s="1"/>
      <c r="X683" s="1"/>
      <c r="Y683" s="1"/>
      <c r="Z683" s="1"/>
    </row>
    <row r="684" customFormat="false" ht="15.75" hidden="false" customHeight="true" outlineLevel="0" collapsed="false">
      <c r="L684" s="1"/>
      <c r="M684" s="1"/>
      <c r="N684" s="1"/>
      <c r="O684" s="1"/>
      <c r="P684" s="1"/>
      <c r="Q684" s="1"/>
      <c r="R684" s="1"/>
      <c r="S684" s="1"/>
      <c r="T684" s="1"/>
      <c r="U684" s="1"/>
      <c r="V684" s="1"/>
      <c r="W684" s="1"/>
      <c r="X684" s="1"/>
      <c r="Y684" s="1"/>
      <c r="Z684" s="1"/>
    </row>
    <row r="685" customFormat="false" ht="15.75" hidden="false" customHeight="true" outlineLevel="0" collapsed="false">
      <c r="L685" s="1"/>
      <c r="M685" s="1"/>
      <c r="N685" s="1"/>
      <c r="O685" s="1"/>
      <c r="P685" s="1"/>
      <c r="Q685" s="1"/>
      <c r="R685" s="1"/>
      <c r="S685" s="1"/>
      <c r="T685" s="1"/>
      <c r="U685" s="1"/>
      <c r="V685" s="1"/>
      <c r="W685" s="1"/>
      <c r="X685" s="1"/>
      <c r="Y685" s="1"/>
      <c r="Z685" s="1"/>
    </row>
    <row r="686" customFormat="false" ht="15.75" hidden="false" customHeight="true" outlineLevel="0" collapsed="false">
      <c r="L686" s="1"/>
      <c r="M686" s="1"/>
      <c r="N686" s="1"/>
      <c r="O686" s="1"/>
      <c r="P686" s="1"/>
      <c r="Q686" s="1"/>
      <c r="R686" s="1"/>
      <c r="S686" s="1"/>
      <c r="T686" s="1"/>
      <c r="U686" s="1"/>
      <c r="V686" s="1"/>
      <c r="W686" s="1"/>
      <c r="X686" s="1"/>
      <c r="Y686" s="1"/>
      <c r="Z686" s="1"/>
    </row>
    <row r="687" customFormat="false" ht="15.75" hidden="false" customHeight="true" outlineLevel="0" collapsed="false">
      <c r="L687" s="1"/>
      <c r="M687" s="1"/>
      <c r="N687" s="1"/>
      <c r="O687" s="1"/>
      <c r="P687" s="1"/>
      <c r="Q687" s="1"/>
      <c r="R687" s="1"/>
      <c r="S687" s="1"/>
      <c r="T687" s="1"/>
      <c r="U687" s="1"/>
      <c r="V687" s="1"/>
      <c r="W687" s="1"/>
      <c r="X687" s="1"/>
      <c r="Y687" s="1"/>
      <c r="Z687" s="1"/>
    </row>
    <row r="688" customFormat="false" ht="15.75" hidden="false" customHeight="true" outlineLevel="0" collapsed="false">
      <c r="L688" s="1"/>
      <c r="M688" s="1"/>
      <c r="N688" s="1"/>
      <c r="O688" s="1"/>
      <c r="P688" s="1"/>
      <c r="Q688" s="1"/>
      <c r="R688" s="1"/>
      <c r="S688" s="1"/>
      <c r="T688" s="1"/>
      <c r="U688" s="1"/>
      <c r="V688" s="1"/>
      <c r="W688" s="1"/>
      <c r="X688" s="1"/>
      <c r="Y688" s="1"/>
      <c r="Z688" s="1"/>
    </row>
    <row r="689" customFormat="false" ht="15.75" hidden="false" customHeight="true" outlineLevel="0" collapsed="false">
      <c r="L689" s="1"/>
      <c r="M689" s="1"/>
      <c r="N689" s="1"/>
      <c r="O689" s="1"/>
      <c r="P689" s="1"/>
      <c r="Q689" s="1"/>
      <c r="R689" s="1"/>
      <c r="S689" s="1"/>
      <c r="T689" s="1"/>
      <c r="U689" s="1"/>
      <c r="V689" s="1"/>
      <c r="W689" s="1"/>
      <c r="X689" s="1"/>
      <c r="Y689" s="1"/>
      <c r="Z689" s="1"/>
    </row>
    <row r="690" customFormat="false" ht="15.75" hidden="false" customHeight="true" outlineLevel="0" collapsed="false">
      <c r="L690" s="1"/>
      <c r="M690" s="1"/>
      <c r="N690" s="1"/>
      <c r="O690" s="1"/>
      <c r="P690" s="1"/>
      <c r="Q690" s="1"/>
      <c r="R690" s="1"/>
      <c r="S690" s="1"/>
      <c r="T690" s="1"/>
      <c r="U690" s="1"/>
      <c r="V690" s="1"/>
      <c r="W690" s="1"/>
      <c r="X690" s="1"/>
      <c r="Y690" s="1"/>
      <c r="Z690" s="1"/>
    </row>
    <row r="691" customFormat="false" ht="15.75" hidden="false" customHeight="true" outlineLevel="0" collapsed="false">
      <c r="L691" s="1"/>
      <c r="M691" s="1"/>
      <c r="N691" s="1"/>
      <c r="O691" s="1"/>
      <c r="P691" s="1"/>
      <c r="Q691" s="1"/>
      <c r="R691" s="1"/>
      <c r="S691" s="1"/>
      <c r="T691" s="1"/>
      <c r="U691" s="1"/>
      <c r="V691" s="1"/>
      <c r="W691" s="1"/>
      <c r="X691" s="1"/>
      <c r="Y691" s="1"/>
      <c r="Z691" s="1"/>
    </row>
    <row r="692" customFormat="false" ht="15.75" hidden="false" customHeight="true" outlineLevel="0" collapsed="false">
      <c r="L692" s="1"/>
      <c r="M692" s="1"/>
      <c r="N692" s="1"/>
      <c r="O692" s="1"/>
      <c r="P692" s="1"/>
      <c r="Q692" s="1"/>
      <c r="R692" s="1"/>
      <c r="S692" s="1"/>
      <c r="T692" s="1"/>
      <c r="U692" s="1"/>
      <c r="V692" s="1"/>
      <c r="W692" s="1"/>
      <c r="X692" s="1"/>
      <c r="Y692" s="1"/>
      <c r="Z692" s="1"/>
    </row>
    <row r="693" customFormat="false" ht="15.75" hidden="false" customHeight="true" outlineLevel="0" collapsed="false">
      <c r="L693" s="1"/>
      <c r="M693" s="1"/>
      <c r="N693" s="1"/>
      <c r="O693" s="1"/>
      <c r="P693" s="1"/>
      <c r="Q693" s="1"/>
      <c r="R693" s="1"/>
      <c r="S693" s="1"/>
      <c r="T693" s="1"/>
      <c r="U693" s="1"/>
      <c r="V693" s="1"/>
      <c r="W693" s="1"/>
      <c r="X693" s="1"/>
      <c r="Y693" s="1"/>
      <c r="Z693" s="1"/>
    </row>
    <row r="694" customFormat="false" ht="15.75" hidden="false" customHeight="true" outlineLevel="0" collapsed="false">
      <c r="L694" s="1"/>
      <c r="M694" s="1"/>
      <c r="N694" s="1"/>
      <c r="O694" s="1"/>
      <c r="P694" s="1"/>
      <c r="Q694" s="1"/>
      <c r="R694" s="1"/>
      <c r="S694" s="1"/>
      <c r="T694" s="1"/>
      <c r="U694" s="1"/>
      <c r="V694" s="1"/>
      <c r="W694" s="1"/>
      <c r="X694" s="1"/>
      <c r="Y694" s="1"/>
      <c r="Z694" s="1"/>
    </row>
    <row r="695" customFormat="false" ht="15.75" hidden="false" customHeight="true" outlineLevel="0" collapsed="false">
      <c r="L695" s="1"/>
      <c r="M695" s="1"/>
      <c r="N695" s="1"/>
      <c r="O695" s="1"/>
      <c r="P695" s="1"/>
      <c r="Q695" s="1"/>
      <c r="R695" s="1"/>
      <c r="S695" s="1"/>
      <c r="T695" s="1"/>
      <c r="U695" s="1"/>
      <c r="V695" s="1"/>
      <c r="W695" s="1"/>
      <c r="X695" s="1"/>
      <c r="Y695" s="1"/>
      <c r="Z695" s="1"/>
    </row>
    <row r="696" customFormat="false" ht="15.75" hidden="false" customHeight="true" outlineLevel="0" collapsed="false">
      <c r="L696" s="1"/>
      <c r="M696" s="1"/>
      <c r="N696" s="1"/>
      <c r="O696" s="1"/>
      <c r="P696" s="1"/>
      <c r="Q696" s="1"/>
      <c r="R696" s="1"/>
      <c r="S696" s="1"/>
      <c r="T696" s="1"/>
      <c r="U696" s="1"/>
      <c r="V696" s="1"/>
      <c r="W696" s="1"/>
      <c r="X696" s="1"/>
      <c r="Y696" s="1"/>
      <c r="Z696" s="1"/>
    </row>
    <row r="697" customFormat="false" ht="15.75" hidden="false" customHeight="true" outlineLevel="0" collapsed="false">
      <c r="L697" s="1"/>
      <c r="M697" s="1"/>
      <c r="N697" s="1"/>
      <c r="O697" s="1"/>
      <c r="P697" s="1"/>
      <c r="Q697" s="1"/>
      <c r="R697" s="1"/>
      <c r="S697" s="1"/>
      <c r="T697" s="1"/>
      <c r="U697" s="1"/>
      <c r="V697" s="1"/>
      <c r="W697" s="1"/>
      <c r="X697" s="1"/>
      <c r="Y697" s="1"/>
      <c r="Z697" s="1"/>
    </row>
    <row r="698" customFormat="false" ht="15.75" hidden="false" customHeight="true" outlineLevel="0" collapsed="false">
      <c r="L698" s="1"/>
      <c r="M698" s="1"/>
      <c r="N698" s="1"/>
      <c r="O698" s="1"/>
      <c r="P698" s="1"/>
      <c r="Q698" s="1"/>
      <c r="R698" s="1"/>
      <c r="S698" s="1"/>
      <c r="T698" s="1"/>
      <c r="U698" s="1"/>
      <c r="V698" s="1"/>
      <c r="W698" s="1"/>
      <c r="X698" s="1"/>
      <c r="Y698" s="1"/>
      <c r="Z698" s="1"/>
    </row>
    <row r="699" customFormat="false" ht="15.75" hidden="false" customHeight="true" outlineLevel="0" collapsed="false">
      <c r="L699" s="1"/>
      <c r="M699" s="1"/>
      <c r="N699" s="1"/>
      <c r="O699" s="1"/>
      <c r="P699" s="1"/>
      <c r="Q699" s="1"/>
      <c r="R699" s="1"/>
      <c r="S699" s="1"/>
      <c r="T699" s="1"/>
      <c r="U699" s="1"/>
      <c r="V699" s="1"/>
      <c r="W699" s="1"/>
      <c r="X699" s="1"/>
      <c r="Y699" s="1"/>
      <c r="Z699" s="1"/>
    </row>
    <row r="700" customFormat="false" ht="15.75" hidden="false" customHeight="true" outlineLevel="0" collapsed="false">
      <c r="L700" s="1"/>
      <c r="M700" s="1"/>
      <c r="N700" s="1"/>
      <c r="O700" s="1"/>
      <c r="P700" s="1"/>
      <c r="Q700" s="1"/>
      <c r="R700" s="1"/>
      <c r="S700" s="1"/>
      <c r="T700" s="1"/>
      <c r="U700" s="1"/>
      <c r="V700" s="1"/>
      <c r="W700" s="1"/>
      <c r="X700" s="1"/>
      <c r="Y700" s="1"/>
      <c r="Z700" s="1"/>
    </row>
    <row r="701" customFormat="false" ht="15.75" hidden="false" customHeight="true" outlineLevel="0" collapsed="false">
      <c r="L701" s="1"/>
      <c r="M701" s="1"/>
      <c r="N701" s="1"/>
      <c r="O701" s="1"/>
      <c r="P701" s="1"/>
      <c r="Q701" s="1"/>
      <c r="R701" s="1"/>
      <c r="S701" s="1"/>
      <c r="T701" s="1"/>
      <c r="U701" s="1"/>
      <c r="V701" s="1"/>
      <c r="W701" s="1"/>
      <c r="X701" s="1"/>
      <c r="Y701" s="1"/>
      <c r="Z701" s="1"/>
    </row>
    <row r="702" customFormat="false" ht="15.75" hidden="false" customHeight="true" outlineLevel="0" collapsed="false">
      <c r="L702" s="1"/>
      <c r="M702" s="1"/>
      <c r="N702" s="1"/>
      <c r="O702" s="1"/>
      <c r="P702" s="1"/>
      <c r="Q702" s="1"/>
      <c r="R702" s="1"/>
      <c r="S702" s="1"/>
      <c r="T702" s="1"/>
      <c r="U702" s="1"/>
      <c r="V702" s="1"/>
      <c r="W702" s="1"/>
      <c r="X702" s="1"/>
      <c r="Y702" s="1"/>
      <c r="Z702" s="1"/>
    </row>
    <row r="703" customFormat="false" ht="15.75" hidden="false" customHeight="true" outlineLevel="0" collapsed="false">
      <c r="L703" s="1"/>
      <c r="M703" s="1"/>
      <c r="N703" s="1"/>
      <c r="O703" s="1"/>
      <c r="P703" s="1"/>
      <c r="Q703" s="1"/>
      <c r="R703" s="1"/>
      <c r="S703" s="1"/>
      <c r="T703" s="1"/>
      <c r="U703" s="1"/>
      <c r="V703" s="1"/>
      <c r="W703" s="1"/>
      <c r="X703" s="1"/>
      <c r="Y703" s="1"/>
      <c r="Z703" s="1"/>
    </row>
    <row r="704" customFormat="false" ht="15.75" hidden="false" customHeight="true" outlineLevel="0" collapsed="false">
      <c r="L704" s="1"/>
      <c r="M704" s="1"/>
      <c r="N704" s="1"/>
      <c r="O704" s="1"/>
      <c r="P704" s="1"/>
      <c r="Q704" s="1"/>
      <c r="R704" s="1"/>
      <c r="S704" s="1"/>
      <c r="T704" s="1"/>
      <c r="U704" s="1"/>
      <c r="V704" s="1"/>
      <c r="W704" s="1"/>
      <c r="X704" s="1"/>
      <c r="Y704" s="1"/>
      <c r="Z704" s="1"/>
    </row>
    <row r="705" customFormat="false" ht="15.75" hidden="false" customHeight="true" outlineLevel="0" collapsed="false">
      <c r="L705" s="1"/>
      <c r="M705" s="1"/>
      <c r="N705" s="1"/>
      <c r="O705" s="1"/>
      <c r="P705" s="1"/>
      <c r="Q705" s="1"/>
      <c r="R705" s="1"/>
      <c r="S705" s="1"/>
      <c r="T705" s="1"/>
      <c r="U705" s="1"/>
      <c r="V705" s="1"/>
      <c r="W705" s="1"/>
      <c r="X705" s="1"/>
      <c r="Y705" s="1"/>
      <c r="Z705" s="1"/>
    </row>
    <row r="706" customFormat="false" ht="15.75" hidden="false" customHeight="true" outlineLevel="0" collapsed="false">
      <c r="L706" s="1"/>
      <c r="M706" s="1"/>
      <c r="N706" s="1"/>
      <c r="O706" s="1"/>
      <c r="P706" s="1"/>
      <c r="Q706" s="1"/>
      <c r="R706" s="1"/>
      <c r="S706" s="1"/>
      <c r="T706" s="1"/>
      <c r="U706" s="1"/>
      <c r="V706" s="1"/>
      <c r="W706" s="1"/>
      <c r="X706" s="1"/>
      <c r="Y706" s="1"/>
      <c r="Z706" s="1"/>
    </row>
    <row r="707" customFormat="false" ht="15.75" hidden="false" customHeight="true" outlineLevel="0" collapsed="false">
      <c r="L707" s="1"/>
      <c r="M707" s="1"/>
      <c r="N707" s="1"/>
      <c r="O707" s="1"/>
      <c r="P707" s="1"/>
      <c r="Q707" s="1"/>
      <c r="R707" s="1"/>
      <c r="S707" s="1"/>
      <c r="T707" s="1"/>
      <c r="U707" s="1"/>
      <c r="V707" s="1"/>
      <c r="W707" s="1"/>
      <c r="X707" s="1"/>
      <c r="Y707" s="1"/>
      <c r="Z707" s="1"/>
    </row>
    <row r="708" customFormat="false" ht="15.75" hidden="false" customHeight="true" outlineLevel="0" collapsed="false">
      <c r="L708" s="1"/>
      <c r="M708" s="1"/>
      <c r="N708" s="1"/>
      <c r="O708" s="1"/>
      <c r="P708" s="1"/>
      <c r="Q708" s="1"/>
      <c r="R708" s="1"/>
      <c r="S708" s="1"/>
      <c r="T708" s="1"/>
      <c r="U708" s="1"/>
      <c r="V708" s="1"/>
      <c r="W708" s="1"/>
      <c r="X708" s="1"/>
      <c r="Y708" s="1"/>
      <c r="Z708" s="1"/>
    </row>
    <row r="709" customFormat="false" ht="15.75" hidden="false" customHeight="true" outlineLevel="0" collapsed="false">
      <c r="L709" s="1"/>
      <c r="M709" s="1"/>
      <c r="N709" s="1"/>
      <c r="O709" s="1"/>
      <c r="P709" s="1"/>
      <c r="Q709" s="1"/>
      <c r="R709" s="1"/>
      <c r="S709" s="1"/>
      <c r="T709" s="1"/>
      <c r="U709" s="1"/>
      <c r="V709" s="1"/>
      <c r="W709" s="1"/>
      <c r="X709" s="1"/>
      <c r="Y709" s="1"/>
      <c r="Z709" s="1"/>
    </row>
    <row r="710" customFormat="false" ht="15.75" hidden="false" customHeight="true" outlineLevel="0" collapsed="false">
      <c r="L710" s="1"/>
      <c r="M710" s="1"/>
      <c r="N710" s="1"/>
      <c r="O710" s="1"/>
      <c r="P710" s="1"/>
      <c r="Q710" s="1"/>
      <c r="R710" s="1"/>
      <c r="S710" s="1"/>
      <c r="T710" s="1"/>
      <c r="U710" s="1"/>
      <c r="V710" s="1"/>
      <c r="W710" s="1"/>
      <c r="X710" s="1"/>
      <c r="Y710" s="1"/>
      <c r="Z710" s="1"/>
    </row>
    <row r="711" customFormat="false" ht="15.75" hidden="false" customHeight="true" outlineLevel="0" collapsed="false">
      <c r="L711" s="1"/>
      <c r="M711" s="1"/>
      <c r="N711" s="1"/>
      <c r="O711" s="1"/>
      <c r="P711" s="1"/>
      <c r="Q711" s="1"/>
      <c r="R711" s="1"/>
      <c r="S711" s="1"/>
      <c r="T711" s="1"/>
      <c r="U711" s="1"/>
      <c r="V711" s="1"/>
      <c r="W711" s="1"/>
      <c r="X711" s="1"/>
      <c r="Y711" s="1"/>
      <c r="Z711" s="1"/>
    </row>
    <row r="712" customFormat="false" ht="15.75" hidden="false" customHeight="true" outlineLevel="0" collapsed="false">
      <c r="L712" s="1"/>
      <c r="M712" s="1"/>
      <c r="N712" s="1"/>
      <c r="O712" s="1"/>
      <c r="P712" s="1"/>
      <c r="Q712" s="1"/>
      <c r="R712" s="1"/>
      <c r="S712" s="1"/>
      <c r="T712" s="1"/>
      <c r="U712" s="1"/>
      <c r="V712" s="1"/>
      <c r="W712" s="1"/>
      <c r="X712" s="1"/>
      <c r="Y712" s="1"/>
      <c r="Z712" s="1"/>
    </row>
    <row r="713" customFormat="false" ht="15.75" hidden="false" customHeight="true" outlineLevel="0" collapsed="false">
      <c r="L713" s="1"/>
      <c r="M713" s="1"/>
      <c r="N713" s="1"/>
      <c r="O713" s="1"/>
      <c r="P713" s="1"/>
      <c r="Q713" s="1"/>
      <c r="R713" s="1"/>
      <c r="S713" s="1"/>
      <c r="T713" s="1"/>
      <c r="U713" s="1"/>
      <c r="V713" s="1"/>
      <c r="W713" s="1"/>
      <c r="X713" s="1"/>
      <c r="Y713" s="1"/>
      <c r="Z713" s="1"/>
    </row>
    <row r="714" customFormat="false" ht="15.75" hidden="false" customHeight="true" outlineLevel="0" collapsed="false">
      <c r="L714" s="1"/>
      <c r="M714" s="1"/>
      <c r="N714" s="1"/>
      <c r="O714" s="1"/>
      <c r="P714" s="1"/>
      <c r="Q714" s="1"/>
      <c r="R714" s="1"/>
      <c r="S714" s="1"/>
      <c r="T714" s="1"/>
      <c r="U714" s="1"/>
      <c r="V714" s="1"/>
      <c r="W714" s="1"/>
      <c r="X714" s="1"/>
      <c r="Y714" s="1"/>
      <c r="Z714" s="1"/>
    </row>
    <row r="715" customFormat="false" ht="15.75" hidden="false" customHeight="true" outlineLevel="0" collapsed="false">
      <c r="L715" s="1"/>
      <c r="M715" s="1"/>
      <c r="N715" s="1"/>
      <c r="O715" s="1"/>
      <c r="P715" s="1"/>
      <c r="Q715" s="1"/>
      <c r="R715" s="1"/>
      <c r="S715" s="1"/>
      <c r="T715" s="1"/>
      <c r="U715" s="1"/>
      <c r="V715" s="1"/>
      <c r="W715" s="1"/>
      <c r="X715" s="1"/>
      <c r="Y715" s="1"/>
      <c r="Z715" s="1"/>
    </row>
    <row r="716" customFormat="false" ht="15.75" hidden="false" customHeight="true" outlineLevel="0" collapsed="false">
      <c r="L716" s="1"/>
      <c r="M716" s="1"/>
      <c r="N716" s="1"/>
      <c r="O716" s="1"/>
      <c r="P716" s="1"/>
      <c r="Q716" s="1"/>
      <c r="R716" s="1"/>
      <c r="S716" s="1"/>
      <c r="T716" s="1"/>
      <c r="U716" s="1"/>
      <c r="V716" s="1"/>
      <c r="W716" s="1"/>
      <c r="X716" s="1"/>
      <c r="Y716" s="1"/>
      <c r="Z716" s="1"/>
    </row>
    <row r="717" customFormat="false" ht="15.75" hidden="false" customHeight="true" outlineLevel="0" collapsed="false">
      <c r="L717" s="1"/>
      <c r="M717" s="1"/>
      <c r="N717" s="1"/>
      <c r="O717" s="1"/>
      <c r="P717" s="1"/>
      <c r="Q717" s="1"/>
      <c r="R717" s="1"/>
      <c r="S717" s="1"/>
      <c r="T717" s="1"/>
      <c r="U717" s="1"/>
      <c r="V717" s="1"/>
      <c r="W717" s="1"/>
      <c r="X717" s="1"/>
      <c r="Y717" s="1"/>
      <c r="Z717" s="1"/>
    </row>
    <row r="718" customFormat="false" ht="15.75" hidden="false" customHeight="true" outlineLevel="0" collapsed="false">
      <c r="L718" s="1"/>
      <c r="M718" s="1"/>
      <c r="N718" s="1"/>
      <c r="O718" s="1"/>
      <c r="P718" s="1"/>
      <c r="Q718" s="1"/>
      <c r="R718" s="1"/>
      <c r="S718" s="1"/>
      <c r="T718" s="1"/>
      <c r="U718" s="1"/>
      <c r="V718" s="1"/>
      <c r="W718" s="1"/>
      <c r="X718" s="1"/>
      <c r="Y718" s="1"/>
      <c r="Z718" s="1"/>
    </row>
    <row r="719" customFormat="false" ht="15.75" hidden="false" customHeight="true" outlineLevel="0" collapsed="false">
      <c r="L719" s="1"/>
      <c r="M719" s="1"/>
      <c r="N719" s="1"/>
      <c r="O719" s="1"/>
      <c r="P719" s="1"/>
      <c r="Q719" s="1"/>
      <c r="R719" s="1"/>
      <c r="S719" s="1"/>
      <c r="T719" s="1"/>
      <c r="U719" s="1"/>
      <c r="V719" s="1"/>
      <c r="W719" s="1"/>
      <c r="X719" s="1"/>
      <c r="Y719" s="1"/>
      <c r="Z719" s="1"/>
    </row>
    <row r="720" customFormat="false" ht="15.75" hidden="false" customHeight="true" outlineLevel="0" collapsed="false">
      <c r="L720" s="1"/>
      <c r="M720" s="1"/>
      <c r="N720" s="1"/>
      <c r="O720" s="1"/>
      <c r="P720" s="1"/>
      <c r="Q720" s="1"/>
      <c r="R720" s="1"/>
      <c r="S720" s="1"/>
      <c r="T720" s="1"/>
      <c r="U720" s="1"/>
      <c r="V720" s="1"/>
      <c r="W720" s="1"/>
      <c r="X720" s="1"/>
      <c r="Y720" s="1"/>
      <c r="Z720" s="1"/>
    </row>
    <row r="721" customFormat="false" ht="15.75" hidden="false" customHeight="true" outlineLevel="0" collapsed="false">
      <c r="L721" s="1"/>
      <c r="M721" s="1"/>
      <c r="N721" s="1"/>
      <c r="O721" s="1"/>
      <c r="P721" s="1"/>
      <c r="Q721" s="1"/>
      <c r="R721" s="1"/>
      <c r="S721" s="1"/>
      <c r="T721" s="1"/>
      <c r="U721" s="1"/>
      <c r="V721" s="1"/>
      <c r="W721" s="1"/>
      <c r="X721" s="1"/>
      <c r="Y721" s="1"/>
      <c r="Z721" s="1"/>
    </row>
    <row r="722" customFormat="false" ht="15.75" hidden="false" customHeight="true" outlineLevel="0" collapsed="false">
      <c r="L722" s="1"/>
      <c r="M722" s="1"/>
      <c r="N722" s="1"/>
      <c r="O722" s="1"/>
      <c r="P722" s="1"/>
      <c r="Q722" s="1"/>
      <c r="R722" s="1"/>
      <c r="S722" s="1"/>
      <c r="T722" s="1"/>
      <c r="U722" s="1"/>
      <c r="V722" s="1"/>
      <c r="W722" s="1"/>
      <c r="X722" s="1"/>
      <c r="Y722" s="1"/>
      <c r="Z722" s="1"/>
    </row>
    <row r="723" customFormat="false" ht="15.75" hidden="false" customHeight="true" outlineLevel="0" collapsed="false">
      <c r="L723" s="1"/>
      <c r="M723" s="1"/>
      <c r="N723" s="1"/>
      <c r="O723" s="1"/>
      <c r="P723" s="1"/>
      <c r="Q723" s="1"/>
      <c r="R723" s="1"/>
      <c r="S723" s="1"/>
      <c r="T723" s="1"/>
      <c r="U723" s="1"/>
      <c r="V723" s="1"/>
      <c r="W723" s="1"/>
      <c r="X723" s="1"/>
      <c r="Y723" s="1"/>
      <c r="Z723" s="1"/>
    </row>
    <row r="724" customFormat="false" ht="15.75" hidden="false" customHeight="true" outlineLevel="0" collapsed="false">
      <c r="L724" s="1"/>
      <c r="M724" s="1"/>
      <c r="N724" s="1"/>
      <c r="O724" s="1"/>
      <c r="P724" s="1"/>
      <c r="Q724" s="1"/>
      <c r="R724" s="1"/>
      <c r="S724" s="1"/>
      <c r="T724" s="1"/>
      <c r="U724" s="1"/>
      <c r="V724" s="1"/>
      <c r="W724" s="1"/>
      <c r="X724" s="1"/>
      <c r="Y724" s="1"/>
      <c r="Z724" s="1"/>
    </row>
    <row r="725" customFormat="false" ht="15.75" hidden="false" customHeight="true" outlineLevel="0" collapsed="false">
      <c r="L725" s="1"/>
      <c r="M725" s="1"/>
      <c r="N725" s="1"/>
      <c r="O725" s="1"/>
      <c r="P725" s="1"/>
      <c r="Q725" s="1"/>
      <c r="R725" s="1"/>
      <c r="S725" s="1"/>
      <c r="T725" s="1"/>
      <c r="U725" s="1"/>
      <c r="V725" s="1"/>
      <c r="W725" s="1"/>
      <c r="X725" s="1"/>
      <c r="Y725" s="1"/>
      <c r="Z725" s="1"/>
    </row>
    <row r="726" customFormat="false" ht="15.75" hidden="false" customHeight="true" outlineLevel="0" collapsed="false">
      <c r="L726" s="1"/>
      <c r="M726" s="1"/>
      <c r="N726" s="1"/>
      <c r="O726" s="1"/>
      <c r="P726" s="1"/>
      <c r="Q726" s="1"/>
      <c r="R726" s="1"/>
      <c r="S726" s="1"/>
      <c r="T726" s="1"/>
      <c r="U726" s="1"/>
      <c r="V726" s="1"/>
      <c r="W726" s="1"/>
      <c r="X726" s="1"/>
      <c r="Y726" s="1"/>
      <c r="Z726" s="1"/>
    </row>
    <row r="727" customFormat="false" ht="15.75" hidden="false" customHeight="true" outlineLevel="0" collapsed="false">
      <c r="L727" s="1"/>
      <c r="M727" s="1"/>
      <c r="N727" s="1"/>
      <c r="O727" s="1"/>
      <c r="P727" s="1"/>
      <c r="Q727" s="1"/>
      <c r="R727" s="1"/>
      <c r="S727" s="1"/>
      <c r="T727" s="1"/>
      <c r="U727" s="1"/>
      <c r="V727" s="1"/>
      <c r="W727" s="1"/>
      <c r="X727" s="1"/>
      <c r="Y727" s="1"/>
      <c r="Z727" s="1"/>
    </row>
    <row r="728" customFormat="false" ht="15.75" hidden="false" customHeight="true" outlineLevel="0" collapsed="false">
      <c r="L728" s="1"/>
      <c r="M728" s="1"/>
      <c r="N728" s="1"/>
      <c r="O728" s="1"/>
      <c r="P728" s="1"/>
      <c r="Q728" s="1"/>
      <c r="R728" s="1"/>
      <c r="S728" s="1"/>
      <c r="T728" s="1"/>
      <c r="U728" s="1"/>
      <c r="V728" s="1"/>
      <c r="W728" s="1"/>
      <c r="X728" s="1"/>
      <c r="Y728" s="1"/>
      <c r="Z728" s="1"/>
    </row>
    <row r="729" customFormat="false" ht="15.75" hidden="false" customHeight="true" outlineLevel="0" collapsed="false">
      <c r="L729" s="1"/>
      <c r="M729" s="1"/>
      <c r="N729" s="1"/>
      <c r="O729" s="1"/>
      <c r="P729" s="1"/>
      <c r="Q729" s="1"/>
      <c r="R729" s="1"/>
      <c r="S729" s="1"/>
      <c r="T729" s="1"/>
      <c r="U729" s="1"/>
      <c r="V729" s="1"/>
      <c r="W729" s="1"/>
      <c r="X729" s="1"/>
      <c r="Y729" s="1"/>
      <c r="Z729" s="1"/>
    </row>
    <row r="730" customFormat="false" ht="15.75" hidden="false" customHeight="true" outlineLevel="0" collapsed="false">
      <c r="L730" s="1"/>
      <c r="M730" s="1"/>
      <c r="N730" s="1"/>
      <c r="O730" s="1"/>
      <c r="P730" s="1"/>
      <c r="Q730" s="1"/>
      <c r="R730" s="1"/>
      <c r="S730" s="1"/>
      <c r="T730" s="1"/>
      <c r="U730" s="1"/>
      <c r="V730" s="1"/>
      <c r="W730" s="1"/>
      <c r="X730" s="1"/>
      <c r="Y730" s="1"/>
      <c r="Z730" s="1"/>
    </row>
    <row r="731" customFormat="false" ht="15.75" hidden="false" customHeight="true" outlineLevel="0" collapsed="false">
      <c r="L731" s="1"/>
      <c r="M731" s="1"/>
      <c r="N731" s="1"/>
      <c r="O731" s="1"/>
      <c r="P731" s="1"/>
      <c r="Q731" s="1"/>
      <c r="R731" s="1"/>
      <c r="S731" s="1"/>
      <c r="T731" s="1"/>
      <c r="U731" s="1"/>
      <c r="V731" s="1"/>
      <c r="W731" s="1"/>
      <c r="X731" s="1"/>
      <c r="Y731" s="1"/>
      <c r="Z731" s="1"/>
    </row>
    <row r="732" customFormat="false" ht="15.75" hidden="false" customHeight="true" outlineLevel="0" collapsed="false">
      <c r="L732" s="1"/>
      <c r="M732" s="1"/>
      <c r="N732" s="1"/>
      <c r="O732" s="1"/>
      <c r="P732" s="1"/>
      <c r="Q732" s="1"/>
      <c r="R732" s="1"/>
      <c r="S732" s="1"/>
      <c r="T732" s="1"/>
      <c r="U732" s="1"/>
      <c r="V732" s="1"/>
      <c r="W732" s="1"/>
      <c r="X732" s="1"/>
      <c r="Y732" s="1"/>
      <c r="Z732" s="1"/>
    </row>
    <row r="733" customFormat="false" ht="15.75" hidden="false" customHeight="true" outlineLevel="0" collapsed="false">
      <c r="L733" s="1"/>
      <c r="M733" s="1"/>
      <c r="N733" s="1"/>
      <c r="O733" s="1"/>
      <c r="P733" s="1"/>
      <c r="Q733" s="1"/>
      <c r="R733" s="1"/>
      <c r="S733" s="1"/>
      <c r="T733" s="1"/>
      <c r="U733" s="1"/>
      <c r="V733" s="1"/>
      <c r="W733" s="1"/>
      <c r="X733" s="1"/>
      <c r="Y733" s="1"/>
      <c r="Z733" s="1"/>
    </row>
    <row r="734" customFormat="false" ht="15.75" hidden="false" customHeight="true" outlineLevel="0" collapsed="false">
      <c r="L734" s="1"/>
      <c r="M734" s="1"/>
      <c r="N734" s="1"/>
      <c r="O734" s="1"/>
      <c r="P734" s="1"/>
      <c r="Q734" s="1"/>
      <c r="R734" s="1"/>
      <c r="S734" s="1"/>
      <c r="T734" s="1"/>
      <c r="U734" s="1"/>
      <c r="V734" s="1"/>
      <c r="W734" s="1"/>
      <c r="X734" s="1"/>
      <c r="Y734" s="1"/>
      <c r="Z734" s="1"/>
    </row>
    <row r="735" customFormat="false" ht="15.75" hidden="false" customHeight="true" outlineLevel="0" collapsed="false">
      <c r="L735" s="1"/>
      <c r="M735" s="1"/>
      <c r="N735" s="1"/>
      <c r="O735" s="1"/>
      <c r="P735" s="1"/>
      <c r="Q735" s="1"/>
      <c r="R735" s="1"/>
      <c r="S735" s="1"/>
      <c r="T735" s="1"/>
      <c r="U735" s="1"/>
      <c r="V735" s="1"/>
      <c r="W735" s="1"/>
      <c r="X735" s="1"/>
      <c r="Y735" s="1"/>
      <c r="Z735" s="1"/>
    </row>
    <row r="736" customFormat="false" ht="15.75" hidden="false" customHeight="true" outlineLevel="0" collapsed="false">
      <c r="L736" s="1"/>
      <c r="M736" s="1"/>
      <c r="N736" s="1"/>
      <c r="O736" s="1"/>
      <c r="P736" s="1"/>
      <c r="Q736" s="1"/>
      <c r="R736" s="1"/>
      <c r="S736" s="1"/>
      <c r="T736" s="1"/>
      <c r="U736" s="1"/>
      <c r="V736" s="1"/>
      <c r="W736" s="1"/>
      <c r="X736" s="1"/>
      <c r="Y736" s="1"/>
      <c r="Z736" s="1"/>
    </row>
    <row r="737" customFormat="false" ht="15.75" hidden="false" customHeight="true" outlineLevel="0" collapsed="false">
      <c r="L737" s="1"/>
      <c r="M737" s="1"/>
      <c r="N737" s="1"/>
      <c r="O737" s="1"/>
      <c r="P737" s="1"/>
      <c r="Q737" s="1"/>
      <c r="R737" s="1"/>
      <c r="S737" s="1"/>
      <c r="T737" s="1"/>
      <c r="U737" s="1"/>
      <c r="V737" s="1"/>
      <c r="W737" s="1"/>
      <c r="X737" s="1"/>
      <c r="Y737" s="1"/>
      <c r="Z737" s="1"/>
    </row>
    <row r="738" customFormat="false" ht="15.75" hidden="false" customHeight="true" outlineLevel="0" collapsed="false">
      <c r="L738" s="1"/>
      <c r="M738" s="1"/>
      <c r="N738" s="1"/>
      <c r="O738" s="1"/>
      <c r="P738" s="1"/>
      <c r="Q738" s="1"/>
      <c r="R738" s="1"/>
      <c r="S738" s="1"/>
      <c r="T738" s="1"/>
      <c r="U738" s="1"/>
      <c r="V738" s="1"/>
      <c r="W738" s="1"/>
      <c r="X738" s="1"/>
      <c r="Y738" s="1"/>
      <c r="Z738" s="1"/>
    </row>
    <row r="739" customFormat="false" ht="15.75" hidden="false" customHeight="true" outlineLevel="0" collapsed="false">
      <c r="L739" s="1"/>
      <c r="M739" s="1"/>
      <c r="N739" s="1"/>
      <c r="O739" s="1"/>
      <c r="P739" s="1"/>
      <c r="Q739" s="1"/>
      <c r="R739" s="1"/>
      <c r="S739" s="1"/>
      <c r="T739" s="1"/>
      <c r="U739" s="1"/>
      <c r="V739" s="1"/>
      <c r="W739" s="1"/>
      <c r="X739" s="1"/>
      <c r="Y739" s="1"/>
      <c r="Z739" s="1"/>
    </row>
    <row r="740" customFormat="false" ht="15.75" hidden="false" customHeight="true" outlineLevel="0" collapsed="false">
      <c r="L740" s="1"/>
      <c r="M740" s="1"/>
      <c r="N740" s="1"/>
      <c r="O740" s="1"/>
      <c r="P740" s="1"/>
      <c r="Q740" s="1"/>
      <c r="R740" s="1"/>
      <c r="S740" s="1"/>
      <c r="T740" s="1"/>
      <c r="U740" s="1"/>
      <c r="V740" s="1"/>
      <c r="W740" s="1"/>
      <c r="X740" s="1"/>
      <c r="Y740" s="1"/>
      <c r="Z740" s="1"/>
    </row>
    <row r="741" customFormat="false" ht="15.75" hidden="false" customHeight="true" outlineLevel="0" collapsed="false">
      <c r="L741" s="1"/>
      <c r="M741" s="1"/>
      <c r="N741" s="1"/>
      <c r="O741" s="1"/>
      <c r="P741" s="1"/>
      <c r="Q741" s="1"/>
      <c r="R741" s="1"/>
      <c r="S741" s="1"/>
      <c r="T741" s="1"/>
      <c r="U741" s="1"/>
      <c r="V741" s="1"/>
      <c r="W741" s="1"/>
      <c r="X741" s="1"/>
      <c r="Y741" s="1"/>
      <c r="Z741" s="1"/>
    </row>
    <row r="742" customFormat="false" ht="15.75" hidden="false" customHeight="true" outlineLevel="0" collapsed="false">
      <c r="L742" s="1"/>
      <c r="M742" s="1"/>
      <c r="N742" s="1"/>
      <c r="O742" s="1"/>
      <c r="P742" s="1"/>
      <c r="Q742" s="1"/>
      <c r="R742" s="1"/>
      <c r="S742" s="1"/>
      <c r="T742" s="1"/>
      <c r="U742" s="1"/>
      <c r="V742" s="1"/>
      <c r="W742" s="1"/>
      <c r="X742" s="1"/>
      <c r="Y742" s="1"/>
      <c r="Z742" s="1"/>
    </row>
    <row r="743" customFormat="false" ht="15.75" hidden="false" customHeight="true" outlineLevel="0" collapsed="false">
      <c r="L743" s="1"/>
      <c r="M743" s="1"/>
      <c r="N743" s="1"/>
      <c r="O743" s="1"/>
      <c r="P743" s="1"/>
      <c r="Q743" s="1"/>
      <c r="R743" s="1"/>
      <c r="S743" s="1"/>
      <c r="T743" s="1"/>
      <c r="U743" s="1"/>
      <c r="V743" s="1"/>
      <c r="W743" s="1"/>
      <c r="X743" s="1"/>
      <c r="Y743" s="1"/>
      <c r="Z743" s="1"/>
    </row>
    <row r="744" customFormat="false" ht="15.75" hidden="false" customHeight="true" outlineLevel="0" collapsed="false">
      <c r="L744" s="1"/>
      <c r="M744" s="1"/>
      <c r="N744" s="1"/>
      <c r="O744" s="1"/>
      <c r="P744" s="1"/>
      <c r="Q744" s="1"/>
      <c r="R744" s="1"/>
      <c r="S744" s="1"/>
      <c r="T744" s="1"/>
      <c r="U744" s="1"/>
      <c r="V744" s="1"/>
      <c r="W744" s="1"/>
      <c r="X744" s="1"/>
      <c r="Y744" s="1"/>
      <c r="Z744" s="1"/>
    </row>
    <row r="745" customFormat="false" ht="15.75" hidden="false" customHeight="true" outlineLevel="0" collapsed="false">
      <c r="L745" s="1"/>
      <c r="M745" s="1"/>
      <c r="N745" s="1"/>
      <c r="O745" s="1"/>
      <c r="P745" s="1"/>
      <c r="Q745" s="1"/>
      <c r="R745" s="1"/>
      <c r="S745" s="1"/>
      <c r="T745" s="1"/>
      <c r="U745" s="1"/>
      <c r="V745" s="1"/>
      <c r="W745" s="1"/>
      <c r="X745" s="1"/>
      <c r="Y745" s="1"/>
      <c r="Z745" s="1"/>
    </row>
    <row r="746" customFormat="false" ht="15.75" hidden="false" customHeight="true" outlineLevel="0" collapsed="false">
      <c r="L746" s="1"/>
      <c r="M746" s="1"/>
      <c r="N746" s="1"/>
      <c r="O746" s="1"/>
      <c r="P746" s="1"/>
      <c r="Q746" s="1"/>
      <c r="R746" s="1"/>
      <c r="S746" s="1"/>
      <c r="T746" s="1"/>
      <c r="U746" s="1"/>
      <c r="V746" s="1"/>
      <c r="W746" s="1"/>
      <c r="X746" s="1"/>
      <c r="Y746" s="1"/>
      <c r="Z746" s="1"/>
    </row>
    <row r="747" customFormat="false" ht="15.75" hidden="false" customHeight="true" outlineLevel="0" collapsed="false">
      <c r="L747" s="1"/>
      <c r="M747" s="1"/>
      <c r="N747" s="1"/>
      <c r="O747" s="1"/>
      <c r="P747" s="1"/>
      <c r="Q747" s="1"/>
      <c r="R747" s="1"/>
      <c r="S747" s="1"/>
      <c r="T747" s="1"/>
      <c r="U747" s="1"/>
      <c r="V747" s="1"/>
      <c r="W747" s="1"/>
      <c r="X747" s="1"/>
      <c r="Y747" s="1"/>
      <c r="Z747" s="1"/>
    </row>
    <row r="748" customFormat="false" ht="15.75" hidden="false" customHeight="true" outlineLevel="0" collapsed="false">
      <c r="L748" s="1"/>
      <c r="M748" s="1"/>
      <c r="N748" s="1"/>
      <c r="O748" s="1"/>
      <c r="P748" s="1"/>
      <c r="Q748" s="1"/>
      <c r="R748" s="1"/>
      <c r="S748" s="1"/>
      <c r="T748" s="1"/>
      <c r="U748" s="1"/>
      <c r="V748" s="1"/>
      <c r="W748" s="1"/>
      <c r="X748" s="1"/>
      <c r="Y748" s="1"/>
      <c r="Z748" s="1"/>
    </row>
    <row r="749" customFormat="false" ht="15.75" hidden="false" customHeight="true" outlineLevel="0" collapsed="false">
      <c r="L749" s="1"/>
      <c r="M749" s="1"/>
      <c r="N749" s="1"/>
      <c r="O749" s="1"/>
      <c r="P749" s="1"/>
      <c r="Q749" s="1"/>
      <c r="R749" s="1"/>
      <c r="S749" s="1"/>
      <c r="T749" s="1"/>
      <c r="U749" s="1"/>
      <c r="V749" s="1"/>
      <c r="W749" s="1"/>
      <c r="X749" s="1"/>
      <c r="Y749" s="1"/>
      <c r="Z749" s="1"/>
    </row>
    <row r="750" customFormat="false" ht="15.75" hidden="false" customHeight="true" outlineLevel="0" collapsed="false">
      <c r="L750" s="1"/>
      <c r="M750" s="1"/>
      <c r="N750" s="1"/>
      <c r="O750" s="1"/>
      <c r="P750" s="1"/>
      <c r="Q750" s="1"/>
      <c r="R750" s="1"/>
      <c r="S750" s="1"/>
      <c r="T750" s="1"/>
      <c r="U750" s="1"/>
      <c r="V750" s="1"/>
      <c r="W750" s="1"/>
      <c r="X750" s="1"/>
      <c r="Y750" s="1"/>
      <c r="Z750" s="1"/>
    </row>
    <row r="751" customFormat="false" ht="15.75" hidden="false" customHeight="true" outlineLevel="0" collapsed="false">
      <c r="L751" s="1"/>
      <c r="M751" s="1"/>
      <c r="N751" s="1"/>
      <c r="O751" s="1"/>
      <c r="P751" s="1"/>
      <c r="Q751" s="1"/>
      <c r="R751" s="1"/>
      <c r="S751" s="1"/>
      <c r="T751" s="1"/>
      <c r="U751" s="1"/>
      <c r="V751" s="1"/>
      <c r="W751" s="1"/>
      <c r="X751" s="1"/>
      <c r="Y751" s="1"/>
      <c r="Z751" s="1"/>
    </row>
    <row r="752" customFormat="false" ht="15.75" hidden="false" customHeight="true" outlineLevel="0" collapsed="false">
      <c r="L752" s="1"/>
      <c r="M752" s="1"/>
      <c r="N752" s="1"/>
      <c r="O752" s="1"/>
      <c r="P752" s="1"/>
      <c r="Q752" s="1"/>
      <c r="R752" s="1"/>
      <c r="S752" s="1"/>
      <c r="T752" s="1"/>
      <c r="U752" s="1"/>
      <c r="V752" s="1"/>
      <c r="W752" s="1"/>
      <c r="X752" s="1"/>
      <c r="Y752" s="1"/>
      <c r="Z752" s="1"/>
    </row>
    <row r="753" customFormat="false" ht="15.75" hidden="false" customHeight="true" outlineLevel="0" collapsed="false">
      <c r="L753" s="1"/>
      <c r="M753" s="1"/>
      <c r="N753" s="1"/>
      <c r="O753" s="1"/>
      <c r="P753" s="1"/>
      <c r="Q753" s="1"/>
      <c r="R753" s="1"/>
      <c r="S753" s="1"/>
      <c r="T753" s="1"/>
      <c r="U753" s="1"/>
      <c r="V753" s="1"/>
      <c r="W753" s="1"/>
      <c r="X753" s="1"/>
      <c r="Y753" s="1"/>
      <c r="Z753" s="1"/>
    </row>
    <row r="754" customFormat="false" ht="15.75" hidden="false" customHeight="true" outlineLevel="0" collapsed="false">
      <c r="L754" s="1"/>
      <c r="M754" s="1"/>
      <c r="N754" s="1"/>
      <c r="O754" s="1"/>
      <c r="P754" s="1"/>
      <c r="Q754" s="1"/>
      <c r="R754" s="1"/>
      <c r="S754" s="1"/>
      <c r="T754" s="1"/>
      <c r="U754" s="1"/>
      <c r="V754" s="1"/>
      <c r="W754" s="1"/>
      <c r="X754" s="1"/>
      <c r="Y754" s="1"/>
      <c r="Z754" s="1"/>
    </row>
    <row r="755" customFormat="false" ht="15.75" hidden="false" customHeight="true" outlineLevel="0" collapsed="false">
      <c r="L755" s="1"/>
      <c r="M755" s="1"/>
      <c r="N755" s="1"/>
      <c r="O755" s="1"/>
      <c r="P755" s="1"/>
      <c r="Q755" s="1"/>
      <c r="R755" s="1"/>
      <c r="S755" s="1"/>
      <c r="T755" s="1"/>
      <c r="U755" s="1"/>
      <c r="V755" s="1"/>
      <c r="W755" s="1"/>
      <c r="X755" s="1"/>
      <c r="Y755" s="1"/>
      <c r="Z755" s="1"/>
    </row>
    <row r="756" customFormat="false" ht="15.75" hidden="false" customHeight="true" outlineLevel="0" collapsed="false">
      <c r="L756" s="1"/>
      <c r="M756" s="1"/>
      <c r="N756" s="1"/>
      <c r="O756" s="1"/>
      <c r="P756" s="1"/>
      <c r="Q756" s="1"/>
      <c r="R756" s="1"/>
      <c r="S756" s="1"/>
      <c r="T756" s="1"/>
      <c r="U756" s="1"/>
      <c r="V756" s="1"/>
      <c r="W756" s="1"/>
      <c r="X756" s="1"/>
      <c r="Y756" s="1"/>
      <c r="Z756" s="1"/>
    </row>
    <row r="757" customFormat="false" ht="15.75" hidden="false" customHeight="true" outlineLevel="0" collapsed="false">
      <c r="L757" s="1"/>
      <c r="M757" s="1"/>
      <c r="N757" s="1"/>
      <c r="O757" s="1"/>
      <c r="P757" s="1"/>
      <c r="Q757" s="1"/>
      <c r="R757" s="1"/>
      <c r="S757" s="1"/>
      <c r="T757" s="1"/>
      <c r="U757" s="1"/>
      <c r="V757" s="1"/>
      <c r="W757" s="1"/>
      <c r="X757" s="1"/>
      <c r="Y757" s="1"/>
      <c r="Z757" s="1"/>
    </row>
    <row r="758" customFormat="false" ht="15.75" hidden="false" customHeight="true" outlineLevel="0" collapsed="false">
      <c r="L758" s="1"/>
      <c r="M758" s="1"/>
      <c r="N758" s="1"/>
      <c r="O758" s="1"/>
      <c r="P758" s="1"/>
      <c r="Q758" s="1"/>
      <c r="R758" s="1"/>
      <c r="S758" s="1"/>
      <c r="T758" s="1"/>
      <c r="U758" s="1"/>
      <c r="V758" s="1"/>
      <c r="W758" s="1"/>
      <c r="X758" s="1"/>
      <c r="Y758" s="1"/>
      <c r="Z758" s="1"/>
    </row>
    <row r="759" customFormat="false" ht="15.75" hidden="false" customHeight="true" outlineLevel="0" collapsed="false">
      <c r="L759" s="1"/>
      <c r="M759" s="1"/>
      <c r="N759" s="1"/>
      <c r="O759" s="1"/>
      <c r="P759" s="1"/>
      <c r="Q759" s="1"/>
      <c r="R759" s="1"/>
      <c r="S759" s="1"/>
      <c r="T759" s="1"/>
      <c r="U759" s="1"/>
      <c r="V759" s="1"/>
      <c r="W759" s="1"/>
      <c r="X759" s="1"/>
      <c r="Y759" s="1"/>
      <c r="Z759" s="1"/>
    </row>
    <row r="760" customFormat="false" ht="15.75" hidden="false" customHeight="true" outlineLevel="0" collapsed="false">
      <c r="L760" s="1"/>
      <c r="M760" s="1"/>
      <c r="N760" s="1"/>
      <c r="O760" s="1"/>
      <c r="P760" s="1"/>
      <c r="Q760" s="1"/>
      <c r="R760" s="1"/>
      <c r="S760" s="1"/>
      <c r="T760" s="1"/>
      <c r="U760" s="1"/>
      <c r="V760" s="1"/>
      <c r="W760" s="1"/>
      <c r="X760" s="1"/>
      <c r="Y760" s="1"/>
      <c r="Z760" s="1"/>
    </row>
    <row r="761" customFormat="false" ht="15.75" hidden="false" customHeight="true" outlineLevel="0" collapsed="false">
      <c r="L761" s="1"/>
      <c r="M761" s="1"/>
      <c r="N761" s="1"/>
      <c r="O761" s="1"/>
      <c r="P761" s="1"/>
      <c r="Q761" s="1"/>
      <c r="R761" s="1"/>
      <c r="S761" s="1"/>
      <c r="T761" s="1"/>
      <c r="U761" s="1"/>
      <c r="V761" s="1"/>
      <c r="W761" s="1"/>
      <c r="X761" s="1"/>
      <c r="Y761" s="1"/>
      <c r="Z761" s="1"/>
    </row>
    <row r="762" customFormat="false" ht="15.75" hidden="false" customHeight="true" outlineLevel="0" collapsed="false">
      <c r="L762" s="1"/>
      <c r="M762" s="1"/>
      <c r="N762" s="1"/>
      <c r="O762" s="1"/>
      <c r="P762" s="1"/>
      <c r="Q762" s="1"/>
      <c r="R762" s="1"/>
      <c r="S762" s="1"/>
      <c r="T762" s="1"/>
      <c r="U762" s="1"/>
      <c r="V762" s="1"/>
      <c r="W762" s="1"/>
      <c r="X762" s="1"/>
      <c r="Y762" s="1"/>
      <c r="Z762" s="1"/>
    </row>
    <row r="763" customFormat="false" ht="15.75" hidden="false" customHeight="true" outlineLevel="0" collapsed="false">
      <c r="L763" s="1"/>
      <c r="M763" s="1"/>
      <c r="N763" s="1"/>
      <c r="O763" s="1"/>
      <c r="P763" s="1"/>
      <c r="Q763" s="1"/>
      <c r="R763" s="1"/>
      <c r="S763" s="1"/>
      <c r="T763" s="1"/>
      <c r="U763" s="1"/>
      <c r="V763" s="1"/>
      <c r="W763" s="1"/>
      <c r="X763" s="1"/>
      <c r="Y763" s="1"/>
      <c r="Z763" s="1"/>
    </row>
    <row r="764" customFormat="false" ht="15.75" hidden="false" customHeight="true" outlineLevel="0" collapsed="false">
      <c r="L764" s="1"/>
      <c r="M764" s="1"/>
      <c r="N764" s="1"/>
      <c r="O764" s="1"/>
      <c r="P764" s="1"/>
      <c r="Q764" s="1"/>
      <c r="R764" s="1"/>
      <c r="S764" s="1"/>
      <c r="T764" s="1"/>
      <c r="U764" s="1"/>
      <c r="V764" s="1"/>
      <c r="W764" s="1"/>
      <c r="X764" s="1"/>
      <c r="Y764" s="1"/>
      <c r="Z764" s="1"/>
    </row>
    <row r="765" customFormat="false" ht="15.75" hidden="false" customHeight="true" outlineLevel="0" collapsed="false">
      <c r="L765" s="1"/>
      <c r="M765" s="1"/>
      <c r="N765" s="1"/>
      <c r="O765" s="1"/>
      <c r="P765" s="1"/>
      <c r="Q765" s="1"/>
      <c r="R765" s="1"/>
      <c r="S765" s="1"/>
      <c r="T765" s="1"/>
      <c r="U765" s="1"/>
      <c r="V765" s="1"/>
      <c r="W765" s="1"/>
      <c r="X765" s="1"/>
      <c r="Y765" s="1"/>
      <c r="Z765" s="1"/>
    </row>
    <row r="766" customFormat="false" ht="15.75" hidden="false" customHeight="true" outlineLevel="0" collapsed="false">
      <c r="L766" s="1"/>
      <c r="M766" s="1"/>
      <c r="N766" s="1"/>
      <c r="O766" s="1"/>
      <c r="P766" s="1"/>
      <c r="Q766" s="1"/>
      <c r="R766" s="1"/>
      <c r="S766" s="1"/>
      <c r="T766" s="1"/>
      <c r="U766" s="1"/>
      <c r="V766" s="1"/>
      <c r="W766" s="1"/>
      <c r="X766" s="1"/>
      <c r="Y766" s="1"/>
      <c r="Z766" s="1"/>
    </row>
    <row r="767" customFormat="false" ht="15.75" hidden="false" customHeight="true" outlineLevel="0" collapsed="false">
      <c r="L767" s="1"/>
      <c r="M767" s="1"/>
      <c r="N767" s="1"/>
      <c r="O767" s="1"/>
      <c r="P767" s="1"/>
      <c r="Q767" s="1"/>
      <c r="R767" s="1"/>
      <c r="S767" s="1"/>
      <c r="T767" s="1"/>
      <c r="U767" s="1"/>
      <c r="V767" s="1"/>
      <c r="W767" s="1"/>
      <c r="X767" s="1"/>
      <c r="Y767" s="1"/>
      <c r="Z767" s="1"/>
    </row>
    <row r="768" customFormat="false" ht="15.75" hidden="false" customHeight="true" outlineLevel="0" collapsed="false">
      <c r="L768" s="1"/>
      <c r="M768" s="1"/>
      <c r="N768" s="1"/>
      <c r="O768" s="1"/>
      <c r="P768" s="1"/>
      <c r="Q768" s="1"/>
      <c r="R768" s="1"/>
      <c r="S768" s="1"/>
      <c r="T768" s="1"/>
      <c r="U768" s="1"/>
      <c r="V768" s="1"/>
      <c r="W768" s="1"/>
      <c r="X768" s="1"/>
      <c r="Y768" s="1"/>
      <c r="Z768" s="1"/>
    </row>
    <row r="769" customFormat="false" ht="15.75" hidden="false" customHeight="true" outlineLevel="0" collapsed="false">
      <c r="L769" s="1"/>
      <c r="M769" s="1"/>
      <c r="N769" s="1"/>
      <c r="O769" s="1"/>
      <c r="P769" s="1"/>
      <c r="Q769" s="1"/>
      <c r="R769" s="1"/>
      <c r="S769" s="1"/>
      <c r="T769" s="1"/>
      <c r="U769" s="1"/>
      <c r="V769" s="1"/>
      <c r="W769" s="1"/>
      <c r="X769" s="1"/>
      <c r="Y769" s="1"/>
      <c r="Z769" s="1"/>
    </row>
    <row r="770" customFormat="false" ht="15.75" hidden="false" customHeight="true" outlineLevel="0" collapsed="false">
      <c r="L770" s="1"/>
      <c r="M770" s="1"/>
      <c r="N770" s="1"/>
      <c r="O770" s="1"/>
      <c r="P770" s="1"/>
      <c r="Q770" s="1"/>
      <c r="R770" s="1"/>
      <c r="S770" s="1"/>
      <c r="T770" s="1"/>
      <c r="U770" s="1"/>
      <c r="V770" s="1"/>
      <c r="W770" s="1"/>
      <c r="X770" s="1"/>
      <c r="Y770" s="1"/>
      <c r="Z770" s="1"/>
    </row>
    <row r="771" customFormat="false" ht="15.75" hidden="false" customHeight="true" outlineLevel="0" collapsed="false">
      <c r="L771" s="1"/>
      <c r="M771" s="1"/>
      <c r="N771" s="1"/>
      <c r="O771" s="1"/>
      <c r="P771" s="1"/>
      <c r="Q771" s="1"/>
      <c r="R771" s="1"/>
      <c r="S771" s="1"/>
      <c r="T771" s="1"/>
      <c r="U771" s="1"/>
      <c r="V771" s="1"/>
      <c r="W771" s="1"/>
      <c r="X771" s="1"/>
      <c r="Y771" s="1"/>
      <c r="Z771" s="1"/>
    </row>
    <row r="772" customFormat="false" ht="15.75" hidden="false" customHeight="true" outlineLevel="0" collapsed="false">
      <c r="L772" s="1"/>
      <c r="M772" s="1"/>
      <c r="N772" s="1"/>
      <c r="O772" s="1"/>
      <c r="P772" s="1"/>
      <c r="Q772" s="1"/>
      <c r="R772" s="1"/>
      <c r="S772" s="1"/>
      <c r="T772" s="1"/>
      <c r="U772" s="1"/>
      <c r="V772" s="1"/>
      <c r="W772" s="1"/>
      <c r="X772" s="1"/>
      <c r="Y772" s="1"/>
      <c r="Z772" s="1"/>
    </row>
    <row r="773" customFormat="false" ht="15.75" hidden="false" customHeight="true" outlineLevel="0" collapsed="false">
      <c r="L773" s="1"/>
      <c r="M773" s="1"/>
      <c r="N773" s="1"/>
      <c r="O773" s="1"/>
      <c r="P773" s="1"/>
      <c r="Q773" s="1"/>
      <c r="R773" s="1"/>
      <c r="S773" s="1"/>
      <c r="T773" s="1"/>
      <c r="U773" s="1"/>
      <c r="V773" s="1"/>
      <c r="W773" s="1"/>
      <c r="X773" s="1"/>
      <c r="Y773" s="1"/>
      <c r="Z773" s="1"/>
    </row>
    <row r="774" customFormat="false" ht="15.75" hidden="false" customHeight="true" outlineLevel="0" collapsed="false">
      <c r="L774" s="1"/>
      <c r="M774" s="1"/>
      <c r="N774" s="1"/>
      <c r="O774" s="1"/>
      <c r="P774" s="1"/>
      <c r="Q774" s="1"/>
      <c r="R774" s="1"/>
      <c r="S774" s="1"/>
      <c r="T774" s="1"/>
      <c r="U774" s="1"/>
      <c r="V774" s="1"/>
      <c r="W774" s="1"/>
      <c r="X774" s="1"/>
      <c r="Y774" s="1"/>
      <c r="Z774" s="1"/>
    </row>
    <row r="775" customFormat="false" ht="15.75" hidden="false" customHeight="true" outlineLevel="0" collapsed="false">
      <c r="L775" s="1"/>
      <c r="M775" s="1"/>
      <c r="N775" s="1"/>
      <c r="O775" s="1"/>
      <c r="P775" s="1"/>
      <c r="Q775" s="1"/>
      <c r="R775" s="1"/>
      <c r="S775" s="1"/>
      <c r="T775" s="1"/>
      <c r="U775" s="1"/>
      <c r="V775" s="1"/>
      <c r="W775" s="1"/>
      <c r="X775" s="1"/>
      <c r="Y775" s="1"/>
      <c r="Z775" s="1"/>
    </row>
    <row r="776" customFormat="false" ht="15.75" hidden="false" customHeight="true" outlineLevel="0" collapsed="false">
      <c r="L776" s="1"/>
      <c r="M776" s="1"/>
      <c r="N776" s="1"/>
      <c r="O776" s="1"/>
      <c r="P776" s="1"/>
      <c r="Q776" s="1"/>
      <c r="R776" s="1"/>
      <c r="S776" s="1"/>
      <c r="T776" s="1"/>
      <c r="U776" s="1"/>
      <c r="V776" s="1"/>
      <c r="W776" s="1"/>
      <c r="X776" s="1"/>
      <c r="Y776" s="1"/>
      <c r="Z776" s="1"/>
    </row>
    <row r="777" customFormat="false" ht="15.75" hidden="false" customHeight="true" outlineLevel="0" collapsed="false">
      <c r="L777" s="1"/>
      <c r="M777" s="1"/>
      <c r="N777" s="1"/>
      <c r="O777" s="1"/>
      <c r="P777" s="1"/>
      <c r="Q777" s="1"/>
      <c r="R777" s="1"/>
      <c r="S777" s="1"/>
      <c r="T777" s="1"/>
      <c r="U777" s="1"/>
      <c r="V777" s="1"/>
      <c r="W777" s="1"/>
      <c r="X777" s="1"/>
      <c r="Y777" s="1"/>
      <c r="Z777" s="1"/>
    </row>
    <row r="778" customFormat="false" ht="15.75" hidden="false" customHeight="true" outlineLevel="0" collapsed="false">
      <c r="L778" s="1"/>
      <c r="M778" s="1"/>
      <c r="N778" s="1"/>
      <c r="O778" s="1"/>
      <c r="P778" s="1"/>
      <c r="Q778" s="1"/>
      <c r="R778" s="1"/>
      <c r="S778" s="1"/>
      <c r="T778" s="1"/>
      <c r="U778" s="1"/>
      <c r="V778" s="1"/>
      <c r="W778" s="1"/>
      <c r="X778" s="1"/>
      <c r="Y778" s="1"/>
      <c r="Z778" s="1"/>
    </row>
    <row r="779" customFormat="false" ht="15.75" hidden="false" customHeight="true" outlineLevel="0" collapsed="false">
      <c r="L779" s="1"/>
      <c r="M779" s="1"/>
      <c r="N779" s="1"/>
      <c r="O779" s="1"/>
      <c r="P779" s="1"/>
      <c r="Q779" s="1"/>
      <c r="R779" s="1"/>
      <c r="S779" s="1"/>
      <c r="T779" s="1"/>
      <c r="U779" s="1"/>
      <c r="V779" s="1"/>
      <c r="W779" s="1"/>
      <c r="X779" s="1"/>
      <c r="Y779" s="1"/>
      <c r="Z779" s="1"/>
    </row>
    <row r="780" customFormat="false" ht="15.75" hidden="false" customHeight="true" outlineLevel="0" collapsed="false">
      <c r="L780" s="1"/>
      <c r="M780" s="1"/>
      <c r="N780" s="1"/>
      <c r="O780" s="1"/>
      <c r="P780" s="1"/>
      <c r="Q780" s="1"/>
      <c r="R780" s="1"/>
      <c r="S780" s="1"/>
      <c r="T780" s="1"/>
      <c r="U780" s="1"/>
      <c r="V780" s="1"/>
      <c r="W780" s="1"/>
      <c r="X780" s="1"/>
      <c r="Y780" s="1"/>
      <c r="Z780" s="1"/>
    </row>
    <row r="781" customFormat="false" ht="15.75" hidden="false" customHeight="true" outlineLevel="0" collapsed="false">
      <c r="L781" s="1"/>
      <c r="M781" s="1"/>
      <c r="N781" s="1"/>
      <c r="O781" s="1"/>
      <c r="P781" s="1"/>
      <c r="Q781" s="1"/>
      <c r="R781" s="1"/>
      <c r="S781" s="1"/>
      <c r="T781" s="1"/>
      <c r="U781" s="1"/>
      <c r="V781" s="1"/>
      <c r="W781" s="1"/>
      <c r="X781" s="1"/>
      <c r="Y781" s="1"/>
      <c r="Z781" s="1"/>
    </row>
    <row r="782" customFormat="false" ht="15.75" hidden="false" customHeight="true" outlineLevel="0" collapsed="false">
      <c r="L782" s="1"/>
      <c r="M782" s="1"/>
      <c r="N782" s="1"/>
      <c r="O782" s="1"/>
      <c r="P782" s="1"/>
      <c r="Q782" s="1"/>
      <c r="R782" s="1"/>
      <c r="S782" s="1"/>
      <c r="T782" s="1"/>
      <c r="U782" s="1"/>
      <c r="V782" s="1"/>
      <c r="W782" s="1"/>
      <c r="X782" s="1"/>
      <c r="Y782" s="1"/>
      <c r="Z782" s="1"/>
    </row>
    <row r="783" customFormat="false" ht="15.75" hidden="false" customHeight="true" outlineLevel="0" collapsed="false">
      <c r="L783" s="1"/>
      <c r="M783" s="1"/>
      <c r="N783" s="1"/>
      <c r="O783" s="1"/>
      <c r="P783" s="1"/>
      <c r="Q783" s="1"/>
      <c r="R783" s="1"/>
      <c r="S783" s="1"/>
      <c r="T783" s="1"/>
      <c r="U783" s="1"/>
      <c r="V783" s="1"/>
      <c r="W783" s="1"/>
      <c r="X783" s="1"/>
      <c r="Y783" s="1"/>
      <c r="Z783" s="1"/>
    </row>
    <row r="784" customFormat="false" ht="15.75" hidden="false" customHeight="true" outlineLevel="0" collapsed="false">
      <c r="L784" s="1"/>
      <c r="M784" s="1"/>
      <c r="N784" s="1"/>
      <c r="O784" s="1"/>
      <c r="P784" s="1"/>
      <c r="Q784" s="1"/>
      <c r="R784" s="1"/>
      <c r="S784" s="1"/>
      <c r="T784" s="1"/>
      <c r="U784" s="1"/>
      <c r="V784" s="1"/>
      <c r="W784" s="1"/>
      <c r="X784" s="1"/>
      <c r="Y784" s="1"/>
      <c r="Z784" s="1"/>
    </row>
    <row r="785" customFormat="false" ht="15.75" hidden="false" customHeight="true" outlineLevel="0" collapsed="false">
      <c r="L785" s="1"/>
      <c r="M785" s="1"/>
      <c r="N785" s="1"/>
      <c r="O785" s="1"/>
      <c r="P785" s="1"/>
      <c r="Q785" s="1"/>
      <c r="R785" s="1"/>
      <c r="S785" s="1"/>
      <c r="T785" s="1"/>
      <c r="U785" s="1"/>
      <c r="V785" s="1"/>
      <c r="W785" s="1"/>
      <c r="X785" s="1"/>
      <c r="Y785" s="1"/>
      <c r="Z785" s="1"/>
    </row>
    <row r="786" customFormat="false" ht="15.75" hidden="false" customHeight="true" outlineLevel="0" collapsed="false">
      <c r="L786" s="1"/>
      <c r="M786" s="1"/>
      <c r="N786" s="1"/>
      <c r="O786" s="1"/>
      <c r="P786" s="1"/>
      <c r="Q786" s="1"/>
      <c r="R786" s="1"/>
      <c r="S786" s="1"/>
      <c r="T786" s="1"/>
      <c r="U786" s="1"/>
      <c r="V786" s="1"/>
      <c r="W786" s="1"/>
      <c r="X786" s="1"/>
      <c r="Y786" s="1"/>
      <c r="Z786" s="1"/>
    </row>
    <row r="787" customFormat="false" ht="15.75" hidden="false" customHeight="true" outlineLevel="0" collapsed="false">
      <c r="L787" s="1"/>
      <c r="M787" s="1"/>
      <c r="N787" s="1"/>
      <c r="O787" s="1"/>
      <c r="P787" s="1"/>
      <c r="Q787" s="1"/>
      <c r="R787" s="1"/>
      <c r="S787" s="1"/>
      <c r="T787" s="1"/>
      <c r="U787" s="1"/>
      <c r="V787" s="1"/>
      <c r="W787" s="1"/>
      <c r="X787" s="1"/>
      <c r="Y787" s="1"/>
      <c r="Z787" s="1"/>
    </row>
    <row r="788" customFormat="false" ht="15.75" hidden="false" customHeight="true" outlineLevel="0" collapsed="false">
      <c r="L788" s="1"/>
      <c r="M788" s="1"/>
      <c r="N788" s="1"/>
      <c r="O788" s="1"/>
      <c r="P788" s="1"/>
      <c r="Q788" s="1"/>
      <c r="R788" s="1"/>
      <c r="S788" s="1"/>
      <c r="T788" s="1"/>
      <c r="U788" s="1"/>
      <c r="V788" s="1"/>
      <c r="W788" s="1"/>
      <c r="X788" s="1"/>
      <c r="Y788" s="1"/>
      <c r="Z788" s="1"/>
    </row>
    <row r="789" customFormat="false" ht="15.75" hidden="false" customHeight="true" outlineLevel="0" collapsed="false">
      <c r="L789" s="1"/>
      <c r="M789" s="1"/>
      <c r="N789" s="1"/>
      <c r="O789" s="1"/>
      <c r="P789" s="1"/>
      <c r="Q789" s="1"/>
      <c r="R789" s="1"/>
      <c r="S789" s="1"/>
      <c r="T789" s="1"/>
      <c r="U789" s="1"/>
      <c r="V789" s="1"/>
      <c r="W789" s="1"/>
      <c r="X789" s="1"/>
      <c r="Y789" s="1"/>
      <c r="Z789" s="1"/>
    </row>
    <row r="790" customFormat="false" ht="15.75" hidden="false" customHeight="true" outlineLevel="0" collapsed="false">
      <c r="L790" s="1"/>
      <c r="M790" s="1"/>
      <c r="N790" s="1"/>
      <c r="O790" s="1"/>
      <c r="P790" s="1"/>
      <c r="Q790" s="1"/>
      <c r="R790" s="1"/>
      <c r="S790" s="1"/>
      <c r="T790" s="1"/>
      <c r="U790" s="1"/>
      <c r="V790" s="1"/>
      <c r="W790" s="1"/>
      <c r="X790" s="1"/>
      <c r="Y790" s="1"/>
      <c r="Z790" s="1"/>
    </row>
    <row r="791" customFormat="false" ht="15.75" hidden="false" customHeight="true" outlineLevel="0" collapsed="false">
      <c r="L791" s="1"/>
      <c r="M791" s="1"/>
      <c r="N791" s="1"/>
      <c r="O791" s="1"/>
      <c r="P791" s="1"/>
      <c r="Q791" s="1"/>
      <c r="R791" s="1"/>
      <c r="S791" s="1"/>
      <c r="T791" s="1"/>
      <c r="U791" s="1"/>
      <c r="V791" s="1"/>
      <c r="W791" s="1"/>
      <c r="X791" s="1"/>
      <c r="Y791" s="1"/>
      <c r="Z791" s="1"/>
    </row>
    <row r="792" customFormat="false" ht="15.75" hidden="false" customHeight="true" outlineLevel="0" collapsed="false">
      <c r="L792" s="1"/>
      <c r="M792" s="1"/>
      <c r="N792" s="1"/>
      <c r="O792" s="1"/>
      <c r="P792" s="1"/>
      <c r="Q792" s="1"/>
      <c r="R792" s="1"/>
      <c r="S792" s="1"/>
      <c r="T792" s="1"/>
      <c r="U792" s="1"/>
      <c r="V792" s="1"/>
      <c r="W792" s="1"/>
      <c r="X792" s="1"/>
      <c r="Y792" s="1"/>
      <c r="Z792" s="1"/>
    </row>
    <row r="793" customFormat="false" ht="15.75" hidden="false" customHeight="true" outlineLevel="0" collapsed="false">
      <c r="L793" s="1"/>
      <c r="M793" s="1"/>
      <c r="N793" s="1"/>
      <c r="O793" s="1"/>
      <c r="P793" s="1"/>
      <c r="Q793" s="1"/>
      <c r="R793" s="1"/>
      <c r="S793" s="1"/>
      <c r="T793" s="1"/>
      <c r="U793" s="1"/>
      <c r="V793" s="1"/>
      <c r="W793" s="1"/>
      <c r="X793" s="1"/>
      <c r="Y793" s="1"/>
      <c r="Z793" s="1"/>
    </row>
    <row r="794" customFormat="false" ht="15.75" hidden="false" customHeight="true" outlineLevel="0" collapsed="false">
      <c r="L794" s="1"/>
      <c r="M794" s="1"/>
      <c r="N794" s="1"/>
      <c r="O794" s="1"/>
      <c r="P794" s="1"/>
      <c r="Q794" s="1"/>
      <c r="R794" s="1"/>
      <c r="S794" s="1"/>
      <c r="T794" s="1"/>
      <c r="U794" s="1"/>
      <c r="V794" s="1"/>
      <c r="W794" s="1"/>
      <c r="X794" s="1"/>
      <c r="Y794" s="1"/>
      <c r="Z794" s="1"/>
    </row>
    <row r="795" customFormat="false" ht="15.75" hidden="false" customHeight="true" outlineLevel="0" collapsed="false">
      <c r="L795" s="1"/>
      <c r="M795" s="1"/>
      <c r="N795" s="1"/>
      <c r="O795" s="1"/>
      <c r="P795" s="1"/>
      <c r="Q795" s="1"/>
      <c r="R795" s="1"/>
      <c r="S795" s="1"/>
      <c r="T795" s="1"/>
      <c r="U795" s="1"/>
      <c r="V795" s="1"/>
      <c r="W795" s="1"/>
      <c r="X795" s="1"/>
      <c r="Y795" s="1"/>
      <c r="Z795" s="1"/>
    </row>
    <row r="796" customFormat="false" ht="15.75" hidden="false" customHeight="true" outlineLevel="0" collapsed="false">
      <c r="L796" s="1"/>
      <c r="M796" s="1"/>
      <c r="N796" s="1"/>
      <c r="O796" s="1"/>
      <c r="P796" s="1"/>
      <c r="Q796" s="1"/>
      <c r="R796" s="1"/>
      <c r="S796" s="1"/>
      <c r="T796" s="1"/>
      <c r="U796" s="1"/>
      <c r="V796" s="1"/>
      <c r="W796" s="1"/>
      <c r="X796" s="1"/>
      <c r="Y796" s="1"/>
      <c r="Z796" s="1"/>
    </row>
    <row r="797" customFormat="false" ht="15.75" hidden="false" customHeight="true" outlineLevel="0" collapsed="false">
      <c r="L797" s="1"/>
      <c r="M797" s="1"/>
      <c r="N797" s="1"/>
      <c r="O797" s="1"/>
      <c r="P797" s="1"/>
      <c r="Q797" s="1"/>
      <c r="R797" s="1"/>
      <c r="S797" s="1"/>
      <c r="T797" s="1"/>
      <c r="U797" s="1"/>
      <c r="V797" s="1"/>
      <c r="W797" s="1"/>
      <c r="X797" s="1"/>
      <c r="Y797" s="1"/>
      <c r="Z797" s="1"/>
    </row>
    <row r="798" customFormat="false" ht="15.75" hidden="false" customHeight="true" outlineLevel="0" collapsed="false">
      <c r="L798" s="1"/>
      <c r="M798" s="1"/>
      <c r="N798" s="1"/>
      <c r="O798" s="1"/>
      <c r="P798" s="1"/>
      <c r="Q798" s="1"/>
      <c r="R798" s="1"/>
      <c r="S798" s="1"/>
      <c r="T798" s="1"/>
      <c r="U798" s="1"/>
      <c r="V798" s="1"/>
      <c r="W798" s="1"/>
      <c r="X798" s="1"/>
      <c r="Y798" s="1"/>
      <c r="Z798" s="1"/>
    </row>
    <row r="799" customFormat="false" ht="15.75" hidden="false" customHeight="true" outlineLevel="0" collapsed="false">
      <c r="L799" s="1"/>
      <c r="M799" s="1"/>
      <c r="N799" s="1"/>
      <c r="O799" s="1"/>
      <c r="P799" s="1"/>
      <c r="Q799" s="1"/>
      <c r="R799" s="1"/>
      <c r="S799" s="1"/>
      <c r="T799" s="1"/>
      <c r="U799" s="1"/>
      <c r="V799" s="1"/>
      <c r="W799" s="1"/>
      <c r="X799" s="1"/>
      <c r="Y799" s="1"/>
      <c r="Z799" s="1"/>
    </row>
    <row r="800" customFormat="false" ht="15.75" hidden="false" customHeight="true" outlineLevel="0" collapsed="false">
      <c r="L800" s="1"/>
      <c r="M800" s="1"/>
      <c r="N800" s="1"/>
      <c r="O800" s="1"/>
      <c r="P800" s="1"/>
      <c r="Q800" s="1"/>
      <c r="R800" s="1"/>
      <c r="S800" s="1"/>
      <c r="T800" s="1"/>
      <c r="U800" s="1"/>
      <c r="V800" s="1"/>
      <c r="W800" s="1"/>
      <c r="X800" s="1"/>
      <c r="Y800" s="1"/>
      <c r="Z800" s="1"/>
    </row>
    <row r="801" customFormat="false" ht="15.75" hidden="false" customHeight="true" outlineLevel="0" collapsed="false">
      <c r="L801" s="1"/>
      <c r="M801" s="1"/>
      <c r="N801" s="1"/>
      <c r="O801" s="1"/>
      <c r="P801" s="1"/>
      <c r="Q801" s="1"/>
      <c r="R801" s="1"/>
      <c r="S801" s="1"/>
      <c r="T801" s="1"/>
      <c r="U801" s="1"/>
      <c r="V801" s="1"/>
      <c r="W801" s="1"/>
      <c r="X801" s="1"/>
      <c r="Y801" s="1"/>
      <c r="Z801" s="1"/>
    </row>
    <row r="802" customFormat="false" ht="15.75" hidden="false" customHeight="true" outlineLevel="0" collapsed="false">
      <c r="L802" s="1"/>
      <c r="M802" s="1"/>
      <c r="N802" s="1"/>
      <c r="O802" s="1"/>
      <c r="P802" s="1"/>
      <c r="Q802" s="1"/>
      <c r="R802" s="1"/>
      <c r="S802" s="1"/>
      <c r="T802" s="1"/>
      <c r="U802" s="1"/>
      <c r="V802" s="1"/>
      <c r="W802" s="1"/>
      <c r="X802" s="1"/>
      <c r="Y802" s="1"/>
      <c r="Z802" s="1"/>
    </row>
    <row r="803" customFormat="false" ht="15.75" hidden="false" customHeight="true" outlineLevel="0" collapsed="false">
      <c r="L803" s="1"/>
      <c r="M803" s="1"/>
      <c r="N803" s="1"/>
      <c r="O803" s="1"/>
      <c r="P803" s="1"/>
      <c r="Q803" s="1"/>
      <c r="R803" s="1"/>
      <c r="S803" s="1"/>
      <c r="T803" s="1"/>
      <c r="U803" s="1"/>
      <c r="V803" s="1"/>
      <c r="W803" s="1"/>
      <c r="X803" s="1"/>
      <c r="Y803" s="1"/>
      <c r="Z803" s="1"/>
    </row>
    <row r="804" customFormat="false" ht="15.75" hidden="false" customHeight="true" outlineLevel="0" collapsed="false">
      <c r="L804" s="1"/>
      <c r="M804" s="1"/>
      <c r="N804" s="1"/>
      <c r="O804" s="1"/>
      <c r="P804" s="1"/>
      <c r="Q804" s="1"/>
      <c r="R804" s="1"/>
      <c r="S804" s="1"/>
      <c r="T804" s="1"/>
      <c r="U804" s="1"/>
      <c r="V804" s="1"/>
      <c r="W804" s="1"/>
      <c r="X804" s="1"/>
      <c r="Y804" s="1"/>
      <c r="Z804" s="1"/>
    </row>
    <row r="805" customFormat="false" ht="15.75" hidden="false" customHeight="true" outlineLevel="0" collapsed="false">
      <c r="L805" s="1"/>
      <c r="M805" s="1"/>
      <c r="N805" s="1"/>
      <c r="O805" s="1"/>
      <c r="P805" s="1"/>
      <c r="Q805" s="1"/>
      <c r="R805" s="1"/>
      <c r="S805" s="1"/>
      <c r="T805" s="1"/>
      <c r="U805" s="1"/>
      <c r="V805" s="1"/>
      <c r="W805" s="1"/>
      <c r="X805" s="1"/>
      <c r="Y805" s="1"/>
      <c r="Z805" s="1"/>
    </row>
    <row r="806" customFormat="false" ht="15.75" hidden="false" customHeight="true" outlineLevel="0" collapsed="false">
      <c r="L806" s="1"/>
      <c r="M806" s="1"/>
      <c r="N806" s="1"/>
      <c r="O806" s="1"/>
      <c r="P806" s="1"/>
      <c r="Q806" s="1"/>
      <c r="R806" s="1"/>
      <c r="S806" s="1"/>
      <c r="T806" s="1"/>
      <c r="U806" s="1"/>
      <c r="V806" s="1"/>
      <c r="W806" s="1"/>
      <c r="X806" s="1"/>
      <c r="Y806" s="1"/>
      <c r="Z806" s="1"/>
    </row>
    <row r="807" customFormat="false" ht="15.75" hidden="false" customHeight="true" outlineLevel="0" collapsed="false">
      <c r="L807" s="1"/>
      <c r="M807" s="1"/>
      <c r="N807" s="1"/>
      <c r="O807" s="1"/>
      <c r="P807" s="1"/>
      <c r="Q807" s="1"/>
      <c r="R807" s="1"/>
      <c r="S807" s="1"/>
      <c r="T807" s="1"/>
      <c r="U807" s="1"/>
      <c r="V807" s="1"/>
      <c r="W807" s="1"/>
      <c r="X807" s="1"/>
      <c r="Y807" s="1"/>
      <c r="Z807" s="1"/>
    </row>
    <row r="808" customFormat="false" ht="15.75" hidden="false" customHeight="true" outlineLevel="0" collapsed="false">
      <c r="L808" s="1"/>
      <c r="M808" s="1"/>
      <c r="N808" s="1"/>
      <c r="O808" s="1"/>
      <c r="P808" s="1"/>
      <c r="Q808" s="1"/>
      <c r="R808" s="1"/>
      <c r="S808" s="1"/>
      <c r="T808" s="1"/>
      <c r="U808" s="1"/>
      <c r="V808" s="1"/>
      <c r="W808" s="1"/>
      <c r="X808" s="1"/>
      <c r="Y808" s="1"/>
      <c r="Z808" s="1"/>
    </row>
    <row r="809" customFormat="false" ht="15.75" hidden="false" customHeight="true" outlineLevel="0" collapsed="false">
      <c r="L809" s="1"/>
      <c r="M809" s="1"/>
      <c r="N809" s="1"/>
      <c r="O809" s="1"/>
      <c r="P809" s="1"/>
      <c r="Q809" s="1"/>
      <c r="R809" s="1"/>
      <c r="S809" s="1"/>
      <c r="T809" s="1"/>
      <c r="U809" s="1"/>
      <c r="V809" s="1"/>
      <c r="W809" s="1"/>
      <c r="X809" s="1"/>
      <c r="Y809" s="1"/>
      <c r="Z809" s="1"/>
    </row>
    <row r="810" customFormat="false" ht="15.75" hidden="false" customHeight="true" outlineLevel="0" collapsed="false">
      <c r="L810" s="1"/>
      <c r="M810" s="1"/>
      <c r="N810" s="1"/>
      <c r="O810" s="1"/>
      <c r="P810" s="1"/>
      <c r="Q810" s="1"/>
      <c r="R810" s="1"/>
      <c r="S810" s="1"/>
      <c r="T810" s="1"/>
      <c r="U810" s="1"/>
      <c r="V810" s="1"/>
      <c r="W810" s="1"/>
      <c r="X810" s="1"/>
      <c r="Y810" s="1"/>
      <c r="Z810" s="1"/>
    </row>
    <row r="811" customFormat="false" ht="15.75" hidden="false" customHeight="true" outlineLevel="0" collapsed="false">
      <c r="L811" s="1"/>
      <c r="M811" s="1"/>
      <c r="N811" s="1"/>
      <c r="O811" s="1"/>
      <c r="P811" s="1"/>
      <c r="Q811" s="1"/>
      <c r="R811" s="1"/>
      <c r="S811" s="1"/>
      <c r="T811" s="1"/>
      <c r="U811" s="1"/>
      <c r="V811" s="1"/>
      <c r="W811" s="1"/>
      <c r="X811" s="1"/>
      <c r="Y811" s="1"/>
      <c r="Z811" s="1"/>
    </row>
    <row r="812" customFormat="false" ht="15.75" hidden="false" customHeight="true" outlineLevel="0" collapsed="false">
      <c r="L812" s="1"/>
      <c r="M812" s="1"/>
      <c r="N812" s="1"/>
      <c r="O812" s="1"/>
      <c r="P812" s="1"/>
      <c r="Q812" s="1"/>
      <c r="R812" s="1"/>
      <c r="S812" s="1"/>
      <c r="T812" s="1"/>
      <c r="U812" s="1"/>
      <c r="V812" s="1"/>
      <c r="W812" s="1"/>
      <c r="X812" s="1"/>
      <c r="Y812" s="1"/>
      <c r="Z812" s="1"/>
    </row>
    <row r="813" customFormat="false" ht="15.75" hidden="false" customHeight="true" outlineLevel="0" collapsed="false">
      <c r="L813" s="1"/>
      <c r="M813" s="1"/>
      <c r="N813" s="1"/>
      <c r="O813" s="1"/>
      <c r="P813" s="1"/>
      <c r="Q813" s="1"/>
      <c r="R813" s="1"/>
      <c r="S813" s="1"/>
      <c r="T813" s="1"/>
      <c r="U813" s="1"/>
      <c r="V813" s="1"/>
      <c r="W813" s="1"/>
      <c r="X813" s="1"/>
      <c r="Y813" s="1"/>
      <c r="Z813" s="1"/>
    </row>
    <row r="814" customFormat="false" ht="15.75" hidden="false" customHeight="true" outlineLevel="0" collapsed="false">
      <c r="L814" s="1"/>
      <c r="M814" s="1"/>
      <c r="N814" s="1"/>
      <c r="O814" s="1"/>
      <c r="P814" s="1"/>
      <c r="Q814" s="1"/>
      <c r="R814" s="1"/>
      <c r="S814" s="1"/>
      <c r="T814" s="1"/>
      <c r="U814" s="1"/>
      <c r="V814" s="1"/>
      <c r="W814" s="1"/>
      <c r="X814" s="1"/>
      <c r="Y814" s="1"/>
      <c r="Z814" s="1"/>
    </row>
    <row r="815" customFormat="false" ht="15.75" hidden="false" customHeight="true" outlineLevel="0" collapsed="false">
      <c r="L815" s="1"/>
      <c r="M815" s="1"/>
      <c r="N815" s="1"/>
      <c r="O815" s="1"/>
      <c r="P815" s="1"/>
      <c r="Q815" s="1"/>
      <c r="R815" s="1"/>
      <c r="S815" s="1"/>
      <c r="T815" s="1"/>
      <c r="U815" s="1"/>
      <c r="V815" s="1"/>
      <c r="W815" s="1"/>
      <c r="X815" s="1"/>
      <c r="Y815" s="1"/>
      <c r="Z815" s="1"/>
    </row>
    <row r="816" customFormat="false" ht="15.75" hidden="false" customHeight="true" outlineLevel="0" collapsed="false">
      <c r="L816" s="1"/>
      <c r="M816" s="1"/>
      <c r="N816" s="1"/>
      <c r="O816" s="1"/>
      <c r="P816" s="1"/>
      <c r="Q816" s="1"/>
      <c r="R816" s="1"/>
      <c r="S816" s="1"/>
      <c r="T816" s="1"/>
      <c r="U816" s="1"/>
      <c r="V816" s="1"/>
      <c r="W816" s="1"/>
      <c r="X816" s="1"/>
      <c r="Y816" s="1"/>
      <c r="Z816" s="1"/>
    </row>
    <row r="817" customFormat="false" ht="15.75" hidden="false" customHeight="true" outlineLevel="0" collapsed="false">
      <c r="L817" s="1"/>
      <c r="M817" s="1"/>
      <c r="N817" s="1"/>
      <c r="O817" s="1"/>
      <c r="P817" s="1"/>
      <c r="Q817" s="1"/>
      <c r="R817" s="1"/>
      <c r="S817" s="1"/>
      <c r="T817" s="1"/>
      <c r="U817" s="1"/>
      <c r="V817" s="1"/>
      <c r="W817" s="1"/>
      <c r="X817" s="1"/>
      <c r="Y817" s="1"/>
      <c r="Z817" s="1"/>
    </row>
    <row r="818" customFormat="false" ht="15.75" hidden="false" customHeight="true" outlineLevel="0" collapsed="false">
      <c r="L818" s="1"/>
      <c r="M818" s="1"/>
      <c r="N818" s="1"/>
      <c r="O818" s="1"/>
      <c r="P818" s="1"/>
      <c r="Q818" s="1"/>
      <c r="R818" s="1"/>
      <c r="S818" s="1"/>
      <c r="T818" s="1"/>
      <c r="U818" s="1"/>
      <c r="V818" s="1"/>
      <c r="W818" s="1"/>
      <c r="X818" s="1"/>
      <c r="Y818" s="1"/>
      <c r="Z818" s="1"/>
    </row>
    <row r="819" customFormat="false" ht="15.75" hidden="false" customHeight="true" outlineLevel="0" collapsed="false">
      <c r="L819" s="1"/>
      <c r="M819" s="1"/>
      <c r="N819" s="1"/>
      <c r="O819" s="1"/>
      <c r="P819" s="1"/>
      <c r="Q819" s="1"/>
      <c r="R819" s="1"/>
      <c r="S819" s="1"/>
      <c r="T819" s="1"/>
      <c r="U819" s="1"/>
      <c r="V819" s="1"/>
      <c r="W819" s="1"/>
      <c r="X819" s="1"/>
      <c r="Y819" s="1"/>
      <c r="Z819" s="1"/>
    </row>
    <row r="820" customFormat="false" ht="15.75" hidden="false" customHeight="true" outlineLevel="0" collapsed="false">
      <c r="L820" s="1"/>
      <c r="M820" s="1"/>
      <c r="N820" s="1"/>
      <c r="O820" s="1"/>
      <c r="P820" s="1"/>
      <c r="Q820" s="1"/>
      <c r="R820" s="1"/>
      <c r="S820" s="1"/>
      <c r="T820" s="1"/>
      <c r="U820" s="1"/>
      <c r="V820" s="1"/>
      <c r="W820" s="1"/>
      <c r="X820" s="1"/>
      <c r="Y820" s="1"/>
      <c r="Z820" s="1"/>
    </row>
    <row r="821" customFormat="false" ht="15.75" hidden="false" customHeight="true" outlineLevel="0" collapsed="false">
      <c r="L821" s="1"/>
      <c r="M821" s="1"/>
      <c r="N821" s="1"/>
      <c r="O821" s="1"/>
      <c r="P821" s="1"/>
      <c r="Q821" s="1"/>
      <c r="R821" s="1"/>
      <c r="S821" s="1"/>
      <c r="T821" s="1"/>
      <c r="U821" s="1"/>
      <c r="V821" s="1"/>
      <c r="W821" s="1"/>
      <c r="X821" s="1"/>
      <c r="Y821" s="1"/>
      <c r="Z821" s="1"/>
    </row>
    <row r="822" customFormat="false" ht="15.75" hidden="false" customHeight="true" outlineLevel="0" collapsed="false">
      <c r="L822" s="1"/>
      <c r="M822" s="1"/>
      <c r="N822" s="1"/>
      <c r="O822" s="1"/>
      <c r="P822" s="1"/>
      <c r="Q822" s="1"/>
      <c r="R822" s="1"/>
      <c r="S822" s="1"/>
      <c r="T822" s="1"/>
      <c r="U822" s="1"/>
      <c r="V822" s="1"/>
      <c r="W822" s="1"/>
      <c r="X822" s="1"/>
      <c r="Y822" s="1"/>
      <c r="Z822" s="1"/>
    </row>
    <row r="823" customFormat="false" ht="15.75" hidden="false" customHeight="true" outlineLevel="0" collapsed="false">
      <c r="L823" s="1"/>
      <c r="M823" s="1"/>
      <c r="N823" s="1"/>
      <c r="O823" s="1"/>
      <c r="P823" s="1"/>
      <c r="Q823" s="1"/>
      <c r="R823" s="1"/>
      <c r="S823" s="1"/>
      <c r="T823" s="1"/>
      <c r="U823" s="1"/>
      <c r="V823" s="1"/>
      <c r="W823" s="1"/>
      <c r="X823" s="1"/>
      <c r="Y823" s="1"/>
      <c r="Z823" s="1"/>
    </row>
    <row r="824" customFormat="false" ht="15.75" hidden="false" customHeight="true" outlineLevel="0" collapsed="false">
      <c r="L824" s="1"/>
      <c r="M824" s="1"/>
      <c r="N824" s="1"/>
      <c r="O824" s="1"/>
      <c r="P824" s="1"/>
      <c r="Q824" s="1"/>
      <c r="R824" s="1"/>
      <c r="S824" s="1"/>
      <c r="T824" s="1"/>
      <c r="U824" s="1"/>
      <c r="V824" s="1"/>
      <c r="W824" s="1"/>
      <c r="X824" s="1"/>
      <c r="Y824" s="1"/>
      <c r="Z824" s="1"/>
    </row>
    <row r="825" customFormat="false" ht="15.75" hidden="false" customHeight="true" outlineLevel="0" collapsed="false">
      <c r="L825" s="1"/>
      <c r="M825" s="1"/>
      <c r="N825" s="1"/>
      <c r="O825" s="1"/>
      <c r="P825" s="1"/>
      <c r="Q825" s="1"/>
      <c r="R825" s="1"/>
      <c r="S825" s="1"/>
      <c r="T825" s="1"/>
      <c r="U825" s="1"/>
      <c r="V825" s="1"/>
      <c r="W825" s="1"/>
      <c r="X825" s="1"/>
      <c r="Y825" s="1"/>
      <c r="Z825" s="1"/>
    </row>
    <row r="826" customFormat="false" ht="15.75" hidden="false" customHeight="true" outlineLevel="0" collapsed="false">
      <c r="L826" s="1"/>
      <c r="M826" s="1"/>
      <c r="N826" s="1"/>
      <c r="O826" s="1"/>
      <c r="P826" s="1"/>
      <c r="Q826" s="1"/>
      <c r="R826" s="1"/>
      <c r="S826" s="1"/>
      <c r="T826" s="1"/>
      <c r="U826" s="1"/>
      <c r="V826" s="1"/>
      <c r="W826" s="1"/>
      <c r="X826" s="1"/>
      <c r="Y826" s="1"/>
      <c r="Z826" s="1"/>
    </row>
    <row r="827" customFormat="false" ht="15.75" hidden="false" customHeight="true" outlineLevel="0" collapsed="false">
      <c r="L827" s="1"/>
      <c r="M827" s="1"/>
      <c r="N827" s="1"/>
      <c r="O827" s="1"/>
      <c r="P827" s="1"/>
      <c r="Q827" s="1"/>
      <c r="R827" s="1"/>
      <c r="S827" s="1"/>
      <c r="T827" s="1"/>
      <c r="U827" s="1"/>
      <c r="V827" s="1"/>
      <c r="W827" s="1"/>
      <c r="X827" s="1"/>
      <c r="Y827" s="1"/>
      <c r="Z827" s="1"/>
    </row>
    <row r="828" customFormat="false" ht="15.75" hidden="false" customHeight="true" outlineLevel="0" collapsed="false">
      <c r="L828" s="1"/>
      <c r="M828" s="1"/>
      <c r="N828" s="1"/>
      <c r="O828" s="1"/>
      <c r="P828" s="1"/>
      <c r="Q828" s="1"/>
      <c r="R828" s="1"/>
      <c r="S828" s="1"/>
      <c r="T828" s="1"/>
      <c r="U828" s="1"/>
      <c r="V828" s="1"/>
      <c r="W828" s="1"/>
      <c r="X828" s="1"/>
      <c r="Y828" s="1"/>
      <c r="Z828" s="1"/>
    </row>
    <row r="829" customFormat="false" ht="15.75" hidden="false" customHeight="true" outlineLevel="0" collapsed="false">
      <c r="L829" s="1"/>
      <c r="M829" s="1"/>
      <c r="N829" s="1"/>
      <c r="O829" s="1"/>
      <c r="P829" s="1"/>
      <c r="Q829" s="1"/>
      <c r="R829" s="1"/>
      <c r="S829" s="1"/>
      <c r="T829" s="1"/>
      <c r="U829" s="1"/>
      <c r="V829" s="1"/>
      <c r="W829" s="1"/>
      <c r="X829" s="1"/>
      <c r="Y829" s="1"/>
      <c r="Z829" s="1"/>
    </row>
    <row r="830" customFormat="false" ht="15.75" hidden="false" customHeight="true" outlineLevel="0" collapsed="false">
      <c r="L830" s="1"/>
      <c r="M830" s="1"/>
      <c r="N830" s="1"/>
      <c r="O830" s="1"/>
      <c r="P830" s="1"/>
      <c r="Q830" s="1"/>
      <c r="R830" s="1"/>
      <c r="S830" s="1"/>
      <c r="T830" s="1"/>
      <c r="U830" s="1"/>
      <c r="V830" s="1"/>
      <c r="W830" s="1"/>
      <c r="X830" s="1"/>
      <c r="Y830" s="1"/>
      <c r="Z830" s="1"/>
    </row>
    <row r="831" customFormat="false" ht="15.75" hidden="false" customHeight="true" outlineLevel="0" collapsed="false">
      <c r="L831" s="1"/>
      <c r="M831" s="1"/>
      <c r="N831" s="1"/>
      <c r="O831" s="1"/>
      <c r="P831" s="1"/>
      <c r="Q831" s="1"/>
      <c r="R831" s="1"/>
      <c r="S831" s="1"/>
      <c r="T831" s="1"/>
      <c r="U831" s="1"/>
      <c r="V831" s="1"/>
      <c r="W831" s="1"/>
      <c r="X831" s="1"/>
      <c r="Y831" s="1"/>
      <c r="Z831" s="1"/>
    </row>
    <row r="832" customFormat="false" ht="15.75" hidden="false" customHeight="true" outlineLevel="0" collapsed="false">
      <c r="L832" s="1"/>
      <c r="M832" s="1"/>
      <c r="N832" s="1"/>
      <c r="O832" s="1"/>
      <c r="P832" s="1"/>
      <c r="Q832" s="1"/>
      <c r="R832" s="1"/>
      <c r="S832" s="1"/>
      <c r="T832" s="1"/>
      <c r="U832" s="1"/>
      <c r="V832" s="1"/>
      <c r="W832" s="1"/>
      <c r="X832" s="1"/>
      <c r="Y832" s="1"/>
      <c r="Z832" s="1"/>
    </row>
    <row r="833" customFormat="false" ht="15.75" hidden="false" customHeight="true" outlineLevel="0" collapsed="false">
      <c r="L833" s="1"/>
      <c r="M833" s="1"/>
      <c r="N833" s="1"/>
      <c r="O833" s="1"/>
      <c r="P833" s="1"/>
      <c r="Q833" s="1"/>
      <c r="R833" s="1"/>
      <c r="S833" s="1"/>
      <c r="T833" s="1"/>
      <c r="U833" s="1"/>
      <c r="V833" s="1"/>
      <c r="W833" s="1"/>
      <c r="X833" s="1"/>
      <c r="Y833" s="1"/>
      <c r="Z833" s="1"/>
    </row>
    <row r="834" customFormat="false" ht="15.75" hidden="false" customHeight="true" outlineLevel="0" collapsed="false">
      <c r="L834" s="1"/>
      <c r="M834" s="1"/>
      <c r="N834" s="1"/>
      <c r="O834" s="1"/>
      <c r="P834" s="1"/>
      <c r="Q834" s="1"/>
      <c r="R834" s="1"/>
      <c r="S834" s="1"/>
      <c r="T834" s="1"/>
      <c r="U834" s="1"/>
      <c r="V834" s="1"/>
      <c r="W834" s="1"/>
      <c r="X834" s="1"/>
      <c r="Y834" s="1"/>
      <c r="Z834" s="1"/>
    </row>
    <row r="835" customFormat="false" ht="15.75" hidden="false" customHeight="true" outlineLevel="0" collapsed="false">
      <c r="L835" s="1"/>
      <c r="M835" s="1"/>
      <c r="N835" s="1"/>
      <c r="O835" s="1"/>
      <c r="P835" s="1"/>
      <c r="Q835" s="1"/>
      <c r="R835" s="1"/>
      <c r="S835" s="1"/>
      <c r="T835" s="1"/>
      <c r="U835" s="1"/>
      <c r="V835" s="1"/>
      <c r="W835" s="1"/>
      <c r="X835" s="1"/>
      <c r="Y835" s="1"/>
      <c r="Z835" s="1"/>
    </row>
    <row r="836" customFormat="false" ht="15.75" hidden="false" customHeight="true" outlineLevel="0" collapsed="false">
      <c r="L836" s="1"/>
      <c r="M836" s="1"/>
      <c r="N836" s="1"/>
      <c r="O836" s="1"/>
      <c r="P836" s="1"/>
      <c r="Q836" s="1"/>
      <c r="R836" s="1"/>
      <c r="S836" s="1"/>
      <c r="T836" s="1"/>
      <c r="U836" s="1"/>
      <c r="V836" s="1"/>
      <c r="W836" s="1"/>
      <c r="X836" s="1"/>
      <c r="Y836" s="1"/>
      <c r="Z836" s="1"/>
    </row>
    <row r="837" customFormat="false" ht="15.75" hidden="false" customHeight="true" outlineLevel="0" collapsed="false">
      <c r="L837" s="1"/>
      <c r="M837" s="1"/>
      <c r="N837" s="1"/>
      <c r="O837" s="1"/>
      <c r="P837" s="1"/>
      <c r="Q837" s="1"/>
      <c r="R837" s="1"/>
      <c r="S837" s="1"/>
      <c r="T837" s="1"/>
      <c r="U837" s="1"/>
      <c r="V837" s="1"/>
      <c r="W837" s="1"/>
      <c r="X837" s="1"/>
      <c r="Y837" s="1"/>
      <c r="Z837" s="1"/>
    </row>
    <row r="838" customFormat="false" ht="15.75" hidden="false" customHeight="true" outlineLevel="0" collapsed="false">
      <c r="L838" s="1"/>
      <c r="M838" s="1"/>
      <c r="N838" s="1"/>
      <c r="O838" s="1"/>
      <c r="P838" s="1"/>
      <c r="Q838" s="1"/>
      <c r="R838" s="1"/>
      <c r="S838" s="1"/>
      <c r="T838" s="1"/>
      <c r="U838" s="1"/>
      <c r="V838" s="1"/>
      <c r="W838" s="1"/>
      <c r="X838" s="1"/>
      <c r="Y838" s="1"/>
      <c r="Z838" s="1"/>
    </row>
    <row r="839" customFormat="false" ht="15.75" hidden="false" customHeight="true" outlineLevel="0" collapsed="false">
      <c r="L839" s="1"/>
      <c r="M839" s="1"/>
      <c r="N839" s="1"/>
      <c r="O839" s="1"/>
      <c r="P839" s="1"/>
      <c r="Q839" s="1"/>
      <c r="R839" s="1"/>
      <c r="S839" s="1"/>
      <c r="T839" s="1"/>
      <c r="U839" s="1"/>
      <c r="V839" s="1"/>
      <c r="W839" s="1"/>
      <c r="X839" s="1"/>
      <c r="Y839" s="1"/>
      <c r="Z839" s="1"/>
    </row>
    <row r="840" customFormat="false" ht="15.75" hidden="false" customHeight="true" outlineLevel="0" collapsed="false">
      <c r="L840" s="1"/>
      <c r="M840" s="1"/>
      <c r="N840" s="1"/>
      <c r="O840" s="1"/>
      <c r="P840" s="1"/>
      <c r="Q840" s="1"/>
      <c r="R840" s="1"/>
      <c r="S840" s="1"/>
      <c r="T840" s="1"/>
      <c r="U840" s="1"/>
      <c r="V840" s="1"/>
      <c r="W840" s="1"/>
      <c r="X840" s="1"/>
      <c r="Y840" s="1"/>
      <c r="Z840" s="1"/>
    </row>
    <row r="841" customFormat="false" ht="15.75" hidden="false" customHeight="true" outlineLevel="0" collapsed="false">
      <c r="L841" s="1"/>
      <c r="M841" s="1"/>
      <c r="N841" s="1"/>
      <c r="O841" s="1"/>
      <c r="P841" s="1"/>
      <c r="Q841" s="1"/>
      <c r="R841" s="1"/>
      <c r="S841" s="1"/>
      <c r="T841" s="1"/>
      <c r="U841" s="1"/>
      <c r="V841" s="1"/>
      <c r="W841" s="1"/>
      <c r="X841" s="1"/>
      <c r="Y841" s="1"/>
      <c r="Z841" s="1"/>
    </row>
    <row r="842" customFormat="false" ht="15.75" hidden="false" customHeight="true" outlineLevel="0" collapsed="false">
      <c r="L842" s="1"/>
      <c r="M842" s="1"/>
      <c r="N842" s="1"/>
      <c r="O842" s="1"/>
      <c r="P842" s="1"/>
      <c r="Q842" s="1"/>
      <c r="R842" s="1"/>
      <c r="S842" s="1"/>
      <c r="T842" s="1"/>
      <c r="U842" s="1"/>
      <c r="V842" s="1"/>
      <c r="W842" s="1"/>
      <c r="X842" s="1"/>
      <c r="Y842" s="1"/>
      <c r="Z842" s="1"/>
    </row>
    <row r="843" customFormat="false" ht="15.75" hidden="false" customHeight="true" outlineLevel="0" collapsed="false">
      <c r="L843" s="1"/>
      <c r="M843" s="1"/>
      <c r="N843" s="1"/>
      <c r="O843" s="1"/>
      <c r="P843" s="1"/>
      <c r="Q843" s="1"/>
      <c r="R843" s="1"/>
      <c r="S843" s="1"/>
      <c r="T843" s="1"/>
      <c r="U843" s="1"/>
      <c r="V843" s="1"/>
      <c r="W843" s="1"/>
      <c r="X843" s="1"/>
      <c r="Y843" s="1"/>
      <c r="Z843" s="1"/>
    </row>
    <row r="844" customFormat="false" ht="15.75" hidden="false" customHeight="true" outlineLevel="0" collapsed="false">
      <c r="L844" s="1"/>
      <c r="M844" s="1"/>
      <c r="N844" s="1"/>
      <c r="O844" s="1"/>
      <c r="P844" s="1"/>
      <c r="Q844" s="1"/>
      <c r="R844" s="1"/>
      <c r="S844" s="1"/>
      <c r="T844" s="1"/>
      <c r="U844" s="1"/>
      <c r="V844" s="1"/>
      <c r="W844" s="1"/>
      <c r="X844" s="1"/>
      <c r="Y844" s="1"/>
      <c r="Z844" s="1"/>
    </row>
    <row r="845" customFormat="false" ht="15.75" hidden="false" customHeight="true" outlineLevel="0" collapsed="false">
      <c r="L845" s="1"/>
      <c r="M845" s="1"/>
      <c r="N845" s="1"/>
      <c r="O845" s="1"/>
      <c r="P845" s="1"/>
      <c r="Q845" s="1"/>
      <c r="R845" s="1"/>
      <c r="S845" s="1"/>
      <c r="T845" s="1"/>
      <c r="U845" s="1"/>
      <c r="V845" s="1"/>
      <c r="W845" s="1"/>
      <c r="X845" s="1"/>
      <c r="Y845" s="1"/>
      <c r="Z845" s="1"/>
    </row>
    <row r="846" customFormat="false" ht="15.75" hidden="false" customHeight="true" outlineLevel="0" collapsed="false">
      <c r="L846" s="1"/>
      <c r="M846" s="1"/>
      <c r="N846" s="1"/>
      <c r="O846" s="1"/>
      <c r="P846" s="1"/>
      <c r="Q846" s="1"/>
      <c r="R846" s="1"/>
      <c r="S846" s="1"/>
      <c r="T846" s="1"/>
      <c r="U846" s="1"/>
      <c r="V846" s="1"/>
      <c r="W846" s="1"/>
      <c r="X846" s="1"/>
      <c r="Y846" s="1"/>
      <c r="Z846" s="1"/>
    </row>
    <row r="847" customFormat="false" ht="15.75" hidden="false" customHeight="true" outlineLevel="0" collapsed="false">
      <c r="L847" s="1"/>
      <c r="M847" s="1"/>
      <c r="N847" s="1"/>
      <c r="O847" s="1"/>
      <c r="P847" s="1"/>
      <c r="Q847" s="1"/>
      <c r="R847" s="1"/>
      <c r="S847" s="1"/>
      <c r="T847" s="1"/>
      <c r="U847" s="1"/>
      <c r="V847" s="1"/>
      <c r="W847" s="1"/>
      <c r="X847" s="1"/>
      <c r="Y847" s="1"/>
      <c r="Z847" s="1"/>
    </row>
    <row r="848" customFormat="false" ht="15.75" hidden="false" customHeight="true" outlineLevel="0" collapsed="false">
      <c r="L848" s="1"/>
      <c r="M848" s="1"/>
      <c r="N848" s="1"/>
      <c r="O848" s="1"/>
      <c r="P848" s="1"/>
      <c r="Q848" s="1"/>
      <c r="R848" s="1"/>
      <c r="S848" s="1"/>
      <c r="T848" s="1"/>
      <c r="U848" s="1"/>
      <c r="V848" s="1"/>
      <c r="W848" s="1"/>
      <c r="X848" s="1"/>
      <c r="Y848" s="1"/>
      <c r="Z848" s="1"/>
    </row>
    <row r="849" customFormat="false" ht="15.75" hidden="false" customHeight="true" outlineLevel="0" collapsed="false">
      <c r="L849" s="1"/>
      <c r="M849" s="1"/>
      <c r="N849" s="1"/>
      <c r="O849" s="1"/>
      <c r="P849" s="1"/>
      <c r="Q849" s="1"/>
      <c r="R849" s="1"/>
      <c r="S849" s="1"/>
      <c r="T849" s="1"/>
      <c r="U849" s="1"/>
      <c r="V849" s="1"/>
      <c r="W849" s="1"/>
      <c r="X849" s="1"/>
      <c r="Y849" s="1"/>
      <c r="Z849" s="1"/>
    </row>
    <row r="850" customFormat="false" ht="15.75" hidden="false" customHeight="true" outlineLevel="0" collapsed="false">
      <c r="L850" s="1"/>
      <c r="M850" s="1"/>
      <c r="N850" s="1"/>
      <c r="O850" s="1"/>
      <c r="P850" s="1"/>
      <c r="Q850" s="1"/>
      <c r="R850" s="1"/>
      <c r="S850" s="1"/>
      <c r="T850" s="1"/>
      <c r="U850" s="1"/>
      <c r="V850" s="1"/>
      <c r="W850" s="1"/>
      <c r="X850" s="1"/>
      <c r="Y850" s="1"/>
      <c r="Z850" s="1"/>
    </row>
    <row r="851" customFormat="false" ht="15.75" hidden="false" customHeight="true" outlineLevel="0" collapsed="false">
      <c r="L851" s="1"/>
      <c r="M851" s="1"/>
      <c r="N851" s="1"/>
      <c r="O851" s="1"/>
      <c r="P851" s="1"/>
      <c r="Q851" s="1"/>
      <c r="R851" s="1"/>
      <c r="S851" s="1"/>
      <c r="T851" s="1"/>
      <c r="U851" s="1"/>
      <c r="V851" s="1"/>
      <c r="W851" s="1"/>
      <c r="X851" s="1"/>
      <c r="Y851" s="1"/>
      <c r="Z851" s="1"/>
    </row>
    <row r="852" customFormat="false" ht="15.75" hidden="false" customHeight="true" outlineLevel="0" collapsed="false">
      <c r="L852" s="1"/>
      <c r="M852" s="1"/>
      <c r="N852" s="1"/>
      <c r="O852" s="1"/>
      <c r="P852" s="1"/>
      <c r="Q852" s="1"/>
      <c r="R852" s="1"/>
      <c r="S852" s="1"/>
      <c r="T852" s="1"/>
      <c r="U852" s="1"/>
      <c r="V852" s="1"/>
      <c r="W852" s="1"/>
      <c r="X852" s="1"/>
      <c r="Y852" s="1"/>
      <c r="Z852" s="1"/>
    </row>
    <row r="853" customFormat="false" ht="15.75" hidden="false" customHeight="true" outlineLevel="0" collapsed="false">
      <c r="L853" s="1"/>
      <c r="M853" s="1"/>
      <c r="N853" s="1"/>
      <c r="O853" s="1"/>
      <c r="P853" s="1"/>
      <c r="Q853" s="1"/>
      <c r="R853" s="1"/>
      <c r="S853" s="1"/>
      <c r="T853" s="1"/>
      <c r="U853" s="1"/>
      <c r="V853" s="1"/>
      <c r="W853" s="1"/>
      <c r="X853" s="1"/>
      <c r="Y853" s="1"/>
      <c r="Z853" s="1"/>
    </row>
    <row r="854" customFormat="false" ht="15.75" hidden="false" customHeight="true" outlineLevel="0" collapsed="false">
      <c r="L854" s="1"/>
      <c r="M854" s="1"/>
      <c r="N854" s="1"/>
      <c r="O854" s="1"/>
      <c r="P854" s="1"/>
      <c r="Q854" s="1"/>
      <c r="R854" s="1"/>
      <c r="S854" s="1"/>
      <c r="T854" s="1"/>
      <c r="U854" s="1"/>
      <c r="V854" s="1"/>
      <c r="W854" s="1"/>
      <c r="X854" s="1"/>
      <c r="Y854" s="1"/>
      <c r="Z854" s="1"/>
    </row>
    <row r="855" customFormat="false" ht="15.75" hidden="false" customHeight="true" outlineLevel="0" collapsed="false">
      <c r="L855" s="1"/>
      <c r="M855" s="1"/>
      <c r="N855" s="1"/>
      <c r="O855" s="1"/>
      <c r="P855" s="1"/>
      <c r="Q855" s="1"/>
      <c r="R855" s="1"/>
      <c r="S855" s="1"/>
      <c r="T855" s="1"/>
      <c r="U855" s="1"/>
      <c r="V855" s="1"/>
      <c r="W855" s="1"/>
      <c r="X855" s="1"/>
      <c r="Y855" s="1"/>
      <c r="Z855" s="1"/>
    </row>
    <row r="856" customFormat="false" ht="15.75" hidden="false" customHeight="true" outlineLevel="0" collapsed="false">
      <c r="L856" s="1"/>
      <c r="M856" s="1"/>
      <c r="N856" s="1"/>
      <c r="O856" s="1"/>
      <c r="P856" s="1"/>
      <c r="Q856" s="1"/>
      <c r="R856" s="1"/>
      <c r="S856" s="1"/>
      <c r="T856" s="1"/>
      <c r="U856" s="1"/>
      <c r="V856" s="1"/>
      <c r="W856" s="1"/>
      <c r="X856" s="1"/>
      <c r="Y856" s="1"/>
      <c r="Z856" s="1"/>
    </row>
    <row r="857" customFormat="false" ht="15.75" hidden="false" customHeight="true" outlineLevel="0" collapsed="false">
      <c r="L857" s="1"/>
      <c r="M857" s="1"/>
      <c r="N857" s="1"/>
      <c r="O857" s="1"/>
      <c r="P857" s="1"/>
      <c r="Q857" s="1"/>
      <c r="R857" s="1"/>
      <c r="S857" s="1"/>
      <c r="T857" s="1"/>
      <c r="U857" s="1"/>
      <c r="V857" s="1"/>
      <c r="W857" s="1"/>
      <c r="X857" s="1"/>
      <c r="Y857" s="1"/>
      <c r="Z857" s="1"/>
    </row>
    <row r="858" customFormat="false" ht="15.75" hidden="false" customHeight="true" outlineLevel="0" collapsed="false">
      <c r="L858" s="1"/>
      <c r="M858" s="1"/>
      <c r="N858" s="1"/>
      <c r="O858" s="1"/>
      <c r="P858" s="1"/>
      <c r="Q858" s="1"/>
      <c r="R858" s="1"/>
      <c r="S858" s="1"/>
      <c r="T858" s="1"/>
      <c r="U858" s="1"/>
      <c r="V858" s="1"/>
      <c r="W858" s="1"/>
      <c r="X858" s="1"/>
      <c r="Y858" s="1"/>
      <c r="Z858" s="1"/>
    </row>
    <row r="859" customFormat="false" ht="15.75" hidden="false" customHeight="true" outlineLevel="0" collapsed="false">
      <c r="L859" s="1"/>
      <c r="M859" s="1"/>
      <c r="N859" s="1"/>
      <c r="O859" s="1"/>
      <c r="P859" s="1"/>
      <c r="Q859" s="1"/>
      <c r="R859" s="1"/>
      <c r="S859" s="1"/>
      <c r="T859" s="1"/>
      <c r="U859" s="1"/>
      <c r="V859" s="1"/>
      <c r="W859" s="1"/>
      <c r="X859" s="1"/>
      <c r="Y859" s="1"/>
      <c r="Z859" s="1"/>
    </row>
    <row r="860" customFormat="false" ht="15.75" hidden="false" customHeight="true" outlineLevel="0" collapsed="false">
      <c r="L860" s="1"/>
      <c r="M860" s="1"/>
      <c r="N860" s="1"/>
      <c r="O860" s="1"/>
      <c r="P860" s="1"/>
      <c r="Q860" s="1"/>
      <c r="R860" s="1"/>
      <c r="S860" s="1"/>
      <c r="T860" s="1"/>
      <c r="U860" s="1"/>
      <c r="V860" s="1"/>
      <c r="W860" s="1"/>
      <c r="X860" s="1"/>
      <c r="Y860" s="1"/>
      <c r="Z860" s="1"/>
    </row>
    <row r="861" customFormat="false" ht="15.75" hidden="false" customHeight="true" outlineLevel="0" collapsed="false">
      <c r="L861" s="1"/>
      <c r="M861" s="1"/>
      <c r="N861" s="1"/>
      <c r="O861" s="1"/>
      <c r="P861" s="1"/>
      <c r="Q861" s="1"/>
      <c r="R861" s="1"/>
      <c r="S861" s="1"/>
      <c r="T861" s="1"/>
      <c r="U861" s="1"/>
      <c r="V861" s="1"/>
      <c r="W861" s="1"/>
      <c r="X861" s="1"/>
      <c r="Y861" s="1"/>
      <c r="Z861" s="1"/>
    </row>
    <row r="862" customFormat="false" ht="15.75" hidden="false" customHeight="true" outlineLevel="0" collapsed="false">
      <c r="L862" s="1"/>
      <c r="M862" s="1"/>
      <c r="N862" s="1"/>
      <c r="O862" s="1"/>
      <c r="P862" s="1"/>
      <c r="Q862" s="1"/>
      <c r="R862" s="1"/>
      <c r="S862" s="1"/>
      <c r="T862" s="1"/>
      <c r="U862" s="1"/>
      <c r="V862" s="1"/>
      <c r="W862" s="1"/>
      <c r="X862" s="1"/>
      <c r="Y862" s="1"/>
      <c r="Z862" s="1"/>
    </row>
    <row r="863" customFormat="false" ht="15.75" hidden="false" customHeight="true" outlineLevel="0" collapsed="false">
      <c r="L863" s="1"/>
      <c r="M863" s="1"/>
      <c r="N863" s="1"/>
      <c r="O863" s="1"/>
      <c r="P863" s="1"/>
      <c r="Q863" s="1"/>
      <c r="R863" s="1"/>
      <c r="S863" s="1"/>
      <c r="T863" s="1"/>
      <c r="U863" s="1"/>
      <c r="V863" s="1"/>
      <c r="W863" s="1"/>
      <c r="X863" s="1"/>
      <c r="Y863" s="1"/>
      <c r="Z863" s="1"/>
    </row>
    <row r="864" customFormat="false" ht="15.75" hidden="false" customHeight="true" outlineLevel="0" collapsed="false">
      <c r="L864" s="1"/>
      <c r="M864" s="1"/>
      <c r="N864" s="1"/>
      <c r="O864" s="1"/>
      <c r="P864" s="1"/>
      <c r="Q864" s="1"/>
      <c r="R864" s="1"/>
      <c r="S864" s="1"/>
      <c r="T864" s="1"/>
      <c r="U864" s="1"/>
      <c r="V864" s="1"/>
      <c r="W864" s="1"/>
      <c r="X864" s="1"/>
      <c r="Y864" s="1"/>
      <c r="Z864" s="1"/>
    </row>
    <row r="865" customFormat="false" ht="15.75" hidden="false" customHeight="true" outlineLevel="0" collapsed="false">
      <c r="L865" s="1"/>
      <c r="M865" s="1"/>
      <c r="N865" s="1"/>
      <c r="O865" s="1"/>
      <c r="P865" s="1"/>
      <c r="Q865" s="1"/>
      <c r="R865" s="1"/>
      <c r="S865" s="1"/>
      <c r="T865" s="1"/>
      <c r="U865" s="1"/>
      <c r="V865" s="1"/>
      <c r="W865" s="1"/>
      <c r="X865" s="1"/>
      <c r="Y865" s="1"/>
      <c r="Z865" s="1"/>
    </row>
    <row r="866" customFormat="false" ht="15.75" hidden="false" customHeight="true" outlineLevel="0" collapsed="false">
      <c r="L866" s="1"/>
      <c r="M866" s="1"/>
      <c r="N866" s="1"/>
      <c r="O866" s="1"/>
      <c r="P866" s="1"/>
      <c r="Q866" s="1"/>
      <c r="R866" s="1"/>
      <c r="S866" s="1"/>
      <c r="T866" s="1"/>
      <c r="U866" s="1"/>
      <c r="V866" s="1"/>
      <c r="W866" s="1"/>
      <c r="X866" s="1"/>
      <c r="Y866" s="1"/>
      <c r="Z866" s="1"/>
    </row>
    <row r="867" customFormat="false" ht="15.75" hidden="false" customHeight="true" outlineLevel="0" collapsed="false">
      <c r="L867" s="1"/>
      <c r="M867" s="1"/>
      <c r="N867" s="1"/>
      <c r="O867" s="1"/>
      <c r="P867" s="1"/>
      <c r="Q867" s="1"/>
      <c r="R867" s="1"/>
      <c r="S867" s="1"/>
      <c r="T867" s="1"/>
      <c r="U867" s="1"/>
      <c r="V867" s="1"/>
      <c r="W867" s="1"/>
      <c r="X867" s="1"/>
      <c r="Y867" s="1"/>
      <c r="Z867" s="1"/>
    </row>
    <row r="868" customFormat="false" ht="15.75" hidden="false" customHeight="true" outlineLevel="0" collapsed="false">
      <c r="L868" s="1"/>
      <c r="M868" s="1"/>
      <c r="N868" s="1"/>
      <c r="O868" s="1"/>
      <c r="P868" s="1"/>
      <c r="Q868" s="1"/>
      <c r="R868" s="1"/>
      <c r="S868" s="1"/>
      <c r="T868" s="1"/>
      <c r="U868" s="1"/>
      <c r="V868" s="1"/>
      <c r="W868" s="1"/>
      <c r="X868" s="1"/>
      <c r="Y868" s="1"/>
      <c r="Z868" s="1"/>
    </row>
    <row r="869" customFormat="false" ht="15.75" hidden="false" customHeight="true" outlineLevel="0" collapsed="false">
      <c r="L869" s="1"/>
      <c r="M869" s="1"/>
      <c r="N869" s="1"/>
      <c r="O869" s="1"/>
      <c r="P869" s="1"/>
      <c r="Q869" s="1"/>
      <c r="R869" s="1"/>
      <c r="S869" s="1"/>
      <c r="T869" s="1"/>
      <c r="U869" s="1"/>
      <c r="V869" s="1"/>
      <c r="W869" s="1"/>
      <c r="X869" s="1"/>
      <c r="Y869" s="1"/>
      <c r="Z869" s="1"/>
    </row>
    <row r="870" customFormat="false" ht="15.75" hidden="false" customHeight="true" outlineLevel="0" collapsed="false">
      <c r="L870" s="1"/>
      <c r="M870" s="1"/>
      <c r="N870" s="1"/>
      <c r="O870" s="1"/>
      <c r="P870" s="1"/>
      <c r="Q870" s="1"/>
      <c r="R870" s="1"/>
      <c r="S870" s="1"/>
      <c r="T870" s="1"/>
      <c r="U870" s="1"/>
      <c r="V870" s="1"/>
      <c r="W870" s="1"/>
      <c r="X870" s="1"/>
      <c r="Y870" s="1"/>
      <c r="Z870" s="1"/>
    </row>
    <row r="871" customFormat="false" ht="15.75" hidden="false" customHeight="true" outlineLevel="0" collapsed="false">
      <c r="L871" s="1"/>
      <c r="M871" s="1"/>
      <c r="N871" s="1"/>
      <c r="O871" s="1"/>
      <c r="P871" s="1"/>
      <c r="Q871" s="1"/>
      <c r="R871" s="1"/>
      <c r="S871" s="1"/>
      <c r="T871" s="1"/>
      <c r="U871" s="1"/>
      <c r="V871" s="1"/>
      <c r="W871" s="1"/>
      <c r="X871" s="1"/>
      <c r="Y871" s="1"/>
      <c r="Z871" s="1"/>
    </row>
    <row r="872" customFormat="false" ht="15.75" hidden="false" customHeight="true" outlineLevel="0" collapsed="false">
      <c r="L872" s="1"/>
      <c r="M872" s="1"/>
      <c r="N872" s="1"/>
      <c r="O872" s="1"/>
      <c r="P872" s="1"/>
      <c r="Q872" s="1"/>
      <c r="R872" s="1"/>
      <c r="S872" s="1"/>
      <c r="T872" s="1"/>
      <c r="U872" s="1"/>
      <c r="V872" s="1"/>
      <c r="W872" s="1"/>
      <c r="X872" s="1"/>
      <c r="Y872" s="1"/>
      <c r="Z872" s="1"/>
    </row>
    <row r="873" customFormat="false" ht="15.75" hidden="false" customHeight="true" outlineLevel="0" collapsed="false">
      <c r="L873" s="1"/>
      <c r="M873" s="1"/>
      <c r="N873" s="1"/>
      <c r="O873" s="1"/>
      <c r="P873" s="1"/>
      <c r="Q873" s="1"/>
      <c r="R873" s="1"/>
      <c r="S873" s="1"/>
      <c r="T873" s="1"/>
      <c r="U873" s="1"/>
      <c r="V873" s="1"/>
      <c r="W873" s="1"/>
      <c r="X873" s="1"/>
      <c r="Y873" s="1"/>
      <c r="Z873" s="1"/>
    </row>
    <row r="874" customFormat="false" ht="15.75" hidden="false" customHeight="true" outlineLevel="0" collapsed="false">
      <c r="L874" s="1"/>
      <c r="M874" s="1"/>
      <c r="N874" s="1"/>
      <c r="O874" s="1"/>
      <c r="P874" s="1"/>
      <c r="Q874" s="1"/>
      <c r="R874" s="1"/>
      <c r="S874" s="1"/>
      <c r="T874" s="1"/>
      <c r="U874" s="1"/>
      <c r="V874" s="1"/>
      <c r="W874" s="1"/>
      <c r="X874" s="1"/>
      <c r="Y874" s="1"/>
      <c r="Z874" s="1"/>
    </row>
    <row r="875" customFormat="false" ht="15.75" hidden="false" customHeight="true" outlineLevel="0" collapsed="false">
      <c r="L875" s="1"/>
      <c r="M875" s="1"/>
      <c r="N875" s="1"/>
      <c r="O875" s="1"/>
      <c r="P875" s="1"/>
      <c r="Q875" s="1"/>
      <c r="R875" s="1"/>
      <c r="S875" s="1"/>
      <c r="T875" s="1"/>
      <c r="U875" s="1"/>
      <c r="V875" s="1"/>
      <c r="W875" s="1"/>
      <c r="X875" s="1"/>
      <c r="Y875" s="1"/>
      <c r="Z875" s="1"/>
    </row>
    <row r="876" customFormat="false" ht="15.75" hidden="false" customHeight="true" outlineLevel="0" collapsed="false">
      <c r="L876" s="1"/>
      <c r="M876" s="1"/>
      <c r="N876" s="1"/>
      <c r="O876" s="1"/>
      <c r="P876" s="1"/>
      <c r="Q876" s="1"/>
      <c r="R876" s="1"/>
      <c r="S876" s="1"/>
      <c r="T876" s="1"/>
      <c r="U876" s="1"/>
      <c r="V876" s="1"/>
      <c r="W876" s="1"/>
      <c r="X876" s="1"/>
      <c r="Y876" s="1"/>
      <c r="Z876" s="1"/>
    </row>
    <row r="877" customFormat="false" ht="15.75" hidden="false" customHeight="true" outlineLevel="0" collapsed="false">
      <c r="L877" s="1"/>
      <c r="M877" s="1"/>
      <c r="N877" s="1"/>
      <c r="O877" s="1"/>
      <c r="P877" s="1"/>
      <c r="Q877" s="1"/>
      <c r="R877" s="1"/>
      <c r="S877" s="1"/>
      <c r="T877" s="1"/>
      <c r="U877" s="1"/>
      <c r="V877" s="1"/>
      <c r="W877" s="1"/>
      <c r="X877" s="1"/>
      <c r="Y877" s="1"/>
      <c r="Z877" s="1"/>
    </row>
    <row r="878" customFormat="false" ht="15.75" hidden="false" customHeight="true" outlineLevel="0" collapsed="false">
      <c r="L878" s="1"/>
      <c r="M878" s="1"/>
      <c r="N878" s="1"/>
      <c r="O878" s="1"/>
      <c r="P878" s="1"/>
      <c r="Q878" s="1"/>
      <c r="R878" s="1"/>
      <c r="S878" s="1"/>
      <c r="T878" s="1"/>
      <c r="U878" s="1"/>
      <c r="V878" s="1"/>
      <c r="W878" s="1"/>
      <c r="X878" s="1"/>
      <c r="Y878" s="1"/>
      <c r="Z878" s="1"/>
    </row>
    <row r="879" customFormat="false" ht="15.75" hidden="false" customHeight="true" outlineLevel="0" collapsed="false">
      <c r="L879" s="1"/>
      <c r="M879" s="1"/>
      <c r="N879" s="1"/>
      <c r="O879" s="1"/>
      <c r="P879" s="1"/>
      <c r="Q879" s="1"/>
      <c r="R879" s="1"/>
      <c r="S879" s="1"/>
      <c r="T879" s="1"/>
      <c r="U879" s="1"/>
      <c r="V879" s="1"/>
      <c r="W879" s="1"/>
      <c r="X879" s="1"/>
      <c r="Y879" s="1"/>
      <c r="Z879" s="1"/>
    </row>
    <row r="880" customFormat="false" ht="15.75" hidden="false" customHeight="true" outlineLevel="0" collapsed="false">
      <c r="L880" s="1"/>
      <c r="M880" s="1"/>
      <c r="N880" s="1"/>
      <c r="O880" s="1"/>
      <c r="P880" s="1"/>
      <c r="Q880" s="1"/>
      <c r="R880" s="1"/>
      <c r="S880" s="1"/>
      <c r="T880" s="1"/>
      <c r="U880" s="1"/>
      <c r="V880" s="1"/>
      <c r="W880" s="1"/>
      <c r="X880" s="1"/>
      <c r="Y880" s="1"/>
      <c r="Z880" s="1"/>
    </row>
    <row r="881" customFormat="false" ht="15.75" hidden="false" customHeight="true" outlineLevel="0" collapsed="false">
      <c r="L881" s="1"/>
      <c r="M881" s="1"/>
      <c r="N881" s="1"/>
      <c r="O881" s="1"/>
      <c r="P881" s="1"/>
      <c r="Q881" s="1"/>
      <c r="R881" s="1"/>
      <c r="S881" s="1"/>
      <c r="T881" s="1"/>
      <c r="U881" s="1"/>
      <c r="V881" s="1"/>
      <c r="W881" s="1"/>
      <c r="X881" s="1"/>
      <c r="Y881" s="1"/>
      <c r="Z881" s="1"/>
    </row>
    <row r="882" customFormat="false" ht="15.75" hidden="false" customHeight="true" outlineLevel="0" collapsed="false">
      <c r="L882" s="1"/>
      <c r="M882" s="1"/>
      <c r="N882" s="1"/>
      <c r="O882" s="1"/>
      <c r="P882" s="1"/>
      <c r="Q882" s="1"/>
      <c r="R882" s="1"/>
      <c r="S882" s="1"/>
      <c r="T882" s="1"/>
      <c r="U882" s="1"/>
      <c r="V882" s="1"/>
      <c r="W882" s="1"/>
      <c r="X882" s="1"/>
      <c r="Y882" s="1"/>
      <c r="Z882" s="1"/>
    </row>
    <row r="883" customFormat="false" ht="15.75" hidden="false" customHeight="true" outlineLevel="0" collapsed="false">
      <c r="L883" s="1"/>
      <c r="M883" s="1"/>
      <c r="N883" s="1"/>
      <c r="O883" s="1"/>
      <c r="P883" s="1"/>
      <c r="Q883" s="1"/>
      <c r="R883" s="1"/>
      <c r="S883" s="1"/>
      <c r="T883" s="1"/>
      <c r="U883" s="1"/>
      <c r="V883" s="1"/>
      <c r="W883" s="1"/>
      <c r="X883" s="1"/>
      <c r="Y883" s="1"/>
      <c r="Z883" s="1"/>
    </row>
    <row r="884" customFormat="false" ht="15.75" hidden="false" customHeight="true" outlineLevel="0" collapsed="false">
      <c r="L884" s="1"/>
      <c r="M884" s="1"/>
      <c r="N884" s="1"/>
      <c r="O884" s="1"/>
      <c r="P884" s="1"/>
      <c r="Q884" s="1"/>
      <c r="R884" s="1"/>
      <c r="S884" s="1"/>
      <c r="T884" s="1"/>
      <c r="U884" s="1"/>
      <c r="V884" s="1"/>
      <c r="W884" s="1"/>
      <c r="X884" s="1"/>
      <c r="Y884" s="1"/>
      <c r="Z884" s="1"/>
    </row>
    <row r="885" customFormat="false" ht="15.75" hidden="false" customHeight="true" outlineLevel="0" collapsed="false">
      <c r="L885" s="1"/>
      <c r="M885" s="1"/>
      <c r="N885" s="1"/>
      <c r="O885" s="1"/>
      <c r="P885" s="1"/>
      <c r="Q885" s="1"/>
      <c r="R885" s="1"/>
      <c r="S885" s="1"/>
      <c r="T885" s="1"/>
      <c r="U885" s="1"/>
      <c r="V885" s="1"/>
      <c r="W885" s="1"/>
      <c r="X885" s="1"/>
      <c r="Y885" s="1"/>
      <c r="Z885" s="1"/>
    </row>
    <row r="886" customFormat="false" ht="15.75" hidden="false" customHeight="true" outlineLevel="0" collapsed="false">
      <c r="L886" s="1"/>
      <c r="M886" s="1"/>
      <c r="N886" s="1"/>
      <c r="O886" s="1"/>
      <c r="P886" s="1"/>
      <c r="Q886" s="1"/>
      <c r="R886" s="1"/>
      <c r="S886" s="1"/>
      <c r="T886" s="1"/>
      <c r="U886" s="1"/>
      <c r="V886" s="1"/>
      <c r="W886" s="1"/>
      <c r="X886" s="1"/>
      <c r="Y886" s="1"/>
      <c r="Z886" s="1"/>
    </row>
    <row r="887" customFormat="false" ht="15.75" hidden="false" customHeight="true" outlineLevel="0" collapsed="false">
      <c r="L887" s="1"/>
      <c r="M887" s="1"/>
      <c r="N887" s="1"/>
      <c r="O887" s="1"/>
      <c r="P887" s="1"/>
      <c r="Q887" s="1"/>
      <c r="R887" s="1"/>
      <c r="S887" s="1"/>
      <c r="T887" s="1"/>
      <c r="U887" s="1"/>
      <c r="V887" s="1"/>
      <c r="W887" s="1"/>
      <c r="X887" s="1"/>
      <c r="Y887" s="1"/>
      <c r="Z887" s="1"/>
    </row>
    <row r="888" customFormat="false" ht="15.75" hidden="false" customHeight="true" outlineLevel="0" collapsed="false">
      <c r="L888" s="1"/>
      <c r="M888" s="1"/>
      <c r="N888" s="1"/>
      <c r="O888" s="1"/>
      <c r="P888" s="1"/>
      <c r="Q888" s="1"/>
      <c r="R888" s="1"/>
      <c r="S888" s="1"/>
      <c r="T888" s="1"/>
      <c r="U888" s="1"/>
      <c r="V888" s="1"/>
      <c r="W888" s="1"/>
      <c r="X888" s="1"/>
      <c r="Y888" s="1"/>
      <c r="Z888" s="1"/>
    </row>
    <row r="889" customFormat="false" ht="15.75" hidden="false" customHeight="true" outlineLevel="0" collapsed="false">
      <c r="L889" s="1"/>
      <c r="M889" s="1"/>
      <c r="N889" s="1"/>
      <c r="O889" s="1"/>
      <c r="P889" s="1"/>
      <c r="Q889" s="1"/>
      <c r="R889" s="1"/>
      <c r="S889" s="1"/>
      <c r="T889" s="1"/>
      <c r="U889" s="1"/>
      <c r="V889" s="1"/>
      <c r="W889" s="1"/>
      <c r="X889" s="1"/>
      <c r="Y889" s="1"/>
      <c r="Z889" s="1"/>
    </row>
    <row r="890" customFormat="false" ht="15.75" hidden="false" customHeight="true" outlineLevel="0" collapsed="false">
      <c r="L890" s="1"/>
      <c r="M890" s="1"/>
      <c r="N890" s="1"/>
      <c r="O890" s="1"/>
      <c r="P890" s="1"/>
      <c r="Q890" s="1"/>
      <c r="R890" s="1"/>
      <c r="S890" s="1"/>
      <c r="T890" s="1"/>
      <c r="U890" s="1"/>
      <c r="V890" s="1"/>
      <c r="W890" s="1"/>
      <c r="X890" s="1"/>
      <c r="Y890" s="1"/>
      <c r="Z890" s="1"/>
    </row>
    <row r="891" customFormat="false" ht="15.75" hidden="false" customHeight="true" outlineLevel="0" collapsed="false">
      <c r="L891" s="1"/>
      <c r="M891" s="1"/>
      <c r="N891" s="1"/>
      <c r="O891" s="1"/>
      <c r="P891" s="1"/>
      <c r="Q891" s="1"/>
      <c r="R891" s="1"/>
      <c r="S891" s="1"/>
      <c r="T891" s="1"/>
      <c r="U891" s="1"/>
      <c r="V891" s="1"/>
      <c r="W891" s="1"/>
      <c r="X891" s="1"/>
      <c r="Y891" s="1"/>
      <c r="Z891" s="1"/>
    </row>
    <row r="892" customFormat="false" ht="15.75" hidden="false" customHeight="true" outlineLevel="0" collapsed="false">
      <c r="L892" s="1"/>
      <c r="M892" s="1"/>
      <c r="N892" s="1"/>
      <c r="O892" s="1"/>
      <c r="P892" s="1"/>
      <c r="Q892" s="1"/>
      <c r="R892" s="1"/>
      <c r="S892" s="1"/>
      <c r="T892" s="1"/>
      <c r="U892" s="1"/>
      <c r="V892" s="1"/>
      <c r="W892" s="1"/>
      <c r="X892" s="1"/>
      <c r="Y892" s="1"/>
      <c r="Z892" s="1"/>
    </row>
    <row r="893" customFormat="false" ht="15.75" hidden="false" customHeight="true" outlineLevel="0" collapsed="false">
      <c r="L893" s="1"/>
      <c r="M893" s="1"/>
      <c r="N893" s="1"/>
      <c r="O893" s="1"/>
      <c r="P893" s="1"/>
      <c r="Q893" s="1"/>
      <c r="R893" s="1"/>
      <c r="S893" s="1"/>
      <c r="T893" s="1"/>
      <c r="U893" s="1"/>
      <c r="V893" s="1"/>
      <c r="W893" s="1"/>
      <c r="X893" s="1"/>
      <c r="Y893" s="1"/>
      <c r="Z893" s="1"/>
    </row>
    <row r="894" customFormat="false" ht="15.75" hidden="false" customHeight="true" outlineLevel="0" collapsed="false">
      <c r="L894" s="1"/>
      <c r="M894" s="1"/>
      <c r="N894" s="1"/>
      <c r="O894" s="1"/>
      <c r="P894" s="1"/>
      <c r="Q894" s="1"/>
      <c r="R894" s="1"/>
      <c r="S894" s="1"/>
      <c r="T894" s="1"/>
      <c r="U894" s="1"/>
      <c r="V894" s="1"/>
      <c r="W894" s="1"/>
      <c r="X894" s="1"/>
      <c r="Y894" s="1"/>
      <c r="Z894" s="1"/>
    </row>
    <row r="895" customFormat="false" ht="15.75" hidden="false" customHeight="true" outlineLevel="0" collapsed="false">
      <c r="L895" s="1"/>
      <c r="M895" s="1"/>
      <c r="N895" s="1"/>
      <c r="O895" s="1"/>
      <c r="P895" s="1"/>
      <c r="Q895" s="1"/>
      <c r="R895" s="1"/>
      <c r="S895" s="1"/>
      <c r="T895" s="1"/>
      <c r="U895" s="1"/>
      <c r="V895" s="1"/>
      <c r="W895" s="1"/>
      <c r="X895" s="1"/>
      <c r="Y895" s="1"/>
      <c r="Z895" s="1"/>
    </row>
    <row r="896" customFormat="false" ht="15.75" hidden="false" customHeight="true" outlineLevel="0" collapsed="false">
      <c r="L896" s="1"/>
      <c r="M896" s="1"/>
      <c r="N896" s="1"/>
      <c r="O896" s="1"/>
      <c r="P896" s="1"/>
      <c r="Q896" s="1"/>
      <c r="R896" s="1"/>
      <c r="S896" s="1"/>
      <c r="T896" s="1"/>
      <c r="U896" s="1"/>
      <c r="V896" s="1"/>
      <c r="W896" s="1"/>
      <c r="X896" s="1"/>
      <c r="Y896" s="1"/>
      <c r="Z896" s="1"/>
    </row>
    <row r="897" customFormat="false" ht="15.75" hidden="false" customHeight="true" outlineLevel="0" collapsed="false">
      <c r="L897" s="1"/>
      <c r="M897" s="1"/>
      <c r="N897" s="1"/>
      <c r="O897" s="1"/>
      <c r="P897" s="1"/>
      <c r="Q897" s="1"/>
      <c r="R897" s="1"/>
      <c r="S897" s="1"/>
      <c r="T897" s="1"/>
      <c r="U897" s="1"/>
      <c r="V897" s="1"/>
      <c r="W897" s="1"/>
      <c r="X897" s="1"/>
      <c r="Y897" s="1"/>
      <c r="Z897" s="1"/>
    </row>
    <row r="898" customFormat="false" ht="15.75" hidden="false" customHeight="true" outlineLevel="0" collapsed="false">
      <c r="L898" s="1"/>
      <c r="M898" s="1"/>
      <c r="N898" s="1"/>
      <c r="O898" s="1"/>
      <c r="P898" s="1"/>
      <c r="Q898" s="1"/>
      <c r="R898" s="1"/>
      <c r="S898" s="1"/>
      <c r="T898" s="1"/>
      <c r="U898" s="1"/>
      <c r="V898" s="1"/>
      <c r="W898" s="1"/>
      <c r="X898" s="1"/>
      <c r="Y898" s="1"/>
      <c r="Z898" s="1"/>
    </row>
    <row r="899" customFormat="false" ht="15.75" hidden="false" customHeight="true" outlineLevel="0" collapsed="false">
      <c r="L899" s="1"/>
      <c r="M899" s="1"/>
      <c r="N899" s="1"/>
      <c r="O899" s="1"/>
      <c r="P899" s="1"/>
      <c r="Q899" s="1"/>
      <c r="R899" s="1"/>
      <c r="S899" s="1"/>
      <c r="T899" s="1"/>
      <c r="U899" s="1"/>
      <c r="V899" s="1"/>
      <c r="W899" s="1"/>
      <c r="X899" s="1"/>
      <c r="Y899" s="1"/>
      <c r="Z899" s="1"/>
    </row>
    <row r="900" customFormat="false" ht="15.75" hidden="false" customHeight="true" outlineLevel="0" collapsed="false">
      <c r="L900" s="1"/>
      <c r="M900" s="1"/>
      <c r="N900" s="1"/>
      <c r="O900" s="1"/>
      <c r="P900" s="1"/>
      <c r="Q900" s="1"/>
      <c r="R900" s="1"/>
      <c r="S900" s="1"/>
      <c r="T900" s="1"/>
      <c r="U900" s="1"/>
      <c r="V900" s="1"/>
      <c r="W900" s="1"/>
      <c r="X900" s="1"/>
      <c r="Y900" s="1"/>
      <c r="Z900" s="1"/>
    </row>
    <row r="901" customFormat="false" ht="15.75" hidden="false" customHeight="true" outlineLevel="0" collapsed="false">
      <c r="L901" s="1"/>
      <c r="M901" s="1"/>
      <c r="N901" s="1"/>
      <c r="O901" s="1"/>
      <c r="P901" s="1"/>
      <c r="Q901" s="1"/>
      <c r="R901" s="1"/>
      <c r="S901" s="1"/>
      <c r="T901" s="1"/>
      <c r="U901" s="1"/>
      <c r="V901" s="1"/>
      <c r="W901" s="1"/>
      <c r="X901" s="1"/>
      <c r="Y901" s="1"/>
      <c r="Z901" s="1"/>
    </row>
    <row r="902" customFormat="false" ht="15.75" hidden="false" customHeight="true" outlineLevel="0" collapsed="false">
      <c r="L902" s="1"/>
      <c r="M902" s="1"/>
      <c r="N902" s="1"/>
      <c r="O902" s="1"/>
      <c r="P902" s="1"/>
      <c r="Q902" s="1"/>
      <c r="R902" s="1"/>
      <c r="S902" s="1"/>
      <c r="T902" s="1"/>
      <c r="U902" s="1"/>
      <c r="V902" s="1"/>
      <c r="W902" s="1"/>
      <c r="X902" s="1"/>
      <c r="Y902" s="1"/>
      <c r="Z902" s="1"/>
    </row>
    <row r="903" customFormat="false" ht="15.75" hidden="false" customHeight="true" outlineLevel="0" collapsed="false">
      <c r="L903" s="1"/>
      <c r="M903" s="1"/>
      <c r="N903" s="1"/>
      <c r="O903" s="1"/>
      <c r="P903" s="1"/>
      <c r="Q903" s="1"/>
      <c r="R903" s="1"/>
      <c r="S903" s="1"/>
      <c r="T903" s="1"/>
      <c r="U903" s="1"/>
      <c r="V903" s="1"/>
      <c r="W903" s="1"/>
      <c r="X903" s="1"/>
      <c r="Y903" s="1"/>
      <c r="Z903" s="1"/>
    </row>
    <row r="904" customFormat="false" ht="15.75" hidden="false" customHeight="true" outlineLevel="0" collapsed="false">
      <c r="L904" s="1"/>
      <c r="M904" s="1"/>
      <c r="N904" s="1"/>
      <c r="O904" s="1"/>
      <c r="P904" s="1"/>
      <c r="Q904" s="1"/>
      <c r="R904" s="1"/>
      <c r="S904" s="1"/>
      <c r="T904" s="1"/>
      <c r="U904" s="1"/>
      <c r="V904" s="1"/>
      <c r="W904" s="1"/>
      <c r="X904" s="1"/>
      <c r="Y904" s="1"/>
      <c r="Z904" s="1"/>
    </row>
    <row r="905" customFormat="false" ht="15.75" hidden="false" customHeight="true" outlineLevel="0" collapsed="false">
      <c r="L905" s="1"/>
      <c r="M905" s="1"/>
      <c r="N905" s="1"/>
      <c r="O905" s="1"/>
      <c r="P905" s="1"/>
      <c r="Q905" s="1"/>
      <c r="R905" s="1"/>
      <c r="S905" s="1"/>
      <c r="T905" s="1"/>
      <c r="U905" s="1"/>
      <c r="V905" s="1"/>
      <c r="W905" s="1"/>
      <c r="X905" s="1"/>
      <c r="Y905" s="1"/>
      <c r="Z905" s="1"/>
    </row>
    <row r="906" customFormat="false" ht="15.75" hidden="false" customHeight="true" outlineLevel="0" collapsed="false">
      <c r="L906" s="1"/>
      <c r="M906" s="1"/>
      <c r="N906" s="1"/>
      <c r="O906" s="1"/>
      <c r="P906" s="1"/>
      <c r="Q906" s="1"/>
      <c r="R906" s="1"/>
      <c r="S906" s="1"/>
      <c r="T906" s="1"/>
      <c r="U906" s="1"/>
      <c r="V906" s="1"/>
      <c r="W906" s="1"/>
      <c r="X906" s="1"/>
      <c r="Y906" s="1"/>
      <c r="Z906" s="1"/>
    </row>
    <row r="907" customFormat="false" ht="15.75" hidden="false" customHeight="true" outlineLevel="0" collapsed="false">
      <c r="L907" s="1"/>
      <c r="M907" s="1"/>
      <c r="N907" s="1"/>
      <c r="O907" s="1"/>
      <c r="P907" s="1"/>
      <c r="Q907" s="1"/>
      <c r="R907" s="1"/>
      <c r="S907" s="1"/>
      <c r="T907" s="1"/>
      <c r="U907" s="1"/>
      <c r="V907" s="1"/>
      <c r="W907" s="1"/>
      <c r="X907" s="1"/>
      <c r="Y907" s="1"/>
      <c r="Z907" s="1"/>
    </row>
    <row r="908" customFormat="false" ht="15.75" hidden="false" customHeight="true" outlineLevel="0" collapsed="false">
      <c r="L908" s="1"/>
      <c r="M908" s="1"/>
      <c r="N908" s="1"/>
      <c r="O908" s="1"/>
      <c r="P908" s="1"/>
      <c r="Q908" s="1"/>
      <c r="R908" s="1"/>
      <c r="S908" s="1"/>
      <c r="T908" s="1"/>
      <c r="U908" s="1"/>
      <c r="V908" s="1"/>
      <c r="W908" s="1"/>
      <c r="X908" s="1"/>
      <c r="Y908" s="1"/>
      <c r="Z908" s="1"/>
    </row>
    <row r="909" customFormat="false" ht="15.75" hidden="false" customHeight="true" outlineLevel="0" collapsed="false">
      <c r="L909" s="1"/>
      <c r="M909" s="1"/>
      <c r="N909" s="1"/>
      <c r="O909" s="1"/>
      <c r="P909" s="1"/>
      <c r="Q909" s="1"/>
      <c r="R909" s="1"/>
      <c r="S909" s="1"/>
      <c r="T909" s="1"/>
      <c r="U909" s="1"/>
      <c r="V909" s="1"/>
      <c r="W909" s="1"/>
      <c r="X909" s="1"/>
      <c r="Y909" s="1"/>
      <c r="Z909" s="1"/>
    </row>
    <row r="910" customFormat="false" ht="15.75" hidden="false" customHeight="true" outlineLevel="0" collapsed="false">
      <c r="L910" s="1"/>
      <c r="M910" s="1"/>
      <c r="N910" s="1"/>
      <c r="O910" s="1"/>
      <c r="P910" s="1"/>
      <c r="Q910" s="1"/>
      <c r="R910" s="1"/>
      <c r="S910" s="1"/>
      <c r="T910" s="1"/>
      <c r="U910" s="1"/>
      <c r="V910" s="1"/>
      <c r="W910" s="1"/>
      <c r="X910" s="1"/>
      <c r="Y910" s="1"/>
      <c r="Z910" s="1"/>
    </row>
    <row r="911" customFormat="false" ht="15.75" hidden="false" customHeight="true" outlineLevel="0" collapsed="false">
      <c r="L911" s="1"/>
      <c r="M911" s="1"/>
      <c r="N911" s="1"/>
      <c r="O911" s="1"/>
      <c r="P911" s="1"/>
      <c r="Q911" s="1"/>
      <c r="R911" s="1"/>
      <c r="S911" s="1"/>
      <c r="T911" s="1"/>
      <c r="U911" s="1"/>
      <c r="V911" s="1"/>
      <c r="W911" s="1"/>
      <c r="X911" s="1"/>
      <c r="Y911" s="1"/>
      <c r="Z911" s="1"/>
    </row>
    <row r="912" customFormat="false" ht="15.75" hidden="false" customHeight="true" outlineLevel="0" collapsed="false">
      <c r="L912" s="1"/>
      <c r="M912" s="1"/>
      <c r="N912" s="1"/>
      <c r="O912" s="1"/>
      <c r="P912" s="1"/>
      <c r="Q912" s="1"/>
      <c r="R912" s="1"/>
      <c r="S912" s="1"/>
      <c r="T912" s="1"/>
      <c r="U912" s="1"/>
      <c r="V912" s="1"/>
      <c r="W912" s="1"/>
      <c r="X912" s="1"/>
      <c r="Y912" s="1"/>
      <c r="Z912" s="1"/>
    </row>
    <row r="913" customFormat="false" ht="15.75" hidden="false" customHeight="true" outlineLevel="0" collapsed="false">
      <c r="L913" s="1"/>
      <c r="M913" s="1"/>
      <c r="N913" s="1"/>
      <c r="O913" s="1"/>
      <c r="P913" s="1"/>
      <c r="Q913" s="1"/>
      <c r="R913" s="1"/>
      <c r="S913" s="1"/>
      <c r="T913" s="1"/>
      <c r="U913" s="1"/>
      <c r="V913" s="1"/>
      <c r="W913" s="1"/>
      <c r="X913" s="1"/>
      <c r="Y913" s="1"/>
      <c r="Z913" s="1"/>
    </row>
    <row r="914" customFormat="false" ht="15.75" hidden="false" customHeight="true" outlineLevel="0" collapsed="false">
      <c r="L914" s="1"/>
      <c r="M914" s="1"/>
      <c r="N914" s="1"/>
      <c r="O914" s="1"/>
      <c r="P914" s="1"/>
      <c r="Q914" s="1"/>
      <c r="R914" s="1"/>
      <c r="S914" s="1"/>
      <c r="T914" s="1"/>
      <c r="U914" s="1"/>
      <c r="V914" s="1"/>
      <c r="W914" s="1"/>
      <c r="X914" s="1"/>
      <c r="Y914" s="1"/>
      <c r="Z914" s="1"/>
    </row>
    <row r="915" customFormat="false" ht="15.75" hidden="false" customHeight="true" outlineLevel="0" collapsed="false">
      <c r="L915" s="1"/>
      <c r="M915" s="1"/>
      <c r="N915" s="1"/>
      <c r="O915" s="1"/>
      <c r="P915" s="1"/>
      <c r="Q915" s="1"/>
      <c r="R915" s="1"/>
      <c r="S915" s="1"/>
      <c r="T915" s="1"/>
      <c r="U915" s="1"/>
      <c r="V915" s="1"/>
      <c r="W915" s="1"/>
      <c r="X915" s="1"/>
      <c r="Y915" s="1"/>
      <c r="Z915" s="1"/>
    </row>
    <row r="916" customFormat="false" ht="15.75" hidden="false" customHeight="true" outlineLevel="0" collapsed="false">
      <c r="L916" s="1"/>
      <c r="M916" s="1"/>
      <c r="N916" s="1"/>
      <c r="O916" s="1"/>
      <c r="P916" s="1"/>
      <c r="Q916" s="1"/>
      <c r="R916" s="1"/>
      <c r="S916" s="1"/>
      <c r="T916" s="1"/>
      <c r="U916" s="1"/>
      <c r="V916" s="1"/>
      <c r="W916" s="1"/>
      <c r="X916" s="1"/>
      <c r="Y916" s="1"/>
      <c r="Z916" s="1"/>
    </row>
    <row r="917" customFormat="false" ht="15.75" hidden="false" customHeight="true" outlineLevel="0" collapsed="false">
      <c r="L917" s="1"/>
      <c r="M917" s="1"/>
      <c r="N917" s="1"/>
      <c r="O917" s="1"/>
      <c r="P917" s="1"/>
      <c r="Q917" s="1"/>
      <c r="R917" s="1"/>
      <c r="S917" s="1"/>
      <c r="T917" s="1"/>
      <c r="U917" s="1"/>
      <c r="V917" s="1"/>
      <c r="W917" s="1"/>
      <c r="X917" s="1"/>
      <c r="Y917" s="1"/>
      <c r="Z917" s="1"/>
    </row>
    <row r="918" customFormat="false" ht="15.75" hidden="false" customHeight="true" outlineLevel="0" collapsed="false">
      <c r="L918" s="1"/>
      <c r="M918" s="1"/>
      <c r="N918" s="1"/>
      <c r="O918" s="1"/>
      <c r="P918" s="1"/>
      <c r="Q918" s="1"/>
      <c r="R918" s="1"/>
      <c r="S918" s="1"/>
      <c r="T918" s="1"/>
      <c r="U918" s="1"/>
      <c r="V918" s="1"/>
      <c r="W918" s="1"/>
      <c r="X918" s="1"/>
      <c r="Y918" s="1"/>
      <c r="Z918" s="1"/>
    </row>
    <row r="919" customFormat="false" ht="15.75" hidden="false" customHeight="true" outlineLevel="0" collapsed="false">
      <c r="L919" s="1"/>
      <c r="M919" s="1"/>
      <c r="N919" s="1"/>
      <c r="O919" s="1"/>
      <c r="P919" s="1"/>
      <c r="Q919" s="1"/>
      <c r="R919" s="1"/>
      <c r="S919" s="1"/>
      <c r="T919" s="1"/>
      <c r="U919" s="1"/>
      <c r="V919" s="1"/>
      <c r="W919" s="1"/>
      <c r="X919" s="1"/>
      <c r="Y919" s="1"/>
      <c r="Z919" s="1"/>
    </row>
    <row r="920" customFormat="false" ht="15.75" hidden="false" customHeight="true" outlineLevel="0" collapsed="false">
      <c r="L920" s="1"/>
      <c r="M920" s="1"/>
      <c r="N920" s="1"/>
      <c r="O920" s="1"/>
      <c r="P920" s="1"/>
      <c r="Q920" s="1"/>
      <c r="R920" s="1"/>
      <c r="S920" s="1"/>
      <c r="T920" s="1"/>
      <c r="U920" s="1"/>
      <c r="V920" s="1"/>
      <c r="W920" s="1"/>
      <c r="X920" s="1"/>
      <c r="Y920" s="1"/>
      <c r="Z920" s="1"/>
    </row>
    <row r="921" customFormat="false" ht="15.75" hidden="false" customHeight="true" outlineLevel="0" collapsed="false">
      <c r="L921" s="1"/>
      <c r="M921" s="1"/>
      <c r="N921" s="1"/>
      <c r="O921" s="1"/>
      <c r="P921" s="1"/>
      <c r="Q921" s="1"/>
      <c r="R921" s="1"/>
      <c r="S921" s="1"/>
      <c r="T921" s="1"/>
      <c r="U921" s="1"/>
      <c r="V921" s="1"/>
      <c r="W921" s="1"/>
      <c r="X921" s="1"/>
      <c r="Y921" s="1"/>
      <c r="Z921" s="1"/>
    </row>
    <row r="922" customFormat="false" ht="15.75" hidden="false" customHeight="true" outlineLevel="0" collapsed="false">
      <c r="L922" s="1"/>
      <c r="M922" s="1"/>
      <c r="N922" s="1"/>
      <c r="O922" s="1"/>
      <c r="P922" s="1"/>
      <c r="Q922" s="1"/>
      <c r="R922" s="1"/>
      <c r="S922" s="1"/>
      <c r="T922" s="1"/>
      <c r="U922" s="1"/>
      <c r="V922" s="1"/>
      <c r="W922" s="1"/>
      <c r="X922" s="1"/>
      <c r="Y922" s="1"/>
      <c r="Z922" s="1"/>
    </row>
    <row r="923" customFormat="false" ht="15.75" hidden="false" customHeight="true" outlineLevel="0" collapsed="false">
      <c r="L923" s="1"/>
      <c r="M923" s="1"/>
      <c r="N923" s="1"/>
      <c r="O923" s="1"/>
      <c r="P923" s="1"/>
      <c r="Q923" s="1"/>
      <c r="R923" s="1"/>
      <c r="S923" s="1"/>
      <c r="T923" s="1"/>
      <c r="U923" s="1"/>
      <c r="V923" s="1"/>
      <c r="W923" s="1"/>
      <c r="X923" s="1"/>
      <c r="Y923" s="1"/>
      <c r="Z923" s="1"/>
    </row>
    <row r="924" customFormat="false" ht="15.75" hidden="false" customHeight="true" outlineLevel="0" collapsed="false">
      <c r="L924" s="1"/>
      <c r="M924" s="1"/>
      <c r="N924" s="1"/>
      <c r="O924" s="1"/>
      <c r="P924" s="1"/>
      <c r="Q924" s="1"/>
      <c r="R924" s="1"/>
      <c r="S924" s="1"/>
      <c r="T924" s="1"/>
      <c r="U924" s="1"/>
      <c r="V924" s="1"/>
      <c r="W924" s="1"/>
      <c r="X924" s="1"/>
      <c r="Y924" s="1"/>
      <c r="Z924" s="1"/>
    </row>
    <row r="925" customFormat="false" ht="15.75" hidden="false" customHeight="true" outlineLevel="0" collapsed="false">
      <c r="L925" s="1"/>
      <c r="M925" s="1"/>
      <c r="N925" s="1"/>
      <c r="O925" s="1"/>
      <c r="P925" s="1"/>
      <c r="Q925" s="1"/>
      <c r="R925" s="1"/>
      <c r="S925" s="1"/>
      <c r="T925" s="1"/>
      <c r="U925" s="1"/>
      <c r="V925" s="1"/>
      <c r="W925" s="1"/>
      <c r="X925" s="1"/>
      <c r="Y925" s="1"/>
      <c r="Z925" s="1"/>
    </row>
    <row r="926" customFormat="false" ht="15.75" hidden="false" customHeight="true" outlineLevel="0" collapsed="false">
      <c r="L926" s="1"/>
      <c r="M926" s="1"/>
      <c r="N926" s="1"/>
      <c r="O926" s="1"/>
      <c r="P926" s="1"/>
      <c r="Q926" s="1"/>
      <c r="R926" s="1"/>
      <c r="S926" s="1"/>
      <c r="T926" s="1"/>
      <c r="U926" s="1"/>
      <c r="V926" s="1"/>
      <c r="W926" s="1"/>
      <c r="X926" s="1"/>
      <c r="Y926" s="1"/>
      <c r="Z926" s="1"/>
    </row>
    <row r="927" customFormat="false" ht="15.75" hidden="false" customHeight="true" outlineLevel="0" collapsed="false">
      <c r="L927" s="1"/>
      <c r="M927" s="1"/>
      <c r="N927" s="1"/>
      <c r="O927" s="1"/>
      <c r="P927" s="1"/>
      <c r="Q927" s="1"/>
      <c r="R927" s="1"/>
      <c r="S927" s="1"/>
      <c r="T927" s="1"/>
      <c r="U927" s="1"/>
      <c r="V927" s="1"/>
      <c r="W927" s="1"/>
      <c r="X927" s="1"/>
      <c r="Y927" s="1"/>
      <c r="Z927" s="1"/>
    </row>
    <row r="928" customFormat="false" ht="15.75" hidden="false" customHeight="true" outlineLevel="0" collapsed="false">
      <c r="L928" s="1"/>
      <c r="M928" s="1"/>
      <c r="N928" s="1"/>
      <c r="O928" s="1"/>
      <c r="P928" s="1"/>
      <c r="Q928" s="1"/>
      <c r="R928" s="1"/>
      <c r="S928" s="1"/>
      <c r="T928" s="1"/>
      <c r="U928" s="1"/>
      <c r="V928" s="1"/>
      <c r="W928" s="1"/>
      <c r="X928" s="1"/>
      <c r="Y928" s="1"/>
      <c r="Z928" s="1"/>
    </row>
    <row r="929" customFormat="false" ht="15.75" hidden="false" customHeight="true" outlineLevel="0" collapsed="false">
      <c r="L929" s="1"/>
      <c r="M929" s="1"/>
      <c r="N929" s="1"/>
      <c r="O929" s="1"/>
      <c r="P929" s="1"/>
      <c r="Q929" s="1"/>
      <c r="R929" s="1"/>
      <c r="S929" s="1"/>
      <c r="T929" s="1"/>
      <c r="U929" s="1"/>
      <c r="V929" s="1"/>
      <c r="W929" s="1"/>
      <c r="X929" s="1"/>
      <c r="Y929" s="1"/>
      <c r="Z929" s="1"/>
    </row>
    <row r="930" customFormat="false" ht="15.75" hidden="false" customHeight="true" outlineLevel="0" collapsed="false">
      <c r="L930" s="1"/>
      <c r="M930" s="1"/>
      <c r="N930" s="1"/>
      <c r="O930" s="1"/>
      <c r="P930" s="1"/>
      <c r="Q930" s="1"/>
      <c r="R930" s="1"/>
      <c r="S930" s="1"/>
      <c r="T930" s="1"/>
      <c r="U930" s="1"/>
      <c r="V930" s="1"/>
      <c r="W930" s="1"/>
      <c r="X930" s="1"/>
      <c r="Y930" s="1"/>
      <c r="Z930" s="1"/>
    </row>
    <row r="931" customFormat="false" ht="15.75" hidden="false" customHeight="true" outlineLevel="0" collapsed="false">
      <c r="L931" s="1"/>
      <c r="M931" s="1"/>
      <c r="N931" s="1"/>
      <c r="O931" s="1"/>
      <c r="P931" s="1"/>
      <c r="Q931" s="1"/>
      <c r="R931" s="1"/>
      <c r="S931" s="1"/>
      <c r="T931" s="1"/>
      <c r="U931" s="1"/>
      <c r="V931" s="1"/>
      <c r="W931" s="1"/>
      <c r="X931" s="1"/>
      <c r="Y931" s="1"/>
      <c r="Z931" s="1"/>
    </row>
    <row r="932" customFormat="false" ht="15.75" hidden="false" customHeight="true" outlineLevel="0" collapsed="false">
      <c r="L932" s="1"/>
      <c r="M932" s="1"/>
      <c r="N932" s="1"/>
      <c r="O932" s="1"/>
      <c r="P932" s="1"/>
      <c r="Q932" s="1"/>
      <c r="R932" s="1"/>
      <c r="S932" s="1"/>
      <c r="T932" s="1"/>
      <c r="U932" s="1"/>
      <c r="V932" s="1"/>
      <c r="W932" s="1"/>
      <c r="X932" s="1"/>
      <c r="Y932" s="1"/>
      <c r="Z932" s="1"/>
    </row>
    <row r="933" customFormat="false" ht="15.75" hidden="false" customHeight="true" outlineLevel="0" collapsed="false">
      <c r="L933" s="1"/>
      <c r="M933" s="1"/>
      <c r="N933" s="1"/>
      <c r="O933" s="1"/>
      <c r="P933" s="1"/>
      <c r="Q933" s="1"/>
      <c r="R933" s="1"/>
      <c r="S933" s="1"/>
      <c r="T933" s="1"/>
      <c r="U933" s="1"/>
      <c r="V933" s="1"/>
      <c r="W933" s="1"/>
      <c r="X933" s="1"/>
      <c r="Y933" s="1"/>
      <c r="Z933" s="1"/>
    </row>
    <row r="934" customFormat="false" ht="15.75" hidden="false" customHeight="true" outlineLevel="0" collapsed="false">
      <c r="L934" s="1"/>
      <c r="M934" s="1"/>
      <c r="N934" s="1"/>
      <c r="O934" s="1"/>
      <c r="P934" s="1"/>
      <c r="Q934" s="1"/>
      <c r="R934" s="1"/>
      <c r="S934" s="1"/>
      <c r="T934" s="1"/>
      <c r="U934" s="1"/>
      <c r="V934" s="1"/>
      <c r="W934" s="1"/>
      <c r="X934" s="1"/>
      <c r="Y934" s="1"/>
      <c r="Z934" s="1"/>
    </row>
    <row r="935" customFormat="false" ht="15.75" hidden="false" customHeight="true" outlineLevel="0" collapsed="false">
      <c r="L935" s="1"/>
      <c r="M935" s="1"/>
      <c r="N935" s="1"/>
      <c r="O935" s="1"/>
      <c r="P935" s="1"/>
      <c r="Q935" s="1"/>
      <c r="R935" s="1"/>
      <c r="S935" s="1"/>
      <c r="T935" s="1"/>
      <c r="U935" s="1"/>
      <c r="V935" s="1"/>
      <c r="W935" s="1"/>
      <c r="X935" s="1"/>
      <c r="Y935" s="1"/>
      <c r="Z935" s="1"/>
    </row>
    <row r="936" customFormat="false" ht="15.75" hidden="false" customHeight="true" outlineLevel="0" collapsed="false">
      <c r="L936" s="1"/>
      <c r="M936" s="1"/>
      <c r="N936" s="1"/>
      <c r="O936" s="1"/>
      <c r="P936" s="1"/>
      <c r="Q936" s="1"/>
      <c r="R936" s="1"/>
      <c r="S936" s="1"/>
      <c r="T936" s="1"/>
      <c r="U936" s="1"/>
      <c r="V936" s="1"/>
      <c r="W936" s="1"/>
      <c r="X936" s="1"/>
      <c r="Y936" s="1"/>
      <c r="Z936" s="1"/>
    </row>
    <row r="937" customFormat="false" ht="15.75" hidden="false" customHeight="true" outlineLevel="0" collapsed="false">
      <c r="L937" s="1"/>
      <c r="M937" s="1"/>
      <c r="N937" s="1"/>
      <c r="O937" s="1"/>
      <c r="P937" s="1"/>
      <c r="Q937" s="1"/>
      <c r="R937" s="1"/>
      <c r="S937" s="1"/>
      <c r="T937" s="1"/>
      <c r="U937" s="1"/>
      <c r="V937" s="1"/>
      <c r="W937" s="1"/>
      <c r="X937" s="1"/>
      <c r="Y937" s="1"/>
      <c r="Z937" s="1"/>
    </row>
    <row r="938" customFormat="false" ht="15.75" hidden="false" customHeight="true" outlineLevel="0" collapsed="false">
      <c r="L938" s="1"/>
      <c r="M938" s="1"/>
      <c r="N938" s="1"/>
      <c r="O938" s="1"/>
      <c r="P938" s="1"/>
      <c r="Q938" s="1"/>
      <c r="R938" s="1"/>
      <c r="S938" s="1"/>
      <c r="T938" s="1"/>
      <c r="U938" s="1"/>
      <c r="V938" s="1"/>
      <c r="W938" s="1"/>
      <c r="X938" s="1"/>
      <c r="Y938" s="1"/>
      <c r="Z938" s="1"/>
    </row>
    <row r="939" customFormat="false" ht="15.75" hidden="false" customHeight="true" outlineLevel="0" collapsed="false">
      <c r="L939" s="1"/>
      <c r="M939" s="1"/>
      <c r="N939" s="1"/>
      <c r="O939" s="1"/>
      <c r="P939" s="1"/>
      <c r="Q939" s="1"/>
      <c r="R939" s="1"/>
      <c r="S939" s="1"/>
      <c r="T939" s="1"/>
      <c r="U939" s="1"/>
      <c r="V939" s="1"/>
      <c r="W939" s="1"/>
      <c r="X939" s="1"/>
      <c r="Y939" s="1"/>
      <c r="Z939" s="1"/>
    </row>
    <row r="940" customFormat="false" ht="15.75" hidden="false" customHeight="true" outlineLevel="0" collapsed="false">
      <c r="L940" s="1"/>
      <c r="M940" s="1"/>
      <c r="N940" s="1"/>
      <c r="O940" s="1"/>
      <c r="P940" s="1"/>
      <c r="Q940" s="1"/>
      <c r="R940" s="1"/>
      <c r="S940" s="1"/>
      <c r="T940" s="1"/>
      <c r="U940" s="1"/>
      <c r="V940" s="1"/>
      <c r="W940" s="1"/>
      <c r="X940" s="1"/>
      <c r="Y940" s="1"/>
      <c r="Z940" s="1"/>
    </row>
    <row r="941" customFormat="false" ht="15.75" hidden="false" customHeight="true" outlineLevel="0" collapsed="false">
      <c r="L941" s="1"/>
      <c r="M941" s="1"/>
      <c r="N941" s="1"/>
      <c r="O941" s="1"/>
      <c r="P941" s="1"/>
      <c r="Q941" s="1"/>
      <c r="R941" s="1"/>
      <c r="S941" s="1"/>
      <c r="T941" s="1"/>
      <c r="U941" s="1"/>
      <c r="V941" s="1"/>
      <c r="W941" s="1"/>
      <c r="X941" s="1"/>
      <c r="Y941" s="1"/>
      <c r="Z941" s="1"/>
    </row>
    <row r="942" customFormat="false" ht="15.75" hidden="false" customHeight="true" outlineLevel="0" collapsed="false">
      <c r="L942" s="1"/>
      <c r="M942" s="1"/>
      <c r="N942" s="1"/>
      <c r="O942" s="1"/>
      <c r="P942" s="1"/>
      <c r="Q942" s="1"/>
      <c r="R942" s="1"/>
      <c r="S942" s="1"/>
      <c r="T942" s="1"/>
      <c r="U942" s="1"/>
      <c r="V942" s="1"/>
      <c r="W942" s="1"/>
      <c r="X942" s="1"/>
      <c r="Y942" s="1"/>
      <c r="Z942" s="1"/>
    </row>
    <row r="943" customFormat="false" ht="15.75" hidden="false" customHeight="true" outlineLevel="0" collapsed="false">
      <c r="L943" s="1"/>
      <c r="M943" s="1"/>
      <c r="N943" s="1"/>
      <c r="O943" s="1"/>
      <c r="P943" s="1"/>
      <c r="Q943" s="1"/>
      <c r="R943" s="1"/>
      <c r="S943" s="1"/>
      <c r="T943" s="1"/>
      <c r="U943" s="1"/>
      <c r="V943" s="1"/>
      <c r="W943" s="1"/>
      <c r="X943" s="1"/>
      <c r="Y943" s="1"/>
      <c r="Z943" s="1"/>
    </row>
    <row r="944" customFormat="false" ht="15.75" hidden="false" customHeight="true" outlineLevel="0" collapsed="false">
      <c r="L944" s="1"/>
      <c r="M944" s="1"/>
      <c r="N944" s="1"/>
      <c r="O944" s="1"/>
      <c r="P944" s="1"/>
      <c r="Q944" s="1"/>
      <c r="R944" s="1"/>
      <c r="S944" s="1"/>
      <c r="T944" s="1"/>
      <c r="U944" s="1"/>
      <c r="V944" s="1"/>
      <c r="W944" s="1"/>
      <c r="X944" s="1"/>
      <c r="Y944" s="1"/>
      <c r="Z944" s="1"/>
    </row>
    <row r="945" customFormat="false" ht="15.75" hidden="false" customHeight="true" outlineLevel="0" collapsed="false">
      <c r="L945" s="1"/>
      <c r="M945" s="1"/>
      <c r="N945" s="1"/>
      <c r="O945" s="1"/>
      <c r="P945" s="1"/>
      <c r="Q945" s="1"/>
      <c r="R945" s="1"/>
      <c r="S945" s="1"/>
      <c r="T945" s="1"/>
      <c r="U945" s="1"/>
      <c r="V945" s="1"/>
      <c r="W945" s="1"/>
      <c r="X945" s="1"/>
      <c r="Y945" s="1"/>
      <c r="Z945" s="1"/>
    </row>
    <row r="946" customFormat="false" ht="15.75" hidden="false" customHeight="true" outlineLevel="0" collapsed="false">
      <c r="L946" s="1"/>
      <c r="M946" s="1"/>
      <c r="N946" s="1"/>
      <c r="O946" s="1"/>
      <c r="P946" s="1"/>
      <c r="Q946" s="1"/>
      <c r="R946" s="1"/>
      <c r="S946" s="1"/>
      <c r="T946" s="1"/>
      <c r="U946" s="1"/>
      <c r="V946" s="1"/>
      <c r="W946" s="1"/>
      <c r="X946" s="1"/>
      <c r="Y946" s="1"/>
      <c r="Z946" s="1"/>
    </row>
    <row r="947" customFormat="false" ht="15.75" hidden="false" customHeight="true" outlineLevel="0" collapsed="false">
      <c r="L947" s="1"/>
      <c r="M947" s="1"/>
      <c r="N947" s="1"/>
      <c r="O947" s="1"/>
      <c r="P947" s="1"/>
      <c r="Q947" s="1"/>
      <c r="R947" s="1"/>
      <c r="S947" s="1"/>
      <c r="T947" s="1"/>
      <c r="U947" s="1"/>
      <c r="V947" s="1"/>
      <c r="W947" s="1"/>
      <c r="X947" s="1"/>
      <c r="Y947" s="1"/>
      <c r="Z947" s="1"/>
    </row>
    <row r="948" customFormat="false" ht="15.75" hidden="false" customHeight="true" outlineLevel="0" collapsed="false">
      <c r="L948" s="1"/>
      <c r="M948" s="1"/>
      <c r="N948" s="1"/>
      <c r="O948" s="1"/>
      <c r="P948" s="1"/>
      <c r="Q948" s="1"/>
      <c r="R948" s="1"/>
      <c r="S948" s="1"/>
      <c r="T948" s="1"/>
      <c r="U948" s="1"/>
      <c r="V948" s="1"/>
      <c r="W948" s="1"/>
      <c r="X948" s="1"/>
      <c r="Y948" s="1"/>
      <c r="Z948" s="1"/>
    </row>
    <row r="949" customFormat="false" ht="15.75" hidden="false" customHeight="true" outlineLevel="0" collapsed="false">
      <c r="L949" s="1"/>
      <c r="M949" s="1"/>
      <c r="N949" s="1"/>
      <c r="O949" s="1"/>
      <c r="P949" s="1"/>
      <c r="Q949" s="1"/>
      <c r="R949" s="1"/>
      <c r="S949" s="1"/>
      <c r="T949" s="1"/>
      <c r="U949" s="1"/>
      <c r="V949" s="1"/>
      <c r="W949" s="1"/>
      <c r="X949" s="1"/>
      <c r="Y949" s="1"/>
      <c r="Z949" s="1"/>
    </row>
    <row r="950" customFormat="false" ht="15.75" hidden="false" customHeight="true" outlineLevel="0" collapsed="false">
      <c r="L950" s="1"/>
      <c r="M950" s="1"/>
      <c r="N950" s="1"/>
      <c r="O950" s="1"/>
      <c r="P950" s="1"/>
      <c r="Q950" s="1"/>
      <c r="R950" s="1"/>
      <c r="S950" s="1"/>
      <c r="T950" s="1"/>
      <c r="U950" s="1"/>
      <c r="V950" s="1"/>
      <c r="W950" s="1"/>
      <c r="X950" s="1"/>
      <c r="Y950" s="1"/>
      <c r="Z950" s="1"/>
    </row>
    <row r="951" customFormat="false" ht="15.75" hidden="false" customHeight="true" outlineLevel="0" collapsed="false">
      <c r="L951" s="1"/>
      <c r="M951" s="1"/>
      <c r="N951" s="1"/>
      <c r="O951" s="1"/>
      <c r="P951" s="1"/>
      <c r="Q951" s="1"/>
      <c r="R951" s="1"/>
      <c r="S951" s="1"/>
      <c r="T951" s="1"/>
      <c r="U951" s="1"/>
      <c r="V951" s="1"/>
      <c r="W951" s="1"/>
      <c r="X951" s="1"/>
      <c r="Y951" s="1"/>
      <c r="Z951" s="1"/>
    </row>
    <row r="952" customFormat="false" ht="15.75" hidden="false" customHeight="true" outlineLevel="0" collapsed="false">
      <c r="L952" s="1"/>
      <c r="M952" s="1"/>
      <c r="N952" s="1"/>
      <c r="O952" s="1"/>
      <c r="P952" s="1"/>
      <c r="Q952" s="1"/>
      <c r="R952" s="1"/>
      <c r="S952" s="1"/>
      <c r="T952" s="1"/>
      <c r="U952" s="1"/>
      <c r="V952" s="1"/>
      <c r="W952" s="1"/>
      <c r="X952" s="1"/>
      <c r="Y952" s="1"/>
      <c r="Z952" s="1"/>
    </row>
    <row r="953" customFormat="false" ht="15.75" hidden="false" customHeight="true" outlineLevel="0" collapsed="false">
      <c r="L953" s="1"/>
      <c r="M953" s="1"/>
      <c r="N953" s="1"/>
      <c r="O953" s="1"/>
      <c r="P953" s="1"/>
      <c r="Q953" s="1"/>
      <c r="R953" s="1"/>
      <c r="S953" s="1"/>
      <c r="T953" s="1"/>
      <c r="U953" s="1"/>
      <c r="V953" s="1"/>
      <c r="W953" s="1"/>
      <c r="X953" s="1"/>
      <c r="Y953" s="1"/>
      <c r="Z953" s="1"/>
    </row>
    <row r="954" customFormat="false" ht="15.75" hidden="false" customHeight="true" outlineLevel="0" collapsed="false">
      <c r="L954" s="1"/>
      <c r="M954" s="1"/>
      <c r="N954" s="1"/>
      <c r="O954" s="1"/>
      <c r="P954" s="1"/>
      <c r="Q954" s="1"/>
      <c r="R954" s="1"/>
      <c r="S954" s="1"/>
      <c r="T954" s="1"/>
      <c r="U954" s="1"/>
      <c r="V954" s="1"/>
      <c r="W954" s="1"/>
      <c r="X954" s="1"/>
      <c r="Y954" s="1"/>
      <c r="Z954" s="1"/>
    </row>
    <row r="955" customFormat="false" ht="15.75" hidden="false" customHeight="true" outlineLevel="0" collapsed="false">
      <c r="L955" s="1"/>
      <c r="M955" s="1"/>
      <c r="N955" s="1"/>
      <c r="O955" s="1"/>
      <c r="P955" s="1"/>
      <c r="Q955" s="1"/>
      <c r="R955" s="1"/>
      <c r="S955" s="1"/>
      <c r="T955" s="1"/>
      <c r="U955" s="1"/>
      <c r="V955" s="1"/>
      <c r="W955" s="1"/>
      <c r="X955" s="1"/>
      <c r="Y955" s="1"/>
      <c r="Z955" s="1"/>
    </row>
    <row r="956" customFormat="false" ht="15.75" hidden="false" customHeight="true" outlineLevel="0" collapsed="false">
      <c r="L956" s="1"/>
      <c r="M956" s="1"/>
      <c r="N956" s="1"/>
      <c r="O956" s="1"/>
      <c r="P956" s="1"/>
      <c r="Q956" s="1"/>
      <c r="R956" s="1"/>
      <c r="S956" s="1"/>
      <c r="T956" s="1"/>
      <c r="U956" s="1"/>
      <c r="V956" s="1"/>
      <c r="W956" s="1"/>
      <c r="X956" s="1"/>
      <c r="Y956" s="1"/>
      <c r="Z956" s="1"/>
    </row>
    <row r="957" customFormat="false" ht="15.75" hidden="false" customHeight="true" outlineLevel="0" collapsed="false">
      <c r="L957" s="1"/>
      <c r="M957" s="1"/>
      <c r="N957" s="1"/>
      <c r="O957" s="1"/>
      <c r="P957" s="1"/>
      <c r="Q957" s="1"/>
      <c r="R957" s="1"/>
      <c r="S957" s="1"/>
      <c r="T957" s="1"/>
      <c r="U957" s="1"/>
      <c r="V957" s="1"/>
      <c r="W957" s="1"/>
      <c r="X957" s="1"/>
      <c r="Y957" s="1"/>
      <c r="Z957" s="1"/>
    </row>
    <row r="958" customFormat="false" ht="15.75" hidden="false" customHeight="true" outlineLevel="0" collapsed="false">
      <c r="L958" s="1"/>
      <c r="M958" s="1"/>
      <c r="N958" s="1"/>
      <c r="O958" s="1"/>
      <c r="P958" s="1"/>
      <c r="Q958" s="1"/>
      <c r="R958" s="1"/>
      <c r="S958" s="1"/>
      <c r="T958" s="1"/>
      <c r="U958" s="1"/>
      <c r="V958" s="1"/>
      <c r="W958" s="1"/>
      <c r="X958" s="1"/>
      <c r="Y958" s="1"/>
      <c r="Z958" s="1"/>
    </row>
    <row r="959" customFormat="false" ht="15.75" hidden="false" customHeight="true" outlineLevel="0" collapsed="false">
      <c r="L959" s="1"/>
      <c r="M959" s="1"/>
      <c r="N959" s="1"/>
      <c r="O959" s="1"/>
      <c r="P959" s="1"/>
      <c r="Q959" s="1"/>
      <c r="R959" s="1"/>
      <c r="S959" s="1"/>
      <c r="T959" s="1"/>
      <c r="U959" s="1"/>
      <c r="V959" s="1"/>
      <c r="W959" s="1"/>
      <c r="X959" s="1"/>
      <c r="Y959" s="1"/>
      <c r="Z959" s="1"/>
    </row>
    <row r="960" customFormat="false" ht="15.75" hidden="false" customHeight="true" outlineLevel="0" collapsed="false">
      <c r="L960" s="1"/>
      <c r="M960" s="1"/>
      <c r="N960" s="1"/>
      <c r="O960" s="1"/>
      <c r="P960" s="1"/>
      <c r="Q960" s="1"/>
      <c r="R960" s="1"/>
      <c r="S960" s="1"/>
      <c r="T960" s="1"/>
      <c r="U960" s="1"/>
      <c r="V960" s="1"/>
      <c r="W960" s="1"/>
      <c r="X960" s="1"/>
      <c r="Y960" s="1"/>
      <c r="Z960" s="1"/>
    </row>
    <row r="961" customFormat="false" ht="15.75" hidden="false" customHeight="true" outlineLevel="0" collapsed="false">
      <c r="L961" s="1"/>
      <c r="M961" s="1"/>
      <c r="N961" s="1"/>
      <c r="O961" s="1"/>
      <c r="P961" s="1"/>
      <c r="Q961" s="1"/>
      <c r="R961" s="1"/>
      <c r="S961" s="1"/>
      <c r="T961" s="1"/>
      <c r="U961" s="1"/>
      <c r="V961" s="1"/>
      <c r="W961" s="1"/>
      <c r="X961" s="1"/>
      <c r="Y961" s="1"/>
      <c r="Z961" s="1"/>
    </row>
    <row r="962" customFormat="false" ht="15.75" hidden="false" customHeight="true" outlineLevel="0" collapsed="false">
      <c r="L962" s="1"/>
      <c r="M962" s="1"/>
      <c r="N962" s="1"/>
      <c r="O962" s="1"/>
      <c r="P962" s="1"/>
      <c r="Q962" s="1"/>
      <c r="R962" s="1"/>
      <c r="S962" s="1"/>
      <c r="T962" s="1"/>
      <c r="U962" s="1"/>
      <c r="V962" s="1"/>
      <c r="W962" s="1"/>
      <c r="X962" s="1"/>
      <c r="Y962" s="1"/>
      <c r="Z962" s="1"/>
    </row>
    <row r="963" customFormat="false" ht="15.75" hidden="false" customHeight="true" outlineLevel="0" collapsed="false">
      <c r="L963" s="1"/>
      <c r="M963" s="1"/>
      <c r="N963" s="1"/>
      <c r="O963" s="1"/>
      <c r="P963" s="1"/>
      <c r="Q963" s="1"/>
      <c r="R963" s="1"/>
      <c r="S963" s="1"/>
      <c r="T963" s="1"/>
      <c r="U963" s="1"/>
      <c r="V963" s="1"/>
      <c r="W963" s="1"/>
      <c r="X963" s="1"/>
      <c r="Y963" s="1"/>
      <c r="Z963" s="1"/>
    </row>
    <row r="964" customFormat="false" ht="15.75" hidden="false" customHeight="true" outlineLevel="0" collapsed="false">
      <c r="L964" s="1"/>
      <c r="M964" s="1"/>
      <c r="N964" s="1"/>
      <c r="O964" s="1"/>
      <c r="P964" s="1"/>
      <c r="Q964" s="1"/>
      <c r="R964" s="1"/>
      <c r="S964" s="1"/>
      <c r="T964" s="1"/>
      <c r="U964" s="1"/>
      <c r="V964" s="1"/>
      <c r="W964" s="1"/>
      <c r="X964" s="1"/>
      <c r="Y964" s="1"/>
      <c r="Z964" s="1"/>
    </row>
    <row r="965" customFormat="false" ht="15.75" hidden="false" customHeight="true" outlineLevel="0" collapsed="false">
      <c r="L965" s="1"/>
      <c r="M965" s="1"/>
      <c r="N965" s="1"/>
      <c r="O965" s="1"/>
      <c r="P965" s="1"/>
      <c r="Q965" s="1"/>
      <c r="R965" s="1"/>
      <c r="S965" s="1"/>
      <c r="T965" s="1"/>
      <c r="U965" s="1"/>
      <c r="V965" s="1"/>
      <c r="W965" s="1"/>
      <c r="X965" s="1"/>
      <c r="Y965" s="1"/>
      <c r="Z965" s="1"/>
    </row>
    <row r="966" customFormat="false" ht="15.75" hidden="false" customHeight="true" outlineLevel="0" collapsed="false">
      <c r="L966" s="1"/>
      <c r="M966" s="1"/>
      <c r="N966" s="1"/>
      <c r="O966" s="1"/>
      <c r="P966" s="1"/>
      <c r="Q966" s="1"/>
      <c r="R966" s="1"/>
      <c r="S966" s="1"/>
      <c r="T966" s="1"/>
      <c r="U966" s="1"/>
      <c r="V966" s="1"/>
      <c r="W966" s="1"/>
      <c r="X966" s="1"/>
      <c r="Y966" s="1"/>
      <c r="Z966" s="1"/>
    </row>
    <row r="967" customFormat="false" ht="15.75" hidden="false" customHeight="true" outlineLevel="0" collapsed="false">
      <c r="L967" s="1"/>
      <c r="M967" s="1"/>
      <c r="N967" s="1"/>
      <c r="O967" s="1"/>
      <c r="P967" s="1"/>
      <c r="Q967" s="1"/>
      <c r="R967" s="1"/>
      <c r="S967" s="1"/>
      <c r="T967" s="1"/>
      <c r="U967" s="1"/>
      <c r="V967" s="1"/>
      <c r="W967" s="1"/>
      <c r="X967" s="1"/>
      <c r="Y967" s="1"/>
      <c r="Z967" s="1"/>
    </row>
    <row r="968" customFormat="false" ht="15.75" hidden="false" customHeight="true" outlineLevel="0" collapsed="false">
      <c r="L968" s="1"/>
      <c r="M968" s="1"/>
      <c r="N968" s="1"/>
      <c r="O968" s="1"/>
      <c r="P968" s="1"/>
      <c r="Q968" s="1"/>
      <c r="R968" s="1"/>
      <c r="S968" s="1"/>
      <c r="T968" s="1"/>
      <c r="U968" s="1"/>
      <c r="V968" s="1"/>
      <c r="W968" s="1"/>
      <c r="X968" s="1"/>
      <c r="Y968" s="1"/>
      <c r="Z968" s="1"/>
    </row>
    <row r="969" customFormat="false" ht="15.75" hidden="false" customHeight="true" outlineLevel="0" collapsed="false">
      <c r="L969" s="1"/>
      <c r="M969" s="1"/>
      <c r="N969" s="1"/>
      <c r="O969" s="1"/>
      <c r="P969" s="1"/>
      <c r="Q969" s="1"/>
      <c r="R969" s="1"/>
      <c r="S969" s="1"/>
      <c r="T969" s="1"/>
      <c r="U969" s="1"/>
      <c r="V969" s="1"/>
      <c r="W969" s="1"/>
      <c r="X969" s="1"/>
      <c r="Y969" s="1"/>
      <c r="Z969" s="1"/>
    </row>
    <row r="970" customFormat="false" ht="15.75" hidden="false" customHeight="true" outlineLevel="0" collapsed="false">
      <c r="L970" s="1"/>
      <c r="M970" s="1"/>
      <c r="N970" s="1"/>
      <c r="O970" s="1"/>
      <c r="P970" s="1"/>
      <c r="Q970" s="1"/>
      <c r="R970" s="1"/>
      <c r="S970" s="1"/>
      <c r="T970" s="1"/>
      <c r="U970" s="1"/>
      <c r="V970" s="1"/>
      <c r="W970" s="1"/>
      <c r="X970" s="1"/>
      <c r="Y970" s="1"/>
      <c r="Z970" s="1"/>
    </row>
    <row r="971" customFormat="false" ht="15.75" hidden="false" customHeight="true" outlineLevel="0" collapsed="false">
      <c r="L971" s="1"/>
      <c r="M971" s="1"/>
      <c r="N971" s="1"/>
      <c r="O971" s="1"/>
      <c r="P971" s="1"/>
      <c r="Q971" s="1"/>
      <c r="R971" s="1"/>
      <c r="S971" s="1"/>
      <c r="T971" s="1"/>
      <c r="U971" s="1"/>
      <c r="V971" s="1"/>
      <c r="W971" s="1"/>
      <c r="X971" s="1"/>
      <c r="Y971" s="1"/>
      <c r="Z971" s="1"/>
    </row>
    <row r="972" customFormat="false" ht="15.75" hidden="false" customHeight="true" outlineLevel="0" collapsed="false">
      <c r="L972" s="1"/>
      <c r="M972" s="1"/>
      <c r="N972" s="1"/>
      <c r="O972" s="1"/>
      <c r="P972" s="1"/>
      <c r="Q972" s="1"/>
      <c r="R972" s="1"/>
      <c r="S972" s="1"/>
      <c r="T972" s="1"/>
      <c r="U972" s="1"/>
      <c r="V972" s="1"/>
      <c r="W972" s="1"/>
      <c r="X972" s="1"/>
      <c r="Y972" s="1"/>
      <c r="Z972" s="1"/>
    </row>
    <row r="973" customFormat="false" ht="15.75" hidden="false" customHeight="true" outlineLevel="0" collapsed="false">
      <c r="L973" s="1"/>
      <c r="M973" s="1"/>
      <c r="N973" s="1"/>
      <c r="O973" s="1"/>
      <c r="P973" s="1"/>
      <c r="Q973" s="1"/>
      <c r="R973" s="1"/>
      <c r="S973" s="1"/>
      <c r="T973" s="1"/>
      <c r="U973" s="1"/>
      <c r="V973" s="1"/>
      <c r="W973" s="1"/>
      <c r="X973" s="1"/>
      <c r="Y973" s="1"/>
      <c r="Z973" s="1"/>
    </row>
    <row r="974" customFormat="false" ht="15.75" hidden="false" customHeight="true" outlineLevel="0" collapsed="false">
      <c r="L974" s="1"/>
      <c r="M974" s="1"/>
      <c r="N974" s="1"/>
      <c r="O974" s="1"/>
      <c r="P974" s="1"/>
      <c r="Q974" s="1"/>
      <c r="R974" s="1"/>
      <c r="S974" s="1"/>
      <c r="T974" s="1"/>
      <c r="U974" s="1"/>
      <c r="V974" s="1"/>
      <c r="W974" s="1"/>
      <c r="X974" s="1"/>
      <c r="Y974" s="1"/>
      <c r="Z974" s="1"/>
    </row>
    <row r="975" customFormat="false" ht="15.75" hidden="false" customHeight="true" outlineLevel="0" collapsed="false">
      <c r="L975" s="1"/>
      <c r="M975" s="1"/>
      <c r="N975" s="1"/>
      <c r="O975" s="1"/>
      <c r="P975" s="1"/>
      <c r="Q975" s="1"/>
      <c r="R975" s="1"/>
      <c r="S975" s="1"/>
      <c r="T975" s="1"/>
      <c r="U975" s="1"/>
      <c r="V975" s="1"/>
      <c r="W975" s="1"/>
      <c r="X975" s="1"/>
      <c r="Y975" s="1"/>
      <c r="Z975" s="1"/>
    </row>
    <row r="976" customFormat="false" ht="15.75" hidden="false" customHeight="true" outlineLevel="0" collapsed="false">
      <c r="L976" s="1"/>
      <c r="M976" s="1"/>
      <c r="N976" s="1"/>
      <c r="O976" s="1"/>
      <c r="P976" s="1"/>
      <c r="Q976" s="1"/>
      <c r="R976" s="1"/>
      <c r="S976" s="1"/>
      <c r="T976" s="1"/>
      <c r="U976" s="1"/>
      <c r="V976" s="1"/>
      <c r="W976" s="1"/>
      <c r="X976" s="1"/>
      <c r="Y976" s="1"/>
      <c r="Z976" s="1"/>
    </row>
    <row r="977" customFormat="false" ht="15.75" hidden="false" customHeight="true" outlineLevel="0" collapsed="false">
      <c r="L977" s="1"/>
      <c r="M977" s="1"/>
      <c r="N977" s="1"/>
      <c r="O977" s="1"/>
      <c r="P977" s="1"/>
      <c r="Q977" s="1"/>
      <c r="R977" s="1"/>
      <c r="S977" s="1"/>
      <c r="T977" s="1"/>
      <c r="U977" s="1"/>
      <c r="V977" s="1"/>
      <c r="W977" s="1"/>
      <c r="X977" s="1"/>
      <c r="Y977" s="1"/>
      <c r="Z977" s="1"/>
    </row>
    <row r="978" customFormat="false" ht="15.75" hidden="false" customHeight="true" outlineLevel="0" collapsed="false">
      <c r="L978" s="1"/>
      <c r="M978" s="1"/>
      <c r="N978" s="1"/>
      <c r="O978" s="1"/>
      <c r="P978" s="1"/>
      <c r="Q978" s="1"/>
      <c r="R978" s="1"/>
      <c r="S978" s="1"/>
      <c r="T978" s="1"/>
      <c r="U978" s="1"/>
      <c r="V978" s="1"/>
      <c r="W978" s="1"/>
      <c r="X978" s="1"/>
      <c r="Y978" s="1"/>
      <c r="Z978" s="1"/>
    </row>
    <row r="979" customFormat="false" ht="15.75" hidden="false" customHeight="true" outlineLevel="0" collapsed="false">
      <c r="L979" s="1"/>
      <c r="M979" s="1"/>
      <c r="N979" s="1"/>
      <c r="O979" s="1"/>
      <c r="P979" s="1"/>
      <c r="Q979" s="1"/>
      <c r="R979" s="1"/>
      <c r="S979" s="1"/>
      <c r="T979" s="1"/>
      <c r="U979" s="1"/>
      <c r="V979" s="1"/>
      <c r="W979" s="1"/>
      <c r="X979" s="1"/>
      <c r="Y979" s="1"/>
      <c r="Z979" s="1"/>
    </row>
    <row r="980" customFormat="false" ht="15.75" hidden="false" customHeight="true" outlineLevel="0" collapsed="false">
      <c r="L980" s="1"/>
      <c r="M980" s="1"/>
      <c r="N980" s="1"/>
      <c r="O980" s="1"/>
      <c r="P980" s="1"/>
      <c r="Q980" s="1"/>
      <c r="R980" s="1"/>
      <c r="S980" s="1"/>
      <c r="T980" s="1"/>
      <c r="U980" s="1"/>
      <c r="V980" s="1"/>
      <c r="W980" s="1"/>
      <c r="X980" s="1"/>
      <c r="Y980" s="1"/>
      <c r="Z980" s="1"/>
    </row>
    <row r="981" customFormat="false" ht="15.75" hidden="false" customHeight="true" outlineLevel="0" collapsed="false">
      <c r="L981" s="1"/>
      <c r="M981" s="1"/>
      <c r="N981" s="1"/>
      <c r="O981" s="1"/>
      <c r="P981" s="1"/>
      <c r="Q981" s="1"/>
      <c r="R981" s="1"/>
      <c r="S981" s="1"/>
      <c r="T981" s="1"/>
      <c r="U981" s="1"/>
      <c r="V981" s="1"/>
      <c r="W981" s="1"/>
      <c r="X981" s="1"/>
      <c r="Y981" s="1"/>
      <c r="Z981" s="1"/>
    </row>
    <row r="982" customFormat="false" ht="15.75" hidden="false" customHeight="true" outlineLevel="0" collapsed="false">
      <c r="L982" s="1"/>
      <c r="M982" s="1"/>
      <c r="N982" s="1"/>
      <c r="O982" s="1"/>
      <c r="P982" s="1"/>
      <c r="Q982" s="1"/>
      <c r="R982" s="1"/>
      <c r="S982" s="1"/>
      <c r="T982" s="1"/>
      <c r="U982" s="1"/>
      <c r="V982" s="1"/>
      <c r="W982" s="1"/>
      <c r="X982" s="1"/>
      <c r="Y982" s="1"/>
      <c r="Z982" s="1"/>
    </row>
    <row r="983" customFormat="false" ht="15.75" hidden="false" customHeight="true" outlineLevel="0" collapsed="false">
      <c r="L983" s="1"/>
      <c r="M983" s="1"/>
      <c r="N983" s="1"/>
      <c r="O983" s="1"/>
      <c r="P983" s="1"/>
      <c r="Q983" s="1"/>
      <c r="R983" s="1"/>
      <c r="S983" s="1"/>
      <c r="T983" s="1"/>
      <c r="U983" s="1"/>
      <c r="V983" s="1"/>
      <c r="W983" s="1"/>
      <c r="X983" s="1"/>
      <c r="Y983" s="1"/>
      <c r="Z983" s="1"/>
    </row>
    <row r="984" customFormat="false" ht="15.75" hidden="false" customHeight="true" outlineLevel="0" collapsed="false">
      <c r="L984" s="1"/>
      <c r="M984" s="1"/>
      <c r="N984" s="1"/>
      <c r="O984" s="1"/>
      <c r="P984" s="1"/>
      <c r="Q984" s="1"/>
      <c r="R984" s="1"/>
      <c r="S984" s="1"/>
      <c r="T984" s="1"/>
      <c r="U984" s="1"/>
      <c r="V984" s="1"/>
      <c r="W984" s="1"/>
      <c r="X984" s="1"/>
      <c r="Y984" s="1"/>
      <c r="Z984" s="1"/>
    </row>
    <row r="985" customFormat="false" ht="15.75" hidden="false" customHeight="true" outlineLevel="0" collapsed="false">
      <c r="L985" s="1"/>
      <c r="M985" s="1"/>
      <c r="N985" s="1"/>
      <c r="O985" s="1"/>
      <c r="P985" s="1"/>
      <c r="Q985" s="1"/>
      <c r="R985" s="1"/>
      <c r="S985" s="1"/>
      <c r="T985" s="1"/>
      <c r="U985" s="1"/>
      <c r="V985" s="1"/>
      <c r="W985" s="1"/>
      <c r="X985" s="1"/>
      <c r="Y985" s="1"/>
      <c r="Z985" s="1"/>
    </row>
    <row r="986" customFormat="false" ht="15.75" hidden="false" customHeight="true" outlineLevel="0" collapsed="false">
      <c r="L986" s="1"/>
      <c r="M986" s="1"/>
      <c r="N986" s="1"/>
      <c r="O986" s="1"/>
      <c r="P986" s="1"/>
      <c r="Q986" s="1"/>
      <c r="R986" s="1"/>
      <c r="S986" s="1"/>
      <c r="T986" s="1"/>
      <c r="U986" s="1"/>
      <c r="V986" s="1"/>
      <c r="W986" s="1"/>
      <c r="X986" s="1"/>
      <c r="Y986" s="1"/>
      <c r="Z986" s="1"/>
    </row>
    <row r="987" customFormat="false" ht="15.75" hidden="false" customHeight="true" outlineLevel="0" collapsed="false">
      <c r="L987" s="1"/>
      <c r="M987" s="1"/>
      <c r="N987" s="1"/>
      <c r="O987" s="1"/>
      <c r="P987" s="1"/>
      <c r="Q987" s="1"/>
      <c r="R987" s="1"/>
      <c r="S987" s="1"/>
      <c r="T987" s="1"/>
      <c r="U987" s="1"/>
      <c r="V987" s="1"/>
      <c r="W987" s="1"/>
      <c r="X987" s="1"/>
      <c r="Y987" s="1"/>
      <c r="Z987" s="1"/>
    </row>
    <row r="988" customFormat="false" ht="15.75" hidden="false" customHeight="true" outlineLevel="0" collapsed="false">
      <c r="L988" s="1"/>
      <c r="M988" s="1"/>
      <c r="N988" s="1"/>
      <c r="O988" s="1"/>
      <c r="P988" s="1"/>
      <c r="Q988" s="1"/>
      <c r="R988" s="1"/>
      <c r="S988" s="1"/>
      <c r="T988" s="1"/>
      <c r="U988" s="1"/>
      <c r="V988" s="1"/>
      <c r="W988" s="1"/>
      <c r="X988" s="1"/>
      <c r="Y988" s="1"/>
      <c r="Z988" s="1"/>
    </row>
    <row r="989" customFormat="false" ht="15.75" hidden="false" customHeight="true" outlineLevel="0" collapsed="false">
      <c r="L989" s="1"/>
      <c r="M989" s="1"/>
      <c r="N989" s="1"/>
      <c r="O989" s="1"/>
      <c r="P989" s="1"/>
      <c r="Q989" s="1"/>
      <c r="R989" s="1"/>
      <c r="S989" s="1"/>
      <c r="T989" s="1"/>
      <c r="U989" s="1"/>
      <c r="V989" s="1"/>
      <c r="W989" s="1"/>
      <c r="X989" s="1"/>
      <c r="Y989" s="1"/>
      <c r="Z989" s="1"/>
    </row>
    <row r="990" customFormat="false" ht="15.75" hidden="false" customHeight="true" outlineLevel="0" collapsed="false">
      <c r="L990" s="1"/>
      <c r="M990" s="1"/>
      <c r="N990" s="1"/>
      <c r="O990" s="1"/>
      <c r="P990" s="1"/>
      <c r="Q990" s="1"/>
      <c r="R990" s="1"/>
      <c r="S990" s="1"/>
      <c r="T990" s="1"/>
      <c r="U990" s="1"/>
      <c r="V990" s="1"/>
      <c r="W990" s="1"/>
      <c r="X990" s="1"/>
      <c r="Y990" s="1"/>
      <c r="Z990" s="1"/>
    </row>
    <row r="991" customFormat="false" ht="15.75" hidden="false" customHeight="true" outlineLevel="0" collapsed="false">
      <c r="L991" s="1"/>
      <c r="M991" s="1"/>
      <c r="N991" s="1"/>
      <c r="O991" s="1"/>
      <c r="P991" s="1"/>
      <c r="Q991" s="1"/>
      <c r="R991" s="1"/>
      <c r="S991" s="1"/>
      <c r="T991" s="1"/>
      <c r="U991" s="1"/>
      <c r="V991" s="1"/>
      <c r="W991" s="1"/>
      <c r="X991" s="1"/>
      <c r="Y991" s="1"/>
      <c r="Z991" s="1"/>
    </row>
    <row r="992" customFormat="false" ht="15.75" hidden="false" customHeight="true" outlineLevel="0" collapsed="false">
      <c r="L992" s="1"/>
      <c r="M992" s="1"/>
      <c r="N992" s="1"/>
      <c r="O992" s="1"/>
      <c r="P992" s="1"/>
      <c r="Q992" s="1"/>
      <c r="R992" s="1"/>
      <c r="S992" s="1"/>
      <c r="T992" s="1"/>
      <c r="U992" s="1"/>
      <c r="V992" s="1"/>
      <c r="W992" s="1"/>
      <c r="X992" s="1"/>
      <c r="Y992" s="1"/>
      <c r="Z992" s="1"/>
    </row>
    <row r="993" customFormat="false" ht="15.75" hidden="false" customHeight="true" outlineLevel="0" collapsed="false">
      <c r="L993" s="1"/>
      <c r="M993" s="1"/>
      <c r="N993" s="1"/>
      <c r="O993" s="1"/>
      <c r="P993" s="1"/>
      <c r="Q993" s="1"/>
      <c r="R993" s="1"/>
      <c r="S993" s="1"/>
      <c r="T993" s="1"/>
      <c r="U993" s="1"/>
      <c r="V993" s="1"/>
      <c r="W993" s="1"/>
      <c r="X993" s="1"/>
      <c r="Y993" s="1"/>
      <c r="Z993" s="1"/>
    </row>
    <row r="994" customFormat="false" ht="15.75" hidden="false" customHeight="true" outlineLevel="0" collapsed="false">
      <c r="L994" s="1"/>
      <c r="M994" s="1"/>
      <c r="N994" s="1"/>
      <c r="O994" s="1"/>
      <c r="P994" s="1"/>
      <c r="Q994" s="1"/>
      <c r="R994" s="1"/>
      <c r="S994" s="1"/>
      <c r="T994" s="1"/>
      <c r="U994" s="1"/>
      <c r="V994" s="1"/>
      <c r="W994" s="1"/>
      <c r="X994" s="1"/>
      <c r="Y994" s="1"/>
      <c r="Z994" s="1"/>
    </row>
    <row r="995" customFormat="false" ht="15.75" hidden="false" customHeight="true" outlineLevel="0" collapsed="false">
      <c r="L995" s="1"/>
      <c r="M995" s="1"/>
      <c r="N995" s="1"/>
      <c r="O995" s="1"/>
      <c r="P995" s="1"/>
      <c r="Q995" s="1"/>
      <c r="R995" s="1"/>
      <c r="S995" s="1"/>
      <c r="T995" s="1"/>
      <c r="U995" s="1"/>
      <c r="V995" s="1"/>
      <c r="W995" s="1"/>
      <c r="X995" s="1"/>
      <c r="Y995" s="1"/>
      <c r="Z995" s="1"/>
    </row>
    <row r="996" customFormat="false" ht="15.75" hidden="false" customHeight="true" outlineLevel="0" collapsed="false">
      <c r="L996" s="1"/>
      <c r="M996" s="1"/>
      <c r="N996" s="1"/>
      <c r="O996" s="1"/>
      <c r="P996" s="1"/>
      <c r="Q996" s="1"/>
      <c r="R996" s="1"/>
      <c r="S996" s="1"/>
      <c r="T996" s="1"/>
      <c r="U996" s="1"/>
      <c r="V996" s="1"/>
      <c r="W996" s="1"/>
      <c r="X996" s="1"/>
      <c r="Y996" s="1"/>
      <c r="Z996" s="1"/>
    </row>
    <row r="997" customFormat="false" ht="15.75" hidden="false" customHeight="true" outlineLevel="0" collapsed="false">
      <c r="L997" s="1"/>
      <c r="M997" s="1"/>
      <c r="N997" s="1"/>
      <c r="O997" s="1"/>
      <c r="P997" s="1"/>
      <c r="Q997" s="1"/>
      <c r="R997" s="1"/>
      <c r="S997" s="1"/>
      <c r="T997" s="1"/>
      <c r="U997" s="1"/>
      <c r="V997" s="1"/>
      <c r="W997" s="1"/>
      <c r="X997" s="1"/>
      <c r="Y997" s="1"/>
      <c r="Z997" s="1"/>
    </row>
    <row r="998" customFormat="false" ht="15.75" hidden="false" customHeight="true" outlineLevel="0" collapsed="false">
      <c r="L998" s="1"/>
      <c r="M998" s="1"/>
      <c r="N998" s="1"/>
      <c r="O998" s="1"/>
      <c r="P998" s="1"/>
      <c r="Q998" s="1"/>
      <c r="R998" s="1"/>
      <c r="S998" s="1"/>
      <c r="T998" s="1"/>
      <c r="U998" s="1"/>
      <c r="V998" s="1"/>
      <c r="W998" s="1"/>
      <c r="X998" s="1"/>
      <c r="Y998" s="1"/>
      <c r="Z998" s="1"/>
    </row>
    <row r="999" customFormat="false" ht="15.75" hidden="false" customHeight="true" outlineLevel="0" collapsed="false">
      <c r="L999" s="1"/>
      <c r="M999" s="1"/>
      <c r="N999" s="1"/>
      <c r="O999" s="1"/>
      <c r="P999" s="1"/>
      <c r="Q999" s="1"/>
      <c r="R999" s="1"/>
      <c r="S999" s="1"/>
      <c r="T999" s="1"/>
      <c r="U999" s="1"/>
      <c r="V999" s="1"/>
      <c r="W999" s="1"/>
      <c r="X999" s="1"/>
      <c r="Y999" s="1"/>
      <c r="Z999" s="1"/>
    </row>
    <row r="1000" customFormat="false" ht="15.75" hidden="false" customHeight="true" outlineLevel="0" collapsed="false">
      <c r="L1000" s="1"/>
      <c r="M1000" s="1"/>
      <c r="N1000" s="1"/>
      <c r="O1000" s="1"/>
      <c r="P1000" s="1"/>
      <c r="Q1000" s="1"/>
      <c r="R1000" s="1"/>
      <c r="S1000" s="1"/>
      <c r="T1000" s="1"/>
      <c r="U1000" s="1"/>
      <c r="V1000" s="1"/>
      <c r="W1000" s="1"/>
      <c r="X1000" s="1"/>
      <c r="Y1000" s="1"/>
      <c r="Z1000" s="1"/>
    </row>
    <row r="1001" customFormat="false" ht="15.75" hidden="false" customHeight="true" outlineLevel="0" collapsed="false">
      <c r="L1001" s="1"/>
      <c r="M1001" s="1"/>
      <c r="N1001" s="1"/>
      <c r="O1001" s="1"/>
      <c r="P1001" s="1"/>
      <c r="Q1001" s="1"/>
      <c r="R1001" s="1"/>
      <c r="S1001" s="1"/>
      <c r="T1001" s="1"/>
      <c r="U1001" s="1"/>
      <c r="V1001" s="1"/>
      <c r="W1001" s="1"/>
      <c r="X1001" s="1"/>
      <c r="Y1001" s="1"/>
      <c r="Z1001"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2026-10-11T14:58:21Z</dcterms:created>
  <dc:creator>openpyxl</dc:creator>
  <dc:description/>
  <dc:language>en-US</dc:language>
  <cp:lastModifiedBy/>
  <dcterms:modified xsi:type="dcterms:W3CDTF">2026-10-12T19:17:13Z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